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ate1904="1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A22590D9-3204-4250-842A-2375917BE8B6}" xr6:coauthVersionLast="45" xr6:coauthVersionMax="45" xr10:uidLastSave="{00000000-0000-0000-0000-000000000000}"/>
  <bookViews>
    <workbookView xWindow="1520" yWindow="1520" windowWidth="28800" windowHeight="15460"/>
  </bookViews>
  <sheets>
    <sheet name="Year=1650" sheetId="1" r:id="rId1"/>
    <sheet name="Year=0" sheetId="4" r:id="rId2"/>
    <sheet name="Sheet2" sheetId="2" r:id="rId3"/>
    <sheet name="Sheet3" sheetId="3" r:id="rId4"/>
  </sheet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2" i="4" l="1"/>
  <c r="K2" i="4"/>
  <c r="L2" i="4"/>
  <c r="M2" i="4"/>
  <c r="T2" i="4"/>
  <c r="V2" i="4" s="1"/>
  <c r="U2" i="4"/>
  <c r="B3" i="4"/>
  <c r="J3" i="4"/>
  <c r="K3" i="4" s="1"/>
  <c r="M3" i="4" s="1"/>
  <c r="L3" i="4"/>
  <c r="T3" i="4"/>
  <c r="V3" i="4" s="1"/>
  <c r="U3" i="4"/>
  <c r="B4" i="4"/>
  <c r="J4" i="4"/>
  <c r="K4" i="4"/>
  <c r="L4" i="4"/>
  <c r="M4" i="4"/>
  <c r="T4" i="4"/>
  <c r="U4" i="4"/>
  <c r="V4" i="4"/>
  <c r="B5" i="4"/>
  <c r="J5" i="4"/>
  <c r="K5" i="4" s="1"/>
  <c r="M5" i="4" s="1"/>
  <c r="T5" i="4"/>
  <c r="U5" i="4"/>
  <c r="V5" i="4"/>
  <c r="B6" i="4"/>
  <c r="T6" i="4"/>
  <c r="U6" i="4"/>
  <c r="V6" i="4"/>
  <c r="B7" i="4"/>
  <c r="T7" i="4"/>
  <c r="V7" i="4" s="1"/>
  <c r="U7" i="4"/>
  <c r="B8" i="4"/>
  <c r="T8" i="4"/>
  <c r="V8" i="4" s="1"/>
  <c r="U8" i="4"/>
  <c r="B9" i="4"/>
  <c r="T9" i="4"/>
  <c r="U9" i="4"/>
  <c r="V9" i="4"/>
  <c r="B10" i="4"/>
  <c r="T10" i="4"/>
  <c r="U10" i="4"/>
  <c r="V10" i="4"/>
  <c r="B11" i="4"/>
  <c r="T11" i="4"/>
  <c r="U11" i="4"/>
  <c r="V11" i="4"/>
  <c r="B12" i="4"/>
  <c r="T12" i="4"/>
  <c r="V12" i="4" s="1"/>
  <c r="U12" i="4"/>
  <c r="S13" i="4"/>
  <c r="T13" i="4"/>
  <c r="V13" i="4" s="1"/>
  <c r="U13" i="4"/>
  <c r="S14" i="4"/>
  <c r="T14" i="4" s="1"/>
  <c r="V14" i="4" s="1"/>
  <c r="I17" i="4"/>
  <c r="I18" i="4"/>
  <c r="I19" i="4"/>
  <c r="I20" i="4"/>
  <c r="I21" i="4"/>
  <c r="I22" i="4"/>
  <c r="I23" i="4"/>
  <c r="I24" i="4"/>
  <c r="I25" i="4"/>
  <c r="I26" i="4"/>
  <c r="J2" i="1"/>
  <c r="I3" i="1"/>
  <c r="I4" i="1" s="1"/>
  <c r="J3" i="1"/>
  <c r="J4" i="1" l="1"/>
  <c r="I5" i="1"/>
  <c r="J6" i="4"/>
  <c r="S15" i="4"/>
  <c r="L5" i="4"/>
  <c r="U14" i="4"/>
  <c r="T15" i="4" l="1"/>
  <c r="V15" i="4" s="1"/>
  <c r="U15" i="4"/>
  <c r="S16" i="4"/>
  <c r="J7" i="4"/>
  <c r="K6" i="4"/>
  <c r="M6" i="4" s="1"/>
  <c r="L6" i="4"/>
  <c r="J5" i="1"/>
  <c r="I6" i="1"/>
  <c r="J6" i="1" l="1"/>
  <c r="I7" i="1"/>
  <c r="K7" i="4"/>
  <c r="M7" i="4" s="1"/>
  <c r="L7" i="4"/>
  <c r="J8" i="4"/>
  <c r="S17" i="4"/>
  <c r="T16" i="4"/>
  <c r="V16" i="4" s="1"/>
  <c r="U16" i="4"/>
  <c r="T17" i="4" l="1"/>
  <c r="V17" i="4" s="1"/>
  <c r="U17" i="4"/>
  <c r="S18" i="4"/>
  <c r="J7" i="1"/>
  <c r="I8" i="1"/>
  <c r="K8" i="4"/>
  <c r="M8" i="4" s="1"/>
  <c r="L8" i="4"/>
  <c r="J9" i="4"/>
  <c r="J10" i="4" l="1"/>
  <c r="L9" i="4"/>
  <c r="K9" i="4"/>
  <c r="M9" i="4" s="1"/>
  <c r="J8" i="1"/>
  <c r="I9" i="1"/>
  <c r="S19" i="4"/>
  <c r="T18" i="4"/>
  <c r="V18" i="4" s="1"/>
  <c r="U18" i="4"/>
  <c r="T19" i="4" l="1"/>
  <c r="V19" i="4" s="1"/>
  <c r="U19" i="4"/>
  <c r="S20" i="4"/>
  <c r="J9" i="1"/>
  <c r="I10" i="1"/>
  <c r="K10" i="4"/>
  <c r="M10" i="4" s="1"/>
  <c r="L10" i="4"/>
  <c r="J11" i="4"/>
  <c r="J12" i="4" l="1"/>
  <c r="K11" i="4"/>
  <c r="M11" i="4" s="1"/>
  <c r="L11" i="4"/>
  <c r="J10" i="1"/>
  <c r="I11" i="1"/>
  <c r="S21" i="4"/>
  <c r="U20" i="4"/>
  <c r="T20" i="4"/>
  <c r="V20" i="4" s="1"/>
  <c r="T21" i="4" l="1"/>
  <c r="V21" i="4" s="1"/>
  <c r="U21" i="4"/>
  <c r="S22" i="4"/>
  <c r="I12" i="1"/>
  <c r="J11" i="1"/>
  <c r="K12" i="4"/>
  <c r="M12" i="4" s="1"/>
  <c r="L12" i="4"/>
  <c r="J13" i="4"/>
  <c r="K13" i="4" l="1"/>
  <c r="M13" i="4" s="1"/>
  <c r="L13" i="4"/>
  <c r="J14" i="4"/>
  <c r="J12" i="1"/>
  <c r="I13" i="1"/>
  <c r="T22" i="4"/>
  <c r="V22" i="4" s="1"/>
  <c r="U22" i="4"/>
  <c r="S23" i="4"/>
  <c r="U23" i="4" l="1"/>
  <c r="S24" i="4"/>
  <c r="T23" i="4"/>
  <c r="V23" i="4" s="1"/>
  <c r="I14" i="1"/>
  <c r="J13" i="1"/>
  <c r="J15" i="4"/>
  <c r="K14" i="4"/>
  <c r="M14" i="4" s="1"/>
  <c r="L14" i="4"/>
  <c r="J14" i="1" l="1"/>
  <c r="I15" i="1"/>
  <c r="T24" i="4"/>
  <c r="V24" i="4" s="1"/>
  <c r="U24" i="4"/>
  <c r="S25" i="4"/>
  <c r="K15" i="4"/>
  <c r="M15" i="4" s="1"/>
  <c r="L15" i="4"/>
  <c r="J16" i="4"/>
  <c r="J17" i="4" l="1"/>
  <c r="L16" i="4"/>
  <c r="K16" i="4"/>
  <c r="M16" i="4" s="1"/>
  <c r="I16" i="1"/>
  <c r="J15" i="1"/>
  <c r="S26" i="4"/>
  <c r="U25" i="4"/>
  <c r="T25" i="4"/>
  <c r="V25" i="4" s="1"/>
  <c r="T26" i="4" l="1"/>
  <c r="V26" i="4" s="1"/>
  <c r="U26" i="4"/>
  <c r="S27" i="4"/>
  <c r="J16" i="1"/>
  <c r="I17" i="1"/>
  <c r="K17" i="4"/>
  <c r="M17" i="4" s="1"/>
  <c r="L17" i="4"/>
  <c r="J18" i="4"/>
  <c r="J17" i="1" l="1"/>
  <c r="I18" i="1"/>
  <c r="K18" i="4"/>
  <c r="M18" i="4" s="1"/>
  <c r="L18" i="4"/>
  <c r="J19" i="4"/>
  <c r="S28" i="4"/>
  <c r="T27" i="4"/>
  <c r="V27" i="4" s="1"/>
  <c r="U27" i="4"/>
  <c r="T28" i="4" l="1"/>
  <c r="V28" i="4" s="1"/>
  <c r="U28" i="4"/>
  <c r="S29" i="4"/>
  <c r="L19" i="4"/>
  <c r="J20" i="4"/>
  <c r="K19" i="4"/>
  <c r="M19" i="4" s="1"/>
  <c r="J18" i="1"/>
  <c r="I19" i="1"/>
  <c r="S30" i="4" l="1"/>
  <c r="T29" i="4"/>
  <c r="V29" i="4" s="1"/>
  <c r="U29" i="4"/>
  <c r="J19" i="1"/>
  <c r="I20" i="1"/>
  <c r="K20" i="4"/>
  <c r="M20" i="4" s="1"/>
  <c r="L20" i="4"/>
  <c r="J21" i="4"/>
  <c r="J22" i="4" l="1"/>
  <c r="K21" i="4"/>
  <c r="M21" i="4" s="1"/>
  <c r="L21" i="4"/>
  <c r="I21" i="1"/>
  <c r="J20" i="1"/>
  <c r="T30" i="4"/>
  <c r="V30" i="4" s="1"/>
  <c r="U30" i="4"/>
  <c r="S31" i="4"/>
  <c r="S32" i="4" l="1"/>
  <c r="T31" i="4"/>
  <c r="V31" i="4" s="1"/>
  <c r="U31" i="4"/>
  <c r="I22" i="1"/>
  <c r="J21" i="1"/>
  <c r="K22" i="4"/>
  <c r="M22" i="4" s="1"/>
  <c r="L22" i="4"/>
  <c r="J23" i="4"/>
  <c r="J24" i="4" l="1"/>
  <c r="K23" i="4"/>
  <c r="M23" i="4" s="1"/>
  <c r="L23" i="4"/>
  <c r="J22" i="1"/>
  <c r="I23" i="1"/>
  <c r="T32" i="4"/>
  <c r="V32" i="4" s="1"/>
  <c r="U32" i="4"/>
  <c r="S33" i="4"/>
  <c r="T33" i="4" l="1"/>
  <c r="V33" i="4" s="1"/>
  <c r="S34" i="4"/>
  <c r="U33" i="4"/>
  <c r="I24" i="1"/>
  <c r="J23" i="1"/>
  <c r="K24" i="4"/>
  <c r="M24" i="4" s="1"/>
  <c r="L24" i="4"/>
  <c r="J25" i="4"/>
  <c r="J26" i="4" l="1"/>
  <c r="K25" i="4"/>
  <c r="M25" i="4" s="1"/>
  <c r="L25" i="4"/>
  <c r="J24" i="1"/>
  <c r="I25" i="1"/>
  <c r="T34" i="4"/>
  <c r="V34" i="4" s="1"/>
  <c r="U34" i="4"/>
  <c r="S35" i="4"/>
  <c r="I26" i="1" l="1"/>
  <c r="J25" i="1"/>
  <c r="T35" i="4"/>
  <c r="V35" i="4" s="1"/>
  <c r="U35" i="4"/>
  <c r="S36" i="4"/>
  <c r="K26" i="4"/>
  <c r="M26" i="4" s="1"/>
  <c r="L26" i="4"/>
  <c r="J27" i="4"/>
  <c r="K27" i="4" l="1"/>
  <c r="M27" i="4" s="1"/>
  <c r="L27" i="4"/>
  <c r="J28" i="4"/>
  <c r="S37" i="4"/>
  <c r="U36" i="4"/>
  <c r="T36" i="4"/>
  <c r="V36" i="4" s="1"/>
  <c r="J26" i="1"/>
  <c r="I27" i="1"/>
  <c r="I28" i="1" l="1"/>
  <c r="J27" i="1"/>
  <c r="U37" i="4"/>
  <c r="S38" i="4"/>
  <c r="T37" i="4"/>
  <c r="V37" i="4" s="1"/>
  <c r="J29" i="4"/>
  <c r="L28" i="4"/>
  <c r="K28" i="4"/>
  <c r="M28" i="4" s="1"/>
  <c r="K29" i="4" l="1"/>
  <c r="M29" i="4" s="1"/>
  <c r="L29" i="4"/>
  <c r="T38" i="4"/>
  <c r="V38" i="4" s="1"/>
  <c r="S39" i="4"/>
  <c r="U38" i="4"/>
  <c r="J28" i="1"/>
  <c r="I29" i="1"/>
  <c r="J29" i="1" s="1"/>
  <c r="S40" i="4" l="1"/>
  <c r="T39" i="4"/>
  <c r="V39" i="4" s="1"/>
  <c r="U39" i="4"/>
  <c r="T40" i="4" l="1"/>
  <c r="V40" i="4" s="1"/>
  <c r="U40" i="4"/>
  <c r="S41" i="4"/>
  <c r="U41" i="4" l="1"/>
  <c r="T41" i="4"/>
  <c r="V41" i="4" s="1"/>
</calcChain>
</file>

<file path=xl/sharedStrings.xml><?xml version="1.0" encoding="utf-8"?>
<sst xmlns="http://schemas.openxmlformats.org/spreadsheetml/2006/main" count="42" uniqueCount="32">
  <si>
    <t>Year</t>
  </si>
  <si>
    <t>Est. Population</t>
  </si>
  <si>
    <t>year</t>
  </si>
  <si>
    <t>population</t>
  </si>
  <si>
    <t>power</t>
  </si>
  <si>
    <t>coeff.</t>
  </si>
  <si>
    <t>Population</t>
  </si>
  <si>
    <t>Year -1650</t>
  </si>
  <si>
    <t>Year - 1980</t>
  </si>
  <si>
    <t>year: 1980</t>
  </si>
  <si>
    <t>year: 0</t>
  </si>
  <si>
    <t>Coefficient</t>
  </si>
  <si>
    <t>Power</t>
  </si>
  <si>
    <t>Year-1650</t>
  </si>
  <si>
    <t>year: 1650</t>
  </si>
  <si>
    <t>Name</t>
  </si>
  <si>
    <t>coefficient</t>
  </si>
  <si>
    <t>Mathew</t>
  </si>
  <si>
    <t>Ava</t>
  </si>
  <si>
    <t>year started</t>
  </si>
  <si>
    <t>year found</t>
  </si>
  <si>
    <t>Corrie</t>
  </si>
  <si>
    <t>Elizabeth</t>
  </si>
  <si>
    <t>Rebecca</t>
  </si>
  <si>
    <t>Raju</t>
  </si>
  <si>
    <t>Julie &amp; Amy</t>
  </si>
  <si>
    <t>Summary Data from Homework</t>
  </si>
  <si>
    <t>Kristen Th.</t>
  </si>
  <si>
    <t>Wiegel</t>
  </si>
  <si>
    <t xml:space="preserve">The excel file contains a summary and extension of the work done in </t>
  </si>
  <si>
    <t xml:space="preserve">                     class with predicing when the earth would be full (class definition </t>
  </si>
  <si>
    <t xml:space="preserve">                     of "full": 1.7 x 10^15; 10 people per square yard)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</si>
</sst>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2" formatCode="0.0E+00"/>
    <numFmt numFmtId="173" formatCode="0.000E+00"/>
  </numFmts>
  <fonts count="7">
    <font>
      <sz val="9"/>
      <name val="Geneva"/>
    </font>
    <font>
      <b/>
      <sz val="9"/>
      <name val="Geneva"/>
    </font>
    <font>
      <sz val="9"/>
      <name val="Geneva"/>
    </font>
    <font>
      <b/>
      <sz val="18"/>
      <name val="Geneva"/>
    </font>
    <font>
      <b/>
      <sz val="14"/>
      <name val="Geneva"/>
    </font>
    <font>
      <sz val="14"/>
      <name val="Geneva"/>
    </font>
    <font>
      <sz val="12"/>
      <name val="Geneva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/>
    </xf>
    <xf numFmtId="0" fontId="4" fillId="0" borderId="0" xfId="0" applyFont="1"/>
    <xf numFmtId="11" fontId="4" fillId="0" borderId="0" xfId="0" applyNumberFormat="1" applyFont="1"/>
    <xf numFmtId="0" fontId="4" fillId="0" borderId="0" xfId="0" applyFont="1" applyAlignment="1">
      <alignment horizontal="center"/>
    </xf>
    <xf numFmtId="3" fontId="4" fillId="0" borderId="0" xfId="0" applyNumberFormat="1" applyFont="1"/>
    <xf numFmtId="172" fontId="4" fillId="0" borderId="0" xfId="0" applyNumberFormat="1" applyFont="1"/>
    <xf numFmtId="0" fontId="5" fillId="0" borderId="0" xfId="0" applyFont="1"/>
    <xf numFmtId="0" fontId="6" fillId="0" borderId="0" xfId="0" applyFont="1"/>
    <xf numFmtId="0" fontId="6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11" fontId="1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/>
    <xf numFmtId="11" fontId="1" fillId="0" borderId="0" xfId="0" applyNumberFormat="1" applyFont="1"/>
    <xf numFmtId="0" fontId="2" fillId="0" borderId="0" xfId="0" applyFont="1"/>
    <xf numFmtId="11" fontId="2" fillId="0" borderId="0" xfId="0" applyNumberFormat="1" applyFont="1"/>
    <xf numFmtId="11" fontId="2" fillId="0" borderId="0" xfId="0" applyNumberFormat="1" applyFont="1" applyAlignment="1">
      <alignment horizontal="center"/>
    </xf>
    <xf numFmtId="3" fontId="2" fillId="0" borderId="0" xfId="0" applyNumberFormat="1" applyFont="1"/>
    <xf numFmtId="0" fontId="2" fillId="0" borderId="0" xfId="0" applyNumberFormat="1" applyFont="1"/>
    <xf numFmtId="173" fontId="2" fillId="0" borderId="0" xfId="0" applyNumberFormat="1" applyFont="1"/>
    <xf numFmtId="173" fontId="1" fillId="0" borderId="0" xfId="0" applyNumberFormat="1" applyFont="1"/>
    <xf numFmtId="0" fontId="2" fillId="0" borderId="1" xfId="0" applyFont="1" applyBorder="1" applyAlignment="1">
      <alignment horizontal="center"/>
    </xf>
    <xf numFmtId="173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4159795514960337"/>
          <c:y val="3.1074479029739806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175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3763118662758925"/>
          <c:y val="0.15960982410729993"/>
          <c:w val="0.7128935598827677"/>
          <c:h val="0.6666888228198723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'Year=1650'!$B$1</c:f>
              <c:strCache>
                <c:ptCount val="1"/>
                <c:pt idx="0">
                  <c:v>Est. Population</c:v>
                </c:pt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trendline>
            <c:spPr>
              <a:ln w="25400">
                <a:solidFill>
                  <a:srgbClr val="000000"/>
                </a:solidFill>
                <a:prstDash val="solid"/>
              </a:ln>
            </c:spPr>
            <c:trendlineType val="exp"/>
            <c:dispRSqr val="0"/>
            <c:dispEq val="1"/>
            <c:trendlineLbl>
              <c:layout>
                <c:manualLayout>
                  <c:xMode val="edge"/>
                  <c:yMode val="edge"/>
                  <c:x val="0.45347951448098284"/>
                  <c:y val="0.26413307175278838"/>
                </c:manualLayout>
              </c:layout>
              <c:numFmt formatCode="General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 algn="ctr" rtl="0">
                    <a:defRPr sz="1575" b="0" i="0" u="none" strike="noStrike" baseline="0">
                      <a:solidFill>
                        <a:srgbClr val="000000"/>
                      </a:solidFill>
                      <a:latin typeface="Geneva"/>
                      <a:ea typeface="Geneva"/>
                      <a:cs typeface="Geneva"/>
                    </a:defRPr>
                  </a:pPr>
                  <a:endParaRPr lang="en-US"/>
                </a:p>
              </c:txPr>
            </c:trendlineLbl>
          </c:trendline>
          <c:xVal>
            <c:numRef>
              <c:f>'Year=1650'!$A$2:$A$12</c:f>
              <c:numCache>
                <c:formatCode>General</c:formatCode>
                <c:ptCount val="11"/>
                <c:pt idx="0">
                  <c:v>1650</c:v>
                </c:pt>
                <c:pt idx="1">
                  <c:v>1750</c:v>
                </c:pt>
                <c:pt idx="2">
                  <c:v>1850</c:v>
                </c:pt>
                <c:pt idx="3">
                  <c:v>1900</c:v>
                </c:pt>
                <c:pt idx="4">
                  <c:v>1950</c:v>
                </c:pt>
                <c:pt idx="5">
                  <c:v>1960</c:v>
                </c:pt>
                <c:pt idx="6">
                  <c:v>1970</c:v>
                </c:pt>
                <c:pt idx="7">
                  <c:v>1980</c:v>
                </c:pt>
                <c:pt idx="8">
                  <c:v>1985</c:v>
                </c:pt>
                <c:pt idx="9">
                  <c:v>1990</c:v>
                </c:pt>
                <c:pt idx="10">
                  <c:v>1995</c:v>
                </c:pt>
              </c:numCache>
            </c:numRef>
          </c:xVal>
          <c:yVal>
            <c:numRef>
              <c:f>'Year=1650'!$B$2:$B$12</c:f>
              <c:numCache>
                <c:formatCode>#,##0</c:formatCode>
                <c:ptCount val="11"/>
                <c:pt idx="0">
                  <c:v>470000000</c:v>
                </c:pt>
                <c:pt idx="1">
                  <c:v>694000000</c:v>
                </c:pt>
                <c:pt idx="2">
                  <c:v>1091000000</c:v>
                </c:pt>
                <c:pt idx="3">
                  <c:v>1570000000</c:v>
                </c:pt>
                <c:pt idx="4">
                  <c:v>2510000000</c:v>
                </c:pt>
                <c:pt idx="5">
                  <c:v>3030000000</c:v>
                </c:pt>
                <c:pt idx="6">
                  <c:v>3680000000</c:v>
                </c:pt>
                <c:pt idx="7">
                  <c:v>4480000000</c:v>
                </c:pt>
                <c:pt idx="8">
                  <c:v>4870000000</c:v>
                </c:pt>
                <c:pt idx="9">
                  <c:v>5290000000</c:v>
                </c:pt>
                <c:pt idx="10">
                  <c:v>5730000000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5FD-4B7D-8C1F-FC333A28F2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94113471"/>
        <c:axId val="1"/>
      </c:scatterChart>
      <c:valAx>
        <c:axId val="794113471"/>
        <c:scaling>
          <c:orientation val="minMax"/>
          <c:max val="2100"/>
          <c:min val="1500"/>
        </c:scaling>
        <c:delete val="0"/>
        <c:axPos val="b"/>
        <c:title>
          <c:tx>
            <c:rich>
              <a:bodyPr/>
              <a:lstStyle/>
              <a:p>
                <a:pPr>
                  <a:defRPr sz="1175" b="1" i="0" u="none" strike="noStrike" baseline="0">
                    <a:solidFill>
                      <a:srgbClr val="000000"/>
                    </a:solidFill>
                    <a:latin typeface="Geneva"/>
                    <a:ea typeface="Geneva"/>
                    <a:cs typeface="Geneva"/>
                  </a:defRPr>
                </a:pPr>
                <a:r>
                  <a:rPr lang="en-GB"/>
                  <a:t>Year</a:t>
                </a:r>
              </a:p>
            </c:rich>
          </c:tx>
          <c:layout>
            <c:manualLayout>
              <c:xMode val="edge"/>
              <c:yMode val="edge"/>
              <c:x val="0.5653641981848061"/>
              <c:y val="0.90963474977965619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75" b="0" i="0" u="none" strike="noStrike" baseline="0">
                <a:solidFill>
                  <a:srgbClr val="000000"/>
                </a:solidFill>
                <a:latin typeface="Geneva"/>
                <a:ea typeface="Geneva"/>
                <a:cs typeface="Geneva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175" b="1" i="0" u="none" strike="noStrike" baseline="0">
                    <a:solidFill>
                      <a:srgbClr val="000000"/>
                    </a:solidFill>
                    <a:latin typeface="Geneva"/>
                    <a:ea typeface="Geneva"/>
                    <a:cs typeface="Geneva"/>
                  </a:defRPr>
                </a:pPr>
                <a:r>
                  <a:rPr lang="en-GB"/>
                  <a:t>Population</a:t>
                </a:r>
              </a:p>
            </c:rich>
          </c:tx>
          <c:layout>
            <c:manualLayout>
              <c:xMode val="edge"/>
              <c:yMode val="edge"/>
              <c:x val="2.1782858774195682E-2"/>
              <c:y val="0.398318322108483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75" b="0" i="0" u="none" strike="noStrike" baseline="0">
                <a:solidFill>
                  <a:srgbClr val="000000"/>
                </a:solidFill>
                <a:latin typeface="Geneva"/>
                <a:ea typeface="Geneva"/>
                <a:cs typeface="Geneva"/>
              </a:defRPr>
            </a:pPr>
            <a:endParaRPr lang="en-US"/>
          </a:p>
        </c:txPr>
        <c:crossAx val="794113471"/>
        <c:crosses val="autoZero"/>
        <c:crossBetween val="midCat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175" b="0" i="0" u="none" strike="noStrike" baseline="0">
          <a:solidFill>
            <a:srgbClr val="000000"/>
          </a:solidFill>
          <a:latin typeface="Geneva"/>
          <a:ea typeface="Geneva"/>
          <a:cs typeface="Geneva"/>
        </a:defRPr>
      </a:pPr>
      <a:endParaRPr lang="en-US"/>
    </a:p>
  </c:txPr>
  <c:printSettings>
    <c:headerFooter alignWithMargins="0"/>
    <c:pageMargins b="1" l="0.75" r="0.75" t="1" header="0.5" footer="0.5"/>
    <c:pageSetup paperSize="0" orientation="landscape" horizontalDpi="-4" verticalDpi="-4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25" b="1" i="0" u="none" strike="noStrike" baseline="0">
                <a:solidFill>
                  <a:srgbClr val="000000"/>
                </a:solidFill>
                <a:latin typeface="Geneva"/>
                <a:ea typeface="Geneva"/>
                <a:cs typeface="Geneva"/>
              </a:defRPr>
            </a:pPr>
            <a:r>
              <a:rPr lang="en-GB"/>
              <a:t>Chart 1:1650=&gt;1650</a:t>
            </a:r>
          </a:p>
        </c:rich>
      </c:tx>
      <c:layout>
        <c:manualLayout>
          <c:xMode val="edge"/>
          <c:yMode val="edge"/>
          <c:x val="0.36516667421739601"/>
          <c:y val="3.7200389169110323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2196405687724072"/>
          <c:y val="0.20350801133689767"/>
          <c:w val="0.72675328300128816"/>
          <c:h val="0.58864145214651042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'Year=0'!$C$1</c:f>
              <c:strCache>
                <c:ptCount val="1"/>
                <c:pt idx="0">
                  <c:v>Est. Population</c:v>
                </c:pt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trendline>
            <c:spPr>
              <a:ln w="25400">
                <a:solidFill>
                  <a:srgbClr val="000000"/>
                </a:solidFill>
                <a:prstDash val="solid"/>
              </a:ln>
            </c:spPr>
            <c:trendlineType val="exp"/>
            <c:dispRSqr val="0"/>
            <c:dispEq val="1"/>
            <c:trendlineLbl>
              <c:layout>
                <c:manualLayout>
                  <c:xMode val="edge"/>
                  <c:yMode val="edge"/>
                  <c:x val="0.53462310473657981"/>
                  <c:y val="0.29322659698004611"/>
                </c:manualLayout>
              </c:layout>
              <c:numFmt formatCode="General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 algn="ctr" rtl="0">
                    <a:defRPr sz="1000" b="0" i="0" u="none" strike="noStrike" baseline="0">
                      <a:solidFill>
                        <a:srgbClr val="000000"/>
                      </a:solidFill>
                      <a:latin typeface="Geneva"/>
                      <a:ea typeface="Geneva"/>
                      <a:cs typeface="Geneva"/>
                    </a:defRPr>
                  </a:pPr>
                  <a:endParaRPr lang="en-US"/>
                </a:p>
              </c:txPr>
            </c:trendlineLbl>
          </c:trendline>
          <c:xVal>
            <c:numRef>
              <c:f>'Year=0'!$A$2:$A$12</c:f>
              <c:numCache>
                <c:formatCode>General</c:formatCode>
                <c:ptCount val="11"/>
                <c:pt idx="0">
                  <c:v>1650</c:v>
                </c:pt>
                <c:pt idx="1">
                  <c:v>1750</c:v>
                </c:pt>
                <c:pt idx="2">
                  <c:v>1850</c:v>
                </c:pt>
                <c:pt idx="3">
                  <c:v>1900</c:v>
                </c:pt>
                <c:pt idx="4">
                  <c:v>1950</c:v>
                </c:pt>
                <c:pt idx="5">
                  <c:v>1960</c:v>
                </c:pt>
                <c:pt idx="6">
                  <c:v>1970</c:v>
                </c:pt>
                <c:pt idx="7">
                  <c:v>1980</c:v>
                </c:pt>
                <c:pt idx="8">
                  <c:v>1985</c:v>
                </c:pt>
                <c:pt idx="9">
                  <c:v>1990</c:v>
                </c:pt>
                <c:pt idx="10">
                  <c:v>1995</c:v>
                </c:pt>
              </c:numCache>
            </c:numRef>
          </c:xVal>
          <c:yVal>
            <c:numRef>
              <c:f>'Year=0'!$C$2:$C$12</c:f>
              <c:numCache>
                <c:formatCode>#,##0</c:formatCode>
                <c:ptCount val="11"/>
                <c:pt idx="0">
                  <c:v>470000000</c:v>
                </c:pt>
                <c:pt idx="1">
                  <c:v>694000000</c:v>
                </c:pt>
                <c:pt idx="2">
                  <c:v>1091000000</c:v>
                </c:pt>
                <c:pt idx="3">
                  <c:v>1570000000</c:v>
                </c:pt>
                <c:pt idx="4">
                  <c:v>2510000000</c:v>
                </c:pt>
                <c:pt idx="5">
                  <c:v>3030000000</c:v>
                </c:pt>
                <c:pt idx="6">
                  <c:v>3680000000</c:v>
                </c:pt>
                <c:pt idx="7">
                  <c:v>4480000000</c:v>
                </c:pt>
                <c:pt idx="8">
                  <c:v>4870000000</c:v>
                </c:pt>
                <c:pt idx="9">
                  <c:v>5290000000</c:v>
                </c:pt>
                <c:pt idx="10">
                  <c:v>5730000000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1DD-446A-9F28-2FAC9C7D8E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94115551"/>
        <c:axId val="1"/>
      </c:scatterChart>
      <c:valAx>
        <c:axId val="794115551"/>
        <c:scaling>
          <c:orientation val="minMax"/>
          <c:max val="2050"/>
          <c:min val="1650"/>
        </c:scaling>
        <c:delete val="0"/>
        <c:axPos val="b"/>
        <c:title>
          <c:tx>
            <c:rich>
              <a:bodyPr/>
              <a:lstStyle/>
              <a:p>
                <a:pPr>
                  <a:defRPr sz="875" b="1" i="0" u="none" strike="noStrike" baseline="0">
                    <a:solidFill>
                      <a:srgbClr val="000000"/>
                    </a:solidFill>
                    <a:latin typeface="Geneva"/>
                    <a:ea typeface="Geneva"/>
                    <a:cs typeface="Geneva"/>
                  </a:defRPr>
                </a:pPr>
                <a:r>
                  <a:rPr lang="en-GB"/>
                  <a:t>Year</a:t>
                </a:r>
              </a:p>
            </c:rich>
          </c:tx>
          <c:layout>
            <c:manualLayout>
              <c:xMode val="edge"/>
              <c:yMode val="edge"/>
              <c:x val="0.55729685248210437"/>
              <c:y val="0.88624456549939312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75" b="0" i="0" u="none" strike="noStrike" baseline="0">
                <a:solidFill>
                  <a:srgbClr val="000000"/>
                </a:solidFill>
                <a:latin typeface="Geneva"/>
                <a:ea typeface="Geneva"/>
                <a:cs typeface="Geneva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75" b="1" i="0" u="none" strike="noStrike" baseline="0">
                    <a:solidFill>
                      <a:srgbClr val="000000"/>
                    </a:solidFill>
                    <a:latin typeface="Geneva"/>
                    <a:ea typeface="Geneva"/>
                    <a:cs typeface="Geneva"/>
                  </a:defRPr>
                </a:pPr>
                <a:r>
                  <a:rPr lang="en-GB"/>
                  <a:t>Population</a:t>
                </a:r>
              </a:p>
            </c:rich>
          </c:tx>
          <c:layout>
            <c:manualLayout>
              <c:xMode val="edge"/>
              <c:yMode val="edge"/>
              <c:x val="2.6253813179028473E-2"/>
              <c:y val="0.3895099571824493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75" b="0" i="0" u="none" strike="noStrike" baseline="0">
                <a:solidFill>
                  <a:srgbClr val="000000"/>
                </a:solidFill>
                <a:latin typeface="Geneva"/>
                <a:ea typeface="Geneva"/>
                <a:cs typeface="Geneva"/>
              </a:defRPr>
            </a:pPr>
            <a:endParaRPr lang="en-US"/>
          </a:p>
        </c:txPr>
        <c:crossAx val="794115551"/>
        <c:crosses val="autoZero"/>
        <c:crossBetween val="midCat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75" b="0" i="0" u="none" strike="noStrike" baseline="0">
          <a:solidFill>
            <a:srgbClr val="000000"/>
          </a:solidFill>
          <a:latin typeface="Geneva"/>
          <a:ea typeface="Geneva"/>
          <a:cs typeface="Geneva"/>
        </a:defRPr>
      </a:pPr>
      <a:endParaRPr lang="en-US"/>
    </a:p>
  </c:txPr>
  <c:printSettings>
    <c:headerFooter alignWithMargins="0"/>
    <c:pageMargins b="1" l="0.75" r="0.75" t="1" header="0.5" footer="0.5"/>
    <c:pageSetup paperSize="0" orientation="landscape" horizontalDpi="-4" verticalDpi="-4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700" b="1" i="0" u="none" strike="noStrike" baseline="0">
                <a:solidFill>
                  <a:srgbClr val="000000"/>
                </a:solidFill>
                <a:latin typeface="Geneva"/>
                <a:ea typeface="Geneva"/>
                <a:cs typeface="Geneva"/>
              </a:defRPr>
            </a:pPr>
            <a:r>
              <a:rPr lang="en-GB"/>
              <a:t>Chart 2:1650=&gt;0</a:t>
            </a:r>
          </a:p>
        </c:rich>
      </c:tx>
      <c:layout>
        <c:manualLayout>
          <c:xMode val="edge"/>
          <c:yMode val="edge"/>
          <c:x val="0.33889326466837189"/>
          <c:y val="3.5295232788260196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5684542164339763"/>
          <c:y val="0.23137985938970576"/>
          <c:w val="0.69443391777659358"/>
          <c:h val="0.55688033954810534"/>
        </c:manualLayout>
      </c:layout>
      <c:scatterChart>
        <c:scatterStyle val="smoothMarker"/>
        <c:varyColors val="0"/>
        <c:ser>
          <c:idx val="0"/>
          <c:order val="0"/>
          <c:tx>
            <c:v>YearStart=0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trendline>
            <c:spPr>
              <a:ln w="25400">
                <a:solidFill>
                  <a:srgbClr val="000000"/>
                </a:solidFill>
                <a:prstDash val="solid"/>
              </a:ln>
            </c:spPr>
            <c:trendlineType val="exp"/>
            <c:dispRSqr val="0"/>
            <c:dispEq val="1"/>
            <c:trendlineLbl>
              <c:layout>
                <c:manualLayout>
                  <c:xMode val="edge"/>
                  <c:yMode val="edge"/>
                  <c:x val="0.5053671490668703"/>
                  <c:y val="0.24510578325180693"/>
                </c:manualLayout>
              </c:layout>
              <c:numFmt formatCode="General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 algn="ctr" rtl="0">
                    <a:defRPr sz="1000" b="0" i="0" u="none" strike="noStrike" baseline="0">
                      <a:solidFill>
                        <a:srgbClr val="000000"/>
                      </a:solidFill>
                      <a:latin typeface="Geneva"/>
                      <a:ea typeface="Geneva"/>
                      <a:cs typeface="Geneva"/>
                    </a:defRPr>
                  </a:pPr>
                  <a:endParaRPr lang="en-US"/>
                </a:p>
              </c:txPr>
            </c:trendlineLbl>
          </c:trendline>
          <c:xVal>
            <c:numRef>
              <c:f>'Year=0'!$B$2:$B$12</c:f>
              <c:numCache>
                <c:formatCode>General</c:formatCode>
                <c:ptCount val="11"/>
                <c:pt idx="0">
                  <c:v>0</c:v>
                </c:pt>
                <c:pt idx="1">
                  <c:v>100</c:v>
                </c:pt>
                <c:pt idx="2">
                  <c:v>200</c:v>
                </c:pt>
                <c:pt idx="3">
                  <c:v>250</c:v>
                </c:pt>
                <c:pt idx="4">
                  <c:v>300</c:v>
                </c:pt>
                <c:pt idx="5">
                  <c:v>310</c:v>
                </c:pt>
                <c:pt idx="6">
                  <c:v>320</c:v>
                </c:pt>
                <c:pt idx="7">
                  <c:v>330</c:v>
                </c:pt>
                <c:pt idx="8">
                  <c:v>335</c:v>
                </c:pt>
                <c:pt idx="9">
                  <c:v>340</c:v>
                </c:pt>
                <c:pt idx="10">
                  <c:v>345</c:v>
                </c:pt>
              </c:numCache>
            </c:numRef>
          </c:xVal>
          <c:yVal>
            <c:numRef>
              <c:f>'Year=0'!$C$2:$C$12</c:f>
              <c:numCache>
                <c:formatCode>#,##0</c:formatCode>
                <c:ptCount val="11"/>
                <c:pt idx="0">
                  <c:v>470000000</c:v>
                </c:pt>
                <c:pt idx="1">
                  <c:v>694000000</c:v>
                </c:pt>
                <c:pt idx="2">
                  <c:v>1091000000</c:v>
                </c:pt>
                <c:pt idx="3">
                  <c:v>1570000000</c:v>
                </c:pt>
                <c:pt idx="4">
                  <c:v>2510000000</c:v>
                </c:pt>
                <c:pt idx="5">
                  <c:v>3030000000</c:v>
                </c:pt>
                <c:pt idx="6">
                  <c:v>3680000000</c:v>
                </c:pt>
                <c:pt idx="7">
                  <c:v>4480000000</c:v>
                </c:pt>
                <c:pt idx="8">
                  <c:v>4870000000</c:v>
                </c:pt>
                <c:pt idx="9">
                  <c:v>5290000000</c:v>
                </c:pt>
                <c:pt idx="10">
                  <c:v>5730000000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587-4C7C-A8DE-18F50E7F15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94115135"/>
        <c:axId val="1"/>
      </c:scatterChart>
      <c:valAx>
        <c:axId val="79411513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Geneva"/>
                    <a:ea typeface="Geneva"/>
                    <a:cs typeface="Geneva"/>
                  </a:defRPr>
                </a:pPr>
                <a:r>
                  <a:rPr lang="en-GB"/>
                  <a:t>Years since start of count</a:t>
                </a:r>
              </a:p>
            </c:rich>
          </c:tx>
          <c:layout>
            <c:manualLayout>
              <c:xMode val="edge"/>
              <c:yMode val="edge"/>
              <c:x val="0.45542498374732077"/>
              <c:y val="0.88826335850454829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50" b="0" i="0" u="none" strike="noStrike" baseline="0">
                <a:solidFill>
                  <a:srgbClr val="000000"/>
                </a:solidFill>
                <a:latin typeface="Geneva"/>
                <a:ea typeface="Geneva"/>
                <a:cs typeface="Geneva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Geneva"/>
                    <a:ea typeface="Geneva"/>
                    <a:cs typeface="Geneva"/>
                  </a:defRPr>
                </a:pPr>
                <a:r>
                  <a:rPr lang="en-GB"/>
                  <a:t>Population</a:t>
                </a:r>
              </a:p>
            </c:rich>
          </c:tx>
          <c:layout>
            <c:manualLayout>
              <c:xMode val="edge"/>
              <c:yMode val="edge"/>
              <c:x val="2.6160181834049757E-2"/>
              <c:y val="0.40589517706499229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50" b="0" i="0" u="none" strike="noStrike" baseline="0">
                <a:solidFill>
                  <a:srgbClr val="000000"/>
                </a:solidFill>
                <a:latin typeface="Geneva"/>
                <a:ea typeface="Geneva"/>
                <a:cs typeface="Geneva"/>
              </a:defRPr>
            </a:pPr>
            <a:endParaRPr lang="en-US"/>
          </a:p>
        </c:txPr>
        <c:crossAx val="794115135"/>
        <c:crosses val="autoZero"/>
        <c:crossBetween val="midCat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50" b="0" i="0" u="none" strike="noStrike" baseline="0">
          <a:solidFill>
            <a:srgbClr val="000000"/>
          </a:solidFill>
          <a:latin typeface="Geneva"/>
          <a:ea typeface="Geneva"/>
          <a:cs typeface="Geneva"/>
        </a:defRPr>
      </a:pPr>
      <a:endParaRPr lang="en-US"/>
    </a:p>
  </c:txPr>
  <c:printSettings>
    <c:headerFooter alignWithMargins="0"/>
    <c:pageMargins b="1" l="0.75" r="0.75" t="1" header="0.5" footer="0.5"/>
    <c:pageSetup paperSize="0" orientation="landscape" horizontalDpi="-4" verticalDpi="-4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762000</xdr:colOff>
      <xdr:row>15</xdr:row>
      <xdr:rowOff>63500</xdr:rowOff>
    </xdr:from>
    <xdr:to>
      <xdr:col>8</xdr:col>
      <xdr:colOff>203200</xdr:colOff>
      <xdr:row>34</xdr:row>
      <xdr:rowOff>215900</xdr:rowOff>
    </xdr:to>
    <xdr:graphicFrame macro="">
      <xdr:nvGraphicFramePr>
        <xdr:cNvPr id="1025" name="Chart 1">
          <a:extLst>
            <a:ext uri="{FF2B5EF4-FFF2-40B4-BE49-F238E27FC236}">
              <a16:creationId xmlns:a16="http://schemas.microsoft.com/office/drawing/2014/main" id="{5AB2BE86-7222-4E23-B742-C5D78E50CD0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95250</xdr:colOff>
      <xdr:row>12</xdr:row>
      <xdr:rowOff>139700</xdr:rowOff>
    </xdr:from>
    <xdr:to>
      <xdr:col>7</xdr:col>
      <xdr:colOff>361950</xdr:colOff>
      <xdr:row>32</xdr:row>
      <xdr:rowOff>44450</xdr:rowOff>
    </xdr:to>
    <xdr:graphicFrame macro="">
      <xdr:nvGraphicFramePr>
        <xdr:cNvPr id="2049" name="Chart 1">
          <a:extLst>
            <a:ext uri="{FF2B5EF4-FFF2-40B4-BE49-F238E27FC236}">
              <a16:creationId xmlns:a16="http://schemas.microsoft.com/office/drawing/2014/main" id="{B2D1C07F-A131-4385-91B5-B361106202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95250</xdr:colOff>
      <xdr:row>32</xdr:row>
      <xdr:rowOff>133350</xdr:rowOff>
    </xdr:from>
    <xdr:to>
      <xdr:col>7</xdr:col>
      <xdr:colOff>381000</xdr:colOff>
      <xdr:row>55</xdr:row>
      <xdr:rowOff>12700</xdr:rowOff>
    </xdr:to>
    <xdr:graphicFrame macro="">
      <xdr:nvGraphicFramePr>
        <xdr:cNvPr id="2050" name="Chart 2">
          <a:extLst>
            <a:ext uri="{FF2B5EF4-FFF2-40B4-BE49-F238E27FC236}">
              <a16:creationId xmlns:a16="http://schemas.microsoft.com/office/drawing/2014/main" id="{F5CE7C90-46C8-46C3-A319-976846B944C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209550</xdr:colOff>
      <xdr:row>3</xdr:row>
      <xdr:rowOff>114300</xdr:rowOff>
    </xdr:from>
    <xdr:to>
      <xdr:col>9</xdr:col>
      <xdr:colOff>0</xdr:colOff>
      <xdr:row>11</xdr:row>
      <xdr:rowOff>127000</xdr:rowOff>
    </xdr:to>
    <xdr:sp macro="" textlink="">
      <xdr:nvSpPr>
        <xdr:cNvPr id="2051" name="Text Box 3">
          <a:extLst>
            <a:ext uri="{FF2B5EF4-FFF2-40B4-BE49-F238E27FC236}">
              <a16:creationId xmlns:a16="http://schemas.microsoft.com/office/drawing/2014/main" id="{48079C57-CC02-4106-8CA3-727C9DF58C4B}"/>
            </a:ext>
          </a:extLst>
        </xdr:cNvPr>
        <xdr:cNvSpPr txBox="1">
          <a:spLocks noChangeArrowheads="1"/>
        </xdr:cNvSpPr>
      </xdr:nvSpPr>
      <xdr:spPr bwMode="auto">
        <a:xfrm>
          <a:off x="3270250" y="609600"/>
          <a:ext cx="3200400" cy="13335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GB" sz="900" b="0" i="0" u="none" strike="noStrike" baseline="0">
              <a:solidFill>
                <a:srgbClr val="000000"/>
              </a:solidFill>
              <a:latin typeface="Geneva"/>
            </a:rPr>
            <a:t>Colums A:    year given in book</a:t>
          </a:r>
        </a:p>
        <a:p>
          <a:pPr algn="l" rtl="0">
            <a:defRPr sz="1000"/>
          </a:pPr>
          <a:r>
            <a:rPr lang="en-GB" sz="900" b="0" i="0" u="none" strike="noStrike" baseline="0">
              <a:solidFill>
                <a:srgbClr val="000000"/>
              </a:solidFill>
              <a:latin typeface="Geneva"/>
            </a:rPr>
            <a:t>Column B:    B2:   =A2-1650</a:t>
          </a:r>
        </a:p>
        <a:p>
          <a:pPr algn="l" rtl="0">
            <a:defRPr sz="1000"/>
          </a:pPr>
          <a:r>
            <a:rPr lang="en-GB" sz="900" b="0" i="0" u="none" strike="noStrike" baseline="0">
              <a:solidFill>
                <a:srgbClr val="000000"/>
              </a:solidFill>
              <a:latin typeface="Geneva"/>
            </a:rPr>
            <a:t>Column C:   population from book</a:t>
          </a:r>
        </a:p>
        <a:p>
          <a:pPr algn="l" rtl="0">
            <a:defRPr sz="1000"/>
          </a:pPr>
          <a:r>
            <a:rPr lang="en-GB" sz="900" b="0" i="0" u="none" strike="noStrike" baseline="0">
              <a:solidFill>
                <a:srgbClr val="000000"/>
              </a:solidFill>
              <a:latin typeface="Geneva"/>
            </a:rPr>
            <a:t>Column D:   population from book, scientific notation</a:t>
          </a:r>
        </a:p>
        <a:p>
          <a:pPr algn="l" rtl="0">
            <a:defRPr sz="1000"/>
          </a:pPr>
          <a:endParaRPr lang="en-GB" sz="900" b="0" i="0" u="none" strike="noStrike" baseline="0">
            <a:solidFill>
              <a:srgbClr val="000000"/>
            </a:solidFill>
            <a:latin typeface="Geneva"/>
          </a:endParaRPr>
        </a:p>
        <a:p>
          <a:pPr algn="l" rtl="0">
            <a:defRPr sz="1000"/>
          </a:pPr>
          <a:r>
            <a:rPr lang="en-GB" sz="900" b="0" i="0" u="none" strike="noStrike" baseline="0">
              <a:solidFill>
                <a:srgbClr val="000000"/>
              </a:solidFill>
              <a:latin typeface="Geneva"/>
            </a:rPr>
            <a:t>Chart 1:   x-values: year given in book, scale starts at 1650</a:t>
          </a:r>
        </a:p>
        <a:p>
          <a:pPr algn="l" rtl="0">
            <a:defRPr sz="1000"/>
          </a:pPr>
          <a:r>
            <a:rPr lang="en-GB" sz="900" b="0" i="0" u="none" strike="noStrike" baseline="0">
              <a:solidFill>
                <a:srgbClr val="000000"/>
              </a:solidFill>
              <a:latin typeface="Geneva"/>
            </a:rPr>
            <a:t>Chart 2:   x-values: year minus 1650; scale starts at 0;</a:t>
          </a:r>
        </a:p>
        <a:p>
          <a:pPr algn="l" rtl="0">
            <a:defRPr sz="1000"/>
          </a:pPr>
          <a:r>
            <a:rPr lang="en-GB" sz="900" b="0" i="0" u="none" strike="noStrike" baseline="0">
              <a:solidFill>
                <a:srgbClr val="000000"/>
              </a:solidFill>
              <a:latin typeface="Geneva"/>
            </a:rPr>
            <a:t>Notice: the powers are the same. Why?</a:t>
          </a:r>
        </a:p>
        <a:p>
          <a:pPr algn="l" rtl="0">
            <a:defRPr sz="1000"/>
          </a:pPr>
          <a:endParaRPr lang="en-GB" sz="900" b="0" i="0" u="none" strike="noStrike" baseline="0">
            <a:solidFill>
              <a:srgbClr val="000000"/>
            </a:solidFill>
            <a:latin typeface="Geneva"/>
          </a:endParaRPr>
        </a:p>
      </xdr:txBody>
    </xdr:sp>
    <xdr:clientData/>
  </xdr:twoCellAnchor>
  <xdr:twoCellAnchor>
    <xdr:from>
      <xdr:col>9</xdr:col>
      <xdr:colOff>114300</xdr:colOff>
      <xdr:row>25</xdr:row>
      <xdr:rowOff>44450</xdr:rowOff>
    </xdr:from>
    <xdr:to>
      <xdr:col>12</xdr:col>
      <xdr:colOff>749300</xdr:colOff>
      <xdr:row>34</xdr:row>
      <xdr:rowOff>57150</xdr:rowOff>
    </xdr:to>
    <xdr:sp macro="" textlink="">
      <xdr:nvSpPr>
        <xdr:cNvPr id="2052" name="Text Box 4">
          <a:extLst>
            <a:ext uri="{FF2B5EF4-FFF2-40B4-BE49-F238E27FC236}">
              <a16:creationId xmlns:a16="http://schemas.microsoft.com/office/drawing/2014/main" id="{782EAF53-2788-4CA6-AAE4-155A41325906}"/>
            </a:ext>
          </a:extLst>
        </xdr:cNvPr>
        <xdr:cNvSpPr txBox="1">
          <a:spLocks noChangeArrowheads="1"/>
        </xdr:cNvSpPr>
      </xdr:nvSpPr>
      <xdr:spPr bwMode="auto">
        <a:xfrm>
          <a:off x="6584950" y="4000500"/>
          <a:ext cx="3009900" cy="13271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lnSpc>
              <a:spcPts val="900"/>
            </a:lnSpc>
            <a:defRPr sz="1000"/>
          </a:pPr>
          <a:r>
            <a:rPr lang="en-GB" sz="900" b="0" i="0" u="none" strike="noStrike" baseline="0">
              <a:solidFill>
                <a:srgbClr val="000000"/>
              </a:solidFill>
              <a:latin typeface="Geneva"/>
            </a:rPr>
            <a:t>Column J:   year starting with 1980 (my choice)</a:t>
          </a:r>
        </a:p>
        <a:p>
          <a:pPr algn="l" rtl="0">
            <a:lnSpc>
              <a:spcPts val="900"/>
            </a:lnSpc>
            <a:defRPr sz="1000"/>
          </a:pPr>
          <a:r>
            <a:rPr lang="en-GB" sz="900" b="0" i="0" u="none" strike="noStrike" baseline="0">
              <a:solidFill>
                <a:srgbClr val="000000"/>
              </a:solidFill>
              <a:latin typeface="Geneva"/>
            </a:rPr>
            <a:t>Column K:  K2:    =J2-1980</a:t>
          </a:r>
        </a:p>
        <a:p>
          <a:pPr algn="l" rtl="0">
            <a:lnSpc>
              <a:spcPts val="900"/>
            </a:lnSpc>
            <a:defRPr sz="1000"/>
          </a:pPr>
          <a:endParaRPr lang="en-GB" sz="900" b="0" i="0" u="none" strike="noStrike" baseline="0">
            <a:solidFill>
              <a:srgbClr val="000000"/>
            </a:solidFill>
            <a:latin typeface="Geneva"/>
          </a:endParaRPr>
        </a:p>
        <a:p>
          <a:pPr algn="l" rtl="0">
            <a:lnSpc>
              <a:spcPts val="900"/>
            </a:lnSpc>
            <a:defRPr sz="1000"/>
          </a:pPr>
          <a:r>
            <a:rPr lang="en-GB" sz="900" b="0" i="0" u="none" strike="noStrike" baseline="0">
              <a:solidFill>
                <a:srgbClr val="000000"/>
              </a:solidFill>
              <a:latin typeface="Geneva"/>
            </a:rPr>
            <a:t>Column L:  x-valus in column J, coeffient in G2, power in H2</a:t>
          </a:r>
        </a:p>
        <a:p>
          <a:pPr algn="l" rtl="0">
            <a:defRPr sz="1000"/>
          </a:pPr>
          <a:r>
            <a:rPr lang="en-GB" sz="900" b="0" i="0" u="none" strike="noStrike" baseline="0">
              <a:solidFill>
                <a:srgbClr val="000000"/>
              </a:solidFill>
              <a:latin typeface="Geneva"/>
            </a:rPr>
            <a:t>L2:   =G$2*EXP(H$2*J2)</a:t>
          </a:r>
        </a:p>
        <a:p>
          <a:pPr algn="l" rtl="0">
            <a:lnSpc>
              <a:spcPts val="900"/>
            </a:lnSpc>
            <a:defRPr sz="1000"/>
          </a:pPr>
          <a:endParaRPr lang="en-GB" sz="900" b="0" i="0" u="none" strike="noStrike" baseline="0">
            <a:solidFill>
              <a:srgbClr val="000000"/>
            </a:solidFill>
            <a:latin typeface="Geneva"/>
          </a:endParaRPr>
        </a:p>
        <a:p>
          <a:pPr algn="l" rtl="0">
            <a:lnSpc>
              <a:spcPts val="900"/>
            </a:lnSpc>
            <a:defRPr sz="1000"/>
          </a:pPr>
          <a:r>
            <a:rPr lang="en-GB" sz="900" b="0" i="0" u="none" strike="noStrike" baseline="0">
              <a:solidFill>
                <a:srgbClr val="000000"/>
              </a:solidFill>
              <a:latin typeface="Geneva"/>
            </a:rPr>
            <a:t>Column M:   x-valus in column K, coeffient in G3, power in H3</a:t>
          </a:r>
        </a:p>
        <a:p>
          <a:pPr algn="l" rtl="0">
            <a:defRPr sz="1000"/>
          </a:pPr>
          <a:r>
            <a:rPr lang="en-GB" sz="900" b="0" i="0" u="none" strike="noStrike" baseline="0">
              <a:solidFill>
                <a:srgbClr val="000000"/>
              </a:solidFill>
              <a:latin typeface="Geneva"/>
            </a:rPr>
            <a:t>M2:   =G$3*EXP(H$3*K2)</a:t>
          </a:r>
        </a:p>
        <a:p>
          <a:pPr algn="l" rtl="0">
            <a:lnSpc>
              <a:spcPts val="900"/>
            </a:lnSpc>
            <a:defRPr sz="1000"/>
          </a:pPr>
          <a:r>
            <a:rPr lang="en-GB" sz="900" b="0" i="0" u="none" strike="noStrike" baseline="0">
              <a:solidFill>
                <a:srgbClr val="000000"/>
              </a:solidFill>
              <a:latin typeface="Geneva"/>
            </a:rPr>
            <a:t>Compare:  coefficient and value in M2!!</a:t>
          </a:r>
        </a:p>
      </xdr:txBody>
    </xdr:sp>
    <xdr:clientData/>
  </xdr:twoCellAnchor>
  <xdr:twoCellAnchor>
    <xdr:from>
      <xdr:col>14</xdr:col>
      <xdr:colOff>114300</xdr:colOff>
      <xdr:row>7</xdr:row>
      <xdr:rowOff>12700</xdr:rowOff>
    </xdr:from>
    <xdr:to>
      <xdr:col>18</xdr:col>
      <xdr:colOff>139700</xdr:colOff>
      <xdr:row>26</xdr:row>
      <xdr:rowOff>0</xdr:rowOff>
    </xdr:to>
    <xdr:sp macro="" textlink="">
      <xdr:nvSpPr>
        <xdr:cNvPr id="2053" name="Text Box 5">
          <a:extLst>
            <a:ext uri="{FF2B5EF4-FFF2-40B4-BE49-F238E27FC236}">
              <a16:creationId xmlns:a16="http://schemas.microsoft.com/office/drawing/2014/main" id="{A80F91CC-01C5-48FA-9F6F-FA72AEB4D3F1}"/>
            </a:ext>
          </a:extLst>
        </xdr:cNvPr>
        <xdr:cNvSpPr txBox="1">
          <a:spLocks noChangeArrowheads="1"/>
        </xdr:cNvSpPr>
      </xdr:nvSpPr>
      <xdr:spPr bwMode="auto">
        <a:xfrm>
          <a:off x="10648950" y="1168400"/>
          <a:ext cx="2768600" cy="29337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GB" sz="900" b="0" i="0" u="none" strike="noStrike" baseline="0">
              <a:solidFill>
                <a:srgbClr val="000000"/>
              </a:solidFill>
              <a:latin typeface="Geneva"/>
            </a:rPr>
            <a:t>S2:   1650</a:t>
          </a:r>
        </a:p>
        <a:p>
          <a:pPr algn="l" rtl="0">
            <a:defRPr sz="1000"/>
          </a:pPr>
          <a:r>
            <a:rPr lang="en-GB" sz="900" b="0" i="0" u="none" strike="noStrike" baseline="0">
              <a:solidFill>
                <a:srgbClr val="000000"/>
              </a:solidFill>
              <a:latin typeface="Geneva"/>
            </a:rPr>
            <a:t>T2:   =S2-1650</a:t>
          </a:r>
        </a:p>
        <a:p>
          <a:pPr algn="l" rtl="0">
            <a:defRPr sz="1000"/>
          </a:pPr>
          <a:r>
            <a:rPr lang="en-GB" sz="900" b="0" i="0" u="none" strike="noStrike" baseline="0">
              <a:solidFill>
                <a:srgbClr val="000000"/>
              </a:solidFill>
              <a:latin typeface="Geneva"/>
            </a:rPr>
            <a:t>U2:   =P$2*EXP(Q$2*S2)</a:t>
          </a:r>
        </a:p>
        <a:p>
          <a:pPr algn="l" rtl="0">
            <a:defRPr sz="1000"/>
          </a:pPr>
          <a:r>
            <a:rPr lang="en-GB" sz="900" b="0" i="0" u="none" strike="noStrike" baseline="0">
              <a:solidFill>
                <a:srgbClr val="000000"/>
              </a:solidFill>
              <a:latin typeface="Geneva"/>
            </a:rPr>
            <a:t>V2:   =P$3*EXP(Q$3*T2)</a:t>
          </a:r>
        </a:p>
        <a:p>
          <a:pPr algn="l" rtl="0">
            <a:defRPr sz="1000"/>
          </a:pPr>
          <a:endParaRPr lang="en-GB" sz="900" b="0" i="0" u="none" strike="noStrike" baseline="0">
            <a:solidFill>
              <a:srgbClr val="000000"/>
            </a:solidFill>
            <a:latin typeface="Geneva"/>
          </a:endParaRPr>
        </a:p>
        <a:p>
          <a:pPr algn="l" rtl="0">
            <a:defRPr sz="1000"/>
          </a:pPr>
          <a:r>
            <a:rPr lang="en-GB" sz="900" b="0" i="0" u="none" strike="noStrike" baseline="0">
              <a:solidFill>
                <a:srgbClr val="000000"/>
              </a:solidFill>
              <a:latin typeface="Geneva"/>
            </a:rPr>
            <a:t>Procedure: </a:t>
          </a:r>
        </a:p>
        <a:p>
          <a:pPr algn="l" rtl="0">
            <a:defRPr sz="1000"/>
          </a:pPr>
          <a:endParaRPr lang="en-GB" sz="900" b="0" i="0" u="none" strike="noStrike" baseline="0">
            <a:solidFill>
              <a:srgbClr val="000000"/>
            </a:solidFill>
            <a:latin typeface="Geneva"/>
          </a:endParaRPr>
        </a:p>
        <a:p>
          <a:pPr algn="l" rtl="0">
            <a:defRPr sz="1000"/>
          </a:pPr>
          <a:r>
            <a:rPr lang="en-GB" sz="900" b="0" i="0" u="none" strike="noStrike" baseline="0">
              <a:solidFill>
                <a:srgbClr val="000000"/>
              </a:solidFill>
              <a:latin typeface="Geneva"/>
            </a:rPr>
            <a:t>Step 1. Enter coefficient into cell P3 so that we get the initial (given) population in year 1650.</a:t>
          </a:r>
        </a:p>
        <a:p>
          <a:pPr algn="l" rtl="0">
            <a:defRPr sz="1000"/>
          </a:pPr>
          <a:endParaRPr lang="en-GB" sz="900" b="0" i="0" u="none" strike="noStrike" baseline="0">
            <a:solidFill>
              <a:srgbClr val="000000"/>
            </a:solidFill>
            <a:latin typeface="Geneva"/>
          </a:endParaRPr>
        </a:p>
        <a:p>
          <a:pPr algn="l" rtl="0">
            <a:defRPr sz="1000"/>
          </a:pPr>
          <a:r>
            <a:rPr lang="en-GB" sz="900" b="0" i="0" u="none" strike="noStrike" baseline="0">
              <a:solidFill>
                <a:srgbClr val="000000"/>
              </a:solidFill>
              <a:latin typeface="Geneva"/>
            </a:rPr>
            <a:t>Step 2. Manipulate power in Q3 until population for year 1995 (in cell V12) matches the population given in book.</a:t>
          </a:r>
        </a:p>
        <a:p>
          <a:pPr algn="l" rtl="0">
            <a:defRPr sz="1000"/>
          </a:pPr>
          <a:endParaRPr lang="en-GB" sz="900" b="0" i="0" u="none" strike="noStrike" baseline="0">
            <a:solidFill>
              <a:srgbClr val="000000"/>
            </a:solidFill>
            <a:latin typeface="Geneva"/>
          </a:endParaRPr>
        </a:p>
        <a:p>
          <a:pPr algn="l" rtl="0">
            <a:defRPr sz="1000"/>
          </a:pPr>
          <a:r>
            <a:rPr lang="en-GB" sz="900" b="0" i="0" u="none" strike="noStrike" baseline="0">
              <a:solidFill>
                <a:srgbClr val="000000"/>
              </a:solidFill>
              <a:latin typeface="Geneva"/>
            </a:rPr>
            <a:t>Step 3. Copy power from Q3 to Q2.</a:t>
          </a:r>
        </a:p>
        <a:p>
          <a:pPr algn="l" rtl="0">
            <a:defRPr sz="1000"/>
          </a:pPr>
          <a:endParaRPr lang="en-GB" sz="900" b="0" i="0" u="none" strike="noStrike" baseline="0">
            <a:solidFill>
              <a:srgbClr val="000000"/>
            </a:solidFill>
            <a:latin typeface="Geneva"/>
          </a:endParaRPr>
        </a:p>
        <a:p>
          <a:pPr algn="l" rtl="0">
            <a:defRPr sz="1000"/>
          </a:pPr>
          <a:r>
            <a:rPr lang="en-GB" sz="900" b="0" i="0" u="none" strike="noStrike" baseline="0">
              <a:solidFill>
                <a:srgbClr val="000000"/>
              </a:solidFill>
              <a:latin typeface="Geneva"/>
            </a:rPr>
            <a:t>Step 4. Manipulate coefficient in P2 until population in U2 matches population for 1650 given in book.</a:t>
          </a:r>
        </a:p>
        <a:p>
          <a:pPr algn="l" rtl="0">
            <a:defRPr sz="1000"/>
          </a:pPr>
          <a:endParaRPr lang="en-GB" sz="900" b="0" i="0" u="none" strike="noStrike" baseline="0">
            <a:solidFill>
              <a:srgbClr val="000000"/>
            </a:solidFill>
            <a:latin typeface="Geneva"/>
          </a:endParaRPr>
        </a:p>
        <a:p>
          <a:pPr algn="l" rtl="0">
            <a:defRPr sz="1000"/>
          </a:pPr>
          <a:r>
            <a:rPr lang="en-GB" sz="900" b="0" i="0" u="none" strike="noStrike" baseline="0">
              <a:solidFill>
                <a:srgbClr val="000000"/>
              </a:solidFill>
              <a:latin typeface="Geneva"/>
            </a:rPr>
            <a:t>Step 5. Fill down until population is 1.7x10^15</a:t>
          </a:r>
        </a:p>
        <a:p>
          <a:pPr algn="l" rtl="0">
            <a:defRPr sz="1000"/>
          </a:pPr>
          <a:endParaRPr lang="en-GB" sz="900" b="0" i="0" u="none" strike="noStrike" baseline="0">
            <a:solidFill>
              <a:srgbClr val="000000"/>
            </a:solidFill>
            <a:latin typeface="Geneva"/>
          </a:endParaRPr>
        </a:p>
        <a:p>
          <a:pPr algn="l" rtl="0">
            <a:defRPr sz="1000"/>
          </a:pPr>
          <a:endParaRPr lang="en-GB" sz="900" b="0" i="0" u="none" strike="noStrike" baseline="0">
            <a:solidFill>
              <a:srgbClr val="000000"/>
            </a:solidFill>
            <a:latin typeface="Geneva"/>
          </a:endParaRPr>
        </a:p>
      </xdr:txBody>
    </xdr:sp>
    <xdr:clientData/>
  </xdr:twoCellAnchor>
  <xdr:twoCellAnchor>
    <xdr:from>
      <xdr:col>23</xdr:col>
      <xdr:colOff>44450</xdr:colOff>
      <xdr:row>14</xdr:row>
      <xdr:rowOff>12700</xdr:rowOff>
    </xdr:from>
    <xdr:to>
      <xdr:col>27</xdr:col>
      <xdr:colOff>654050</xdr:colOff>
      <xdr:row>29</xdr:row>
      <xdr:rowOff>101600</xdr:rowOff>
    </xdr:to>
    <xdr:sp macro="" textlink="">
      <xdr:nvSpPr>
        <xdr:cNvPr id="2054" name="Text Box 6">
          <a:extLst>
            <a:ext uri="{FF2B5EF4-FFF2-40B4-BE49-F238E27FC236}">
              <a16:creationId xmlns:a16="http://schemas.microsoft.com/office/drawing/2014/main" id="{2A935FF2-BF14-4A7F-9392-DC4A4AC2A15C}"/>
            </a:ext>
          </a:extLst>
        </xdr:cNvPr>
        <xdr:cNvSpPr txBox="1">
          <a:spLocks noChangeArrowheads="1"/>
        </xdr:cNvSpPr>
      </xdr:nvSpPr>
      <xdr:spPr bwMode="auto">
        <a:xfrm>
          <a:off x="17386300" y="2324100"/>
          <a:ext cx="3352800" cy="23177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GB" sz="900" b="0" i="0" u="none" strike="noStrike" baseline="0">
              <a:solidFill>
                <a:srgbClr val="000000"/>
              </a:solidFill>
              <a:latin typeface="Geneva"/>
            </a:rPr>
            <a:t>As you can see, our results--the year when the earth is full--depended on many choices:</a:t>
          </a:r>
        </a:p>
        <a:p>
          <a:pPr algn="l" rtl="0">
            <a:defRPr sz="1000"/>
          </a:pPr>
          <a:r>
            <a:rPr lang="en-GB" sz="900" b="0" i="0" u="none" strike="noStrike" baseline="0">
              <a:solidFill>
                <a:srgbClr val="000000"/>
              </a:solidFill>
              <a:latin typeface="Geneva"/>
            </a:rPr>
            <a:t>the starting year, choice of coefficient and power, and the method used.</a:t>
          </a:r>
        </a:p>
        <a:p>
          <a:pPr algn="l" rtl="0">
            <a:defRPr sz="1000"/>
          </a:pPr>
          <a:endParaRPr lang="en-GB" sz="900" b="0" i="0" u="none" strike="noStrike" baseline="0">
            <a:solidFill>
              <a:srgbClr val="000000"/>
            </a:solidFill>
            <a:latin typeface="Geneva"/>
          </a:endParaRPr>
        </a:p>
        <a:p>
          <a:pPr algn="l" rtl="0">
            <a:defRPr sz="1000"/>
          </a:pPr>
          <a:r>
            <a:rPr lang="en-GB" sz="900" b="0" i="0" u="none" strike="noStrike" baseline="0">
              <a:solidFill>
                <a:srgbClr val="000000"/>
              </a:solidFill>
              <a:latin typeface="Geneva"/>
            </a:rPr>
            <a:t>Notice that I used the same method for both my estimations; what varied was the year I started with.</a:t>
          </a:r>
        </a:p>
        <a:p>
          <a:pPr algn="l" rtl="0">
            <a:defRPr sz="1000"/>
          </a:pPr>
          <a:endParaRPr lang="en-GB" sz="900" b="0" i="0" u="none" strike="noStrike" baseline="0">
            <a:solidFill>
              <a:srgbClr val="000000"/>
            </a:solidFill>
            <a:latin typeface="Geneva"/>
          </a:endParaRPr>
        </a:p>
        <a:p>
          <a:pPr algn="l" rtl="0">
            <a:defRPr sz="1000"/>
          </a:pPr>
          <a:r>
            <a:rPr lang="en-GB" sz="900" b="0" i="0" u="none" strike="noStrike" baseline="0">
              <a:solidFill>
                <a:srgbClr val="000000"/>
              </a:solidFill>
              <a:latin typeface="Geneva"/>
            </a:rPr>
            <a:t>On the other hand, if people used the same starting year but different methods, they got different results. </a:t>
          </a:r>
        </a:p>
        <a:p>
          <a:pPr algn="l" rtl="0">
            <a:defRPr sz="1000"/>
          </a:pPr>
          <a:endParaRPr lang="en-GB" sz="900" b="0" i="0" u="none" strike="noStrike" baseline="0">
            <a:solidFill>
              <a:srgbClr val="000000"/>
            </a:solidFill>
            <a:latin typeface="Geneva"/>
          </a:endParaRPr>
        </a:p>
        <a:p>
          <a:pPr algn="l" rtl="0">
            <a:defRPr sz="1000"/>
          </a:pPr>
          <a:r>
            <a:rPr lang="en-GB" sz="900" b="0" i="0" u="none" strike="noStrike" baseline="0">
              <a:solidFill>
                <a:srgbClr val="000000"/>
              </a:solidFill>
              <a:latin typeface="Geneva"/>
            </a:rPr>
            <a:t>Corrie, Elizabeth, Mathew, and Julie &amp; Amy came up with the same year (3679) but have different starting years and/or different coefficients and powers. Any explanations? Are they right because they have the most popular answer?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9"/>
  <sheetViews>
    <sheetView tabSelected="1" workbookViewId="0">
      <pane xSplit="1" ySplit="1" topLeftCell="C17" activePane="bottomRight" state="frozen"/>
      <selection pane="topRight" activeCell="B1" sqref="B1"/>
      <selection pane="bottomLeft" activeCell="A2" sqref="A2"/>
      <selection pane="bottomRight" activeCell="C37" sqref="C37"/>
    </sheetView>
  </sheetViews>
  <sheetFormatPr defaultRowHeight="18"/>
  <cols>
    <col min="1" max="1" width="10.796875" style="8" customWidth="1"/>
    <col min="2" max="2" width="33.796875" style="8" customWidth="1"/>
    <col min="3" max="3" width="20" style="8" customWidth="1"/>
    <col min="4" max="8" width="11.19921875" customWidth="1"/>
    <col min="9" max="9" width="10.796875" style="3" customWidth="1"/>
    <col min="10" max="10" width="16.69921875" style="4" customWidth="1"/>
    <col min="11" max="256" width="11.19921875" customWidth="1"/>
  </cols>
  <sheetData>
    <row r="1" spans="1:11" s="2" customFormat="1" ht="23">
      <c r="A1" s="5" t="s">
        <v>0</v>
      </c>
      <c r="B1" s="5" t="s">
        <v>1</v>
      </c>
      <c r="C1" s="5"/>
      <c r="F1" s="10" t="s">
        <v>5</v>
      </c>
      <c r="G1" s="10" t="s">
        <v>4</v>
      </c>
      <c r="I1" s="5" t="s">
        <v>2</v>
      </c>
      <c r="J1" s="5" t="s">
        <v>3</v>
      </c>
    </row>
    <row r="2" spans="1:11" s="1" customFormat="1" ht="23">
      <c r="A2" s="3">
        <v>1650</v>
      </c>
      <c r="B2" s="6">
        <v>470000000</v>
      </c>
      <c r="C2" s="7">
        <v>470000000</v>
      </c>
      <c r="F2" s="9">
        <v>1883.6</v>
      </c>
      <c r="G2" s="9">
        <v>7.4000000000000003E-3</v>
      </c>
      <c r="I2" s="3">
        <v>1980</v>
      </c>
      <c r="J2" s="4">
        <f>F$2*EXP(G$2*I2)</f>
        <v>4347818745.067276</v>
      </c>
      <c r="K2"/>
    </row>
    <row r="3" spans="1:11" s="1" customFormat="1" ht="23">
      <c r="A3" s="3">
        <v>1750</v>
      </c>
      <c r="B3" s="6">
        <v>694000000</v>
      </c>
      <c r="C3" s="7">
        <v>694000000</v>
      </c>
      <c r="I3" s="3">
        <f>5+I2</f>
        <v>1985</v>
      </c>
      <c r="J3" s="4">
        <f t="shared" ref="J3:J29" si="0">F$2*EXP(G$2*I3)</f>
        <v>4511701167.6256227</v>
      </c>
      <c r="K3"/>
    </row>
    <row r="4" spans="1:11" s="1" customFormat="1" ht="23">
      <c r="A4" s="3">
        <v>1850</v>
      </c>
      <c r="B4" s="6">
        <v>1091000000</v>
      </c>
      <c r="C4" s="7">
        <v>1091000000</v>
      </c>
      <c r="I4" s="3">
        <f>5+I3</f>
        <v>1990</v>
      </c>
      <c r="J4" s="4">
        <f t="shared" si="0"/>
        <v>4681760813.7524757</v>
      </c>
      <c r="K4"/>
    </row>
    <row r="5" spans="1:11" s="1" customFormat="1" ht="23">
      <c r="A5" s="3">
        <v>1900</v>
      </c>
      <c r="B5" s="6">
        <v>1570000000</v>
      </c>
      <c r="C5" s="7">
        <v>1570000000</v>
      </c>
      <c r="I5" s="3">
        <f>5+I4</f>
        <v>1995</v>
      </c>
      <c r="J5" s="4">
        <f t="shared" si="0"/>
        <v>4858230521.6645107</v>
      </c>
      <c r="K5"/>
    </row>
    <row r="6" spans="1:11" s="1" customFormat="1" ht="23">
      <c r="A6" s="3">
        <v>1950</v>
      </c>
      <c r="B6" s="6">
        <v>2510000000</v>
      </c>
      <c r="C6" s="7">
        <v>2510000000</v>
      </c>
      <c r="I6" s="3">
        <f>5+I5</f>
        <v>2000</v>
      </c>
      <c r="J6" s="4">
        <f t="shared" si="0"/>
        <v>5041351905.9541864</v>
      </c>
      <c r="K6"/>
    </row>
    <row r="7" spans="1:11" s="1" customFormat="1" ht="23">
      <c r="A7" s="3">
        <v>1960</v>
      </c>
      <c r="B7" s="6">
        <v>3030000000</v>
      </c>
      <c r="C7" s="7">
        <v>3030000000</v>
      </c>
      <c r="I7" s="3">
        <f>5+I6</f>
        <v>2005</v>
      </c>
      <c r="J7" s="4">
        <f t="shared" si="0"/>
        <v>5231375688.3978043</v>
      </c>
      <c r="K7"/>
    </row>
    <row r="8" spans="1:11" s="1" customFormat="1" ht="23">
      <c r="A8" s="3">
        <v>1970</v>
      </c>
      <c r="B8" s="6">
        <v>3680000000</v>
      </c>
      <c r="C8" s="7">
        <v>3680000000</v>
      </c>
      <c r="I8" s="3">
        <f t="shared" ref="I8:I22" si="1">100+I7</f>
        <v>2105</v>
      </c>
      <c r="J8" s="4">
        <f t="shared" si="0"/>
        <v>10964626094.975344</v>
      </c>
      <c r="K8"/>
    </row>
    <row r="9" spans="1:11" s="1" customFormat="1" ht="23">
      <c r="A9" s="3">
        <v>1980</v>
      </c>
      <c r="B9" s="6">
        <v>4480000000</v>
      </c>
      <c r="C9" s="7">
        <v>4480000000</v>
      </c>
      <c r="I9" s="3">
        <f t="shared" si="1"/>
        <v>2205</v>
      </c>
      <c r="J9" s="4">
        <f t="shared" si="0"/>
        <v>22981149235.610489</v>
      </c>
      <c r="K9"/>
    </row>
    <row r="10" spans="1:11" s="1" customFormat="1" ht="23">
      <c r="A10" s="3">
        <v>1985</v>
      </c>
      <c r="B10" s="6">
        <v>4870000000</v>
      </c>
      <c r="C10" s="7">
        <v>4870000000</v>
      </c>
      <c r="I10" s="3">
        <f t="shared" si="1"/>
        <v>2305</v>
      </c>
      <c r="J10" s="4">
        <f t="shared" si="0"/>
        <v>48167006846.811142</v>
      </c>
      <c r="K10"/>
    </row>
    <row r="11" spans="1:11" s="1" customFormat="1" ht="23">
      <c r="A11" s="3">
        <v>1990</v>
      </c>
      <c r="B11" s="6">
        <v>5290000000</v>
      </c>
      <c r="C11" s="7">
        <v>5290000000</v>
      </c>
      <c r="I11" s="3">
        <f t="shared" si="1"/>
        <v>2405</v>
      </c>
      <c r="J11" s="4">
        <f t="shared" si="0"/>
        <v>100954940277.12453</v>
      </c>
      <c r="K11"/>
    </row>
    <row r="12" spans="1:11" s="1" customFormat="1" ht="23">
      <c r="A12" s="3">
        <v>1995</v>
      </c>
      <c r="B12" s="6">
        <v>5730000000</v>
      </c>
      <c r="C12" s="7">
        <v>5730000000</v>
      </c>
      <c r="I12" s="3">
        <f t="shared" si="1"/>
        <v>2505</v>
      </c>
      <c r="J12" s="4">
        <f t="shared" si="0"/>
        <v>211595044690.48328</v>
      </c>
      <c r="K12"/>
    </row>
    <row r="13" spans="1:11">
      <c r="I13" s="3">
        <f t="shared" si="1"/>
        <v>2605</v>
      </c>
      <c r="J13" s="4">
        <f t="shared" si="0"/>
        <v>443489568857.80542</v>
      </c>
    </row>
    <row r="14" spans="1:11">
      <c r="I14" s="3">
        <f t="shared" si="1"/>
        <v>2705</v>
      </c>
      <c r="J14" s="4">
        <f t="shared" si="0"/>
        <v>929525537676.86682</v>
      </c>
    </row>
    <row r="15" spans="1:11">
      <c r="I15" s="3">
        <f t="shared" si="1"/>
        <v>2805</v>
      </c>
      <c r="J15" s="4">
        <f t="shared" si="0"/>
        <v>1948225586046.4187</v>
      </c>
    </row>
    <row r="16" spans="1:11">
      <c r="I16" s="3">
        <f t="shared" si="1"/>
        <v>2905</v>
      </c>
      <c r="J16" s="4">
        <f t="shared" si="0"/>
        <v>4083355196041.2788</v>
      </c>
    </row>
    <row r="17" spans="9:11">
      <c r="I17" s="3">
        <f t="shared" si="1"/>
        <v>3005</v>
      </c>
      <c r="J17" s="4">
        <f t="shared" si="0"/>
        <v>8558449173678.0332</v>
      </c>
    </row>
    <row r="18" spans="9:11">
      <c r="I18" s="3">
        <f t="shared" si="1"/>
        <v>3105</v>
      </c>
      <c r="J18" s="4">
        <f t="shared" si="0"/>
        <v>17937957572106.707</v>
      </c>
    </row>
    <row r="19" spans="9:11">
      <c r="I19" s="3">
        <f t="shared" si="1"/>
        <v>3205</v>
      </c>
      <c r="J19" s="4">
        <f t="shared" si="0"/>
        <v>37596802332871.633</v>
      </c>
      <c r="K19" s="3"/>
    </row>
    <row r="20" spans="9:11">
      <c r="I20" s="3">
        <f t="shared" si="1"/>
        <v>3305</v>
      </c>
      <c r="J20" s="4">
        <f t="shared" si="0"/>
        <v>78800473240890.109</v>
      </c>
    </row>
    <row r="21" spans="9:11">
      <c r="I21" s="3">
        <f t="shared" si="1"/>
        <v>3405</v>
      </c>
      <c r="J21" s="4">
        <f t="shared" si="0"/>
        <v>165160710424544.72</v>
      </c>
    </row>
    <row r="22" spans="9:11">
      <c r="I22" s="3">
        <f t="shared" si="1"/>
        <v>3505</v>
      </c>
      <c r="J22" s="4">
        <f t="shared" si="0"/>
        <v>346166198577922.38</v>
      </c>
    </row>
    <row r="23" spans="9:11">
      <c r="I23" s="3">
        <f>100+I22</f>
        <v>3605</v>
      </c>
      <c r="J23" s="4">
        <f t="shared" si="0"/>
        <v>725542029516975</v>
      </c>
    </row>
    <row r="24" spans="9:11">
      <c r="I24" s="3">
        <f>100+I23</f>
        <v>3705</v>
      </c>
      <c r="J24" s="4">
        <f t="shared" si="0"/>
        <v>1520689306922949.5</v>
      </c>
    </row>
    <row r="25" spans="9:11">
      <c r="I25" s="3">
        <f>5+I24</f>
        <v>3710</v>
      </c>
      <c r="J25" s="4">
        <f t="shared" si="0"/>
        <v>1578008680657157.3</v>
      </c>
    </row>
    <row r="26" spans="9:11">
      <c r="I26" s="3">
        <f>5+I25</f>
        <v>3715</v>
      </c>
      <c r="J26" s="4">
        <f t="shared" si="0"/>
        <v>1637488594739958.8</v>
      </c>
    </row>
    <row r="27" spans="9:11">
      <c r="I27" s="3">
        <f>5+I26</f>
        <v>3720</v>
      </c>
      <c r="J27" s="4">
        <f t="shared" si="0"/>
        <v>1699210486463741</v>
      </c>
    </row>
    <row r="28" spans="9:11">
      <c r="I28" s="3">
        <f>5+I27</f>
        <v>3725</v>
      </c>
      <c r="J28" s="4">
        <f t="shared" si="0"/>
        <v>1763258862738432</v>
      </c>
    </row>
    <row r="29" spans="9:11">
      <c r="I29" s="3">
        <f>5+I28</f>
        <v>3730</v>
      </c>
      <c r="J29" s="4">
        <f t="shared" si="0"/>
        <v>1829721415794695.3</v>
      </c>
    </row>
  </sheetData>
  <printOptions headings="1" gridLines="1"/>
  <pageMargins left="0.75" right="0.75" top="1" bottom="1" header="0.5" footer="0.5"/>
  <pageSetup paperSize="0" orientation="portrait" horizontalDpi="4294967292" verticalDpi="4294967292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60"/>
  <sheetViews>
    <sheetView zoomScaleNormal="100" workbookViewId="0">
      <selection activeCell="B63" sqref="B63"/>
    </sheetView>
  </sheetViews>
  <sheetFormatPr defaultRowHeight="11.5"/>
  <cols>
    <col min="1" max="2" width="10.796875" style="16" customWidth="1"/>
    <col min="3" max="3" width="16.796875" style="16" customWidth="1"/>
    <col min="4" max="4" width="9.796875" style="17" bestFit="1" customWidth="1"/>
    <col min="5" max="5" width="9.796875" style="17" customWidth="1"/>
    <col min="6" max="6" width="10.796875" style="17" customWidth="1"/>
    <col min="7" max="8" width="10.796875" style="16" customWidth="1"/>
    <col min="9" max="9" width="11.5" style="16" customWidth="1"/>
    <col min="10" max="11" width="10.796875" style="16" customWidth="1"/>
    <col min="12" max="13" width="15.796875" style="21" customWidth="1"/>
    <col min="14" max="20" width="10.796875" style="16" customWidth="1"/>
    <col min="21" max="22" width="15.796875" style="21" customWidth="1"/>
    <col min="23" max="46" width="10.796875" style="16" customWidth="1"/>
    <col min="47" max="256" width="11.19921875" customWidth="1"/>
  </cols>
  <sheetData>
    <row r="1" spans="1:46" s="2" customFormat="1" ht="13" customHeight="1">
      <c r="A1" s="13" t="s">
        <v>0</v>
      </c>
      <c r="B1" s="13" t="s">
        <v>7</v>
      </c>
      <c r="C1" s="13" t="s">
        <v>1</v>
      </c>
      <c r="D1" s="18"/>
      <c r="E1" s="18"/>
      <c r="F1" s="12"/>
      <c r="G1" s="13" t="s">
        <v>5</v>
      </c>
      <c r="H1" s="13" t="s">
        <v>4</v>
      </c>
      <c r="I1" s="11"/>
      <c r="J1" s="13" t="s">
        <v>0</v>
      </c>
      <c r="K1" s="13" t="s">
        <v>8</v>
      </c>
      <c r="L1" s="24" t="s">
        <v>6</v>
      </c>
      <c r="M1" s="24"/>
      <c r="N1" s="13"/>
      <c r="O1" s="13"/>
      <c r="P1" s="13" t="s">
        <v>11</v>
      </c>
      <c r="Q1" s="13" t="s">
        <v>12</v>
      </c>
      <c r="R1" s="13"/>
      <c r="S1" s="13" t="s">
        <v>0</v>
      </c>
      <c r="T1" s="13" t="s">
        <v>13</v>
      </c>
      <c r="U1" s="24" t="s">
        <v>6</v>
      </c>
      <c r="V1" s="24"/>
      <c r="W1" s="13"/>
      <c r="X1" s="25" t="s">
        <v>26</v>
      </c>
      <c r="Y1" s="25"/>
      <c r="Z1" s="25"/>
      <c r="AA1" s="25"/>
      <c r="AB1" s="25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</row>
    <row r="2" spans="1:46" s="1" customFormat="1" ht="13" customHeight="1">
      <c r="A2" s="16">
        <v>1650</v>
      </c>
      <c r="B2" s="16">
        <f>A2-1650</f>
        <v>0</v>
      </c>
      <c r="C2" s="19">
        <v>470000000</v>
      </c>
      <c r="D2" s="17">
        <v>470000000</v>
      </c>
      <c r="E2" s="17"/>
      <c r="F2" s="20" t="s">
        <v>9</v>
      </c>
      <c r="G2" s="16">
        <v>3.4691999999999999E-5</v>
      </c>
      <c r="H2" s="16">
        <v>1.6410000000000001E-2</v>
      </c>
      <c r="I2" s="14"/>
      <c r="J2" s="16">
        <v>1980</v>
      </c>
      <c r="K2" s="16">
        <f t="shared" ref="K2:K29" si="0">J2-1980</f>
        <v>0</v>
      </c>
      <c r="L2" s="21">
        <f t="shared" ref="L2:L29" si="1">G$2*EXP(H$2*J2)</f>
        <v>4479595346.5273142</v>
      </c>
      <c r="M2" s="21">
        <f t="shared" ref="M2:M29" si="2">G$3*EXP(H$3*K2)</f>
        <v>4480000000</v>
      </c>
      <c r="N2" s="16"/>
      <c r="O2" s="16" t="s">
        <v>14</v>
      </c>
      <c r="P2" s="21">
        <v>3005.5</v>
      </c>
      <c r="Q2" s="16">
        <v>7.2484999999999997E-3</v>
      </c>
      <c r="R2" s="16"/>
      <c r="S2" s="16">
        <v>1650</v>
      </c>
      <c r="T2" s="16">
        <f>S2-1650</f>
        <v>0</v>
      </c>
      <c r="U2" s="21">
        <f>P$2*EXP(Q$2*S2)</f>
        <v>469991055.89619821</v>
      </c>
      <c r="V2" s="21">
        <f>P$3*EXP(Q$3*T2)</f>
        <v>470000000</v>
      </c>
      <c r="W2" s="16"/>
      <c r="X2" s="23" t="s">
        <v>15</v>
      </c>
      <c r="Y2" s="23" t="s">
        <v>16</v>
      </c>
      <c r="Z2" s="23" t="s">
        <v>4</v>
      </c>
      <c r="AA2" s="23" t="s">
        <v>19</v>
      </c>
      <c r="AB2" s="23" t="s">
        <v>20</v>
      </c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  <c r="AO2" s="16"/>
      <c r="AP2" s="16"/>
      <c r="AQ2" s="16"/>
      <c r="AR2" s="16"/>
      <c r="AS2" s="16"/>
      <c r="AT2" s="16"/>
    </row>
    <row r="3" spans="1:46" s="1" customFormat="1" ht="13" customHeight="1">
      <c r="A3" s="16">
        <v>1750</v>
      </c>
      <c r="B3" s="16">
        <f t="shared" ref="B3:B12" si="3">A3-1650</f>
        <v>100</v>
      </c>
      <c r="C3" s="19">
        <v>694000000</v>
      </c>
      <c r="D3" s="17">
        <v>694000000</v>
      </c>
      <c r="E3" s="17"/>
      <c r="F3" s="17" t="s">
        <v>10</v>
      </c>
      <c r="G3" s="17">
        <v>4480000000</v>
      </c>
      <c r="H3" s="16">
        <v>1.6410000000000001E-2</v>
      </c>
      <c r="I3" s="14"/>
      <c r="J3" s="16">
        <f>5+J2</f>
        <v>1985</v>
      </c>
      <c r="K3" s="16">
        <f t="shared" si="0"/>
        <v>5</v>
      </c>
      <c r="L3" s="21">
        <f t="shared" si="1"/>
        <v>4862645920.791296</v>
      </c>
      <c r="M3" s="21">
        <f t="shared" si="2"/>
        <v>4863085176.2164354</v>
      </c>
      <c r="N3" s="16"/>
      <c r="O3" s="16" t="s">
        <v>10</v>
      </c>
      <c r="P3" s="21">
        <v>470000000</v>
      </c>
      <c r="Q3" s="16">
        <v>7.2484999999999997E-3</v>
      </c>
      <c r="R3" s="16"/>
      <c r="S3" s="16">
        <v>1750</v>
      </c>
      <c r="T3" s="16">
        <f t="shared" ref="T3:T41" si="4">S3-1650</f>
        <v>100</v>
      </c>
      <c r="U3" s="21">
        <f t="shared" ref="U3:U12" si="5">P$2*EXP(Q$2*S3)</f>
        <v>970259599.95900774</v>
      </c>
      <c r="V3" s="21">
        <f t="shared" ref="V3:V12" si="6">P$3*EXP(Q$3*T3)</f>
        <v>970278064.35842097</v>
      </c>
      <c r="W3" s="16"/>
      <c r="X3" s="16" t="s">
        <v>18</v>
      </c>
      <c r="Y3" s="16">
        <v>1889.9896000000001</v>
      </c>
      <c r="Z3" s="16">
        <v>0.74810299999999996</v>
      </c>
      <c r="AA3" s="16">
        <v>1650</v>
      </c>
      <c r="AB3" s="16">
        <v>3680</v>
      </c>
      <c r="AC3" s="16"/>
      <c r="AD3" s="16"/>
      <c r="AE3" s="16"/>
      <c r="AF3" s="16"/>
      <c r="AG3" s="16"/>
      <c r="AH3" s="16"/>
      <c r="AI3" s="16"/>
      <c r="AJ3" s="16"/>
      <c r="AK3" s="16"/>
      <c r="AL3" s="16"/>
      <c r="AM3" s="16"/>
      <c r="AN3" s="16"/>
      <c r="AO3" s="16"/>
      <c r="AP3" s="16"/>
      <c r="AQ3" s="16"/>
      <c r="AR3" s="16"/>
      <c r="AS3" s="16"/>
      <c r="AT3" s="16"/>
    </row>
    <row r="4" spans="1:46" s="1" customFormat="1" ht="13" customHeight="1">
      <c r="A4" s="16">
        <v>1850</v>
      </c>
      <c r="B4" s="16">
        <f t="shared" si="3"/>
        <v>200</v>
      </c>
      <c r="C4" s="19">
        <v>1091000000</v>
      </c>
      <c r="D4" s="17">
        <v>1091000000</v>
      </c>
      <c r="E4" s="17"/>
      <c r="F4" s="15"/>
      <c r="G4" s="14"/>
      <c r="H4" s="14"/>
      <c r="I4" s="14"/>
      <c r="J4" s="16">
        <f>5+J3</f>
        <v>1990</v>
      </c>
      <c r="K4" s="16">
        <f t="shared" si="0"/>
        <v>10</v>
      </c>
      <c r="L4" s="21">
        <f t="shared" si="1"/>
        <v>5278451181.8280191</v>
      </c>
      <c r="M4" s="21">
        <f t="shared" si="2"/>
        <v>5278927998.0214367</v>
      </c>
      <c r="N4" s="16"/>
      <c r="O4" s="16"/>
      <c r="P4" s="16"/>
      <c r="Q4" s="16"/>
      <c r="R4" s="16"/>
      <c r="S4" s="16">
        <v>1850</v>
      </c>
      <c r="T4" s="16">
        <f t="shared" si="4"/>
        <v>200</v>
      </c>
      <c r="U4" s="21">
        <f t="shared" si="5"/>
        <v>2003024694.8370252</v>
      </c>
      <c r="V4" s="21">
        <f t="shared" si="6"/>
        <v>2003062813.1385615</v>
      </c>
      <c r="W4" s="16"/>
      <c r="X4" s="16" t="s">
        <v>21</v>
      </c>
      <c r="Y4" s="16">
        <v>1883.6</v>
      </c>
      <c r="Z4" s="16">
        <v>7.4827000000000001E-3</v>
      </c>
      <c r="AA4" s="16">
        <v>1990</v>
      </c>
      <c r="AB4" s="16">
        <v>3679</v>
      </c>
      <c r="AC4" s="16"/>
      <c r="AD4" s="16"/>
      <c r="AE4" s="16"/>
      <c r="AF4" s="16"/>
      <c r="AG4" s="16"/>
      <c r="AH4" s="16"/>
      <c r="AI4" s="16"/>
      <c r="AJ4" s="16"/>
      <c r="AK4" s="16"/>
      <c r="AL4" s="16"/>
      <c r="AM4" s="16"/>
      <c r="AN4" s="16"/>
      <c r="AO4" s="16"/>
      <c r="AP4" s="16"/>
      <c r="AQ4" s="16"/>
      <c r="AR4" s="16"/>
      <c r="AS4" s="16"/>
      <c r="AT4" s="16"/>
    </row>
    <row r="5" spans="1:46" s="1" customFormat="1" ht="13" customHeight="1">
      <c r="A5" s="16">
        <v>1900</v>
      </c>
      <c r="B5" s="16">
        <f t="shared" si="3"/>
        <v>250</v>
      </c>
      <c r="C5" s="19">
        <v>1570000000</v>
      </c>
      <c r="D5" s="17">
        <v>1570000000</v>
      </c>
      <c r="E5" s="17"/>
      <c r="F5" s="15"/>
      <c r="G5" s="14"/>
      <c r="H5" s="14"/>
      <c r="I5" s="14"/>
      <c r="J5" s="14">
        <f>5+J4</f>
        <v>1995</v>
      </c>
      <c r="K5" s="14">
        <f t="shared" si="0"/>
        <v>15</v>
      </c>
      <c r="L5" s="22">
        <f t="shared" si="1"/>
        <v>5729811985.6540241</v>
      </c>
      <c r="M5" s="22">
        <f t="shared" si="2"/>
        <v>5730329574.4401693</v>
      </c>
      <c r="N5" s="16"/>
      <c r="O5" s="16"/>
      <c r="P5" s="16"/>
      <c r="Q5" s="16"/>
      <c r="R5" s="16"/>
      <c r="S5" s="16">
        <v>1900</v>
      </c>
      <c r="T5" s="16">
        <f t="shared" si="4"/>
        <v>250</v>
      </c>
      <c r="U5" s="21">
        <f t="shared" si="5"/>
        <v>2877964822.615623</v>
      </c>
      <c r="V5" s="21">
        <f t="shared" si="6"/>
        <v>2878019591.3517265</v>
      </c>
      <c r="W5" s="16"/>
      <c r="X5" s="16" t="s">
        <v>22</v>
      </c>
      <c r="Y5" s="16">
        <v>1883.6</v>
      </c>
      <c r="Z5" s="16">
        <v>7.4827443239999999E-3</v>
      </c>
      <c r="AA5" s="16">
        <v>1650</v>
      </c>
      <c r="AB5" s="16">
        <v>3679</v>
      </c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</row>
    <row r="6" spans="1:46" s="1" customFormat="1" ht="13" customHeight="1">
      <c r="A6" s="16">
        <v>1950</v>
      </c>
      <c r="B6" s="16">
        <f t="shared" si="3"/>
        <v>300</v>
      </c>
      <c r="C6" s="19">
        <v>2510000000</v>
      </c>
      <c r="D6" s="17">
        <v>2510000000</v>
      </c>
      <c r="E6" s="17"/>
      <c r="F6" s="15"/>
      <c r="G6" s="14"/>
      <c r="H6" s="14"/>
      <c r="I6" s="14"/>
      <c r="J6" s="16">
        <f>5+J5</f>
        <v>2000</v>
      </c>
      <c r="K6" s="16">
        <f t="shared" si="0"/>
        <v>20</v>
      </c>
      <c r="L6" s="21">
        <f t="shared" si="1"/>
        <v>6219768689.7190208</v>
      </c>
      <c r="M6" s="21">
        <f t="shared" si="2"/>
        <v>6220330537.5657635</v>
      </c>
      <c r="N6" s="16"/>
      <c r="O6" s="16"/>
      <c r="P6" s="16"/>
      <c r="Q6" s="16"/>
      <c r="R6" s="16"/>
      <c r="S6" s="16">
        <v>1950</v>
      </c>
      <c r="T6" s="16">
        <f t="shared" si="4"/>
        <v>300</v>
      </c>
      <c r="U6" s="21">
        <f t="shared" si="5"/>
        <v>4135087071.8480539</v>
      </c>
      <c r="V6" s="21">
        <f t="shared" si="6"/>
        <v>4135165764.0859928</v>
      </c>
      <c r="W6" s="16"/>
      <c r="X6" s="16" t="s">
        <v>17</v>
      </c>
      <c r="Y6" s="16">
        <v>1893.877072</v>
      </c>
      <c r="Z6" s="16">
        <v>7.4809999999999998E-3</v>
      </c>
      <c r="AA6" s="16">
        <v>1990</v>
      </c>
      <c r="AB6" s="16">
        <v>3679</v>
      </c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6"/>
    </row>
    <row r="7" spans="1:46" s="1" customFormat="1" ht="13" customHeight="1">
      <c r="A7" s="16">
        <v>1960</v>
      </c>
      <c r="B7" s="16">
        <f t="shared" si="3"/>
        <v>310</v>
      </c>
      <c r="C7" s="19">
        <v>3030000000</v>
      </c>
      <c r="D7" s="17">
        <v>3030000000</v>
      </c>
      <c r="E7" s="17"/>
      <c r="F7" s="15"/>
      <c r="G7" s="14"/>
      <c r="H7" s="14"/>
      <c r="I7" s="14"/>
      <c r="J7" s="16">
        <f>5+J6</f>
        <v>2005</v>
      </c>
      <c r="K7" s="16">
        <f t="shared" si="0"/>
        <v>25</v>
      </c>
      <c r="L7" s="21">
        <f t="shared" si="1"/>
        <v>6751621632.693697</v>
      </c>
      <c r="M7" s="21">
        <f t="shared" si="2"/>
        <v>6752231524.1969814</v>
      </c>
      <c r="N7" s="16"/>
      <c r="O7" s="16"/>
      <c r="P7" s="16"/>
      <c r="Q7" s="16"/>
      <c r="R7" s="16"/>
      <c r="S7" s="16">
        <v>1960</v>
      </c>
      <c r="T7" s="16">
        <f t="shared" si="4"/>
        <v>310</v>
      </c>
      <c r="U7" s="21">
        <f t="shared" si="5"/>
        <v>4445949182.4695244</v>
      </c>
      <c r="V7" s="21">
        <f t="shared" si="6"/>
        <v>4446033790.5285196</v>
      </c>
      <c r="W7" s="16"/>
      <c r="X7" s="16" t="s">
        <v>23</v>
      </c>
      <c r="Y7" s="16">
        <v>2482</v>
      </c>
      <c r="Z7" s="17">
        <v>7.3439999999999998E-3</v>
      </c>
      <c r="AA7" s="16">
        <v>1650</v>
      </c>
      <c r="AB7" s="16">
        <v>3717</v>
      </c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6"/>
    </row>
    <row r="8" spans="1:46" s="1" customFormat="1" ht="13" customHeight="1">
      <c r="A8" s="16">
        <v>1970</v>
      </c>
      <c r="B8" s="16">
        <f t="shared" si="3"/>
        <v>320</v>
      </c>
      <c r="C8" s="19">
        <v>3680000000</v>
      </c>
      <c r="D8" s="17">
        <v>3680000000</v>
      </c>
      <c r="E8" s="17"/>
      <c r="F8" s="15"/>
      <c r="G8" s="14"/>
      <c r="H8" s="14"/>
      <c r="I8" s="14"/>
      <c r="J8" s="16">
        <f t="shared" ref="J8:J14" si="7">100+J7</f>
        <v>2105</v>
      </c>
      <c r="K8" s="16">
        <f t="shared" si="0"/>
        <v>125</v>
      </c>
      <c r="L8" s="21">
        <f t="shared" si="1"/>
        <v>34840577161.685043</v>
      </c>
      <c r="M8" s="21">
        <f t="shared" si="2"/>
        <v>34843724401.435257</v>
      </c>
      <c r="N8" s="16"/>
      <c r="O8" s="16"/>
      <c r="P8" s="16"/>
      <c r="Q8" s="16"/>
      <c r="R8" s="16"/>
      <c r="S8" s="16">
        <v>1970</v>
      </c>
      <c r="T8" s="16">
        <f t="shared" si="4"/>
        <v>320</v>
      </c>
      <c r="U8" s="21">
        <f t="shared" si="5"/>
        <v>4780180873.982749</v>
      </c>
      <c r="V8" s="21">
        <f t="shared" si="6"/>
        <v>4780271842.5945845</v>
      </c>
      <c r="W8" s="16"/>
      <c r="X8" s="16" t="s">
        <v>24</v>
      </c>
      <c r="Y8" s="16">
        <v>2220</v>
      </c>
      <c r="Z8" s="16">
        <v>7.4000000000000003E-3</v>
      </c>
      <c r="AA8" s="16">
        <v>1995</v>
      </c>
      <c r="AB8" s="16">
        <v>3704</v>
      </c>
      <c r="AC8" s="16"/>
      <c r="AD8" s="16"/>
      <c r="AE8" s="16"/>
      <c r="AF8" s="16"/>
      <c r="AG8" s="16"/>
      <c r="AH8" s="16"/>
      <c r="AI8" s="16"/>
      <c r="AJ8" s="16"/>
      <c r="AK8" s="16"/>
      <c r="AL8" s="16"/>
      <c r="AM8" s="16"/>
      <c r="AN8" s="16"/>
      <c r="AO8" s="16"/>
      <c r="AP8" s="16"/>
      <c r="AQ8" s="16"/>
      <c r="AR8" s="16"/>
      <c r="AS8" s="16"/>
      <c r="AT8" s="16"/>
    </row>
    <row r="9" spans="1:46" s="1" customFormat="1" ht="13" customHeight="1">
      <c r="A9" s="16">
        <v>1980</v>
      </c>
      <c r="B9" s="16">
        <f t="shared" si="3"/>
        <v>330</v>
      </c>
      <c r="C9" s="19">
        <v>4480000000</v>
      </c>
      <c r="D9" s="17">
        <v>4480000000</v>
      </c>
      <c r="E9" s="17"/>
      <c r="F9" s="15"/>
      <c r="G9" s="14"/>
      <c r="H9" s="14"/>
      <c r="I9" s="14"/>
      <c r="J9" s="16">
        <f t="shared" si="7"/>
        <v>2205</v>
      </c>
      <c r="K9" s="16">
        <f t="shared" si="0"/>
        <v>225</v>
      </c>
      <c r="L9" s="21">
        <f t="shared" si="1"/>
        <v>179788780088.23383</v>
      </c>
      <c r="M9" s="21">
        <f t="shared" si="2"/>
        <v>179805020875.31155</v>
      </c>
      <c r="N9" s="16"/>
      <c r="O9" s="16"/>
      <c r="P9" s="16"/>
      <c r="Q9" s="16"/>
      <c r="R9" s="16"/>
      <c r="S9" s="16">
        <v>1980</v>
      </c>
      <c r="T9" s="16">
        <f t="shared" si="4"/>
        <v>330</v>
      </c>
      <c r="U9" s="21">
        <f t="shared" si="5"/>
        <v>5139538993.8528938</v>
      </c>
      <c r="V9" s="21">
        <f t="shared" si="6"/>
        <v>5139636801.1827965</v>
      </c>
      <c r="W9" s="16"/>
      <c r="X9" s="16" t="s">
        <v>25</v>
      </c>
      <c r="Y9" s="16">
        <v>1893.8770999999999</v>
      </c>
      <c r="Z9" s="16">
        <v>7.4799999999999997E-3</v>
      </c>
      <c r="AA9" s="16">
        <v>1650</v>
      </c>
      <c r="AB9" s="16">
        <v>3679</v>
      </c>
      <c r="AC9" s="16"/>
      <c r="AD9" s="16"/>
      <c r="AE9" s="16"/>
      <c r="AF9" s="16"/>
      <c r="AG9" s="16"/>
      <c r="AH9" s="16"/>
      <c r="AI9" s="16"/>
      <c r="AJ9" s="16"/>
      <c r="AK9" s="16"/>
      <c r="AL9" s="16"/>
      <c r="AM9" s="16"/>
      <c r="AN9" s="16"/>
      <c r="AO9" s="16"/>
      <c r="AP9" s="16"/>
      <c r="AQ9" s="16"/>
      <c r="AR9" s="16"/>
      <c r="AS9" s="16"/>
      <c r="AT9" s="16"/>
    </row>
    <row r="10" spans="1:46" s="1" customFormat="1" ht="13" customHeight="1">
      <c r="A10" s="16">
        <v>1985</v>
      </c>
      <c r="B10" s="16">
        <f t="shared" si="3"/>
        <v>335</v>
      </c>
      <c r="C10" s="19">
        <v>4870000000</v>
      </c>
      <c r="D10" s="17">
        <v>4870000000</v>
      </c>
      <c r="E10" s="17"/>
      <c r="F10" s="15"/>
      <c r="G10" s="14"/>
      <c r="H10" s="14"/>
      <c r="I10" s="14"/>
      <c r="J10" s="16">
        <f t="shared" si="7"/>
        <v>2305</v>
      </c>
      <c r="K10" s="16">
        <f t="shared" si="0"/>
        <v>325</v>
      </c>
      <c r="L10" s="21">
        <f t="shared" si="1"/>
        <v>927768942965.8175</v>
      </c>
      <c r="M10" s="21">
        <f t="shared" si="2"/>
        <v>927852750742.09705</v>
      </c>
      <c r="N10" s="16"/>
      <c r="O10" s="16"/>
      <c r="P10" s="16"/>
      <c r="Q10" s="16"/>
      <c r="R10" s="16"/>
      <c r="S10" s="16">
        <v>1985</v>
      </c>
      <c r="T10" s="16">
        <f t="shared" si="4"/>
        <v>335</v>
      </c>
      <c r="U10" s="21">
        <f t="shared" si="5"/>
        <v>5329225326.704196</v>
      </c>
      <c r="V10" s="21">
        <f t="shared" si="6"/>
        <v>5329326743.8352413</v>
      </c>
      <c r="W10" s="16"/>
      <c r="X10" s="16" t="s">
        <v>27</v>
      </c>
      <c r="Y10" s="16">
        <v>1883.6832999999999</v>
      </c>
      <c r="Z10" s="16">
        <v>7.4712210000000001E-3</v>
      </c>
      <c r="AA10" s="16">
        <v>1980</v>
      </c>
      <c r="AB10" s="16">
        <v>3685</v>
      </c>
      <c r="AC10" s="16"/>
      <c r="AD10" s="16"/>
      <c r="AE10" s="16"/>
      <c r="AF10" s="16"/>
      <c r="AG10" s="16"/>
      <c r="AH10" s="16"/>
      <c r="AI10" s="16"/>
      <c r="AJ10" s="16"/>
      <c r="AK10" s="16"/>
      <c r="AL10" s="16"/>
      <c r="AM10" s="16"/>
      <c r="AN10" s="16"/>
      <c r="AO10" s="16"/>
      <c r="AP10" s="16"/>
      <c r="AQ10" s="16"/>
      <c r="AR10" s="16"/>
      <c r="AS10" s="16"/>
      <c r="AT10" s="16"/>
    </row>
    <row r="11" spans="1:46" s="1" customFormat="1" ht="13" customHeight="1">
      <c r="A11" s="16">
        <v>1990</v>
      </c>
      <c r="B11" s="16">
        <f t="shared" si="3"/>
        <v>340</v>
      </c>
      <c r="C11" s="19">
        <v>5290000000</v>
      </c>
      <c r="D11" s="17">
        <v>5290000000</v>
      </c>
      <c r="E11" s="17"/>
      <c r="F11" s="15"/>
      <c r="G11" s="14"/>
      <c r="H11" s="14"/>
      <c r="I11" s="14"/>
      <c r="J11" s="16">
        <f t="shared" si="7"/>
        <v>2405</v>
      </c>
      <c r="K11" s="16">
        <f t="shared" si="0"/>
        <v>425</v>
      </c>
      <c r="L11" s="21">
        <f t="shared" si="1"/>
        <v>4787591367545.1641</v>
      </c>
      <c r="M11" s="21">
        <f t="shared" si="2"/>
        <v>4788023843097.7246</v>
      </c>
      <c r="N11" s="16"/>
      <c r="O11" s="16"/>
      <c r="P11" s="16"/>
      <c r="Q11" s="16"/>
      <c r="R11" s="16"/>
      <c r="S11" s="16">
        <v>1990</v>
      </c>
      <c r="T11" s="16">
        <f t="shared" si="4"/>
        <v>340</v>
      </c>
      <c r="U11" s="21">
        <f t="shared" si="5"/>
        <v>5525912463.5018463</v>
      </c>
      <c r="V11" s="21">
        <f t="shared" si="6"/>
        <v>5526017623.6619263</v>
      </c>
      <c r="W11" s="16"/>
      <c r="X11" s="16" t="s">
        <v>28</v>
      </c>
      <c r="Y11" s="16">
        <v>3.4691999999999999E-5</v>
      </c>
      <c r="Z11" s="16">
        <v>1.6410000000000001E-2</v>
      </c>
      <c r="AA11" s="16">
        <v>1980</v>
      </c>
      <c r="AB11" s="16">
        <v>2763</v>
      </c>
      <c r="AC11" s="16"/>
      <c r="AD11" s="16"/>
      <c r="AE11" s="16"/>
      <c r="AF11" s="16"/>
      <c r="AG11" s="16"/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16"/>
      <c r="AT11" s="16"/>
    </row>
    <row r="12" spans="1:46" s="1" customFormat="1" ht="13" customHeight="1">
      <c r="A12" s="16">
        <v>1995</v>
      </c>
      <c r="B12" s="16">
        <f t="shared" si="3"/>
        <v>345</v>
      </c>
      <c r="C12" s="19">
        <v>5730000000</v>
      </c>
      <c r="D12" s="17">
        <v>5730000000</v>
      </c>
      <c r="E12" s="17"/>
      <c r="F12" s="15"/>
      <c r="G12" s="14"/>
      <c r="H12" s="14"/>
      <c r="I12" s="14"/>
      <c r="J12" s="16">
        <f t="shared" si="7"/>
        <v>2505</v>
      </c>
      <c r="K12" s="16">
        <f t="shared" si="0"/>
        <v>525</v>
      </c>
      <c r="L12" s="21">
        <f t="shared" si="1"/>
        <v>24705538244598.766</v>
      </c>
      <c r="M12" s="21">
        <f t="shared" si="2"/>
        <v>24707769959982.031</v>
      </c>
      <c r="N12" s="16"/>
      <c r="O12" s="16"/>
      <c r="P12" s="16"/>
      <c r="Q12" s="16"/>
      <c r="R12" s="16"/>
      <c r="S12" s="14">
        <v>1995</v>
      </c>
      <c r="T12" s="14">
        <f t="shared" si="4"/>
        <v>345</v>
      </c>
      <c r="U12" s="22">
        <f t="shared" si="5"/>
        <v>5729858784.7794256</v>
      </c>
      <c r="V12" s="22">
        <f t="shared" si="6"/>
        <v>5729967826.1135054</v>
      </c>
      <c r="W12" s="16"/>
      <c r="X12" s="16" t="s">
        <v>28</v>
      </c>
      <c r="Y12" s="21">
        <v>3005.5</v>
      </c>
      <c r="Z12" s="16">
        <v>7.2484999999999997E-3</v>
      </c>
      <c r="AA12" s="16">
        <v>1650</v>
      </c>
      <c r="AB12" s="16">
        <v>3734</v>
      </c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16"/>
      <c r="AS12" s="16"/>
      <c r="AT12" s="16"/>
    </row>
    <row r="13" spans="1:46" ht="13" customHeight="1">
      <c r="J13" s="16">
        <f t="shared" si="7"/>
        <v>2605</v>
      </c>
      <c r="K13" s="16">
        <f t="shared" si="0"/>
        <v>625</v>
      </c>
      <c r="L13" s="21">
        <f t="shared" si="1"/>
        <v>127488662481296.13</v>
      </c>
      <c r="M13" s="21">
        <f t="shared" si="2"/>
        <v>127500178863025.81</v>
      </c>
      <c r="S13" s="16">
        <f>S12+5</f>
        <v>2000</v>
      </c>
      <c r="T13" s="16">
        <f t="shared" si="4"/>
        <v>350</v>
      </c>
      <c r="U13" s="21">
        <f>P$2*EXP(Q$2*S13)</f>
        <v>5941332207.1896019</v>
      </c>
      <c r="V13" s="21">
        <f>P$3*EXP(Q$3*T13)</f>
        <v>5941445272.941205</v>
      </c>
    </row>
    <row r="14" spans="1:46" ht="13" customHeight="1">
      <c r="J14" s="16">
        <f t="shared" si="7"/>
        <v>2705</v>
      </c>
      <c r="K14" s="16">
        <f t="shared" si="0"/>
        <v>725</v>
      </c>
      <c r="L14" s="21">
        <f t="shared" si="1"/>
        <v>657883220367535.88</v>
      </c>
      <c r="M14" s="21">
        <f t="shared" si="2"/>
        <v>657942648666110.88</v>
      </c>
      <c r="S14" s="16">
        <f>S13+100</f>
        <v>2100</v>
      </c>
      <c r="T14" s="16">
        <f t="shared" si="4"/>
        <v>450</v>
      </c>
      <c r="U14" s="21">
        <f>P$2*EXP(Q$2*S14)</f>
        <v>12265413433.409088</v>
      </c>
      <c r="V14" s="21">
        <f>P$3*EXP(Q$3*T14)</f>
        <v>12265646848.767836</v>
      </c>
    </row>
    <row r="15" spans="1:46" ht="13" customHeight="1">
      <c r="J15" s="16">
        <f>50+J14</f>
        <v>2755</v>
      </c>
      <c r="K15" s="16">
        <f t="shared" si="0"/>
        <v>775</v>
      </c>
      <c r="L15" s="21">
        <f t="shared" si="1"/>
        <v>1494470793578850.8</v>
      </c>
      <c r="M15" s="21">
        <f t="shared" si="2"/>
        <v>1494605793003955.8</v>
      </c>
      <c r="S15" s="16">
        <f>S14+100</f>
        <v>2200</v>
      </c>
      <c r="T15" s="16">
        <f t="shared" si="4"/>
        <v>550</v>
      </c>
      <c r="U15" s="21">
        <f>P$2*EXP(Q$2*S15)</f>
        <v>25320982137.710514</v>
      </c>
      <c r="V15" s="21">
        <f>P$3*EXP(Q$3*T15)</f>
        <v>25321464005.375359</v>
      </c>
    </row>
    <row r="16" spans="1:46" ht="13" customHeight="1">
      <c r="J16" s="16">
        <f t="shared" ref="J16:J29" si="8">1+J15</f>
        <v>2756</v>
      </c>
      <c r="K16" s="16">
        <f t="shared" si="0"/>
        <v>776</v>
      </c>
      <c r="L16" s="21">
        <f t="shared" si="1"/>
        <v>1519197386114297</v>
      </c>
      <c r="M16" s="21">
        <f t="shared" si="2"/>
        <v>1519334619156674</v>
      </c>
      <c r="S16" s="16">
        <f t="shared" ref="S16:S27" si="9">S15+100</f>
        <v>2300</v>
      </c>
      <c r="T16" s="16">
        <f t="shared" si="4"/>
        <v>650</v>
      </c>
      <c r="U16" s="21">
        <f>P$2*EXP(Q$2*S16)</f>
        <v>52273177736.663643</v>
      </c>
      <c r="V16" s="21">
        <f>P$3*EXP(Q$3*T16)</f>
        <v>52274172514.589432</v>
      </c>
    </row>
    <row r="17" spans="9:22">
      <c r="I17" s="19">
        <f>C3-C2</f>
        <v>224000000</v>
      </c>
      <c r="J17" s="16">
        <f t="shared" si="8"/>
        <v>2757</v>
      </c>
      <c r="K17" s="16">
        <f t="shared" si="0"/>
        <v>777</v>
      </c>
      <c r="L17" s="21">
        <f t="shared" si="1"/>
        <v>1544333089607977.8</v>
      </c>
      <c r="M17" s="21">
        <f t="shared" si="2"/>
        <v>1544472593223681.5</v>
      </c>
      <c r="S17" s="16">
        <f t="shared" si="9"/>
        <v>2400</v>
      </c>
      <c r="T17" s="16">
        <f t="shared" si="4"/>
        <v>750</v>
      </c>
      <c r="U17" s="21">
        <f t="shared" ref="U17:U31" si="10">P$2*EXP(Q$2*S17)</f>
        <v>107913867472.75253</v>
      </c>
      <c r="V17" s="21">
        <f t="shared" ref="V17:V31" si="11">P$3*EXP(Q$3*T17)</f>
        <v>107915921113.60425</v>
      </c>
    </row>
    <row r="18" spans="9:22">
      <c r="I18" s="19">
        <f t="shared" ref="I18:I26" si="12">C4-C3</f>
        <v>397000000</v>
      </c>
      <c r="J18" s="16">
        <f t="shared" si="8"/>
        <v>2758</v>
      </c>
      <c r="K18" s="16">
        <f t="shared" si="0"/>
        <v>778</v>
      </c>
      <c r="L18" s="21">
        <f t="shared" si="1"/>
        <v>1569884672957624.8</v>
      </c>
      <c r="M18" s="21">
        <f t="shared" si="2"/>
        <v>1570026484714159</v>
      </c>
      <c r="S18" s="16">
        <f t="shared" si="9"/>
        <v>2500</v>
      </c>
      <c r="T18" s="16">
        <f t="shared" si="4"/>
        <v>850</v>
      </c>
      <c r="U18" s="21">
        <f t="shared" si="10"/>
        <v>222779698827.43295</v>
      </c>
      <c r="V18" s="21">
        <f t="shared" si="11"/>
        <v>222783938407.58292</v>
      </c>
    </row>
    <row r="19" spans="9:22">
      <c r="I19" s="19">
        <f t="shared" si="12"/>
        <v>479000000</v>
      </c>
      <c r="J19" s="16">
        <f t="shared" si="8"/>
        <v>2759</v>
      </c>
      <c r="K19" s="16">
        <f t="shared" si="0"/>
        <v>779</v>
      </c>
      <c r="L19" s="21">
        <f t="shared" si="1"/>
        <v>1595859017054980.8</v>
      </c>
      <c r="M19" s="21">
        <f t="shared" si="2"/>
        <v>1596003175141423.8</v>
      </c>
      <c r="S19" s="16">
        <f t="shared" si="9"/>
        <v>2600</v>
      </c>
      <c r="T19" s="16">
        <f t="shared" si="4"/>
        <v>950</v>
      </c>
      <c r="U19" s="21">
        <f t="shared" si="10"/>
        <v>459911180758.79492</v>
      </c>
      <c r="V19" s="21">
        <f t="shared" si="11"/>
        <v>459919933038.84088</v>
      </c>
    </row>
    <row r="20" spans="9:22">
      <c r="I20" s="19">
        <f t="shared" si="12"/>
        <v>940000000</v>
      </c>
      <c r="J20" s="16">
        <f t="shared" si="8"/>
        <v>2760</v>
      </c>
      <c r="K20" s="16">
        <f t="shared" si="0"/>
        <v>780</v>
      </c>
      <c r="L20" s="21">
        <f t="shared" si="1"/>
        <v>1622263116638780.8</v>
      </c>
      <c r="M20" s="21">
        <f t="shared" si="2"/>
        <v>1622409659876060.8</v>
      </c>
      <c r="S20" s="16">
        <f t="shared" si="9"/>
        <v>2700</v>
      </c>
      <c r="T20" s="16">
        <f t="shared" si="4"/>
        <v>1050</v>
      </c>
      <c r="U20" s="21">
        <f t="shared" si="10"/>
        <v>949450489879.65833</v>
      </c>
      <c r="V20" s="21">
        <f t="shared" si="11"/>
        <v>949468558274.00232</v>
      </c>
    </row>
    <row r="21" spans="9:22">
      <c r="I21" s="19">
        <f t="shared" si="12"/>
        <v>520000000</v>
      </c>
      <c r="J21" s="16">
        <f t="shared" si="8"/>
        <v>2761</v>
      </c>
      <c r="K21" s="16">
        <f t="shared" si="0"/>
        <v>781</v>
      </c>
      <c r="L21" s="21">
        <f t="shared" si="1"/>
        <v>1649104082178395.5</v>
      </c>
      <c r="M21" s="21">
        <f t="shared" si="2"/>
        <v>1649253050029744.8</v>
      </c>
      <c r="S21" s="16">
        <f t="shared" si="9"/>
        <v>2800</v>
      </c>
      <c r="T21" s="16">
        <f t="shared" si="4"/>
        <v>1150</v>
      </c>
      <c r="U21" s="21">
        <f t="shared" si="10"/>
        <v>1960065922392.7432</v>
      </c>
      <c r="V21" s="21">
        <f t="shared" si="11"/>
        <v>1960103223172.9351</v>
      </c>
    </row>
    <row r="22" spans="9:22">
      <c r="I22" s="19">
        <f t="shared" si="12"/>
        <v>650000000</v>
      </c>
      <c r="J22" s="16">
        <f t="shared" si="8"/>
        <v>2762</v>
      </c>
      <c r="K22" s="16">
        <f t="shared" si="0"/>
        <v>782</v>
      </c>
      <c r="L22" s="21">
        <f t="shared" si="1"/>
        <v>1676389141788639</v>
      </c>
      <c r="M22" s="21">
        <f t="shared" si="2"/>
        <v>1676540574370230.5</v>
      </c>
      <c r="S22" s="16">
        <f t="shared" si="9"/>
        <v>2900</v>
      </c>
      <c r="T22" s="16">
        <f t="shared" si="4"/>
        <v>1250</v>
      </c>
      <c r="U22" s="21">
        <f t="shared" si="10"/>
        <v>4046402062115.1782</v>
      </c>
      <c r="V22" s="21">
        <f t="shared" si="11"/>
        <v>4046479066644.5474</v>
      </c>
    </row>
    <row r="23" spans="9:22">
      <c r="I23" s="19">
        <f t="shared" si="12"/>
        <v>800000000</v>
      </c>
      <c r="J23" s="14">
        <f t="shared" si="8"/>
        <v>2763</v>
      </c>
      <c r="K23" s="14">
        <f t="shared" si="0"/>
        <v>783</v>
      </c>
      <c r="L23" s="22">
        <f t="shared" si="1"/>
        <v>1704125643176257</v>
      </c>
      <c r="M23" s="22">
        <f t="shared" si="2"/>
        <v>1704279581267998.3</v>
      </c>
      <c r="S23" s="16">
        <f t="shared" si="9"/>
        <v>3000</v>
      </c>
      <c r="T23" s="16">
        <f t="shared" si="4"/>
        <v>1350</v>
      </c>
      <c r="U23" s="21">
        <f t="shared" si="10"/>
        <v>8353479064776.6758</v>
      </c>
      <c r="V23" s="21">
        <f t="shared" si="11"/>
        <v>8353638034576.0449</v>
      </c>
    </row>
    <row r="24" spans="9:22">
      <c r="I24" s="19">
        <f t="shared" si="12"/>
        <v>390000000</v>
      </c>
      <c r="J24" s="16">
        <f t="shared" si="8"/>
        <v>2764</v>
      </c>
      <c r="K24" s="16">
        <f t="shared" si="0"/>
        <v>784</v>
      </c>
      <c r="L24" s="21">
        <f t="shared" si="1"/>
        <v>1732321055618622.3</v>
      </c>
      <c r="M24" s="21">
        <f t="shared" si="2"/>
        <v>1732477540675139.8</v>
      </c>
      <c r="S24" s="16">
        <f t="shared" si="9"/>
        <v>3100</v>
      </c>
      <c r="T24" s="16">
        <f t="shared" si="4"/>
        <v>1450</v>
      </c>
      <c r="U24" s="21">
        <f t="shared" si="10"/>
        <v>17245101058787.457</v>
      </c>
      <c r="V24" s="21">
        <f t="shared" si="11"/>
        <v>17245429239445.379</v>
      </c>
    </row>
    <row r="25" spans="9:22">
      <c r="I25" s="19">
        <f>C11-C10</f>
        <v>420000000</v>
      </c>
      <c r="J25" s="16">
        <f t="shared" si="8"/>
        <v>2765</v>
      </c>
      <c r="K25" s="16">
        <f t="shared" si="0"/>
        <v>785</v>
      </c>
      <c r="L25" s="21">
        <f t="shared" si="1"/>
        <v>1760982971975167</v>
      </c>
      <c r="M25" s="21">
        <f t="shared" si="2"/>
        <v>1761142046136966.8</v>
      </c>
      <c r="S25" s="16">
        <f t="shared" si="9"/>
        <v>3200</v>
      </c>
      <c r="T25" s="16">
        <f t="shared" si="4"/>
        <v>1550</v>
      </c>
      <c r="U25" s="21">
        <f t="shared" si="10"/>
        <v>35601155904224.789</v>
      </c>
      <c r="V25" s="21">
        <f t="shared" si="11"/>
        <v>35601833407402.5</v>
      </c>
    </row>
    <row r="26" spans="9:22">
      <c r="I26" s="19">
        <f t="shared" si="12"/>
        <v>440000000</v>
      </c>
      <c r="J26" s="16">
        <f t="shared" si="8"/>
        <v>2766</v>
      </c>
      <c r="K26" s="16">
        <f t="shared" si="0"/>
        <v>786</v>
      </c>
      <c r="L26" s="21">
        <f t="shared" si="1"/>
        <v>1790119110732094.8</v>
      </c>
      <c r="M26" s="21">
        <f t="shared" si="2"/>
        <v>1790280816836919.8</v>
      </c>
      <c r="S26" s="16">
        <f t="shared" si="9"/>
        <v>3300</v>
      </c>
      <c r="T26" s="16">
        <f t="shared" si="4"/>
        <v>1650</v>
      </c>
      <c r="U26" s="21">
        <f t="shared" si="10"/>
        <v>73495788595050.188</v>
      </c>
      <c r="V26" s="21">
        <f t="shared" si="11"/>
        <v>73497187247118</v>
      </c>
    </row>
    <row r="27" spans="9:22">
      <c r="I27" s="19"/>
      <c r="J27" s="16">
        <f t="shared" si="8"/>
        <v>2767</v>
      </c>
      <c r="K27" s="16">
        <f t="shared" si="0"/>
        <v>787</v>
      </c>
      <c r="L27" s="21">
        <f t="shared" si="1"/>
        <v>1819737318080924.5</v>
      </c>
      <c r="M27" s="21">
        <f t="shared" si="2"/>
        <v>1819901699675281.8</v>
      </c>
      <c r="S27" s="16">
        <f t="shared" si="9"/>
        <v>3400</v>
      </c>
      <c r="T27" s="16">
        <f t="shared" si="4"/>
        <v>1750</v>
      </c>
      <c r="U27" s="21">
        <f t="shared" si="10"/>
        <v>151726279779789.38</v>
      </c>
      <c r="V27" s="21">
        <f t="shared" si="11"/>
        <v>151729167187068.25</v>
      </c>
    </row>
    <row r="28" spans="9:22">
      <c r="I28" s="19"/>
      <c r="J28" s="16">
        <f t="shared" si="8"/>
        <v>2768</v>
      </c>
      <c r="K28" s="16">
        <f t="shared" si="0"/>
        <v>788</v>
      </c>
      <c r="L28" s="21">
        <f t="shared" si="1"/>
        <v>1849845570031409.8</v>
      </c>
      <c r="M28" s="21">
        <f t="shared" si="2"/>
        <v>1850012671382312.8</v>
      </c>
      <c r="S28" s="16">
        <f>S27+100</f>
        <v>3500</v>
      </c>
      <c r="T28" s="16">
        <f t="shared" si="4"/>
        <v>1850</v>
      </c>
      <c r="U28" s="21">
        <f t="shared" si="10"/>
        <v>313226980972421.81</v>
      </c>
      <c r="V28" s="21">
        <f t="shared" si="11"/>
        <v>313232941797837.94</v>
      </c>
    </row>
    <row r="29" spans="9:22">
      <c r="I29" s="19"/>
      <c r="J29" s="16">
        <f t="shared" si="8"/>
        <v>2769</v>
      </c>
      <c r="K29" s="16">
        <f t="shared" si="0"/>
        <v>789</v>
      </c>
      <c r="L29" s="21">
        <f t="shared" si="1"/>
        <v>1880451974559484.5</v>
      </c>
      <c r="M29" s="21">
        <f t="shared" si="2"/>
        <v>1880621840666332.5</v>
      </c>
      <c r="S29" s="16">
        <f>S28+100</f>
        <v>3600</v>
      </c>
      <c r="T29" s="16">
        <f t="shared" si="4"/>
        <v>1950</v>
      </c>
      <c r="U29" s="21">
        <f t="shared" si="10"/>
        <v>646632486814368.75</v>
      </c>
      <c r="V29" s="21">
        <f t="shared" si="11"/>
        <v>646644792470000.13</v>
      </c>
    </row>
    <row r="30" spans="9:22">
      <c r="I30" s="19"/>
      <c r="S30" s="16">
        <f>S29+100</f>
        <v>3700</v>
      </c>
      <c r="T30" s="16">
        <f t="shared" si="4"/>
        <v>2050</v>
      </c>
      <c r="U30" s="21">
        <f t="shared" si="10"/>
        <v>1334921952462804</v>
      </c>
      <c r="V30" s="21">
        <f t="shared" si="11"/>
        <v>1334947356521796.8</v>
      </c>
    </row>
    <row r="31" spans="9:22">
      <c r="S31" s="16">
        <f>S30+10</f>
        <v>3710</v>
      </c>
      <c r="T31" s="16">
        <f t="shared" si="4"/>
        <v>2060</v>
      </c>
      <c r="U31" s="21">
        <f t="shared" si="10"/>
        <v>1435276950664101.8</v>
      </c>
      <c r="V31" s="21">
        <f t="shared" si="11"/>
        <v>1435304264515865.5</v>
      </c>
    </row>
    <row r="32" spans="9:22">
      <c r="S32" s="16">
        <f>S31+10</f>
        <v>3720</v>
      </c>
      <c r="T32" s="16">
        <f t="shared" si="4"/>
        <v>2070</v>
      </c>
      <c r="U32" s="21">
        <f t="shared" ref="U32:U41" si="13">P$2*EXP(Q$2*S32)</f>
        <v>1543176304282884.8</v>
      </c>
      <c r="V32" s="21">
        <f t="shared" ref="V32:V41" si="14">P$3*EXP(Q$3*T32)</f>
        <v>1543205671499293.3</v>
      </c>
    </row>
    <row r="33" spans="19:22">
      <c r="S33" s="16">
        <f>S32+10</f>
        <v>3730</v>
      </c>
      <c r="T33" s="16">
        <f t="shared" si="4"/>
        <v>2080</v>
      </c>
      <c r="U33" s="21">
        <f t="shared" si="13"/>
        <v>1659187172899491.3</v>
      </c>
      <c r="V33" s="21">
        <f t="shared" si="14"/>
        <v>1659218747845686.8</v>
      </c>
    </row>
    <row r="34" spans="19:22">
      <c r="S34" s="16">
        <f t="shared" ref="S34:S41" si="15">S33+1</f>
        <v>3731</v>
      </c>
      <c r="T34" s="16">
        <f t="shared" si="4"/>
        <v>2081</v>
      </c>
      <c r="U34" s="21">
        <f t="shared" si="13"/>
        <v>1671257484099067</v>
      </c>
      <c r="V34" s="21">
        <f t="shared" si="14"/>
        <v>1671289288747750.5</v>
      </c>
    </row>
    <row r="35" spans="19:22">
      <c r="S35" s="16">
        <f t="shared" si="15"/>
        <v>3732</v>
      </c>
      <c r="T35" s="16">
        <f t="shared" si="4"/>
        <v>2082</v>
      </c>
      <c r="U35" s="21">
        <f t="shared" si="13"/>
        <v>1683415604808518.5</v>
      </c>
      <c r="V35" s="21">
        <f t="shared" si="14"/>
        <v>1683447640830740.5</v>
      </c>
    </row>
    <row r="36" spans="19:22">
      <c r="S36" s="16">
        <f t="shared" si="15"/>
        <v>3733</v>
      </c>
      <c r="T36" s="16">
        <f t="shared" si="4"/>
        <v>2083</v>
      </c>
      <c r="U36" s="21">
        <f t="shared" si="13"/>
        <v>1695662173827456.8</v>
      </c>
      <c r="V36" s="21">
        <f t="shared" si="14"/>
        <v>1695694442906421.3</v>
      </c>
    </row>
    <row r="37" spans="19:22">
      <c r="S37" s="14">
        <f t="shared" si="15"/>
        <v>3734</v>
      </c>
      <c r="T37" s="14">
        <f t="shared" si="4"/>
        <v>2084</v>
      </c>
      <c r="U37" s="22">
        <f t="shared" si="13"/>
        <v>1707997834602647.5</v>
      </c>
      <c r="V37" s="22">
        <f t="shared" si="14"/>
        <v>1708030338433806.8</v>
      </c>
    </row>
    <row r="38" spans="19:22">
      <c r="S38" s="16">
        <f t="shared" si="15"/>
        <v>3735</v>
      </c>
      <c r="T38" s="16">
        <f t="shared" si="4"/>
        <v>2085</v>
      </c>
      <c r="U38" s="21">
        <f t="shared" si="13"/>
        <v>1720423235261825.5</v>
      </c>
      <c r="V38" s="21">
        <f t="shared" si="14"/>
        <v>1720455975552959.8</v>
      </c>
    </row>
    <row r="39" spans="19:22">
      <c r="S39" s="16">
        <f t="shared" si="15"/>
        <v>3736</v>
      </c>
      <c r="T39" s="16">
        <f t="shared" si="4"/>
        <v>2086</v>
      </c>
      <c r="U39" s="21">
        <f t="shared" si="13"/>
        <v>1732939028647752.8</v>
      </c>
      <c r="V39" s="21">
        <f t="shared" si="14"/>
        <v>1732972007119062.8</v>
      </c>
    </row>
    <row r="40" spans="19:22">
      <c r="S40" s="16">
        <f t="shared" si="15"/>
        <v>3737</v>
      </c>
      <c r="T40" s="16">
        <f t="shared" si="4"/>
        <v>2087</v>
      </c>
      <c r="U40" s="21">
        <f t="shared" si="13"/>
        <v>1745545872352495.5</v>
      </c>
      <c r="V40" s="21">
        <f t="shared" si="14"/>
        <v>1745579090736712</v>
      </c>
    </row>
    <row r="41" spans="19:22">
      <c r="S41" s="16">
        <f t="shared" si="15"/>
        <v>3738</v>
      </c>
      <c r="T41" s="16">
        <f t="shared" si="4"/>
        <v>2088</v>
      </c>
      <c r="U41" s="21">
        <f t="shared" si="13"/>
        <v>1758244428752012.3</v>
      </c>
      <c r="V41" s="21">
        <f t="shared" si="14"/>
        <v>1758277888794458.5</v>
      </c>
    </row>
    <row r="58" spans="1:1">
      <c r="A58" s="16" t="s">
        <v>29</v>
      </c>
    </row>
    <row r="59" spans="1:1">
      <c r="A59" s="16" t="s">
        <v>30</v>
      </c>
    </row>
    <row r="60" spans="1:1">
      <c r="A60" s="16" t="s">
        <v>31</v>
      </c>
    </row>
  </sheetData>
  <mergeCells count="3">
    <mergeCell ref="L1:M1"/>
    <mergeCell ref="U1:V1"/>
    <mergeCell ref="X1:AB1"/>
  </mergeCells>
  <printOptions headings="1" gridLines="1"/>
  <pageMargins left="0.5" right="0.5" top="1" bottom="1" header="0.5" footer="0.5"/>
  <pageSetup paperSize="0" scale="99" orientation="landscape" horizontalDpi="4294967292" verticalDpi="4294967292"/>
  <headerFooter alignWithMargins="0"/>
  <colBreaks count="2" manualBreakCount="2">
    <brk id="6" max="51" man="1"/>
    <brk id="13" max="1048575" man="1"/>
  </colBreak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1.5"/>
  <cols>
    <col min="1" max="256" width="11.19921875" customWidth="1"/>
  </cols>
  <sheetData/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1.5"/>
  <cols>
    <col min="1" max="256" width="11.19921875" customWidth="1"/>
  </cols>
  <sheetData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Year=1650</vt:lpstr>
      <vt:lpstr>Year=0</vt:lpstr>
      <vt:lpstr>Sheet2</vt:lpstr>
      <vt:lpstr>Sheet3</vt:lpstr>
    </vt:vector>
  </TitlesOfParts>
  <Company>The University of Georgia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Heide G. Wiegel</dc:creator>
  <cp:lastModifiedBy>Carina Negreanu</cp:lastModifiedBy>
  <cp:lastPrinted>2001-03-02T15:57:30Z</cp:lastPrinted>
  <dcterms:created xsi:type="dcterms:W3CDTF">2001-02-12T15:36:09Z</dcterms:created>
  <dcterms:modified xsi:type="dcterms:W3CDTF">2020-01-27T12:50:55Z</dcterms:modified>
</cp:coreProperties>
</file>