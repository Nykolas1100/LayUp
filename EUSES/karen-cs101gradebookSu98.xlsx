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F575A22-12F1-40F9-9DCA-1577F25D2F10}" xr6:coauthVersionLast="45" xr6:coauthVersionMax="45" xr10:uidLastSave="{00000000-0000-0000-0000-000000000000}"/>
  <bookViews>
    <workbookView xWindow="3420" yWindow="3420" windowWidth="28800" windowHeight="15460" firstSheet="5" activeTab="1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O2" i="1" l="1"/>
  <c r="P2" i="1"/>
  <c r="Q2" i="1"/>
  <c r="O3" i="1"/>
  <c r="P3" i="1"/>
  <c r="Q3" i="1"/>
  <c r="O4" i="1"/>
  <c r="P4" i="1"/>
  <c r="Q4" i="1"/>
  <c r="O5" i="1"/>
  <c r="P5" i="1"/>
  <c r="Q5" i="1"/>
  <c r="O6" i="1"/>
  <c r="P6" i="1"/>
  <c r="Q6" i="1"/>
  <c r="O7" i="1"/>
  <c r="P7" i="1"/>
  <c r="O8" i="1"/>
  <c r="P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O25" i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O32" i="1"/>
  <c r="P32" i="1"/>
  <c r="Q32" i="1"/>
  <c r="O33" i="1"/>
  <c r="P33" i="1"/>
  <c r="Q33" i="1"/>
  <c r="O34" i="1"/>
  <c r="P34" i="1"/>
  <c r="Q34" i="1"/>
  <c r="O35" i="1"/>
  <c r="P35" i="1"/>
  <c r="Q35" i="1"/>
  <c r="O36" i="1"/>
  <c r="P36" i="1"/>
  <c r="Q36" i="1"/>
  <c r="O37" i="1"/>
  <c r="P37" i="1"/>
  <c r="Q37" i="1"/>
  <c r="O38" i="1"/>
  <c r="P38" i="1"/>
  <c r="Q38" i="1"/>
</calcChain>
</file>

<file path=xl/sharedStrings.xml><?xml version="1.0" encoding="utf-8"?>
<sst xmlns="http://schemas.openxmlformats.org/spreadsheetml/2006/main" count="165" uniqueCount="31">
  <si>
    <t>Id1</t>
  </si>
  <si>
    <t>Id2</t>
  </si>
  <si>
    <t>last name</t>
  </si>
  <si>
    <t>first name</t>
  </si>
  <si>
    <t>sect</t>
  </si>
  <si>
    <t>quiz1</t>
  </si>
  <si>
    <t>quiz2</t>
  </si>
  <si>
    <t>quiz3</t>
  </si>
  <si>
    <t>quiz4</t>
  </si>
  <si>
    <t>bonus</t>
  </si>
  <si>
    <t>exam1</t>
  </si>
  <si>
    <t>exam2</t>
  </si>
  <si>
    <t>final</t>
  </si>
  <si>
    <t>quiz avg</t>
  </si>
  <si>
    <t>exam avg</t>
  </si>
  <si>
    <t>grade</t>
  </si>
  <si>
    <t>doe</t>
  </si>
  <si>
    <t>john</t>
  </si>
  <si>
    <t>B</t>
  </si>
  <si>
    <t>A</t>
  </si>
  <si>
    <t>B-</t>
  </si>
  <si>
    <t>C</t>
  </si>
  <si>
    <t>D</t>
  </si>
  <si>
    <t>D-</t>
  </si>
  <si>
    <t>A-</t>
  </si>
  <si>
    <t>C+</t>
  </si>
  <si>
    <t>I</t>
  </si>
  <si>
    <t>B+</t>
  </si>
  <si>
    <t>F</t>
  </si>
  <si>
    <t>W</t>
  </si>
  <si>
    <t>D+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</si>
</sst>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Geneva"/>
    </font>
    <font>
      <b/>
      <sz val="10"/>
      <name val="Geneva"/>
    </font>
    <font>
      <sz val="10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workbookViewId="0">
      <selection activeCell="D3" sqref="D3:D38"/>
    </sheetView>
  </sheetViews>
  <sheetFormatPr defaultColWidth="11.453125" defaultRowHeight="12.5"/>
  <cols>
    <col min="1" max="1" width="6.1796875" customWidth="1"/>
    <col min="2" max="2" width="5" customWidth="1"/>
    <col min="3" max="3" width="10.26953125" customWidth="1"/>
    <col min="4" max="4" width="9.453125" customWidth="1"/>
    <col min="5" max="5" width="3.81640625" customWidth="1"/>
    <col min="6" max="10" width="4.81640625" customWidth="1"/>
    <col min="11" max="12" width="5.54296875" customWidth="1"/>
    <col min="13" max="14" width="4.1796875" customWidth="1"/>
    <col min="15" max="15" width="6.1796875" customWidth="1"/>
    <col min="16" max="16" width="6.81640625" customWidth="1"/>
    <col min="17" max="17" width="4.7265625" customWidth="1"/>
    <col min="18" max="18" width="3.179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</v>
      </c>
      <c r="O1" t="s">
        <v>13</v>
      </c>
      <c r="P1" t="s">
        <v>14</v>
      </c>
      <c r="Q1" t="s">
        <v>15</v>
      </c>
    </row>
    <row r="2" spans="1:19">
      <c r="A2">
        <v>57411</v>
      </c>
      <c r="B2">
        <v>1427</v>
      </c>
      <c r="C2" t="s">
        <v>16</v>
      </c>
      <c r="D2" t="s">
        <v>17</v>
      </c>
      <c r="E2" t="s">
        <v>18</v>
      </c>
      <c r="F2">
        <v>0</v>
      </c>
      <c r="G2">
        <v>0</v>
      </c>
      <c r="H2">
        <v>90.5</v>
      </c>
      <c r="I2">
        <v>91.3</v>
      </c>
      <c r="J2">
        <v>10</v>
      </c>
      <c r="K2">
        <v>91</v>
      </c>
      <c r="L2">
        <v>92</v>
      </c>
      <c r="M2">
        <v>98</v>
      </c>
      <c r="N2">
        <v>0</v>
      </c>
      <c r="O2">
        <f>ROUND((0.06*G2+0.17*H2+0.17*I2)/0.4+J2,2)</f>
        <v>87.27</v>
      </c>
      <c r="P2">
        <f t="shared" ref="P2:P13" si="0">ROUND((K2+L2+M2 +N2)/3,2)</f>
        <v>93.67</v>
      </c>
      <c r="Q2">
        <f>ROUND(0.4*O2+0.6*P2,0)</f>
        <v>91</v>
      </c>
      <c r="R2" t="s">
        <v>19</v>
      </c>
    </row>
    <row r="3" spans="1:19">
      <c r="A3">
        <v>54025</v>
      </c>
      <c r="B3">
        <v>4610</v>
      </c>
      <c r="C3" t="s">
        <v>16</v>
      </c>
      <c r="D3" t="s">
        <v>17</v>
      </c>
      <c r="E3" t="s">
        <v>18</v>
      </c>
      <c r="F3">
        <v>100</v>
      </c>
      <c r="G3">
        <v>0</v>
      </c>
      <c r="H3">
        <v>100</v>
      </c>
      <c r="I3">
        <v>100</v>
      </c>
      <c r="J3">
        <v>0</v>
      </c>
      <c r="K3">
        <v>87</v>
      </c>
      <c r="L3">
        <v>82</v>
      </c>
      <c r="M3">
        <v>81</v>
      </c>
      <c r="N3">
        <v>10</v>
      </c>
      <c r="O3">
        <f t="shared" ref="O3:O38" si="1">ROUND((F3+G3+H3+I3+J3-MIN(F3:I3))/3,2)</f>
        <v>100</v>
      </c>
      <c r="P3">
        <f t="shared" si="0"/>
        <v>86.67</v>
      </c>
      <c r="Q3">
        <f>ROUND(0.4*O3+0.6*P3,0)</f>
        <v>92</v>
      </c>
      <c r="R3" t="s">
        <v>20</v>
      </c>
    </row>
    <row r="4" spans="1:19">
      <c r="A4">
        <v>56553</v>
      </c>
      <c r="B4">
        <v>3507</v>
      </c>
      <c r="C4" t="s">
        <v>16</v>
      </c>
      <c r="D4" t="s">
        <v>17</v>
      </c>
      <c r="E4" t="s">
        <v>18</v>
      </c>
      <c r="F4">
        <v>0</v>
      </c>
      <c r="G4">
        <v>94.44</v>
      </c>
      <c r="H4">
        <v>90.48</v>
      </c>
      <c r="I4">
        <v>0</v>
      </c>
      <c r="J4">
        <v>0</v>
      </c>
      <c r="K4">
        <v>94</v>
      </c>
      <c r="L4">
        <v>81</v>
      </c>
      <c r="M4">
        <v>74</v>
      </c>
      <c r="N4">
        <v>0</v>
      </c>
      <c r="O4">
        <f t="shared" si="1"/>
        <v>61.64</v>
      </c>
      <c r="P4">
        <f t="shared" si="0"/>
        <v>83</v>
      </c>
      <c r="Q4">
        <f>ROUND(0.4*O4+0.6*P4,0)</f>
        <v>74</v>
      </c>
      <c r="R4" t="s">
        <v>21</v>
      </c>
    </row>
    <row r="5" spans="1:19">
      <c r="A5">
        <v>54392</v>
      </c>
      <c r="B5">
        <v>246</v>
      </c>
      <c r="C5" t="s">
        <v>16</v>
      </c>
      <c r="D5" t="s">
        <v>17</v>
      </c>
      <c r="E5" t="s">
        <v>18</v>
      </c>
      <c r="F5">
        <v>84.375</v>
      </c>
      <c r="G5">
        <v>55.56</v>
      </c>
      <c r="H5">
        <v>95.24</v>
      </c>
      <c r="I5">
        <v>0</v>
      </c>
      <c r="J5">
        <v>0</v>
      </c>
      <c r="K5">
        <v>92</v>
      </c>
      <c r="L5">
        <v>84</v>
      </c>
      <c r="M5">
        <v>70</v>
      </c>
      <c r="N5">
        <v>10</v>
      </c>
      <c r="O5">
        <f t="shared" si="1"/>
        <v>78.39</v>
      </c>
      <c r="P5">
        <f t="shared" si="0"/>
        <v>85.33</v>
      </c>
      <c r="Q5">
        <f>ROUND(0.4*O5+0.6*P5,0)</f>
        <v>83</v>
      </c>
      <c r="R5" t="s">
        <v>18</v>
      </c>
    </row>
    <row r="6" spans="1:19">
      <c r="A6">
        <v>54394</v>
      </c>
      <c r="B6">
        <v>7098</v>
      </c>
      <c r="C6" t="s">
        <v>16</v>
      </c>
      <c r="D6" t="s">
        <v>17</v>
      </c>
      <c r="E6" t="s">
        <v>19</v>
      </c>
      <c r="F6">
        <v>0</v>
      </c>
      <c r="G6">
        <v>83.33</v>
      </c>
      <c r="H6">
        <v>85.71</v>
      </c>
      <c r="I6">
        <v>73.900000000000006</v>
      </c>
      <c r="J6">
        <v>0</v>
      </c>
      <c r="K6">
        <v>85</v>
      </c>
      <c r="L6">
        <v>69</v>
      </c>
      <c r="M6">
        <v>79</v>
      </c>
      <c r="N6">
        <v>0</v>
      </c>
      <c r="O6">
        <f t="shared" si="1"/>
        <v>80.98</v>
      </c>
      <c r="P6">
        <f t="shared" si="0"/>
        <v>77.67</v>
      </c>
      <c r="Q6">
        <f>ROUND(0.4*O6+0.6*P6,0)</f>
        <v>79</v>
      </c>
      <c r="R6" t="s">
        <v>20</v>
      </c>
    </row>
    <row r="7" spans="1:19" ht="13">
      <c r="A7">
        <v>54490</v>
      </c>
      <c r="B7">
        <v>5679</v>
      </c>
      <c r="C7" t="s">
        <v>16</v>
      </c>
      <c r="D7" t="s">
        <v>17</v>
      </c>
      <c r="E7" t="s">
        <v>18</v>
      </c>
      <c r="F7">
        <v>87.5</v>
      </c>
      <c r="G7">
        <v>0</v>
      </c>
      <c r="H7">
        <v>90.48</v>
      </c>
      <c r="I7">
        <v>82.61</v>
      </c>
      <c r="J7">
        <v>0</v>
      </c>
      <c r="K7">
        <v>67</v>
      </c>
      <c r="L7">
        <v>56</v>
      </c>
      <c r="M7">
        <v>40</v>
      </c>
      <c r="N7">
        <v>10</v>
      </c>
      <c r="O7">
        <f t="shared" si="1"/>
        <v>86.86</v>
      </c>
      <c r="P7" s="1">
        <f t="shared" si="0"/>
        <v>57.67</v>
      </c>
      <c r="R7" t="s">
        <v>22</v>
      </c>
    </row>
    <row r="8" spans="1:19" ht="13">
      <c r="A8">
        <v>54417</v>
      </c>
      <c r="B8">
        <v>209</v>
      </c>
      <c r="C8" t="s">
        <v>16</v>
      </c>
      <c r="D8" t="s">
        <v>17</v>
      </c>
      <c r="E8" t="s">
        <v>18</v>
      </c>
      <c r="F8">
        <v>71.875</v>
      </c>
      <c r="G8">
        <v>83.33</v>
      </c>
      <c r="H8">
        <v>0</v>
      </c>
      <c r="I8">
        <v>0</v>
      </c>
      <c r="J8">
        <v>0</v>
      </c>
      <c r="K8">
        <v>69</v>
      </c>
      <c r="L8">
        <v>61</v>
      </c>
      <c r="M8">
        <v>85</v>
      </c>
      <c r="N8">
        <v>0</v>
      </c>
      <c r="O8" s="1">
        <f t="shared" si="1"/>
        <v>51.74</v>
      </c>
      <c r="P8">
        <f t="shared" si="0"/>
        <v>71.67</v>
      </c>
      <c r="R8" t="s">
        <v>23</v>
      </c>
    </row>
    <row r="9" spans="1:19">
      <c r="A9">
        <v>54194</v>
      </c>
      <c r="B9">
        <v>5097</v>
      </c>
      <c r="C9" t="s">
        <v>16</v>
      </c>
      <c r="D9" t="s">
        <v>17</v>
      </c>
      <c r="E9" t="s">
        <v>18</v>
      </c>
      <c r="F9">
        <v>87.5</v>
      </c>
      <c r="G9">
        <v>88.89</v>
      </c>
      <c r="H9">
        <v>100</v>
      </c>
      <c r="I9">
        <v>95.65</v>
      </c>
      <c r="J9">
        <v>0</v>
      </c>
      <c r="K9">
        <v>88</v>
      </c>
      <c r="L9">
        <v>80</v>
      </c>
      <c r="M9">
        <v>76</v>
      </c>
      <c r="N9">
        <v>10</v>
      </c>
      <c r="O9">
        <f t="shared" si="1"/>
        <v>94.85</v>
      </c>
      <c r="P9">
        <f t="shared" si="0"/>
        <v>84.67</v>
      </c>
      <c r="Q9">
        <f t="shared" ref="Q9:Q30" si="2">ROUND(0.4*O9+0.6*P9,0)</f>
        <v>89</v>
      </c>
      <c r="R9" t="s">
        <v>24</v>
      </c>
    </row>
    <row r="10" spans="1:19">
      <c r="A10">
        <v>22821</v>
      </c>
      <c r="B10">
        <v>3446</v>
      </c>
      <c r="C10" t="s">
        <v>16</v>
      </c>
      <c r="D10" t="s">
        <v>17</v>
      </c>
      <c r="E10" t="s">
        <v>18</v>
      </c>
      <c r="F10">
        <v>90.625</v>
      </c>
      <c r="G10">
        <v>0</v>
      </c>
      <c r="H10">
        <v>71.430000000000007</v>
      </c>
      <c r="I10">
        <v>100</v>
      </c>
      <c r="J10">
        <v>0</v>
      </c>
      <c r="K10">
        <v>96</v>
      </c>
      <c r="L10">
        <v>93</v>
      </c>
      <c r="M10">
        <v>90</v>
      </c>
      <c r="N10">
        <v>10</v>
      </c>
      <c r="O10">
        <f t="shared" si="1"/>
        <v>87.35</v>
      </c>
      <c r="P10">
        <f t="shared" si="0"/>
        <v>96.33</v>
      </c>
      <c r="Q10">
        <f t="shared" si="2"/>
        <v>93</v>
      </c>
      <c r="R10" t="s">
        <v>19</v>
      </c>
    </row>
    <row r="11" spans="1:19">
      <c r="A11">
        <v>52143</v>
      </c>
      <c r="B11">
        <v>6857</v>
      </c>
      <c r="C11" t="s">
        <v>16</v>
      </c>
      <c r="D11" t="s">
        <v>17</v>
      </c>
      <c r="E11" t="s">
        <v>18</v>
      </c>
      <c r="F11">
        <v>81.25</v>
      </c>
      <c r="G11">
        <v>88.89</v>
      </c>
      <c r="H11">
        <v>80.95</v>
      </c>
      <c r="I11">
        <v>91.3</v>
      </c>
      <c r="J11">
        <v>0</v>
      </c>
      <c r="K11">
        <v>72</v>
      </c>
      <c r="L11">
        <v>61</v>
      </c>
      <c r="M11">
        <v>61</v>
      </c>
      <c r="N11">
        <v>10</v>
      </c>
      <c r="O11">
        <f t="shared" si="1"/>
        <v>87.15</v>
      </c>
      <c r="P11">
        <f t="shared" si="0"/>
        <v>68</v>
      </c>
      <c r="Q11">
        <f t="shared" si="2"/>
        <v>76</v>
      </c>
      <c r="R11" t="s">
        <v>25</v>
      </c>
    </row>
    <row r="12" spans="1:19" ht="13">
      <c r="A12">
        <v>5564</v>
      </c>
      <c r="B12">
        <v>1354</v>
      </c>
      <c r="C12" t="s">
        <v>16</v>
      </c>
      <c r="D12" t="s">
        <v>17</v>
      </c>
      <c r="E12" t="s">
        <v>18</v>
      </c>
      <c r="F12">
        <v>87.5</v>
      </c>
      <c r="G12">
        <v>61.11</v>
      </c>
      <c r="H12">
        <v>95.2</v>
      </c>
      <c r="I12">
        <v>100</v>
      </c>
      <c r="J12">
        <v>0</v>
      </c>
      <c r="K12">
        <v>95</v>
      </c>
      <c r="L12">
        <v>83</v>
      </c>
      <c r="M12">
        <v>89</v>
      </c>
      <c r="N12">
        <v>0</v>
      </c>
      <c r="O12" s="1">
        <f t="shared" si="1"/>
        <v>94.23</v>
      </c>
      <c r="P12">
        <f t="shared" si="0"/>
        <v>89</v>
      </c>
      <c r="Q12">
        <f t="shared" si="2"/>
        <v>91</v>
      </c>
      <c r="R12" t="s">
        <v>26</v>
      </c>
      <c r="S12" t="s">
        <v>19</v>
      </c>
    </row>
    <row r="13" spans="1:19">
      <c r="A13">
        <v>54404</v>
      </c>
      <c r="B13">
        <v>2267</v>
      </c>
      <c r="C13" t="s">
        <v>16</v>
      </c>
      <c r="D13" t="s">
        <v>17</v>
      </c>
      <c r="E13" t="s">
        <v>18</v>
      </c>
      <c r="F13">
        <v>90.625</v>
      </c>
      <c r="G13">
        <v>100</v>
      </c>
      <c r="H13">
        <v>0</v>
      </c>
      <c r="I13">
        <v>100</v>
      </c>
      <c r="J13">
        <v>0</v>
      </c>
      <c r="K13">
        <v>83</v>
      </c>
      <c r="L13">
        <v>81</v>
      </c>
      <c r="M13">
        <v>82</v>
      </c>
      <c r="N13">
        <v>0</v>
      </c>
      <c r="O13">
        <f t="shared" si="1"/>
        <v>96.88</v>
      </c>
      <c r="P13">
        <f t="shared" si="0"/>
        <v>82</v>
      </c>
      <c r="Q13">
        <f t="shared" si="2"/>
        <v>88</v>
      </c>
      <c r="R13" t="s">
        <v>27</v>
      </c>
    </row>
    <row r="14" spans="1:19">
      <c r="A14">
        <v>53578</v>
      </c>
      <c r="B14">
        <v>8705</v>
      </c>
      <c r="C14" t="s">
        <v>16</v>
      </c>
      <c r="D14" t="s">
        <v>17</v>
      </c>
      <c r="E14" t="s">
        <v>18</v>
      </c>
      <c r="F14">
        <v>81.25</v>
      </c>
      <c r="G14">
        <v>0</v>
      </c>
      <c r="H14">
        <v>80.95</v>
      </c>
      <c r="I14">
        <v>95.65</v>
      </c>
      <c r="J14">
        <v>0</v>
      </c>
      <c r="K14">
        <v>69</v>
      </c>
      <c r="L14">
        <v>92</v>
      </c>
      <c r="M14">
        <v>82</v>
      </c>
      <c r="N14">
        <v>10</v>
      </c>
      <c r="O14">
        <f t="shared" si="1"/>
        <v>85.95</v>
      </c>
      <c r="P14">
        <f>ROUND((0.1*K14+0.25*L14+0.25*M14)/0.6,2)</f>
        <v>84</v>
      </c>
      <c r="Q14">
        <f t="shared" si="2"/>
        <v>85</v>
      </c>
      <c r="R14" t="s">
        <v>18</v>
      </c>
    </row>
    <row r="15" spans="1:19">
      <c r="A15">
        <v>61910</v>
      </c>
      <c r="B15">
        <v>3265</v>
      </c>
      <c r="C15" t="s">
        <v>16</v>
      </c>
      <c r="D15" t="s">
        <v>17</v>
      </c>
      <c r="E15" t="s">
        <v>18</v>
      </c>
      <c r="F15">
        <v>93.75</v>
      </c>
      <c r="G15">
        <v>94.44</v>
      </c>
      <c r="H15">
        <v>95.24</v>
      </c>
      <c r="I15">
        <v>0</v>
      </c>
      <c r="J15">
        <v>0</v>
      </c>
      <c r="K15">
        <v>90</v>
      </c>
      <c r="L15">
        <v>87</v>
      </c>
      <c r="M15">
        <v>85</v>
      </c>
      <c r="N15">
        <v>10</v>
      </c>
      <c r="O15">
        <f t="shared" si="1"/>
        <v>94.48</v>
      </c>
      <c r="P15">
        <f t="shared" ref="P15:P38" si="3">ROUND((K15+L15+M15 +N15)/3,2)</f>
        <v>90.67</v>
      </c>
      <c r="Q15">
        <f t="shared" si="2"/>
        <v>92</v>
      </c>
      <c r="R15" t="s">
        <v>19</v>
      </c>
    </row>
    <row r="16" spans="1:19">
      <c r="A16">
        <v>54102</v>
      </c>
      <c r="B16">
        <v>4375</v>
      </c>
      <c r="C16" t="s">
        <v>16</v>
      </c>
      <c r="D16" t="s">
        <v>17</v>
      </c>
      <c r="E16" t="s">
        <v>18</v>
      </c>
      <c r="F16">
        <v>100</v>
      </c>
      <c r="G16">
        <v>100</v>
      </c>
      <c r="H16">
        <v>100</v>
      </c>
      <c r="I16">
        <v>0</v>
      </c>
      <c r="J16">
        <v>0</v>
      </c>
      <c r="K16">
        <v>96</v>
      </c>
      <c r="L16">
        <v>83</v>
      </c>
      <c r="M16">
        <v>71</v>
      </c>
      <c r="N16">
        <v>0</v>
      </c>
      <c r="O16">
        <f t="shared" si="1"/>
        <v>100</v>
      </c>
      <c r="P16">
        <f t="shared" si="3"/>
        <v>83.33</v>
      </c>
      <c r="Q16">
        <f t="shared" si="2"/>
        <v>90</v>
      </c>
      <c r="R16" t="s">
        <v>24</v>
      </c>
    </row>
    <row r="17" spans="1:18">
      <c r="A17">
        <v>54433</v>
      </c>
      <c r="B17">
        <v>8626</v>
      </c>
      <c r="C17" t="s">
        <v>16</v>
      </c>
      <c r="D17" t="s">
        <v>17</v>
      </c>
      <c r="E17" t="s">
        <v>18</v>
      </c>
      <c r="F17">
        <v>100</v>
      </c>
      <c r="G17">
        <v>100</v>
      </c>
      <c r="H17">
        <v>95.24</v>
      </c>
      <c r="I17">
        <v>95.65</v>
      </c>
      <c r="J17">
        <v>0</v>
      </c>
      <c r="K17">
        <v>97</v>
      </c>
      <c r="L17">
        <v>94</v>
      </c>
      <c r="M17">
        <v>98</v>
      </c>
      <c r="N17">
        <v>10</v>
      </c>
      <c r="O17">
        <f t="shared" si="1"/>
        <v>98.55</v>
      </c>
      <c r="P17">
        <f t="shared" si="3"/>
        <v>99.67</v>
      </c>
      <c r="Q17">
        <f t="shared" si="2"/>
        <v>99</v>
      </c>
      <c r="R17" t="s">
        <v>19</v>
      </c>
    </row>
    <row r="18" spans="1:18">
      <c r="A18">
        <v>55067</v>
      </c>
      <c r="B18">
        <v>4943</v>
      </c>
      <c r="C18" t="s">
        <v>16</v>
      </c>
      <c r="D18" t="s">
        <v>17</v>
      </c>
      <c r="E18" t="s">
        <v>18</v>
      </c>
      <c r="F18">
        <v>87.5</v>
      </c>
      <c r="G18">
        <v>100</v>
      </c>
      <c r="H18">
        <v>95.24</v>
      </c>
      <c r="I18">
        <v>100</v>
      </c>
      <c r="J18">
        <v>0</v>
      </c>
      <c r="K18">
        <v>84</v>
      </c>
      <c r="L18">
        <v>77</v>
      </c>
      <c r="M18">
        <v>90</v>
      </c>
      <c r="N18">
        <v>10</v>
      </c>
      <c r="O18">
        <f t="shared" si="1"/>
        <v>98.41</v>
      </c>
      <c r="P18">
        <f t="shared" si="3"/>
        <v>87</v>
      </c>
      <c r="Q18">
        <f t="shared" si="2"/>
        <v>92</v>
      </c>
      <c r="R18" t="s">
        <v>19</v>
      </c>
    </row>
    <row r="19" spans="1:18">
      <c r="A19">
        <v>54319</v>
      </c>
      <c r="B19">
        <v>348</v>
      </c>
      <c r="C19" t="s">
        <v>16</v>
      </c>
      <c r="D19" t="s">
        <v>17</v>
      </c>
      <c r="E19" t="s">
        <v>18</v>
      </c>
      <c r="F19">
        <v>100</v>
      </c>
      <c r="G19">
        <v>100</v>
      </c>
      <c r="H19">
        <v>95.24</v>
      </c>
      <c r="I19">
        <v>100</v>
      </c>
      <c r="J19">
        <v>0</v>
      </c>
      <c r="K19">
        <v>92</v>
      </c>
      <c r="L19">
        <v>71</v>
      </c>
      <c r="M19">
        <v>91</v>
      </c>
      <c r="N19">
        <v>10</v>
      </c>
      <c r="O19">
        <f t="shared" si="1"/>
        <v>100</v>
      </c>
      <c r="P19">
        <f t="shared" si="3"/>
        <v>88</v>
      </c>
      <c r="Q19">
        <f t="shared" si="2"/>
        <v>93</v>
      </c>
      <c r="R19" t="s">
        <v>19</v>
      </c>
    </row>
    <row r="20" spans="1:18">
      <c r="A20">
        <v>54347</v>
      </c>
      <c r="B20">
        <v>4704</v>
      </c>
      <c r="C20" t="s">
        <v>16</v>
      </c>
      <c r="D20" t="s">
        <v>17</v>
      </c>
      <c r="E20" t="s">
        <v>19</v>
      </c>
      <c r="F20">
        <v>87.5</v>
      </c>
      <c r="G20">
        <v>5.56</v>
      </c>
      <c r="H20">
        <v>100</v>
      </c>
      <c r="I20">
        <v>95.65</v>
      </c>
      <c r="J20">
        <v>0</v>
      </c>
      <c r="K20">
        <v>74</v>
      </c>
      <c r="L20">
        <v>64</v>
      </c>
      <c r="M20">
        <v>73</v>
      </c>
      <c r="N20">
        <v>10</v>
      </c>
      <c r="O20">
        <f t="shared" si="1"/>
        <v>94.38</v>
      </c>
      <c r="P20">
        <f t="shared" si="3"/>
        <v>73.67</v>
      </c>
      <c r="Q20">
        <f t="shared" si="2"/>
        <v>82</v>
      </c>
      <c r="R20" t="s">
        <v>18</v>
      </c>
    </row>
    <row r="21" spans="1:18">
      <c r="A21">
        <v>54198</v>
      </c>
      <c r="B21">
        <v>4148</v>
      </c>
      <c r="C21" t="s">
        <v>16</v>
      </c>
      <c r="D21" t="s">
        <v>17</v>
      </c>
      <c r="E21" t="s">
        <v>18</v>
      </c>
      <c r="F21">
        <v>90.625</v>
      </c>
      <c r="G21">
        <v>72.22</v>
      </c>
      <c r="H21">
        <v>71.430000000000007</v>
      </c>
      <c r="I21">
        <v>100</v>
      </c>
      <c r="J21">
        <v>0</v>
      </c>
      <c r="K21">
        <v>87</v>
      </c>
      <c r="L21">
        <v>67</v>
      </c>
      <c r="M21">
        <v>85</v>
      </c>
      <c r="N21">
        <v>10</v>
      </c>
      <c r="O21">
        <f t="shared" si="1"/>
        <v>87.62</v>
      </c>
      <c r="P21">
        <f t="shared" si="3"/>
        <v>83</v>
      </c>
      <c r="Q21">
        <f t="shared" si="2"/>
        <v>85</v>
      </c>
      <c r="R21" t="s">
        <v>18</v>
      </c>
    </row>
    <row r="22" spans="1:18">
      <c r="A22">
        <v>54227</v>
      </c>
      <c r="B22">
        <v>4764</v>
      </c>
      <c r="C22" t="s">
        <v>16</v>
      </c>
      <c r="D22" t="s">
        <v>17</v>
      </c>
      <c r="E22" t="s">
        <v>18</v>
      </c>
      <c r="F22">
        <v>0</v>
      </c>
      <c r="G22">
        <v>0</v>
      </c>
      <c r="H22">
        <v>0</v>
      </c>
      <c r="I22">
        <v>0</v>
      </c>
      <c r="J22">
        <v>0</v>
      </c>
      <c r="N22">
        <v>0</v>
      </c>
      <c r="O22">
        <f t="shared" si="1"/>
        <v>0</v>
      </c>
      <c r="P22">
        <f t="shared" si="3"/>
        <v>0</v>
      </c>
      <c r="Q22">
        <f t="shared" si="2"/>
        <v>0</v>
      </c>
    </row>
    <row r="23" spans="1:18">
      <c r="A23">
        <v>54123</v>
      </c>
      <c r="B23">
        <v>9535</v>
      </c>
      <c r="C23" t="s">
        <v>16</v>
      </c>
      <c r="D23" t="s">
        <v>17</v>
      </c>
      <c r="E23" t="s">
        <v>19</v>
      </c>
      <c r="F23">
        <v>87.5</v>
      </c>
      <c r="G23">
        <v>100</v>
      </c>
      <c r="H23">
        <v>95.24</v>
      </c>
      <c r="I23">
        <v>0</v>
      </c>
      <c r="J23">
        <v>0</v>
      </c>
      <c r="K23">
        <v>87</v>
      </c>
      <c r="L23">
        <v>87</v>
      </c>
      <c r="M23">
        <v>94</v>
      </c>
      <c r="N23">
        <v>0</v>
      </c>
      <c r="O23">
        <f t="shared" si="1"/>
        <v>94.25</v>
      </c>
      <c r="P23">
        <f t="shared" si="3"/>
        <v>89.33</v>
      </c>
      <c r="Q23">
        <f t="shared" si="2"/>
        <v>91</v>
      </c>
      <c r="R23" t="s">
        <v>19</v>
      </c>
    </row>
    <row r="24" spans="1:18">
      <c r="C24" t="s">
        <v>16</v>
      </c>
      <c r="D24" t="s">
        <v>17</v>
      </c>
      <c r="E24" t="s">
        <v>19</v>
      </c>
      <c r="F24">
        <v>93.75</v>
      </c>
      <c r="G24">
        <v>94.44</v>
      </c>
      <c r="H24">
        <v>77.78</v>
      </c>
      <c r="I24">
        <v>0</v>
      </c>
      <c r="J24">
        <v>0</v>
      </c>
      <c r="K24">
        <v>69</v>
      </c>
      <c r="L24">
        <v>68</v>
      </c>
      <c r="M24">
        <v>65</v>
      </c>
      <c r="N24">
        <v>0</v>
      </c>
      <c r="O24">
        <f t="shared" si="1"/>
        <v>88.66</v>
      </c>
      <c r="P24">
        <f t="shared" si="3"/>
        <v>67.33</v>
      </c>
      <c r="Q24">
        <f t="shared" si="2"/>
        <v>76</v>
      </c>
      <c r="R24" t="s">
        <v>25</v>
      </c>
    </row>
    <row r="25" spans="1:18">
      <c r="A25">
        <v>58672</v>
      </c>
      <c r="B25">
        <v>3995</v>
      </c>
      <c r="C25" t="s">
        <v>16</v>
      </c>
      <c r="D25" t="s">
        <v>17</v>
      </c>
      <c r="E25" t="s">
        <v>19</v>
      </c>
      <c r="F25">
        <v>100</v>
      </c>
      <c r="G25">
        <v>100</v>
      </c>
      <c r="H25">
        <v>95.24</v>
      </c>
      <c r="I25">
        <v>100</v>
      </c>
      <c r="J25">
        <v>0</v>
      </c>
      <c r="K25">
        <v>84</v>
      </c>
      <c r="L25">
        <v>86</v>
      </c>
      <c r="M25">
        <v>94</v>
      </c>
      <c r="N25">
        <v>10</v>
      </c>
      <c r="O25">
        <f t="shared" si="1"/>
        <v>100</v>
      </c>
      <c r="P25">
        <f t="shared" si="3"/>
        <v>91.33</v>
      </c>
      <c r="Q25">
        <f t="shared" si="2"/>
        <v>95</v>
      </c>
      <c r="R25" t="s">
        <v>19</v>
      </c>
    </row>
    <row r="26" spans="1:18">
      <c r="A26">
        <v>61101</v>
      </c>
      <c r="B26">
        <v>4070</v>
      </c>
      <c r="C26" t="s">
        <v>16</v>
      </c>
      <c r="D26" t="s">
        <v>17</v>
      </c>
      <c r="E26" t="s">
        <v>19</v>
      </c>
      <c r="F26">
        <v>93.75</v>
      </c>
      <c r="G26">
        <v>94.44</v>
      </c>
      <c r="H26">
        <v>90.48</v>
      </c>
      <c r="I26">
        <v>0</v>
      </c>
      <c r="J26">
        <v>0</v>
      </c>
      <c r="K26">
        <v>87</v>
      </c>
      <c r="L26">
        <v>79</v>
      </c>
      <c r="M26">
        <v>81</v>
      </c>
      <c r="N26">
        <v>10</v>
      </c>
      <c r="O26">
        <f t="shared" si="1"/>
        <v>92.89</v>
      </c>
      <c r="P26">
        <f t="shared" si="3"/>
        <v>85.67</v>
      </c>
      <c r="Q26">
        <f t="shared" si="2"/>
        <v>89</v>
      </c>
      <c r="R26" t="s">
        <v>24</v>
      </c>
    </row>
    <row r="27" spans="1:18">
      <c r="A27">
        <v>54323</v>
      </c>
      <c r="B27">
        <v>6284</v>
      </c>
      <c r="C27" t="s">
        <v>16</v>
      </c>
      <c r="D27" t="s">
        <v>17</v>
      </c>
      <c r="E27" t="s">
        <v>19</v>
      </c>
      <c r="F27">
        <v>84.375</v>
      </c>
      <c r="G27">
        <v>44.44</v>
      </c>
      <c r="H27">
        <v>76.19</v>
      </c>
      <c r="I27">
        <v>95.65</v>
      </c>
      <c r="J27">
        <v>0</v>
      </c>
      <c r="K27">
        <v>92</v>
      </c>
      <c r="L27">
        <v>59</v>
      </c>
      <c r="M27">
        <v>80</v>
      </c>
      <c r="N27">
        <v>10</v>
      </c>
      <c r="O27">
        <f t="shared" si="1"/>
        <v>85.41</v>
      </c>
      <c r="P27">
        <f t="shared" si="3"/>
        <v>80.33</v>
      </c>
      <c r="Q27">
        <f t="shared" si="2"/>
        <v>82</v>
      </c>
      <c r="R27" t="s">
        <v>18</v>
      </c>
    </row>
    <row r="28" spans="1:18">
      <c r="A28">
        <v>54106</v>
      </c>
      <c r="B28">
        <v>4843</v>
      </c>
      <c r="C28" t="s">
        <v>16</v>
      </c>
      <c r="D28" t="s">
        <v>17</v>
      </c>
      <c r="E28" t="s">
        <v>19</v>
      </c>
      <c r="F28">
        <v>87.5</v>
      </c>
      <c r="G28">
        <v>61.11</v>
      </c>
      <c r="H28">
        <v>90.48</v>
      </c>
      <c r="I28">
        <v>91.3</v>
      </c>
      <c r="J28">
        <v>0</v>
      </c>
      <c r="K28">
        <v>69</v>
      </c>
      <c r="L28">
        <v>54</v>
      </c>
      <c r="M28">
        <v>51</v>
      </c>
      <c r="N28">
        <v>10</v>
      </c>
      <c r="O28">
        <f t="shared" si="1"/>
        <v>89.76</v>
      </c>
      <c r="P28" s="2">
        <f t="shared" si="3"/>
        <v>61.33</v>
      </c>
      <c r="Q28">
        <f t="shared" si="2"/>
        <v>73</v>
      </c>
      <c r="R28" t="s">
        <v>21</v>
      </c>
    </row>
    <row r="29" spans="1:18">
      <c r="C29" t="s">
        <v>16</v>
      </c>
      <c r="D29" t="s">
        <v>17</v>
      </c>
      <c r="E29" t="s">
        <v>19</v>
      </c>
      <c r="F29">
        <v>81.25</v>
      </c>
      <c r="G29">
        <v>88.89</v>
      </c>
      <c r="H29">
        <v>76.19</v>
      </c>
      <c r="I29">
        <v>0</v>
      </c>
      <c r="J29">
        <v>0</v>
      </c>
      <c r="K29">
        <v>80</v>
      </c>
      <c r="L29">
        <v>70</v>
      </c>
      <c r="M29">
        <v>81</v>
      </c>
      <c r="N29">
        <v>10</v>
      </c>
      <c r="O29">
        <f t="shared" si="1"/>
        <v>82.11</v>
      </c>
      <c r="P29">
        <f t="shared" si="3"/>
        <v>80.33</v>
      </c>
      <c r="Q29">
        <f t="shared" si="2"/>
        <v>81</v>
      </c>
      <c r="R29" t="s">
        <v>20</v>
      </c>
    </row>
    <row r="30" spans="1:18">
      <c r="A30">
        <v>18352</v>
      </c>
      <c r="B30">
        <v>1659</v>
      </c>
      <c r="C30" t="s">
        <v>16</v>
      </c>
      <c r="D30" t="s">
        <v>17</v>
      </c>
      <c r="E30" t="s">
        <v>19</v>
      </c>
      <c r="F30">
        <v>100</v>
      </c>
      <c r="G30">
        <v>94.44</v>
      </c>
      <c r="H30">
        <v>0</v>
      </c>
      <c r="I30">
        <v>95.65</v>
      </c>
      <c r="J30">
        <v>0</v>
      </c>
      <c r="K30">
        <v>83</v>
      </c>
      <c r="L30">
        <v>79</v>
      </c>
      <c r="M30">
        <v>68</v>
      </c>
      <c r="N30">
        <v>0</v>
      </c>
      <c r="O30">
        <f t="shared" si="1"/>
        <v>96.7</v>
      </c>
      <c r="P30">
        <f t="shared" si="3"/>
        <v>76.67</v>
      </c>
      <c r="Q30">
        <f t="shared" si="2"/>
        <v>85</v>
      </c>
      <c r="R30" t="s">
        <v>18</v>
      </c>
    </row>
    <row r="31" spans="1:18" ht="13">
      <c r="A31">
        <v>39688</v>
      </c>
      <c r="B31">
        <v>1165</v>
      </c>
      <c r="C31" t="s">
        <v>16</v>
      </c>
      <c r="D31" t="s">
        <v>17</v>
      </c>
      <c r="E31" t="s">
        <v>18</v>
      </c>
      <c r="F31">
        <v>100</v>
      </c>
      <c r="G31">
        <v>0</v>
      </c>
      <c r="H31">
        <v>47.62</v>
      </c>
      <c r="I31">
        <v>95.65</v>
      </c>
      <c r="J31">
        <v>0</v>
      </c>
      <c r="K31">
        <v>53</v>
      </c>
      <c r="L31">
        <v>49</v>
      </c>
      <c r="M31">
        <v>48</v>
      </c>
      <c r="N31">
        <v>0</v>
      </c>
      <c r="O31">
        <f t="shared" si="1"/>
        <v>81.09</v>
      </c>
      <c r="P31" s="1">
        <f t="shared" si="3"/>
        <v>50</v>
      </c>
      <c r="R31" t="s">
        <v>28</v>
      </c>
    </row>
    <row r="32" spans="1:18">
      <c r="A32">
        <v>62582</v>
      </c>
      <c r="B32">
        <v>621</v>
      </c>
      <c r="C32" t="s">
        <v>16</v>
      </c>
      <c r="D32" t="s">
        <v>17</v>
      </c>
      <c r="E32" t="s">
        <v>19</v>
      </c>
      <c r="F32">
        <v>81.25</v>
      </c>
      <c r="G32">
        <v>66.67</v>
      </c>
      <c r="H32">
        <v>0</v>
      </c>
      <c r="I32">
        <v>0</v>
      </c>
      <c r="J32">
        <v>0</v>
      </c>
      <c r="K32">
        <v>66</v>
      </c>
      <c r="N32">
        <v>0</v>
      </c>
      <c r="O32">
        <f t="shared" si="1"/>
        <v>49.31</v>
      </c>
      <c r="P32">
        <f t="shared" si="3"/>
        <v>22</v>
      </c>
      <c r="Q32">
        <f t="shared" ref="Q32:Q38" si="4">ROUND(0.4*O32+0.6*P32,0)</f>
        <v>33</v>
      </c>
      <c r="R32" t="s">
        <v>29</v>
      </c>
    </row>
    <row r="33" spans="1:19">
      <c r="A33">
        <v>54098</v>
      </c>
      <c r="B33">
        <v>5671</v>
      </c>
      <c r="C33" t="s">
        <v>16</v>
      </c>
      <c r="D33" t="s">
        <v>17</v>
      </c>
      <c r="E33" t="s">
        <v>19</v>
      </c>
      <c r="F33">
        <v>0</v>
      </c>
      <c r="G33">
        <v>0</v>
      </c>
      <c r="H33">
        <v>0</v>
      </c>
      <c r="I33">
        <v>0</v>
      </c>
      <c r="J33">
        <v>0</v>
      </c>
      <c r="N33">
        <v>0</v>
      </c>
      <c r="O33">
        <f t="shared" si="1"/>
        <v>0</v>
      </c>
      <c r="P33">
        <f t="shared" si="3"/>
        <v>0</v>
      </c>
      <c r="Q33">
        <f t="shared" si="4"/>
        <v>0</v>
      </c>
    </row>
    <row r="34" spans="1:19" ht="13">
      <c r="A34">
        <v>54117</v>
      </c>
      <c r="B34">
        <v>5745</v>
      </c>
      <c r="C34" t="s">
        <v>16</v>
      </c>
      <c r="D34" t="s">
        <v>17</v>
      </c>
      <c r="E34" t="s">
        <v>19</v>
      </c>
      <c r="F34">
        <v>93.7</v>
      </c>
      <c r="G34">
        <v>66.7</v>
      </c>
      <c r="H34">
        <v>61.9</v>
      </c>
      <c r="I34">
        <v>0</v>
      </c>
      <c r="J34">
        <v>0</v>
      </c>
      <c r="K34">
        <v>77</v>
      </c>
      <c r="L34">
        <v>58</v>
      </c>
      <c r="M34">
        <v>44</v>
      </c>
      <c r="N34">
        <v>10</v>
      </c>
      <c r="O34" s="1">
        <f t="shared" si="1"/>
        <v>74.099999999999994</v>
      </c>
      <c r="P34">
        <f t="shared" si="3"/>
        <v>63</v>
      </c>
      <c r="Q34">
        <f t="shared" si="4"/>
        <v>67</v>
      </c>
      <c r="R34" t="s">
        <v>26</v>
      </c>
      <c r="S34" t="s">
        <v>30</v>
      </c>
    </row>
    <row r="35" spans="1:19">
      <c r="A35">
        <v>54245</v>
      </c>
      <c r="B35">
        <v>2975</v>
      </c>
      <c r="C35" t="s">
        <v>16</v>
      </c>
      <c r="D35" t="s">
        <v>17</v>
      </c>
      <c r="E35" t="s">
        <v>19</v>
      </c>
      <c r="F35">
        <v>87.5</v>
      </c>
      <c r="G35">
        <v>0</v>
      </c>
      <c r="H35">
        <v>95.24</v>
      </c>
      <c r="I35">
        <v>91.3</v>
      </c>
      <c r="J35">
        <v>0</v>
      </c>
      <c r="K35">
        <v>59</v>
      </c>
      <c r="L35">
        <v>53</v>
      </c>
      <c r="M35">
        <v>70</v>
      </c>
      <c r="N35">
        <v>10</v>
      </c>
      <c r="O35">
        <f t="shared" si="1"/>
        <v>91.35</v>
      </c>
      <c r="P35">
        <f t="shared" si="3"/>
        <v>64</v>
      </c>
      <c r="Q35">
        <f t="shared" si="4"/>
        <v>75</v>
      </c>
      <c r="R35" t="s">
        <v>21</v>
      </c>
    </row>
    <row r="36" spans="1:19">
      <c r="A36">
        <v>54098</v>
      </c>
      <c r="B36">
        <v>7277</v>
      </c>
      <c r="C36" t="s">
        <v>16</v>
      </c>
      <c r="D36" t="s">
        <v>17</v>
      </c>
      <c r="E36" t="s">
        <v>19</v>
      </c>
      <c r="F36">
        <v>90.625</v>
      </c>
      <c r="G36">
        <v>83.33</v>
      </c>
      <c r="H36">
        <v>85.71</v>
      </c>
      <c r="I36">
        <v>82.61</v>
      </c>
      <c r="J36">
        <v>0</v>
      </c>
      <c r="K36">
        <v>76</v>
      </c>
      <c r="L36">
        <v>84</v>
      </c>
      <c r="M36">
        <v>72</v>
      </c>
      <c r="N36">
        <v>10</v>
      </c>
      <c r="O36">
        <f t="shared" si="1"/>
        <v>86.56</v>
      </c>
      <c r="P36">
        <f t="shared" si="3"/>
        <v>80.67</v>
      </c>
      <c r="Q36">
        <f t="shared" si="4"/>
        <v>83</v>
      </c>
      <c r="R36" t="s">
        <v>18</v>
      </c>
    </row>
    <row r="37" spans="1:19">
      <c r="A37">
        <v>54172</v>
      </c>
      <c r="B37">
        <v>3952</v>
      </c>
      <c r="C37" t="s">
        <v>16</v>
      </c>
      <c r="D37" t="s">
        <v>17</v>
      </c>
      <c r="E37" t="s">
        <v>19</v>
      </c>
      <c r="F37">
        <v>100</v>
      </c>
      <c r="G37">
        <v>83.33</v>
      </c>
      <c r="H37">
        <v>0</v>
      </c>
      <c r="I37">
        <v>95.65</v>
      </c>
      <c r="J37">
        <v>0</v>
      </c>
      <c r="K37">
        <v>93</v>
      </c>
      <c r="L37">
        <v>72</v>
      </c>
      <c r="M37">
        <v>86</v>
      </c>
      <c r="N37">
        <v>10</v>
      </c>
      <c r="O37">
        <f t="shared" si="1"/>
        <v>92.99</v>
      </c>
      <c r="P37">
        <f t="shared" si="3"/>
        <v>87</v>
      </c>
      <c r="Q37">
        <f t="shared" si="4"/>
        <v>89</v>
      </c>
      <c r="R37" t="s">
        <v>24</v>
      </c>
    </row>
    <row r="38" spans="1:19">
      <c r="A38">
        <v>54296</v>
      </c>
      <c r="B38">
        <v>5746</v>
      </c>
      <c r="C38" t="s">
        <v>16</v>
      </c>
      <c r="D38" t="s">
        <v>17</v>
      </c>
      <c r="E38" t="s">
        <v>19</v>
      </c>
      <c r="F38">
        <v>0</v>
      </c>
      <c r="G38">
        <v>88.89</v>
      </c>
      <c r="H38">
        <v>100</v>
      </c>
      <c r="I38">
        <v>100</v>
      </c>
      <c r="J38">
        <v>0</v>
      </c>
      <c r="K38">
        <v>72</v>
      </c>
      <c r="L38">
        <v>73</v>
      </c>
      <c r="M38">
        <v>81</v>
      </c>
      <c r="N38">
        <v>10</v>
      </c>
      <c r="O38">
        <f t="shared" si="1"/>
        <v>96.3</v>
      </c>
      <c r="P38">
        <f t="shared" si="3"/>
        <v>78.67</v>
      </c>
      <c r="Q38">
        <f t="shared" si="4"/>
        <v>86</v>
      </c>
      <c r="R38" t="s">
        <v>27</v>
      </c>
    </row>
  </sheetData>
  <printOptions gridLines="1" gridLinesSet="0"/>
  <pageMargins left="0.5" right="0.5" top="0.5" bottom="0.5" header="0.5" footer="0.5"/>
  <pageSetup paperSize="0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Science Lab</dc:creator>
  <cp:lastModifiedBy>Carina Negreanu</cp:lastModifiedBy>
  <dcterms:created xsi:type="dcterms:W3CDTF">2004-01-13T00:02:10Z</dcterms:created>
  <dcterms:modified xsi:type="dcterms:W3CDTF">2020-01-27T10:31:50Z</dcterms:modified>
</cp:coreProperties>
</file>