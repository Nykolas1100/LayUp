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11D706-C1FB-45B2-BD48-9ED767A8B8ED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58" i="1" l="1"/>
  <c r="Q58" i="1" s="1"/>
  <c r="AH58" i="1" s="1"/>
  <c r="AC58" i="1"/>
  <c r="AE58" i="1"/>
  <c r="AG58" i="1"/>
  <c r="L45" i="1"/>
  <c r="Q45" i="1" s="1"/>
  <c r="AH45" i="1" s="1"/>
  <c r="AC45" i="1"/>
  <c r="AE45" i="1"/>
  <c r="AG45" i="1"/>
  <c r="L10" i="1"/>
  <c r="Q10" i="1"/>
  <c r="AC10" i="1"/>
  <c r="AE10" i="1"/>
  <c r="AG10" i="1"/>
  <c r="AH10" i="1"/>
  <c r="AM10" i="1" s="1"/>
  <c r="L23" i="1"/>
  <c r="Q23" i="1"/>
  <c r="AC23" i="1"/>
  <c r="AE23" i="1"/>
  <c r="AG23" i="1"/>
  <c r="AH23" i="1"/>
  <c r="AM23" i="1"/>
  <c r="L52" i="1"/>
  <c r="Q52" i="1"/>
  <c r="AC52" i="1"/>
  <c r="AE52" i="1"/>
  <c r="AG52" i="1" s="1"/>
  <c r="AH52" i="1" s="1"/>
  <c r="L60" i="1"/>
  <c r="Q60" i="1" s="1"/>
  <c r="AH60" i="1" s="1"/>
  <c r="AC60" i="1"/>
  <c r="AE60" i="1"/>
  <c r="AG60" i="1"/>
  <c r="L37" i="1"/>
  <c r="Q37" i="1"/>
  <c r="AC37" i="1"/>
  <c r="AE37" i="1"/>
  <c r="AG37" i="1"/>
  <c r="AH37" i="1"/>
  <c r="AM37" i="1" s="1"/>
  <c r="L43" i="1"/>
  <c r="Q43" i="1"/>
  <c r="AC43" i="1"/>
  <c r="AE43" i="1" s="1"/>
  <c r="AG43" i="1" s="1"/>
  <c r="L29" i="1"/>
  <c r="Q29" i="1"/>
  <c r="AH29" i="1" s="1"/>
  <c r="AC29" i="1"/>
  <c r="AE29" i="1"/>
  <c r="AG29" i="1" s="1"/>
  <c r="L39" i="1"/>
  <c r="Q39" i="1"/>
  <c r="AC39" i="1"/>
  <c r="AE39" i="1"/>
  <c r="AG39" i="1"/>
  <c r="AH39" i="1" s="1"/>
  <c r="L67" i="1"/>
  <c r="Q67" i="1"/>
  <c r="AC67" i="1"/>
  <c r="AE67" i="1"/>
  <c r="AG67" i="1" s="1"/>
  <c r="L56" i="1"/>
  <c r="Q56" i="1"/>
  <c r="AC56" i="1"/>
  <c r="AE56" i="1" s="1"/>
  <c r="AG56" i="1" s="1"/>
  <c r="L7" i="1"/>
  <c r="Q7" i="1"/>
  <c r="AC7" i="1"/>
  <c r="AE7" i="1"/>
  <c r="AG7" i="1" s="1"/>
  <c r="AH7" i="1" s="1"/>
  <c r="L41" i="1"/>
  <c r="Q41" i="1" s="1"/>
  <c r="AC41" i="1"/>
  <c r="AE41" i="1" s="1"/>
  <c r="AG41" i="1" s="1"/>
  <c r="L20" i="1"/>
  <c r="Q20" i="1"/>
  <c r="AC20" i="1"/>
  <c r="AE20" i="1" s="1"/>
  <c r="AG20" i="1" s="1"/>
  <c r="L5" i="1"/>
  <c r="Q5" i="1"/>
  <c r="AC5" i="1"/>
  <c r="AE5" i="1" s="1"/>
  <c r="AG5" i="1" s="1"/>
  <c r="AH5" i="1" s="1"/>
  <c r="L24" i="1"/>
  <c r="Q24" i="1"/>
  <c r="AC24" i="1"/>
  <c r="AE24" i="1"/>
  <c r="AG24" i="1" s="1"/>
  <c r="AH24" i="1" s="1"/>
  <c r="L14" i="1"/>
  <c r="Q14" i="1" s="1"/>
  <c r="AC14" i="1"/>
  <c r="AE14" i="1" s="1"/>
  <c r="AG14" i="1" s="1"/>
  <c r="L53" i="1"/>
  <c r="Q53" i="1"/>
  <c r="AC53" i="1"/>
  <c r="AE53" i="1"/>
  <c r="AG53" i="1"/>
  <c r="AH53" i="1"/>
  <c r="AL53" i="1" s="1"/>
  <c r="L19" i="1"/>
  <c r="Q19" i="1" s="1"/>
  <c r="AC19" i="1"/>
  <c r="AE19" i="1" s="1"/>
  <c r="AG19" i="1" s="1"/>
  <c r="L30" i="1"/>
  <c r="Q30" i="1" s="1"/>
  <c r="AH30" i="1" s="1"/>
  <c r="AC30" i="1"/>
  <c r="AE30" i="1"/>
  <c r="AG30" i="1"/>
  <c r="L66" i="1"/>
  <c r="Q66" i="1" s="1"/>
  <c r="AH66" i="1" s="1"/>
  <c r="AC66" i="1"/>
  <c r="AE66" i="1"/>
  <c r="AG66" i="1"/>
  <c r="L72" i="1"/>
  <c r="Q72" i="1"/>
  <c r="AC72" i="1"/>
  <c r="AE72" i="1"/>
  <c r="AG72" i="1"/>
  <c r="AH72" i="1"/>
  <c r="AM72" i="1" s="1"/>
  <c r="L11" i="1"/>
  <c r="Q11" i="1" s="1"/>
  <c r="AH11" i="1" s="1"/>
  <c r="AC11" i="1"/>
  <c r="AE11" i="1"/>
  <c r="AG11" i="1"/>
  <c r="L71" i="1"/>
  <c r="Q71" i="1"/>
  <c r="AC71" i="1"/>
  <c r="AE71" i="1"/>
  <c r="AG71" i="1" s="1"/>
  <c r="AH71" i="1" s="1"/>
  <c r="L31" i="1"/>
  <c r="Q31" i="1" s="1"/>
  <c r="AH31" i="1" s="1"/>
  <c r="AC31" i="1"/>
  <c r="AE31" i="1"/>
  <c r="AG31" i="1"/>
  <c r="L61" i="1"/>
  <c r="Q61" i="1"/>
  <c r="AC61" i="1"/>
  <c r="AE61" i="1"/>
  <c r="AG61" i="1"/>
  <c r="AH61" i="1"/>
  <c r="AM61" i="1" s="1"/>
  <c r="L64" i="1"/>
  <c r="Q64" i="1"/>
  <c r="AC64" i="1"/>
  <c r="AE64" i="1" s="1"/>
  <c r="AG64" i="1" s="1"/>
  <c r="L33" i="1"/>
  <c r="Q33" i="1"/>
  <c r="AC33" i="1"/>
  <c r="AE33" i="1"/>
  <c r="AG33" i="1" s="1"/>
  <c r="L55" i="1"/>
  <c r="Q55" i="1" s="1"/>
  <c r="AH55" i="1" s="1"/>
  <c r="AC55" i="1"/>
  <c r="AE55" i="1"/>
  <c r="AG55" i="1"/>
  <c r="L25" i="1"/>
  <c r="Q25" i="1"/>
  <c r="AC25" i="1"/>
  <c r="AE25" i="1"/>
  <c r="AG25" i="1" s="1"/>
  <c r="L12" i="1"/>
  <c r="Q12" i="1"/>
  <c r="AC12" i="1"/>
  <c r="AE12" i="1" s="1"/>
  <c r="AG12" i="1" s="1"/>
  <c r="L18" i="1"/>
  <c r="Q18" i="1"/>
  <c r="AC18" i="1"/>
  <c r="AE18" i="1"/>
  <c r="AG18" i="1" s="1"/>
  <c r="AH18" i="1" s="1"/>
  <c r="L40" i="1"/>
  <c r="Q40" i="1" s="1"/>
  <c r="AC40" i="1"/>
  <c r="AE40" i="1" s="1"/>
  <c r="AG40" i="1" s="1"/>
  <c r="L13" i="1"/>
  <c r="Q13" i="1"/>
  <c r="AC13" i="1"/>
  <c r="AE13" i="1" s="1"/>
  <c r="AG13" i="1" s="1"/>
  <c r="L15" i="1"/>
  <c r="Q15" i="1"/>
  <c r="AC15" i="1"/>
  <c r="AE15" i="1" s="1"/>
  <c r="AG15" i="1" s="1"/>
  <c r="AH15" i="1" s="1"/>
  <c r="L46" i="1"/>
  <c r="Q46" i="1"/>
  <c r="AC46" i="1"/>
  <c r="AE46" i="1"/>
  <c r="AG46" i="1" s="1"/>
  <c r="AH46" i="1" s="1"/>
  <c r="L42" i="1"/>
  <c r="Q42" i="1" s="1"/>
  <c r="AC42" i="1"/>
  <c r="AE42" i="1" s="1"/>
  <c r="AG42" i="1" s="1"/>
  <c r="L50" i="1"/>
  <c r="Q50" i="1"/>
  <c r="AC50" i="1"/>
  <c r="AE50" i="1"/>
  <c r="AG50" i="1"/>
  <c r="AH50" i="1"/>
  <c r="AM50" i="1" s="1"/>
  <c r="L47" i="1"/>
  <c r="Q47" i="1" s="1"/>
  <c r="AC47" i="1"/>
  <c r="AE47" i="1" s="1"/>
  <c r="AG47" i="1" s="1"/>
  <c r="L62" i="1"/>
  <c r="Q62" i="1" s="1"/>
  <c r="AC62" i="1"/>
  <c r="AE62" i="1" s="1"/>
  <c r="AG62" i="1" s="1"/>
  <c r="L63" i="1"/>
  <c r="Q63" i="1" s="1"/>
  <c r="AH63" i="1" s="1"/>
  <c r="AC63" i="1"/>
  <c r="AE63" i="1"/>
  <c r="AG63" i="1"/>
  <c r="L68" i="1"/>
  <c r="Q68" i="1"/>
  <c r="AC68" i="1"/>
  <c r="AE68" i="1"/>
  <c r="AG68" i="1"/>
  <c r="AH68" i="1"/>
  <c r="AM68" i="1" s="1"/>
  <c r="L21" i="1"/>
  <c r="Q21" i="1" s="1"/>
  <c r="AC21" i="1"/>
  <c r="AE21" i="1" s="1"/>
  <c r="AG21" i="1" s="1"/>
  <c r="L16" i="1"/>
  <c r="Q16" i="1"/>
  <c r="AC16" i="1"/>
  <c r="AE16" i="1"/>
  <c r="AG16" i="1" s="1"/>
  <c r="AH16" i="1" s="1"/>
  <c r="L73" i="1"/>
  <c r="Q73" i="1" s="1"/>
  <c r="AH73" i="1" s="1"/>
  <c r="AC73" i="1"/>
  <c r="AE73" i="1"/>
  <c r="AG73" i="1"/>
  <c r="L48" i="1"/>
  <c r="Q48" i="1"/>
  <c r="AC48" i="1"/>
  <c r="AE48" i="1"/>
  <c r="AG48" i="1"/>
  <c r="AH48" i="1"/>
  <c r="AM48" i="1" s="1"/>
  <c r="L27" i="1"/>
  <c r="Q27" i="1"/>
  <c r="AC27" i="1"/>
  <c r="AE27" i="1" s="1"/>
  <c r="AG27" i="1" s="1"/>
  <c r="L17" i="1"/>
  <c r="Q17" i="1"/>
  <c r="AC17" i="1"/>
  <c r="AE17" i="1"/>
  <c r="AG17" i="1" s="1"/>
  <c r="L69" i="1"/>
  <c r="Q69" i="1" s="1"/>
  <c r="AH69" i="1" s="1"/>
  <c r="AC69" i="1"/>
  <c r="AE69" i="1"/>
  <c r="AG69" i="1"/>
  <c r="L57" i="1"/>
  <c r="Q57" i="1"/>
  <c r="AC57" i="1"/>
  <c r="AE57" i="1"/>
  <c r="AG57" i="1" s="1"/>
  <c r="L35" i="1"/>
  <c r="Q35" i="1"/>
  <c r="AH35" i="1" s="1"/>
  <c r="AC35" i="1"/>
  <c r="AE35" i="1" s="1"/>
  <c r="AG35" i="1" s="1"/>
  <c r="L26" i="1"/>
  <c r="Q26" i="1"/>
  <c r="AC26" i="1"/>
  <c r="AE26" i="1"/>
  <c r="AG26" i="1" s="1"/>
  <c r="AH26" i="1" s="1"/>
  <c r="L28" i="1"/>
  <c r="Q28" i="1" s="1"/>
  <c r="AC28" i="1"/>
  <c r="AE28" i="1" s="1"/>
  <c r="AG28" i="1" s="1"/>
  <c r="L70" i="1"/>
  <c r="Q70" i="1"/>
  <c r="AC70" i="1"/>
  <c r="AE70" i="1" s="1"/>
  <c r="AG70" i="1" s="1"/>
  <c r="L36" i="1"/>
  <c r="Q36" i="1"/>
  <c r="AC36" i="1"/>
  <c r="AE36" i="1" s="1"/>
  <c r="AG36" i="1" s="1"/>
  <c r="AH36" i="1" s="1"/>
  <c r="L65" i="1"/>
  <c r="Q65" i="1"/>
  <c r="AC65" i="1"/>
  <c r="AE65" i="1"/>
  <c r="AG65" i="1" s="1"/>
  <c r="AH65" i="1" s="1"/>
  <c r="L59" i="1"/>
  <c r="Q59" i="1" s="1"/>
  <c r="AC59" i="1"/>
  <c r="AE59" i="1" s="1"/>
  <c r="AG59" i="1" s="1"/>
  <c r="L8" i="1"/>
  <c r="Q8" i="1"/>
  <c r="AC8" i="1"/>
  <c r="AE8" i="1"/>
  <c r="AG8" i="1"/>
  <c r="AH8" i="1"/>
  <c r="AM8" i="1" s="1"/>
  <c r="L49" i="1"/>
  <c r="Q49" i="1" s="1"/>
  <c r="AC49" i="1"/>
  <c r="AE49" i="1" s="1"/>
  <c r="AG49" i="1" s="1"/>
  <c r="L4" i="1"/>
  <c r="Q4" i="1" s="1"/>
  <c r="AC4" i="1"/>
  <c r="AE4" i="1" s="1"/>
  <c r="AG4" i="1" s="1"/>
  <c r="L54" i="1"/>
  <c r="Q54" i="1" s="1"/>
  <c r="AH54" i="1" s="1"/>
  <c r="AC54" i="1"/>
  <c r="AE54" i="1"/>
  <c r="AG54" i="1"/>
  <c r="L9" i="1"/>
  <c r="Q9" i="1"/>
  <c r="AC9" i="1"/>
  <c r="AE9" i="1"/>
  <c r="AG9" i="1"/>
  <c r="AH9" i="1"/>
  <c r="AM9" i="1" s="1"/>
  <c r="L51" i="1"/>
  <c r="Q51" i="1"/>
  <c r="AC51" i="1"/>
  <c r="AE51" i="1" s="1"/>
  <c r="AG51" i="1" s="1"/>
  <c r="AH51" i="1" s="1"/>
  <c r="L44" i="1"/>
  <c r="Q44" i="1"/>
  <c r="AC44" i="1"/>
  <c r="AE44" i="1"/>
  <c r="AG44" i="1" s="1"/>
  <c r="AH44" i="1" s="1"/>
  <c r="L32" i="1"/>
  <c r="Q32" i="1" s="1"/>
  <c r="AH32" i="1" s="1"/>
  <c r="AC32" i="1"/>
  <c r="AE32" i="1"/>
  <c r="AG32" i="1"/>
  <c r="L34" i="1"/>
  <c r="Q34" i="1" s="1"/>
  <c r="AH34" i="1" s="1"/>
  <c r="AC34" i="1"/>
  <c r="AE34" i="1"/>
  <c r="AG34" i="1"/>
  <c r="L22" i="1"/>
  <c r="Q22" i="1"/>
  <c r="AC22" i="1"/>
  <c r="AE22" i="1" s="1"/>
  <c r="AG22" i="1" s="1"/>
  <c r="L6" i="1"/>
  <c r="Q6" i="1"/>
  <c r="AH6" i="1" s="1"/>
  <c r="AC6" i="1"/>
  <c r="AE6" i="1"/>
  <c r="AG6" i="1" s="1"/>
  <c r="L38" i="1"/>
  <c r="Q38" i="1" s="1"/>
  <c r="AH38" i="1" s="1"/>
  <c r="AC38" i="1"/>
  <c r="AE38" i="1"/>
  <c r="AG38" i="1"/>
  <c r="AL61" i="1"/>
  <c r="AK61" i="1"/>
  <c r="AJ61" i="1"/>
  <c r="AI61" i="1"/>
  <c r="AL23" i="1"/>
  <c r="AK23" i="1"/>
  <c r="AJ23" i="1"/>
  <c r="AI23" i="1"/>
  <c r="AL37" i="1"/>
  <c r="AK37" i="1"/>
  <c r="AJ37" i="1"/>
  <c r="AI37" i="1"/>
  <c r="AI8" i="1"/>
  <c r="AL48" i="1"/>
  <c r="AK48" i="1"/>
  <c r="AJ48" i="1"/>
  <c r="AI48" i="1"/>
  <c r="AI50" i="1"/>
  <c r="AL7" i="1" l="1"/>
  <c r="AK7" i="1"/>
  <c r="AJ7" i="1"/>
  <c r="AM7" i="1"/>
  <c r="AI7" i="1"/>
  <c r="AH41" i="1"/>
  <c r="AH62" i="1"/>
  <c r="AH43" i="1"/>
  <c r="AM29" i="1"/>
  <c r="AI29" i="1"/>
  <c r="AL29" i="1"/>
  <c r="AK29" i="1"/>
  <c r="AJ29" i="1"/>
  <c r="AM73" i="1"/>
  <c r="AK73" i="1"/>
  <c r="AL73" i="1"/>
  <c r="AJ73" i="1"/>
  <c r="AI73" i="1"/>
  <c r="AK34" i="1"/>
  <c r="AL34" i="1"/>
  <c r="AI34" i="1"/>
  <c r="AM34" i="1"/>
  <c r="AJ34" i="1"/>
  <c r="AH33" i="1"/>
  <c r="AH47" i="1"/>
  <c r="AJ16" i="1"/>
  <c r="AI16" i="1"/>
  <c r="AL16" i="1"/>
  <c r="AK16" i="1"/>
  <c r="AM16" i="1"/>
  <c r="AJ44" i="1"/>
  <c r="AI44" i="1"/>
  <c r="AL44" i="1"/>
  <c r="AM44" i="1"/>
  <c r="AK44" i="1"/>
  <c r="AM6" i="1"/>
  <c r="AL6" i="1"/>
  <c r="AK6" i="1"/>
  <c r="AJ6" i="1"/>
  <c r="AI6" i="1"/>
  <c r="AL54" i="1"/>
  <c r="AK54" i="1"/>
  <c r="AJ54" i="1"/>
  <c r="AI54" i="1"/>
  <c r="AM54" i="1"/>
  <c r="AH70" i="1"/>
  <c r="AH17" i="1"/>
  <c r="AM26" i="1"/>
  <c r="AL26" i="1"/>
  <c r="AK26" i="1"/>
  <c r="AJ26" i="1"/>
  <c r="AI26" i="1"/>
  <c r="AL55" i="1"/>
  <c r="AK55" i="1"/>
  <c r="AM55" i="1"/>
  <c r="AJ55" i="1"/>
  <c r="AI55" i="1"/>
  <c r="AH59" i="1"/>
  <c r="AM65" i="1"/>
  <c r="AL65" i="1"/>
  <c r="AK65" i="1"/>
  <c r="AJ65" i="1"/>
  <c r="AI65" i="1"/>
  <c r="AH13" i="1"/>
  <c r="AH57" i="1"/>
  <c r="AL36" i="1"/>
  <c r="AK36" i="1"/>
  <c r="AI36" i="1"/>
  <c r="AJ36" i="1"/>
  <c r="AM36" i="1"/>
  <c r="AH56" i="1"/>
  <c r="AH12" i="1"/>
  <c r="AH28" i="1"/>
  <c r="AL45" i="1"/>
  <c r="AK45" i="1"/>
  <c r="AJ45" i="1"/>
  <c r="AI45" i="1"/>
  <c r="AM45" i="1"/>
  <c r="AL11" i="1"/>
  <c r="AK11" i="1"/>
  <c r="AM11" i="1"/>
  <c r="AJ11" i="1"/>
  <c r="AI11" i="1"/>
  <c r="AI18" i="1"/>
  <c r="AL18" i="1"/>
  <c r="AK18" i="1"/>
  <c r="AJ18" i="1"/>
  <c r="AM18" i="1"/>
  <c r="AH14" i="1"/>
  <c r="AH67" i="1"/>
  <c r="AJ46" i="1"/>
  <c r="AI46" i="1"/>
  <c r="AM46" i="1"/>
  <c r="AK46" i="1"/>
  <c r="AL46" i="1"/>
  <c r="AH19" i="1"/>
  <c r="AH64" i="1"/>
  <c r="AM32" i="1"/>
  <c r="AL32" i="1"/>
  <c r="AK32" i="1"/>
  <c r="AJ32" i="1"/>
  <c r="AI32" i="1"/>
  <c r="AM31" i="1"/>
  <c r="AL31" i="1"/>
  <c r="AI31" i="1"/>
  <c r="AK31" i="1"/>
  <c r="AJ31" i="1"/>
  <c r="AH22" i="1"/>
  <c r="AH4" i="1"/>
  <c r="AH49" i="1"/>
  <c r="AJ5" i="1"/>
  <c r="AI5" i="1"/>
  <c r="AM5" i="1"/>
  <c r="AK5" i="1"/>
  <c r="AL5" i="1"/>
  <c r="AH25" i="1"/>
  <c r="AJ38" i="1"/>
  <c r="AI38" i="1"/>
  <c r="AK38" i="1"/>
  <c r="AM38" i="1"/>
  <c r="AL38" i="1"/>
  <c r="AM15" i="1"/>
  <c r="AL15" i="1"/>
  <c r="AK15" i="1"/>
  <c r="AI15" i="1"/>
  <c r="AJ15" i="1"/>
  <c r="AK71" i="1"/>
  <c r="AL71" i="1"/>
  <c r="AJ71" i="1"/>
  <c r="AI71" i="1"/>
  <c r="AM71" i="1"/>
  <c r="AH20" i="1"/>
  <c r="AL63" i="1"/>
  <c r="AK63" i="1"/>
  <c r="AJ63" i="1"/>
  <c r="AI63" i="1"/>
  <c r="AM63" i="1"/>
  <c r="AH40" i="1"/>
  <c r="AL69" i="1"/>
  <c r="AJ69" i="1"/>
  <c r="AK69" i="1"/>
  <c r="AI69" i="1"/>
  <c r="AM69" i="1"/>
  <c r="AM24" i="1"/>
  <c r="AL24" i="1"/>
  <c r="AK24" i="1"/>
  <c r="AJ24" i="1"/>
  <c r="AI24" i="1"/>
  <c r="AH21" i="1"/>
  <c r="AH42" i="1"/>
  <c r="AM39" i="1"/>
  <c r="AL39" i="1"/>
  <c r="AI39" i="1"/>
  <c r="AK39" i="1"/>
  <c r="AJ39" i="1"/>
  <c r="AH27" i="1"/>
  <c r="AM60" i="1"/>
  <c r="AL60" i="1"/>
  <c r="AK60" i="1"/>
  <c r="AJ60" i="1"/>
  <c r="AI60" i="1"/>
  <c r="AJ66" i="1"/>
  <c r="AI66" i="1"/>
  <c r="AL66" i="1"/>
  <c r="AM66" i="1"/>
  <c r="AK66" i="1"/>
  <c r="AJ52" i="1"/>
  <c r="AI52" i="1"/>
  <c r="AL52" i="1"/>
  <c r="AM52" i="1"/>
  <c r="AK52" i="1"/>
  <c r="AM51" i="1"/>
  <c r="AK51" i="1"/>
  <c r="AL51" i="1"/>
  <c r="AI51" i="1"/>
  <c r="AJ51" i="1"/>
  <c r="AM35" i="1"/>
  <c r="AK35" i="1"/>
  <c r="AL35" i="1"/>
  <c r="AJ35" i="1"/>
  <c r="AI35" i="1"/>
  <c r="AM30" i="1"/>
  <c r="AI30" i="1"/>
  <c r="AL30" i="1"/>
  <c r="AK30" i="1"/>
  <c r="AJ30" i="1"/>
  <c r="AL58" i="1"/>
  <c r="AI58" i="1"/>
  <c r="AK58" i="1"/>
  <c r="AJ58" i="1"/>
  <c r="AM58" i="1"/>
  <c r="AJ50" i="1"/>
  <c r="AJ8" i="1"/>
  <c r="AK8" i="1"/>
  <c r="AL50" i="1"/>
  <c r="AL8" i="1"/>
  <c r="AK50" i="1"/>
  <c r="AI9" i="1"/>
  <c r="AI10" i="1"/>
  <c r="AJ9" i="1"/>
  <c r="AJ10" i="1"/>
  <c r="AM53" i="1"/>
  <c r="AK9" i="1"/>
  <c r="AI68" i="1"/>
  <c r="AI53" i="1"/>
  <c r="AJ68" i="1"/>
  <c r="AJ53" i="1"/>
  <c r="AK53" i="1"/>
  <c r="AK10" i="1"/>
  <c r="AL10" i="1"/>
  <c r="AI72" i="1"/>
  <c r="AJ72" i="1"/>
  <c r="AL68" i="1"/>
  <c r="AK72" i="1"/>
  <c r="AL9" i="1"/>
  <c r="AK68" i="1"/>
  <c r="AL72" i="1"/>
  <c r="AL64" i="1" l="1"/>
  <c r="AK64" i="1"/>
  <c r="AJ64" i="1"/>
  <c r="AI64" i="1"/>
  <c r="AM64" i="1"/>
  <c r="AL25" i="1"/>
  <c r="AK25" i="1"/>
  <c r="AM25" i="1"/>
  <c r="AJ25" i="1"/>
  <c r="AI25" i="1"/>
  <c r="AJ67" i="1"/>
  <c r="AI67" i="1"/>
  <c r="AK67" i="1"/>
  <c r="AL67" i="1"/>
  <c r="AM67" i="1"/>
  <c r="AK28" i="1"/>
  <c r="AI28" i="1"/>
  <c r="AM28" i="1"/>
  <c r="AL28" i="1"/>
  <c r="AJ28" i="1"/>
  <c r="AM20" i="1"/>
  <c r="AL20" i="1"/>
  <c r="AK20" i="1"/>
  <c r="AI20" i="1"/>
  <c r="AJ20" i="1"/>
  <c r="AL22" i="1"/>
  <c r="AK22" i="1"/>
  <c r="AJ22" i="1"/>
  <c r="AI22" i="1"/>
  <c r="AM22" i="1"/>
  <c r="AI62" i="1"/>
  <c r="AL62" i="1"/>
  <c r="AK62" i="1"/>
  <c r="AJ62" i="1"/>
  <c r="AM62" i="1"/>
  <c r="AJ47" i="1"/>
  <c r="AI47" i="1"/>
  <c r="AM47" i="1"/>
  <c r="AL47" i="1"/>
  <c r="AK47" i="1"/>
  <c r="AJ27" i="1"/>
  <c r="AL27" i="1"/>
  <c r="AM27" i="1"/>
  <c r="AK27" i="1"/>
  <c r="AI27" i="1"/>
  <c r="AK41" i="1"/>
  <c r="AL41" i="1"/>
  <c r="AJ41" i="1"/>
  <c r="AI41" i="1"/>
  <c r="AM41" i="1"/>
  <c r="AM13" i="1"/>
  <c r="AL13" i="1"/>
  <c r="AK13" i="1"/>
  <c r="AJ13" i="1"/>
  <c r="AI13" i="1"/>
  <c r="AM33" i="1"/>
  <c r="AL33" i="1"/>
  <c r="AK33" i="1"/>
  <c r="AJ33" i="1"/>
  <c r="AI33" i="1"/>
  <c r="AJ12" i="1"/>
  <c r="AI12" i="1"/>
  <c r="AM12" i="1"/>
  <c r="AL12" i="1"/>
  <c r="AK12" i="1"/>
  <c r="AI4" i="1"/>
  <c r="AL4" i="1"/>
  <c r="AK4" i="1"/>
  <c r="AJ4" i="1"/>
  <c r="AM4" i="1"/>
  <c r="AL40" i="1"/>
  <c r="AK40" i="1"/>
  <c r="AJ40" i="1"/>
  <c r="AI40" i="1"/>
  <c r="AM40" i="1"/>
  <c r="AL21" i="1"/>
  <c r="AI21" i="1"/>
  <c r="AK21" i="1"/>
  <c r="AJ21" i="1"/>
  <c r="AM21" i="1"/>
  <c r="AJ70" i="1"/>
  <c r="AI70" i="1"/>
  <c r="AL70" i="1"/>
  <c r="AM70" i="1"/>
  <c r="AK70" i="1"/>
  <c r="AI57" i="1"/>
  <c r="AL57" i="1"/>
  <c r="AK57" i="1"/>
  <c r="AJ57" i="1"/>
  <c r="AM57" i="1"/>
  <c r="AK59" i="1"/>
  <c r="AL59" i="1"/>
  <c r="AM59" i="1"/>
  <c r="AJ59" i="1"/>
  <c r="AI59" i="1"/>
  <c r="AK19" i="1"/>
  <c r="AL19" i="1"/>
  <c r="AJ19" i="1"/>
  <c r="AI19" i="1"/>
  <c r="AM19" i="1"/>
  <c r="AL56" i="1"/>
  <c r="AM56" i="1"/>
  <c r="AK56" i="1"/>
  <c r="AJ56" i="1"/>
  <c r="AI56" i="1"/>
  <c r="AJ42" i="1"/>
  <c r="AK42" i="1"/>
  <c r="AI42" i="1"/>
  <c r="AM42" i="1"/>
  <c r="AL42" i="1"/>
  <c r="AJ49" i="1"/>
  <c r="AL49" i="1"/>
  <c r="AI49" i="1"/>
  <c r="AK49" i="1"/>
  <c r="AM49" i="1"/>
  <c r="AM14" i="1"/>
  <c r="AL14" i="1"/>
  <c r="AK14" i="1"/>
  <c r="AJ14" i="1"/>
  <c r="AI14" i="1"/>
  <c r="AK43" i="1"/>
  <c r="AL43" i="1"/>
  <c r="AJ43" i="1"/>
  <c r="AI43" i="1"/>
  <c r="AM43" i="1"/>
  <c r="AI17" i="1"/>
  <c r="AM17" i="1"/>
  <c r="AK17" i="1"/>
  <c r="AL17" i="1"/>
  <c r="AJ17" i="1"/>
</calcChain>
</file>

<file path=xl/sharedStrings.xml><?xml version="1.0" encoding="utf-8"?>
<sst xmlns="http://schemas.openxmlformats.org/spreadsheetml/2006/main" count="115" uniqueCount="100">
  <si>
    <t>Points needed for:</t>
  </si>
  <si>
    <t>A = 2160</t>
  </si>
  <si>
    <t>B=1920</t>
  </si>
  <si>
    <t>C = 1680</t>
  </si>
  <si>
    <t>D = 1440</t>
  </si>
  <si>
    <t>F =1439 or less</t>
  </si>
  <si>
    <t>B = 1920</t>
  </si>
  <si>
    <t>Lecture Quizzes: 10 Quizzes at 20 points each = 200 total points</t>
  </si>
  <si>
    <t>Laboratory quizzes: 11 quizzes, drop 2 lowest scores, 9 quizzes at 100 points each = 900 total points</t>
  </si>
  <si>
    <t>Remaining</t>
  </si>
  <si>
    <t>points</t>
  </si>
  <si>
    <t>needed</t>
  </si>
  <si>
    <t>to earn</t>
  </si>
  <si>
    <t>a(an):</t>
  </si>
  <si>
    <t>A zero or negative value means that you have alreay earned that grade.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</si>
  <si>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</si>
  <si>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</si>
  <si>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</si>
  <si>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</si>
  <si>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</si>
  <si>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</si>
  <si>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</si>
  <si>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</si>
  <si>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</si>
  <si>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</si>
  <si>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Lecture quiz total 200 points</t>
  </si>
  <si>
    <t>Bonus points</t>
  </si>
  <si>
    <t>Midterm 1: 300 points</t>
  </si>
  <si>
    <t>Midterm 2: 300 points</t>
  </si>
  <si>
    <t>Lecture final: 400 points</t>
  </si>
  <si>
    <t>Total lecture: 1200 points</t>
  </si>
  <si>
    <t>Quiz 11</t>
  </si>
  <si>
    <t>Laboratory quiz subtotal: 1100 points</t>
  </si>
  <si>
    <t>Laboratory quiz total: 900 points</t>
  </si>
  <si>
    <t>Laboratory final: 300 points</t>
  </si>
  <si>
    <t>Total laboratory points: 1200</t>
  </si>
  <si>
    <t>Total points for the semester from 2400 possible</t>
  </si>
  <si>
    <t>D</t>
  </si>
  <si>
    <t>C</t>
  </si>
  <si>
    <t>B</t>
  </si>
  <si>
    <t>A</t>
  </si>
  <si>
    <t>Total of two lowest quiz scores: -200 points (dropped quizzes)</t>
  </si>
  <si>
    <t>Percent grade to date</t>
  </si>
  <si>
    <t>Code</t>
  </si>
  <si>
    <t>BHB72</t>
  </si>
  <si>
    <t>IRISH</t>
  </si>
  <si>
    <t>T2T2T2</t>
  </si>
  <si>
    <t>385VY</t>
  </si>
  <si>
    <t>9673H</t>
  </si>
  <si>
    <t>M8128</t>
  </si>
  <si>
    <t>PRL007</t>
  </si>
  <si>
    <t>JUNIOR00</t>
  </si>
  <si>
    <t>OOOO7</t>
  </si>
  <si>
    <t>MISRIK</t>
  </si>
  <si>
    <t>D22ID</t>
  </si>
  <si>
    <t>SNAIL</t>
  </si>
  <si>
    <t>ARJ06</t>
  </si>
  <si>
    <t>ZIP04</t>
  </si>
  <si>
    <t>CPGED</t>
  </si>
  <si>
    <t>PETEB</t>
  </si>
  <si>
    <t>PASSCATCH</t>
  </si>
  <si>
    <t>JBF05</t>
  </si>
  <si>
    <t>PUNKFACE707</t>
  </si>
  <si>
    <t>REID05AMR</t>
  </si>
  <si>
    <t>PETREE04</t>
  </si>
  <si>
    <t>O2420</t>
  </si>
  <si>
    <t>TST83</t>
  </si>
  <si>
    <t>MKL12</t>
  </si>
  <si>
    <t>O62683LKJ</t>
  </si>
  <si>
    <t>CAE123</t>
  </si>
  <si>
    <t>O31477</t>
  </si>
  <si>
    <t>OO2288</t>
  </si>
  <si>
    <t>1W2C3P4</t>
  </si>
  <si>
    <t>GIGI9</t>
  </si>
  <si>
    <t>ALC3108</t>
  </si>
  <si>
    <t>GRD05</t>
  </si>
  <si>
    <t>B134G</t>
  </si>
  <si>
    <t>D0842</t>
  </si>
  <si>
    <t>BOUTTE</t>
  </si>
  <si>
    <t>O31281</t>
  </si>
  <si>
    <t>JKH05</t>
  </si>
  <si>
    <t>5705A</t>
  </si>
  <si>
    <t>Zeros in green denote that the grade was 0, not a missed quiz or paper, grades in blue indicate excused absences</t>
  </si>
  <si>
    <t>AHMK8</t>
  </si>
  <si>
    <t>T8484</t>
  </si>
  <si>
    <t>DUKE03</t>
  </si>
  <si>
    <t>C3853</t>
  </si>
  <si>
    <t>ERICA</t>
  </si>
  <si>
    <t>RAB02</t>
  </si>
  <si>
    <t>THEPREZIDENT</t>
  </si>
  <si>
    <t>RAK02685</t>
  </si>
  <si>
    <t>WCATTLE</t>
  </si>
  <si>
    <t>CRAWFIE</t>
  </si>
  <si>
    <t>WIFEY</t>
  </si>
  <si>
    <t>O3996</t>
  </si>
  <si>
    <t>O5784</t>
  </si>
  <si>
    <t>13LL5</t>
  </si>
  <si>
    <t>J1919</t>
  </si>
  <si>
    <t>TITUP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</si>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</sst>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1"/>
      <name val="Arial"/>
      <family val="2"/>
    </font>
    <font>
      <sz val="10"/>
      <color indexed="10"/>
      <name val="Arial"/>
      <family val="2"/>
    </font>
    <font>
      <sz val="10"/>
      <color indexed="48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2" fillId="0" borderId="0" xfId="0" applyFont="1"/>
    <xf numFmtId="0" fontId="1" fillId="0" borderId="0" xfId="0" applyFont="1" applyAlignme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8"/>
  <sheetViews>
    <sheetView tabSelected="1" zoomScale="75" workbookViewId="0">
      <selection activeCell="AN73" sqref="A1:AN73"/>
    </sheetView>
  </sheetViews>
  <sheetFormatPr defaultRowHeight="12.5" x14ac:dyDescent="0.25"/>
  <cols>
    <col min="1" max="1" width="14.1796875" style="1" customWidth="1"/>
    <col min="2" max="39" width="9.1796875" style="1" customWidth="1"/>
  </cols>
  <sheetData>
    <row r="1" spans="1:41" x14ac:dyDescent="0.25">
      <c r="A1" s="4"/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 t="s">
        <v>0</v>
      </c>
      <c r="AJ1" s="2" t="s">
        <v>1</v>
      </c>
      <c r="AK1" s="2" t="s">
        <v>6</v>
      </c>
      <c r="AL1" s="2" t="s">
        <v>3</v>
      </c>
      <c r="AM1" s="2" t="s">
        <v>4</v>
      </c>
      <c r="AN1" s="2" t="s">
        <v>5</v>
      </c>
      <c r="AO1" s="3"/>
    </row>
    <row r="2" spans="1:41" x14ac:dyDescent="0.25">
      <c r="A2" s="4"/>
      <c r="B2" s="4" t="s">
        <v>7</v>
      </c>
      <c r="C2" s="2"/>
      <c r="D2" s="10" t="s">
        <v>82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 t="s">
        <v>9</v>
      </c>
      <c r="AJ2" s="2" t="s">
        <v>10</v>
      </c>
      <c r="AK2" s="2" t="s">
        <v>11</v>
      </c>
      <c r="AL2" s="2" t="s">
        <v>12</v>
      </c>
      <c r="AM2" s="2" t="s">
        <v>13</v>
      </c>
      <c r="AN2" s="2" t="s">
        <v>14</v>
      </c>
      <c r="AO2" s="3"/>
    </row>
    <row r="3" spans="1:41" x14ac:dyDescent="0.25">
      <c r="A3" s="4" t="s">
        <v>43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 t="s">
        <v>30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20</v>
      </c>
      <c r="X3" s="4" t="s">
        <v>21</v>
      </c>
      <c r="Y3" s="4" t="s">
        <v>22</v>
      </c>
      <c r="Z3" s="4" t="s">
        <v>23</v>
      </c>
      <c r="AA3" s="4" t="s">
        <v>24</v>
      </c>
      <c r="AB3" s="4" t="s">
        <v>31</v>
      </c>
      <c r="AC3" s="4" t="s">
        <v>32</v>
      </c>
      <c r="AD3" s="4" t="s">
        <v>41</v>
      </c>
      <c r="AE3" s="4" t="s">
        <v>33</v>
      </c>
      <c r="AF3" s="4" t="s">
        <v>34</v>
      </c>
      <c r="AG3" s="4" t="s">
        <v>35</v>
      </c>
      <c r="AH3" s="4" t="s">
        <v>36</v>
      </c>
      <c r="AI3" s="4" t="s">
        <v>40</v>
      </c>
      <c r="AJ3" s="4" t="s">
        <v>39</v>
      </c>
      <c r="AK3" s="4" t="s">
        <v>38</v>
      </c>
      <c r="AL3" s="4" t="s">
        <v>37</v>
      </c>
      <c r="AM3" s="11" t="s">
        <v>42</v>
      </c>
      <c r="AN3" s="4"/>
      <c r="AO3" s="3"/>
    </row>
    <row r="4" spans="1:41" x14ac:dyDescent="0.25">
      <c r="A4" s="1">
        <v>12597</v>
      </c>
      <c r="B4" s="4">
        <v>0</v>
      </c>
      <c r="C4" s="4">
        <v>10</v>
      </c>
      <c r="D4" s="4">
        <v>0</v>
      </c>
      <c r="E4" s="4">
        <v>0</v>
      </c>
      <c r="F4" s="4">
        <v>20</v>
      </c>
      <c r="G4" s="4">
        <v>0</v>
      </c>
      <c r="H4" s="4">
        <v>0</v>
      </c>
      <c r="I4" s="4"/>
      <c r="J4" s="4"/>
      <c r="K4" s="4"/>
      <c r="L4" s="7">
        <f t="shared" ref="L4:L35" si="0">B4+C4+D4+E4+F4+G4+H4+I4+J4+K4</f>
        <v>30</v>
      </c>
      <c r="M4" s="4">
        <v>20</v>
      </c>
      <c r="N4" s="4">
        <v>195</v>
      </c>
      <c r="O4" s="4"/>
      <c r="P4" s="4"/>
      <c r="Q4" s="4">
        <f t="shared" ref="Q4:Q35" si="1">L4+M4+N4+O4+P4</f>
        <v>245</v>
      </c>
      <c r="R4" s="1">
        <v>69</v>
      </c>
      <c r="S4" s="4">
        <v>30</v>
      </c>
      <c r="T4" s="4">
        <v>46</v>
      </c>
      <c r="U4" s="4">
        <v>69</v>
      </c>
      <c r="V4" s="4">
        <v>0</v>
      </c>
      <c r="W4" s="4">
        <v>41</v>
      </c>
      <c r="X4" s="4">
        <v>62</v>
      </c>
      <c r="Y4" s="4"/>
      <c r="Z4" s="4"/>
      <c r="AA4" s="4"/>
      <c r="AB4" s="4"/>
      <c r="AC4" s="4">
        <f t="shared" ref="AC4:AC35" si="2">R4 + S4 + T4 + U4 + V4 + W4 + X4 + Y4 + Z4 + AA4 + AB4</f>
        <v>317</v>
      </c>
      <c r="AD4" s="4">
        <v>30</v>
      </c>
      <c r="AE4" s="4">
        <f t="shared" ref="AE4:AE35" si="3">AC4-AD4</f>
        <v>287</v>
      </c>
      <c r="AF4" s="4"/>
      <c r="AG4" s="4">
        <f t="shared" ref="AG4:AG35" si="4">AE4+AF4</f>
        <v>287</v>
      </c>
      <c r="AH4" s="4">
        <f t="shared" ref="AH4:AH35" si="5">Q4+AG4</f>
        <v>532</v>
      </c>
      <c r="AI4" s="4">
        <f t="shared" ref="AI4:AI35" si="6">2160-AH4</f>
        <v>1628</v>
      </c>
      <c r="AJ4" s="4">
        <f t="shared" ref="AJ4:AJ35" si="7">1920-AH4</f>
        <v>1388</v>
      </c>
      <c r="AK4" s="4">
        <f t="shared" ref="AK4:AK35" si="8">1680-AH4</f>
        <v>1148</v>
      </c>
      <c r="AL4" s="4">
        <f t="shared" ref="AL4:AL35" si="9">1440-AH4</f>
        <v>908</v>
      </c>
      <c r="AM4" s="5">
        <f>(AH4/940)*100</f>
        <v>56.59574468085107</v>
      </c>
      <c r="AN4" s="4"/>
      <c r="AO4" s="3"/>
    </row>
    <row r="5" spans="1:41" x14ac:dyDescent="0.25">
      <c r="A5" s="1">
        <v>15305</v>
      </c>
      <c r="B5" s="4">
        <v>20</v>
      </c>
      <c r="C5" s="4">
        <v>10</v>
      </c>
      <c r="D5" s="4">
        <v>10</v>
      </c>
      <c r="E5" s="4">
        <v>0</v>
      </c>
      <c r="F5" s="4">
        <v>0</v>
      </c>
      <c r="G5" s="4">
        <v>0</v>
      </c>
      <c r="H5" s="4">
        <v>0</v>
      </c>
      <c r="I5" s="4"/>
      <c r="J5" s="4"/>
      <c r="K5" s="4"/>
      <c r="L5" s="7">
        <f t="shared" si="0"/>
        <v>40</v>
      </c>
      <c r="M5" s="4">
        <v>0</v>
      </c>
      <c r="N5" s="4">
        <v>0</v>
      </c>
      <c r="O5" s="4"/>
      <c r="P5" s="4"/>
      <c r="Q5" s="4">
        <f t="shared" si="1"/>
        <v>40</v>
      </c>
      <c r="R5" s="1">
        <v>97</v>
      </c>
      <c r="S5" s="4">
        <v>48</v>
      </c>
      <c r="T5" s="4">
        <v>63</v>
      </c>
      <c r="U5" s="4">
        <v>63</v>
      </c>
      <c r="V5" s="4">
        <v>0</v>
      </c>
      <c r="W5" s="4">
        <v>0</v>
      </c>
      <c r="X5" s="4">
        <v>0</v>
      </c>
      <c r="Y5" s="4">
        <v>0</v>
      </c>
      <c r="Z5" s="4"/>
      <c r="AA5" s="4"/>
      <c r="AB5" s="4"/>
      <c r="AC5" s="4">
        <f t="shared" si="2"/>
        <v>271</v>
      </c>
      <c r="AD5" s="4">
        <v>0</v>
      </c>
      <c r="AE5" s="4">
        <f t="shared" si="3"/>
        <v>271</v>
      </c>
      <c r="AF5" s="4"/>
      <c r="AG5" s="4">
        <f t="shared" si="4"/>
        <v>271</v>
      </c>
      <c r="AH5" s="4">
        <f t="shared" si="5"/>
        <v>311</v>
      </c>
      <c r="AI5" s="4">
        <f t="shared" si="6"/>
        <v>1849</v>
      </c>
      <c r="AJ5" s="4">
        <f t="shared" si="7"/>
        <v>1609</v>
      </c>
      <c r="AK5" s="4">
        <f t="shared" si="8"/>
        <v>1369</v>
      </c>
      <c r="AL5" s="4">
        <f t="shared" si="9"/>
        <v>1129</v>
      </c>
      <c r="AM5" s="5">
        <f>(AH5/1040)*100</f>
        <v>29.903846153846153</v>
      </c>
      <c r="AN5" s="4" t="s">
        <v>99</v>
      </c>
      <c r="AO5" s="3"/>
    </row>
    <row r="6" spans="1:41" x14ac:dyDescent="0.25">
      <c r="A6" s="1">
        <v>15883</v>
      </c>
      <c r="B6" s="4">
        <v>20</v>
      </c>
      <c r="C6" s="4">
        <v>20</v>
      </c>
      <c r="D6" s="4">
        <v>15</v>
      </c>
      <c r="E6" s="4">
        <v>10</v>
      </c>
      <c r="F6" s="4">
        <v>20</v>
      </c>
      <c r="G6" s="6">
        <v>10</v>
      </c>
      <c r="H6" s="4">
        <v>24</v>
      </c>
      <c r="I6" s="4"/>
      <c r="J6" s="4"/>
      <c r="K6" s="4"/>
      <c r="L6" s="7">
        <f t="shared" si="0"/>
        <v>119</v>
      </c>
      <c r="M6" s="4">
        <v>64</v>
      </c>
      <c r="N6" s="4">
        <v>252</v>
      </c>
      <c r="O6" s="4"/>
      <c r="P6" s="4"/>
      <c r="Q6" s="4">
        <f t="shared" si="1"/>
        <v>435</v>
      </c>
      <c r="R6" s="1">
        <v>86</v>
      </c>
      <c r="S6" s="4">
        <v>97</v>
      </c>
      <c r="T6" s="4">
        <v>89</v>
      </c>
      <c r="U6" s="4">
        <v>113</v>
      </c>
      <c r="V6" s="4">
        <v>109</v>
      </c>
      <c r="W6" s="4">
        <v>104</v>
      </c>
      <c r="X6" s="4">
        <v>107</v>
      </c>
      <c r="Y6" s="4"/>
      <c r="Z6" s="4"/>
      <c r="AA6" s="4"/>
      <c r="AB6" s="4"/>
      <c r="AC6" s="4">
        <f t="shared" si="2"/>
        <v>705</v>
      </c>
      <c r="AD6" s="4">
        <v>175</v>
      </c>
      <c r="AE6" s="4">
        <f t="shared" si="3"/>
        <v>530</v>
      </c>
      <c r="AF6" s="4"/>
      <c r="AG6" s="4">
        <f t="shared" si="4"/>
        <v>530</v>
      </c>
      <c r="AH6" s="4">
        <f t="shared" si="5"/>
        <v>965</v>
      </c>
      <c r="AI6" s="4">
        <f t="shared" si="6"/>
        <v>1195</v>
      </c>
      <c r="AJ6" s="4">
        <f t="shared" si="7"/>
        <v>955</v>
      </c>
      <c r="AK6" s="4">
        <f t="shared" si="8"/>
        <v>715</v>
      </c>
      <c r="AL6" s="4">
        <f t="shared" si="9"/>
        <v>475</v>
      </c>
      <c r="AM6" s="5">
        <f>(AH6/940)*100</f>
        <v>102.65957446808511</v>
      </c>
      <c r="AN6" s="4"/>
      <c r="AO6" s="3"/>
    </row>
    <row r="7" spans="1:41" x14ac:dyDescent="0.25">
      <c r="A7" s="1">
        <v>18800</v>
      </c>
      <c r="B7" s="4">
        <v>20</v>
      </c>
      <c r="C7" s="4">
        <v>20</v>
      </c>
      <c r="D7" s="4">
        <v>10</v>
      </c>
      <c r="E7" s="4">
        <v>5</v>
      </c>
      <c r="F7" s="4">
        <v>20</v>
      </c>
      <c r="G7" s="4">
        <v>20</v>
      </c>
      <c r="H7" s="4">
        <v>16</v>
      </c>
      <c r="I7" s="4"/>
      <c r="J7" s="4"/>
      <c r="K7" s="4"/>
      <c r="L7" s="7">
        <f t="shared" si="0"/>
        <v>111</v>
      </c>
      <c r="M7" s="4">
        <v>55</v>
      </c>
      <c r="N7" s="4">
        <v>197</v>
      </c>
      <c r="O7" s="4"/>
      <c r="P7" s="4"/>
      <c r="Q7" s="4">
        <f t="shared" si="1"/>
        <v>363</v>
      </c>
      <c r="R7" s="1">
        <v>67</v>
      </c>
      <c r="S7" s="4">
        <v>95</v>
      </c>
      <c r="T7" s="4">
        <v>113</v>
      </c>
      <c r="U7" s="4">
        <v>75</v>
      </c>
      <c r="V7" s="4">
        <v>103</v>
      </c>
      <c r="W7" s="4">
        <v>83</v>
      </c>
      <c r="X7" s="4">
        <v>64</v>
      </c>
      <c r="Y7" s="4">
        <v>65</v>
      </c>
      <c r="Z7" s="4"/>
      <c r="AA7" s="4"/>
      <c r="AB7" s="4"/>
      <c r="AC7" s="4">
        <f t="shared" si="2"/>
        <v>665</v>
      </c>
      <c r="AD7" s="4">
        <v>129</v>
      </c>
      <c r="AE7" s="4">
        <f t="shared" si="3"/>
        <v>536</v>
      </c>
      <c r="AF7" s="4"/>
      <c r="AG7" s="4">
        <f t="shared" si="4"/>
        <v>536</v>
      </c>
      <c r="AH7" s="4">
        <f t="shared" si="5"/>
        <v>899</v>
      </c>
      <c r="AI7" s="4">
        <f t="shared" si="6"/>
        <v>1261</v>
      </c>
      <c r="AJ7" s="4">
        <f t="shared" si="7"/>
        <v>1021</v>
      </c>
      <c r="AK7" s="4">
        <f t="shared" si="8"/>
        <v>781</v>
      </c>
      <c r="AL7" s="4">
        <f t="shared" si="9"/>
        <v>541</v>
      </c>
      <c r="AM7" s="5">
        <f>(AH7/1040)*100</f>
        <v>86.442307692307693</v>
      </c>
      <c r="AN7" s="4"/>
      <c r="AO7" s="3"/>
    </row>
    <row r="8" spans="1:41" x14ac:dyDescent="0.25">
      <c r="A8" s="1">
        <v>25097</v>
      </c>
      <c r="B8" s="4">
        <v>20</v>
      </c>
      <c r="C8" s="4">
        <v>0</v>
      </c>
      <c r="D8" s="4">
        <v>5</v>
      </c>
      <c r="E8" s="12">
        <v>5</v>
      </c>
      <c r="F8" s="4">
        <v>20</v>
      </c>
      <c r="G8" s="4">
        <v>0</v>
      </c>
      <c r="H8" s="4">
        <v>24</v>
      </c>
      <c r="I8" s="4"/>
      <c r="J8" s="4"/>
      <c r="K8" s="4"/>
      <c r="L8" s="7">
        <f t="shared" si="0"/>
        <v>74</v>
      </c>
      <c r="M8" s="4">
        <v>45</v>
      </c>
      <c r="N8" s="4">
        <v>214</v>
      </c>
      <c r="O8" s="4"/>
      <c r="P8" s="4"/>
      <c r="Q8" s="4">
        <f t="shared" si="1"/>
        <v>333</v>
      </c>
      <c r="R8" s="1">
        <v>86</v>
      </c>
      <c r="S8" s="4">
        <v>29</v>
      </c>
      <c r="T8" s="4">
        <v>27</v>
      </c>
      <c r="U8" s="4">
        <v>62</v>
      </c>
      <c r="V8" s="4">
        <v>108</v>
      </c>
      <c r="W8" s="4">
        <v>37</v>
      </c>
      <c r="X8" s="4">
        <v>81</v>
      </c>
      <c r="Y8" s="4"/>
      <c r="Z8" s="4"/>
      <c r="AA8" s="4"/>
      <c r="AB8" s="4"/>
      <c r="AC8" s="4">
        <f t="shared" si="2"/>
        <v>430</v>
      </c>
      <c r="AD8" s="4">
        <v>56</v>
      </c>
      <c r="AE8" s="4">
        <f t="shared" si="3"/>
        <v>374</v>
      </c>
      <c r="AF8" s="4"/>
      <c r="AG8" s="4">
        <f t="shared" si="4"/>
        <v>374</v>
      </c>
      <c r="AH8" s="4">
        <f t="shared" si="5"/>
        <v>707</v>
      </c>
      <c r="AI8" s="4">
        <f t="shared" si="6"/>
        <v>1453</v>
      </c>
      <c r="AJ8" s="4">
        <f t="shared" si="7"/>
        <v>1213</v>
      </c>
      <c r="AK8" s="4">
        <f t="shared" si="8"/>
        <v>973</v>
      </c>
      <c r="AL8" s="4">
        <f t="shared" si="9"/>
        <v>733</v>
      </c>
      <c r="AM8" s="5">
        <f>(AH8/940)*100</f>
        <v>75.212765957446805</v>
      </c>
      <c r="AN8" s="4"/>
      <c r="AO8" s="3"/>
    </row>
    <row r="9" spans="1:41" x14ac:dyDescent="0.25">
      <c r="A9" s="1">
        <v>31331</v>
      </c>
      <c r="B9" s="4">
        <v>20</v>
      </c>
      <c r="C9" s="4">
        <v>10</v>
      </c>
      <c r="D9" s="4">
        <v>15</v>
      </c>
      <c r="E9" s="4">
        <v>5</v>
      </c>
      <c r="F9" s="4">
        <v>0</v>
      </c>
      <c r="G9" s="4">
        <v>20</v>
      </c>
      <c r="H9" s="4">
        <v>24</v>
      </c>
      <c r="I9" s="4"/>
      <c r="J9" s="4"/>
      <c r="K9" s="4"/>
      <c r="L9" s="7">
        <f t="shared" si="0"/>
        <v>94</v>
      </c>
      <c r="M9" s="4">
        <v>54</v>
      </c>
      <c r="N9" s="4">
        <v>182</v>
      </c>
      <c r="O9" s="4"/>
      <c r="P9" s="4"/>
      <c r="Q9" s="4">
        <f t="shared" si="1"/>
        <v>330</v>
      </c>
      <c r="R9" s="1">
        <v>75</v>
      </c>
      <c r="S9" s="4">
        <v>85</v>
      </c>
      <c r="T9" s="4">
        <v>66</v>
      </c>
      <c r="U9" s="4">
        <v>67</v>
      </c>
      <c r="V9" s="4">
        <v>92</v>
      </c>
      <c r="W9" s="4">
        <v>60</v>
      </c>
      <c r="X9" s="4">
        <v>96</v>
      </c>
      <c r="Y9" s="4"/>
      <c r="Z9" s="4"/>
      <c r="AA9" s="4"/>
      <c r="AB9" s="4"/>
      <c r="AC9" s="4">
        <f t="shared" si="2"/>
        <v>541</v>
      </c>
      <c r="AD9" s="4">
        <v>133</v>
      </c>
      <c r="AE9" s="4">
        <f t="shared" si="3"/>
        <v>408</v>
      </c>
      <c r="AF9" s="4"/>
      <c r="AG9" s="4">
        <f t="shared" si="4"/>
        <v>408</v>
      </c>
      <c r="AH9" s="4">
        <f t="shared" si="5"/>
        <v>738</v>
      </c>
      <c r="AI9" s="4">
        <f t="shared" si="6"/>
        <v>1422</v>
      </c>
      <c r="AJ9" s="4">
        <f t="shared" si="7"/>
        <v>1182</v>
      </c>
      <c r="AK9" s="4">
        <f t="shared" si="8"/>
        <v>942</v>
      </c>
      <c r="AL9" s="4">
        <f t="shared" si="9"/>
        <v>702</v>
      </c>
      <c r="AM9" s="5">
        <f>(AH9/940)*100</f>
        <v>78.510638297872333</v>
      </c>
      <c r="AN9" s="4"/>
      <c r="AO9" s="3"/>
    </row>
    <row r="10" spans="1:41" x14ac:dyDescent="0.25">
      <c r="A10" s="1">
        <v>45606</v>
      </c>
      <c r="B10" s="4">
        <v>20</v>
      </c>
      <c r="C10" s="4">
        <v>20</v>
      </c>
      <c r="D10" s="4">
        <v>20</v>
      </c>
      <c r="E10" s="4">
        <v>20</v>
      </c>
      <c r="F10" s="4">
        <v>20</v>
      </c>
      <c r="G10" s="4">
        <v>0</v>
      </c>
      <c r="H10" s="4">
        <v>20</v>
      </c>
      <c r="I10" s="4"/>
      <c r="J10" s="4"/>
      <c r="K10" s="4"/>
      <c r="L10" s="7">
        <f t="shared" si="0"/>
        <v>120</v>
      </c>
      <c r="M10" s="4">
        <v>40</v>
      </c>
      <c r="N10" s="4">
        <v>269</v>
      </c>
      <c r="O10" s="4"/>
      <c r="P10" s="4"/>
      <c r="Q10" s="4">
        <f t="shared" si="1"/>
        <v>429</v>
      </c>
      <c r="R10" s="1">
        <v>97</v>
      </c>
      <c r="S10" s="4">
        <v>95</v>
      </c>
      <c r="T10" s="4">
        <v>89</v>
      </c>
      <c r="U10" s="4">
        <v>102</v>
      </c>
      <c r="V10" s="4">
        <v>106</v>
      </c>
      <c r="W10" s="4">
        <v>0</v>
      </c>
      <c r="X10" s="4">
        <v>97</v>
      </c>
      <c r="Y10" s="4"/>
      <c r="Z10" s="4"/>
      <c r="AA10" s="4"/>
      <c r="AB10" s="4"/>
      <c r="AC10" s="4">
        <f t="shared" si="2"/>
        <v>586</v>
      </c>
      <c r="AD10" s="4">
        <v>89</v>
      </c>
      <c r="AE10" s="4">
        <f t="shared" si="3"/>
        <v>497</v>
      </c>
      <c r="AF10" s="4"/>
      <c r="AG10" s="4">
        <f t="shared" si="4"/>
        <v>497</v>
      </c>
      <c r="AH10" s="4">
        <f t="shared" si="5"/>
        <v>926</v>
      </c>
      <c r="AI10" s="4">
        <f t="shared" si="6"/>
        <v>1234</v>
      </c>
      <c r="AJ10" s="4">
        <f t="shared" si="7"/>
        <v>994</v>
      </c>
      <c r="AK10" s="4">
        <f t="shared" si="8"/>
        <v>754</v>
      </c>
      <c r="AL10" s="4">
        <f t="shared" si="9"/>
        <v>514</v>
      </c>
      <c r="AM10" s="5">
        <f>(AH10/940)*100</f>
        <v>98.510638297872347</v>
      </c>
      <c r="AN10" s="4"/>
      <c r="AO10" s="3"/>
    </row>
    <row r="11" spans="1:41" x14ac:dyDescent="0.25">
      <c r="A11" s="1">
        <v>56789</v>
      </c>
      <c r="B11" s="4">
        <v>20</v>
      </c>
      <c r="C11" s="4">
        <v>20</v>
      </c>
      <c r="D11" s="4">
        <v>15</v>
      </c>
      <c r="E11" s="4">
        <v>10</v>
      </c>
      <c r="F11" s="4">
        <v>20</v>
      </c>
      <c r="G11" s="4">
        <v>15</v>
      </c>
      <c r="H11" s="4">
        <v>24</v>
      </c>
      <c r="I11" s="4"/>
      <c r="J11" s="4"/>
      <c r="K11" s="4"/>
      <c r="L11" s="7">
        <f t="shared" si="0"/>
        <v>124</v>
      </c>
      <c r="M11" s="4">
        <v>46</v>
      </c>
      <c r="N11" s="4">
        <v>219</v>
      </c>
      <c r="O11" s="4"/>
      <c r="P11" s="4"/>
      <c r="Q11" s="4">
        <f t="shared" si="1"/>
        <v>389</v>
      </c>
      <c r="R11" s="1">
        <v>94</v>
      </c>
      <c r="S11" s="4">
        <v>81</v>
      </c>
      <c r="T11" s="4">
        <v>96</v>
      </c>
      <c r="U11" s="4">
        <v>62</v>
      </c>
      <c r="V11" s="4">
        <v>106</v>
      </c>
      <c r="W11" s="4">
        <v>80</v>
      </c>
      <c r="X11" s="4">
        <v>66</v>
      </c>
      <c r="Y11" s="4">
        <v>46</v>
      </c>
      <c r="Z11" s="4"/>
      <c r="AA11" s="4"/>
      <c r="AB11" s="4"/>
      <c r="AC11" s="4">
        <f t="shared" si="2"/>
        <v>631</v>
      </c>
      <c r="AD11" s="4">
        <v>108</v>
      </c>
      <c r="AE11" s="4">
        <f t="shared" si="3"/>
        <v>523</v>
      </c>
      <c r="AF11" s="4"/>
      <c r="AG11" s="4">
        <f t="shared" si="4"/>
        <v>523</v>
      </c>
      <c r="AH11" s="4">
        <f t="shared" si="5"/>
        <v>912</v>
      </c>
      <c r="AI11" s="4">
        <f t="shared" si="6"/>
        <v>1248</v>
      </c>
      <c r="AJ11" s="4">
        <f t="shared" si="7"/>
        <v>1008</v>
      </c>
      <c r="AK11" s="4">
        <f t="shared" si="8"/>
        <v>768</v>
      </c>
      <c r="AL11" s="4">
        <f t="shared" si="9"/>
        <v>528</v>
      </c>
      <c r="AM11" s="5">
        <f t="shared" ref="AM11:AM21" si="10">(AH11/1040)*100</f>
        <v>87.692307692307693</v>
      </c>
      <c r="AN11" s="4"/>
      <c r="AO11" s="3"/>
    </row>
    <row r="12" spans="1:41" x14ac:dyDescent="0.25">
      <c r="A12" s="1">
        <v>73715</v>
      </c>
      <c r="B12" s="4">
        <v>20</v>
      </c>
      <c r="C12" s="4">
        <v>0</v>
      </c>
      <c r="D12" s="4">
        <v>0</v>
      </c>
      <c r="E12" s="4">
        <v>10</v>
      </c>
      <c r="F12" s="4">
        <v>0</v>
      </c>
      <c r="G12" s="4">
        <v>10</v>
      </c>
      <c r="H12" s="4">
        <v>24</v>
      </c>
      <c r="I12" s="4"/>
      <c r="J12" s="4"/>
      <c r="K12" s="4"/>
      <c r="L12" s="7">
        <f t="shared" si="0"/>
        <v>64</v>
      </c>
      <c r="M12" s="4">
        <v>20</v>
      </c>
      <c r="N12" s="4">
        <v>202</v>
      </c>
      <c r="O12" s="4"/>
      <c r="P12" s="4"/>
      <c r="Q12" s="4">
        <f t="shared" si="1"/>
        <v>286</v>
      </c>
      <c r="R12" s="1">
        <v>76</v>
      </c>
      <c r="S12" s="4">
        <v>104</v>
      </c>
      <c r="T12" s="4">
        <v>79</v>
      </c>
      <c r="U12" s="4">
        <v>83</v>
      </c>
      <c r="V12" s="4">
        <v>103</v>
      </c>
      <c r="W12" s="4">
        <v>0</v>
      </c>
      <c r="X12" s="4">
        <v>76</v>
      </c>
      <c r="Y12" s="4">
        <v>84</v>
      </c>
      <c r="Z12" s="4"/>
      <c r="AA12" s="4"/>
      <c r="AB12" s="4"/>
      <c r="AC12" s="4">
        <f t="shared" si="2"/>
        <v>605</v>
      </c>
      <c r="AD12" s="4">
        <v>76</v>
      </c>
      <c r="AE12" s="4">
        <f t="shared" si="3"/>
        <v>529</v>
      </c>
      <c r="AF12" s="4"/>
      <c r="AG12" s="4">
        <f t="shared" si="4"/>
        <v>529</v>
      </c>
      <c r="AH12" s="4">
        <f t="shared" si="5"/>
        <v>815</v>
      </c>
      <c r="AI12" s="4">
        <f t="shared" si="6"/>
        <v>1345</v>
      </c>
      <c r="AJ12" s="4">
        <f t="shared" si="7"/>
        <v>1105</v>
      </c>
      <c r="AK12" s="4">
        <f t="shared" si="8"/>
        <v>865</v>
      </c>
      <c r="AL12" s="4">
        <f t="shared" si="9"/>
        <v>625</v>
      </c>
      <c r="AM12" s="5">
        <f t="shared" si="10"/>
        <v>78.365384615384613</v>
      </c>
      <c r="AN12" s="4"/>
      <c r="AO12" s="3"/>
    </row>
    <row r="13" spans="1:41" x14ac:dyDescent="0.25">
      <c r="A13" s="1">
        <v>77898</v>
      </c>
      <c r="B13" s="4">
        <v>0</v>
      </c>
      <c r="C13" s="4">
        <v>20</v>
      </c>
      <c r="D13" s="4">
        <v>10</v>
      </c>
      <c r="E13" s="4">
        <v>0</v>
      </c>
      <c r="F13" s="4">
        <v>20</v>
      </c>
      <c r="G13" s="4">
        <v>15</v>
      </c>
      <c r="H13" s="4">
        <v>24</v>
      </c>
      <c r="I13" s="4"/>
      <c r="J13" s="4"/>
      <c r="K13" s="4"/>
      <c r="L13" s="7">
        <f t="shared" si="0"/>
        <v>89</v>
      </c>
      <c r="M13" s="4">
        <v>35</v>
      </c>
      <c r="N13" s="4">
        <v>145</v>
      </c>
      <c r="O13" s="4"/>
      <c r="P13" s="4"/>
      <c r="Q13" s="4">
        <f t="shared" si="1"/>
        <v>269</v>
      </c>
      <c r="R13" s="1">
        <v>67</v>
      </c>
      <c r="S13" s="4">
        <v>79</v>
      </c>
      <c r="T13" s="4">
        <v>81</v>
      </c>
      <c r="U13" s="4">
        <v>48</v>
      </c>
      <c r="V13" s="4">
        <v>63</v>
      </c>
      <c r="W13" s="4">
        <v>50</v>
      </c>
      <c r="X13" s="4">
        <v>49</v>
      </c>
      <c r="Y13" s="4">
        <v>42</v>
      </c>
      <c r="Z13" s="4"/>
      <c r="AA13" s="4"/>
      <c r="AB13" s="4"/>
      <c r="AC13" s="4">
        <f t="shared" si="2"/>
        <v>479</v>
      </c>
      <c r="AD13" s="4">
        <v>90</v>
      </c>
      <c r="AE13" s="4">
        <f t="shared" si="3"/>
        <v>389</v>
      </c>
      <c r="AF13" s="4"/>
      <c r="AG13" s="4">
        <f t="shared" si="4"/>
        <v>389</v>
      </c>
      <c r="AH13" s="4">
        <f t="shared" si="5"/>
        <v>658</v>
      </c>
      <c r="AI13" s="4">
        <f t="shared" si="6"/>
        <v>1502</v>
      </c>
      <c r="AJ13" s="4">
        <f t="shared" si="7"/>
        <v>1262</v>
      </c>
      <c r="AK13" s="4">
        <f t="shared" si="8"/>
        <v>1022</v>
      </c>
      <c r="AL13" s="4">
        <f t="shared" si="9"/>
        <v>782</v>
      </c>
      <c r="AM13" s="5">
        <f t="shared" si="10"/>
        <v>63.269230769230766</v>
      </c>
      <c r="AN13" s="4"/>
      <c r="AO13" s="3"/>
    </row>
    <row r="14" spans="1:41" x14ac:dyDescent="0.25">
      <c r="A14" s="4">
        <v>80922</v>
      </c>
      <c r="B14" s="4">
        <v>20</v>
      </c>
      <c r="C14" s="4">
        <v>20</v>
      </c>
      <c r="D14" s="4">
        <v>20</v>
      </c>
      <c r="E14" s="4">
        <v>0</v>
      </c>
      <c r="F14" s="4">
        <v>0</v>
      </c>
      <c r="G14" s="4">
        <v>20</v>
      </c>
      <c r="H14" s="4">
        <v>24</v>
      </c>
      <c r="I14" s="4"/>
      <c r="J14" s="4"/>
      <c r="K14" s="4"/>
      <c r="L14" s="7">
        <f t="shared" si="0"/>
        <v>104</v>
      </c>
      <c r="M14" s="4">
        <v>10</v>
      </c>
      <c r="N14" s="4">
        <v>249</v>
      </c>
      <c r="O14" s="4"/>
      <c r="P14" s="4"/>
      <c r="Q14" s="4">
        <f t="shared" si="1"/>
        <v>363</v>
      </c>
      <c r="R14" s="4">
        <v>0</v>
      </c>
      <c r="S14" s="4">
        <v>94</v>
      </c>
      <c r="T14" s="4">
        <v>105</v>
      </c>
      <c r="U14" s="4">
        <v>74</v>
      </c>
      <c r="V14" s="4">
        <v>109</v>
      </c>
      <c r="W14" s="4">
        <v>0</v>
      </c>
      <c r="X14" s="4">
        <v>99</v>
      </c>
      <c r="Y14" s="4">
        <v>101</v>
      </c>
      <c r="Z14" s="4"/>
      <c r="AA14" s="4"/>
      <c r="AB14" s="4"/>
      <c r="AC14" s="4">
        <f t="shared" si="2"/>
        <v>582</v>
      </c>
      <c r="AD14" s="4">
        <v>0</v>
      </c>
      <c r="AE14" s="4">
        <f t="shared" si="3"/>
        <v>582</v>
      </c>
      <c r="AF14" s="4"/>
      <c r="AG14" s="4">
        <f t="shared" si="4"/>
        <v>582</v>
      </c>
      <c r="AH14" s="4">
        <f t="shared" si="5"/>
        <v>945</v>
      </c>
      <c r="AI14" s="4">
        <f t="shared" si="6"/>
        <v>1215</v>
      </c>
      <c r="AJ14" s="4">
        <f t="shared" si="7"/>
        <v>975</v>
      </c>
      <c r="AK14" s="4">
        <f t="shared" si="8"/>
        <v>735</v>
      </c>
      <c r="AL14" s="4">
        <f t="shared" si="9"/>
        <v>495</v>
      </c>
      <c r="AM14" s="5">
        <f t="shared" si="10"/>
        <v>90.865384615384613</v>
      </c>
      <c r="AN14" s="3"/>
      <c r="AO14" s="3"/>
    </row>
    <row r="15" spans="1:41" x14ac:dyDescent="0.25">
      <c r="A15" s="1">
        <v>91500</v>
      </c>
      <c r="B15" s="4">
        <v>20</v>
      </c>
      <c r="C15" s="8">
        <v>0</v>
      </c>
      <c r="D15" s="4">
        <v>20</v>
      </c>
      <c r="E15" s="4">
        <v>10</v>
      </c>
      <c r="F15" s="4">
        <v>20</v>
      </c>
      <c r="G15" s="4">
        <v>20</v>
      </c>
      <c r="H15" s="4">
        <v>24</v>
      </c>
      <c r="I15" s="4"/>
      <c r="J15" s="4"/>
      <c r="K15" s="4"/>
      <c r="L15" s="7">
        <f t="shared" si="0"/>
        <v>114</v>
      </c>
      <c r="M15" s="4">
        <v>49</v>
      </c>
      <c r="N15" s="4">
        <v>222</v>
      </c>
      <c r="O15" s="4"/>
      <c r="P15" s="4"/>
      <c r="Q15" s="4">
        <f t="shared" si="1"/>
        <v>385</v>
      </c>
      <c r="R15" s="1">
        <v>88</v>
      </c>
      <c r="S15" s="4">
        <v>106</v>
      </c>
      <c r="T15" s="4">
        <v>115</v>
      </c>
      <c r="U15" s="4">
        <v>96</v>
      </c>
      <c r="V15" s="4">
        <v>101</v>
      </c>
      <c r="W15" s="4">
        <v>117</v>
      </c>
      <c r="X15" s="4">
        <v>107</v>
      </c>
      <c r="Y15" s="4">
        <v>114</v>
      </c>
      <c r="Z15" s="4"/>
      <c r="AA15" s="4"/>
      <c r="AB15" s="4"/>
      <c r="AC15" s="4">
        <f t="shared" si="2"/>
        <v>844</v>
      </c>
      <c r="AD15" s="4">
        <v>184</v>
      </c>
      <c r="AE15" s="4">
        <f t="shared" si="3"/>
        <v>660</v>
      </c>
      <c r="AF15" s="4"/>
      <c r="AG15" s="4">
        <f t="shared" si="4"/>
        <v>660</v>
      </c>
      <c r="AH15" s="4">
        <f t="shared" si="5"/>
        <v>1045</v>
      </c>
      <c r="AI15" s="4">
        <f t="shared" si="6"/>
        <v>1115</v>
      </c>
      <c r="AJ15" s="4">
        <f t="shared" si="7"/>
        <v>875</v>
      </c>
      <c r="AK15" s="4">
        <f t="shared" si="8"/>
        <v>635</v>
      </c>
      <c r="AL15" s="4">
        <f t="shared" si="9"/>
        <v>395</v>
      </c>
      <c r="AM15" s="5">
        <f t="shared" si="10"/>
        <v>100.48076923076923</v>
      </c>
      <c r="AN15" s="4"/>
      <c r="AO15" s="3"/>
    </row>
    <row r="16" spans="1:41" x14ac:dyDescent="0.25">
      <c r="A16" s="1">
        <v>112481</v>
      </c>
      <c r="B16" s="4">
        <v>20</v>
      </c>
      <c r="C16" s="4">
        <v>20</v>
      </c>
      <c r="D16" s="4">
        <v>15</v>
      </c>
      <c r="E16" s="4">
        <v>10</v>
      </c>
      <c r="F16" s="4">
        <v>20</v>
      </c>
      <c r="G16" s="4">
        <v>20</v>
      </c>
      <c r="H16" s="4">
        <v>24</v>
      </c>
      <c r="I16" s="4"/>
      <c r="J16" s="4"/>
      <c r="K16" s="4"/>
      <c r="L16" s="7">
        <f t="shared" si="0"/>
        <v>129</v>
      </c>
      <c r="M16" s="4">
        <v>50</v>
      </c>
      <c r="N16" s="4">
        <v>269</v>
      </c>
      <c r="O16" s="4"/>
      <c r="P16" s="4"/>
      <c r="Q16" s="4">
        <f t="shared" si="1"/>
        <v>448</v>
      </c>
      <c r="R16" s="1">
        <v>100</v>
      </c>
      <c r="S16" s="4">
        <v>108</v>
      </c>
      <c r="T16" s="4">
        <v>115</v>
      </c>
      <c r="U16" s="4">
        <v>107</v>
      </c>
      <c r="V16" s="4">
        <v>118</v>
      </c>
      <c r="W16" s="4">
        <v>103</v>
      </c>
      <c r="X16" s="4">
        <v>97</v>
      </c>
      <c r="Y16" s="4">
        <v>117</v>
      </c>
      <c r="Z16" s="4"/>
      <c r="AA16" s="4"/>
      <c r="AB16" s="4"/>
      <c r="AC16" s="4">
        <f t="shared" si="2"/>
        <v>865</v>
      </c>
      <c r="AD16" s="4">
        <v>197</v>
      </c>
      <c r="AE16" s="4">
        <f t="shared" si="3"/>
        <v>668</v>
      </c>
      <c r="AF16" s="4"/>
      <c r="AG16" s="4">
        <f t="shared" si="4"/>
        <v>668</v>
      </c>
      <c r="AH16" s="4">
        <f t="shared" si="5"/>
        <v>1116</v>
      </c>
      <c r="AI16" s="4">
        <f t="shared" si="6"/>
        <v>1044</v>
      </c>
      <c r="AJ16" s="4">
        <f t="shared" si="7"/>
        <v>804</v>
      </c>
      <c r="AK16" s="4">
        <f t="shared" si="8"/>
        <v>564</v>
      </c>
      <c r="AL16" s="4">
        <f t="shared" si="9"/>
        <v>324</v>
      </c>
      <c r="AM16" s="5">
        <f t="shared" si="10"/>
        <v>107.30769230769231</v>
      </c>
      <c r="AN16" s="4"/>
      <c r="AO16" s="3"/>
    </row>
    <row r="17" spans="1:41" x14ac:dyDescent="0.25">
      <c r="A17" s="1">
        <v>287981</v>
      </c>
      <c r="B17" s="4">
        <v>20</v>
      </c>
      <c r="C17" s="4">
        <v>20</v>
      </c>
      <c r="D17" s="4">
        <v>20</v>
      </c>
      <c r="E17" s="4">
        <v>15</v>
      </c>
      <c r="F17" s="4">
        <v>20</v>
      </c>
      <c r="G17" s="4">
        <v>0</v>
      </c>
      <c r="H17" s="4">
        <v>0</v>
      </c>
      <c r="I17" s="4"/>
      <c r="J17" s="4"/>
      <c r="K17" s="4"/>
      <c r="L17" s="7">
        <f t="shared" si="0"/>
        <v>95</v>
      </c>
      <c r="M17" s="4">
        <v>44</v>
      </c>
      <c r="N17" s="4">
        <v>248</v>
      </c>
      <c r="O17" s="4"/>
      <c r="P17" s="4"/>
      <c r="Q17" s="4">
        <f t="shared" si="1"/>
        <v>387</v>
      </c>
      <c r="R17" s="1">
        <v>70</v>
      </c>
      <c r="S17" s="4">
        <v>94</v>
      </c>
      <c r="T17" s="4">
        <v>89</v>
      </c>
      <c r="U17" s="4">
        <v>93</v>
      </c>
      <c r="V17" s="4">
        <v>107</v>
      </c>
      <c r="W17" s="4">
        <v>111</v>
      </c>
      <c r="X17" s="4">
        <v>103</v>
      </c>
      <c r="Y17" s="4">
        <v>102</v>
      </c>
      <c r="Z17" s="4"/>
      <c r="AA17" s="4"/>
      <c r="AB17" s="4"/>
      <c r="AC17" s="4">
        <f t="shared" si="2"/>
        <v>769</v>
      </c>
      <c r="AD17" s="4">
        <v>169</v>
      </c>
      <c r="AE17" s="4">
        <f t="shared" si="3"/>
        <v>600</v>
      </c>
      <c r="AF17" s="4"/>
      <c r="AG17" s="4">
        <f t="shared" si="4"/>
        <v>600</v>
      </c>
      <c r="AH17" s="4">
        <f t="shared" si="5"/>
        <v>987</v>
      </c>
      <c r="AI17" s="4">
        <f t="shared" si="6"/>
        <v>1173</v>
      </c>
      <c r="AJ17" s="4">
        <f t="shared" si="7"/>
        <v>933</v>
      </c>
      <c r="AK17" s="4">
        <f t="shared" si="8"/>
        <v>693</v>
      </c>
      <c r="AL17" s="4">
        <f t="shared" si="9"/>
        <v>453</v>
      </c>
      <c r="AM17" s="5">
        <f t="shared" si="10"/>
        <v>94.903846153846146</v>
      </c>
      <c r="AN17" s="4"/>
      <c r="AO17" s="3"/>
    </row>
    <row r="18" spans="1:41" x14ac:dyDescent="0.25">
      <c r="A18" s="1">
        <v>311004</v>
      </c>
      <c r="B18" s="4">
        <v>20</v>
      </c>
      <c r="C18" s="4">
        <v>20</v>
      </c>
      <c r="D18" s="4">
        <v>15</v>
      </c>
      <c r="E18" s="4">
        <v>0</v>
      </c>
      <c r="F18" s="4">
        <v>0</v>
      </c>
      <c r="G18" s="4">
        <v>0</v>
      </c>
      <c r="H18" s="4">
        <v>8</v>
      </c>
      <c r="I18" s="4"/>
      <c r="J18" s="4"/>
      <c r="K18" s="4"/>
      <c r="L18" s="7">
        <f t="shared" si="0"/>
        <v>63</v>
      </c>
      <c r="M18" s="4">
        <v>25</v>
      </c>
      <c r="N18" s="4">
        <v>205</v>
      </c>
      <c r="O18" s="4"/>
      <c r="P18" s="4"/>
      <c r="Q18" s="4">
        <f t="shared" si="1"/>
        <v>293</v>
      </c>
      <c r="R18" s="1">
        <v>58</v>
      </c>
      <c r="S18" s="4">
        <v>95</v>
      </c>
      <c r="T18" s="4">
        <v>85</v>
      </c>
      <c r="U18" s="4">
        <v>66</v>
      </c>
      <c r="V18" s="4">
        <v>97</v>
      </c>
      <c r="W18" s="4">
        <v>97</v>
      </c>
      <c r="X18" s="4">
        <v>68</v>
      </c>
      <c r="Y18" s="4">
        <v>0</v>
      </c>
      <c r="Z18" s="4"/>
      <c r="AA18" s="4"/>
      <c r="AB18" s="4"/>
      <c r="AC18" s="4">
        <f t="shared" si="2"/>
        <v>566</v>
      </c>
      <c r="AD18" s="4">
        <v>58</v>
      </c>
      <c r="AE18" s="4">
        <f t="shared" si="3"/>
        <v>508</v>
      </c>
      <c r="AF18" s="4"/>
      <c r="AG18" s="4">
        <f t="shared" si="4"/>
        <v>508</v>
      </c>
      <c r="AH18" s="4">
        <f t="shared" si="5"/>
        <v>801</v>
      </c>
      <c r="AI18" s="4">
        <f t="shared" si="6"/>
        <v>1359</v>
      </c>
      <c r="AJ18" s="4">
        <f t="shared" si="7"/>
        <v>1119</v>
      </c>
      <c r="AK18" s="4">
        <f t="shared" si="8"/>
        <v>879</v>
      </c>
      <c r="AL18" s="4">
        <f t="shared" si="9"/>
        <v>639</v>
      </c>
      <c r="AM18" s="5">
        <f t="shared" si="10"/>
        <v>77.019230769230774</v>
      </c>
      <c r="AN18" s="4"/>
      <c r="AO18" s="3"/>
    </row>
    <row r="19" spans="1:41" x14ac:dyDescent="0.25">
      <c r="A19" s="1">
        <v>7220229</v>
      </c>
      <c r="B19" s="4">
        <v>20</v>
      </c>
      <c r="C19" s="4">
        <v>20</v>
      </c>
      <c r="D19" s="4">
        <v>15</v>
      </c>
      <c r="E19" s="4">
        <v>10</v>
      </c>
      <c r="F19" s="4">
        <v>20</v>
      </c>
      <c r="G19" s="4">
        <v>20</v>
      </c>
      <c r="H19" s="4">
        <v>24</v>
      </c>
      <c r="I19" s="4"/>
      <c r="J19" s="4"/>
      <c r="K19" s="4"/>
      <c r="L19" s="7">
        <f t="shared" si="0"/>
        <v>129</v>
      </c>
      <c r="M19" s="4">
        <v>44</v>
      </c>
      <c r="N19" s="4">
        <v>229</v>
      </c>
      <c r="O19" s="4"/>
      <c r="P19" s="4"/>
      <c r="Q19" s="4">
        <f t="shared" si="1"/>
        <v>402</v>
      </c>
      <c r="R19" s="1">
        <v>97</v>
      </c>
      <c r="S19" s="4">
        <v>105</v>
      </c>
      <c r="T19" s="4">
        <v>92</v>
      </c>
      <c r="U19" s="4">
        <v>100</v>
      </c>
      <c r="V19" s="4">
        <v>114</v>
      </c>
      <c r="W19" s="4">
        <v>110</v>
      </c>
      <c r="X19" s="4">
        <v>106</v>
      </c>
      <c r="Y19" s="4">
        <v>0</v>
      </c>
      <c r="Z19" s="4"/>
      <c r="AA19" s="4"/>
      <c r="AB19" s="4"/>
      <c r="AC19" s="4">
        <f t="shared" si="2"/>
        <v>724</v>
      </c>
      <c r="AD19" s="4">
        <v>92</v>
      </c>
      <c r="AE19" s="4">
        <f t="shared" si="3"/>
        <v>632</v>
      </c>
      <c r="AF19" s="4"/>
      <c r="AG19" s="4">
        <f t="shared" si="4"/>
        <v>632</v>
      </c>
      <c r="AH19" s="4">
        <f t="shared" si="5"/>
        <v>1034</v>
      </c>
      <c r="AI19" s="4">
        <f t="shared" si="6"/>
        <v>1126</v>
      </c>
      <c r="AJ19" s="4">
        <f t="shared" si="7"/>
        <v>886</v>
      </c>
      <c r="AK19" s="4">
        <f t="shared" si="8"/>
        <v>646</v>
      </c>
      <c r="AL19" s="4">
        <f t="shared" si="9"/>
        <v>406</v>
      </c>
      <c r="AM19" s="5">
        <f t="shared" si="10"/>
        <v>99.42307692307692</v>
      </c>
      <c r="AN19" s="4"/>
      <c r="AO19" s="3"/>
    </row>
    <row r="20" spans="1:41" x14ac:dyDescent="0.25">
      <c r="A20" s="1" t="s">
        <v>96</v>
      </c>
      <c r="B20" s="4">
        <v>0</v>
      </c>
      <c r="C20" s="4">
        <v>0</v>
      </c>
      <c r="D20" s="4">
        <v>15</v>
      </c>
      <c r="E20" s="4">
        <v>0</v>
      </c>
      <c r="F20" s="4">
        <v>20</v>
      </c>
      <c r="G20" s="4">
        <v>0</v>
      </c>
      <c r="H20" s="4">
        <v>0</v>
      </c>
      <c r="I20" s="4"/>
      <c r="J20" s="4"/>
      <c r="K20" s="4"/>
      <c r="L20" s="7">
        <f t="shared" si="0"/>
        <v>35</v>
      </c>
      <c r="M20" s="4">
        <v>0</v>
      </c>
      <c r="N20" s="4">
        <v>165</v>
      </c>
      <c r="O20" s="4"/>
      <c r="P20" s="4"/>
      <c r="Q20" s="4">
        <f t="shared" si="1"/>
        <v>200</v>
      </c>
      <c r="R20" s="1">
        <v>64</v>
      </c>
      <c r="S20" s="4">
        <v>78</v>
      </c>
      <c r="T20" s="4">
        <v>70</v>
      </c>
      <c r="U20" s="4">
        <v>0</v>
      </c>
      <c r="V20" s="4">
        <v>0</v>
      </c>
      <c r="W20" s="4">
        <v>70</v>
      </c>
      <c r="X20" s="4">
        <v>0</v>
      </c>
      <c r="Y20" s="4">
        <v>0</v>
      </c>
      <c r="Z20" s="4"/>
      <c r="AA20" s="4"/>
      <c r="AB20" s="4"/>
      <c r="AC20" s="4">
        <f t="shared" si="2"/>
        <v>282</v>
      </c>
      <c r="AD20" s="4">
        <v>0</v>
      </c>
      <c r="AE20" s="4">
        <f t="shared" si="3"/>
        <v>282</v>
      </c>
      <c r="AF20" s="4"/>
      <c r="AG20" s="4">
        <f t="shared" si="4"/>
        <v>282</v>
      </c>
      <c r="AH20" s="4">
        <f t="shared" si="5"/>
        <v>482</v>
      </c>
      <c r="AI20" s="4">
        <f t="shared" si="6"/>
        <v>1678</v>
      </c>
      <c r="AJ20" s="4">
        <f t="shared" si="7"/>
        <v>1438</v>
      </c>
      <c r="AK20" s="4">
        <f t="shared" si="8"/>
        <v>1198</v>
      </c>
      <c r="AL20" s="4">
        <f t="shared" si="9"/>
        <v>958</v>
      </c>
      <c r="AM20" s="5">
        <f t="shared" si="10"/>
        <v>46.346153846153847</v>
      </c>
      <c r="AN20" s="4"/>
      <c r="AO20" s="3"/>
    </row>
    <row r="21" spans="1:41" x14ac:dyDescent="0.25">
      <c r="A21" s="1" t="s">
        <v>72</v>
      </c>
      <c r="B21" s="4">
        <v>20</v>
      </c>
      <c r="C21" s="4">
        <v>20</v>
      </c>
      <c r="D21" s="4">
        <v>10</v>
      </c>
      <c r="E21" s="4">
        <v>10</v>
      </c>
      <c r="F21" s="4">
        <v>20</v>
      </c>
      <c r="G21" s="4">
        <v>20</v>
      </c>
      <c r="H21" s="4">
        <v>12</v>
      </c>
      <c r="I21" s="4"/>
      <c r="J21" s="4"/>
      <c r="K21" s="4"/>
      <c r="L21" s="7">
        <f t="shared" si="0"/>
        <v>112</v>
      </c>
      <c r="M21" s="4">
        <v>39</v>
      </c>
      <c r="N21" s="4">
        <v>222</v>
      </c>
      <c r="O21" s="4"/>
      <c r="P21" s="4"/>
      <c r="Q21" s="4">
        <f t="shared" si="1"/>
        <v>373</v>
      </c>
      <c r="R21" s="1">
        <v>94</v>
      </c>
      <c r="S21" s="4">
        <v>94</v>
      </c>
      <c r="T21" s="4">
        <v>105</v>
      </c>
      <c r="U21" s="4">
        <v>85</v>
      </c>
      <c r="V21" s="4">
        <v>112</v>
      </c>
      <c r="W21" s="4">
        <v>100</v>
      </c>
      <c r="X21" s="4">
        <v>46</v>
      </c>
      <c r="Y21" s="4">
        <v>0</v>
      </c>
      <c r="Z21" s="4"/>
      <c r="AA21" s="4"/>
      <c r="AB21" s="4"/>
      <c r="AC21" s="4">
        <f t="shared" si="2"/>
        <v>636</v>
      </c>
      <c r="AD21" s="4">
        <v>46</v>
      </c>
      <c r="AE21" s="4">
        <f t="shared" si="3"/>
        <v>590</v>
      </c>
      <c r="AF21" s="4"/>
      <c r="AG21" s="4">
        <f t="shared" si="4"/>
        <v>590</v>
      </c>
      <c r="AH21" s="4">
        <f t="shared" si="5"/>
        <v>963</v>
      </c>
      <c r="AI21" s="4">
        <f t="shared" si="6"/>
        <v>1197</v>
      </c>
      <c r="AJ21" s="4">
        <f t="shared" si="7"/>
        <v>957</v>
      </c>
      <c r="AK21" s="4">
        <f t="shared" si="8"/>
        <v>717</v>
      </c>
      <c r="AL21" s="4">
        <f t="shared" si="9"/>
        <v>477</v>
      </c>
      <c r="AM21" s="5">
        <f t="shared" si="10"/>
        <v>92.596153846153854</v>
      </c>
      <c r="AN21" s="4"/>
      <c r="AO21" s="3"/>
    </row>
    <row r="22" spans="1:41" s="9" customFormat="1" x14ac:dyDescent="0.25">
      <c r="A22" s="1" t="s">
        <v>47</v>
      </c>
      <c r="B22" s="4">
        <v>20</v>
      </c>
      <c r="C22" s="4">
        <v>20</v>
      </c>
      <c r="D22" s="4">
        <v>15</v>
      </c>
      <c r="E22" s="4">
        <v>10</v>
      </c>
      <c r="F22" s="4">
        <v>20</v>
      </c>
      <c r="G22" s="4">
        <v>20</v>
      </c>
      <c r="H22" s="4">
        <v>24</v>
      </c>
      <c r="I22" s="4"/>
      <c r="J22" s="4"/>
      <c r="K22" s="4"/>
      <c r="L22" s="7">
        <f t="shared" si="0"/>
        <v>129</v>
      </c>
      <c r="M22" s="4">
        <v>50</v>
      </c>
      <c r="N22" s="4">
        <v>239</v>
      </c>
      <c r="O22" s="4"/>
      <c r="P22" s="4"/>
      <c r="Q22" s="4">
        <f t="shared" si="1"/>
        <v>418</v>
      </c>
      <c r="R22" s="1">
        <v>98</v>
      </c>
      <c r="S22" s="4">
        <v>77</v>
      </c>
      <c r="T22" s="4">
        <v>108</v>
      </c>
      <c r="U22" s="4">
        <v>115</v>
      </c>
      <c r="V22" s="4">
        <v>97</v>
      </c>
      <c r="W22" s="4">
        <v>87</v>
      </c>
      <c r="X22" s="4">
        <v>100</v>
      </c>
      <c r="Y22" s="4"/>
      <c r="Z22" s="4"/>
      <c r="AA22" s="4"/>
      <c r="AB22" s="4"/>
      <c r="AC22" s="4">
        <f t="shared" si="2"/>
        <v>682</v>
      </c>
      <c r="AD22" s="4">
        <v>164</v>
      </c>
      <c r="AE22" s="4">
        <f t="shared" si="3"/>
        <v>518</v>
      </c>
      <c r="AF22" s="4"/>
      <c r="AG22" s="4">
        <f t="shared" si="4"/>
        <v>518</v>
      </c>
      <c r="AH22" s="4">
        <f t="shared" si="5"/>
        <v>936</v>
      </c>
      <c r="AI22" s="4">
        <f t="shared" si="6"/>
        <v>1224</v>
      </c>
      <c r="AJ22" s="4">
        <f t="shared" si="7"/>
        <v>984</v>
      </c>
      <c r="AK22" s="4">
        <f t="shared" si="8"/>
        <v>744</v>
      </c>
      <c r="AL22" s="4">
        <f t="shared" si="9"/>
        <v>504</v>
      </c>
      <c r="AM22" s="5">
        <f>(AH22/940)*100</f>
        <v>99.574468085106389</v>
      </c>
      <c r="AN22" s="4"/>
    </row>
    <row r="23" spans="1:41" x14ac:dyDescent="0.25">
      <c r="A23" s="1" t="s">
        <v>81</v>
      </c>
      <c r="B23" s="4">
        <v>20</v>
      </c>
      <c r="C23" s="4">
        <v>20</v>
      </c>
      <c r="D23" s="4">
        <v>10</v>
      </c>
      <c r="E23" s="4">
        <v>15</v>
      </c>
      <c r="F23" s="4">
        <v>0</v>
      </c>
      <c r="G23" s="4">
        <v>20</v>
      </c>
      <c r="H23" s="4">
        <v>20</v>
      </c>
      <c r="I23" s="4"/>
      <c r="J23" s="4"/>
      <c r="K23" s="4"/>
      <c r="L23" s="7">
        <f t="shared" si="0"/>
        <v>105</v>
      </c>
      <c r="M23" s="4">
        <v>55</v>
      </c>
      <c r="N23" s="4">
        <v>250</v>
      </c>
      <c r="O23" s="4"/>
      <c r="P23" s="4"/>
      <c r="Q23" s="4">
        <f t="shared" si="1"/>
        <v>410</v>
      </c>
      <c r="R23" s="1">
        <v>79</v>
      </c>
      <c r="S23" s="4">
        <v>113</v>
      </c>
      <c r="T23" s="4">
        <v>98</v>
      </c>
      <c r="U23" s="4">
        <v>113</v>
      </c>
      <c r="V23" s="4">
        <v>110</v>
      </c>
      <c r="W23" s="4">
        <v>108</v>
      </c>
      <c r="X23" s="4">
        <v>111</v>
      </c>
      <c r="Y23" s="4"/>
      <c r="Z23" s="4"/>
      <c r="AA23" s="4"/>
      <c r="AB23" s="4"/>
      <c r="AC23" s="4">
        <f t="shared" si="2"/>
        <v>732</v>
      </c>
      <c r="AD23" s="4">
        <v>177</v>
      </c>
      <c r="AE23" s="4">
        <f t="shared" si="3"/>
        <v>555</v>
      </c>
      <c r="AF23" s="4"/>
      <c r="AG23" s="4">
        <f t="shared" si="4"/>
        <v>555</v>
      </c>
      <c r="AH23" s="4">
        <f t="shared" si="5"/>
        <v>965</v>
      </c>
      <c r="AI23" s="4">
        <f t="shared" si="6"/>
        <v>1195</v>
      </c>
      <c r="AJ23" s="4">
        <f t="shared" si="7"/>
        <v>955</v>
      </c>
      <c r="AK23" s="4">
        <f t="shared" si="8"/>
        <v>715</v>
      </c>
      <c r="AL23" s="4">
        <f t="shared" si="9"/>
        <v>475</v>
      </c>
      <c r="AM23" s="5">
        <f>(AH23/940)*100</f>
        <v>102.65957446808511</v>
      </c>
      <c r="AN23" s="4"/>
      <c r="AO23" s="3"/>
    </row>
    <row r="24" spans="1:41" x14ac:dyDescent="0.25">
      <c r="A24" s="1" t="s">
        <v>48</v>
      </c>
      <c r="B24" s="4">
        <v>20</v>
      </c>
      <c r="C24" s="4">
        <v>20</v>
      </c>
      <c r="D24" s="4">
        <v>10</v>
      </c>
      <c r="E24" s="8">
        <v>0</v>
      </c>
      <c r="F24" s="4">
        <v>0</v>
      </c>
      <c r="G24" s="4">
        <v>20</v>
      </c>
      <c r="H24" s="4">
        <v>12</v>
      </c>
      <c r="I24" s="4"/>
      <c r="J24" s="4"/>
      <c r="K24" s="4"/>
      <c r="L24" s="7">
        <f t="shared" si="0"/>
        <v>82</v>
      </c>
      <c r="M24" s="4">
        <v>10</v>
      </c>
      <c r="N24" s="4">
        <v>209</v>
      </c>
      <c r="O24" s="4"/>
      <c r="P24" s="4"/>
      <c r="Q24" s="4">
        <f t="shared" si="1"/>
        <v>301</v>
      </c>
      <c r="R24" s="1">
        <v>88</v>
      </c>
      <c r="S24" s="4">
        <v>48</v>
      </c>
      <c r="T24" s="4">
        <v>60</v>
      </c>
      <c r="U24" s="4">
        <v>76</v>
      </c>
      <c r="V24" s="4">
        <v>93</v>
      </c>
      <c r="W24" s="4">
        <v>47</v>
      </c>
      <c r="X24" s="4">
        <v>79</v>
      </c>
      <c r="Y24" s="4">
        <v>85</v>
      </c>
      <c r="Z24" s="4"/>
      <c r="AA24" s="4"/>
      <c r="AB24" s="4"/>
      <c r="AC24" s="4">
        <f t="shared" si="2"/>
        <v>576</v>
      </c>
      <c r="AD24" s="4">
        <v>95</v>
      </c>
      <c r="AE24" s="4">
        <f t="shared" si="3"/>
        <v>481</v>
      </c>
      <c r="AF24" s="4"/>
      <c r="AG24" s="4">
        <f t="shared" si="4"/>
        <v>481</v>
      </c>
      <c r="AH24" s="4">
        <f t="shared" si="5"/>
        <v>782</v>
      </c>
      <c r="AI24" s="4">
        <f t="shared" si="6"/>
        <v>1378</v>
      </c>
      <c r="AJ24" s="4">
        <f t="shared" si="7"/>
        <v>1138</v>
      </c>
      <c r="AK24" s="4">
        <f t="shared" si="8"/>
        <v>898</v>
      </c>
      <c r="AL24" s="4">
        <f t="shared" si="9"/>
        <v>658</v>
      </c>
      <c r="AM24" s="5">
        <f>(AH24/1040)*100</f>
        <v>75.192307692307693</v>
      </c>
      <c r="AN24" s="4"/>
      <c r="AO24" s="3"/>
    </row>
    <row r="25" spans="1:41" x14ac:dyDescent="0.25">
      <c r="A25" s="1" t="s">
        <v>83</v>
      </c>
      <c r="B25" s="4">
        <v>20</v>
      </c>
      <c r="C25" s="4">
        <v>20</v>
      </c>
      <c r="D25" s="4">
        <v>5</v>
      </c>
      <c r="E25" s="4">
        <v>10</v>
      </c>
      <c r="F25" s="4">
        <v>20</v>
      </c>
      <c r="G25" s="4">
        <v>15</v>
      </c>
      <c r="H25" s="4">
        <v>16</v>
      </c>
      <c r="I25" s="4"/>
      <c r="J25" s="4"/>
      <c r="K25" s="4"/>
      <c r="L25" s="7">
        <f t="shared" si="0"/>
        <v>106</v>
      </c>
      <c r="M25" s="4">
        <v>41</v>
      </c>
      <c r="N25" s="4">
        <v>173</v>
      </c>
      <c r="O25" s="4"/>
      <c r="P25" s="4"/>
      <c r="Q25" s="4">
        <f t="shared" si="1"/>
        <v>320</v>
      </c>
      <c r="R25" s="1">
        <v>88</v>
      </c>
      <c r="S25" s="4">
        <v>75</v>
      </c>
      <c r="T25" s="4">
        <v>80</v>
      </c>
      <c r="U25" s="4">
        <v>63</v>
      </c>
      <c r="V25" s="4">
        <v>85</v>
      </c>
      <c r="W25" s="4">
        <v>72</v>
      </c>
      <c r="X25" s="4">
        <v>62</v>
      </c>
      <c r="Y25" s="4">
        <v>64</v>
      </c>
      <c r="Z25" s="4"/>
      <c r="AA25" s="4"/>
      <c r="AB25" s="4"/>
      <c r="AC25" s="4">
        <f t="shared" si="2"/>
        <v>589</v>
      </c>
      <c r="AD25" s="4">
        <v>125</v>
      </c>
      <c r="AE25" s="4">
        <f t="shared" si="3"/>
        <v>464</v>
      </c>
      <c r="AF25" s="4"/>
      <c r="AG25" s="4">
        <f t="shared" si="4"/>
        <v>464</v>
      </c>
      <c r="AH25" s="4">
        <f t="shared" si="5"/>
        <v>784</v>
      </c>
      <c r="AI25" s="4">
        <f t="shared" si="6"/>
        <v>1376</v>
      </c>
      <c r="AJ25" s="4">
        <f t="shared" si="7"/>
        <v>1136</v>
      </c>
      <c r="AK25" s="4">
        <f t="shared" si="8"/>
        <v>896</v>
      </c>
      <c r="AL25" s="4">
        <f t="shared" si="9"/>
        <v>656</v>
      </c>
      <c r="AM25" s="5">
        <f>(AH25/1040)*100</f>
        <v>75.384615384615387</v>
      </c>
      <c r="AN25" s="4"/>
      <c r="AO25" s="3"/>
    </row>
    <row r="26" spans="1:41" x14ac:dyDescent="0.25">
      <c r="A26" s="1" t="s">
        <v>74</v>
      </c>
      <c r="B26" s="4">
        <v>20</v>
      </c>
      <c r="C26" s="4">
        <v>20</v>
      </c>
      <c r="D26" s="4">
        <v>15</v>
      </c>
      <c r="E26" s="4">
        <v>5</v>
      </c>
      <c r="F26" s="4">
        <v>20</v>
      </c>
      <c r="G26" s="4">
        <v>20</v>
      </c>
      <c r="H26" s="4">
        <v>12</v>
      </c>
      <c r="I26" s="4"/>
      <c r="J26" s="4"/>
      <c r="K26" s="4"/>
      <c r="L26" s="7">
        <f t="shared" si="0"/>
        <v>112</v>
      </c>
      <c r="M26" s="4">
        <v>20</v>
      </c>
      <c r="N26" s="4">
        <v>227</v>
      </c>
      <c r="O26" s="4"/>
      <c r="P26" s="4"/>
      <c r="Q26" s="4">
        <f t="shared" si="1"/>
        <v>359</v>
      </c>
      <c r="R26" s="1">
        <v>76</v>
      </c>
      <c r="S26" s="4">
        <v>90</v>
      </c>
      <c r="T26" s="4">
        <v>94</v>
      </c>
      <c r="U26" s="4">
        <v>109</v>
      </c>
      <c r="V26" s="4">
        <v>116</v>
      </c>
      <c r="W26" s="4">
        <v>101</v>
      </c>
      <c r="X26" s="4">
        <v>100</v>
      </c>
      <c r="Y26" s="4">
        <v>103</v>
      </c>
      <c r="Z26" s="4"/>
      <c r="AA26" s="4"/>
      <c r="AB26" s="4"/>
      <c r="AC26" s="4">
        <f t="shared" si="2"/>
        <v>789</v>
      </c>
      <c r="AD26" s="4">
        <v>166</v>
      </c>
      <c r="AE26" s="4">
        <f t="shared" si="3"/>
        <v>623</v>
      </c>
      <c r="AF26" s="4"/>
      <c r="AG26" s="4">
        <f t="shared" si="4"/>
        <v>623</v>
      </c>
      <c r="AH26" s="4">
        <f t="shared" si="5"/>
        <v>982</v>
      </c>
      <c r="AI26" s="4">
        <f t="shared" si="6"/>
        <v>1178</v>
      </c>
      <c r="AJ26" s="4">
        <f t="shared" si="7"/>
        <v>938</v>
      </c>
      <c r="AK26" s="4">
        <f t="shared" si="8"/>
        <v>698</v>
      </c>
      <c r="AL26" s="4">
        <f t="shared" si="9"/>
        <v>458</v>
      </c>
      <c r="AM26" s="5">
        <f>(AH26/1040)*100</f>
        <v>94.42307692307692</v>
      </c>
      <c r="AN26" s="4"/>
      <c r="AO26" s="3"/>
    </row>
    <row r="27" spans="1:41" x14ac:dyDescent="0.25">
      <c r="A27" s="1" t="s">
        <v>56</v>
      </c>
      <c r="B27" s="4">
        <v>20</v>
      </c>
      <c r="C27" s="4">
        <v>20</v>
      </c>
      <c r="D27" s="4">
        <v>10</v>
      </c>
      <c r="E27" s="4">
        <v>15</v>
      </c>
      <c r="F27" s="4">
        <v>20</v>
      </c>
      <c r="G27" s="4">
        <v>20</v>
      </c>
      <c r="H27" s="4">
        <v>0</v>
      </c>
      <c r="I27" s="4"/>
      <c r="J27" s="4"/>
      <c r="K27" s="4"/>
      <c r="L27" s="7">
        <f t="shared" si="0"/>
        <v>105</v>
      </c>
      <c r="M27" s="4">
        <v>40</v>
      </c>
      <c r="N27" s="4">
        <v>205</v>
      </c>
      <c r="O27" s="4"/>
      <c r="P27" s="4"/>
      <c r="Q27" s="4">
        <f t="shared" si="1"/>
        <v>350</v>
      </c>
      <c r="R27" s="1">
        <v>85</v>
      </c>
      <c r="S27" s="4">
        <v>71</v>
      </c>
      <c r="T27" s="4">
        <v>60</v>
      </c>
      <c r="U27" s="4">
        <v>79</v>
      </c>
      <c r="V27" s="4">
        <v>88</v>
      </c>
      <c r="W27" s="4">
        <v>91</v>
      </c>
      <c r="X27" s="4">
        <v>22</v>
      </c>
      <c r="Y27" s="4">
        <v>62</v>
      </c>
      <c r="Z27" s="4"/>
      <c r="AA27" s="4"/>
      <c r="AB27" s="4"/>
      <c r="AC27" s="4">
        <f t="shared" si="2"/>
        <v>558</v>
      </c>
      <c r="AD27" s="4">
        <v>82</v>
      </c>
      <c r="AE27" s="4">
        <f t="shared" si="3"/>
        <v>476</v>
      </c>
      <c r="AF27" s="4"/>
      <c r="AG27" s="4">
        <f t="shared" si="4"/>
        <v>476</v>
      </c>
      <c r="AH27" s="4">
        <f t="shared" si="5"/>
        <v>826</v>
      </c>
      <c r="AI27" s="4">
        <f t="shared" si="6"/>
        <v>1334</v>
      </c>
      <c r="AJ27" s="4">
        <f t="shared" si="7"/>
        <v>1094</v>
      </c>
      <c r="AK27" s="4">
        <f t="shared" si="8"/>
        <v>854</v>
      </c>
      <c r="AL27" s="4">
        <f t="shared" si="9"/>
        <v>614</v>
      </c>
      <c r="AM27" s="5">
        <f>(AH27/1040)*100</f>
        <v>79.42307692307692</v>
      </c>
      <c r="AN27" s="4"/>
      <c r="AO27" s="3"/>
    </row>
    <row r="28" spans="1:41" x14ac:dyDescent="0.25">
      <c r="A28" s="1" t="s">
        <v>76</v>
      </c>
      <c r="B28" s="4">
        <v>20</v>
      </c>
      <c r="C28" s="4">
        <v>20</v>
      </c>
      <c r="D28" s="4">
        <v>15</v>
      </c>
      <c r="E28" s="4">
        <v>10</v>
      </c>
      <c r="F28" s="4">
        <v>20</v>
      </c>
      <c r="G28" s="4">
        <v>15</v>
      </c>
      <c r="H28" s="4">
        <v>12</v>
      </c>
      <c r="I28" s="4"/>
      <c r="J28" s="4"/>
      <c r="K28" s="4"/>
      <c r="L28" s="7">
        <f t="shared" si="0"/>
        <v>112</v>
      </c>
      <c r="M28" s="4">
        <v>44</v>
      </c>
      <c r="N28" s="4">
        <v>169</v>
      </c>
      <c r="O28" s="4"/>
      <c r="P28" s="4"/>
      <c r="Q28" s="4">
        <f t="shared" si="1"/>
        <v>325</v>
      </c>
      <c r="R28" s="1">
        <v>100</v>
      </c>
      <c r="S28" s="4">
        <v>81</v>
      </c>
      <c r="T28" s="4">
        <v>80</v>
      </c>
      <c r="U28" s="4">
        <v>97</v>
      </c>
      <c r="V28" s="4">
        <v>85</v>
      </c>
      <c r="W28" s="4">
        <v>97</v>
      </c>
      <c r="X28" s="4">
        <v>72</v>
      </c>
      <c r="Y28" s="4">
        <v>0</v>
      </c>
      <c r="Z28" s="4"/>
      <c r="AA28" s="4"/>
      <c r="AB28" s="4"/>
      <c r="AC28" s="4">
        <f t="shared" si="2"/>
        <v>612</v>
      </c>
      <c r="AD28" s="4">
        <v>72</v>
      </c>
      <c r="AE28" s="4">
        <f t="shared" si="3"/>
        <v>540</v>
      </c>
      <c r="AF28" s="4"/>
      <c r="AG28" s="4">
        <f t="shared" si="4"/>
        <v>540</v>
      </c>
      <c r="AH28" s="4">
        <f t="shared" si="5"/>
        <v>865</v>
      </c>
      <c r="AI28" s="4">
        <f t="shared" si="6"/>
        <v>1295</v>
      </c>
      <c r="AJ28" s="4">
        <f t="shared" si="7"/>
        <v>1055</v>
      </c>
      <c r="AK28" s="4">
        <f t="shared" si="8"/>
        <v>815</v>
      </c>
      <c r="AL28" s="4">
        <f t="shared" si="9"/>
        <v>575</v>
      </c>
      <c r="AM28" s="5">
        <f>(AH28/1040)*100</f>
        <v>83.173076923076934</v>
      </c>
      <c r="AN28" s="4"/>
      <c r="AO28" s="3"/>
    </row>
    <row r="29" spans="1:41" x14ac:dyDescent="0.25">
      <c r="A29" s="1" t="s">
        <v>44</v>
      </c>
      <c r="B29" s="4">
        <v>20</v>
      </c>
      <c r="C29" s="4">
        <v>0</v>
      </c>
      <c r="D29" s="4">
        <v>20</v>
      </c>
      <c r="E29" s="4">
        <v>15</v>
      </c>
      <c r="F29" s="4">
        <v>20</v>
      </c>
      <c r="G29" s="4">
        <v>20</v>
      </c>
      <c r="H29" s="4">
        <v>20</v>
      </c>
      <c r="I29" s="4"/>
      <c r="J29" s="4"/>
      <c r="K29" s="4"/>
      <c r="L29" s="7">
        <f t="shared" si="0"/>
        <v>115</v>
      </c>
      <c r="M29" s="4">
        <v>54</v>
      </c>
      <c r="N29" s="4">
        <v>222</v>
      </c>
      <c r="O29" s="4"/>
      <c r="P29" s="4"/>
      <c r="Q29" s="4">
        <f t="shared" si="1"/>
        <v>391</v>
      </c>
      <c r="R29" s="1">
        <v>52</v>
      </c>
      <c r="S29" s="4">
        <v>81</v>
      </c>
      <c r="T29" s="4">
        <v>80</v>
      </c>
      <c r="U29" s="4">
        <v>73</v>
      </c>
      <c r="V29" s="4">
        <v>94</v>
      </c>
      <c r="W29" s="4">
        <v>76</v>
      </c>
      <c r="X29" s="4">
        <v>83</v>
      </c>
      <c r="Y29" s="4"/>
      <c r="Z29" s="4"/>
      <c r="AA29" s="4"/>
      <c r="AB29" s="4"/>
      <c r="AC29" s="4">
        <f t="shared" si="2"/>
        <v>539</v>
      </c>
      <c r="AD29" s="4">
        <v>125</v>
      </c>
      <c r="AE29" s="4">
        <f t="shared" si="3"/>
        <v>414</v>
      </c>
      <c r="AF29" s="4"/>
      <c r="AG29" s="4">
        <f t="shared" si="4"/>
        <v>414</v>
      </c>
      <c r="AH29" s="4">
        <f t="shared" si="5"/>
        <v>805</v>
      </c>
      <c r="AI29" s="4">
        <f t="shared" si="6"/>
        <v>1355</v>
      </c>
      <c r="AJ29" s="4">
        <f t="shared" si="7"/>
        <v>1115</v>
      </c>
      <c r="AK29" s="4">
        <f t="shared" si="8"/>
        <v>875</v>
      </c>
      <c r="AL29" s="4">
        <f t="shared" si="9"/>
        <v>635</v>
      </c>
      <c r="AM29" s="5">
        <f>(AH29/940)*100</f>
        <v>85.638297872340431</v>
      </c>
      <c r="AN29" s="4"/>
      <c r="AO29" s="3"/>
    </row>
    <row r="30" spans="1:41" x14ac:dyDescent="0.25">
      <c r="A30" s="1" t="s">
        <v>78</v>
      </c>
      <c r="B30" s="4">
        <v>20</v>
      </c>
      <c r="C30" s="4">
        <v>15</v>
      </c>
      <c r="D30" s="4">
        <v>10</v>
      </c>
      <c r="E30" s="4">
        <v>10</v>
      </c>
      <c r="F30" s="4">
        <v>20</v>
      </c>
      <c r="G30" s="4">
        <v>15</v>
      </c>
      <c r="H30" s="4">
        <v>12</v>
      </c>
      <c r="I30" s="4"/>
      <c r="J30" s="4"/>
      <c r="K30" s="4"/>
      <c r="L30" s="7">
        <f t="shared" si="0"/>
        <v>102</v>
      </c>
      <c r="M30" s="4">
        <v>54</v>
      </c>
      <c r="N30" s="4">
        <v>225</v>
      </c>
      <c r="O30" s="4"/>
      <c r="P30" s="4"/>
      <c r="Q30" s="4">
        <f t="shared" si="1"/>
        <v>381</v>
      </c>
      <c r="R30" s="1">
        <v>94</v>
      </c>
      <c r="S30" s="4">
        <v>108</v>
      </c>
      <c r="T30" s="4">
        <v>119</v>
      </c>
      <c r="U30" s="4">
        <v>110</v>
      </c>
      <c r="V30" s="4">
        <v>102</v>
      </c>
      <c r="W30" s="4">
        <v>77</v>
      </c>
      <c r="X30" s="4">
        <v>99</v>
      </c>
      <c r="Y30" s="4">
        <v>0</v>
      </c>
      <c r="Z30" s="4"/>
      <c r="AA30" s="4"/>
      <c r="AB30" s="4"/>
      <c r="AC30" s="4">
        <f t="shared" si="2"/>
        <v>709</v>
      </c>
      <c r="AD30" s="4">
        <v>77</v>
      </c>
      <c r="AE30" s="4">
        <f t="shared" si="3"/>
        <v>632</v>
      </c>
      <c r="AF30" s="4"/>
      <c r="AG30" s="4">
        <f t="shared" si="4"/>
        <v>632</v>
      </c>
      <c r="AH30" s="4">
        <f t="shared" si="5"/>
        <v>1013</v>
      </c>
      <c r="AI30" s="4">
        <f t="shared" si="6"/>
        <v>1147</v>
      </c>
      <c r="AJ30" s="4">
        <f t="shared" si="7"/>
        <v>907</v>
      </c>
      <c r="AK30" s="4">
        <f t="shared" si="8"/>
        <v>667</v>
      </c>
      <c r="AL30" s="4">
        <f t="shared" si="9"/>
        <v>427</v>
      </c>
      <c r="AM30" s="5">
        <f>(AH30/1040)*100</f>
        <v>97.403846153846146</v>
      </c>
      <c r="AN30" s="4"/>
      <c r="AO30" s="3"/>
    </row>
    <row r="31" spans="1:41" x14ac:dyDescent="0.25">
      <c r="A31" s="1" t="s">
        <v>86</v>
      </c>
      <c r="B31" s="4">
        <v>20</v>
      </c>
      <c r="C31" s="4">
        <v>0</v>
      </c>
      <c r="D31" s="4">
        <v>15</v>
      </c>
      <c r="E31" s="4">
        <v>5</v>
      </c>
      <c r="F31" s="4">
        <v>0</v>
      </c>
      <c r="G31" s="4">
        <v>20</v>
      </c>
      <c r="H31" s="4">
        <v>24</v>
      </c>
      <c r="I31" s="4"/>
      <c r="J31" s="4"/>
      <c r="K31" s="4"/>
      <c r="L31" s="7">
        <f t="shared" si="0"/>
        <v>84</v>
      </c>
      <c r="M31" s="4">
        <v>34</v>
      </c>
      <c r="N31" s="4">
        <v>224</v>
      </c>
      <c r="O31" s="4"/>
      <c r="P31" s="4"/>
      <c r="Q31" s="4">
        <f t="shared" si="1"/>
        <v>342</v>
      </c>
      <c r="R31" s="1">
        <v>64</v>
      </c>
      <c r="S31" s="4">
        <v>104</v>
      </c>
      <c r="T31" s="6">
        <v>0</v>
      </c>
      <c r="U31" s="4">
        <v>57</v>
      </c>
      <c r="V31" s="4">
        <v>100</v>
      </c>
      <c r="W31" s="4">
        <v>84</v>
      </c>
      <c r="X31" s="4">
        <v>88</v>
      </c>
      <c r="Y31" s="4">
        <v>64</v>
      </c>
      <c r="Z31" s="4"/>
      <c r="AA31" s="4"/>
      <c r="AB31" s="4"/>
      <c r="AC31" s="4">
        <f t="shared" si="2"/>
        <v>561</v>
      </c>
      <c r="AD31" s="4">
        <v>57</v>
      </c>
      <c r="AE31" s="4">
        <f t="shared" si="3"/>
        <v>504</v>
      </c>
      <c r="AF31" s="4"/>
      <c r="AG31" s="4">
        <f t="shared" si="4"/>
        <v>504</v>
      </c>
      <c r="AH31" s="4">
        <f t="shared" si="5"/>
        <v>846</v>
      </c>
      <c r="AI31" s="4">
        <f t="shared" si="6"/>
        <v>1314</v>
      </c>
      <c r="AJ31" s="4">
        <f t="shared" si="7"/>
        <v>1074</v>
      </c>
      <c r="AK31" s="4">
        <f t="shared" si="8"/>
        <v>834</v>
      </c>
      <c r="AL31" s="4">
        <f t="shared" si="9"/>
        <v>594</v>
      </c>
      <c r="AM31" s="5">
        <f>(AH31/1040)*100</f>
        <v>81.34615384615384</v>
      </c>
      <c r="AN31" s="4"/>
      <c r="AO31" s="3"/>
    </row>
    <row r="32" spans="1:41" x14ac:dyDescent="0.25">
      <c r="A32" s="1" t="s">
        <v>69</v>
      </c>
      <c r="B32" s="4">
        <v>20</v>
      </c>
      <c r="C32" s="4">
        <v>20</v>
      </c>
      <c r="D32" s="4">
        <v>0</v>
      </c>
      <c r="E32" s="4">
        <v>5</v>
      </c>
      <c r="F32" s="4">
        <v>0</v>
      </c>
      <c r="G32" s="4">
        <v>15</v>
      </c>
      <c r="H32" s="4">
        <v>12</v>
      </c>
      <c r="I32" s="4"/>
      <c r="J32" s="4"/>
      <c r="K32" s="4"/>
      <c r="L32" s="7">
        <f t="shared" si="0"/>
        <v>72</v>
      </c>
      <c r="M32" s="4">
        <v>45</v>
      </c>
      <c r="N32" s="4">
        <v>235</v>
      </c>
      <c r="O32" s="4"/>
      <c r="P32" s="4"/>
      <c r="Q32" s="4">
        <f t="shared" si="1"/>
        <v>352</v>
      </c>
      <c r="R32" s="1">
        <v>87</v>
      </c>
      <c r="S32" s="4">
        <v>77</v>
      </c>
      <c r="T32" s="4">
        <v>61</v>
      </c>
      <c r="U32" s="4">
        <v>82</v>
      </c>
      <c r="V32" s="4">
        <v>88</v>
      </c>
      <c r="W32" s="4">
        <v>55</v>
      </c>
      <c r="X32" s="4">
        <v>84</v>
      </c>
      <c r="Y32" s="4"/>
      <c r="Z32" s="4"/>
      <c r="AA32" s="4"/>
      <c r="AB32" s="4"/>
      <c r="AC32" s="4">
        <f t="shared" si="2"/>
        <v>534</v>
      </c>
      <c r="AD32" s="4">
        <v>136</v>
      </c>
      <c r="AE32" s="4">
        <f t="shared" si="3"/>
        <v>398</v>
      </c>
      <c r="AF32" s="4"/>
      <c r="AG32" s="4">
        <f t="shared" si="4"/>
        <v>398</v>
      </c>
      <c r="AH32" s="4">
        <f t="shared" si="5"/>
        <v>750</v>
      </c>
      <c r="AI32" s="4">
        <f t="shared" si="6"/>
        <v>1410</v>
      </c>
      <c r="AJ32" s="4">
        <f t="shared" si="7"/>
        <v>1170</v>
      </c>
      <c r="AK32" s="4">
        <f t="shared" si="8"/>
        <v>930</v>
      </c>
      <c r="AL32" s="4">
        <f t="shared" si="9"/>
        <v>690</v>
      </c>
      <c r="AM32" s="5">
        <f>(AH32/940)*100</f>
        <v>79.787234042553195</v>
      </c>
      <c r="AN32" s="4"/>
      <c r="AO32" s="3"/>
    </row>
    <row r="33" spans="1:41" x14ac:dyDescent="0.25">
      <c r="A33" s="1" t="s">
        <v>58</v>
      </c>
      <c r="B33" s="4">
        <v>20</v>
      </c>
      <c r="C33" s="4">
        <v>20</v>
      </c>
      <c r="D33" s="4">
        <v>15</v>
      </c>
      <c r="E33" s="4">
        <v>15</v>
      </c>
      <c r="F33" s="4">
        <v>20</v>
      </c>
      <c r="G33" s="4">
        <v>20</v>
      </c>
      <c r="H33" s="4">
        <v>24</v>
      </c>
      <c r="I33" s="4"/>
      <c r="J33" s="4"/>
      <c r="K33" s="4"/>
      <c r="L33" s="7">
        <f t="shared" si="0"/>
        <v>134</v>
      </c>
      <c r="M33" s="4">
        <v>64</v>
      </c>
      <c r="N33" s="4">
        <v>211</v>
      </c>
      <c r="O33" s="4"/>
      <c r="P33" s="4"/>
      <c r="Q33" s="4">
        <f t="shared" si="1"/>
        <v>409</v>
      </c>
      <c r="R33" s="1">
        <v>88</v>
      </c>
      <c r="S33" s="4">
        <v>108</v>
      </c>
      <c r="T33" s="4">
        <v>107</v>
      </c>
      <c r="U33" s="4">
        <v>85</v>
      </c>
      <c r="V33" s="4">
        <v>114</v>
      </c>
      <c r="W33" s="4">
        <v>114</v>
      </c>
      <c r="X33" s="4">
        <v>107</v>
      </c>
      <c r="Y33" s="4">
        <v>112</v>
      </c>
      <c r="Z33" s="4"/>
      <c r="AA33" s="4"/>
      <c r="AB33" s="4"/>
      <c r="AC33" s="4">
        <f t="shared" si="2"/>
        <v>835</v>
      </c>
      <c r="AD33" s="4">
        <v>173</v>
      </c>
      <c r="AE33" s="4">
        <f t="shared" si="3"/>
        <v>662</v>
      </c>
      <c r="AF33" s="4"/>
      <c r="AG33" s="4">
        <f t="shared" si="4"/>
        <v>662</v>
      </c>
      <c r="AH33" s="4">
        <f t="shared" si="5"/>
        <v>1071</v>
      </c>
      <c r="AI33" s="4">
        <f t="shared" si="6"/>
        <v>1089</v>
      </c>
      <c r="AJ33" s="4">
        <f t="shared" si="7"/>
        <v>849</v>
      </c>
      <c r="AK33" s="4">
        <f t="shared" si="8"/>
        <v>609</v>
      </c>
      <c r="AL33" s="4">
        <f t="shared" si="9"/>
        <v>369</v>
      </c>
      <c r="AM33" s="5">
        <f>(AH33/1040)*100</f>
        <v>102.98076923076923</v>
      </c>
      <c r="AN33" s="4"/>
      <c r="AO33" s="3"/>
    </row>
    <row r="34" spans="1:41" x14ac:dyDescent="0.25">
      <c r="A34" s="1" t="s">
        <v>92</v>
      </c>
      <c r="B34" s="4">
        <v>20</v>
      </c>
      <c r="C34" s="4">
        <v>15</v>
      </c>
      <c r="D34" s="4">
        <v>20</v>
      </c>
      <c r="E34" s="4">
        <v>5</v>
      </c>
      <c r="F34" s="4">
        <v>0</v>
      </c>
      <c r="G34" s="4">
        <v>0</v>
      </c>
      <c r="H34" s="4">
        <v>0</v>
      </c>
      <c r="I34" s="4"/>
      <c r="J34" s="4"/>
      <c r="K34" s="4"/>
      <c r="L34" s="7">
        <f t="shared" si="0"/>
        <v>60</v>
      </c>
      <c r="M34" s="4">
        <v>40</v>
      </c>
      <c r="N34" s="4">
        <v>269</v>
      </c>
      <c r="O34" s="4"/>
      <c r="P34" s="4"/>
      <c r="Q34" s="4">
        <f t="shared" si="1"/>
        <v>369</v>
      </c>
      <c r="R34" s="1">
        <v>85</v>
      </c>
      <c r="S34" s="4">
        <v>99</v>
      </c>
      <c r="T34" s="4">
        <v>87</v>
      </c>
      <c r="U34" s="4">
        <v>82</v>
      </c>
      <c r="V34" s="4">
        <v>109</v>
      </c>
      <c r="W34" s="4">
        <v>0</v>
      </c>
      <c r="X34" s="4">
        <v>95</v>
      </c>
      <c r="Y34" s="4"/>
      <c r="Z34" s="4"/>
      <c r="AA34" s="4"/>
      <c r="AB34" s="4"/>
      <c r="AC34" s="4">
        <f t="shared" si="2"/>
        <v>557</v>
      </c>
      <c r="AD34" s="4">
        <v>82</v>
      </c>
      <c r="AE34" s="4">
        <f t="shared" si="3"/>
        <v>475</v>
      </c>
      <c r="AF34" s="4"/>
      <c r="AG34" s="4">
        <f t="shared" si="4"/>
        <v>475</v>
      </c>
      <c r="AH34" s="4">
        <f t="shared" si="5"/>
        <v>844</v>
      </c>
      <c r="AI34" s="4">
        <f t="shared" si="6"/>
        <v>1316</v>
      </c>
      <c r="AJ34" s="4">
        <f t="shared" si="7"/>
        <v>1076</v>
      </c>
      <c r="AK34" s="4">
        <f t="shared" si="8"/>
        <v>836</v>
      </c>
      <c r="AL34" s="4">
        <f t="shared" si="9"/>
        <v>596</v>
      </c>
      <c r="AM34" s="5">
        <f>(AH34/940)*100</f>
        <v>89.787234042553195</v>
      </c>
      <c r="AN34" s="4"/>
      <c r="AO34" s="3"/>
    </row>
    <row r="35" spans="1:41" x14ac:dyDescent="0.25">
      <c r="A35" s="1" t="s">
        <v>77</v>
      </c>
      <c r="B35" s="4">
        <v>20</v>
      </c>
      <c r="C35" s="4">
        <v>20</v>
      </c>
      <c r="D35" s="4">
        <v>5</v>
      </c>
      <c r="E35" s="4">
        <v>5</v>
      </c>
      <c r="F35" s="4">
        <v>20</v>
      </c>
      <c r="G35" s="4">
        <v>10</v>
      </c>
      <c r="H35" s="4">
        <v>12</v>
      </c>
      <c r="I35" s="4"/>
      <c r="J35" s="4"/>
      <c r="K35" s="4"/>
      <c r="L35" s="7">
        <f t="shared" si="0"/>
        <v>92</v>
      </c>
      <c r="M35" s="4">
        <v>54</v>
      </c>
      <c r="N35" s="4">
        <v>214</v>
      </c>
      <c r="O35" s="4"/>
      <c r="P35" s="4"/>
      <c r="Q35" s="4">
        <f t="shared" si="1"/>
        <v>360</v>
      </c>
      <c r="R35" s="1">
        <v>97</v>
      </c>
      <c r="S35" s="4">
        <v>83</v>
      </c>
      <c r="T35" s="4">
        <v>80</v>
      </c>
      <c r="U35" s="4">
        <v>97</v>
      </c>
      <c r="V35" s="4">
        <v>94</v>
      </c>
      <c r="W35" s="4">
        <v>63</v>
      </c>
      <c r="X35" s="4">
        <v>93</v>
      </c>
      <c r="Y35" s="4">
        <v>0</v>
      </c>
      <c r="Z35" s="4"/>
      <c r="AA35" s="4"/>
      <c r="AB35" s="4"/>
      <c r="AC35" s="4">
        <f t="shared" si="2"/>
        <v>607</v>
      </c>
      <c r="AD35" s="4">
        <v>63</v>
      </c>
      <c r="AE35" s="4">
        <f t="shared" si="3"/>
        <v>544</v>
      </c>
      <c r="AF35" s="4"/>
      <c r="AG35" s="4">
        <f t="shared" si="4"/>
        <v>544</v>
      </c>
      <c r="AH35" s="4">
        <f t="shared" si="5"/>
        <v>904</v>
      </c>
      <c r="AI35" s="4">
        <f t="shared" si="6"/>
        <v>1256</v>
      </c>
      <c r="AJ35" s="4">
        <f t="shared" si="7"/>
        <v>1016</v>
      </c>
      <c r="AK35" s="4">
        <f t="shared" si="8"/>
        <v>776</v>
      </c>
      <c r="AL35" s="4">
        <f t="shared" si="9"/>
        <v>536</v>
      </c>
      <c r="AM35" s="5">
        <f>(AH35/1040)*100</f>
        <v>86.92307692307692</v>
      </c>
      <c r="AN35" s="4"/>
      <c r="AO35" s="3"/>
    </row>
    <row r="36" spans="1:41" x14ac:dyDescent="0.25">
      <c r="A36" s="1" t="s">
        <v>54</v>
      </c>
      <c r="B36" s="4">
        <v>20</v>
      </c>
      <c r="C36" s="4">
        <v>15</v>
      </c>
      <c r="D36" s="4">
        <v>15</v>
      </c>
      <c r="E36" s="4">
        <v>15</v>
      </c>
      <c r="F36" s="4">
        <v>20</v>
      </c>
      <c r="G36" s="4">
        <v>20</v>
      </c>
      <c r="H36" s="4">
        <v>0</v>
      </c>
      <c r="I36" s="4"/>
      <c r="J36" s="4"/>
      <c r="K36" s="4"/>
      <c r="L36" s="7">
        <f t="shared" ref="L36:L67" si="11">B36+C36+D36+E36+F36+G36+H36+I36+J36+K36</f>
        <v>105</v>
      </c>
      <c r="M36" s="4">
        <v>64</v>
      </c>
      <c r="N36" s="4">
        <v>246</v>
      </c>
      <c r="O36" s="4"/>
      <c r="P36" s="4"/>
      <c r="Q36" s="4">
        <f t="shared" ref="Q36:Q67" si="12">L36+M36+N36+O36+P36</f>
        <v>415</v>
      </c>
      <c r="R36" s="1">
        <v>78</v>
      </c>
      <c r="S36" s="4">
        <v>88</v>
      </c>
      <c r="T36" s="4">
        <v>75</v>
      </c>
      <c r="U36" s="4">
        <v>101</v>
      </c>
      <c r="V36" s="4">
        <v>112</v>
      </c>
      <c r="W36" s="4">
        <v>96</v>
      </c>
      <c r="X36" s="4">
        <v>101</v>
      </c>
      <c r="Y36" s="4"/>
      <c r="Z36" s="4"/>
      <c r="AA36" s="4"/>
      <c r="AB36" s="4"/>
      <c r="AC36" s="4">
        <f t="shared" ref="AC36:AC67" si="13">R36 + S36 + T36 + U36 + V36 + W36 + X36 + Y36 + Z36 + AA36 + AB36</f>
        <v>651</v>
      </c>
      <c r="AD36" s="4">
        <v>153</v>
      </c>
      <c r="AE36" s="4">
        <f t="shared" ref="AE36:AE67" si="14">AC36-AD36</f>
        <v>498</v>
      </c>
      <c r="AF36" s="4"/>
      <c r="AG36" s="4">
        <f t="shared" ref="AG36:AG67" si="15">AE36+AF36</f>
        <v>498</v>
      </c>
      <c r="AH36" s="4">
        <f t="shared" ref="AH36:AH67" si="16">Q36+AG36</f>
        <v>913</v>
      </c>
      <c r="AI36" s="4">
        <f t="shared" ref="AI36:AI67" si="17">2160-AH36</f>
        <v>1247</v>
      </c>
      <c r="AJ36" s="4">
        <f t="shared" ref="AJ36:AJ67" si="18">1920-AH36</f>
        <v>1007</v>
      </c>
      <c r="AK36" s="4">
        <f t="shared" ref="AK36:AK67" si="19">1680-AH36</f>
        <v>767</v>
      </c>
      <c r="AL36" s="4">
        <f t="shared" ref="AL36:AL67" si="20">1440-AH36</f>
        <v>527</v>
      </c>
      <c r="AM36" s="5">
        <f>(AH36/940)*100</f>
        <v>97.127659574468083</v>
      </c>
      <c r="AN36" s="4"/>
      <c r="AO36" s="3"/>
    </row>
    <row r="37" spans="1:41" x14ac:dyDescent="0.25">
      <c r="A37" s="1" t="s">
        <v>85</v>
      </c>
      <c r="B37" s="4">
        <v>20</v>
      </c>
      <c r="C37" s="8">
        <v>0</v>
      </c>
      <c r="D37" s="4">
        <v>5</v>
      </c>
      <c r="E37" s="4">
        <v>5</v>
      </c>
      <c r="F37" s="4">
        <v>0</v>
      </c>
      <c r="G37" s="4">
        <v>20</v>
      </c>
      <c r="H37" s="4">
        <v>16</v>
      </c>
      <c r="I37" s="4"/>
      <c r="J37" s="4"/>
      <c r="K37" s="4"/>
      <c r="L37" s="7">
        <f t="shared" si="11"/>
        <v>66</v>
      </c>
      <c r="M37" s="4">
        <v>50</v>
      </c>
      <c r="N37" s="12">
        <v>155</v>
      </c>
      <c r="O37" s="4"/>
      <c r="P37" s="4"/>
      <c r="Q37" s="4">
        <f t="shared" si="12"/>
        <v>271</v>
      </c>
      <c r="R37" s="1">
        <v>96</v>
      </c>
      <c r="S37" s="4">
        <v>70</v>
      </c>
      <c r="T37" s="4">
        <v>54</v>
      </c>
      <c r="U37" s="4">
        <v>102</v>
      </c>
      <c r="V37" s="4">
        <v>105</v>
      </c>
      <c r="W37" s="4">
        <v>93</v>
      </c>
      <c r="X37" s="4">
        <v>90</v>
      </c>
      <c r="Y37" s="4"/>
      <c r="Z37" s="4"/>
      <c r="AA37" s="4"/>
      <c r="AB37" s="4"/>
      <c r="AC37" s="4">
        <f t="shared" si="13"/>
        <v>610</v>
      </c>
      <c r="AD37" s="4">
        <v>124</v>
      </c>
      <c r="AE37" s="4">
        <f t="shared" si="14"/>
        <v>486</v>
      </c>
      <c r="AF37" s="4"/>
      <c r="AG37" s="4">
        <f t="shared" si="15"/>
        <v>486</v>
      </c>
      <c r="AH37" s="4">
        <f t="shared" si="16"/>
        <v>757</v>
      </c>
      <c r="AI37" s="4">
        <f t="shared" si="17"/>
        <v>1403</v>
      </c>
      <c r="AJ37" s="4">
        <f t="shared" si="18"/>
        <v>1163</v>
      </c>
      <c r="AK37" s="4">
        <f t="shared" si="19"/>
        <v>923</v>
      </c>
      <c r="AL37" s="4">
        <f t="shared" si="20"/>
        <v>683</v>
      </c>
      <c r="AM37" s="5">
        <f>(AH37/940)*100</f>
        <v>80.531914893617014</v>
      </c>
      <c r="AN37" s="4"/>
      <c r="AO37" s="3"/>
    </row>
    <row r="38" spans="1:41" x14ac:dyDescent="0.25">
      <c r="A38" s="1" t="s">
        <v>87</v>
      </c>
      <c r="B38" s="4">
        <v>20</v>
      </c>
      <c r="C38" s="4">
        <v>10</v>
      </c>
      <c r="D38" s="4">
        <v>0</v>
      </c>
      <c r="E38" s="4">
        <v>5</v>
      </c>
      <c r="F38" s="4">
        <v>0</v>
      </c>
      <c r="G38" s="4">
        <v>0</v>
      </c>
      <c r="H38" s="4">
        <v>0</v>
      </c>
      <c r="I38" s="4"/>
      <c r="J38" s="4"/>
      <c r="K38" s="4"/>
      <c r="L38" s="7">
        <f t="shared" si="11"/>
        <v>35</v>
      </c>
      <c r="M38" s="4">
        <v>5</v>
      </c>
      <c r="N38" s="4">
        <v>162</v>
      </c>
      <c r="O38" s="4"/>
      <c r="P38" s="4"/>
      <c r="Q38" s="4">
        <f t="shared" si="12"/>
        <v>202</v>
      </c>
      <c r="R38" s="1">
        <v>40</v>
      </c>
      <c r="S38" s="4">
        <v>62</v>
      </c>
      <c r="T38" s="4">
        <v>42</v>
      </c>
      <c r="U38" s="4">
        <v>53</v>
      </c>
      <c r="V38" s="12">
        <v>0</v>
      </c>
      <c r="W38" s="4">
        <v>0</v>
      </c>
      <c r="X38" s="4">
        <v>0</v>
      </c>
      <c r="Y38" s="4"/>
      <c r="Z38" s="4"/>
      <c r="AA38" s="4"/>
      <c r="AB38" s="4"/>
      <c r="AC38" s="4">
        <f t="shared" si="13"/>
        <v>197</v>
      </c>
      <c r="AD38" s="4">
        <v>0</v>
      </c>
      <c r="AE38" s="4">
        <f t="shared" si="14"/>
        <v>197</v>
      </c>
      <c r="AF38" s="4"/>
      <c r="AG38" s="4">
        <f t="shared" si="15"/>
        <v>197</v>
      </c>
      <c r="AH38" s="4">
        <f t="shared" si="16"/>
        <v>399</v>
      </c>
      <c r="AI38" s="4">
        <f t="shared" si="17"/>
        <v>1761</v>
      </c>
      <c r="AJ38" s="4">
        <f t="shared" si="18"/>
        <v>1521</v>
      </c>
      <c r="AK38" s="4">
        <f t="shared" si="19"/>
        <v>1281</v>
      </c>
      <c r="AL38" s="4">
        <f t="shared" si="20"/>
        <v>1041</v>
      </c>
      <c r="AM38" s="5">
        <f>(AH38/940)*100</f>
        <v>42.446808510638299</v>
      </c>
      <c r="AN38" s="4"/>
      <c r="AO38" s="3"/>
    </row>
    <row r="39" spans="1:41" s="9" customFormat="1" x14ac:dyDescent="0.25">
      <c r="A39" s="1" t="s">
        <v>73</v>
      </c>
      <c r="B39" s="4">
        <v>20</v>
      </c>
      <c r="C39" s="4">
        <v>20</v>
      </c>
      <c r="D39" s="4">
        <v>10</v>
      </c>
      <c r="E39" s="4">
        <v>10</v>
      </c>
      <c r="F39" s="4">
        <v>0</v>
      </c>
      <c r="G39" s="4">
        <v>0</v>
      </c>
      <c r="H39" s="4">
        <v>16</v>
      </c>
      <c r="I39" s="4"/>
      <c r="J39" s="4"/>
      <c r="K39" s="4"/>
      <c r="L39" s="7">
        <f t="shared" si="11"/>
        <v>76</v>
      </c>
      <c r="M39" s="4">
        <v>51</v>
      </c>
      <c r="N39" s="4">
        <v>240</v>
      </c>
      <c r="O39" s="4"/>
      <c r="P39" s="4"/>
      <c r="Q39" s="4">
        <f t="shared" si="12"/>
        <v>367</v>
      </c>
      <c r="R39" s="1">
        <v>100</v>
      </c>
      <c r="S39" s="4">
        <v>106</v>
      </c>
      <c r="T39" s="4">
        <v>101</v>
      </c>
      <c r="U39" s="4">
        <v>81</v>
      </c>
      <c r="V39" s="4">
        <v>0</v>
      </c>
      <c r="W39" s="4">
        <v>86</v>
      </c>
      <c r="X39" s="4">
        <v>84</v>
      </c>
      <c r="Y39" s="4">
        <v>90</v>
      </c>
      <c r="Z39" s="4"/>
      <c r="AA39" s="4"/>
      <c r="AB39" s="4"/>
      <c r="AC39" s="4">
        <f t="shared" si="13"/>
        <v>648</v>
      </c>
      <c r="AD39" s="4">
        <v>81</v>
      </c>
      <c r="AE39" s="4">
        <f t="shared" si="14"/>
        <v>567</v>
      </c>
      <c r="AF39" s="4"/>
      <c r="AG39" s="4">
        <f t="shared" si="15"/>
        <v>567</v>
      </c>
      <c r="AH39" s="4">
        <f t="shared" si="16"/>
        <v>934</v>
      </c>
      <c r="AI39" s="4">
        <f t="shared" si="17"/>
        <v>1226</v>
      </c>
      <c r="AJ39" s="4">
        <f t="shared" si="18"/>
        <v>986</v>
      </c>
      <c r="AK39" s="4">
        <f t="shared" si="19"/>
        <v>746</v>
      </c>
      <c r="AL39" s="4">
        <f t="shared" si="20"/>
        <v>506</v>
      </c>
      <c r="AM39" s="5">
        <f>(AH39/1040)*100</f>
        <v>89.807692307692307</v>
      </c>
      <c r="AN39" s="4"/>
    </row>
    <row r="40" spans="1:41" x14ac:dyDescent="0.25">
      <c r="A40" s="1" t="s">
        <v>75</v>
      </c>
      <c r="B40" s="4">
        <v>20</v>
      </c>
      <c r="C40" s="4">
        <v>10</v>
      </c>
      <c r="D40" s="4">
        <v>15</v>
      </c>
      <c r="E40" s="4">
        <v>15</v>
      </c>
      <c r="F40" s="4">
        <v>20</v>
      </c>
      <c r="G40" s="4">
        <v>10</v>
      </c>
      <c r="H40" s="4">
        <v>16</v>
      </c>
      <c r="I40" s="4"/>
      <c r="J40" s="4"/>
      <c r="K40" s="4"/>
      <c r="L40" s="7">
        <f t="shared" si="11"/>
        <v>106</v>
      </c>
      <c r="M40" s="4">
        <v>54</v>
      </c>
      <c r="N40" s="4">
        <v>139</v>
      </c>
      <c r="O40" s="4"/>
      <c r="P40" s="4"/>
      <c r="Q40" s="4">
        <f t="shared" si="12"/>
        <v>299</v>
      </c>
      <c r="R40" s="1">
        <v>100</v>
      </c>
      <c r="S40" s="4">
        <v>85</v>
      </c>
      <c r="T40" s="4">
        <v>106</v>
      </c>
      <c r="U40" s="4">
        <v>72</v>
      </c>
      <c r="V40" s="4">
        <v>95</v>
      </c>
      <c r="W40" s="4">
        <v>103</v>
      </c>
      <c r="X40" s="4">
        <v>69</v>
      </c>
      <c r="Y40" s="4">
        <v>0</v>
      </c>
      <c r="Z40" s="4"/>
      <c r="AA40" s="4"/>
      <c r="AB40" s="4"/>
      <c r="AC40" s="4">
        <f t="shared" si="13"/>
        <v>630</v>
      </c>
      <c r="AD40" s="4">
        <v>69</v>
      </c>
      <c r="AE40" s="4">
        <f t="shared" si="14"/>
        <v>561</v>
      </c>
      <c r="AF40" s="4"/>
      <c r="AG40" s="4">
        <f t="shared" si="15"/>
        <v>561</v>
      </c>
      <c r="AH40" s="4">
        <f t="shared" si="16"/>
        <v>860</v>
      </c>
      <c r="AI40" s="4">
        <f t="shared" si="17"/>
        <v>1300</v>
      </c>
      <c r="AJ40" s="4">
        <f t="shared" si="18"/>
        <v>1060</v>
      </c>
      <c r="AK40" s="4">
        <f t="shared" si="19"/>
        <v>820</v>
      </c>
      <c r="AL40" s="4">
        <f t="shared" si="20"/>
        <v>580</v>
      </c>
      <c r="AM40" s="5">
        <f>(AH40/1040)*100</f>
        <v>82.692307692307693</v>
      </c>
      <c r="AN40" s="4"/>
      <c r="AO40" s="3"/>
    </row>
    <row r="41" spans="1:41" x14ac:dyDescent="0.25">
      <c r="A41" s="1" t="s">
        <v>45</v>
      </c>
      <c r="B41" s="4">
        <v>20</v>
      </c>
      <c r="C41" s="8">
        <v>0</v>
      </c>
      <c r="D41" s="4">
        <v>15</v>
      </c>
      <c r="E41" s="12">
        <v>10</v>
      </c>
      <c r="F41" s="4">
        <v>20</v>
      </c>
      <c r="G41" s="4">
        <v>15</v>
      </c>
      <c r="H41" s="4">
        <v>16</v>
      </c>
      <c r="I41" s="4"/>
      <c r="J41" s="4"/>
      <c r="K41" s="4"/>
      <c r="L41" s="7">
        <f t="shared" si="11"/>
        <v>96</v>
      </c>
      <c r="M41" s="4">
        <v>45</v>
      </c>
      <c r="N41" s="4">
        <v>160</v>
      </c>
      <c r="O41" s="4"/>
      <c r="P41" s="4"/>
      <c r="Q41" s="4">
        <f t="shared" si="12"/>
        <v>301</v>
      </c>
      <c r="R41" s="1">
        <v>97</v>
      </c>
      <c r="S41" s="4">
        <v>108</v>
      </c>
      <c r="T41" s="4">
        <v>93</v>
      </c>
      <c r="U41" s="4">
        <v>89</v>
      </c>
      <c r="V41" s="4">
        <v>0</v>
      </c>
      <c r="W41" s="4">
        <v>99</v>
      </c>
      <c r="X41" s="4">
        <v>82</v>
      </c>
      <c r="Y41" s="4">
        <v>90</v>
      </c>
      <c r="Z41" s="4"/>
      <c r="AA41" s="4"/>
      <c r="AB41" s="4"/>
      <c r="AC41" s="4">
        <f t="shared" si="13"/>
        <v>658</v>
      </c>
      <c r="AD41" s="4">
        <v>82</v>
      </c>
      <c r="AE41" s="4">
        <f t="shared" si="14"/>
        <v>576</v>
      </c>
      <c r="AF41" s="4"/>
      <c r="AG41" s="4">
        <f t="shared" si="15"/>
        <v>576</v>
      </c>
      <c r="AH41" s="4">
        <f t="shared" si="16"/>
        <v>877</v>
      </c>
      <c r="AI41" s="4">
        <f t="shared" si="17"/>
        <v>1283</v>
      </c>
      <c r="AJ41" s="4">
        <f t="shared" si="18"/>
        <v>1043</v>
      </c>
      <c r="AK41" s="4">
        <f t="shared" si="19"/>
        <v>803</v>
      </c>
      <c r="AL41" s="4">
        <f t="shared" si="20"/>
        <v>563</v>
      </c>
      <c r="AM41" s="5">
        <f>(AH41/1040)*100</f>
        <v>84.32692307692308</v>
      </c>
      <c r="AN41" s="4"/>
      <c r="AO41" s="3"/>
    </row>
    <row r="42" spans="1:41" x14ac:dyDescent="0.25">
      <c r="A42" s="1" t="s">
        <v>97</v>
      </c>
      <c r="B42" s="4">
        <v>20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/>
      <c r="J42" s="4"/>
      <c r="K42" s="4"/>
      <c r="L42" s="7">
        <f t="shared" si="11"/>
        <v>20</v>
      </c>
      <c r="M42" s="4">
        <v>0</v>
      </c>
      <c r="N42" s="4">
        <v>0</v>
      </c>
      <c r="O42" s="4"/>
      <c r="P42" s="4"/>
      <c r="Q42" s="4">
        <f t="shared" si="12"/>
        <v>20</v>
      </c>
      <c r="R42" s="1">
        <v>40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/>
      <c r="AA42" s="4"/>
      <c r="AB42" s="4"/>
      <c r="AC42" s="4">
        <f t="shared" si="13"/>
        <v>40</v>
      </c>
      <c r="AD42" s="4">
        <v>0</v>
      </c>
      <c r="AE42" s="4">
        <f t="shared" si="14"/>
        <v>40</v>
      </c>
      <c r="AF42" s="4"/>
      <c r="AG42" s="4">
        <f t="shared" si="15"/>
        <v>40</v>
      </c>
      <c r="AH42" s="4">
        <f t="shared" si="16"/>
        <v>60</v>
      </c>
      <c r="AI42" s="4">
        <f t="shared" si="17"/>
        <v>2100</v>
      </c>
      <c r="AJ42" s="4">
        <f t="shared" si="18"/>
        <v>1860</v>
      </c>
      <c r="AK42" s="4">
        <f t="shared" si="19"/>
        <v>1620</v>
      </c>
      <c r="AL42" s="4">
        <f t="shared" si="20"/>
        <v>1380</v>
      </c>
      <c r="AM42" s="5">
        <f>(AH42/1040)*100</f>
        <v>5.7692307692307692</v>
      </c>
      <c r="AN42" s="4"/>
      <c r="AO42" s="3"/>
    </row>
    <row r="43" spans="1:41" x14ac:dyDescent="0.25">
      <c r="A43" s="1" t="s">
        <v>61</v>
      </c>
      <c r="B43" s="4">
        <v>20</v>
      </c>
      <c r="C43" s="4">
        <v>20</v>
      </c>
      <c r="D43" s="4">
        <v>15</v>
      </c>
      <c r="E43" s="4">
        <v>10</v>
      </c>
      <c r="F43" s="4">
        <v>0</v>
      </c>
      <c r="G43" s="4">
        <v>20</v>
      </c>
      <c r="H43" s="4">
        <v>24</v>
      </c>
      <c r="I43" s="4"/>
      <c r="J43" s="4"/>
      <c r="K43" s="4"/>
      <c r="L43" s="7">
        <f t="shared" si="11"/>
        <v>109</v>
      </c>
      <c r="M43" s="4">
        <v>60</v>
      </c>
      <c r="N43" s="4">
        <v>200</v>
      </c>
      <c r="O43" s="4"/>
      <c r="P43" s="4"/>
      <c r="Q43" s="4">
        <f t="shared" si="12"/>
        <v>369</v>
      </c>
      <c r="R43" s="1">
        <v>82</v>
      </c>
      <c r="S43" s="4">
        <v>102</v>
      </c>
      <c r="T43" s="4">
        <v>81</v>
      </c>
      <c r="U43" s="4">
        <v>69</v>
      </c>
      <c r="V43" s="4">
        <v>95</v>
      </c>
      <c r="W43" s="4">
        <v>92</v>
      </c>
      <c r="X43" s="4">
        <v>98</v>
      </c>
      <c r="Y43" s="4"/>
      <c r="Z43" s="4"/>
      <c r="AA43" s="4"/>
      <c r="AB43" s="4"/>
      <c r="AC43" s="4">
        <f t="shared" si="13"/>
        <v>619</v>
      </c>
      <c r="AD43" s="4">
        <v>150</v>
      </c>
      <c r="AE43" s="4">
        <f t="shared" si="14"/>
        <v>469</v>
      </c>
      <c r="AF43" s="4"/>
      <c r="AG43" s="4">
        <f t="shared" si="15"/>
        <v>469</v>
      </c>
      <c r="AH43" s="4">
        <f t="shared" si="16"/>
        <v>838</v>
      </c>
      <c r="AI43" s="4">
        <f t="shared" si="17"/>
        <v>1322</v>
      </c>
      <c r="AJ43" s="4">
        <f t="shared" si="18"/>
        <v>1082</v>
      </c>
      <c r="AK43" s="4">
        <f t="shared" si="19"/>
        <v>842</v>
      </c>
      <c r="AL43" s="4">
        <f t="shared" si="20"/>
        <v>602</v>
      </c>
      <c r="AM43" s="5">
        <f>(AH43/940)*100</f>
        <v>89.148936170212764</v>
      </c>
      <c r="AN43" s="4"/>
      <c r="AO43" s="3"/>
    </row>
    <row r="44" spans="1:41" x14ac:dyDescent="0.25">
      <c r="A44" s="1" t="s">
        <v>80</v>
      </c>
      <c r="B44" s="4">
        <v>20</v>
      </c>
      <c r="C44" s="4">
        <v>20</v>
      </c>
      <c r="D44" s="4">
        <v>15</v>
      </c>
      <c r="E44" s="4">
        <v>0</v>
      </c>
      <c r="F44" s="4">
        <v>0</v>
      </c>
      <c r="G44" s="4">
        <v>20</v>
      </c>
      <c r="H44" s="4">
        <v>20</v>
      </c>
      <c r="I44" s="4"/>
      <c r="J44" s="4"/>
      <c r="K44" s="4"/>
      <c r="L44" s="7">
        <f t="shared" si="11"/>
        <v>95</v>
      </c>
      <c r="M44" s="4">
        <v>25</v>
      </c>
      <c r="N44" s="4">
        <v>248</v>
      </c>
      <c r="O44" s="4"/>
      <c r="P44" s="4"/>
      <c r="Q44" s="4">
        <f t="shared" si="12"/>
        <v>368</v>
      </c>
      <c r="R44" s="1">
        <v>96</v>
      </c>
      <c r="S44" s="4">
        <v>104</v>
      </c>
      <c r="T44" s="4">
        <v>84</v>
      </c>
      <c r="U44" s="4">
        <v>84</v>
      </c>
      <c r="V44" s="4">
        <v>111</v>
      </c>
      <c r="W44" s="4">
        <v>89</v>
      </c>
      <c r="X44" s="4">
        <v>97</v>
      </c>
      <c r="Y44" s="4"/>
      <c r="Z44" s="4"/>
      <c r="AA44" s="4"/>
      <c r="AB44" s="4"/>
      <c r="AC44" s="4">
        <f t="shared" si="13"/>
        <v>665</v>
      </c>
      <c r="AD44" s="4">
        <v>168</v>
      </c>
      <c r="AE44" s="4">
        <f t="shared" si="14"/>
        <v>497</v>
      </c>
      <c r="AF44" s="4"/>
      <c r="AG44" s="4">
        <f t="shared" si="15"/>
        <v>497</v>
      </c>
      <c r="AH44" s="4">
        <f t="shared" si="16"/>
        <v>865</v>
      </c>
      <c r="AI44" s="4">
        <f t="shared" si="17"/>
        <v>1295</v>
      </c>
      <c r="AJ44" s="4">
        <f t="shared" si="18"/>
        <v>1055</v>
      </c>
      <c r="AK44" s="4">
        <f t="shared" si="19"/>
        <v>815</v>
      </c>
      <c r="AL44" s="4">
        <f t="shared" si="20"/>
        <v>575</v>
      </c>
      <c r="AM44" s="5">
        <f>(AH44/940)*100</f>
        <v>92.021276595744681</v>
      </c>
      <c r="AN44" s="4"/>
      <c r="AO44" s="3"/>
    </row>
    <row r="45" spans="1:41" x14ac:dyDescent="0.25">
      <c r="A45" s="1" t="s">
        <v>51</v>
      </c>
      <c r="B45" s="4">
        <v>20</v>
      </c>
      <c r="C45" s="4">
        <v>20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/>
      <c r="J45" s="4"/>
      <c r="K45" s="4"/>
      <c r="L45" s="7">
        <f t="shared" si="11"/>
        <v>40</v>
      </c>
      <c r="M45" s="4">
        <v>0</v>
      </c>
      <c r="N45" s="4">
        <v>0</v>
      </c>
      <c r="O45" s="4"/>
      <c r="P45" s="4"/>
      <c r="Q45" s="4">
        <f t="shared" si="12"/>
        <v>40</v>
      </c>
      <c r="R45" s="1">
        <v>103</v>
      </c>
      <c r="S45" s="4">
        <v>82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/>
      <c r="Z45" s="4"/>
      <c r="AA45" s="4"/>
      <c r="AB45" s="4"/>
      <c r="AC45" s="4">
        <f t="shared" si="13"/>
        <v>185</v>
      </c>
      <c r="AD45" s="4">
        <v>0</v>
      </c>
      <c r="AE45" s="4">
        <f t="shared" si="14"/>
        <v>185</v>
      </c>
      <c r="AF45" s="4"/>
      <c r="AG45" s="4">
        <f t="shared" si="15"/>
        <v>185</v>
      </c>
      <c r="AH45" s="4">
        <f t="shared" si="16"/>
        <v>225</v>
      </c>
      <c r="AI45" s="4">
        <f t="shared" si="17"/>
        <v>1935</v>
      </c>
      <c r="AJ45" s="4">
        <f t="shared" si="18"/>
        <v>1695</v>
      </c>
      <c r="AK45" s="4">
        <f t="shared" si="19"/>
        <v>1455</v>
      </c>
      <c r="AL45" s="4">
        <f t="shared" si="20"/>
        <v>1215</v>
      </c>
      <c r="AM45" s="5">
        <f>(AH45/940)*100</f>
        <v>23.936170212765958</v>
      </c>
      <c r="AN45" s="4"/>
      <c r="AO45" s="3"/>
    </row>
    <row r="46" spans="1:41" x14ac:dyDescent="0.25">
      <c r="A46" s="1" t="s">
        <v>49</v>
      </c>
      <c r="B46" s="4">
        <v>20</v>
      </c>
      <c r="C46" s="4">
        <v>20</v>
      </c>
      <c r="D46" s="4">
        <v>0</v>
      </c>
      <c r="E46" s="4">
        <v>0</v>
      </c>
      <c r="F46" s="4">
        <v>20</v>
      </c>
      <c r="G46" s="4">
        <v>0</v>
      </c>
      <c r="H46" s="4">
        <v>16</v>
      </c>
      <c r="I46" s="4"/>
      <c r="J46" s="4"/>
      <c r="K46" s="4"/>
      <c r="L46" s="7">
        <f t="shared" si="11"/>
        <v>76</v>
      </c>
      <c r="M46" s="4">
        <v>45</v>
      </c>
      <c r="N46" s="4">
        <v>206</v>
      </c>
      <c r="O46" s="4"/>
      <c r="P46" s="4"/>
      <c r="Q46" s="4">
        <f t="shared" si="12"/>
        <v>327</v>
      </c>
      <c r="R46" s="1">
        <v>49</v>
      </c>
      <c r="S46" s="4">
        <v>65</v>
      </c>
      <c r="T46" s="4">
        <v>72</v>
      </c>
      <c r="U46" s="4">
        <v>72</v>
      </c>
      <c r="V46" s="4">
        <v>0</v>
      </c>
      <c r="W46" s="4">
        <v>10</v>
      </c>
      <c r="X46" s="4">
        <v>97</v>
      </c>
      <c r="Y46" s="4">
        <v>68</v>
      </c>
      <c r="Z46" s="4"/>
      <c r="AA46" s="4"/>
      <c r="AB46" s="4"/>
      <c r="AC46" s="4">
        <f t="shared" si="13"/>
        <v>433</v>
      </c>
      <c r="AD46" s="4">
        <v>10</v>
      </c>
      <c r="AE46" s="4">
        <f t="shared" si="14"/>
        <v>423</v>
      </c>
      <c r="AF46" s="4"/>
      <c r="AG46" s="4">
        <f t="shared" si="15"/>
        <v>423</v>
      </c>
      <c r="AH46" s="4">
        <f t="shared" si="16"/>
        <v>750</v>
      </c>
      <c r="AI46" s="4">
        <f t="shared" si="17"/>
        <v>1410</v>
      </c>
      <c r="AJ46" s="4">
        <f t="shared" si="18"/>
        <v>1170</v>
      </c>
      <c r="AK46" s="4">
        <f t="shared" si="19"/>
        <v>930</v>
      </c>
      <c r="AL46" s="4">
        <f t="shared" si="20"/>
        <v>690</v>
      </c>
      <c r="AM46" s="5">
        <f>(AH46/1040)*100</f>
        <v>72.115384615384613</v>
      </c>
      <c r="AN46" s="4"/>
      <c r="AO46" s="3"/>
    </row>
    <row r="47" spans="1:41" x14ac:dyDescent="0.25">
      <c r="A47" s="1" t="s">
        <v>53</v>
      </c>
      <c r="B47" s="4">
        <v>20</v>
      </c>
      <c r="C47" s="4">
        <v>20</v>
      </c>
      <c r="D47" s="4">
        <v>15</v>
      </c>
      <c r="E47" s="4">
        <v>10</v>
      </c>
      <c r="F47" s="4">
        <v>20</v>
      </c>
      <c r="G47" s="4">
        <v>20</v>
      </c>
      <c r="H47" s="4">
        <v>20</v>
      </c>
      <c r="I47" s="4"/>
      <c r="J47" s="4"/>
      <c r="K47" s="4"/>
      <c r="L47" s="7">
        <f t="shared" si="11"/>
        <v>125</v>
      </c>
      <c r="M47" s="4">
        <v>64</v>
      </c>
      <c r="N47" s="4">
        <v>249</v>
      </c>
      <c r="O47" s="4"/>
      <c r="P47" s="4"/>
      <c r="Q47" s="4">
        <f t="shared" si="12"/>
        <v>438</v>
      </c>
      <c r="R47" s="1">
        <v>94</v>
      </c>
      <c r="S47" s="4">
        <v>86</v>
      </c>
      <c r="T47" s="4">
        <v>58</v>
      </c>
      <c r="U47" s="4">
        <v>81</v>
      </c>
      <c r="V47" s="4">
        <v>86</v>
      </c>
      <c r="W47" s="4">
        <v>90</v>
      </c>
      <c r="X47" s="4">
        <v>81</v>
      </c>
      <c r="Y47" s="4">
        <v>75</v>
      </c>
      <c r="Z47" s="4"/>
      <c r="AA47" s="4"/>
      <c r="AB47" s="4"/>
      <c r="AC47" s="4">
        <f t="shared" si="13"/>
        <v>651</v>
      </c>
      <c r="AD47" s="4">
        <v>133</v>
      </c>
      <c r="AE47" s="4">
        <f t="shared" si="14"/>
        <v>518</v>
      </c>
      <c r="AF47" s="4"/>
      <c r="AG47" s="4">
        <f t="shared" si="15"/>
        <v>518</v>
      </c>
      <c r="AH47" s="4">
        <f t="shared" si="16"/>
        <v>956</v>
      </c>
      <c r="AI47" s="4">
        <f t="shared" si="17"/>
        <v>1204</v>
      </c>
      <c r="AJ47" s="4">
        <f t="shared" si="18"/>
        <v>964</v>
      </c>
      <c r="AK47" s="4">
        <f t="shared" si="19"/>
        <v>724</v>
      </c>
      <c r="AL47" s="4">
        <f t="shared" si="20"/>
        <v>484</v>
      </c>
      <c r="AM47" s="5">
        <f>(AH47/1040)*100</f>
        <v>91.92307692307692</v>
      </c>
      <c r="AN47" s="4"/>
      <c r="AO47" s="3"/>
    </row>
    <row r="48" spans="1:41" x14ac:dyDescent="0.25">
      <c r="A48" s="1" t="s">
        <v>67</v>
      </c>
      <c r="B48" s="4">
        <v>20</v>
      </c>
      <c r="C48" s="8">
        <v>0</v>
      </c>
      <c r="D48" s="4">
        <v>15</v>
      </c>
      <c r="E48" s="4">
        <v>20</v>
      </c>
      <c r="F48" s="4">
        <v>20</v>
      </c>
      <c r="G48" s="4">
        <v>20</v>
      </c>
      <c r="H48" s="4">
        <v>8</v>
      </c>
      <c r="I48" s="4"/>
      <c r="J48" s="4"/>
      <c r="K48" s="4"/>
      <c r="L48" s="7">
        <f t="shared" si="11"/>
        <v>103</v>
      </c>
      <c r="M48" s="4">
        <v>40</v>
      </c>
      <c r="N48" s="4">
        <v>245</v>
      </c>
      <c r="O48" s="4"/>
      <c r="P48" s="4"/>
      <c r="Q48" s="4">
        <f t="shared" si="12"/>
        <v>388</v>
      </c>
      <c r="R48" s="1">
        <v>88</v>
      </c>
      <c r="S48" s="4">
        <v>108</v>
      </c>
      <c r="T48" s="4">
        <v>71</v>
      </c>
      <c r="U48" s="4">
        <v>110</v>
      </c>
      <c r="V48" s="4">
        <v>93</v>
      </c>
      <c r="W48" s="4">
        <v>97</v>
      </c>
      <c r="X48" s="4">
        <v>89</v>
      </c>
      <c r="Y48" s="4">
        <v>90</v>
      </c>
      <c r="Z48" s="4"/>
      <c r="AA48" s="4"/>
      <c r="AB48" s="4"/>
      <c r="AC48" s="4">
        <f t="shared" si="13"/>
        <v>746</v>
      </c>
      <c r="AD48" s="4">
        <v>159</v>
      </c>
      <c r="AE48" s="4">
        <f t="shared" si="14"/>
        <v>587</v>
      </c>
      <c r="AF48" s="4"/>
      <c r="AG48" s="4">
        <f t="shared" si="15"/>
        <v>587</v>
      </c>
      <c r="AH48" s="4">
        <f t="shared" si="16"/>
        <v>975</v>
      </c>
      <c r="AI48" s="4">
        <f t="shared" si="17"/>
        <v>1185</v>
      </c>
      <c r="AJ48" s="4">
        <f t="shared" si="18"/>
        <v>945</v>
      </c>
      <c r="AK48" s="4">
        <f t="shared" si="19"/>
        <v>705</v>
      </c>
      <c r="AL48" s="4">
        <f t="shared" si="20"/>
        <v>465</v>
      </c>
      <c r="AM48" s="5">
        <f>(AH48/1040)*100</f>
        <v>93.75</v>
      </c>
      <c r="AN48" s="4"/>
      <c r="AO48" s="3"/>
    </row>
    <row r="49" spans="1:41" s="9" customFormat="1" x14ac:dyDescent="0.25">
      <c r="A49" s="1" t="s">
        <v>65</v>
      </c>
      <c r="B49" s="4">
        <v>20</v>
      </c>
      <c r="C49" s="4">
        <v>10</v>
      </c>
      <c r="D49" s="4">
        <v>15</v>
      </c>
      <c r="E49" s="4">
        <v>15</v>
      </c>
      <c r="F49" s="4">
        <v>20</v>
      </c>
      <c r="G49" s="4">
        <v>20</v>
      </c>
      <c r="H49" s="4">
        <v>20</v>
      </c>
      <c r="I49" s="4"/>
      <c r="J49" s="4"/>
      <c r="K49" s="4"/>
      <c r="L49" s="7">
        <f t="shared" si="11"/>
        <v>120</v>
      </c>
      <c r="M49" s="4">
        <v>45</v>
      </c>
      <c r="N49" s="4">
        <v>230</v>
      </c>
      <c r="O49" s="4"/>
      <c r="P49" s="4"/>
      <c r="Q49" s="4">
        <f t="shared" si="12"/>
        <v>395</v>
      </c>
      <c r="R49" s="1">
        <v>94</v>
      </c>
      <c r="S49" s="4">
        <v>80</v>
      </c>
      <c r="T49" s="4">
        <v>89</v>
      </c>
      <c r="U49" s="4">
        <v>100</v>
      </c>
      <c r="V49" s="4">
        <v>112</v>
      </c>
      <c r="W49" s="4">
        <v>105</v>
      </c>
      <c r="X49" s="4">
        <v>105</v>
      </c>
      <c r="Y49" s="4"/>
      <c r="Z49" s="4"/>
      <c r="AA49" s="4"/>
      <c r="AB49" s="4"/>
      <c r="AC49" s="4">
        <f t="shared" si="13"/>
        <v>685</v>
      </c>
      <c r="AD49" s="4">
        <v>169</v>
      </c>
      <c r="AE49" s="4">
        <f t="shared" si="14"/>
        <v>516</v>
      </c>
      <c r="AF49" s="4"/>
      <c r="AG49" s="4">
        <f t="shared" si="15"/>
        <v>516</v>
      </c>
      <c r="AH49" s="4">
        <f t="shared" si="16"/>
        <v>911</v>
      </c>
      <c r="AI49" s="4">
        <f t="shared" si="17"/>
        <v>1249</v>
      </c>
      <c r="AJ49" s="4">
        <f t="shared" si="18"/>
        <v>1009</v>
      </c>
      <c r="AK49" s="4">
        <f t="shared" si="19"/>
        <v>769</v>
      </c>
      <c r="AL49" s="4">
        <f t="shared" si="20"/>
        <v>529</v>
      </c>
      <c r="AM49" s="5">
        <f>(AH49/940)*100</f>
        <v>96.914893617021278</v>
      </c>
      <c r="AN49" s="4"/>
    </row>
    <row r="50" spans="1:41" x14ac:dyDescent="0.25">
      <c r="A50" s="1" t="s">
        <v>79</v>
      </c>
      <c r="B50" s="4">
        <v>20</v>
      </c>
      <c r="C50" s="4">
        <v>20</v>
      </c>
      <c r="D50" s="4">
        <v>0</v>
      </c>
      <c r="E50" s="4">
        <v>0</v>
      </c>
      <c r="F50" s="13">
        <v>20</v>
      </c>
      <c r="G50" s="4">
        <v>20</v>
      </c>
      <c r="H50" s="4">
        <v>0</v>
      </c>
      <c r="I50" s="4"/>
      <c r="J50" s="4"/>
      <c r="K50" s="4"/>
      <c r="L50" s="7">
        <f t="shared" si="11"/>
        <v>80</v>
      </c>
      <c r="M50" s="4">
        <v>20</v>
      </c>
      <c r="N50" s="4">
        <v>209</v>
      </c>
      <c r="O50" s="4"/>
      <c r="P50" s="4"/>
      <c r="Q50" s="4">
        <f t="shared" si="12"/>
        <v>309</v>
      </c>
      <c r="R50" s="1">
        <v>91</v>
      </c>
      <c r="S50" s="4">
        <v>28</v>
      </c>
      <c r="T50" s="4">
        <v>84</v>
      </c>
      <c r="U50" s="4">
        <v>75</v>
      </c>
      <c r="V50" s="4">
        <v>108</v>
      </c>
      <c r="W50" s="4">
        <v>0</v>
      </c>
      <c r="X50" s="4">
        <v>73</v>
      </c>
      <c r="Y50" s="4">
        <v>101</v>
      </c>
      <c r="Z50" s="4"/>
      <c r="AA50" s="4"/>
      <c r="AB50" s="4"/>
      <c r="AC50" s="4">
        <f t="shared" si="13"/>
        <v>560</v>
      </c>
      <c r="AD50" s="4">
        <v>28</v>
      </c>
      <c r="AE50" s="4">
        <f t="shared" si="14"/>
        <v>532</v>
      </c>
      <c r="AF50" s="4"/>
      <c r="AG50" s="4">
        <f t="shared" si="15"/>
        <v>532</v>
      </c>
      <c r="AH50" s="4">
        <f t="shared" si="16"/>
        <v>841</v>
      </c>
      <c r="AI50" s="4">
        <f t="shared" si="17"/>
        <v>1319</v>
      </c>
      <c r="AJ50" s="4">
        <f t="shared" si="18"/>
        <v>1079</v>
      </c>
      <c r="AK50" s="4">
        <f t="shared" si="19"/>
        <v>839</v>
      </c>
      <c r="AL50" s="4">
        <f t="shared" si="20"/>
        <v>599</v>
      </c>
      <c r="AM50" s="5">
        <f>(AH50/1040)*100</f>
        <v>80.865384615384613</v>
      </c>
      <c r="AN50" s="4"/>
      <c r="AO50" s="3"/>
    </row>
    <row r="51" spans="1:41" x14ac:dyDescent="0.25">
      <c r="A51" s="1" t="s">
        <v>70</v>
      </c>
      <c r="B51" s="4">
        <v>20</v>
      </c>
      <c r="C51" s="4">
        <v>10</v>
      </c>
      <c r="D51" s="4">
        <v>20</v>
      </c>
      <c r="E51" s="4">
        <v>10</v>
      </c>
      <c r="F51" s="4">
        <v>20</v>
      </c>
      <c r="G51" s="4">
        <v>20</v>
      </c>
      <c r="H51" s="4">
        <v>24</v>
      </c>
      <c r="I51" s="4"/>
      <c r="J51" s="4"/>
      <c r="K51" s="4"/>
      <c r="L51" s="7">
        <f t="shared" si="11"/>
        <v>124</v>
      </c>
      <c r="M51" s="4">
        <v>54</v>
      </c>
      <c r="N51" s="4">
        <v>246</v>
      </c>
      <c r="O51" s="4"/>
      <c r="P51" s="4"/>
      <c r="Q51" s="4">
        <f t="shared" si="12"/>
        <v>424</v>
      </c>
      <c r="R51" s="1">
        <v>61</v>
      </c>
      <c r="S51" s="4">
        <v>97</v>
      </c>
      <c r="T51" s="4">
        <v>104</v>
      </c>
      <c r="U51" s="4">
        <v>109</v>
      </c>
      <c r="V51" s="4">
        <v>108</v>
      </c>
      <c r="W51" s="4">
        <v>89</v>
      </c>
      <c r="X51" s="4">
        <v>0</v>
      </c>
      <c r="Y51" s="4"/>
      <c r="Z51" s="4"/>
      <c r="AA51" s="4"/>
      <c r="AB51" s="4"/>
      <c r="AC51" s="4">
        <f t="shared" si="13"/>
        <v>568</v>
      </c>
      <c r="AD51" s="4">
        <v>61</v>
      </c>
      <c r="AE51" s="4">
        <f t="shared" si="14"/>
        <v>507</v>
      </c>
      <c r="AF51" s="4"/>
      <c r="AG51" s="4">
        <f t="shared" si="15"/>
        <v>507</v>
      </c>
      <c r="AH51" s="4">
        <f t="shared" si="16"/>
        <v>931</v>
      </c>
      <c r="AI51" s="4">
        <f t="shared" si="17"/>
        <v>1229</v>
      </c>
      <c r="AJ51" s="4">
        <f t="shared" si="18"/>
        <v>989</v>
      </c>
      <c r="AK51" s="4">
        <f t="shared" si="19"/>
        <v>749</v>
      </c>
      <c r="AL51" s="4">
        <f t="shared" si="20"/>
        <v>509</v>
      </c>
      <c r="AM51" s="5">
        <f>(AH51/940)*100</f>
        <v>99.042553191489361</v>
      </c>
      <c r="AN51" s="4"/>
      <c r="AO51" s="3"/>
    </row>
    <row r="52" spans="1:41" x14ac:dyDescent="0.25">
      <c r="A52" s="1" t="s">
        <v>94</v>
      </c>
      <c r="B52" s="4">
        <v>20</v>
      </c>
      <c r="C52" s="4">
        <v>0</v>
      </c>
      <c r="D52" s="4">
        <v>15</v>
      </c>
      <c r="E52" s="4">
        <v>10</v>
      </c>
      <c r="F52" s="4">
        <v>20</v>
      </c>
      <c r="G52" s="4">
        <v>20</v>
      </c>
      <c r="H52" s="4">
        <v>24</v>
      </c>
      <c r="I52" s="4"/>
      <c r="J52" s="4"/>
      <c r="K52" s="4"/>
      <c r="L52" s="7">
        <f t="shared" si="11"/>
        <v>109</v>
      </c>
      <c r="M52" s="4">
        <v>38</v>
      </c>
      <c r="N52" s="4">
        <v>193</v>
      </c>
      <c r="O52" s="4"/>
      <c r="P52" s="4"/>
      <c r="Q52" s="4">
        <f t="shared" si="12"/>
        <v>340</v>
      </c>
      <c r="R52" s="1">
        <v>80</v>
      </c>
      <c r="S52" s="4">
        <v>83</v>
      </c>
      <c r="T52" s="4">
        <v>75</v>
      </c>
      <c r="U52" s="4">
        <v>89</v>
      </c>
      <c r="V52" s="4">
        <v>105</v>
      </c>
      <c r="W52" s="4">
        <v>90</v>
      </c>
      <c r="X52" s="4">
        <v>95</v>
      </c>
      <c r="Y52" s="4"/>
      <c r="Z52" s="4"/>
      <c r="AA52" s="4"/>
      <c r="AB52" s="4"/>
      <c r="AC52" s="4">
        <f t="shared" si="13"/>
        <v>617</v>
      </c>
      <c r="AD52" s="4">
        <v>155</v>
      </c>
      <c r="AE52" s="4">
        <f t="shared" si="14"/>
        <v>462</v>
      </c>
      <c r="AF52" s="4"/>
      <c r="AG52" s="4">
        <f t="shared" si="15"/>
        <v>462</v>
      </c>
      <c r="AH52" s="4">
        <f t="shared" si="16"/>
        <v>802</v>
      </c>
      <c r="AI52" s="4">
        <f t="shared" si="17"/>
        <v>1358</v>
      </c>
      <c r="AJ52" s="4">
        <f t="shared" si="18"/>
        <v>1118</v>
      </c>
      <c r="AK52" s="4">
        <f t="shared" si="19"/>
        <v>878</v>
      </c>
      <c r="AL52" s="4">
        <f t="shared" si="20"/>
        <v>638</v>
      </c>
      <c r="AM52" s="5">
        <f>(AH52/940)*100</f>
        <v>85.319148936170208</v>
      </c>
      <c r="AN52" s="4"/>
      <c r="AO52" s="3"/>
    </row>
    <row r="53" spans="1:41" x14ac:dyDescent="0.25">
      <c r="A53" s="1" t="s">
        <v>95</v>
      </c>
      <c r="B53" s="4">
        <v>20</v>
      </c>
      <c r="C53" s="4">
        <v>0</v>
      </c>
      <c r="D53" s="4">
        <v>10</v>
      </c>
      <c r="E53" s="4">
        <v>5</v>
      </c>
      <c r="F53" s="4">
        <v>20</v>
      </c>
      <c r="G53" s="4">
        <v>0</v>
      </c>
      <c r="H53" s="4">
        <v>24</v>
      </c>
      <c r="I53" s="4"/>
      <c r="J53" s="4"/>
      <c r="K53" s="4"/>
      <c r="L53" s="7">
        <f t="shared" si="11"/>
        <v>79</v>
      </c>
      <c r="M53" s="4">
        <v>35</v>
      </c>
      <c r="N53" s="4">
        <v>274</v>
      </c>
      <c r="O53" s="4"/>
      <c r="P53" s="4"/>
      <c r="Q53" s="4">
        <f t="shared" si="12"/>
        <v>388</v>
      </c>
      <c r="R53" s="1">
        <v>85</v>
      </c>
      <c r="S53" s="4">
        <v>74</v>
      </c>
      <c r="T53" s="4">
        <v>114</v>
      </c>
      <c r="U53" s="4">
        <v>85</v>
      </c>
      <c r="V53" s="4">
        <v>108</v>
      </c>
      <c r="W53" s="4">
        <v>84</v>
      </c>
      <c r="X53" s="4">
        <v>105</v>
      </c>
      <c r="Y53" s="4">
        <v>107</v>
      </c>
      <c r="Z53" s="4"/>
      <c r="AA53" s="4"/>
      <c r="AB53" s="4"/>
      <c r="AC53" s="4">
        <f t="shared" si="13"/>
        <v>762</v>
      </c>
      <c r="AD53" s="4">
        <v>158</v>
      </c>
      <c r="AE53" s="4">
        <f t="shared" si="14"/>
        <v>604</v>
      </c>
      <c r="AF53" s="4"/>
      <c r="AG53" s="4">
        <f t="shared" si="15"/>
        <v>604</v>
      </c>
      <c r="AH53" s="4">
        <f t="shared" si="16"/>
        <v>992</v>
      </c>
      <c r="AI53" s="4">
        <f t="shared" si="17"/>
        <v>1168</v>
      </c>
      <c r="AJ53" s="4">
        <f t="shared" si="18"/>
        <v>928</v>
      </c>
      <c r="AK53" s="4">
        <f t="shared" si="19"/>
        <v>688</v>
      </c>
      <c r="AL53" s="4">
        <f t="shared" si="20"/>
        <v>448</v>
      </c>
      <c r="AM53" s="5">
        <f>(AH53/1040)*100</f>
        <v>95.384615384615387</v>
      </c>
      <c r="AN53" s="4"/>
      <c r="AO53" s="3"/>
    </row>
    <row r="54" spans="1:41" x14ac:dyDescent="0.25">
      <c r="A54" s="1" t="s">
        <v>68</v>
      </c>
      <c r="B54" s="4">
        <v>20</v>
      </c>
      <c r="C54" s="4">
        <v>10</v>
      </c>
      <c r="D54" s="4">
        <v>15</v>
      </c>
      <c r="E54" s="4">
        <v>15</v>
      </c>
      <c r="F54" s="4">
        <v>20</v>
      </c>
      <c r="G54" s="4">
        <v>20</v>
      </c>
      <c r="H54" s="4">
        <v>12</v>
      </c>
      <c r="I54" s="4"/>
      <c r="J54" s="4"/>
      <c r="K54" s="4"/>
      <c r="L54" s="7">
        <f t="shared" si="11"/>
        <v>112</v>
      </c>
      <c r="M54" s="4">
        <v>60</v>
      </c>
      <c r="N54" s="12">
        <v>229</v>
      </c>
      <c r="O54" s="4"/>
      <c r="P54" s="4"/>
      <c r="Q54" s="4">
        <f t="shared" si="12"/>
        <v>401</v>
      </c>
      <c r="R54" s="1">
        <v>85</v>
      </c>
      <c r="S54" s="4">
        <v>101</v>
      </c>
      <c r="T54" s="4">
        <v>85</v>
      </c>
      <c r="U54" s="4">
        <v>96</v>
      </c>
      <c r="V54" s="4">
        <v>108</v>
      </c>
      <c r="W54" s="4">
        <v>96</v>
      </c>
      <c r="X54" s="4">
        <v>97</v>
      </c>
      <c r="Y54" s="4"/>
      <c r="Z54" s="4"/>
      <c r="AA54" s="4"/>
      <c r="AB54" s="4"/>
      <c r="AC54" s="4">
        <f t="shared" si="13"/>
        <v>668</v>
      </c>
      <c r="AD54" s="4">
        <v>170</v>
      </c>
      <c r="AE54" s="4">
        <f t="shared" si="14"/>
        <v>498</v>
      </c>
      <c r="AF54" s="4"/>
      <c r="AG54" s="4">
        <f t="shared" si="15"/>
        <v>498</v>
      </c>
      <c r="AH54" s="4">
        <f t="shared" si="16"/>
        <v>899</v>
      </c>
      <c r="AI54" s="4">
        <f t="shared" si="17"/>
        <v>1261</v>
      </c>
      <c r="AJ54" s="4">
        <f t="shared" si="18"/>
        <v>1021</v>
      </c>
      <c r="AK54" s="4">
        <f t="shared" si="19"/>
        <v>781</v>
      </c>
      <c r="AL54" s="4">
        <f t="shared" si="20"/>
        <v>541</v>
      </c>
      <c r="AM54" s="5">
        <f>(AH54/940)*100</f>
        <v>95.638297872340431</v>
      </c>
      <c r="AN54" s="4"/>
      <c r="AO54" s="3"/>
    </row>
    <row r="55" spans="1:41" x14ac:dyDescent="0.25">
      <c r="A55" s="1" t="s">
        <v>71</v>
      </c>
      <c r="B55" s="4">
        <v>20</v>
      </c>
      <c r="C55" s="4">
        <v>20</v>
      </c>
      <c r="D55" s="4">
        <v>10</v>
      </c>
      <c r="E55" s="4">
        <v>15</v>
      </c>
      <c r="F55" s="4">
        <v>20</v>
      </c>
      <c r="G55" s="4">
        <v>20</v>
      </c>
      <c r="H55" s="4">
        <v>20</v>
      </c>
      <c r="I55" s="4"/>
      <c r="J55" s="4"/>
      <c r="K55" s="4"/>
      <c r="L55" s="7">
        <f t="shared" si="11"/>
        <v>125</v>
      </c>
      <c r="M55" s="4">
        <v>64</v>
      </c>
      <c r="N55" s="4">
        <v>219</v>
      </c>
      <c r="O55" s="4"/>
      <c r="P55" s="4"/>
      <c r="Q55" s="4">
        <f t="shared" si="12"/>
        <v>408</v>
      </c>
      <c r="R55" s="1">
        <v>100</v>
      </c>
      <c r="S55" s="4">
        <v>98</v>
      </c>
      <c r="T55" s="4">
        <v>107</v>
      </c>
      <c r="U55" s="4">
        <v>91</v>
      </c>
      <c r="V55" s="4">
        <v>97</v>
      </c>
      <c r="W55" s="4">
        <v>111</v>
      </c>
      <c r="X55" s="4">
        <v>87</v>
      </c>
      <c r="Y55" s="4">
        <v>76</v>
      </c>
      <c r="Z55" s="4"/>
      <c r="AA55" s="4"/>
      <c r="AB55" s="4"/>
      <c r="AC55" s="4">
        <f t="shared" si="13"/>
        <v>767</v>
      </c>
      <c r="AD55" s="4">
        <v>163</v>
      </c>
      <c r="AE55" s="4">
        <f t="shared" si="14"/>
        <v>604</v>
      </c>
      <c r="AF55" s="4"/>
      <c r="AG55" s="4">
        <f t="shared" si="15"/>
        <v>604</v>
      </c>
      <c r="AH55" s="4">
        <f t="shared" si="16"/>
        <v>1012</v>
      </c>
      <c r="AI55" s="4">
        <f t="shared" si="17"/>
        <v>1148</v>
      </c>
      <c r="AJ55" s="4">
        <f t="shared" si="18"/>
        <v>908</v>
      </c>
      <c r="AK55" s="4">
        <f t="shared" si="19"/>
        <v>668</v>
      </c>
      <c r="AL55" s="4">
        <f t="shared" si="20"/>
        <v>428</v>
      </c>
      <c r="AM55" s="5">
        <f>(AH55/1040)*100</f>
        <v>97.307692307692307</v>
      </c>
      <c r="AN55" s="4"/>
      <c r="AO55" s="3"/>
    </row>
    <row r="56" spans="1:41" x14ac:dyDescent="0.25">
      <c r="A56" s="1" t="s">
        <v>52</v>
      </c>
      <c r="B56" s="4">
        <v>20</v>
      </c>
      <c r="C56" s="4">
        <v>15</v>
      </c>
      <c r="D56" s="4">
        <v>5</v>
      </c>
      <c r="E56" s="4">
        <v>15</v>
      </c>
      <c r="F56" s="4">
        <v>20</v>
      </c>
      <c r="G56" s="4">
        <v>0</v>
      </c>
      <c r="H56" s="4">
        <v>12</v>
      </c>
      <c r="I56" s="4"/>
      <c r="J56" s="4"/>
      <c r="K56" s="4"/>
      <c r="L56" s="7">
        <f t="shared" si="11"/>
        <v>87</v>
      </c>
      <c r="M56" s="4">
        <v>20</v>
      </c>
      <c r="N56" s="4">
        <v>162</v>
      </c>
      <c r="O56" s="4"/>
      <c r="P56" s="4"/>
      <c r="Q56" s="4">
        <f t="shared" si="12"/>
        <v>269</v>
      </c>
      <c r="R56" s="1">
        <v>82</v>
      </c>
      <c r="S56" s="4">
        <v>40</v>
      </c>
      <c r="T56" s="4">
        <v>50</v>
      </c>
      <c r="U56" s="4">
        <v>58</v>
      </c>
      <c r="V56" s="4">
        <v>93</v>
      </c>
      <c r="W56" s="4">
        <v>82</v>
      </c>
      <c r="X56" s="4">
        <v>70</v>
      </c>
      <c r="Y56" s="4">
        <v>0</v>
      </c>
      <c r="Z56" s="4"/>
      <c r="AA56" s="4"/>
      <c r="AB56" s="4"/>
      <c r="AC56" s="4">
        <f t="shared" si="13"/>
        <v>475</v>
      </c>
      <c r="AD56" s="4">
        <v>40</v>
      </c>
      <c r="AE56" s="4">
        <f t="shared" si="14"/>
        <v>435</v>
      </c>
      <c r="AF56" s="4"/>
      <c r="AG56" s="4">
        <f t="shared" si="15"/>
        <v>435</v>
      </c>
      <c r="AH56" s="4">
        <f t="shared" si="16"/>
        <v>704</v>
      </c>
      <c r="AI56" s="4">
        <f t="shared" si="17"/>
        <v>1456</v>
      </c>
      <c r="AJ56" s="4">
        <f t="shared" si="18"/>
        <v>1216</v>
      </c>
      <c r="AK56" s="4">
        <f t="shared" si="19"/>
        <v>976</v>
      </c>
      <c r="AL56" s="4">
        <f t="shared" si="20"/>
        <v>736</v>
      </c>
      <c r="AM56" s="5">
        <f>(AH56/1040)*100</f>
        <v>67.692307692307693</v>
      </c>
      <c r="AN56" s="4"/>
      <c r="AO56" s="3"/>
    </row>
    <row r="57" spans="1:41" x14ac:dyDescent="0.25">
      <c r="A57" s="1" t="s">
        <v>60</v>
      </c>
      <c r="B57" s="4">
        <v>20</v>
      </c>
      <c r="C57" s="4">
        <v>20</v>
      </c>
      <c r="D57" s="4">
        <v>15</v>
      </c>
      <c r="E57" s="4">
        <v>10</v>
      </c>
      <c r="F57" s="4">
        <v>0</v>
      </c>
      <c r="G57" s="4">
        <v>15</v>
      </c>
      <c r="H57" s="4">
        <v>24</v>
      </c>
      <c r="I57" s="4"/>
      <c r="J57" s="4"/>
      <c r="K57" s="4"/>
      <c r="L57" s="7">
        <f t="shared" si="11"/>
        <v>104</v>
      </c>
      <c r="M57" s="4">
        <v>55</v>
      </c>
      <c r="N57" s="4">
        <v>231</v>
      </c>
      <c r="O57" s="4"/>
      <c r="P57" s="4"/>
      <c r="Q57" s="4">
        <f t="shared" si="12"/>
        <v>390</v>
      </c>
      <c r="R57" s="1">
        <v>94</v>
      </c>
      <c r="S57" s="4">
        <v>98</v>
      </c>
      <c r="T57" s="4">
        <v>90</v>
      </c>
      <c r="U57" s="4">
        <v>90</v>
      </c>
      <c r="V57" s="4">
        <v>98</v>
      </c>
      <c r="W57" s="4">
        <v>106</v>
      </c>
      <c r="X57" s="4">
        <v>91</v>
      </c>
      <c r="Y57" s="4">
        <v>43</v>
      </c>
      <c r="Z57" s="4"/>
      <c r="AA57" s="4"/>
      <c r="AB57" s="4"/>
      <c r="AC57" s="4">
        <f t="shared" si="13"/>
        <v>710</v>
      </c>
      <c r="AD57" s="4">
        <v>133</v>
      </c>
      <c r="AE57" s="4">
        <f t="shared" si="14"/>
        <v>577</v>
      </c>
      <c r="AF57" s="4"/>
      <c r="AG57" s="4">
        <f t="shared" si="15"/>
        <v>577</v>
      </c>
      <c r="AH57" s="4">
        <f t="shared" si="16"/>
        <v>967</v>
      </c>
      <c r="AI57" s="4">
        <f t="shared" si="17"/>
        <v>1193</v>
      </c>
      <c r="AJ57" s="4">
        <f t="shared" si="18"/>
        <v>953</v>
      </c>
      <c r="AK57" s="4">
        <f t="shared" si="19"/>
        <v>713</v>
      </c>
      <c r="AL57" s="4">
        <f t="shared" si="20"/>
        <v>473</v>
      </c>
      <c r="AM57" s="5">
        <f>(AH57/1040)*100</f>
        <v>92.980769230769226</v>
      </c>
      <c r="AN57" s="4"/>
      <c r="AO57" s="3"/>
    </row>
    <row r="58" spans="1:41" x14ac:dyDescent="0.25">
      <c r="A58" s="4" t="s">
        <v>59</v>
      </c>
      <c r="B58" s="4">
        <v>20</v>
      </c>
      <c r="C58" s="4">
        <v>20</v>
      </c>
      <c r="D58" s="4">
        <v>0</v>
      </c>
      <c r="E58" s="4">
        <v>15</v>
      </c>
      <c r="F58" s="4">
        <v>20</v>
      </c>
      <c r="G58" s="4">
        <v>20</v>
      </c>
      <c r="H58" s="4">
        <v>24</v>
      </c>
      <c r="I58" s="4"/>
      <c r="J58" s="4"/>
      <c r="K58" s="4"/>
      <c r="L58" s="7">
        <f t="shared" si="11"/>
        <v>119</v>
      </c>
      <c r="M58" s="4">
        <v>9</v>
      </c>
      <c r="N58" s="4">
        <v>254</v>
      </c>
      <c r="O58" s="4"/>
      <c r="P58" s="4"/>
      <c r="Q58" s="4">
        <f t="shared" si="12"/>
        <v>382</v>
      </c>
      <c r="R58" s="4">
        <v>103</v>
      </c>
      <c r="S58" s="4">
        <v>113</v>
      </c>
      <c r="T58" s="4">
        <v>110</v>
      </c>
      <c r="U58" s="4">
        <v>115</v>
      </c>
      <c r="V58" s="4">
        <v>112</v>
      </c>
      <c r="W58" s="4">
        <v>110</v>
      </c>
      <c r="X58" s="4">
        <v>114</v>
      </c>
      <c r="Y58" s="4"/>
      <c r="Z58" s="4"/>
      <c r="AA58" s="4"/>
      <c r="AB58" s="4"/>
      <c r="AC58" s="4">
        <f t="shared" si="13"/>
        <v>777</v>
      </c>
      <c r="AD58" s="4">
        <v>213</v>
      </c>
      <c r="AE58" s="4">
        <f t="shared" si="14"/>
        <v>564</v>
      </c>
      <c r="AF58" s="4"/>
      <c r="AG58" s="4">
        <f t="shared" si="15"/>
        <v>564</v>
      </c>
      <c r="AH58" s="4">
        <f t="shared" si="16"/>
        <v>946</v>
      </c>
      <c r="AI58" s="4">
        <f t="shared" si="17"/>
        <v>1214</v>
      </c>
      <c r="AJ58" s="4">
        <f t="shared" si="18"/>
        <v>974</v>
      </c>
      <c r="AK58" s="4">
        <f t="shared" si="19"/>
        <v>734</v>
      </c>
      <c r="AL58" s="4">
        <f t="shared" si="20"/>
        <v>494</v>
      </c>
      <c r="AM58" s="5">
        <f>(AH58/940)*100</f>
        <v>100.63829787234042</v>
      </c>
      <c r="AN58" s="4"/>
      <c r="AO58" s="3"/>
    </row>
    <row r="59" spans="1:41" x14ac:dyDescent="0.25">
      <c r="A59" s="1" t="s">
        <v>64</v>
      </c>
      <c r="B59" s="4">
        <v>20</v>
      </c>
      <c r="C59" s="4">
        <v>10</v>
      </c>
      <c r="D59" s="4">
        <v>5</v>
      </c>
      <c r="E59" s="4">
        <v>10</v>
      </c>
      <c r="F59" s="4">
        <v>20</v>
      </c>
      <c r="G59" s="4">
        <v>20</v>
      </c>
      <c r="H59" s="4">
        <v>20</v>
      </c>
      <c r="I59" s="4"/>
      <c r="J59" s="4"/>
      <c r="K59" s="4"/>
      <c r="L59" s="7">
        <f t="shared" si="11"/>
        <v>105</v>
      </c>
      <c r="M59" s="4">
        <v>64</v>
      </c>
      <c r="N59" s="4">
        <v>248</v>
      </c>
      <c r="O59" s="4"/>
      <c r="P59" s="4"/>
      <c r="Q59" s="4">
        <f t="shared" si="12"/>
        <v>417</v>
      </c>
      <c r="R59" s="1">
        <v>83</v>
      </c>
      <c r="S59" s="4">
        <v>74</v>
      </c>
      <c r="T59" s="4">
        <v>70</v>
      </c>
      <c r="U59" s="4">
        <v>88</v>
      </c>
      <c r="V59" s="4">
        <v>104</v>
      </c>
      <c r="W59" s="4">
        <v>78</v>
      </c>
      <c r="X59" s="4">
        <v>100</v>
      </c>
      <c r="Y59" s="4"/>
      <c r="Z59" s="4"/>
      <c r="AA59" s="4"/>
      <c r="AB59" s="4"/>
      <c r="AC59" s="4">
        <f t="shared" si="13"/>
        <v>597</v>
      </c>
      <c r="AD59" s="4">
        <v>144</v>
      </c>
      <c r="AE59" s="4">
        <f t="shared" si="14"/>
        <v>453</v>
      </c>
      <c r="AF59" s="4"/>
      <c r="AG59" s="4">
        <f t="shared" si="15"/>
        <v>453</v>
      </c>
      <c r="AH59" s="4">
        <f t="shared" si="16"/>
        <v>870</v>
      </c>
      <c r="AI59" s="4">
        <f t="shared" si="17"/>
        <v>1290</v>
      </c>
      <c r="AJ59" s="4">
        <f t="shared" si="18"/>
        <v>1050</v>
      </c>
      <c r="AK59" s="4">
        <f t="shared" si="19"/>
        <v>810</v>
      </c>
      <c r="AL59" s="4">
        <f t="shared" si="20"/>
        <v>570</v>
      </c>
      <c r="AM59" s="5">
        <f>(AH59/940)*100</f>
        <v>92.553191489361694</v>
      </c>
      <c r="AN59" s="4"/>
      <c r="AO59" s="3"/>
    </row>
    <row r="60" spans="1:41" x14ac:dyDescent="0.25">
      <c r="A60" s="1" t="s">
        <v>50</v>
      </c>
      <c r="B60" s="4">
        <v>20</v>
      </c>
      <c r="C60" s="4">
        <v>10</v>
      </c>
      <c r="D60" s="4">
        <v>10</v>
      </c>
      <c r="E60" s="4">
        <v>5</v>
      </c>
      <c r="F60" s="4">
        <v>20</v>
      </c>
      <c r="G60" s="4">
        <v>5</v>
      </c>
      <c r="H60" s="4">
        <v>16</v>
      </c>
      <c r="I60" s="4"/>
      <c r="J60" s="4"/>
      <c r="K60" s="4"/>
      <c r="L60" s="7">
        <f t="shared" si="11"/>
        <v>86</v>
      </c>
      <c r="M60" s="4">
        <v>50</v>
      </c>
      <c r="N60" s="4">
        <v>230</v>
      </c>
      <c r="O60" s="4"/>
      <c r="P60" s="4"/>
      <c r="Q60" s="4">
        <f t="shared" si="12"/>
        <v>366</v>
      </c>
      <c r="R60" s="1">
        <v>46</v>
      </c>
      <c r="S60" s="4">
        <v>89</v>
      </c>
      <c r="T60" s="4">
        <v>71</v>
      </c>
      <c r="U60" s="4">
        <v>68</v>
      </c>
      <c r="V60" s="4">
        <v>82</v>
      </c>
      <c r="W60" s="4">
        <v>44</v>
      </c>
      <c r="X60" s="4">
        <v>0</v>
      </c>
      <c r="Y60" s="4"/>
      <c r="Z60" s="4"/>
      <c r="AA60" s="4"/>
      <c r="AB60" s="4"/>
      <c r="AC60" s="4">
        <f t="shared" si="13"/>
        <v>400</v>
      </c>
      <c r="AD60" s="4">
        <v>44</v>
      </c>
      <c r="AE60" s="4">
        <f t="shared" si="14"/>
        <v>356</v>
      </c>
      <c r="AF60" s="4"/>
      <c r="AG60" s="4">
        <f t="shared" si="15"/>
        <v>356</v>
      </c>
      <c r="AH60" s="4">
        <f t="shared" si="16"/>
        <v>722</v>
      </c>
      <c r="AI60" s="4">
        <f t="shared" si="17"/>
        <v>1438</v>
      </c>
      <c r="AJ60" s="4">
        <f t="shared" si="18"/>
        <v>1198</v>
      </c>
      <c r="AK60" s="4">
        <f t="shared" si="19"/>
        <v>958</v>
      </c>
      <c r="AL60" s="4">
        <f t="shared" si="20"/>
        <v>718</v>
      </c>
      <c r="AM60" s="5">
        <f>(AH60/940)*100</f>
        <v>76.808510638297875</v>
      </c>
      <c r="AN60" s="4"/>
      <c r="AO60" s="3"/>
    </row>
    <row r="61" spans="1:41" x14ac:dyDescent="0.25">
      <c r="A61" s="1" t="s">
        <v>62</v>
      </c>
      <c r="B61" s="4">
        <v>20</v>
      </c>
      <c r="C61" s="4">
        <v>20</v>
      </c>
      <c r="D61" s="4">
        <v>10</v>
      </c>
      <c r="E61" s="4">
        <v>10</v>
      </c>
      <c r="F61" s="4">
        <v>20</v>
      </c>
      <c r="G61" s="4">
        <v>20</v>
      </c>
      <c r="H61" s="4">
        <v>4</v>
      </c>
      <c r="I61" s="4"/>
      <c r="J61" s="4"/>
      <c r="K61" s="4"/>
      <c r="L61" s="7">
        <f t="shared" si="11"/>
        <v>104</v>
      </c>
      <c r="M61" s="4">
        <v>54</v>
      </c>
      <c r="N61" s="4">
        <v>183</v>
      </c>
      <c r="O61" s="4"/>
      <c r="P61" s="4"/>
      <c r="Q61" s="4">
        <f t="shared" si="12"/>
        <v>341</v>
      </c>
      <c r="R61" s="1">
        <v>94</v>
      </c>
      <c r="S61" s="4">
        <v>101</v>
      </c>
      <c r="T61" s="4">
        <v>105</v>
      </c>
      <c r="U61" s="4">
        <v>89</v>
      </c>
      <c r="V61" s="4">
        <v>105</v>
      </c>
      <c r="W61" s="4">
        <v>102</v>
      </c>
      <c r="X61" s="4">
        <v>93</v>
      </c>
      <c r="Y61" s="4">
        <v>0</v>
      </c>
      <c r="Z61" s="4"/>
      <c r="AA61" s="4"/>
      <c r="AB61" s="4"/>
      <c r="AC61" s="4">
        <f t="shared" si="13"/>
        <v>689</v>
      </c>
      <c r="AD61" s="4">
        <v>89</v>
      </c>
      <c r="AE61" s="4">
        <f t="shared" si="14"/>
        <v>600</v>
      </c>
      <c r="AF61" s="4"/>
      <c r="AG61" s="4">
        <f t="shared" si="15"/>
        <v>600</v>
      </c>
      <c r="AH61" s="4">
        <f t="shared" si="16"/>
        <v>941</v>
      </c>
      <c r="AI61" s="4">
        <f t="shared" si="17"/>
        <v>1219</v>
      </c>
      <c r="AJ61" s="4">
        <f t="shared" si="18"/>
        <v>979</v>
      </c>
      <c r="AK61" s="4">
        <f t="shared" si="19"/>
        <v>739</v>
      </c>
      <c r="AL61" s="4">
        <f t="shared" si="20"/>
        <v>499</v>
      </c>
      <c r="AM61" s="5">
        <f>(AH61/1040)*100</f>
        <v>90.480769230769226</v>
      </c>
      <c r="AN61" s="4"/>
      <c r="AO61" s="3"/>
    </row>
    <row r="62" spans="1:41" x14ac:dyDescent="0.25">
      <c r="A62" s="1" t="s">
        <v>88</v>
      </c>
      <c r="B62" s="4">
        <v>20</v>
      </c>
      <c r="C62" s="4">
        <v>20</v>
      </c>
      <c r="D62" s="4">
        <v>0</v>
      </c>
      <c r="E62" s="4">
        <v>0</v>
      </c>
      <c r="F62" s="4">
        <v>20</v>
      </c>
      <c r="G62" s="4">
        <v>0</v>
      </c>
      <c r="H62" s="4">
        <v>0</v>
      </c>
      <c r="I62" s="4"/>
      <c r="J62" s="4"/>
      <c r="K62" s="4"/>
      <c r="L62" s="7">
        <f t="shared" si="11"/>
        <v>60</v>
      </c>
      <c r="M62" s="4">
        <v>0</v>
      </c>
      <c r="N62" s="4">
        <v>108</v>
      </c>
      <c r="O62" s="4"/>
      <c r="P62" s="4"/>
      <c r="Q62" s="4">
        <f t="shared" si="12"/>
        <v>168</v>
      </c>
      <c r="R62" s="1">
        <v>43</v>
      </c>
      <c r="S62" s="4">
        <v>61</v>
      </c>
      <c r="T62" s="4">
        <v>0</v>
      </c>
      <c r="U62" s="4">
        <v>0</v>
      </c>
      <c r="V62" s="4">
        <v>0</v>
      </c>
      <c r="W62" s="4">
        <v>38</v>
      </c>
      <c r="X62" s="4">
        <v>0</v>
      </c>
      <c r="Y62" s="4">
        <v>0</v>
      </c>
      <c r="Z62" s="4"/>
      <c r="AA62" s="4"/>
      <c r="AB62" s="4"/>
      <c r="AC62" s="4">
        <f t="shared" si="13"/>
        <v>142</v>
      </c>
      <c r="AD62" s="4">
        <v>0</v>
      </c>
      <c r="AE62" s="4">
        <f t="shared" si="14"/>
        <v>142</v>
      </c>
      <c r="AF62" s="4"/>
      <c r="AG62" s="4">
        <f t="shared" si="15"/>
        <v>142</v>
      </c>
      <c r="AH62" s="4">
        <f t="shared" si="16"/>
        <v>310</v>
      </c>
      <c r="AI62" s="4">
        <f t="shared" si="17"/>
        <v>1850</v>
      </c>
      <c r="AJ62" s="4">
        <f t="shared" si="18"/>
        <v>1610</v>
      </c>
      <c r="AK62" s="4">
        <f t="shared" si="19"/>
        <v>1370</v>
      </c>
      <c r="AL62" s="4">
        <f t="shared" si="20"/>
        <v>1130</v>
      </c>
      <c r="AM62" s="5">
        <f>(AH62/1040)*100</f>
        <v>29.807692307692307</v>
      </c>
      <c r="AN62" s="4"/>
      <c r="AO62" s="3"/>
    </row>
    <row r="63" spans="1:41" x14ac:dyDescent="0.25">
      <c r="A63" s="1" t="s">
        <v>90</v>
      </c>
      <c r="B63" s="4">
        <v>20</v>
      </c>
      <c r="C63" s="4">
        <v>10</v>
      </c>
      <c r="D63" s="4">
        <v>20</v>
      </c>
      <c r="E63" s="4">
        <v>15</v>
      </c>
      <c r="F63" s="4">
        <v>20</v>
      </c>
      <c r="G63" s="4">
        <v>20</v>
      </c>
      <c r="H63" s="4">
        <v>0</v>
      </c>
      <c r="I63" s="4"/>
      <c r="J63" s="4"/>
      <c r="K63" s="4"/>
      <c r="L63" s="7">
        <f t="shared" si="11"/>
        <v>105</v>
      </c>
      <c r="M63" s="4">
        <v>25</v>
      </c>
      <c r="N63" s="4">
        <v>238</v>
      </c>
      <c r="O63" s="4"/>
      <c r="P63" s="4"/>
      <c r="Q63" s="4">
        <f t="shared" si="12"/>
        <v>368</v>
      </c>
      <c r="R63" s="1">
        <v>94</v>
      </c>
      <c r="S63" s="4">
        <v>92</v>
      </c>
      <c r="T63" s="4">
        <v>100</v>
      </c>
      <c r="U63" s="4">
        <v>97</v>
      </c>
      <c r="V63" s="4">
        <v>118</v>
      </c>
      <c r="W63" s="4">
        <v>95</v>
      </c>
      <c r="X63" s="4">
        <v>109</v>
      </c>
      <c r="Y63" s="4">
        <v>93</v>
      </c>
      <c r="Z63" s="4"/>
      <c r="AA63" s="4"/>
      <c r="AB63" s="4"/>
      <c r="AC63" s="4">
        <f t="shared" si="13"/>
        <v>798</v>
      </c>
      <c r="AD63" s="4">
        <v>185</v>
      </c>
      <c r="AE63" s="4">
        <f t="shared" si="14"/>
        <v>613</v>
      </c>
      <c r="AF63" s="4"/>
      <c r="AG63" s="4">
        <f t="shared" si="15"/>
        <v>613</v>
      </c>
      <c r="AH63" s="4">
        <f t="shared" si="16"/>
        <v>981</v>
      </c>
      <c r="AI63" s="4">
        <f t="shared" si="17"/>
        <v>1179</v>
      </c>
      <c r="AJ63" s="4">
        <f t="shared" si="18"/>
        <v>939</v>
      </c>
      <c r="AK63" s="4">
        <f t="shared" si="19"/>
        <v>699</v>
      </c>
      <c r="AL63" s="4">
        <f t="shared" si="20"/>
        <v>459</v>
      </c>
      <c r="AM63" s="5">
        <f>(AH63/1040)*100</f>
        <v>94.32692307692308</v>
      </c>
      <c r="AN63" s="4"/>
      <c r="AO63" s="3"/>
    </row>
    <row r="64" spans="1:41" x14ac:dyDescent="0.25">
      <c r="A64" s="1" t="s">
        <v>63</v>
      </c>
      <c r="B64" s="4">
        <v>20</v>
      </c>
      <c r="C64" s="4">
        <v>10</v>
      </c>
      <c r="D64" s="4">
        <v>10</v>
      </c>
      <c r="E64" s="8">
        <v>0</v>
      </c>
      <c r="F64" s="4">
        <v>20</v>
      </c>
      <c r="G64" s="4">
        <v>15</v>
      </c>
      <c r="H64" s="4">
        <v>12</v>
      </c>
      <c r="I64" s="4"/>
      <c r="J64" s="4"/>
      <c r="K64" s="4"/>
      <c r="L64" s="7">
        <f t="shared" si="11"/>
        <v>87</v>
      </c>
      <c r="M64" s="4">
        <v>54</v>
      </c>
      <c r="N64" s="4">
        <v>171</v>
      </c>
      <c r="O64" s="4"/>
      <c r="P64" s="4"/>
      <c r="Q64" s="4">
        <f t="shared" si="12"/>
        <v>312</v>
      </c>
      <c r="R64" s="1">
        <v>91</v>
      </c>
      <c r="S64" s="4">
        <v>75</v>
      </c>
      <c r="T64" s="4">
        <v>80</v>
      </c>
      <c r="U64" s="4">
        <v>75</v>
      </c>
      <c r="V64" s="4">
        <v>95</v>
      </c>
      <c r="W64" s="4">
        <v>89</v>
      </c>
      <c r="X64" s="4">
        <v>61</v>
      </c>
      <c r="Y64" s="4">
        <v>0</v>
      </c>
      <c r="Z64" s="4"/>
      <c r="AA64" s="4"/>
      <c r="AB64" s="4"/>
      <c r="AC64" s="4">
        <f t="shared" si="13"/>
        <v>566</v>
      </c>
      <c r="AD64" s="4">
        <v>61</v>
      </c>
      <c r="AE64" s="4">
        <f t="shared" si="14"/>
        <v>505</v>
      </c>
      <c r="AF64" s="4"/>
      <c r="AG64" s="4">
        <f t="shared" si="15"/>
        <v>505</v>
      </c>
      <c r="AH64" s="4">
        <f t="shared" si="16"/>
        <v>817</v>
      </c>
      <c r="AI64" s="4">
        <f t="shared" si="17"/>
        <v>1343</v>
      </c>
      <c r="AJ64" s="4">
        <f t="shared" si="18"/>
        <v>1103</v>
      </c>
      <c r="AK64" s="4">
        <f t="shared" si="19"/>
        <v>863</v>
      </c>
      <c r="AL64" s="4">
        <f t="shared" si="20"/>
        <v>623</v>
      </c>
      <c r="AM64" s="5">
        <f>(AH64/1040)*100</f>
        <v>78.557692307692307</v>
      </c>
      <c r="AN64" s="4"/>
      <c r="AO64" s="3"/>
    </row>
    <row r="65" spans="1:41" s="9" customFormat="1" x14ac:dyDescent="0.25">
      <c r="A65" s="1" t="s">
        <v>55</v>
      </c>
      <c r="B65" s="4">
        <v>20</v>
      </c>
      <c r="C65" s="4">
        <v>20</v>
      </c>
      <c r="D65" s="4">
        <v>20</v>
      </c>
      <c r="E65" s="4">
        <v>5</v>
      </c>
      <c r="F65" s="4">
        <v>20</v>
      </c>
      <c r="G65" s="4">
        <v>20</v>
      </c>
      <c r="H65" s="4">
        <v>20</v>
      </c>
      <c r="I65" s="4"/>
      <c r="J65" s="4"/>
      <c r="K65" s="4"/>
      <c r="L65" s="7">
        <f t="shared" si="11"/>
        <v>125</v>
      </c>
      <c r="M65" s="4">
        <v>54</v>
      </c>
      <c r="N65" s="4">
        <v>274</v>
      </c>
      <c r="O65" s="4"/>
      <c r="P65" s="4"/>
      <c r="Q65" s="4">
        <f t="shared" si="12"/>
        <v>453</v>
      </c>
      <c r="R65" s="1">
        <v>98</v>
      </c>
      <c r="S65" s="4">
        <v>92</v>
      </c>
      <c r="T65" s="4">
        <v>87</v>
      </c>
      <c r="U65" s="4">
        <v>112</v>
      </c>
      <c r="V65" s="4">
        <v>111</v>
      </c>
      <c r="W65" s="4">
        <v>94</v>
      </c>
      <c r="X65" s="4">
        <v>104</v>
      </c>
      <c r="Y65" s="4"/>
      <c r="Z65" s="4"/>
      <c r="AA65" s="4"/>
      <c r="AB65" s="4"/>
      <c r="AC65" s="4">
        <f t="shared" si="13"/>
        <v>698</v>
      </c>
      <c r="AD65" s="4">
        <v>179</v>
      </c>
      <c r="AE65" s="4">
        <f t="shared" si="14"/>
        <v>519</v>
      </c>
      <c r="AF65" s="4"/>
      <c r="AG65" s="4">
        <f t="shared" si="15"/>
        <v>519</v>
      </c>
      <c r="AH65" s="4">
        <f t="shared" si="16"/>
        <v>972</v>
      </c>
      <c r="AI65" s="4">
        <f t="shared" si="17"/>
        <v>1188</v>
      </c>
      <c r="AJ65" s="4">
        <f t="shared" si="18"/>
        <v>948</v>
      </c>
      <c r="AK65" s="4">
        <f t="shared" si="19"/>
        <v>708</v>
      </c>
      <c r="AL65" s="4">
        <f t="shared" si="20"/>
        <v>468</v>
      </c>
      <c r="AM65" s="5">
        <f>(AH65/940)*100</f>
        <v>103.40425531914894</v>
      </c>
      <c r="AN65" s="4"/>
    </row>
    <row r="66" spans="1:41" x14ac:dyDescent="0.25">
      <c r="A66" s="1" t="s">
        <v>46</v>
      </c>
      <c r="B66" s="4">
        <v>20</v>
      </c>
      <c r="C66" s="4">
        <v>10</v>
      </c>
      <c r="D66" s="4">
        <v>20</v>
      </c>
      <c r="E66" s="4">
        <v>20</v>
      </c>
      <c r="F66" s="4">
        <v>20</v>
      </c>
      <c r="G66" s="4">
        <v>15</v>
      </c>
      <c r="H66" s="4">
        <v>24</v>
      </c>
      <c r="I66" s="4"/>
      <c r="J66" s="4"/>
      <c r="K66" s="4"/>
      <c r="L66" s="7">
        <f t="shared" si="11"/>
        <v>129</v>
      </c>
      <c r="M66" s="4">
        <v>15</v>
      </c>
      <c r="N66" s="4">
        <v>185</v>
      </c>
      <c r="O66" s="4"/>
      <c r="P66" s="4"/>
      <c r="Q66" s="4">
        <f t="shared" si="12"/>
        <v>329</v>
      </c>
      <c r="R66" s="1">
        <v>88</v>
      </c>
      <c r="S66" s="4">
        <v>95</v>
      </c>
      <c r="T66" s="4">
        <v>92</v>
      </c>
      <c r="U66" s="4">
        <v>81</v>
      </c>
      <c r="V66" s="4">
        <v>106</v>
      </c>
      <c r="W66" s="4">
        <v>95</v>
      </c>
      <c r="X66" s="4">
        <v>0</v>
      </c>
      <c r="Y66" s="4">
        <v>0</v>
      </c>
      <c r="Z66" s="4"/>
      <c r="AA66" s="4"/>
      <c r="AB66" s="4"/>
      <c r="AC66" s="4">
        <f t="shared" si="13"/>
        <v>557</v>
      </c>
      <c r="AD66" s="4">
        <v>0</v>
      </c>
      <c r="AE66" s="4">
        <f t="shared" si="14"/>
        <v>557</v>
      </c>
      <c r="AF66" s="4"/>
      <c r="AG66" s="4">
        <f t="shared" si="15"/>
        <v>557</v>
      </c>
      <c r="AH66" s="4">
        <f t="shared" si="16"/>
        <v>886</v>
      </c>
      <c r="AI66" s="4">
        <f t="shared" si="17"/>
        <v>1274</v>
      </c>
      <c r="AJ66" s="4">
        <f t="shared" si="18"/>
        <v>1034</v>
      </c>
      <c r="AK66" s="4">
        <f t="shared" si="19"/>
        <v>794</v>
      </c>
      <c r="AL66" s="4">
        <f t="shared" si="20"/>
        <v>554</v>
      </c>
      <c r="AM66" s="5">
        <f>(AH66/1040)*100</f>
        <v>85.192307692307693</v>
      </c>
      <c r="AN66" s="4"/>
      <c r="AO66" s="3"/>
    </row>
    <row r="67" spans="1:41" x14ac:dyDescent="0.25">
      <c r="A67" s="1" t="s">
        <v>84</v>
      </c>
      <c r="B67" s="4">
        <v>20</v>
      </c>
      <c r="C67" s="4">
        <v>15</v>
      </c>
      <c r="D67" s="4">
        <v>15</v>
      </c>
      <c r="E67" s="4">
        <v>5</v>
      </c>
      <c r="F67" s="4">
        <v>20</v>
      </c>
      <c r="G67" s="4">
        <v>20</v>
      </c>
      <c r="H67" s="4">
        <v>16</v>
      </c>
      <c r="I67" s="4"/>
      <c r="J67" s="4"/>
      <c r="K67" s="4"/>
      <c r="L67" s="7">
        <f t="shared" si="11"/>
        <v>111</v>
      </c>
      <c r="M67" s="4">
        <v>60</v>
      </c>
      <c r="N67" s="4">
        <v>192</v>
      </c>
      <c r="O67" s="4"/>
      <c r="P67" s="4"/>
      <c r="Q67" s="4">
        <f t="shared" si="12"/>
        <v>363</v>
      </c>
      <c r="R67" s="1">
        <v>70</v>
      </c>
      <c r="S67" s="4">
        <v>78</v>
      </c>
      <c r="T67" s="4">
        <v>76</v>
      </c>
      <c r="U67" s="4">
        <v>31</v>
      </c>
      <c r="V67" s="4">
        <v>89</v>
      </c>
      <c r="W67" s="4">
        <v>68</v>
      </c>
      <c r="X67" s="4">
        <v>0</v>
      </c>
      <c r="Y67" s="4">
        <v>74</v>
      </c>
      <c r="Z67" s="4"/>
      <c r="AA67" s="4"/>
      <c r="AB67" s="4"/>
      <c r="AC67" s="4">
        <f t="shared" si="13"/>
        <v>486</v>
      </c>
      <c r="AD67" s="4">
        <v>31</v>
      </c>
      <c r="AE67" s="4">
        <f t="shared" si="14"/>
        <v>455</v>
      </c>
      <c r="AF67" s="4"/>
      <c r="AG67" s="4">
        <f t="shared" si="15"/>
        <v>455</v>
      </c>
      <c r="AH67" s="4">
        <f t="shared" si="16"/>
        <v>818</v>
      </c>
      <c r="AI67" s="4">
        <f t="shared" si="17"/>
        <v>1342</v>
      </c>
      <c r="AJ67" s="4">
        <f t="shared" si="18"/>
        <v>1102</v>
      </c>
      <c r="AK67" s="4">
        <f t="shared" si="19"/>
        <v>862</v>
      </c>
      <c r="AL67" s="4">
        <f t="shared" si="20"/>
        <v>622</v>
      </c>
      <c r="AM67" s="5">
        <f>(AH67/1040)*100</f>
        <v>78.653846153846146</v>
      </c>
      <c r="AN67" s="4"/>
      <c r="AO67" s="3"/>
    </row>
    <row r="68" spans="1:41" x14ac:dyDescent="0.25">
      <c r="A68" s="1" t="s">
        <v>89</v>
      </c>
      <c r="B68" s="4">
        <v>20</v>
      </c>
      <c r="C68" s="4">
        <v>20</v>
      </c>
      <c r="D68" s="4">
        <v>10</v>
      </c>
      <c r="E68" s="4">
        <v>10</v>
      </c>
      <c r="F68" s="4">
        <v>20</v>
      </c>
      <c r="G68" s="4">
        <v>15</v>
      </c>
      <c r="H68" s="4">
        <v>20</v>
      </c>
      <c r="I68" s="4"/>
      <c r="J68" s="4"/>
      <c r="K68" s="4"/>
      <c r="L68" s="7">
        <f t="shared" ref="L68:L99" si="21">B68+C68+D68+E68+F68+G68+H68+I68+J68+K68</f>
        <v>115</v>
      </c>
      <c r="M68" s="4">
        <v>45</v>
      </c>
      <c r="N68" s="4">
        <v>244</v>
      </c>
      <c r="O68" s="4"/>
      <c r="P68" s="4"/>
      <c r="Q68" s="4">
        <f t="shared" ref="Q68:Q99" si="22">L68+M68+N68+O68+P68</f>
        <v>404</v>
      </c>
      <c r="R68" s="1">
        <v>85</v>
      </c>
      <c r="S68" s="4">
        <v>85</v>
      </c>
      <c r="T68" s="4">
        <v>63</v>
      </c>
      <c r="U68" s="4">
        <v>103</v>
      </c>
      <c r="V68" s="4">
        <v>94</v>
      </c>
      <c r="W68" s="4">
        <v>90</v>
      </c>
      <c r="X68" s="4">
        <v>93</v>
      </c>
      <c r="Y68" s="4">
        <v>79</v>
      </c>
      <c r="Z68" s="4"/>
      <c r="AA68" s="4"/>
      <c r="AB68" s="4"/>
      <c r="AC68" s="4">
        <f t="shared" ref="AC68:AC99" si="23">R68 + S68 + T68 + U68 + V68 + W68 + X68 + Y68 + Z68 + AA68 + AB68</f>
        <v>692</v>
      </c>
      <c r="AD68" s="4">
        <v>142</v>
      </c>
      <c r="AE68" s="4">
        <f t="shared" ref="AE68:AE99" si="24">AC68-AD68</f>
        <v>550</v>
      </c>
      <c r="AF68" s="4"/>
      <c r="AG68" s="4">
        <f t="shared" ref="AG68:AG99" si="25">AE68+AF68</f>
        <v>550</v>
      </c>
      <c r="AH68" s="4">
        <f t="shared" ref="AH68:AH99" si="26">Q68+AG68</f>
        <v>954</v>
      </c>
      <c r="AI68" s="4">
        <f t="shared" ref="AI68:AI99" si="27">2160-AH68</f>
        <v>1206</v>
      </c>
      <c r="AJ68" s="4">
        <f t="shared" ref="AJ68:AJ73" si="28">1920-AH68</f>
        <v>966</v>
      </c>
      <c r="AK68" s="4">
        <f t="shared" ref="AK68:AK73" si="29">1680-AH68</f>
        <v>726</v>
      </c>
      <c r="AL68" s="4">
        <f t="shared" ref="AL68:AL73" si="30">1440-AH68</f>
        <v>486</v>
      </c>
      <c r="AM68" s="5">
        <f>(AH68/1040)*100</f>
        <v>91.730769230769226</v>
      </c>
      <c r="AN68" s="4"/>
      <c r="AO68" s="3"/>
    </row>
    <row r="69" spans="1:41" x14ac:dyDescent="0.25">
      <c r="A69" s="1" t="s">
        <v>98</v>
      </c>
      <c r="B69" s="4">
        <v>0</v>
      </c>
      <c r="C69" s="4">
        <v>0</v>
      </c>
      <c r="D69" s="4">
        <v>5</v>
      </c>
      <c r="E69" s="4">
        <v>10</v>
      </c>
      <c r="F69" s="4">
        <v>0</v>
      </c>
      <c r="G69" s="4">
        <v>0</v>
      </c>
      <c r="H69" s="4">
        <v>0</v>
      </c>
      <c r="I69" s="4"/>
      <c r="J69" s="4"/>
      <c r="K69" s="4"/>
      <c r="L69" s="7">
        <f t="shared" si="21"/>
        <v>15</v>
      </c>
      <c r="M69" s="4">
        <v>35</v>
      </c>
      <c r="N69" s="4">
        <v>205</v>
      </c>
      <c r="O69" s="4"/>
      <c r="P69" s="4"/>
      <c r="Q69" s="4">
        <f t="shared" si="22"/>
        <v>255</v>
      </c>
      <c r="R69" s="1">
        <v>0</v>
      </c>
      <c r="S69" s="4">
        <v>0</v>
      </c>
      <c r="T69" s="4">
        <v>74</v>
      </c>
      <c r="U69" s="4">
        <v>54</v>
      </c>
      <c r="V69" s="4">
        <v>0</v>
      </c>
      <c r="W69" s="4">
        <v>99</v>
      </c>
      <c r="X69" s="4">
        <v>0</v>
      </c>
      <c r="Y69" s="4">
        <v>67</v>
      </c>
      <c r="Z69" s="4"/>
      <c r="AA69" s="4"/>
      <c r="AB69" s="4"/>
      <c r="AC69" s="4">
        <f t="shared" si="23"/>
        <v>294</v>
      </c>
      <c r="AD69" s="4">
        <v>0</v>
      </c>
      <c r="AE69" s="4">
        <f t="shared" si="24"/>
        <v>294</v>
      </c>
      <c r="AF69" s="4"/>
      <c r="AG69" s="4">
        <f t="shared" si="25"/>
        <v>294</v>
      </c>
      <c r="AH69" s="4">
        <f t="shared" si="26"/>
        <v>549</v>
      </c>
      <c r="AI69" s="4">
        <f t="shared" si="27"/>
        <v>1611</v>
      </c>
      <c r="AJ69" s="4">
        <f t="shared" si="28"/>
        <v>1371</v>
      </c>
      <c r="AK69" s="4">
        <f t="shared" si="29"/>
        <v>1131</v>
      </c>
      <c r="AL69" s="4">
        <f t="shared" si="30"/>
        <v>891</v>
      </c>
      <c r="AM69" s="5">
        <f>(AH69/1040)*100</f>
        <v>52.78846153846154</v>
      </c>
      <c r="AN69" s="4"/>
      <c r="AO69" s="3"/>
    </row>
    <row r="70" spans="1:41" x14ac:dyDescent="0.25">
      <c r="A70" s="1" t="s">
        <v>66</v>
      </c>
      <c r="B70" s="4">
        <v>20</v>
      </c>
      <c r="C70" s="4">
        <v>10</v>
      </c>
      <c r="D70" s="4">
        <v>20</v>
      </c>
      <c r="E70" s="4">
        <v>15</v>
      </c>
      <c r="F70" s="4">
        <v>0</v>
      </c>
      <c r="G70" s="4">
        <v>20</v>
      </c>
      <c r="H70" s="4">
        <v>16</v>
      </c>
      <c r="I70" s="4"/>
      <c r="J70" s="4"/>
      <c r="K70" s="4"/>
      <c r="L70" s="7">
        <f t="shared" si="21"/>
        <v>101</v>
      </c>
      <c r="M70" s="4">
        <v>50</v>
      </c>
      <c r="N70" s="4">
        <v>245</v>
      </c>
      <c r="O70" s="4"/>
      <c r="P70" s="4"/>
      <c r="Q70" s="4">
        <f t="shared" si="22"/>
        <v>396</v>
      </c>
      <c r="R70" s="1">
        <v>68</v>
      </c>
      <c r="S70" s="4">
        <v>105</v>
      </c>
      <c r="T70" s="4">
        <v>91</v>
      </c>
      <c r="U70" s="4">
        <v>111</v>
      </c>
      <c r="V70" s="4">
        <v>110</v>
      </c>
      <c r="W70" s="4">
        <v>102</v>
      </c>
      <c r="X70" s="4">
        <v>110</v>
      </c>
      <c r="Y70" s="4"/>
      <c r="Z70" s="4"/>
      <c r="AA70" s="4"/>
      <c r="AB70" s="4"/>
      <c r="AC70" s="4">
        <f t="shared" si="23"/>
        <v>697</v>
      </c>
      <c r="AD70" s="4">
        <v>159</v>
      </c>
      <c r="AE70" s="4">
        <f t="shared" si="24"/>
        <v>538</v>
      </c>
      <c r="AF70" s="4"/>
      <c r="AG70" s="4">
        <f t="shared" si="25"/>
        <v>538</v>
      </c>
      <c r="AH70" s="4">
        <f t="shared" si="26"/>
        <v>934</v>
      </c>
      <c r="AI70" s="4">
        <f t="shared" si="27"/>
        <v>1226</v>
      </c>
      <c r="AJ70" s="4">
        <f t="shared" si="28"/>
        <v>986</v>
      </c>
      <c r="AK70" s="4">
        <f t="shared" si="29"/>
        <v>746</v>
      </c>
      <c r="AL70" s="4">
        <f t="shared" si="30"/>
        <v>506</v>
      </c>
      <c r="AM70" s="5">
        <f>(AH70/940)*100</f>
        <v>99.361702127659584</v>
      </c>
      <c r="AN70" s="4"/>
      <c r="AO70" s="3"/>
    </row>
    <row r="71" spans="1:41" x14ac:dyDescent="0.25">
      <c r="A71" s="1" t="s">
        <v>91</v>
      </c>
      <c r="B71" s="4">
        <v>20</v>
      </c>
      <c r="C71" s="4">
        <v>10</v>
      </c>
      <c r="D71" s="4">
        <v>5</v>
      </c>
      <c r="E71" s="4">
        <v>10</v>
      </c>
      <c r="F71" s="4">
        <v>20</v>
      </c>
      <c r="G71" s="4">
        <v>20</v>
      </c>
      <c r="H71" s="4">
        <v>8</v>
      </c>
      <c r="I71" s="4"/>
      <c r="J71" s="4"/>
      <c r="K71" s="4"/>
      <c r="L71" s="7">
        <f t="shared" si="21"/>
        <v>93</v>
      </c>
      <c r="M71" s="4">
        <v>53</v>
      </c>
      <c r="N71" s="4">
        <v>147</v>
      </c>
      <c r="O71" s="4"/>
      <c r="P71" s="4"/>
      <c r="Q71" s="4">
        <f t="shared" si="22"/>
        <v>293</v>
      </c>
      <c r="R71" s="1">
        <v>85</v>
      </c>
      <c r="S71" s="4">
        <v>75</v>
      </c>
      <c r="T71" s="4">
        <v>41</v>
      </c>
      <c r="U71" s="4">
        <v>68</v>
      </c>
      <c r="V71" s="4">
        <v>75</v>
      </c>
      <c r="W71" s="4">
        <v>92</v>
      </c>
      <c r="X71" s="4">
        <v>79</v>
      </c>
      <c r="Y71" s="4">
        <v>64</v>
      </c>
      <c r="Z71" s="4"/>
      <c r="AA71" s="4"/>
      <c r="AB71" s="4"/>
      <c r="AC71" s="4">
        <f t="shared" si="23"/>
        <v>579</v>
      </c>
      <c r="AD71" s="4">
        <v>105</v>
      </c>
      <c r="AE71" s="4">
        <f t="shared" si="24"/>
        <v>474</v>
      </c>
      <c r="AF71" s="4"/>
      <c r="AG71" s="4">
        <f t="shared" si="25"/>
        <v>474</v>
      </c>
      <c r="AH71" s="4">
        <f t="shared" si="26"/>
        <v>767</v>
      </c>
      <c r="AI71" s="4">
        <f t="shared" si="27"/>
        <v>1393</v>
      </c>
      <c r="AJ71" s="4">
        <f t="shared" si="28"/>
        <v>1153</v>
      </c>
      <c r="AK71" s="4">
        <f t="shared" si="29"/>
        <v>913</v>
      </c>
      <c r="AL71" s="4">
        <f t="shared" si="30"/>
        <v>673</v>
      </c>
      <c r="AM71" s="5">
        <f>(AH71/1040)*100</f>
        <v>73.75</v>
      </c>
      <c r="AN71" s="4"/>
      <c r="AO71" s="3"/>
    </row>
    <row r="72" spans="1:41" x14ac:dyDescent="0.25">
      <c r="A72" s="1" t="s">
        <v>93</v>
      </c>
      <c r="B72" s="4">
        <v>20</v>
      </c>
      <c r="C72" s="4">
        <v>20</v>
      </c>
      <c r="D72" s="4">
        <v>15</v>
      </c>
      <c r="E72" s="4">
        <v>10</v>
      </c>
      <c r="F72" s="4">
        <v>0</v>
      </c>
      <c r="G72" s="4">
        <v>20</v>
      </c>
      <c r="H72" s="4">
        <v>12</v>
      </c>
      <c r="I72" s="4"/>
      <c r="J72" s="4"/>
      <c r="K72" s="4"/>
      <c r="L72" s="7">
        <f t="shared" si="21"/>
        <v>97</v>
      </c>
      <c r="M72" s="4">
        <v>47</v>
      </c>
      <c r="N72" s="4">
        <v>213</v>
      </c>
      <c r="O72" s="4"/>
      <c r="P72" s="4"/>
      <c r="Q72" s="4">
        <f t="shared" si="22"/>
        <v>357</v>
      </c>
      <c r="R72" s="1">
        <v>97</v>
      </c>
      <c r="S72" s="4">
        <v>107</v>
      </c>
      <c r="T72" s="4">
        <v>120</v>
      </c>
      <c r="U72" s="4">
        <v>76</v>
      </c>
      <c r="V72" s="4">
        <v>112</v>
      </c>
      <c r="W72" s="4">
        <v>94</v>
      </c>
      <c r="X72" s="4">
        <v>95</v>
      </c>
      <c r="Y72" s="4">
        <v>0</v>
      </c>
      <c r="Z72" s="4"/>
      <c r="AA72" s="4"/>
      <c r="AB72" s="4"/>
      <c r="AC72" s="4">
        <f t="shared" si="23"/>
        <v>701</v>
      </c>
      <c r="AD72" s="4">
        <v>76</v>
      </c>
      <c r="AE72" s="4">
        <f t="shared" si="24"/>
        <v>625</v>
      </c>
      <c r="AF72" s="4"/>
      <c r="AG72" s="4">
        <f t="shared" si="25"/>
        <v>625</v>
      </c>
      <c r="AH72" s="4">
        <f t="shared" si="26"/>
        <v>982</v>
      </c>
      <c r="AI72" s="4">
        <f t="shared" si="27"/>
        <v>1178</v>
      </c>
      <c r="AJ72" s="4">
        <f t="shared" si="28"/>
        <v>938</v>
      </c>
      <c r="AK72" s="4">
        <f t="shared" si="29"/>
        <v>698</v>
      </c>
      <c r="AL72" s="4">
        <f t="shared" si="30"/>
        <v>458</v>
      </c>
      <c r="AM72" s="5">
        <f>(AH72/1040)*100</f>
        <v>94.42307692307692</v>
      </c>
      <c r="AN72" s="4"/>
      <c r="AO72" s="3"/>
    </row>
    <row r="73" spans="1:41" x14ac:dyDescent="0.25">
      <c r="A73" s="1" t="s">
        <v>57</v>
      </c>
      <c r="B73" s="4">
        <v>20</v>
      </c>
      <c r="C73" s="4">
        <v>10</v>
      </c>
      <c r="D73" s="4">
        <v>5</v>
      </c>
      <c r="E73" s="4">
        <v>10</v>
      </c>
      <c r="F73" s="4">
        <v>20</v>
      </c>
      <c r="G73" s="4">
        <v>15</v>
      </c>
      <c r="H73" s="4">
        <v>8</v>
      </c>
      <c r="I73" s="4"/>
      <c r="J73" s="4"/>
      <c r="K73" s="4"/>
      <c r="L73" s="7">
        <f t="shared" si="21"/>
        <v>88</v>
      </c>
      <c r="M73" s="4">
        <v>35</v>
      </c>
      <c r="N73" s="4">
        <v>175</v>
      </c>
      <c r="O73" s="4"/>
      <c r="P73" s="4"/>
      <c r="Q73" s="4">
        <f t="shared" si="22"/>
        <v>298</v>
      </c>
      <c r="R73" s="1">
        <v>61</v>
      </c>
      <c r="S73" s="4">
        <v>76</v>
      </c>
      <c r="T73" s="4">
        <v>48</v>
      </c>
      <c r="U73" s="4">
        <v>43</v>
      </c>
      <c r="V73" s="4">
        <v>31</v>
      </c>
      <c r="W73" s="4">
        <v>68</v>
      </c>
      <c r="X73" s="4">
        <v>50</v>
      </c>
      <c r="Y73" s="4">
        <v>0</v>
      </c>
      <c r="Z73" s="4"/>
      <c r="AA73" s="4"/>
      <c r="AB73" s="4"/>
      <c r="AC73" s="4">
        <f t="shared" si="23"/>
        <v>377</v>
      </c>
      <c r="AD73" s="4">
        <v>31</v>
      </c>
      <c r="AE73" s="4">
        <f t="shared" si="24"/>
        <v>346</v>
      </c>
      <c r="AF73" s="4"/>
      <c r="AG73" s="4">
        <f t="shared" si="25"/>
        <v>346</v>
      </c>
      <c r="AH73" s="4">
        <f t="shared" si="26"/>
        <v>644</v>
      </c>
      <c r="AI73" s="4">
        <f t="shared" si="27"/>
        <v>1516</v>
      </c>
      <c r="AJ73" s="4">
        <f t="shared" si="28"/>
        <v>1276</v>
      </c>
      <c r="AK73" s="4">
        <f t="shared" si="29"/>
        <v>1036</v>
      </c>
      <c r="AL73" s="4">
        <f t="shared" si="30"/>
        <v>796</v>
      </c>
      <c r="AM73" s="5">
        <f>(AH73/1040)*100</f>
        <v>61.923076923076927</v>
      </c>
      <c r="AN73" s="4"/>
      <c r="AO73" s="3"/>
    </row>
    <row r="74" spans="1:4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3"/>
      <c r="AO74" s="3"/>
    </row>
    <row r="75" spans="1:4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3"/>
      <c r="AO75" s="3"/>
    </row>
    <row r="76" spans="1:4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3"/>
      <c r="AO76" s="3"/>
    </row>
    <row r="77" spans="1:4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3"/>
      <c r="AO77" s="3"/>
    </row>
    <row r="78" spans="1:4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3"/>
      <c r="AO78" s="3"/>
    </row>
    <row r="79" spans="1:4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3"/>
      <c r="AO79" s="3"/>
    </row>
    <row r="80" spans="1:4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3"/>
      <c r="AO80" s="3"/>
    </row>
    <row r="81" spans="1:4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3"/>
      <c r="AO81" s="3"/>
    </row>
    <row r="82" spans="1:4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3"/>
      <c r="AO82" s="3"/>
    </row>
    <row r="83" spans="1:4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3"/>
      <c r="AO83" s="3"/>
    </row>
    <row r="84" spans="1:4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3"/>
      <c r="AO84" s="3"/>
    </row>
    <row r="85" spans="1:4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3"/>
      <c r="AO85" s="3"/>
    </row>
    <row r="86" spans="1:4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3"/>
      <c r="AO86" s="3"/>
    </row>
    <row r="87" spans="1:4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3"/>
      <c r="AO87" s="3"/>
    </row>
    <row r="88" spans="1:4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3"/>
      <c r="AO88" s="3"/>
    </row>
  </sheetData>
  <phoneticPr fontId="8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TAMU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Horticultural Sciences</dc:creator>
  <cp:lastModifiedBy>Carina Negreanu</cp:lastModifiedBy>
  <cp:lastPrinted>2002-05-09T21:12:05Z</cp:lastPrinted>
  <dcterms:created xsi:type="dcterms:W3CDTF">2002-01-16T19:09:45Z</dcterms:created>
  <dcterms:modified xsi:type="dcterms:W3CDTF">2020-01-27T11:39:05Z</dcterms:modified>
</cp:coreProperties>
</file>