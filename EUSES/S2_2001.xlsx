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93278B9-C8F5-4E33-9D0E-0107C352FC67}" xr6:coauthVersionLast="45" xr6:coauthVersionMax="45" xr10:uidLastSave="{00000000-0000-0000-0000-000000000000}"/>
  <bookViews>
    <workbookView xWindow="1520" yWindow="1520" windowWidth="28800" windowHeight="1546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Sheet1!$A$1:$J$40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22" i="1" l="1"/>
  <c r="E23" i="1" s="1"/>
  <c r="E24" i="1" s="1"/>
  <c r="E36" i="1" s="1"/>
  <c r="E38" i="1" s="1"/>
  <c r="J22" i="1"/>
  <c r="J23" i="1"/>
  <c r="J24" i="1" s="1"/>
  <c r="E28" i="1"/>
  <c r="J28" i="1"/>
  <c r="E29" i="1"/>
  <c r="J29" i="1"/>
  <c r="E30" i="1"/>
  <c r="J30" i="1"/>
  <c r="E31" i="1"/>
  <c r="E33" i="1" s="1"/>
  <c r="J31" i="1"/>
  <c r="J33" i="1" s="1"/>
  <c r="J36" i="1" s="1"/>
  <c r="J38" i="1" s="1"/>
  <c r="E32" i="1"/>
  <c r="J32" i="1"/>
  <c r="B35" i="1"/>
  <c r="G35" i="1"/>
  <c r="B38" i="1"/>
  <c r="G38" i="1"/>
</calcChain>
</file>

<file path=xl/sharedStrings.xml><?xml version="1.0" encoding="utf-8"?>
<sst xmlns="http://schemas.openxmlformats.org/spreadsheetml/2006/main" count="45" uniqueCount="30">
  <si>
    <t>Data Given</t>
  </si>
  <si>
    <t>Starting Non MBA salary</t>
  </si>
  <si>
    <t>Starting MBA salary</t>
  </si>
  <si>
    <t>First Salary Date</t>
  </si>
  <si>
    <t>Annual MBA expenses</t>
  </si>
  <si>
    <t>First Payment Date</t>
  </si>
  <si>
    <t>Discount Rate</t>
  </si>
  <si>
    <t>MBA bonus</t>
  </si>
  <si>
    <t>Bonus Date</t>
  </si>
  <si>
    <t>Non MBA salary Growth Rate</t>
  </si>
  <si>
    <t>MBA salary Growth Rate</t>
  </si>
  <si>
    <t>Savings Rate</t>
  </si>
  <si>
    <t>1)</t>
  </si>
  <si>
    <t>Retirement Date</t>
  </si>
  <si>
    <t>Non-MBA Savings Calculation</t>
  </si>
  <si>
    <t>Number of Payments</t>
  </si>
  <si>
    <t>Annuity Value of Income</t>
  </si>
  <si>
    <t>MBA-Savings Calculation</t>
  </si>
  <si>
    <t>Number of College Payments</t>
  </si>
  <si>
    <t>Number of Salary Payments</t>
  </si>
  <si>
    <t>Annuity Value of Expenses</t>
  </si>
  <si>
    <t>Annuity Value of Payments</t>
  </si>
  <si>
    <t>2)</t>
  </si>
  <si>
    <t>No Growth Case</t>
  </si>
  <si>
    <t>Growth Case</t>
  </si>
  <si>
    <t>PV of Signing Bonus</t>
  </si>
  <si>
    <t>Homework #2 Solutions</t>
  </si>
  <si>
    <t>PV of Savings</t>
  </si>
  <si>
    <t>from Non MBA option</t>
  </si>
  <si>
    <t>from MBA option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</si>
</sst>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&quot;$&quot;#,##0_);[Red]\(&quot;$&quot;#,##0\)"/>
  </numFmts>
  <fonts count="8" x14ac:knownFonts="1">
    <font>
      <sz val="10"/>
      <name val="Arial"/>
    </font>
    <font>
      <i/>
      <u/>
      <sz val="10"/>
      <name val="Arial"/>
      <family val="2"/>
    </font>
    <font>
      <b/>
      <sz val="10"/>
      <name val="Arial"/>
      <family val="2"/>
    </font>
    <font>
      <sz val="10"/>
      <color indexed="12"/>
      <name val="Arial"/>
      <family val="2"/>
    </font>
    <font>
      <b/>
      <i/>
      <sz val="10"/>
      <name val="Arial"/>
      <family val="2"/>
    </font>
    <font>
      <b/>
      <i/>
      <sz val="18"/>
      <name val="Arial"/>
      <family val="2"/>
    </font>
    <font>
      <sz val="10"/>
      <color indexed="61"/>
      <name val="Arial"/>
      <family val="2"/>
    </font>
    <font>
      <b/>
      <sz val="10"/>
      <color indexed="17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165" fontId="0" fillId="0" borderId="0" xfId="0" applyNumberFormat="1"/>
    <xf numFmtId="0" fontId="1" fillId="0" borderId="0" xfId="0" applyFont="1"/>
    <xf numFmtId="1" fontId="0" fillId="0" borderId="0" xfId="0" applyNumberFormat="1"/>
    <xf numFmtId="0" fontId="2" fillId="0" borderId="1" xfId="0" applyFont="1" applyBorder="1" applyAlignment="1">
      <alignment horizontal="centerContinuous"/>
    </xf>
    <xf numFmtId="0" fontId="0" fillId="0" borderId="2" xfId="0" applyBorder="1" applyAlignment="1">
      <alignment horizontal="centerContinuous"/>
    </xf>
    <xf numFmtId="0" fontId="0" fillId="0" borderId="3" xfId="0" applyBorder="1" applyAlignment="1">
      <alignment horizontal="centerContinuous"/>
    </xf>
    <xf numFmtId="0" fontId="2" fillId="0" borderId="0" xfId="0" applyFont="1" applyBorder="1" applyAlignment="1">
      <alignment horizontal="centerContinuous"/>
    </xf>
    <xf numFmtId="0" fontId="0" fillId="0" borderId="0" xfId="0" applyBorder="1" applyAlignment="1">
      <alignment horizontal="centerContinuous"/>
    </xf>
    <xf numFmtId="0" fontId="2" fillId="0" borderId="2" xfId="0" applyFont="1" applyBorder="1" applyAlignment="1">
      <alignment horizontal="centerContinuous"/>
    </xf>
    <xf numFmtId="0" fontId="2" fillId="0" borderId="3" xfId="0" applyFont="1" applyBorder="1" applyAlignment="1">
      <alignment horizontal="centerContinuous"/>
    </xf>
    <xf numFmtId="165" fontId="3" fillId="0" borderId="0" xfId="0" applyNumberFormat="1" applyFont="1"/>
    <xf numFmtId="10" fontId="3" fillId="0" borderId="0" xfId="0" applyNumberFormat="1" applyFont="1"/>
    <xf numFmtId="9" fontId="3" fillId="0" borderId="0" xfId="0" applyNumberFormat="1" applyFont="1"/>
    <xf numFmtId="14" fontId="3" fillId="0" borderId="0" xfId="0" applyNumberFormat="1" applyFont="1"/>
    <xf numFmtId="0" fontId="4" fillId="0" borderId="0" xfId="0" applyFont="1"/>
    <xf numFmtId="0" fontId="5" fillId="0" borderId="0" xfId="0" applyFont="1"/>
    <xf numFmtId="0" fontId="5" fillId="2" borderId="0" xfId="0" applyFont="1" applyFill="1"/>
    <xf numFmtId="0" fontId="0" fillId="2" borderId="0" xfId="0" applyFill="1"/>
    <xf numFmtId="0" fontId="5" fillId="0" borderId="4" xfId="0" applyFont="1" applyBorder="1"/>
    <xf numFmtId="0" fontId="0" fillId="0" borderId="4" xfId="0" applyBorder="1"/>
    <xf numFmtId="165" fontId="6" fillId="0" borderId="0" xfId="0" applyNumberFormat="1" applyFont="1"/>
    <xf numFmtId="165" fontId="7" fillId="0" borderId="0" xfId="0" applyNumberFormat="1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9"/>
  <sheetViews>
    <sheetView tabSelected="1" topLeftCell="A14" workbookViewId="0">
      <selection activeCell="E38" sqref="E38"/>
    </sheetView>
  </sheetViews>
  <sheetFormatPr defaultRowHeight="12.5" x14ac:dyDescent="0.25"/>
  <cols>
    <col min="4" max="4" width="16.7265625" customWidth="1"/>
    <col min="5" max="5" width="13.453125" bestFit="1" customWidth="1"/>
    <col min="9" max="9" width="20.7265625" customWidth="1"/>
    <col min="10" max="10" width="14" customWidth="1"/>
  </cols>
  <sheetData>
    <row r="1" spans="1:10" ht="22.5" x14ac:dyDescent="0.45">
      <c r="A1" s="16" t="s">
        <v>26</v>
      </c>
    </row>
    <row r="2" spans="1:10" s="18" customFormat="1" ht="3" customHeight="1" x14ac:dyDescent="0.45">
      <c r="A2" s="17"/>
    </row>
    <row r="3" spans="1:10" s="20" customFormat="1" ht="3" customHeight="1" x14ac:dyDescent="0.45">
      <c r="A3" s="19"/>
    </row>
    <row r="4" spans="1:10" ht="22.5" x14ac:dyDescent="0.45">
      <c r="A4" s="16"/>
    </row>
    <row r="6" spans="1:10" ht="13" x14ac:dyDescent="0.3">
      <c r="B6" s="4" t="s">
        <v>0</v>
      </c>
      <c r="C6" s="9"/>
      <c r="D6" s="9"/>
      <c r="E6" s="9"/>
      <c r="F6" s="9"/>
      <c r="G6" s="9"/>
      <c r="H6" s="9"/>
      <c r="I6" s="9"/>
      <c r="J6" s="10"/>
    </row>
    <row r="7" spans="1:10" ht="13" x14ac:dyDescent="0.3">
      <c r="B7" s="7"/>
      <c r="C7" s="7"/>
      <c r="D7" s="7"/>
      <c r="E7" s="7"/>
      <c r="F7" s="7"/>
      <c r="G7" s="7"/>
      <c r="H7" s="7"/>
      <c r="I7" s="7"/>
      <c r="J7" s="7"/>
    </row>
    <row r="8" spans="1:10" x14ac:dyDescent="0.25">
      <c r="B8" t="s">
        <v>1</v>
      </c>
      <c r="F8" s="11">
        <v>60000</v>
      </c>
      <c r="H8" t="s">
        <v>3</v>
      </c>
      <c r="J8" s="14">
        <v>37499</v>
      </c>
    </row>
    <row r="9" spans="1:10" x14ac:dyDescent="0.25">
      <c r="B9" t="s">
        <v>2</v>
      </c>
      <c r="F9" s="11">
        <v>100000</v>
      </c>
      <c r="H9" t="s">
        <v>3</v>
      </c>
      <c r="J9" s="14">
        <v>38230</v>
      </c>
    </row>
    <row r="10" spans="1:10" x14ac:dyDescent="0.25">
      <c r="B10" t="s">
        <v>7</v>
      </c>
      <c r="F10" s="11">
        <v>30000</v>
      </c>
      <c r="H10" t="s">
        <v>8</v>
      </c>
      <c r="J10" s="14">
        <v>37865</v>
      </c>
    </row>
    <row r="11" spans="1:10" x14ac:dyDescent="0.25">
      <c r="B11" t="s">
        <v>4</v>
      </c>
      <c r="F11" s="11">
        <v>37800</v>
      </c>
      <c r="H11" t="s">
        <v>5</v>
      </c>
      <c r="J11" s="14">
        <v>37135</v>
      </c>
    </row>
    <row r="12" spans="1:10" x14ac:dyDescent="0.25">
      <c r="B12" t="s">
        <v>6</v>
      </c>
      <c r="F12" s="12">
        <v>6.7500000000000004E-2</v>
      </c>
      <c r="H12" t="s">
        <v>13</v>
      </c>
      <c r="J12" s="14">
        <v>46265</v>
      </c>
    </row>
    <row r="13" spans="1:10" x14ac:dyDescent="0.25">
      <c r="B13" t="s">
        <v>9</v>
      </c>
      <c r="F13" s="12">
        <v>3.7499999999999999E-2</v>
      </c>
    </row>
    <row r="14" spans="1:10" x14ac:dyDescent="0.25">
      <c r="B14" t="s">
        <v>10</v>
      </c>
      <c r="F14" s="12">
        <v>4.9500000000000002E-2</v>
      </c>
    </row>
    <row r="15" spans="1:10" x14ac:dyDescent="0.25">
      <c r="B15" t="s">
        <v>11</v>
      </c>
      <c r="F15" s="13">
        <v>0.15</v>
      </c>
    </row>
    <row r="18" spans="2:10" ht="13" x14ac:dyDescent="0.3">
      <c r="B18" s="4" t="s">
        <v>23</v>
      </c>
      <c r="C18" s="5"/>
      <c r="D18" s="5"/>
      <c r="E18" s="6"/>
      <c r="G18" s="4" t="s">
        <v>24</v>
      </c>
      <c r="H18" s="5"/>
      <c r="I18" s="5"/>
      <c r="J18" s="6"/>
    </row>
    <row r="19" spans="2:10" ht="13" x14ac:dyDescent="0.3">
      <c r="B19" s="7"/>
      <c r="C19" s="8"/>
      <c r="D19" s="8"/>
      <c r="E19" s="8"/>
      <c r="G19" s="7"/>
      <c r="H19" s="8"/>
      <c r="I19" s="8"/>
      <c r="J19" s="8"/>
    </row>
    <row r="20" spans="2:10" ht="13" x14ac:dyDescent="0.3">
      <c r="B20" t="s">
        <v>12</v>
      </c>
      <c r="C20" s="2" t="s">
        <v>14</v>
      </c>
      <c r="G20" t="s">
        <v>22</v>
      </c>
      <c r="H20" s="2" t="s">
        <v>14</v>
      </c>
    </row>
    <row r="22" spans="2:10" x14ac:dyDescent="0.25">
      <c r="C22" t="s">
        <v>15</v>
      </c>
      <c r="E22" s="3">
        <f>+YEAR(J$12)-YEAR(J$8)+1</f>
        <v>25</v>
      </c>
      <c r="H22" t="s">
        <v>15</v>
      </c>
      <c r="J22" s="3">
        <f>+YEAR(J$12)-YEAR(J$8)+1</f>
        <v>25</v>
      </c>
    </row>
    <row r="23" spans="2:10" x14ac:dyDescent="0.25">
      <c r="C23" t="s">
        <v>16</v>
      </c>
      <c r="E23" s="1">
        <f>+(F$8/F$12)*(1-(1/(1+F$12)^E$22))</f>
        <v>715248.64581385092</v>
      </c>
      <c r="H23" t="s">
        <v>16</v>
      </c>
      <c r="J23" s="1">
        <f>+(F$8/(F$12-F$13))*(1-((1+F$13)/(1+F$12))^J$22)</f>
        <v>1019301.4394746631</v>
      </c>
    </row>
    <row r="24" spans="2:10" ht="13" x14ac:dyDescent="0.3">
      <c r="C24" t="s">
        <v>27</v>
      </c>
      <c r="E24" s="22">
        <f>+F$15*E$23</f>
        <v>107287.29687207764</v>
      </c>
      <c r="H24" t="s">
        <v>27</v>
      </c>
      <c r="J24" s="22">
        <f>+J23*F$15</f>
        <v>152895.21592119947</v>
      </c>
    </row>
    <row r="26" spans="2:10" ht="13" x14ac:dyDescent="0.3">
      <c r="C26" s="2" t="s">
        <v>17</v>
      </c>
      <c r="H26" s="2" t="s">
        <v>17</v>
      </c>
    </row>
    <row r="28" spans="2:10" x14ac:dyDescent="0.25">
      <c r="C28" t="s">
        <v>18</v>
      </c>
      <c r="E28" s="3">
        <f>+YEAR(J$9)-YEAR(J$11)-1</f>
        <v>2</v>
      </c>
      <c r="H28" t="s">
        <v>18</v>
      </c>
      <c r="J28" s="3">
        <f>+YEAR(J$9)-YEAR(J$11)-1</f>
        <v>2</v>
      </c>
    </row>
    <row r="29" spans="2:10" x14ac:dyDescent="0.25">
      <c r="C29" t="s">
        <v>19</v>
      </c>
      <c r="E29" s="3">
        <f>+E$22-E$28</f>
        <v>23</v>
      </c>
      <c r="H29" t="s">
        <v>19</v>
      </c>
      <c r="J29" s="3">
        <f>+E$22-E$28</f>
        <v>23</v>
      </c>
    </row>
    <row r="30" spans="2:10" x14ac:dyDescent="0.25">
      <c r="C30" t="s">
        <v>20</v>
      </c>
      <c r="E30" s="21">
        <f>-F$11-(F$11/(1+F$12))</f>
        <v>-73209.836065573763</v>
      </c>
      <c r="H30" t="s">
        <v>20</v>
      </c>
      <c r="J30" s="1">
        <f>-F$11-(F$11/(1+F$12))</f>
        <v>-73209.836065573763</v>
      </c>
    </row>
    <row r="31" spans="2:10" x14ac:dyDescent="0.25">
      <c r="C31" t="s">
        <v>21</v>
      </c>
      <c r="E31" s="1">
        <f>+((F$9/F$12)*(1-(1/(1+F$12)^E$29)))*(1/(1+F$12)^E$28)</f>
        <v>1010650.8047046241</v>
      </c>
      <c r="H31" t="s">
        <v>21</v>
      </c>
      <c r="J31" s="1">
        <f>+((F$9/(F$12-F$14))*(1-((1+F$14)/(1+F$12))^J$29))*(1/(1+F$12)^J$28)</f>
        <v>1578134.0177463179</v>
      </c>
    </row>
    <row r="32" spans="2:10" x14ac:dyDescent="0.25">
      <c r="C32" t="s">
        <v>25</v>
      </c>
      <c r="E32" s="1">
        <f>+F$10/((1+F$12)^E$28)</f>
        <v>26326.036999051168</v>
      </c>
      <c r="H32" t="s">
        <v>25</v>
      </c>
      <c r="J32" s="1">
        <f>+E32</f>
        <v>26326.036999051168</v>
      </c>
    </row>
    <row r="33" spans="2:10" ht="13" x14ac:dyDescent="0.3">
      <c r="C33" t="s">
        <v>27</v>
      </c>
      <c r="E33" s="22">
        <f>+F$15*E$31+E$30+E32</f>
        <v>104713.82163917102</v>
      </c>
      <c r="H33" t="s">
        <v>27</v>
      </c>
      <c r="J33" s="22">
        <f>+J31*F$15+J30+J32</f>
        <v>189836.30359542507</v>
      </c>
    </row>
    <row r="35" spans="2:10" ht="13" x14ac:dyDescent="0.3">
      <c r="B35" s="15" t="str">
        <f>+"PV on 9/1/2001 of Extra Money Saved"</f>
        <v>PV on 9/1/2001 of Extra Money Saved</v>
      </c>
      <c r="G35" s="15" t="str">
        <f>+"PV on 9/1/2001 of Extra Money Saved"</f>
        <v>PV on 9/1/2001 of Extra Money Saved</v>
      </c>
    </row>
    <row r="36" spans="2:10" ht="13" x14ac:dyDescent="0.3">
      <c r="B36" s="15" t="s">
        <v>28</v>
      </c>
      <c r="E36" s="23">
        <f>+E24-E33</f>
        <v>2573.475232906625</v>
      </c>
      <c r="G36" s="15" t="s">
        <v>29</v>
      </c>
      <c r="J36" s="23">
        <f>+J33-J24</f>
        <v>36941.087674225593</v>
      </c>
    </row>
    <row r="38" spans="2:10" ht="13" x14ac:dyDescent="0.3">
      <c r="B38" s="15" t="str">
        <f>+"FV on 8/31/2026 of Extra Money Saved"</f>
        <v>FV on 8/31/2026 of Extra Money Saved</v>
      </c>
      <c r="E38" s="23">
        <f>+E36*((1+F12)^E22)</f>
        <v>13173.982596723823</v>
      </c>
      <c r="G38" s="15" t="str">
        <f>+"FV on 8/31/2026 of Extra Money Saved"</f>
        <v>FV on 8/31/2026 of Extra Money Saved</v>
      </c>
      <c r="J38" s="23">
        <f>+J36*((1+F12)^J22)</f>
        <v>189106.63677716252</v>
      </c>
    </row>
    <row r="39" spans="2:10" ht="13" x14ac:dyDescent="0.3">
      <c r="B39" s="15" t="s">
        <v>28</v>
      </c>
      <c r="G39" s="15" t="s">
        <v>28</v>
      </c>
    </row>
  </sheetData>
  <phoneticPr fontId="0" type="noConversion"/>
  <pageMargins left="0.75" right="0.75" top="0.89" bottom="0.49" header="0.5" footer="0.5"/>
  <pageSetup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Haas School of Business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duggar</dc:creator>
  <cp:lastModifiedBy>Carina Negreanu</cp:lastModifiedBy>
  <cp:lastPrinted>2001-07-26T19:18:46Z</cp:lastPrinted>
  <dcterms:created xsi:type="dcterms:W3CDTF">2001-07-26T18:21:39Z</dcterms:created>
  <dcterms:modified xsi:type="dcterms:W3CDTF">2020-01-27T12:03:19Z</dcterms:modified>
</cp:coreProperties>
</file>