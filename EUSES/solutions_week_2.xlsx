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8BF822-9027-4B3F-963B-E0662F3C0C53}" xr6:coauthVersionLast="45" xr6:coauthVersionMax="45" xr10:uidLastSave="{00000000-0000-0000-0000-000000000000}"/>
  <bookViews>
    <workbookView xWindow="4940" yWindow="4940" windowWidth="28800" windowHeight="15460" activeTab="2"/>
  </bookViews>
  <sheets>
    <sheet name="2.8a" sheetId="1" r:id="rId1"/>
    <sheet name="2.8b" sheetId="2" r:id="rId2"/>
    <sheet name="2.12a" sheetId="3" r:id="rId3"/>
    <sheet name="2.12b" sheetId="4" r:id="rId4"/>
    <sheet name="2.12c" sheetId="5" r:id="rId5"/>
    <sheet name="2.12d" sheetId="6" r:id="rId6"/>
    <sheet name="2.15a" sheetId="7" r:id="rId7"/>
    <sheet name="2.17" sheetId="8" r:id="rId8"/>
    <sheet name="2.18a" sheetId="9" r:id="rId9"/>
    <sheet name="2.18b" sheetId="10" r:id="rId10"/>
    <sheet name="2.18c" sheetId="11" r:id="rId11"/>
    <sheet name="2.81abc" sheetId="12" r:id="rId12"/>
    <sheet name="3.22a" sheetId="13" r:id="rId13"/>
    <sheet name="3.22b" sheetId="14" r:id="rId14"/>
    <sheet name="3.22c" sheetId="15" r:id="rId15"/>
    <sheet name="Optimization" sheetId="16" r:id="rId16"/>
  </sheets>
  <definedNames>
    <definedName name="solver_adj" localSheetId="15" hidden="1">Optimization!$G$8:$G$13</definedName>
    <definedName name="solver_cvg" localSheetId="15" hidden="1">0.0001</definedName>
    <definedName name="solver_drv" localSheetId="15" hidden="1">1</definedName>
    <definedName name="solver_est" localSheetId="15" hidden="1">1</definedName>
    <definedName name="solver_itr" localSheetId="15" hidden="1">100</definedName>
    <definedName name="solver_lhs1" localSheetId="15" hidden="1">Optimization!$I$18</definedName>
    <definedName name="solver_lhs10" localSheetId="15" hidden="1">Optimization!$G$12</definedName>
    <definedName name="solver_lhs11" localSheetId="15" hidden="1">Optimization!$G$13</definedName>
    <definedName name="solver_lhs2" localSheetId="15" hidden="1">Optimization!$I$19</definedName>
    <definedName name="solver_lhs3" localSheetId="15" hidden="1">Optimization!$I$20</definedName>
    <definedName name="solver_lhs4" localSheetId="15" hidden="1">Optimization!$I$21</definedName>
    <definedName name="solver_lhs5" localSheetId="15" hidden="1">Optimization!$I$22</definedName>
    <definedName name="solver_lhs6" localSheetId="15" hidden="1">Optimization!$G$8</definedName>
    <definedName name="solver_lhs7" localSheetId="15" hidden="1">Optimization!$G$9</definedName>
    <definedName name="solver_lhs8" localSheetId="15" hidden="1">Optimization!$G$10</definedName>
    <definedName name="solver_lhs9" localSheetId="15" hidden="1">Optimization!$G$11</definedName>
    <definedName name="solver_lin" localSheetId="15" hidden="1">2</definedName>
    <definedName name="solver_neg" localSheetId="15" hidden="1">2</definedName>
    <definedName name="solver_num" localSheetId="15" hidden="1">11</definedName>
    <definedName name="solver_nwt" localSheetId="15" hidden="1">1</definedName>
    <definedName name="solver_opt" localSheetId="15" hidden="1">Optimization!$J$8</definedName>
    <definedName name="solver_pre" localSheetId="15" hidden="1">0.000001</definedName>
    <definedName name="solver_rel1" localSheetId="15" hidden="1">1</definedName>
    <definedName name="solver_rel10" localSheetId="15" hidden="1">3</definedName>
    <definedName name="solver_rel11" localSheetId="15" hidden="1">3</definedName>
    <definedName name="solver_rel2" localSheetId="15" hidden="1">1</definedName>
    <definedName name="solver_rel3" localSheetId="15" hidden="1">1</definedName>
    <definedName name="solver_rel4" localSheetId="15" hidden="1">1</definedName>
    <definedName name="solver_rel5" localSheetId="15" hidden="1">1</definedName>
    <definedName name="solver_rel6" localSheetId="15" hidden="1">3</definedName>
    <definedName name="solver_rel7" localSheetId="15" hidden="1">3</definedName>
    <definedName name="solver_rel8" localSheetId="15" hidden="1">3</definedName>
    <definedName name="solver_rel9" localSheetId="15" hidden="1">3</definedName>
    <definedName name="solver_rhs1" localSheetId="15" hidden="1">200</definedName>
    <definedName name="solver_rhs10" localSheetId="15" hidden="1">0</definedName>
    <definedName name="solver_rhs11" localSheetId="15" hidden="1">0</definedName>
    <definedName name="solver_rhs2" localSheetId="15" hidden="1">310</definedName>
    <definedName name="solver_rhs3" localSheetId="15" hidden="1">420</definedName>
    <definedName name="solver_rhs4" localSheetId="15" hidden="1">460</definedName>
    <definedName name="solver_rhs5" localSheetId="15" hidden="1">560</definedName>
    <definedName name="solver_rhs6" localSheetId="15" hidden="1">0</definedName>
    <definedName name="solver_rhs7" localSheetId="15" hidden="1">0</definedName>
    <definedName name="solver_rhs8" localSheetId="15" hidden="1">0</definedName>
    <definedName name="solver_rhs9" localSheetId="15" hidden="1">0</definedName>
    <definedName name="solver_scl" localSheetId="15" hidden="1">2</definedName>
    <definedName name="solver_sho" localSheetId="15" hidden="1">2</definedName>
    <definedName name="solver_tim" localSheetId="15" hidden="1">100</definedName>
    <definedName name="solver_tol" localSheetId="15" hidden="1">0.05</definedName>
    <definedName name="solver_typ" localSheetId="15" hidden="1">1</definedName>
    <definedName name="solver_val" localSheetId="15" hidden="1">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8" i="16" l="1"/>
  <c r="I19" i="16"/>
  <c r="I20" i="16"/>
  <c r="I21" i="16"/>
  <c r="I22" i="16"/>
  <c r="E8" i="16"/>
  <c r="J8" i="16" s="1"/>
  <c r="E11" i="16"/>
  <c r="E9" i="16"/>
  <c r="E10" i="16"/>
  <c r="E12" i="16"/>
  <c r="E13" i="16"/>
  <c r="J16" i="15" a="1"/>
  <c r="K18" i="15" s="1"/>
  <c r="L16" i="15"/>
  <c r="J17" i="15"/>
  <c r="K17" i="15"/>
  <c r="L17" i="15"/>
  <c r="J18" i="15"/>
  <c r="J16" i="14" a="1"/>
  <c r="K16" i="14" s="1"/>
  <c r="J21" i="14" s="1" a="1"/>
  <c r="J16" i="14"/>
  <c r="L16" i="14"/>
  <c r="J17" i="14"/>
  <c r="K17" i="14"/>
  <c r="L17" i="14"/>
  <c r="J18" i="14"/>
  <c r="K18" i="14"/>
  <c r="L18" i="14"/>
  <c r="J16" i="13" a="1"/>
  <c r="J16" i="13" s="1"/>
  <c r="B22" i="12" a="1"/>
  <c r="C24" i="12" s="1"/>
  <c r="D22" i="12"/>
  <c r="E22" i="12"/>
  <c r="B23" i="12"/>
  <c r="C23" i="12"/>
  <c r="D23" i="12"/>
  <c r="E23" i="12"/>
  <c r="B24" i="12"/>
  <c r="B15" i="11" a="1"/>
  <c r="B16" i="11" s="1"/>
  <c r="B15" i="10" a="1"/>
  <c r="B15" i="10" s="1"/>
  <c r="B16" i="10"/>
  <c r="C16" i="10"/>
  <c r="B15" i="9" a="1"/>
  <c r="B16" i="9" s="1"/>
  <c r="C15" i="9"/>
  <c r="B20" i="8" a="1"/>
  <c r="B20" i="8" s="1"/>
  <c r="B21" i="8"/>
  <c r="C21" i="8"/>
  <c r="B22" i="8"/>
  <c r="C22" i="8"/>
  <c r="D22" i="8"/>
  <c r="B15" i="7" a="1"/>
  <c r="B15" i="7" s="1"/>
  <c r="B16" i="7"/>
  <c r="C16" i="7"/>
  <c r="B15" i="6" a="1"/>
  <c r="D15" i="6" s="1"/>
  <c r="C15" i="6"/>
  <c r="B15" i="5" a="1"/>
  <c r="B15" i="5" s="1"/>
  <c r="B15" i="4" a="1"/>
  <c r="B15" i="4" s="1"/>
  <c r="B16" i="4"/>
  <c r="C16" i="4"/>
  <c r="D16" i="4"/>
  <c r="B17" i="4"/>
  <c r="C17" i="4"/>
  <c r="D17" i="4"/>
  <c r="B15" i="3" a="1"/>
  <c r="C16" i="3" s="1"/>
  <c r="C15" i="3"/>
  <c r="B16" i="3"/>
  <c r="B13" i="1" a="1"/>
  <c r="B13" i="1" s="1"/>
  <c r="J23" i="14" l="1"/>
  <c r="J21" i="14"/>
  <c r="J22" i="14"/>
  <c r="C15" i="7"/>
  <c r="C15" i="10"/>
  <c r="K16" i="15"/>
  <c r="C22" i="12"/>
  <c r="D15" i="4"/>
  <c r="C15" i="11"/>
  <c r="L18" i="13"/>
  <c r="C15" i="4"/>
  <c r="D21" i="8"/>
  <c r="B15" i="11"/>
  <c r="K18" i="13"/>
  <c r="B15" i="6"/>
  <c r="L17" i="13"/>
  <c r="B14" i="1"/>
  <c r="B18" i="5"/>
  <c r="D20" i="8"/>
  <c r="D25" i="12"/>
  <c r="K17" i="13"/>
  <c r="C16" i="11"/>
  <c r="E25" i="12"/>
  <c r="B17" i="5"/>
  <c r="C20" i="8"/>
  <c r="C25" i="12"/>
  <c r="J17" i="13"/>
  <c r="B15" i="9"/>
  <c r="J16" i="15"/>
  <c r="B16" i="5"/>
  <c r="B25" i="12"/>
  <c r="L16" i="13"/>
  <c r="B22" i="12"/>
  <c r="J18" i="13"/>
  <c r="C17" i="3"/>
  <c r="E24" i="12"/>
  <c r="K16" i="13"/>
  <c r="J21" i="13" s="1" a="1"/>
  <c r="C16" i="9"/>
  <c r="D24" i="12"/>
  <c r="L18" i="15"/>
  <c r="B15" i="3"/>
  <c r="B17" i="3"/>
  <c r="J23" i="13" l="1"/>
  <c r="J22" i="13"/>
  <c r="J21" i="13"/>
  <c r="J21" i="15" a="1"/>
  <c r="J21" i="15" l="1"/>
  <c r="J22" i="15"/>
  <c r="J23" i="15"/>
</calcChain>
</file>

<file path=xl/sharedStrings.xml><?xml version="1.0" encoding="utf-8"?>
<sst xmlns="http://schemas.openxmlformats.org/spreadsheetml/2006/main" count="169" uniqueCount="82">
  <si>
    <t>BOSTON COLLEGE</t>
  </si>
  <si>
    <t>MF-852 Financial Econometrics</t>
  </si>
  <si>
    <t>2nd Homework SCHAUM  pp 45</t>
  </si>
  <si>
    <t>A =</t>
  </si>
  <si>
    <t>A</t>
  </si>
  <si>
    <t>B</t>
  </si>
  <si>
    <r>
      <t xml:space="preserve">Find: </t>
    </r>
    <r>
      <rPr>
        <i/>
        <sz val="10"/>
        <rFont val="Arial"/>
        <family val="2"/>
      </rPr>
      <t>AB</t>
    </r>
  </si>
  <si>
    <t>AB=</t>
  </si>
  <si>
    <t>2nd Homework SCHAUM  pp 46</t>
  </si>
  <si>
    <t>TRANSPOSE</t>
  </si>
  <si>
    <t>A=</t>
  </si>
  <si>
    <t>A'=</t>
  </si>
  <si>
    <t>B=</t>
  </si>
  <si>
    <t>B'=</t>
  </si>
  <si>
    <t>C=</t>
  </si>
  <si>
    <t>C'=</t>
  </si>
  <si>
    <t>D=</t>
  </si>
  <si>
    <t>D'=</t>
  </si>
  <si>
    <t>2nd Homework SCHAUM  pp 47</t>
  </si>
  <si>
    <r>
      <t>A</t>
    </r>
    <r>
      <rPr>
        <i/>
        <vertAlign val="superscript"/>
        <sz val="10"/>
        <rFont val="Arial"/>
        <family val="2"/>
      </rPr>
      <t xml:space="preserve">2 </t>
    </r>
    <r>
      <rPr>
        <i/>
        <sz val="10"/>
        <rFont val="Arial"/>
        <family val="2"/>
      </rPr>
      <t>=</t>
    </r>
  </si>
  <si>
    <t>Show that A and B are inverses</t>
  </si>
  <si>
    <t>B =</t>
  </si>
  <si>
    <t>AB =</t>
  </si>
  <si>
    <t>=</t>
  </si>
  <si>
    <t>I</t>
  </si>
  <si>
    <r>
      <t>AB</t>
    </r>
    <r>
      <rPr>
        <sz val="10"/>
        <rFont val="Arial"/>
      </rPr>
      <t xml:space="preserve"> is an identity matrix, thus </t>
    </r>
    <r>
      <rPr>
        <i/>
        <sz val="10"/>
        <rFont val="Arial"/>
        <family val="2"/>
      </rPr>
      <t>AB</t>
    </r>
    <r>
      <rPr>
        <sz val="10"/>
        <rFont val="Arial"/>
      </rPr>
      <t xml:space="preserve"> equal 1. Consequently</t>
    </r>
    <r>
      <rPr>
        <i/>
        <sz val="10"/>
        <rFont val="Arial"/>
        <family val="2"/>
      </rPr>
      <t xml:space="preserve"> A</t>
    </r>
    <r>
      <rPr>
        <sz val="10"/>
        <rFont val="Arial"/>
      </rPr>
      <t xml:space="preserve"> and</t>
    </r>
    <r>
      <rPr>
        <i/>
        <sz val="10"/>
        <rFont val="Arial"/>
        <family val="2"/>
      </rPr>
      <t xml:space="preserve"> B</t>
    </r>
    <r>
      <rPr>
        <sz val="10"/>
        <rFont val="Arial"/>
      </rPr>
      <t xml:space="preserve"> are inverse</t>
    </r>
  </si>
  <si>
    <t>2nd Homework SCHAUM  pp 48</t>
  </si>
  <si>
    <t>Find the inverse, if possible, of each matrix</t>
  </si>
  <si>
    <r>
      <t>A</t>
    </r>
    <r>
      <rPr>
        <i/>
        <vertAlign val="superscript"/>
        <sz val="10"/>
        <rFont val="Arial"/>
        <family val="2"/>
      </rPr>
      <t>-1</t>
    </r>
    <r>
      <rPr>
        <i/>
        <sz val="10"/>
        <rFont val="Arial"/>
        <family val="2"/>
      </rPr>
      <t xml:space="preserve"> = </t>
    </r>
  </si>
  <si>
    <r>
      <t>B</t>
    </r>
    <r>
      <rPr>
        <i/>
        <vertAlign val="superscript"/>
        <sz val="10"/>
        <rFont val="Arial"/>
        <family val="2"/>
      </rPr>
      <t>-1</t>
    </r>
    <r>
      <rPr>
        <i/>
        <sz val="10"/>
        <rFont val="Arial"/>
        <family val="2"/>
      </rPr>
      <t xml:space="preserve"> = </t>
    </r>
  </si>
  <si>
    <r>
      <t>C</t>
    </r>
    <r>
      <rPr>
        <i/>
        <vertAlign val="superscript"/>
        <sz val="10"/>
        <rFont val="Arial"/>
        <family val="2"/>
      </rPr>
      <t>-1</t>
    </r>
    <r>
      <rPr>
        <i/>
        <sz val="10"/>
        <rFont val="Arial"/>
        <family val="2"/>
      </rPr>
      <t xml:space="preserve"> = </t>
    </r>
  </si>
  <si>
    <t>2nd Homework SCHAUM  pp 56</t>
  </si>
  <si>
    <t>a) Find UV using block multiplication</t>
  </si>
  <si>
    <t>U=</t>
  </si>
  <si>
    <t>V=</t>
  </si>
  <si>
    <t>UV</t>
  </si>
  <si>
    <t>b) Are U and V block diagonal matrices? NO</t>
  </si>
  <si>
    <t>c) Is UV a block diagonal? YES</t>
  </si>
  <si>
    <t>2nd Homework SCHAUM  pp 100</t>
  </si>
  <si>
    <t>Solve the following systems</t>
  </si>
  <si>
    <t>x</t>
  </si>
  <si>
    <t>y</t>
  </si>
  <si>
    <t>z</t>
  </si>
  <si>
    <t>Ax = C</t>
  </si>
  <si>
    <r>
      <t>A. 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. x = 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. C</t>
    </r>
  </si>
  <si>
    <r>
      <t>x   = 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. C</t>
    </r>
  </si>
  <si>
    <t>X =</t>
  </si>
  <si>
    <t>C =</t>
  </si>
  <si>
    <r>
      <t>A</t>
    </r>
    <r>
      <rPr>
        <vertAlign val="superscript"/>
        <sz val="10"/>
        <rFont val="Arial"/>
        <family val="2"/>
      </rPr>
      <t xml:space="preserve">-1 </t>
    </r>
    <r>
      <rPr>
        <sz val="10"/>
        <rFont val="Arial"/>
        <family val="2"/>
      </rPr>
      <t>=</t>
    </r>
  </si>
  <si>
    <r>
      <t>A</t>
    </r>
    <r>
      <rPr>
        <vertAlign val="superscript"/>
        <sz val="10"/>
        <rFont val="Arial"/>
        <family val="2"/>
      </rPr>
      <t>-1</t>
    </r>
    <r>
      <rPr>
        <sz val="10"/>
        <rFont val="Arial"/>
      </rPr>
      <t xml:space="preserve"> C =</t>
    </r>
  </si>
  <si>
    <t>x + 3y +z = 5</t>
  </si>
  <si>
    <t>x + 2y - z = 3</t>
  </si>
  <si>
    <t>3x +8y + 4z = 17</t>
  </si>
  <si>
    <t>x - 2y  +4z = 2</t>
  </si>
  <si>
    <t>2x - 3y +5z = 3</t>
  </si>
  <si>
    <t>3x - 4y + 6z = 7</t>
  </si>
  <si>
    <t>x + y  +3z = 1</t>
  </si>
  <si>
    <t>2x + 3y -z = 3</t>
  </si>
  <si>
    <t>5x + 7y +z = 7</t>
  </si>
  <si>
    <t>Plants</t>
  </si>
  <si>
    <t>A S1</t>
  </si>
  <si>
    <t>A S2</t>
  </si>
  <si>
    <t>A S3</t>
  </si>
  <si>
    <t>B S1</t>
  </si>
  <si>
    <t>B S2</t>
  </si>
  <si>
    <t>B S3</t>
  </si>
  <si>
    <t>Cost</t>
  </si>
  <si>
    <t>Price</t>
  </si>
  <si>
    <t>Profit</t>
  </si>
  <si>
    <t>Objective Function</t>
  </si>
  <si>
    <t>CONSTRAINTS B</t>
  </si>
  <si>
    <t>Bx</t>
  </si>
  <si>
    <t>Ton (x)</t>
  </si>
  <si>
    <t>A has no inverse because</t>
  </si>
  <si>
    <t>Row 3 = 2xRow 2 + Row 1</t>
  </si>
  <si>
    <t xml:space="preserve">so Row 3 does not add any </t>
  </si>
  <si>
    <t>new information</t>
  </si>
  <si>
    <t xml:space="preserve">(More precisely, one of the rows </t>
  </si>
  <si>
    <t>Row 1 = 2xRow 2 - Row 3</t>
  </si>
  <si>
    <t>is redundant, we could have made a similar</t>
  </si>
  <si>
    <t>statement about Row 2, etc.)</t>
  </si>
  <si>
    <t>col. 2 = -3 x col 1, so no new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</si>
</sst>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vertAlign val="superscript"/>
      <sz val="10"/>
      <name val="Arial"/>
      <family val="2"/>
    </font>
    <font>
      <i/>
      <sz val="10"/>
      <name val="Comic Sans MS"/>
      <family val="4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0" fillId="0" borderId="0" xfId="0" applyAlignment="1"/>
    <xf numFmtId="0" fontId="0" fillId="2" borderId="0" xfId="0" applyFill="1" applyAlignment="1"/>
    <xf numFmtId="0" fontId="8" fillId="2" borderId="0" xfId="0" applyFont="1" applyFill="1" applyAlignment="1">
      <alignment horizontal="center"/>
    </xf>
    <xf numFmtId="2" fontId="0" fillId="2" borderId="0" xfId="0" applyNumberFormat="1" applyFill="1"/>
    <xf numFmtId="0" fontId="5" fillId="2" borderId="0" xfId="0" applyFont="1" applyFill="1"/>
    <xf numFmtId="0" fontId="1" fillId="2" borderId="0" xfId="0" applyFont="1" applyFill="1"/>
    <xf numFmtId="0" fontId="11" fillId="2" borderId="0" xfId="0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0" fillId="0" borderId="0" xfId="0" applyAlignment="1"/>
    <xf numFmtId="0" fontId="6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/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1790700</xdr:colOff>
      <xdr:row>11</xdr:row>
      <xdr:rowOff>63500</xdr:rowOff>
    </xdr:from>
    <xdr:to>
      <xdr:col>6</xdr:col>
      <xdr:colOff>330200</xdr:colOff>
      <xdr:row>14</xdr:row>
      <xdr:rowOff>120650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1FDE82C8-8060-4814-85BE-B6A0036C5B66}"/>
            </a:ext>
          </a:extLst>
        </xdr:cNvPr>
        <xdr:cNvSpPr txBox="1">
          <a:spLocks noChangeArrowheads="1"/>
        </xdr:cNvSpPr>
      </xdr:nvSpPr>
      <xdr:spPr bwMode="auto">
        <a:xfrm>
          <a:off x="1790700" y="1822450"/>
          <a:ext cx="1778000" cy="539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Not defined. First factor is a 2x1 and the second factor is 2x2.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1485900</xdr:colOff>
      <xdr:row>9</xdr:row>
      <xdr:rowOff>69850</xdr:rowOff>
    </xdr:from>
    <xdr:to>
      <xdr:col>0</xdr:col>
      <xdr:colOff>1593850</xdr:colOff>
      <xdr:row>12</xdr:row>
      <xdr:rowOff>25400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0512F9A9-5C31-49E8-9C18-B4DAEBF5F063}"/>
            </a:ext>
          </a:extLst>
        </xdr:cNvPr>
        <xdr:cNvSpPr>
          <a:spLocks/>
        </xdr:cNvSpPr>
      </xdr:nvSpPr>
      <xdr:spPr bwMode="auto">
        <a:xfrm>
          <a:off x="1485900" y="1504950"/>
          <a:ext cx="107950" cy="501650"/>
        </a:xfrm>
        <a:prstGeom prst="rightBrace">
          <a:avLst>
            <a:gd name="adj1" fmla="val 38725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1485900</xdr:colOff>
      <xdr:row>9</xdr:row>
      <xdr:rowOff>69850</xdr:rowOff>
    </xdr:from>
    <xdr:to>
      <xdr:col>0</xdr:col>
      <xdr:colOff>1593850</xdr:colOff>
      <xdr:row>12</xdr:row>
      <xdr:rowOff>25400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472E00E3-0066-4C1E-A0C8-07C1302E1DA0}"/>
            </a:ext>
          </a:extLst>
        </xdr:cNvPr>
        <xdr:cNvSpPr>
          <a:spLocks/>
        </xdr:cNvSpPr>
      </xdr:nvSpPr>
      <xdr:spPr bwMode="auto">
        <a:xfrm>
          <a:off x="1485900" y="1504950"/>
          <a:ext cx="107950" cy="501650"/>
        </a:xfrm>
        <a:prstGeom prst="rightBrace">
          <a:avLst>
            <a:gd name="adj1" fmla="val 38725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1485900</xdr:colOff>
      <xdr:row>9</xdr:row>
      <xdr:rowOff>69850</xdr:rowOff>
    </xdr:from>
    <xdr:to>
      <xdr:col>0</xdr:col>
      <xdr:colOff>1593850</xdr:colOff>
      <xdr:row>12</xdr:row>
      <xdr:rowOff>25400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7C308DC4-3281-4FF7-B2BE-0B4B3C6D2F65}"/>
            </a:ext>
          </a:extLst>
        </xdr:cNvPr>
        <xdr:cNvSpPr>
          <a:spLocks/>
        </xdr:cNvSpPr>
      </xdr:nvSpPr>
      <xdr:spPr bwMode="auto">
        <a:xfrm>
          <a:off x="1485900" y="1504950"/>
          <a:ext cx="107950" cy="501650"/>
        </a:xfrm>
        <a:prstGeom prst="rightBrace">
          <a:avLst>
            <a:gd name="adj1" fmla="val 38725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4"/>
  <sheetViews>
    <sheetView workbookViewId="0">
      <selection activeCell="B23" sqref="B23"/>
    </sheetView>
  </sheetViews>
  <sheetFormatPr defaultColWidth="9.1796875" defaultRowHeight="12.5" x14ac:dyDescent="0.25"/>
  <cols>
    <col min="1" max="1" width="27.81640625" style="1" bestFit="1" customWidth="1"/>
    <col min="2" max="2" width="3.54296875" style="1" bestFit="1" customWidth="1"/>
    <col min="3" max="3" width="2" style="1" bestFit="1" customWidth="1"/>
    <col min="4" max="4" width="4.7265625" style="1" customWidth="1"/>
    <col min="5" max="5" width="2.54296875" style="1" bestFit="1" customWidth="1"/>
    <col min="6" max="6" width="4.26953125" style="1" customWidth="1"/>
    <col min="7" max="7" width="5.26953125" style="1" customWidth="1"/>
    <col min="8" max="16384" width="9.1796875" style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6" spans="1:5" x14ac:dyDescent="0.25">
      <c r="A6" s="1" t="s">
        <v>2</v>
      </c>
    </row>
    <row r="9" spans="1:5" ht="13" x14ac:dyDescent="0.3">
      <c r="A9" s="1" t="s">
        <v>6</v>
      </c>
      <c r="B9" s="17" t="s">
        <v>4</v>
      </c>
      <c r="C9" s="17"/>
      <c r="D9" s="4"/>
      <c r="E9" s="7" t="s">
        <v>5</v>
      </c>
    </row>
    <row r="10" spans="1:5" ht="13" x14ac:dyDescent="0.3">
      <c r="A10" s="2"/>
      <c r="B10" s="1">
        <v>1</v>
      </c>
      <c r="C10" s="1">
        <v>6</v>
      </c>
      <c r="E10" s="1">
        <v>2</v>
      </c>
    </row>
    <row r="11" spans="1:5" x14ac:dyDescent="0.25">
      <c r="B11" s="1">
        <v>-3</v>
      </c>
      <c r="C11" s="1">
        <v>5</v>
      </c>
      <c r="E11" s="1">
        <v>-7</v>
      </c>
    </row>
    <row r="13" spans="1:5" ht="13" x14ac:dyDescent="0.3">
      <c r="A13" s="6" t="s">
        <v>7</v>
      </c>
      <c r="B13" s="4">
        <f t="array" ref="B13:B14">MMULT(B10:C11,E10:E11)</f>
        <v>-40</v>
      </c>
    </row>
    <row r="14" spans="1:5" ht="13" x14ac:dyDescent="0.3">
      <c r="A14" s="4"/>
      <c r="B14" s="4">
        <v>-41</v>
      </c>
    </row>
  </sheetData>
  <mergeCells count="1">
    <mergeCell ref="B9:C9"/>
  </mergeCell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13"/>
  <sheetViews>
    <sheetView workbookViewId="0">
      <selection activeCell="A4" sqref="A4"/>
    </sheetView>
  </sheetViews>
  <sheetFormatPr defaultColWidth="9.1796875" defaultRowHeight="12.5" x14ac:dyDescent="0.25"/>
  <cols>
    <col min="1" max="1" width="27.81640625" style="1" bestFit="1" customWidth="1"/>
    <col min="2" max="2" width="2.54296875" style="1" bestFit="1" customWidth="1"/>
    <col min="3" max="3" width="4.453125" style="1" customWidth="1"/>
    <col min="4" max="4" width="4.7265625" style="1" customWidth="1"/>
    <col min="5" max="5" width="2.54296875" style="1" bestFit="1" customWidth="1"/>
    <col min="6" max="6" width="4.26953125" style="1" customWidth="1"/>
    <col min="7" max="7" width="5.26953125" style="1" customWidth="1"/>
    <col min="8" max="16384" width="9.1796875" style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6" spans="1:5" x14ac:dyDescent="0.25">
      <c r="A6" s="1" t="s">
        <v>2</v>
      </c>
    </row>
    <row r="8" spans="1:5" ht="13" x14ac:dyDescent="0.3">
      <c r="A8" s="4"/>
      <c r="B8" s="7" t="s">
        <v>4</v>
      </c>
      <c r="C8" s="4"/>
      <c r="D8" s="17" t="s">
        <v>5</v>
      </c>
      <c r="E8" s="17"/>
    </row>
    <row r="9" spans="1:5" ht="13" x14ac:dyDescent="0.3">
      <c r="A9" s="1" t="s">
        <v>6</v>
      </c>
      <c r="B9" s="1">
        <v>2</v>
      </c>
      <c r="D9" s="1">
        <v>1</v>
      </c>
      <c r="E9" s="1">
        <v>6</v>
      </c>
    </row>
    <row r="10" spans="1:5" x14ac:dyDescent="0.25">
      <c r="B10" s="1">
        <v>-7</v>
      </c>
      <c r="D10" s="1">
        <v>-3</v>
      </c>
      <c r="E10" s="1">
        <v>5</v>
      </c>
    </row>
    <row r="13" spans="1:5" ht="13" x14ac:dyDescent="0.3">
      <c r="A13" s="6" t="s">
        <v>7</v>
      </c>
    </row>
  </sheetData>
  <mergeCells count="1">
    <mergeCell ref="D8:E8"/>
  </mergeCells>
  <phoneticPr fontId="2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7"/>
  <sheetViews>
    <sheetView tabSelected="1" workbookViewId="0">
      <selection activeCell="A4" sqref="A4"/>
    </sheetView>
  </sheetViews>
  <sheetFormatPr defaultColWidth="9.1796875" defaultRowHeight="12.5" x14ac:dyDescent="0.25"/>
  <cols>
    <col min="1" max="1" width="27.81640625" style="1" bestFit="1" customWidth="1"/>
    <col min="2" max="2" width="8.453125" style="1" bestFit="1" customWidth="1"/>
    <col min="3" max="3" width="4.453125" style="1" customWidth="1"/>
    <col min="4" max="4" width="4.7265625" style="1" customWidth="1"/>
    <col min="5" max="5" width="2.54296875" style="1" bestFit="1" customWidth="1"/>
    <col min="6" max="6" width="4.26953125" style="1" customWidth="1"/>
    <col min="7" max="7" width="5.26953125" style="1" customWidth="1"/>
    <col min="8" max="16384" width="9.1796875" style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6" spans="1:5" x14ac:dyDescent="0.25">
      <c r="A6" s="1" t="s">
        <v>8</v>
      </c>
    </row>
    <row r="8" spans="1:5" ht="13" x14ac:dyDescent="0.3">
      <c r="B8" s="18"/>
      <c r="C8" s="18"/>
      <c r="D8" s="17"/>
      <c r="E8" s="17"/>
    </row>
    <row r="9" spans="1:5" x14ac:dyDescent="0.25">
      <c r="A9" s="1" t="s">
        <v>9</v>
      </c>
    </row>
    <row r="11" spans="1:5" x14ac:dyDescent="0.25">
      <c r="A11" s="19" t="s">
        <v>10</v>
      </c>
      <c r="B11" s="1">
        <v>1</v>
      </c>
      <c r="C11" s="1">
        <v>-2</v>
      </c>
      <c r="D11" s="1">
        <v>3</v>
      </c>
    </row>
    <row r="12" spans="1:5" x14ac:dyDescent="0.25">
      <c r="A12" s="19"/>
      <c r="B12" s="1">
        <v>7</v>
      </c>
      <c r="C12" s="1">
        <v>8</v>
      </c>
      <c r="D12" s="1">
        <v>-9</v>
      </c>
    </row>
    <row r="14" spans="1:5" ht="13" x14ac:dyDescent="0.3">
      <c r="A14" s="6"/>
      <c r="B14" s="4"/>
      <c r="C14" s="4"/>
    </row>
    <row r="15" spans="1:5" x14ac:dyDescent="0.25">
      <c r="A15" s="19" t="s">
        <v>11</v>
      </c>
      <c r="B15" s="1">
        <f t="array" ref="B15:C17">TRANSPOSE(B11:D12)</f>
        <v>1</v>
      </c>
      <c r="C15" s="1">
        <v>7</v>
      </c>
    </row>
    <row r="16" spans="1:5" x14ac:dyDescent="0.25">
      <c r="A16" s="19"/>
      <c r="B16" s="1">
        <v>-2</v>
      </c>
      <c r="C16" s="1">
        <v>8</v>
      </c>
    </row>
    <row r="17" spans="2:3" x14ac:dyDescent="0.25">
      <c r="B17" s="1">
        <v>3</v>
      </c>
      <c r="C17" s="1">
        <v>-9</v>
      </c>
    </row>
  </sheetData>
  <mergeCells count="4">
    <mergeCell ref="D8:E8"/>
    <mergeCell ref="B8:C8"/>
    <mergeCell ref="A11:A12"/>
    <mergeCell ref="A15:A16"/>
  </mergeCells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7"/>
  <sheetViews>
    <sheetView workbookViewId="0">
      <selection activeCell="A4" sqref="A4"/>
    </sheetView>
  </sheetViews>
  <sheetFormatPr defaultColWidth="9.1796875" defaultRowHeight="12.5" x14ac:dyDescent="0.25"/>
  <cols>
    <col min="1" max="1" width="27.81640625" style="1" bestFit="1" customWidth="1"/>
    <col min="2" max="2" width="8.453125" style="1" bestFit="1" customWidth="1"/>
    <col min="3" max="3" width="4.453125" style="1" customWidth="1"/>
    <col min="4" max="4" width="4.7265625" style="1" customWidth="1"/>
    <col min="5" max="5" width="2.54296875" style="1" bestFit="1" customWidth="1"/>
    <col min="6" max="6" width="4.26953125" style="1" customWidth="1"/>
    <col min="7" max="7" width="5.26953125" style="1" customWidth="1"/>
    <col min="8" max="16384" width="9.1796875" style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6" spans="1:5" x14ac:dyDescent="0.25">
      <c r="A6" s="1" t="s">
        <v>8</v>
      </c>
    </row>
    <row r="8" spans="1:5" ht="13" x14ac:dyDescent="0.3">
      <c r="B8" s="18"/>
      <c r="C8" s="18"/>
      <c r="D8" s="17"/>
      <c r="E8" s="17"/>
    </row>
    <row r="9" spans="1:5" x14ac:dyDescent="0.25">
      <c r="A9" s="1" t="s">
        <v>9</v>
      </c>
    </row>
    <row r="11" spans="1:5" x14ac:dyDescent="0.25">
      <c r="A11" s="19" t="s">
        <v>12</v>
      </c>
      <c r="B11" s="1">
        <v>1</v>
      </c>
      <c r="C11" s="1">
        <v>2</v>
      </c>
      <c r="D11" s="1">
        <v>3</v>
      </c>
    </row>
    <row r="12" spans="1:5" x14ac:dyDescent="0.25">
      <c r="A12" s="19"/>
      <c r="B12" s="1">
        <v>2</v>
      </c>
      <c r="C12" s="1">
        <v>4</v>
      </c>
      <c r="D12" s="1">
        <v>5</v>
      </c>
    </row>
    <row r="13" spans="1:5" x14ac:dyDescent="0.25">
      <c r="B13" s="1">
        <v>3</v>
      </c>
      <c r="C13" s="1">
        <v>5</v>
      </c>
      <c r="D13" s="1">
        <v>6</v>
      </c>
    </row>
    <row r="14" spans="1:5" ht="13" x14ac:dyDescent="0.3">
      <c r="A14" s="6"/>
      <c r="B14" s="4"/>
      <c r="C14" s="4"/>
    </row>
    <row r="15" spans="1:5" x14ac:dyDescent="0.25">
      <c r="A15" s="19" t="s">
        <v>13</v>
      </c>
      <c r="B15" s="1">
        <f t="array" ref="B15:D17">TRANSPOSE(B11:D13)</f>
        <v>1</v>
      </c>
      <c r="C15" s="1">
        <v>2</v>
      </c>
      <c r="D15" s="1">
        <v>3</v>
      </c>
    </row>
    <row r="16" spans="1:5" x14ac:dyDescent="0.25">
      <c r="A16" s="19"/>
      <c r="B16" s="1">
        <v>2</v>
      </c>
      <c r="C16" s="1">
        <v>4</v>
      </c>
      <c r="D16" s="1">
        <v>5</v>
      </c>
    </row>
    <row r="17" spans="2:4" x14ac:dyDescent="0.25">
      <c r="B17" s="1">
        <v>3</v>
      </c>
      <c r="C17" s="1">
        <v>5</v>
      </c>
      <c r="D17" s="1">
        <v>6</v>
      </c>
    </row>
  </sheetData>
  <mergeCells count="4">
    <mergeCell ref="B8:C8"/>
    <mergeCell ref="D8:E8"/>
    <mergeCell ref="A11:A12"/>
    <mergeCell ref="A15:A16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8"/>
  <sheetViews>
    <sheetView workbookViewId="0">
      <selection activeCell="A4" sqref="A4"/>
    </sheetView>
  </sheetViews>
  <sheetFormatPr defaultColWidth="9.1796875" defaultRowHeight="12.5" x14ac:dyDescent="0.25"/>
  <cols>
    <col min="1" max="1" width="27.81640625" style="1" bestFit="1" customWidth="1"/>
    <col min="2" max="2" width="8.453125" style="1" bestFit="1" customWidth="1"/>
    <col min="3" max="3" width="4.453125" style="1" customWidth="1"/>
    <col min="4" max="4" width="4.7265625" style="1" customWidth="1"/>
    <col min="5" max="5" width="2.54296875" style="1" bestFit="1" customWidth="1"/>
    <col min="6" max="6" width="4.26953125" style="1" customWidth="1"/>
    <col min="7" max="7" width="5.26953125" style="1" customWidth="1"/>
    <col min="8" max="16384" width="9.1796875" style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6" spans="1:5" x14ac:dyDescent="0.25">
      <c r="A6" s="1" t="s">
        <v>8</v>
      </c>
    </row>
    <row r="8" spans="1:5" ht="13" x14ac:dyDescent="0.3">
      <c r="B8" s="18"/>
      <c r="C8" s="18"/>
      <c r="D8" s="17"/>
      <c r="E8" s="17"/>
    </row>
    <row r="9" spans="1:5" x14ac:dyDescent="0.25">
      <c r="A9" s="1" t="s">
        <v>9</v>
      </c>
    </row>
    <row r="11" spans="1:5" ht="13" x14ac:dyDescent="0.25">
      <c r="A11" s="9" t="s">
        <v>14</v>
      </c>
      <c r="B11" s="1">
        <v>1</v>
      </c>
      <c r="C11" s="1">
        <v>-3</v>
      </c>
      <c r="D11" s="1">
        <v>5</v>
      </c>
      <c r="E11" s="1">
        <v>-7</v>
      </c>
    </row>
    <row r="12" spans="1:5" ht="13" x14ac:dyDescent="0.25">
      <c r="A12" s="9"/>
    </row>
    <row r="14" spans="1:5" ht="13" x14ac:dyDescent="0.3">
      <c r="A14" s="6"/>
      <c r="B14" s="4"/>
      <c r="C14" s="4"/>
    </row>
    <row r="15" spans="1:5" x14ac:dyDescent="0.25">
      <c r="A15" s="19" t="s">
        <v>15</v>
      </c>
      <c r="B15" s="1">
        <f t="array" ref="B15:B18">TRANSPOSE(B11:E11)</f>
        <v>1</v>
      </c>
    </row>
    <row r="16" spans="1:5" x14ac:dyDescent="0.25">
      <c r="A16" s="19"/>
      <c r="B16" s="1">
        <v>-3</v>
      </c>
    </row>
    <row r="17" spans="2:2" x14ac:dyDescent="0.25">
      <c r="B17" s="1">
        <v>5</v>
      </c>
    </row>
    <row r="18" spans="2:2" x14ac:dyDescent="0.25">
      <c r="B18" s="1">
        <v>-7</v>
      </c>
    </row>
  </sheetData>
  <mergeCells count="3">
    <mergeCell ref="B8:C8"/>
    <mergeCell ref="D8:E8"/>
    <mergeCell ref="A15:A16"/>
  </mergeCells>
  <phoneticPr fontId="3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16"/>
  <sheetViews>
    <sheetView workbookViewId="0">
      <selection activeCell="A4" sqref="A4"/>
    </sheetView>
  </sheetViews>
  <sheetFormatPr defaultColWidth="9.1796875" defaultRowHeight="12.5" x14ac:dyDescent="0.25"/>
  <cols>
    <col min="1" max="1" width="27.81640625" style="1" bestFit="1" customWidth="1"/>
    <col min="2" max="2" width="8.54296875" style="1" bestFit="1" customWidth="1"/>
    <col min="3" max="3" width="4.453125" style="1" customWidth="1"/>
    <col min="4" max="4" width="4.7265625" style="1" customWidth="1"/>
    <col min="5" max="5" width="2.54296875" style="1" bestFit="1" customWidth="1"/>
    <col min="6" max="6" width="4.26953125" style="1" customWidth="1"/>
    <col min="7" max="7" width="5.26953125" style="1" customWidth="1"/>
    <col min="8" max="16384" width="9.1796875" style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6" spans="1:5" x14ac:dyDescent="0.25">
      <c r="A6" s="1" t="s">
        <v>8</v>
      </c>
    </row>
    <row r="8" spans="1:5" ht="13" x14ac:dyDescent="0.3">
      <c r="B8" s="18"/>
      <c r="C8" s="18"/>
      <c r="D8" s="17"/>
      <c r="E8" s="17"/>
    </row>
    <row r="9" spans="1:5" x14ac:dyDescent="0.25">
      <c r="A9" s="1" t="s">
        <v>9</v>
      </c>
    </row>
    <row r="11" spans="1:5" x14ac:dyDescent="0.25">
      <c r="A11" s="19" t="s">
        <v>16</v>
      </c>
      <c r="B11" s="1">
        <v>2</v>
      </c>
    </row>
    <row r="12" spans="1:5" x14ac:dyDescent="0.25">
      <c r="A12" s="20"/>
      <c r="B12" s="1">
        <v>-4</v>
      </c>
    </row>
    <row r="13" spans="1:5" x14ac:dyDescent="0.25">
      <c r="A13" s="20"/>
      <c r="B13" s="1">
        <v>6</v>
      </c>
    </row>
    <row r="14" spans="1:5" ht="13" x14ac:dyDescent="0.3">
      <c r="A14" s="6"/>
      <c r="B14" s="4"/>
      <c r="C14" s="4"/>
    </row>
    <row r="15" spans="1:5" ht="13" x14ac:dyDescent="0.25">
      <c r="A15" s="9" t="s">
        <v>17</v>
      </c>
      <c r="B15" s="1">
        <f t="array" ref="B15:D15">TRANSPOSE(B11:B13)</f>
        <v>2</v>
      </c>
      <c r="C15" s="1">
        <v>-4</v>
      </c>
      <c r="D15" s="1">
        <v>6</v>
      </c>
    </row>
    <row r="16" spans="1:5" ht="13" x14ac:dyDescent="0.25">
      <c r="A16" s="9"/>
    </row>
  </sheetData>
  <mergeCells count="3">
    <mergeCell ref="B8:C8"/>
    <mergeCell ref="D8:E8"/>
    <mergeCell ref="A11:A13"/>
  </mergeCells>
  <phoneticPr fontId="3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16"/>
  <sheetViews>
    <sheetView workbookViewId="0">
      <selection activeCell="A4" sqref="A4"/>
    </sheetView>
  </sheetViews>
  <sheetFormatPr defaultColWidth="9.1796875" defaultRowHeight="12.5" x14ac:dyDescent="0.25"/>
  <cols>
    <col min="1" max="1" width="27.81640625" style="1" bestFit="1" customWidth="1"/>
    <col min="2" max="2" width="8.54296875" style="1" bestFit="1" customWidth="1"/>
    <col min="3" max="3" width="4.453125" style="1" customWidth="1"/>
    <col min="4" max="4" width="4.7265625" style="1" customWidth="1"/>
    <col min="5" max="5" width="2.54296875" style="1" bestFit="1" customWidth="1"/>
    <col min="6" max="6" width="4.26953125" style="1" customWidth="1"/>
    <col min="7" max="7" width="5.26953125" style="1" customWidth="1"/>
    <col min="8" max="16384" width="9.1796875" style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6" spans="1:5" x14ac:dyDescent="0.25">
      <c r="A6" s="1" t="s">
        <v>18</v>
      </c>
    </row>
    <row r="8" spans="1:5" ht="13" x14ac:dyDescent="0.3">
      <c r="B8" s="18"/>
      <c r="C8" s="18"/>
      <c r="D8" s="17"/>
      <c r="E8" s="17"/>
    </row>
    <row r="11" spans="1:5" x14ac:dyDescent="0.25">
      <c r="A11" s="19" t="s">
        <v>10</v>
      </c>
      <c r="B11" s="1">
        <v>1</v>
      </c>
      <c r="C11" s="1">
        <v>2</v>
      </c>
    </row>
    <row r="12" spans="1:5" x14ac:dyDescent="0.25">
      <c r="A12" s="19"/>
      <c r="B12" s="1">
        <v>4</v>
      </c>
      <c r="C12" s="1">
        <v>-3</v>
      </c>
    </row>
    <row r="13" spans="1:5" x14ac:dyDescent="0.25">
      <c r="A13" s="10"/>
    </row>
    <row r="14" spans="1:5" ht="13" x14ac:dyDescent="0.3">
      <c r="A14" s="6"/>
      <c r="B14" s="4"/>
      <c r="C14" s="4"/>
    </row>
    <row r="15" spans="1:5" x14ac:dyDescent="0.25">
      <c r="A15" s="19" t="s">
        <v>19</v>
      </c>
      <c r="B15" s="1">
        <f t="array" ref="B15:C16">MMULT(B11:C12,B11:C12)</f>
        <v>9</v>
      </c>
      <c r="C15" s="1">
        <v>-4</v>
      </c>
    </row>
    <row r="16" spans="1:5" x14ac:dyDescent="0.25">
      <c r="A16" s="19"/>
      <c r="B16" s="1">
        <v>-8</v>
      </c>
      <c r="C16" s="1">
        <v>17</v>
      </c>
    </row>
  </sheetData>
  <mergeCells count="4">
    <mergeCell ref="A15:A16"/>
    <mergeCell ref="B8:C8"/>
    <mergeCell ref="D8:E8"/>
    <mergeCell ref="A11:A12"/>
  </mergeCells>
  <phoneticPr fontId="3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25"/>
  <sheetViews>
    <sheetView workbookViewId="0">
      <selection activeCell="A4" sqref="A4"/>
    </sheetView>
  </sheetViews>
  <sheetFormatPr defaultColWidth="9.1796875" defaultRowHeight="12.5" x14ac:dyDescent="0.25"/>
  <cols>
    <col min="1" max="1" width="27.81640625" style="1" bestFit="1" customWidth="1"/>
    <col min="2" max="2" width="8.54296875" style="1" bestFit="1" customWidth="1"/>
    <col min="3" max="3" width="4.453125" style="1" customWidth="1"/>
    <col min="4" max="4" width="4.7265625" style="1" customWidth="1"/>
    <col min="5" max="5" width="2.54296875" style="1" bestFit="1" customWidth="1"/>
    <col min="6" max="6" width="4.26953125" style="1" customWidth="1"/>
    <col min="7" max="7" width="5.26953125" style="1" customWidth="1"/>
    <col min="8" max="16384" width="9.1796875" style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6" spans="1:5" x14ac:dyDescent="0.25">
      <c r="A6" s="1" t="s">
        <v>18</v>
      </c>
    </row>
    <row r="8" spans="1:5" ht="13" x14ac:dyDescent="0.3">
      <c r="B8" s="18"/>
      <c r="C8" s="18"/>
      <c r="D8" s="17"/>
      <c r="E8" s="17"/>
    </row>
    <row r="9" spans="1:5" x14ac:dyDescent="0.25">
      <c r="A9" s="1" t="s">
        <v>20</v>
      </c>
    </row>
    <row r="11" spans="1:5" x14ac:dyDescent="0.25">
      <c r="A11" s="19" t="s">
        <v>10</v>
      </c>
      <c r="B11" s="1">
        <v>1</v>
      </c>
      <c r="C11" s="1">
        <v>0</v>
      </c>
      <c r="D11" s="1">
        <v>2</v>
      </c>
    </row>
    <row r="12" spans="1:5" x14ac:dyDescent="0.25">
      <c r="A12" s="19"/>
      <c r="B12" s="1">
        <v>2</v>
      </c>
      <c r="C12" s="1">
        <v>-1</v>
      </c>
      <c r="D12" s="1">
        <v>3</v>
      </c>
    </row>
    <row r="13" spans="1:5" x14ac:dyDescent="0.25">
      <c r="A13" s="20"/>
      <c r="B13" s="1">
        <v>4</v>
      </c>
      <c r="C13" s="1">
        <v>1</v>
      </c>
      <c r="D13" s="1">
        <v>8</v>
      </c>
    </row>
    <row r="14" spans="1:5" ht="13" x14ac:dyDescent="0.3">
      <c r="A14" s="6"/>
      <c r="B14" s="4"/>
      <c r="C14" s="4"/>
    </row>
    <row r="15" spans="1:5" x14ac:dyDescent="0.25">
      <c r="A15" s="19" t="s">
        <v>21</v>
      </c>
      <c r="B15" s="1">
        <v>-11</v>
      </c>
      <c r="C15" s="1">
        <v>2</v>
      </c>
      <c r="D15" s="1">
        <v>2</v>
      </c>
    </row>
    <row r="16" spans="1:5" x14ac:dyDescent="0.25">
      <c r="A16" s="19"/>
      <c r="B16" s="1">
        <v>-4</v>
      </c>
      <c r="C16" s="1">
        <v>0</v>
      </c>
      <c r="D16" s="1">
        <v>1</v>
      </c>
    </row>
    <row r="17" spans="1:7" x14ac:dyDescent="0.25">
      <c r="A17" s="23"/>
      <c r="B17" s="1">
        <v>6</v>
      </c>
      <c r="C17" s="1">
        <v>-1</v>
      </c>
      <c r="D17" s="1">
        <v>-1</v>
      </c>
    </row>
    <row r="20" spans="1:7" x14ac:dyDescent="0.25">
      <c r="A20" s="21" t="s">
        <v>22</v>
      </c>
      <c r="B20" s="1">
        <f t="array" ref="B20:D22">MMULT(B11:D13,B15:D17)</f>
        <v>1</v>
      </c>
      <c r="C20" s="1">
        <v>0</v>
      </c>
      <c r="D20" s="1">
        <v>0</v>
      </c>
    </row>
    <row r="21" spans="1:7" ht="16.5" x14ac:dyDescent="0.5">
      <c r="A21" s="22"/>
      <c r="B21" s="1">
        <v>0</v>
      </c>
      <c r="C21" s="1">
        <v>1</v>
      </c>
      <c r="D21" s="1">
        <v>0</v>
      </c>
      <c r="F21" s="3" t="s">
        <v>23</v>
      </c>
      <c r="G21" s="12" t="s">
        <v>24</v>
      </c>
    </row>
    <row r="22" spans="1:7" x14ac:dyDescent="0.25">
      <c r="A22" s="22"/>
      <c r="B22" s="1">
        <v>0</v>
      </c>
      <c r="C22" s="1">
        <v>0</v>
      </c>
      <c r="D22" s="1">
        <v>1</v>
      </c>
    </row>
    <row r="25" spans="1:7" ht="13" x14ac:dyDescent="0.3">
      <c r="A25" s="2" t="s">
        <v>25</v>
      </c>
    </row>
  </sheetData>
  <mergeCells count="5">
    <mergeCell ref="A20:A22"/>
    <mergeCell ref="B8:C8"/>
    <mergeCell ref="D8:E8"/>
    <mergeCell ref="A11:A13"/>
    <mergeCell ref="A15:A17"/>
  </mergeCells>
  <phoneticPr fontId="3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G25"/>
  <sheetViews>
    <sheetView workbookViewId="0">
      <selection activeCell="A4" sqref="A4"/>
    </sheetView>
  </sheetViews>
  <sheetFormatPr defaultColWidth="9.1796875" defaultRowHeight="12.5" x14ac:dyDescent="0.25"/>
  <cols>
    <col min="1" max="1" width="27.81640625" style="1" bestFit="1" customWidth="1"/>
    <col min="2" max="2" width="8.54296875" style="1" bestFit="1" customWidth="1"/>
    <col min="3" max="3" width="4.453125" style="1" customWidth="1"/>
    <col min="4" max="4" width="4.7265625" style="1" customWidth="1"/>
    <col min="5" max="5" width="2.54296875" style="1" bestFit="1" customWidth="1"/>
    <col min="6" max="6" width="4.26953125" style="1" customWidth="1"/>
    <col min="7" max="7" width="5.26953125" style="1" customWidth="1"/>
    <col min="8" max="16384" width="9.1796875" style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6" spans="1:5" x14ac:dyDescent="0.25">
      <c r="A6" s="1" t="s">
        <v>26</v>
      </c>
    </row>
    <row r="8" spans="1:5" ht="13" x14ac:dyDescent="0.3">
      <c r="B8" s="18"/>
      <c r="C8" s="18"/>
      <c r="D8" s="17"/>
      <c r="E8" s="17"/>
    </row>
    <row r="9" spans="1:5" x14ac:dyDescent="0.25">
      <c r="A9" s="1" t="s">
        <v>27</v>
      </c>
    </row>
    <row r="11" spans="1:5" x14ac:dyDescent="0.25">
      <c r="A11" s="19" t="s">
        <v>10</v>
      </c>
      <c r="B11" s="1">
        <v>5</v>
      </c>
      <c r="C11" s="1">
        <v>3</v>
      </c>
    </row>
    <row r="12" spans="1:5" x14ac:dyDescent="0.25">
      <c r="A12" s="19"/>
      <c r="B12" s="1">
        <v>4</v>
      </c>
      <c r="C12" s="1">
        <v>2</v>
      </c>
    </row>
    <row r="13" spans="1:5" x14ac:dyDescent="0.25">
      <c r="A13" s="20"/>
    </row>
    <row r="14" spans="1:5" ht="13" x14ac:dyDescent="0.3">
      <c r="A14" s="6"/>
      <c r="B14" s="4"/>
      <c r="C14" s="4"/>
    </row>
    <row r="15" spans="1:5" x14ac:dyDescent="0.25">
      <c r="A15" s="19" t="s">
        <v>28</v>
      </c>
      <c r="B15" s="1">
        <f t="array" ref="B15:C16">MINVERSE(B11:C12)</f>
        <v>-0.99999999999999889</v>
      </c>
      <c r="C15" s="1">
        <v>1.4999999999999987</v>
      </c>
    </row>
    <row r="16" spans="1:5" x14ac:dyDescent="0.25">
      <c r="A16" s="19"/>
      <c r="B16" s="1">
        <v>1.9999999999999982</v>
      </c>
      <c r="C16" s="1">
        <v>-2.4999999999999978</v>
      </c>
    </row>
    <row r="17" spans="1:7" x14ac:dyDescent="0.25">
      <c r="A17" s="23"/>
    </row>
    <row r="20" spans="1:7" x14ac:dyDescent="0.25">
      <c r="A20" s="21"/>
    </row>
    <row r="21" spans="1:7" ht="16.5" x14ac:dyDescent="0.5">
      <c r="A21" s="22"/>
      <c r="F21" s="3"/>
      <c r="G21" s="12"/>
    </row>
    <row r="22" spans="1:7" x14ac:dyDescent="0.25">
      <c r="A22" s="22"/>
    </row>
    <row r="25" spans="1:7" ht="13" x14ac:dyDescent="0.3">
      <c r="A25" s="2"/>
    </row>
  </sheetData>
  <mergeCells count="5">
    <mergeCell ref="A20:A22"/>
    <mergeCell ref="B8:C8"/>
    <mergeCell ref="D8:E8"/>
    <mergeCell ref="A11:A13"/>
    <mergeCell ref="A15:A17"/>
  </mergeCells>
  <phoneticPr fontId="3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G25"/>
  <sheetViews>
    <sheetView topLeftCell="A3" workbookViewId="0">
      <selection activeCell="A4" sqref="A4"/>
    </sheetView>
  </sheetViews>
  <sheetFormatPr defaultColWidth="9.1796875" defaultRowHeight="12.5" x14ac:dyDescent="0.25"/>
  <cols>
    <col min="1" max="1" width="27.81640625" style="1" bestFit="1" customWidth="1"/>
    <col min="2" max="2" width="8.54296875" style="1" bestFit="1" customWidth="1"/>
    <col min="3" max="3" width="4.453125" style="1" customWidth="1"/>
    <col min="4" max="4" width="4.7265625" style="1" customWidth="1"/>
    <col min="5" max="5" width="2.54296875" style="1" bestFit="1" customWidth="1"/>
    <col min="6" max="6" width="4.26953125" style="1" customWidth="1"/>
    <col min="7" max="7" width="5.26953125" style="1" customWidth="1"/>
    <col min="8" max="16384" width="9.1796875" style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6" spans="1:5" x14ac:dyDescent="0.25">
      <c r="A6" s="1" t="s">
        <v>26</v>
      </c>
    </row>
    <row r="8" spans="1:5" ht="13" x14ac:dyDescent="0.3">
      <c r="B8" s="18"/>
      <c r="C8" s="18"/>
      <c r="D8" s="17"/>
      <c r="E8" s="17"/>
    </row>
    <row r="9" spans="1:5" x14ac:dyDescent="0.25">
      <c r="A9" s="1" t="s">
        <v>27</v>
      </c>
    </row>
    <row r="11" spans="1:5" x14ac:dyDescent="0.25">
      <c r="A11" s="19" t="s">
        <v>12</v>
      </c>
      <c r="B11" s="1">
        <v>2</v>
      </c>
      <c r="C11" s="1">
        <v>-3</v>
      </c>
    </row>
    <row r="12" spans="1:5" x14ac:dyDescent="0.25">
      <c r="A12" s="19"/>
      <c r="B12" s="1">
        <v>1</v>
      </c>
      <c r="C12" s="1">
        <v>3</v>
      </c>
    </row>
    <row r="13" spans="1:5" x14ac:dyDescent="0.25">
      <c r="A13" s="20"/>
    </row>
    <row r="14" spans="1:5" ht="13" x14ac:dyDescent="0.3">
      <c r="A14" s="6"/>
      <c r="B14" s="4"/>
      <c r="C14" s="4"/>
    </row>
    <row r="15" spans="1:5" ht="14.25" customHeight="1" x14ac:dyDescent="0.25">
      <c r="A15" s="19" t="s">
        <v>29</v>
      </c>
      <c r="B15" s="13">
        <f t="array" ref="B15:C16">MINVERSE(B11:C12)</f>
        <v>0.33333333333333337</v>
      </c>
      <c r="C15" s="1">
        <v>0.33333333333333331</v>
      </c>
    </row>
    <row r="16" spans="1:5" x14ac:dyDescent="0.25">
      <c r="A16" s="19"/>
      <c r="B16" s="13">
        <v>-0.1111111111111111</v>
      </c>
      <c r="C16" s="1">
        <v>0.22222222222222221</v>
      </c>
    </row>
    <row r="17" spans="1:7" x14ac:dyDescent="0.25">
      <c r="A17" s="11"/>
    </row>
    <row r="20" spans="1:7" x14ac:dyDescent="0.25">
      <c r="A20" s="21"/>
    </row>
    <row r="21" spans="1:7" ht="16.5" x14ac:dyDescent="0.5">
      <c r="A21" s="22"/>
      <c r="F21" s="3"/>
      <c r="G21" s="12"/>
    </row>
    <row r="22" spans="1:7" x14ac:dyDescent="0.25">
      <c r="A22" s="22"/>
    </row>
    <row r="25" spans="1:7" ht="13" x14ac:dyDescent="0.3">
      <c r="A25" s="2"/>
    </row>
  </sheetData>
  <mergeCells count="5">
    <mergeCell ref="A20:A22"/>
    <mergeCell ref="B8:C8"/>
    <mergeCell ref="D8:E8"/>
    <mergeCell ref="A11:A13"/>
    <mergeCell ref="A15:A16"/>
  </mergeCells>
  <phoneticPr fontId="3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G25"/>
  <sheetViews>
    <sheetView workbookViewId="0">
      <selection activeCell="F16" sqref="F16"/>
    </sheetView>
  </sheetViews>
  <sheetFormatPr defaultColWidth="9.1796875" defaultRowHeight="12.5" x14ac:dyDescent="0.25"/>
  <cols>
    <col min="1" max="1" width="27.81640625" style="1" bestFit="1" customWidth="1"/>
    <col min="2" max="2" width="8.54296875" style="1" bestFit="1" customWidth="1"/>
    <col min="3" max="3" width="4.453125" style="1" customWidth="1"/>
    <col min="4" max="4" width="4.7265625" style="1" customWidth="1"/>
    <col min="5" max="5" width="2.54296875" style="1" bestFit="1" customWidth="1"/>
    <col min="6" max="6" width="4.26953125" style="1" customWidth="1"/>
    <col min="7" max="7" width="5.26953125" style="1" customWidth="1"/>
    <col min="8" max="16384" width="9.1796875" style="1"/>
  </cols>
  <sheetData>
    <row r="1" spans="1:6" x14ac:dyDescent="0.25">
      <c r="A1" s="1" t="s">
        <v>0</v>
      </c>
    </row>
    <row r="2" spans="1:6" x14ac:dyDescent="0.25">
      <c r="A2" s="1" t="s">
        <v>1</v>
      </c>
    </row>
    <row r="6" spans="1:6" x14ac:dyDescent="0.25">
      <c r="A6" s="1" t="s">
        <v>26</v>
      </c>
    </row>
    <row r="8" spans="1:6" ht="13" x14ac:dyDescent="0.3">
      <c r="B8" s="18"/>
      <c r="C8" s="18"/>
      <c r="D8" s="17"/>
      <c r="E8" s="17"/>
    </row>
    <row r="9" spans="1:6" x14ac:dyDescent="0.25">
      <c r="A9" s="1" t="s">
        <v>27</v>
      </c>
    </row>
    <row r="11" spans="1:6" x14ac:dyDescent="0.25">
      <c r="A11" s="19" t="s">
        <v>14</v>
      </c>
      <c r="B11" s="1">
        <v>-2</v>
      </c>
      <c r="C11" s="1">
        <v>6</v>
      </c>
    </row>
    <row r="12" spans="1:6" x14ac:dyDescent="0.25">
      <c r="A12" s="19"/>
      <c r="B12" s="1">
        <v>3</v>
      </c>
      <c r="C12" s="1">
        <v>-9</v>
      </c>
    </row>
    <row r="13" spans="1:6" x14ac:dyDescent="0.25">
      <c r="A13" s="20"/>
    </row>
    <row r="14" spans="1:6" ht="13" x14ac:dyDescent="0.3">
      <c r="A14" s="6"/>
      <c r="B14" s="4"/>
      <c r="C14" s="4"/>
    </row>
    <row r="15" spans="1:6" ht="14.25" customHeight="1" x14ac:dyDescent="0.25">
      <c r="A15" s="19" t="s">
        <v>30</v>
      </c>
      <c r="B15" s="13" t="e">
        <f t="array" ref="B15:C16">MINVERSE(B11:C12)</f>
        <v>#NUM!</v>
      </c>
      <c r="C15" s="1" t="e">
        <v>#NUM!</v>
      </c>
      <c r="F15" s="1" t="s">
        <v>81</v>
      </c>
    </row>
    <row r="16" spans="1:6" x14ac:dyDescent="0.25">
      <c r="A16" s="19"/>
      <c r="B16" s="13" t="e">
        <v>#NUM!</v>
      </c>
      <c r="C16" s="1" t="e">
        <v>#NUM!</v>
      </c>
    </row>
    <row r="17" spans="1:7" x14ac:dyDescent="0.25">
      <c r="A17" s="11"/>
    </row>
    <row r="20" spans="1:7" x14ac:dyDescent="0.25">
      <c r="A20" s="21"/>
    </row>
    <row r="21" spans="1:7" ht="16.5" x14ac:dyDescent="0.5">
      <c r="A21" s="22"/>
      <c r="F21" s="3"/>
      <c r="G21" s="12"/>
    </row>
    <row r="22" spans="1:7" x14ac:dyDescent="0.25">
      <c r="A22" s="22"/>
    </row>
    <row r="25" spans="1:7" ht="13" x14ac:dyDescent="0.3">
      <c r="A25" s="2"/>
    </row>
  </sheetData>
  <mergeCells count="5">
    <mergeCell ref="A20:A22"/>
    <mergeCell ref="B8:C8"/>
    <mergeCell ref="D8:E8"/>
    <mergeCell ref="A11:A13"/>
    <mergeCell ref="A15:A16"/>
  </mergeCells>
  <phoneticPr fontId="3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25"/>
  <sheetViews>
    <sheetView workbookViewId="0">
      <selection activeCell="A4" sqref="A4"/>
    </sheetView>
  </sheetViews>
  <sheetFormatPr defaultColWidth="9.1796875" defaultRowHeight="12.5" x14ac:dyDescent="0.25"/>
  <cols>
    <col min="1" max="1" width="27.81640625" style="1" bestFit="1" customWidth="1"/>
    <col min="2" max="2" width="8.7265625" style="1" bestFit="1" customWidth="1"/>
    <col min="3" max="3" width="3" style="1" bestFit="1" customWidth="1"/>
    <col min="4" max="5" width="2.7265625" style="1" bestFit="1" customWidth="1"/>
    <col min="6" max="6" width="2" style="1" bestFit="1" customWidth="1"/>
    <col min="7" max="7" width="5.26953125" style="1" customWidth="1"/>
    <col min="8" max="16384" width="9.1796875" style="1"/>
  </cols>
  <sheetData>
    <row r="1" spans="1:8" x14ac:dyDescent="0.25">
      <c r="A1" s="1" t="s">
        <v>0</v>
      </c>
    </row>
    <row r="2" spans="1:8" x14ac:dyDescent="0.25">
      <c r="A2" s="1" t="s">
        <v>1</v>
      </c>
    </row>
    <row r="6" spans="1:8" x14ac:dyDescent="0.25">
      <c r="A6" s="1" t="s">
        <v>31</v>
      </c>
    </row>
    <row r="8" spans="1:8" ht="13" x14ac:dyDescent="0.3">
      <c r="A8" s="2" t="s">
        <v>32</v>
      </c>
      <c r="H8" s="2" t="s">
        <v>36</v>
      </c>
    </row>
    <row r="9" spans="1:8" ht="13" x14ac:dyDescent="0.3">
      <c r="H9" s="2" t="s">
        <v>37</v>
      </c>
    </row>
    <row r="10" spans="1:8" x14ac:dyDescent="0.25">
      <c r="A10" s="24" t="s">
        <v>33</v>
      </c>
      <c r="B10" s="1">
        <v>1</v>
      </c>
      <c r="C10" s="1">
        <v>2</v>
      </c>
      <c r="D10" s="1">
        <v>0</v>
      </c>
      <c r="E10" s="1">
        <v>0</v>
      </c>
      <c r="F10" s="1">
        <v>0</v>
      </c>
    </row>
    <row r="11" spans="1:8" x14ac:dyDescent="0.25">
      <c r="A11" s="24"/>
      <c r="B11" s="1">
        <v>3</v>
      </c>
      <c r="C11" s="1">
        <v>4</v>
      </c>
      <c r="D11" s="1">
        <v>0</v>
      </c>
      <c r="E11" s="1">
        <v>0</v>
      </c>
      <c r="F11" s="1">
        <v>0</v>
      </c>
    </row>
    <row r="12" spans="1:8" x14ac:dyDescent="0.25">
      <c r="A12" s="24"/>
      <c r="B12" s="1">
        <v>0</v>
      </c>
      <c r="C12" s="1">
        <v>0</v>
      </c>
      <c r="D12" s="1">
        <v>5</v>
      </c>
      <c r="E12" s="1">
        <v>1</v>
      </c>
      <c r="F12" s="1">
        <v>2</v>
      </c>
    </row>
    <row r="13" spans="1:8" x14ac:dyDescent="0.25">
      <c r="A13" s="24"/>
      <c r="B13" s="1">
        <v>0</v>
      </c>
      <c r="C13" s="1">
        <v>0</v>
      </c>
      <c r="D13" s="1">
        <v>3</v>
      </c>
      <c r="E13" s="1">
        <v>4</v>
      </c>
      <c r="F13" s="1">
        <v>1</v>
      </c>
    </row>
    <row r="15" spans="1:8" x14ac:dyDescent="0.25">
      <c r="A15" s="25" t="s">
        <v>34</v>
      </c>
      <c r="B15" s="1">
        <v>3</v>
      </c>
      <c r="C15" s="1">
        <v>-2</v>
      </c>
      <c r="D15" s="1">
        <v>0</v>
      </c>
      <c r="E15" s="1">
        <v>0</v>
      </c>
    </row>
    <row r="16" spans="1:8" x14ac:dyDescent="0.25">
      <c r="A16" s="25"/>
      <c r="B16" s="1">
        <v>2</v>
      </c>
      <c r="C16" s="1">
        <v>4</v>
      </c>
      <c r="D16" s="1">
        <v>0</v>
      </c>
      <c r="E16" s="1">
        <v>0</v>
      </c>
    </row>
    <row r="17" spans="1:5" x14ac:dyDescent="0.25">
      <c r="A17" s="25"/>
      <c r="B17" s="1">
        <v>0</v>
      </c>
      <c r="C17" s="1">
        <v>0</v>
      </c>
      <c r="D17" s="1">
        <v>1</v>
      </c>
      <c r="E17" s="1">
        <v>2</v>
      </c>
    </row>
    <row r="18" spans="1:5" x14ac:dyDescent="0.25">
      <c r="A18" s="25"/>
      <c r="B18" s="1">
        <v>0</v>
      </c>
      <c r="C18" s="1">
        <v>0</v>
      </c>
      <c r="D18" s="1">
        <v>2</v>
      </c>
      <c r="E18" s="1">
        <v>-3</v>
      </c>
    </row>
    <row r="19" spans="1:5" x14ac:dyDescent="0.25">
      <c r="A19" s="25"/>
      <c r="B19" s="1">
        <v>0</v>
      </c>
      <c r="C19" s="1">
        <v>0</v>
      </c>
      <c r="D19" s="1">
        <v>-4</v>
      </c>
      <c r="E19" s="1">
        <v>1</v>
      </c>
    </row>
    <row r="22" spans="1:5" x14ac:dyDescent="0.25">
      <c r="A22" s="1" t="s">
        <v>35</v>
      </c>
      <c r="B22" s="1">
        <f t="array" ref="B22:E25">MMULT(B10:F13,B15:E19)</f>
        <v>7</v>
      </c>
      <c r="C22" s="1">
        <v>6</v>
      </c>
      <c r="D22" s="1">
        <v>0</v>
      </c>
      <c r="E22" s="1">
        <v>0</v>
      </c>
    </row>
    <row r="23" spans="1:5" x14ac:dyDescent="0.25">
      <c r="B23" s="1">
        <v>17</v>
      </c>
      <c r="C23" s="1">
        <v>10</v>
      </c>
      <c r="D23" s="1">
        <v>0</v>
      </c>
      <c r="E23" s="1">
        <v>0</v>
      </c>
    </row>
    <row r="24" spans="1:5" x14ac:dyDescent="0.25">
      <c r="B24" s="1">
        <v>0</v>
      </c>
      <c r="C24" s="1">
        <v>0</v>
      </c>
      <c r="D24" s="1">
        <v>-1</v>
      </c>
      <c r="E24" s="1">
        <v>9</v>
      </c>
    </row>
    <row r="25" spans="1:5" x14ac:dyDescent="0.25">
      <c r="B25" s="1">
        <v>0</v>
      </c>
      <c r="C25" s="1">
        <v>0</v>
      </c>
      <c r="D25" s="1">
        <v>7</v>
      </c>
      <c r="E25" s="1">
        <v>-5</v>
      </c>
    </row>
  </sheetData>
  <mergeCells count="2">
    <mergeCell ref="A10:A13"/>
    <mergeCell ref="A15:A19"/>
  </mergeCells>
  <phoneticPr fontId="3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28"/>
  <sheetViews>
    <sheetView workbookViewId="0">
      <selection activeCell="A4" sqref="A4"/>
    </sheetView>
  </sheetViews>
  <sheetFormatPr defaultColWidth="9.1796875" defaultRowHeight="12.5" x14ac:dyDescent="0.25"/>
  <cols>
    <col min="1" max="1" width="27.81640625" style="1" bestFit="1" customWidth="1"/>
    <col min="2" max="4" width="3" style="1" bestFit="1" customWidth="1"/>
    <col min="5" max="5" width="2.7265625" style="1" bestFit="1" customWidth="1"/>
    <col min="6" max="6" width="2" style="1" bestFit="1" customWidth="1"/>
    <col min="7" max="7" width="5.26953125" style="1" customWidth="1"/>
    <col min="8" max="16384" width="9.1796875" style="1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6" spans="1:12" x14ac:dyDescent="0.25">
      <c r="A6" s="1" t="s">
        <v>38</v>
      </c>
    </row>
    <row r="8" spans="1:12" ht="13" x14ac:dyDescent="0.3">
      <c r="A8" s="14" t="s">
        <v>39</v>
      </c>
      <c r="H8" s="2"/>
    </row>
    <row r="10" spans="1:12" ht="13" x14ac:dyDescent="0.3">
      <c r="A10" s="1" t="s">
        <v>51</v>
      </c>
      <c r="B10" s="4" t="s">
        <v>43</v>
      </c>
      <c r="C10" s="4"/>
      <c r="D10" s="4"/>
    </row>
    <row r="11" spans="1:12" ht="15" x14ac:dyDescent="0.3">
      <c r="A11" s="1" t="s">
        <v>50</v>
      </c>
      <c r="B11" s="4" t="s">
        <v>44</v>
      </c>
    </row>
    <row r="12" spans="1:12" ht="15" x14ac:dyDescent="0.3">
      <c r="A12" s="1" t="s">
        <v>52</v>
      </c>
      <c r="B12" s="4" t="s">
        <v>45</v>
      </c>
    </row>
    <row r="16" spans="1:12" x14ac:dyDescent="0.25">
      <c r="B16" s="1">
        <v>1</v>
      </c>
      <c r="C16" s="1">
        <v>2</v>
      </c>
      <c r="D16" s="1">
        <v>-1</v>
      </c>
      <c r="J16" s="13">
        <f t="array" ref="J16:L18">MINVERSE(B16:D18)</f>
        <v>1.333333333333333</v>
      </c>
      <c r="K16" s="13">
        <v>-5.3333333333333313</v>
      </c>
      <c r="L16" s="13">
        <v>1.6666666666666661</v>
      </c>
    </row>
    <row r="17" spans="1:12" ht="14.5" x14ac:dyDescent="0.25">
      <c r="A17" s="1" t="s">
        <v>3</v>
      </c>
      <c r="B17" s="1">
        <v>1</v>
      </c>
      <c r="C17" s="1">
        <v>3</v>
      </c>
      <c r="D17" s="1">
        <v>1</v>
      </c>
      <c r="I17" s="1" t="s">
        <v>48</v>
      </c>
      <c r="J17" s="13">
        <v>-0.3333333333333332</v>
      </c>
      <c r="K17" s="13">
        <v>2.3333333333333326</v>
      </c>
      <c r="L17" s="13">
        <v>-0.66666666666666641</v>
      </c>
    </row>
    <row r="18" spans="1:12" x14ac:dyDescent="0.25">
      <c r="B18" s="1">
        <v>3</v>
      </c>
      <c r="C18" s="1">
        <v>8</v>
      </c>
      <c r="D18" s="1">
        <v>4</v>
      </c>
      <c r="J18" s="13">
        <v>-0.33333333333333343</v>
      </c>
      <c r="K18" s="13">
        <v>-0.66666666666666641</v>
      </c>
      <c r="L18" s="13">
        <v>0.33333333333333326</v>
      </c>
    </row>
    <row r="21" spans="1:12" ht="14.5" x14ac:dyDescent="0.25">
      <c r="A21" s="1" t="s">
        <v>46</v>
      </c>
      <c r="B21" s="1" t="s">
        <v>40</v>
      </c>
      <c r="I21" s="1" t="s">
        <v>49</v>
      </c>
      <c r="J21" s="13">
        <f t="array" ref="J21:J23">MMULT(J16:L18,B26:B28)</f>
        <v>5.6666666666666643</v>
      </c>
    </row>
    <row r="22" spans="1:12" x14ac:dyDescent="0.25">
      <c r="B22" s="1" t="s">
        <v>41</v>
      </c>
      <c r="J22" s="13">
        <v>-0.66666666666666607</v>
      </c>
    </row>
    <row r="23" spans="1:12" x14ac:dyDescent="0.25">
      <c r="B23" s="1" t="s">
        <v>42</v>
      </c>
      <c r="J23" s="13">
        <v>1.333333333333333</v>
      </c>
    </row>
    <row r="26" spans="1:12" x14ac:dyDescent="0.25">
      <c r="A26" s="1" t="s">
        <v>47</v>
      </c>
      <c r="B26" s="1">
        <v>3</v>
      </c>
    </row>
    <row r="27" spans="1:12" x14ac:dyDescent="0.25">
      <c r="B27" s="1">
        <v>5</v>
      </c>
    </row>
    <row r="28" spans="1:12" x14ac:dyDescent="0.25">
      <c r="B28" s="1">
        <v>17</v>
      </c>
    </row>
  </sheetData>
  <phoneticPr fontId="3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N28"/>
  <sheetViews>
    <sheetView workbookViewId="0">
      <selection activeCell="A4" sqref="A4"/>
    </sheetView>
  </sheetViews>
  <sheetFormatPr defaultColWidth="9.1796875" defaultRowHeight="12.5" x14ac:dyDescent="0.25"/>
  <cols>
    <col min="1" max="1" width="27.81640625" style="1" bestFit="1" customWidth="1"/>
    <col min="2" max="4" width="3" style="1" bestFit="1" customWidth="1"/>
    <col min="5" max="5" width="2.7265625" style="1" bestFit="1" customWidth="1"/>
    <col min="6" max="6" width="2" style="1" bestFit="1" customWidth="1"/>
    <col min="7" max="7" width="5.26953125" style="1" customWidth="1"/>
    <col min="8" max="9" width="9.1796875" style="1"/>
    <col min="10" max="10" width="10.1796875" style="1" customWidth="1"/>
    <col min="11" max="16384" width="9.1796875" style="1"/>
  </cols>
  <sheetData>
    <row r="1" spans="1:14" x14ac:dyDescent="0.25">
      <c r="A1" s="1" t="s">
        <v>0</v>
      </c>
    </row>
    <row r="2" spans="1:14" x14ac:dyDescent="0.25">
      <c r="A2" s="1" t="s">
        <v>1</v>
      </c>
    </row>
    <row r="6" spans="1:14" x14ac:dyDescent="0.25">
      <c r="A6" s="1" t="s">
        <v>38</v>
      </c>
    </row>
    <row r="8" spans="1:14" ht="13" x14ac:dyDescent="0.3">
      <c r="A8" s="14" t="s">
        <v>39</v>
      </c>
      <c r="H8" s="2"/>
    </row>
    <row r="10" spans="1:14" ht="13" x14ac:dyDescent="0.3">
      <c r="A10" s="1" t="s">
        <v>53</v>
      </c>
      <c r="B10" s="4" t="s">
        <v>43</v>
      </c>
      <c r="C10" s="4"/>
      <c r="D10" s="4"/>
    </row>
    <row r="11" spans="1:14" ht="15" x14ac:dyDescent="0.3">
      <c r="A11" s="1" t="s">
        <v>54</v>
      </c>
      <c r="B11" s="4" t="s">
        <v>44</v>
      </c>
    </row>
    <row r="12" spans="1:14" ht="15" x14ac:dyDescent="0.3">
      <c r="A12" s="1" t="s">
        <v>55</v>
      </c>
      <c r="B12" s="4" t="s">
        <v>45</v>
      </c>
    </row>
    <row r="16" spans="1:14" x14ac:dyDescent="0.25">
      <c r="B16" s="1">
        <v>1</v>
      </c>
      <c r="C16" s="1">
        <v>-2</v>
      </c>
      <c r="D16" s="1">
        <v>4</v>
      </c>
      <c r="J16" s="13">
        <f t="array" ref="J16:L18">MINVERSE(B16:D18)</f>
        <v>2251799813685246.3</v>
      </c>
      <c r="K16" s="13">
        <v>-4503599627370494.5</v>
      </c>
      <c r="L16" s="13">
        <v>2251799813685247.3</v>
      </c>
      <c r="N16" s="1" t="s">
        <v>73</v>
      </c>
    </row>
    <row r="17" spans="1:14" ht="14.5" x14ac:dyDescent="0.25">
      <c r="A17" s="1" t="s">
        <v>3</v>
      </c>
      <c r="B17" s="1">
        <v>2</v>
      </c>
      <c r="C17" s="1">
        <v>-3</v>
      </c>
      <c r="D17" s="1">
        <v>5</v>
      </c>
      <c r="I17" s="1" t="s">
        <v>48</v>
      </c>
      <c r="J17" s="13">
        <v>3377699720527871.5</v>
      </c>
      <c r="K17" s="13">
        <v>-6755399441055743</v>
      </c>
      <c r="L17" s="13">
        <v>3377699720527871</v>
      </c>
      <c r="N17" s="1" t="s">
        <v>78</v>
      </c>
    </row>
    <row r="18" spans="1:14" x14ac:dyDescent="0.25">
      <c r="B18" s="1">
        <v>3</v>
      </c>
      <c r="C18" s="1">
        <v>-4</v>
      </c>
      <c r="D18" s="1">
        <v>6</v>
      </c>
      <c r="J18" s="13">
        <v>1125899906842624.5</v>
      </c>
      <c r="K18" s="13">
        <v>-2251799813685248</v>
      </c>
      <c r="L18" s="13">
        <v>1125899906842623.8</v>
      </c>
    </row>
    <row r="20" spans="1:14" x14ac:dyDescent="0.25">
      <c r="N20" s="1" t="s">
        <v>77</v>
      </c>
    </row>
    <row r="21" spans="1:14" ht="14.5" x14ac:dyDescent="0.25">
      <c r="A21" s="1" t="s">
        <v>46</v>
      </c>
      <c r="B21" s="1" t="s">
        <v>40</v>
      </c>
      <c r="I21" s="1" t="s">
        <v>49</v>
      </c>
      <c r="J21" s="13">
        <f t="array" ref="J21:J23">MMULT(J16:L18,B26:B28)</f>
        <v>6755399441055738</v>
      </c>
      <c r="N21" s="1" t="s">
        <v>79</v>
      </c>
    </row>
    <row r="22" spans="1:14" x14ac:dyDescent="0.25">
      <c r="B22" s="1" t="s">
        <v>41</v>
      </c>
      <c r="J22" s="13">
        <v>1.0133099161583612E+16</v>
      </c>
      <c r="N22" s="1" t="s">
        <v>80</v>
      </c>
    </row>
    <row r="23" spans="1:14" x14ac:dyDescent="0.25">
      <c r="B23" s="1" t="s">
        <v>42</v>
      </c>
      <c r="J23" s="13">
        <v>3377699720527871</v>
      </c>
    </row>
    <row r="26" spans="1:14" x14ac:dyDescent="0.25">
      <c r="A26" s="1" t="s">
        <v>47</v>
      </c>
      <c r="B26" s="1">
        <v>2</v>
      </c>
    </row>
    <row r="27" spans="1:14" x14ac:dyDescent="0.25">
      <c r="B27" s="1">
        <v>3</v>
      </c>
    </row>
    <row r="28" spans="1:14" x14ac:dyDescent="0.25">
      <c r="B28" s="1">
        <v>7</v>
      </c>
    </row>
  </sheetData>
  <phoneticPr fontId="3" type="noConversion"/>
  <pageMargins left="0.75" right="0.75" top="1" bottom="1" header="0.5" footer="0.5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N28"/>
  <sheetViews>
    <sheetView topLeftCell="B1" workbookViewId="0">
      <selection activeCell="N22" sqref="N22"/>
    </sheetView>
  </sheetViews>
  <sheetFormatPr defaultColWidth="9.1796875" defaultRowHeight="12.5" x14ac:dyDescent="0.25"/>
  <cols>
    <col min="1" max="1" width="27.81640625" style="1" bestFit="1" customWidth="1"/>
    <col min="2" max="4" width="3" style="1" bestFit="1" customWidth="1"/>
    <col min="5" max="5" width="2.7265625" style="1" bestFit="1" customWidth="1"/>
    <col min="6" max="6" width="2" style="1" bestFit="1" customWidth="1"/>
    <col min="7" max="7" width="5.26953125" style="1" customWidth="1"/>
    <col min="8" max="9" width="9.1796875" style="1"/>
    <col min="10" max="10" width="10.1796875" style="1" customWidth="1"/>
    <col min="11" max="16384" width="9.1796875" style="1"/>
  </cols>
  <sheetData>
    <row r="1" spans="1:14" x14ac:dyDescent="0.25">
      <c r="A1" s="15" t="s">
        <v>0</v>
      </c>
    </row>
    <row r="2" spans="1:14" x14ac:dyDescent="0.25">
      <c r="A2" s="15" t="s">
        <v>1</v>
      </c>
    </row>
    <row r="6" spans="1:14" x14ac:dyDescent="0.25">
      <c r="A6" s="1" t="s">
        <v>38</v>
      </c>
    </row>
    <row r="8" spans="1:14" ht="13" x14ac:dyDescent="0.3">
      <c r="A8" s="14" t="s">
        <v>39</v>
      </c>
      <c r="H8" s="2"/>
    </row>
    <row r="10" spans="1:14" ht="13" x14ac:dyDescent="0.3">
      <c r="A10" s="1" t="s">
        <v>56</v>
      </c>
      <c r="B10" s="4" t="s">
        <v>43</v>
      </c>
      <c r="C10" s="4"/>
      <c r="D10" s="4"/>
    </row>
    <row r="11" spans="1:14" ht="15" x14ac:dyDescent="0.3">
      <c r="A11" s="1" t="s">
        <v>57</v>
      </c>
      <c r="B11" s="4" t="s">
        <v>44</v>
      </c>
    </row>
    <row r="12" spans="1:14" ht="15" x14ac:dyDescent="0.3">
      <c r="A12" s="1" t="s">
        <v>58</v>
      </c>
      <c r="B12" s="4" t="s">
        <v>45</v>
      </c>
    </row>
    <row r="16" spans="1:14" x14ac:dyDescent="0.25">
      <c r="B16" s="1">
        <v>1</v>
      </c>
      <c r="C16" s="1">
        <v>1</v>
      </c>
      <c r="D16" s="1">
        <v>3</v>
      </c>
      <c r="J16" s="13">
        <f t="array" ref="J16:L18">MINVERSE(B16:D18)</f>
        <v>2251799813685247.3</v>
      </c>
      <c r="K16" s="13">
        <v>4503599627370494.5</v>
      </c>
      <c r="L16" s="13">
        <v>-2251799813685247.3</v>
      </c>
      <c r="N16" s="1" t="s">
        <v>73</v>
      </c>
    </row>
    <row r="17" spans="1:14" ht="14.5" x14ac:dyDescent="0.25">
      <c r="A17" s="1" t="s">
        <v>3</v>
      </c>
      <c r="B17" s="1">
        <v>2</v>
      </c>
      <c r="C17" s="1">
        <v>3</v>
      </c>
      <c r="D17" s="1">
        <v>-1</v>
      </c>
      <c r="I17" s="1" t="s">
        <v>48</v>
      </c>
      <c r="J17" s="13">
        <v>-1576259869579673</v>
      </c>
      <c r="K17" s="13">
        <v>-3152519739159346</v>
      </c>
      <c r="L17" s="13">
        <v>1576259869579673.3</v>
      </c>
      <c r="N17" s="1" t="s">
        <v>74</v>
      </c>
    </row>
    <row r="18" spans="1:14" x14ac:dyDescent="0.25">
      <c r="B18" s="1">
        <v>5</v>
      </c>
      <c r="C18" s="1">
        <v>7</v>
      </c>
      <c r="D18" s="1">
        <v>1</v>
      </c>
      <c r="J18" s="13">
        <v>-225179981368524.44</v>
      </c>
      <c r="K18" s="13">
        <v>-450359962737049.63</v>
      </c>
      <c r="L18" s="13">
        <v>225179981368524.75</v>
      </c>
      <c r="N18" s="1" t="s">
        <v>75</v>
      </c>
    </row>
    <row r="19" spans="1:14" x14ac:dyDescent="0.25">
      <c r="N19" s="1" t="s">
        <v>76</v>
      </c>
    </row>
    <row r="21" spans="1:14" ht="14.5" x14ac:dyDescent="0.25">
      <c r="A21" s="1" t="s">
        <v>46</v>
      </c>
      <c r="B21" s="1" t="s">
        <v>40</v>
      </c>
      <c r="I21" s="1" t="s">
        <v>49</v>
      </c>
      <c r="J21" s="13">
        <f t="array" ref="J21:J23">MMULT(J16:L18,B26:B28)</f>
        <v>2</v>
      </c>
      <c r="N21" s="1" t="s">
        <v>77</v>
      </c>
    </row>
    <row r="22" spans="1:14" x14ac:dyDescent="0.25">
      <c r="B22" s="1" t="s">
        <v>41</v>
      </c>
      <c r="J22" s="13">
        <v>0</v>
      </c>
      <c r="N22" s="1" t="s">
        <v>79</v>
      </c>
    </row>
    <row r="23" spans="1:14" x14ac:dyDescent="0.25">
      <c r="B23" s="1" t="s">
        <v>42</v>
      </c>
      <c r="J23" s="13">
        <v>-0.25</v>
      </c>
      <c r="N23" s="1" t="s">
        <v>80</v>
      </c>
    </row>
    <row r="26" spans="1:14" x14ac:dyDescent="0.25">
      <c r="A26" s="1" t="s">
        <v>47</v>
      </c>
      <c r="B26" s="1">
        <v>1</v>
      </c>
    </row>
    <row r="27" spans="1:14" x14ac:dyDescent="0.25">
      <c r="B27" s="1">
        <v>3</v>
      </c>
    </row>
    <row r="28" spans="1:14" x14ac:dyDescent="0.25">
      <c r="B28" s="1">
        <v>7</v>
      </c>
    </row>
  </sheetData>
  <phoneticPr fontId="3" type="noConversion"/>
  <pageMargins left="0.75" right="0.75" top="1" bottom="1" header="0.5" footer="0.5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23"/>
  <sheetViews>
    <sheetView workbookViewId="0">
      <selection activeCell="A4" sqref="A4"/>
    </sheetView>
  </sheetViews>
  <sheetFormatPr defaultColWidth="9.1796875" defaultRowHeight="12.5" x14ac:dyDescent="0.25"/>
  <cols>
    <col min="1" max="1" width="27.81640625" style="1" bestFit="1" customWidth="1"/>
    <col min="2" max="2" width="5" style="1" bestFit="1" customWidth="1"/>
    <col min="3" max="3" width="5.1796875" style="1" bestFit="1" customWidth="1"/>
    <col min="4" max="5" width="5.26953125" style="1" bestFit="1" customWidth="1"/>
    <col min="6" max="6" width="5.1796875" style="1" bestFit="1" customWidth="1"/>
    <col min="7" max="7" width="6.7265625" style="1" bestFit="1" customWidth="1"/>
    <col min="8" max="9" width="9.1796875" style="1"/>
    <col min="10" max="10" width="10.1796875" style="1" customWidth="1"/>
    <col min="11" max="16384" width="9.1796875" style="1"/>
  </cols>
  <sheetData>
    <row r="1" spans="1:10" x14ac:dyDescent="0.25">
      <c r="A1" s="15" t="s">
        <v>0</v>
      </c>
    </row>
    <row r="2" spans="1:10" x14ac:dyDescent="0.25">
      <c r="A2" s="15" t="s">
        <v>1</v>
      </c>
    </row>
    <row r="6" spans="1:10" x14ac:dyDescent="0.25">
      <c r="J6" s="1" t="s">
        <v>69</v>
      </c>
    </row>
    <row r="7" spans="1:10" x14ac:dyDescent="0.25">
      <c r="A7" s="1" t="s">
        <v>59</v>
      </c>
      <c r="B7" s="3" t="s">
        <v>66</v>
      </c>
      <c r="C7" s="3"/>
      <c r="D7" s="3" t="s">
        <v>67</v>
      </c>
      <c r="E7" s="1" t="s">
        <v>68</v>
      </c>
      <c r="G7" s="1" t="s">
        <v>72</v>
      </c>
    </row>
    <row r="8" spans="1:10" ht="13" x14ac:dyDescent="0.3">
      <c r="A8" s="14" t="s">
        <v>60</v>
      </c>
      <c r="B8" s="16">
        <v>14</v>
      </c>
      <c r="C8" s="3"/>
      <c r="D8" s="3">
        <v>50</v>
      </c>
      <c r="E8" s="1">
        <f t="shared" ref="E8:E13" si="0">D8-B8</f>
        <v>36</v>
      </c>
      <c r="G8" s="1">
        <v>200</v>
      </c>
      <c r="H8" s="2"/>
      <c r="J8" s="4">
        <f>SUMPRODUCT(E8:E13,G8:G13)</f>
        <v>34495</v>
      </c>
    </row>
    <row r="9" spans="1:10" x14ac:dyDescent="0.25">
      <c r="A9" s="14" t="s">
        <v>61</v>
      </c>
      <c r="B9" s="3">
        <v>12</v>
      </c>
      <c r="C9" s="3"/>
      <c r="D9" s="3">
        <v>50</v>
      </c>
      <c r="E9" s="1">
        <f t="shared" si="0"/>
        <v>38</v>
      </c>
      <c r="G9" s="1">
        <v>260</v>
      </c>
    </row>
    <row r="10" spans="1:10" x14ac:dyDescent="0.25">
      <c r="A10" s="14" t="s">
        <v>62</v>
      </c>
      <c r="B10" s="3">
        <v>15</v>
      </c>
      <c r="C10" s="3"/>
      <c r="D10" s="3">
        <v>50</v>
      </c>
      <c r="E10" s="1">
        <f t="shared" si="0"/>
        <v>35</v>
      </c>
      <c r="G10" s="1">
        <v>0</v>
      </c>
    </row>
    <row r="11" spans="1:10" ht="12" customHeight="1" x14ac:dyDescent="0.25">
      <c r="A11" s="14" t="s">
        <v>63</v>
      </c>
      <c r="B11" s="3">
        <v>14.5</v>
      </c>
      <c r="C11" s="3"/>
      <c r="D11" s="3">
        <v>50</v>
      </c>
      <c r="E11" s="1">
        <f t="shared" si="0"/>
        <v>35.5</v>
      </c>
      <c r="G11" s="1">
        <v>0</v>
      </c>
    </row>
    <row r="12" spans="1:10" x14ac:dyDescent="0.25">
      <c r="A12" s="14" t="s">
        <v>64</v>
      </c>
      <c r="B12" s="3">
        <v>12.5</v>
      </c>
      <c r="C12" s="3"/>
      <c r="D12" s="3">
        <v>50</v>
      </c>
      <c r="E12" s="1">
        <f t="shared" si="0"/>
        <v>37.5</v>
      </c>
      <c r="G12" s="1">
        <v>50</v>
      </c>
    </row>
    <row r="13" spans="1:10" x14ac:dyDescent="0.25">
      <c r="A13" s="14" t="s">
        <v>65</v>
      </c>
      <c r="B13" s="3">
        <v>13</v>
      </c>
      <c r="C13" s="3"/>
      <c r="D13" s="3">
        <v>50</v>
      </c>
      <c r="E13" s="1">
        <f t="shared" si="0"/>
        <v>37</v>
      </c>
      <c r="G13" s="1">
        <v>420</v>
      </c>
    </row>
    <row r="16" spans="1:10" x14ac:dyDescent="0.25">
      <c r="A16" s="1" t="s">
        <v>70</v>
      </c>
    </row>
    <row r="17" spans="1:9" x14ac:dyDescent="0.25">
      <c r="B17" s="5" t="s">
        <v>60</v>
      </c>
      <c r="C17" s="5" t="s">
        <v>61</v>
      </c>
      <c r="D17" s="5" t="s">
        <v>62</v>
      </c>
      <c r="E17" s="5" t="s">
        <v>63</v>
      </c>
      <c r="F17" s="5" t="s">
        <v>64</v>
      </c>
      <c r="G17" s="5" t="s">
        <v>65</v>
      </c>
      <c r="I17" s="8" t="s">
        <v>71</v>
      </c>
    </row>
    <row r="18" spans="1:9" x14ac:dyDescent="0.25">
      <c r="A18" s="1">
        <v>1</v>
      </c>
      <c r="B18" s="11">
        <v>1</v>
      </c>
      <c r="C18" s="11">
        <v>0</v>
      </c>
      <c r="D18" s="11">
        <v>0</v>
      </c>
      <c r="E18" s="11">
        <v>1</v>
      </c>
      <c r="F18" s="11">
        <v>0</v>
      </c>
      <c r="G18" s="11">
        <v>0</v>
      </c>
      <c r="I18" s="1">
        <f>MMULT(B18:G18,$G$8:$G$13)</f>
        <v>200</v>
      </c>
    </row>
    <row r="19" spans="1:9" x14ac:dyDescent="0.25">
      <c r="A19" s="1">
        <v>2</v>
      </c>
      <c r="B19" s="11">
        <v>0</v>
      </c>
      <c r="C19" s="11">
        <v>1</v>
      </c>
      <c r="D19" s="11">
        <v>0</v>
      </c>
      <c r="E19" s="11">
        <v>0</v>
      </c>
      <c r="F19" s="11">
        <v>1</v>
      </c>
      <c r="G19" s="11">
        <v>0</v>
      </c>
      <c r="I19" s="1">
        <f>MMULT(B19:G19,$G$8:$G$13)</f>
        <v>310</v>
      </c>
    </row>
    <row r="20" spans="1:9" x14ac:dyDescent="0.25">
      <c r="A20" s="1">
        <v>3</v>
      </c>
      <c r="B20" s="11">
        <v>0</v>
      </c>
      <c r="C20" s="11">
        <v>0</v>
      </c>
      <c r="D20" s="11">
        <v>1</v>
      </c>
      <c r="E20" s="11">
        <v>0</v>
      </c>
      <c r="F20" s="11">
        <v>0</v>
      </c>
      <c r="G20" s="11">
        <v>1</v>
      </c>
      <c r="I20" s="1">
        <f>MMULT(B20:G20,$G$8:$G$13)</f>
        <v>420</v>
      </c>
    </row>
    <row r="21" spans="1:9" x14ac:dyDescent="0.25">
      <c r="A21" s="1">
        <v>4</v>
      </c>
      <c r="B21" s="11">
        <v>1</v>
      </c>
      <c r="C21" s="11">
        <v>1</v>
      </c>
      <c r="D21" s="11">
        <v>1</v>
      </c>
      <c r="E21" s="11">
        <v>0</v>
      </c>
      <c r="F21" s="11">
        <v>0</v>
      </c>
      <c r="G21" s="11">
        <v>0</v>
      </c>
      <c r="I21" s="1">
        <f>MMULT(B21:G21,$G$8:$G$13)</f>
        <v>460</v>
      </c>
    </row>
    <row r="22" spans="1:9" x14ac:dyDescent="0.25">
      <c r="A22" s="1">
        <v>5</v>
      </c>
      <c r="B22" s="11">
        <v>0</v>
      </c>
      <c r="C22" s="11">
        <v>0</v>
      </c>
      <c r="D22" s="11">
        <v>0</v>
      </c>
      <c r="E22" s="11">
        <v>1</v>
      </c>
      <c r="F22" s="11">
        <v>1</v>
      </c>
      <c r="G22" s="11">
        <v>1</v>
      </c>
      <c r="I22" s="1">
        <f>MMULT(B22:G22,$G$8:$G$13)</f>
        <v>470</v>
      </c>
    </row>
    <row r="23" spans="1:9" x14ac:dyDescent="0.25">
      <c r="B23" s="11"/>
      <c r="C23" s="11"/>
      <c r="D23" s="11"/>
      <c r="E23" s="11"/>
      <c r="F23" s="11"/>
      <c r="G23" s="11"/>
    </row>
  </sheetData>
  <phoneticPr fontId="3" type="noConversion"/>
  <pageMargins left="0.75" right="0.75" top="1" bottom="1" header="0.5" footer="0.5"/>
  <pageSetup orientation="portrait" verticalDpi="0" r:id="rId1"/>
  <headerFooter alignWithMargins="0"/>
  <ignoredErrors>
    <ignoredError sqref="I21:I2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2.8a</vt:lpstr>
      <vt:lpstr>2.8b</vt:lpstr>
      <vt:lpstr>2.12a</vt:lpstr>
      <vt:lpstr>2.12b</vt:lpstr>
      <vt:lpstr>2.12c</vt:lpstr>
      <vt:lpstr>2.12d</vt:lpstr>
      <vt:lpstr>2.15a</vt:lpstr>
      <vt:lpstr>2.17</vt:lpstr>
      <vt:lpstr>2.18a</vt:lpstr>
      <vt:lpstr>2.18b</vt:lpstr>
      <vt:lpstr>2.18c</vt:lpstr>
      <vt:lpstr>2.81abc</vt:lpstr>
      <vt:lpstr>3.22a</vt:lpstr>
      <vt:lpstr>3.22b</vt:lpstr>
      <vt:lpstr>3.22c</vt:lpstr>
      <vt:lpstr>Optimization</vt:lpstr>
    </vt:vector>
  </TitlesOfParts>
  <Company>Boston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Sempertegui</dc:creator>
  <cp:lastModifiedBy>Carina Negreanu</cp:lastModifiedBy>
  <dcterms:created xsi:type="dcterms:W3CDTF">2003-09-14T17:42:21Z</dcterms:created>
  <dcterms:modified xsi:type="dcterms:W3CDTF">2020-01-27T12:40:51Z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-880809917</vt:i4>
  </property>
  <property fmtid="{D5CDD505-2E9C-101B-9397-08002B2CF9AE}" pid="3" name="_EmailSubject">
    <vt:lpwstr>Homework 2nd week</vt:lpwstr>
  </property>
  <property fmtid="{D5CDD505-2E9C-101B-9397-08002B2CF9AE}" pid="4" name="_AuthorEmail">
    <vt:lpwstr>semperte@bc.edu</vt:lpwstr>
  </property>
  <property fmtid="{D5CDD505-2E9C-101B-9397-08002B2CF9AE}" pid="5" name="_AuthorEmailDisplayName">
    <vt:lpwstr>Paulina Sempertegui</vt:lpwstr>
  </property>
  <property fmtid="{D5CDD505-2E9C-101B-9397-08002B2CF9AE}" pid="6" name="_ReviewingToolsShownOnce">
    <vt:lpwstr/>
  </property>
</Properties>
</file>