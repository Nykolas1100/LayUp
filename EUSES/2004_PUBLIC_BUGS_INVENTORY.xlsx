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5807A57-E201-4307-A2AD-5DF0F3DDB102}" xr6:coauthVersionLast="45" xr6:coauthVersionMax="45" xr10:uidLastSave="{00000000-0000-0000-0000-000000000000}"/>
  <bookViews>
    <workbookView xWindow="3420" yWindow="3420" windowWidth="28800" windowHeight="15460" tabRatio="392"/>
  </bookViews>
  <sheets>
    <sheet name="Read me first!" sheetId="4" r:id="rId1"/>
    <sheet name="How Current" sheetId="3" r:id="rId2"/>
    <sheet name="Inventory" sheetId="2" r:id="rId3"/>
  </sheets>
  <definedNames>
    <definedName name="_xlnm._FilterDatabase" localSheetId="2" hidden="1">Inventory!$A$1:$U$4907</definedName>
    <definedName name="_xlnm.Print_Area" localSheetId="1">'How Current'!$B$2:$E$39</definedName>
    <definedName name="_xlnm.Print_Area" localSheetId="2">Inventory!#REF!</definedName>
    <definedName name="_xlnm.Print_Area" localSheetId="0">'Read me first!'!$A$2:$D$70</definedName>
    <definedName name="_xlnm.Print_Titles" localSheetId="2">Inventory!$A:$C,Inventory!$1:$1</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23" i="3" l="1"/>
  <c r="C36" i="3"/>
  <c r="D36" i="3"/>
  <c r="K2" i="2"/>
  <c r="C4" i="3"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C6" i="3" s="1"/>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C5" i="3" s="1"/>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C8" i="3" s="1"/>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C7" i="3" s="1"/>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C11" i="3" s="1"/>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C9" i="3" s="1"/>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C14" i="3" s="1"/>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C16" i="3" s="1"/>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C20" i="3" s="1"/>
  <c r="K4119" i="2"/>
  <c r="K4120" i="2"/>
  <c r="K4121" i="2"/>
  <c r="K4122" i="2"/>
  <c r="K4123" i="2"/>
  <c r="K4124" i="2"/>
  <c r="K4125" i="2"/>
  <c r="K4126" i="2"/>
  <c r="K4127" i="2"/>
  <c r="K4128" i="2"/>
  <c r="K4129" i="2"/>
  <c r="C22" i="3" s="1"/>
  <c r="K4130" i="2"/>
  <c r="K4131" i="2"/>
  <c r="K4132" i="2"/>
  <c r="K4133" i="2"/>
  <c r="K4134" i="2"/>
  <c r="K4135" i="2"/>
  <c r="K4136" i="2"/>
  <c r="K4137" i="2"/>
  <c r="C30" i="3" s="1"/>
  <c r="K4138" i="2"/>
  <c r="K4139" i="2"/>
  <c r="C13" i="3" s="1"/>
  <c r="K4140" i="2"/>
  <c r="K4141" i="2"/>
  <c r="K4142" i="2"/>
  <c r="K4143" i="2"/>
  <c r="K4144" i="2"/>
  <c r="K4145" i="2"/>
  <c r="K4146" i="2"/>
  <c r="K4147" i="2"/>
  <c r="K4148" i="2"/>
  <c r="K4149" i="2"/>
  <c r="K4150" i="2"/>
  <c r="K4151" i="2"/>
  <c r="K4152" i="2"/>
  <c r="K4153" i="2"/>
  <c r="K4154" i="2"/>
  <c r="D13" i="3" s="1"/>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C17" i="3" s="1"/>
  <c r="K4179" i="2"/>
  <c r="K4180" i="2"/>
  <c r="K4181" i="2"/>
  <c r="K4182" i="2"/>
  <c r="K4183" i="2"/>
  <c r="K4184" i="2"/>
  <c r="K4185" i="2"/>
  <c r="K4186" i="2"/>
  <c r="K4187" i="2"/>
  <c r="K4188" i="2"/>
  <c r="K4189" i="2"/>
  <c r="K4190" i="2"/>
  <c r="K4191" i="2"/>
  <c r="K4192" i="2"/>
  <c r="K4193" i="2"/>
  <c r="K4194" i="2"/>
  <c r="K4195" i="2"/>
  <c r="K4196" i="2"/>
  <c r="K4197" i="2"/>
  <c r="K4198" i="2"/>
  <c r="K4199" i="2"/>
  <c r="C26" i="3" s="1"/>
  <c r="K4200" i="2"/>
  <c r="K4201" i="2"/>
  <c r="K4202" i="2"/>
  <c r="C18" i="3" s="1"/>
  <c r="K4203" i="2"/>
  <c r="K4204" i="2"/>
  <c r="K4205" i="2"/>
  <c r="K4206" i="2"/>
  <c r="K4207" i="2"/>
  <c r="K4208" i="2"/>
  <c r="C10" i="3" s="1"/>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C21" i="3" s="1"/>
  <c r="K4275" i="2"/>
  <c r="K4276" i="2"/>
  <c r="K4277" i="2"/>
  <c r="K4278" i="2"/>
  <c r="K4279" i="2"/>
  <c r="K4280" i="2"/>
  <c r="K4281" i="2"/>
  <c r="K4282" i="2"/>
  <c r="K4283" i="2"/>
  <c r="K4284" i="2"/>
  <c r="K4285" i="2"/>
  <c r="K4286" i="2"/>
  <c r="K4287" i="2"/>
  <c r="C15" i="3" s="1"/>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C24" i="3" s="1"/>
  <c r="K4327" i="2"/>
  <c r="K4328" i="2"/>
  <c r="K4329" i="2"/>
  <c r="K4330" i="2"/>
  <c r="K4331" i="2"/>
  <c r="K4332" i="2"/>
  <c r="K4333" i="2"/>
  <c r="K4334" i="2"/>
  <c r="C27" i="3" s="1"/>
  <c r="K4335" i="2"/>
  <c r="K4336" i="2"/>
  <c r="K4337" i="2"/>
  <c r="C25" i="3" s="1"/>
  <c r="K4338" i="2"/>
  <c r="K4339" i="2"/>
  <c r="K4340" i="2"/>
  <c r="C29" i="3" s="1"/>
  <c r="K4341" i="2"/>
  <c r="C12" i="3" s="1"/>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C23" i="3" s="1"/>
  <c r="K4382" i="2"/>
  <c r="K4383" i="2"/>
  <c r="K4384" i="2"/>
  <c r="K4385" i="2"/>
  <c r="K4386" i="2"/>
  <c r="K4387" i="2"/>
  <c r="K4388" i="2"/>
  <c r="K4389" i="2"/>
  <c r="K4390" i="2"/>
  <c r="C28" i="3" s="1"/>
  <c r="K4391" i="2"/>
  <c r="K4392" i="2"/>
  <c r="K4393" i="2"/>
  <c r="C19" i="3" s="1"/>
  <c r="K4394" i="2"/>
  <c r="K4395" i="2"/>
  <c r="K4396" i="2"/>
  <c r="K4397" i="2"/>
  <c r="K4398" i="2"/>
  <c r="K4399" i="2"/>
  <c r="K4400" i="2"/>
  <c r="K4401" i="2"/>
  <c r="K4402" i="2"/>
  <c r="K4403" i="2"/>
  <c r="K4404" i="2"/>
  <c r="K4405" i="2"/>
  <c r="K4406" i="2"/>
  <c r="C35" i="3" s="1"/>
  <c r="K4407" i="2"/>
  <c r="K4408" i="2"/>
  <c r="K4409" i="2"/>
  <c r="K4410" i="2"/>
  <c r="K4411" i="2"/>
  <c r="K4412" i="2"/>
  <c r="K4413" i="2"/>
  <c r="K4414" i="2"/>
  <c r="D35" i="3" s="1"/>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C33" i="3" s="1"/>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C38" i="3" s="1"/>
  <c r="K4805" i="2"/>
  <c r="K4806" i="2"/>
  <c r="K4807" i="2"/>
  <c r="K4808" i="2"/>
  <c r="K4809" i="2"/>
  <c r="K4810" i="2"/>
  <c r="K4811" i="2"/>
  <c r="C37" i="3" s="1"/>
  <c r="K4812" i="2"/>
  <c r="K4813" i="2"/>
  <c r="K4814" i="2"/>
  <c r="K4815" i="2"/>
  <c r="K4816" i="2"/>
  <c r="K4817" i="2"/>
  <c r="K4818" i="2"/>
  <c r="C34" i="3" s="1"/>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C39" i="3" l="1"/>
  <c r="D34" i="3"/>
  <c r="D22" i="3"/>
  <c r="D12" i="3"/>
  <c r="D33" i="3"/>
  <c r="D21" i="3"/>
  <c r="D11" i="3"/>
  <c r="D30" i="3"/>
  <c r="D20" i="3"/>
  <c r="D10" i="3"/>
  <c r="D29" i="3"/>
  <c r="D19" i="3"/>
  <c r="D9" i="3"/>
  <c r="D28" i="3"/>
  <c r="D18" i="3"/>
  <c r="D8" i="3"/>
  <c r="D27" i="3"/>
  <c r="D17" i="3"/>
  <c r="D7" i="3"/>
  <c r="D38" i="3"/>
  <c r="D26" i="3"/>
  <c r="D16" i="3"/>
  <c r="D6" i="3"/>
  <c r="D37" i="3"/>
  <c r="D25" i="3"/>
  <c r="D15" i="3"/>
  <c r="D5" i="3"/>
  <c r="D24" i="3"/>
  <c r="D14" i="3"/>
  <c r="D4" i="3"/>
  <c r="D39" i="3" s="1"/>
</calcChain>
</file>

<file path=xl/sharedStrings.xml><?xml version="1.0" encoding="utf-8"?>
<sst xmlns="http://schemas.openxmlformats.org/spreadsheetml/2006/main" count="49187" uniqueCount="18886">
  <si>
    <t>00129-068</t>
  </si>
  <si>
    <t>00129-069</t>
  </si>
  <si>
    <t>0129-086</t>
  </si>
  <si>
    <t>Bear Valley Comm Serv Dist</t>
  </si>
  <si>
    <t>0005-002</t>
  </si>
  <si>
    <t>28999 South Lower Valley</t>
  </si>
  <si>
    <t>Tehachapi</t>
  </si>
  <si>
    <t>John C. Yeakley</t>
  </si>
  <si>
    <t>(661) 821-4428</t>
  </si>
  <si>
    <t>Calaveras Cement Company</t>
  </si>
  <si>
    <t>0147-028</t>
  </si>
  <si>
    <t xml:space="preserve">13573 Tehachapi Blvd. </t>
  </si>
  <si>
    <t>David Whitney</t>
  </si>
  <si>
    <t>(661) 822-4445</t>
  </si>
  <si>
    <t>10147-030</t>
  </si>
  <si>
    <t>13573 Tehachapi Blvd.</t>
  </si>
  <si>
    <t>California Correctional Institution</t>
  </si>
  <si>
    <t>00087-032</t>
  </si>
  <si>
    <t xml:space="preserve">24900 Highway 202 PO Box 1031 </t>
  </si>
  <si>
    <t>CHUCK HOWELL(ext. 4600)</t>
  </si>
  <si>
    <t>(661) 822-4402</t>
  </si>
  <si>
    <t>00087-033</t>
  </si>
  <si>
    <t>00087-031</t>
  </si>
  <si>
    <t>0087-030</t>
  </si>
  <si>
    <t>Detroit Diesel V12</t>
  </si>
  <si>
    <t>V12</t>
  </si>
  <si>
    <t>EAFB Contract Management</t>
  </si>
  <si>
    <t>00147-039</t>
  </si>
  <si>
    <t>Indian Wells Valley Water Dist</t>
  </si>
  <si>
    <t>0011-003</t>
  </si>
  <si>
    <t>PO Box 1329</t>
  </si>
  <si>
    <t>Ridgecrest</t>
  </si>
  <si>
    <t>93556-1329</t>
  </si>
  <si>
    <t>Mike Hokanson</t>
  </si>
  <si>
    <t>(760) 375-5086</t>
  </si>
  <si>
    <t>Kern Valley Hospital District</t>
  </si>
  <si>
    <t>0240-003</t>
  </si>
  <si>
    <t>PO Box 1628</t>
  </si>
  <si>
    <t>Lake Isabella</t>
  </si>
  <si>
    <t>Wayne Waters</t>
  </si>
  <si>
    <t>(760) 379-2687</t>
  </si>
  <si>
    <t>NASA Dryden Flight Research Center</t>
  </si>
  <si>
    <t>00143-001</t>
  </si>
  <si>
    <t>PO Box 273</t>
  </si>
  <si>
    <t>Edwards</t>
  </si>
  <si>
    <t>93523-0273</t>
  </si>
  <si>
    <t>Daniel Mullen</t>
  </si>
  <si>
    <t>(661) 258-2306</t>
  </si>
  <si>
    <t>0143-128</t>
  </si>
  <si>
    <t>0143-174</t>
  </si>
  <si>
    <t>0143-161</t>
  </si>
  <si>
    <t>0143-162</t>
  </si>
  <si>
    <t>0143-163</t>
  </si>
  <si>
    <t>0143-164</t>
  </si>
  <si>
    <t>0143-125B</t>
  </si>
  <si>
    <t>0143-124B</t>
  </si>
  <si>
    <t>0143-079B</t>
  </si>
  <si>
    <t>0143-078B</t>
  </si>
  <si>
    <t>0143-035</t>
  </si>
  <si>
    <t>0143-036</t>
  </si>
  <si>
    <t>Naval Air Weapons Station</t>
  </si>
  <si>
    <t>90001-049</t>
  </si>
  <si>
    <t>1 Administration Circle</t>
  </si>
  <si>
    <t>China Lake</t>
  </si>
  <si>
    <t>93555-6100</t>
  </si>
  <si>
    <t>Brenda Mohn</t>
  </si>
  <si>
    <t>(760) 939-3230</t>
  </si>
  <si>
    <t>Northrop Grumman-Tejon</t>
  </si>
  <si>
    <t>0125-003</t>
  </si>
  <si>
    <t>3520 East Avenue M</t>
  </si>
  <si>
    <t>93550-7401</t>
  </si>
  <si>
    <t>Steve Mings</t>
  </si>
  <si>
    <t>(661) 272-8346</t>
  </si>
  <si>
    <t>Paramount Petroleum Corporation</t>
  </si>
  <si>
    <t>40003-001</t>
  </si>
  <si>
    <t>14700 Downey Ave.</t>
  </si>
  <si>
    <t>Paramount</t>
  </si>
  <si>
    <t>Douglas Thompson</t>
  </si>
  <si>
    <t>(562) 531-2060</t>
  </si>
  <si>
    <t>Phillips Laboratory</t>
  </si>
  <si>
    <t>00134-027A</t>
  </si>
  <si>
    <t>00134-053</t>
  </si>
  <si>
    <t>PRC-DeSoto International Inc</t>
  </si>
  <si>
    <t>60002-084</t>
  </si>
  <si>
    <t>11601 United Street</t>
  </si>
  <si>
    <t>Mojave</t>
  </si>
  <si>
    <t>Dick Martin</t>
  </si>
  <si>
    <t>(661) 824-4532</t>
  </si>
  <si>
    <t>Prison Realty Corporation</t>
  </si>
  <si>
    <t>0023-001</t>
  </si>
  <si>
    <t>(615) 263-3000</t>
  </si>
  <si>
    <t>Rand Mining Company</t>
  </si>
  <si>
    <t>0102-020A</t>
  </si>
  <si>
    <t>PO Box B</t>
  </si>
  <si>
    <t>Randsburg</t>
  </si>
  <si>
    <t>Harmon Ranney</t>
  </si>
  <si>
    <t>(760) 374-2467 ext. 118</t>
  </si>
  <si>
    <t>0102-021A</t>
  </si>
  <si>
    <t>400 kW emergency generator set: Cummins Model No. NTA855-G5, 605 bhp diesel piston engine equipped with turbocharger, aftercooler and crankcase ventilation control device.</t>
  </si>
  <si>
    <t>Dryden Flight Research Center Building 4833, EAFB</t>
  </si>
  <si>
    <t>2000 kW Caterpillar Model SR4B Emergency Generator driven by 2847 bhp Caterpillar Model 3516B Diesel Piston Engine.</t>
  </si>
  <si>
    <t>County of Lake, Sheriff's Department</t>
  </si>
  <si>
    <t>92-027</t>
  </si>
  <si>
    <t>Marathon Mod. 432RSL2018A-H450W(474HP), 300 KW Diesel, Emergency Generator</t>
  </si>
  <si>
    <t>Marathon</t>
  </si>
  <si>
    <t>432RSL2018A-H450W</t>
  </si>
  <si>
    <t>4913 Helbush Dr.</t>
  </si>
  <si>
    <t>Lakeport</t>
  </si>
  <si>
    <t>Keith Taylor</t>
  </si>
  <si>
    <t>(707) 263-1872</t>
  </si>
  <si>
    <t>Homestake Mining Company</t>
  </si>
  <si>
    <t>86-042</t>
  </si>
  <si>
    <t>1200 KW, 1653 HP Diesel, Emergency Generator</t>
  </si>
  <si>
    <t>26775 Morgan Valley Rd.</t>
  </si>
  <si>
    <t>Lower Lake</t>
  </si>
  <si>
    <t>Dean Enderlin</t>
  </si>
  <si>
    <t>(707) 995-6070 ext 274</t>
  </si>
  <si>
    <t>Lake County Special Districts</t>
  </si>
  <si>
    <t>92-021</t>
  </si>
  <si>
    <t>Detroit Model 71237305, 370 KW 469 KVA Diesel , Emergency Generator</t>
  </si>
  <si>
    <t>2485 Old Highway 53</t>
  </si>
  <si>
    <t>Clearlake</t>
  </si>
  <si>
    <t xml:space="preserve">Steve Brodnansky </t>
  </si>
  <si>
    <t>(707) 263-0119</t>
  </si>
  <si>
    <t>92-020</t>
  </si>
  <si>
    <t>Detroit Model D350FRX4/12V-71T, 350 KW 437 KVA Diesel, Emergency Generator</t>
  </si>
  <si>
    <t>D350FRX4</t>
  </si>
  <si>
    <t>1155 Whalen Way</t>
  </si>
  <si>
    <t>Steve Brodnansky</t>
  </si>
  <si>
    <t>92-023</t>
  </si>
  <si>
    <t xml:space="preserve">76 Lafferty Road, </t>
  </si>
  <si>
    <t>Sutter Lakeside Hospital</t>
  </si>
  <si>
    <t>95-04</t>
  </si>
  <si>
    <t>500 KW/830HP  V-71 Series Detroit Diesel, Emergency Generator</t>
  </si>
  <si>
    <t>V-71 Series</t>
  </si>
  <si>
    <t>5176 Hill Road East</t>
  </si>
  <si>
    <t>Frank Ignacio</t>
  </si>
  <si>
    <t>(707) 263-5651</t>
  </si>
  <si>
    <t>U.S. Coast Guard</t>
  </si>
  <si>
    <t>96-26</t>
  </si>
  <si>
    <t>MECON 400 KW / 685HP Generators Model M335, Emergency Generator</t>
  </si>
  <si>
    <t>MECON</t>
  </si>
  <si>
    <t>M335</t>
  </si>
  <si>
    <t>End of Grange Road</t>
  </si>
  <si>
    <t>Middletown</t>
  </si>
  <si>
    <t>95461</t>
  </si>
  <si>
    <t>Kurtis Betz</t>
  </si>
  <si>
    <t>(707) 987-3144</t>
  </si>
  <si>
    <t>Wawona Hotel</t>
  </si>
  <si>
    <t>Highway 41</t>
  </si>
  <si>
    <t>Yosemite Nat'l Park</t>
  </si>
  <si>
    <t>Vicki McMichael</t>
  </si>
  <si>
    <t>209-372-1093</t>
  </si>
  <si>
    <t>Ahwahnee Hotel</t>
  </si>
  <si>
    <t>12V-71TT</t>
  </si>
  <si>
    <t>Ahwahnee Area</t>
  </si>
  <si>
    <t>Yosemite Lodge Restaurants</t>
  </si>
  <si>
    <t>Yosemite Lodge Drive</t>
  </si>
  <si>
    <t>A T &amp; T</t>
  </si>
  <si>
    <t>3560-5-07-00-22</t>
  </si>
  <si>
    <t>750 KW Catepillar (emergency standby use only - 100 hr/yr only)</t>
  </si>
  <si>
    <t>Manchester</t>
  </si>
  <si>
    <t>925-224-1488</t>
  </si>
  <si>
    <t>Pelican Bay State Prison</t>
  </si>
  <si>
    <t>NX-051</t>
  </si>
  <si>
    <t>Detroit Diesel, Model 12V-71 TA, 750 HP</t>
  </si>
  <si>
    <t>12V-71</t>
  </si>
  <si>
    <t xml:space="preserve">5905 Lake Earl Drive PO Box 7000 </t>
  </si>
  <si>
    <t>Crescent City</t>
  </si>
  <si>
    <t>95531-7000</t>
  </si>
  <si>
    <t>Mike (ext. 7376)</t>
  </si>
  <si>
    <t>(707) 465-1000</t>
  </si>
  <si>
    <t>Coherent Auburn Group</t>
  </si>
  <si>
    <t>2301 Lindbergh Street</t>
  </si>
  <si>
    <t>Auburn</t>
  </si>
  <si>
    <t>95603</t>
  </si>
  <si>
    <t>(530) 888-5137</t>
  </si>
  <si>
    <t>Hewlett Packard</t>
  </si>
  <si>
    <t>8000 Foothills Blvd.</t>
  </si>
  <si>
    <t>95747-5609</t>
  </si>
  <si>
    <t>(916) 785-4233</t>
  </si>
  <si>
    <t>Kaiser Medical Center</t>
  </si>
  <si>
    <t>1600 Eureka Road</t>
  </si>
  <si>
    <t>95661</t>
  </si>
  <si>
    <t>NEC Electronics</t>
  </si>
  <si>
    <t>7501 Foothills Blvd.</t>
  </si>
  <si>
    <t>95661-9022</t>
  </si>
  <si>
    <t>(916) 786-3900</t>
  </si>
  <si>
    <t>KTA51</t>
  </si>
  <si>
    <t>KTA-115--GS/GC</t>
  </si>
  <si>
    <t>Nordic Industries</t>
  </si>
  <si>
    <t>Lincoln</t>
  </si>
  <si>
    <t>95648</t>
  </si>
  <si>
    <t>7123-74-6</t>
  </si>
  <si>
    <t>Sierra Pacific Power</t>
  </si>
  <si>
    <t>20-654-E4/MP 45-B</t>
  </si>
  <si>
    <t>Kings Beach Substation</t>
  </si>
  <si>
    <t>Kings Beach</t>
  </si>
  <si>
    <t>96145</t>
  </si>
  <si>
    <t>(775) 689-4020</t>
  </si>
  <si>
    <t>20-654-E4/MP43-A</t>
  </si>
  <si>
    <t>20-654-E4/MP45-B</t>
  </si>
  <si>
    <t>20-654-E-4</t>
  </si>
  <si>
    <t>20-654-E-4/MP 45-B</t>
  </si>
  <si>
    <t>Wells Fargo</t>
  </si>
  <si>
    <t>95747</t>
  </si>
  <si>
    <t>City of Lincoln</t>
  </si>
  <si>
    <t>AC 01-102</t>
  </si>
  <si>
    <t>Emergency Generator, Engine Mfr: Caterpillar, Model #3516B, Power Rating: 2900 bhp, Fuel Type: Diesel, Generator Mfr. Kohler, Model #2000ROED-4, Power Rating: 2000 kW.</t>
  </si>
  <si>
    <t>640 5th Street</t>
  </si>
  <si>
    <t>Kelly Rich / Del Webb</t>
  </si>
  <si>
    <t>(916) 436-3487</t>
  </si>
  <si>
    <t>Gladding McBean &amp; Co.</t>
  </si>
  <si>
    <t>•  Facility name, address, and contact information in the data supplied by PG&amp;E are not included in this database as PG&amp;E considers this customer information to be sensitive and privileged.</t>
  </si>
  <si>
    <t>•  The top 14 district sources supplied data generally current though October 2003.  The exceptions include the San Diego County APCD data which reflect applications through August 2003, and the Sacramento Metropolitan AQMD and El Dorado County AQMD data which reflect applications through September 2003.  The table in the sheet tabbed "How Current" summarizes the timing of the most recent updates from the various data sources.</t>
  </si>
  <si>
    <r>
      <t xml:space="preserve">•  </t>
    </r>
    <r>
      <rPr>
        <b/>
        <sz val="10"/>
        <rFont val="Arial"/>
        <family val="2"/>
      </rPr>
      <t>NOx Emission Factor:</t>
    </r>
    <r>
      <rPr>
        <sz val="10"/>
        <rFont val="Arial"/>
        <family val="2"/>
      </rPr>
      <t xml:space="preserve">  Estimated NOx emission factor (g/bhp-hr); see last item under </t>
    </r>
    <r>
      <rPr>
        <b/>
        <sz val="10"/>
        <rFont val="Arial"/>
        <family val="2"/>
      </rPr>
      <t>User Warning</t>
    </r>
    <r>
      <rPr>
        <sz val="10"/>
        <rFont val="Arial"/>
        <family val="2"/>
      </rPr>
      <t xml:space="preserve"> above</t>
    </r>
  </si>
  <si>
    <r>
      <t xml:space="preserve">•  </t>
    </r>
    <r>
      <rPr>
        <b/>
        <sz val="10"/>
        <rFont val="Arial"/>
        <family val="2"/>
      </rPr>
      <t>PM Emission Factor:</t>
    </r>
    <r>
      <rPr>
        <sz val="10"/>
        <rFont val="Arial"/>
        <family val="2"/>
      </rPr>
      <t xml:space="preserve">  Estimated particulate (PM) emission factor (g/bhp-hr); see last item under </t>
    </r>
    <r>
      <rPr>
        <b/>
        <sz val="10"/>
        <rFont val="Arial"/>
        <family val="2"/>
      </rPr>
      <t>User Warning</t>
    </r>
    <r>
      <rPr>
        <sz val="10"/>
        <rFont val="Arial"/>
        <family val="2"/>
      </rPr>
      <t xml:space="preserve"> above</t>
    </r>
  </si>
  <si>
    <t>2,876 BHP Diesel fired Caterpillar Internal Combustion (IC) engine, Model #3516B, Serial #6HN01453, Turbocharged and aftercooled, Emergency power generation</t>
  </si>
  <si>
    <t>1075 Triangle Court</t>
  </si>
  <si>
    <t>95605-2342</t>
  </si>
  <si>
    <t>P-85-01</t>
  </si>
  <si>
    <t>975 BHP Caterpillar diesel fired portable IC engine, Model No. D349, Serial No. 61P1249, turbocharged and aftercooled</t>
  </si>
  <si>
    <t>1 Shields Ave.(Ag Services - Bulk Mail - Campus Zone L012, CAAN 3308)</t>
  </si>
  <si>
    <t>XO Communications</t>
  </si>
  <si>
    <t>P-92-01</t>
  </si>
  <si>
    <t>1467 BHP Diesel Fired Caterpillar Internal Combustion Engine, Model No. 3508-B, Serial No. 4GM00644</t>
  </si>
  <si>
    <t>836 Riverside Parkway</t>
  </si>
  <si>
    <t>P-103-01</t>
  </si>
  <si>
    <t>913 BHP Caterpillar IC Engine, Model #3412, Serial BPG00313</t>
  </si>
  <si>
    <t>840 Riverside Parkway, Suite 70 and 80 of Building B</t>
  </si>
  <si>
    <t>Cingular Wireless West</t>
  </si>
  <si>
    <t>P-215-95A</t>
  </si>
  <si>
    <t>685 BHP diesel fired Cummins internal combustion engine, Model NO. KTTA19G, Serial No. 3913</t>
  </si>
  <si>
    <t>East Main Street and County Road 103</t>
  </si>
  <si>
    <t xml:space="preserve">Yolo County </t>
  </si>
  <si>
    <t>P-111-01</t>
  </si>
  <si>
    <t>1135 BHP diesel fired Cummins IC engine, Model #QST30-G1 Serial #10515, CPL 2968</t>
  </si>
  <si>
    <t>1 Shields Ave. (Telecom Building, Campus Zone E014)</t>
  </si>
  <si>
    <t>P-114-01</t>
  </si>
  <si>
    <t>975 BHP diesel fired Caterpillar IC engine, Model #D349, Serial #61P1250, AR#8L8223</t>
  </si>
  <si>
    <t>1 Shields Ave. (various locations)</t>
  </si>
  <si>
    <t>P-120-01</t>
  </si>
  <si>
    <t>Emergency ICE: 1120 BHP diesel fired Detroit Diesel IC engine, Model #R123-7K36, Serial #5352000917</t>
  </si>
  <si>
    <t>1 Shields Ave. (Plant &amp; Environmental Sciences Building, Campus Zone B075, CAAN 4726)</t>
  </si>
  <si>
    <t>City of Dixon Waste Water Plant</t>
  </si>
  <si>
    <t>P-3-02</t>
  </si>
  <si>
    <t>Emergency ICE: 474 BHP diesel fired Detroit Diesel internal combustion engine, Model No. 6V92TA, Block Number 6925160, 474 BHP</t>
  </si>
  <si>
    <t>6V92TA</t>
  </si>
  <si>
    <t>6915 Pedrick Road</t>
  </si>
  <si>
    <t>City of Vacaville-Easterly Wastewater Treatment Plant</t>
  </si>
  <si>
    <t>P-1101-95</t>
  </si>
  <si>
    <t>Emergency ICE: 1120 BHP diesel fired Detroit Diesel internal combustion engine, Model No. #12V2000 R123-7K36, 1120 BHP</t>
  </si>
  <si>
    <t>Easterly Wastewater Treatment Plant, 6040 Vaca Station Road</t>
  </si>
  <si>
    <t>Allegiance Healthcare</t>
  </si>
  <si>
    <t>P-75-02</t>
  </si>
  <si>
    <t>Emergency ICE: 1807 BHP diesel fired Caterpillar internal combustion engine, Model No. 3512, Serial No. 1GZ00824</t>
  </si>
  <si>
    <t>Chiron Corporation</t>
  </si>
  <si>
    <t>P-76-02</t>
  </si>
  <si>
    <t>Emergency Diesel Fired IC Engine, 2847 BHP Caterpillar IC Engine, Model No. 3516B, Serial No. 1HZ01403</t>
  </si>
  <si>
    <t>2010 Cessna Drive</t>
  </si>
  <si>
    <t>P-11-02</t>
  </si>
  <si>
    <t>Emergency ICE: 1,663 BHP diesel fired Detroit internal combustion engine, Model No. 91237416, Serial No. L17230</t>
  </si>
  <si>
    <t>42929 Country Road 24</t>
  </si>
  <si>
    <t>Jackson Laboratory</t>
  </si>
  <si>
    <t>P-47-02</t>
  </si>
  <si>
    <t>Emergency ICE: 685 BHP diesel fired Caterpillar internal combustion engine, Model No. 3456, Serial No. 3PG00321</t>
  </si>
  <si>
    <t>960 Riverside Parkway, Suite 10</t>
  </si>
  <si>
    <t>Large Scale Biology Corp.</t>
  </si>
  <si>
    <t>P-46-02</t>
  </si>
  <si>
    <t>Emergency ICE: 1200 BHP diesel fired Detroit Diesel internal combustion engine, Model No. R163-7K05, Serial No. 536200665</t>
  </si>
  <si>
    <t>333 Vaca Valley, Suite 1000</t>
  </si>
  <si>
    <t>P-33-02</t>
  </si>
  <si>
    <t>Emergency ICE: 535 bhp diesel fired Cummins internal combustion engine, Model No. N14-G2, Serial no. 11979267</t>
  </si>
  <si>
    <t>917 Jefferson Blvd.</t>
  </si>
  <si>
    <t>Solano Irrigation District</t>
  </si>
  <si>
    <t>P-22-02</t>
  </si>
  <si>
    <t>Emergency ICE: 465 BHP, diesel fired Cummins internal combustion engine; Model No. N14-G1, Serial No. 12036822</t>
  </si>
  <si>
    <t>N14-G1</t>
  </si>
  <si>
    <t>SW 1/4 of Section 12, T-7N, R-1E</t>
  </si>
  <si>
    <t>Walgreen's</t>
  </si>
  <si>
    <t>P-69-02</t>
  </si>
  <si>
    <t>Natural Gas Emergency ICE: 494 BHP Katolight Corp. IC Engine, Model No. N325FRZ4, Serial No. LM23725468942</t>
  </si>
  <si>
    <t>N325FRZ4</t>
  </si>
  <si>
    <t>2370 East Main Street</t>
  </si>
  <si>
    <t>P-96-03</t>
  </si>
  <si>
    <t xml:space="preserve">Emergency ICE: 3000 BHP diesel fired Caterpillar internal combustion engine, Model No. 3516B </t>
  </si>
  <si>
    <t>6040 Vaca Station Road</t>
  </si>
  <si>
    <t>P-93-03</t>
  </si>
  <si>
    <t>Emergency ICE: 3067 BHP diesel fired Cummins internal combustion engine, Model No. QSK60-G6, Serial No. 100-3664-07</t>
  </si>
  <si>
    <t>400 North Harbor Blvd.</t>
  </si>
  <si>
    <t>Cryonix Incorporated</t>
  </si>
  <si>
    <t>P-89-03</t>
  </si>
  <si>
    <t>Emergency ICE: 764 BHP diesel fired Caterpillar internal combustion engine, Model No. 3456, Serial No. 3PG00533</t>
  </si>
  <si>
    <t>1001 Aldridge Rd.</t>
  </si>
  <si>
    <t>P-113-03</t>
  </si>
  <si>
    <t>Emergency ICE: 1480 BHP diesel fired Caterpillar internal combustion engine, Model No. 3508B, Serial No. 1FZ01084</t>
  </si>
  <si>
    <t>Skyline Homes, Inc.</t>
  </si>
  <si>
    <t>P-37-03</t>
  </si>
  <si>
    <t>Diesel Fired Emergency ICE: 748 BHP Caterpillar IC Engine, Model No. 3412, Serial No. BPG00307.</t>
  </si>
  <si>
    <t>1720 East Beamer St.</t>
  </si>
  <si>
    <t>P-102-03</t>
  </si>
  <si>
    <t>Emergency ICE: 1200 BHP diesel fired Spectrum Detroit Diesel internal combustion engine. Model No. R163-7K35, Serial No. 5362001782</t>
  </si>
  <si>
    <t>1 Shields Ave. (Contained Research Facility, Campus Zone Q085, CAAN 4757)</t>
  </si>
  <si>
    <t>P-115-03</t>
  </si>
  <si>
    <t>Emergency ICE: 755 BHP diesel fired Cummins internal combustion engine, Model No. QSX15-G9, Serial No. 79011901</t>
  </si>
  <si>
    <t>1 Shields Ave. (Ecology Lab, CAAN 3813)</t>
  </si>
  <si>
    <t>P-120-03</t>
  </si>
  <si>
    <t>Emergency ICE: 2,935 BHP diesel fired Detroit Diesel  internal combustion engine, Model No. T163-7K36, Serial No. 5272001422</t>
  </si>
  <si>
    <t>1 Shields Ave. (GBSF, CAAN 4427)</t>
  </si>
  <si>
    <t>P-121-03</t>
  </si>
  <si>
    <t>Emergency ICE: 1,120 BHP diesel fired Detroit Diesel  internal combustion engine, Model No. R123-7K36, Serial No. 5352002601</t>
  </si>
  <si>
    <t>1 Shields Ave. (1 Tupper Hall, CAAN 4427)</t>
  </si>
  <si>
    <t>P-118-03</t>
  </si>
  <si>
    <t>Emergency ICE: 764 BHP diesel fired Caterpillar internal combustion engine, Model No. 3456 ATAAC, Serial No. 3PG00584</t>
  </si>
  <si>
    <t>1 Shields Ave. (Center for Companion Animal Health; Campus Zone G127; CAAN 4805)</t>
  </si>
  <si>
    <t>Vacavalley Hospital</t>
  </si>
  <si>
    <t>P-127-03</t>
  </si>
  <si>
    <t>Emergency ICE: 900 BHP diesel fired Cummins internal combustion engine, Model No. VTA2802, Serial No. 37110149</t>
  </si>
  <si>
    <t>1000 Nut Tree Road</t>
  </si>
  <si>
    <t>360networks (USA) Inc</t>
  </si>
  <si>
    <t>E008020</t>
  </si>
  <si>
    <t>3412 PEEC</t>
  </si>
  <si>
    <t>Palmdale</t>
  </si>
  <si>
    <t>93550</t>
  </si>
  <si>
    <t>Antelope Valley - East Kern Water Agency</t>
  </si>
  <si>
    <t>KTA 1150GS1</t>
  </si>
  <si>
    <t>GM</t>
  </si>
  <si>
    <t>12V-71I-530</t>
  </si>
  <si>
    <t>400DFV-4XR8/10173C</t>
  </si>
  <si>
    <t>450.ODFEC/7259OC</t>
  </si>
  <si>
    <t>3512/Marathon 1100</t>
  </si>
  <si>
    <t>500DFY-F4XR</t>
  </si>
  <si>
    <t>VTA 28 GZ</t>
  </si>
  <si>
    <t>CAT 3412 DI SN 81Z08123;2036080 BTU/HR</t>
  </si>
  <si>
    <t xml:space="preserve">3412 DI </t>
  </si>
  <si>
    <t>CAT 3412; 332GDE4;7.8E6 BTU/HR</t>
  </si>
  <si>
    <t>Detroit Diesel, Model#8083-7416;4.62e6 BTU/HR</t>
  </si>
  <si>
    <t>KATO 3412 SN38511009;1.4E6 BTU/HR</t>
  </si>
  <si>
    <t>Kato</t>
  </si>
  <si>
    <t>CAT 3408 SN78Z01668;1.34E6 BTU/HR</t>
  </si>
  <si>
    <t>Caterpillar 3408 SN78Z01499;1.32E6 BTU/HR</t>
  </si>
  <si>
    <t>CAT 3406 D DITA;954413 BTU/HR</t>
  </si>
  <si>
    <t>3406D DITA</t>
  </si>
  <si>
    <t>CAT 3406 BDI SN 2WB07015;788981 BTU/HR</t>
  </si>
  <si>
    <t>Model #3306;2.52e6 BTU/HR</t>
  </si>
  <si>
    <t>CAT SN 90U17353;763530 BTU/HR</t>
  </si>
  <si>
    <t xml:space="preserve"> 3406 DITA</t>
  </si>
  <si>
    <t>GMC</t>
  </si>
  <si>
    <t>Sierra Detroit Diesel</t>
  </si>
  <si>
    <t>300DFML333IN</t>
  </si>
  <si>
    <t>600ROZ71</t>
  </si>
  <si>
    <t>502FDR8048</t>
  </si>
  <si>
    <t>94612</t>
  </si>
  <si>
    <t>3500FCC/33658L</t>
  </si>
  <si>
    <t>Allison</t>
  </si>
  <si>
    <t>PN3018392</t>
  </si>
  <si>
    <t>12U71T</t>
  </si>
  <si>
    <t>3500 S/N 8YF00379</t>
  </si>
  <si>
    <t>KTH3961,S/N8YF00379</t>
  </si>
  <si>
    <t xml:space="preserve">Waukesha  </t>
  </si>
  <si>
    <t>L-7042GU</t>
  </si>
  <si>
    <t>San Quentin</t>
  </si>
  <si>
    <t>Viking</t>
  </si>
  <si>
    <t>KG2-3C</t>
  </si>
  <si>
    <t>5R-4B</t>
  </si>
  <si>
    <t>600 R02D</t>
  </si>
  <si>
    <t>Kato-Lite</t>
  </si>
  <si>
    <t>D1050FRE6</t>
  </si>
  <si>
    <t>12V149T1</t>
  </si>
  <si>
    <t>4000DFN</t>
  </si>
  <si>
    <t>350DG-03</t>
  </si>
  <si>
    <t>350ROZ-D71</t>
  </si>
  <si>
    <t>KTA 2300</t>
  </si>
  <si>
    <t>KTA-2300-G</t>
  </si>
  <si>
    <t>574RSL</t>
  </si>
  <si>
    <t>680FDF</t>
  </si>
  <si>
    <t>NT855-G</t>
  </si>
  <si>
    <t>Columbia</t>
  </si>
  <si>
    <t>58004-MS36-26-11</t>
  </si>
  <si>
    <t>502FDR7024</t>
  </si>
  <si>
    <t xml:space="preserve">KT 1150 </t>
  </si>
  <si>
    <t>3406{SR4}</t>
  </si>
  <si>
    <t>350R0Z81</t>
  </si>
  <si>
    <t>VHP-L6670DSI</t>
  </si>
  <si>
    <t>King Knight</t>
  </si>
  <si>
    <t>KDCUT-18-450</t>
  </si>
  <si>
    <t>N Gas/Diesel #2</t>
  </si>
  <si>
    <t>Turus</t>
  </si>
  <si>
    <t>126450</t>
  </si>
  <si>
    <t>S12A2 BT</t>
  </si>
  <si>
    <t xml:space="preserve">Onan </t>
  </si>
  <si>
    <t>502FDR8052</t>
  </si>
  <si>
    <t>680FDR712JJ</t>
  </si>
  <si>
    <t xml:space="preserve">Detroit Diesel </t>
  </si>
  <si>
    <t>16VF003154</t>
  </si>
  <si>
    <t>350-0-DFU-17R</t>
  </si>
  <si>
    <t>SR46</t>
  </si>
  <si>
    <t>Spectrum</t>
  </si>
  <si>
    <t>24V71TA</t>
  </si>
  <si>
    <t>573RSL4654</t>
  </si>
  <si>
    <t>300DFCB</t>
  </si>
  <si>
    <t>85KR-4XR8</t>
  </si>
  <si>
    <t>D-343 A</t>
  </si>
  <si>
    <t>500 DFY</t>
  </si>
  <si>
    <t>UTS</t>
  </si>
  <si>
    <t>21000 MKII</t>
  </si>
  <si>
    <t>150R0Z71</t>
  </si>
  <si>
    <t>FS-98-SC</t>
  </si>
  <si>
    <t>D343 A</t>
  </si>
  <si>
    <t>D3432</t>
  </si>
  <si>
    <t>3412DI</t>
  </si>
  <si>
    <t>275ROZD</t>
  </si>
  <si>
    <t>L5788DS1U</t>
  </si>
  <si>
    <t>Dut Corp</t>
  </si>
  <si>
    <t>1000C2</t>
  </si>
  <si>
    <t>G02790</t>
  </si>
  <si>
    <t>M22609</t>
  </si>
  <si>
    <t>Does not feed into power grid</t>
  </si>
  <si>
    <t>251</t>
  </si>
  <si>
    <t>6801 Westminster Ave</t>
  </si>
  <si>
    <t>Long Beach</t>
  </si>
  <si>
    <t>90803</t>
  </si>
  <si>
    <t>KTAA50-G2</t>
  </si>
  <si>
    <t>13101 Sepulveda Blvd</t>
  </si>
  <si>
    <t>Sylmar</t>
  </si>
  <si>
    <t>91344</t>
  </si>
  <si>
    <t>10322 Sunland Blvd</t>
  </si>
  <si>
    <t>Sunland</t>
  </si>
  <si>
    <t>91040</t>
  </si>
  <si>
    <t>D10744</t>
  </si>
  <si>
    <t>VTA-1710-P700</t>
  </si>
  <si>
    <t>11801 Sheldon St.</t>
  </si>
  <si>
    <t>Sun Valley</t>
  </si>
  <si>
    <t>91352</t>
  </si>
  <si>
    <t>F11307</t>
  </si>
  <si>
    <t>433 E. Temple St.</t>
  </si>
  <si>
    <t>Los Angeles</t>
  </si>
  <si>
    <t>90012</t>
  </si>
  <si>
    <t>Dept of Justice</t>
  </si>
  <si>
    <t>916-227-6951</t>
  </si>
  <si>
    <t>Harris Building</t>
  </si>
  <si>
    <t>1515 Clay Street</t>
  </si>
  <si>
    <t>Lynn Westhoven</t>
  </si>
  <si>
    <t>510-622-2568</t>
  </si>
  <si>
    <t>San Francisco Civic Center</t>
  </si>
  <si>
    <t>350 McAllister &amp; 455 Golden Gate Ave.</t>
  </si>
  <si>
    <t>Thomas Pathi-Parampil</t>
  </si>
  <si>
    <t>415-703-4105</t>
  </si>
  <si>
    <t>Secretary of State</t>
  </si>
  <si>
    <t>1500 11th Street</t>
  </si>
  <si>
    <t>Chris Stinson</t>
  </si>
  <si>
    <t>916-653-2764</t>
  </si>
  <si>
    <t>CHP</t>
  </si>
  <si>
    <t>2555 First Avenue</t>
  </si>
  <si>
    <t>Keith W. Bell</t>
  </si>
  <si>
    <t>916-657-7898</t>
  </si>
  <si>
    <t>CHP, Caltrans</t>
  </si>
  <si>
    <t>Steve Hern</t>
  </si>
  <si>
    <t>916-859-7991</t>
  </si>
  <si>
    <t>Avenal State Prison</t>
  </si>
  <si>
    <t>Detroit V16</t>
  </si>
  <si>
    <t>V16</t>
  </si>
  <si>
    <t xml:space="preserve">#1 Kings Way PO Box 8 </t>
  </si>
  <si>
    <t>Avenal</t>
  </si>
  <si>
    <t>Frank Garcia (ext. 7317)</t>
  </si>
  <si>
    <t>(559) 386-0587</t>
  </si>
  <si>
    <t>California Correctional Center</t>
  </si>
  <si>
    <t>Detroit V12 S/N SH3299477</t>
  </si>
  <si>
    <t xml:space="preserve">PO Box 790 </t>
  </si>
  <si>
    <t>Susanville</t>
  </si>
  <si>
    <t xml:space="preserve">Jerry Curry (ext. 1150) </t>
  </si>
  <si>
    <t>(530) 257-2181</t>
  </si>
  <si>
    <t>CAT 3516 S/N 7RN00606</t>
  </si>
  <si>
    <t>California Institution for Men (CIM)</t>
  </si>
  <si>
    <t>CAT 3412 S/N 81Z10650</t>
  </si>
  <si>
    <t xml:space="preserve">14901 Central Avenue PO Box 128 </t>
  </si>
  <si>
    <t>Chino</t>
  </si>
  <si>
    <t>DON JOHNSON (ext. 4508)</t>
  </si>
  <si>
    <t>(909) 597-1821</t>
  </si>
  <si>
    <t>CAT 3408 S/N 78Z02745</t>
  </si>
  <si>
    <t xml:space="preserve">1600 California Dr. PO Box 2000 </t>
  </si>
  <si>
    <t>Jim Kelly (ext. 6551)</t>
  </si>
  <si>
    <t>California Men's Colony (CMC)</t>
  </si>
  <si>
    <t>CAT 3412 S/N 81205563</t>
  </si>
  <si>
    <t>Highway 1 PO Box 8101</t>
  </si>
  <si>
    <t>Tim Hickman (ext. 7930)</t>
  </si>
  <si>
    <t>(805) 547-7900</t>
  </si>
  <si>
    <t>California State Prison, Los Angeles County (LAC)</t>
  </si>
  <si>
    <t>CAT 3516 S/N 4XF00388</t>
  </si>
  <si>
    <t>44750 60th Street West</t>
  </si>
  <si>
    <t xml:space="preserve"> Lancaster</t>
  </si>
  <si>
    <t>93536-7620</t>
  </si>
  <si>
    <t>Mak Mimaki(ext. 7302)</t>
  </si>
  <si>
    <t>(661) 729-2000</t>
  </si>
  <si>
    <t>CAT 3516 S/N 4XF00389</t>
  </si>
  <si>
    <t>California State Prison, San Quentin</t>
  </si>
  <si>
    <t>CAT 3516 S/N 25204585</t>
  </si>
  <si>
    <t>Jack West (ext. 5078)</t>
  </si>
  <si>
    <t>(415) 454-1460</t>
  </si>
  <si>
    <t>CAT 3516 S/N 25204590</t>
  </si>
  <si>
    <t>Chuckawalla Valley State Prison (CVSP)</t>
  </si>
  <si>
    <t>CAT 3512 S/N 24702133</t>
  </si>
  <si>
    <t xml:space="preserve">19025 Wiley's Well Road PO Box 2289 </t>
  </si>
  <si>
    <t>CAT 3512 S/N 24702135</t>
  </si>
  <si>
    <t>Deuel Vocational Institution (DVI)</t>
  </si>
  <si>
    <t>CAT 3516 S/N 4XF00590</t>
  </si>
  <si>
    <t xml:space="preserve">23500 Kasson Road PO Box 400 </t>
  </si>
  <si>
    <t>Tracy</t>
  </si>
  <si>
    <t>95378-0400</t>
  </si>
  <si>
    <t>Gene Clingman</t>
  </si>
  <si>
    <t>(209) 835-4141x5855</t>
  </si>
  <si>
    <t>High Desert State Prison (HDSP)</t>
  </si>
  <si>
    <t>CAT 3516 S/N 25Z03812</t>
  </si>
  <si>
    <t>475-750 Rice Canyon Road</t>
  </si>
  <si>
    <t xml:space="preserve"> Susanville </t>
  </si>
  <si>
    <t>Doug LOONY (ext. 5051)</t>
  </si>
  <si>
    <t>(530) 251-5100</t>
  </si>
  <si>
    <t>CAT 3516 S/N 25Z03808</t>
  </si>
  <si>
    <t>CAT 3516 S/N 25Z03805</t>
  </si>
  <si>
    <t>CAT 3516 S/N 25Z03810</t>
  </si>
  <si>
    <t>CAT 3406 S/N 4RG02289</t>
  </si>
  <si>
    <t>CAT 3406 S/N 4RG02262</t>
  </si>
  <si>
    <t>Ironwood State Prison (ISP)</t>
  </si>
  <si>
    <t>CAT 3516 S/N 2ED01053</t>
  </si>
  <si>
    <t xml:space="preserve">PO Box 2229 </t>
  </si>
  <si>
    <t>Buck Marshall (ext. 6913)</t>
  </si>
  <si>
    <t>(619) 921-3000</t>
  </si>
  <si>
    <t>CAT 3516 S/N 2ED01049</t>
  </si>
  <si>
    <t>Detroit V8 S/N 332207</t>
  </si>
  <si>
    <t>V8</t>
  </si>
  <si>
    <t>Detroit V8 S/N 332212</t>
  </si>
  <si>
    <t>CAT 3512 S/N 6NA01464</t>
  </si>
  <si>
    <t>CAT 3512 S/N 6NA01463</t>
  </si>
  <si>
    <t>Richard J. Donovan Correctional Facility</t>
  </si>
  <si>
    <t>CAT 3516 S/N 24701662</t>
  </si>
  <si>
    <t xml:space="preserve">480 Alta Road </t>
  </si>
  <si>
    <t>Dave Cavendar (ext. 7840)</t>
  </si>
  <si>
    <t>Detroit 92 S/N 06VF221173</t>
  </si>
  <si>
    <t>Sierra Conservation Center</t>
  </si>
  <si>
    <t>Detroit V20 S/N 369-403</t>
  </si>
  <si>
    <t>V20</t>
  </si>
  <si>
    <t xml:space="preserve">5100 O'Byrnes Ferry Road PO Box 497 </t>
  </si>
  <si>
    <t>Jamestown</t>
  </si>
  <si>
    <t>Doug Louie (ext. 5051)</t>
  </si>
  <si>
    <t>(209) 984-5291</t>
  </si>
  <si>
    <t>Detroit V12 S/N SH3299475</t>
  </si>
  <si>
    <t>Wasco State Prison</t>
  </si>
  <si>
    <t>Detroit 6 cyl S/N 06R0461528</t>
  </si>
  <si>
    <t>V6</t>
  </si>
  <si>
    <t xml:space="preserve">701 Scofield Avenue PO Box 8800 </t>
  </si>
  <si>
    <t>Wasco</t>
  </si>
  <si>
    <t>Mike Kurger (ext. 5840)</t>
  </si>
  <si>
    <t>(805) 758-8400</t>
  </si>
  <si>
    <t>VERIZON-AZUSA C.O.</t>
  </si>
  <si>
    <t>D09352</t>
  </si>
  <si>
    <t>CUMMINS NT-855, S/N: B850748604, 300 KW</t>
  </si>
  <si>
    <t>NT-855</t>
  </si>
  <si>
    <t>606 N AZUSA AV</t>
  </si>
  <si>
    <t>AZUSA</t>
  </si>
  <si>
    <t>91702</t>
  </si>
  <si>
    <t>Martin Gilmore</t>
  </si>
  <si>
    <t>(562) 627-0186</t>
  </si>
  <si>
    <t>VERIZON-CAMARILLO C.O.</t>
  </si>
  <si>
    <t>CATERPILLAR 3508, S/N: 23Z00451, 700 KW</t>
  </si>
  <si>
    <t>360 ARNEILL RD</t>
  </si>
  <si>
    <t>CAMARILLO</t>
  </si>
  <si>
    <t>VERIZON-CRESTLINE C.O.</t>
  </si>
  <si>
    <t>D06555</t>
  </si>
  <si>
    <t>CATERPILLAR 3406-B, S/N: 6BA02987, 300 KW</t>
  </si>
  <si>
    <t>3406-B</t>
  </si>
  <si>
    <t>946 FERN DR</t>
  </si>
  <si>
    <t>CRESTLINE</t>
  </si>
  <si>
    <t>92407</t>
  </si>
  <si>
    <t>VERIZON-IMPERIAL C.O.</t>
  </si>
  <si>
    <t>D15141</t>
  </si>
  <si>
    <t>DETROIT DIESEL 8V92, S/N: EM74303, 300 KW</t>
  </si>
  <si>
    <t>9637 IMPERIAL</t>
  </si>
  <si>
    <t>90241</t>
  </si>
  <si>
    <t>VERIZON-GILROY C.O.</t>
  </si>
  <si>
    <t>CATERPILLAR 3412, S/N: 5WA11046, 500 KW</t>
  </si>
  <si>
    <t>7578 EIGLEBERRY</t>
  </si>
  <si>
    <t>GILROY</t>
  </si>
  <si>
    <t>95020</t>
  </si>
  <si>
    <t>VERIZON-GLENDORA C.O.</t>
  </si>
  <si>
    <t>F32871</t>
  </si>
  <si>
    <t>CUMMINS VTA-12700-G3, S/N: C770215167, 400 KW</t>
  </si>
  <si>
    <t>VTA-12700-G3</t>
  </si>
  <si>
    <t>252 S GLENDORA</t>
  </si>
  <si>
    <t>GLENDORA</t>
  </si>
  <si>
    <t>91741</t>
  </si>
  <si>
    <t>VERIZON-ELLWOOD C.O.</t>
  </si>
  <si>
    <t>CUMMINS VTA-1710-GS, S/N: JN90830, 500 KW</t>
  </si>
  <si>
    <t>75 S. ELLWOOD STATION RD.</t>
  </si>
  <si>
    <t>93117</t>
  </si>
  <si>
    <t>VERIZON-GOLETA C.O.</t>
  </si>
  <si>
    <t>CATERPILLAR 3508, S/N: 6NA00612, 750 KW</t>
  </si>
  <si>
    <t>4990 HOLLISTER AVE</t>
  </si>
  <si>
    <t>93111</t>
  </si>
  <si>
    <t>VERIZON-GOLETA T.O.</t>
  </si>
  <si>
    <t>CATERPILLAR , S/N: N/A, 400 KW</t>
  </si>
  <si>
    <t>454 S PATTERSON AVE</t>
  </si>
  <si>
    <t>VERIZON-REDONDO BEACH C.O.</t>
  </si>
  <si>
    <t>CATERPILLAR 3412, S/N: MH3009566, 500 KW</t>
  </si>
  <si>
    <t>102 PACIFIC COAST HWY</t>
  </si>
  <si>
    <t>HERMOSA BEACH</t>
  </si>
  <si>
    <t>90254</t>
  </si>
  <si>
    <t>VERIZON-INDIO EAX</t>
  </si>
  <si>
    <t>CATERPILLAR 3412, S/N: B78929731, 500 KW</t>
  </si>
  <si>
    <t>45500 JACKSON ST</t>
  </si>
  <si>
    <t>INDIO</t>
  </si>
  <si>
    <t>92203</t>
  </si>
  <si>
    <t>VERIZON-ALISO RSU</t>
  </si>
  <si>
    <t>D94661</t>
  </si>
  <si>
    <t>CATERPILLAR D343, S/N: N/A, 300 KW</t>
  </si>
  <si>
    <t>D343</t>
  </si>
  <si>
    <t>31092 PACIFIC COAST HWY</t>
  </si>
  <si>
    <t>92629</t>
  </si>
  <si>
    <t>VERIZON-ARROWHEAD C.O.</t>
  </si>
  <si>
    <t>D06557</t>
  </si>
  <si>
    <t>CATERPILLAR 3406-BDI, S/N: 6BA02986, 300 KW</t>
  </si>
  <si>
    <t>3406-BDI</t>
  </si>
  <si>
    <t>27316 STATE HWY 189</t>
  </si>
  <si>
    <t>LAKE ARROWHEAD</t>
  </si>
  <si>
    <t>VERIZON-LOMPOC C.O.</t>
  </si>
  <si>
    <t>DETROIT DIESEL 16V-71, S/N: 1-C-74, 400 KW</t>
  </si>
  <si>
    <t>205 W PINE AVE</t>
  </si>
  <si>
    <t>LOMPOC</t>
  </si>
  <si>
    <t>93436</t>
  </si>
  <si>
    <t>VERIZON-LONG BEACH TOLL</t>
  </si>
  <si>
    <t>D81977</t>
  </si>
  <si>
    <t>CATERPILLAR 3516-STD, S/N: 4XF00527, 2,000 KW</t>
  </si>
  <si>
    <t>5077 E LEW DAVIS</t>
  </si>
  <si>
    <t>90815</t>
  </si>
  <si>
    <t>VERIZON-LAKEWOOD C.O.</t>
  </si>
  <si>
    <t>F21331</t>
  </si>
  <si>
    <t>CATERPILLAR 3412, S/N: 5NA03430, 500 KW</t>
  </si>
  <si>
    <t>3965 CLARK AVE</t>
  </si>
  <si>
    <t>90808</t>
  </si>
  <si>
    <t>VERIZON-BUNDY C.O.</t>
  </si>
  <si>
    <t>CATERPILLAR 3508, S/N: 9EN00557, 750 KW</t>
  </si>
  <si>
    <t>1450 S BUNDY DR</t>
  </si>
  <si>
    <t>90025</t>
  </si>
  <si>
    <t>VERIZON-UNIVERSITY C.O.#2</t>
  </si>
  <si>
    <t>CATERPILLAR 3412DI, S/N: 54BH3265, 400 KW</t>
  </si>
  <si>
    <t>90024</t>
  </si>
  <si>
    <t>VERIZON-MONTEBELLO C.O.</t>
  </si>
  <si>
    <t>CUMMINS VTA-28-GS2, S/N: B890203997, 600 KW</t>
  </si>
  <si>
    <t>15 MONTEBELLO WAY</t>
  </si>
  <si>
    <t>LOS GATOS</t>
  </si>
  <si>
    <t>95030</t>
  </si>
  <si>
    <t>VERIZON-BLOSSOM HILL C.O.</t>
  </si>
  <si>
    <t>DETROIT DIESEL 12V92T 81237305, S/N: KE-8862-02, 500 KW</t>
  </si>
  <si>
    <t>15900 LOS GATOS BLVD</t>
  </si>
  <si>
    <t>95032</t>
  </si>
  <si>
    <t>VERIZON-LOS SERRANOS C.O.</t>
  </si>
  <si>
    <t>D15379</t>
  </si>
  <si>
    <t>CUMMINS NTA-855-G1, S/N: 153547/2, 300 KW</t>
  </si>
  <si>
    <t>NTA855-G1</t>
  </si>
  <si>
    <t>15636 POMONA RINCON</t>
  </si>
  <si>
    <t>LOS SERRANOS</t>
  </si>
  <si>
    <t>91709</t>
  </si>
  <si>
    <t>VERIZON-ZUMA C.O.</t>
  </si>
  <si>
    <t>D15153</t>
  </si>
  <si>
    <t>CATERPILLAR 3406, S/N: 6BA01816, 300 KW</t>
  </si>
  <si>
    <t>29245 HEATHERCLIFF</t>
  </si>
  <si>
    <t>MALIBU</t>
  </si>
  <si>
    <t>90265</t>
  </si>
  <si>
    <t>VERIZON-MANTECA C.O.</t>
  </si>
  <si>
    <t>CUMMINS NAPA3116, S/N: 38S2691, 625 KW</t>
  </si>
  <si>
    <t>NAPA3116</t>
  </si>
  <si>
    <t>VERIZON-DEL REY C.O.</t>
  </si>
  <si>
    <t>DETROIT DIESEL 8163-7406, S/N: 16VF014876, 750 KW</t>
  </si>
  <si>
    <t>13246 FIJI WY</t>
  </si>
  <si>
    <t>90292</t>
  </si>
  <si>
    <t>VERIZON-MORGAN HILL C.O.</t>
  </si>
  <si>
    <t>DETROIT DIESEL 16V71, S/N: SA66957ZF, 400 KW</t>
  </si>
  <si>
    <t>16V71</t>
  </si>
  <si>
    <t>20 W SECOND ST</t>
  </si>
  <si>
    <t>MORGAN HILL</t>
  </si>
  <si>
    <t>95037</t>
  </si>
  <si>
    <t>VERIZON-MURRIETA C.O.</t>
  </si>
  <si>
    <t>D11591</t>
  </si>
  <si>
    <t>CUMMINS KTA-19-G1, S/N: D880109957, 350 KW</t>
  </si>
  <si>
    <t>24961 WASHINGTON</t>
  </si>
  <si>
    <t>92264</t>
  </si>
  <si>
    <t>VERIZON-MUSCOY C.O.</t>
  </si>
  <si>
    <t>D15380</t>
  </si>
  <si>
    <t>CUMMINS KT-1150-G, S/N: N/A, 300 KW</t>
  </si>
  <si>
    <t>3388 CAJON BL</t>
  </si>
  <si>
    <t>MUSCOY</t>
  </si>
  <si>
    <t>VERIZON-NEWBURY PARK C.O.</t>
  </si>
  <si>
    <t>CATERPILLAR 3412, S/N: 58BH3193, 500 KW</t>
  </si>
  <si>
    <t>670 LAWRENCE DR</t>
  </si>
  <si>
    <t>NEWBURY PARK</t>
  </si>
  <si>
    <t>VERIZON-NEWBURY PARK S.S.</t>
  </si>
  <si>
    <t>CATERPILLAR 3412, S/N: 81204886, 500 KW</t>
  </si>
  <si>
    <t>851 LAWRENCE DRIVE</t>
  </si>
  <si>
    <t>VERIZON-NEWBURY PARK BILLING CENTER</t>
  </si>
  <si>
    <t>CATERPILLAR 3512-DI, S/N: N/A, 1,500 KW</t>
  </si>
  <si>
    <t>1850 VENTU PARK RD</t>
  </si>
  <si>
    <t>VERIZON-NOVATO C.O.</t>
  </si>
  <si>
    <t>CATERPILLAR 3406-B, S/N: 6BA03569, 300 KW</t>
  </si>
  <si>
    <t>911 DIABLO AVE</t>
  </si>
  <si>
    <t>NOVATO</t>
  </si>
  <si>
    <t>94947</t>
  </si>
  <si>
    <t>VERIZON-ONTARIO C.O.</t>
  </si>
  <si>
    <t>M51362</t>
  </si>
  <si>
    <t>CUMMINS KTA-2300-G, S/N: B780300966, 750 KW</t>
  </si>
  <si>
    <t>207 W. D ST</t>
  </si>
  <si>
    <t>91710</t>
  </si>
  <si>
    <t>VERIZON-EL RIO C.O.</t>
  </si>
  <si>
    <t>CATERPILLAR 3412, S/N: 54BH4283, 400 KW</t>
  </si>
  <si>
    <t>1630 VENTURA BL</t>
  </si>
  <si>
    <t>OXNARD</t>
  </si>
  <si>
    <t>VERIZON-OXNARD MEGA CENTER</t>
  </si>
  <si>
    <t>CATERPILLAR 3516, S/N: 65A02092, 1,750 KW</t>
  </si>
  <si>
    <t>1800 SOLAR</t>
  </si>
  <si>
    <t>VERIZON-MANTILLA C.O.</t>
  </si>
  <si>
    <t>DETROIT DIESEL 16V71, S/N: 7J73, 400 KW</t>
  </si>
  <si>
    <t>2700 WOOLEY RD</t>
  </si>
  <si>
    <t>VERIZON-OXNARD C.O.</t>
  </si>
  <si>
    <t>CATERPILLAR 3508, S/N: 6NA00738, 750 KW</t>
  </si>
  <si>
    <t>900 S. "C" STREET</t>
  </si>
  <si>
    <t>VERIZON-PACIFIC PALISADES C.O.</t>
  </si>
  <si>
    <t>CATERPILLAR 3412-DI, S/N: 81Z00788, 520 KW</t>
  </si>
  <si>
    <t>15256 LA CRUZ</t>
  </si>
  <si>
    <t>PACIFIC PALISADES</t>
  </si>
  <si>
    <t>VERIZON-HASTINGS RSU</t>
  </si>
  <si>
    <t>D14940</t>
  </si>
  <si>
    <t>CUMMINS NTA-855-GS, S/N: B870876769, 300 KW</t>
  </si>
  <si>
    <t>NTA855-GS</t>
  </si>
  <si>
    <t>390 ROSEMEAD</t>
  </si>
  <si>
    <t>91107</t>
  </si>
  <si>
    <t>VERIZON-PERRIS C.O.</t>
  </si>
  <si>
    <t>M51363</t>
  </si>
  <si>
    <t>MITSUBISHI S12N-PT, S/N: NJ3085481, 750 KW</t>
  </si>
  <si>
    <t>120 E 3RD ST</t>
  </si>
  <si>
    <t>PERRIS</t>
  </si>
  <si>
    <t>91719</t>
  </si>
  <si>
    <t>VERIZON-ROLLING HILLS C.O.</t>
  </si>
  <si>
    <t>CATERPILLAR 3412, S/N: FH945302, 500 KW</t>
  </si>
  <si>
    <t>5841 CREST RD</t>
  </si>
  <si>
    <t>RANCHO PALOS VERDES</t>
  </si>
  <si>
    <t>90274</t>
  </si>
  <si>
    <t>VERIZON-RIDGECREST C.O.</t>
  </si>
  <si>
    <t>CUMMINS 3412, S/N: 81222851, 500 KW</t>
  </si>
  <si>
    <t>520 S CHINA LAKE BLVD</t>
  </si>
  <si>
    <t>RIDGECREST</t>
  </si>
  <si>
    <t>93555</t>
  </si>
  <si>
    <t>VERIZON-MARSHALL C.O.</t>
  </si>
  <si>
    <t>CATERPILLAR 3412, S/N: 81Z05935, 500 KW</t>
  </si>
  <si>
    <t>3116 NORTH 'E' STREET</t>
  </si>
  <si>
    <t>SAN BERNARDINO</t>
  </si>
  <si>
    <t>92404</t>
  </si>
  <si>
    <t>VERIZON-SAN BERNARDINO RSU</t>
  </si>
  <si>
    <t>D10688</t>
  </si>
  <si>
    <t>CATERPILLAR 3412, S/N: 54BH3146, 420 KW</t>
  </si>
  <si>
    <t>1245 S WATERMAN</t>
  </si>
  <si>
    <t>92408</t>
  </si>
  <si>
    <t>VERIZON-SAN DIMAS C.O.</t>
  </si>
  <si>
    <t>D15144</t>
  </si>
  <si>
    <t>CATERPILLAR 3406, S/N: 2WB2999, 300 KW</t>
  </si>
  <si>
    <t>165 MONTE VISTA</t>
  </si>
  <si>
    <t>91773</t>
  </si>
  <si>
    <t>VERIZON-LAS POSITAS C.O.</t>
  </si>
  <si>
    <t>DETROIT DIESEL 12V71, S/N: 504618-R8, 400 KW</t>
  </si>
  <si>
    <t>3630 STATE ST</t>
  </si>
  <si>
    <t>93105</t>
  </si>
  <si>
    <t>VERIZON-SANTA BARBARA C.O.</t>
  </si>
  <si>
    <t>CATERPILLAR 3512-STD, S/N: 6PA02018, 1,250 KW</t>
  </si>
  <si>
    <t>101 W CANON PERDIDO</t>
  </si>
  <si>
    <t>93101</t>
  </si>
  <si>
    <t>VERIZON-SANTA MARIA C.O.</t>
  </si>
  <si>
    <t>DETROIT DIESEL 12V92, S/N: 3043198, 500 KW</t>
  </si>
  <si>
    <t>200 W CHURCH ST</t>
  </si>
  <si>
    <t>93454</t>
  </si>
  <si>
    <t>VERIZON-SANTA PAULA C.O.</t>
  </si>
  <si>
    <t>CATERPILLAR 3406-B, S/N: BA02928, 300 KW</t>
  </si>
  <si>
    <t>121 N  OJAI ST</t>
  </si>
  <si>
    <t>SANTA PAULA</t>
  </si>
  <si>
    <t>VERIZON-SIERRA MADRE C.O.</t>
  </si>
  <si>
    <t>D15145</t>
  </si>
  <si>
    <t>CUMMINS NTA-855, S/N: 153547/1, 300 KW</t>
  </si>
  <si>
    <t>128 N BALDWIN</t>
  </si>
  <si>
    <t>SIERRA MADRE</t>
  </si>
  <si>
    <t>91024</t>
  </si>
  <si>
    <t>VERIZON-SUNLAND C.O.</t>
  </si>
  <si>
    <t>D09338</t>
  </si>
  <si>
    <t>CUMMINS NTA-855-G2, S/N: C870877491, 300 KW</t>
  </si>
  <si>
    <t>8000 FOOTHILL</t>
  </si>
  <si>
    <t>SUNLAND</t>
  </si>
  <si>
    <t>VERIZON-SYLMAR C.O.</t>
  </si>
  <si>
    <t>D09340</t>
  </si>
  <si>
    <t>CATERPILLAR 3406-DITA, S/N: 6BA01577, 300 KW</t>
  </si>
  <si>
    <t>3406-DITA</t>
  </si>
  <si>
    <t>14385 POLK ST</t>
  </si>
  <si>
    <t>91342</t>
  </si>
  <si>
    <t>VERIZON-TAFT C.O.</t>
  </si>
  <si>
    <t>S-2581-2-0</t>
  </si>
  <si>
    <t>CUMMINS NS-743PG320, S/N: I269183704, 300 KW</t>
  </si>
  <si>
    <t>NS-743PG320</t>
  </si>
  <si>
    <t>314 MAIN ST</t>
  </si>
  <si>
    <t>TAFT</t>
  </si>
  <si>
    <t>VERIZON-CONEJO C.O.</t>
  </si>
  <si>
    <t>CATERPILLAR 3406, S/N: 6BA02085, 300 KW</t>
  </si>
  <si>
    <t>2949 MOORPARK</t>
  </si>
  <si>
    <t>THOUSAND OAKS</t>
  </si>
  <si>
    <t>VERIZON-THOUSAND OAKS C.O.</t>
  </si>
  <si>
    <t>CATERPILLAR BF584, S/N: 3M500170, 1,250 KW</t>
  </si>
  <si>
    <t>BF584</t>
  </si>
  <si>
    <t>1204 E THOUSAND OAKS BLVD</t>
  </si>
  <si>
    <t>VERIZON-THOUSAND OAKS T.O.</t>
  </si>
  <si>
    <t>CATERPILLAR 3406, S/N: 9G300484, 350 KW</t>
  </si>
  <si>
    <t>50 S. PARKER</t>
  </si>
  <si>
    <t>VERIZON-LAKEVIEW ANNEX</t>
  </si>
  <si>
    <t>CATERPILLAR 3508, S/N: 23Z0782, 750 KW</t>
  </si>
  <si>
    <t>112 LAKEVIEW CANYON ROAD</t>
  </si>
  <si>
    <t>91362</t>
  </si>
  <si>
    <t>VERIZON-TOPANGA C.O.</t>
  </si>
  <si>
    <t>D11594</t>
  </si>
  <si>
    <t>CATERPILLAR 3406D1, S/N: 153548/01, 300 KW</t>
  </si>
  <si>
    <t>3406DI</t>
  </si>
  <si>
    <t>156 TOPANGA CANYON</t>
  </si>
  <si>
    <t>TOPANGA</t>
  </si>
  <si>
    <t>VERIZON-TWENTY-NINE PALMS C.O.</t>
  </si>
  <si>
    <t>E003606</t>
  </si>
  <si>
    <t>CATERPILLAR D343, S/N: 62B15388, 300 KW</t>
  </si>
  <si>
    <t>6581 ADOBE RD</t>
  </si>
  <si>
    <t>TWENTY-NINE PALMS</t>
  </si>
  <si>
    <t>VERIZON-VICTORVILLE C.O.</t>
  </si>
  <si>
    <t>DETROIT DIESEL 9123-7416, S/N: 12V-149TIB, 1,250 KW</t>
  </si>
  <si>
    <t>16461 MOJAVE DR - BLDG A</t>
  </si>
  <si>
    <t>VICTORVILLE</t>
  </si>
  <si>
    <t>VERIZON-WHITWOOD C.O.</t>
  </si>
  <si>
    <t>CATERPILLAR 3412, S/N: 81Z5641, 500 KW</t>
  </si>
  <si>
    <t>11024 FIRST AV</t>
  </si>
  <si>
    <t>90603</t>
  </si>
  <si>
    <t>•  Only BUGs with generating capacities greater than 300 kW are included in the inventory database.</t>
  </si>
  <si>
    <t>El Dorado County AQMD</t>
  </si>
  <si>
    <t>ICE, Detroit Diesel, Model No. 12V-149, Serial No. 12E-3273, 910 HP, Diesel , Turbocharged</t>
  </si>
  <si>
    <t>South Tahoe Public Utility District</t>
  </si>
  <si>
    <t>15-520-01</t>
  </si>
  <si>
    <t>ICE, Detroit Diesel, Model No. 9163-7316, Serial No. 16E-12728, 2146 HP, Diesel, Turbocharged, Aftercooled</t>
  </si>
  <si>
    <t>Luther Pass Pump Station-534 Grass Lake Road</t>
  </si>
  <si>
    <t>Tahoe Paradise</t>
  </si>
  <si>
    <t>Rick Hydrick</t>
  </si>
  <si>
    <t>(530) 544-6474</t>
  </si>
  <si>
    <t>15-521-01</t>
  </si>
  <si>
    <t>13-441-02</t>
  </si>
  <si>
    <t>ICE, Detroit Diesel, Model No. 9163-7416, 2146 BHP, 16 cylinders, two stroke, turbocharged, aftercooled</t>
  </si>
  <si>
    <t>1275 Meadow Crest Drive</t>
  </si>
  <si>
    <t>09-478-01</t>
  </si>
  <si>
    <t>ICE,  Caterpillar, Diesel, Model No. 3412, Serial No. 38S8001, 574 HP</t>
  </si>
  <si>
    <t>09-495-01</t>
  </si>
  <si>
    <t>ICE, Detroit Diesel, Model No. 6V-92, Serial No. 80637416, 474 HP, Diesel, Turbocharged, Aftercooled</t>
  </si>
  <si>
    <t>Keys &amp; Venice</t>
  </si>
  <si>
    <t>09-476-01</t>
  </si>
  <si>
    <t>ICE, Detroit Diesel, Model No. 6V-92TA or 8063-7416, Serial No. OVF212670, 474 HP, Diesel, Turbocharger, Aftercooler, Timing Retarded by 4 Degrees</t>
  </si>
  <si>
    <t>09-479-01</t>
  </si>
  <si>
    <t>ICE, Waukesha, Model No. LROKB12298B, 450 HP, Natural Gas</t>
  </si>
  <si>
    <t>LROKB12298B</t>
  </si>
  <si>
    <t>Blue Shield of California</t>
  </si>
  <si>
    <t>15-1156-01</t>
  </si>
  <si>
    <t>ICE, Emergency Standby Generator, Spectrum Detroit Diesel 1000DS-4362001587, 1495 bhp, Diesel</t>
  </si>
  <si>
    <t>1000DS-4362001587</t>
  </si>
  <si>
    <t>4201 Town Center Drive</t>
  </si>
  <si>
    <t>Dawn Fortino</t>
  </si>
  <si>
    <t>(916) 350-2892</t>
  </si>
  <si>
    <t>El Dorado County Sheriff's Office</t>
  </si>
  <si>
    <t>13-1175-01</t>
  </si>
  <si>
    <t>Emergency Standby ICE Generator: Kohler 300 ROZ71 Serial #195628, 500 KW, Diesel, Turbo charger, and Aftercooler</t>
  </si>
  <si>
    <t>300 ROZ71</t>
  </si>
  <si>
    <t>300 Fair Lane</t>
  </si>
  <si>
    <t>Bruce Pease</t>
  </si>
  <si>
    <t>(530) 621-5857</t>
  </si>
  <si>
    <t>13-1098-01</t>
  </si>
  <si>
    <t>Emergency Standby ICE Generator: Caterpillar 3406B, 350 KW, Serial No. 4RG00842, Diesel, Installed in 1991</t>
  </si>
  <si>
    <t>13-1097-01</t>
  </si>
  <si>
    <t>Emergency Standby ICE Generator: Cummins VT12-700-GS, Serial No. 99774, Diesel Fueled, 700 HP, Installed in 1972</t>
  </si>
  <si>
    <t>City of Placerville</t>
  </si>
  <si>
    <t>15-832-01</t>
  </si>
  <si>
    <t>Emergency Standby ICE Generator: Detroit Diesel 600DS60, 947 hp, Diesel, Turbocharged and Aftercooled</t>
  </si>
  <si>
    <t>600DS60</t>
  </si>
  <si>
    <t>2300 Cool Water Creek Road</t>
  </si>
  <si>
    <t>Mike Thompson</t>
  </si>
  <si>
    <t>(530) 642-5244</t>
  </si>
  <si>
    <t>13-903-01</t>
  </si>
  <si>
    <t>Emergency Standby Generator #2, Cummins 1500DFMB, Serial No. F980761328, 2200 hp, diesel and natural gas, turbocharger, aftercooler, b-fuel technology</t>
  </si>
  <si>
    <t>Diesel/Natral Gas</t>
  </si>
  <si>
    <t>1500DFMB</t>
  </si>
  <si>
    <t>13-1222-01</t>
  </si>
  <si>
    <t>Emergency Standby ICE Generator, Detroit Diesel R083-7K36, Serial No. 5302001474, 765 hp, Diesel, Turbocharged, Intercooled.</t>
  </si>
  <si>
    <t>2731 Tam O' Shanter Dr.</t>
  </si>
  <si>
    <t>Tracey Eden Bishop</t>
  </si>
  <si>
    <t>(530) 642-4054</t>
  </si>
  <si>
    <t>Marriott Grand Residence Club</t>
  </si>
  <si>
    <t>15-1233-01</t>
  </si>
  <si>
    <t>Emergency Standby ICE Generator, Caterpillar 3406B, Serial No. 4ZRO7877, 587 hp, Diesel, Turbocharged, Aftercooled, Intercooled</t>
  </si>
  <si>
    <t>1001 Park Avenue</t>
  </si>
  <si>
    <t>(530) 542-6603</t>
  </si>
  <si>
    <t>13-530-01</t>
  </si>
  <si>
    <t>Emergency Standby ICE Generator, Cummins QSX15-G9, Serial No. 14026269, 755 hp, Diesel, Turbocharged</t>
  </si>
  <si>
    <t>5032 Pony Express Trail</t>
  </si>
  <si>
    <t>Cedar Grove</t>
  </si>
  <si>
    <t>Linus Farias</t>
  </si>
  <si>
    <t>(925) 823-8851</t>
  </si>
  <si>
    <t>13-535-01</t>
  </si>
  <si>
    <t>Emergency Standby ICE Generator, Cummins, N14-G2, Serial No. 11990700, 535 hp, Diesel, Turbocharged</t>
  </si>
  <si>
    <t>1020 St. Andrews Drive</t>
  </si>
  <si>
    <t>South Lake Tahoe Public Utility District</t>
  </si>
  <si>
    <t>13-1152-01</t>
  </si>
  <si>
    <t>Emergency Standby ICE Generator, Caterpillar 3406, Serial No. 1LS01389, 450 hp, Diesel, Turbocharged, Aftercooled</t>
  </si>
  <si>
    <t>Emerald Bay Road &amp; NWC Valhalla Road</t>
  </si>
  <si>
    <t>(540) 544-6474</t>
  </si>
  <si>
    <t>American Borate Company</t>
  </si>
  <si>
    <t>2 miles SE HWY 190, South of Dantes View Road</t>
  </si>
  <si>
    <t>Death Valley</t>
  </si>
  <si>
    <t>92384</t>
  </si>
  <si>
    <t>Northern Inyo County Local Hospital District</t>
  </si>
  <si>
    <t>Timing Retard and CleanDIESEL Catalytic Converters</t>
  </si>
  <si>
    <t>(150 Pioneer Lane) Corner of Pioneer Lane and West Line Street</t>
  </si>
  <si>
    <t>Bishop</t>
  </si>
  <si>
    <t>93514</t>
  </si>
  <si>
    <t xml:space="preserve">Bishop </t>
  </si>
  <si>
    <t>Marine Corps Mount. Warfare Trng Center</t>
  </si>
  <si>
    <t>Timing Retard and Turbocharger</t>
  </si>
  <si>
    <t>4 miles west of HWY 395, off HWY 108</t>
  </si>
  <si>
    <t>Mono County</t>
  </si>
  <si>
    <t>Mountain Utilities         (Kirkwood Ski Res)</t>
  </si>
  <si>
    <t>1547 Kirkwood Meadows Drive, Kirkwood  95646</t>
  </si>
  <si>
    <t>Kirkwood</t>
  </si>
  <si>
    <t>Amador County - GSA - Courts</t>
  </si>
  <si>
    <t>GSA02</t>
  </si>
  <si>
    <t>603 hp caterpillar ic engine, diesel fired, 400 kw</t>
  </si>
  <si>
    <t>810 Court Street</t>
  </si>
  <si>
    <t>Jackson</t>
  </si>
  <si>
    <t>95642</t>
  </si>
  <si>
    <t>Amador County - GSA - Sheriff's Office</t>
  </si>
  <si>
    <t>ACS01</t>
  </si>
  <si>
    <t>Allis chalmers 649 diesel engine</t>
  </si>
  <si>
    <t>Mule Creek State Prison</t>
  </si>
  <si>
    <t>CDC05</t>
  </si>
  <si>
    <t>750 kw backup cogeneration, 1 of 2 Caterpillar ic engines, diesel fired, model 3508, S/N 23Z02717</t>
  </si>
  <si>
    <t xml:space="preserve">4001 Highway 104 PO Box 409099 </t>
  </si>
  <si>
    <t>Ione</t>
  </si>
  <si>
    <t>Howard Berkhart (ext. 6999)</t>
  </si>
  <si>
    <t>(209) 274-4911</t>
  </si>
  <si>
    <t>750 kw backup cogeneration, 1 of 2 Caterpillar ic engines, diesel fired, model 3508, S/N 23Z02726</t>
  </si>
  <si>
    <t>CDC06</t>
  </si>
  <si>
    <t>1500 kw backup, Caterpillar ic engine, diesel fired, model 3516, S/N 25Z01377</t>
  </si>
  <si>
    <t>Preston School - CA Youth Authority</t>
  </si>
  <si>
    <t>CYA03</t>
  </si>
  <si>
    <t>750 kw detriot diesel, v-16 engine, 1100 hp</t>
  </si>
  <si>
    <t>201 Waterman Road</t>
  </si>
  <si>
    <t>95640</t>
  </si>
  <si>
    <t xml:space="preserve">A/C </t>
  </si>
  <si>
    <t>Cummins KTA50-G9, 4 Cycle, 60 degrees V, 16 cyliner diesel engine, 1250 kw</t>
  </si>
  <si>
    <t>Sutter Amador Hospital</t>
  </si>
  <si>
    <t>SAH03</t>
  </si>
  <si>
    <t>900 kw gen set, caterpillar ic engine, diesel fired</t>
  </si>
  <si>
    <t>200 Mission Boulevard</t>
  </si>
  <si>
    <t>Colusa Community Hospital</t>
  </si>
  <si>
    <t>pre-1991</t>
  </si>
  <si>
    <t>Caterpillar-Holt 300 KW Generator Set</t>
  </si>
  <si>
    <t>199 E. Webber Street</t>
  </si>
  <si>
    <t>Colusa</t>
  </si>
  <si>
    <t>Jim Chalker</t>
  </si>
  <si>
    <t>(530) 458-5821</t>
  </si>
  <si>
    <t>Caterpillar 3406, Diesel Fired Internal Combustion Engine Generator DCL Mine-X Soot Filter rated at 0.01 g/bhp or 85% control efficiency</t>
  </si>
  <si>
    <t>210 10th Street</t>
  </si>
  <si>
    <t>Jennifer Belknap</t>
  </si>
  <si>
    <t>(360) 883-2477</t>
  </si>
  <si>
    <t>Arroyo Grande Community Hospital</t>
  </si>
  <si>
    <t>345 S. Halycon Road</t>
  </si>
  <si>
    <t>Arroyo Grande</t>
  </si>
  <si>
    <t>Gale Gascho</t>
  </si>
  <si>
    <t>(805) 489-4261</t>
  </si>
  <si>
    <t>Atascadero State Hospital</t>
  </si>
  <si>
    <t>10333 El Camino Real</t>
  </si>
  <si>
    <t xml:space="preserve">Atascadero  </t>
  </si>
  <si>
    <t>Bob King</t>
  </si>
  <si>
    <t xml:space="preserve">(805) 468-2000       </t>
  </si>
  <si>
    <t xml:space="preserve">Atascadero </t>
  </si>
  <si>
    <t>Bill Boriack</t>
  </si>
  <si>
    <t>Sierra Vista Hospital</t>
  </si>
  <si>
    <t>1010 Murray Ave.</t>
  </si>
  <si>
    <t>San Luis Obispo</t>
  </si>
  <si>
    <t>Ralp Deeds</t>
  </si>
  <si>
    <t>(805) 546-7600</t>
  </si>
  <si>
    <t>CA Dept Water Resources</t>
  </si>
  <si>
    <t>TAD 1230</t>
  </si>
  <si>
    <t>Palonio Pass Pumping Station</t>
  </si>
  <si>
    <t>Shandon</t>
  </si>
  <si>
    <t>Glenn Gordon</t>
  </si>
  <si>
    <t>(805) 858-5554</t>
  </si>
  <si>
    <t>3406 ATAAC</t>
  </si>
  <si>
    <t xml:space="preserve">P.O. Box 15083             </t>
  </si>
  <si>
    <t>Douglas Vestal</t>
  </si>
  <si>
    <t>(916) 972-3587</t>
  </si>
  <si>
    <t>Capitolio Way</t>
  </si>
  <si>
    <t>93401</t>
  </si>
  <si>
    <t>Steve Grogean</t>
  </si>
  <si>
    <t>(925) 398-3000</t>
  </si>
  <si>
    <t>California Men's Colony</t>
  </si>
  <si>
    <t>P.O. Box 8101</t>
  </si>
  <si>
    <t xml:space="preserve">Tom Bass      </t>
  </si>
  <si>
    <t>(805) 547-7879</t>
  </si>
  <si>
    <t>Qwest Communications</t>
  </si>
  <si>
    <t>3516 B</t>
  </si>
  <si>
    <t>Larry Reichert</t>
  </si>
  <si>
    <t>(303) 992-3223</t>
  </si>
  <si>
    <t>World Com</t>
  </si>
  <si>
    <t>3512 B</t>
  </si>
  <si>
    <t>101 Los Olivos Ave.</t>
  </si>
  <si>
    <t>Los Osos</t>
  </si>
  <si>
    <t xml:space="preserve">Mikal Modisette </t>
  </si>
  <si>
    <t>(805) 596-2311</t>
  </si>
  <si>
    <t>Mikal Modisette</t>
  </si>
  <si>
    <t>872 Morro Street</t>
  </si>
  <si>
    <t>Barbara Walden</t>
  </si>
  <si>
    <t>(925) 224-1488</t>
  </si>
  <si>
    <t>Cal Poly State University</t>
  </si>
  <si>
    <t>Dining Hall</t>
  </si>
  <si>
    <t>Doug Overman</t>
  </si>
  <si>
    <t>(805) 756-5555</t>
  </si>
  <si>
    <t>Performing Arts Center</t>
  </si>
  <si>
    <t>Pilling Building</t>
  </si>
  <si>
    <t>Highway 1</t>
  </si>
  <si>
    <t>93409-8101</t>
  </si>
  <si>
    <t>Camp Roberts</t>
  </si>
  <si>
    <t>San Miguel</t>
  </si>
  <si>
    <t>Ron Sulivan</t>
  </si>
  <si>
    <t>(805) 238-8010</t>
  </si>
  <si>
    <t>City of Paso Robles WD</t>
  </si>
  <si>
    <t>Drycreek Portable</t>
  </si>
  <si>
    <t>Paso Robles</t>
  </si>
  <si>
    <t>Wade Hatch</t>
  </si>
  <si>
    <t>(805) 237-3873</t>
  </si>
  <si>
    <t>DryCreek Wells</t>
  </si>
  <si>
    <t>Thunderbird Wells</t>
  </si>
  <si>
    <t>City of Paso Robles WWD</t>
  </si>
  <si>
    <t>River Road</t>
  </si>
  <si>
    <t>City of San Luis Obispo</t>
  </si>
  <si>
    <t>LTA10GI</t>
  </si>
  <si>
    <t>Stenner Creek Road</t>
  </si>
  <si>
    <t>Wayne Hetland</t>
  </si>
  <si>
    <t>(805) 781-7215</t>
  </si>
  <si>
    <t>35 Prado Road</t>
  </si>
  <si>
    <t>Dave Hix</t>
  </si>
  <si>
    <t>Global West Networks</t>
  </si>
  <si>
    <t>767 Foothill Blvd</t>
  </si>
  <si>
    <t>Gary Fain</t>
  </si>
  <si>
    <t>(619) 744-4065</t>
  </si>
  <si>
    <t>San Luis Obispo County</t>
  </si>
  <si>
    <t>West Jail Honor Farm</t>
  </si>
  <si>
    <t>Bob Eckman</t>
  </si>
  <si>
    <t>(805) 781-5124</t>
  </si>
  <si>
    <t>ConocoPhilips SMF</t>
  </si>
  <si>
    <t>2555 Willow Road</t>
  </si>
  <si>
    <t>Marty Hall-Burr</t>
  </si>
  <si>
    <t>(805) 343-3212</t>
  </si>
  <si>
    <t>Union Asphalt</t>
  </si>
  <si>
    <t>2480 Ramada Drive</t>
  </si>
  <si>
    <t>Bob Kober</t>
  </si>
  <si>
    <t>(805) 922-3551</t>
  </si>
  <si>
    <t>Tank site 1, off Hwy 46</t>
  </si>
  <si>
    <t>Larry Seifert</t>
  </si>
  <si>
    <t>(805) 463-2122</t>
  </si>
  <si>
    <t>Duke Energy</t>
  </si>
  <si>
    <t>Morro Bay</t>
  </si>
  <si>
    <t>Barry LaJoie</t>
  </si>
  <si>
    <t>(805) 595-4229</t>
  </si>
  <si>
    <t>Williams Communication</t>
  </si>
  <si>
    <t>254 Granada Street</t>
  </si>
  <si>
    <t>Mike Bednar</t>
  </si>
  <si>
    <t>(918) 547-0964</t>
  </si>
  <si>
    <t>Santa Cruz Biotechnology</t>
  </si>
  <si>
    <t>3600 Dry Creek Road</t>
  </si>
  <si>
    <t>Matt Mullin</t>
  </si>
  <si>
    <t>(831) 457-3800</t>
  </si>
  <si>
    <t>Aggregate Material Processing Inc.</t>
  </si>
  <si>
    <t>Parks Bar Bridge at Hwy 20</t>
  </si>
  <si>
    <t>Smartville</t>
  </si>
  <si>
    <t>Bill Sliger</t>
  </si>
  <si>
    <t>530-521-4411</t>
  </si>
  <si>
    <t>Beale AFB, 9 CES/CEV</t>
  </si>
  <si>
    <t>pre 1994</t>
  </si>
  <si>
    <t>8063-7411</t>
  </si>
  <si>
    <t>Civil Engineering Squadron</t>
  </si>
  <si>
    <t>Beale AFB</t>
  </si>
  <si>
    <t>Edison Wong</t>
  </si>
  <si>
    <t>530-634-2645</t>
  </si>
  <si>
    <t>Beale AFB, Pave Paws</t>
  </si>
  <si>
    <t>General Electric</t>
  </si>
  <si>
    <t>FDS16</t>
  </si>
  <si>
    <t>Pave Paws</t>
  </si>
  <si>
    <t>Butte Sand &amp; Gravel</t>
  </si>
  <si>
    <t>10373 South Butte Road</t>
  </si>
  <si>
    <t>Sutter</t>
  </si>
  <si>
    <t>Darren Morehead</t>
  </si>
  <si>
    <t>530-755-0225</t>
  </si>
  <si>
    <t>Dan Garcia Company</t>
  </si>
  <si>
    <t>pre 1992</t>
  </si>
  <si>
    <t>6132 Hwy. 20</t>
  </si>
  <si>
    <t>Browns Valley</t>
  </si>
  <si>
    <t>Dan Garcia</t>
  </si>
  <si>
    <t>530-743-0598</t>
  </si>
  <si>
    <t>Fremont Medical Center</t>
  </si>
  <si>
    <t>pre 1995</t>
  </si>
  <si>
    <t>EPG-03</t>
  </si>
  <si>
    <t>970 Plumas St</t>
  </si>
  <si>
    <t>Yuba City</t>
  </si>
  <si>
    <t>Dick Shinn</t>
  </si>
  <si>
    <t>530-749-4367</t>
  </si>
  <si>
    <t>Holt of California, Inc.</t>
  </si>
  <si>
    <t>7310 Pacific Avenue</t>
  </si>
  <si>
    <t>Pleasant Grove</t>
  </si>
  <si>
    <t>Jerry DeRego</t>
  </si>
  <si>
    <t>530-91-8317</t>
  </si>
  <si>
    <t>3387 Riego Road</t>
  </si>
  <si>
    <t>Elverta</t>
  </si>
  <si>
    <t>Matt Nelson</t>
  </si>
  <si>
    <t>916-372-7979</t>
  </si>
  <si>
    <t>Rideout Hospital</t>
  </si>
  <si>
    <t>Williams &amp; Lane</t>
  </si>
  <si>
    <t>TBGZJ/6408 500 KVA</t>
  </si>
  <si>
    <t>726 Fourty St.</t>
  </si>
  <si>
    <t>Marysville</t>
  </si>
  <si>
    <t>Mike Matheney / Dick Shinn</t>
  </si>
  <si>
    <t>530-749-436</t>
  </si>
  <si>
    <t>1250DFLC 1563 KVA</t>
  </si>
  <si>
    <t>Glenn County HRA</t>
  </si>
  <si>
    <t>4 stroke turbo-charged in-line 6 cylinder Cummins KTA19-G4 Diesel engine, max power output of 507 KWm at 680 HP, with a continuous power output of 429 KWm at 575 HP</t>
  </si>
  <si>
    <t>420 E. Laurel Street</t>
  </si>
  <si>
    <t>Willows</t>
  </si>
  <si>
    <t>Bill Krause</t>
  </si>
  <si>
    <t>(530) 934-6514</t>
  </si>
  <si>
    <t>Johns Manville</t>
  </si>
  <si>
    <t>Cummins VTA-1710-GS, 900 bhp @ 1800 rpm, 0.5 MW</t>
  </si>
  <si>
    <t>5916 County Road 49</t>
  </si>
  <si>
    <t>Dwayne Wendorf</t>
  </si>
  <si>
    <t>(530) 934-6229</t>
  </si>
  <si>
    <t>Cummins VTA-28-G2, 900 bhp @ 1800 rpm, 0.6 MW</t>
  </si>
  <si>
    <t>Calipatria State Prison</t>
  </si>
  <si>
    <t>Caterpillar Model SR4, 2000 KW, Caterpillar Diesel Engine Model No. 3516, 2847 HP</t>
  </si>
  <si>
    <t>7018 Blair Road</t>
  </si>
  <si>
    <t>Calipatria</t>
  </si>
  <si>
    <t>92233-5001</t>
  </si>
  <si>
    <t>ET Valdez (ext. 5907)</t>
  </si>
  <si>
    <t>(760) 348-7000</t>
  </si>
  <si>
    <t>Centinela State Prison</t>
  </si>
  <si>
    <t>2303 Brown Road</t>
  </si>
  <si>
    <t>Imperial</t>
  </si>
  <si>
    <t>92251-0731</t>
  </si>
  <si>
    <t>Steve Kina</t>
  </si>
  <si>
    <t>(619) 337-7900</t>
  </si>
  <si>
    <t>City of El Centro Water Treatment Plant</t>
  </si>
  <si>
    <t>Caterpillar Model 3500B Diesel Engine, 1502 HP</t>
  </si>
  <si>
    <t>3500B</t>
  </si>
  <si>
    <t>3010 S. 8th St.</t>
  </si>
  <si>
    <t>El Centro</t>
  </si>
  <si>
    <t>Onan genset powered by a Cummins Model 3382905 Diesel, 650 KW, 1135 HP</t>
  </si>
  <si>
    <t>526 E. D St.</t>
  </si>
  <si>
    <t>Brawley</t>
  </si>
  <si>
    <t>Amgen Inc.</t>
  </si>
  <si>
    <t>one of 25 generators</t>
  </si>
  <si>
    <t>One Amgen Center Drive 19-2-A</t>
  </si>
  <si>
    <t>Thousand Oaks</t>
  </si>
  <si>
    <t>91320-1789</t>
  </si>
  <si>
    <t>Camarillo Wastewater Plant</t>
  </si>
  <si>
    <t>Caterpillar Model 3516SDT, Serial No. 2523594, used as a Backup Utility Generator (BUG).</t>
  </si>
  <si>
    <t>3516 SDT</t>
  </si>
  <si>
    <t>150 Howard Road</t>
  </si>
  <si>
    <t>Camarillo</t>
  </si>
  <si>
    <t>93010</t>
  </si>
  <si>
    <t>Caterpillar Model 3412DI, Serial No. 81206322, used as a Backup Utility Generator (BUG).</t>
  </si>
  <si>
    <t>Chase Brothers Dairy</t>
  </si>
  <si>
    <t>Caterpillar, Model 3412, Serial No. 2WJ01662</t>
  </si>
  <si>
    <t>595 Wolff Road</t>
  </si>
  <si>
    <t>Oxnard</t>
  </si>
  <si>
    <t>93033</t>
  </si>
  <si>
    <t>Haas Automation</t>
  </si>
  <si>
    <t>Caterpillar, Serial No. 6HN01407, Family Name YCPXL69.OERK</t>
  </si>
  <si>
    <t>2800 Sturgis Road</t>
  </si>
  <si>
    <t>93030</t>
  </si>
  <si>
    <t>Hill Cyn Wastewater Treatment Plant</t>
  </si>
  <si>
    <t>Caterpillar, Model 3412-DITA, Serial No. 81Z07405</t>
  </si>
  <si>
    <t>9600 Santa Rosa Road</t>
  </si>
  <si>
    <t>93012</t>
  </si>
  <si>
    <t>Caterpillar, Model 3412-DITA, Serial No. 81Z07390</t>
  </si>
  <si>
    <t>Cummins, Model NTTA855G2, Serial No. 489-105</t>
  </si>
  <si>
    <t>Maple Leaf Bakery-Pioneer Div</t>
  </si>
  <si>
    <t>Caterpillar, used as a Backup Utility Generator, Serial No. 7RN01601, Family Name YCPXL69.OERK</t>
  </si>
  <si>
    <t>2701 Statham Blvd.</t>
  </si>
  <si>
    <t>Rockwell Int'l. Science Center</t>
  </si>
  <si>
    <t>Cummins, Model KTTA-50-G1, Serial No. 63114414</t>
  </si>
  <si>
    <t>KTTA50-G1</t>
  </si>
  <si>
    <t>1049 Camino Dos Rios</t>
  </si>
  <si>
    <t>91360</t>
  </si>
  <si>
    <t>Cummins, Model KTTA-50-G1, Serial No. 63114416</t>
  </si>
  <si>
    <t>Simi Vly Water Qlty Control Plant</t>
  </si>
  <si>
    <t>Detroit Diesel, Model 16V149TA, Serial No. 16E0013674</t>
  </si>
  <si>
    <t>16V-149TA</t>
  </si>
  <si>
    <t>600 West Los Angeles Avenue</t>
  </si>
  <si>
    <t>Simi Valley</t>
  </si>
  <si>
    <t>93065</t>
  </si>
  <si>
    <t>St.John's Regional Medical Ctr</t>
  </si>
  <si>
    <t>Caterpillar, Model 3508-DITA, Serial Nos. 5UA01521, for powering backup utility generators (BUG)</t>
  </si>
  <si>
    <t>1600 North Rose Avenue</t>
  </si>
  <si>
    <t>Caterpillar, Model 3508-DITA, Serial Nos. 5UA01535, for powering backup utility generators (BUG)</t>
  </si>
  <si>
    <t>Todd Road Jail</t>
  </si>
  <si>
    <t>Caterpillar, Model 3412, Serial Nos. 81Z15135, used to power backup utility generators (BUGs)</t>
  </si>
  <si>
    <t>600 South Todd Road</t>
  </si>
  <si>
    <t>Santa Paula</t>
  </si>
  <si>
    <t>93060</t>
  </si>
  <si>
    <t>Caterpillar, Model 3412, Serial Nos. 81Z15140, used to power backup utility generators (BUGs)</t>
  </si>
  <si>
    <t>Caterpillar, Model 3412, Serial Nos. 81Z15151, used to power backup utility generators (BUGs)</t>
  </si>
  <si>
    <t>Ventura Co-Facilities &amp; Ground</t>
  </si>
  <si>
    <t>Caterpillar, Model D348, Serial No. 36J2845, for Backup Utility Generator</t>
  </si>
  <si>
    <t>800 South Victoria Ave. #L3000</t>
  </si>
  <si>
    <t>Ventura</t>
  </si>
  <si>
    <t>93009</t>
  </si>
  <si>
    <t>Caterpillar, Model 3406, Serial Nos. UZR03892, for Backup Utility Generator</t>
  </si>
  <si>
    <t>Caterpillar, Model 3406, Serial Nos. UZR04122, for Backup Utility Generator</t>
  </si>
  <si>
    <t>Detroit Diesel, Model D38SFRX4, Serial No. 7512SJ27084, for Backup Utility Generator</t>
  </si>
  <si>
    <t>D38SFRX4</t>
  </si>
  <si>
    <t>Ventura School</t>
  </si>
  <si>
    <t>Caterpillar, Model 3508, Serial No. 23Z02114, used as a Backup Utility Generator (BUG).</t>
  </si>
  <si>
    <t>3100 Wright Road</t>
  </si>
  <si>
    <t>93010-8307</t>
  </si>
  <si>
    <t>01381</t>
  </si>
  <si>
    <t>1850 BHP Cummins Diesel Engines, Model QSK45-G4, EPA Family Name YCEXL060.ABA, Serial Nos. 33147404, 33147834, 33147640, 33147423, for Backup Utility Generators</t>
  </si>
  <si>
    <t>QSK45-G4</t>
  </si>
  <si>
    <t>One Amgen Center Drive 19-1-A</t>
  </si>
  <si>
    <t>Baxter Healthcare</t>
  </si>
  <si>
    <t>01078</t>
  </si>
  <si>
    <t>1050 BHP Caterpillar Diesel Engine, Model 3412E, Serial No. 6FA085030, for Backup Utility Generator No.1</t>
  </si>
  <si>
    <t>3412E</t>
  </si>
  <si>
    <t>1700 Rancho Conejo Blvd.</t>
  </si>
  <si>
    <t>2200 BHP Caterpillar Diesel Engine, Model 3516B, Serial No. 8DM00725, for Backup Utility Generator No. 2</t>
  </si>
  <si>
    <t>00150</t>
  </si>
  <si>
    <t>2876 BHP Caterpillar Diesel Engines, Model 3516B, Serial Nos. 6HN00900 and 6HN00905, Engine Family YCPXL78.1ERK</t>
  </si>
  <si>
    <t>Saticoy Lemon Association</t>
  </si>
  <si>
    <t>00155</t>
  </si>
  <si>
    <t>713 BHP Volvo, Model TAD1631GE Diesel Engine, Serial No. 4901341-01, Family Name YV PXL16.0ACB, operated as a backup utility generator.</t>
  </si>
  <si>
    <t>7560 Bristol Road</t>
  </si>
  <si>
    <t>00263</t>
  </si>
  <si>
    <t>713 BHP Volvo, Model TAD1631GE Diesel Engine, Serial No. 4901341-02, Family Name YVPXL16.0ACB, operated as a backup utility generator</t>
  </si>
  <si>
    <t>600 E. 3rd St.</t>
  </si>
  <si>
    <t>Telair International</t>
  </si>
  <si>
    <t>00168</t>
  </si>
  <si>
    <t>1114 BHP Caterpillar, Model 3412 Diesel Engine, Serial No. BPD00406, operated as a backup utility generator.</t>
  </si>
  <si>
    <t>1950 Williams Drive</t>
  </si>
  <si>
    <t>Ventura Co-GSA</t>
  </si>
  <si>
    <t>00628</t>
  </si>
  <si>
    <t>562 BHP Detroit Diesel Engine, Model 12V-71T, Serial No. 7123-7305, for Backup Utility Generator, Hall of Justice Wing</t>
  </si>
  <si>
    <t>800 South Victoria Ave. L#3000</t>
  </si>
  <si>
    <t>Ventura County Medical Center</t>
  </si>
  <si>
    <t>00143</t>
  </si>
  <si>
    <t>2226 BHP Caterpillar Diesel Engine, Model 3516, Serial No. 3NS00233, for Backup Utility Generator</t>
  </si>
  <si>
    <t>3291 Loma Vista Road</t>
  </si>
  <si>
    <t>2206 BHP Caterpillar Diesel Engine, Model 3516, Serial No. 3NS00232, for Backup Utility Generator</t>
  </si>
  <si>
    <t>Ventura County Waterworks-Arroyo Lift Station</t>
  </si>
  <si>
    <t>07425</t>
  </si>
  <si>
    <t>896 BHP Caterpillar Diesel Engine, Model 3412C, Serial No. 9FG02064, for use as a Backup Utility Generator</t>
  </si>
  <si>
    <t>4437 Hitch Blvd.</t>
  </si>
  <si>
    <t>Moorpark</t>
  </si>
  <si>
    <t>Ventura County Waterworks-Moorpark Wastewater Treatment Plant</t>
  </si>
  <si>
    <t>07400</t>
  </si>
  <si>
    <t>910 BHP Detroit Diesel Model 12V2000 G70 Diesel Engine, Used as a Backup Utility Generator, Serial No. 0691529, Family Name 1DDXL15.9WRE</t>
  </si>
  <si>
    <t>12V2000 G70</t>
  </si>
  <si>
    <t>9550 Los Angeles Ave.</t>
  </si>
  <si>
    <t>California Lutheran University</t>
  </si>
  <si>
    <t>07464</t>
  </si>
  <si>
    <t>1120 BHP Detroit Deisel Engine Model R1237K36, used as a Backup Utility Generator, Serial No. 5352001295, EPA Family Name YDDXL31.8VRE</t>
  </si>
  <si>
    <t>60 W. Olsen Rd. #3200</t>
  </si>
  <si>
    <t>St. Francis Medical Center</t>
  </si>
  <si>
    <t>Manufacture Date: 1984; Turbocharged</t>
  </si>
  <si>
    <t>601 E MICHELTORENA ST</t>
  </si>
  <si>
    <t>SANTA BARBARA</t>
  </si>
  <si>
    <t>(805)962-7661</t>
  </si>
  <si>
    <t>DASE101</t>
  </si>
  <si>
    <t>SB Cottage Hospital - #1</t>
  </si>
  <si>
    <t>Manufacture Date: March, 1987;Turbocharged</t>
  </si>
  <si>
    <t>(805)569-7290</t>
  </si>
  <si>
    <t>SB Cottage Hospital - #2</t>
  </si>
  <si>
    <t>Manufacture Date: March, 1987; Turbocharged</t>
  </si>
  <si>
    <t>SB Cottage Hospital - #3</t>
  </si>
  <si>
    <t>Goleta Valley Hospital</t>
  </si>
  <si>
    <t>Aftercooled</t>
  </si>
  <si>
    <t>351 S. Patterson</t>
  </si>
  <si>
    <t>Marian Medical - #1</t>
  </si>
  <si>
    <t>Manufacture Date: January, 1994; Turbocharged</t>
  </si>
  <si>
    <t>1400 E CHURCH ST</t>
  </si>
  <si>
    <t>SANTA MARIA</t>
  </si>
  <si>
    <t>(805)739-3000</t>
  </si>
  <si>
    <t>Marian Medical - #2</t>
  </si>
  <si>
    <t>Manufacture Date: March, 1984; Turbocharged</t>
  </si>
  <si>
    <t>Goleta Sanitary Dist, Eng No. 6122</t>
  </si>
  <si>
    <t>Manufacture Date: August, 1987; Turbocharged, Aftercooled</t>
  </si>
  <si>
    <t>PO BOX 906</t>
  </si>
  <si>
    <t>GOLETA</t>
  </si>
  <si>
    <t>(805)967-4519</t>
  </si>
  <si>
    <t>Raytheon, Bldg B1, Engine 1</t>
  </si>
  <si>
    <t>Manufacture Date: September, 1981; Turbocharged</t>
  </si>
  <si>
    <t>6380 HOLLISTER AVE</t>
  </si>
  <si>
    <t>(805)967-5511</t>
  </si>
  <si>
    <t>Raytheon, Bldg B2, Engine 2</t>
  </si>
  <si>
    <t>Manufacture Date: 1984 (est.); Turbocharged</t>
  </si>
  <si>
    <t>Raytheon, Bldg B3, Engine 3</t>
  </si>
  <si>
    <t>Manufacture Date: December, 1980; Turbocharged</t>
  </si>
  <si>
    <t>Raytheon, Bldg B8, Engine 4</t>
  </si>
  <si>
    <t>Manufacture Date: October, 1980; Turbocharged</t>
  </si>
  <si>
    <t>95 Air Base Wing</t>
  </si>
  <si>
    <t>00129-067</t>
  </si>
  <si>
    <t>5 E. Popson Ave. Bldg. 2650A</t>
  </si>
  <si>
    <t>93524-1130</t>
  </si>
  <si>
    <t>Patrice Hallman</t>
  </si>
  <si>
    <t>(661) 277-1419</t>
  </si>
  <si>
    <t>IC ENGINE, STANDBY, DETROIT DIESEL, MODEL: R0837K36, SERIAL NO. 1676279, 685 BHP @1,800 RPM, 972 CU. IN. DISPLACEMENT, DIESEL FUELED, DRIVING AN EMERGENCY ELECTRICAL GENERATOR</t>
  </si>
  <si>
    <t>6203 Gloria Dr.</t>
  </si>
  <si>
    <t>INTERNAL COMBUSTION ENGINE, DETROIT DIESEL, MODEL NO. 12V-4000, 1850 BHP, DIESEL FIRED, DRIVING STANDBY ELECTRICAL GENERATOR</t>
  </si>
  <si>
    <t>1001 10th St.</t>
  </si>
  <si>
    <t>E.C. Looi</t>
  </si>
  <si>
    <t>(916) 443-1530</t>
  </si>
  <si>
    <t>CONCERT GLOBAL NETWORKS USA LLC</t>
  </si>
  <si>
    <t>IC ENGINE STANDBY, CUMMINS, MODEL QSK60-G7, SERIAL NO.: 33147416, 2922 HP @1800 RPM, DIESEL FUELED, DRIVING AN EMERGENCY ELECTRICAL GENERATOR</t>
  </si>
  <si>
    <t>QSK60-G7</t>
  </si>
  <si>
    <t>10901 Gold Center Dr. Suite #100</t>
  </si>
  <si>
    <t>Tony L. Walters</t>
  </si>
  <si>
    <t>(916) 826-9598</t>
  </si>
  <si>
    <t>IC ENGINE STANDBY, CUMMINS, MODEL QSK60-G6, SERIAL NO.: 33147363, 2922 HP @1800 RPM, DIESEL FUELED, DRIVING AN EMERGENCY ELECTRICAL GENERATOR</t>
  </si>
  <si>
    <t>FEDERAL HOME LOAN BANK OF SAN FRANCISCO</t>
  </si>
  <si>
    <t>INTERNAL COMBUSTION ENGINE, EMERGENCY STANDBY, DETROIT DIESEL, MODEL 6063MK35, ID NO. 1513317, 490 BHP @1800 RPM, DIESEL -FUELED, DRIVING AN ELECTRICAL GENERATOR</t>
  </si>
  <si>
    <t>Bryan Custer</t>
  </si>
  <si>
    <t>(916) 858-8377</t>
  </si>
  <si>
    <t>GOLD CENTER L.P.</t>
  </si>
  <si>
    <t>INTERNAL COMBUSTION ENGINE, CUMMINS, MODEL NO. KTA50-G9, SERIAL NO. 25270440, 2220 BHP, DIESEL FIRED, DRIVING STANDBY ELECTRICAL GENERATOR</t>
  </si>
  <si>
    <t>10929 Disk Dr.</t>
  </si>
  <si>
    <t>Bruce Bell</t>
  </si>
  <si>
    <t>(916) 635-0146</t>
  </si>
  <si>
    <t>INTERNAL COMBUSTION ENGINE, CUMMINS, MODEL NO. KTA50-G9, SERIAL NO. 25270781, 2220 BHP, DIESEL FIRED, DRIVING STANDBY ELECTRICAL GENERATOR</t>
  </si>
  <si>
    <t>10940 White Rock Rd.</t>
  </si>
  <si>
    <t>IC ENGINE, EMERGENCY USE, CATERPILLAR, MODEL NO. 3412C DITA, SERIAL NO. BPG00226, 1,649 CUBIC INCH DISPLACEMENT, 896 HP AT 1800 RPM, DIESEL FUELED, WITH A CATALYZED PARTICULATE FILTER, CLEAN AIR SYSTEM, MODEL NO. FC225, DRIVING AN ELECTRICAL GENERATOR.</t>
  </si>
  <si>
    <t>6701 4th Ave.</t>
  </si>
  <si>
    <t>Larry Unger</t>
  </si>
  <si>
    <t>916-732-2868</t>
  </si>
  <si>
    <t>HARTFORD INSURANCE</t>
  </si>
  <si>
    <t>IC ENGINE STANDBY, DETROIT DIESEL, MODEL: T1237K36, SERIAL NO.: 5262000963, 1,850 BHP @1,800 RPM, DIESEL FUELED, DRIVING AN EMERGENCY ELECTRICAL GENERATOR RATED AT 1,250 KW.</t>
  </si>
  <si>
    <t>12009 Foundation Place</t>
  </si>
  <si>
    <t>Ryan Smith</t>
  </si>
  <si>
    <t>(916) 340-2400</t>
  </si>
  <si>
    <t>STATE OF CALIFORNIA DEPARTMENT OF GENERAL SERVICES</t>
  </si>
  <si>
    <t>IC ENGINE STANDBY, MAKE: CUMMINS, MODEL: QSX15-G9, SERIAL NO: 14013789, 755 BHP @1800 RPM, 912 CU. IN. DISPLACEMENT, DIESEL FUELED, POWERING AN EMERGENCY ELECTRICAL GENERATOR.</t>
  </si>
  <si>
    <t>707 3rd St.</t>
  </si>
  <si>
    <t>West Sacramento</t>
  </si>
  <si>
    <t>Mike Meredith</t>
  </si>
  <si>
    <t>(916) 445-4608</t>
  </si>
  <si>
    <t>STATE OF CALIFORNIA HEALTH AND HUMAN SERVICES</t>
  </si>
  <si>
    <t>IC ENGINE STANDBY, MAKE: DETROIT DIESEL, MODEL 12V-4000 (T123-7K36), SERIAL NO.: 5262001027, 1,850 BHP @1,800 RPM, 2,975 CU. IN. DISPLACEMENT, DIESEL FUELED, POWERING AN EMERGENCY ELECTRICAL GENERATOR.</t>
  </si>
  <si>
    <t>John Galliani</t>
  </si>
  <si>
    <t>(916) 381-8080</t>
  </si>
  <si>
    <t>DIESEL INTERNAL COMBUSTION ENGINE, CUMMINS, MODEL #KTA50-G9, SERIAL #S013012, 2220 BHP, DRIVING STANDBY ELECTRICAL GENERATOR.</t>
  </si>
  <si>
    <t>5115 Arnold Ave. Bldg. 20</t>
  </si>
  <si>
    <t>Chris Fisher</t>
  </si>
  <si>
    <t>(916) 786-4544</t>
  </si>
  <si>
    <t>UNILAB OF SACRAMENTO</t>
  </si>
  <si>
    <t>IC ENGINE, DETROIT DIESEL, MODEL NO. R123-7K35, SERIAL NO. 5352001747, 910 BHP @1800 RPM, DIESEL FUELED, DRIVING AN EMERGENCY ELECTRICAL GENERATOR</t>
  </si>
  <si>
    <t>3714 Northgate Blvd.</t>
  </si>
  <si>
    <t>Dan Brown</t>
  </si>
  <si>
    <t>(916) 927-1492</t>
  </si>
  <si>
    <t>US GOVT. DEPT. OF VET AFFAIRS</t>
  </si>
  <si>
    <t>DIESEL IC ENGINE, DETROIT DIESEL, MODEL NO. R123-7K36, SERIAL NO. 5352001196, 1120 HP, DRIVING EMERGENCY ELECTRICAL GENERATOR.</t>
  </si>
  <si>
    <t>John O'Carroll Jr.</t>
  </si>
  <si>
    <t>(916) 843-7186</t>
  </si>
  <si>
    <t>DIESEL IC ENGINE, DETROIT DIESEL, MODEL NO. R123-7K36, SERIAL NO. 5352001207, 1120 HP, DRIVING EMERGENCY ELECTRICAL GENERATOR.</t>
  </si>
  <si>
    <t>DIESEL IC ENGINE, DETROIT DIESEL, MODEL NO. R123-7K36, SERIAL NO. 5352001222, 1120 HP, DRIVING EMERGENCY ELECTRICAL GENERATOR.</t>
  </si>
  <si>
    <t>IC ENGINE STANDBY, CATERPILLAR, MODEL 3516B, SERIAL NO. 6HN01573, 2847 HP@1800 RPM, DIESEL FUELED, DRIVING AN EMERGENCY ELECTRICAL GENERATOR</t>
  </si>
  <si>
    <t>3065 Gold Camp Dr.</t>
  </si>
  <si>
    <t>Chris Evans</t>
  </si>
  <si>
    <t>(913) 315-0302</t>
  </si>
  <si>
    <t>IC ENGINE STANDBY, CATERPILLAR, MODEL 3516B, SERIAL NO. 6HN01574, 2847 HP@1800 RPM, DIESEL FUELED, DRIVING AN EMERGENCY ELECTRICAL GENERATOR</t>
  </si>
  <si>
    <t>AUTOMATIC DATA PROCESSING</t>
  </si>
  <si>
    <t>IC ENGINE STANDBY, MAKE: CUMMINS, MODEL: QSX15-G9, SERIAL NO: 14026922, 755 BHP @1800 RPM, 912 CU. IN. DISPLACEMENT, DIESEL FUELED, POWERING AN EMERGENCY ELECTRICAL GENERATOR.</t>
  </si>
  <si>
    <t>9310 Tech Center Dr.</t>
  </si>
  <si>
    <t>Gary Larson</t>
  </si>
  <si>
    <t>(916) 638-1772</t>
  </si>
  <si>
    <t>CALIFORNIA DEPARTMENT OF TRANSPORTATION</t>
  </si>
  <si>
    <t>IC ENGINE, CUMMINS, MODEL NO. QSX15-G9, SERIAL NO. 14034627, 755 BHP@1800 RPM, DIESEL FUELED, DRIVING AN EMERGENCY ELECTRICAL GENERATOR.</t>
  </si>
  <si>
    <t>1801 30th St.</t>
  </si>
  <si>
    <t>Gerry Esker</t>
  </si>
  <si>
    <t>(916) 227-0140</t>
  </si>
  <si>
    <t xml:space="preserve">IC ENGINE STANDBY, ALCO, MODEL 8-251F, SERIAL NO.: 16991, 1,460 BHP@900 RPM, DIESEL FUELED, DRIVING AN EMERGENCY ELECTRICAL GENERATOR RATED AT 1,000 KW. </t>
  </si>
  <si>
    <t>Alco</t>
  </si>
  <si>
    <t>8-251F</t>
  </si>
  <si>
    <t>101 Bercut Dr.</t>
  </si>
  <si>
    <t xml:space="preserve">IC ENGINE STANDBY, ALCO, MODEL 8-251F, SERIAL NO.: 17004, 1,460 BHP@900 RPM, DIESEL FUELED, DRIVING AN EMERGENCY ELECTRICAL GENERATOR RATED AT 1,000 KW. </t>
  </si>
  <si>
    <t>8-21F</t>
  </si>
  <si>
    <t>7501 College Town Dr.</t>
  </si>
  <si>
    <t>IC ENGINE, CUMMINS, NORTH UNIT G244, MODEL N-14-G2, SERIAL NO. 12027951, 535 BHP@1800 RPM, DIESEL FUELED, DRIVING AN EMERGENCY ELECTRICAL GENERATOR</t>
  </si>
  <si>
    <t>5770 Freeport Blvd.</t>
  </si>
  <si>
    <t>(916) 433-6230</t>
  </si>
  <si>
    <t xml:space="preserve">CITY OF SACRAMENTO </t>
  </si>
  <si>
    <t>IC ENGINE, CUMMINS, SOUTH UNIT G245, MODEL N-14-G2, SERIAL NO. 12039526, 535 BHP @ 1800 RPM, DIESEL FUELED, DRIVING AN EMERGENCY ELECTRICAL GENERATOR</t>
  </si>
  <si>
    <t>Robert Summerset</t>
  </si>
  <si>
    <t>IC ENGINE, CUMMINS, MODEL VTA28-G5, SERIAL NO. 25206585, 900 BHP@1800 RPM, 28.0 L DISPLACEMENT, DIESEL FUELED, DRIVING AN EMERGENCY ELECTRICAL GENERATOR</t>
  </si>
  <si>
    <t>7851 Freeport Blvd.</t>
  </si>
  <si>
    <t>AC-01-52</t>
  </si>
  <si>
    <t>Emergency Diesel Generator Set, Caterpillar, Model No. 3412, Serial no. CA81Z044202W0345, 678 hp, 504 kW</t>
  </si>
  <si>
    <t>501 7th Street</t>
  </si>
  <si>
    <t>Fritz Huber</t>
  </si>
  <si>
    <t>(916) 645-3341</t>
  </si>
  <si>
    <t>Educational Media Foundation</t>
  </si>
  <si>
    <t>AC-02-39</t>
  </si>
  <si>
    <t>Emergency Generator, Engine Mfr: Detroit Diesel, Model #12V2000, Power Rating: 1120 hp, Fuel Type: Diesel, Turbocharger and Intercooler, Generator Mfr. Detroit Diesel, Model #750DS-4, Power Rating: 750 kW.</t>
  </si>
  <si>
    <t>5700 W. Oaks Blvd.</t>
  </si>
  <si>
    <t>Rocklin</t>
  </si>
  <si>
    <t>AC-02-39A</t>
  </si>
  <si>
    <t>Pacific Bell-High Rocklin</t>
  </si>
  <si>
    <t>AC-02-55</t>
  </si>
  <si>
    <t>Emergency Generator, Engine Mfr.: Caterpillar, Model #3412C, Serial Number BPG00263, Power Rating: 749 hp, Fuel Type: Diesel, Turbocharger and Aftercooler, Generator Mfr: Caterpillar, Power Rating: 500 kW</t>
  </si>
  <si>
    <t>5115 High Rock Street</t>
  </si>
  <si>
    <t>City of Roseville EUD</t>
  </si>
  <si>
    <t>CEUD-03-01</t>
  </si>
  <si>
    <t>Emergency Generator, Engine Mfr.: Detroit Diesel, Model #16V92TA, Serial No. DD16VF015765, Power Rating: 1065 hp, Fuel Type: Diesel, Turbocharger and Aftercooler, Generator Mfr: Magnamax Generators, Model: 574RS4036, Power Rating: 800 kW.</t>
  </si>
  <si>
    <t>1401 E. Roseville Parkway</t>
  </si>
  <si>
    <t>Dan Hart</t>
  </si>
  <si>
    <t>(916) 774-5770</t>
  </si>
  <si>
    <t>Placer County Water</t>
  </si>
  <si>
    <t>PCHH-03-01</t>
  </si>
  <si>
    <t>Emergency Generator, Engine Mfr: Waukesha, Model: F2894-DSU, Serial Number: N/A, Power Rating: 450 hp, Fuel Type: Diesel, Turbocharger, Generator Mfr: Electric Machinery Mfg. Co., Model 164161211, Power Rating: 300 kW.</t>
  </si>
  <si>
    <t>F2894-DSU</t>
  </si>
  <si>
    <t>French Meadows Powerhouse</t>
  </si>
  <si>
    <t>Hell Hole Reservoir</t>
  </si>
  <si>
    <t xml:space="preserve">Steve Jones </t>
  </si>
  <si>
    <t>(530) 885-6917</t>
  </si>
  <si>
    <t>GAP Inc</t>
  </si>
  <si>
    <t>GAPM-03-01</t>
  </si>
  <si>
    <t>Emergency Generator, Engine Mfr.: Caterpillar, Model 3512, Serial Number: 3YF00601. Power Rating: 2,136 hp, Fuel Type: Diesel, Turbocharger and Aftercooler, Generator Mfr: Caterpillar, Model: N/A, Power Rating: 1,200 kW.</t>
  </si>
  <si>
    <t>695 Menlo Dr.</t>
  </si>
  <si>
    <t>Randy Bertrand</t>
  </si>
  <si>
    <t>(916) 630-8388</t>
  </si>
  <si>
    <t>AC-03-62A</t>
  </si>
  <si>
    <t>Emergency Generator, Engine Mfr: Caterpillar, Model 3516B, Serial Number: FDN01100, Power Rating: 2,848 hp, Fuel Type: Diesel, Turbocharger and Aftercooler, Generator Mfr: Caterpillar, Model: N/A, Power Rating: 2,000 kW.</t>
  </si>
  <si>
    <t>Oracle Corp</t>
  </si>
  <si>
    <t>ORAR-03-01</t>
  </si>
  <si>
    <t>Emergency Geenrator, Engine Mfr: Cummins, Model: KTA19-G4, Serial Number: H970645633, Power Rating: 755 hp, Fuel Type: Diesel, Turbocharger and Aftercooler, Generator Mfr: Cummins, Model: 500 DFED, Power Rating: 500 kW.</t>
  </si>
  <si>
    <t>1001 Sunset Blvd.</t>
  </si>
  <si>
    <t>Chris Wilson</t>
  </si>
  <si>
    <t>(916) 315-4004</t>
  </si>
  <si>
    <t>Sugar Bowl Corporation</t>
  </si>
  <si>
    <t>SUGB-03-04</t>
  </si>
  <si>
    <t>Emergency Ski Lift Engine, Disney Lift, Engine Mfr: Cummins, Model: QSK19-P, Serial Number: 37188419, Power RatingL 600 hp, Fuel Type: Diesel, Turbocharger and Aftercooler, Ski Lift Mfr: Santasalo, Ski Lift Model: 1PKC355NE.</t>
  </si>
  <si>
    <t>QSK19-P</t>
  </si>
  <si>
    <t>629 Sugar Bowl Road</t>
  </si>
  <si>
    <t>Norden</t>
  </si>
  <si>
    <t>Bill Williamson</t>
  </si>
  <si>
    <t>(530) 426-6706</t>
  </si>
  <si>
    <t>SUGB-03-06</t>
  </si>
  <si>
    <t>Emergency Ski Lift Engine, Gerome Hill Lift, Engine Mfr: Cummins, Model: NTA855P, Serial Number: 11741273, Power Rating: 450 hp, Fuel Type: Diesel, Ski Lift Mfr: Allison, Ski Lift Model: TCA955.</t>
  </si>
  <si>
    <t>NTA855P</t>
  </si>
  <si>
    <t>SUGB-03-07</t>
  </si>
  <si>
    <t>Emergency Ski Lift Engine, Disney Lift, Engine Mfr: Cummins, Model: QSK19-C, Serial Number: 37198380, Power Rating: 755 hp, Fuel Type: Diesel, Turbocharger and Aftercooler, Ski Lift Mfr: Metso, Ski Lift Model: H0027910.</t>
  </si>
  <si>
    <t>QSK19-C</t>
  </si>
  <si>
    <t>SUGB-03-09</t>
  </si>
  <si>
    <t>Emergecny Ski Lift Engine, Mt. Judah Lift, Engine Mfr: Cummins, Model: KTA19-P, Serial Number: 64816, Power Rating: 600 hp, Fuel Type: Diesel, Ski Lift Mfr: Kissling, Ski Lift Model: VKE-340.</t>
  </si>
  <si>
    <t>KTA19-P</t>
  </si>
  <si>
    <t>Burney Forest Products</t>
  </si>
  <si>
    <t>99-37</t>
  </si>
  <si>
    <t>35586-B Hwy 299</t>
  </si>
  <si>
    <t>Burney</t>
  </si>
  <si>
    <t>Don Binger</t>
  </si>
  <si>
    <t>530-335-5027</t>
  </si>
  <si>
    <t>Burney Mountain Power</t>
  </si>
  <si>
    <t>99-28</t>
  </si>
  <si>
    <t>P.O. Box 2375</t>
  </si>
  <si>
    <t>Charlie Knight</t>
  </si>
  <si>
    <t>530-335-5434</t>
  </si>
  <si>
    <t>99-36</t>
  </si>
  <si>
    <t>ZW3516</t>
  </si>
  <si>
    <t>15390 Wonderland Blvd.</t>
  </si>
  <si>
    <t>Redding</t>
  </si>
  <si>
    <t>Michael Meinen</t>
  </si>
  <si>
    <t>530-275-1581</t>
  </si>
  <si>
    <t>99-35</t>
  </si>
  <si>
    <t>V-71</t>
  </si>
  <si>
    <t>Stauffer Management Company</t>
  </si>
  <si>
    <t>99-32</t>
  </si>
  <si>
    <t>P.O. Box 491840</t>
  </si>
  <si>
    <t>J.S. Cogliati</t>
  </si>
  <si>
    <t>510-231-1245</t>
  </si>
  <si>
    <t>99-30</t>
  </si>
  <si>
    <t>99-33</t>
  </si>
  <si>
    <t>8123-7406</t>
  </si>
  <si>
    <t>U.S. Fish &amp; Wildlife Service</t>
  </si>
  <si>
    <t>00-15</t>
  </si>
  <si>
    <t>VTA28G1</t>
  </si>
  <si>
    <t>24411 Coleman Hatchery Road</t>
  </si>
  <si>
    <t>Anderson</t>
  </si>
  <si>
    <t>Scott Hamelberg</t>
  </si>
  <si>
    <t>510-365-8622</t>
  </si>
  <si>
    <t>00-16</t>
  </si>
  <si>
    <t>City of Red Bluff</t>
  </si>
  <si>
    <t>2 cycle engine</t>
  </si>
  <si>
    <t>Red Bluff</t>
  </si>
  <si>
    <t>4 cycle engine</t>
  </si>
  <si>
    <t>St. Elizabeth Hospital</t>
  </si>
  <si>
    <t>2550 Sister Mary Columba Dr</t>
  </si>
  <si>
    <t>Sierra Nevada Brewing Company</t>
  </si>
  <si>
    <t>SNB-99-09-AC</t>
  </si>
  <si>
    <t>Caterpillar 3412, Diesel, 750 KW, Soot Filter, Turbocharged, Aftercooled</t>
  </si>
  <si>
    <t>1075 East 20th Street</t>
  </si>
  <si>
    <t>Chico</t>
  </si>
  <si>
    <t>Ken Grossman</t>
  </si>
  <si>
    <t>(530) 893-3520</t>
  </si>
  <si>
    <t>SNB-99-08-AC</t>
  </si>
  <si>
    <t>Biggs-Gridley Memorial Hospital</t>
  </si>
  <si>
    <t>BGM-93-02</t>
  </si>
  <si>
    <t>Cummins, Diesel, 400 KW</t>
  </si>
  <si>
    <t>240 Spruce Street</t>
  </si>
  <si>
    <t>Kevin Downing</t>
  </si>
  <si>
    <t>(530) 846-5617</t>
  </si>
  <si>
    <t>PCB-91-01-2-AC</t>
  </si>
  <si>
    <t>Detroit Diesel, 7243-7406, 1550 HP, Soot Filter, Turbocharged, Aftercooled</t>
  </si>
  <si>
    <t>518 West 4th Street</t>
  </si>
  <si>
    <t>Marrion Brown</t>
  </si>
  <si>
    <t>(916) 972-2385</t>
  </si>
  <si>
    <t>Sprint Communications Co., L.L.P.</t>
  </si>
  <si>
    <t>SPR-00-03-1-AC</t>
  </si>
  <si>
    <t>Cummins, KTA 50-G9/1500 DFLE, 2220 HP, Diesel, Turbocharged, Aftercooled</t>
  </si>
  <si>
    <t>KTA 50-G9</t>
  </si>
  <si>
    <t>2405 Bird Street</t>
  </si>
  <si>
    <t>Oroville</t>
  </si>
  <si>
    <t>Sarah Cullen</t>
  </si>
  <si>
    <t>(913) 315-8624</t>
  </si>
  <si>
    <t>SPR-00-02--1-AC</t>
  </si>
  <si>
    <t>Feather River Hospital</t>
  </si>
  <si>
    <t>FRH-83-02</t>
  </si>
  <si>
    <t>Cummins, Diesel, 708 HP</t>
  </si>
  <si>
    <t>708</t>
  </si>
  <si>
    <t>5974 Pentz Road</t>
  </si>
  <si>
    <t>Paradise</t>
  </si>
  <si>
    <t>Jim Dobs</t>
  </si>
  <si>
    <t>(530) 876-7965</t>
  </si>
  <si>
    <t>Enloe Rehabilitation Center</t>
  </si>
  <si>
    <t>EMH-94-01-2</t>
  </si>
  <si>
    <t>Detroit Diesel, 636 HP</t>
  </si>
  <si>
    <t>636</t>
  </si>
  <si>
    <t>340 W. East Avenue</t>
  </si>
  <si>
    <t>Jim Rice</t>
  </si>
  <si>
    <t>(530) 332-6169</t>
  </si>
  <si>
    <t>EMH-76-02-1</t>
  </si>
  <si>
    <t>Detroit Diesel, 535 HP</t>
  </si>
  <si>
    <t>560 Cohasset Road</t>
  </si>
  <si>
    <t>Bruce Clark</t>
  </si>
  <si>
    <t>(530) 332-5181</t>
  </si>
  <si>
    <t>EMH-85-03-3</t>
  </si>
  <si>
    <t>Caterpillar, Diesel, 890 HP</t>
  </si>
  <si>
    <t>214 West 5th Street</t>
  </si>
  <si>
    <t>Les Doll</t>
  </si>
  <si>
    <t>(530) 332-5517</t>
  </si>
  <si>
    <t>Caterpillar, Diesel, 755 HP</t>
  </si>
  <si>
    <t>Detroit Diesel, 605 HP</t>
  </si>
  <si>
    <t>605</t>
  </si>
  <si>
    <t>CSC Water Dept.</t>
  </si>
  <si>
    <t>500 Benton St</t>
  </si>
  <si>
    <t>Santa Clara</t>
  </si>
  <si>
    <t>984-3183</t>
  </si>
  <si>
    <t>Exodus Communication</t>
  </si>
  <si>
    <t>1605 Wyatt Dr</t>
  </si>
  <si>
    <t>486-5000</t>
  </si>
  <si>
    <t>1705 Martin Ave</t>
  </si>
  <si>
    <t>984-3170</t>
  </si>
  <si>
    <t>N. Vidia</t>
  </si>
  <si>
    <t>3535 Monroe St</t>
  </si>
  <si>
    <t>615-2500</t>
  </si>
  <si>
    <t>Kaiser Hospital</t>
  </si>
  <si>
    <t>900 Kiely Blvd</t>
  </si>
  <si>
    <t>236-5517</t>
  </si>
  <si>
    <t>CSC Sewer Dept.</t>
  </si>
  <si>
    <t>Applied Materials B9</t>
  </si>
  <si>
    <t>2695 Augustine Dr</t>
  </si>
  <si>
    <t>727-6060</t>
  </si>
  <si>
    <t>NEC</t>
  </si>
  <si>
    <t>2880 Scott Blvd</t>
  </si>
  <si>
    <t>588-6096</t>
  </si>
  <si>
    <t>3033 Scott Blvd</t>
  </si>
  <si>
    <t>588-6464</t>
  </si>
  <si>
    <t>3470 Brookdale Dr</t>
  </si>
  <si>
    <t>CSC St. Dept.</t>
  </si>
  <si>
    <t xml:space="preserve"> Laurelwood Pump Station</t>
  </si>
  <si>
    <t>984-3080</t>
  </si>
  <si>
    <t>Univ. Santa Clara Bldg 702</t>
  </si>
  <si>
    <t>500 El Camino Real</t>
  </si>
  <si>
    <t>554-4905</t>
  </si>
  <si>
    <t>CSC Street Dept.</t>
  </si>
  <si>
    <t>3401 Victor St</t>
  </si>
  <si>
    <t>Healtheon/Web MD</t>
  </si>
  <si>
    <t>4600 Patrick Henry Dr</t>
  </si>
  <si>
    <t xml:space="preserve">876-5000 </t>
  </si>
  <si>
    <t>Bay Networks</t>
  </si>
  <si>
    <t>2451 Mission College Blvd</t>
  </si>
  <si>
    <t>764-1790</t>
  </si>
  <si>
    <t>Nortel</t>
  </si>
  <si>
    <t>2305 Mission College Blvd</t>
  </si>
  <si>
    <t>565-3313</t>
  </si>
  <si>
    <t>2001 Walsh Ave</t>
  </si>
  <si>
    <t>LSI Logic</t>
  </si>
  <si>
    <t>3105 Alfred St</t>
  </si>
  <si>
    <t>433-6293</t>
  </si>
  <si>
    <t>3301 Olcott St</t>
  </si>
  <si>
    <t>4751 Lick Mill Blvd</t>
  </si>
  <si>
    <t>Mission College</t>
  </si>
  <si>
    <t>3000 Mission College Blvd</t>
  </si>
  <si>
    <t>988-2200</t>
  </si>
  <si>
    <t>Cisco Systems</t>
  </si>
  <si>
    <t>1035 Walsh Ave</t>
  </si>
  <si>
    <t>526-4000</t>
  </si>
  <si>
    <t>Siliconix</t>
  </si>
  <si>
    <t>2201 Laurelwood Rd</t>
  </si>
  <si>
    <t>988-8000</t>
  </si>
  <si>
    <t>2890 Scott Blvd</t>
  </si>
  <si>
    <t>Automatic Data Proc</t>
  </si>
  <si>
    <t>3300 Olcott St</t>
  </si>
  <si>
    <t>496-5993</t>
  </si>
  <si>
    <t>Nortel Networks SC-3</t>
  </si>
  <si>
    <t>4551 Great America Pkwy.</t>
  </si>
  <si>
    <t>495-1634</t>
  </si>
  <si>
    <t>Exodus</t>
  </si>
  <si>
    <t>2251 Lawson Lane</t>
  </si>
  <si>
    <t>327-5800</t>
  </si>
  <si>
    <t>746-7981</t>
  </si>
  <si>
    <t>2650 San Tomas Expy</t>
  </si>
  <si>
    <t>346-2200</t>
  </si>
  <si>
    <t>3 Com (4 units)</t>
  </si>
  <si>
    <t>5400 Bayfront Plaza</t>
  </si>
  <si>
    <t>95054</t>
  </si>
  <si>
    <t>326-5000</t>
  </si>
  <si>
    <t>Intel Corp</t>
  </si>
  <si>
    <t>2151 Mission College Blvd</t>
  </si>
  <si>
    <t>765-5622</t>
  </si>
  <si>
    <t>Catalytica Inc</t>
  </si>
  <si>
    <t>3937 Gianera St</t>
  </si>
  <si>
    <t>940-6306</t>
  </si>
  <si>
    <t>Cable &amp; Wireless</t>
  </si>
  <si>
    <t>2505 Augustine Dr</t>
  </si>
  <si>
    <t>296-1066</t>
  </si>
  <si>
    <t>Colo.Com</t>
  </si>
  <si>
    <t>3080 Raymond St.</t>
  </si>
  <si>
    <t>655-0112</t>
  </si>
  <si>
    <t>2401 Walsh Ave</t>
  </si>
  <si>
    <t>855-9925</t>
  </si>
  <si>
    <t>San Francisco</t>
  </si>
  <si>
    <t>502FDR8053</t>
  </si>
  <si>
    <t>Caterpillar; 1.5E6 BTU/hr</t>
  </si>
  <si>
    <t>Koher</t>
  </si>
  <si>
    <t>VTL2700G</t>
  </si>
  <si>
    <t>D399 Series B</t>
  </si>
  <si>
    <t>V71</t>
  </si>
  <si>
    <t>Oakland</t>
  </si>
  <si>
    <t>6CT-8.3-C</t>
  </si>
  <si>
    <t>743FSM4370</t>
  </si>
  <si>
    <t>DFZ</t>
  </si>
  <si>
    <t>350DFCC/7184K</t>
  </si>
  <si>
    <t>300ROZD71</t>
  </si>
  <si>
    <t xml:space="preserve"> #3412DT; 2.25E6BTU/HR</t>
  </si>
  <si>
    <t>Gen Elec</t>
  </si>
  <si>
    <t>5SJ2113A3</t>
  </si>
  <si>
    <t>Caterpiller</t>
  </si>
  <si>
    <t>HED 900C</t>
  </si>
  <si>
    <t>1000kw series149;6.85Ebtu/hr</t>
  </si>
  <si>
    <t>Series 149</t>
  </si>
  <si>
    <t>Digester Gas</t>
  </si>
  <si>
    <t>Sierra Diesel</t>
  </si>
  <si>
    <t>3408 1.37e6 btu/hr</t>
  </si>
  <si>
    <t>350 odfn-17r/29967 d; 1.2e6btu/hr</t>
  </si>
  <si>
    <t>571RSL2028A - F000W 1.2E8BTU/HR</t>
  </si>
  <si>
    <t xml:space="preserve">Cummins </t>
  </si>
  <si>
    <t>Catepillar</t>
  </si>
  <si>
    <t>Electro Motion</t>
  </si>
  <si>
    <t>HK-95446</t>
  </si>
  <si>
    <t>400ROZD71</t>
  </si>
  <si>
    <t>400DFEB</t>
  </si>
  <si>
    <t>Fairbank Morse</t>
  </si>
  <si>
    <t>L5788DSU</t>
  </si>
  <si>
    <t>600 DFY</t>
  </si>
  <si>
    <t>Colorado River Medical Center</t>
  </si>
  <si>
    <t>E003217</t>
  </si>
  <si>
    <t>Needles</t>
  </si>
  <si>
    <t>92332</t>
  </si>
  <si>
    <t>Federal Bureau of Prisons - Victorville</t>
  </si>
  <si>
    <t>E005331</t>
  </si>
  <si>
    <t>E005332</t>
  </si>
  <si>
    <t>Hesperia Water District</t>
  </si>
  <si>
    <t>E003575</t>
  </si>
  <si>
    <t>3508-D</t>
  </si>
  <si>
    <t>Hesperia Water - 3rd Avenue</t>
  </si>
  <si>
    <t>Hi-Desert Memorial Hospital District</t>
  </si>
  <si>
    <t>E005053</t>
  </si>
  <si>
    <t>Hi-Desert Medical Center</t>
  </si>
  <si>
    <t>Joshua Tree</t>
  </si>
  <si>
    <t>92252</t>
  </si>
  <si>
    <t>Kramer Junction Co, MGP</t>
  </si>
  <si>
    <t>E001884</t>
  </si>
  <si>
    <t>Kato Light</t>
  </si>
  <si>
    <t>D-750FRX4</t>
  </si>
  <si>
    <t>SEGS (III through VII)</t>
  </si>
  <si>
    <t>Boron</t>
  </si>
  <si>
    <t>93516</t>
  </si>
  <si>
    <t>E001887</t>
  </si>
  <si>
    <t>E001804</t>
  </si>
  <si>
    <t>D-600FRR4</t>
  </si>
  <si>
    <t>E001807</t>
  </si>
  <si>
    <t>LA City DWP</t>
  </si>
  <si>
    <t>E003505</t>
  </si>
  <si>
    <t>DDFP-12AT 7019</t>
  </si>
  <si>
    <t>LA City DWP (InterMtn) - Aster Rd</t>
  </si>
  <si>
    <t>Lockheed Martin Skunk Works</t>
  </si>
  <si>
    <t>E003176</t>
  </si>
  <si>
    <t>Lockheed - Helendale</t>
  </si>
  <si>
    <t>Helendale</t>
  </si>
  <si>
    <t>92342</t>
  </si>
  <si>
    <t>LUZ Solar Partners VIII &amp; IX</t>
  </si>
  <si>
    <t>E002015</t>
  </si>
  <si>
    <t>SR4</t>
  </si>
  <si>
    <t>Harper Lake Co. VIII &amp; IX</t>
  </si>
  <si>
    <t>Hinkley</t>
  </si>
  <si>
    <t>92347</t>
  </si>
  <si>
    <t>E002018</t>
  </si>
  <si>
    <t>Mitsubishi Cement Corp</t>
  </si>
  <si>
    <t>E007913</t>
  </si>
  <si>
    <t>FTA38-G4</t>
  </si>
  <si>
    <t>Cushenbury Plant</t>
  </si>
  <si>
    <t>Lucerne Valley</t>
  </si>
  <si>
    <t>92314</t>
  </si>
  <si>
    <t>E007911</t>
  </si>
  <si>
    <t>NASA/JPL</t>
  </si>
  <si>
    <t>E004330</t>
  </si>
  <si>
    <t>NASA/JPL Goldstone Deep Space Commo Complex</t>
  </si>
  <si>
    <t>Fort Irwin</t>
  </si>
  <si>
    <t>92310</t>
  </si>
  <si>
    <t>Service Rock Products Co</t>
  </si>
  <si>
    <t>E004438</t>
  </si>
  <si>
    <t>Service Rock Products - Barstow</t>
  </si>
  <si>
    <t>E008044</t>
  </si>
  <si>
    <t>E008043</t>
  </si>
  <si>
    <t>CPL702</t>
  </si>
  <si>
    <t>Southern California Logistics Airport</t>
  </si>
  <si>
    <t>E003683</t>
  </si>
  <si>
    <t>3508D1</t>
  </si>
  <si>
    <t>E003684</t>
  </si>
  <si>
    <t>Sunray Energy, Inc</t>
  </si>
  <si>
    <t>E001855</t>
  </si>
  <si>
    <t>D-600FR24</t>
  </si>
  <si>
    <t>SEGS II</t>
  </si>
  <si>
    <t>Daggett</t>
  </si>
  <si>
    <t>92327</t>
  </si>
  <si>
    <t>Twentynine Palms Water District</t>
  </si>
  <si>
    <t>E008022</t>
  </si>
  <si>
    <t>12V2000-G70-R123-7K05</t>
  </si>
  <si>
    <t>Twentynine Palms Fluoride Treatment Plant</t>
  </si>
  <si>
    <t>Twentynine Palms</t>
  </si>
  <si>
    <t>92277</t>
  </si>
  <si>
    <t>US Army</t>
  </si>
  <si>
    <t>E003754</t>
  </si>
  <si>
    <t>NTC - Directorate of Public Works</t>
  </si>
  <si>
    <t>E003772</t>
  </si>
  <si>
    <t>E003981</t>
  </si>
  <si>
    <t>E003980</t>
  </si>
  <si>
    <t>E003983</t>
  </si>
  <si>
    <t>E003770</t>
  </si>
  <si>
    <t>E003984</t>
  </si>
  <si>
    <t>E005087</t>
  </si>
  <si>
    <t>350R0ZD (8V-92TA)</t>
  </si>
  <si>
    <t>E007838</t>
  </si>
  <si>
    <t>Mitsubishi/Generac</t>
  </si>
  <si>
    <t>1600 TA</t>
  </si>
  <si>
    <t>E005357</t>
  </si>
  <si>
    <t>E005358</t>
  </si>
  <si>
    <t>E005360</t>
  </si>
  <si>
    <t>USMC AGCC NREA Division (Air)</t>
  </si>
  <si>
    <t>E007882</t>
  </si>
  <si>
    <t>USMC AGCC</t>
  </si>
  <si>
    <t>E007883</t>
  </si>
  <si>
    <t>USMC Logistics Base (B570)</t>
  </si>
  <si>
    <t>E007804</t>
  </si>
  <si>
    <t>GTA 28 GS</t>
  </si>
  <si>
    <t>USMC - Nebo Annex</t>
  </si>
  <si>
    <t>E003837</t>
  </si>
  <si>
    <t>AP400DC</t>
  </si>
  <si>
    <t>E003844</t>
  </si>
  <si>
    <t>CVM 8203-8</t>
  </si>
  <si>
    <t>E003840</t>
  </si>
  <si>
    <t>Beloit</t>
  </si>
  <si>
    <t>1018300</t>
  </si>
  <si>
    <t>E003838</t>
  </si>
  <si>
    <t>E003839</t>
  </si>
  <si>
    <t>E003843</t>
  </si>
  <si>
    <t>Verizon California, Inc</t>
  </si>
  <si>
    <t>E005077</t>
  </si>
  <si>
    <t>12V-149</t>
  </si>
  <si>
    <t>15168 La Paz Drive-Building D</t>
  </si>
  <si>
    <t>E005184</t>
  </si>
  <si>
    <t>135 Cosy Lane</t>
  </si>
  <si>
    <t>E003583</t>
  </si>
  <si>
    <t>NTA885-G</t>
  </si>
  <si>
    <t>Verizon - Hesperia # 2</t>
  </si>
  <si>
    <t>Victor Valley Wastewate Reclamation Authority</t>
  </si>
  <si>
    <t>E003419</t>
  </si>
  <si>
    <t>L5108GU</t>
  </si>
  <si>
    <t>Victor Valley WW Rec - Shay Rd</t>
  </si>
  <si>
    <t>Yellow Freight System, Inc</t>
  </si>
  <si>
    <t>E003987</t>
  </si>
  <si>
    <t>VTA 12-800 GS</t>
  </si>
  <si>
    <t>Joshua Basin Water District</t>
  </si>
  <si>
    <t>E008300</t>
  </si>
  <si>
    <t>Emergency ICE: Cummins Onan, Diesel, Generator, Model No. VTA-28-G1, 12 cylinders, After Cooled, Direct Injected, Intercooled, Turbocharged, 675 bhp@1500 rpm, Serial No. KTA504160</t>
  </si>
  <si>
    <t>VTA-28-G1</t>
  </si>
  <si>
    <t>E008358</t>
  </si>
  <si>
    <t>IC Engine, Emergency Diesel Generator, Caterpillar, Diesel, Generator, Model No. 3412C, 12 cylinders, After Cooled, Turbo Charged, 1186 bhp@1800 rpm, Serial No. BCW00559</t>
  </si>
  <si>
    <t>Building 166, 4th Street</t>
  </si>
  <si>
    <t>92310-5097</t>
  </si>
  <si>
    <t>E008359</t>
  </si>
  <si>
    <t>IC Emgine, Emergency Diesel Generator, Caterpillar, Diesel, Generator, Model No. 3412C, 12 cylinders, After Cooled, Turbo Charged, 1186 bhp@1800 rpm, Serial No. BCW00560</t>
  </si>
  <si>
    <t>Apple Valley Ranchos Water Co.</t>
  </si>
  <si>
    <t>E008440</t>
  </si>
  <si>
    <t>Caterpillar, Diesel, Generator, Model No. 3406, 6 cylinders, Aftercooled, Direct Injected, Turbocharged, 519 bhp@1800 rpm, Serial No. 4ZR02685.</t>
  </si>
  <si>
    <t>AV Ranchos Water - Well #4, 21760 Ottawa Road</t>
  </si>
  <si>
    <t>Apple Valley</t>
  </si>
  <si>
    <t>E008441</t>
  </si>
  <si>
    <t>Caterpillar, Diesel, Generator, Model No. 3406, 6 cylinders, Aftercooled, Direct Injected, Turbocharged, 519 bhp@1800 rpm, Serial No. 4ZR04432.</t>
  </si>
  <si>
    <t>E008442</t>
  </si>
  <si>
    <t>Caterpillar, Diesel, Generator, Model No. 3406, 6 cylinders, Aftercooled, Direct Injected, Turbocharged, 519 bhp@1800 rpm, Serial No. 4ZR04433.</t>
  </si>
  <si>
    <t>E008367</t>
  </si>
  <si>
    <t>IC Engine, Emergency Diesel Generator, Caterpillar 1CPXL27.OMRH, Diesel, Generator, Model No. 3412C Tier 1 (2000) , 12 cylinders, Aftercooled, Direct Injected, Turbocharged, 823 bhp@1600 rpm, Serial No. BPG00208.</t>
  </si>
  <si>
    <t>Bldg. 1451</t>
  </si>
  <si>
    <t>92278-8110</t>
  </si>
  <si>
    <t>Paxbello, LLC</t>
  </si>
  <si>
    <t>E008528</t>
  </si>
  <si>
    <t>IC Engine, Emergency Diesel Generator, Detroit Diesel, Diesel, Model No. 6063HK35 and Serial No. 06R0514156, Direct Injected, Intercooled, 654 bhp@ 1800 rpm.</t>
  </si>
  <si>
    <t>6063HK35</t>
  </si>
  <si>
    <t>17486 Nisqualli Rd.</t>
  </si>
  <si>
    <t>Aerospace Office</t>
  </si>
  <si>
    <t>E005161</t>
  </si>
  <si>
    <t>IC Engine, Emergency Diesel Generator, Detroit Diesel, Diesel, Model No. 1000RODZ, Aftercooled, Direct Injected, Ignition Retarded, Turbocharged, 1550 bhp with 24 cylinders at 1800 rpm.</t>
  </si>
  <si>
    <t>1000RODZ</t>
  </si>
  <si>
    <t>X-33 Site</t>
  </si>
  <si>
    <t>Edwards AFB</t>
  </si>
  <si>
    <t xml:space="preserve">Wal-Mart </t>
  </si>
  <si>
    <t>E008571</t>
  </si>
  <si>
    <t>IC Engine, Emergency Diesel Generator, Caterpillar Model No. 3456 ATAAC, Diesel, 764 bhp with 6 cylinders at 1800 rpm.</t>
  </si>
  <si>
    <t>21101 Johnson Road</t>
  </si>
  <si>
    <t>E008710</t>
  </si>
  <si>
    <t>Emergency ICE, water pump consisting of one Detroit Diesel, diesel fired ICE, Model No. 800DS-4 and Serial No. 765038, Aftercooled, Direct Injected, Ignition Retarded, Turbocharged, producing 1200 bhp with 16 cylinders at 1800 rpm while consuming a maximum of 57 gal/hr. This equipment powers a generator.</t>
  </si>
  <si>
    <t>800DS-4</t>
  </si>
  <si>
    <t>19237 Yucca Loma Rd.</t>
  </si>
  <si>
    <t>High Desert Power Project</t>
  </si>
  <si>
    <t>E008665</t>
  </si>
  <si>
    <t xml:space="preserve">IC Engine, Emergency Generator, One Caterpillar, Diesel fired internal combustion engine, Model No. 3516B and Serial No. TBD, Aftercooled, Turbocharged, producing 2848 bhp with 6 cylinders at 1800 rpm while consuming a maximum of 136 gal/hr. </t>
  </si>
  <si>
    <t>19000 Perimeter Road</t>
  </si>
  <si>
    <t>E008202</t>
  </si>
  <si>
    <t>IC Engine, Emergency Diesel Generator, One Caterpillar, Diesel fired internal combustion engine, Model No. 3512 and Serial No. 1GZ00404, Aftercooled, Turbocharged, producing 2116 bhp with 12 cylinders at 1800 rpm while consuming a maximum of 108 gal/hr.</t>
  </si>
  <si>
    <t>5808 State Highway 18</t>
  </si>
  <si>
    <t>E008721</t>
  </si>
  <si>
    <t>One Detroit Diesel, diesel fired ICE, Model No. 16V2000 and Serial No. TBD, Aftercooled, Direct Injected, Turbocharged, producing 1495 bhp with 16 cylinders at 1800 rpm while consuming a maximum of 60 gal/hr.</t>
  </si>
  <si>
    <t>E008732</t>
  </si>
  <si>
    <t>One Caterpillar, diesel fired ICE, Model No. 3412 TTA and Serial No. TBD, Aftercooled, Turbocharged, producing 896 bhp with 12 cylinders at 1800 rpm while consuming a maximum of 44 gal/hr.</t>
  </si>
  <si>
    <t>3412 TTA</t>
  </si>
  <si>
    <t>16525 Hercules Avenue</t>
  </si>
  <si>
    <t>Affymetrix</t>
  </si>
  <si>
    <t>P-88-98</t>
  </si>
  <si>
    <t>605 BHP Cummings model NTA 855-G5; Engine #11913970, turbocharged, aftercooled</t>
  </si>
  <si>
    <t>890 Embarcadero Dr.</t>
  </si>
  <si>
    <t>95605</t>
  </si>
  <si>
    <t>ALZA</t>
  </si>
  <si>
    <t>P-29-94</t>
  </si>
  <si>
    <t xml:space="preserve">One (1) Kohler diesel fueled ICE, emergency electrical generation, 500 KW, Model no. 572RSL4027BP-175W, Serial No. YN3975002, 643 BHP, compression ignited, turbocharged, aftercooled  </t>
  </si>
  <si>
    <t>572RSL4027BP-175W</t>
  </si>
  <si>
    <t>700 Eubanks Drive</t>
  </si>
  <si>
    <t>Vacaville</t>
  </si>
  <si>
    <t>95688</t>
  </si>
  <si>
    <t>AT&amp;T Dixon High Seas Radio</t>
  </si>
  <si>
    <t>P-162-95</t>
  </si>
  <si>
    <t>One (1) Caterpillar internal combustion engine, model #D-379A, Serial #68B105, 595 BHP, turbocharged. The engine is used to power a generator.</t>
  </si>
  <si>
    <t>D379A</t>
  </si>
  <si>
    <t>7031 Midway Road</t>
  </si>
  <si>
    <t>Dixon</t>
  </si>
  <si>
    <t>95620</t>
  </si>
  <si>
    <t>AT&amp;T Dunnigan Repeater</t>
  </si>
  <si>
    <t>P-52-98</t>
  </si>
  <si>
    <t>2172 BHP Caterpillar Model 3512B S/N 6WN00152, diesel powered internal combustion engine powering a Caterpillar Model SR4B S/N 8DM00601 generator, electronic fuel injection timing, turbocharged, aftercooled</t>
  </si>
  <si>
    <t>26120 County Road 6</t>
  </si>
  <si>
    <t>Dunnigan</t>
  </si>
  <si>
    <t>P-33-00</t>
  </si>
  <si>
    <t>2172 BHP Caterpillar Model 3512B S/N 6WN0024, diesel powered internal combustion engine powering a Caterpillar Model SR4B S/N 4FN01004 generator, electronic fuel injection timing, turbocharged, aftercooled</t>
  </si>
  <si>
    <t>California Federal Bank</t>
  </si>
  <si>
    <t>P-14-95 (a)</t>
  </si>
  <si>
    <t>Cummins/Onan Model #1250DFLC/36546E, 1850 BHP, 4 cycle, diesel, with Russel electric switch gear, powering a 1250 KW Onan generator S/N B900297886</t>
  </si>
  <si>
    <t>1250DFLC</t>
  </si>
  <si>
    <t>820 Stillwater Road</t>
  </si>
  <si>
    <t>P-13-95 (a)</t>
  </si>
  <si>
    <t>Cummins/Onan Model #1250DFLC/36546E, 1850 BHP, 4 cycle, diesel, with Russel electricl switch gear, powering a 1250 KW Onan generator S/N B900298699</t>
  </si>
  <si>
    <t>California Medical Facility (CMF)</t>
  </si>
  <si>
    <t>P-7-98</t>
  </si>
  <si>
    <t>One (1) Caterpillar Model 3516, 2847 HP, 4-cycle, diesel fueled, turbocharged, aftercooled, powering an emergency generator</t>
  </si>
  <si>
    <t>1600 California Dr.</t>
  </si>
  <si>
    <t>95696-2000</t>
  </si>
  <si>
    <t>Lance Jensen (ext. 6551)</t>
  </si>
  <si>
    <t>(707) 448-6841</t>
  </si>
  <si>
    <t>P-132-95</t>
  </si>
  <si>
    <t>Emergency Generator 2: One (1) Caterpillar Model 3406, 469 HP, 4-cycle, diesel fueled, turbocharged, aftercooled, timing retarded 4 degrees, powering an emergency generator</t>
  </si>
  <si>
    <t>1600 California Dr.:P-Q Wing Generator-Building 12</t>
  </si>
  <si>
    <t>LANCE JENSEN (ext. 6551)</t>
  </si>
  <si>
    <t>California State Prison-Solano</t>
  </si>
  <si>
    <t>P-29-95</t>
  </si>
  <si>
    <t>Generator #1: One Detroit 16V-92T Model No. 8163-7305, Serial No. 16VF006382, 960 BHP, 2-cycle, diesel fueled, turbocharged, powering a Marathon generator: Serial No. PK-19-51042-9/10-1, 500 KW, 625 KVA</t>
  </si>
  <si>
    <t>2100 Peabody Road</t>
  </si>
  <si>
    <t>P-27-95</t>
  </si>
  <si>
    <t>Generator #2: One Detroit 16V-92T Model No. 8163-7305, Serial No. 16VF006390, 960 BHP, 2-cycle, diesel fueled, turbocharged, powering a Marathon generator: Serial No. PK-19-51042-9/10-2, 500 KW, 625 KVA</t>
  </si>
  <si>
    <t>P-30-95</t>
  </si>
  <si>
    <t>Generator #3: One Mitsubishi Model No. S12A-PTA, Serial No. 11082, 940 BHP, 4-cycle, diesel, turbocharged, aftercooled powering a Marathon generator, S/N RL-3244986-1, 500KW, 625 KVA, (NRG) Diversity Energy System</t>
  </si>
  <si>
    <t>S6N-PTA</t>
  </si>
  <si>
    <t>P-28-95</t>
  </si>
  <si>
    <t>Generator #4: One Mitsubishi Model No. S12A2PT, 940 BHP, 4 cycle, diesel fueled, turbocharged, aftercooled, powering a Marathon generator: Serial No. RL-3244986-2, 500 KW, 625 KVA</t>
  </si>
  <si>
    <t>S12A2PT</t>
  </si>
  <si>
    <t>P-31-95</t>
  </si>
  <si>
    <t>Generator #5: One Mitsubishi S6N-PTA-2 Model No. D500SF, Serial No. 22041, 750 BHP, 4-cycle, diesel, turbocharged, aftercooled powering a Marathon generator, S/N RL-3244987, 450KW, 563 KVA</t>
  </si>
  <si>
    <t>City of Rio Vista</t>
  </si>
  <si>
    <t>P-74-00</t>
  </si>
  <si>
    <t>One 563 BHP Mitsubishi Model No. 16ODTAA433RSL4019, Serial No. 8DC9-444207,diesel-fired, ICE, turbocharged, aftercooled, and fuel injection timing retarded 4 degrees</t>
  </si>
  <si>
    <t>16ODTAA433RSL4019</t>
  </si>
  <si>
    <t>1000 Beach Dr.</t>
  </si>
  <si>
    <t>Rio Vista</t>
  </si>
  <si>
    <t>94571</t>
  </si>
  <si>
    <t>City of Vacaville</t>
  </si>
  <si>
    <t>P-101-95 (a)</t>
  </si>
  <si>
    <t>1100 BHP Natural Gas and Digester Gas Fired Waukesha Model #P9390G; Serial #339030 Driving Emergency Generator</t>
  </si>
  <si>
    <t>P9390G</t>
  </si>
  <si>
    <t>Easterly Waste Water Treatment Plant-6040 Vaca Station Road</t>
  </si>
  <si>
    <t>Elmira</t>
  </si>
  <si>
    <t>P-100-95</t>
  </si>
  <si>
    <t>One (1) Caterpillar Model SR4-3412, PC Serial No. 38S2105, 665 BHP, 4-cycle, diesel-fueled, turbocharged and aftercooled</t>
  </si>
  <si>
    <t>Vacaville Water Treatment Plant-1001 Allison Drive</t>
  </si>
  <si>
    <t>95687</t>
  </si>
  <si>
    <t>City of West Sacramento</t>
  </si>
  <si>
    <t>P-89-95</t>
  </si>
  <si>
    <t>One (1) Cummins Model No. VTA-110-G, Serial No. 57295, 850 BHP, 4-cycle, diesel fueled, turbocharged, aftercooled, powering an emergency generator</t>
  </si>
  <si>
    <t>VTA110G</t>
  </si>
  <si>
    <t>Wastewater Treatment Plant, 1991 South River Road</t>
  </si>
  <si>
    <t>95691</t>
  </si>
  <si>
    <t>P-90-95</t>
  </si>
  <si>
    <t>One (1) Detroit Diesel Model No. 8123-7305, S.O.# 2A04765, Spec# 7808, Unit #12VF002775, 830 BHP, 2 cycle, diesel-fueled, turbocharged, powering an emergency generator</t>
  </si>
  <si>
    <t>Bryte Bend Water Treatment Plant0400 North Harbor Blvd.</t>
  </si>
  <si>
    <t>P-88-95</t>
  </si>
  <si>
    <t>One (1) Detroit Diesel Model No. 8123-7305, S.O.# 7A01812, Spec# A274272, Unit #12VF004101, 741 BHP, 2 cycle, diesel-fueled, turbocharged, powering an emergency generator</t>
  </si>
  <si>
    <t>Raley's Landing Storm Water Pump Station-201 F Street</t>
  </si>
  <si>
    <t>P-95-00</t>
  </si>
  <si>
    <t>685 BHP, Diesel-Fired, Detroit Diesel ICE, Model No. R083-7K36, Serial No. 5312001055, turbocharged, and aftercooled</t>
  </si>
  <si>
    <t>West corner of Lake Washington Blvd. and Jefferson  Blvd.</t>
  </si>
  <si>
    <t>City of Woodland</t>
  </si>
  <si>
    <t>P-222-95 (a)</t>
  </si>
  <si>
    <t>Caterpillar 4-cycle turbocharged ICE, Diesel Fired, 890 BHP, Model #PA-4023-02, Serial #81Z12339</t>
  </si>
  <si>
    <t>PA-4023-02</t>
  </si>
  <si>
    <t>2395 East Main St.</t>
  </si>
  <si>
    <t>Woodland</t>
  </si>
  <si>
    <t>95776</t>
  </si>
  <si>
    <t>Genentech</t>
  </si>
  <si>
    <t>P-19-97</t>
  </si>
  <si>
    <t>Detroit Diesel Model No. 20V-149TI-DDEC, 9203-7K16, Serial No. 379009, 2935 BHP, Two Cycle Rich Burn, Fuel Injection, 20 Cylinders, Turbocharged and Aftercooled, powering a backup generator</t>
  </si>
  <si>
    <t>1000 New Horizons Way</t>
  </si>
  <si>
    <t>P-18-97</t>
  </si>
  <si>
    <t>Detroit Diesel Model No. 20V-149TI-DDEC, 9203-7K16, Serial No. 379010, 2935 BHP, Two Cycle Rich Burn, Fuel Injection, 20 Cylinders, Turbocharged and Aftercooled, powering a backup generator</t>
  </si>
  <si>
    <t>Gymboree</t>
  </si>
  <si>
    <t>P-42-00</t>
  </si>
  <si>
    <t>1095 BHP diesel-fired, Detroit Diesel #16V-92TA, Model 8163-7405, turbocharged, aftercooled, 4 degree timing retard, powering an emergency generator</t>
  </si>
  <si>
    <t>2299 Kids Way</t>
  </si>
  <si>
    <t>Kaiser Health Plan</t>
  </si>
  <si>
    <t>P-22-96</t>
  </si>
  <si>
    <t>One (1) Kohler-Detroit Diesel ICE, Model No. 1000 ROZD, Serial No. 370721, 1550 BHP, 2 cycle, diesel, turbocharged, aftercooled, powering an emergency generator</t>
  </si>
  <si>
    <t>1000 ROZD</t>
  </si>
  <si>
    <t>2001 Akerly</t>
  </si>
  <si>
    <t>KOVR</t>
  </si>
  <si>
    <t>P-85-95</t>
  </si>
  <si>
    <t>One (1) Cummins Model No. KTA2300G, Serial No. 33105263, 1155 BHP, 4 cycle, diesel, turbocharged, aftercooled, powering an emergency generator</t>
  </si>
  <si>
    <t>2713 KOVR Drive</t>
  </si>
  <si>
    <t>MCI WorldCom</t>
  </si>
  <si>
    <t>P-107-94 (a)</t>
  </si>
  <si>
    <t>Cummins 4-cycle, diesel fired, 1850 bhp, Model KTA50-G3, S/N 33117357, turbocharged, aftercooled</t>
  </si>
  <si>
    <t>2820 KOVR Dr.</t>
  </si>
  <si>
    <t>P-106-94 (a)</t>
  </si>
  <si>
    <t>Cummins 4-cycle, diesel fired, 1850 bhp, Model KTA50-G3, S/N 33118367, turbocharged, aftercooled</t>
  </si>
  <si>
    <t>P-105-94 (a)</t>
  </si>
  <si>
    <t>Cummins 4-cycle, diesel fired, 1850 bhp, Model KTA50-G3, S/N 33117346, turbocharged, aftercooled</t>
  </si>
  <si>
    <t>P-104-94 (a)</t>
  </si>
  <si>
    <t>Cummins 4-cycle, diesel fired, 1850 bhp, Model KTA50-G3, S/N 33117347, turbocharged, aftercooled</t>
  </si>
  <si>
    <t>McKesson HBOC</t>
  </si>
  <si>
    <t>P-87-99</t>
  </si>
  <si>
    <t>896 HP Diesel Fired Caterpillar ICE, Turbocharged, Aftercooled, Model #3412, Serial #81Z4044</t>
  </si>
  <si>
    <t>3775 Seaport Blvd.</t>
  </si>
  <si>
    <t>P-98-96</t>
  </si>
  <si>
    <t>Detroit Diesel, Model Number 16V-149, Serial No. 16E00841, 1750 BHP, Two Cycle Lean Burn, Fuel Injection, 16 cylinders, Timing Retarded by 4 Degrees, Turbocharged &amp; Aftercooled</t>
  </si>
  <si>
    <t>16V-149</t>
  </si>
  <si>
    <t>3900 Channel Dr.</t>
  </si>
  <si>
    <t>P-38-99</t>
  </si>
  <si>
    <t>One 491 BHP diesel-fired Detroit Diesel IC Engine Model #8083-7405, Serial #8VF159309, turbocharged, aftercooled, and fuel injection timing retarded 4 degrees, powering an emergency generator</t>
  </si>
  <si>
    <t>340 Elizabeth St.</t>
  </si>
  <si>
    <t>Pacific Gas and Electric (PG&amp;E)</t>
  </si>
  <si>
    <t>P-43-97</t>
  </si>
  <si>
    <t>One 896 BHP diesel-fired Caterpillar Model 3412/650 ICE, Serial #81Z21091, turbocharged, aftercooled, and fuel injection timing retarded 4 degrees, Emergency</t>
  </si>
  <si>
    <t>885 Embarcadero Dr.</t>
  </si>
  <si>
    <t>Prodica</t>
  </si>
  <si>
    <t>P-85-94</t>
  </si>
  <si>
    <t>One Detroit Diesel (V-12) 71 Model No. 7123-7305, Serial No. 12VA049059, 600 BHP, 2 cycle, diesel fueled, turbocharged</t>
  </si>
  <si>
    <t>3961 Channel Drive</t>
  </si>
  <si>
    <t>Relera</t>
  </si>
  <si>
    <t>P-40-01</t>
  </si>
  <si>
    <t>1480 BHP diesel-fired Caterpillar ICE Model 3508B, S/N 6PN00730 driving a generator</t>
  </si>
  <si>
    <t>1075 Triangle Ct. Suite 130</t>
  </si>
  <si>
    <t>Sutter Davis Hospital</t>
  </si>
  <si>
    <t>P-109-94</t>
  </si>
  <si>
    <t>One (1) 4 cycle, V-16 Cummins KTA50-G2 ICE/Emergency Genset, ID#: B-940534001, Diesel Fueled, 1620 BHP, turbocharged, aftercooled</t>
  </si>
  <si>
    <t>2000 Sutter Place</t>
  </si>
  <si>
    <t>Davis</t>
  </si>
  <si>
    <t>95618</t>
  </si>
  <si>
    <t>Target</t>
  </si>
  <si>
    <t>P-27-97</t>
  </si>
  <si>
    <t>Cummins 465 BHP, 4 cycle engine, Model NTA855-G2, Serial #58890, lean burn, turbocharged, aftercooled, and timing retarded, powering an emergency generator</t>
  </si>
  <si>
    <t>2050 East Beamer St.</t>
  </si>
  <si>
    <t>The Money Store</t>
  </si>
  <si>
    <t>P-59-98</t>
  </si>
  <si>
    <t>1109 BHP Caterpillar Model #3412 Diesel Fired, turbocharged, aftercooled ICE, Serial #2WJ00894 Powering a Caterpillar Model SR4 Generator</t>
  </si>
  <si>
    <t>601 3rd. St.</t>
  </si>
  <si>
    <t>UC Davis</t>
  </si>
  <si>
    <t>P-88-99</t>
  </si>
  <si>
    <t>Detroit Diesel ICE Engine, 1550 HP, Diesel, Model No. 7243-7406, Unit #24BA001877, 2 cycle, Turbocharged, Aftercooled, Injection Timing Retarded by 4 Degrees, Emergency ICE</t>
  </si>
  <si>
    <t>Wastewater Treatment Plant-South</t>
  </si>
  <si>
    <t>P-54-97</t>
  </si>
  <si>
    <t>One Detroit Diesel Model #8163-7416, 1252 BHP, 2 cycle, Turbocharged, Aftercooled, Powering an Emergency Back-Up Generator</t>
  </si>
  <si>
    <t>North side loading area of Briggs Hall</t>
  </si>
  <si>
    <t>P-8-01</t>
  </si>
  <si>
    <t>Cummins 750 BHP, Diesel ICE, Model KTTA19-G2, Serial #37132777, Turbocharged, Aftercooled, Emergency ICE</t>
  </si>
  <si>
    <t>Central Heating and Cooling Plant-Campus Zone E067</t>
  </si>
  <si>
    <t>P-101-94</t>
  </si>
  <si>
    <t>Cummins Model No. KTTA19-G2, Serial No. 37139010, 750 BHP, 4 cycle, diesel fueled, turbocharged, powering an emergency generator: Onan Model No. 500DFFB, Serial No. H910412900, 3 Phase</t>
  </si>
  <si>
    <t>Campus Zone #E157-Engineering II</t>
  </si>
  <si>
    <t>P-96-94</t>
  </si>
  <si>
    <t>Detroit Diesel Model No. 12V-92T, 740 BHP, 2 cycle, diesel fueled, powering an emergency generator: Kohler Model No. 450ROZD77, Serial No. 280066</t>
  </si>
  <si>
    <t>12V-92T</t>
  </si>
  <si>
    <t>Wastewater Treatment Plant</t>
  </si>
  <si>
    <t>P-102-94</t>
  </si>
  <si>
    <t>Detroit Diesel Model No. 8V-92TTA, Unit No. 08VF134785, 643 BHP, 2 cycle, diesel fueled, turbocharged powering an emergency backup generator: Kohler Model No. 251409, Serial No. 400ROZD71</t>
  </si>
  <si>
    <t>Campus Zone #S002-Primate</t>
  </si>
  <si>
    <t>P-108-95</t>
  </si>
  <si>
    <t>One Waukesha Model No. F2895GSIU ICE/Generator Unit, Serial No. 387868, 636 BHP, Natural Gas Fueled, Turbocharged, Aftercooled, Automatic Transfer Switch</t>
  </si>
  <si>
    <t>F2895GSIU</t>
  </si>
  <si>
    <t>Meyer Hall-Campus Zone E139</t>
  </si>
  <si>
    <t>P-100-94</t>
  </si>
  <si>
    <t>Cummins Model No. KTTA1150, Serial No. 31124464, 560 BHP, 4-cycle, diesel, turbocharged ICE powering an emergency generator: Marathon Electric Model No. 502FDR8052GG-M2B2W, Serial No. 5727.</t>
  </si>
  <si>
    <t>KTTA1150</t>
  </si>
  <si>
    <t>Campus Zone #H299-Toxic Pollutant Laboratory</t>
  </si>
  <si>
    <t>P31-98</t>
  </si>
  <si>
    <t>(1) Cummins Model NTA855-G2 ICE, 535 BHP, 4 cycle, lean burn, powering an Onan emergency back-up generator, turbocharged, aftercooled, 4 degree fuel injection timing retard</t>
  </si>
  <si>
    <t>UC Davis Comparative Medicine-Animal Facility</t>
  </si>
  <si>
    <t>P-32-99</t>
  </si>
  <si>
    <t>One Cummins Model NTA855-G3, 535 BHP, 4 Cycle ICE, Turbocharged, Aftercooled Powering an Emergency Back-Up Generator</t>
  </si>
  <si>
    <t>Adjacent to Environmental Services Facility-Campus Zone L033-CAAN 4701</t>
  </si>
  <si>
    <t>P-32-98</t>
  </si>
  <si>
    <t>(1) Cummins Model NTA855-G2 ICE, 465 BHP, 4 cycle, lean burn, powering an Onan emergency back-up generator, turbocharged, aftercooled, 4 degree fuel injection timing retard</t>
  </si>
  <si>
    <t>UC Davis Comparative Medicine-Campus Zone S036</t>
  </si>
  <si>
    <t>P-7-01</t>
  </si>
  <si>
    <t>Cummins 465 BHP, 4 cycle engine, Model NTA855-G2, Serial #30322964, Turbocharged, Aftercooled, Emergency ICE</t>
  </si>
  <si>
    <t>Communication Resources-Campus Zone E014-CAAN 4021</t>
  </si>
  <si>
    <t>P-71-00</t>
  </si>
  <si>
    <t>One 465 BHP Cummins, Diesel Fired Emergency ICE, Model No. NTA855-G2, 4 cycle, Turbocharged, Aftercooled</t>
  </si>
  <si>
    <t>Targeted Genomics (ARS M-3)-Campus Zone H030-CAAN 4329</t>
  </si>
  <si>
    <t>United States Naval Communications Station</t>
  </si>
  <si>
    <t>P-7-97</t>
  </si>
  <si>
    <t>Emergency standby generator #2: GM Electromotive Division Model 20-645E4 internal combustion engine, S/N 72-A1-1018, 12,900 cid 2-cycle turbocharged, aftercooled, diesel, 3600 BHP; Generator: Ideal model S.A.B., 2 MW</t>
  </si>
  <si>
    <t>20-645E4</t>
  </si>
  <si>
    <t>7200 Radio Station Road</t>
  </si>
  <si>
    <t>P-64-95</t>
  </si>
  <si>
    <t>Emergency standby generator #1: One (1) GM Electromotive Division Model No. 645E4, Generator Unit Serial No. 72-A1-1086, 3600 BHP, 2-cycle, diesel, turbocharged</t>
  </si>
  <si>
    <t>Valley Media, Inc.</t>
  </si>
  <si>
    <t>P-28-00</t>
  </si>
  <si>
    <t>900 BHP Diesel Fired Cummins Model VTA28-G5, Engine No. 25243280, Turbocharged, Aftercooled, Driving an Emergency Generator</t>
  </si>
  <si>
    <t>1280 Santa Anita Court-Building A</t>
  </si>
  <si>
    <t>Woodland Biomass Power</t>
  </si>
  <si>
    <t>P-51-94</t>
  </si>
  <si>
    <t>One Caterpillar ICE, diesel fueled, emergency power generator, Model No. 3412, S/N 81Z07888, 890 BHP</t>
  </si>
  <si>
    <t>1786 E. Kentucky Ave.</t>
  </si>
  <si>
    <t>Woodland Healthcare</t>
  </si>
  <si>
    <t>P-11-99</t>
  </si>
  <si>
    <t>900 BHP Diesel Fired Cummins Model VTA28-G5, Serial #E9685150, powering an emergency generator</t>
  </si>
  <si>
    <t>1325 Cottonwood St.</t>
  </si>
  <si>
    <t>P-88-94 (t)</t>
  </si>
  <si>
    <t>One Caterpillar Model No. D379, Serial No. 76B00126, 575 BHP, 4-cycle, diesel fueled, turbocharged, and aftercooled</t>
  </si>
  <si>
    <t>P-83-01</t>
  </si>
  <si>
    <t>2,848 BHP Diesel Fired Caterpillar Internal Combustion (IC) engine, Model No. 3516 Serial No. 6HN01293, turbocharged, aftercooled</t>
  </si>
  <si>
    <t>C. International</t>
  </si>
  <si>
    <t>P-72-01</t>
  </si>
  <si>
    <t>1,114 BHP Diesel Fired Caterpillar Internal Combustion (IC) Engine, Model No. 3412, Serial No. BLG00230, Turbocharged and aftercooled, Emergency power generation</t>
  </si>
  <si>
    <t>700 Vaughn Road</t>
  </si>
  <si>
    <t>P-73-01</t>
  </si>
  <si>
    <t>IC ENGINE STANDBY, CUMMINS, MODEL #KTA19-GS2, ID #31132235, DIESEL FIRED, 600 HP.</t>
  </si>
  <si>
    <t>1900 Prarie City Rd.</t>
  </si>
  <si>
    <t>IC ENGINE STANDBY, CUMMINS, MODEL #KTA19-G2, ID# 62054, DIESEL FIRED, 600 HP.</t>
  </si>
  <si>
    <t>IC ENGINE STANDBY, CUMMINS, MODEL #KTA38-G4, ID#33138264, DIESEL FIRED, 1490 HP.</t>
  </si>
  <si>
    <t>IC ENGINE STANDBY, CUMMINS, MODEL #KTA38-G4, ID#33138365, DIESEL FIRED, 1490 HP.</t>
  </si>
  <si>
    <t>IC ENGINE STANDBY #1, CATERPILLAR, MODEL #3516, ID# 25Z01985, DIESEL FIRED, 2168 HP.</t>
  </si>
  <si>
    <t>IC ENGINE STANDBY #2, CATERPILLAR, MODEL #3516, ID# 25Z01982, DIESEL FIRED, 2168 HP.</t>
  </si>
  <si>
    <t>IC ENGINE STANDBY #3, CATERPILLAR, MODEL #3516, ID# 25Z01986, DIESEL FIRED, 2168 HP.</t>
  </si>
  <si>
    <t>INTERNATIONAL BILLING SERV.</t>
  </si>
  <si>
    <t>DIESEL IC ENGINE, CUMMINS, MODEL NO. KTA 38-G4, SERIAL NO. 33141164, 1490 BHP, DRIVING EMERGENCY ELECTRICAL GENERATOR</t>
  </si>
  <si>
    <t>9950 Mills Station Dr.</t>
  </si>
  <si>
    <t>Tom Jones</t>
  </si>
  <si>
    <t>(916) 857-6853</t>
  </si>
  <si>
    <t>DIESEL IC ENGINE, CUMMINS, MODEL NO. KTA 38-G4, SERIAL NO. 33141221, 1490 BHP, DRIVING EMERGENCY ELECTRICAL GENERATOR</t>
  </si>
  <si>
    <t>INTERNAL COMBUSTION ENGINE #GEN004,  EMERGENCY STANDBY, CATERPILLAR MODEL 3406, ID NO. 2WB12741, 475 BHP @1800 RPM, DIESEL-FUELED, DRIVING AN ELECTRICAL GENERATOR.</t>
  </si>
  <si>
    <t>IC ENGINE, CATERPILLAR, MODEL 3412C DITA, SERIAL NO. 81221078, 754 HP AT 180 RPM, DIESEL FUELED, DRIVING AN EMERGENCY ELECTRICAL GENERATOR.</t>
  </si>
  <si>
    <t>3200 Arden Way</t>
  </si>
  <si>
    <t>Jeff Tellinghuisen</t>
  </si>
  <si>
    <t>DIESEL IC ENGINE, CUMMINS, MODEL NO. KTA19-G4, S/N 37174293, 755 BHP, DRIVING EMERGENCY ELECTRICAL GENERATOR</t>
  </si>
  <si>
    <t>1650 Response Rd.</t>
  </si>
  <si>
    <t>Willie Southward</t>
  </si>
  <si>
    <t>(916) 614-4138</t>
  </si>
  <si>
    <t>KAISER SOUTH</t>
  </si>
  <si>
    <t>INTERNAL COMBUSTION ENGINE FOR EMERGENCY POWER GENERATOR, DIXIE  POWER SYSTEMS, DETROIT DIESEL, MODEL 8163-7305, SERIAL #16VF-6161, 821 HP, WITH 1472 CUBIC INCHES OF CYLINDER DISPLACEMENT.</t>
  </si>
  <si>
    <t>6601 Wyndham Way</t>
  </si>
  <si>
    <t>95823</t>
  </si>
  <si>
    <t>Bruce Donaldson</t>
  </si>
  <si>
    <t>(916) 688-2415</t>
  </si>
  <si>
    <t>INTERNAL COMBUSTION ENGINE, CUMMINS, MODEL #KTA-50-G1, S.N. 79232/2, 1300 BHP, DIESEL FIRED, DRIVING STANDBY GENERATOR</t>
  </si>
  <si>
    <t>KTA-50-G1</t>
  </si>
  <si>
    <t>6600 Bruceville Rd.</t>
  </si>
  <si>
    <t>John Weir</t>
  </si>
  <si>
    <t>LEGISLATIVE COUNSEL BUREAU</t>
  </si>
  <si>
    <t>IC ENGINE FOR EMERGENCY ELECTRICAL GENERATION, DETROIT DIESEL CORP, MODEL NO. 12VF92TA, SERIAL NO. 12VF-11016, 947 HP</t>
  </si>
  <si>
    <t>12VF92TA</t>
  </si>
  <si>
    <t>1100 J St.</t>
  </si>
  <si>
    <t>Maynard Pace</t>
  </si>
  <si>
    <t>(916) 445-4965</t>
  </si>
  <si>
    <t>McCLELLAN BUSINESS PARK</t>
  </si>
  <si>
    <t>IC ENGINE STANDBY, MITSUBISHI, MODEL: SI2U, SERIAL NO. 10060, 2400 HP @1800 RPM, DIESEL FUELED, DRIVING AN EMERGENCY ELECTRICAL GENERATOR</t>
  </si>
  <si>
    <t>S12U</t>
  </si>
  <si>
    <t xml:space="preserve">Bldg 600 </t>
  </si>
  <si>
    <t>Tammy Cox</t>
  </si>
  <si>
    <t>(916) 996-6886</t>
  </si>
  <si>
    <t>IC ENGINE STANDBY, MITSUBISHI, MODEL: SI2U, SERIAL NO. 10061, 2400 HP @1800 RPM, DIESEL FUELED, DRIVING AN EMERGENCY ELECTRICAL GENERATOR</t>
  </si>
  <si>
    <t>A 947 HP DETROIT DIESEL IC ENGINE (MODEL 8123-7416) FOR EMERGENCY ELECTRICAL POWER GENERATION</t>
  </si>
  <si>
    <t>11080 White Rock Rd.</t>
  </si>
  <si>
    <t>Craig Knebel</t>
  </si>
  <si>
    <t>(916) 537-1693</t>
  </si>
  <si>
    <t>McKESSON</t>
  </si>
  <si>
    <t>IC ENGINE STANDBY NO. 3, CATERPILLAR MODEL 3412, SERIAL NO. 2WJ02413, 1109 HP @1800 RPM, DIESEL FUELED, 1649 CU. IN. DISPLACEMENT, POWERING A 750 KW EMERGENCY ELECTRICAL GENERATOR.</t>
  </si>
  <si>
    <t>11000 Trade Center Dr.</t>
  </si>
  <si>
    <t>Randy Woofard</t>
  </si>
  <si>
    <t>(916) 636-8783</t>
  </si>
  <si>
    <t>IC ENGINE STANDBY NO. 2, CATERPILLAR MODEL 3508, SERIAL NO. 23Z00815, 1090 HP @1800 RPM, DIESEL FUELED, 2112 CU. IN. DISPLACEMENT, POWERING A 750 KW EMERGENCY ELECTRICAL GENERATOR.</t>
  </si>
  <si>
    <t>IC ENGINE STANDBY NO. 1, CATERPILLAR MODEL 3508, SERIAL NO. 23Z00818, 1090 HP @1800 RPM, DIESEL FUELED, 2112 CU. IN. DISPLACEMENT, POWERING A 750 KW EMERGENCY ELECTRICAL GENERATOR.</t>
  </si>
  <si>
    <t>STANDBY IC ENGINE/GENERATOR - CUMMINS DIESEL ENGINE MODEL NO. KTA-19-G2, ID NO. 37141206, 600 BHP.</t>
  </si>
  <si>
    <t>10540 White Rock Rd.</t>
  </si>
  <si>
    <t>Mike Guitero</t>
  </si>
  <si>
    <t>(916) 453-4880</t>
  </si>
  <si>
    <t>INTERNAL COMBUSTION ENGINE #2, FOR EMERGENCY ELECTRICAL GENERATION/LOAD SHED, CATERPILLAR, MODEL NO. D-349, ID NO. LB95602, 1100 ENGINE BHP, 2382 CU. IN. OF CYLINDER DISPLACEMENT</t>
  </si>
  <si>
    <t>IC ENGINE, CATERPILLAR, MODEL NO. 3516 DITA, SERIAL NO. 25Z05831, 2168 BHP @ 1800 RPM, TURBOCHARGED AND AFTERCOOLED, DIESEL FUELED, DRIVING AN EMERGENCY ELECTRICAL GENERATOR.</t>
  </si>
  <si>
    <t>METHODIST HOSPITAL</t>
  </si>
  <si>
    <t>IC ENGINE FOR EMERGENCY ELECTRICAL GENERATION, CUMMINS, MODEL NO. KTTA 19G2, SERIAL NO. 37158071, 750 HP.</t>
  </si>
  <si>
    <t>7500 Timberlake Way</t>
  </si>
  <si>
    <t>(916) 423-6085</t>
  </si>
  <si>
    <t>IC ENGINE FOR EMERGENCY ELECTRICAL GENERATION, CUMMINS, ENGINE NO. 33131045, MODEL NO. KTA 38-G2, SERIAL NO. 97993-7, 1200 HP.</t>
  </si>
  <si>
    <t>KTTA38-G2</t>
  </si>
  <si>
    <t>MONEY STORE</t>
  </si>
  <si>
    <t>IC ENGINE, DETROIT DIESEL, MODEL 8083-7416, SERIAL NO. 8VF164026, 643 HP @ 1800 RPM, DIESEL FUELED WITH A CLEAN CAM TECHNOLOGY RETROFIT KIT (CARB EXECUTIVE ORDER: G-096-029-024), DRIVING AN EMERGENCY ELECTRICAL GENERATOR.</t>
  </si>
  <si>
    <t>4837 Watt Ave.</t>
  </si>
  <si>
    <t>North Highlands</t>
  </si>
  <si>
    <t>95660</t>
  </si>
  <si>
    <t>Patricia Lee</t>
  </si>
  <si>
    <t>(916) 339-6790</t>
  </si>
  <si>
    <t>DIESEL INTERNAL COMBUSTION ENGINE, DETROIT DIESEL, MODEL 7123-7405, ID NO. 12VA085707, 579 BHP @1800 RPM, DRIVING AN EMERGENCY ELECTRICAL GENERATOR.</t>
  </si>
  <si>
    <t>2700 Watt Ave.</t>
  </si>
  <si>
    <t>Mike Alcala</t>
  </si>
  <si>
    <t>(916) 491-0842</t>
  </si>
  <si>
    <t>IC ENGINE, DETROIT DIESEL, MODEL 12V71TA, SERIAL NO. 12VA88616, 630 HP @1800 RPM, TURBOCHARGED, AFTERCOOLED, DIESEL FUELED, DRIVING AN EMERGENCY ELECTRICAL GENERATOR.</t>
  </si>
  <si>
    <t>6441 Craighurst Dr.</t>
  </si>
  <si>
    <t>Tim Forsyth</t>
  </si>
  <si>
    <t>(916) 491-0846</t>
  </si>
  <si>
    <t>DIESEL IC ENGINE, CATERPILLAR, MODEL 3412C DITTA, SERIAL NO. 81Z23151, 896 HP, DRIVING EMERGENCY ELECTRICAL GENERATOR.</t>
  </si>
  <si>
    <t>3412C DITTA</t>
  </si>
  <si>
    <t>8295 Fruitridge Rd.</t>
  </si>
  <si>
    <t>Phyllis Hunnel</t>
  </si>
  <si>
    <t>(916) 491-0843</t>
  </si>
  <si>
    <t>IC ENGINE STANDBY, DETROIT DIESEL, MODEL 12V149T, SERIAL NO. 78640-3, 1150 HP</t>
  </si>
  <si>
    <t>12V149T</t>
  </si>
  <si>
    <t>3675 T St.</t>
  </si>
  <si>
    <t>STANDBY IC ENGINE, DETROIT DIESEL, MODEL NO. 81637416, SERIAL NO. 16VF012371, HP RATING 1232 HP, GENERATOR, STAMFORD, MODEL NO. BS50000, SERIAL NO. C047519/02, KW RATING 750</t>
  </si>
  <si>
    <t>3809 Florin Rd.</t>
  </si>
  <si>
    <t>E006284</t>
  </si>
  <si>
    <t>Antelope Valley - Kern Water Agency</t>
  </si>
  <si>
    <t>Antelope Valley Healthcare System</t>
  </si>
  <si>
    <t>E007550</t>
  </si>
  <si>
    <t>Antelope Valley Healthcare Sys-Skilled Nursing</t>
  </si>
  <si>
    <t>Lancaster</t>
  </si>
  <si>
    <t>93534</t>
  </si>
  <si>
    <t>E007259</t>
  </si>
  <si>
    <t>E007549</t>
  </si>
  <si>
    <t>E007548</t>
  </si>
  <si>
    <t>E007119</t>
  </si>
  <si>
    <t>CaSta DWR District Wide</t>
  </si>
  <si>
    <t>Forest City Commercial Management</t>
  </si>
  <si>
    <t>E006973</t>
  </si>
  <si>
    <t>Antelope Valley Mall</t>
  </si>
  <si>
    <t>93551</t>
  </si>
  <si>
    <t>J C Penney Co</t>
  </si>
  <si>
    <t>E006310</t>
  </si>
  <si>
    <t>74GN</t>
  </si>
  <si>
    <t>LACo Fire Department</t>
  </si>
  <si>
    <t>E006996</t>
  </si>
  <si>
    <t>LACo Fire Station # 129</t>
  </si>
  <si>
    <t>LACo High Desert Hospital</t>
  </si>
  <si>
    <t>E007158</t>
  </si>
  <si>
    <t>LACo Sanitation Districts</t>
  </si>
  <si>
    <t>E007278</t>
  </si>
  <si>
    <t>LACo Sanitation Dist #14</t>
  </si>
  <si>
    <t>E006684</t>
  </si>
  <si>
    <t>LACo Palmdale Water Reclamation Plant</t>
  </si>
  <si>
    <t>LACo Sheriff's Dept - Atn: Pepe</t>
  </si>
  <si>
    <t>E006564</t>
  </si>
  <si>
    <t>VTA-1710-G</t>
  </si>
  <si>
    <t>LACo Sheriff's Dept - 45000 W 60th St</t>
  </si>
  <si>
    <t>E007032</t>
  </si>
  <si>
    <t>LACo Sheriff's Dept - 501 W Lancaster Blvd</t>
  </si>
  <si>
    <t>E006455</t>
  </si>
  <si>
    <t>E006498</t>
  </si>
  <si>
    <t>3406BTA</t>
  </si>
  <si>
    <t>E006454</t>
  </si>
  <si>
    <t>DAS  418400</t>
  </si>
  <si>
    <t>E006453</t>
  </si>
  <si>
    <t>Northrop Grumman Corp</t>
  </si>
  <si>
    <t>E006780</t>
  </si>
  <si>
    <t>E006775</t>
  </si>
  <si>
    <t>NTTA855G</t>
  </si>
  <si>
    <t>Pacific Bell - Env Mgmt</t>
  </si>
  <si>
    <t>E007157</t>
  </si>
  <si>
    <t>92V12TA</t>
  </si>
  <si>
    <t>Pacific Bell - N 47th St E</t>
  </si>
  <si>
    <t>Palmdale Water District</t>
  </si>
  <si>
    <t>E007279</t>
  </si>
  <si>
    <t>3508EUI DITA</t>
  </si>
  <si>
    <t>Palmdale Water District - 641 E Ave S</t>
  </si>
  <si>
    <t>E007288</t>
  </si>
  <si>
    <t>TAD 1232GE</t>
  </si>
  <si>
    <t>Palmdale Water District - 2029 E Ave Q</t>
  </si>
  <si>
    <t>E007287</t>
  </si>
  <si>
    <t>RITE AID</t>
  </si>
  <si>
    <t>E007609</t>
  </si>
  <si>
    <t>600 DS-4</t>
  </si>
  <si>
    <t>E007605</t>
  </si>
  <si>
    <t>Senior Systems Technology, Inc</t>
  </si>
  <si>
    <t>E007964</t>
  </si>
  <si>
    <t>SR Technics America, Inc</t>
  </si>
  <si>
    <t>E006828</t>
  </si>
  <si>
    <t>SR Technics America, Inc - Site 9</t>
  </si>
  <si>
    <t>US Federal Aviation Administration</t>
  </si>
  <si>
    <t>E006704</t>
  </si>
  <si>
    <t>FAA Airways Facility</t>
  </si>
  <si>
    <t>E006703</t>
  </si>
  <si>
    <t>US Gov AF Dept  Pyramid Services, Inc</t>
  </si>
  <si>
    <t>E007236</t>
  </si>
  <si>
    <t>E007983</t>
  </si>
  <si>
    <t>Verizon - GC# 528</t>
  </si>
  <si>
    <t>E007464</t>
  </si>
  <si>
    <t>762 W. Kettering</t>
  </si>
  <si>
    <t>Broadwing Communications Services</t>
  </si>
  <si>
    <t>E008173</t>
  </si>
  <si>
    <t>ICE Emergency Diesel Generator consisting of: a Katolight/Cummins model D350FPZX4 ICE, 6 cylinders, Serial No. WAGM1020703, 568 bhp, turbocahrged, aftercooled, ignition timing retarded, 350 kW.</t>
  </si>
  <si>
    <t>D350FPZX4</t>
  </si>
  <si>
    <t>602 E Ave R, Unit B/Suite C</t>
  </si>
  <si>
    <t>E008174</t>
  </si>
  <si>
    <t>ICE Emergency Diesel Generator consisting of: a Katolight/Cummins model D350FPZX4 ICE, 6 cylinders, Serial No. WA51382446276, 568 bhp, turbocahrged, aftercooled, ignition timing retarded, 350 kW.</t>
  </si>
  <si>
    <t>37918 Sixth Street East</t>
  </si>
  <si>
    <t>E008182</t>
  </si>
  <si>
    <t>Northrup Grumman Systems Corporation</t>
  </si>
  <si>
    <t>E008200</t>
  </si>
  <si>
    <t>Caterpillar, Diesel, Generator, Model No. 3412 TA, 12 cylinders, After Cooled, Ignition Retarded, Turbocharged 749 bhp@ 1800 rpm.</t>
  </si>
  <si>
    <t>3520 E Avenue M</t>
  </si>
  <si>
    <t>E008199</t>
  </si>
  <si>
    <t>E008198</t>
  </si>
  <si>
    <t>E008197</t>
  </si>
  <si>
    <t>E008323</t>
  </si>
  <si>
    <t>Emergency ICE: Caterpillar, Diesel, Generator, Model No. 3508B, 8 cylinders, Direct Injected, Inter Cooled, Turbo Charged, 1480 bhp@1800 rpm</t>
  </si>
  <si>
    <t>9550 Pearblossom</t>
  </si>
  <si>
    <t>Littlerock</t>
  </si>
  <si>
    <t>Country Wide Home Loans</t>
  </si>
  <si>
    <t>E008407</t>
  </si>
  <si>
    <t>Emergency ICE: Johnson Power, 1000 KW, Caterpillar, Diesel, Generator, Model No. 3508B, 8 cylinders, Aftercooled, Direct Injected, Turbocahrged, 1480 bhp @1800 rpm, Serial No. 1FZ00864.</t>
  </si>
  <si>
    <t>176 Country Wide Way</t>
  </si>
  <si>
    <t>E008420</t>
  </si>
  <si>
    <t>Emergency ICE: Caterpillar, Diesel, Generator, Model 3412 DITA, 12 cylinders, Aftercooled, Direct Injected, Turbocharged, 817 bhp@ 1800 rpm, Serial No. 81Z23882</t>
  </si>
  <si>
    <t>The Haskell Company</t>
  </si>
  <si>
    <t>E008619</t>
  </si>
  <si>
    <t>Emergency ICE: Cummins, Diesel fired, Model No. QSK60-G6 and Serial No. 33148229, Aftercooled, Turbocharged, producing 2922 bhp with 16 cylinders at 1800 rpm while consuming a maximum of 104 gal/hr. This equipment powers a generator.</t>
  </si>
  <si>
    <t>421 West Avenue M</t>
  </si>
  <si>
    <t>Barton Memorial Hospital</t>
  </si>
  <si>
    <t>13-1090-01</t>
  </si>
  <si>
    <t>ICE, Detroit Diesel, Model No. 12V92, Serial No. 12VF-008952, 947 HP, Diesel, Turbocharged, Aftercooled, Timing Retarded</t>
  </si>
  <si>
    <t>12V-92</t>
  </si>
  <si>
    <t>2170 South Avenue</t>
  </si>
  <si>
    <t>South Lake Tahoe</t>
  </si>
  <si>
    <t>Rich Bell</t>
  </si>
  <si>
    <t>(530) 542-3000 ext. 3308</t>
  </si>
  <si>
    <t>El Dorado Irrigation District</t>
  </si>
  <si>
    <t>13-634-01</t>
  </si>
  <si>
    <t>ICE, Detroit Diesel, Model No. 16VFO13944, 1232 HP, Diesel, Turbocharged, Aftercooled</t>
  </si>
  <si>
    <t>16VFO13944</t>
  </si>
  <si>
    <t>1565 Deer Creek Road</t>
  </si>
  <si>
    <t>Cameron Park</t>
  </si>
  <si>
    <t>Bob Gamble</t>
  </si>
  <si>
    <t>(916) 677-9044</t>
  </si>
  <si>
    <t>15-834-01</t>
  </si>
  <si>
    <t>ICE, Detroit Diesel, Model No. 8V-92TTA, 643 hp, Turbocharged,  Aftercooled</t>
  </si>
  <si>
    <t>4625 Latrobe Road</t>
  </si>
  <si>
    <t>El Dorado Hills</t>
  </si>
  <si>
    <t>Ken Roberts</t>
  </si>
  <si>
    <t>(916) 933-6202</t>
  </si>
  <si>
    <t>Embassy Suites Lake Tahoe Resort</t>
  </si>
  <si>
    <t>13-1005-01</t>
  </si>
  <si>
    <t>ICE, Cummins, Model No. ITA13-G, Serial No. 37135733, 685 HP, Diesel</t>
  </si>
  <si>
    <t>ITA13-G</t>
  </si>
  <si>
    <t>4130 Lake Tahoe Blvd.</t>
  </si>
  <si>
    <t>Gerry DeYoung</t>
  </si>
  <si>
    <t>(530) 544-5400</t>
  </si>
  <si>
    <t>Heavenly Ski Resort</t>
  </si>
  <si>
    <t>13-1135-01</t>
  </si>
  <si>
    <t>ICE, Cummins, Model No. QST30-C, Serial Number 37193595, 1050 HP, turbocharged and aftercooled</t>
  </si>
  <si>
    <t>QST30-C</t>
  </si>
  <si>
    <t>4080 Lake Tahoe Blvd.</t>
  </si>
  <si>
    <t>Mike Cordia</t>
  </si>
  <si>
    <t>(775) 884-1880</t>
  </si>
  <si>
    <t>13-1136-01</t>
  </si>
  <si>
    <t>ICE, Cummins, Model No. QST30-C, Serial Number 37193596, 1050 HP, turbocharged and aftercooled</t>
  </si>
  <si>
    <t>Heavenly Ski Resort-Dipper</t>
  </si>
  <si>
    <t>13-865-01</t>
  </si>
  <si>
    <t>ICE, diesel, Cummins, Model No. DTA19P, Serial Number 37153129, 600 HP, turbocharger, aftercooler, 4 degree timing retardation</t>
  </si>
  <si>
    <t>DTA19P</t>
  </si>
  <si>
    <t>Keller and Saddle</t>
  </si>
  <si>
    <t>Jimmy Lawrence</t>
  </si>
  <si>
    <t>(702) 586-6259</t>
  </si>
  <si>
    <t>Heavenly Ski Resort-Sky</t>
  </si>
  <si>
    <t>12-863-01</t>
  </si>
  <si>
    <t>ICE, diesel, Cummins, Model No. DTTA19P, Serial Number 37143103, 700 HP</t>
  </si>
  <si>
    <t>DTTA19P</t>
  </si>
  <si>
    <t>Marshall Hospital</t>
  </si>
  <si>
    <t>07-474-01</t>
  </si>
  <si>
    <t>ICE, Cummins Onan, KTA38-G1, Serial Number 97397-136, 750 KW</t>
  </si>
  <si>
    <t>Marshall Way</t>
  </si>
  <si>
    <t>Placerville</t>
  </si>
  <si>
    <t>Mack Fonston</t>
  </si>
  <si>
    <t>(916) 626-2687</t>
  </si>
  <si>
    <t>07-475-01</t>
  </si>
  <si>
    <t>ICE, Cummins Onan, Model No. 400DFNG303560, 400 KW</t>
  </si>
  <si>
    <t>400DFNG303560</t>
  </si>
  <si>
    <t>DST Output</t>
  </si>
  <si>
    <t>10-588-01</t>
  </si>
  <si>
    <t>ICE, Cummins, Model No. KTTA-SO-G2, Serial No. 75683/13, 2200 HP, Diesel</t>
  </si>
  <si>
    <t>5220 Robert J. Matthews Parkway</t>
  </si>
  <si>
    <t>SBC</t>
  </si>
  <si>
    <t>13-529-01</t>
  </si>
  <si>
    <t>ICE, Garrett Turbine, Model No. 1E831-800, Serial No. 77530, 690 HP, Diesel</t>
  </si>
  <si>
    <t>Garrett</t>
  </si>
  <si>
    <t>1E831-800</t>
  </si>
  <si>
    <t>2633 Sussex Avenue</t>
  </si>
  <si>
    <t>Jim Brimacomb</t>
  </si>
  <si>
    <t>(916) 972-0878</t>
  </si>
  <si>
    <t>15-873-01</t>
  </si>
  <si>
    <t>ICE, Detroit Diesel, Model No. 8083-7405, Serial No. 8VF174539, 568 HP, Diesel, turbocharged, aftercooled, positive crankcase ventilation</t>
  </si>
  <si>
    <t>2970 Bedford Avenue</t>
  </si>
  <si>
    <t>Sierra-At-Tahoe</t>
  </si>
  <si>
    <t>13-1015-01</t>
  </si>
  <si>
    <t>ICE, Caterpilliar, Model No. 3412, Serial No. 2WJ00879, 1109 HP, Diesel, Turbocharged ,Aftercooled</t>
  </si>
  <si>
    <t>1111 Sierra-At-Tahoe Road</t>
  </si>
  <si>
    <t>Twin Bridges</t>
  </si>
  <si>
    <t>Casey Blann</t>
  </si>
  <si>
    <t>(530) 659-7453</t>
  </si>
  <si>
    <t>13-1013-01</t>
  </si>
  <si>
    <t>ICE, Detroit Diesel, Model No. 16V-92, Serial No. DD16VF010444, 1095 HP, Diesel, Turbocharged</t>
  </si>
  <si>
    <t>13-1016-01</t>
  </si>
  <si>
    <t>DIESEL IC ENGINE, CATERPILLAR, MODEL NO. 3412, 620 BHP, DRIVING EMERGENCY ELECTRICAL GENERATOR</t>
  </si>
  <si>
    <t>4949 Broadway</t>
  </si>
  <si>
    <t>Duane Kinross</t>
  </si>
  <si>
    <t>(916) 227-6951</t>
  </si>
  <si>
    <t>DIESEL IC ENGINE, CATERPILLAR, MODEL NO. 3412, 755 BHP, DRIVING EMERGENCY ELECTRICAL GENERATOR</t>
  </si>
  <si>
    <t>INTERNAL COMBUSTION ENGINE, EMERGENCY STANDBY, DETROIT DIESEL, MODEL 8163-7416, ID NO. UNKNOWN, 1252 HP, DIESEL FUELED, DRIVING AN ELECTRICAL GENERATOR</t>
  </si>
  <si>
    <t>1300 I St.</t>
  </si>
  <si>
    <t>95673</t>
  </si>
  <si>
    <t>Charles McZeek</t>
  </si>
  <si>
    <t>(916) 445-7113</t>
  </si>
  <si>
    <t>DIESEL IC ENGINE, CUMMINS, MODEL NO. KTA38-63, SERIAL NO. 97396/49, 1340 BHP, DRIVING EMERGENCY ELECTRICAL GENERATOR</t>
  </si>
  <si>
    <t>KTA38-63</t>
  </si>
  <si>
    <t>450 N St.</t>
  </si>
  <si>
    <t>Bentley Mymka</t>
  </si>
  <si>
    <t>(916) 446-9505</t>
  </si>
  <si>
    <t>TIME WARNER TELECOMM.</t>
  </si>
  <si>
    <t>INTERNAL COMBUSTION ENGINE, DETROIT DIESEL, MODEL NO. 6063-TK35, SERIAL NO. 06R0490858, 490 BHP, DIESEL FIRED, DRIVING STANDBY ELECTRICAL GENERATOR</t>
  </si>
  <si>
    <t xml:space="preserve">1107 9th St. </t>
  </si>
  <si>
    <t>UCD MEDICAL CENTER</t>
  </si>
  <si>
    <t>CUMMINS DIESEL ENGINE, MODEL NO. KTTA 19G2, SERIAL NO. 37124440, 750 BHP.</t>
  </si>
  <si>
    <t>KTTA19G2</t>
  </si>
  <si>
    <t>2315 Stockton Blvd.</t>
  </si>
  <si>
    <t>Dennis Curry</t>
  </si>
  <si>
    <t>(916) 739-3679</t>
  </si>
  <si>
    <t>INTERNAL COMBUSTION ENGINE GENERATOR, CATERPILLAR, MODEL 3412, ID NO. 81Z08979, 890 @1800 RPM ENGINE BHP, TURBOCHARGED, AFTERCOOLED.</t>
  </si>
  <si>
    <t>"D" Paul</t>
  </si>
  <si>
    <t>(916) 734-7493</t>
  </si>
  <si>
    <t>IC ENGINE, CATERPILLAR, MODEL 3516B DITA SC 140F, SERIAL NO. 6HN00135, 2876 HP  @1800 RPM, DIESEL FUELED, DRIVING AN EMERGENCY ELECTRICAL GENERATOR.</t>
  </si>
  <si>
    <t>3516B DITA SC140F</t>
  </si>
  <si>
    <t>2nd Ave. and 48th St.</t>
  </si>
  <si>
    <t>Tom Kavanaugh</t>
  </si>
  <si>
    <t>(916) 734-5548</t>
  </si>
  <si>
    <t>IC ENGINE, CATERPILLAR, MODEL 3516B DITA SC 140F, SERIAL NO. 6HN00136, 2876 HP  @1800 RPM, DIESEL FUELED, DRIVING AN EMERGENCY ELECTRICAL GENERATOR.</t>
  </si>
  <si>
    <t>IC ENGINE, CATERPILLAR, MODEL 3516B DITA SC 140F, SERIAL NO. 6HN00137, 2876 HP  @1800 RPM, DIESEL FUELED, DRIVING AN EMERGENCY ELECTRICAL GENERATOR.</t>
  </si>
  <si>
    <t>IC ENGINE, CATERPILLAR, MODEL 3516B DITA SC 140F, SERIAL NO. 6HN00134, 2876 HP  @1800 RPM, DIESEL FUELED, DRIVING AN EMERGENCY ELECTRICAL GENERATOR.</t>
  </si>
  <si>
    <t>US GOV'T GSA</t>
  </si>
  <si>
    <t>IC ENGINE FOR EMERGENCY ELECTRICAL GENERATION, CUMMINS, ENGINE NO. 11012378, MODEL NO. NTTA-855-G, SERIAL NO. 55576, 465 HORSEPOWER AT 1800 RPM.</t>
  </si>
  <si>
    <t>2800 Cottage Way</t>
  </si>
  <si>
    <t>Ed de los Reyes</t>
  </si>
  <si>
    <t>(916) 870-7940</t>
  </si>
  <si>
    <t>DIESEL IC ENGINE FOR EMERGENCY ELECTRICAL POWER, CUMMINS, MODEL NTA855G2, S/N 96054, 465 BHP.</t>
  </si>
  <si>
    <t>801 I St.</t>
  </si>
  <si>
    <t>STANDBY IC ENGINE, CATERPILLAR, MODEL 3516-DITA SERIAL #25Z04950, 2017 HP, DIESEL FIRED, FOR EMERGENCY ELECTRICAL POWER GENERATION</t>
  </si>
  <si>
    <t>801 5th St.</t>
  </si>
  <si>
    <t>US GOV'T - FAA</t>
  </si>
  <si>
    <t>DIESEL IC ENGINE, DETROIT DIESEL, MODEL D-71-12V71T, S/N 175-067-75, 600 BHP, DRIVING ELECTRICAL GENERATOR (FOG LIGHTS) DURING ADVERSE WEATHER CONDITIONS.</t>
  </si>
  <si>
    <t>D-71-12V71T</t>
  </si>
  <si>
    <t>Sacramento Metro Airport</t>
  </si>
  <si>
    <t>Paul Steinke</t>
  </si>
  <si>
    <t>(916) 922-9631</t>
  </si>
  <si>
    <t>DIESEL IC ENGINE, DETROIT DIESEL, MODEL 71237305, S/N 12VA026144, 600 BHP, DRIVING EMERGENCY ELECTRICAL GENERATOR</t>
  </si>
  <si>
    <t>Ruth Sticca</t>
  </si>
  <si>
    <t>DIESEL IC ENGINE, DETROIT DIESEL, MODEL NO. 8163-7406, ENGINE ID NO. 16VF015384, 1170 HP, DRIVING EMERGENCY ELECTRICAL GENERATOR.</t>
  </si>
  <si>
    <t>11375 Douglas Rd.</t>
  </si>
  <si>
    <t>Frank Schulte</t>
  </si>
  <si>
    <t>(916) 366-4028</t>
  </si>
  <si>
    <t>DIESEL IC ENGINE, DETROIT DIESEL, MODEL NO. 8163-7406, ENGINE ID NO. 16VF015358, 1170 HP, DRIVING EMERGENCY ELECTRICAL GENERATOR.</t>
  </si>
  <si>
    <t>DIESEL IC ENGINE, DETROIT DIESEL, MODEL NO. 8163-7406, ENGINE ID NO. 16VF015332, 1170 HP, DRIVING EMERGENCY ELECTRICAL GENERATOR.</t>
  </si>
  <si>
    <t>DIESEL IC ENGINE, DETROIT DIESEL, MODEL NO. 8163-7406, ENGINE ID NO. 16VF015361, 1170 HP, DRIVING EMERGENCY ELECTRICAL GENERATOR.</t>
  </si>
  <si>
    <t>US GOV'T - VA</t>
  </si>
  <si>
    <t>IC ENGINE, WAUKESHA, MODEL L5790DSU, SERIAL NO. 175692, 900 HP, DIESEL FUELED, DRIVING A 600 KW EMERGENCY ELECTRICAL GENERATOR.</t>
  </si>
  <si>
    <t>L5790DSU</t>
  </si>
  <si>
    <t>10535 Hospital Way</t>
  </si>
  <si>
    <t>95655</t>
  </si>
  <si>
    <t>Pete Spitzer</t>
  </si>
  <si>
    <t>(916) 366-5370</t>
  </si>
  <si>
    <t>IC ENGINE STANDBY, CATERPILLAR, MODEL 3512B, SERIAL NO: 8RM00575, 1810 HP@1800 RPM, DIESEL FUELED, DRIVING AN EMERGENCY ELECTRICAL GENERATOR.</t>
  </si>
  <si>
    <t>3068 Kilgore Rd.</t>
  </si>
  <si>
    <t>Rodney Shaw</t>
  </si>
  <si>
    <t>(916) 636-6091</t>
  </si>
  <si>
    <t>VISION SERVICE PLAN</t>
  </si>
  <si>
    <t>STANDBY IC ENGINE, CUMMINS, MODEL KTA-19-G4, SERIAL #37143683, 750 HP, DIESEL FIRED, FOR EMERGENCY ELECTRICAL POWER GENERATION</t>
  </si>
  <si>
    <t>3333 Quality Dr.</t>
  </si>
  <si>
    <t>Curtis Matsumoto</t>
  </si>
  <si>
    <t>(916) 851-4891</t>
  </si>
  <si>
    <t>IC ENGINE, DETROIT DIESEL, MODEL R1637K36, SERIAL NO. 536200195, 1350 HP @1800 RPM, DIESEL FUELED, DRIVING AN EMERGENCY ELECTRICAL GENERATOR.</t>
  </si>
  <si>
    <t>R1637K06</t>
  </si>
  <si>
    <t>10845 International Dr.</t>
  </si>
  <si>
    <t>IC ENGINE, DETROIT DIESEL, MODEL 16V2000-G80 (R163-7K06), SERIAL NO. 5362001195, 1495 HP @1800 RPM, DIESEL FUELED, DRIVING AN EMERGENCY ELECTRICAL GENERATOR.</t>
  </si>
  <si>
    <t>16V2000-G80</t>
  </si>
  <si>
    <t>VV USA CITY LP</t>
  </si>
  <si>
    <t>INTERNAL COMBUSTION ENGINE, EMERGENCY STANDBY, CUMMINS, MODEL KTA-1150-G2, ID NO. 3112906U, 600 HP, DIESEL FUELED, DRIVING AN ELECTRICAL GENERATOR.</t>
  </si>
  <si>
    <t>KTA1150-G2</t>
  </si>
  <si>
    <t>300 Capitol Mall</t>
  </si>
  <si>
    <t>Ken Van Duyn</t>
  </si>
  <si>
    <t>(916) 447-6407</t>
  </si>
  <si>
    <t>WELLS FARGO BANK</t>
  </si>
  <si>
    <t>IC ENGINE FOR EMERGENCY ELECTRICAL POWER GENERATION, CUMMINS ENGINE COMPANY, MODEL KTA38-G1, SERIAL 97991-52, 1135 HORSEPOWER.</t>
  </si>
  <si>
    <t>3640 Northgate Blvd.</t>
  </si>
  <si>
    <t>James Boes</t>
  </si>
  <si>
    <t>(916) 569-6559</t>
  </si>
  <si>
    <t>DIESEL IC ENGINE, CUMMINS, MODEL NO. QST30-G2, S/N 37174859, 1200 BHP, DRIVING EMERGENCY ELECTRICAL GENERATOR.</t>
  </si>
  <si>
    <t>2125 Butano Dr.</t>
  </si>
  <si>
    <t>WESTERN AREA POWER ADMIN</t>
  </si>
  <si>
    <t>DIESEL INTERNAL COMBUSTION ENGINE, DETROIT DIESEL, MODEL 8V-92TA, ID NO. 157890, 568 BHP, DRIVING AN EMERGENCY ELECTRICAL GENERATOR.</t>
  </si>
  <si>
    <t>114 Parkshore Dr.</t>
  </si>
  <si>
    <t>Gene Mann</t>
  </si>
  <si>
    <t>(916) 353-4578</t>
  </si>
  <si>
    <t>770 L STREET INVESTMENT GROUP</t>
  </si>
  <si>
    <t>IC ENGINE STANDBY, DETROIT DIESEL, MODEL 7163-6305, SERIAL NO. 16VA19090, 760 BHP @1800 RPM, DIESEL FUELED, DRIVING AN EMERGENCY ELECTIRCAL GENERATOR RATED AT 500 KW</t>
  </si>
  <si>
    <t>7163-6305</t>
  </si>
  <si>
    <t>770 L St.</t>
  </si>
  <si>
    <t>980 9TH STREET LLC</t>
  </si>
  <si>
    <t>IC ENGINE STANDBY, DETROIT DIESEL, MODEL 8163-7416, SERIAL NO. 16VF09617, 1262 BHP @1800 RPM, 1472 CU. IN. DISPLACEMENT, DIESEL FUELED, DRIVING AN EMERGENCY ELECTRICAL GENERATOR.</t>
  </si>
  <si>
    <t>980 9th St.</t>
  </si>
  <si>
    <t>Dan Keck</t>
  </si>
  <si>
    <t>(916) 557-1800</t>
  </si>
  <si>
    <t>IC ENGINE, DETROIT DIESEL, MODEL 8V-92A, SERIAL NO. 8VF1777262, 568 HP AT 1800 RPM, DIESEL FUELED, RETROFITTED WITH CLEAN CAM TECHNOLOGY SYSTEM'S CAM SHAFT CYLINDER REENGINEERING KIT (ARB EXECUTIVE ORDER G-096-029-024-A), DRIVING AN EMERGENCY ELECTRICAL POWER GENERATOR.</t>
  </si>
  <si>
    <t>Building 16007 Aerojet Facility</t>
  </si>
  <si>
    <t>ALLEGIANCE TELECOM</t>
  </si>
  <si>
    <t>IC ENGINE STANDBY, DETROIT DIESEL/MTU, MODEL R123-7K36, SERIAL NO. 666198, 1120 HP @1800 RPM, 1458 CU. IN. DISPLACEMENT, DIESEL FUELED, DRIVING AN EMERGENCY ELECTRICAL GENERATOR</t>
  </si>
  <si>
    <t>10995 Gold Center Dr.</t>
  </si>
  <si>
    <t>Michael Kitzer</t>
  </si>
  <si>
    <t>(916) 858-8129</t>
  </si>
  <si>
    <t>IC ENGINE STANDBY, DETROIT DIESEL, MODEL 1000DS4, SERIAL NO. 0702520, 1495 BHP @1800RPM, 1944 CU. IN. DISPLACEMENT, DIESEL FUELED, DRIVING AN EMERGENCY ELECTRICAL GENERATOR RATED AT 1000 KW.</t>
  </si>
  <si>
    <t>1000DS4</t>
  </si>
  <si>
    <t>IC ENGINE STANDBY, CUMMINS, MODEL Q5X15-G9, SERIAL NO. 14020641, 755 BHP @1800 RPM, DIESEL FUEL FIRED.</t>
  </si>
  <si>
    <t>Q5X15-G9</t>
  </si>
  <si>
    <t>10850 Gold Center Circle</t>
  </si>
  <si>
    <t>CALPINE</t>
  </si>
  <si>
    <t>IC ENGINE, STANDBY, CATERPILLAR, MODEL: 3412, SERIAL NO.: BPG-00168, 749 BHP @ 1800 RPM, DIESEL FUELED, DRIVING AN EMERGENCY ELECTRICAL GENERATOR RATED AT 500 KW</t>
  </si>
  <si>
    <t>104 Woodmere Rd.</t>
  </si>
  <si>
    <t>Nathan  Siesser</t>
  </si>
  <si>
    <t>916-608-3795</t>
  </si>
  <si>
    <t>CALIFORNIA STATE LOTTERY</t>
  </si>
  <si>
    <t>IC ENGINE STANDBY, CUMMINS, MODEL: KTA50-G1, SERIAL NO. D283011-DX02-00, 1490 HP @1800 RPM, 3067 CU. IN. DISPLACEMENT, ALTERNATIVE DIESEL FUELED, DRIVING AN EMERGENCY ELECTRICAL GENERATOR.</t>
  </si>
  <si>
    <t>600 N. 10th St.</t>
  </si>
  <si>
    <t>Ed Orona</t>
  </si>
  <si>
    <t>(916) 445-6381</t>
  </si>
  <si>
    <t>INTERNAL COMBUSTION ENGINE, DETROIT DIESEL, MODEL #16V2000-R163-7K36. SERIAL NO. 5362001119, 1495 BHP, DIESEL FIRED, DRIVING STANDBY ELECTRICAL GENERATOR.</t>
  </si>
  <si>
    <t>3501 Bajamont Way</t>
  </si>
  <si>
    <t>IC ENGINE STANDBY, CUMMINS, MODEL: NTA855-G3, SERIAL NO. 30360565, 535 HP @1800 RPM, DIERSEL FUELED, DRIVING AN EMERGENCY ELECTRICAL GENERATOR.</t>
  </si>
  <si>
    <t>4655 Fruitridge Rd.</t>
  </si>
  <si>
    <t>IC ENGINE STANDBY, CUMMINS, MODEL QST-30-G2-NRI, SERIAL NO. 37196188, 1200 BHP @1800 RPM, 1860 CU. IN. DISPLACEMENT DIESEL FUELED, DRIVING AN EMERGENCY ELECTRICAL GENERATOR RATED AT 800 KW.</t>
  </si>
  <si>
    <t>QST30-G2-NRI</t>
  </si>
  <si>
    <t>181 Pinedale Ave.</t>
  </si>
  <si>
    <t>INTERNAL COMBUSTION ENGINE, CATERPILLAR, MODEL #3512STD, SERIAL NO. 24Z084087, 1586 BHP, DIESEL FIRED, DRIVING STANDBY ELECTRICAL GENERATOR.</t>
  </si>
  <si>
    <t>7788 Freeport Blvd.</t>
  </si>
  <si>
    <t>IC ENGINE STANDBY, DETROIT DIESEL, MODEL R123-7K36, 1120 BHP @1800 RPM, 1458 CU. IN. DISPLACEMENT, DIESEL FUELED, DRIVING AN EMERGENCY ELECTRICAL GENERATOR.</t>
  </si>
  <si>
    <t>Intersection of Natomas Blvd. And North Park Dr.</t>
  </si>
  <si>
    <t>Curtis Rowe</t>
  </si>
  <si>
    <t>(916) 769-2727</t>
  </si>
  <si>
    <t>DIESEL INTERNAL COMBUSTION ENGINE, DETROIT DIESEL, MODEL NO. 8063-7416, SERIAL NO. 6VF212530, 450 HP @1800 RPM, DRIVING AN EMERGENCY ELECTRICAL GENERATOR.</t>
  </si>
  <si>
    <t>8120 Franklin Blvd.</t>
  </si>
  <si>
    <t>DIESEL IC ENGINE, CUMMINS, MODEL NO. N14-G2, SERIAL NO. 12024455, 535 HP, DRIVING EMERGENCY ELECTRICAL GENERATOR</t>
  </si>
  <si>
    <t>9560 Bay Point Way</t>
  </si>
  <si>
    <t xml:space="preserve">95624-6004 </t>
  </si>
  <si>
    <t>Craig Fechner</t>
  </si>
  <si>
    <t>(916) 875-6882</t>
  </si>
  <si>
    <t>ESQUIRE PARTNERS LLC</t>
  </si>
  <si>
    <t>IC ENGINE STANDBY, CATERPILLAR, MODEL 3412C, SERIAL NO. 2WJ01885, 1180 BHP @1800 RPM, 1649 CU. IN. DISPLACEMENT, DIESEL FUELED, DRIVING AN EMERGENCY ELECTRICAL GENERATOR RATED AT 800 KW</t>
  </si>
  <si>
    <t>1215 K St.</t>
  </si>
  <si>
    <t>David Hill</t>
  </si>
  <si>
    <t>(916) 498-1534</t>
  </si>
  <si>
    <t>FIRST UNION NATIONAL BANK</t>
  </si>
  <si>
    <t>IC ENGINE STANDBY, CUMMINS, MODEL QST30-G1-NR1, SERIAL NO. 37197941, 1135 BHP @1800 RPM, 1860 CU. IN. DISPLACEMENT, DIESEL FUELED, DRIVING AN EMERGENCY ELECTRICAL GENERATOR RATED AT 750 KW.</t>
  </si>
  <si>
    <t>QST30-G1-NR1</t>
  </si>
  <si>
    <t>Jack Beal</t>
  </si>
  <si>
    <t>(916) 339-6794</t>
  </si>
  <si>
    <t>GRANT JOINT UNION HIGH SCHOOL DISTRICT</t>
  </si>
  <si>
    <t>IC ENGINE STANDBY, WHITE SUPERIOR, MODEL 60 BX6XB, SERIAL NO. 16509, 925 HP @1800 RPM, DIESEL FUELED, DRIVING AN EMERGENCY ELECTRICAL GENERATOR</t>
  </si>
  <si>
    <t>60 BX6XB</t>
  </si>
  <si>
    <t>5201 Arnold Blvd. Building 1106</t>
  </si>
  <si>
    <t>McClellan</t>
  </si>
  <si>
    <t>IC ENGINE, CUMMINS, MODEL NO. QTS30-G5-NR1, SERIAL NO. 37194333, 1490 BHP, DIESEL FIRED, DRIVING STANDBY ELECTRICAL GENERATOR.</t>
  </si>
  <si>
    <t>QTS30-G5-NR1</t>
  </si>
  <si>
    <t>IC ENGINE, CUMMINS, MODEL NO. KTA50-G9, SERIAL NO. 77931-83, 2220 HP, DRIVING EMERGENCY ELECTRICAL GENERATOR</t>
  </si>
  <si>
    <t>IC ENGINE, CUMMINS, MODEL NO. N14-G2, SERIAL NO. 12013784, 535 HP, DRIVING EMERGENCY ELECTRICAL GENERATOR</t>
  </si>
  <si>
    <t>INVESTOR BANK AND TRUST</t>
  </si>
  <si>
    <t>DIESEL INTERNAL COMBUSTION ENGINE, CUMMINS, MODEL #NTA-855-G2, ID #30338832, 465 BHP, DRIVING EMERGENCY ELECTRICAL GENERATOR</t>
  </si>
  <si>
    <t>Jim Donnelly</t>
  </si>
  <si>
    <t>(916) 319-6760</t>
  </si>
  <si>
    <t>LOWE'S HIW, INC.</t>
  </si>
  <si>
    <t>IC ENGINE STANDBY, DETROIT DIESEL, MODEL S60 6065-TK35, SERIAL NO. 0654993, 550 HP @1800 RPM, 778 CU. IN. DISPLACEMENT, DIESEL FUELED, DRIVING AN EMERGENCY ELECTRICAL GENERATOR.</t>
  </si>
  <si>
    <t>800 E. Bidwell St.</t>
  </si>
  <si>
    <t>(760) 804-5308</t>
  </si>
  <si>
    <t>MAXIMUS</t>
  </si>
  <si>
    <t>IC ENGINE STANDBY, DETROIT DIESEL, MODEL 16V-2000, SERIAL NO. R1637K36, 1495 BHP @1800 RPM, 1944 CU. IN. DISPLACEMENT, DIESEL FUELED, DRIVING AN EMERGENCY ELECTRICAL GENERATOR RATED AT 1000KW.</t>
  </si>
  <si>
    <t>16V-2000</t>
  </si>
  <si>
    <t xml:space="preserve">3130 Kilgore Rd. </t>
  </si>
  <si>
    <t>Richard Britton</t>
  </si>
  <si>
    <t>(916) 364-6610</t>
  </si>
  <si>
    <t>INTERNAL COMBUSTION ENGINE FOR EMERGENCY POWER GENERATION, CATERPILLAR MODEL 3412, S/N 81Z04993, WITH 1649 CUBIC INCHES OF CYLINDER DISPLACEMENT.</t>
  </si>
  <si>
    <t>DIESEL ENGINE, STANDBY, DETROIT 149, ID NO. 16E4966, ELECTRICAL GENERATION</t>
  </si>
  <si>
    <t>METRO PCS</t>
  </si>
  <si>
    <t xml:space="preserve">IC ENGINE STANDBY, AB VOLVO PENTA, MODEL TAD1630GE, SERIAL NO. 2160041849, 645 BHP @1800 RPM, 984 CU. IN. DISPLACEMENT, DIESEL FUELED, DRIVING AN EMERGENCY ELECTRICAL GENERATOR RATED 450 KW. </t>
  </si>
  <si>
    <t>4235 Forcum Ave.</t>
  </si>
  <si>
    <t>Michael Rhoades</t>
  </si>
  <si>
    <t>(916) 640-0200</t>
  </si>
  <si>
    <t>SACRAMENTO SUBURBAN WATER DISTRICT</t>
  </si>
  <si>
    <t>IC ENGINE, CUMMINS, MODEL: GT-A-28, SERIAL NO. 25225568, 738 HP @ 1800 RPM, PROPANE FUELED WITH A 3-WAY CATALYST, DRIVING AN EMERGENCY ELECTRICAL GENERATOR.</t>
  </si>
  <si>
    <t>GT-A-28</t>
  </si>
  <si>
    <t>7800 Antelope North Road</t>
  </si>
  <si>
    <t>Antelope</t>
  </si>
  <si>
    <t>Dan York</t>
  </si>
  <si>
    <t>(916) 679-2880</t>
  </si>
  <si>
    <t>IC ENGINE STANDBY, CATERPILLAR, MODEL 3406BD1, SERIAL NO.: 4RG00671, 519 BHP @1800 RPM, DIESEL FUELED, DRIVING AN EMERGENCY ELECTRICAL GENERATOR RATED AT 350 KW.</t>
  </si>
  <si>
    <t>3406 BD1</t>
  </si>
  <si>
    <t>1111 P St.</t>
  </si>
  <si>
    <t>INTERNAL COMBUSTION ENGINE, CATERPILLAR, MODEL #3516B, SERIAL #6HN01538, 2847.5 BHP, DIESEL FIRED, DRIVING STANDBY ELECTRICAL GENERATOR</t>
  </si>
  <si>
    <t>2594 Rio Linda Blvd.</t>
  </si>
  <si>
    <t>IC ENGINE STANDBY, CATERPILLAR, MODEL 3412C, SERIAL NO. 8VZ24664, 823 HP @1800 RPM, DIESEL FUELED, DRIVING AN EMERGENCY ELECTRICAL GENERATOR.</t>
  </si>
  <si>
    <t>12700 Folsom Blvd.</t>
  </si>
  <si>
    <t>INTERNAL COMBUSTION ENGINE FOR NATURAL GAS COMPRESSION, WAUKESHA, MODEL NO. L-7042-GL (LEAN COMBUSTION), SERIAL NO. 169763, ENGINE NO. 474, 1000 BHP, NATURAL GAS FIRED, DRIVING A NATURAL GAS COMPRESSOR</t>
  </si>
  <si>
    <t>L-7042-GL</t>
  </si>
  <si>
    <t>Brannan Island Road</t>
  </si>
  <si>
    <t>Isleton</t>
  </si>
  <si>
    <t>INTERNAL COMBUSTION ENGINE, WAUKESHA, MODEL NO. L-7042-GL (LEAN COMBUSTION), SERIAL NO. 250621, ENGINE NO. 472, 1000 BHP, NATURAL GAS FIRED, DRIVING A NATURAL GAS COMPRESSOR</t>
  </si>
  <si>
    <t>PMI MORTGAGE INSURANCE</t>
  </si>
  <si>
    <t>IC ENGINE STANDBY, CATERPILLAR, MODEL 3508B, 1502 HP @1800 RPM, 4-CYCLE, TURBO CHARGED, AFTERCOOLED, DIESEL, 2105 CU. IN. DISPLACEMENT, DRIVING AN EMERGENCY ELECTRICAL GENERATOR.</t>
  </si>
  <si>
    <t>11050 White Rock Road</t>
  </si>
  <si>
    <t>RAGINGWIRE TELECOMMUNICATIONS</t>
  </si>
  <si>
    <t>IC ENGINE STANDBY, CATERPILLAR, MODEL 3516B, SERIAL NO. 6HN01330, 2876 BHP @1800 RPM, 4210 CU. IN. DISPLACEMENT, DIESEL FUELED, DRIVING AN EMERGENCY ELECTRICAL GENERATOR RATED AT 2000 KW.</t>
  </si>
  <si>
    <t>1200 Striker Ave.</t>
  </si>
  <si>
    <t>SACRAMENTO CONENTION CENTER</t>
  </si>
  <si>
    <t>IC ENGINE STANDBY, CUMMINS, MODEL KTA50-G3, ENGINE NO. 33126425, 1850 HP @1800 RPM, 3067 CU. IN. DISPLACEMENT, FUELED BY CARB-CERTIFIED ALTERNATIVE DIESEL FUEL, DRIVING AN EMERGENCY ELECTRICAL GENERATOR.</t>
  </si>
  <si>
    <t>1030 15th St.</t>
  </si>
  <si>
    <t>Dan Goodwater</t>
  </si>
  <si>
    <t>(916) 264-7358</t>
  </si>
  <si>
    <t>SACRAMENTO HOTEL CORPORATION</t>
  </si>
  <si>
    <t>IC ENGINE STANDBY, MITSUBISH, MODEL S6R-PTA, SERIAL NO. 15904, 851 HP @1800 RPM, DIESEL FUELED, DRIVING AN EMERGENCY ELECTRICAL GENERATOR.</t>
  </si>
  <si>
    <t>1230 J St.</t>
  </si>
  <si>
    <t>Shaun Meyer</t>
  </si>
  <si>
    <t>(916) 447-1700</t>
  </si>
  <si>
    <t>STATE OF CA DEPT. OF CORRECTIONS-MCGEE CORRECTIONAL TRAINING CENTER</t>
  </si>
  <si>
    <t>IC ENGINE STANDBY, CATERPILLAR, MODEL 3406 DITA, SERIAL NO: 1LSO1290, 599 BHP @1800 RPM, 893 CU. IN. DISPLACEMENT, DIESEL FUELED, DRIVING AN EMERGENCY ELECTRICAL GENERATOR.</t>
  </si>
  <si>
    <t>9850 Twin Citites Road</t>
  </si>
  <si>
    <t>Mark Lemieux</t>
  </si>
  <si>
    <t>(209) 744-5067</t>
  </si>
  <si>
    <t>STATE OF CALIFORNIA H&amp;W</t>
  </si>
  <si>
    <t>IC ENGINE STANDBY, DETROIT DIESEL/MTU, MODEL T123-7K16, ENGINE NO. 0639335, 1615 HP @1500 RPM, 2975 CU. IN. DISPLACEMENT, DIESEL FUELED, DRIVING AN EMERGENCY ELECTRICAL GENERATOR.</t>
  </si>
  <si>
    <t>T123-7K16</t>
  </si>
  <si>
    <t>1651 Alhambra Blvd.</t>
  </si>
  <si>
    <t>Debbie Dutra</t>
  </si>
  <si>
    <t>(916) 454-7229</t>
  </si>
  <si>
    <t>IC ENGINE FOR EMERGENCY ELECTRICAL POWER GENERATION, DETROIT DIESEL, MODEL 16V-92TA, SERIAL NO. 16VF011885, ENGINE #1, TURBOCHARGED, AFTERCOOLED, 1232 BHP.</t>
  </si>
  <si>
    <t>3301 S St.</t>
  </si>
  <si>
    <t>Rainer Schwertschkow</t>
  </si>
  <si>
    <t>(916) 739-7851</t>
  </si>
  <si>
    <t>IC ENGINE FOR EMERGENCY ELECTRICAL POWER GENERATION, DETROIT DIESEL, MODEL 16V-92TA, SERIAL NO. 16VF011911, ENGINE #2, TURBOCHARGED, AFTERCOOLED, 1232 BHP.</t>
  </si>
  <si>
    <t>IC ENGINE FOR EMERGENCY ELECTRICAL POWER GENERATION, DETROIT DIESEL, MODEL 16V-92TA, SERIAL NO. 16VF011884, ENGINE #3, TURBOCHARGED, AFTERCOOLED, 1232 BHP.</t>
  </si>
  <si>
    <t>IC ENGINE STANDBY, DETROIT DIESEL/MTU, MODEL T123-7K16, ENGINE NO. 0644484, 1615 HP @1500 RPM, 2975 CU. IN. DISPLACEMENT, DIESEL FUELED, DRIVING AN EMERGENCY ELECTRICAL GENERATOR.</t>
  </si>
  <si>
    <t>DIESEL IC ENGINE, DETROIT DIESEL, MODEL NO. R123-7K36, SERIAL NO. 5352001084, 1120 HP @1800 RPM, DRIVING AN EMERGENCY ELECTRICAL GENERATOR.</t>
  </si>
  <si>
    <t>STATE OF CA-OES</t>
  </si>
  <si>
    <t>IC ENGINE STANDBY, CUMMINS, MODEL QST30-G5, SERIAL NO. 37191659, 1490 HP @1800 RPM, DIESEL FUELED, POWERING AN EMERGENCY ELECTRICAL GENERATOR.</t>
  </si>
  <si>
    <t>3650 Schreiver Ave.</t>
  </si>
  <si>
    <t>Scott Grimm</t>
  </si>
  <si>
    <t>(916) 366-8400</t>
  </si>
  <si>
    <t>STATE OF CA-TEALE DATA CENTER</t>
  </si>
  <si>
    <t>IC ENGINE STANDBY, CATERPILLAR, MODEL 3516 STD, SERIAL NO. 25Z01443, 2520 HP @1800 RPM, 4210 CU. IN. DISPLACEMENT, DIESEL FUELED, POWERING AN EMERGENCY ELECTRICAL GENERATOR.</t>
  </si>
  <si>
    <t>3101 Gold Camp Drive</t>
  </si>
  <si>
    <t>Bill Allen</t>
  </si>
  <si>
    <t>(916) 564-4058</t>
  </si>
  <si>
    <t>IC ENGINE STANDBY, CATERPILLAR, MODEL 3516 STD, SERIAL NO. 25Z01440, 2520 HP @1800 RPM, 4210 CU. IN. DISPLACEMENT, DIESEL FUELED, POWERING AN EMERGENCY ELECTRICAL GENERATOR.</t>
  </si>
  <si>
    <t>IC ENGINE STANDBY, CATERPILLAR, MODEL 3516 STD, SERIAL NO. 25Z01446, 2520 HP @1800 RPM, 4210 CU. IN. DISPLACEMENT, DIESEL FUELED, POWERING AN EMERGENCY ELECTRICAL GENERATOR.</t>
  </si>
  <si>
    <t>SUTTER HEALTH</t>
  </si>
  <si>
    <t>IC ENGINE STANDBY, CATERPILLAR, MODEL NO. 3512B, ID NO. 6WN00600, 2172 BHP @1800 RPM, DIESEL FUEL FIRED.</t>
  </si>
  <si>
    <t>1726 28th St.</t>
  </si>
  <si>
    <t>IC ENGINE STANDBY, CATERPILLAR, MODEL NO. 3512B, ID NO. 6WN00601, 2172 BHP @1800 RPM, DIESEL FUEL FIRED.</t>
  </si>
  <si>
    <t>IC ENGINE STANDBY, CATERPILLAR, MODEL NO. 3512B, ID NO. 6WN00595, 2172 BHP @1800 RPM, DIESEL FUEL FIRED.</t>
  </si>
  <si>
    <t>IC ENGINE, CATERPILLAR, MODEL 3516B DITA SC140F, SN 6HN00361, 2876 HP @1800 RPM, DIESEL FUELED, DRIVING AN EMERGENCY ELECTRICAL GENERATOR.</t>
  </si>
  <si>
    <t>4840 2nd Avenue</t>
  </si>
  <si>
    <t>UNION PACIFIC RAILROAD</t>
  </si>
  <si>
    <t>IC ENGINE STANDBY, CATERPILLAR, MODEL 3412, SERIAL NO. 81Z22128, 896 BHP @1800 RPM, 1649 CU. IN. DISPLACEMENT, DIESEL FUELED, DRIVING AN EMERGENCY ELECTRICAL GENERATOR.</t>
  </si>
  <si>
    <t>1600 Vernon St.</t>
  </si>
  <si>
    <t>Roseville</t>
  </si>
  <si>
    <t>Jim Diel</t>
  </si>
  <si>
    <t>(916) 789-5184</t>
  </si>
  <si>
    <t>DIESEL, INTERNAL COMBUSTION ENGINE, CATERPILLAR, MODEL #3516, ID#6HN01191, 2847.5 BHP, DRIVING STANDBY ELECTIRCAL GENERATOR (2145 KW)</t>
  </si>
  <si>
    <t>10730 International Dr.</t>
  </si>
  <si>
    <t>HERAKLES, LLC</t>
  </si>
  <si>
    <t>IC ENGINE STANDBY, CATERPILLAR, MODEL 3516, SERIAL NO. 6HN00649, 2876 HP @1800 RPM, DIESEL FUELED, DRIVING AN EMERGENCY ELECTRICAL GENERATOR</t>
  </si>
  <si>
    <t>1100 North Market Blvd.</t>
  </si>
  <si>
    <t>Tim Coats</t>
  </si>
  <si>
    <t>(916) 679-2100</t>
  </si>
  <si>
    <t>IC ENGINE STANDBY, CATERPILLAR, MODEL 3516, SERIAL NO. 6HN00646, 2876 HP @1800 RPM, DIESEL FUELED, DRIVING AN EMERGENCY ELECTRICAL GENERATOR</t>
  </si>
  <si>
    <t>IC ENGINE STANDBY, CATERPILLAR, MODEL 3516, SERIAL NO. 6HN00647, 2876 HP @1800 RPM, DIESEL FUELED, DRIVING AN EMERGENCY ELECTRICAL GENERATOR</t>
  </si>
  <si>
    <t>IC ENGINE STANDBY, CATERPILLAR, MODEL 3516, SERIAL NO. 6HN00651, 2876 HP @1800 RPM, DIESEL FUELED, DRIVING AN EMERGENCY ELECTRICAL GENERATOR</t>
  </si>
  <si>
    <t>SUREWEST COMMUNICATIONS</t>
  </si>
  <si>
    <t>IC ENGINE STANDBY, DETROIT DIESEL MODEL NO. 12V2000/G81/R123-7K36, S.N. 535200084150968671, 1120 BHP @1800 RPM, DIESEL FUELED, DRIVING AN EMERGENCY ELECTRICAL GENERATOR.</t>
  </si>
  <si>
    <t>5411 Luce Avenue</t>
  </si>
  <si>
    <t>Tim Fritts</t>
  </si>
  <si>
    <t>(916) 786-1320</t>
  </si>
  <si>
    <t>IC ENGINE, DETROIT DIESEL, MODEL NO. 12V2000/G81/R123-7K36, UNIT NO. 5352000809, S.O. 968671, 1120 BHP @1800 RPM, DIESEL FUELED, DRIVING AN EMERGENCY ELECTRICAL GENERATOR.</t>
  </si>
  <si>
    <t>ADVANCE PCS HEALTH, LP</t>
  </si>
  <si>
    <t>IC ENGINE, STANDBY, DAEWOO, MODEL P221E, SERIAL NO.: EAYOA100136, 846 BHP @1800 RPM, 1338 CU. IN. DISPLACEMENT, DIESEL FUELED, DRIVING AN EMERGENCY ELECTRICAL GENERATOR.</t>
  </si>
  <si>
    <t>P221E</t>
  </si>
  <si>
    <t>10481 Armstrong St.</t>
  </si>
  <si>
    <t>Phil Pierce</t>
  </si>
  <si>
    <t>(469) 420-6214</t>
  </si>
  <si>
    <t>IC ENGINE STANDBY, CATERPILLAR, MODEL: 3406, SERIAL NO.: 4JK00235, 519 BHP @1,800 RPM, 893 CU. IN. DISPLACEMENT, TURBOCHARGED, DIESEL FUELED, DRIVING AN EMERGENCY ELECTRICAL GENERATOR RATED AT 387 KW.</t>
  </si>
  <si>
    <t>3101 Truax Ct.</t>
  </si>
  <si>
    <t>IC ENGINE STANDBY, CATERPILLAR, MODEL: 3406, SERIAL NO.: 4JK00604, 519 BHP @1,800 RPM, 893 CU. IN. DISPLACEMENT, TURBOCHARGED, DIESEL FUELED, DRIVING AN EMERGENCY ELECTRICAL GENERATOR RATED AT 387 KW.</t>
  </si>
  <si>
    <t>917 Enterprise Dr.</t>
  </si>
  <si>
    <t>IC ENGINE STANDBY, CATERPILLAR, MODEL: 3406, SERIAL NO.: 4JK00516, 519 BHP @1,800 RPM, 893 CU. IN. DISPLACEMENT, TURBOCHARGED, DIESEL FUELED, DRIVING AN EMERGENCY ELECTRICAL GENERATOR RATED AT 387 KW.</t>
  </si>
  <si>
    <t>IC ENGINE STANDBY, CATERPILLAR, MODEL: 3406, SERIAL NO.: 4JK00512, 519 BHP @1,800 RPM, 893 CU. IN. DISPLACEMENT, TURBOCHARGED, DIESEL FUELED, DRIVING AN EMERGENCY ELECTRICAL GENERATOR RATED AT 387 KW.</t>
  </si>
  <si>
    <t>5924 Fairbairn Dr.</t>
  </si>
  <si>
    <t>IC ENGINE STANDBY, CATERPILLAR, MODEL: 3406, SERIAL NO.: 4JK00515, 519 BHP @1,800 RPM, 893 CU. IN. DISPLACEMENT, TURBOCHARGED, DIESEL FUELED, DRIVING AN EMERGENCY ELECTRICAL GENERATOR RATED AT 387 KW.</t>
  </si>
  <si>
    <t>2736 Auburn Blvd.</t>
  </si>
  <si>
    <t>IC ENGINE STANDBY, CATERPILLAR, MODEL: 3406, SERIAL NO.: 1LS01486, 519 BHP @1,800 RPM, 893 CU. IN. DISPLACEMENT, TURBOCHARGED, DIESEL FUELED, DRIVING AN EMERGENCY ELECTRICAL GENERATOR RATED AT 387 KW.</t>
  </si>
  <si>
    <t>4131 Norris Ave.</t>
  </si>
  <si>
    <t>IC ENGINE STANDBY, CATERPILLAR, MODEL: 3406, SERIAL NO.: 4JK00335, 519 BHP @1,800 RPM, 893 CU. IN. DISPLACEMENT, TURBOCHARGED, DIESEL FUELED, DRIVING AN EMERGENCY ELECTRICAL GENERATOR RATED AT 387 KW.</t>
  </si>
  <si>
    <t>2841 Bell St.</t>
  </si>
  <si>
    <t>IC ENGINE STANDBY, CATERPILLAR, MODEL: 3406, SERIAL NO.: 4JK00234, 519 BHP @1,800 RPM, 893 CU. IN. DISPLACEMENT, TURBOCHARGED, DIESEL FUELED, DRIVING AN EMERGENCY ELECTRICAL GENERATOR RATED AT 387 KW.</t>
  </si>
  <si>
    <t>IC ENGINE STANDBY, CATERPILLAR, MODEL: 3406, SERIAL NO.: 4JK00181, 475 BHP @1,800 RPM, 893 CU. IN. DISPLACEMENT, TURBOCHARGED, DIESEL FUELED, DRIVING AN EMERGENCY ELECTRICAL GENERATOR RATED AT 354 KW.</t>
  </si>
  <si>
    <t>6649 Watt Ave.</t>
  </si>
  <si>
    <t>AT&amp;T WIRELESS SERVICES</t>
  </si>
  <si>
    <t>IC ENGINE, STANDBY, MITSUBISHI, MODEL S6R-PTA, SERIAL NO. 16407, 878 BHP @1800 RPM, DIESEL FUELED, DRIVING AN EMERGENCY ELECTRIC GENERATOR.</t>
  </si>
  <si>
    <t>Darrel Montano</t>
  </si>
  <si>
    <t>(916) 843-1559</t>
  </si>
  <si>
    <t>IC ENGINE STANDBY, MAKE: JOHN DEERE, MODEL: S60, SERIAL NO.: 851931, 635 BHP @1,800 RPM, 855 CU. IN. DISPLACEMENT, DIESEL FUELED, POWERING AN EMERGENCY ELECTRICAL GENERATOR</t>
  </si>
  <si>
    <t>10201 Missile Way</t>
  </si>
  <si>
    <t>Rob Watson</t>
  </si>
  <si>
    <t>(916) 568-4200</t>
  </si>
  <si>
    <t>Kohler Model 500ROZD4 Power System, Serial #0708422. Detroit Diesel Model R0837K36 Diesel Engine, Serial #5312001472, 765 BHP @1800 RPM With Turbocharger and Aftercooler; And Generator, 500 KW Output.</t>
  </si>
  <si>
    <t>Begonia Iron Removal Plant, 9210 Carmel Valley Road</t>
  </si>
  <si>
    <t>Kohler Model 350REOZD Power System, Serial #0708647. Detroit Diesel Model 6063TK35 Diesel Engine, Serial #851929, 550 BHP @1800 RPM, With Turbocharger and Aftercooler; And Generator, 350 KW Output.</t>
  </si>
  <si>
    <t>Ambler Park Treatment Plant, 92 Paseo De Vaqueros</t>
  </si>
  <si>
    <t>Onan Model DFEK 4958581 Power System, Serial #E010245404, Cummins Model QSX15-G9, Diesel Engine, Serial #14019394, 755 BHP @ 1800 RPM, With Turbocharger and Aftercooler, And Generator, 500 KW.</t>
  </si>
  <si>
    <t>Rancho San Carlos Well, 26530 Rancho San Carlos Road</t>
  </si>
  <si>
    <t>City of Santa Cruz</t>
  </si>
  <si>
    <t>Elliot Power Systems, Inc. Model 500 RD, Serial #BX010J198. Volvo Penta Model TAD1631GE Diesel Engine, Serial #2160043250, 759 HP @ 1800 RPM, with Turbocharger, Aftercooler, and Positive Crankcase Ventilation; And Leroy Somer Model MTG51 Generator, 500 KW Output.</t>
  </si>
  <si>
    <t>201 Iowa Drive</t>
  </si>
  <si>
    <t>Detroit Diesel Spectrum Model 300DSE Power System, Serial #0718947, Detroit Diesel Model 6063MK35 Diesel Engine, Series 60, Serial #06R0667969, 490 BHP@1800 RPM, With Turbocharger and Aftercooler; And Spectrum Model 4UA13 Generator, 300 KW Output.</t>
  </si>
  <si>
    <t>Building 704, Fleet Numerical Meteorological &amp; Oceanography Center</t>
  </si>
  <si>
    <t>New West Cooling Co.</t>
  </si>
  <si>
    <t>Mitsubishi Model S12H-PTA Emergency IC Diesel Engine, With Turbocharger and Aftercooler; And Marathon Electric Generator Model 575RSL4044, Serial No. 52817-0401, 1020 KW Continuous Output.</t>
  </si>
  <si>
    <t xml:space="preserve">335 Industrial Road </t>
  </si>
  <si>
    <t>Cummins Model N14-G2 Diesel Engine, Serial #12042848, 535 BHP @1800 RPM, With Turbocharger, Aftercooler, And Positive Crankcase Ventilation, And Newage Stamford Generator, Type HC I434F1, Serial #J000156493, 300 KW Output.</t>
  </si>
  <si>
    <t>540 Sally Street</t>
  </si>
  <si>
    <t>Hollister</t>
  </si>
  <si>
    <t>Caterpillar Model 3406 Diesel Engine, Serial #4ZR04981, 449 BHP @1800 RPM, With Turbocharger, Aftercooler, Four Degree Retard Beyond Standard Timing, And Positive Crankcase Ventilation; And Caterpilalr Model SR-4B Generator, Serial #8ER02348, 300 KW Output.</t>
  </si>
  <si>
    <t>349 Carpenteria Road</t>
  </si>
  <si>
    <t>Aromas</t>
  </si>
  <si>
    <t>Seagate Technology</t>
  </si>
  <si>
    <t>Katolight Model D415FRJ4 Power System, Serial #WA529725 78898.  John Deere PowerTech Model 6125HF070 Diesel Engine, Serial #RG6125HO31715, 617 BHP @1800 RPM, With Turbocharger and Aftercooler; And Generator, 415 KW Output.</t>
  </si>
  <si>
    <t>6125HF070</t>
  </si>
  <si>
    <t>Various Sites Within Scotts Valley</t>
  </si>
  <si>
    <t>Scotts Valley</t>
  </si>
  <si>
    <t>Emergency ICE-Generator Set: Cummins/Onan Model 500DFEK Power System, Serial #G010262301. Cummins Model QSX15-G9 Diesel Engine, Serial #14020640, 755 BHP@1800 RPM, With Turbocharger, Aftercooler, and Positive Crankcase Ventilation; and Onan Generator, 500 KW Output</t>
  </si>
  <si>
    <t>Building 330-Ingersoll Hall</t>
  </si>
  <si>
    <t>Pebble Beach Community Services District</t>
  </si>
  <si>
    <t>Emergency ICE-Generator Set: Caterpillar Model 3456 Diesel Engine, Serial #3PG0040, 692 BHP@1800 RPM, with turbocharger, and generator, Serial# CER00353, 400 KW Output</t>
  </si>
  <si>
    <t>Pump Station 3,  17 Mile Drive and Spyglass Hill Road</t>
  </si>
  <si>
    <t xml:space="preserve"> Pebble Beach</t>
  </si>
  <si>
    <t>William &amp; Inez Maybe Skilled Nursing Facility</t>
  </si>
  <si>
    <t>Emergency ICE-Generator Set: Caterpillar Model No. 3406 Diesel Internal Combustion Engine, Serial No. 1LS01686, 519 BHP @ 1800 RPM, with turbocharger and aftercooler, and generator, 350 KW Output</t>
  </si>
  <si>
    <t>K&amp;M Enterprises Inc.</t>
  </si>
  <si>
    <t>Emergency ICE-Generator Set: Caterpillar Model 3412 Diesel Engine, Serial # BLG00328, 1186 BHP @1800 RPM, with Twin Turbochargers &amp; Aftercoolers; and Caterpillar Model SR4 Generator, Serial #AFN00297, 800 kW Output</t>
  </si>
  <si>
    <t>80 Sakata Lane</t>
  </si>
  <si>
    <t>Emergency ICE-Generator Set: Caterpillar Model 3406 Diesel Engine, Serial #1LS01752, 587 BHP @ 1800 RPM, With Turbocharger and Aftercooler, And Caterpillar Model SR4B Generator, Serial #9DR04293, 400 KW Output. Serves Mental Health Treatment Facility.</t>
  </si>
  <si>
    <t>Soledad</t>
  </si>
  <si>
    <t>2730 BROADWAY VENTURE</t>
  </si>
  <si>
    <t>DIESEL IC ENGINE, CUMMINS, MODEL NO. KTTA50-G2, ENGINE ID NO. 33139440, 2220 BHP, DRIVING EMERGENCY ELECTRICAL GENERATOR</t>
  </si>
  <si>
    <t>2730 Broadway</t>
  </si>
  <si>
    <t>Sacramento</t>
  </si>
  <si>
    <t>95818</t>
  </si>
  <si>
    <t>Kevin Brown</t>
  </si>
  <si>
    <t>(916) 381-8088 Ext. 127</t>
  </si>
  <si>
    <t>400 CAPITOL MALL VENTURE</t>
  </si>
  <si>
    <t>STANDBY IC ENGINE, DETROIT DIESEL, MODEL 9123-7416, SERIAL #7A00050, 1750 HP, DIESEL FIRED, FOR EMERGENCY ELECTRICAL POWER GENERATION.</t>
  </si>
  <si>
    <t xml:space="preserve">400 Capital Mall </t>
  </si>
  <si>
    <t>95828</t>
  </si>
  <si>
    <t>LeMon Green</t>
  </si>
  <si>
    <t>(916) 448-8704</t>
  </si>
  <si>
    <t>AEROJET</t>
  </si>
  <si>
    <t>EMERGENCY STANDBY INTERNAL COMBUSTION ENGINE, DETROIT DIESEL IC ENGINE, SERIAL NO. DD12VF002353, MODEL 6A13506, 830 BHP.</t>
  </si>
  <si>
    <t>6A13506</t>
  </si>
  <si>
    <t>Bldg 0002</t>
  </si>
  <si>
    <t>Rancho Cordova</t>
  </si>
  <si>
    <t>95670</t>
  </si>
  <si>
    <t>Carolyn Craig</t>
  </si>
  <si>
    <t>(916) 355-6992</t>
  </si>
  <si>
    <t>AEROJET FINE CHEMICALS</t>
  </si>
  <si>
    <t>IC ENGINE, DETROIT DIESEL, MODEL 6V-92TA, SERIAL NO. L18160, 474 BHP</t>
  </si>
  <si>
    <t>Bldg 05002</t>
  </si>
  <si>
    <t>Katherine Fry</t>
  </si>
  <si>
    <t>(916) 355-2883</t>
  </si>
  <si>
    <t>IC ENGINE DIESEL, WAUKESHA ENGINATOR, MODEL VLRDSU, SERIAL NO. 21721, 940 BHP</t>
  </si>
  <si>
    <t>VLRDSU</t>
  </si>
  <si>
    <t>Bldg 15008</t>
  </si>
  <si>
    <t>Tom Shine</t>
  </si>
  <si>
    <t>(916) 355-2618</t>
  </si>
  <si>
    <t>CELLCO PARTNERSHIP</t>
  </si>
  <si>
    <t>STANDBY IC ENGINE, CUMMINS, MODEL N14-G2, SERIAL #11938925, 535 HP, DIESEL FIRED, FOR EMERGENCY ELECTRICAL POWER GENERATION</t>
  </si>
  <si>
    <t>255 Parkshore Dr.</t>
  </si>
  <si>
    <t>Folsom</t>
  </si>
  <si>
    <t>95630</t>
  </si>
  <si>
    <t>Larry Welch</t>
  </si>
  <si>
    <t>(916) 357-3710</t>
  </si>
  <si>
    <t>IC ENGINE, CUMMINS, MODEL KTA19-G4, SERIAL NO. 37185227, 755 HP @1800 RPM, TURBOCHARGED, AFTERCOOLED, DIESEL FUELED, 1150 CU. IN. DISPLACEMENT, WITH CERYX INCORPORATED, LEANCAT FOUR WAY CATALYTIC CONVERTER, POWERING A 500 KW EMERGENCY ELECTICAL GENERATOR.</t>
  </si>
  <si>
    <t>295 Parkshore Dr.</t>
  </si>
  <si>
    <t>AKT CORP.</t>
  </si>
  <si>
    <t>IC ENGINE STANDBY, CATERPILLAR, MODEL 3456, SERIAL NO.: 3PG00406, 764 BHP@1,800 RPM, DIESEL FUELED, DRIVING AN EMERGENCY ELECTRICAL GENERATOR</t>
  </si>
  <si>
    <t>3700 Branch Center Rd.</t>
  </si>
  <si>
    <t>Jim Le</t>
  </si>
  <si>
    <t>(916) 876-6321</t>
  </si>
  <si>
    <t>STANDBY IC ENGINE, CATERPILLAR, MODEL G3516LE, SERIAL NO. CTL00216, 1462 HP AT 1,800 RPM, NATURAL GAS FUELED, WITH A MIRATECH CORPORATION TWO-WAY CATALYST, FOR EMERGENCY ELECTRICAL POWER GENERATION</t>
  </si>
  <si>
    <t>G3516LE</t>
  </si>
  <si>
    <t>4234 54th St.</t>
  </si>
  <si>
    <t>Rodney Rutledge</t>
  </si>
  <si>
    <t>(916) 231-1622</t>
  </si>
  <si>
    <t>DELTA DENTAL</t>
  </si>
  <si>
    <t>STANDBY IC ENGINE, DETROIT DIESEL, MODEL T1237K36, SERIAL NO. 5262001176, 1850 HP, DIESEL FIRED, FOR EMERGENCY ELECTRICAL POWER GENERATION</t>
  </si>
  <si>
    <t>3241 Kilgore Road</t>
  </si>
  <si>
    <t>Gayland Quarlas</t>
  </si>
  <si>
    <t>(916) 861-2303</t>
  </si>
  <si>
    <t>EXCEL MANAGEMENT SERVICES, INC.</t>
  </si>
  <si>
    <t>IC ENGINE, EMERGENCY STANDBY, DETROIT DIESEL, MODEL RO837K06, ID NO. 5312000344, 765 BHP@1800 RPM, DIESEL-FUELED, DRIVING AN EMERGENCY ELECTRICAL GENERATOR</t>
  </si>
  <si>
    <t>RO837K06</t>
  </si>
  <si>
    <t>740 L St.</t>
  </si>
  <si>
    <t>Michael J. Colvin</t>
  </si>
  <si>
    <t>(214) 424-1603</t>
  </si>
  <si>
    <t>IC ENGINE STANDBY, CUMMINS, MODEL QSX15-G9, SERIAL NO. 14034330, 755 HP@1800 RPM, 912 CU. IN. DISPLACEMENT, DIESEL FUELED, DRIVING AN EMERGENCY ELECTRICAL GENERATOR</t>
  </si>
  <si>
    <t>Todd Simmons</t>
  </si>
  <si>
    <t>(916) 685-3964 ext. 205</t>
  </si>
  <si>
    <t>IC ENGINE, STANDBY, DETROIT DIESEL, MODEL 6063TK35, SERIAL NO. 851929, 550 BHP@1800 RPM, 778 CU. IN. DISPLACEMENT, DIESEL FUELED, DRIVING AN EMERGENCY ELECTRICAL GENERATOR</t>
  </si>
  <si>
    <t>6199 Sunrise Blvd.</t>
  </si>
  <si>
    <t>SWITCH AND DATA</t>
  </si>
  <si>
    <t>IC ENGINE, EMERGENCY STANDBY, CATERPILLAR, MODEL 3412, ID NO. 2WJ05802, 1109 BHP@1800 RPM, DIESEL-FUELED, DRIVING AN ELECTRICAL GENERATOR.</t>
  </si>
  <si>
    <t>1411 I St.</t>
  </si>
  <si>
    <t>Truman Cope</t>
  </si>
  <si>
    <t>(916) 554-3490</t>
  </si>
  <si>
    <t>01 COMMUNICATIONS, INC.</t>
  </si>
  <si>
    <t>STANDBY IC ENGINE, CUMMINS, MODEL QST30-G5, SERIAL NO. 37193428, 1490 HP, DIESEL FIRED, DRIVING AN EMERGENCY ELECTRICAL GENERATOR</t>
  </si>
  <si>
    <t>Ronald Bradley</t>
  </si>
  <si>
    <t>(916) 554-2131</t>
  </si>
  <si>
    <t>ADS MERIDIAN PARTNERS, LLC</t>
  </si>
  <si>
    <t>STANDBY IC ENGINE, DETROIT DIESEL, MODEL R1237K36, SERIAL NO. 968671, 1120 HP @ 1800 RPM, DIESEL FIRED, DRIVING AN EMERGENCY ELECTRICAL GENERATOR.</t>
  </si>
  <si>
    <t>1401 L St.</t>
  </si>
  <si>
    <t>Leonard King</t>
  </si>
  <si>
    <t>(916) 561-0951</t>
  </si>
  <si>
    <t>ALL STAR INVESTMENTS LLC</t>
  </si>
  <si>
    <t>IC ENGINE STANDBY, MAKE: CUMMINS, MODEL QSM11-G2, SERIAL NO. 35076972, 470 BHP@1800 RPM, DIESEL FUELED, POWERING AN EMERGENCY ELECTRICAL GENERATOR</t>
  </si>
  <si>
    <t>4600 Broadway</t>
  </si>
  <si>
    <t>Kevin Gini</t>
  </si>
  <si>
    <t>(916) 567-1100</t>
  </si>
  <si>
    <t>AMERISOURCE BERGEN CORPORATION</t>
  </si>
  <si>
    <t>STANDBY IC ENGINE, CATERPILLAR, MODEL 3516B DITA, SERIAL NO. 6HN00926, 2876 HP, DIESEL FIRED, DRIVING AN EMERGENCY ELECTRICAL GENERATOR.</t>
  </si>
  <si>
    <t>1325 Striker Ave.</t>
  </si>
  <si>
    <t>Gary Taft</t>
  </si>
  <si>
    <t>CALIFORNIA INDEPENDENT SYSTEM OPERATOR</t>
  </si>
  <si>
    <t>IC ENGINE, STANDBY, CUMMINS, MODEL QSX15-G9, SERIAL NO. 79006696, 755 BHP @ 1800 RPM, DIESEL FUELED, POWERING AN EMERGENCY ELECTRICAL GENERATOR</t>
  </si>
  <si>
    <t>151 Blue Ravine Road</t>
  </si>
  <si>
    <t>Gary Engle</t>
  </si>
  <si>
    <t>(916) 608-5974</t>
  </si>
  <si>
    <t>CALIFORNIA STATE AUTOMOBILE ASSOCIATION</t>
  </si>
  <si>
    <t>IC ENGINE, STANDBY, CUMMINS, MODEL QST30-G5, ENGINE NO. 37198913, 1490 HP @ 1800 RPM, 1860 CU. IN. DISPLACEMENT, DIESEL FUELED, DRIVING AN EMERGENCY ELECTRICAL GENERATOR</t>
  </si>
  <si>
    <t>9700 West Taron Drive</t>
  </si>
  <si>
    <t>William Conaway</t>
  </si>
  <si>
    <t>(415) 565-3935</t>
  </si>
  <si>
    <t>STANDBY IC ENGINE, CUMMINS, MODEL QST30-G1, SERIAL NO. 37207372, 1135 HP, DIESEL FIRED, DRIVING AN EMERGENCY ELECTRICAL GENERATOR</t>
  </si>
  <si>
    <t>Chris Lagerstrom</t>
  </si>
  <si>
    <t>(916) 979-0550</t>
  </si>
  <si>
    <t>SACRAMENTO RENAISSANCE TOWER</t>
  </si>
  <si>
    <t>IC ENGINE, STANDBY, CUMMINS, MODEL VTA28G1, SERIAL NO. 37121801, 760 HP, DIESEL FIRED, FOR EMERGENCY ELECTRICAL POWER GENERATION</t>
  </si>
  <si>
    <t>801 K St.</t>
  </si>
  <si>
    <t>Greg Berryman</t>
  </si>
  <si>
    <t>(916) 551-1331</t>
  </si>
  <si>
    <t>PROPANE IC ENGINE, CUMMINS, MODEL NO. GTA28, SERIAL NO. 25235254, 738 HP AT 1800 RPM, WITH A ENGELHARD GAS PURIFIER TWX CATALYST, MODEL TWX5715, SERIAL H00002 AND H00004, 3-WAY CATALYST BED AND AN AIR TO FUEL RATIO CONTROLLER DRIVING AN ELECTRICAL GENERATOR.</t>
  </si>
  <si>
    <t>5771 Poker Ln.</t>
  </si>
  <si>
    <t>SRI SIX USBP, LLC</t>
  </si>
  <si>
    <t>IC ENGINE, EMERGENCY STANDBY, DETROIT DIESEL, MODEL 8163-7416, ID NO. 16VF09617, 1262 BHP@1800 RPM, DIESEL-FUELED, DRIVING AN ELECTRICAL GENERATOR</t>
  </si>
  <si>
    <t>Daniel Keck</t>
  </si>
  <si>
    <t>IC ENGINE, STANDBY, CUMMINS WEST, MODEL QSX15-G9, SERIAL NO. 14004846, 755 HP @1800 RPM, 912 CU. IN. DISPLACEMENT, TURBOCHARGED, DIESEL FUELED, DRIVING AN EMERGENCY ELECTRICAL GENERATOR RATED AT 500 KW.</t>
  </si>
  <si>
    <t>1120 N St.</t>
  </si>
  <si>
    <t>Dennis King</t>
  </si>
  <si>
    <t>(916) 263-0503</t>
  </si>
  <si>
    <t>INTERNAL COMBUSTION ENGINE, EMERGENCY STANDBY, DETROIT DIESEL, MODEL 12V2000, ID NO. 0716711, 910 HP @ 1800 RPM, DIESEL-FUELED, DRIVING AN ELECTRICAL GENERATOR</t>
  </si>
  <si>
    <t>1615 Capitol Ave.</t>
  </si>
  <si>
    <t>INTERNAL COMBUSTION ENGINE, EMERGENCY STANDBY, DETROIT DIESEL, MODEL 12V4000, ID NO. 0714532, 1850 HP @ 1800 RPM, DIESEL-FUELED, DRIVING AN ELECTRICAL GENERATOR</t>
  </si>
  <si>
    <t>STATE OF CALIFORNIA SECRETARY OF STATE</t>
  </si>
  <si>
    <t>IC ENGINE, STANDBY, CATERPILLAR, MODEL 3516, SERIAL NO. 25Z03267, 2520 HP @ 1800 RPM, DIESEL FUELED, DRIVING AN EMERGENCY ELECTRICAL GENERATOR.</t>
  </si>
  <si>
    <t>1500 11th St.</t>
  </si>
  <si>
    <t>John Johnson</t>
  </si>
  <si>
    <t>(916) 653-3078</t>
  </si>
  <si>
    <t>IC ENGINE, STANDBY, CATERPILLAR, MODEL 3456 ATAAC, SERIAL NO. 3PG00490, 692 BHP @ 1800 RPM, DIESEL FUELED, POWERING AN EMERGENCY ELECTRICAL GENERATOR</t>
  </si>
  <si>
    <t>3707 Schriever Ave.</t>
  </si>
  <si>
    <t>Mather</t>
  </si>
  <si>
    <t>Troy Clark</t>
  </si>
  <si>
    <t>(916) 369-2007</t>
  </si>
  <si>
    <t>Adelanto, City of</t>
  </si>
  <si>
    <t>E005214</t>
  </si>
  <si>
    <t>Adelanto, City of - Jonathan St</t>
  </si>
  <si>
    <t>Adelanto</t>
  </si>
  <si>
    <t>92301</t>
  </si>
  <si>
    <t>AFG Industries, Inc</t>
  </si>
  <si>
    <t>E001729</t>
  </si>
  <si>
    <t>Victorville</t>
  </si>
  <si>
    <t>92392</t>
  </si>
  <si>
    <t>Blythe, City of</t>
  </si>
  <si>
    <t>E004567</t>
  </si>
  <si>
    <t>Blythe, City of - Waste Water Treatment</t>
  </si>
  <si>
    <t>Blythe</t>
  </si>
  <si>
    <t>92225</t>
  </si>
  <si>
    <t>E007570</t>
  </si>
  <si>
    <t>Blythe, City of - College Reservoir</t>
  </si>
  <si>
    <t>E004756</t>
  </si>
  <si>
    <t>Blythe, City of - W Murphy</t>
  </si>
  <si>
    <t>Burlington Northern &amp; Santa Fe</t>
  </si>
  <si>
    <t>E007922</t>
  </si>
  <si>
    <t>1500 DS-4</t>
  </si>
  <si>
    <t>Barstow</t>
  </si>
  <si>
    <t>92311</t>
  </si>
  <si>
    <t>E007923</t>
  </si>
  <si>
    <t>CaSta Dept of Corrections -Ironwood (Chuckawalla Valley State Prison)</t>
  </si>
  <si>
    <t>E004168</t>
  </si>
  <si>
    <t>Chuckawalla Valley State Prison-19025 Wiley's Well Road</t>
  </si>
  <si>
    <t>Dave Husky</t>
  </si>
  <si>
    <t>(619) 922-5300</t>
  </si>
  <si>
    <t>E004172</t>
  </si>
  <si>
    <t>CaSta Dept of Veterans Affairs</t>
  </si>
  <si>
    <t>E004243</t>
  </si>
  <si>
    <t>Veterans Home of California</t>
  </si>
  <si>
    <t>CaSta Dept of Water Resources</t>
  </si>
  <si>
    <t>E004470</t>
  </si>
  <si>
    <t>VTA28-G5 Generator</t>
  </si>
  <si>
    <t>Hesperia</t>
  </si>
  <si>
    <t>92345</t>
  </si>
  <si>
    <t>Castle Mountain Venture</t>
  </si>
  <si>
    <t>E002850</t>
  </si>
  <si>
    <t>L7042G</t>
  </si>
  <si>
    <t>Ivanpah</t>
  </si>
  <si>
    <t>92364</t>
  </si>
  <si>
    <t>CEMEX California Cement LLC</t>
  </si>
  <si>
    <t>E004746</t>
  </si>
  <si>
    <t>3508DITA</t>
  </si>
  <si>
    <t>CEMEX - River Plant</t>
  </si>
  <si>
    <t>IC ENGINE, DETROIT DIESEL, MODEL 6063-TK35, SERIAL NO. 06RO499486, 550 HP @1800 RPM, DIESEL FUELED, DRIVING AN EMERGENCY ELECTRICAL GENERATOR</t>
  </si>
  <si>
    <t>San Juan &amp; Natomas E</t>
  </si>
  <si>
    <t>95816</t>
  </si>
  <si>
    <t>ARCO SPORTS COMPLEX</t>
  </si>
  <si>
    <t>INTERNAL COMBUSTION ENGINE, FOR EMERGENCY ELECTRICAL GENERATION/LOAD SHED, CATERPILLAR, MODEL 3412, ID NO. 81Z05914, 749 ENGINE BHP, 1659 CU. IN. DISPLACEMENT</t>
  </si>
  <si>
    <t>One Sports Parkway</t>
  </si>
  <si>
    <t>Gary Elis-berg</t>
  </si>
  <si>
    <t>(916) 928-3692</t>
  </si>
  <si>
    <t>CHANNEL 40</t>
  </si>
  <si>
    <t>INTERNAL COMBUSTION ENGINE, FOR EMERGENCY ELECTRICAL GENERATION/LOAD SHED, CUMMINS, MODEL VTA28G1, SERIAL NO. 70155, ID NO. 25165800, 760 ENGINE BHP.</t>
  </si>
  <si>
    <t>VTA 28G1</t>
  </si>
  <si>
    <t>1400 Twin Cities Rd.</t>
  </si>
  <si>
    <t>Walnut Grove</t>
  </si>
  <si>
    <t>Bill Kreutzer</t>
  </si>
  <si>
    <t>(916) 733-3165</t>
  </si>
  <si>
    <t>IC ENGINE FOR EMERGENCY ELECTRICAL POWER GENERATION, CATERPILLAR, MODEL NO. 3406B D1, SERIAL NO. 2WB06902, 525 HP</t>
  </si>
  <si>
    <t>11810 Washington Ave.</t>
  </si>
  <si>
    <t>Courtland</t>
  </si>
  <si>
    <t>95822</t>
  </si>
  <si>
    <t>DIESEL IC ENGINE, CUMMINS, MODEL NO. KTA19-G4, SERIAL NO. 37176584, 755 BHP, DRIVING EMERGENCY ELECTRICAL GENERATOR</t>
  </si>
  <si>
    <t>8224 Elk Grove-Florin Rd.</t>
  </si>
  <si>
    <t>CALIFORNIA AMERICAN WATER COMPANY</t>
  </si>
  <si>
    <t>INTERNAL COMBUSTION ENGINE, FOR EMERGENCY ELECTRICAL GENERATION/LOAD SHED, CUMMINS, MODEL KTA 19-G2, ID NO. 37146520, 600 ENGINE BHP.</t>
  </si>
  <si>
    <t>Various Locations</t>
  </si>
  <si>
    <t>William L. Wallstead</t>
  </si>
  <si>
    <t>(916) 568-4239</t>
  </si>
  <si>
    <t>COUNTY OF SACRAMENTO</t>
  </si>
  <si>
    <t>INTERNAL COMBUSTION ENGINE (G20) , FOR EMERGENCY ELECTRICAL GENERATION/LOAD SHED, PERKINS, MODEL CVM8281-1, ID NO. CV8TCA RG1, 530 ENGINE BHP, 1062 CU. IN. DISPLACEMENT</t>
  </si>
  <si>
    <t>CVM 8281-1</t>
  </si>
  <si>
    <t>14049 Boys Ranch Rd.</t>
  </si>
  <si>
    <t>Sloughhouse</t>
  </si>
  <si>
    <t>David Goettle</t>
  </si>
  <si>
    <t>(916) 698-3319</t>
  </si>
  <si>
    <t>INTERNAL COMBUSTION ENGINE #1, FOR EMERGENCY ELECTRICAL GENERATION, DETROIT, MODEL 9123-7305, ID NO. 12E-0895, 1135 ENGINE BHP, 1792 CU. IN. OF CYLINDER DISPLACEMENT.</t>
  </si>
  <si>
    <t>651 I St.</t>
  </si>
  <si>
    <t>Don Wilkinson</t>
  </si>
  <si>
    <t>(916) 824-5995</t>
  </si>
  <si>
    <t>INTERNAL COMBUSTION ENGINE #2, FOR EMERGENCY ELECTRICAL GENERATION, DETROIT, MODEL 9123-7305, ID NO. 12E-0894, 1135 ENGINE, BHP, 1792 CU. IN. OF CYLINDER DISPLACEMENT.</t>
  </si>
  <si>
    <t>CPC HERITAGE OAKS HOSP.</t>
  </si>
  <si>
    <t>IC ENGINE FOR EMERGENCY ELECTRICAL POWER GENERATION, CUMMINS, MODEL NO. KTA-19-G2, SERIAL NO. 37120220, 600 HP.</t>
  </si>
  <si>
    <t>4250 Auburn Blvd.</t>
  </si>
  <si>
    <t>95841</t>
  </si>
  <si>
    <t>Cindy Bowcock</t>
  </si>
  <si>
    <t>(916) 489-3336</t>
  </si>
  <si>
    <t>CSU SACRAMENTO</t>
  </si>
  <si>
    <t>IC ENGINE, CATERPILLAR, MODEL 3408, SERIAL NO. 78Z02120, 603 HP @1800 RPM, DIESEL FUELED, DRIVING AN EMERGENCY ELECTRICAL GENERATOR.</t>
  </si>
  <si>
    <t>600 J St. (Storm Drain 1)</t>
  </si>
  <si>
    <t>95826</t>
  </si>
  <si>
    <t>Cal Jones</t>
  </si>
  <si>
    <t>(916) 278-6242</t>
  </si>
  <si>
    <t>EDS</t>
  </si>
  <si>
    <t>STANDBY IC ENGINE/GENERATOR - DETROIT DIESEL ENGINE MODEL NO. 91637316, SERIAL NO. 16E0012041, TURBOCHARGED AND AFTERCOOLED, 2020 BHP.</t>
  </si>
  <si>
    <t>3141 Data Dr.</t>
  </si>
  <si>
    <t>Scott Kutylowski</t>
  </si>
  <si>
    <t>(916) 861-3272</t>
  </si>
  <si>
    <t>STANDBY IC ENGINE/GENERATOR - DETROIT DIESEL ENGINE MODEL NO. 91637316, SERIAL NO. 16E0012042, TURBOCHARGED AND AFTERCOOLED, 2020 BHP.</t>
  </si>
  <si>
    <t>STANDBY IC ENGINE/GENERATOR - DETROIT DIESEL ENGINE MODEL NO. 91637316, SERIAL NO. 16E0011905, TURBOCHARGED AND AFTERCOOLED, 2020 BHP.</t>
  </si>
  <si>
    <t>FEDERAL EXPRESS</t>
  </si>
  <si>
    <t>INTERNAL COMBUSTION ENGINE, CUMMINS, MODEL KTA-1150-CS, ID NO. KA-92632-1/21-6, 1150 CU. IN. TURBOCHARGED, AFTERCOOLED, 460 HP (ASSUMED), 365 KW GENERATOR.</t>
  </si>
  <si>
    <t>KTA1150-CS</t>
  </si>
  <si>
    <t>1535 River Park Dr.</t>
  </si>
  <si>
    <t>Tim Hearst</t>
  </si>
  <si>
    <t>(916) 361-5500</t>
  </si>
  <si>
    <t>GTE DATA</t>
  </si>
  <si>
    <t>DIESEL IC ENGINE,  DETROIT DIESEL, MODEL NO. 16V149, SERIAL NO.16E0006261, 1425 BHP, DRIVING EMERGENCY ELECTRICAL GENERATOR.</t>
  </si>
  <si>
    <t>16V149</t>
  </si>
  <si>
    <t>7901 Freeport Blvd.</t>
  </si>
  <si>
    <t>Narendra Mira</t>
  </si>
  <si>
    <t>(916) 665-3263</t>
  </si>
  <si>
    <t>DIESEL IC ENGINE, CATERPILLAR, MODEL NO. 3516, SERIAL NO. 25Z02699, 2168 BHP, DRIVING EMERGENCY ELECTRICAL GENERATOR</t>
  </si>
  <si>
    <t>DIESEL IC ENGINE, CATERPILLAR, MODEL NO. 3516, SERIAL NO. 25Z04167, 2168 BHP, DRIVING EMERGENCY ELECTRICAL GENERATOR</t>
  </si>
  <si>
    <t>DIESEL IC ENGINE, CATERPILLAR, MODEL NO. 3516, SERIAL NO. 25Z00433, 2187 BHP, DRIVING EMERGENCY ELECTRICAL GENERATOR</t>
  </si>
  <si>
    <t>HYATT REGENCY</t>
  </si>
  <si>
    <t>DIESEL IC ENGINE, CATERPILLAR, MODEL NO. 3412, 749 BHP, DRIVING EMERGENCY ELECTRICAL GENERATOR</t>
  </si>
  <si>
    <t>1209 L St.</t>
  </si>
  <si>
    <t>John Campbell</t>
  </si>
  <si>
    <t>(916) 321-3592</t>
  </si>
  <si>
    <t>KAISER HOSPITAL</t>
  </si>
  <si>
    <t>INTERNAL COMBUSTION ENGINE, FOR EMERGENCY ELECTRICAL GENERATION/LOAD SHED, DETROIT DIESEL, MODEL 8083-7405, 736 CU. IN., 480 BHP, 350 KW GENERATOR.</t>
  </si>
  <si>
    <t>10725 International Dr.</t>
  </si>
  <si>
    <t>INTERNAL COMBUSTION ENGINE, STANDBY, CATERPILLAR, MODEL NO. 3508, SERIAL NO. 23Z03161, 1106 HORSEPOWER, COUPLED WITH A CATERPILLAR GENERATOR SET, MODEL NO. SR4, SERIAL NO. 6NA02043.</t>
  </si>
  <si>
    <t>2025 Morse Ave.</t>
  </si>
  <si>
    <t>95825</t>
  </si>
  <si>
    <t>Chuck Saxton</t>
  </si>
  <si>
    <t>(916) 973-7920</t>
  </si>
  <si>
    <t>KMAX-TV</t>
  </si>
  <si>
    <t>DIESEL IC ENGINE, CUMMINS, MODEL NO. KTA 19G2, S/N: 37874, 600 BHP, DRIVING EMERGENCY ELECTRICAL POWER GENERATOR</t>
  </si>
  <si>
    <t>KTA 19G2</t>
  </si>
  <si>
    <t>TV Transmitter Site</t>
  </si>
  <si>
    <t>95690</t>
  </si>
  <si>
    <t>Jack Davis</t>
  </si>
  <si>
    <t>(916) 925-3100</t>
  </si>
  <si>
    <t>KXTV CHANNEL 10</t>
  </si>
  <si>
    <t>STANDBY IC ENGINE/GENERATOR - DETROIT DIESEL ENGINE MODEL NO. 81637416, SERIAL NO. 16VF011230, 7A34145, TURBOCHARGED AND AFTERCOOLED, 1232 BHP.</t>
  </si>
  <si>
    <t>400 Broadway</t>
  </si>
  <si>
    <t>Mike Cappi</t>
  </si>
  <si>
    <t>(916) 321-3386</t>
  </si>
  <si>
    <t>MCI</t>
  </si>
  <si>
    <t>STANDBY INTERNAL COMBUSTION ENGINE, CUMMINS, MODEL NO. KTA2300G, ID NO. 11739-7, ENGINE NO. 33105581, 1135 BHP@1800 RPM, TURBOCHARGED, RATED AT 800 KW, ENGINE #5</t>
  </si>
  <si>
    <t>11085 Sun Center Dr.</t>
  </si>
  <si>
    <t>Larry Schultz</t>
  </si>
  <si>
    <t>(916) 537-1560</t>
  </si>
  <si>
    <t>STANDBY INTERNAL COMBUSTION ENGINE, CUMMINS MODEL NO. KTA2300G, ID NO. 11739, ENGINE NO. 33105583, 1135 BHP @ 1800 RPM, TURBOCHARGED, RATED AT 800 KW, ENGINE #4</t>
  </si>
  <si>
    <t>STANDBY INTERNAL COMBUSTION ENGINE, CUMMINS MODEL NO. KTA 38 61, ID NO. 97534-5, ENGINE NO. 33122125, 1135 BHP @ 1800 RPM, RATED AT 865 KW, TURBOCHARGED, ENGINE #6</t>
  </si>
  <si>
    <t>KTA3861</t>
  </si>
  <si>
    <t>STANDBY INTERNAL COMBUSTION ENGINE, CUMMINS MODEL NO. KTA-50-G3, ID NO. 7923414, ENGINE NO. 33117015, 1850 BHP @ 1800 RPM, RATED AT 1500 KW, ENGINE #1</t>
  </si>
  <si>
    <t>STANDBY INTERNAL COMBUSTION ENGINE, CUMMINS MODEL NO. KTA-50-G3, ID NO. 7923414, ENGINE NO. 33116831, 1850 BHP @ 1800 RPM, RATED AT 1500 KW, ENGINE #2</t>
  </si>
  <si>
    <t>STANDBY INTERNAL COMBUSTION ENGINE, CUMMINS, MODEL NO. KTA-50-G3, ID NO. 7568515, 1850 BHP @ 1800 RPM, TURBOCHARGED, ENGINE #3</t>
  </si>
  <si>
    <t>MERCY GENERAL HOSPITAL</t>
  </si>
  <si>
    <t>DIESEL IC ENGINE, CUMMINS, MODEL NO. KTA38-G1, SERIAL NO. 33111876, 1135 HP, DRIVING EMERGENCY ELECTRICAL GENERATOR.</t>
  </si>
  <si>
    <t>4001 J St.</t>
  </si>
  <si>
    <t>Jim Peterson</t>
  </si>
  <si>
    <t>(916) 453-4255</t>
  </si>
  <si>
    <t>DIESEL IC ENGINE, CUMMINS, MODEL NO. KTA38-G1, SERIAL NO. 33111751, 1135 HP, DRIVING EMERGENCY ELECTRICAL GENERATOR.</t>
  </si>
  <si>
    <t>MERCY HOSPITAL FOLSOM</t>
  </si>
  <si>
    <t>DIESEL IC ENGINE, CUMMINS, MODEL NO. 33113114, SERIAL NO. KTA3801, 1135 HP, DRIVING EMERGENCY ELECTRICAL GENERATOR.</t>
  </si>
  <si>
    <t>1650 Creekside Dr.</t>
  </si>
  <si>
    <t>Vic Sims</t>
  </si>
  <si>
    <t>(916) 983-7523</t>
  </si>
  <si>
    <t>MERCY SAN JUAN HOSPITAL</t>
  </si>
  <si>
    <t>INTERNAL COMBUSTION ENGINE #3, FOR EMERGENCY ELECTRICAL GENERATION, CATERPILLAR, MODEL NO. 3406TA, ID NO. 4RG01599, 475 ENGINE BHP, 893 CU IN .F CYLINDER  DISPLACEMENT.</t>
  </si>
  <si>
    <t>6501 Coyle Ave.</t>
  </si>
  <si>
    <t>95608</t>
  </si>
  <si>
    <t>Britt Mason</t>
  </si>
  <si>
    <t>(916) 537-5202</t>
  </si>
  <si>
    <t>RANCHO MURIETA CSD</t>
  </si>
  <si>
    <t>DIESEL IC ENGINE, CATERPILLAR, MODEL NO. 3512, 893 BHP, DRIVING EMERGENCY ELECTRICAL GENERATOR.</t>
  </si>
  <si>
    <t>Reynoso Dr.</t>
  </si>
  <si>
    <t>Rancho Murieta</t>
  </si>
  <si>
    <t>95683</t>
  </si>
  <si>
    <t>Wes White</t>
  </si>
  <si>
    <t>(916) 354-3721</t>
  </si>
  <si>
    <t>IC ENGINE, VOLVO, MODEL TAD 1631GE, SERIAL NO. 2160035095, 749 HP @1800 RPM, DIESEL FUELED, DRIVING AN EMERGENCY ELECTRICAL GENERATOR.</t>
  </si>
  <si>
    <t>15160 Jackson Rd.</t>
  </si>
  <si>
    <t>Lee Lawrence</t>
  </si>
  <si>
    <t>(916) 354-3700</t>
  </si>
  <si>
    <t>ROSEVILLE TELEPHONE</t>
  </si>
  <si>
    <t>INTERNAL COMBUSTION ENGINE, FOR EMERGENCY ELECTRICAL GENERATION/LOAD SHED, CATERPILLAR, MODEL 3412, ID NO. 81Z03775, 908 ENGINE BHP, 1649 CU. IN. DISPLACEMENT.</t>
  </si>
  <si>
    <t>7656 Old Auburn Blvd.</t>
  </si>
  <si>
    <t>Gordon van Alstine</t>
  </si>
  <si>
    <t>(916) 223-1956</t>
  </si>
  <si>
    <t>INTERNAL COMBUSTION ENGINE, STANDBY, CATERPILLAR, SERIAL NO. 4XF00569, 2847 HORSEPOWER, COUPLED WITH A CATERPILLAR GENERATOR SET, MODEL NO. SR-4, SERIAL NO. 2ED01616.</t>
  </si>
  <si>
    <t>SMUD</t>
  </si>
  <si>
    <t>INTERNAL COMBUSTION ENGINE, FOR EMERGENCY ELECTRICAL GENERATION, CUMMINS V12, MODEL KTA-38-G2, SERIAL NO. 33113370, 1115 BHP, 2300 CU. IN. DISPLACEMENT</t>
  </si>
  <si>
    <t>6201 S St.</t>
  </si>
  <si>
    <t>95817</t>
  </si>
  <si>
    <t>Ted Huff</t>
  </si>
  <si>
    <t>(916) 732-7028</t>
  </si>
  <si>
    <t>INTERNAL COMBUSTION ENGINE, FOR EMERGENCY ELECTRICAL GENERATION, CUMMINS V12, MODEL KTA-38-G2, SERIAL NO. 33113371, 1115 BHP, 2300 CU. IN. DISPLACEMENT</t>
  </si>
  <si>
    <t>STATE OF CA</t>
  </si>
  <si>
    <t>INTERNAL COMBUSTION ENGINE, FOR EMERGENCY ELECTRICAL GENERATION/LOAD SHED, CUMMINS, MODEL KTA19-62, ID NO. 37139272, 600 ENGINE BHP, 1150 CU. IN. DISPLACEMENT</t>
  </si>
  <si>
    <t>KTA19-62</t>
  </si>
  <si>
    <t>3001 Ramona Ave.</t>
  </si>
  <si>
    <t>David Haynes</t>
  </si>
  <si>
    <t>(916) 733-2440</t>
  </si>
  <si>
    <t>STATE OF CA - FOLSOM PRISON</t>
  </si>
  <si>
    <t>INTERNAL COMBUSTION ENGINE, CUMMINS, MODEL #KTA19G2, 600 BHP, DIESEL FIRED, DRIVING STANDBY ELECTRICAL GENERATOR (500 KW)</t>
  </si>
  <si>
    <t>Kitchen</t>
  </si>
  <si>
    <t>Represa</t>
  </si>
  <si>
    <t>Art Louie (ext. 4552)</t>
  </si>
  <si>
    <t>(916) 985-2561</t>
  </si>
  <si>
    <t>CATERPILLAR, MODEL NO. 3516, 16 CYLINDERS, TURBOCHARGED, AFTERCOOLED, 2168 HP@ 1800 RPM, DRIVING 1500 KW GENERATOR</t>
  </si>
  <si>
    <t>Inmate Day Labor</t>
  </si>
  <si>
    <t>IC ENGINE, MITSUBISHI, MODEL S6NPTA, SERIAL NO. 22139, 671 HP @1800 RPM, DIESEL FUELED, DRIVING AN EMERGENCY ELECTRICAL GENERATOR.</t>
  </si>
  <si>
    <t>S6NPTA</t>
  </si>
  <si>
    <t>Plant Operations (E. Natoma St.)</t>
  </si>
  <si>
    <t>Bud Suder</t>
  </si>
  <si>
    <t>(916) 985-8610 Ext. 7332</t>
  </si>
  <si>
    <t>IC ENGINE, MITSUBISHI, MODEL S12APTA, SERIAL NO. 11162, 805 HP @1800 RPM, DIESEL FUELED, DRIVING AN EMERGENCY ELECTRICAL GENERATOR.</t>
  </si>
  <si>
    <t>S12APTA</t>
  </si>
  <si>
    <t>Facility C (E. Natoma St.)</t>
  </si>
  <si>
    <t>IC ENGINE, MITSUBISHI, MODEL S12APTA, SERIAL NO. 11163, 805 HP @1800 RPM, DIESEL FUELED, DRIVING AN EMERGENCY ELECTRICAL GENERATOR.</t>
  </si>
  <si>
    <t>Facility B (E. Natoma St.)</t>
  </si>
  <si>
    <t>IC ENGINE, MITSUBISHI, MODEL S12APTA, SERIAL NO. 11164, 805 HP @1800 RPM, DIESEL FUELED, DRIVING AN EMERGENCY ELECTRICAL GENERATOR.</t>
  </si>
  <si>
    <t>Facility A (E. Natoma St.)</t>
  </si>
  <si>
    <t>SUTTER GENERAL HOSPITAL</t>
  </si>
  <si>
    <t>DIESEL IC ENGINE #1, CUMMINS, MODEL NO. VTA 28G2, ID NO. 37109458, 1710 CUBIC INCHES, 900 HP, DRIVING EMERGENCY ELECTRICAL GENERATOR.</t>
  </si>
  <si>
    <t>VTA28G2</t>
  </si>
  <si>
    <t>1250 29th St.</t>
  </si>
  <si>
    <t>Pete Plessas</t>
  </si>
  <si>
    <t>(916) 454-6965</t>
  </si>
  <si>
    <t>DIESEL IC ENGINE #2, CUMMINS, MODEL NO. VTA 28G2, ID NO. 37109460, 1710 CUBIC INCHES, 900 HP, DRIVING EMERGENCY ELECTRICAL GENERATOR.</t>
  </si>
  <si>
    <t>DIESEL IC ENGINE #3, CUMMINS, MODEL NO. VTA 28G2, ID NO. 37109459, 1710 CUBIC INCHES, 900 HP, DRIVING EMERGENCY ELECTRICAL GENERATOR.</t>
  </si>
  <si>
    <t>DIESEL IC ENGINE #4, CUMMINS, MODEL NO. VTA 28G2, ID NO. 37120807, 1710 CUBIC INCHES, 900 HP, DRIVING EMERGENCY ELECTRICAL GENERATOR.</t>
  </si>
  <si>
    <t>SUTTER MEMORIAL HOSPITAL</t>
  </si>
  <si>
    <t>DIESEL IC ENGINE #2, CATERPILLAR, MODEL NO. D-379, ID NO. 68B1315, 480 HP, DRIVING EMERGENCY ELECTRICAL GENERATOR.</t>
  </si>
  <si>
    <t>D-379</t>
  </si>
  <si>
    <t>5200 F St.</t>
  </si>
  <si>
    <t>95819</t>
  </si>
  <si>
    <t>Willie Dinkins</t>
  </si>
  <si>
    <t>(916) 454-3333 Ext. 11595</t>
  </si>
  <si>
    <t>DIESEL IC ENGINE, CATERPILLAR, MODEL NO. D-379A, ID NO. 68B650, 510 HP, DRIVING EMERGENCY ELECTRICAL GENERATOR</t>
  </si>
  <si>
    <t>DIESEL IC ENGINE, CATERPILLAR, MODEL NO. D-378, ID NO. 66B4370, 970 HP, DRIVING EMERGENCY ELECTRICAL GENERATOR</t>
  </si>
  <si>
    <t>D-378</t>
  </si>
  <si>
    <t>5200 F. St.</t>
  </si>
  <si>
    <t>DIESEL IC ENGINE #1, CUMMINS, MODEL NO. KTTA-38G, ID NO. 331090763, 1180 HP, DRIVING EMERGENCY ELECTRICAL GENERATOR.</t>
  </si>
  <si>
    <t>KTTA38G</t>
  </si>
  <si>
    <t>IC ENGINE, DETROIT DIESEL, MODEL 12V-4000 SERIAL NO. 5262000338, 2200 HP @1800 RPM, DIESEL FUELED, DRIVING AN EMERGENCY ELECTRICAL GENERATOR.</t>
  </si>
  <si>
    <t>12V-4000</t>
  </si>
  <si>
    <t>5701 Elvas Ave.</t>
  </si>
  <si>
    <t>Paul Barnes</t>
  </si>
  <si>
    <t>(916) 264-1442</t>
  </si>
  <si>
    <t>IC ENGINE, CATERPILLAR, MODEL 3516B DITA SC, S.N. 6HN00376, 2876 HP @1800 RPM, DIESEL FUELED, DRIVING AN EMERGENCY ELECTIRCAL GENERATOR.</t>
  </si>
  <si>
    <t xml:space="preserve">3530 Riverside Blvd. </t>
  </si>
  <si>
    <t>IC ENGINE, CATERPILLAR, MODEL 3516B DITA SC, S.N. 6HN00375, 2876 HP @1800 RPM, DIESEL FUELED, DRIVING AN EMERGENCY ELECTIRCAL GENERATOR.</t>
  </si>
  <si>
    <t>IC ENGINE, CATERPILLAR, MODEL 3516B DITA SC, S.N. 6HN00374, 2876 HP @1800 RPM, DIESEL FUELED, DRIVING AN EMERGENCY ELECTIRCAL GENERATOR.</t>
  </si>
  <si>
    <t>IC ENGINE, CATERPILLAR, MODEL 3516B DITA SC, S.N. 6HN00379, 2876 HP @1800 RPM, DIESEL FUELED, DRIVING AN EMERGENCY ELECTIRCAL GENERATOR.</t>
  </si>
  <si>
    <t>STANDBY IC ENGINE, DETROIT DIESEL, MODEL 20V-149TI, SERIAL #20E200443, 2935 HP, DIESEL FIRED, FOR EMERGENCY ELECTRICAL POWER GENERATION</t>
  </si>
  <si>
    <t>20V-149TI</t>
  </si>
  <si>
    <t>Cal Expo Parking</t>
  </si>
  <si>
    <t>INTERNAL COMBUSTION ENGINE, FOR EMERGENCY ELECTRICAL GENERATION, CUMMINS, MODEL NTA-855-G2, SERIAL NO. 38943, 465 ENGINE BHP.</t>
  </si>
  <si>
    <t>Jeff Saunders</t>
  </si>
  <si>
    <t>(916) 591-0705</t>
  </si>
  <si>
    <t>DIESEL IC ENGINE, CUMMINS, MODEL NO. NTA855GS2, S/N: 11426547, 465 HP, DRIVING EMERGENCY ELECTRICAL GENERATOR</t>
  </si>
  <si>
    <t>NTA855-GS2</t>
  </si>
  <si>
    <t>Mather Airport Facility #10065</t>
  </si>
  <si>
    <t>Mather Field</t>
  </si>
  <si>
    <t>95742</t>
  </si>
  <si>
    <t>Steve Sims</t>
  </si>
  <si>
    <t>(916) 875-7077</t>
  </si>
  <si>
    <t>DIESEL IC ENGINE FOR EMERGENCY ELECTRICAL POWER, DETROIT DIESEL, MODEL 6V92TA, SERIAL NO. 06VF214658, TURBOCHARGED, AFTERCOOLED, 474 BHP.</t>
  </si>
  <si>
    <t>6900 Airport Blvd./West</t>
  </si>
  <si>
    <t>John Febbo</t>
  </si>
  <si>
    <t>(916) 874-0775</t>
  </si>
  <si>
    <t>DIESEL IC ENGINE FOR EMERGENCY ELECTRICAL POWER, DETROIT DIESEL, MODEL 6V92TA, S/N 06VF214442, TURBOCHARGED, 474 BHP</t>
  </si>
  <si>
    <t>6900 Airport Blvd./East</t>
  </si>
  <si>
    <t>INTERNAL COMBUSTION EINGINE, FOR EMERGENCY ELECTRICAL GENERATION/LS, CATERPILLAR, MODEL 3406B, SERIAL NO. 4RG00374, 519 BHP, 893 CU. IN. DISPLACEMENT, 350 KW GENERATOR</t>
  </si>
  <si>
    <t>12500 Bruceville Blvd.</t>
  </si>
  <si>
    <t>Norm Bolduc</t>
  </si>
  <si>
    <t>(916) 874-1900</t>
  </si>
  <si>
    <t>DIESEL IC ENGINE, CATERPILLAR, MODEL NO. 3406, SERIAL NO. 4ZR3189, 587 BHP @1800 RPM, DRIVING EMERGENCY ELECTRICAL GENERATOR</t>
  </si>
  <si>
    <t>12500 Bruceville Rd.</t>
  </si>
  <si>
    <t>DIESEL IC ENGINE, CUMMINS, MODEL NO. MTA-19G-2, S/N 62054, 600 BHP, DRIVING EMERGENCY ELECTRICAL GENERATOR.</t>
  </si>
  <si>
    <t>MTA19-G2</t>
  </si>
  <si>
    <t>6300 Aviation Dr.</t>
  </si>
  <si>
    <t>DIESEL IC ENGINE, DETROIT DIESEL, MODEL NO. 8083-7416, S/N 33968H117, 643 BHP, DRIVING EMERGENCY ELECTRICAL GENERATOR</t>
  </si>
  <si>
    <t>6736 Earhart Dr.</t>
  </si>
  <si>
    <t>95837</t>
  </si>
  <si>
    <t>DIESEL IC ENGINE, DETROIT DIESEL, MODEL NO. 8083-7316, SERIAL NO. 08VF170915, 643 BHP @1800 RPM, DRIVING EMERGENCY ELECTRICAL GENERATOR</t>
  </si>
  <si>
    <t>8083-7316</t>
  </si>
  <si>
    <t>3615 Auburn Blvd.</t>
  </si>
  <si>
    <t>95821</t>
  </si>
  <si>
    <t>Ron Linden</t>
  </si>
  <si>
    <t>(916) 875-9081</t>
  </si>
  <si>
    <t>DIESEL IC ENGINE, CATERPILLAR, MODEL D398A, S/N 66B1167, TURBOCHARGED, 750 BHP, DRIVING EMERGENCY ELECTRICAL GENERATOR.</t>
  </si>
  <si>
    <t>D398A</t>
  </si>
  <si>
    <t>6900 Airport Blvd.</t>
  </si>
  <si>
    <t>DIESEL IC ENGINE FOR EMERGENCY ELECTRICAL POWER, DETROIT DIESEL, MODEL 12V-71TA, S/N 12VA089559, TURBOCHARGED, 750 BHP.</t>
  </si>
  <si>
    <t>12V-71 TA</t>
  </si>
  <si>
    <t>IC ENGINE STANDBY, DETROIT DIESEL, MODEL R123-7K035, SERIAL NO. 5352001052, 910 HP @1800 RPM, 1458 CU. IN. DISPLACEMENT, DIESEL FUELED, DRIVING AN EMERGENCY ELECTRICAL GENERATOR</t>
  </si>
  <si>
    <t>R123-7K035</t>
  </si>
  <si>
    <t>Stonelake Pump Station, end of Bobbell Court</t>
  </si>
  <si>
    <t>Tim Taylor</t>
  </si>
  <si>
    <t>(916) 875-2726</t>
  </si>
  <si>
    <t>INTERNAL COMBUSTION ENGINE, FOR EMERGENCY ELECTRICAL GENERATION, CATERPILLAR, MODEL D398, ID NO. 66B398, 970 ENGINE BHP, 2946 CU. IN. OF CYLINDER DISPLACEMENT</t>
  </si>
  <si>
    <t>700 H St.</t>
  </si>
  <si>
    <t>Tim Williams</t>
  </si>
  <si>
    <t>(916) 874-5854</t>
  </si>
  <si>
    <t>IC ENGINE FOR EMERGENCY ELECTRICAL POWER GENERATION, CATERPILLAR, MODEL 3412 DITTA, S.N. 2WJ00196, TURBOCHARGED, AFTERCOOLED, 1025 BHP, SERVING 700 KW GENERATOR.</t>
  </si>
  <si>
    <t>IC ENGINE STANDBY, DETROIT DIESEL, MODEL R123-7K06 G81, SERIAL NO. 891391, 1120 HP @1800 RPM, 1458 CU. IN. DISPLACEMENT, DIESEL FUELED, DRIVING AN EMERGENCY ELECTRICAL GENERATOR.</t>
  </si>
  <si>
    <t>R123-7K06G81</t>
  </si>
  <si>
    <t>10140 Calvine Rd.</t>
  </si>
  <si>
    <t>95829</t>
  </si>
  <si>
    <t>Don Fiorino</t>
  </si>
  <si>
    <t>(916) 874-8385</t>
  </si>
  <si>
    <t>DIESEL IC ENGINE, CATERPILLAR, MODEL NO. 3512, S/N 24Z05630, 1586 BHP, DRIVING EMERGENCY ELECTRICAL GENERATOR RATED AT 1100 KW</t>
  </si>
  <si>
    <t>4800 Broadway</t>
  </si>
  <si>
    <t>95820</t>
  </si>
  <si>
    <t>(916) 875-6335</t>
  </si>
  <si>
    <t>DIESEL IC ENGINE, CATERPILLAR, MODEL 3516, SERIAL NO. 6HN00179, 2876 HP, DRIVING EMERGENCY ELECTRICAL GENERATOR</t>
  </si>
  <si>
    <t>6850 Airport Blvd.</t>
  </si>
  <si>
    <t>DIESEL IC ENGINE, CATERPILLAR, MODEL 3516, SERIAL NO. 6HN00181, 2876 HP, DRIVING EMERGENCY ELECTRICAL GENERATOR</t>
  </si>
  <si>
    <t>CSAA</t>
  </si>
  <si>
    <t>DIESEL IC ENGINE, DETROIT DIESEL, MODEL NO. 8123-7405, SERILA NO. 12VF01277, 830 BHP @1800 RPM, DRIVING EMERGENCY ELECTRICAL GENERATOR.</t>
  </si>
  <si>
    <t>8687 Weyland Ave.</t>
  </si>
  <si>
    <t>Jennifer Poindexter</t>
  </si>
  <si>
    <t>(916) 388-7279</t>
  </si>
  <si>
    <t>IC ENGINE, DETROIT DIESEL, MODEL 6063-TK35, SERIAL NO. N/A, 550 HP @1800 RPM, DIESEL FUELED, DRIVING AN EMERGENCY ELECTRICAL GENERATOR.</t>
  </si>
  <si>
    <t>600 J St. (Computer Center)</t>
  </si>
  <si>
    <t>Rachelle Arnold</t>
  </si>
  <si>
    <t>(916) 278-7605</t>
  </si>
  <si>
    <t>DEFENSE MICROELECTRONICS</t>
  </si>
  <si>
    <t>INTERNAL COMBUSTION ENGINE, DETROIT DIESEL, MODEL NO. 16V92TA, SERIAL NO. 16VF10433, 1232 BHP, DIESEL FIRED, DRIVING STANDBY ELECTRICAL GENERATOR</t>
  </si>
  <si>
    <t>Bldg 01069</t>
  </si>
  <si>
    <t>McClellan AFB</t>
  </si>
  <si>
    <t>Dan Grant</t>
  </si>
  <si>
    <t>(916) 568-4053</t>
  </si>
  <si>
    <t>DELTA NET</t>
  </si>
  <si>
    <t>IC ENGINE, CATERPILLAR, MODEL 3512B DITA SC 4P, SERIAL NO. 6WN00347, 2172 HP @1800 RPM, DIESEL FUELED, DRIVING AN EMERGENCY ELECTRICAL GENERATOR.</t>
  </si>
  <si>
    <t>3512B DITA SC4P</t>
  </si>
  <si>
    <t>8142 Sheldon Rd.</t>
  </si>
  <si>
    <t>95624</t>
  </si>
  <si>
    <t>Harvey Moyer</t>
  </si>
  <si>
    <t>(916) 870-6600</t>
  </si>
  <si>
    <t>DEPT OF FOOD &amp; AGRICULTURE</t>
  </si>
  <si>
    <t>IC ENGINE, DETROIT DIESEL, MODEL 7123-7406, SERIAL NO. 7A41044, 750 HP @1800 RPM, DIESEL FUELED, DRIVING AN EMERGENCY ELECTRICAL GENERATOR.</t>
  </si>
  <si>
    <t>3294 Meadowview Rd.</t>
  </si>
  <si>
    <t>Tony Holly</t>
  </si>
  <si>
    <t>(916) 262-1085</t>
  </si>
  <si>
    <t>E*TRADE GROUP</t>
  </si>
  <si>
    <t>IC ENGINE, CUMMINS, MODEL KTA19-G4, SERIAL NO. 65306, ENGINE NO. 37181074, 755 HP @1800 RPM, DIESEL FIRED, DRIVING AN EMERGENCY ELECTRICAL GENERATOR.</t>
  </si>
  <si>
    <t>10951 White Rock Road</t>
  </si>
  <si>
    <t>10911 White Rock Road</t>
  </si>
  <si>
    <t>Tom Gaffney</t>
  </si>
  <si>
    <t>(916) 463-2987</t>
  </si>
  <si>
    <t>IC ENGINE, DETROIT DIESEL, MODEL R1237K06, SERIAL NO. 5352000430, 1120 HP @1800 RPM, DIESEL FUELED, DRIVING AN EMERGENCY ELECTRICAL GENERATOR</t>
  </si>
  <si>
    <t>R1237K06</t>
  </si>
  <si>
    <t>DIESEL IC ENGINE, CATERPILLAR, MODEL NO. 3512B, ENGINE ID NO. UNKNOWN, 2172 HP, DRIVING EMERGENCY ELECTRICAL GENERATOR</t>
  </si>
  <si>
    <t>10877 White Rock Road</t>
  </si>
  <si>
    <t>EARTHLINK</t>
  </si>
  <si>
    <t>DIESEL IC ENGINE, CUMMINS, MODEL NO. NTA855-G2, SERIAL NO. 30329142, 465 BHP, DRIVING EMERGENCY ELECTRICAL GENERATOR</t>
  </si>
  <si>
    <t>2495 Natomas Park Dr.</t>
  </si>
  <si>
    <t>95833</t>
  </si>
  <si>
    <t>Ronald Sease</t>
  </si>
  <si>
    <t>(916) 825-9516</t>
  </si>
  <si>
    <t>ED FUND</t>
  </si>
  <si>
    <t>IC ENGINE STANDBY, CUMMINS, MODEL NTA855-G5, SERIAL NO. 11930554, 605 HP @1800 RPM, DIESEL FIRED, POWERING AN EMERGENCY ELECTRICAL GENERATOR</t>
  </si>
  <si>
    <t>3300 Zinfandel Dr.</t>
  </si>
  <si>
    <t>Bob Horning</t>
  </si>
  <si>
    <t>(916) 526-8246</t>
  </si>
  <si>
    <t>DIESEL IC ENGINE, CATERPILLAR, MODEL NO. 3412 DITA, SERIAL NO. 81219205, 900 BHP, DRIVING EMERGENCY ELECTRICAL GENERATOR</t>
  </si>
  <si>
    <t>10888 White Rock Rd.</t>
  </si>
  <si>
    <t>ELECTRIC LIGHTWAVE</t>
  </si>
  <si>
    <t>IC ENGINE STANDBY, CATERPILLAR, MODEL 3412, SERIAL #2WJ02348, 4 CYCLE, TURBOCHARGED, AFTERCOOLED, 1108 BHP @1800 RPM, DIESEL FUELED, 1649 CU. IN. DISPLACEMENT, POWER AN EMERGENCY ELECTRICAL GENERATOR</t>
  </si>
  <si>
    <t>3224 LuYung Dr.</t>
  </si>
  <si>
    <t>Daryl Monks</t>
  </si>
  <si>
    <t>(916) 361-1990</t>
  </si>
  <si>
    <t>FOLSOM WATER TREATMENT</t>
  </si>
  <si>
    <t>IC ENGINE STANDBY, MITSUBISHI, MODEL S6A3-PTA, SERIAL NO. 32277, 657 HP @1800 RPM, TURBOCHARGED, AFTERCOOLED, DIESEL FIRED, 1133 CU. IN. DISPLACEMENT, DRIVING AN EMERGENCY ELECTRICAL GENERATOR</t>
  </si>
  <si>
    <t>S6A3-PTA</t>
  </si>
  <si>
    <t>194 Randall Dr.</t>
  </si>
  <si>
    <t>(916) 355-8337</t>
  </si>
  <si>
    <t>FORTRESS GSA SACTO</t>
  </si>
  <si>
    <t>INTERNAL COMBUSTION ENGINE, EMERGENCY STANDBY, DETROIT DIESEL, MODEL NO. 81237405, ID NO. 12VF004751, 722 HP, DIESEL FUELED, DRIVING AN ELECTRICAL GENERATOR.</t>
  </si>
  <si>
    <t>1325 J St.</t>
  </si>
  <si>
    <t>George Riley</t>
  </si>
  <si>
    <t>(916) 492-1648</t>
  </si>
  <si>
    <t>INTERNAL COMBUSTION ENGINE, EMERGENCY STANDBY, DETROIT DIESEL, MODEL NO. 81237405, ID NO. 12VF004807, 722 HP, DIESEL FUELED, DRIVING AN ELECTRICAL GENERATOR.</t>
  </si>
  <si>
    <t>FOUNDATION HEALTH</t>
  </si>
  <si>
    <t>IC ENGINE FOR EMERGENCY ELECTRICAL GENERATION, DETROIT DIESEL, SERIAL NO. 7A51146, MODEL NO. 91637416, 2275 HP.</t>
  </si>
  <si>
    <t>12033 Foundation Place</t>
  </si>
  <si>
    <t>Larry Stencil</t>
  </si>
  <si>
    <t>(916) 935-3668</t>
  </si>
  <si>
    <t>FRANKLIN FUND BUILDING VENTURE</t>
  </si>
  <si>
    <t>DIESEL IC ENGINE, CATERPILLAR, MODEL NO. 3508TA, SERIAL NO. 23Z4540, 1093 BHP, DRIVING EMERGENCY ELECTRICAL GENERATOR</t>
  </si>
  <si>
    <t>10600 Whiterock Rd.</t>
  </si>
  <si>
    <t>Jack Spiegelman</t>
  </si>
  <si>
    <t>(916) 381-3843</t>
  </si>
  <si>
    <t>FRANKLIN RESOURCES</t>
  </si>
  <si>
    <t>DIESEL IC ENGINE, CATERPILLAR, MODEL NO. 3508TA, SERIAL NO. 23Z0507076, 1093 BHP, DRIVING EMERGENCY ELECTRICAL GENERATOR</t>
  </si>
  <si>
    <t>3355 Data Dr.</t>
  </si>
  <si>
    <t>Chuck Swidoski</t>
  </si>
  <si>
    <t>(916) 463-1769</t>
  </si>
  <si>
    <t>DIESEL IC ENGINE, CATERPILLAR, MODEL NO. 3412, SERIAL NO. 2WJ00188, 1108 BHP, DRIVING EMERGENCY ELECTRICAL GENERATOR</t>
  </si>
  <si>
    <t>3310 Quality Dr.</t>
  </si>
  <si>
    <t>DIESEL IC ENGINE, CATERPILLAR, MODEL 3412C , SERIAL NO. 2WJ00305, 1108 BHP, DRIVING EMERGENCY ELECTRICAL GENERATOR</t>
  </si>
  <si>
    <t>3366 Quality Dr.</t>
  </si>
  <si>
    <t>DIESEL IC ENGINE, CATERPILLAR, MODEL NO. 3412, S/N 2WJ01270, 1108 BHP, DRIVING EMERGENCY ELECTRICAL GENERATOR</t>
  </si>
  <si>
    <t>3343 Capitol Center</t>
  </si>
  <si>
    <t>DIESEL IC ENGINE, CATERPILLAR, MODEL NO. 3512, SERIAL NO. 24Z06440, 1818 BHP, DRIVING EMERGENCY ELECTRICAL GENERATOR</t>
  </si>
  <si>
    <t>DIESEL IC ENGINE, CATERPILLAR, MODEL NO. 3512, S/N 24Z08769, 1818 BHP, DRIVING EMERGENCY ELECTRICAL GENERATOR</t>
  </si>
  <si>
    <t xml:space="preserve">3344 Quality Dr. </t>
  </si>
  <si>
    <t>GEORGIA PACIFIC RESINS, INC.</t>
  </si>
  <si>
    <t>DIESEL IC ENGINE, CATERPILLA, MODEL 3412 DIT, S.N. 81Z07341, 749 BHP, DRIVING EMERGENCY ELECTRICAL GENERATOR</t>
  </si>
  <si>
    <t>10399 E. Stockton Blvd.</t>
  </si>
  <si>
    <t>Mike Neuenburg</t>
  </si>
  <si>
    <t>(916) 685-3964</t>
  </si>
  <si>
    <t>GOLDEN 1 CREDIT UNION</t>
  </si>
  <si>
    <t>DIESEL IC ENGINE, CATERPILLAR, MODEL NO. 3412 DITA, SERIAL NO. UNKNOWN, 1109 BHP, DRIVING EMERGENCY ELECTRICAL GENERATOR</t>
  </si>
  <si>
    <t>6507 4th Ave.</t>
  </si>
  <si>
    <t>Danny Harvey</t>
  </si>
  <si>
    <t>(916) 732-2800</t>
  </si>
  <si>
    <t>DIESEL IC ENGINE, CATERPILLAR, MODEL NO. 3516, SERIAL NO. 25Z01344, 2187 BHP, DRIVING EMERGENCY ELECTRICAL GENERATOR</t>
  </si>
  <si>
    <t>HEARST ARGYLE STATIONS</t>
  </si>
  <si>
    <t>IC ENGINE, CUMMINS, MODEL NTA-855-G3, SERIAL NO. 45839, 535 HP @1800 RPM, DIESEL FUELED, DRIVING AN EMERGENCY ELECTRICAL GENERATOR.</t>
  </si>
  <si>
    <t>14001 River Rd.</t>
  </si>
  <si>
    <t>DIESEL IC ENGINE, CATERPILLAR, MODEL NO. 3516, SERIAL NO. 25Z04647, 2168 BHP, DRIVING EMERGENCY ELECTRICAL GENERATOR.</t>
  </si>
  <si>
    <t>3 Television Circle</t>
  </si>
  <si>
    <t>Steve Lunceford</t>
  </si>
  <si>
    <t>(916) 325-3265</t>
  </si>
  <si>
    <t>INFLOW</t>
  </si>
  <si>
    <t>IC ENGINE STANDBY, CUMMINS, MODEL QST30-G5, SERIAL NO. 37193428, 1490 HP @1800 RPM, 1860 CU. IN. DISPLACEMENT, DIESEL FUELED, DRIVING AN EMERGENCY ELECTRICAL GENERATOR</t>
  </si>
  <si>
    <t>1515 K St.</t>
  </si>
  <si>
    <t>John Thomas</t>
  </si>
  <si>
    <t>(916) 341-3800</t>
  </si>
  <si>
    <t>INTEL</t>
  </si>
  <si>
    <t>IC ENGINE STANDBY, CUMMINS, MODEL #NTA855-G2, ID#30360480, DIESEL FIRED, 465 HP.</t>
  </si>
  <si>
    <t>KTA855-G2</t>
  </si>
  <si>
    <t>1900 Prairie City Rd.</t>
  </si>
  <si>
    <t>Barbara Bos</t>
  </si>
  <si>
    <t>(916) 356-5462</t>
  </si>
  <si>
    <t>37300 Comsat Road</t>
  </si>
  <si>
    <t>Carmel Valley</t>
  </si>
  <si>
    <t>93924</t>
  </si>
  <si>
    <t>Caterpillar Model 3508 Diesel Engine, S/N 6NA03318, With Turbocharger Aftercooler, And Four Degree Injection Timing Retardation Below Top Dead Center, 1220 BHp @ 1800 RPM, With Caterpillar Generator, 820 KW Output</t>
  </si>
  <si>
    <t>Bud Antle, Inc.</t>
  </si>
  <si>
    <t>8171A</t>
  </si>
  <si>
    <t>Portable Detroit Diesel Model 9163-7416 Diesel Engine, Series 16V-149 TIB, S/N 16F0010779, 2700 BHp @1800 RPM, With Quad Turbochargers and Aftercoolers; And Generator, Serial #XB 3754459, 1900 KW Output</t>
  </si>
  <si>
    <t>315 Neponset Road</t>
  </si>
  <si>
    <t>Marina</t>
  </si>
  <si>
    <t>93908</t>
  </si>
  <si>
    <t>Carmel Area Wastewater  District</t>
  </si>
  <si>
    <t>Detroit Diesel Model 8123-7305 Series 12V92T Diesel Engine, S/N 12VF001554, 703 BHp @ 1800 RPM, With Turbocharger, And Marathon Electric Company Magna One Generator, Model 502FDR8056GG-P587 W, Serial #NN3098048, 450 KW Output</t>
  </si>
  <si>
    <t xml:space="preserve">Wastewater Treatment and Reclamation Plant, Influent Pump Station,  1/4 Mile West of Highway 1 on Carmel River </t>
  </si>
  <si>
    <t>Carmel</t>
  </si>
  <si>
    <t>93923</t>
  </si>
  <si>
    <t>City of Santa Cruz-Water Pollution Control Facility</t>
  </si>
  <si>
    <t>Waukesha Enginator Power System. Waukesha Model L5792DSI Diesel Engine, S/N C-93604/1, 1436 BHp @ 1200 RPM, With Turbocharger, Aftercooler, And Four Degree Injection Timing Retardation Below Top Dead Center; And Kato Model VHP5900DSI Generator, Serial #93604/90111, 1000 KW Output</t>
  </si>
  <si>
    <t>110 California Street</t>
  </si>
  <si>
    <t>Santa Cruz</t>
  </si>
  <si>
    <t>95060</t>
  </si>
  <si>
    <t>Waukesha F2896DSIU Diesel Engine, S/N 401540, 702 BHp @ 1800 RPM, With Natural Aspiration; And Waukesha Generator, Model VHP2900DSI, Serial #RU-19546, 400 KW Output</t>
  </si>
  <si>
    <t>F2896DSIU</t>
  </si>
  <si>
    <t>California &amp; Bay Street</t>
  </si>
  <si>
    <t xml:space="preserve"> Santa Cruz</t>
  </si>
  <si>
    <t>City of Watsonville-Wastewater Division</t>
  </si>
  <si>
    <t>7701B</t>
  </si>
  <si>
    <t>Caterpillar Model 3412 Diesel Engine, Serial # 81Z05869, City ID #M-ME-2, 890 BHp @ 1800 RPM, With Turbocharger and Aftercooler; And Newage Stamford Model SC 634 AL Generator, Serial #J9826/1, 600 KW Output.  Located in the Energy Recovery Building.</t>
  </si>
  <si>
    <t>Wastewater Treatment Plant,  401 Panabaker Lane</t>
  </si>
  <si>
    <t xml:space="preserve"> Watsonville</t>
  </si>
  <si>
    <t>95076</t>
  </si>
  <si>
    <t>7702B</t>
  </si>
  <si>
    <t>Caterpillar Model D398 Diesel Engine, Serial # 66B4690, City ID #M-ME-1, 970 BHp @ 1200 RPM, With Turbocharger and Aftercooler, And Kato Model 600 SR9D Generator, Serial #71868, 600 KW Output. Located in the Energy Recovery Building.</t>
  </si>
  <si>
    <t>Community Hospital of the Monterey Peninsula</t>
  </si>
  <si>
    <t>Caterpillar Model 3508 Diesel Engine, Serial # 23Z05914, 1337 BHp @ 1800 RPM, With Twin Turbochargers and Aftercooler; And Caterpillar Model SR-4 Generator, Serial #6NA03901, 930 KW Output</t>
  </si>
  <si>
    <t>23625 Holman Highway</t>
  </si>
  <si>
    <t xml:space="preserve"> Monterey</t>
  </si>
  <si>
    <t>93950</t>
  </si>
  <si>
    <t>Caterpillar Model 3508 Diesel Engine, Serial # 23Z05919, 1337 BHp @ 1800 RPM, With Twin Turbochargers and Aftercooler; And Caterpillar Model SR-4 Generator, Serial #6NA03904, 930 KW Output</t>
  </si>
  <si>
    <t>Caterpillar Model 3412 Diesel Engine, Serial # 81Z06739, 749 BHp @ 1800 RPM, With Turbocharger, Aftercooler, 4 Degree Timing Retardation and Positive Crankcase Ventilation; And Caterpillar Generator, Model SR/4, Serial #6FA04469, 500 KW Output</t>
  </si>
  <si>
    <t>Phase IV Generator Building,  23625 Holman Highway</t>
  </si>
  <si>
    <t>Caterpillar Model 3512 DITA Diesel Engine, Serial # 24Z09148, 1818 BHp @ 1800 RPM, With Turbocharger and Aftercooler; And Caterpillar Generator, Model SR4B, Serial #4DM00760, 1250 KW Output.</t>
  </si>
  <si>
    <t>County of Monterey-Facilities and Construction-Jail Kitchen</t>
  </si>
  <si>
    <t>Detroit Diesel Model DDC 655 Power System. Detroit Diesel Model 8163-7305 Diesel Engine, Series 16V-92T, Serial # 7A30789, 960 BHp @1800 RPM, With Twin Turbochargers, and Detroit Diesel Model 573RSL7032BP-297W Generator, Serial #YK3941722, 655 KW Output. Serves Main Jail.</t>
  </si>
  <si>
    <t>1410 Natividad Road</t>
  </si>
  <si>
    <t xml:space="preserve"> Salinas</t>
  </si>
  <si>
    <t>93906</t>
  </si>
  <si>
    <t xml:space="preserve">County of Monterey-Facilities and Construction-Main Jail </t>
  </si>
  <si>
    <t>Caterpillar Model 3406 Diesel Engine, Serial #2WB02625, 458 BHp @ 1800 RPM, With Turbocharger And Aftercooler, And Caterpillar Model SR-4 Generator, Serial #6BA02056, 300 KW Output. Serves Main Jail.</t>
  </si>
  <si>
    <t xml:space="preserve">County of Monterey-Facilities and Construction-Public Safety Building </t>
  </si>
  <si>
    <t>Caterpillar Model 3406 Diesel Engine, Serial #2WB04133, 544 BHp @ 1800 RPM, With Turbocharger and Aftercooler, and Caterpillar Model SR-4 Generator, Serial #2WD00849, 300 KW Output. Serves Sheriff's Public Safety Building.</t>
  </si>
  <si>
    <t>1414 Natividad Road</t>
  </si>
  <si>
    <t>Driscoll Strawberry Associates, Inc.</t>
  </si>
  <si>
    <t>Caterpillar Model 3512 DITA Diesel Engine, Serial # 24Z06478, 1818 BHp @ 1800 RPM, With Turbocharger and Aftercooler; And Caterpillar Generator, Model SR-4, Serial #6PA02328, 1250 KW Output.</t>
  </si>
  <si>
    <t>1750 San Juan Road</t>
  </si>
  <si>
    <t>Granite Rock Co.</t>
  </si>
  <si>
    <t>8123A</t>
  </si>
  <si>
    <t>Caterpillar Model 3512 Diesel Engine, Serial #24Z02409, 1809 BHp @ 1800 RPM, With Twin Turbochargers and Aftercoolers; And Magnamax Model 742FSM2528AW W Electrical Generator, Serial #UK 19-52983-9/23, 1250 KW Output.</t>
  </si>
  <si>
    <t>Wilson Quarry,  Quarry Road</t>
  </si>
  <si>
    <t xml:space="preserve"> Aromas</t>
  </si>
  <si>
    <t>95004</t>
  </si>
  <si>
    <t>Household Credit Services</t>
  </si>
  <si>
    <t>Kato Engineering Diesel Engine/ Generator Set Powered by a Caterpillar Model 3516 STD Diesel Engine, Serial #4XF00300, Equipped With Turbocharger, Aftercooler, And Retarded Timing, Rated at 2847 HP.</t>
  </si>
  <si>
    <t>1441 Schilling Place</t>
  </si>
  <si>
    <t>93901</t>
  </si>
  <si>
    <t>DIESEL, INTERNAL COMBUSTION ENGINE, DETROIT DIESEL, MODEL 16V-92TA, ID NO. 8163-7416, 1232 BHP, DRIVING AN EMERGENCY ELECTRICAL GENERATOR.</t>
  </si>
  <si>
    <t>3333 Bradshaw Rd.</t>
  </si>
  <si>
    <t>Joe Figueroa</t>
  </si>
  <si>
    <t>(916) 491-0845</t>
  </si>
  <si>
    <t>STANDBY INTERNAL COMBUSTION ENGINE/GENERATOR, CATERPILLAR, MODEL 3512, ID NO. 24Z04525, 1321 ENGINE BHP, 3158 CUBIC INCHES TOTAL DISPLACEMENT, TURBOCHARGED/ AFTERCOOLED, SERVING 980 KW GENERATOR.</t>
  </si>
  <si>
    <t>7931 California Ave.</t>
  </si>
  <si>
    <t>95628</t>
  </si>
  <si>
    <t>IC ENGINE STANDBY, CUMMINS, MODEL QST30-G5, SERIAL NO. 37193933, 1490 HP @1800 RPM, 1860 CU. IN. DISPLACEMENT, DIESEL FUELED, DRIVING AN EMERGENCY ELECTRICAL GENERATOR.</t>
  </si>
  <si>
    <t>2450 Del Paso Road</t>
  </si>
  <si>
    <t>DIESEL INTERNAL COMBUSTION ENGINE, CATERPILLAR, MODEL 3512, ID NO. 24Z06951, 1586 BHP @ 1800 RPM, DRIVING AN EMERGENCY ELECTRICAL GENERATOR.</t>
  </si>
  <si>
    <t>3524 Marconi Ave.</t>
  </si>
  <si>
    <t>IC ENGINE, STANDBY, CATERPILLAR, SERIAL NO. 25Z03803, 2018 HORSEPOWER, COUPLED WITH A CATERPILLAR GENERATOR, MODEL NO. SR-4, SERIAL NO. 3EF01457.</t>
  </si>
  <si>
    <t>IC ENGINE FOR EMERGENCY ELECTRICAL GENERATION, CATERPILLAR, SERIAL NO. 25Z04432, RATED AT 2520 HP</t>
  </si>
  <si>
    <t>3601 Kings Way</t>
  </si>
  <si>
    <t>IC ENGINE FOR EMERGENCY ELECTRICAL GENERATION, CATERPILLAR, SERIAL NO. 25Z04454, RATED AT 2520 HP</t>
  </si>
  <si>
    <t>INTERNAL COMBUSTION ENGINE, FOR EMERGENCY ELECTRICAL GENERATION, CATERPILLAR, MODEL NO. 3516, ID NO. 6HN0012, PAC BELL 0894 #3, 2876 HP, DIESEL-FUELED.</t>
  </si>
  <si>
    <t>1423 J St.</t>
  </si>
  <si>
    <t>Steve Edwards</t>
  </si>
  <si>
    <t>(916) 523-6941</t>
  </si>
  <si>
    <t>INTERNAL COMBUSTION ENGINE, FOR EMERGENCY ELECTRICAL GENERATION, CATERPILLAR, MODEL NO. 3516, ID NO. 6HN0018, PAC BELL 0895 #2, 2876 HP, DIESEL-FUELED.</t>
  </si>
  <si>
    <t>DIESEL IC ENGINE, CATERPILLAR, MODEL NO. 3516, S/N 6HN00149, 2876 BHP, DRIVING EMERGENCY ELECTRICAL GENERATOR.</t>
  </si>
  <si>
    <t>1407 J St.</t>
  </si>
  <si>
    <t>PG&amp;E</t>
  </si>
  <si>
    <t>IC ENGINE, CATERPILLAR, MODEL CAT 3512 DITA JWAC, SERIAL NO. 24Z05614, 1482 HP @1800 RPM, DIESEL FUELED, DRIVING AN EMERGENCY ELECTRICAL GENERATOR.</t>
  </si>
  <si>
    <t>3512 DITA JWAC</t>
  </si>
  <si>
    <t xml:space="preserve">2740 Gateway Oaks Dr. </t>
  </si>
  <si>
    <t>Jerry Salgado</t>
  </si>
  <si>
    <t>(916) 923-7089</t>
  </si>
  <si>
    <t>IC ENGINE STANDBY, CUMMINS, MODEL N14-G2, 535 HP @1800 RPM, 855 CU. IN. DISPLACEMENT, DIESEL FUELED, DRIVING AN EMERGENCY ELECTRICAL GENERATOR</t>
  </si>
  <si>
    <t>770 L St. Suite 610</t>
  </si>
  <si>
    <t>Kelly Kermode</t>
  </si>
  <si>
    <t>(916) 448-4644</t>
  </si>
  <si>
    <t>DIESEL IC ENGINE, CUMMINS, MODEL NO. KTA50-G9, SERIAL NO. 33146066, 2220 HP, DRIVING EMERGENCY ELECTRICAL GENERATOR</t>
  </si>
  <si>
    <t>3040 Gold Camp Dr.</t>
  </si>
  <si>
    <t>Julian Benavides</t>
  </si>
  <si>
    <t>(916) 631-0122</t>
  </si>
  <si>
    <t>DIESEL IC ENGINE, CUMMINS, MODEL NO. KTA50-G9, SERIAL NO. 33145568, 2220 HP, DRIVING EMERGENCY ELECTRICAL GENERATOR</t>
  </si>
  <si>
    <t>DIESEL IC ENGINE, CUMMINS, MODEL NO. KTA50-G9, SERIAL NO. 33145581, 2220 HP, DRIVING EMERGENCY ELECTRICAL GENERATOR</t>
  </si>
  <si>
    <t>RAGING WIRE TELECOMM.</t>
  </si>
  <si>
    <t>IC ENGINE STANDBY, CATERPILLAR, MODEL 3516B, SERIAL NO. 6HN01216, 2876 HP @1800 RPM, DIESEL FUELED, DRIVING AN EMERGENCY ELECTRICAL GENERATOR</t>
  </si>
  <si>
    <t>1200 W. Striker Ave.</t>
  </si>
  <si>
    <t>RALEY'S</t>
  </si>
  <si>
    <t>INTERNAL COMBUSTION ENGINE, CUMMINS, MODEL NO. N14-G2, SERIAL NO. 12011029, 535 BHP, DIESEL FIRED, DRIVING EMERGENCY ELECTRICAL GENERATOR</t>
  </si>
  <si>
    <t>4061 Gateway Park Blvd.</t>
  </si>
  <si>
    <t>Brendel Hall</t>
  </si>
  <si>
    <t>(916) 928-7701</t>
  </si>
  <si>
    <t>INTERNAL COMBUSTION ENGINE, CUMMINS, MODEL NO. N14-G2, SERIAL NO. 12011698, 535 BHP, DIESEL FIRED, DRIVING EMERGENCY ELECTRICAL GENERATOR</t>
  </si>
  <si>
    <t>ROTUNDA PARTNERS</t>
  </si>
  <si>
    <t>INTERNAL COMBUSTION ENGINE, FOR EMERGENCY ELECTRICAL GENERATION, CUMMINS, MODEL KTA19G2, 600 ENGINE BHP, 1150 CU. IN. DISPLACEMENT.</t>
  </si>
  <si>
    <t>1201 K St.</t>
  </si>
  <si>
    <t>John McKee</t>
  </si>
  <si>
    <t>(916) 554-5950</t>
  </si>
  <si>
    <t>SAC. TOWER JOINT VENTURE</t>
  </si>
  <si>
    <t>STANDBY INTERNAL COMBUSTION ENGINE/LOAD SHED, DETROIT DIESEL, MODEL NO. 16V92T, 1232 ENGINE BHP</t>
  </si>
  <si>
    <t>Bill Gieep</t>
  </si>
  <si>
    <t>(916) 321-3405</t>
  </si>
  <si>
    <t>SAFE CREDIT UNION</t>
  </si>
  <si>
    <t>IC ENGINE, DETROIT DIESEL, MODEL 12V-92TA, SERIAL NO. 920792, 947 HP @1800 RPM, DIESEL FUELED, DRIVING AN EMERGENCY ELECTRICAL GENERATOR</t>
  </si>
  <si>
    <t>3720 Madison Ave.</t>
  </si>
  <si>
    <t>Rod Crawford</t>
  </si>
  <si>
    <t>(916) 871-4578</t>
  </si>
  <si>
    <t>SAN JUAN WATER DISTRICT</t>
  </si>
  <si>
    <t>DIESEL IC ENGINE, DETROIT DIESEL, MODEL NO. 8V-92TA 8083-7405, SERIAL NO. 8VF174948, 568 BHP, DRIVING EMERGENCY ELECTRICAL GENERATOR.</t>
  </si>
  <si>
    <t>Bacon Pump Station</t>
  </si>
  <si>
    <t>John Roe</t>
  </si>
  <si>
    <t>(916) 791-1715</t>
  </si>
  <si>
    <t>DIESEL IC ENGINE, DETROIT DIESEL, MODEL NO. 8V-92TA 8083-7405, SERIAL NO. 8VF175017, 568 BHP, DRIVING EMERGENCY ELECTRICAL GENERATOR.</t>
  </si>
  <si>
    <t>SHRINER'S HOSPITAL</t>
  </si>
  <si>
    <t>DIESEL IC ENGINE, CUMMINS, MODEL #KTA50-G3, S.N. 33129092, 1850 BHP, DRIVING STANDBY ELECTRICAL GENERATOR</t>
  </si>
  <si>
    <t>2425 Stockton Blvd.</t>
  </si>
  <si>
    <t>Frank Beisel</t>
  </si>
  <si>
    <t>(916) 453-2070</t>
  </si>
  <si>
    <t>DIESEL IC ENGINE, CUMMINS, MODEL #KTA50-G3, S.N. 33129162, 1850 BHP, DRIVING STANDBY ELECTRICAL GENERATOR</t>
  </si>
  <si>
    <t>IC ENGINE, DETROIT DIESEL, MODEL NO. 91637305, SERIAL NO. 16E008123, 1515 HP @1800 RPM, TURBOCHARGED, AFTERCOOLED, DIESEL FUELED, DRIVING AN EMERGENCY ELECTRICAL GENERATOR.</t>
  </si>
  <si>
    <t>McClelland AFB</t>
  </si>
  <si>
    <t>Dan Linder</t>
  </si>
  <si>
    <t>(916) 925-3052</t>
  </si>
  <si>
    <t>IC ENGINE, DETROIT DIESEL, MODEL NO. 91637305, SERIAL NO. 16E008118, 1515 HP @1800 RPM, TURBOCHARGED, AFTERCOOLED, DIESEL FUELED, DRIVING AN EMERGENCY ELECTRICAL GENERATOR.</t>
  </si>
  <si>
    <t>SPRINT SPECTRUM</t>
  </si>
  <si>
    <t>IC ENGINE FOR EMERGENCY ELECTRICAL GENERATION, CATERPILLAR, MODEL NO. 3412, SERIAL NO. 81219382, 896 HP.</t>
  </si>
  <si>
    <t>3433 Ramona Ave.</t>
  </si>
  <si>
    <t>Fred Hopson</t>
  </si>
  <si>
    <t>(916) 733-6700</t>
  </si>
  <si>
    <t>IC ENGINE, WAUKESHA, MODEL CD200A-8RO, S/N OX8350852, 462 BHP, DIESEL FUEL, DRIVING EMERGENCY ELECTRICAL GENERATOR</t>
  </si>
  <si>
    <t>CD 200A-8RO</t>
  </si>
  <si>
    <t>1416 9th St.</t>
  </si>
  <si>
    <t>Jeff Zarifis</t>
  </si>
  <si>
    <t>(916) 657-0203</t>
  </si>
  <si>
    <t>IC ENGINE, CATERPILLAR MODEL 4KC00368, S/N G3512, 604 BHP, NATURAL GAS FUEL, DRIVING EMERGENCY ELECTRICAL GENERATOR</t>
  </si>
  <si>
    <t>4KC00368</t>
  </si>
  <si>
    <t>900 N St.</t>
  </si>
  <si>
    <t>Blaine Martin</t>
  </si>
  <si>
    <t>(916) 445-4973</t>
  </si>
  <si>
    <t>IC ENGINE, CUMMINS, MODEL VT1710-G5, 900 HP @1800 RPM, DIESEL FUELED, DRIVING AN EMERGENCY ELECTRICAL GENERATOR.</t>
  </si>
  <si>
    <t>VT1710-G5</t>
  </si>
  <si>
    <t>11th and Capitol Mall</t>
  </si>
  <si>
    <t>Bill Cohan</t>
  </si>
  <si>
    <t>(916) 322-7216</t>
  </si>
  <si>
    <t>IC ENGINE, DETROIT DIESEL, MODEL 16V-92TA, SERIAL NO. 605772, 1170 BHP @1800 RPM, DIESEL FUELED, DRIVING AN EMERGENCY ELECTRICAL GENERATOR.</t>
  </si>
  <si>
    <t>3165 Gold Valley Dr.</t>
  </si>
  <si>
    <t>Ron Lukin</t>
  </si>
  <si>
    <t>(916) 853-5869</t>
  </si>
  <si>
    <t>STATE OF CA - DMV</t>
  </si>
  <si>
    <t>DIESEL IC ENGINE, CATERPILLAR, MODEL NO. 3406B, SERIAL NO. 4RGO1055, 587 BHP, DRIVING EMERGENCY ELECTRICAL GENERATOR.</t>
  </si>
  <si>
    <t>2415 1st Ave.</t>
  </si>
  <si>
    <t>Marilee Witt</t>
  </si>
  <si>
    <t>(916) 657-6869</t>
  </si>
  <si>
    <t>STATE OF CA - GEN SERVICES</t>
  </si>
  <si>
    <t>Caterpillar Model 3412 Diesel Engine, Serial #81Z23368, 896 BHp @ 1800 RPM, With Twin Turbochargers and Aftercooler; And Caterpillar Model SR-4B Generator, Serial #9FG01685, 600 KW Output.</t>
  </si>
  <si>
    <t>Casa Palmero,  1518 Cypress Drive (x Palmero Way)</t>
  </si>
  <si>
    <t>Caterpillar Model 3512 Diesel Engine, Serial #24Z08135, 1586 BHp @ 1800 RPM, With Twin Turbochargers &amp; Aftercooler, Four Degree Injection Timing Retard, Positive Crankcase Ventilation, And Caterpillar Model SR-4B Generator, Serial #3BM00619, 1100 KW Output.</t>
  </si>
  <si>
    <t>340 Pajaro Street</t>
  </si>
  <si>
    <t>Naval Postgraduate School</t>
  </si>
  <si>
    <t>Electro-Motive Diesel Engine, Model L16-645F4B, Serial #88MI-1003, Equipped with Turbocharger, and Aftercooler, 3400 Hp @ 900 RPM, and Baylor Generator, Model 6855MTV-323, Serial #KJ-65MTV01-B, 2500 KW Output.</t>
  </si>
  <si>
    <t xml:space="preserve">Electro-Motive </t>
  </si>
  <si>
    <t>L16-645F4B</t>
  </si>
  <si>
    <t>Naval Postgraduate School,  Building 708</t>
  </si>
  <si>
    <t>Natividad Medical Center</t>
  </si>
  <si>
    <t>8043A</t>
  </si>
  <si>
    <t>Bayside Equipment Company Power System, Serial #20054. Detroit Diesel Engine, Series 12V-149TI, 1178 BHp @ 1800 RPM, With Quad Turbochargers and Aftercoolers; And Generator, 800 KW Output.</t>
  </si>
  <si>
    <t xml:space="preserve">1330 Natividad Road (Storage Yard Adjacent To Boiler Room) </t>
  </si>
  <si>
    <t>Caterpillar Model 3516 Diesel Internal Combustion Engine, Serial No. 25Z04884, 2, 518 BHp @ 1800 RPM, With Turbocharger and Aftercooler; and Caterpillar Model SR-4B Generator, Serial No. 5WN00584, 1750 KW Output.</t>
  </si>
  <si>
    <t>Building H,  1441 Constitution Blvd.</t>
  </si>
  <si>
    <t>Caterpillar Model 3516 Diesel Internal Combustion Engine, Serial No. 25Z04886, 2, 518 BHp @ 1800 RPM, With Turbocharger and Aftercooler; and Caterpillar Model SR-4B Generator, Serial No. 5WN00586, 1750 KW Output.</t>
  </si>
  <si>
    <t>County of Monterey- Facilities and Construction- Youth Center</t>
  </si>
  <si>
    <t>Caterpillar Model 3406 Diesel Engine, Serial #4PM00415, 439 BHp @ 1800 RPM, With Turbocharger and Aftercooler; and Caterpillar Model SR-4 Generator, Serial #4LM00605, 300 KW Output.</t>
  </si>
  <si>
    <t>Youth Center,  970 Circle Drive</t>
  </si>
  <si>
    <t>Silicon Systems, Inc. (Texas Instruments)</t>
  </si>
  <si>
    <t>Emergency Generator #2, Cummins Model VTA-1710-G Diesel Engine, Series #37107786, Equipped with Turbocharger and Aftercooler, 760 BHp @ 1800 RPM, 500 KW Output.  Located in Generator Pit on East Side of Building.</t>
  </si>
  <si>
    <t>2300 Delaware Avenue</t>
  </si>
  <si>
    <t>Emergency Generator #4, Cummins/Onan Model 750 DFJA Power System, Serial #K930525656.  Cummins Model KTA 38-G1 Diesel Engine, Serial BHp @ 1800 RPM; And Onan Generator, Serial #CO37734/02, 750 KW Output.  Located on North Side of Building in Scrubber Yard.</t>
  </si>
  <si>
    <t>KTA 38-G1</t>
  </si>
  <si>
    <t>Emergency Generator #3, Kohler Model 800ROZD Power System, Detroit Diesel Model 16V-92TA Diesel Engine, Serial #276564, Equipped with Twin Turbochargers and Aftercooler, 1232 BHp @ 1800 RPM, 800 KW Output. Located on North Side of Building.</t>
  </si>
  <si>
    <t>Holec UPS System #6, Serial #393260-2. Cummins Model KTA 50-G3 Diesel Engine, Serial #33132262, Equipped with Twin Turbochargers &amp; Aftercoolers, and Minimum Four Degree Injection Timing Retardation Below Top Dead Center, 1850 BHp @ 1800 RPM; And Newage Stamford Generator, Serial #C042901/01, 1000 KW Output.  Located On Southeast Lawn.</t>
  </si>
  <si>
    <t>Holec UPS System #5, Serial #393260-1. Cummins Model KTA 50-G3 Diesel Engine, Serial #33132258, Equipped with Twin Turbochargers &amp; Aftercoolers, and Minimum Four Degree Injection Timing Retardation Below Top Dead Center, 1850 BHp @ 1800 RPM; And Newage Stamford Generator, Serial #C043067/01, 1000 KW Output.  Located On Southeast Lawn.</t>
  </si>
  <si>
    <t>7035A</t>
  </si>
  <si>
    <t>Holec UPS System #4, Serial #393184-02.  Cummins Model KTA 38-G3 Diesel Engine, Serial #33125015, Equipped With Twin Turbochargers &amp; Aftercoolers, And Minimum Four Degree Injection Timing Retardation Below Top Dead Center 1220 BHp @ 1800 RPM; and Newage Stamford Generator, Serial #C035097/01, 800 KW Output.  Located on Northwest Lawn.</t>
  </si>
  <si>
    <t>7034A</t>
  </si>
  <si>
    <t>Holec UPS System #3, Serial #393184-01.  Cummins Model KTA 38-G3 Diesel Engine, Serial #33124881, Equipped With Twin Turbochargers &amp; Aftercoolers, And Minimum Four Degree Injection Timing Retardation Below Top Dead Center 1220 BHp @ 1800 RPM; and Newage Stamford Generator, Serial #C035096/01, 800 KW Output.  Located on Northwest Lawn.</t>
  </si>
  <si>
    <t>7036A</t>
  </si>
  <si>
    <t>Holec UPS System #2, Serial #393185-02. Cummins Model KTA 50-G3 Diesel Engine, Serial #33125210, Equipped with Twin Turbochargers &amp; Aftercoolers, and Minimum Four Degree Injection Timing Retardation Below Top Dead Center, 1635 BHp @ 1800 RPM; And Newage Stamford Generator, Serial #C035098/01, 960 KW Output.  Located on Souteast Lawn.</t>
  </si>
  <si>
    <t>7037A</t>
  </si>
  <si>
    <t>Holec UPS System #1, Serial #393185-01. Cummins Model KTA 50-G3 Diesel Engine, Serial #33125216, Equipped with Twin Turbochargers &amp; Aftercoolers, and Minimum Four Degree Injection Timing Retardation Below Top Dead Center, 1635 BHp @ 1800 RPM; And Newage Stamford Generator, Serial #C035099/01, 960 KW Output.  Located on Souteast Lawn.</t>
  </si>
  <si>
    <t>KTA 50-G3</t>
  </si>
  <si>
    <t>Alisal Water Corp.</t>
  </si>
  <si>
    <t>Caterpillar Model 3406 Diesel Engine, Serial #75Z00871, 450 BHp @ 1800 RPM, With Turbocharger and Aftercooler, And Caterpillar Model SR-4 Generator, Serial #6BA00579, 310 KW Output</t>
  </si>
  <si>
    <t>Alisal Well,  Rear of Alisal High School via Burke St. Dirt Access</t>
  </si>
  <si>
    <t>Beloit Power System, Serial #504334R9. Detroit Diesel Model 12V71T Diesel Engine, 450 BHP @ 1800 RPM, With Twin Turbochargers, and Generator, 300 KW Output.</t>
  </si>
  <si>
    <t>706 Las Casitas Drive</t>
  </si>
  <si>
    <t>Asilomar Conference Center</t>
  </si>
  <si>
    <t>8983A</t>
  </si>
  <si>
    <t>Caterpillar Diesel Engine, Model D-379A, Serial #68B728, 560 BHP @ 1200 RPM, With Turbocharger, Aftercooler, and Factory Set Injection Timing At 12 Degrees BTDC; And Generator, 500 KW Output.</t>
  </si>
  <si>
    <t>D-379A</t>
  </si>
  <si>
    <t>800 Asilomar Boulevard</t>
  </si>
  <si>
    <t xml:space="preserve"> Pacific Grove</t>
  </si>
  <si>
    <t>CSU Monterey Bay</t>
  </si>
  <si>
    <t>Caterpillar Model 3406 DITA Diesel Engine, Serial #4ZR01636, 587 BHp @ 1800 RPM, With Turbocharger and Aftercooler; and Caterpillar Model SR-4B Generator, Serial #9DR01184, 400 KW Output</t>
  </si>
  <si>
    <t>Adjacent to Buildings 41 &amp; 43,  6th Avenue &amp; B Street</t>
  </si>
  <si>
    <t xml:space="preserve"> Seaside</t>
  </si>
  <si>
    <t>California Water Service Co.</t>
  </si>
  <si>
    <t>Onan Model 400DFCE Generator Set. Cummins Model NTA855-G5 Diesel Internal Combustion Engine, Serial No. 33072, 605 BHp @ 1800 RPM, With Turbocharger and Aftercooler; and Onan Model DFCE 3381354 Generator 400 KW Output.</t>
  </si>
  <si>
    <t>Pump Station 16,  Natividad Road (x Alvin Drive)</t>
  </si>
  <si>
    <t>Canadaigua Wine Co.</t>
  </si>
  <si>
    <t>7273A</t>
  </si>
  <si>
    <t>Catepillar Model 3406B Diesel Engine, Serial #2WB06690, 534 BHp @ 1800 RPM, With Turbocharger and Aftercooler; and Generator, 350 KW Output.</t>
  </si>
  <si>
    <t>800 South Alta Street</t>
  </si>
  <si>
    <t xml:space="preserve"> Gonzales</t>
  </si>
  <si>
    <t>93926</t>
  </si>
  <si>
    <t>City of Hollister</t>
  </si>
  <si>
    <t>7904A</t>
  </si>
  <si>
    <t>Cummins Model VT12-635-GS Diesel Engine, Serial No. 69128, 574 HP @ 1800 RPM, With Turbocharger; And Onan Electrical Generator, Model 00.0DVF-16R/14284E, Serial No. 0374786689, 400 KW Output.</t>
  </si>
  <si>
    <t>VT12-635-GS</t>
  </si>
  <si>
    <t>1221 South Street</t>
  </si>
  <si>
    <t>City of Holister</t>
  </si>
  <si>
    <t>Caterpillar Model 3412 Diesel Engine, Serial #81Z20748, 749 HP @ 1800 RPM, With Turbocharger and Aftercooler; and Catepillar Generator, 500 KW Output. Trailer Mounted.</t>
  </si>
  <si>
    <t>952 San Felipe Road</t>
  </si>
  <si>
    <t>City of Pacific Grove</t>
  </si>
  <si>
    <t>Caterpillar Model 3406 DITA Diesel Engine, Serial #4ZR02471, 519 BHP @ 1800 RPM, With Turbocharger and Aftercooler; And Caterpillar Generator, 350 KW Output</t>
  </si>
  <si>
    <t>Behind Police Station,  580 Pine Avenue</t>
  </si>
  <si>
    <t>City of Santa Cruz- Public Works Department</t>
  </si>
  <si>
    <t>US Motors Corporation Model DDW600 Power System, Serial #341363. Detroit Diesel Model 8123-7416 Diesel Engine, Series 12V-92TA, Serial #12VF005972, 947 BHp @ 1800 RPM, With Twin Turbochargers And Aftercoolers; And Marathon Electric Magna Max Model 573RSL2048BPW Generator, Serial #XM 3844458, 600 KW Output.</t>
  </si>
  <si>
    <t>Near Lagoon,  End of Chestnut Street Near Railroad Tracks</t>
  </si>
  <si>
    <t>City of Santa Cruz- Water Department</t>
  </si>
  <si>
    <t>US Motors Corporation Power System.  Cummins Model VTA 28-G2 Diesel Engine, Serial #37112845, 900 BHp @ 1800 RPM, With Twin Turbochargers and Aftercoolers, and Marathon Model 573RSL2052A-P312W Generator, Serial #TD3371567, 600 KW Output.</t>
  </si>
  <si>
    <t>715 Graham Hill Road</t>
  </si>
  <si>
    <t>City of Scotts Valley</t>
  </si>
  <si>
    <t>Caterpillar Model 3412C DITA Diesel Engine, Serial #2WJ00301, With Quad Turbochargers and Aftercoolers, 1109 BHp @ 1800 RPM; and Caterpillar Model SR4 Generator, 750 KW Output.</t>
  </si>
  <si>
    <t>Wastewater Treatment Plant,  700 Lundy Lane</t>
  </si>
  <si>
    <t xml:space="preserve"> Scotts Valley</t>
  </si>
  <si>
    <t>95066</t>
  </si>
  <si>
    <t>City of Watsonville- Wastewater Division</t>
  </si>
  <si>
    <t>DMT Corporation Model DMT-500CA2 Power System, Serial #203362-1. Cummins Model KTA19-G4 Diesel Engine, 755 BHp @ 1800 RPM, Serial #37171679, With Turbocharger and Aftercooler; and Marathon Model 433PSL1370 Generator, Serial #LM-221864-0896, 500 KW Output.</t>
  </si>
  <si>
    <t>Pajaro Village Storm Water Pump Station,  Salsipuedes Creek Levee West of Lakeview Road</t>
  </si>
  <si>
    <t>Cummins Model VTA28-G5 Diesel Engine, 900 HP @ 1800 RPM, Serial# 25238072, With Turbocharger and Aftercooler; and Synergy International Generator, Serial #99-208830-1, 600 KW Output.</t>
  </si>
  <si>
    <t>Storm Water Pump Station #12,  100 East Front Street (x Union Street)</t>
  </si>
  <si>
    <t>City of Watsonvillle- Water Department</t>
  </si>
  <si>
    <t>Portable Caterpillar Model 3406B DI Diesel Engine, Serial #2WB11373, 534 BHp @ 1800 RPM, With Turbocharger and Aftercooler, and Caterpillar Model SR-4 Generator, Serial #9GF02790, 350 KW Output</t>
  </si>
  <si>
    <t>Various Locations Within Watsonville &amp; Vicinity</t>
  </si>
  <si>
    <t>City of Watsonville- Water Department</t>
  </si>
  <si>
    <t>Kohler Model 400ROZD71 Power System, Serial #354963. Detroit Diesel Model 8083-7416 Diesel Engine, Series 8V92-TA, Serial #08VG163051, 643 BHp @ 1800 RPM, With Turbochargers and Aftercooler, And Kohler Model 433RSL4021 Generator, Serial #WA-GM05118-01-0694, 400 KW Output</t>
  </si>
  <si>
    <t>Freedom Pump Station,  1509 Freedom Boulevard</t>
  </si>
  <si>
    <t>County of Monterey- Telecommunications</t>
  </si>
  <si>
    <t>7996A</t>
  </si>
  <si>
    <t>Caterpillar Model 3508-DITA Diesel Engine, Serial #23Z05923, 1324 BHP @ 1800 RPM, With Twin Turbochargers &amp; Aftercoolers, Positive Crankcase Ventilation, and 4 Degree Timing Retardation; And Caterpillar Model SR-4 Generator, Serial #6NA03908, 930 KW Output.</t>
  </si>
  <si>
    <t>1590 Moffett Street (x LaGuardia St.)</t>
  </si>
  <si>
    <t>County of Santa Cruz- Public Works/ Sanitation Department</t>
  </si>
  <si>
    <t>8000A</t>
  </si>
  <si>
    <t>Caterpillar Model 3408B Diesel Engine, Serial #78Z04561, 603 HP @ 1800 RPM, With Turbocharger and Aftercooler; and Caterpillar Generator, Serial #6DA0334, 400 KW Output</t>
  </si>
  <si>
    <t>Soquel Pump Station, Bay Avenue (In the Nob Hill Supermarket Parking Lot)</t>
  </si>
  <si>
    <t xml:space="preserve"> Soquel</t>
  </si>
  <si>
    <t>95073</t>
  </si>
  <si>
    <t>Portable Multiquip Model DCA-300SSK Power System, Serial #3700214. Komatsu Model SA6D125E-2 Diesel Engine, Serial # 82756, 406 HP @ 1800 RPM, With Turbocharger, and Aftercooler; and Denyo Model DF-3300K Generator, 303 KW Output.</t>
  </si>
  <si>
    <t>SA6D125E-2</t>
  </si>
  <si>
    <t>Various Locations Throughout Santa Cruz County</t>
  </si>
  <si>
    <t>Caterpillar Model 3406 Diesel Engine, Serial #4ZR02175, 449 BHp @ 1800 RPM, With Turbocharger and Aftercooler; and Caterpillar Generator, 300 KW Output.</t>
  </si>
  <si>
    <t>Rodeo Pump Station,  Richmond Drive</t>
  </si>
  <si>
    <t>Department of Defense- Manpower Data Center</t>
  </si>
  <si>
    <t>Hot Bros. Energy Systems Model HEC-600-D Power System, Serial #68-153. Caterpillar Model D-398 TA Diesel Engine, Serial #66B2340, 910 BHp @ 1200 RPM, With Twin Turbochargers &amp; Aftercooler; And Kato Model 600 SR9D Generator, Serial #63890, 600 KW Output.</t>
  </si>
  <si>
    <t>D398 TA</t>
  </si>
  <si>
    <t>Building 4385,  Gigling Road &amp; Parker Flats Cut-Off</t>
  </si>
  <si>
    <t>Dominican Santa Cruz Hospital</t>
  </si>
  <si>
    <t>7931A</t>
  </si>
  <si>
    <t>Cummins Model VTA 28-G2 Diesel Engine, Serial #37122567, 900 BHp @ 1800 RPM, With Turbocharger, Aftercooler, And 4 Degree Retard; And Generator, 500 KW Output.</t>
  </si>
  <si>
    <t>1555 Soquel Drive</t>
  </si>
  <si>
    <t>95065</t>
  </si>
  <si>
    <t>7932A</t>
  </si>
  <si>
    <t>Cummins Model VTA 28-G1 Diesel Engine, Serial #37109030, 760 BHp @ 1800 RPM, With Turbocharger, Aftercooler, and 4 Degree Retard; and Generator, 500 KW Output.</t>
  </si>
  <si>
    <t>DCC Rehab Center,  610 Fredrick Street</t>
  </si>
  <si>
    <t>Driscoll Strawberry Assoc.</t>
  </si>
  <si>
    <t>Caterpillar Model XQ350-3406 Power System.  Caterpillar Model 3406 Diesel Engine, 519 BHp @ 1800 RPM, Serial #4JK00352, With Turbocharger and Aftercooler; And Caterpillar Model SR-4B Generator, Serial #5CK00826, 320 KW Output.</t>
  </si>
  <si>
    <t>930 E. Blanco Road</t>
  </si>
  <si>
    <t>Embassy Suites Hotel</t>
  </si>
  <si>
    <t>Cummins Diesel Engine, Model NTA-855-G3, Serial #33046, 535 HP @ 1800 RPM, Equipped With Turbocharger, Aftercooler, And 4 Degree Retard; And Onan Generator, Model 350DFCC, Serial #G950582155, 350 KW Output.</t>
  </si>
  <si>
    <t>1441 Canyon Del Rey</t>
  </si>
  <si>
    <t>9029</t>
  </si>
  <si>
    <t>Caterpillar Model 3406B Diesel Internal Combustion Engine, Serial #2WB11485, 447 BHp @ 1800 RPM, With Turbocharger and Aftercooler; And Caterpillar Model SR4 Generator, Serial #8KF00311, 300 KW Output.</t>
  </si>
  <si>
    <t>1488 Schilling Place</t>
  </si>
  <si>
    <t>Caterpillar 3406 Diesel Engine/ Generator Set Powered by a Model 3406 Diesel Engine, Serial # 4RG01752, Equipped with Turbocharger, Aftercooler, and Retarded Timing, rated at 519 BHp @ 1800 RPM.</t>
  </si>
  <si>
    <t>711 LaGuardia St.</t>
  </si>
  <si>
    <t>KSBW-TV 8</t>
  </si>
  <si>
    <t>Caterpillar Model 3406C TA Diesel Internal Combustion Engine, Serial #42R5297, 449 BHP @ 1800 RPM, With Turbocharger, Aftercooler, and Positive Crankcase Ventilation; And Caterpillar Generator, 300 KW Output.</t>
  </si>
  <si>
    <t>Fremont Peak,  End of San Juan Canyon Road</t>
  </si>
  <si>
    <t xml:space="preserve"> San Benito County</t>
  </si>
  <si>
    <t>95043</t>
  </si>
  <si>
    <t>Level 3 Communications</t>
  </si>
  <si>
    <t>Caterpillar Model 3406 Diesel Engine, Serial #1LS01198, 449 BHP @ 1800 RPM, With Turbocharger and Aftercooler; And Caterpillar Model SR4B Generator, Serial #9CR02233, 300 KW Output.</t>
  </si>
  <si>
    <t>Soledad ILA Site,  Front Street (x Main Street)</t>
  </si>
  <si>
    <t>Caterpillar Model 3406 Diesel Engine, Serial #1LS01201, 449 BHP @ 1800 RPM, With Turbocharger and Aftercooler; And Caterpillar Model SR4B Generator, Serial #9CR02231, 300 KW Output.</t>
  </si>
  <si>
    <t>San Ardo ILA Site,  Cattlemen Road (x Railroad Street)</t>
  </si>
  <si>
    <t xml:space="preserve"> San Ardo</t>
  </si>
  <si>
    <t>93450</t>
  </si>
  <si>
    <t>Monterey Peninsula Airport District</t>
  </si>
  <si>
    <t>Caterpillar Engine-Generator Set, Consisting of a Caterpillar Generator, Model SR-43, Serial #8H600896, Rated at 450 KW, Driven by a Caterpillar Internal Combustion Engine, Diesel Fired, Model 3412, Serial #81Z19883, Equipped with a Turbocharger, Rated at 679 HP @ 1800 RPM.</t>
  </si>
  <si>
    <t>200 Fred Kane Drive</t>
  </si>
  <si>
    <t>Portable United States Motor Corporation Model CDW400 Power System, Serial #341373. Cummins Model KTA19-G2 Diesel Engine.  Serial #37138333, 600 BHP @ 1800 RPM, With Turbocharger &amp; Aftercooler; and Magna-Max Model 433 RSL2027BP-330 W Generator, Serial #XH 3818846, 300 KW Output.</t>
  </si>
  <si>
    <t>Various Locations Within Naval Postgraduate School and Presidio of Monterey</t>
  </si>
  <si>
    <t>Monterey</t>
  </si>
  <si>
    <t>Detroit Diesel Model 8163-7416 Diesel Engine, Series 16V-92TA; Serial #16VF014240, 1252 BHp @ 1800 RPM, With Twin Turbochargers and Aftercoolers, Four Degree Injection Timing Retard, And Positive Crankcase Ventilation; and Newage Stamford Type HCI634J1 Generator, Serial #C078660/01, 750 KW Output.</t>
  </si>
  <si>
    <t>709 Center Street</t>
  </si>
  <si>
    <t>Detroit Diesel Model 8083-7405 Diesel Engine, Series 8V-92TA, Serial #8VF175457, 568 BHP @ 1800 RPM, With Turbocharger &amp; Aftercooler, Four Degree Injection Timing Retard, Positive Crankcase Ventilation; And Newage Stamford Frame HC I434E1 Generator, Serial #G970644350, 300 KW Output.</t>
  </si>
  <si>
    <t>340 Rodriguez Street</t>
  </si>
  <si>
    <t>Santa Cruz County Sentinel</t>
  </si>
  <si>
    <t>Caterpillar Model 3412 Diesel Engine, Serial #81Z10903, 890 BHP @ 1800 RPM, With Turbocharger and Aftercooler; And Caterpillar Model SR4 Generator, Serial #6FA06712, 600 KW</t>
  </si>
  <si>
    <t>207 Church Street</t>
  </si>
  <si>
    <t>Scotts Valley Water District</t>
  </si>
  <si>
    <t>8419A</t>
  </si>
  <si>
    <t>Cummins/Onan Corporation Model 500/DFFB71448K Power System, Serial #1940555568. Cummins Model KTTA19-G2 Diesel Engine, 750 BHP @ 1800 RPM, With Turbocharger and Aftercooler; And Onan Generator, 500 KW Output.</t>
  </si>
  <si>
    <t>6500 Los Gatos Highway</t>
  </si>
  <si>
    <t>7814A</t>
  </si>
  <si>
    <t>Caterpillar Model 3406B Diesel Engine, Serial #4RG01158, 519 BHp @ 1800 RPM, With Turbocharging &amp; Aftercooler; and Generator, 350 KW Output.</t>
  </si>
  <si>
    <t>70 El Pueblo Road</t>
  </si>
  <si>
    <t>Soquel Creek Water District</t>
  </si>
  <si>
    <t>DMT Corporation Model DMT350CA Portable Power System, Serial #91252-1. Cummins Model NTA 855-G3 Diesel Engine, Serial #11626507, Equipped with Turbocharger, Aftercooler, and Four Degree Injection Timing Retardation Below Top Dead Center, 535 BHp @ 1800 RPM, 350 KW Output.</t>
  </si>
  <si>
    <t>Various Locations Within Santa Cruz County Service Area</t>
  </si>
  <si>
    <t>Spreckels Industrial Park LLC</t>
  </si>
  <si>
    <t>Detroit Diesel Model 8083-7405 Diesel Engine, Series 8V-92TA, Serial #DDO8VF123002, 464 BHP @ 1800 RPM, With Turbocharger and Aftercooler; And Marathon Electric Magna One Generator, Serial #UC3468348, 315 KW Output.</t>
  </si>
  <si>
    <t>Wells #2 and #22,  121 Spreckels Blvd.</t>
  </si>
  <si>
    <t xml:space="preserve"> Spreckels</t>
  </si>
  <si>
    <t>Sutter Maternity and Surgery Center of Santa Cruz</t>
  </si>
  <si>
    <t>Onan Model 600 DFGB Power System.  Cummins Model VTA 28-G5 Diesel Engine, Serial #25205981, 900 BHP @ 1800 RPM, With Dual Turbochargers and Aftercoolers; And Onan Generator, Serial #D950574611, 600 KW Output.</t>
  </si>
  <si>
    <t>2900 Chaticleer (x Soquel Drive)</t>
  </si>
  <si>
    <t>West Marine Products, Inc.</t>
  </si>
  <si>
    <t>DMT Corporation Model DMT-500CA2 Power System, Serial #2029134, Cummins Model KTA 19-G4 Diesel Internal Combustion Engine, Engine No. 37172170, 755 BHp @ 1800 RPM, With Turbocharger and Aftercooler; And Marathon Model 572RSL4024 Generator, Serial #WA-505381-0996, 500 KW Output.</t>
  </si>
  <si>
    <t>KTA 19-G4</t>
  </si>
  <si>
    <t>500 Westridge Dr.</t>
  </si>
  <si>
    <t>California-American Water Company</t>
  </si>
  <si>
    <t>Exempt</t>
  </si>
  <si>
    <t>Cummins NTA 855-G2 (TA), S/N 111601805</t>
  </si>
  <si>
    <t>NTA 855-G2</t>
  </si>
  <si>
    <t>City of Santa Cruz-Wastewater Plant</t>
  </si>
  <si>
    <t>City of Watsonville-Airport Pump Station</t>
  </si>
  <si>
    <t>Cummins VTA28 G1 (TA)</t>
  </si>
  <si>
    <t xml:space="preserve">51 Burchell Ave. </t>
  </si>
  <si>
    <t>Watsonville</t>
  </si>
  <si>
    <t>Caterpillar D33B</t>
  </si>
  <si>
    <t>D33B</t>
  </si>
  <si>
    <t>Recovery Center,  576 Hartnell St.</t>
  </si>
  <si>
    <t>Caterpillar 3208</t>
  </si>
  <si>
    <t>Professional Center,  23845 Holman Highway</t>
  </si>
  <si>
    <t>Waukesha F-2695 BS-V-12</t>
  </si>
  <si>
    <t>F-2695 BS-V-12</t>
  </si>
  <si>
    <t>Main Hospital,  23625 Holman Highway</t>
  </si>
  <si>
    <t>Caterpillar 3412</t>
  </si>
  <si>
    <t>238 John Street</t>
  </si>
  <si>
    <t>Marina Coast Water District</t>
  </si>
  <si>
    <t>Cummins 1150</t>
  </si>
  <si>
    <t>3250 De Forest Road</t>
  </si>
  <si>
    <t>Monterey County Jail</t>
  </si>
  <si>
    <t>Caterpillar 3406</t>
  </si>
  <si>
    <t>MRWPCA - Pump Station 13</t>
  </si>
  <si>
    <t>Detroit Diesel 12V-71T</t>
  </si>
  <si>
    <t>Fountain Ave. &amp; Ocean View Blvd.</t>
  </si>
  <si>
    <t>Solar Turbine</t>
  </si>
  <si>
    <t>401 Franklin Street</t>
  </si>
  <si>
    <t>Santa Cruz County Health Services</t>
  </si>
  <si>
    <t>Detroit Diesel 7163-700, 16V-71N</t>
  </si>
  <si>
    <t xml:space="preserve">7163-700 </t>
  </si>
  <si>
    <t>1080 Emeline Avenue</t>
  </si>
  <si>
    <t>Santa Cruz County Public Works</t>
  </si>
  <si>
    <t>New Brighton State Beach Wastewater Pump Station</t>
  </si>
  <si>
    <t xml:space="preserve"> Aptos</t>
  </si>
  <si>
    <t>95003</t>
  </si>
  <si>
    <t>East Cliff Yard,  2750 Lode Street</t>
  </si>
  <si>
    <t>Caterpillar D398</t>
  </si>
  <si>
    <t>East Cliff Station,  2750 Lode Street</t>
  </si>
  <si>
    <t>Onan Model 500 DFEK Power System, Serial #E010245403. Cummins Model QSX15-G9 Emergency Diesel Engine, Serial #14020053, 755 BHP @ 1800 RPM, With Turbocharger and Aftercooler, And Generator, 500 KW Output.</t>
  </si>
  <si>
    <t>Rancho Canada Well, 5258 Carmel Valley Road</t>
  </si>
  <si>
    <t>Granite Rock Company</t>
  </si>
  <si>
    <t>Elliott MagneTek Model 500 RD Power System.  Volvo Model TAD 1631 GE Diesel Engine, Serial #2160039659, 759 BHp @ 1800 RPM, with Turbocharger and Aftercooler; And MagneTek Generator, 500 KW Output.</t>
  </si>
  <si>
    <t>TAD 1631 GE</t>
  </si>
  <si>
    <t>350 Technology Drive</t>
  </si>
  <si>
    <t>95076-2488</t>
  </si>
  <si>
    <t>Caterpillar Model 3412 Diesel Engine, Serial #81Z01441, 680 HP @ 1800 RPM, With Turbocharger, Aftercooler and Four Degree Retard, And Caterpillar Model SR4 Generator, 470 KW Output.</t>
  </si>
  <si>
    <t>Naturipe Berry Growers</t>
  </si>
  <si>
    <t>Kohler Model 1250 Power System.  Detroit Diesel Model T1237K36 Diesel Engine, Spec No. B361223, 2200 HP @ 1800 RPM, with Turbocharger and Aftercooler; And Kohler Model 1250ROZD4 Generator, Serial #0677705, 1250 KW Output.  Stack Discharge Equipped With a Combination Butterfly Damper and Weather Canopy.</t>
  </si>
  <si>
    <t>T1237K36</t>
  </si>
  <si>
    <t>305 Industrial Road</t>
  </si>
  <si>
    <t>Pride of San Juan, Inc.</t>
  </si>
  <si>
    <t>Caterpillar Model 3412 Diesel Internal Combustion Engine, Family No. 1CPXL27.OMRS, 1,250 BHp @ 1800 RPM, With Turbocharger and Aftercooler; And Caterpillar Model SR4B Generator, 800 KW Output.</t>
  </si>
  <si>
    <t>1275 San Justo Road</t>
  </si>
  <si>
    <t>San Juan Bautista</t>
  </si>
  <si>
    <t>Qwest Communications Corp.</t>
  </si>
  <si>
    <t>Onan Model 750 DFHA Power System, Serial #D000090790. Cummins Model QST30-G5 Diesel Engine, 1490 BHP @ 1800 RPM, With Quad Turbochargers and Aftercooler; And Generator, 750 KW.</t>
  </si>
  <si>
    <t>915-C Harkins Road</t>
  </si>
  <si>
    <t>Southern Monterey County Memorial Hospital</t>
  </si>
  <si>
    <t>Caterpillar Model 3406TA Diesel Engine, Serial #4ZR05473, 519 BHP @ 1800 RPM, With Turbocharger and Aftercooler; And Caterpillar Generator, Serial #8ER02527, 350 KW Output.</t>
  </si>
  <si>
    <t>300 Canal Street</t>
  </si>
  <si>
    <t>King City</t>
  </si>
  <si>
    <t>Well-Pict Berries Inc.</t>
  </si>
  <si>
    <t>Mitsubishi Model S12H-PTA Emergency IC Diesel Engine, Serial No. 30352, With Turbocharger and Aftercooler; And Marathon Electric Generator Model 575RSL4044, Serial No. 52817-0401, 1020 KW Continuous Output.</t>
  </si>
  <si>
    <t>209 Riverside Road</t>
  </si>
  <si>
    <t>California-America Water Company</t>
  </si>
  <si>
    <t>Kohler Model 500ROZD4 Power System, Serial #0708424. Detroit Diesel Model R0837K36 Diesel Engine, Serial# 5312001485, 765 BHP @1800 RPM, With Turbocharger and Aftercooler, And Generator, 500 KW Output.</t>
  </si>
  <si>
    <t>Schulte Well No. 2, 27539 Via Sereno</t>
  </si>
  <si>
    <t>Emergency standby engine, Cummins diesel engine, Model KTA50-G9, S/N 25270783, 2220 bhp, EPA Tier 1 certified of engine family number YCEXL050.ABA, equipped with turbocharger, aftercooler, driving a 1250 KW generator.</t>
  </si>
  <si>
    <t>8828 Complex Drive</t>
  </si>
  <si>
    <t>San Diego</t>
  </si>
  <si>
    <t>Agouron Pharmaceuticals</t>
  </si>
  <si>
    <t>Emergency standby engine, Detroit Diesel engine, Model 8V-S2000, 765 bhp, EPA Tier 1, equipped with turbocharger, aftercooler, driving a 500 kW generator.</t>
  </si>
  <si>
    <t>8V-S2000</t>
  </si>
  <si>
    <t>11095 Torrey Pines Road</t>
  </si>
  <si>
    <t>Jim Serbia</t>
  </si>
  <si>
    <t>Agouron/Pfizer</t>
  </si>
  <si>
    <t>Emergency standby engine, Detroit Diesel engine, Model R163-7K36, S/N 5362001744, 1495 bhp, turbocharged, driving a 1000 KW generator.</t>
  </si>
  <si>
    <t>10770 Science Center Drive</t>
  </si>
  <si>
    <t>Jim Condelles</t>
  </si>
  <si>
    <t>Emergency standby engine, Caterpillar diesel engine, Model 3512B, S/N CMC001146, 1807 bhp, EPA Tier 1 certified of engine family number 1CPXL58.6ERK, equipped with turbocharger, aftercooler, driving a 1250 KW generator.</t>
  </si>
  <si>
    <t>10724 Science Center Drive</t>
  </si>
  <si>
    <t>Diana M. Flynn</t>
  </si>
  <si>
    <t>Alaris Medical Systems</t>
  </si>
  <si>
    <t>Emergency standby engine, Model 3412, 1210 bhp, EPA Tier 1 certified of engine family number 1CPXL27.0MRS, equipped with turbocharger, aftercooler, driving an 800 kW generator.</t>
  </si>
  <si>
    <t>9190 Activity Rd.</t>
  </si>
  <si>
    <t>Jim Magnuson</t>
  </si>
  <si>
    <t>Applied Micro Circuits</t>
  </si>
  <si>
    <t>One (1) Detroit Diesel emergency engine generator Model 12V4000, S/N 1257969, 2200 hp (derated to 1650 hp), diesel fired, turbocharged, driving a 1125 kW (derated) generator.</t>
  </si>
  <si>
    <t>6290 Sequence Dr.</t>
  </si>
  <si>
    <t>Tom Conway</t>
  </si>
  <si>
    <t>One (1) Caterpillar Diesel emergency engine generator Model 3412B, 2155 hp (derated to 1616), diesel fired, turbocharged, driving a 1125 kW (derated) generator.</t>
  </si>
  <si>
    <t>3412B</t>
  </si>
  <si>
    <t>5502 Oberlin Dr.</t>
  </si>
  <si>
    <t>Avanir Pharmaceuticals Inc.</t>
  </si>
  <si>
    <t>Emergency standby engine, Detroit Diesel engine, Model 6063-TK35, 490 bhp, EPA Tier 1 certified of engine family 11DXL12.7VGD, equipped with turbocharger, driving a 300 KW generator.</t>
  </si>
  <si>
    <t>11388 Sorrento Valley Rd.</t>
  </si>
  <si>
    <t>Victoria Smith</t>
  </si>
  <si>
    <t>Bristol Myers Squibb</t>
  </si>
  <si>
    <t>Emergency standby engine, Detroit Diesel Model Series 60/6063-TK35, BHP rating 550 BHP, EPA Tier 1 certified of engine family number 1DDXL12.7VGD, equipped with turbocharger and driving a 355 KW generator.</t>
  </si>
  <si>
    <t>4570 Executive Dr.</t>
  </si>
  <si>
    <t>CA State Univ. at San Marcos</t>
  </si>
  <si>
    <t>Emergency standby engine, Detroit Diesel, Model 16V2000, G70 R163-7K35; S/N 5362001612, BHP rating 1200 HP, EPA Tier 1 certified engine family number YDDXL31.8XRE, turbocharged and aftercooled, driving a 800 KW generator.</t>
  </si>
  <si>
    <t>Building 37, 333 S. Twin Oaks Valley Rd.</t>
  </si>
  <si>
    <t>San Marcos</t>
  </si>
  <si>
    <t>Charles River Laboratories Transgenic Services</t>
  </si>
  <si>
    <t>Emergency standby engine, Caterpillar diesel engine, Model 3406, S/N 1LS01557, 519 bhp, turbocharged, aftercooled, driving a 350 KW generator.</t>
  </si>
  <si>
    <t>10792 Roselle Street</t>
  </si>
  <si>
    <t>Betty Austen</t>
  </si>
  <si>
    <t>Chase Manhattan Mortgage</t>
  </si>
  <si>
    <t>Emergency standby engine, Detroit Diesel engine, Model 12V2000, 910 bhp, EPA Tier 1 certified of engine family number 1DDXL31.8XRE, equipped with turbocharger, driving a 600 KW generator.</t>
  </si>
  <si>
    <t>11119 N. Torrey Pines</t>
  </si>
  <si>
    <t>Emergency standby engine: Caterpillar Model 3508B, 1502 bhp, turbocharged and aftercooled; CARB Executive Order U-R-1-134; EPA Engine Family 1CPXL34.5.ERK; Model year 2001.</t>
  </si>
  <si>
    <t>10790 Rancho Bernardo Road</t>
  </si>
  <si>
    <t>Carlos Ardila</t>
  </si>
  <si>
    <t>Cingular Wireless</t>
  </si>
  <si>
    <t>Emergency standby engine, Caterpillar Model 3456, BHP Rating 610 BHP, EPA/CARB Tier 1 certified engine family number 1CPXL15.8ESK, equipped with turbocharger and aftercooler and driving a 400 KW generator.</t>
  </si>
  <si>
    <t>9850 Distribution Ave.</t>
  </si>
  <si>
    <t>City of Chula Vista</t>
  </si>
  <si>
    <t>Emergency standby engine, Detroit Diesel Model 16V2000 G81; S/N 5362001548, BHP rating 1495 BHP, equipped with a turbocharger and aftercooler, driving a 1000 KW generator.</t>
  </si>
  <si>
    <t>16V2000G81</t>
  </si>
  <si>
    <t>1800 Maxwell Rd.</t>
  </si>
  <si>
    <t>Chula Vista</t>
  </si>
  <si>
    <t>City of Escondido-Hale Ave. Resource Recovery Facility</t>
  </si>
  <si>
    <t>Emergency standby engine, Cummins diesel engine, Model QST30-G5, S/N D010232821, 1490 bhp, turbocharged, aftercooled, driving a 1000 KW generator.</t>
  </si>
  <si>
    <t>1521 Hale Ave.</t>
  </si>
  <si>
    <t>Escondido</t>
  </si>
  <si>
    <t>Emergency standby engine, Cummins diesel engine, Model QST30-G5, S/N D010232822, 1490 bhp, turbocharged, aftercooled, driving a 1000 KW generator.</t>
  </si>
  <si>
    <t>Claritas Inc</t>
  </si>
  <si>
    <t>Emergency standby engine, Detroit Diesel engine, Model 6063-TK35, 550 bhp, EPA Tier 1 certified of engine family number 1DDXL12.7VGD, equipped with turbocharger, driving a 355 KW generator.</t>
  </si>
  <si>
    <t>5375 Mira Sorrento PL#400</t>
  </si>
  <si>
    <t>Patrick Higgins</t>
  </si>
  <si>
    <t>Deutsch Co ECD</t>
  </si>
  <si>
    <t>Emergency diesel engine: Caterpillar Model 3406C DITA, 519 bhp, turbocharged and aftercooled, S/N: ILSO1494</t>
  </si>
  <si>
    <t>250 Eddie Jones Way</t>
  </si>
  <si>
    <t>Oceanside</t>
  </si>
  <si>
    <t>Greg Brady</t>
  </si>
  <si>
    <t>Diversa Corporation</t>
  </si>
  <si>
    <t>Emergency standby engine, Detroit Diesel engine, Model 12V2000, 910 bhp, EPA Tier 1 certified of engine family number 1DDXL31.8XRE, equipped with turbocharger, intercooler, driving a 750 KW generator.</t>
  </si>
  <si>
    <t>4939 Directors Place</t>
  </si>
  <si>
    <t>Dow Chemical Co.</t>
  </si>
  <si>
    <t>Detroit Diesle Spectrum Model 12V2000/G81, BHP rating 1120 BHP, EPA family number 1DDXL31.8 XRE, equipped with turbocharger and intercooler and driving a 750 KW generator.</t>
  </si>
  <si>
    <t>5451 Oberlin Dr.</t>
  </si>
  <si>
    <t>Electronic Data Systems</t>
  </si>
  <si>
    <t>Emergency Engine: Caterpillar, Model No. 3406, diesel fired, turbocharged, 536 BHP, S/N 1LS01487 with a diesel particulate filter, driving a 400 kW electric generator.</t>
  </si>
  <si>
    <t>53560 Hull St.</t>
  </si>
  <si>
    <t>Scott Koons</t>
  </si>
  <si>
    <t>IC ENGINE, DETROIT DIESEL, MODEL 8163 7416, SERIAL NO. 3791E813, 1232 HP @1800 RPM, DIESEL FUELED, DRIVING AN EMERGENCY ELECTRICAL GENERATOR.</t>
  </si>
  <si>
    <t>Truxel &amp; Del Paso</t>
  </si>
  <si>
    <t>95834</t>
  </si>
  <si>
    <t>Robert Ferko</t>
  </si>
  <si>
    <t>(916) 446-3008</t>
  </si>
  <si>
    <t>APPLE COMPUTER</t>
  </si>
  <si>
    <t>DIESEL IC ENGINE, DETROIT DIESEL, MODEL NO. 06VF195245, SERIAL NO. 80637416, 474 BHP, RATED AT 300 KW, DRIVING EMERGENCY ELECTRIAL GENERATOR.</t>
  </si>
  <si>
    <t>06VFL95245</t>
  </si>
  <si>
    <t>2911 Laguna Blvd.</t>
  </si>
  <si>
    <t>Elk Grove</t>
  </si>
  <si>
    <t>95758</t>
  </si>
  <si>
    <t>Dan Agnos</t>
  </si>
  <si>
    <t>(916) 394-5188</t>
  </si>
  <si>
    <t>DIESEL IC ENGINE, DETROIT DIESEL, MDOEL NO. 6VF211594, SERIAL NO. 80637416, 474 BHP, RATED AT 300 KW, DRIVING EMERGENCY ELECTRICAL GENERATOR</t>
  </si>
  <si>
    <t>6VF211594</t>
  </si>
  <si>
    <t>2511 Laguna Blvd.</t>
  </si>
  <si>
    <t>DIESEL IC ENGINE, DETROIT DIESEL, MODEL NO. 08VF141982, SERIAL NO. 80837416, 643 BHP, RATED AT 400 KW, DRIVING EMERGENCY ELECTRICAL GENERATOR</t>
  </si>
  <si>
    <t>08VF141982</t>
  </si>
  <si>
    <t>IC ENGINE , DETROIT DIESEL, MODEL 8V2000G81 R083-7K06, SERIAL NO. 5312000278, 765 HP @1800 RPM, DIESEL FUELED, DRIVING AN EMERGENCY ELECTRICAL GENERATOR.</t>
  </si>
  <si>
    <t>IC ENGINE, DETROIT DIESEL, MODEL R1237K36, S.O. 968671, UNIT 5352000553, 1120 HP @1800 RPM, DIESEL FUELED, DRIVING AN EMERGENCY ELECTRICAL GENERATOR.</t>
  </si>
  <si>
    <t>R1237K36</t>
  </si>
  <si>
    <t>IC ENGINE, DETROIT DIESEL, MODEL R1237K36, S.O. 968671, UNIT 5352000556, 1120 HP @1800 RPM, DIESEL FUELED, DRIVING AN EMERGENCY ELECTRICAL GENERATOR.</t>
  </si>
  <si>
    <t>ARDEN FAIR</t>
  </si>
  <si>
    <t>INTERNAL COMBUSTION ENGINE, FOR EMERGENCY ELECTRICAL GENERATION, CATERPILLAR, MODEL 3406B DI, SERIAL NO. 4R600340, 534 BHP.</t>
  </si>
  <si>
    <t>1689 Arden Way</t>
  </si>
  <si>
    <t>95815</t>
  </si>
  <si>
    <t>Stan Bray</t>
  </si>
  <si>
    <t>(916) 920-4809</t>
  </si>
  <si>
    <t>IC ENGINE STANDBY, CATERPILLAR, MODEL 3512 DITASRB, SERIAL NO. 24027632, 1818 HP @1800 RPM, DIESEL FUELED, 1250 KW RATING, DRIVING AN EMERGENCY ELECTRICAL GENERATOR</t>
  </si>
  <si>
    <t>3512 DITA SRB</t>
  </si>
  <si>
    <t>4130 S. Market Court</t>
  </si>
  <si>
    <t>Jim Kirwan</t>
  </si>
  <si>
    <t>(916) 431-0619</t>
  </si>
  <si>
    <t>AT&amp;T WIRELESS</t>
  </si>
  <si>
    <t>DIESEL IC ENGINE, DETROIT DIESEL, MODEL NO. 12V-92TA-8123-7416, S/N 4394B544, 947 BHP, DRIVING EMERGENCY ELECTRICAL GENERATOR</t>
  </si>
  <si>
    <t>10030 Goethe Rd.</t>
  </si>
  <si>
    <t>95827</t>
  </si>
  <si>
    <t>Meriam Ernst</t>
  </si>
  <si>
    <t>(916) 843-1554</t>
  </si>
  <si>
    <t>IC ENGINE, CUMMINS, MODEL KTA38-G4, SERIAL NO. 33133972, 1490 HP@ 1800 RPM, DIESEL FUELED, DRIVING AN EMERGENCY ELECTRICAL GENERATOR</t>
  </si>
  <si>
    <t>10000 Goethe Rd.</t>
  </si>
  <si>
    <t>DIESEL IC ENGINE, CUMMINS, MODEL NO. KTA38-G2, S/N 33138251, 1200 BHP, DRIVING EMERGENCY ELECTRICAL GENERATOR</t>
  </si>
  <si>
    <t>10850 White Rock Rd.</t>
  </si>
  <si>
    <t>Steve Barnett</t>
  </si>
  <si>
    <t>(916) 861-9715</t>
  </si>
  <si>
    <t>BARCLAYS GLOBAL INVESTORS</t>
  </si>
  <si>
    <t>STANDBY IC ENGINE, CATERPILLAR, MODEL 3512 STD, SERIAL#24Z08825, 1818 HP, DIESEL FIRED, FOR EMERGENCY ELECTRICAL POWER GENERATION</t>
  </si>
  <si>
    <t>10815 Gold Center Dr.</t>
  </si>
  <si>
    <t>Ed Cannon</t>
  </si>
  <si>
    <t>(916) 463-6359</t>
  </si>
  <si>
    <t>STANDBY IC ENGINE, CATERPILLAR, MODEL 3512 STD, SERIAL#24Z08829, 1818 HP, DIESEL FIRED, FOR EMERGENCY ELECTRICAL POWER GENERATION</t>
  </si>
  <si>
    <t>BERGEN BRUNSWIG DRUG CO.</t>
  </si>
  <si>
    <t>DIESEL IC ENGINE, CATERPILLAR, MODEL NO.3406, S/N 4ZR02778, 519 BHP, DRIVING EMERGENCY ELECTRICAL GENERATOR</t>
  </si>
  <si>
    <t>1281 National Dr.</t>
  </si>
  <si>
    <t>Steve Drake</t>
  </si>
  <si>
    <t>(916) 928-0641</t>
  </si>
  <si>
    <t>CALPERS</t>
  </si>
  <si>
    <t>IC ENGINE STANDBY, CATERPILLAR, MODEL 3512B, 2172 HP @1800 RPM, 4-CYCLE, TURBOCHARGED, AFTERCOOLED, 3158 CU. IN. DISPLACEMENT, DIESEL FIRED, POWERING AN EMERGENCY ELECTRICAL GENERATOR.</t>
  </si>
  <si>
    <t>400 P St.</t>
  </si>
  <si>
    <t>95814</t>
  </si>
  <si>
    <t>Tracy Cavales</t>
  </si>
  <si>
    <t>(916) 326-3600</t>
  </si>
  <si>
    <t>CARDINAL DISTRIBUTION</t>
  </si>
  <si>
    <t>IC ENGINE STANDBY, CATERPILLAR, MODEL: 3406, SERIAL NO. 4PM00181, 587 HP @1800 RPM, DIESEL FUELED, DRIVING AN EMERGENCY ELECTRICAL GENERATOR.</t>
  </si>
  <si>
    <t>81 Blue Ravine Rd.</t>
  </si>
  <si>
    <t>Laura Riley</t>
  </si>
  <si>
    <t>(916) 985-5025</t>
  </si>
  <si>
    <t>CARDINAL HEALTH</t>
  </si>
  <si>
    <t>STANDBY IC ENGINE, DETROIT DIESEL, MODEL 7123-7406, 750 HP, DIESEL FIRED, FOR EMERGENCY ELECTRICAL POWER GENERATION</t>
  </si>
  <si>
    <t>3238 Dwight Rd.</t>
  </si>
  <si>
    <t>95832</t>
  </si>
  <si>
    <t>Darin Huddy</t>
  </si>
  <si>
    <t>(916) 394-3087</t>
  </si>
  <si>
    <t>CARMICHAEL WATER DISTRICT</t>
  </si>
  <si>
    <t>IC ENGINE, CUMMINS, MODEL NTA-855-G3, SERIAL NO. 30363181, 535 HP @1800 RPM, DIESEL FUELED, DRIVING AN EMERGENCY ELECTRICAL GENERATOR.</t>
  </si>
  <si>
    <t>NTA-855-G3</t>
  </si>
  <si>
    <t>Dewey &amp; Winding Way</t>
  </si>
  <si>
    <t>Carmichael</t>
  </si>
  <si>
    <t>95824</t>
  </si>
  <si>
    <t>Nick Tavalero</t>
  </si>
  <si>
    <t>(916) 869-9641</t>
  </si>
  <si>
    <t>CARSON ENERGY - SMUD</t>
  </si>
  <si>
    <t>DIESEL IC ENGINE, DETROIT DIESEL, MODEL #12V-92TA, ID# 12VF009718, 830 BHP, DRIVING EMERGENCY ELECTRICAL GENERATOR.</t>
  </si>
  <si>
    <t>8580 Laguna Station Rd.</t>
  </si>
  <si>
    <t>Jeff White</t>
  </si>
  <si>
    <t>(916) 394-2930</t>
  </si>
  <si>
    <t>CITIZEN'S TELECOMMUNICATIONS</t>
  </si>
  <si>
    <t>IC ENGINE, CUMMINS, MODEL QSX15-G9, SERIAL NO. 14004845, 755 HP @1800 RPM, DIESEL FUELED, DRIVING AN EMERGENCY ELECTRICAL GENERATOR.</t>
  </si>
  <si>
    <t>9260 Stockton Blvd.</t>
  </si>
  <si>
    <t>Perry Brushett</t>
  </si>
  <si>
    <t>(530) 547-2211</t>
  </si>
  <si>
    <t>CITRUS HEIGHTS IRRIGATION DISTRICT</t>
  </si>
  <si>
    <t>INTERNAL COMBUSTION ENGINE FOR EMERGENCY ELECTRICAL GENERATION, CATERPILLAR, MODEL 3408B, S/N 4RG1232, 519 BHP.</t>
  </si>
  <si>
    <t>6230 Sylvan Rd.</t>
  </si>
  <si>
    <t>Citrus Heights</t>
  </si>
  <si>
    <t>95610</t>
  </si>
  <si>
    <t>Brian Hensley</t>
  </si>
  <si>
    <t>(916) 725-6873</t>
  </si>
  <si>
    <t>CITY OF FOLSOM</t>
  </si>
  <si>
    <t>IC ENGINE STANDBY, DETROIT DIESEL ALLISON, MODEL 12V-71T, 7123-7305, SERIAL NO. 12VA36539, 575 HP @1800 RPM, 2-CYCLE, TURBO CHARGED, DIESEL, V-12, 852 CU. IN. DISPLACEMENT, DRIVING AN EMERGENCY ELECTRICAL GENERATOR</t>
  </si>
  <si>
    <t>Jim Bridges</t>
  </si>
  <si>
    <t>(916) 355-8339</t>
  </si>
  <si>
    <t>CITY OF GALT</t>
  </si>
  <si>
    <t>STANDBY IC ENGINE, DETROIT DIESEL, MODEL 8063-7416, 474 HP, DIESEL FIRED, FOR EMERGENCY ELECTRICAL POWER GENERATION</t>
  </si>
  <si>
    <t>10059 Twin Cities Rd.</t>
  </si>
  <si>
    <t>Galt</t>
  </si>
  <si>
    <t>95632</t>
  </si>
  <si>
    <t>Laurey Lorimer</t>
  </si>
  <si>
    <t>(209) 745-0575</t>
  </si>
  <si>
    <t>CITY OF SACRAMENTO</t>
  </si>
  <si>
    <t>DIESEL IC ENGINE, CUMMINS, MODEL NO. NTA855-G2, SERIAL NO. 30311108, 465 BHP, DRIVING EMERGENCY ELECTRICAL GENERATOR</t>
  </si>
  <si>
    <t>Various Location</t>
  </si>
  <si>
    <t>Clark Munkers</t>
  </si>
  <si>
    <t>(916) 264-5653</t>
  </si>
  <si>
    <t>INTERNAL COMBUSTION ENGINE, CUMMINS, MODEL NO. NTA-G1, SERIAL NO. 11962943, 465 BHP, DIESEL FIRED, DRIVING STANDBY ELECTRICAL GENERATOR</t>
  </si>
  <si>
    <t>NTA-G1</t>
  </si>
  <si>
    <t>Truxel Rd. &amp; Del Paso Rd.</t>
  </si>
  <si>
    <t>IC ENGINE STANDBY, DETROIT DIESEL, MODEL 80637416, SERIAL NO. 06VF175835, 474 HP @1800 RPM, 2-CYCLE, TURBOCHARGED, AFTERCOOLED, DIESEL, 552 CU. IN. DISPLACEMENT, DRIVIGN AN EMERGENCY ELECTRICAL GENERATOR.</t>
  </si>
  <si>
    <t>828 I St.</t>
  </si>
  <si>
    <t>Ron Olsen</t>
  </si>
  <si>
    <t>(916) 566-6477</t>
  </si>
  <si>
    <t>IC ENGINE, NON-ROAD, DETROIT DIESEL, MODEL 8083-7405, SERIAL NO. 08VF156256, 540 HP @1800 RPM, DIESEL FUELED, DRIVING AN EMERGENCY ELECTRICAL GENERATOR.</t>
  </si>
  <si>
    <t>IC ENGINE, NON-ROAD, DETROIT DIESEL, MODEL 8083-7405, SERIAL NO. 08VF161198, 540 HP @1800 RPM, DIESEL FUELED, DRIVING AN EMERGENCY ELECTRICAL GENERATOR.</t>
  </si>
  <si>
    <t>Emergency standby engine, Volvo Penta diesel engine, Model TAD1231GE, S/N 868791/136200904, 460 bhp, EPA Tier 1 certified, equipped with turbocharger, aftercooler, driving a 305 kW generator.</t>
  </si>
  <si>
    <t>TAD1231GE</t>
  </si>
  <si>
    <t>14145 Danielson Street</t>
  </si>
  <si>
    <t>Oliverhain Municipal Water Dist</t>
  </si>
  <si>
    <t>Emergency standby engine, Detroit Diesel, Model 8V2000-G81-R083-7K06, 765 BHP, diesel fired, equipped with turbocharger, S/N 5312001129, driving a 500 kW generator.</t>
  </si>
  <si>
    <t>7813 Camino Sin Puente</t>
  </si>
  <si>
    <t>Rancho Santa Fe</t>
  </si>
  <si>
    <t>Oliverhain Municipal Water Park</t>
  </si>
  <si>
    <t>One (1) Emergency Standby Engine, Cummins diesel engine, Model QST30-35, 1490 hp, equipped with turbocharger, aftercooler, and four (4) degrees timing retard, driving a 1000 KW generator (Onan Model 1000DFHD Diesel Generator set). EPA Certificate Number CEX-NR9-00-02.</t>
  </si>
  <si>
    <t>QST30-35</t>
  </si>
  <si>
    <t>16595 Dove Canyon Rd.</t>
  </si>
  <si>
    <t>Pacific Bell</t>
  </si>
  <si>
    <t>Caterpillar diesel engine Model 3516B, 2876 hp, turbocharged, aftercooled, CARB certified Family #YCPXL69OERK, S/N 7RNO1402</t>
  </si>
  <si>
    <t>1125 9th Avenue</t>
  </si>
  <si>
    <t>One John Deere Diesel emergency engine generator Model 6125H, 563 hp, diesel fired, turbocharged, aftercooled, S/N RG6125H012614 driving a 300 kW generator.</t>
  </si>
  <si>
    <t>6125H</t>
  </si>
  <si>
    <t>1670 Cactus Rd.</t>
  </si>
  <si>
    <t>San Ysidro</t>
  </si>
  <si>
    <t>Jerry Winter</t>
  </si>
  <si>
    <t>Pyxis Corporation</t>
  </si>
  <si>
    <t>Emergency standby engine, Detroit Diesel, Model 6063-TK35, 490 hp, equipped with turbocharger, driving a 300 kW generator.</t>
  </si>
  <si>
    <t>3750 Torrey View Court</t>
  </si>
  <si>
    <t>Michael Davis</t>
  </si>
  <si>
    <t>Renaissance Condominiums</t>
  </si>
  <si>
    <t>645 Front Street</t>
  </si>
  <si>
    <t>Rohr Inc</t>
  </si>
  <si>
    <t>Cummins diesel engine Model N14-G2, 535, turbocharger, aftercooler, S/N to be determined</t>
  </si>
  <si>
    <t>Greg Hannabarger</t>
  </si>
  <si>
    <t>San Diego Unified Port District</t>
  </si>
  <si>
    <t>Cummins diesel engine Model 350DFEG, 755 hp, turbocharged, aftercooled, S/N to be determined, EPA engine family CEX-NR9-00-01</t>
  </si>
  <si>
    <t>350DFEG</t>
  </si>
  <si>
    <t>Lindbergh Field Int'l Airport</t>
  </si>
  <si>
    <t>Larry McCauley</t>
  </si>
  <si>
    <t>Scripps Research Institute</t>
  </si>
  <si>
    <t>Emergency standby engine, Caterpillar diesel engine, Model 3412C, 749 bhp, EPA Tier 1 certified of engine family number 1CPXL27.0MRH, equipped with turbocharger, aftercooler, driving a 500 KW generator.</t>
  </si>
  <si>
    <t>3215 Merryfield Row</t>
  </si>
  <si>
    <t>Sequenom Corporation</t>
  </si>
  <si>
    <t>One Emergency Standby Engine: Mitsubishi diesel engine Model S12H-PTA, 1501 HP, turbocharged, S/N to be determined.</t>
  </si>
  <si>
    <t>S12H-PTA</t>
  </si>
  <si>
    <t>3595 John Hopkins Court</t>
  </si>
  <si>
    <t>Stephen Stilwell</t>
  </si>
  <si>
    <t>Sharp Chula Vista Medical Center</t>
  </si>
  <si>
    <t>Emergency standby engine: Cummins Model N14-G2, 535 bhp, s/n 12038530, turbocharged and aftercooled; CARB certified Family #CEX-NR7-00-16; EPA Family YCEXL0855AAA; Model year 2001.</t>
  </si>
  <si>
    <t>765 Medical Center Ct.</t>
  </si>
  <si>
    <t>Gary Rose</t>
  </si>
  <si>
    <t>Sparta Inc.</t>
  </si>
  <si>
    <t>Emergency standby engine, Volvo Penta diesel engine, Model TAD 1232GE, 514 bhp, turbocharged, aftercooled, driving a 350 KW generator.</t>
  </si>
  <si>
    <t>10540 Heater Ct.</t>
  </si>
  <si>
    <t>Gary Murrow</t>
  </si>
  <si>
    <t>Sun Microsystems</t>
  </si>
  <si>
    <t>Emergency standby engine, Caterpillar diesel engine, Model 3412C, 746 hp, EPA certified, equipped with turbocharger, aftercooled, driving a 500 kW generator.</t>
  </si>
  <si>
    <t>9525 Towne Centre Drive</t>
  </si>
  <si>
    <t>Emergency standby engine, Caterpillar diesel engine, Model 3406, 519 hp, EPA Tier 1 certified, equipped with turbocharger, aftercooler, driving a 350 kW generator.</t>
  </si>
  <si>
    <t>Sweetwater Authority</t>
  </si>
  <si>
    <t>Emergency standby engine, Detroit Diesel engine, Model 6063-TK35, S/N 06R0645040, 550 bhp, EPA Tier 1 certified of engine family number 1DDXL12.7VGD, equipped with turbocahrger, driving a 350 KW generator.</t>
  </si>
  <si>
    <t>100 Lakeview Avenue</t>
  </si>
  <si>
    <t>Bill Barsch</t>
  </si>
  <si>
    <t>SWVP Management Company Inc.</t>
  </si>
  <si>
    <t>Emergency standby engine, Caterpillar, diesel engine, Model 3406C, S/N 1LSO1678, 519 bhp, EPA Tier 1 certified of engine family number 1CPXL14.6MRJ, equipped with turbocharger, aftercooler, driving a 350 KW generator.</t>
  </si>
  <si>
    <t>525 B Street</t>
  </si>
  <si>
    <t>Taylor Woodrow Homes</t>
  </si>
  <si>
    <t>Emergency standby engine, Cummins diesel engine, Model N14-G2, 535 bhp, EPA Tier 1 certified of engine family number YCEXL0855AAA, equipped with turbocharger, aftercooler, driving a 350 KW generator.</t>
  </si>
  <si>
    <t>14799 Black Mountain Road</t>
  </si>
  <si>
    <t>Teleglobe Communication Corp.</t>
  </si>
  <si>
    <t>Emergency standby engine, Caterpillar diesel engine, Model 3516B DITA, 2885 bhp, EPA Tier 1 certified of engine family number 1CPXL78.1ERK, equipped with turbocharger, aftercooler, driving a 2000 KW generator.</t>
  </si>
  <si>
    <t>8827 Complex Drive</t>
  </si>
  <si>
    <t>The Sutherland Group Ltd.</t>
  </si>
  <si>
    <t>Emergency standby engine, Caterpillar diesel engine, Model 3406, S/N 1LS01582, 449 bhp, turbocharged, aftercooled, driving a 300 KW generator.</t>
  </si>
  <si>
    <t>9055 Balboa Ave.</t>
  </si>
  <si>
    <t>Triad Therapeutics Inc.</t>
  </si>
  <si>
    <t>9381 Judicial Drive</t>
  </si>
  <si>
    <t>Emergency standby engine, John Deere engine, Model 6081A, S/N RG 6081A129346, 347 bhp, EPA Tier 1 cetified, equipped with turbocharger, aftercooler, driving a 300 kW generator.</t>
  </si>
  <si>
    <t>9500 Gilman Drive</t>
  </si>
  <si>
    <t>La Jolla</t>
  </si>
  <si>
    <t>92093-0916</t>
  </si>
  <si>
    <t>Tom Moore</t>
  </si>
  <si>
    <t>Union Bank of California</t>
  </si>
  <si>
    <t>Emergency standby engine, Caterpillar diesel engine, Model 3406, 519 bhp, equipped with turbocharger, driving a 350 KW generator.</t>
  </si>
  <si>
    <t>8954 Rio San Diego Dr.</t>
  </si>
  <si>
    <t>Pam Schmidt</t>
  </si>
  <si>
    <t>Unisys Corporation</t>
  </si>
  <si>
    <t>Emergency Generator Caterpillar diesel engine Model 3516B, 3196 bhp, turbocharged, aftercooled.</t>
  </si>
  <si>
    <t>10850 Via Frontera</t>
  </si>
  <si>
    <t>Emergency Generator, Caterpillar diesel engine, Model 3516B, 3196 bhp, turbocharged, aftercooled, EPA family #1CPXL78.1ERK.</t>
  </si>
  <si>
    <t>Raymond M. Rice</t>
  </si>
  <si>
    <t>University of California San Diego</t>
  </si>
  <si>
    <t>Emergency standby engine, Caterpillar diesel engine, Model 3512B, 1807 bhp, EPA Tier 1 certified of engine family number 1DDXL31.8XRE, equipped with turbocharger, aftercooler driving a 1250 KW generator.</t>
  </si>
  <si>
    <t>Larry Oberti</t>
  </si>
  <si>
    <t>USMC Camp Pendleton</t>
  </si>
  <si>
    <t>Emergency standby engine, Cummins diesel engine, Model QSM11-G2, 470 bhp, EPA Tier 1 certified of engine family number 1CEXL0661 AAC, equipped with turbocharger, aftercooler, driving a 300 KW generator.</t>
  </si>
  <si>
    <t>Highbay Warehouse Air Station Building 23194</t>
  </si>
  <si>
    <t>Camp Pendleton</t>
  </si>
  <si>
    <t>Ass't Chief of Staff-Environmental Security</t>
  </si>
  <si>
    <t>Vical Inc.</t>
  </si>
  <si>
    <t>Emergency standby engine, Valley Detroit Diesel Allison diesel engine, Model 300DSE, 455 hp, driving a 300 kW generator.</t>
  </si>
  <si>
    <t>9373 Towne Centre Dr.</t>
  </si>
  <si>
    <t>Anita Green</t>
  </si>
  <si>
    <t>Vulcan Material Western Division</t>
  </si>
  <si>
    <t>One engine generator, Caterpillar diesel engine, Model D398, S/N 66B1076, 750 hp, equipped with turbocharger, aftercooler, and 4 degree retard, driving a 559 KW generator.</t>
  </si>
  <si>
    <t>3605 Dehesa Drive</t>
  </si>
  <si>
    <t>El Cajon</t>
  </si>
  <si>
    <t>Tony Varisco</t>
  </si>
  <si>
    <t>Watson Wyatt</t>
  </si>
  <si>
    <t>Emergency Generator Caterpillar diesel engine Model 3406 DITA, 587 hp, turbocharged, aftercooled, S/N to be determined.</t>
  </si>
  <si>
    <t>12544 High Bluff Drive</t>
  </si>
  <si>
    <t>Williams Communication LLC</t>
  </si>
  <si>
    <t>Emergency standby engine, Caterpillar diesel engine, Model 3406, 499 bhp, equipped with turbocharger, driving a 300 KW generator.</t>
  </si>
  <si>
    <t>Mesa Rock Road and N. Center City Parkway</t>
  </si>
  <si>
    <t>Andrew C. Livingston</t>
  </si>
  <si>
    <t>XO California Inc.</t>
  </si>
  <si>
    <t>Emergency standby engine, Caterpillar diesel engine, Model 3508B, 1480 hp, driving a 1000 KW generator.</t>
  </si>
  <si>
    <t>5771 Copley Drive</t>
  </si>
  <si>
    <t>Richard Carrillo</t>
  </si>
  <si>
    <t>BAE Systems</t>
  </si>
  <si>
    <t>Emergency standby engine, Detroit Diesel engine, Model R083-7K36, S/N 0734092, rated at 765 bhp, EPA certified of engine family number 2DDXL31.8XRE, equipped with turbocharger, driving a 510 KW generator.</t>
  </si>
  <si>
    <t>16250 Technology Place</t>
  </si>
  <si>
    <t>Van-Anh T. Le</t>
  </si>
  <si>
    <t>Buena Sanitation District</t>
  </si>
  <si>
    <t>Emergency Standby Engine: 765 BHP Detroit Diesel engine with turbocharging, aftercooling and a closed crankcase vent system, driving a 500 kW generator, Geenrator Set Model No. 8V2000--RO837K36</t>
  </si>
  <si>
    <t>2080 S. Melrose Dr.</t>
  </si>
  <si>
    <t>Vista</t>
  </si>
  <si>
    <t>Cancervax Corporation</t>
  </si>
  <si>
    <t>Emergency standby engine, Detroit Diesel Model 6063-TK35, EPA Family Number YDDXL-12.7VGD, 490 BHP rated power, equipped with a turbocharger driving an electric emergency generator rated at 300 kW.</t>
  </si>
  <si>
    <t>2110 Rutherford Rd.</t>
  </si>
  <si>
    <t>Emergency standby engine, Caterpillar diesel engine, Model 3508 DITA, 1480 bhp, EPA Tier 1 certified of engine family number 1CPXL15.8ESK, equipped with turbocharger, aftercooler, driving a 400 KW generator.</t>
  </si>
  <si>
    <t>Cymer Corporation</t>
  </si>
  <si>
    <t>Emergency standby engine, Detroit Diesel model 12V4000, 2200 hp, turbocharged, aftercooled, lean burn, EPA Certification No. 2DDXL65-OGTE, BARB Certification No. U-R-007-0074, year of manufacture: 2002, engine serial number to be determined; 1500 kW generator.</t>
  </si>
  <si>
    <t>17082 Thornmint Court</t>
  </si>
  <si>
    <t>Mark Schwartzel</t>
  </si>
  <si>
    <t>Department of the Navy</t>
  </si>
  <si>
    <t>Emergency standby engine, diesel powered. Make: Cummins, Model QSX15-G9, S/N TBD&lt; BHP rating 755 BHP, equipped with a turbocharger and aftercooler, retarded, driving a 450 KW generator.</t>
  </si>
  <si>
    <t>Building # 210723</t>
  </si>
  <si>
    <t>DPR Construction Inc.</t>
  </si>
  <si>
    <t>Emergency standby engine, diesel fueled. Make: Caterpillar. Model 3516B; S/N TBD, BHP rating 2881 BHP, equipped with a turbocharger, and aftercooler.  Driving a 2000 KW generator. EPA certified family number: 1CPXL78.1ERK and CARB: U-R-1-136.</t>
  </si>
  <si>
    <t>10675 John Jay Hopkins Dr.</t>
  </si>
  <si>
    <t>One (1) Emergency Standby Engine, Caterpillar diesel engines, Model 3412 TA, 1186 hp, equipped with a turbocharger and aftercooler, driving a 800 KW generator. Environmental Protection Agency (EPA) Certification No. 1CPX-NR9-01-23; California Air Resources Board (CARB) Certification No. U-R-1-158.</t>
  </si>
  <si>
    <t>Naval Station 32nd St., Bldg. No. 3418 Surface Navy Blvd.</t>
  </si>
  <si>
    <t xml:space="preserve">San Diego </t>
  </si>
  <si>
    <t>Madd J. Arresto</t>
  </si>
  <si>
    <t>Gateway</t>
  </si>
  <si>
    <t>Emergency standby engine, Caterpillar, Model 3512 B, S/N OCM 00170, EPA/CARB certified numbers: CPX-NR9-01-02, 1 CPXL58.6 ERK; BHP rating 2154.9 BHP, equipped with a turbocharger and aftercooler, driving a 1500 KW generator.</t>
  </si>
  <si>
    <t>14303 Gateway Place</t>
  </si>
  <si>
    <t>Poway</t>
  </si>
  <si>
    <t>Gateway Pacific</t>
  </si>
  <si>
    <t>Emergency standby engine, Detroit Diesel Model 12V4000; S/N 5262000951, BHP rating 2200 BHP, EPA certified, family number 1DDXL65.0XTE, equipped with a turbocharger and aftercooler, driving a 1500 KW generator.</t>
  </si>
  <si>
    <t xml:space="preserve">215 Fireside Dr. </t>
  </si>
  <si>
    <t>Good and Roberts</t>
  </si>
  <si>
    <t>Emergency standby engine, Detroit Diesel Spectrum MTU Model 400DSE, EPA certified number DDX-NR-01-06, S/N to be determined, BHP rating 635 BHP, equipped with a turbocharger, driving a 405 KW generator.</t>
  </si>
  <si>
    <t>400DSE</t>
  </si>
  <si>
    <t>1891 Rutherford Rd.</t>
  </si>
  <si>
    <t>Emergency standby engine, diesel fueled. Make: Caterpillar. Model 3412; S/N 81215486, BHP rating 1210 BHP, equipped with a turbocharger, and aftercooler. Driving a 750 KW generator. EPA certified family number: 1CPXL27.0MRS.</t>
  </si>
  <si>
    <t>2282 Faraday Ave.</t>
  </si>
  <si>
    <t>KSWB Inc.</t>
  </si>
  <si>
    <t>Emergency standby engine, diesel fueled. Make: Detroit Diesel. Model 6063-TK35; BHP rating 490 BHP, equipped with a turbocharger and aftercooler.  Driving a 300 KW generator. EPA certified family number: 2DDXL12.7VGD.</t>
  </si>
  <si>
    <t>12183 Hwy 94</t>
  </si>
  <si>
    <t>Spring Valley</t>
  </si>
  <si>
    <t>Level 3 Communications LLC</t>
  </si>
  <si>
    <t>Emergency standby engine, Caterpillar diesel engine, Model 3406TA, 449 bhp, EPA Tier 1 certified of engine family number 1CPXL14.6MRJ, equipped with turbocharger, aftercooler, driving a 300 KW generator.</t>
  </si>
  <si>
    <t>36549 Old Hwy 80</t>
  </si>
  <si>
    <t>Pine V alley</t>
  </si>
  <si>
    <t>Charles McKiever</t>
  </si>
  <si>
    <t>Emergency standby engine, Caterpillar diesel engine, Model 3406TA, 449 bhp, EPA certified of engine family number 1 CPXL14.6MRJ, equipped with turbocharger, aftercooler, driving a 300 KW generator.</t>
  </si>
  <si>
    <t>25480 Centre City Parkway</t>
  </si>
  <si>
    <t>Emergency standby engine, deisel fueled. Make: Detroit Diesel. Model 6063-TK35, S/N TBD, BHP rating 550 BHP, equipped with a turbocharger, and intercooler. Driving a 365 KW generator.</t>
  </si>
  <si>
    <t>151 Vista Village Dr.</t>
  </si>
  <si>
    <t>Medcell Biologics LLC</t>
  </si>
  <si>
    <t>Emergency standby engine, Detroit Diesel, Model 6063-TK35, S/N 06R0595491, rated at 550 bhp, EPA certified of engine family number 1DDEXL12.7VGD, equipped with turbocharger, driving a 350 KW generator.</t>
  </si>
  <si>
    <t>10150 Meanly Dr.</t>
  </si>
  <si>
    <t>Dennis Miller</t>
  </si>
  <si>
    <t>Nanogen Inc.</t>
  </si>
  <si>
    <t>Emergency standby engine, Detroit Diesel engine, Model 6063TK35, S/N 71122, rated at 490 bhp, EPA Tier 1 certified of engine family number 1DDXL12.7VGD, equipped with turbocharger, driving a 300 KW generator.</t>
  </si>
  <si>
    <t>10398 Pacific Center Court</t>
  </si>
  <si>
    <t>George Picone</t>
  </si>
  <si>
    <t>Navy Region Southwest</t>
  </si>
  <si>
    <t>Emergency standby engine, Cummins diesel engine, Model QSX15-G9, S/N J020424532, rated at 755 bhp, EPA Tier 1 certified of engine family number 1CEXl015.ABA, equipped with turbocharger, driving a 500 KW generator.</t>
  </si>
  <si>
    <t>Fleet ASW, Building 50</t>
  </si>
  <si>
    <t>Ros Majam</t>
  </si>
  <si>
    <t>Emergency standby engine, Cummins diesel engine, Model QSX15-G9, S/N J020403277, rated at 755 bhp, EPA Tier 1 certified of engine family number 1CEXl015.ABA, equipped with turbocharger, driving a 500 KW generator.</t>
  </si>
  <si>
    <t>Fleet ASW, Building 53</t>
  </si>
  <si>
    <t>Emergency standby engine, Caterpillar Model 3406 DITA BHP rating 519 BHP, equipped with turbocharger and aftercooled, driving a 350 KW generator</t>
  </si>
  <si>
    <t>7328 Trade St.</t>
  </si>
  <si>
    <t>Emergency standby engine, Caterpillar, Model 3512 B, S/N OCM 00170, California Air Resources Board (ARB)/Environmental Protection Agency (EPA) certified numbers: U-R-1-135, 1CPXL58.6 ERK, BHP rating 2172 BHP, equipped with a turbocharger and aftercooler, driving a 1500 KW generator.</t>
  </si>
  <si>
    <t>2225 Mission Avenue</t>
  </si>
  <si>
    <t>Emergency Engine: Caterpillar, Model 6412C DITA, 1186 BHP, diesel fired, turbocharged, aftercooled, driving an 800 kW electric generator.</t>
  </si>
  <si>
    <t>6412C DITA</t>
  </si>
  <si>
    <t>707 Stage Coach Lane</t>
  </si>
  <si>
    <t>Fallbrook</t>
  </si>
  <si>
    <t>Palomar Community College District</t>
  </si>
  <si>
    <t>Emergency standby engine, Cummins Natural Gas, Model GTA-855, S/N to be determined, BHP rating 330 BHP, turbocharged, aftercooled and retarded 4 degrees fuel injection; equipped with a 3-way catalytic converter brand Mine-X, and a closed loop air/fuel ratio controller brand Neutronics Mark IV. Driving a 330 kW generator.</t>
  </si>
  <si>
    <t>GTA855</t>
  </si>
  <si>
    <t>1140 W. Mission Rd.</t>
  </si>
  <si>
    <t>Park Place Homeowner Association</t>
  </si>
  <si>
    <t>Emergency standby engine, Cummins diesel engine, Model QSX15-G9, S/N  H020403271, rated at 755 bhp, EPA certified of engine family number YCEXL015.ABA, turbocharged, driving a 450 KW generator.</t>
  </si>
  <si>
    <t>700 W. Harbor Dr.</t>
  </si>
  <si>
    <t>San Diego City of Water Utilities</t>
  </si>
  <si>
    <t>Emergency standby engine: Caterpillar Model 3412 DITA, turbocharged, aftercooled, 913 hp, lean burn, Tier 1 EPA and CARB Non-Road Emission Certified.  Engine serial number and model year to be determined.</t>
  </si>
  <si>
    <t>1061 Catalina Blvd.</t>
  </si>
  <si>
    <t>San Diego Natural History Museum</t>
  </si>
  <si>
    <t>Emergency standby engine: Detroit Diesel Model R083-7K36, EPA Family Number 2DDXL31.8XRE; EPA Certification No. DDX-NR9-02-04, manufactured in 2000; 765 BHP.</t>
  </si>
  <si>
    <t>1788 El Prado</t>
  </si>
  <si>
    <t>San Diego Padres Baseball Club</t>
  </si>
  <si>
    <t>Emergency engine: Cummins Model QST30-G1, 1135 BHP, diesel fired, turbocharged, aftercooled, driving a 750 kW electric generator.</t>
  </si>
  <si>
    <t>100 Park Avenue</t>
  </si>
  <si>
    <t>SD State University</t>
  </si>
  <si>
    <t>Emergency standby engine, Detroit Diesel/MTU. Model 12V-2000 G81; S/N to be assigened, BHP rating 1120 BHP, Environmental Protection Agency (EPA) Tierl 1 certified engine family number YDDXL31.8XRE, equipped with a turbocharger, driving a 836 KW generator.</t>
  </si>
  <si>
    <t>12V-2000 G81</t>
  </si>
  <si>
    <t>5500 Campanile Dr.</t>
  </si>
  <si>
    <t>Treo Development, Kettner LLC</t>
  </si>
  <si>
    <t>Emergency standby engine, Cummins diesel engine, Model QSX15-G9, rated at 755 bhp, EPA Tier 1 certified of engine family number YCEXL015.ABA, equipped with turbocharger, aftercooler, driving a 450 KW generator.</t>
  </si>
  <si>
    <t>1240 India St.</t>
  </si>
  <si>
    <t>Emergency standby engine, Caterpillar Model 3412C, S/N to be assigened, BHP rating 823 BHP, EPA Tier 1 certified engine family number YCPXL27.0MRS, equipped with a turbocharger and aftercooler, driving a 550 KW generator.</t>
  </si>
  <si>
    <t>9500 Gilman Dr.</t>
  </si>
  <si>
    <t>Emergency standby engine: Caterpillar Model 3508B, 1480 hp, diesel fired, turbocharged, aftercooled, Engine Family 1CPXL34.5ERK; State of California Air Resources Board Executive Order U-R-1-134, serial number to be determined; generator 1000 kW.</t>
  </si>
  <si>
    <t>East Campus Utility Plant</t>
  </si>
  <si>
    <t>Emergency standby engine, Caterpillar diesel engine, Model 3508B DITA, rated at 1501 bhp, EPA certified of engine family number 1CPXL34.5ERK, equipped with turbocharger, aftercooler, driving a 1000 KW generator.</t>
  </si>
  <si>
    <t>Emergency standby engine: Detroit Diesel Model 16V2000 G81 R163-7K36, S/N 5362002136, turbocharged, aftercooled, 1495 hp, lean burn, engine manufactured April 20, 2002, diesel fired, engine drives Kohler 1020 KW generator, Model 1000ROZD-4, S/N 735731.</t>
  </si>
  <si>
    <t>5675 Marian Way</t>
  </si>
  <si>
    <t>Manion Roger</t>
  </si>
  <si>
    <t>US General Services Administration</t>
  </si>
  <si>
    <t>Emergency engine: Caterpillar, Model 3512, 1800 BHP, diesel fired, turbocharged, aftercooled, driving a 1250 kW electric generator.</t>
  </si>
  <si>
    <t>801 East San Ysidro Blvd.</t>
  </si>
  <si>
    <t>US Naval Hospital</t>
  </si>
  <si>
    <t>Emergency standby engine, diesel fueled, Make: Caterpillar. Model 3516B; S/N TBD, BHP rating 2847 BHP, equipped with a turbocharger and aftercooler. Driving a 2000 KW generator.</t>
  </si>
  <si>
    <t>34580 Powerhouse Rd.</t>
  </si>
  <si>
    <t>Emergency standby engine, Detroit Diesel engine, model 6063MK35, rated at 490 bhp, EPA certified of engine family number 2DDXL12.7VGD, equipped with turbocharger, aftercooler, driving a 300 KW generator.</t>
  </si>
  <si>
    <t>10390 Pacific Center Court</t>
  </si>
  <si>
    <t>Padre Dam Municipal Water District</t>
  </si>
  <si>
    <t>Emergency standby engine, diesel fueled. Make: Caterpillar. Model 3456; S/N: TBD, BHP rating 764 BHP, turbocharged and aftercooled.  Drives an electrical emergency generator rated at 500 kW.</t>
  </si>
  <si>
    <t>9120 Carlton Oaks Dr.</t>
  </si>
  <si>
    <t>Santee</t>
  </si>
  <si>
    <t>Frank Kowalski</t>
  </si>
  <si>
    <t>City of Oceanside</t>
  </si>
  <si>
    <t>Emergency standby engine, diesel fueled. Make: Caterpillar, Model 3512B; S/N: CMC00495, BHP rating 2198 BHP; turbocharged and aftercfooled. Drives an electrical emergency generator rated at 1,500 kW.</t>
  </si>
  <si>
    <t>3950 North River Road</t>
  </si>
  <si>
    <t>Sony Electronics Inc</t>
  </si>
  <si>
    <t>Emergency standby engine, Caterpillar diesel engine, Model 3456 ATAAC, rated at 764 bhp, EPA certified of engine family number 3CPXL15.8ESK, turbocharged, aftercooled, driving a 500 KW generator.</t>
  </si>
  <si>
    <t>16530 Via Esprillo</t>
  </si>
  <si>
    <t>Robert Dodds</t>
  </si>
  <si>
    <t>Oliverhain Municipal Water District</t>
  </si>
  <si>
    <t>An emergency electrical engine-generator set: One (1) 465 BHP  Cummins Diesel Engine, Model NTA 855 G2 with turbocharging and aftercooling, S/N 11517618, driving a Kohler generator, Model 200 ROZ271, S/N 252867, 300 kW.</t>
  </si>
  <si>
    <t>16106 4S Ranch Parkway</t>
  </si>
  <si>
    <t>George Briest</t>
  </si>
  <si>
    <t>Emergency standby engine, diesel fueled, Make: Caterpillar, model 3508B, serial no.: TBD, BHP rating 1,480 HP; turbocharged and aftercooled. Drives an electrical emergency generator rated at 1,000 kW.</t>
  </si>
  <si>
    <t>3368 Harding St.</t>
  </si>
  <si>
    <t>Emergency standby engine, diesel fueled. Make: Caterpillar, model 3412C, serial no.: TBD, BHP rating 1,186 hp, turbocharged and aftercooled. Drives an electrical emergency generator rated at 800 kW.</t>
  </si>
  <si>
    <t>234 Indiana St.</t>
  </si>
  <si>
    <t>Pfizer</t>
  </si>
  <si>
    <t>Emergency standby engine, diesel fueled. Make: Detroit Diesel. Model T123-7K36, serial no.: TBD, 2200 hp, turbocharged and aftercooled. Drives an electrical emergency generator rated at 1,500 kW.</t>
  </si>
  <si>
    <t>10777 Science Center Dr.</t>
  </si>
  <si>
    <t>Emergency standby engine, diesel fueled. Make: Detroit Diesel. Model T163-7K36, serial no.: TBD, 2935 hp, turbocharged and aftercooled. Drives an electrical emergency generator rated at 2,000 kW.</t>
  </si>
  <si>
    <t>Emergency standby engine, diesel fueled. Make: Detroit Diesel, model T163-7K36, serial no.: TBD, BHP rating 2935 hp, turbocharged and aftercooled. Drives an electricasl emergency generator rated at 2,000 kW.</t>
  </si>
  <si>
    <t>Lennar Intergulf LLC</t>
  </si>
  <si>
    <t>Emergency standby engine, Cummins diesel engine, Model QSX15-G9, rated at 755 bhp, turbocharged, driving a 500 KW generator.</t>
  </si>
  <si>
    <t>300 West Beech Street</t>
  </si>
  <si>
    <t>Joe Werner</t>
  </si>
  <si>
    <t>Emergency standby engine, Detroit Diesel engine, Model S60-4-Cycle, rated at 550 bhp, EPA certified of engine family number 3DDXL14.0VLD, turbocharged, driving a generator.</t>
  </si>
  <si>
    <t>950 Eastlake Parkway</t>
  </si>
  <si>
    <t>Jim Manion</t>
  </si>
  <si>
    <t>3030 Callan Road</t>
  </si>
  <si>
    <t>Joe Hess</t>
  </si>
  <si>
    <t>City of San Diego Metropolitan Wastewater Department</t>
  </si>
  <si>
    <t>Emergency standby engine, Cummins engine, fueled with natural gas, Model GTA28-G5, rated at 770 bhp, turbocharged, aftercooled, equipped with DLC catalytic converter model 2DC47, and Neutronic Mark V Dual Channel Air/ Fuel Ration Controller of CARB certificate #B-20-I-EO, driving a 480 KW generator.</t>
  </si>
  <si>
    <t>GTA28-G5</t>
  </si>
  <si>
    <t>4918 Harbor Drive #201</t>
  </si>
  <si>
    <t>Skyla Wallmann</t>
  </si>
  <si>
    <t>San Diego County Credit Union</t>
  </si>
  <si>
    <t>Emergency standby engine, Detroit Diesel engine, Model R123-7K36, rated at 1120 bhp, EPA certified of engine family number 2DDXL31.8XRE, turbocharged, driving a 750 KW generator.</t>
  </si>
  <si>
    <t>6545 Sequence Drive</t>
  </si>
  <si>
    <t>Dick Platt</t>
  </si>
  <si>
    <t>AT&amp;T Jamesburg Earth Station</t>
  </si>
  <si>
    <t>Caterpillar Model 3508 Diesel Engine, S/N 6NA03319, With Turbocharger Aftercooler, And Four Degree Injection Timing Retardation Below Top Dead Center, 1220 BHp @ 1800 RPM, With Caterpillar Generator, 820 KW Output</t>
  </si>
  <si>
    <t>EMERGENCY ENGINE: CUMMINS, MODEL HX80, DIESEL FIRED, 1490 BHP, TURBOCHARGED, AFTERCOOLED, S/N H990703031, DRIVING AN ELECTRIC GENERATOR, ONAN, 1000 KW.</t>
  </si>
  <si>
    <t>HX80</t>
  </si>
  <si>
    <t>2484 GROVE AV</t>
  </si>
  <si>
    <t>SD CITY OF METROPOLITAN WASTEWATER DEPT</t>
  </si>
  <si>
    <t>EMERGENCY ENGINE, CATERPILLAR MODEL 3508TA, 1175 BHP, S/N 6NA00905, DIESEL FUEL, DRIVES GENERATOR. 972315AFS04NOV1998</t>
  </si>
  <si>
    <t>20101 LAKE DR</t>
  </si>
  <si>
    <t>SD CITY OF MWWD SOUTH BAY</t>
  </si>
  <si>
    <t>EMERGENCY ENGINE: CATERPILLAR, MODEL 3516B, DIESEL FIRED, 2876 BHP, S/N 024679, DRIVING AN ELECTRIC GENERATOR.</t>
  </si>
  <si>
    <t>2411 DAIRY MART RD</t>
  </si>
  <si>
    <t>SD CITY OF POLICE DEPT</t>
  </si>
  <si>
    <t>EMERGENCY DIESEL ENGINE GENERATOR SET, CATERPILLAR MODEL 3508 TA,1096 BHP, 750 KW, USING NO. 2 DIESEL FUEL.</t>
  </si>
  <si>
    <t>1401 BROADWAY</t>
  </si>
  <si>
    <t>(619) 236-6803</t>
  </si>
  <si>
    <t>SD CITY OF POLICE DEPT SE DIV</t>
  </si>
  <si>
    <t>CATERPILLAR DIESEL ENGINE MODEL 3406 DI, 830 BHP, S/N 2WB01410.</t>
  </si>
  <si>
    <t>7222 SKYLINE DR</t>
  </si>
  <si>
    <t>SD CITY OF PT LOMA WASTEWATER TREATMENT PLANT</t>
  </si>
  <si>
    <t>EMERGENCY ENGINE, CATERPILLAR MODEL 3512B, 2200 HP, S/N 6WN00136 GENERATOR, 1500 KW.</t>
  </si>
  <si>
    <t>1902 GATCHELL RD</t>
  </si>
  <si>
    <t>SD CITY OF WATER DEPARTMENT</t>
  </si>
  <si>
    <t>EMERGENCY GENERATOR: CATERPILLAR MODEL 3412, RATED 890 HP AT 600 KW, WITH TURBOCHARGE AND AFTERCOOLING, DIESEL OIL FIRED, S/N 21676.</t>
  </si>
  <si>
    <t>EMERGENCY ENGINE GENERATOR: 1495 HORSEPOWER DETROIT DIESEL ENGINE MODEL R1637KOG, SERIAL NUMBER 5362000612. GDS 974402 2/00</t>
  </si>
  <si>
    <t>R1637KOG</t>
  </si>
  <si>
    <t>5540 KIOWA DR</t>
  </si>
  <si>
    <t>(619) 668-2016</t>
  </si>
  <si>
    <t>DETROIT DIESEL MODEL 606 3TK, 550 BHP, S/N 06R0471223. 974290AFS07DEC1999</t>
  </si>
  <si>
    <t>606 3TK</t>
  </si>
  <si>
    <t>EMERGENCY STANDBY ENGINE: DMT MODEL DMT500C2, S/N 203226, 778 BHP, DIESEL FUELED.</t>
  </si>
  <si>
    <t>DMT</t>
  </si>
  <si>
    <t>DMT500C2</t>
  </si>
  <si>
    <t>1061 CATALINA BL PORTABLE</t>
  </si>
  <si>
    <t>SD CITY OF WATER MIRAMAR FILTER PLT</t>
  </si>
  <si>
    <t>EMERGENCY GENERATOR SET: DIESEL ENGINE (860 HP), CATERPILLAR, MODEL D398, S/N 66B1822; CRANKCASE VENT FILTER, AMERICAN AIR FILTER, DYNAPURE, MODEL A-1; GENERATOR, KATO, 500 KW (APPL #891091/CW) 0993</t>
  </si>
  <si>
    <t>10710 SCRIPPS LAKE DR</t>
  </si>
  <si>
    <t>(858) 578-9760</t>
  </si>
  <si>
    <t>SD CO OF</t>
  </si>
  <si>
    <t>EMERGENCY ENGINE: DETROIT DIESEL, MODEL NO. 8V2000G81, DIESEL FIRED, 765 BHP, S/N 5312000811, DRIVING AN ELECTRIC GENERATOR.</t>
  </si>
  <si>
    <t>8V2000G81</t>
  </si>
  <si>
    <t>957 FOREST GATE RD</t>
  </si>
  <si>
    <t xml:space="preserve"> CAMPO </t>
  </si>
  <si>
    <t>SD CO OF CENTRAL JAIL</t>
  </si>
  <si>
    <t>ONE (1) CAT EMERGENCY ENGINE GENERATOR SET, MODEL 3508TA, 1106HP, DIESEL FIRED, S/N: 23Z06278, TURBOCHARGED AND AFTERCOOLED, DRIVING A CAT GENERATOR MODEL SR4B, S/N: 1BN00543, 750 KW. 941091 EFH (3/98)</t>
  </si>
  <si>
    <t>1173 FRONT ST</t>
  </si>
  <si>
    <t>(619) 531-4026</t>
  </si>
  <si>
    <t>ONE (1) CAT EMERGENCY ENGINE GENERATOR SET, MODEL D3508TA, 1106 HP, DIESEL FIRED, S/N:23Z06271, TURBOCHARGED AND AFTERCOOLED, DRIVING A CAT GENERATOR MODEL SR4B, S/N:1BN00542,750KW. 941092 EFH (3/98)</t>
  </si>
  <si>
    <t>D3508 TA</t>
  </si>
  <si>
    <t>SD CO OF DPW SPRING VALLEY SANITATION DISTRICT</t>
  </si>
  <si>
    <t>EMERGENCY GENERATOR, ONAN, CUMMINS ENGINE MODEL VTA 28-G1, RATED 760 HP AT 500 KW, DIESEL OIL FIRED, S/N C870880761</t>
  </si>
  <si>
    <t>SINGER LN W OF HY 94</t>
  </si>
  <si>
    <t>SPRING VALLEY</t>
  </si>
  <si>
    <t>SD CO OF E MESA DETENTION FAC</t>
  </si>
  <si>
    <t>EMERGENCY ENGINE GENERATOR, 1106 HP, CAT DIESEL ENGINE, MODEL 3508, S/N 23Z07418, TURBOCHARGED AND AFTERCOOLED.</t>
  </si>
  <si>
    <t>446 ALTA RD</t>
  </si>
  <si>
    <t>(619) 661-2883</t>
  </si>
  <si>
    <t>I/C EMERGENCY ENGINE GENERATOR; CAT MODEL D3508 S/N 23Z0380; TURBOCHARGED DIESEL FUEL-FIRED; 1100 BHP; AFTERCOOLED; 900044 EFH 03/12/91</t>
  </si>
  <si>
    <t>D3508</t>
  </si>
  <si>
    <t>I/C EMERGENCY ENGINE GENERATOR; CAT MODEL D3508; S/N 23Z03085 TURBOCHARGED DIESEL FUEL-FIRED; AFTERCOOLED; 1100 BHP. 900045 EFH 03/12/91</t>
  </si>
  <si>
    <t>SD CO OF EDGEMOOR GERIATRIC HOSP</t>
  </si>
  <si>
    <t>ONE EMERGENCY ENGINE GENERATOR: CAT DIESEL ENGINE MODEL 3406B DI, 520 HP, S/N 4RG01420, CAT GENERATOR, 350 KW @1800 RPM EQUIPPED WITH TURBOCHARGING AND AFTERCOOLING. 910758 EFH 02/26/90</t>
  </si>
  <si>
    <t>9065 EDGEMOOR DR</t>
  </si>
  <si>
    <t>(619) 258-3017</t>
  </si>
  <si>
    <t>SD CO OF FACILITIES SERVICES DIVISION</t>
  </si>
  <si>
    <t>ONE (1) EMERGENCY ENGINE GENERATOR SET: DETROIT DIESEL ENGINE, MODEL 81637416, S/N 16VF013324, 1232 HP, TURBOCHARGED AND AFTERCOOLED, EQUIPPED WITH A DETROIT DIESEL(SPECTRUM) GENERATOR, MODEL 750DS60, 750 KW</t>
  </si>
  <si>
    <t>330 BROADWAY W</t>
  </si>
  <si>
    <t>SD CO OF GEN SVCS</t>
  </si>
  <si>
    <t>CATERPILLAR DIESEL ENGINE MODEL 3512, 1818 BHP, TURBOCHARGED &amp; AFTERCOOLED</t>
  </si>
  <si>
    <t>325 MELROSE DR S</t>
  </si>
  <si>
    <t>EMERGENCY ENGINE GENERATOR: 1115 HORSEPOWER CATERPILLAR MODEL D399 DIESEL</t>
  </si>
  <si>
    <t>ONE (1) EMERGENCY ENGINE GENERATOR SET, MFR: CATERPILLAR, MODEL: 3408DI, S/N: 78Z01426, 544 BHP, DIESEL-FIRED, EQUIPPED WITH TURBOCHARGING.</t>
  </si>
  <si>
    <t>220 BROADWAY W</t>
  </si>
  <si>
    <t>(858) 694-2398</t>
  </si>
  <si>
    <t>EMERGENCY ENGINE GENERATOR: 643 HP DETROIT DIESEL MODEL 8V-92TTA S/N 388643, KOHLER GENERATOR MODEL 400ROZD. (BLDG 19)</t>
  </si>
  <si>
    <t>5555 OVERLAND AV BLDG 10</t>
  </si>
  <si>
    <t>EMERGENCY ENGINE GENERATOR: 643 HP DETROIT DIESEL MODEL 8V92TTA DIESEL ENGINE, S/N 388644, KOHLER GENERATOR MODEL 400ROZD. 972265 GDS 08-FEB-1999</t>
  </si>
  <si>
    <t>DETROIT DIESEL MODEL 300ROZD, 474 HP, S/N 06VF221050 (ENGINE), S/N 606149 (ALTERNATOR), 300 KW. 974644AFS24FEB2000</t>
  </si>
  <si>
    <t>300ROZD</t>
  </si>
  <si>
    <t>SD CO OF GEN SVCS DEPT OF</t>
  </si>
  <si>
    <t>CATERPILLAR MODEL 3406B, S/N 4RG01048, EMERGENCY GENERATOR RATED AT 520 HP AND 365 KW CONTAINING TURBOCHARGING AND AFTERCOOLING.</t>
  </si>
  <si>
    <t>2801 MEADOWLARK DR</t>
  </si>
  <si>
    <t>(858) 467-9168</t>
  </si>
  <si>
    <t>SD CO OF GEN SVCS EL CAJON CT HSE</t>
  </si>
  <si>
    <t>IC ENGINE: D349 CATERPILLER DIESEL ENG., 1000 HP, S/N 61P1319 DRIVES 1100KW GENERATOR (ENGINE-EMERGENCY GENERATOR SET)</t>
  </si>
  <si>
    <t>250 MAIN ST E</t>
  </si>
  <si>
    <t>CUMMINS ENGINE/GENERATOR SET: ENGINE MODEL KTA19-G4, GENERATOR MODEL 500 DFED, GSN 1990992837, DIESEL FIRED, TURBOCHARED, AFTERCOOLED, 755 HP.</t>
  </si>
  <si>
    <t>SD CO OF GEN SVCS S BAY REGIONAL CTR</t>
  </si>
  <si>
    <t>Integrated Device Technology, Inc.</t>
  </si>
  <si>
    <t>7745A</t>
  </si>
  <si>
    <t>Cummins Model VTA28-G5 Diesel Engine, Serial #E9685230, 900 BHp @ 1800 RPM, With Turbocharger, Aftercooler, And -0.0735 Retard Timing; And Cummins/Onan Model 600DFGB Generator, Serial #I940556322, 600 KW Outpu.</t>
  </si>
  <si>
    <t>1566 Moffett Street</t>
  </si>
  <si>
    <t>93905</t>
  </si>
  <si>
    <t>Monterey Bay Aquarium</t>
  </si>
  <si>
    <t>7469A</t>
  </si>
  <si>
    <t>Caterpillar Model 3516 DITA Diesel Engine, Serial Serial #25Z03755, 2168 BHp @ 1800 RPM, Equipped with Quad Turbochargers &amp; Aftercoolers, Positive Crankcase Ventilation, And Factory Set Injection Timing Retardation of Four Degrees Below Top Dead Center; And Caterpillar Model SR-4 Generator, Serial #6AA01785, 1500 KW Output.</t>
  </si>
  <si>
    <t>886 Cannery Row</t>
  </si>
  <si>
    <t>93940</t>
  </si>
  <si>
    <t>Monterey Regional Water Pollution Control Agency</t>
  </si>
  <si>
    <t>7898A</t>
  </si>
  <si>
    <t>Caterpillar Model 3512 Diesel Engine, Serial #24Z02827, 1636 BHp @ 1800 RPM, With Turbocharger and Aftercooler; And Caterpillar Generator, Serial #GPA01236, 1,100 KW Output</t>
  </si>
  <si>
    <t>14811 Del Monte Blvd.</t>
  </si>
  <si>
    <t xml:space="preserve"> Marina</t>
  </si>
  <si>
    <t>93933</t>
  </si>
  <si>
    <t>Monterey Regional Water Pollution Control Agency- Chlorine Facility</t>
  </si>
  <si>
    <t>Caterpillar Model 3406 Diesel Internal Combustion Engine, Serial No. 4ZR01723, 449 BHp @ 1800 RPM, With Turbocharger and Aftercooler; And Caterpillar Model SR-4B Generator, Serial No. 9CR00763, 300 KW Output</t>
  </si>
  <si>
    <t>Chlorine Facility,  14811 Del Monte Blvd.</t>
  </si>
  <si>
    <t>MCI Worldcom</t>
  </si>
  <si>
    <t>Caterpillar Model 3512 Diesel Engine, 2172 BHp @ 1819 RPM, Serial #6WN00365, With Quad Turbochargers and Aftercooler; And Caterpillar Model SR4B Generator, Serial #7GM00696,  1500 KW Output</t>
  </si>
  <si>
    <t>514 Salinas Road</t>
  </si>
  <si>
    <t>Detroit Diesel Model 8163-7416 Diesel Engine, Serial #7A42783, 1232 BHp @ 1800 RPM, With Turbocharger, And Marathon Electric Company Generator, Model 750ROZD71, Serial #1CGM02079, 750 KW Output</t>
  </si>
  <si>
    <t>Wastewater Treatment and Reclamation Plant,  Influent Pump Station,  1/4 Mile West of Highway 1 on Carmel River</t>
  </si>
  <si>
    <t xml:space="preserve"> Carmel</t>
  </si>
  <si>
    <t>Soledad Correctional Training Facility</t>
  </si>
  <si>
    <t>8059A</t>
  </si>
  <si>
    <t>Caterpillar Model 3406C Diesel Engine, Serial #4PM00145, 449 BHp @ 1800 RPM, with Turbocharger, Aftercooler, &amp; Positive Crankcase Ventilation; and Caterpillar Model SR-4B Generator, Serial #4LM00517, 300 KW Output</t>
  </si>
  <si>
    <t>Wastewater Treatment Plant Headworks,  Highway 101</t>
  </si>
  <si>
    <t xml:space="preserve"> North of Soledad</t>
  </si>
  <si>
    <t>93960</t>
  </si>
  <si>
    <t>8277B</t>
  </si>
  <si>
    <t>Caterpillar Model 3516 DITA Diesel Engine, Serial #25Z04527, 2168 BHp @ 1800 RPM, With Quad Turbochargers &amp; Aftercoolers, Positive Crankcase Ventilation; And Caterpillar Model SR-4 Generator, Serial #2HN00503, 1500 KW Output</t>
  </si>
  <si>
    <t>Highway 101</t>
  </si>
  <si>
    <t>93960-0686</t>
  </si>
  <si>
    <t>Bob Lockwood (ext. 2442)</t>
  </si>
  <si>
    <t>(408) 678-3951</t>
  </si>
  <si>
    <t>8278B</t>
  </si>
  <si>
    <t>Caterpillar Model 3516 DITA Diesel Engine, Serial #25Z04529, 2168 BHp @ 1800 RPM, With Quad Turbochargers &amp; Aftercoolers, Positive Crankcase Ventilation; And Caterpillar Model SR-4 Generator, Serial #2HN00505, 1500 KW Output</t>
  </si>
  <si>
    <t>Hazel Hawkins Memorial Hospital</t>
  </si>
  <si>
    <t>Caterpillar Model SR-4 Electrical Generator Rated at 600 kW, Serial No. 6FA08160, Driven by a Caterpillar Model 3412 Diesel Engine, Serial No. 81Z13136, Equipped with Turbocharger and Aftercooler, Rated at 890 BHp @ 1800 RPM</t>
  </si>
  <si>
    <t>911 Sunset Dr.</t>
  </si>
  <si>
    <t xml:space="preserve"> Hollister</t>
  </si>
  <si>
    <t>95023</t>
  </si>
  <si>
    <t>Caterpillar Model SR-4 Electrical Generator Rated at 500 kW, Serial No. 5NA07349, Driven By a Caterpillar Model 3412 Diesel Engine, Serial No. 81Z11013, Equipped with Turbocharger and Aftercooler, Rated at 749 BHp @ 1800 RPM</t>
  </si>
  <si>
    <t>Salinas Valley State Prison</t>
  </si>
  <si>
    <t>Caterpillar Model 3408B Diesel Engine, Serial #78Z05312, 603 BHp @ 1800 RPM, With Turbocharger, Aftercooler, &amp; Positive Crankcase Ventilation; and Caterpillar Model SR-4 Generator, Serial #6DA03956, 400 KW Output. Serves Central Health Facility.</t>
  </si>
  <si>
    <t>Building 613,  Highway 101</t>
  </si>
  <si>
    <t xml:space="preserve"> Soledad</t>
  </si>
  <si>
    <t>93960-1020</t>
  </si>
  <si>
    <t>Dean Barchacky</t>
  </si>
  <si>
    <t>(831)678-5500 x5857</t>
  </si>
  <si>
    <t>Caterpillar Model 3408B Diesel Engine, Serial #78Z05313, 603 BHp @ 1800 RPM, With Turbocharger, Aftercooler, &amp; Positive Crankcase Ventilation; and Caterpillar Model SR-4 Generator, Serial #6DA03957, 400 KW Output. Serves Central Health Facility.</t>
  </si>
  <si>
    <t>Caterpillar Model 3516 DITA Diesel Engine, Serial #4XF00565, 2847 BHp @ 1800 RPM, With Twin Turbochargers and Aftercoolers, Positive Crankcase Ventilation, and Four Degree Injection Timing Retard; And Kato Engineering Generator, Serial #11129-01, 2000 KW Output.  Serves Main Site.</t>
  </si>
  <si>
    <t>Building 612,  Highway 101</t>
  </si>
  <si>
    <t>Caterpillar Model 3516 DITA Diesel Engine, Serial #4XF00564, 2847 BHp @ 1800 RPM, With Twin Turbochargers and Aftercoolers, Positive Crankcase Ventilation, and Four Degree Injection Timing Retard; And Kato Engineering Generator, Serial #11129-02, 2000 KW Output.  Serves Main Site.</t>
  </si>
  <si>
    <t>Salinas Valley Memorial Hospital</t>
  </si>
  <si>
    <t>7887A</t>
  </si>
  <si>
    <t>Detroit Diesel Model 8163-7305 Diesel Engine, Series 16V-92T, 960 BHp @ 1800 RPM, With Turbocharger; and Magna Max Generator, Model 573RSL2048A-P225W, Serial #3343446, 655 KW Output.</t>
  </si>
  <si>
    <t>Chiller Yard,  450 East Romie Lane</t>
  </si>
  <si>
    <t>Salinas</t>
  </si>
  <si>
    <t>7889A</t>
  </si>
  <si>
    <t>Kohler Model 750ROZD77 Power System, Serial #282639. Detroit Diesel Model 8083-7405 Diesel Engine, Series 16V-92TA, 1232 BHp @ 1800 RPM, With Twin Turbochargers &amp; Aftercoolers, And Positive Crankcase Ventilations; And Kohler Generator, Model 573RSL205 2BP, Serial #XD3798104, 750 KW Output.</t>
  </si>
  <si>
    <t>Loading Dock,  450 East Romie Lane</t>
  </si>
  <si>
    <t>Pebble Beach Co.- The Inn at Spanish Bay</t>
  </si>
  <si>
    <t>Caterpillar Model 3408 Diesel Engine, 603 BHp @ 1800 RPM, Serial #78Z02268, With Turbocharger and Aftercooler; and Caterpillar Model SR-4 Generator, Serial #6DA01278, 400 KW Output.</t>
  </si>
  <si>
    <t>The Inn at Spanish Bay,  2700 Seventeen Mile Drive</t>
  </si>
  <si>
    <t>Pebble Beach</t>
  </si>
  <si>
    <t>93953</t>
  </si>
  <si>
    <t>Pebble Beach Co.- The Lodge at Pebble Beach</t>
  </si>
  <si>
    <t>Caterpillar Model 3412 Diesel Engine, 896 BHp @ 1800 RPM, Serial #81Z20788, With Twin Turbochargers and Aftercooler; And Caterpillar Model SR-4B Generator, Serial #4SJ00908, 600 KW Output.</t>
  </si>
  <si>
    <t>The Lodge at Pebble Beach (Behind the Market) Seventeen Mile Drive (x Cypress Drive)</t>
  </si>
  <si>
    <t>Pebble Beach Co.</t>
  </si>
  <si>
    <t>5488 OVERLAND AV ELECT MAINT SHOP</t>
  </si>
  <si>
    <t>SEMPRA ENERGY</t>
  </si>
  <si>
    <t>EMERGENCY ENGINE: CATERPILLAR, MODEL 3512, DIESEL FIRED, 1482 BHP, S/N 24Z08202, DRIVING A 1000-KW ELECTRIC GENERATOR.</t>
  </si>
  <si>
    <t>10975 TECHNOLOGY PL</t>
  </si>
  <si>
    <t xml:space="preserve"> 92127-1811</t>
  </si>
  <si>
    <t>SENTRE PARTNERS</t>
  </si>
  <si>
    <t>EMERGENCY ENGINE GENERATOR: 650 HORSEPOWER CUMMINS MODEL KTA 1150-6 DIESEL ENGINE, SERIAL NUMBER 094775, 350 KW NEWAGE GENERATOR. 972429 GDS 3/99</t>
  </si>
  <si>
    <t>KTTA1150-G6</t>
  </si>
  <si>
    <t>101 BROADWAY W</t>
  </si>
  <si>
    <t>SHARP CABRILLO HOSPITAL</t>
  </si>
  <si>
    <t>EMERGENCY STANDBY ENGINE: CATERPILLAR MODEL 3412, S/N 81Z04009, DIESEL FUELED, PISTON ENGINE DRIVING A KATO MODEL 4P4-1300, S/N 91437, ELECTRICAL GENERATOR.</t>
  </si>
  <si>
    <t>3475 KENYON ST</t>
  </si>
  <si>
    <t>(619) 221-3400</t>
  </si>
  <si>
    <t>EMERGENCY STANDBY ENGINE: DETROIT DIESEL MODEL 91237300, S/N 12E002901, 1100 BHP, DIESEL FUELED.</t>
  </si>
  <si>
    <t>SHARP CHULA VISTA MEDICAL CENTER</t>
  </si>
  <si>
    <t>EMERGENCY GENERATOR-ENGINE SET: CATERPILLAR, MODEL NO. 3512, SERIAL NO. 24Z05681, 1482 HP, TURBOCHARGED AND AFTERCOOLED DIESEL ENGINE DRIVING A GENERATOR: KATO ENGINEERING, MODEL A224070006, 1025 KW, STANDBY A/C GENERATOR. (ADL 11/94, 930834).</t>
  </si>
  <si>
    <t>751 MEDICAL CENTER CT</t>
  </si>
  <si>
    <t>(619) 482-3610</t>
  </si>
  <si>
    <t>EMERGENCY GENERATOR-ENGINE SET: CATERPILLAR, MODEL NO. 3512, SERIAL NO. 24Z05670, 1482 HP, TURBOCHARGED AND AFTERCOOLED DIESEL ENGINE DRIVING A GENERATOR: KATO ENGINEERING, MODEL A224070006, 1025KW STANDBY A/C GENERATOR. (ADL 11/94 - 930835).</t>
  </si>
  <si>
    <t>EMERGENCY ELECTRICAL GENERATOR: KOHLER MODEL 400ROZD GENSET, S/N 280032, DETROIT DIESEL 643 HP, TURBOCHARGED DIESEL ENGINE</t>
  </si>
  <si>
    <t>SHARP DONALD N MEMORIAL COMM HOSP</t>
  </si>
  <si>
    <t>ONE (1) 3512 DITA CATERPILLAR DIESEL ENGINE, S/N 24Z03991 W/AFTERCOOLING, TURBOCHARGING, AND 4 DEG. TIMING RETARD, DRIVING A 1100 KW GENERATOR</t>
  </si>
  <si>
    <t>7901 FROST ST</t>
  </si>
  <si>
    <t>(858) 541-3354</t>
  </si>
  <si>
    <t>1592 HP CATERPILLAR DIESEL ENGINE, MDL 3512 DITA, S/N 24Z03995 W/AFTER-COOLING,TURBOCHARGING, AND 4 DEG. TIMING RETARD DRIVING A 1100 KW GENERATOR</t>
  </si>
  <si>
    <t>1592 HP CATERPILLAR DIESEL ENGINE, MODEL 3512 DITA, S/N 24Z03998, WITH TURBOCHARGING, AFTERCOOLING, AND 4 DEG. TIMING RETARD DRIVING A 1100KW</t>
  </si>
  <si>
    <t>(858) 541-3554</t>
  </si>
  <si>
    <t>SIDNEY KIMMEL CANCER CENTER</t>
  </si>
  <si>
    <t>SPECTRUM - DETROIT DIESEL MODEL 300DSE, 490 HP, S/N 67812.</t>
  </si>
  <si>
    <t>10865 ALTMAN ROW</t>
  </si>
  <si>
    <t>SILVERCREST RESIDENCE</t>
  </si>
  <si>
    <t>EMERGENCY ENGINE GENERATOR, CUMMINS ENGINE MODEL NTA855-G2, 465HP, S/N 960598164, ONAN GENERATOR MODEL 300DFCB, 300 KW.</t>
  </si>
  <si>
    <t>727 E ST</t>
  </si>
  <si>
    <t>SIMPLENET COMMUNICATIONS</t>
  </si>
  <si>
    <t>EMERGENCY ENGINE GENERATOR: 685 HP CUMMINS MODEL KTA19-G3, 450 KW, S/N 0193088DXS02, TURBOCHARGED, AFTERCOOLED.</t>
  </si>
  <si>
    <t>225 BROADWAY #P2 (GARAGE)</t>
  </si>
  <si>
    <t>SKYDESK</t>
  </si>
  <si>
    <t>EMERGENCY ENGINE GENERATOR, 519 HP CUMMINS DIESEL, MODEL 3406, S/N 4ZR06511</t>
  </si>
  <si>
    <t>6885 FLANDERS DR #G</t>
  </si>
  <si>
    <t>SKYEPHARMA INC</t>
  </si>
  <si>
    <t>EMERGENCY ENGINE-GENERATOR SET: DETROIT DIESEL ENGINE, MODEL 8V-92TA-8083-7405, S/N 8VF166795, 568 BHP; DRIVING A SPECTRUM GENERATOR, MODEL 350DS60, S/N 364571, 350 KW.</t>
  </si>
  <si>
    <t>10450 SCIENCE CENTER DR</t>
  </si>
  <si>
    <t>(858) 625-2424</t>
  </si>
  <si>
    <t>SM CONSOL FIRE PROTECTION DIST</t>
  </si>
  <si>
    <t>EMERGENCY ELECTRICAL GENERATOR-ENGINE SET: DETROIT DIESEL CO. MODEL 6V-92T 8063-7416, S/N 6VF-188999, 474 HP, TURBOCHARGED DIESEL ENGINE DRIVING A KOHLER MODEL 250ROZD ELECTRICAL GENERATOR. (ADL 8/93).</t>
  </si>
  <si>
    <t>2850 VIA ORANGE WY</t>
  </si>
  <si>
    <t>(619) 670-0500</t>
  </si>
  <si>
    <t>SOLAR TURBINES INC</t>
  </si>
  <si>
    <t>EMERGENCY ENGINE-GENERATOR SET: CATERPILLAR DIESEL ENGINE, MODEL 3406, S/N , 600 BHP, DRIVING A 400 KW GENERATOR.</t>
  </si>
  <si>
    <t>4200 RUFFIN RD</t>
  </si>
  <si>
    <t>SONY ELECTRONICS</t>
  </si>
  <si>
    <t>EMERGENCY STANDBY ENGINE: CATERPILLAR MODEL 3412, S/N 81Z20239, 736 BHP, DIESEL FUELED.</t>
  </si>
  <si>
    <t>16530 VIA ESPRILLO</t>
  </si>
  <si>
    <t>SONY ELECTRONICS INC</t>
  </si>
  <si>
    <t>EMERGENCY ENGINE GENERATOR; CAT MODEL 3412, 1500KW2000 BHP.</t>
  </si>
  <si>
    <t>16450 BERNARDO DR W</t>
  </si>
  <si>
    <t>(858) 942-3115</t>
  </si>
  <si>
    <t>EMERGENCY ENGINE GENERATOR: 1465 HP CATERPILLAR MODEL 3508B DIESEL ENGINE</t>
  </si>
  <si>
    <t>EMERGENCY ENGINE GENERATOR, 1129 HP CAT DIESEL ENGINE, MODEL 3412, S/N 2WJ00111, DRIVING A CAT GENERATOR, MODEL SR-4, S/N 7AJ00544.</t>
  </si>
  <si>
    <t>GENERATOR / I C ENGINE SET, STANDBY: CATERPILLAR MODEL 3412 TA, 892 BHP, DIESEL FUEL, COMPRESSION IGNITION; EMERGENCY ELECTRICAL GENERATOR SET RATED AT 600 KW (APPL #20047) 0683</t>
  </si>
  <si>
    <t>EMERGENCY ENGINE GENERATOR: 892 HORSEPOWER CATERPILLAR MODEL 3412 DIESEL ENGINE S/N 91Z01207. 960757 GDS 8/98</t>
  </si>
  <si>
    <t>EMERGENCY GENERATOR SET: DIESEL ENGINE (890 HP), CATERPILLAR, MODEL 3412 TA</t>
  </si>
  <si>
    <t>SONY MFG CO OF AMERICA</t>
  </si>
  <si>
    <t>ONE (1) 415 BHP CATERPILLAR DIESEL ENGINE DRIVES A 500 KW EMERGENCY GENERATOR; MODEL NO D343; S/N 62B10226</t>
  </si>
  <si>
    <t>D353</t>
  </si>
  <si>
    <t>16550 VIA ESPRILLO</t>
  </si>
  <si>
    <t>(858) 673-2628</t>
  </si>
  <si>
    <t>SORRENTO TOWERS NORTH</t>
  </si>
  <si>
    <t>EMERGENCY ENGINE GENERATOR: 500 HP LEROY SOMER MODEL DM2 300D DIESEL ENGINE, S/N 89236-1.</t>
  </si>
  <si>
    <t xml:space="preserve">Leroy Somer </t>
  </si>
  <si>
    <t>DM2 300D</t>
  </si>
  <si>
    <t>5355 MIRA SORRENTO PL</t>
  </si>
  <si>
    <t>EMERGENCY ENGINE GENERATOR: 500 HP LEROY SOMER MODEL DMT 300-D DIESEL ENGINE, S/N 89236-2.</t>
  </si>
  <si>
    <t>DMT 300D</t>
  </si>
  <si>
    <t>SOUTHERN CALIFORNIA EDISON</t>
  </si>
  <si>
    <t>EMERGENCY ENGINE GENERATOR SET: CUMMINS ENGINE MODEL: KTTA19-G2, 750 BHP @ 1800 RPM, S/N: 68022, EQUIPPED WITH TURBOCHARGING AND AFTERCOOLING. ONAN GE GENERATOR MODEL: 500 DFFB, S/N: H 920480736, 500KW,DIESEL FIRED.</t>
  </si>
  <si>
    <t>HY 101 NUCLEAR GEN STATION</t>
  </si>
  <si>
    <t xml:space="preserve"> SAN ONOFRE </t>
  </si>
  <si>
    <t>(949) 368-6651</t>
  </si>
  <si>
    <t>6670 BHP EMER. GEN SET: GM MODEL 645E4 CONSISTING OF ONE 2870 BHP AND ONE 3800 BHP DIESEL ENGINES, S/N 77-H1-1092 AND 77-H1-1028, SONGS NO. 2G002.</t>
  </si>
  <si>
    <t>645E4</t>
  </si>
  <si>
    <t>HY 101 NUC GEN STA BPC</t>
  </si>
  <si>
    <t>Art Kniesel</t>
  </si>
  <si>
    <t>(949) 368-1365</t>
  </si>
  <si>
    <t>6670 BHP EMER. GEN SET: GM MODEL 645E4 CONSISTING OF ONE 2870 BHP AND ONE 3800 BHP DIESEL ENGINES, S/N 77-H1-1124 AND 77-J1-1016, SONGS NO. 2G003.</t>
  </si>
  <si>
    <t>6670 BHP EMER. GEN SET: GM MODEL 645E4 CONSISTING OF ONE 2870 BHP AND ONE 3800 BHP DIESEL ENGINES, S/N 78-K1-1001 AND 78-J1-1056, SONGS NO. 3G002.</t>
  </si>
  <si>
    <t>6670 BHP EMER. GEN SET: GM MODEL 645E4 CONSISTING OF ONE 2870 BHP AND ONE 3800 BHP DIESEL ENGINES, S/N 78-K1-1025 AND 78-J1-1100, SONGS NO. 3G003.</t>
  </si>
  <si>
    <t>SOUTHWEST MARINE INC</t>
  </si>
  <si>
    <t>DIESEL ENGINE GENERATOR: 469 HORSEPOWER PRE 1983 GENERAL MOTORS DIESEL ENGINE MODEL 8-278A, SERIAL NUMBER 45038 WITH 350 KW GENERATOR ON AFDL DRYDOCK. 962000 GDS 10/99</t>
  </si>
  <si>
    <t>8-278A</t>
  </si>
  <si>
    <t>FOOT OF SAMPSON ST</t>
  </si>
  <si>
    <t>SOUTHWESTERN CABLE TV</t>
  </si>
  <si>
    <t>EMERGENCY ENGINE GENERATOR: 1135 BHP S/N: 97769-15 CUMMINS MODEL KTA38-G1 DIESEL ENGINE</t>
  </si>
  <si>
    <t>8949 WARE CT</t>
  </si>
  <si>
    <t>(858) 695-3320</t>
  </si>
  <si>
    <t>EMERGENCY ENGINE GENERATOR: 1135 HP CUMMINS MODEL KTA38-G3 DIESEL ENGINE</t>
  </si>
  <si>
    <t>SPACE &amp; NAVAL WARFARE SYSTEMS CTR</t>
  </si>
  <si>
    <t>EMERGENCY ENGINE/GENERATOR SET: KOHLER (360 KW), MODEL 433RSL4019, 350ROZD S/N 1EGM02571; ENGINE MFR: DETROIT DIESEL (568 HP), MODEL 80837405, 8V92TA S/N 08VF162690; CRANKCASE VENT FILTER: CRANKVENT (2 EACH)</t>
  </si>
  <si>
    <t>433RSL4019</t>
  </si>
  <si>
    <t>4297 PACIFIC HY BLDG 7</t>
  </si>
  <si>
    <t>(619) 553-1437</t>
  </si>
  <si>
    <t>EMERGENCY ENGINE/GENERATOR CATERPILLAR DIESEL FIRED MODEL 3412DITA, TURBOCHARGED &amp; AFTERCOOLED, S/N 81Z24624, 600 KW GENERATOR.</t>
  </si>
  <si>
    <t>2160 LAS PALMAS DR</t>
  </si>
  <si>
    <t>EMERGENCY ENGINE GENERATOR: 587 HORSEPOWER CATERPILLAR DIESEL ENGINE MODEL 3400 DITA, SERIAL NUMBER 04ZR00989 WITH A 400 KW GENERATOR.</t>
  </si>
  <si>
    <t>3730 FIFTH AV</t>
  </si>
  <si>
    <t>SWITCH &amp; DATA FACILITIES CO</t>
  </si>
  <si>
    <t>CATERPILLAR DIESEL ENGINE, MODEL 3412, 1109 BHP, S/N 2WJO5803.</t>
  </si>
  <si>
    <t>SYMPHONY TOWERS</t>
  </si>
  <si>
    <t>DIESEL ENGINE/EMERGENCY GENERATOR: ONE (1) CATERPILLAR MODEL 3408TA, V-8, 604 BHP MAXIMUM RATED POWER OUTPUT; EQUIPPED WITH DIRECT INJECTION, TURBOCHARGING, AFTERCOOLING; DRIVING A 400 KW, 60 HZ, 1800 RPM ELECTRICAL GENERATOR.</t>
  </si>
  <si>
    <t>750 B ST #3300</t>
  </si>
  <si>
    <t>(619) 231-7712</t>
  </si>
  <si>
    <t>SYSCO FOOD SERVICES OF SAN DIEGO</t>
  </si>
  <si>
    <t>EMERGENCY ENGINE GENERATOR, 1495 HP STEWART &amp; STEVENS DIESEL ENGINE MODEL 16V2000, S/N 300433-415217-01.</t>
  </si>
  <si>
    <t>Stewart &amp; Stevens</t>
  </si>
  <si>
    <t>12180 KIRKHAM RD</t>
  </si>
  <si>
    <t>TELEPACIFIC COMMUNICATIONS</t>
  </si>
  <si>
    <t>EMERGENCY STANDBY ENGINE: ONAN MODEL 750DFHA S/N 00097304, 1135 HP, TURBOCHARGED &amp; AFTERCOOLED. 975209AFS05JUL2000</t>
  </si>
  <si>
    <t>750DFHA</t>
  </si>
  <si>
    <t>6134 NANCY RIDGE DR</t>
  </si>
  <si>
    <t>THE SCRIPPS RESEARCH INST</t>
  </si>
  <si>
    <t>ONE (1) 1232 HP DETROIT DIESEL ENGINE, MODEL 8163-7416, S/N 16VF009700 WITH TURBOCHARGING &amp; AFTERCOOLING DRIVING A KOHLER MODEL 750ROZD EMERGENCY GENERATOR, 750 KW. (DIESEL FIRED)</t>
  </si>
  <si>
    <t>3545 JOHN JAY HOPKINS CT</t>
  </si>
  <si>
    <t>(858) 554-4501</t>
  </si>
  <si>
    <t>TIME WARNER TELECOMMUNICATIONS</t>
  </si>
  <si>
    <t>ONAN DIESEL GENERATOR SET MODEL 400 DFEB/KTA19-G2, S/N I000153591, 600 HP, TURBOCHARGED AND AFTERCOOLED. 975746AFS27NOV2000</t>
  </si>
  <si>
    <t>7888 OSTROW ST</t>
  </si>
  <si>
    <t>TRANSPORTATION MANAGEMENT CENTER</t>
  </si>
  <si>
    <t>EMERGENCY ENGINE GENERATOR: 947 HORSEPOWER DETROIT DIESEL ENGINE</t>
  </si>
  <si>
    <t>7183 OPPORTUNITY RD</t>
  </si>
  <si>
    <t>EMERGENCY ENGINE GENERTOR: 947 HORSEPOWER DETROIT DIESEL MODEL 12V92TA</t>
  </si>
  <si>
    <t>TREGA BIOSCIENCES INC</t>
  </si>
  <si>
    <t>EMERGENCY DIESEL ENGINE; MFR: KOHLER, MODEL 350R0ZD-71, S/N 217600, 474 BHP</t>
  </si>
  <si>
    <t>350R0ZD-71</t>
  </si>
  <si>
    <t>9880 CAMPUS POINT DR</t>
  </si>
  <si>
    <t>TRI CITY MEDICAL CENTER</t>
  </si>
  <si>
    <t>EMERGENCY GENERATOR-ENGINE SET: CATERPILLAR CO., MODEL 3512, S/N 24Z04975, 1482 HP, TURBOCHARGED AND AFTERCOOLED DIESEL ENGINE DRIVING A STANDBY ELECTRICAL GENERATOR.</t>
  </si>
  <si>
    <t>4002 VISTA WY</t>
  </si>
  <si>
    <t>(760) 940-7218</t>
  </si>
  <si>
    <t>EMERGENCY GENERATOR: CUMMINS MODEL VTA-28-G2, RATED 900 HP AT 600 KW, WITH TURBOCHARGE AND AFTERCOOLING, DIESEL OIL FIRED, S/N 37109269.</t>
  </si>
  <si>
    <t>EMERGENCY ENGINE GENERATOR, 536 HP CUMMINS DIESEL ENGINE, MODEL VT12-700-GS</t>
  </si>
  <si>
    <t>VT12-700-GS</t>
  </si>
  <si>
    <t>EMERGENCY ENGINE GENERATOR, 536 HORSEPOWER CUMMINS DIESEL ENGINE MODEL</t>
  </si>
  <si>
    <t>UCSD</t>
  </si>
  <si>
    <t>EMERGENCY ENGINE: CATERPILLAR, MODEL 3516 STD, DIESEL FIRED, 2168 BHP, S/N 25Z03869, DRIVING AN ELECTRIC GENERATOR, LOCATED IN CENTRAL UTILITIES.</t>
  </si>
  <si>
    <t>3516 STD</t>
  </si>
  <si>
    <t>9500 GILMAN DR</t>
  </si>
  <si>
    <t xml:space="preserve"> 92093-0920</t>
  </si>
  <si>
    <t>Oberti, Larry</t>
  </si>
  <si>
    <t>(858) 534-1065</t>
  </si>
  <si>
    <t>EMERGENCY ENGINE: CATERPILLAR, MODEL 3516 STD, DIESEL FIRED, 2168 BHP, S/N 25Z03870, DRIVING AN ELECTRIC GENERATOR, LOCATED IN CENTRAL UTILITIES. (ALC 972353 11/98)</t>
  </si>
  <si>
    <t>EMERGENCY ENGINE: CATERPILLAR, MODEL 3512 DITA, DIESEL FIRED, 1447 BHP, S/N 24Z05267, DRIVING AN ELECTRIC GENERATOR, LOCATED IN RECREACTIONAL INTRAMURAL ATHLETIC CENTER.</t>
  </si>
  <si>
    <t>EMERGENCY ENGINE: CATERPILLAR, MODEL 3412 DITA, DIESEL FIRED, 890 BHP, S/N 81Z15164, DRIVING AN ELECTRIC GENERATOR, LOCATED IN ENG. BLDG. 2.</t>
  </si>
  <si>
    <t>EMERGENCY ENGINE: CATERPILLAR, MODEL 3412 DITA, DIESEL FIRED, 890 BHP, S/N 81Z15213, DRIVING AN ELECTRIC GENERATOR, LOCATED IN CENTER FOR MOLECULAR MEDICINE - EAST.</t>
  </si>
  <si>
    <t>EMERGENCY ENGINE: CATERPILLAR, MODEL 3412 DITA, DIESEL FIRED, 890 BHP, S/N 81Z15216, DRIVING AN ELECTRIC GENERATOR, LOCATED IN CENTER FOR MOLECULAR MEDICINE - EAST.</t>
  </si>
  <si>
    <t>EMERGENCY ENGINE: CATERPILLAR, MODEL 3412 DIT DRY, DIESEL FIRED, 749 BHP, S/N 81Z18353, DRIVING AN ELECTRIC GENERATOR, LOCATED IN SERF.</t>
  </si>
  <si>
    <t>EMERGENCY ENGINE: CATERPILLAR, MODEL SRY 3406, DIESEL FIRED, 587 BHP, S/N 4RC01129, DRIVING AN ELECTRIC GENERATOR, LOCATED IN CLINICAL SCIENCES BLDG.</t>
  </si>
  <si>
    <t>ONE (1) EMERGENCY ENGINE GENERATOR SET; CAT DIESEL ENGINE, 449 BHP, MODEL 3406, S/N: APM00147, TURBOCHARGED AND AFTERCOOLED, DRIVING A CAT GENERATOR 300 KW, S/N 4LM0D519. APPL# 941052 EFH 9/96</t>
  </si>
  <si>
    <t>EMERGENCY ENGINE, CUMMINS MODEL NTA 855-G5, S/N 41111, DIESEL FIRED, 605 BHP, LOCATED AT RITTER HALL 8602 LA JOLLA SHORES DRIVE.</t>
  </si>
  <si>
    <t>NTA885-G5</t>
  </si>
  <si>
    <t>EMERGENCY ENGINE: CUMMINS, MODEL NTTA 855G2, DIESEL FIRED, 535 BHP, S/N 30303023, DRIVING AN ELECTRIC GENERATOR, LOCATED IN ENG. BLDG. 1.</t>
  </si>
  <si>
    <t>EMERGENCY ENGINE: CUMMINS, MODEL KTA 19-G2, DIESEL FIRED, 536 BHP, S/N 31135811, DRIVING AN ELECTRIC GENERATOR, LOCATED IN MOLECULAR BIOLOGY BLDG.</t>
  </si>
  <si>
    <t>EMERGENCY ENGINE: DETROIT DIESEL, MODEL 8163-7416, DIESEL FIRED, 1232 BHP, S/N HVF009692, DRIVING AN ELECTRIC GENERATOR, LOCATED IN PACIFIC HALL.</t>
  </si>
  <si>
    <t>EMERGENCY ENGINE: DETROIT DIESEL, MODEL 12V-92TA, DIESEL FIRED, 830 BHP, S/N 267153, DRIVING AN ELECTRIC GENERATOR, KOHLER, MODEL 500ROZD, LOCATED IN CENTRAL UNIVERSITY LIBRARY.</t>
  </si>
  <si>
    <t>UCSD MEDICAL CENTER</t>
  </si>
  <si>
    <t>EMERGENCY GENERATOR: CATERPILLAR MODEL 3412TA RATED 660 KW, AND 890 HP DIESEL-FIRED, S/N 81Z03571</t>
  </si>
  <si>
    <t>225 DICKINSON ST W</t>
  </si>
  <si>
    <t>(619) 294-6342</t>
  </si>
  <si>
    <t>EMERGENCY GENERATOR: CATERPILLAR MODEL 3412TA RATED 660 KW, 890 HP DIESEL-FIRED, S/N 81303564</t>
  </si>
  <si>
    <t>ONE (1) CATERPILLAR MODEL 3412 DITA DIESEL ENGINE GENERATOR SET S/N 84Z1033 RATED AT 890 HP, 660 KW WITH TURBOCHARGING AND AFTER COOLING.</t>
  </si>
  <si>
    <t>UCSD THORNTON HOSPITAL</t>
  </si>
  <si>
    <t>EMERGENCY ENGINE, CATERPILLAR MODEL D3508, S/N 1ZF0062, DIESEL FIRED, 1456 BHP. 972771AFS25JAN1999</t>
  </si>
  <si>
    <t>9300 CAMPUS POINT DR</t>
  </si>
  <si>
    <t>(619) 294-6343</t>
  </si>
  <si>
    <t>EMERGENCY ENGINE, CATERPILLAR MODEL D3508, S/N 1ZF00623, DIESEL FIRED, 1456 BHP. 972772AFS25JAN1999</t>
  </si>
  <si>
    <t>UNION BANK</t>
  </si>
  <si>
    <t>GENERATOR / I C ENGINE SET, STANDBY: CATERPILLAR MODEL D349TA, S/N 61P0151O, 1120 BHP, DIESEL-FIRED, COMPRESSION IGNITION, INTERNAL COMBUSTION(I C) ENGINE; ELECTRICAL GENERATOR, RATED AT 750 KW (APPL #20542) 0583</t>
  </si>
  <si>
    <t>D349 TA</t>
  </si>
  <si>
    <t>1455 1ST AV</t>
  </si>
  <si>
    <t>(619) 230-3354</t>
  </si>
  <si>
    <t>TWO (2) IDENTICAL EMERGENCY ENGINE GENERATOR SETS: CATERPILLAR ENGINES, MODEL 3412, S/N 81Z18910 AND 81Z18913, 742 BHP; EACH ENGINE DRIVES A 500 KW GENERATOR.</t>
  </si>
  <si>
    <t>530 B ST #1400</t>
  </si>
  <si>
    <t>(619) 230-4405</t>
  </si>
  <si>
    <t>ONE (1) EMERGENCY ENGINE GENERATOR; CAT ENGINE, MODEL 3412; S/N 3853510, DIESEL FIRED, 755 BHP.</t>
  </si>
  <si>
    <t>UNISYS CORP</t>
  </si>
  <si>
    <t>IC RECIPROCATING ENGINE: EMERGENCY ONLY, DIESEL FUELED, 800 HP MODEL NO. VTA-1710 GS800 ENGINE NO. 10746186</t>
  </si>
  <si>
    <t>VTA1710-GS800</t>
  </si>
  <si>
    <t>10850 VIA FRONTERA</t>
  </si>
  <si>
    <t>(858) 451-4977</t>
  </si>
  <si>
    <t>US SPRINT</t>
  </si>
  <si>
    <t>EMERGENCY ENGINE GENERATOR SET: CUMMINS DIESEL INTERNAL COMBUSTION ENGINE, MODEL VTA 28-G-2, NO. 37108698, STANDBY RATING 900 BHP @ 1800 RPM; KOHLER GENERATOR MODEL 600R0Z71, S/N 157409, 600 KW @ 1800 RPM.</t>
  </si>
  <si>
    <t>1402 K ST</t>
  </si>
  <si>
    <t>(619) 234-3637</t>
  </si>
  <si>
    <t>US WEST</t>
  </si>
  <si>
    <t xml:space="preserve">EMERGENCY ENGINE/GENERATOR SET: KATO KAMAG 22, MODEL A230880006, TYPE 23088, CATALOG CODE 4P3-2325; ENGINE MFR. CATERPILLAR (523 HP), MODEL 3406, S/N 2WB14568; CRANKCASE VENT FILTER, AIRSEP </t>
  </si>
  <si>
    <t>7480 CONVOY CT</t>
  </si>
  <si>
    <t>(619) 295-6202</t>
  </si>
  <si>
    <t>USMC BASE MARINE AIR OPS</t>
  </si>
  <si>
    <t>EMERGENCY STANDBY ENGINE: CUMMINS ENGINE MODEL GTA-28, S/N 25199112, 738 BHP, PROPANE FUELED.</t>
  </si>
  <si>
    <t>CAMP PENDLETON</t>
  </si>
  <si>
    <t xml:space="preserve"> CAMP PENDLETON </t>
  </si>
  <si>
    <t>(760) 725-9756</t>
  </si>
  <si>
    <t>USMC BASE MARINE GROUND OPS</t>
  </si>
  <si>
    <t>EMERGENCY ENGINE GENERATOR, 490 HP CUMMINS ENGINE, MODEL 6081A</t>
  </si>
  <si>
    <t>6081A</t>
  </si>
  <si>
    <t>EMERGENCY ENGINE GENERATOR, 490 HP CUMMINS ENGINE, MODEL GTA19 GS S/N 500</t>
  </si>
  <si>
    <t>GTA19</t>
  </si>
  <si>
    <t>USMC BASE MILITARY SUPPORT</t>
  </si>
  <si>
    <t>EMERGENCY ENGINE: CATERPILLAR, MODEL 3516, DIESEL FIRED, 1106 HP, S/N 73Z00145, DRIVING AN ELECTRIC GENERATOR, LOCATED IN BLDG. #1164.</t>
  </si>
  <si>
    <t>USMC BASE PUBLIC HEALTH H2</t>
  </si>
  <si>
    <t>EMERGENCY STANDBY ENGINE, GENERAL MOTORS MODEL 12-645-E4, S/N 72-K1-1008, 1600 BHP, JP5 FIRED, TURBOCHARGED.</t>
  </si>
  <si>
    <t>CAMP PENDELTON</t>
  </si>
  <si>
    <t xml:space="preserve"> CAMP PENDELTON </t>
  </si>
  <si>
    <t>USMC BASE PUBLIC UTILITIES U16</t>
  </si>
  <si>
    <t>EMERGENCY STANDBY ENGINE: CATERPILLAR ENGINE, MODEL 3406B, S/N 4RG01430, 519 BHP, DIESEL FUELED,; DRIVING A 350 KW GENERATOR</t>
  </si>
  <si>
    <t>EMERGENCY GENERATOR: CATERPILLAR, MODEL 3406B, 350 KW, DRIVEN BY A CATERPILLAR, TURBOCHARGED, AFTERCOOLED, 6-CYL, 519 HP, DIESEL ENGINE. BLDG 61513. S/N LSA475L/119.</t>
  </si>
  <si>
    <t>USMC BASE PUBLIC UTILITIES U21</t>
  </si>
  <si>
    <t>ONE (1) EMERGENCY DIESEL ENGINE GENERATOR, CAT MODEL 3412,S/N: 81Z08275, 810 BHP.</t>
  </si>
  <si>
    <t>CAMP PENDLETON (BLDG 20831)</t>
  </si>
  <si>
    <t>USMC BASE PUBLIC UTILITIES U31</t>
  </si>
  <si>
    <t>EMERGENCY ENGINE GENERATOR, 959 HP CAT DIESEL ENGINE, MODEL 3508, S/N 95Y0113, TURBOCHARGED AND AFTERCOOLED.</t>
  </si>
  <si>
    <t>EMERGENCY ENGINE GENERATOR, 959 HP CAT DIESEL ENGINE, MODEL 3508 S/N 95Y01111, TURBOCHARGED AND AFTERCOOLED.</t>
  </si>
  <si>
    <t>EMERGENCY ENGINE GENERATOR, 959 HP CAT DIESEL ENGINE, MODEL 3508, S/N 95Y01110, TURBOCHARGED AND AFTERCOOLED.</t>
  </si>
  <si>
    <t>EMERGENCY ENGINE GENERATOR, 959HP CAT DIESEL ENGINE, MODEL 3508, S/N 95Y01112, TURBOCHARGED AND AFTERCOOLED.</t>
  </si>
  <si>
    <t>EMERGENCY ENGINE GENERATOR, 959 HP CAT DIESEL ENGINE, MODEL 3508, S/N 95Y01114, TURBOCHARGED AND AFTERCOOLED.</t>
  </si>
  <si>
    <t>USMC BASE PUBLIC UTILITIES U8</t>
  </si>
  <si>
    <t>EMERGENCY STANDBY ENGINE, CUMMINS MODEL NTA-855G3, 535 HP, S/N 11523051, GENERATOR, KATOLIGHT MODEL D300FRZ4, S/NVJ3622714.</t>
  </si>
  <si>
    <t>USMC RECRUIT DEPOT</t>
  </si>
  <si>
    <t>EMERGENCY GENERATOR-ENGINE SET: MODEL NO. A253190000, S/N 98644, 600 KW, SYNCHRONOUS AC GENERATOR WITH CATERPILLAR MODEL NO3412, S/N 81Z12037, 890 HP, TURBOCHARGED DIESEL ENGINE FOR BUILDING 569 (MESS HALL FACILITY) ONLY</t>
  </si>
  <si>
    <t>BARNETT AV @ PACIFIC HY</t>
  </si>
  <si>
    <t>(619) 524-6575</t>
  </si>
  <si>
    <t>USN AIR STATION NORIS</t>
  </si>
  <si>
    <t>EMERGENCY ENGINE: DETROIT DIESEL, MODEL 8V-92, DIESEL FIRED, 474 BHP, S/N 06VF201202, DRIVING AN ELECTRIC GENERATOR, LOCATED IN BLDG. #435.</t>
  </si>
  <si>
    <t>NAS NORTH ISLAND BLDG 801</t>
  </si>
  <si>
    <t>STANDBY EMERGENCY ENGINE GENERATOR: KOHLER DIESEL ENGINE MODEL 500RDOZD, 830 HP, S/N AHL34063, KOHLER GENERATOR S/N 390856. BLDG 386</t>
  </si>
  <si>
    <t>500RDOZD</t>
  </si>
  <si>
    <t>USN AIR STATION NORIS (2) PUB WKS</t>
  </si>
  <si>
    <t>EMERGENCY GENERATOR, DIESEL: CUMMINS MODEL KTA-1150-G1, 560 BHP MAXIMUM RATED POWER OUTPUT, ENGINE NO. 31129153; EQUIPPED WITH TURBOCHARGING AND AFTERCOOLING; DRIVING A KOHLER 365 KW GENERATOR, 548 AMPS, 480 VOLTS; GENERATOR AT BLDG #1354.</t>
  </si>
  <si>
    <t>NAS NORTH ISLAND</t>
  </si>
  <si>
    <t>(619) 556-8001</t>
  </si>
  <si>
    <t>EMERGENCY GENERATOR, DIESEL: ONE (1) DETROIT DIESEL ENGINE, 8V-92TA, MODEL 8083-7416, 643 BHP MAXIMUM RATED POWER OUTPUT, SN 8VF134058; EQUIPPED WITH TURBOCHARGING AND AFTERCOOLING; DRIVING ONE (1) ENERGY DYNAMICS SYNCHRONOUS GENERATOR AT BLDG. #795.</t>
  </si>
  <si>
    <t>USN ARCTIC SUBMARINE LABORATORY CODE 964</t>
  </si>
  <si>
    <t>ONE (1) EMERGENCY ENGINE GENERATOR: CAT DIESEL ENGINE, MODEL: D399, 1310 HP WITH A CAT GENERATOR, MODEL: 222990000, S/N 88931-3, 900 KW, 1125 KVA.</t>
  </si>
  <si>
    <t>NAVAL UNDERSEA WARFARE CENTER</t>
  </si>
  <si>
    <t xml:space="preserve"> 92152-5019</t>
  </si>
  <si>
    <t>(619) 553-7456</t>
  </si>
  <si>
    <t>USN FLEET &amp; INDUSTRIAL SUPPLY CENTER</t>
  </si>
  <si>
    <t>EMERGENCY DIESEL ENGINE GENERATOR SET, CATERPILLAR MODEL 3516, 1971 HP, 1400 KW USING NO. 2 DIESEL FUEL. (APPL #860327/GEA)</t>
  </si>
  <si>
    <t>937 HARBOR DR N CODE SE</t>
  </si>
  <si>
    <t>(619) 553-0526</t>
  </si>
  <si>
    <t>USN HOSPITAL 2 PWC</t>
  </si>
  <si>
    <t>EMERGENCY GENERATOR: CATERPILLAR MODEL 3412TA, RATED 600 KW, 890 HP, DIESEL-FIRED, S/N 81Z03680, UNIT #1, GENERATOR S/N 6FA03270</t>
  </si>
  <si>
    <t>EMERGENCY GENERATOR: CATERPILLAR MODEL 3412TA, RATED 600 KW, 890 HP, DIESEL-FIRED, S/N 81Z03684, UNIT #2, GENERATOR S/N 6FA03271</t>
  </si>
  <si>
    <t>EMERGENCY GENERATOR: CATERPILLAR MODEL 3412TA, RATED 600 KW, 890 HP, DIESEL-FIRED, S/N 81Z03689, UNIT #3, GENERATOR S/N 6FA03275</t>
  </si>
  <si>
    <t>USN NAV STA 1 SCE</t>
  </si>
  <si>
    <t xml:space="preserve">EMERGENCY ELECTRICAL GENERATOR-DIESEL ENGINE SET: DETROIT DIESEL ALLISON MODEL 12V-71 7123-7305, S/N 12VA068674, 600 HP DIESEL ENGINE FOR A 350 KW, 526 AMP ELECTRICAL GENERATOR WITH S/N 2907-L-80. (ADL 01/93). </t>
  </si>
  <si>
    <t>NAVAL STATION</t>
  </si>
  <si>
    <t>(619) 556-0624</t>
  </si>
  <si>
    <t>USN NAV STA 2 PUBLIC WORKS CENTER</t>
  </si>
  <si>
    <t>EMERGENCY GENERATOR: CUMMINS MODEL KTA 19-G1, RATED 560 HP AT 390 KW, DIESEL OIL FIRED, S/N 3113211.,BLDG 3356</t>
  </si>
  <si>
    <t>32ND ST &amp; HARBOR DR</t>
  </si>
  <si>
    <t>(619) 556-1533</t>
  </si>
  <si>
    <t>USN PUBLIC WORKS CENTER</t>
  </si>
  <si>
    <t>EMERGENCY GENERATOR: CUMMINS MODEL HTA 8556, RATED 425 HP AT 300 KW WITH TURBOCHARGING, DIESEL OIL FIRED, S/N 30115889 (BLDG #42, TOP SIDE)</t>
  </si>
  <si>
    <t>HTA 8556</t>
  </si>
  <si>
    <t>271 CATALINA BL</t>
  </si>
  <si>
    <t>(619) 954-8989</t>
  </si>
  <si>
    <t>EMERGENCY ENGINE: CUMMINS, MODEL HTA 8556, DIESEL FIRED, 425 BHP, S/N 30115889, DRIVING A 300-KW ELECTRIC GENERATOR. BLDG 42 TOPSIDE</t>
  </si>
  <si>
    <t>USN RADIO RECEIVING FACILITY</t>
  </si>
  <si>
    <t>CATERPILLAR DIESEL ENGINE MODEL 3412, 593 BHP, 400 KW GENERATOR</t>
  </si>
  <si>
    <t>HOOPER BL</t>
  </si>
  <si>
    <t>(619) 437-9311</t>
  </si>
  <si>
    <t>CATERPILLAR DIESEL ENGINE MODEL 3412, 593 BHP, S/N 81Z08328.</t>
  </si>
  <si>
    <t>USN SUBMARINE BASE</t>
  </si>
  <si>
    <t>EMERGENCY GENERATOR: CUMMINS MODEL KTA-38-G1, RATED 1030 HP AT 650 KW, WITH TURBOCHARGE AND AFTERCOOLING, DIESEL OIL FIRED, S/N 79131.</t>
  </si>
  <si>
    <t>ARCO ARDM 5 PIER 5002</t>
  </si>
  <si>
    <t>(619) 225-2170</t>
  </si>
  <si>
    <t>USN SUBMARINE BASE (3) PUB WRKS CTR</t>
  </si>
  <si>
    <t>EMERGENCY GENERATOR: CUMMINS MODEL VTA-1710-G/GS/GC-1, RATED 760 HP, DIESEL-FIRED, S/N 49964 BLDG 247</t>
  </si>
  <si>
    <t>VTA1710-G/GS/GC-1</t>
  </si>
  <si>
    <t>140 SYLVESTER RD</t>
  </si>
  <si>
    <t>(619) 556-7999</t>
  </si>
  <si>
    <t>EMERGENCY ENGINE GENERATOR, 760 HP CUMMINS DIESEL ENGINE, MODEL 49964</t>
  </si>
  <si>
    <t>VAYUSPHERE INC</t>
  </si>
  <si>
    <t>VALLEY DETROIT DIESEL ALLISON, MODEL SPECTRUM 350DSE, 550 HP</t>
  </si>
  <si>
    <t>10350 BARNES CANYON RD</t>
  </si>
  <si>
    <t>VENCOR HOSPITAL</t>
  </si>
  <si>
    <t>EMERGENCY ENGINE, CUMMINS MODEL VTA 1710 PG 800, S/N 669714-3, 800 BHP, 400 KW. 972805AFS09FEB1999</t>
  </si>
  <si>
    <t>VTA1710</t>
  </si>
  <si>
    <t>1940 EL CAJON BL</t>
  </si>
  <si>
    <t>VERIO</t>
  </si>
  <si>
    <t>EMERGENCY ENGINE GENERATOR, 1135 HP ONAN DIESEL ENGINE, MODEL DFHA-337982,</t>
  </si>
  <si>
    <t>DFHA-337982</t>
  </si>
  <si>
    <t>9530 TOWNE CENTRE DR</t>
  </si>
  <si>
    <t>VERIZON WIRELESS</t>
  </si>
  <si>
    <t>DETROIT DIESEL ENGINE MODEL R1637K35, 1200 HP, S/N 5362001141, TURBOCHARGED, DIESEL FIRED. 975569AFS04OCT2000</t>
  </si>
  <si>
    <t>R1637K35</t>
  </si>
  <si>
    <t>4787 MERCURY ST</t>
  </si>
  <si>
    <t>VETERANS ADMINISTRATION HOSPITAL</t>
  </si>
  <si>
    <t>NO.1 EMERGENCY DIESEL ENGINE GENERATOR SET: CATERPILLAR MODEL 3508, DITA, (S/N 23Z01554), 600 KW VA STANDBY RATING (906 BHP)NO.2 DIESEL FUEL.</t>
  </si>
  <si>
    <t>3350 LA JOLLA VILLAGE DR</t>
  </si>
  <si>
    <t>(858) 552-7480</t>
  </si>
  <si>
    <t>NO.2 EMERGENCY DIESEL ENGINE GENERATOR SET; CATERPILLAR MODEL 3508, DITA, (S/N 23Z01556), 600 KW VA STANDBY RATING (906 BHP)NO.2 DIESEL FUEL.</t>
  </si>
  <si>
    <t>NO.3 EMERGENCY DIESEL ENGINE GENERATOR SET: CATERPILLAR MODEL 3508, DITA, (S/N 23Z01557), 600 KW VA STANDBY RATING (906 BHP)NO.2 DIESEL FUEL.</t>
  </si>
  <si>
    <t>NO.4 EMERGENCY DIESEL ENGINE GENERATOR SET: CATERPILLAR MODEL 3508, DITA, (S/N 23Z01555), 600 KW VA STANDBY RATING (906 BHP)NO.2 DIESEL FUEL.</t>
  </si>
  <si>
    <t>WATERHOUSE SECURITIES INC</t>
  </si>
  <si>
    <t>EMERGENCY ENGINE GENERATOR, 1465 HP CAT DIESEL ENGINE, MODEL 3508B,</t>
  </si>
  <si>
    <t>4075 SORRENTO VALLEY BL</t>
  </si>
  <si>
    <t>WESTIN HOTEL</t>
  </si>
  <si>
    <t>EMERGENCY GENERATOR: DETROIT DIESEL ALLISON MODEL 16V92, RATED 1200 KW, #2 DIESEL OIL FIRED, S/N 3116-A-87</t>
  </si>
  <si>
    <t>910 BROADWAY CIRCLE</t>
  </si>
  <si>
    <t>(619) 239-2200</t>
  </si>
  <si>
    <t>WHISPERING PALMS WATER POLLUTION</t>
  </si>
  <si>
    <t>ONE(1) CUMMINS ENGINE GENERATOR MODEL NTA-885-G3, DIESEL FIRED; SN 30329781 RATED AT 535 BHP; 350 KW; EQUIPPED WITH TURBOCHARGING AND AFTERCOOLING.</t>
  </si>
  <si>
    <t>15525 VIA DE SANTA FE</t>
  </si>
  <si>
    <t>(858) 756-4909</t>
  </si>
  <si>
    <t>EMERGENCY ENGINE GENERATOR SET: KATOLIGHT, MODEL D600 FRX4, DIESEL FIRED, 600 KW, S/N WA514296-50426.</t>
  </si>
  <si>
    <t>Katolight</t>
  </si>
  <si>
    <t>D600 FRX4</t>
  </si>
  <si>
    <t>8923 COMPLEX DR</t>
  </si>
  <si>
    <t>WINSTAR TELECOMMUNICATIONS</t>
  </si>
  <si>
    <t>EMERGENCY GENERATOR: KOHLER, MODEL 350 ROZD, 350 KW, S/N 382859.</t>
  </si>
  <si>
    <t>350 ROZD</t>
  </si>
  <si>
    <t>Adelphia Business Solutions</t>
  </si>
  <si>
    <t>EMERGENCY ENGINE GENERATOR: 1850 HORSE POWER DETROIT DIESEL ENGINE MODEL 12V-149TIB, SERIAL NUMBER 612778 PA-132998 WITH A KOHLER MODEL 1250ROZD-4 GENERATOR RATED 1250 KW. 973288 GDS 5/99</t>
  </si>
  <si>
    <t>ISIS PHARMACEUTICALS</t>
  </si>
  <si>
    <t>EMERGENCY GENERATOR-ENGINE SET: DETROIT DIESEL MODEL 12V-92TA 8123-7416 S/N 12VF-008033, 947 HP, TURBOCHARGED AND AFTERCOOLED DIESEL ENGINE DRIVING A KOHLER MODEL 600ROZD, S/N 332872, 600KW ELECTRICAL GENERATOR. (ADL 12/93)</t>
  </si>
  <si>
    <t>2292 FARADAY AV</t>
  </si>
  <si>
    <t>(619) 931-9200</t>
  </si>
  <si>
    <t>JACK IN THE BOX INC</t>
  </si>
  <si>
    <t>EMERGENCY ENGINE: SPECTRUM DETROIT DIESEL, MODEL 600DS-4, DIESEL FIRED, 910 BHP, S/N 0650403, DRIVING AN ELECTRIC GENERATOR.</t>
  </si>
  <si>
    <t>600DS-4</t>
  </si>
  <si>
    <t>9330 BALBOA AV</t>
  </si>
  <si>
    <t>EMERGENCY ENGINE/GENERATOR SET: GENERATOR, KATO MODEL A223920020, 1125 KW; DIESEL ENGINE, CATERPILLAR, MODEL D3512, HP 1592, S/N 24Z05264; CRANKCASE</t>
  </si>
  <si>
    <t>D3512</t>
  </si>
  <si>
    <t>4647 ZION AV</t>
  </si>
  <si>
    <t>(619) 528-5260</t>
  </si>
  <si>
    <t>EMERGENCY ENGINE/GENERATOR SET: GENERATOR, KATO 1125 KW, MODEL A223920020; DIESEL ENGINE, CATERPILLAR, 1592 HP, MODEL D3512, S/N24Z05260; CRANKCASE</t>
  </si>
  <si>
    <t>EMERGENCY ENGINE-GENERATOR SET: CATERPILLAR ENGINE, MODEL 3406, S/N 4PM00231, 449 BHP; DRIVING A CATERPILLAR SR4B GENERATOR, 300 KW</t>
  </si>
  <si>
    <t>3840 MURPHY CANYON RD</t>
  </si>
  <si>
    <t>EMERGENCY ENGINE: CUMMINS, MODEL 5000DFY, DIESEL FIRED, S/N 0573643709, DRIVING AN ELECTRIC GENERTOR, ONAN, 500 KW.</t>
  </si>
  <si>
    <t>5000DFY</t>
  </si>
  <si>
    <t>EMERGENCY ENGINE: CUMMINS, MODEL 5000DFY, DIESEL FIRED, S/N 0573643710, DRIVING AN ELECTRIC GENERATOR, ONAN, 500 KW.</t>
  </si>
  <si>
    <t>EMERGENCY ENGINE: CUMMINS, MODEL 5000DFY, DIESEL FIRED, S/N 0573643711, DRIVING AN ELECTRIC GENERATOR, ONAN, 500 KW.</t>
  </si>
  <si>
    <t>EMERGENCY GENERATOR: 760 BHP CUMMINS DIESEL ENGINE, MODEL VTA-1710-G-I</t>
  </si>
  <si>
    <t>VTA1710-G1</t>
  </si>
  <si>
    <t>DIESEL ENGINE, CUMMINS MODEL NTA855-G2, S/N 30354501, 465 BHP, TURBOCHARGED AFTER COOLED, DRIVING A 300 KW GENERATOR.</t>
  </si>
  <si>
    <t>1630 MAIN ST E</t>
  </si>
  <si>
    <t>(619) 589-3253</t>
  </si>
  <si>
    <t>EMERGENCY ENGINE GENERATOR: 568 HP DETROIT DIESEL MODEL 8083-7405</t>
  </si>
  <si>
    <t>4650 PALM AV</t>
  </si>
  <si>
    <t>KGTV CHANNEL 10</t>
  </si>
  <si>
    <t>ONE (1) EMERGENCY ENGINE GENERATOR SET: CUMMINS ENGINE; MODEL#KTTA I9G2, 750 HP, ENGINE S/N# 37121031, EQUIPPED WITH BACT(TURBOACHARGING, AFTER-COOLING, FOUR (4) DEGREE RETARD. ONAN GENERATOR, MODEL# 249-0155-03; 500 KW</t>
  </si>
  <si>
    <t>4600 AIR WAY DR</t>
  </si>
  <si>
    <t>(619) 237-6370</t>
  </si>
  <si>
    <t>KNSD TV 39 NEW WORLD COMM OF S D</t>
  </si>
  <si>
    <t>EMERGENCY GENERATOR: DETROIT DIESEL MODEL 9123-7306,ENGINE S/N 1253395 RATED 1290 BHP AT 800 KW, DIESEL FIRED, GENERATOR S/N 504405-R1</t>
  </si>
  <si>
    <t>MILLER RANCH RD MT SAN MIGUEL</t>
  </si>
  <si>
    <t xml:space="preserve"> SPRING VALLEY </t>
  </si>
  <si>
    <t>(858) 279-3939</t>
  </si>
  <si>
    <t>EMERGENCY GENERATOR: MWM MURPHY MODEL TBD-234-V12,RATED 433 HP AT 330 KW, DIESEL OIL FIRED, S/N 234-12-01456</t>
  </si>
  <si>
    <t>MWM Murphy</t>
  </si>
  <si>
    <t>TBD-234-V12</t>
  </si>
  <si>
    <t>KOLL CENTER SAN DIEGO INC CO CB RICHARD ELLIS</t>
  </si>
  <si>
    <t>EMERGENCY ENGINE GENERATOR: 723 HORSEPOWER CATERPILLAR DIESEL ENGINE MODEL 3412, S/N 81207552. 973119 GDS 5/99</t>
  </si>
  <si>
    <t>501 BROADWAY W</t>
  </si>
  <si>
    <t>KSWB INC</t>
  </si>
  <si>
    <t>EMEREGENCY STANDBY ENGINE: DETROIT DIESEL MODEL 6V-92TA, 474 HP, S/N 603439 DIESEL FIRED, TURBOCHARGED AND AFTERCOOLED.</t>
  </si>
  <si>
    <t>7191 ENGINEER RD</t>
  </si>
  <si>
    <t>LA JOLLA INSTITUTE FOR ALLERGY AND IMMUNOLOGY</t>
  </si>
  <si>
    <t>EMERGENCY GENERATOR SET:ONE (1) 568 BHP MODEL 8V82-TA 8083-7405 DETROIT DIESEL ENGINE WITH CLOSED-LOOP CRANK VENT SYSTEM, TURBOCHARGING, AFTERCOOL-ING AND 4 DEG. TIMING RETARD, DRIVING A 350 KW STANDBY EMERGENCY GENERATOR.</t>
  </si>
  <si>
    <t>10355 SCIENCE CENTER DR</t>
  </si>
  <si>
    <t>(858) 452-5019</t>
  </si>
  <si>
    <t>LA JOLLA SEVILLE HOA INC</t>
  </si>
  <si>
    <t>EMERGENCY ENGINE: CATERPILLAR, MODEL 341D15 350, DIESEL FIRED, 545 BHP, S/N 3855265, DRIVING AN ELECTRIC GENERATOR SET.</t>
  </si>
  <si>
    <t>341D15 350</t>
  </si>
  <si>
    <t>1001 GENTER ST</t>
  </si>
  <si>
    <t>LA JOLLA VILLAGE TOWERS</t>
  </si>
  <si>
    <t>EMERGENCY ENGINE GENERATOR: DETROIT DIESEL ENGINE, MODEL 71TA-7123-7406, S/N 12VA-89131, 750 BHP; DRIVING A SPECTRUM 450 DS GENERATOR, 450 KW.</t>
  </si>
  <si>
    <t>8515 COSTA VERDE BL</t>
  </si>
  <si>
    <t>(858) 646-7700</t>
  </si>
  <si>
    <t>LEGOLAND CALIFORNIA</t>
  </si>
  <si>
    <t>DETROIT DIESEL MODEL 8123745, 830 HP, S/N 12VF013386, LOCATED IN SERVICE ADMINISTRATION AREA. 974858AFS17APR2000</t>
  </si>
  <si>
    <t>8123-745</t>
  </si>
  <si>
    <t>1 LEGO DR</t>
  </si>
  <si>
    <t>DETROIT DIESEL ENGINE MODEL 90637416, 474 HP, S/N 09VF220209, LOCATED IN THE IMAGINATION AREA. 974857AFS17APR2000</t>
  </si>
  <si>
    <t>9063-7416</t>
  </si>
  <si>
    <t>DETROIT DIESEL ENGINE MODEL 90637416, 474 HP, S/N 06VF220074, LOCATED IN CASTLE HILL AREA. 974861AFS974861</t>
  </si>
  <si>
    <t>LEUCADIA COUNTY WATER DISTRICT</t>
  </si>
  <si>
    <t>DIESEL ENGINE/EMERGENCY GENERATOR SET: ONE (1) DETROIT DIESEL ALLISON MODEL 16V-92T, 850 BHP MAXIMUM RATED POWER OUTPUT, 16-CYL; DRIVING A 600 KW GENERATOR.</t>
  </si>
  <si>
    <t>1960 LA COSTA AV</t>
  </si>
  <si>
    <t>(760) 753-0155</t>
  </si>
  <si>
    <t>EMERGENCY ENGINE GENERATOR SET: DETROIT DIESEL ENGINE, MODEL 12V92TA-8123-7405, 850 HP,EQUIPPED WITH TURBOCHARGER, AFTERCOOLER AND 4 DEGREE RETARD.</t>
  </si>
  <si>
    <t>2017 HY 101</t>
  </si>
  <si>
    <t>LEVEL 3 COMMUNICATIONS INC</t>
  </si>
  <si>
    <t>Emergency Engine: Caterpillar, Model No. 3412, diesel fired, turbocharged, 1072 BHP, with a diesel particulate filter, driving a 800 kW electric generator.</t>
  </si>
  <si>
    <t>Emergency Standby Engine, Detroit Diesel, Model 16V2000, 1495 hp, equipped with turbocharger, aftercooler, each driving a 1000 KW generator.</t>
  </si>
  <si>
    <t>3970 Sherman Street</t>
  </si>
  <si>
    <t>Emergency standby engine, Caterpillar diesel engine, Model 3512B, 2155 bhp, EPA Tier 1 certified of engine family number 1CPXL58.6ERK, equipped with turbocharger, aftercooler, driving a 1500 KW generator.</t>
  </si>
  <si>
    <t>1482, NAS North Island</t>
  </si>
  <si>
    <t>Emcor Technologies</t>
  </si>
  <si>
    <t>Emergency standby engine, Caterpillar diesel engine, Model 3516B, 2847.5 hp, turbocharged, aftercooled, and driving a 2000 KW generator.</t>
  </si>
  <si>
    <t>12270 World Trade Dr. Ste. 100</t>
  </si>
  <si>
    <t>Channey Doud</t>
  </si>
  <si>
    <t>General Atomics</t>
  </si>
  <si>
    <t>Emergency standby engine, Daewoo diesel engine, Model P222LE, S/N 105974, 846 hp, equipped with turobcharger, aftercooler, 4 degree timing retard, driving a 600 kW generator for a Generac power system.</t>
  </si>
  <si>
    <t>3550 General Atomics Court</t>
  </si>
  <si>
    <t>Paul Englert</t>
  </si>
  <si>
    <t>Emergency standby engine, Mitsubishi diesel engine, Model S6B3-PTA, S/N CO171752, 574 bhp, equipped with turbocharger, aftercooler, driving a 400 KW generator.</t>
  </si>
  <si>
    <t>S6B3-PTA</t>
  </si>
  <si>
    <t>4949 Greencraig Lane</t>
  </si>
  <si>
    <t>General Services Administration</t>
  </si>
  <si>
    <t>Emergency standby engine, Caterpillar diesel engine, Model 3412, S/N 4SJ01526BAX00193, 688 bhp, EPA Tier 1 certified of engine family number YCPXL27.0MRJ, equipped with turbocharger, aftercooler, driving a 600 KW generator, This engine replaces the emergency standby engine of Permit to Operate No. 972893.</t>
  </si>
  <si>
    <t>880 Front Street</t>
  </si>
  <si>
    <t>Salvador Sammy Holaso</t>
  </si>
  <si>
    <t>Genomics Institute/Novartis Research</t>
  </si>
  <si>
    <t>Cummins Model QST30-G5, BHP rating 1490 BHP, retarded 4 of fuel injection, and equipped with turbocharger and aftercooler and driving a 1000 KW generator.</t>
  </si>
  <si>
    <t xml:space="preserve">10677 John Jay Hopkins Dr. </t>
  </si>
  <si>
    <t>Gen-Probe Corp</t>
  </si>
  <si>
    <t>Emergency standby engine, Detroit Diesel engine, Model R123-7K35, S/N 5352001612, 910 bhp, EPA Tier 1 certified, equipped with turbocharger, aftercooler, driving a 600 kW generator.</t>
  </si>
  <si>
    <t>10210 Genetic Center Dr.</t>
  </si>
  <si>
    <t>Duanne Hipperson</t>
  </si>
  <si>
    <t>Global West Network</t>
  </si>
  <si>
    <t>Caterpillar diesel engine Model 3406 DITA, 450 hp, turbocharged, aftercooled, California Air Resources Board (CARB) certified Family #XCPXL14.GMRT, S/N 1LS01398.</t>
  </si>
  <si>
    <t>600 W. Broadway</t>
  </si>
  <si>
    <t>Household Finance</t>
  </si>
  <si>
    <t>Emergency standby engine, Caterpillar diesel engine, Model 3512B DITA, S/N CMC00111, 2219 bhp, EPA Tier 1 certified, equipped with turbocharger, aftercooler, driving a 1500 kW generator. The engine-generator is equipped with the Advanced Diesel Engine Management (ADEM) system, ECM serial number 02200152CD.</t>
  </si>
  <si>
    <t>5855 Copley Drive</t>
  </si>
  <si>
    <t>IDEC Pharmaceuticals</t>
  </si>
  <si>
    <t>Emergency standby engine, Caterpillar diesel engine, Model 3512B, 2155 bhp, EPA Tier 1 certified of engine family number 1CPXL58.6ERK, driving a 1500 KW generator.</t>
  </si>
  <si>
    <t>11011 Torreyana Road</t>
  </si>
  <si>
    <t>Mark Thompson</t>
  </si>
  <si>
    <t>Illumina Inc.</t>
  </si>
  <si>
    <t>Emergency standby engine, Detroit Diesel engine, Model 6063-HK35, 635 bhp, turbocharged, aftercooled, driving a 405 KW generator.</t>
  </si>
  <si>
    <t>9885 Towne Centre Drive</t>
  </si>
  <si>
    <t>Jeff Hughson</t>
  </si>
  <si>
    <t>Integrated Microwave</t>
  </si>
  <si>
    <t>Emergency standby engine, Daewoo diesel engine, Model P222LE, S/N EAY0A000092, 846 hp, EPA Tier 1 certified of engine family YDWXL21.9AYA, equipped with turobcharger, aftercooler, driving a 600 kW generator.</t>
  </si>
  <si>
    <t>11353 Sorrento Valley Road</t>
  </si>
  <si>
    <t>Gerald Tinnell</t>
  </si>
  <si>
    <t>Invitrogen Corp.</t>
  </si>
  <si>
    <t>Emergency standby engine, Detroit Diesel, 16V2000G81 BHP rating 1495 BHP, EPA Tier 1 certified of engine family number 1DDXL31.8XRE, equipped with turbocharger and aftercooler, driving a 1020 KW generator.</t>
  </si>
  <si>
    <t>5781 Van Allen Way</t>
  </si>
  <si>
    <t>Carlsbad</t>
  </si>
  <si>
    <t>Isis Pharmaceuticals</t>
  </si>
  <si>
    <t>Emergency standby engine, Caterpillar diesel engine, Model 3406, S/N ILSO1568, 449 hp, EPA certification No. CPX-NR6-01-28, equipped with turbocharger, aftercooler, 4 degree retard, driving a 300 kW generator.</t>
  </si>
  <si>
    <t>1896 Rutherford Road</t>
  </si>
  <si>
    <t>Hank Osowski</t>
  </si>
  <si>
    <t>La Costa Glen Carlsbad</t>
  </si>
  <si>
    <t>Emergency standby engine, Caterpillar diesel engine, Model 3508B, 1480 bhp, EPA Tier 1 certified of engine family number 1CPXL34.5ERK, equipped with turbocharger, aftercooler, driving a 1000 KW generator.</t>
  </si>
  <si>
    <t>1941 Silverleaf Circle</t>
  </si>
  <si>
    <t>George R. Bouchard</t>
  </si>
  <si>
    <t>Lowes HIW Inc.</t>
  </si>
  <si>
    <t>Emergency standby engine, Detroit Diesel Model 6063TK35; S/N to be determined, BHP rating 550 BHP, equipped with a turbocharger and intercooler, driving a 410 KW generator.</t>
  </si>
  <si>
    <t>155 Old Grove Rd.</t>
  </si>
  <si>
    <t>LPL Financial Services</t>
  </si>
  <si>
    <t>Emergency standby engine, Caterpillar diesel engine, Model 3508B, 1592 bhp, equipped with turbocharger, driving a 1000 KW generator.</t>
  </si>
  <si>
    <t>9785 Towne Centre Dr.</t>
  </si>
  <si>
    <t>Barry L. Parker</t>
  </si>
  <si>
    <t>Manheim's San Diego Auto Auction</t>
  </si>
  <si>
    <t>Emergency standby engine, Detroit Diesel engine, Model 6063-HK35, 490 bhp, turbocharged, aftercooled, driving a 300 KW generator.</t>
  </si>
  <si>
    <t>4691 B. Calle Joven</t>
  </si>
  <si>
    <t>92057-6042</t>
  </si>
  <si>
    <t>Mark B. Whillock</t>
  </si>
  <si>
    <t>Emergency standby engine, Detroit Diesel MTU Model 600DS-4; S/N to be determined, BHP rating 910 BHP, equipped with a turbocharger and aftercooler, driving a 600 KW generator.</t>
  </si>
  <si>
    <t>850 Lagoon Dr.</t>
  </si>
  <si>
    <t>Mitchell Repair</t>
  </si>
  <si>
    <t>DETROIT DIESEL MODEL 8163-7305, 800 BHP, DIESEL FIRED, S/N 605371A1A. 973376 AFS19MAY1999</t>
  </si>
  <si>
    <t>NAVAL COMPUTER AND TELECOMMUNICATIONS STATION</t>
  </si>
  <si>
    <t>EMERGENCY ENGINE GENERATOR: 795 HORSEPOWER CATERPILLAR DIESEL ENGINE, MODEL D398, S/N 62601. 973045 GDS 3/99</t>
  </si>
  <si>
    <t>937 HARBOR DR N BLDG 1</t>
  </si>
  <si>
    <t>NAVAL MEDICAL CENTER S D</t>
  </si>
  <si>
    <t>EMERGENCY ENGINE-GENERATOR SET: CATERPILLAR DIESEL ENGINE, MODEL 3412 CAT, S/N 38S3587, 620 BHP.</t>
  </si>
  <si>
    <t>NAVY HOSPITAL</t>
  </si>
  <si>
    <t>NEUROCRINE BIOSCIENCES</t>
  </si>
  <si>
    <t>EMERGENCY ENGINE GENERATOR: 700 HP DETROIT DIESEL MODEL 500DS, S/N 396981</t>
  </si>
  <si>
    <t>500DS</t>
  </si>
  <si>
    <t>10555 SCIENCE CENTER DR</t>
  </si>
  <si>
    <t>NEXTLINK CALIFORNIA</t>
  </si>
  <si>
    <t>EMERGENCY ENGINE, CUMMINS MODEL KTA19-G4, S/N I980800353. 755 BHP, DIESEL FIRED, 500 KW. 972800AFS02FEB1999</t>
  </si>
  <si>
    <t>5771 COPLEY DR</t>
  </si>
  <si>
    <t>OCEANSIDE CITY OF WASTE WATER TREATMENT PLANT</t>
  </si>
  <si>
    <t>CAT DIESEL EMERGENCY ENGINE GENERATOR, MOD 3412-DIT, S/N 38S8073, 543 BHP EQUIPPED WITH TURBOCHARGING.</t>
  </si>
  <si>
    <t>1330 TAIT ST S</t>
  </si>
  <si>
    <t>(619) 966-4870</t>
  </si>
  <si>
    <t>ONE (1) EMERGENCY ENGINE GENERATOR: CUMMINS ENGINE, MODEL: KTTA19G2, 750 HP S/N 37141684, EQUIPPED WITH TURBOCHARGING ANG AFTERCOOLING; DMT CORP. GEN. MODEL: DMT-500C, S/N: 92179-1, 500 KW, 625 KVA.</t>
  </si>
  <si>
    <t>OCEANSIDE CITY OF WATER UTILITIES</t>
  </si>
  <si>
    <t>EMERGENCY STANDBY ENGINE: DETROIT DIESEL MODEL 12V71T, S/N 12VA073824, 640 BHP, DIESEL FUELED.</t>
  </si>
  <si>
    <t>2501 HAYMAR DR</t>
  </si>
  <si>
    <t>OCEANSIDE CITY OF WATER UTILITIES DEPT</t>
  </si>
  <si>
    <t>DIESEL ENGINE/EMERGENCY GENERATOR SET: ONE (1) CATERPILLAR MODEL 3512 DITA, V-12, DIRECT INJECTION, TURBOCHARGED, AFTERCOOLED, 2168 BHP MAXIMUM RATED POWER OUTPUT; DRIVING A 1500 KW, 1800 RPM ELECTRICAL GENERATOR.</t>
  </si>
  <si>
    <t>3950 RIVER RD N</t>
  </si>
  <si>
    <t>(760) 966-8795</t>
  </si>
  <si>
    <t>OLIVENHAIN MUNICIPAL WATER DIST</t>
  </si>
  <si>
    <t>EMERGENCY ENGINE-GENERATOR SET: CUMMINS DIESEL ENGINE, MODEL NTA 855 G2, S/N 11517618, 465 BHP; DRIVING A KOHLER GENERATOR, MODEL 300 ROZ 271, S/N 252867, 300 KW. 972284 (11/98)</t>
  </si>
  <si>
    <t>16505 BLACK MOUNTAIN RD</t>
  </si>
  <si>
    <t>(858) 451-7837</t>
  </si>
  <si>
    <t>ONE HARBOR DRIVE RESIDENTIAL ASSOC</t>
  </si>
  <si>
    <t>EMERGENCY ENGINE GENERATOR SET:DETROIT DIESEL ENGINE, MODEL 8163-7416, S/N 16VF069170, 1232 BHP, WITH TURBOCHARGER, AFTERCOOLER; DRIVING A KOHLER GENERATOR, MODEL 750 ROZD, S/N 274119.</t>
  </si>
  <si>
    <t>200 HARBOR DR</t>
  </si>
  <si>
    <t>(619) 232-9758</t>
  </si>
  <si>
    <t>OTAY WATER DISTRICT</t>
  </si>
  <si>
    <t>ONE (1) EMERGENCY ENGINE GENERATOR: CAT ENGINE, MODEL 3512 DITA, 1593 BHP, EQUIPPED WITH (BACT):TURBOCHARGING, AFTERCOOLING AND FOUR DEGREE RETARD.S/N:24Z05677; ENGINE DRIVING AN ELECTRIC GENERATOR.</t>
  </si>
  <si>
    <t>11880 CAMPO RD</t>
  </si>
  <si>
    <t>(619) 670-2213</t>
  </si>
  <si>
    <t xml:space="preserve">ONE (1) EMERGENCY ENGINE GENERATOR: CAT ENGINE, MODEL 3512 DITA, 1482 BHP, EQUIPPED WITH (BACT):TURBOCHARGING, AFTERCOOLING AND FOUR DEGREE RETARD, S/N:24Z05678;ENGINE DRIVING AN ELECTRIC GENERATOR. </t>
  </si>
  <si>
    <t>EMERGENCY ENGINE GENERATOR: 2535 HP CATERPILLAR MODEL 3512 DIESEL ENGINE TURBOCHARGED, AFTERCOOLED, S/N 4XF00703.</t>
  </si>
  <si>
    <t>9341 REGENTS RD</t>
  </si>
  <si>
    <t>(619) 696-0967</t>
  </si>
  <si>
    <t>EMERGENCY ENGINE GENERATOR: 1847 HORSEPOWER CATERPILLAR DIESEL ENGINE, MODEL 3512/E506, SERIAL NUMBER 3MS00187. 974135 GDS 11/99</t>
  </si>
  <si>
    <t>3512/E506</t>
  </si>
  <si>
    <t>3020 DEL MAR HTS RD</t>
  </si>
  <si>
    <t>EMERGENCY ENGINE GENERATOR, CAT DIESEL ENGINE, MODEL 3508B, S/N 2GM00872, 1502 BHP</t>
  </si>
  <si>
    <t>146 BROADWAY S</t>
  </si>
  <si>
    <t>(858) 586-2925</t>
  </si>
  <si>
    <t>EMERGENCY STANDBY ENGINE: CAT DIESEL ENGINE MODEL 3512, S/N 2253-1, 1482HP, TURBOCHARGED AND AFTERCOOLED.</t>
  </si>
  <si>
    <t>EMERGENCY ENGINE: CATERPILLAR, MODEL 3512, DIESEL FIRED, 1482 BHP, S/N 24Z08579, DRIVING AN ELECTRIC GENERATOR, 900 KW.</t>
  </si>
  <si>
    <t>4711 SPRING ST</t>
  </si>
  <si>
    <t>(619) 238-2741</t>
  </si>
  <si>
    <t>EMERGENCY ENGINE GENERATOR SET: CATERPILLAR D399 PCTA 1310 BHP, TURBOCHARGED, AFTERCOOLED DIESEL ENGINE, SERIAL NUMBER 36Z01584 WITH A 900 KW GENERATOR.</t>
  </si>
  <si>
    <t>7337 TRADE ST</t>
  </si>
  <si>
    <t>(858) 695-5497</t>
  </si>
  <si>
    <t>EMERGENCY ENGINE GENERATOR SET: CATERPILLAR D399 PCTA 1310 BHP TURBO CHARGED, AFTERCOOOLED DIESEL ENGINE, SERIAL NUMBER 36Z01578 WITH A 900 KW GENERATOR.</t>
  </si>
  <si>
    <t>EMERGENCY ENGINE-GENERATOR SET: CATERPILLAR ENGINE, MODEL D399 PCTA, V-16, TURBOCHARGED, AFTERCOOLED, 1310 BHP, DRIVING AN 800 KW GENERATOR.</t>
  </si>
  <si>
    <t>1125 9TH AV</t>
  </si>
  <si>
    <t>EMERGENCY GENERATOR-ENGINE SET: CATERPILLAR CO., MODEL D399PCTA, SERIAL NO. 36Z01345, 1310HP @ 1200 RPM, TURBOCHARGED DIESEL ENGINE DRIVING A KATO ENGINEERING CO., MODEL 800-683361111, SERIAL NO. 85983-1, 800KW, STAND BY ELECTRICAL GENERATOR. (ADL 2/94).</t>
  </si>
  <si>
    <t>7847 LINDA VISTA RD</t>
  </si>
  <si>
    <t>(858) 586-3350</t>
  </si>
  <si>
    <t>EMERGENCY ENGINE GENERATOR: 1199 HORSEPOWER CATERPILLAR DIESEL ENGINE MODEL 3508DITA, SERIAL NUMBER 23Z07451. GDS 973930 9/99</t>
  </si>
  <si>
    <t>4890 MARKET ST</t>
  </si>
  <si>
    <t>(858) 974-6834</t>
  </si>
  <si>
    <t>EMERGENCY STANDBY ENGINE; CAT DIESEL ENGINE MODEL 3508, 1098HP, S/N23Z06826 TURBOCHARGE AND AFTERCOOL</t>
  </si>
  <si>
    <t>2175 CAMINO VIDA ROBLE</t>
  </si>
  <si>
    <t>EMERGENCY GENERATOR: CATERPILLAR MODEL 3508, RATED1062 HP, DIESEL-FIRED</t>
  </si>
  <si>
    <t>EMERGENCY ENGINE GENERATOR: 1039 HORSEPOWER CATERPILLAR DIESEL ENGINE MODEL 3412, SERIAL NUMBER 2WJ00457. GDS 973818 9/99</t>
  </si>
  <si>
    <t>2225 SAIPAN DR</t>
  </si>
  <si>
    <t>EMERGENCY DIESEL GENERATOR, CAT 3412, 810 BHP, TURBOCHARGED, AFTERCOOLED, 4 DEGREE TIMING RETARD, ENGINE S/N 81Z17183 WITH 600 KW GENERATOR.</t>
  </si>
  <si>
    <t>9059 MIRA MESA BL</t>
  </si>
  <si>
    <t>(619) 545-2435</t>
  </si>
  <si>
    <t>PORTABLE EMERGENCY ENGINE-GENERATOR SET: CATERPILLAR MODEL3412, 600 KW, DRIVEN BY A CATERPILLAR MODEL 3412 DITA, TURBOCHARGED, AFTERCOOLED, V-12, 890-HP DIESEL ENGINE.</t>
  </si>
  <si>
    <t>2825 GARNET AV #208</t>
  </si>
  <si>
    <t>EMERGENCY ENGINE GENERATOR SET: CATERPILLAR ENGINE, MODEL 3412, S/N 2WJ00457, 1039 BHP; DRIVING A CATERPILLAR 600 KW GENERATOR.</t>
  </si>
  <si>
    <t>EMERGENCY ENGINE GENERATOR: 890 HORSEPOWER CATERPILLAR DIESEL ENGINE MODEL 3212, SERIAL NUMBER 81Z18186. GDS 973817 9/99</t>
  </si>
  <si>
    <t>3704 TENNYSON ST</t>
  </si>
  <si>
    <t>EMERGENCY STANDBY ENGINE, CAT MODEL 3412, 890HP, S/N 2254-1, DIESEL FIRED, EQUIPPED WITH TURBOCHARGE AND AFTERCOOL.</t>
  </si>
  <si>
    <t>4569 COLLEGE AV</t>
  </si>
  <si>
    <t>EMERGENCY GENERATOR: CATERPILLAR MODEL 3412 DIT, RATED 724 HP AT 540 KW, DIESEL-FIRED, S/N 81Z09887.</t>
  </si>
  <si>
    <t>GENERATOR, EMERGENCY, 450 KW, 676 BHP DIESEL ENGINE, CATERPILLAR MODEL 3412 SR-4, S/N 81Z04428</t>
  </si>
  <si>
    <t>EMERGENCY GENERATOR, PORTABLE, 350KW, CATERPILLAR MODEL 3406-021394 534 BHP TURBOCHARGED DIESEL ENGINE, S/N 2WB07379.</t>
  </si>
  <si>
    <t>EMERGENCY ENGINE: CATERPILLAR, MODEL 3406, DIESEL FIRED, 449 BHP, S/N 2WB02448, DRIVING AN ELECTRIC GENERATOR, 300 KW.</t>
  </si>
  <si>
    <t>8865 CUYAMACA ST</t>
  </si>
  <si>
    <t xml:space="preserve"> SANTEE </t>
  </si>
  <si>
    <t>EMERGENCY GENERATOR: 2275 HP DETROIT DIESEL ENGINE, MODEL 9163-7416 (16V-149TI), TURBOCHARGED, INTERCOOLED, S/N 16E-11538, GENERATOR, 1500 KW,  MODEL DASE 04181500, S/N 3370B93, GENSET 3 OF 3.</t>
  </si>
  <si>
    <t xml:space="preserve"> 9163-7416</t>
  </si>
  <si>
    <t>650 ROBINSON ST E</t>
  </si>
  <si>
    <t>EMERGENCY GENERATOR: 2275 HP DETROIT DIESEL ENGINE MODEL 9163 - 7416 (126V - 149TI), TURBOCHARGED, INTERCOOLED, S/N 16E - 11540, GENERATOR, 1500 KW, MODEL DASE 04181500, S/N 3371B93, GENSET 2 OF 3.</t>
  </si>
  <si>
    <t>EMERGENCY ENGINE GENERATOR SET: 2275 HP TURBOCHARGED,INTERCOOLED, DETROIT DIESEL MODEL 9163 7416 (16V 149TI), SERIAL NUMBER 16E-10459 WITH A 1500 KW MAGNAVOX SYNCHRONOUS A/C GENERATOR SERIAL NUMBER XM 3862761.</t>
  </si>
  <si>
    <t>EMERGENCY ENGINE, DETROIT DIESEL MODEL 24V-71TA, S/N 397063, 1550 BHP.</t>
  </si>
  <si>
    <t>11865 RANCHO BERNARDO</t>
  </si>
  <si>
    <t>EMERGENCY ENGINE GENERATOR SET: DETROIT DIESEL ENGINE, MODEL 7243-7406, S/N 24VA001232, 1550 BHP; DRIVING A 1000 KW GENERATOR, MODEL 742RSL4046</t>
  </si>
  <si>
    <t>EMERGENCY ENGINE GENERATOR, 1170 HP, DETROIT DIESEL ENGINE, MODEL 800DS</t>
  </si>
  <si>
    <t>800DS</t>
  </si>
  <si>
    <t>4042 37TH ST N</t>
  </si>
  <si>
    <t>EMERGENCY GENERATOR-ENGINE SET: DETROIT DIESEL, MODEL 12VF-92TA 8123-7416, S/N 12VF008862, 947HP @ 1800 RPM, INJECTION TIMING RETARDED, TURBOCHARGED AND AFTERCOOLED DIESEL ENGINE DRIVING A GENERATOR: STAMFORD, TYPE HC534F 550 KW ELECTRICAL GENERATOR. (930917 / ADL / 9-94).</t>
  </si>
  <si>
    <t>120 LINCOLN AV S</t>
  </si>
  <si>
    <t>(619) 574-0233</t>
  </si>
  <si>
    <t>EMERGENCY ENGINE GENERATOR: DETROIT DIESEL ENGINE, MODEL 81237416, S/N DD12VF008777, 947 BHP, DRIVING A 550 KW GENERATOR.</t>
  </si>
  <si>
    <t>2225 MISSION AV</t>
  </si>
  <si>
    <t>(760) 754-0008</t>
  </si>
  <si>
    <t>AN EMERGENCY ELECTRICAL GENERATOR- ENGINE SET: DETROIT DIESEL CO., MODEL 12V-92TA 8123-7405, S/N 12VF-07537, 830 HP, TURBOCHARGED AND AFTERCOOLED DIESEL ENGINE DRIVING A GENERATOR; NEWAGE STAMFORD, TYPE HC 534E, S/N C27888/3, 500 KW, A/C GENERATOR</t>
  </si>
  <si>
    <t>225 LAS POSAS RD N</t>
  </si>
  <si>
    <t>EMERGENCY ENGINE: DETROIT DIESEL, MODEL 7123-74-6 12V-71TA, DIESEL FIRED, 750 BHP, S/N 6438740, DRIVING AN ELECTRIC GENERATOR.</t>
  </si>
  <si>
    <t>28523 COLE GRADE RD</t>
  </si>
  <si>
    <t xml:space="preserve"> VALLEY CENTER </t>
  </si>
  <si>
    <t>ONE (1) 703 BHP DETROIT DIESEL ALLISON ENGINE DRIVES AN EMERGENCY GENERATOR; MOD NO 12V92T 8123-7305; S/N 12VF005950</t>
  </si>
  <si>
    <t>EMERGENCY GENERATOR-ENGINE SET: DETROIT DIESEL CO., MODEL 12VA-71TA 7123-7406, SERIAL NO. 12VA087315, 712HP @ 1800 RPM, TURBOCHARGED AND AFTERCOOLED DIESEL ENGINE DRIVING A STAMFORD NEWAGE, TYPE HC534E, SERIAL NO. 513116, 450 KW ELECTRICAL GENERATOR. (ADL 10/94).</t>
  </si>
  <si>
    <t>EMERGENCY ENGINE GENRATOR SET: 630 HP DETROIT DIESEL MODEL 7123-7406 TURBO CHARGED, AFTERCOOLED DIESEL ENGINE S/N 12VA 86618, 450 KW ALTURDYNE GENERATOR.</t>
  </si>
  <si>
    <t>420 3RD AV</t>
  </si>
  <si>
    <t>(619) 420-0009</t>
  </si>
  <si>
    <t xml:space="preserve">EMERGENCY GENERATOR-ENGINE SET: DETROIT DIESEL CO., MODEL 12VA-71TA 7123-7406, SERIAL NO. 12VA-7316, 712HP @ 1800 RPM, TURBOCHARGED AND AFTERCOOLED DIESEL ENGINE DRIVING A STAMFORD NEWAGE, TYPE HC534E, SERIAL NO. 513115, 450 KW ELECTRICAL GENERATOR. </t>
  </si>
  <si>
    <t>139 ROSEBAY DR</t>
  </si>
  <si>
    <t>ENCINITAS</t>
  </si>
  <si>
    <t>I/C EMERGENCY GENERATOR SET: ONE (1) DETROIT DIESEL CORP.; DIESEL-FUELED; MODEL DASE 1218450, SN 3210-B-89; ENGINE MODEL 81237405, SN 12VF003640; GENERATOR MODEL 572RSL2045A-P275W, SN UN3544776; EQUIPPED WITH 12-CYLINDERS TURBOCHARGING, AFTERCOOLING, 830 BHP, 450 KW.</t>
  </si>
  <si>
    <t>(949) 551-7718</t>
  </si>
  <si>
    <t>EMERGENCY GENERATOR SET: ONE (1) DETROIT DIESEL ENGINE, MODEL 12V71TA, 670 BHP MAXIMUM RATED POWER OUTPUT, UNIT 12VA085952, SO 6A26453, MODEL 71237405 EQUIPPED WITH TURBOCHARGING, AFTERCOOLING; DRIVING ONE (1) STAMFORD GENERATOR, TYPE HC534C1, 450 KW, 208 V, 1562 A, SN C018378/01; CRANKCASE VENT FILTER CV-1000.</t>
  </si>
  <si>
    <t>7569 GIRARD AV</t>
  </si>
  <si>
    <t>DETROIT DIESEL MODEL DASE 1018-400, DIESEL FIRED 600 BHP I.B. ENGINE DRIVING ONE 400 KW ELECTRICAL GENERATOR</t>
  </si>
  <si>
    <t>DASE 1018-400</t>
  </si>
  <si>
    <t>234 INDIANA ST S</t>
  </si>
  <si>
    <t>(619) 276-2701</t>
  </si>
  <si>
    <t>ENGINE NO. 4: EMERGENCY DUAL FUEL DIESEL/NATURAL GAS ENGINE GENERATOR SET, FAIRBANKS MORSE MODEL 38TDD8-1/8, 4200 BHP, 3 MW.</t>
  </si>
  <si>
    <t>Natural Gas/ Diesel</t>
  </si>
  <si>
    <t xml:space="preserve"> 38TDD8-1/8</t>
  </si>
  <si>
    <t>ENGINE NO. 5: EMERGENCY DUAL FUEL DIESEL/NATURAL GAS ENGINE GENERATOR SET, FAIRBANKS MORSE MODEL 38TDD8-1/8, 4200 BHP, 3MW.</t>
  </si>
  <si>
    <t>EMERGENCY ENGINE GENERATOR SET: 4200 HP FAIRBANKS MORSE MODEL 38TDD8-1/8 TURBOCHARGED, AFTERCOOLED, DUAL FUEL, #1 DIESEL / NATURAL GAS ENGINE SERIAL NUMBER 38D892004TDFSM12 WITH A 3 MW MAGNATEK LOUIS ALLIS GENERATOR.</t>
  </si>
  <si>
    <t>PACIFIC GAS TURBINE CENTER INC</t>
  </si>
  <si>
    <t>EMERGENCY ENGINE GENERATOR, 550 HP CAT DIESEL ENGINE MODEL D346A</t>
  </si>
  <si>
    <t>D346A</t>
  </si>
  <si>
    <t>7007 CONSOLIDATED WY</t>
  </si>
  <si>
    <t>PACIFIC REGENT LIFECARE INC</t>
  </si>
  <si>
    <t>CAT DIESEL ENGINE GENERATOR,MODEL 3508,1106 BHP 825 KW, S/N 23Z03185 EQUIPPED WITH TURBOCHARGING AND AFTERCOOLING SYST.900746 EFH 05/15/91</t>
  </si>
  <si>
    <t>3890 NOBEL DR</t>
  </si>
  <si>
    <t>(858) 452-7884</t>
  </si>
  <si>
    <t>PACIFIC TOWER</t>
  </si>
  <si>
    <t>EMERGENCY ENGINE: DETROIT DIESEL, MODEL 12V-92TA, 947 BHP, S/N 12VF013505, DRIVING AN ELECTRICITY GENERATOR.</t>
  </si>
  <si>
    <t>5855 PACIFIC CENTER BL</t>
  </si>
  <si>
    <t>PADRE DAM MUNICIPAL WATER DISTRICT</t>
  </si>
  <si>
    <t>EMERGENCY DIESEL GENERATOR, CUMMINS MODEL KTTA19-G2, S/N 37160917, 750 BHP TURBOCHARGED, AFTERCOOLED AFS-AUG1996-APP940239</t>
  </si>
  <si>
    <t>12001 FANITA PY N</t>
  </si>
  <si>
    <t>(619) 258-4697</t>
  </si>
  <si>
    <t>EMERGENCY ENGINE GENERATOR SET: DETROIT DIESEL ENGINE, MODEL 7163-7000 S/N 16VA3327, RATED AT 470 HP, DRIVING A 350KW GENERATOR.</t>
  </si>
  <si>
    <t>9120 CARLTON OAKS DR</t>
  </si>
  <si>
    <t>PALOMAR MEDICAL CENTER</t>
  </si>
  <si>
    <t>EMERGENCY GENERATOR: CATERPILLAR MODEL 3508 STD, RATED 1106 HP, 750 KW, DIESEL-FIRED, S/N 23Z01823</t>
  </si>
  <si>
    <t>555 VALLEY PY E</t>
  </si>
  <si>
    <t>(619) 739-3186</t>
  </si>
  <si>
    <t>EMERGENCY GENERATOR: CATERPILLAR MODEL 3508 STD, RATED 1106 HP, DIESEL OIL FIRED, S/N 23Z01822</t>
  </si>
  <si>
    <t>EMERGENCY ENGINE GENERATOR, DETROIT DIESEL, MODEL 9163-7300, S/N16E-003, 1103HP, DRIVING A 750 KW GENERATOR.</t>
  </si>
  <si>
    <t>9163-7300</t>
  </si>
  <si>
    <t>PARADISE VALLEY HEALTH CARE CENTER</t>
  </si>
  <si>
    <t>ONE(1) EMERGENCY ENGINE GENERATOR SET:CAT DIESEL ENGINE, MODEL 3406 DT, 449 BHP, S/N:2WB00978,EQUIPPED WITH TURBOCHARGING AND AFTERCOOLING; DRIVING A 375 KW NEWAGE LTD GENERATOR.</t>
  </si>
  <si>
    <t>3406 DT</t>
  </si>
  <si>
    <t>2575 8TH ST E</t>
  </si>
  <si>
    <t>(619) 470-6700</t>
  </si>
  <si>
    <t>PARADISE VALLEY HOSPITAL</t>
  </si>
  <si>
    <t>EMERGENCY ENGINE GENERATOR, CAT DIESEL ENGINE,MODEL SR4B,S/N 24Z08209 DRIVING A 1015KW GENERATOR. 970673 EFH 02/98</t>
  </si>
  <si>
    <t>SR4B</t>
  </si>
  <si>
    <t>2400 4TH ST E</t>
  </si>
  <si>
    <t>(619) 470-8831</t>
  </si>
  <si>
    <t>EMERGENCY GENERATOR-ENGINE SET: CATERPILLAR CO., MODEL 3412 DIT, SERIAL NO 81Z15669, 750 HP, TURBOCHARGED DIESEL ENGINE DRIVING A STANDBY ELECTRICAL GENERATOR. (APP. NO. 930309, ADL 3/94).</t>
  </si>
  <si>
    <t>PHARMINGEN</t>
  </si>
  <si>
    <t>EMERGENCY ENGINE GENERATOR SET: DETROIT DIESEL ENGINE, MODEL 80837405, S/N 08VF164359, 568 BHP, DRIVING A ROZD KOHLER GENERATOR, 350 KW</t>
  </si>
  <si>
    <t>10995 TORREYANA RD</t>
  </si>
  <si>
    <t>(858) 677-7737</t>
  </si>
  <si>
    <t>PIMG COMMUNITY SURGERY CENTRE</t>
  </si>
  <si>
    <t>EMERGENCY GENERATOR/ENGINE SET: KOHLER (300 KW), MODEL 300ROZD71, S/N 336927; ENGINE, DETROIT DIESEL (474 HP) 6V-92TA, MODEL 80637416, S/N 06VF204491; CRANKCASE VENT FILTER MFR.: CRANKVENT, SERIES CV 400</t>
  </si>
  <si>
    <t>17190 BERNARDO CENTER DR</t>
  </si>
  <si>
    <t>(858) 675-3101</t>
  </si>
  <si>
    <t>POMERADO HOSPITAL</t>
  </si>
  <si>
    <t>EMERGENCY ENGINE, DETROIT DIESEL, MODEL 71237305, S/N 12VA45905, 665 BHP, DRIVES EMERGENCY ELECTRICAL GENERATOR. 972742AFS21JAN1999</t>
  </si>
  <si>
    <t>15615 POMERADO RD</t>
  </si>
  <si>
    <t>(858) 613-4219</t>
  </si>
  <si>
    <t>EMERGENCY ENGINE, DETROIT DIESEL, MODEL 71237305, S/N 12VA45921, 665 BHP, DRIVES EMERGENCY ELECTRICAL GENERATOR. 972743AFS21JAN1999</t>
  </si>
  <si>
    <t>EMERGENCY GENERATOR: KOHLER MODEL 400ROZD71, 400 KW, DRIVEN BY A DETROIT DIESEL MODEL 8V-92TA, TURBOCHARGED, AFTERCOOLED, 643 BHP, V-8 DIESEL ENGINE.</t>
  </si>
  <si>
    <t>PRICE COSTCO</t>
  </si>
  <si>
    <t xml:space="preserve">ONE (1) EMERGENCY ENGINE GENERATOR: CAT ENGINE, MODEL 3512 DITA, 1482 BHP, EQUIPPED WITH (BACT): TURBOCHARGING, AFTERCOOLING AND FOUR DEGREE RETARD, S/N: 24Z05678; ENGINE DRIVING AN ELECTRIC GENERATOR. [ENGINE @ HILLSDALE] APPL# 940327 EFH 5/96 </t>
  </si>
  <si>
    <t>6666 CONVOY CT</t>
  </si>
  <si>
    <t>(619) 744-1122</t>
  </si>
  <si>
    <t>QUALCOMM INC</t>
  </si>
  <si>
    <t>EMERGENCY ENGINE: CATERPILLAR MODEL 3516B, DIESEL FIRED, 2876 BHP, S/N 6HN00758, DRIVING A 2000-KW ELECTRIC GENERATOR.</t>
  </si>
  <si>
    <t>5555 MOREHOUSE DR</t>
  </si>
  <si>
    <t>John Morse</t>
  </si>
  <si>
    <t>(858)658-4028</t>
  </si>
  <si>
    <t>EMERGENCY ENGINE, SPECTRUM, MODEL 600DS60, S/N 341671, DIESEL FIRED 947 BHP, DRIVES EMERGENCY ELECTRICAL GENERATOR. 972735AFS21JAN1999</t>
  </si>
  <si>
    <t>4243 CAMPUS POINT CT</t>
  </si>
  <si>
    <t>EMERGENCY ENGINE GENERATOR: MFR: VALLEY DETROIT DIESEL, MODEL 500DS, S/N 602634, 830 BHP, DIESEL FIRED.</t>
  </si>
  <si>
    <t>6455 LUSK BL</t>
  </si>
  <si>
    <t>EMERGENCY STANDBY ENGINE : SPECTRUM DETROIT STATIONARY, MODEL 300DS, 490HP</t>
  </si>
  <si>
    <t>300DS</t>
  </si>
  <si>
    <t>10290 CAMPUS PT DR</t>
  </si>
  <si>
    <t>EMERGENCY STANDBY ENGINE: KOHLER MODEL 72437406, S/N 291657, 1150 HP, DIESEL FIRED.</t>
  </si>
  <si>
    <t>5775 MOREHOUSE DR</t>
  </si>
  <si>
    <t>QWEST</t>
  </si>
  <si>
    <t>EMERGENCY ENGINE GENERATOR, 1135 HP CUMMING DIESEL ENGINE MODEL QST30-G1</t>
  </si>
  <si>
    <t>4216 UNIVERSITY AV</t>
  </si>
  <si>
    <t>EMERGENCY ENGINE GENERATOR, 1118 HP CUMMINS DIESEL ENGINE, MODEL QST30-G1</t>
  </si>
  <si>
    <t>RAMONA MUNICIPAL WATER DISTRICT</t>
  </si>
  <si>
    <t>EMERGENCY ENGINE GENERATOR SET: ONAN-CVMMINS DIESEL ENGINE GENERATOR MODEL NO. 400 KTA-19, 600 BHP (448 KW) AT 1800 RPM, TURBOCHARGED.</t>
  </si>
  <si>
    <t>KTA19-G</t>
  </si>
  <si>
    <t>22758 SAN VICENTE RD</t>
  </si>
  <si>
    <t xml:space="preserve"> RAMONA </t>
  </si>
  <si>
    <t>(760) 789-1330</t>
  </si>
  <si>
    <t>RANCHO SANTA FE COMMUNITY SERV DIST</t>
  </si>
  <si>
    <t>ONAN DIESEL EMERGENCY ENGINE GENERATOR, MODEL 350 560 BHP, RATED @ 350 kw EQUIPPED WITH TURBOCHARGING AND AFTERCOOLING, GENERATOR S/N: 29A01185</t>
  </si>
  <si>
    <t>16105 VIA DE SANTA FE</t>
  </si>
  <si>
    <t xml:space="preserve"> RANCHO SANTA FE </t>
  </si>
  <si>
    <t>(760) 942-5147</t>
  </si>
  <si>
    <t>RELERA INC</t>
  </si>
  <si>
    <t>EMERGENCY ENGINE GENERATOR,3000HP CAT DIESEL ENGINE MODEL 3516, S/N P1CAT</t>
  </si>
  <si>
    <t>9625 TOWNE CENTRE DR</t>
  </si>
  <si>
    <t>EMERGENCY ENGINE GENERATOR, 3000 HP CAT DIESEL ENGINE MODEL 8546, S/N P2CAT</t>
  </si>
  <si>
    <t>EMERGENCY ENGINE GENERATOR, 3000 HP CAT DIESEL MODEL 3516, S/N P3CAT.</t>
  </si>
  <si>
    <t>RW JOHNSON PHARMACEUTICAL RESEARCH INSTITUTE</t>
  </si>
  <si>
    <t>EMERGENCY ENGINE: CUMMINS, MODEL KDTTA 50-G2, DIESEL FIRED, 2220 BHP, S/N 75998-279, DRIVING AN ELECTRIC GENERATOR, ONAN, MODEL 1500 DFMB.</t>
  </si>
  <si>
    <t>KDTTA50-G2</t>
  </si>
  <si>
    <t>3210 MERRYFIELD ROW</t>
  </si>
  <si>
    <t>SAIC INTL CORP</t>
  </si>
  <si>
    <t>EMERGENCY ENGINE: CATERPILLAR, MODEL 3406, DIESEL FIRED, 587 BHP, S/N ILS00649, DRIVING AN ELECTRIC GENERATOR.</t>
  </si>
  <si>
    <t>4161 CAMPUS POINT CT</t>
  </si>
  <si>
    <t>SALK INSTITUTE</t>
  </si>
  <si>
    <t>EMERGENCY ENGINE GENERATOR: CATERPILLAR ENGINE, MODEL 3412, S/N 2WJ00539, 1180 BHP; DRIVING A CATERPILLAR GENERATOR, 880 KW. (950313-CCN-10/96)</t>
  </si>
  <si>
    <t>10010 TORREY PINES RD N</t>
  </si>
  <si>
    <t>(858) 453-4100</t>
  </si>
  <si>
    <t>EMERGENCY ENGINE-GENERATOR SET: CATERPILLAR MODEL 3406C, 400 KW, DRIVEN BY A CATERPILLAR MODEL 3406 DITA, TURBOCHARGED, AFTERCOOLED, 4-STROKE CYCLE, 6-CYL, DIRECT INJECTION, 587-HP DIESEL ENGINE.JCM 11/94</t>
  </si>
  <si>
    <t>EMERGENCY ENGINE GENERATOR SET: CATERPILLAR ENGINE, MODEL 3406, S/N 4JK00103, 475 BHP; DRIVING A CATERPILLAR SR4 GENERATOR, 350 KW. (950935-CCN-7/96)</t>
  </si>
  <si>
    <t>SAN DIEGO CITY OF WATER DEPT</t>
  </si>
  <si>
    <t>EMERGENCY ENGINE GENERATOR, 1690 HP CAT DIESEL ENGINE, MODEL SR4B, 1250KW</t>
  </si>
  <si>
    <t>10100 SCRIPPS LAKE DR</t>
  </si>
  <si>
    <t>EMERGENCY ENGINE GENERATOR, 1425 HP CAT DIESEL ENGINE MODEL 3512</t>
  </si>
  <si>
    <t>1500 WUESTE RD</t>
  </si>
  <si>
    <t>(619) 424-0451</t>
  </si>
  <si>
    <t>EMERGENCY ENGINE GENERATOR, 475HP CUMMINS DIESEL ENGINE MODEL 17R/22570C</t>
  </si>
  <si>
    <t>17R/22570C</t>
  </si>
  <si>
    <t>11496 WEATHERHILL WY</t>
  </si>
  <si>
    <t>EMERGENCY ENGINE GENERATOR, 550 HP VOLVO ENGINE MODELTAP1630GELSR471MG</t>
  </si>
  <si>
    <t>TAP1630GELSR471MG</t>
  </si>
  <si>
    <t>5400 THUNDERBIRD LN</t>
  </si>
  <si>
    <t>EMERGENCY ENGINE GENERATOR, 550HP VOLVO DIESEL ENGINE, MODEL 1TNO1630GSLB4</t>
  </si>
  <si>
    <t>1TNO1630GSLB4</t>
  </si>
  <si>
    <t>9198 OVIEDO ST</t>
  </si>
  <si>
    <t>EMERGENCY ENGINE GENERATOR, 550 HP VOLVO DIESEL MODEL TAD1630G</t>
  </si>
  <si>
    <t>TAD1630G</t>
  </si>
  <si>
    <t>11403 RANCHO CARMEL DR</t>
  </si>
  <si>
    <t>SAN DIEGO CITY OF WATER UTILITIES</t>
  </si>
  <si>
    <t>EMERGENCY ENGINE GENERATOR SET: CUMMINS ENGINE, MODEL GTA 189, S/N 25233923 NATURAL GAS FIRED, 495 HP, TURBOCHARGED.</t>
  </si>
  <si>
    <t>GTA189</t>
  </si>
  <si>
    <t>350 COAST BL</t>
  </si>
  <si>
    <t>(619) 527-7457</t>
  </si>
  <si>
    <t>SAN DIEGO UNIFIED PORT DISTRICT</t>
  </si>
  <si>
    <t>EMERGENCY ENGINE, DETROIT DIESEL MODEL 4500560, S/N 380936, 760 BHP</t>
  </si>
  <si>
    <t>3835 HARBOR DR N</t>
  </si>
  <si>
    <t>(619) 686-8050</t>
  </si>
  <si>
    <t>EMERGENCY I/C ENGINE ELECTRICAL GENERATOR SET-ONE LAWLESS DETROIT DIESEL MODEL 7123 600 HP ENGINE, S/N 12VA065777, WITH 400 KW ELEC. GENERATOR. (APPL. NO. 851149/CDA1286)</t>
  </si>
  <si>
    <t>3225 HARBOR DR N</t>
  </si>
  <si>
    <t>SAN ELIJO WATER RECLAMATION AUTHORITY</t>
  </si>
  <si>
    <t>ONE(1) DETROIT DIESEL ENGINE MODEL 12V-92TA 585 KW, 830 HP ELECTRICAL GENERATOR SET FOR EMERGENCY STANDBY USE.</t>
  </si>
  <si>
    <t>2695 MANCHESTER AV</t>
  </si>
  <si>
    <t xml:space="preserve"> CARDIFF </t>
  </si>
  <si>
    <t>(760) 753-6203</t>
  </si>
  <si>
    <t>SAN MARCOS CITY OF PUBLIC WORKS DEPT</t>
  </si>
  <si>
    <t>EMERGENCY GENERATOR SET: ONE (1) DETROIT DIESEL ENGINE, 12V-92TA, MODEL 81237405, 830 BHP MAXIMUM RATED POWER OUTPUT, SN 12VF005923; EQUIPPED WITH TURBOCHARGING, AFTERCOOLING; DRIVING ONE (1) KOHLER GENERATOR, 500 KW, 277/480 V, 752 AMPS; HAS UNIT-MOUNTED, INTEGRAL LOAD BANK, 300 KW; CRANK-CASE VENT FILTER CV-1000; DIESEL FUEL TANK, 300 GALLON CAPACITY.</t>
  </si>
  <si>
    <t>201 MATA WY</t>
  </si>
  <si>
    <t>(760) 744-9240</t>
  </si>
  <si>
    <t>SCHUMACHER</t>
  </si>
  <si>
    <t xml:space="preserve">EMERGENCY ENGINE, KOHLER MODEL 350ROZD, S/N 386305, 568 BHP, DRIVING A 350 KW GENERATOR. 972642AFS21DEC1998 </t>
  </si>
  <si>
    <t>350ROZD</t>
  </si>
  <si>
    <t>1969 PALOMAR OAKS WY</t>
  </si>
  <si>
    <t>SCIENCE APPLICATIONS INTL CORP</t>
  </si>
  <si>
    <t>CATERPILLAR DIESEL ENGINE MODEL 3412, 896 BHP, S/N 81Z24021, TURBOCHARGED &amp; AFTERCOOLED. 973852AFS08SEP1999</t>
  </si>
  <si>
    <t>4110 CAMPUS POINT CT</t>
  </si>
  <si>
    <t>SCRIPPS HEALTH FACILITIES</t>
  </si>
  <si>
    <t>ONE (1) EMERGENCY ENGINE GENERATOR: CATERPILLAR ENGINE GENERATOR, MODEL: 3412 TA, S/N:81Z15453, 800 BHP, 600 KW, EQUIPPED WITH TURBOCHARGING AND AFTERCOOLING, DIESEL FIRED.</t>
  </si>
  <si>
    <t>4275 CAMPUS POINT CT</t>
  </si>
  <si>
    <t>(858) 626-6054</t>
  </si>
  <si>
    <t>SCRIPPS MEMORIAL GREEN HOSPITAL</t>
  </si>
  <si>
    <t>EMERGENCY ENGINE, DETROIT DIESEL, MODEL 91237300, DIESEL FIRED, 1000 BHP</t>
  </si>
  <si>
    <t>10666 TORREY PINES RD N</t>
  </si>
  <si>
    <t>SCRIPPS MEMORIAL HOSPITAL</t>
  </si>
  <si>
    <t>EMERGENCY GENERATOR: HAWTHORNE MODEL 3412, RATED 755 HP, DIESEL OIL FIRED</t>
  </si>
  <si>
    <t>9888 GENESEE AV</t>
  </si>
  <si>
    <t>(858) 626-6050</t>
  </si>
  <si>
    <t>EMERGENCY GENERATOR SET (600 KW): CUMMINS ENGINE (900 HP), MODEL VTA28-G2</t>
  </si>
  <si>
    <t>354 SANTA FE DR</t>
  </si>
  <si>
    <t xml:space="preserve"> ENCINITAS </t>
  </si>
  <si>
    <t>SCRIPPS MEMORIAL XIMED MED CTR L P</t>
  </si>
  <si>
    <t>ONE (1) EMERGENCY ENGINE GENERATOR SET: DETROIT DIESEL ENGINE, MODEL 8033-7405, S/N: 08VP148069, 568 BHP, DIESEL FIRED, EQUIPPED WITH TURBOCHARGING AND AFTERCOOLING, KOHLER GENERATOR, MODEL 350R0ZD71, S/N 285393.</t>
  </si>
  <si>
    <t>8033-7405</t>
  </si>
  <si>
    <t>9850 GENESEE AVE</t>
  </si>
  <si>
    <t>(858) 457-7033</t>
  </si>
  <si>
    <t>SCRIPPS MERCY HOSPITAL</t>
  </si>
  <si>
    <t>ONE (1) 2036 BHP CATERPILLAR DIESEL ENGINE, MODEL 3512 DITA WITH TURBOCHARGING AND AFTERCOOLING, S/N 3YFOO4819, DRIVING A 1000 KW EMERGENCY GENERATOR. (ENG. NO.2) 900949 EAD 6/4/91 921408 EAD 6/19/94 900949921408</t>
  </si>
  <si>
    <t>4077 FIFTH AVE</t>
  </si>
  <si>
    <t>(619) 260-7118</t>
  </si>
  <si>
    <t xml:space="preserve">EMERGENCY DIESEL ENGINE GENERATOR SET, DETROIT MODEL NO. 9123-7301, S/N 12E4421, 750 KW, USING NO. 2 DIESEL FUEL. </t>
  </si>
  <si>
    <t>9123-7301</t>
  </si>
  <si>
    <t>EMERGENCY ENGINE: DETROIT DIESEL, MODEL 81637305, DIESEL FIRED, 580 BHP, S/N 16VF-3411, DRIVING AN ELECTRIC GENERATOR. 02/98 ALC 961222</t>
  </si>
  <si>
    <t>SCRIPPS RESEARCH INSTITURE</t>
  </si>
  <si>
    <t>EMERGENCY ENGINE GENERATOR, 750 HP CATERPILLAR MODEL 3412, S/N 81Z03548.</t>
  </si>
  <si>
    <t>11107 ROSELLE ST</t>
  </si>
  <si>
    <t>SCRIPPS RESEARCH INSTITUTE</t>
  </si>
  <si>
    <t>IC ENGINE/EMERGENCY GENERATOR SET: ONE (1) CUMMINS MODEL VTA-1710-G, DIESEL-FIRED, EQUIPPED WITH TURBOCHARGING AND AFTERCOOLING, 760 BHP, 500 KW, SN 37110146; #2 SOUTH.</t>
  </si>
  <si>
    <t>VTA1710-G</t>
  </si>
  <si>
    <t>10596 TORREY PINES RD N</t>
  </si>
  <si>
    <t>IC ENGINE/EMERGENCY GENERATOR SET: ONE (1) CUMMINS MODEL VTA-1710-G, DIESEL-FIRED; EQUIPPED WITH TURBOCHARGING AND AFTERCOOLING; 760 BHP, 500 KW, SN 37104896; #1 NORTH.</t>
  </si>
  <si>
    <t>EMERGENCY ENGINE GENERATOR: 895 HORSEPOWER DETROIT DIESEL ENGINE, MODEL R163K35, SERIAL NUMBER 536-2000765 WITH A KOHLER MODEL 800ROZD4 GENERATOR.</t>
  </si>
  <si>
    <t>R163K35</t>
  </si>
  <si>
    <t>3050 SCIENCE PARK RD</t>
  </si>
  <si>
    <t>ONE(1) DIESEL EMERGENCY ENGINE GENERATOR SET: CAT DIESEL ENGINE,MODEL3406 S/N:4PM00071, 587BHP, TURBOCHARGED &amp; AFTERCOOLED,WITH A CAT GENERATOR, MODEL SR-4,400KW, S/N:6JM00501</t>
  </si>
  <si>
    <t>10620 JOHN JAY HOPKINS DR</t>
  </si>
  <si>
    <t>(858) 554-3746</t>
  </si>
  <si>
    <t>SCRIPPS RESEARCH INSTITUTE THE</t>
  </si>
  <si>
    <t>EMERGENCY STANDBY ENGINE: DETROIT DIESEL, MODEL 1250R0ZD, S/N 12E0011041, 1850 BHP.</t>
  </si>
  <si>
    <t>1250R0ZD</t>
  </si>
  <si>
    <t>3545 CRAY CT</t>
  </si>
  <si>
    <t>EMERGENCY ENGINE GENERATOR: 947 HP DETROIT DIESEL MODEL 600D560 S/N 399708.</t>
  </si>
  <si>
    <t>600D560</t>
  </si>
  <si>
    <t>10590 JOHN HOPKINS DR #A</t>
  </si>
  <si>
    <t>SD CITY OF FIRE DEPT REPAIR FACILITY</t>
  </si>
  <si>
    <t>CUMMINS MODEL NTA 855G, 375 KVA, S/N 211512733. 973227AFS20APR1999</t>
  </si>
  <si>
    <t>3870 KEARNY VILLA RD</t>
  </si>
  <si>
    <t>SD CITY OF METRO WASTEWATER DEPT</t>
  </si>
  <si>
    <t>EMERGENCY GENERATOR, CUMMINS DIESEL MODEL KTTA19-G4, S/N 37172330, 755 BHP TURBOCHARGED, AFTERCOOLED, GEN. S/N J960619095, 500 KW.</t>
  </si>
  <si>
    <t>KTTA19-G4</t>
  </si>
  <si>
    <t>9192 TOPAZ WY</t>
  </si>
  <si>
    <t>(858) 654-4426</t>
  </si>
  <si>
    <t>DETROIT DIESEL ENGINE MODEL 12V-92TA, 947 BHP, S/N 12VF013585.</t>
  </si>
  <si>
    <t>2211 AVENIDA DE LA PLAYA</t>
  </si>
  <si>
    <t>SD CITY OF METRO WASTEWATER GROVE AV PUMP STA</t>
  </si>
  <si>
    <t>ICE, CATERPILLAR, EMERGENCY ELECTRICAL GENERATION, MODEL NO. 3516 DITA, SERIAL NO. 3NS00217, DIESEL FUELED, SIXTEEN CYLINDERS, TURBOCHARGED AND AFTERCOOLED, 2518 BHP.</t>
  </si>
  <si>
    <t>F62041</t>
  </si>
  <si>
    <t>ICE, CATERPILLAR, EMERGENCY ELECTRICAL GENERATION, MODEL NO. 3516 DITA, SERIAL NO. 3NS00218, DIESEL FUELED, SIXTEEN CYLINDERS, TURBOCHARGED AND AFTERCOOLED, 2518 BHP.</t>
  </si>
  <si>
    <t>F63379</t>
  </si>
  <si>
    <t>ICE, DETROIT DIESEL, MODEL NO. R163-7K35 (16V2000), DIESEL FUELED, FOUR CYCLES, SIXTEEN CYLINDERS, TURBOCHARGED AND AFTERCOOLED, RATED AT 1200 BHP, DRIVING AN EMERGENCY ELECTRICAL GENERATOR.</t>
  </si>
  <si>
    <t>1151 OXFORD RD</t>
  </si>
  <si>
    <t>SAN MARINO</t>
  </si>
  <si>
    <t>NIWA AKIO D</t>
  </si>
  <si>
    <t>(626) 4052129</t>
  </si>
  <si>
    <t>F63381</t>
  </si>
  <si>
    <t>ICE, CATERPILLAR, MODEL NO. 3406 DITA, SERIAL NO. 4ZR05675, DIESEL FUELED, FOUR CYCLES, SIX CYLINDERS, TURBOCHARGED AND AFTERCOOLED, RATED AT 587 BHP, DRIVING AN EMERGENCY ELECTRICAL GENERATOR.</t>
  </si>
  <si>
    <t>I D M INC</t>
  </si>
  <si>
    <t>F60749</t>
  </si>
  <si>
    <t>9 PARKER</t>
  </si>
  <si>
    <t>ESSMAN FLORENCE</t>
  </si>
  <si>
    <t>(949) 4706402</t>
  </si>
  <si>
    <t>INGRAM MICRO</t>
  </si>
  <si>
    <t>1600-1610 E ST ANDREW PL</t>
  </si>
  <si>
    <t>PARQUE DAVID</t>
  </si>
  <si>
    <t>(714) 3821242</t>
  </si>
  <si>
    <t>F62805</t>
  </si>
  <si>
    <t>ICE, CUMMINS, 16 CYLINDERS, TURBOCHARGED, AFTERCOOLED, MODEL NO. KTA50-G9 (1500 KW), SERIAL NO. H020406456, 2220 BHP, DIESEL FUELED, DRIVING AN EMERGENCY ELECTRICAL GENERATOR.</t>
  </si>
  <si>
    <t>JONATHAN CLUB</t>
  </si>
  <si>
    <t>F60203</t>
  </si>
  <si>
    <t>ICE, CATERPILLAR, MODEL NO. 3406 DITA, SERIAL NO. 4RG00343, DIESEL FUELED, TURBOCHARGED AND AFTERCOOLED, 6 CYLINDER, 519 BHP, DRIVING AN EMERGENCY ELECTRICAL GENERATOR.</t>
  </si>
  <si>
    <t>545 S FIGUEROA ST</t>
  </si>
  <si>
    <t>DONDO STEVE</t>
  </si>
  <si>
    <t>(213) 3125214</t>
  </si>
  <si>
    <t>F61842</t>
  </si>
  <si>
    <t>ICE, CATERPILLAR, MODEL NO. 3412 DITTA, SERIAL NO. 81Z03386, DIESEL FUELED, FOUR CYCLES, TWELVE CYLINDERS, TURBOCHARGED AND AFTERCOOLED, RATED AT 680 BHP, DRIVING AN EMERGENCY ELECTRICAL GENERATOR.</t>
  </si>
  <si>
    <t>4700-4900 SUNSET BLVD</t>
  </si>
  <si>
    <t>SHARIFI MOHAMMAD</t>
  </si>
  <si>
    <t>(323) 7838442</t>
  </si>
  <si>
    <t>F61998</t>
  </si>
  <si>
    <t>393 E WALNUT ST</t>
  </si>
  <si>
    <t>HOFF CURTIS</t>
  </si>
  <si>
    <t>(626) 4055610</t>
  </si>
  <si>
    <t>KEYSOR-CENTURY CORP</t>
  </si>
  <si>
    <t>F57567</t>
  </si>
  <si>
    <t>ICE, EMERGENCY ELECTRICAL GENERATION, DIESEL FUELED, CUMMINS, 16 CYLINDERS, MODEL KTA50-G9, WITH AFTERCOOLER, TURBOCHARGER, 2220 BHP.</t>
  </si>
  <si>
    <t>26000 SPRINGBROOK AVE</t>
  </si>
  <si>
    <t>BOREN PAUL</t>
  </si>
  <si>
    <t>(661) 2592360</t>
  </si>
  <si>
    <t>F57568</t>
  </si>
  <si>
    <t>KPERS REALTY HOLDINGS #33, INC</t>
  </si>
  <si>
    <t>F61017</t>
  </si>
  <si>
    <t>ICE, CATERPILLAR, MODEL NO. 3412 DIT, SERIAL NO. 81Z10442, DIESEL FUELED, TURBOCHARGED, 724 BHP, DRIVING AN EMERGENCY ELECTRICAL GENERATOR</t>
  </si>
  <si>
    <t>3 IMPERIAL PROMENADE STE 410</t>
  </si>
  <si>
    <t>MYERS BARBARA</t>
  </si>
  <si>
    <t>(714) 4332222</t>
  </si>
  <si>
    <t>KRAFT FOODS NORTH AMERICA/NABISCO DIV</t>
  </si>
  <si>
    <t>F62397</t>
  </si>
  <si>
    <t>ICE, EMERGENCY POWER, DIESEL FUEL, CATERPILLAR, MODEL NO. 3516B, 2847 HP.</t>
  </si>
  <si>
    <t>7301 ARTESIA BLVD</t>
  </si>
  <si>
    <t>BUENA PARK</t>
  </si>
  <si>
    <t>TAYLOR L. D.</t>
  </si>
  <si>
    <t>(714) 5622385</t>
  </si>
  <si>
    <t>KTLA INC, TRIBUNE BROADCASTING CO</t>
  </si>
  <si>
    <t>F62382</t>
  </si>
  <si>
    <t>ICE, DETROIT DIESEL, MODEL NO. R123-7K35 (12V2000), SERIAL NO. 686469, DESIGN FUELED, FOUR CYCLES, TWELVE CYLINDERS, TURBOCHARGED AND AFTERCOOLED, RATED AT 910 BHP, DRIVING AN EMERGENCY ELECTRICAL GENERATOR.</t>
  </si>
  <si>
    <t>KTLA TRANSMITTER</t>
  </si>
  <si>
    <t>SCHNEIDER DOUG</t>
  </si>
  <si>
    <t>(213) 0000000</t>
  </si>
  <si>
    <t>ICE, CUMMINS, DIESEL-FUELED, EMERGENCY ELECTRICAL GENERATION, MODEL KTTA50-G2, TURBOCHARGED, AFTERCOOLED, 16 CYLINDERS, 2220 BHP.</t>
  </si>
  <si>
    <t>13101 SEPULVEDA BLVD</t>
  </si>
  <si>
    <t>BODEN BRENT</t>
  </si>
  <si>
    <t>(818) 7716003</t>
  </si>
  <si>
    <t>LA CITY, LADOT/HOLLYWOOD PARKING ENF</t>
  </si>
  <si>
    <t>F62748</t>
  </si>
  <si>
    <t>ICE, DETROIT DIESEL, EMERGENCY ELECTRICAL GENERATION, MODEL NO. 9163-7306, SERIAL NO. 16E006576, DIESEL FUELED, SIXTEEN CYLINDERS, TURBOCHARGED AND INTERCOOLED, 1580 BHP.</t>
  </si>
  <si>
    <t>411 N VERMONT AVE</t>
  </si>
  <si>
    <t>LA CO CIVIC CENTER</t>
  </si>
  <si>
    <t>ICE, DETROIT DIESEL, MODEL NO. 7163-7000, SERIAL NO. 16VA-3465, FOUR CYCLE, NATURALLY ASPIRATED, DIESEL FUELED, 570 HP, DRIVING AN EMERGENCY ELECTRICAL GENERATOR.</t>
  </si>
  <si>
    <t>16VA-3465</t>
  </si>
  <si>
    <t>313 N FIGUEROA ST</t>
  </si>
  <si>
    <t>BRADY PAT</t>
  </si>
  <si>
    <t>(213) 2666041</t>
  </si>
  <si>
    <t>LA CO. SANITATION DIST</t>
  </si>
  <si>
    <t>F62164</t>
  </si>
  <si>
    <t>ICE, CATERPILLAR, 16 CYLINDERS, TURBOCHARGED, AFTERCOOLED, MODEL NO. 3516B DITA (2000 KW), 2847 BHP, DIESEL FUELED, DRIVING AN EMERGENCY ELECTRICAL GENERATOR.</t>
  </si>
  <si>
    <t>24501 S FIGUEROA ST</t>
  </si>
  <si>
    <t>FANG TOM</t>
  </si>
  <si>
    <t>LITTLE COMPANY OF MARY HOSPITAL</t>
  </si>
  <si>
    <t>F59363</t>
  </si>
  <si>
    <t>ICE, DETROIT DIESEL, EMERGENCY ELECTRICAL GENERATION, MODEL NO. 9123-7416 (12V-149TIB), SERIAL NO. 1608876, DIESEL FUELED, TWELVE CYLINDERS, TURBOCHARGED, AFTERCOOLED, 1750 BHP.</t>
  </si>
  <si>
    <t>4101 TORRANCE BLVD</t>
  </si>
  <si>
    <t>STUBBLEFIELD DOYLE</t>
  </si>
  <si>
    <t>(310) 5436967</t>
  </si>
  <si>
    <t>F59360</t>
  </si>
  <si>
    <t>ICE, DETROIT DIESEL, EMERGENCY ELECTRICAL GENERATION, MODEL NO. 8163-7405, SERIAL NO. 16VF8721, DIESEL FUELED, SIXTEEN CYLINDERS, TURBOCHARGED, AFTERCOOLED, 1095 BHP.</t>
  </si>
  <si>
    <t>F59361</t>
  </si>
  <si>
    <t>ICE, DETROIT DIESEL, EMERGENCY ELECTRICAL GENERATION, MODEL NO. 8163-7405, SERIAL NO. 16VF8722, DIESEL FUELED, SIXTEEN CYLINDERS, TURBOCHARGED, AFTERCOOLED, 1095 BHP.</t>
  </si>
  <si>
    <t>F59362</t>
  </si>
  <si>
    <t>ICE, DETROIT DIESEL, EMERGENCY ELECTRICAL GENERATION, MODEL NO. 8163-7405, SERIAL NO. 16VF8720, DIESEL FUELED, SIXTEEN CYLINDERS, TURBOCHARGED, AFTERCOOLED, 1095 BHP.</t>
  </si>
  <si>
    <t>LITTON GUIDANCE  &amp; CONTROL SYS</t>
  </si>
  <si>
    <t>F59498</t>
  </si>
  <si>
    <t>DIESEL ENGINE NO. 2, EMERGENCY ELECTRICAL GENERATION, CUMMINS, TURBOCHARGED, AFTERCOOLED, MODEL KTA-3067 GS, SIXTEEN CYLINDERS, 1490 BHP.</t>
  </si>
  <si>
    <t>5500 CANOGA AVE</t>
  </si>
  <si>
    <t>WALL JAMES</t>
  </si>
  <si>
    <t>(818) 7152687</t>
  </si>
  <si>
    <t>F59500</t>
  </si>
  <si>
    <t>DIESEL ENGINE/GENERATOR-EMERGENCY-SET: CUMMINS MODEL KT 2300 G ENGINE #33103803 (915-HP @ 1800 RPM); S/N#11681 KOHLER MODEL 600R0771 GENERATOR, S/N 088127 (600 KW, 750 KVA, 902 AMPS, 277 / 480 VOLTS, 3 PHASE, 0.8 PF , 60 HZ @ 1800 RPM)</t>
  </si>
  <si>
    <t>KT2300-G</t>
  </si>
  <si>
    <t>500 3RD AV</t>
  </si>
  <si>
    <t>(619) 691-4958</t>
  </si>
  <si>
    <t>SD CO OF GEN SVCS SHERIFFS OFC CRIME LAB</t>
  </si>
  <si>
    <t>ONE (1) EMERGENCY ENGINE GENERATOR SET : DETROIT DIESEL ENGINE, MODEL: 12V-149TI, 1375 BHP, QUAD TURBO; WITH A KOHLER GENERATOR, MODEL 900 ROZD-71, 900 KW</t>
  </si>
  <si>
    <t>5255 MT ETNA DR</t>
  </si>
  <si>
    <t>(858) 694-4497</t>
  </si>
  <si>
    <t>SD CO OF MENTAL HEALTH SERVICES</t>
  </si>
  <si>
    <t>CAT ENGINE GENERATOR, MODEL 3412 DI, S/N 81706211,723 BHP, 539 KW, 1800 RPM DIESEL FIRED</t>
  </si>
  <si>
    <t>3851 ROSECRANS ST</t>
  </si>
  <si>
    <t>(619) 692-8088</t>
  </si>
  <si>
    <t>SD CO OF WATER AUTHORITY</t>
  </si>
  <si>
    <t>EMERGENCY ELECTRICAL GENERATOR-ENGINE SET: CUMMINS ENGINE, MODEL NTA855-G3 S/N 30330726, 535 HP, 1800 RPM, TURBOCHARGED AND AFTERCOOLED DIESEL ENGINE DRIVING AN ONAN MODEL 350 DFCC, S/N D910384876, 350 KW ELECTRICAL GENERATOR.</t>
  </si>
  <si>
    <t>610 5TH AV W</t>
  </si>
  <si>
    <t xml:space="preserve"> ESCONDIDO</t>
  </si>
  <si>
    <t>(858) 480-1991</t>
  </si>
  <si>
    <t>SD CONVENTION CENTER CORP</t>
  </si>
  <si>
    <t>EMERGENCY STANDBY ELECTRICAL GENERATOR CONSISTING OF CUMMINS KTA50 1490 BHP DIESEL FIRED I.C. ENGINE DRIVING A 1025 KW ELECTRICAL GENERATOR</t>
  </si>
  <si>
    <t>KTA50</t>
  </si>
  <si>
    <t>111 HARBOR DR W</t>
  </si>
  <si>
    <t>(619) 525-5400</t>
  </si>
  <si>
    <t>DETROIT DIESEL MODEL 16V2000 G70 R163-7K05, S/N 5362000666, 1200 HP, CRANKCASE VENTILATION FILTER SYSTEM, DIESEL FIRED. 975722AFS28NOV2000</t>
  </si>
  <si>
    <t>G70 R163-7K05</t>
  </si>
  <si>
    <t>SD HOSPICE CORP</t>
  </si>
  <si>
    <t>EMERGENCY ENGINE-GENERATOR SET: CATERPILLAR MODEL3406B, S/N 4RG00815, 315 KW AT 449 BHP, TURBOCHARGED DIESEL ENGINE.</t>
  </si>
  <si>
    <t>4311 3RD AV</t>
  </si>
  <si>
    <t>(619) 688-1600</t>
  </si>
  <si>
    <t>SD MARRIOTT HOTEL &amp; MARINA</t>
  </si>
  <si>
    <t>EMERGENCY GENERATOR: CATERPILLAR MODEL 3412, 755 HP RATED 600 KW, #2 DIESEL FIRED, S/N FA 03780</t>
  </si>
  <si>
    <t>333 HARBOR DR W</t>
  </si>
  <si>
    <t>(619) 234-1500</t>
  </si>
  <si>
    <t>EMERGENCY GENERATOR: CUMMINS MODEL 680FDR7128HHW, RATED 600 KW, DIESEL-FIRED, S/N MM-19-50109-11/8-1</t>
  </si>
  <si>
    <t>680FDR7128HHW</t>
  </si>
  <si>
    <t>SD POLICE SUBSTATION</t>
  </si>
  <si>
    <t>EMERGENCY ENGINE GENERATOR SET: DETROIT DIESEL, SPECTRUM, DIESEL FIRED, 500 KW, S/N 366968.</t>
  </si>
  <si>
    <t>4310 LANDIS ST</t>
  </si>
  <si>
    <t>SD STATE UNIVERSITY</t>
  </si>
  <si>
    <t>EMERGENCY ENGINE GENERATOR, 896 HP CATERPILLAR MODEL 3412 DITA DIESEL ENGINE, S/N 81Z20989, TURBOCHARGED, AFTERCOOLED. 961940 GDS 2/98</t>
  </si>
  <si>
    <t>5500 CAMPANILE DR</t>
  </si>
  <si>
    <t>(619) 594-6778</t>
  </si>
  <si>
    <t>EMERGENCY ENGINE GENERATOR, 587 HP CATERPILLAR MODEL 3406B DIESEL ENGINE S/N 4PM00347, TURBOCHARGED, AFTERCOOLED.</t>
  </si>
  <si>
    <t>EMERGENCY ENGINE GENERATOR, 574 HP CATERPILLAR MODEL 3406B DIESEL ENGINE SERIAL NUMBER 4PM00392, TURBOCHARGED, AFTERCOOLED. 951138 GDS 2/98</t>
  </si>
  <si>
    <t>EMERGENCY ENGINE GENERATOR, 830 HP DETROIT DIESEL MODEL 12V-92TA DIESEL ENGINE, S/N 389063, TURBOCHARGED, AFTERCOOLED. 970555 GDS 2/98</t>
  </si>
  <si>
    <t>EMERGENCY ENGINE GENERATOR, 474 HP DETROIT DIESEL MODEL 8036-7416 DIESEL ENGINE S/N 7A00043, TURBOCHARGED, AFTERCOOLED.</t>
  </si>
  <si>
    <t>8036-7416</t>
  </si>
  <si>
    <t>SD TOWER ASSOC LP</t>
  </si>
  <si>
    <t>EMERGENCY GENERATOR SET: KOHLER, MODEL 1200 ROZD, 1200 KW, S/N 268017; DIESEL ENGINE, DETROIT , MODEL 12V149TIB, 1750 HP, UNIT 12EOOO9488 S.O. 7A00050, MOD 91237416; WITH 4 OILDEX CRANKCASE VENILATION FILTERS RECYCLING TO ENGINE AIR INTAKE (APPL #900343/CW) 0891</t>
  </si>
  <si>
    <t>600 BROADWAY W</t>
  </si>
  <si>
    <t>(619) 544-0600</t>
  </si>
  <si>
    <t>SD UNIFIED PORT DISTRICT INTERNATIONAL AIRPORT</t>
  </si>
  <si>
    <t>EMERGENCY ENGINE GENERATOR: 519 HORSEPOWER CATERPILLAR MODEL 3406DITA S/N 4ZR01387. 961289 GDS 2/98</t>
  </si>
  <si>
    <t>LINDBERGH FIELD SDIA</t>
  </si>
  <si>
    <t>(619) 686-6597</t>
  </si>
  <si>
    <t>EMERGENCY STANDBY ENGINE, CUMMINS MODEL VTA-28-G5-E9685230, S/N 25220837, 900 BHP. 961834AFS23FEB1999</t>
  </si>
  <si>
    <t>EMERGENCY ENGINE GENERATOR SET: DETROIT DIESEL 450 DS ENGINE, 750 BHP, MODEL 12V71TA-7123-7406, S/N 38096.</t>
  </si>
  <si>
    <t>EMERGENCY ENGINE, DETROIT DIESEL MODEL 12V71/MARATHON ELECTRIC MODEL NO. 71237305, S/N 12VA078152, 650 BHP. 972648AFS23DEC1998</t>
  </si>
  <si>
    <t>SD WILD ANIMAL PARK</t>
  </si>
  <si>
    <t>CATERPILLAR DIESEL ENGINE MODEL 3516B, 2000 KW, 2876 HP, TURBOCHARGED, AFTERCOOLED, S/N 6HN00584. 975137AFS15JUN2000</t>
  </si>
  <si>
    <t>15500 SAN PASQUAL VALLEY RD</t>
  </si>
  <si>
    <t>EMERGENCY ENGINE GENERATOR: 800 HP CATERPILLAR MODEL D348 DIESEL ENGINE, S/N 36J224, 600KW. GDS 970966 11/98</t>
  </si>
  <si>
    <t>SDG&amp;E</t>
  </si>
  <si>
    <t>EMERGENCY ENGINE GENERATOR: 474 HORSEPOWER DETROIT DIESEL MODEL 6V-92TA DIESEL ENGINE, SERIAL NUMBER 302081, 300 KW KOHLER GENERATOR MODEL 300ROZD.</t>
  </si>
  <si>
    <t>8316 CENTURY PARK CT</t>
  </si>
  <si>
    <t>SDG&amp;E CO</t>
  </si>
  <si>
    <t>GENERATOR / I C ENGINE SET, EMERGENCY: CUMMINS MODEL VTA-1710-GS DIESEL ENGINE, 685-BHP, 4 CYCLE, 12 CYLINDER, S/N 37101873, TURBOCHARGED; GENERATOR, 500 KW (APPL #14886) 0883</t>
  </si>
  <si>
    <t>9060 FRIARS RD/MISSION SWITCHG CTR</t>
  </si>
  <si>
    <t>(619) 699-1016</t>
  </si>
  <si>
    <t>EMERGENCY ENGINE-GENERATOR SET (400 KW): KOHLER, MODEL 400 ROXD; ENGINE MANUFACTURER: DETROIT DIESEL, MODEL 8V-92TTA, ENGINE HP 643; CRANKCASE EMISSION CONTROL DEVICE MFR.: CRANK VENT (APPL #930650/CW) 0994</t>
  </si>
  <si>
    <t>8326 CENTURY PARK CT</t>
  </si>
  <si>
    <t>(858) 654-8755</t>
  </si>
  <si>
    <t>GENERATOR, GAS TURBINE, PORTABLE (13MM BTU/HR HEAT INPUT): SOLAR MOD T-1020S, TRUCK-MOUNTED, S/N 10048, DIESEL-FIRED (XFERRED 4-19-79: $/DSE) 0479</t>
  </si>
  <si>
    <t>Solar</t>
  </si>
  <si>
    <t>T-1020S</t>
  </si>
  <si>
    <t>110 A ST W</t>
  </si>
  <si>
    <t>AGOURON PHARMACEUTICALS INC</t>
  </si>
  <si>
    <t>EMERGENCY ENGINE: DETROIT DIESEL, MODEL 5005-274, DIESEL FIRED, 830 BHP, S/N 2795, DRIVING AN ELECTRIC GENERATOR. 973730 (8/99)</t>
  </si>
  <si>
    <t>5005-274</t>
  </si>
  <si>
    <t>10777 SCIENCE CENTER DR</t>
  </si>
  <si>
    <t>ALLEGIANCE TELECOM INC</t>
  </si>
  <si>
    <t>EMERGENCY ENGINE, DETROIT DIESEL MODEL 16V-92TA, S/N 5M4034, 1170 BHP.</t>
  </si>
  <si>
    <t>5761 COPLEY DR #150</t>
  </si>
  <si>
    <t>ALVARADO HOSPITAL MEDICAL CENTER</t>
  </si>
  <si>
    <t>EMERGENCY ENGINE GENERATOR SET (545 KW): DIESEL ENGINE, CATERPILLAR, MODEL 3412 DITA, S/N 6FAO5607, RATED 890 HP</t>
  </si>
  <si>
    <t>6645 ALVARADO RD</t>
  </si>
  <si>
    <t>(619) 229-3236</t>
  </si>
  <si>
    <t>EMERGENCY I/C ENGINE ELECTRICAL GENERATOR SET- ONELAWLESS DETROIT DIESEL MODEL NO. 9123-7305, S/N 12EOO1481, WITH 905 HP RATED CAPACITY.</t>
  </si>
  <si>
    <t>6655 ALVARADO RD</t>
  </si>
  <si>
    <t>(619) 286-7421</t>
  </si>
  <si>
    <t>AMERICAN RED CROSS NATIONAL GENETICS TESTING LAB</t>
  </si>
  <si>
    <t>EMERGENCY STANDBY ENGINE: CUMMINS ENGINE, MODEL KTTA19-G1, S/N J920487438, 685 BHP, DIESEL FUELED.</t>
  </si>
  <si>
    <t>8885 REHCO RD</t>
  </si>
  <si>
    <t>ARDEN REALTY INC IMPERIAL BANK TOWER</t>
  </si>
  <si>
    <t>EMERGENCY ENGINE GENERATOR SET: CATERPILLAR ENGINE, MODEL D348TA, S/N 36J3213,775 BHP, TURBOCHARGED, AFTERCOOLED; DRIVING GENERATOR MODEL # 620-483361111, S/N 84712.</t>
  </si>
  <si>
    <t>701 B ST</t>
  </si>
  <si>
    <t>(619) 230-1131</t>
  </si>
  <si>
    <t>ARE 10933 NORTH TORREY PINES RD</t>
  </si>
  <si>
    <t>EMERGENCY ENGINE GENERATOR: 750 HORSEPOWER DETROIT DIESEL ENGINE, MODEL 71237305, SERIAL NUMBER 12VA056290, TURBOCHARGED. 973610 GDS 7/99</t>
  </si>
  <si>
    <t>EMERGENCY ENGINE GENERATOR SET: CAT DIESEL ENGINE, MODEL 3512-B, 2032 BHP</t>
  </si>
  <si>
    <t>5690 BALBOA ARMS DR</t>
  </si>
  <si>
    <t>AT&amp;T LOCAL SERVICES</t>
  </si>
  <si>
    <t>DIESEL ENGINE-GENERATOR SET: KATOLIGHT MODEL D500FRX4, 500 KW,DRIVEN BY A DETROIT DIESEL MODEL 12V71TA(7123-7406), TURBOCHARGED, AFTERCOOLED, V-12, 2-STROKE CYCLE, DIRECT INJECTION, 750-HP DIESEL ENGINE. 973952 (9/99)</t>
  </si>
  <si>
    <t>5464 MOREHOUSE DR</t>
  </si>
  <si>
    <t>(858) 812-0000</t>
  </si>
  <si>
    <t>ATT ENS</t>
  </si>
  <si>
    <t>CATERPILLAR DIESEL ENGINE MODEL 3512B, 2172 HP, S/N 6WN00458, TURBOCHARGED, AFTERCOOLED, CRANKCASE FILTER. 975427AFS05SEP2000</t>
  </si>
  <si>
    <t>5732 PACIFIC CENTER BL</t>
  </si>
  <si>
    <t>CATERPILLAR DIESEL ENGINE MODEL 3512B, 2172HP, S/N 6WN00459, TURBOCHARGED, AFTERCOOLED, CRANKCASE FILTER. 975428AFS31AUG2000</t>
  </si>
  <si>
    <t>CATERPILLAR DIESEL ENGINE MODEL 3512B, 2172 HP, S/N 6WN00462, TURBOCHARGED, AFTERCOOLED, CRANKCASE FILTER. 975429AFS31AUG2000</t>
  </si>
  <si>
    <t>AVENTINE OFFICE BLDG</t>
  </si>
  <si>
    <t>I/C ENGINE EMERGENCY GENERATOR SET: ONE (1) CATERPILLAR MODEL 3412 DIESEL-FIRED ENGINE AND GENERATOR SET, SN 81Z08213; EQUIPPED WITH TURBOCHARGING AND AFTERCOOLING; 890 MAXIMUM BHP; DRIVING A 600 KW GENERATOR</t>
  </si>
  <si>
    <t>8910 UNIVERSITY CENTER LN #750</t>
  </si>
  <si>
    <t xml:space="preserve"> 92122-1085</t>
  </si>
  <si>
    <t>(858) 450-2983</t>
  </si>
  <si>
    <t>EMERGENCY GENERATOR: CATERPILLAR MODEL 750SR9E, RATED 750 HP, #2 DIESEL-FIRED, S/N 396</t>
  </si>
  <si>
    <t>750 SR9E</t>
  </si>
  <si>
    <t>8875 AERO DR</t>
  </si>
  <si>
    <t>(619) 234-9832</t>
  </si>
  <si>
    <t>BECKMAN CHEMISTRY CENTER</t>
  </si>
  <si>
    <t>EMERGENCY ENGINE: CATERPILLAR SR4, MODEL 3516, DIESEL FIRED, 2018 BHP, S/N 02520410, DRIVING AN ELECTRIC GENERATOR.</t>
  </si>
  <si>
    <t>10650 TORREY PINES RD N</t>
  </si>
  <si>
    <t>EMERGENCY ENGINE: CATERPILLAR SR4, MODEL 3516, DIESEL FIRED, 2018 BHP, S/N 02520415, DRIVING AN ELECTRIC GENERATOR.</t>
  </si>
  <si>
    <t>BECKMAN COULTER SAN DIEGO</t>
  </si>
  <si>
    <t>EMERGENCY ENGINE GENERATOR; 600 HP DETROIT DIESEL MODEL 400DS60 DIESEL ENGINE, S/N 8083-7416.</t>
  </si>
  <si>
    <t>400DS60</t>
  </si>
  <si>
    <t>7330 CARROL RD</t>
  </si>
  <si>
    <t>BIOSITE DIAGNOSTICS INC</t>
  </si>
  <si>
    <t>EMERGENCY ENGINE-GENERATOR SET: CATERPILLAR DIESEL ENGINE, MODEL 3406BDI, S/N 2WB10293, 487 HP, DRIVING A 320 KW GENERATOR.</t>
  </si>
  <si>
    <t>11030 ROSELLE ST</t>
  </si>
  <si>
    <t>EMERGENCY ENGINE-GENERATOR SET: DIESEL CUMMINS ENGINE, MODEL NTA-855-G, S/N 18104513, 465 BHP, DRIVING A 300 KW GENERATOR.</t>
  </si>
  <si>
    <t>NTA855-G</t>
  </si>
  <si>
    <t>BUENA SANITATION DISTRICT</t>
  </si>
  <si>
    <t>EMERGENCY ENGINE GENERATOR, 685 HP SPECTRUM DIESEL ENGINE MODEL KTA19G3.</t>
  </si>
  <si>
    <t>KTTA19-G3</t>
  </si>
  <si>
    <t>2080 MELROSE DR S</t>
  </si>
  <si>
    <t xml:space="preserve"> VISTA </t>
  </si>
  <si>
    <t>BURNHAM INSTITUTE THE</t>
  </si>
  <si>
    <t>EMERGENCY GENERATOR/ENGINE SET: GENERATOR (1125 KVA), SENTINEL MODEL 24707155, TYPE 23192, S/N# 99672; DIESEL ENGINE (1500 HP), MODEL 3512, S/N 24Z04672; CRANKCASE EMISSION CONTROL SYSTEM, DYNAPURE MIST COLLECTOR (WITH INTERNAL PREFILTER, PRIMARY FILTER, AND PRIMARY FILTER LINER)</t>
  </si>
  <si>
    <t>10901 TORREY PINES RD N</t>
  </si>
  <si>
    <t>(858) 455-6480</t>
  </si>
  <si>
    <t>CA ST OF 22ND DISTRICT AGRIC ASSN</t>
  </si>
  <si>
    <t>EMERGENCY ENGINE GENERATOR SET: CATERPILLAR ENGINE, MODEL PA 4033-02, S/N 81Z12846, 890 BHP; DRIVING A LEROY SOMER GENERATOR, MODEL 158473Z1, 600 KW. (950406-CCN-12/95)</t>
  </si>
  <si>
    <t>PA 4033-02</t>
  </si>
  <si>
    <t>2260 JIMMY DURANTE BL</t>
  </si>
  <si>
    <t xml:space="preserve"> DEL MAR </t>
  </si>
  <si>
    <t xml:space="preserve"> 92014-2216</t>
  </si>
  <si>
    <t>(858) 755-1161</t>
  </si>
  <si>
    <t>EMERGENCY ENGINE GENERATOR SET: DETROIT DIESEL ENGINE, MODEL 8163-7405, S/N 16VF009504, 1095 BHP; DRIVING A MAGNAMAX GENERATOR, MODEL 573 RSL205BO, S/N XB3780063, 600 KW.</t>
  </si>
  <si>
    <t>CA ST OF DEPT OF CORRECTIONS</t>
  </si>
  <si>
    <t>EMERGENCY DIESEL ENGINE GENERATOR SET, CATERIPILLAR MODEL 3512 DITA, 1000 KW, 1471 HP, USING NO. 2 DIESEL FUEL.</t>
  </si>
  <si>
    <t>480 ALTA RD</t>
  </si>
  <si>
    <t>Dave Caurwdar (ext. 7840)</t>
  </si>
  <si>
    <t>(619) 661-6500</t>
  </si>
  <si>
    <t>CA ST OF DEPT OF VETERAN AFFAIRS</t>
  </si>
  <si>
    <t>EMERGENCY ENGINE GENERATOR, 896 HP CAT DIESEL ENGINE MODEL 3412 DITA</t>
  </si>
  <si>
    <t>700 NAPLES CT E</t>
  </si>
  <si>
    <t xml:space="preserve"> CHULA VISTA </t>
  </si>
  <si>
    <t>CADENCE DESIGN SYSTEMS INC</t>
  </si>
  <si>
    <t>EMERGENCY ENGINE GENERATOR: 568 HORSEPOWER DETROIT DIESEL MODEL 8V-92TA, SERIAL NUMBER 396609 WITH A 350 KW KOHLER MODEL 350ROZD GENERATOR.</t>
  </si>
  <si>
    <t>15015 AVENUE OF SCIENCE</t>
  </si>
  <si>
    <t>CALIF STATE TEACHERS RETIREMENT SYSTEMS</t>
  </si>
  <si>
    <t>EMERGENCY DIESEL GENERATOR, CUMMINS MODEL VTA1710G1, S/N 58754, 760 BHP TURBOCHAGED, AFTERCOOLED. 950163-AFS-AUG96</t>
  </si>
  <si>
    <t>VTA-1710-G1</t>
  </si>
  <si>
    <t>401 B ST</t>
  </si>
  <si>
    <t>(619) 238-1231</t>
  </si>
  <si>
    <t>CALLAWAY GOLF CO</t>
  </si>
  <si>
    <t>EMERGENCY ENGINE GENERATOR SET, CUMMINS ENGINE, MODEL KTA19-G4,DIESEL FIRED 755 BHP,TURBUCHARGED, AFTERCOOLED,S/N 37184433, ONAN SET.</t>
  </si>
  <si>
    <t>2180 RUTHERFORD RD</t>
  </si>
  <si>
    <t xml:space="preserve"> CARLSBAD </t>
  </si>
  <si>
    <t>EMERGENCY ENGINE GENERATOR, 469 HP CUMMINS DIESEL ENGINE, MODEL NTA 855G3, S/N 11948156, TURBOCHARGED AND AFERCOOLED.</t>
  </si>
  <si>
    <t>NTA885-G3</t>
  </si>
  <si>
    <t>2285 RUTHERFORD RD</t>
  </si>
  <si>
    <t>CARLSBAD CITY OF MUNICIPAL WATER DISTRICT</t>
  </si>
  <si>
    <t>EMERGENCY GENERATOR-ENGINE SET: CUMMINS MODEL KTA19G3, S/N 37146441, 685 HP, TURBOCHARGED AND AFTERCOOLED DIESEL ENGINE DRIVING AN ONAN CUMMINS MODEL 450 DFEC, S/N C930502032, 450 KW ELECTRICAL GENERATOR.</t>
  </si>
  <si>
    <t>5200 SUNNY CREEK RD</t>
  </si>
  <si>
    <t>(619) 438-3367</t>
  </si>
  <si>
    <t>CASA DE LAS CAMPANAS</t>
  </si>
  <si>
    <t>EMERGENCY GENERATOR: 499 BHP CATERPILLAR DIESEL ENGINE, MODEL 3406 B, S/N 2WB04675 EAD 974368 2/17/00</t>
  </si>
  <si>
    <t>18655 BERNARDO DR W</t>
  </si>
  <si>
    <t>CAYENTA INC</t>
  </si>
  <si>
    <t>EMERGENCY ENGINE: DETROIT DIESEL, MODEL SPECTRUM 350DSE, DIESEL FIRED, 550 BHP, S/N 671631, DRIVING AN ELECTRIC GENERATOR.</t>
  </si>
  <si>
    <t>350DSE</t>
  </si>
  <si>
    <t>5910 PACIFIC CENTER BL</t>
  </si>
  <si>
    <t>CENTRAL AREA POLICE SUBSTATION</t>
  </si>
  <si>
    <t>EMERGENCY ENGINE GENERATOR, 400KW (536HP) CAT DIESEL ENGINE, MODEL 3406DITA</t>
  </si>
  <si>
    <t>2501 IMPERIAL AV</t>
  </si>
  <si>
    <t>CHARLOTTE RUSSE INC</t>
  </si>
  <si>
    <t>EMERGENCY ENGINE GENERATOR: DETROIT DIESEL, MODEL 81637408, 1170 HP, S/N 16VF015408, DRIVING A KOHLER GENERATOR. APPL# 972834 EFH 02/99</t>
  </si>
  <si>
    <t>8163-7408</t>
  </si>
  <si>
    <t>4645 MORENA BL</t>
  </si>
  <si>
    <t>CHILDRENS HOSPITAL &amp; HEALTH CENTER</t>
  </si>
  <si>
    <t>DETROIT DIESEL MODEL 2000DS-4, 2190 BHP, 3498199. 974326AFS07DEC1999</t>
  </si>
  <si>
    <t>2000DS-4</t>
  </si>
  <si>
    <t>3020 CHILDRENS WY</t>
  </si>
  <si>
    <t>CHIRON TECHNOLOGIES CENTER FOR GENE THERAPY</t>
  </si>
  <si>
    <t>EMERGENCY ENGINE GENERATOR: 600 HP DETROIT DIESEL 8V92TTA MODEL 80837416 S/N 08VF163658, SPECTRUM MODEL 400DS60 S/N 355982, MARATHON GENERATOR MODEL 433RSL4019.</t>
  </si>
  <si>
    <t>11055 ROSELLE ST</t>
  </si>
  <si>
    <t>(858) 452-1288</t>
  </si>
  <si>
    <t>CHULA VISTA CITY OF</t>
  </si>
  <si>
    <t>EMERGENCY ENGINE GENERATOR: 600 HORSEPOWER CATERPILLAR MODEL 3406C DIESEL ENGINE, S/N 4MP00347 WITH A 300 KW GENERATOR. 970091 GDS 4/99</t>
  </si>
  <si>
    <t>2620 ORANGE AV E</t>
  </si>
  <si>
    <t>CHULA VISTA CITY OF POLICE DEPT</t>
  </si>
  <si>
    <t>EMERGENCY ENGINE GENERATOR: KOHLER MODEL 350 ROZD71, DETROIT DIESEL MODEL 8V-92TA, S/N 263130. 962077 GDS 9/98</t>
  </si>
  <si>
    <t>276 4TH AV</t>
  </si>
  <si>
    <t>CITYFRONT TERRACE HOMEOWNERS ASSOCIATION</t>
  </si>
  <si>
    <t>EMERGENCY ELECTRICAL GENERATOR-DIESEL ENGINE SET: CATERPILLAR CO., MODEL 3508 DITA, S/N 23Z04447, 1332 HP AT 1800 RPM, TURBOCHARGED AND AFTERCOOLED DIESEL ENGINE FOR AN ELECTRICAL GENERATOR. (ADL 5/93) 975285 (12/00)</t>
  </si>
  <si>
    <t>500 HARBOR DR W</t>
  </si>
  <si>
    <t>(619) 233-2717</t>
  </si>
  <si>
    <t>COLO.COM</t>
  </si>
  <si>
    <t>CATERPILLAR DIESEL ENGINE MODEL 3512B, 2874 HP, S/N 6HN00820.</t>
  </si>
  <si>
    <t xml:space="preserve"> 3516B</t>
  </si>
  <si>
    <t>9725 SCRANTON RD #G</t>
  </si>
  <si>
    <t>COMPASS MANAGEMENT &amp; LEASING INC</t>
  </si>
  <si>
    <t>EMERGENCY STANDBY ENGINE, CATERPILLAR, MODEL D348PC, S/N36J03262, 890HP, DRIVING A 600 KW GENERATOR.</t>
  </si>
  <si>
    <t>D348 PC</t>
  </si>
  <si>
    <t>401 A ST W</t>
  </si>
  <si>
    <t>COMPUTER SCIENCES CORP DOMESTIC ENT</t>
  </si>
  <si>
    <t>EMERGENCY ENGINE-GENERATOR SET: CATERPILLAR DIESEL ENGINE, MODEL 3516, S/N 25Z01063, 2200 BHP, DRIVING A 1500 KW GENERATOR, LABELED GENERATOR NO. 2.</t>
  </si>
  <si>
    <t>5021 KEARNY VILLA RD</t>
  </si>
  <si>
    <t>EMERGENCY ENGINE-GENERATOR SET: CATERPILLAR DIESEL ENGINE, MODEL 3516, S/N 25Z00897, 2200 BHP, DRIVING A 1500 KW GENERATOR, LABELED GENERATOR</t>
  </si>
  <si>
    <t>EMERGENCY ENGINE-GENERATOR SET: CATERPILLAR DIESEL ENGINE, MODEL 3516, S/N 72Z00373, 2200 BHP, DRIVING A 1500 KW GENERATOR, LABELED GENERATOR</t>
  </si>
  <si>
    <t>EMERGENCY ENGINE-GENERATOR SET: CATERPILLAR DIESEL ENGINE, MODEL 3406TA, S/N 2WB04291, 470 BHP, DRIVING A 350 KW GENERATOR.</t>
  </si>
  <si>
    <t>CONTINENTAL REHAB HOSPITAL OF SD</t>
  </si>
  <si>
    <t>EMERGENCY ENGINE: CATERPILLAR, MODEL 3508TA, DIESEL FIRED, 1456 BHP, S/N 1ZF00563, DRIVING AN ELECTRIC GENERATOR.</t>
  </si>
  <si>
    <t>555 WASHINGTON ST</t>
  </si>
  <si>
    <t>(619) 260-8300</t>
  </si>
  <si>
    <t>CORONADO ISLAND MARRIOTT RESORT</t>
  </si>
  <si>
    <t>ONE (1) EMERGENCY ENGINE GENERATOR SET, CUMMINS DIESEL ENGINE, MODEL # KTA19-G2, S/N 31134098, 600 HP, DMT GENERATOR, MODEL 400C, 400 KW MAXIMUM OUTPUT @ 1800 RPM, S/N 860513; ENGINE EQUIPPED WITH TURBOCHARGING AND AFTERCOOLING. 970835 (12/97)</t>
  </si>
  <si>
    <t>2000 2ND ST</t>
  </si>
  <si>
    <t xml:space="preserve"> CORONADO </t>
  </si>
  <si>
    <t>(619) 435-3000</t>
  </si>
  <si>
    <t>COX CABLE</t>
  </si>
  <si>
    <t>EMERGENCY ENGINE GENERATOR: CATERPILLAR MODEL 3412DITA, S/N 81Z20993 TURBOCHARGED, AFTERCOOLED, 600KW.</t>
  </si>
  <si>
    <t>1175 CUYAMACA ST N</t>
  </si>
  <si>
    <t xml:space="preserve"> EL CAJON </t>
  </si>
  <si>
    <t>EMERGENCY ENGINE GENERATOR: 896 HP CATERPILLAR MODEL 3412DITA, S/N 81Z20952, TURBOCHARGED, AFTERCOOLED, 600KW.</t>
  </si>
  <si>
    <t>COX COMMUNICATIONS</t>
  </si>
  <si>
    <t>CATERPILLAR MODEL 3412, 896 BHP, DIESEL FIRED, S/N 81Z20198.</t>
  </si>
  <si>
    <t>5159 FEDERAL BL</t>
  </si>
  <si>
    <t>(619) 266-5577</t>
  </si>
  <si>
    <t>CATERPILLAR MODEL 3412, 896 BHP, DIESEL FIRED, S/N 81Z20193.</t>
  </si>
  <si>
    <t>EMERGENCY ENGNE GENERATOR: 587 HORSEPOWER CATERPILLAR DIESEL ENGINE MODEL 3406, SERIAL NUMBER 4ZR02941. GDS 973745 8/99</t>
  </si>
  <si>
    <t>1155 PARK CENTER DR</t>
  </si>
  <si>
    <t>EMERGENCY ENGINE GENERATOR: 587 HORSEPOWER CATERPILLAR DIESEL ENGINE MODEL 3406, SERIAL NUMBER 4ZR02939. GDS 973746 8/99</t>
  </si>
  <si>
    <t>EMERGENCY ENGINE GENERATOR: 587 HORSEPOWER CATERPILLAR DIESEL ENGINE MODEL 3406, SERIAL NUMBER 04ZR0656. GDS 973747 8/99</t>
  </si>
  <si>
    <t>623 GARRISON DR</t>
  </si>
  <si>
    <t xml:space="preserve"> OCEANSIDE </t>
  </si>
  <si>
    <t>EMERGENCY ENGINE GENERATOR: 587 HORSEPOWER CATERPILLAR DIESEL ENGINE MODEL 3406, SERIAL NUMBER 4ZR01647. GDS 973748 8/99</t>
  </si>
  <si>
    <t>EMERGENCY DIESEL ENGINE GENERATOR SET, CATERPILLAR MODEL 3412 TA, 545 BHP, 370 KW, USING NO. 2 DIESEL FUEL. S/N#38S11871</t>
  </si>
  <si>
    <t>CATERPILLAR MODEL 3412, 545 BHP, DIESEL FIRED, S/N 38S11871.</t>
  </si>
  <si>
    <t>CATERPILLAR MODEL 3406, 519 BHP, DIESEL FIRED, S/N 04ZR02738.</t>
  </si>
  <si>
    <t>406 3RD AV</t>
  </si>
  <si>
    <t>CATERPILLAR MODEL 3406, 519 BHP, DIESEL FIRED, S/N 04ZR02735.</t>
  </si>
  <si>
    <t>CTS NETWORK SERVICES</t>
  </si>
  <si>
    <t>SPECTRUM DETROIT DIESEL MODEL 8V2000, S/N 5312001126, 765 HP.</t>
  </si>
  <si>
    <t>8913 COMPLEX DR #C</t>
  </si>
  <si>
    <t>CYMER INC</t>
  </si>
  <si>
    <t>EMERGENCY ELECTRICITY ENGINE: DETROIT DIESEL, MODEL 24V-71TA, 1550 HP, 1550 HP, DRIVING A KOHLER MODEL 900ROZD GENERATOR.</t>
  </si>
  <si>
    <t>16710 VIA DEL CAMPO CT</t>
  </si>
  <si>
    <t>DEL MAR GATEWAY OFFICE BUILDING</t>
  </si>
  <si>
    <t>CATERPILLAR DIESEL ENGINE, MODEL 3406C-300KW, 499 BHP, S/N 4ZR06304, TURBOCHARGED, AFTERCOOLED. 975292AFS31JUL2000</t>
  </si>
  <si>
    <t>3406 C</t>
  </si>
  <si>
    <t>11988 EL CAMINO REAL</t>
  </si>
  <si>
    <t>DESTINET SERVICE CORP</t>
  </si>
  <si>
    <t>EMERGENCY GENERATOR: CATERPILLAR MODEL 3412, RATED 749 HP AT 500 KW, DIESEL-FIRED, S/N 81Z09372</t>
  </si>
  <si>
    <t>9450 CARROLL PARK DR</t>
  </si>
  <si>
    <t>(858) 452-0150</t>
  </si>
  <si>
    <t>DIVERSA CORPORATION</t>
  </si>
  <si>
    <t>SPECTRUM DETROIT DIESEL MODEL 6063-TK35, 490 HP, S/N 06R-0614-111, RACOR CLOSED CRANKCASE VENTILATION SYSTEM. 975516AFS21SEP2000</t>
  </si>
  <si>
    <t>4955 DIRECTORS PL</t>
  </si>
  <si>
    <t>DOWNEY SAVINGS &amp; LOAN ASSOCIATION</t>
  </si>
  <si>
    <t>EMERGENCY GENERATOR SET (300 KW): MODEL DMT-300 CA, S/N 90433-1; DIESEL ENGINE (465 HP), CUMMINS, MODEL NTA 855G2, ENGINE #11601806</t>
  </si>
  <si>
    <t>675 RANCHO SANTA FE RD S</t>
  </si>
  <si>
    <t xml:space="preserve"> SAN MARCOS </t>
  </si>
  <si>
    <t>(949) 725-4878</t>
  </si>
  <si>
    <t>DURA PHARMACEUTICALS</t>
  </si>
  <si>
    <t>EMERGENCY GENERATOR / ENGINE SET: 830 BHP DETROIT DIESEL ENGINE WITH TURBOCHARGER, AFTERCOOLER, AND 4° TIMING RETARD, MODEL 12V92TA-8123-7405 DRIVING A 500 KW EMERGENCY GENERATOR</t>
  </si>
  <si>
    <t>7475 LUSK BL</t>
  </si>
  <si>
    <t>(858) 457-2553</t>
  </si>
  <si>
    <t>DUTHIE GENERATOR SERVICES</t>
  </si>
  <si>
    <t>PORTABLE EMERGENCY STANDBY ENGINE, CUMMINS DIESEL ENGINE, MODEL KTA38-GH-1000DFJD, 1490 BHP.</t>
  </si>
  <si>
    <t>KTA38-GH-1000FJD</t>
  </si>
  <si>
    <t>PORTABLE</t>
  </si>
  <si>
    <t xml:space="preserve"> SAN DIEGO COUNTY </t>
  </si>
  <si>
    <t>PORTABLE EMERGENCY ENGINE GENERATOR, CUMMINS DIESEL ENGINE MODEL VTA28-G, S/N J970654206, 900 HP, TURBOCHARGED AND AFTERCOOLED.</t>
  </si>
  <si>
    <t>VTA28-G</t>
  </si>
  <si>
    <t>EL CORTEZ APARTMENTS</t>
  </si>
  <si>
    <t>EMERGENCY ENGINE GENERATOR, 490 HP, DETROIT DIESEL ENGINE, MODEL 300DSE, S/N 0662513. APPL# 974956 EFH 06/00</t>
  </si>
  <si>
    <t>300DSE</t>
  </si>
  <si>
    <t>702 ASH ST</t>
  </si>
  <si>
    <t>ELLIS CB RICHARD</t>
  </si>
  <si>
    <t>EMERGENCY GENERATOR: DETROIT DIESEL MODEL 8123-7300, RATED 780 HP, WITH TURBOCHARGE, DIESEL OIL FIRED, S/N 81237300.</t>
  </si>
  <si>
    <t>450 "B" ST #1410</t>
  </si>
  <si>
    <t>(619) 515-7266</t>
  </si>
  <si>
    <t>EMERALD PLAZA</t>
  </si>
  <si>
    <t>EMERGENCY GENERATOR: (1) KOHLER MODEL 75 ORDOZD-71, 750 KW, DRIVEN BY A DETROIT DIESEL ENGINE, MODEL 16V-92TA, V-16, TURBOCHARGED, 1232 BHP</t>
  </si>
  <si>
    <t>402 BROADWAY W</t>
  </si>
  <si>
    <t>(619) 239-1400</t>
  </si>
  <si>
    <t>ENCINA WASTEWATER AUTHORITY</t>
  </si>
  <si>
    <t>EMERGENCY ENGINE: CATERPILLAR, MODEL 3508-DITA, DIESEL FIRED, 1106 BHP, S/N 23Z05795, TURBOCHARGED AND AFTERCOOLED, DRIVING A 750-KW ELECTRIC GENERATOR.</t>
  </si>
  <si>
    <t>2140 JEFFERSON ST</t>
  </si>
  <si>
    <t>(760) 727-0801</t>
  </si>
  <si>
    <t>EMERGENCY ENGINE: CATERPILLAR, MODEL 3508-DITA, DIESEL FIRED, 1106 BHP, S/N 23Z05802, TURBOCHARGED AND AFTERCOOLED, DRIVING A 750-KW ELECTRIC GENERATOR.</t>
  </si>
  <si>
    <t>EMERGENCY ENGINE: CUMMINS, MODEL NTA-855-62, DIESEL FIRED, 465 BHP, S/N 30328333, DRIVING AN ELECTRIC GENERATOR.</t>
  </si>
  <si>
    <t>CANNON RD &amp; I-5</t>
  </si>
  <si>
    <t>EMERGENCY ENGINE: CUMMINS, MODEL NTA-855-62, DIESEL FIRED, 465 BHP, S/N 30328624, DRIVING AN ELECTRIC GENERATOR.</t>
  </si>
  <si>
    <t>ESCONDIDO CITY OF</t>
  </si>
  <si>
    <t>EMERGENCY ENGINE GENERATOR: 550 HORSEPOWER CATERPILLAR MODEL D-349 DIESEL ENGINE, SERIAL NUMBER 39J1229. 972276 GDS 2/99</t>
  </si>
  <si>
    <t>1521 HALE AV S</t>
  </si>
  <si>
    <t xml:space="preserve"> ESCONDIDO </t>
  </si>
  <si>
    <t xml:space="preserve"> 92029-3052</t>
  </si>
  <si>
    <t xml:space="preserve">EMERGENCY ENGINE GENERATOR SET: CATERPILLAR, MODEL SR4; ENGINE MANUFACTURER CATERPILLAR, MODEL D3406 DITA, S/N 4RG01465, ENGINE HP 449 (WITH WALKER ENGINEERING AIRSEP CRANKCASE BREATHER AIR/OIL SEPARATOR VENTED TO THE ENGINE AIR INTAKE) </t>
  </si>
  <si>
    <t>D3406 DITA</t>
  </si>
  <si>
    <t>2547 Mountain View DR</t>
  </si>
  <si>
    <t>(619) 741-5668</t>
  </si>
  <si>
    <t>EMERGENCY STANDBY ENGINE: DETROIT DIESEL MODEL 8V-92TA, 568HP,S/N 369509, DIESEL FIRED.</t>
  </si>
  <si>
    <t>3680 SUNSET DR PUMP STA #1</t>
  </si>
  <si>
    <t>EMERGENCY GENERATOR-ENGINE SET: DETROIT DIESEL, MODEL 8V-92TA 8083-7405, S/N 8VF 155158, 568 HP, TURBOCHARGED AND AFTERCOOLED DIESEL ENGINE DRIVING A KOHLER MODEL 350ROZD71, S/N 318657, 526 AMPS @ 480 VOLTS, 350 KW, ELECTRICAL GENERATOR. (APP#930984/ADL/8/94).</t>
  </si>
  <si>
    <t>201 BROADWAY N</t>
  </si>
  <si>
    <t>(619) 741-4895</t>
  </si>
  <si>
    <t>EMERGENCY GENERATOR: KOHLER MODEL 350ROZD71, 350 KW, DRIVEN BY A DETROIT DIESEL MODEL 8V-92TA, TURBOCHARGED, AFTERCOOLED, 568 BHP, V-8 DIESEL ENGINE.</t>
  </si>
  <si>
    <t>350ROZD71</t>
  </si>
  <si>
    <t>FALLBROOK HOSPITAL DISTRICT</t>
  </si>
  <si>
    <t>EMERGENCY STANDBY ENGINE: CUMMINS ENGINE, MODEL VT1710PG635, ENGINE NUMBER 761989-3, 635 BHP, DIESEL FUELED; DRIVING A 300 KW GENERATOR, MODEL 300SR9E</t>
  </si>
  <si>
    <t>VT1710PG635</t>
  </si>
  <si>
    <t>624 ELDER ST E</t>
  </si>
  <si>
    <t xml:space="preserve"> FALLBROOK </t>
  </si>
  <si>
    <t>FALLBROOK PUBLIC UTILITY DIST</t>
  </si>
  <si>
    <t>EMERGENCY ELECTRICAL GENERATOR-DIESEL ENGINE SET: CATERPILLAR MODEL 3412, SERIAL NO. 81Z15021, 750 HP @ 1800 RPM, TURBOCHARGED DIESEL ENGINE DRIVING AN ELECTRICAL GENERATOR: CATERPILLAR MODEL SR-4, SERIAL NO. 5NA08804, 500 KW ELECTRICAL GENERATOR. (ADL 3/95).</t>
  </si>
  <si>
    <t>1425 ALTURAS RD S</t>
  </si>
  <si>
    <t>(760) 728-1125</t>
  </si>
  <si>
    <t>EMERGENCY ELECTRICAL GENERATOR-ENGINE SET: DETROIT DIESEL CO., MODEL NO. 16V-92TA 8163-7405, S/N 16VF-10730, 1095 HP @ 1800 RPM, TURBOCHARGED AND AFTERCOOLED DIESEL ENGINE DRIVING A KATOLIGHT, MODEL D750FRX4, 750 KW, ELECTRICAL GENERATOR. (UNIT #1). (ADL 9/93).</t>
  </si>
  <si>
    <t>9175 KEARNY VILLA RD</t>
  </si>
  <si>
    <t>(858) 537-5560</t>
  </si>
  <si>
    <t>EMERGENCY ELECTRICAL GENERATOR-ENGINE SET: DETROIT DIESEL CO., MODEL NO. 16V-92TA 8163-7405, S/N 16VF-10731, 1095 HP @ 1800 RPM, TURBOCHARGED AND AFTERCOOLED DIESEL ENGINE DRIVING A KATOLIGHT, MODEL D750FRX4, 750 KW, ELECTRICAL GENERATOR. (UNIT # 2). (ADL 9/93).</t>
  </si>
  <si>
    <t>EMERGENCY ELECTRICAL GENERATOR-ENGINE SET: DETROIT DIESEL CO., MODEL NO. 16V-92TA 8163-7405, S/N 16VF-10412, 1095 HP @ 1800 RPM, TURBOCHARGED AND AFTERCOOLED DIESEL ENGINE DRIVING A KATOLIGHT MODEL D750FRX4, 750 KW, ELECTRICAL GENERATOR. (UNIT #3). (ADL 9/93)</t>
  </si>
  <si>
    <t>FEDERAL AVIATION ADMINISTRATION ATCT</t>
  </si>
  <si>
    <t>EMERGENCY DIESEL GENERATOR, CUMMINS MODEL NTA 855-G3, TURBOCHARGED AFTERCOOLED, S/N 30353262, 535 BHP.</t>
  </si>
  <si>
    <t>3690 PACIFIC HY</t>
  </si>
  <si>
    <t>(619) 497-0515</t>
  </si>
  <si>
    <t>FIRST AMERICAN CREDCO</t>
  </si>
  <si>
    <t>EMERGENCY GENERATOR: 1120 BHP DETROIT DIESEL ENGINE, MODEL 16V-92 TA, S/N 603632, DRIVING A GENERATOR 974443 EAD 2/9/00</t>
  </si>
  <si>
    <t>12395 FIRST AMERICAN WY</t>
  </si>
  <si>
    <t xml:space="preserve"> POWAY </t>
  </si>
  <si>
    <t>EMERGENCY ENGINE GENERATOR, 587 HP CAT DIESEL ENGINE MODEL 3406, S/N 1LS00794, TURBOCHARGED AND AFTERCOOLED.</t>
  </si>
  <si>
    <t>8841 CLAIREMONT MESA BL</t>
  </si>
  <si>
    <t>FOUR SEASONS RESORT</t>
  </si>
  <si>
    <t>EMERGENCY GENSET, 947 HP DETROIT DIESEL MODEL 12V-92TA DIESEL ENGINE</t>
  </si>
  <si>
    <t>7100 FOUR SEASONS PT</t>
  </si>
  <si>
    <t>FOX CHANNEL 6</t>
  </si>
  <si>
    <t>EMERGENCY ENGINE GENERATOR, 900 HP CUMMINS DIESEL ENGINE, MODEL VTA28-G5</t>
  </si>
  <si>
    <t>8283 RONSON RD</t>
  </si>
  <si>
    <t>GEN PROBE INC</t>
  </si>
  <si>
    <t>EMERGENCY STANDBY ENGINE: DETROIT DIESEL MODEL 12V-71TA, S/N WA-506761-1196 750 BHP.</t>
  </si>
  <si>
    <t>10210 GENETIC CENTER DR</t>
  </si>
  <si>
    <t>KOHLER 600 ROZD STAND BY DIESEL GENERATOR, 900 BHP, ENGINE S/N 12VF013778 GENERATOR S/N 603437. 972324AFS04NOV1998</t>
  </si>
  <si>
    <t>600 ROZD</t>
  </si>
  <si>
    <t>10808 WILLOW CT</t>
  </si>
  <si>
    <t>GENERAL ATOMICS</t>
  </si>
  <si>
    <t>EMERGENCY GENERATOR: CATERPILLAR MODEL 3412 TA, RATED 520 KW, DIESEL-FIRED, S/N 38S8522, 755 BHP (APPL #20555/GEA) 0384</t>
  </si>
  <si>
    <t>3550 GENERAL ATOMICS CT</t>
  </si>
  <si>
    <t xml:space="preserve"> 92121-1194</t>
  </si>
  <si>
    <t>(858) 455-2823</t>
  </si>
  <si>
    <t>GENERAL INSTRUMENT</t>
  </si>
  <si>
    <t>EMERGENCY ENGINE: DETROIT DIESEL, MODEL 16V-92TA, DIESEL FIRED, 1170 BHP, S/N 8163-7406, DRIVING A KOHLER MODEL #750 ROED ELECTRIC GENERATOR.</t>
  </si>
  <si>
    <t>6420 SEQUENCE DR</t>
  </si>
  <si>
    <t>EMERGENCY ENGINE: DETROIT DIESEL, MODEL 8V-92TA, DIESEL FIRED, 568 BHP, S/N 8083-7405, DRIVING A KOHLER MOEL #350 ROZD ELECTRIC GENERATOR.</t>
  </si>
  <si>
    <t>6450 SEQUENCE DR</t>
  </si>
  <si>
    <t xml:space="preserve">EMERGENCY ENGINE, DETROIT DIESEL MODEL LSA 741G, S/N 156047-1, 850 BHP. </t>
  </si>
  <si>
    <t>LSA 741 G</t>
  </si>
  <si>
    <t>880 FRONT ST</t>
  </si>
  <si>
    <t>GENSIA INC</t>
  </si>
  <si>
    <t>EMERGENCY ENGINE GENERATOR SET: DETROIT DIESEL ENGINE, MODEL 12V-92TA, S/N 12V-08723, 8123-7405, 830 BHP AT 1800 RPM, TURBOCHARGED, AFTERCOOLED; KOHLER GENERATOR, 500 KW, MODEL 500, S/N 340683</t>
  </si>
  <si>
    <t>9390 TOWNE CENTRE DR</t>
  </si>
  <si>
    <t>(858) 546-8300</t>
  </si>
  <si>
    <t>GMAC MORTGAGE CORPORATION</t>
  </si>
  <si>
    <t>EMERGENCY ENGINE-GENERATOR SET: CATERPILLAR MODEL 3516, 1500 KW, DRIVEN BY A CATERPILLAR MODEL 3516, V-16, TURBOCHARGED, AFTERCOOLED, DIRECT INJECTION 2151-HP DIESEL ENGINE. 973006 (3/99)</t>
  </si>
  <si>
    <t>401 24TH ST W</t>
  </si>
  <si>
    <t xml:space="preserve"> NATIONAL CITY </t>
  </si>
  <si>
    <t>(619) 470-5784</t>
  </si>
  <si>
    <t>GOVERNMENT EMPLOYEES INSURANCE COMPANY</t>
  </si>
  <si>
    <t>EMERGENCY ENGINE: CATERPILLAR, MODEL 3512B, DIESEL FIRED, 2172 BHP, S/N 6WN00258, DRIVING AN ELECTRIC GENERATOR.</t>
  </si>
  <si>
    <t>14111 DANIELSON ST</t>
  </si>
  <si>
    <t>EMERGENCY ENGINE: CATERPILLAR, MODEL 3512B, DIESEL FIRED, 2172 BHP, S/N 6WN00251, DRIVING AN ELECTRIC GENERATOR.</t>
  </si>
  <si>
    <t>CATERPILLAR DIESEL ENGINE MODEL 3512B, 2172 BHP, S/N 6WN00252.</t>
  </si>
  <si>
    <t>GROSSMONT DISTRICT HOSPITAL</t>
  </si>
  <si>
    <t>EMERGENCY GENERATOR: DETROIT DIESEL MODEL 12V-92TA, RATED 947 HP AT 720 KW, WITH TURBOCHARGE AND AFTERCOOLING, DIESEL OIL FIRED, S/N 12VF4570. (APPL #890696/JJS) 1090</t>
  </si>
  <si>
    <t>5555 GROSSMONT CENTER DR</t>
  </si>
  <si>
    <t xml:space="preserve"> LA MESA </t>
  </si>
  <si>
    <t>(619) 644-4130</t>
  </si>
  <si>
    <t>EMERGENCY GENERATOR: DETROIT DIESEL MODEL 12V-92TA, RATED 947 HP AT 720 KW, WITH TURBOCHARGE AND AFTERCOOLING, DIESEL OIL FIRED, S/N 12VF4572. (APPL #890697/JJS) 1090</t>
  </si>
  <si>
    <t>EMERGENCY GENERATOR: DETROIT DIESEL MODEL 12V-92TA, RATED 947 HP AT 720 KW, WITH TURBOCHARGE AND AFTERCOOLING, DIESEL OIL FIRED, S/N 12V4571. (APPL #890698/JJS) 1190</t>
  </si>
  <si>
    <t>HAWTHORNE MACHINERY CO</t>
  </si>
  <si>
    <t>EMERGENCY ENGINE GENERATOR; 587 HP CATERPILLAR MODEL 3406C DIESEL ENGINE</t>
  </si>
  <si>
    <t>16945 CAMINO SAN BERNARDO</t>
  </si>
  <si>
    <t>(858) 674-7029</t>
  </si>
  <si>
    <t>HAZARD CENTER ASSOCIATES</t>
  </si>
  <si>
    <t>EMERGENCY ENGINE GENERATOR: 530 HORSEPOWER CUMMINS DIESEL ENGINE MODEL NTTA-855-GS2, SERIAL NUMBER W3204-14. 974059 GDS 10/99</t>
  </si>
  <si>
    <t>7676 HAZARD CENTER DR</t>
  </si>
  <si>
    <t>HEALTHSOUTH SURGERY CENTER</t>
  </si>
  <si>
    <t>EMERGENCY ENGINE GENERATOR SET: CUMMINS DIESEL ENGINE, MODEL NTA 855-G3, S/N 30358321, 535 HP.</t>
  </si>
  <si>
    <t>5471 KEARNY VILLA RD</t>
  </si>
  <si>
    <t>HELIX WATER DISTRICT</t>
  </si>
  <si>
    <t xml:space="preserve">EMERGENCY ENGINE GENERATOR SET: CAT DIESEL ENGINE, MODEL 3406, 350 KW,475HP </t>
  </si>
  <si>
    <t>1233 VERNON WY</t>
  </si>
  <si>
    <t>EMERGENCY ENGINE GENERATOR, CUMMINS DIESEL ENGINE, MODEL 500 DFED/972206, 755 HP, S/N 1-1980777230. TURBOCHARGED AND AFTERCOOLED.</t>
  </si>
  <si>
    <t>500 DFED</t>
  </si>
  <si>
    <t>9550 LAKE JENNINGS PARK RD</t>
  </si>
  <si>
    <t xml:space="preserve"> LAKESIDE </t>
  </si>
  <si>
    <t>HEWLETT PACKARD CO</t>
  </si>
  <si>
    <t>EMERGENCY ENGINE: CATERPILLAR, MODEL 3412 DIT, DIESEL FIRED, 746 BHP, S/N 81Z19664, DRIVING AN ELECTRIC GENERATOR.</t>
  </si>
  <si>
    <t>16399 BERNARDO DR W</t>
  </si>
  <si>
    <t>HILTON LA JOLLA TORREY PINES HOTEL</t>
  </si>
  <si>
    <t>EMERGENCY GENERATOR: CUMMINS MODEL KTA-19/2, WITH TURBOCHARGE AND AFTERCOOLING, RATED 600 HP AT 400 KW, DIESEL OIL FIRED, S/N 37125235.</t>
  </si>
  <si>
    <t>10950 TORREY PINES RD N</t>
  </si>
  <si>
    <t>(858) 558-1500</t>
  </si>
  <si>
    <t>HILTON SAN DIEGO GASLAMP</t>
  </si>
  <si>
    <t>EMERGENCY ENGINE GENERATOR, 511HP DETROIT DIESEL ENGINE, MODEL 450 DSE, WITH A KOHLER GENERATOR 450 DSE S/N 0650116, TURBOCHARGED AND AFTERCOOLED.</t>
  </si>
  <si>
    <t>450 DSE</t>
  </si>
  <si>
    <t>401 K ST</t>
  </si>
  <si>
    <t>HOMEGROCER.COM</t>
  </si>
  <si>
    <t>EMERGENCY ENGINE: CATERPILLAR, MODEL 3412DITA, DIESEL FIRED, 896 BHP, S/N 81A25015, DRIVING AN ELECTRIC GENERATOR.</t>
  </si>
  <si>
    <t>9389 WAPLES ST</t>
  </si>
  <si>
    <t>HORTON PLAZA</t>
  </si>
  <si>
    <t>EMERGENCY ENGINE, CUMMINS MODEL KTA 19-62, S/N 31131500, DIESEL FIRED, 600 BHP. GARAGE LEVEL 2 CARROT. 972746AFS25JAN1999</t>
  </si>
  <si>
    <t>324 HORTON PLAZA GARAGE #2 CARROT</t>
  </si>
  <si>
    <t>HOUSEHOLD AUTO FINANCE CORP</t>
  </si>
  <si>
    <t>EMERGENCY ENGINE GENERATOR, 1489 HP, CATERPILLAR DIESEL ENGINE, MODEL 3508</t>
  </si>
  <si>
    <t>6602 CONVOY CT</t>
  </si>
  <si>
    <t>HUGHES MICROELECTRONICS CENTER</t>
  </si>
  <si>
    <t>ONE CUMMINS MODEL KTAA 19-G2, RATED 600 HP, 400 KW, DIESEL FIRED, S/N 37119054</t>
  </si>
  <si>
    <t>KTAA19-G2</t>
  </si>
  <si>
    <t>6155 EL CAMINO REAL</t>
  </si>
  <si>
    <t>(619) 929-2986</t>
  </si>
  <si>
    <t>HYATT REGENCY HOTEL S D</t>
  </si>
  <si>
    <t>EMERGENCY ENGINE ELECTRICAL GENERATOR SET: KOHLER MODEL 1000 ROZD 71, 1550 HP TURBOCHARGED, INTERCOOLED DETROIT DIESEL ENGINE MODEL 9123 - 7306, SERIAL NUMBER 12E - 9874 DRIVING A 1000 KW GENERATOR.</t>
  </si>
  <si>
    <t>1 MARKET PL</t>
  </si>
  <si>
    <t>(619) 232-1234</t>
  </si>
  <si>
    <t>HYATT REGENCY LA JOLLA</t>
  </si>
  <si>
    <t>EMERGENCY GENERATOR: CATERPILLAR MODEL3412 DITA, RATED 890 HP AT 600 KW, TURBOCHARGED AND AFTERCOOLED, DIESEL OIL FIRED, S/N 81Z08213</t>
  </si>
  <si>
    <t>3777 LA JOLLA VILLAGE DR</t>
  </si>
  <si>
    <t>(858) 552-1234</t>
  </si>
  <si>
    <t>HYBRITECH</t>
  </si>
  <si>
    <t>EMERGENCY GENERATOR: CATERPILLAR MODEL 3412 TA, RATED  677 KW, DIESEL-FIRED, S/N 81203791</t>
  </si>
  <si>
    <t>9850 DISTRIBITION AV</t>
  </si>
  <si>
    <t>(858) 578-9800</t>
  </si>
  <si>
    <t>IDEC INC</t>
  </si>
  <si>
    <t>ONE (1) CATERPILLAR EMERGENCY ENGINE GENERATOR MODEL: 3412 DITA, 890 BHP, 600 KW, S/N: S8114222, TURBOCHARGED AND AFTERCOOLED DIESEL FIRED.</t>
  </si>
  <si>
    <t>11011 TORREYANA</t>
  </si>
  <si>
    <t>(858) 550-8500</t>
  </si>
  <si>
    <t>INFLOW INC</t>
  </si>
  <si>
    <t>EMERGENCY ENGINE GENERATOR, 1200 HP CUMMINS DIESEL ENGINE MODEL 825C/QST 30-G2, S/N 37190720, TURBOCHARGED AND AFTERCOOLED.</t>
  </si>
  <si>
    <t>QST30-G2/825C</t>
  </si>
  <si>
    <t>9645 SCRANTON RD</t>
  </si>
  <si>
    <t>INSURANCE COMPANY OF THE WEST</t>
  </si>
  <si>
    <t>EMERGENCY STANDBY ENGINE: CUMMINS MODEL NTA 855-63, S/N 30356312, 535 BHP, DIESEL FUELED.</t>
  </si>
  <si>
    <t>11455 EL CAMINO REAL</t>
  </si>
  <si>
    <t>INTUIT</t>
  </si>
  <si>
    <t>EMERGENCY ENGINE GENERATOR: 587 HORSEPOWER CATERPILLAR DIESEL ENGINE MODEL 3406, SERIAL NUMBER 9DR02323. GDS 973921 9/99</t>
  </si>
  <si>
    <t>6220 GREENWICH DR</t>
  </si>
  <si>
    <t>EMERGENCY ENGINE GENERATOR: 1850 HORSEPOWER DETROIT DIESEL ENGINE MODEL 12V-149TIB, SERIAL NUMBER 612779 WITH A KOHLER MODEL 1250 ROZD-4 GENERATOR, RATED 1250 KW. 973287 GDS 5/99</t>
  </si>
  <si>
    <t>ICE NO. R1-1, CATERPILLAR, MODEL NO. 3516B DITA SC, SERIAL NO. 6HN00628, DIESEL FUELED, EMERGENCY ELECTRICAL GENERATOR, TURBOCHARGED AND AFTERCOOLED, 2847 BHP.</t>
  </si>
  <si>
    <t>F51156</t>
  </si>
  <si>
    <t>ICE NO. R1-2, CATERPILLAR, MODEL NO. 3516B DITA SC, SERIAL NO. 6HN00629, DIESEL FUELED, EMERGENCY ELECTRICAL GENERATOR, TURBOCHARGED AND AFTERCOOLED, 2847 BHP.</t>
  </si>
  <si>
    <t>F51157</t>
  </si>
  <si>
    <t>ICE NO. A, CATERPILLAR, MODEL NO. 3516B DITA SC, SERIAL NO. 6HN00634, DIESEL FUELED, EMERGENCY ELECTRICAL GENERATOR, TURBOCHARGED AND AFTERCOOLED, 2847 BHP.</t>
  </si>
  <si>
    <t>F51158</t>
  </si>
  <si>
    <t>ICE NO. B, CATERPILLAR, MODEL NO. 3516B DITA SC, SERIAL NO. 6HN00631, DIESEL-FUELED, EMERGENCY ELECTRICAL GENERATOR, TURBOCHARGED AND AFTERCOOLED, 2847 BHP.</t>
  </si>
  <si>
    <t>F51159</t>
  </si>
  <si>
    <t>ICE NO. D, CATERPILLAR, MODEL NO. 3516B DITA SC, SERIAL NO. 6HN00650, DIESEL-FUELED, EMERGENCY ELECTRICAL GENERATOR, TURBOCHARGED AND AFTERCOOLED, 2847 BHP.</t>
  </si>
  <si>
    <t>F51160</t>
  </si>
  <si>
    <t>ICE NO. F, CATERPILLAR, MODEL NO. 3516B DITA SC, SERIAL NO. 6HN00769, DIESEL-FUELED, EMERGENCY ELECTRICAL GENERATOR, TURBOCHARGED AND AFTERCOOLED, 2847 BHP.</t>
  </si>
  <si>
    <t>FEDERAL AVIATION ADMINISTRATION</t>
  </si>
  <si>
    <t>F51074</t>
  </si>
  <si>
    <t>ICE, DETROIT DIESEL, MODEL NO. 8163-7405, SERIAL NO. 1132216VFO, DIESEL FUELED, TURBOCHARGED, 16 CYLINDER, 1095 BHP, DRIVING AN EMERGENCY ELECTRIAL GENERATOR.</t>
  </si>
  <si>
    <t>245 WORLD WAY NORTH</t>
  </si>
  <si>
    <t>DIMAGGIO JOSEPH</t>
  </si>
  <si>
    <t>(818) 5674633</t>
  </si>
  <si>
    <t>GATX RAIL CORP</t>
  </si>
  <si>
    <t>D21191</t>
  </si>
  <si>
    <t>ICE, CATERPILLAR, DIESEL-FUELED, EMERGENCY ELECTRICAL GENERATION, MODEL 3412, SERIAL NO. 38Z09602, TURBOCHARGED, INTERCOOLED, 12 CYLINDERS, 521 BHP.</t>
  </si>
  <si>
    <t>2000 E SEPULVEDA BLVD</t>
  </si>
  <si>
    <t>CARSON</t>
  </si>
  <si>
    <t>ZINNER RON</t>
  </si>
  <si>
    <t>(310) 5187745</t>
  </si>
  <si>
    <t>HEMAN G STARK YOUTH CORRECTIONAL FAC</t>
  </si>
  <si>
    <t>F53771</t>
  </si>
  <si>
    <t>ICE, GENERAC, MODEL NO. 16.0 DTA, SERIAL NO. 2064562, DIESEL FUELED, EIGHT CYLINDERS, TURBOCHARGED AND AFTERCOOOLED, RATED AT 563 BHP, DRIVING AN EMERGENCY ELECTRICAL GENERATOR.</t>
  </si>
  <si>
    <t>16.0 DTA</t>
  </si>
  <si>
    <t>15180 S EUCLID AVE</t>
  </si>
  <si>
    <t>CHINO</t>
  </si>
  <si>
    <t>MAEDA MIKE</t>
  </si>
  <si>
    <t>(909) 6065012</t>
  </si>
  <si>
    <t>HPMC STADIUM GATEWAY</t>
  </si>
  <si>
    <t>F52155</t>
  </si>
  <si>
    <t>ICE, CUMMINS, 6 CYLINDER, TURBOCHARGED, AFTERCOOLED, MODEL N14-G2 (399 KW), SERIAL NO. 12001504, 535 BHP, DIESEL FUELED, DRIVING AN EMERGENCY ELECTRICAL GENERATOR.</t>
  </si>
  <si>
    <t>1900 S STATE COLLEGE</t>
  </si>
  <si>
    <t>ANAHEIM</t>
  </si>
  <si>
    <t>VAZQUEZ JORGE</t>
  </si>
  <si>
    <t>(714) 3858185</t>
  </si>
  <si>
    <t>INDYMAC BANK</t>
  </si>
  <si>
    <t>F53374</t>
  </si>
  <si>
    <t>ICE, CATERPILLAR, MODEL NO. 3508DI, SERIAL NO. 23700434, TURBOCHARGED, RATED AT 920 BHP, DIESEL FUELED, DRIVING AN EMERGENCY ELECTRICAL GENERATOR.</t>
  </si>
  <si>
    <t>16680 VALLEY VIEW AVE</t>
  </si>
  <si>
    <t>LA MIRADA</t>
  </si>
  <si>
    <t>LEONARD TROY</t>
  </si>
  <si>
    <t>(626) 5355130</t>
  </si>
  <si>
    <t>IRVINE RANCH WATER DISTRICT</t>
  </si>
  <si>
    <t>F51204</t>
  </si>
  <si>
    <t>ICE, PORTABLE, CATERPILLAR, MODEL 3412 DITA, SERIAL NO. 81211272, TURBOCHARGED, AFTERCOOLED, DIESEL FUELED, RATED AT 805 BHP, DRIVING AN EMERGENCY ELECTRICAL GENERATOR.</t>
  </si>
  <si>
    <t>VARIOUS LOCATIONS</t>
  </si>
  <si>
    <t>AKIYOSHI ERIC</t>
  </si>
  <si>
    <t>(949) 4535854</t>
  </si>
  <si>
    <t>KABC-AM RADIO INC</t>
  </si>
  <si>
    <t>F53958</t>
  </si>
  <si>
    <t>ICE, CATERPILLAR, 6 CYLINDERS, TURBOCHARGED, AFTERCOOLED, MODEL NO. 3456DITA AA, SERIAL NO. CEA00374, 685 BHP, DIESEL-FUELED, DRIVING AN EMERGENCY ELECTRICAL GENERATOR.</t>
  </si>
  <si>
    <t>24701 JEFFERSON AVE</t>
  </si>
  <si>
    <t>BLUNDELL DENNIS</t>
  </si>
  <si>
    <t>(909) 3042489</t>
  </si>
  <si>
    <t>F51744</t>
  </si>
  <si>
    <t>ICE, CUMMINS, EMERGENCY ELECTRICAL GENERATION, MODEL NO. KTA50-G3, DIESEL FUELED, SIXTEEN CYLINDERS, TURBOCHARGED AND AFTERCOOLED, 850 BHP.</t>
  </si>
  <si>
    <t>NICHOLSON VERTEX LP, GLENDALE OFFICE CTR</t>
  </si>
  <si>
    <t>F53148</t>
  </si>
  <si>
    <t>ICE, CUMMINS, DIESEL-FUELED, MODEL KTA19-G1, SERIAL NO. 37139529, TURBOCHARGED, AFTERCOOLED, 6 CYLINDERS, RATED AT 560 BHP, DRIVING AN EMERGENCY GENERATOR.</t>
  </si>
  <si>
    <t>401 N BRAND BLVD BLDG G</t>
  </si>
  <si>
    <t>GLENDALE</t>
  </si>
  <si>
    <t>AHMADI NASSER</t>
  </si>
  <si>
    <t>(818) 5487298</t>
  </si>
  <si>
    <t>ONE WILSHIRE, CARLYLE ONE WILSHIRE, LLC</t>
  </si>
  <si>
    <t>F51836</t>
  </si>
  <si>
    <t>ICE, CATERPILLAR, 16 CYLINDER, TURBOCHARGED, AFTERCOOLED, MODEL 3516B DITA (2847 BHP), SERIAL NO. 1HZ00661, 2847 BHP, DIESEL FUELED, DRIVING AN EMERGENCY ELECTRICAL GENERATOR.</t>
  </si>
  <si>
    <t>STEVENS PAMELA</t>
  </si>
  <si>
    <t>(213) 6294831</t>
  </si>
  <si>
    <t>22401 JUNIPER FLATS RD</t>
  </si>
  <si>
    <t>NUEVO</t>
  </si>
  <si>
    <t>DIORIO ROBERT</t>
  </si>
  <si>
    <t>(909) 9283446</t>
  </si>
  <si>
    <t>PACIFIC BELL</t>
  </si>
  <si>
    <t>F37918</t>
  </si>
  <si>
    <t>ICE, CATERPILLAR, 12 CYLINDERS, TURBOCHARGED, AFTERCOOLED, MODEL NO. 3512B DITA-1500 KW (NONEPA), 2155 BHP, DIESEL-FUELED, DRIVING AN EMERGENCY ELECTRICAL GENERATOR.</t>
  </si>
  <si>
    <t>23600 PARK SORRENTO RD</t>
  </si>
  <si>
    <t>TRAN TRACY</t>
  </si>
  <si>
    <t>(626) 5763155</t>
  </si>
  <si>
    <t>7744 LANKERSHIM BLVD</t>
  </si>
  <si>
    <t>NORTH HOLLYWOOD</t>
  </si>
  <si>
    <t>FARIAS LINUS</t>
  </si>
  <si>
    <t>(925) 8238851</t>
  </si>
  <si>
    <t>F53672</t>
  </si>
  <si>
    <t>ICE, CATERPILLAR, EMERGENCY ELECTRICAL GENERATION, MODEL NO. 3512 DITA, DIESEL FUELED, TWELVE CYLINDERS, TURBOCHARGED AND AFTERCOOLED, 1810 BHP.</t>
  </si>
  <si>
    <t>25762 CAMINO DEL AVION</t>
  </si>
  <si>
    <t>SAN JUAN CAPISTRANO</t>
  </si>
  <si>
    <t>F50866</t>
  </si>
  <si>
    <t>ICE, CATERPILLAR, EMERGENCY ELECTRIAL GENERATION, MODEL NO. 3516B, DIESEL FUELED, SIXTEEN CYLINDERS, TURBOCHARGED AND AFTERCOOLED, 2847 BHP.</t>
  </si>
  <si>
    <t>PCH BEACH RESORT LLC</t>
  </si>
  <si>
    <t>F53623</t>
  </si>
  <si>
    <t>ICE, DETROIT DIESEL, 12 CYLINDERS, TURBOCHARGED, AFTERCOOLED, MODEL NO. R123-7K35 (679 KW), SERIAL NO. 723346, 910 BHP, DIESEL-FUELED, DRIVING AN EMERGENCY ELECTRICAL GENERATOR.</t>
  </si>
  <si>
    <t>21500 PACIFIC COAST HWY</t>
  </si>
  <si>
    <t>HUNTINGTON BEACH</t>
  </si>
  <si>
    <t>ANDERSON BRETT</t>
  </si>
  <si>
    <t>(714) 3746154</t>
  </si>
  <si>
    <t xml:space="preserve">POLYTEX PLASTICS MFG, INC               </t>
  </si>
  <si>
    <t>F52570</t>
  </si>
  <si>
    <t>ICE, EMERGENCY, KOHLER, MODEL 750ROZD-4, DIESEL, FOUR CYCLE, TURBOCHARGED, 1,120 BHP, DRIVING A 750 KW ELECTRICAL GENERATOR.</t>
  </si>
  <si>
    <t>EMERGENCY ENGINE: CATERPILLAR, MODEL 3512, DIESEL FIRED, 1250 KVA, S/N 24Z08398, DRIVING AN ELECTRIC GENERATOR.</t>
  </si>
  <si>
    <t>8929 AERO DR #D</t>
  </si>
  <si>
    <t>LIGAND PHARMACEUTICALS INC</t>
  </si>
  <si>
    <t>ONE(1) EMERGENCY ENGINE GENERATOR SET:SPECTRUM DETROIT DIESEL ENGINE:MODEL 81237416,S/N:12V0105S, 945 BHP, EQUIPPED WITH TURBOCHARGING AFTERCOOLING AND FOUR DEGREE RETARD, DRIVING A SPECTRUM DETROIT DIESEL GENERATOR</t>
  </si>
  <si>
    <t>10255 SCIENCE CENTER DR</t>
  </si>
  <si>
    <t>(858) 535-3900</t>
  </si>
  <si>
    <t>EMERGENCY ENGINE: DETROIT DIESEL, MODEL 6V92TA-8063-7416, DIESEL FIRED, 474 BHP, S/N 391966, DRIVING A 300-KW ELECTRIC GEN-SET.</t>
  </si>
  <si>
    <t>10275 SCIENCE CENTER DR</t>
  </si>
  <si>
    <t>LINSCO PRIVATE LEDGER FINANCIAL SERVICES</t>
  </si>
  <si>
    <t>EMERGENCY ENGINE GENERATOR, 2010HP, CATERPILLAR DIESEL ENGINE, MODEL 3512B</t>
  </si>
  <si>
    <t>9785 TOWNE CENTRE DR</t>
  </si>
  <si>
    <t xml:space="preserve"> 92121-1968</t>
  </si>
  <si>
    <t>LOEWS CORONADO BAY RESORT</t>
  </si>
  <si>
    <t>EMERGENCY ENGINE-GENERATOR SET: CATERPILLAR MODEL 3412 DIT 749 HP DIESEL ENGINE, S/N 81Z11095, WITH 500 KW GENERATOR</t>
  </si>
  <si>
    <t>4000 CORONADO BAY RD</t>
  </si>
  <si>
    <t>(619) 424-4000</t>
  </si>
  <si>
    <t>DETROIT DIESEL ENGINE MODEL 560 4 CYCLE, S/N 0654989, 550 HP, TURBOCHARGED.</t>
  </si>
  <si>
    <t>2318 NORTHSIDE DR</t>
  </si>
  <si>
    <t>MAINTENANCE WAREHOUSE</t>
  </si>
  <si>
    <t>EMERGENCY ENGINE GENERATOR: 550 HORSEPOWER DETROIT DIESEL ENGINE MODEL 6063TK35, SERIAL NUMBER 06R0509719 WITH A KOHLER MODEL 350 REOZD GENERATOR.</t>
  </si>
  <si>
    <t>6063TK35</t>
  </si>
  <si>
    <t>5505 MOREHOUSE DR</t>
  </si>
  <si>
    <t>EMERGENCY ENGINE: KOHLER, MODEL NO. 350REO2D, DIESEL FIRED, 550 BHP</t>
  </si>
  <si>
    <t>350REO2D</t>
  </si>
  <si>
    <t>10641 SCRIPPS SUMMIT CT</t>
  </si>
  <si>
    <t>EMERGENCY ENGINE: KOHLER, MODEL 6063TK35, DIESEL FIRED, 550 BHP, S/N C6R0509719, DRIVING AN ELECTRIC GENERATOR.</t>
  </si>
  <si>
    <t>MARRIOTT BRIGHTON GARDENS</t>
  </si>
  <si>
    <t>EMERGENCY ENGINE GENERATOR: 474 HP DETROIT DIESEL MODEL 6V-92TA, S/N 8063-7416, TURBOCHARGED, AFTERCOOLED.</t>
  </si>
  <si>
    <t>13101 HARTFIELD AV</t>
  </si>
  <si>
    <t>MARRIOTT SUITES HOTEL</t>
  </si>
  <si>
    <t>EMERGENCY GENERATOR, DIESEL: ONE (1) CATERPILLAR MODEL 3406TA, 445 BHP MAXIMUM RATED POWER OUTPUT, 6 CYLINDER, DIRECT INJECTION; EQUIPPED WITH TURBOCHARGING AND AFTERCOOLING, 1800 RPM; DRIVING A 300 KW GENERATOR, 60 HZ</t>
  </si>
  <si>
    <t>701 A ST (PENTHOUSE)</t>
  </si>
  <si>
    <t>(619) 696-9800</t>
  </si>
  <si>
    <t>MCAS MIRAMAR</t>
  </si>
  <si>
    <t>EMERGENCY GENERATOR: CUMMINS MODEL DMT350C, RATED 350 KW, DIESEL-FIRED</t>
  </si>
  <si>
    <t>DMT350C</t>
  </si>
  <si>
    <t>NAVCOMBRIG MIRAMAR</t>
  </si>
  <si>
    <t>(858) 537-1137</t>
  </si>
  <si>
    <t>EMERGENCY STANDBY ENGINE: GENERAL MOTORS MODEL V-16 TWIN BLOWN, S/N 16VA-180/189, 550 BHP, DIESEL FUELED, LOCATED AT BUILDING M-441.</t>
  </si>
  <si>
    <t>V-16</t>
  </si>
  <si>
    <t>USMC MIRAMAR</t>
  </si>
  <si>
    <t>MCI METRO</t>
  </si>
  <si>
    <t>EMERGENCY DIESEL GENERATOR, DETROIT DIESEL MODEL 8V-92, 630 BHP</t>
  </si>
  <si>
    <t>8V-92</t>
  </si>
  <si>
    <t>707 BROADWAY</t>
  </si>
  <si>
    <t>MCI TELECOMMUNICATIONS CORP</t>
  </si>
  <si>
    <t>Caterpillar Model; SR4-3412 - Diesel Fired, 680 hpI.C. Engine Driving 470 KW Electrical Generator. Emergency Stand-by Electrical Generator.</t>
  </si>
  <si>
    <t>8933 COMPLEX DR</t>
  </si>
  <si>
    <t>(858) 292-1182</t>
  </si>
  <si>
    <t>EMERGENCY ENGINE: KOHLER, MODEL 433RSL4019BF-175W, DIESEL FIRED, 568 BHP, S/N ZF 4030213, DRIVING AN ELECTRIC GEN-SET.</t>
  </si>
  <si>
    <t>433RSL4019BF-175W</t>
  </si>
  <si>
    <t>MCI WORLD COM</t>
  </si>
  <si>
    <t>EMERGENCY ENGINE GENERATOR: 777 HORSEPOWER CATERPILLAR DIESEL ENGINE MODEL 3412, SERIAL NUMBER 2WJ02047 WITH A 500 KW GENERATOR. 973914 GDS 10/99</t>
  </si>
  <si>
    <t>10065 BARNES CANYON RD #A</t>
  </si>
  <si>
    <t>MERCK &amp; CO INC</t>
  </si>
  <si>
    <t>ONE EMERGENCY ENGINE GENERATOR: KOHLER GENERATOR MODEL 300RO2D71 300 KW S/N: 294755, POWERED BY A DETROIT DIESEL ENGINE, MODEL 80637416, 474 BHP, UNIT # 06VF194925, EQUIPPED WITH TURBOCHARGING AND AFTERCOOLING.</t>
  </si>
  <si>
    <t>300RO2D71</t>
  </si>
  <si>
    <t>3535 GENERAL ATOMICS CT</t>
  </si>
  <si>
    <t>MERIDIAN MASTER ASSOC</t>
  </si>
  <si>
    <t>EMERGENCY STANDBY ENGINE, CUMMINS MODEL 3000 DMF17R, 465HP, S/N L830690751 DIESEL FIRED.</t>
  </si>
  <si>
    <t>3000 DMF17R</t>
  </si>
  <si>
    <t>700 FRONT ST</t>
  </si>
  <si>
    <t>MFS INTELENET SAN DIEGO</t>
  </si>
  <si>
    <t>EMERGENCY ENGINE: CATERPILLAR, MODEL SR-41B, DIESEL FIRED, 2168 BHP, S/N 76M00556, DRIVING AN ELECTRIC GENERATOR.</t>
  </si>
  <si>
    <t>SR-41B</t>
  </si>
  <si>
    <t>8806 COMPLEX DR</t>
  </si>
  <si>
    <t>MITCHELL INTERNATIONAL</t>
  </si>
  <si>
    <t>EMERGENCY ENGINE GENERATOR SET: DETROIT DIESEL ENGINE, MODEL 8V-92TA, 568HP S/N 08VF174722, DRIVING A 350KW GENERATOR.</t>
  </si>
  <si>
    <t>9925 CARROLL CANYON RD</t>
  </si>
  <si>
    <t>NATIONAL DISPATCH CENTER INC THE</t>
  </si>
  <si>
    <t>EMERGENCY ENGINE GENERATOR SET: DETROIT DIESEL ENGINE, MODEL 80837416, S/N 08VF168768, 643 BHP; KOHLER GENERATOR, MODEL 400 ROZD71, S/N 369505, 400 KW.</t>
  </si>
  <si>
    <t>8911 BALBOA AV</t>
  </si>
  <si>
    <t>(858) 654-9000</t>
  </si>
  <si>
    <t>EMERGENCY ENGINE GENRATOR SET: DETROIT DIESEL ENGINE, MODEL 80837416, S/N 08VF168937, 643 BHP; KOHLER GENERATOR, MODEL 400 ROZD71, S/N 369506, 400 KW.</t>
  </si>
  <si>
    <t>NATIONAL STEEL &amp; SHIPBUILDING</t>
  </si>
  <si>
    <t>ENGINE NO.1039: EMERGENCY DIESEL ENGINE/GENERATOR SET, CATERPILLAR ENGINE MODEL 3412, 510 HP, 350 KW, DIESEL OIL FUELED, TURBOCHARGED, AFTERCOOLED, S/N 3856561. JCM 8/88</t>
  </si>
  <si>
    <t>28TH ST &amp; HARBOR DR</t>
  </si>
  <si>
    <t>(619) 544-7778</t>
  </si>
  <si>
    <t>ENGINE NO.1038: EMERGENCY DIESEL ENGINE/GENERATOR SET, CATERPILLAR ENGINE MODEL 3412, 510 HP, 350 KW, DIESEL OIL FUELED, TURBOCHARGED, AFTERCOOLED, S/N 3856575. JCM 8/88</t>
  </si>
  <si>
    <t>ENGINE NO.1037: EMERGENCY DIESEL ENGINE/GENERATOR SET, CATERPILLAR ENGINE MODEL 3412, 510 HP, 350 KW, DIESEL OIL FUELED, TURBOCHARGED, AFTERCOOLED, S/N 3856568. JCM 8/88</t>
  </si>
  <si>
    <t>ICE, DETROIT DIESEL, DIESEL-FUELED, EMERGENCY ELECTRICAL GENERATION, MODEL NO. 7163-7305, TURBOCHARGED, AFTERCOOLED, 16 CYLINDERS, 830 BHP.</t>
  </si>
  <si>
    <t>6101 W CENTURY BLVD</t>
  </si>
  <si>
    <t>WOLF GARY</t>
  </si>
  <si>
    <t>(310) 6424839</t>
  </si>
  <si>
    <t>SO CALIF REAL ESTATE SVCS, THE ACADEMY</t>
  </si>
  <si>
    <t>F61718</t>
  </si>
  <si>
    <t>ICE, CATERPILLAR, DIESEL FUELED, EMERGENCY ELECTRICAL GENERATION, MODEL NO. 3406, TURBOCHARGED, AFTERCOOLED, 6 CYLINDERS, 519 BHP.</t>
  </si>
  <si>
    <t>5200 LANKERSHIM BLVD STE 340</t>
  </si>
  <si>
    <t>EVANS SHAWN</t>
  </si>
  <si>
    <t>(818) 5092683</t>
  </si>
  <si>
    <t>STAPLES CENTER, L A ARENA COMPANY LLC.</t>
  </si>
  <si>
    <t>F61869</t>
  </si>
  <si>
    <t>ICE, NO. 1, CATERPILLAR, EMERGENCY ELECTRICAL GENERATION, MODEL NO. 3512B DITA, DIESEL FUELED, TURBOCHARGED AND AFTERCOOLED, 2153 BHP.</t>
  </si>
  <si>
    <t>1111 S FIGUEROA ST STE 3100</t>
  </si>
  <si>
    <t>POTTEROFF BILL</t>
  </si>
  <si>
    <t>(213) 7427471</t>
  </si>
  <si>
    <t>F61870</t>
  </si>
  <si>
    <t>TARGET STORES, T-553</t>
  </si>
  <si>
    <t>F62049</t>
  </si>
  <si>
    <t>ICE, CUMMINS, MODEL NO. KTTA19-G1, SERIAL NO. 486-105, DIESEL FUELED, FOUR CYCLES, SIX CYLINDERS, TURBOCHARGED AND AFTERCOOLED, RATED AT 685 BHP, DRIVING AN EMERGENCY ELECTRICAL GENERATOR.</t>
  </si>
  <si>
    <t>14750 MILLER AVE</t>
  </si>
  <si>
    <t>FONTANA</t>
  </si>
  <si>
    <t>GILCHRIST JILL</t>
  </si>
  <si>
    <t>(612) 7614589</t>
  </si>
  <si>
    <t>TELECOM CENTER LA LLC</t>
  </si>
  <si>
    <t>F61457</t>
  </si>
  <si>
    <t>ICE, CATERPILLAR, 16 CYLINDERS, TURBOCHARGED, AFTERCOOLED, MODEL NO. 3516B DITA (2000 KW), SERIAL NO. FDN00111, 2847 BHP, DIESEL FUELED, DRIVING AN EMERGENCY ELECTRICAL GENERATOR.</t>
  </si>
  <si>
    <t>530 W 6TH ST</t>
  </si>
  <si>
    <t>LAZARIN SELINA</t>
  </si>
  <si>
    <t>(213) 6274365</t>
  </si>
  <si>
    <t>F62344</t>
  </si>
  <si>
    <t>ICE, CATERPILLAR, 16 CYLINDERS, TURBOCHARGED, AFTERCOOLED, MODEL NO. 3516B DITA (2000 KW), SERIAL NO. 6HN00296, 2847 BHP, DIESEL FUELED, DRIVING AN EMERGENCY ELECTRICAL GENERATOR.</t>
  </si>
  <si>
    <t>F62345</t>
  </si>
  <si>
    <t>ICE, CATERPILLAR, 16 CYLINDERS, TURBOCHARGED, AFTERCOOLED, MODEL NO. 3516B DITA (2000 KW), SERIAL NO. 6HN00213, 2847 BHP, DIESEL FUELED, DRIVING AN EMERGENCY ELECTRICAL GENERATOR.</t>
  </si>
  <si>
    <t>THE AEROSPACE CORP UNIT NO.02</t>
  </si>
  <si>
    <t>F63506</t>
  </si>
  <si>
    <t>ICE, CATERPILLAR, 16 CYLINDERS, TURBOCHARGED, AFTERCOOLED, MODEL NO. 3516B DITA (2000 KW), SERIAL NO. 7RN01459, 2847 BHP, DIESEL FUELED, DRIVING AN EMERGENCY ELECTRICAL GENERATOR.</t>
  </si>
  <si>
    <t>2350 E EL SEGUNDO</t>
  </si>
  <si>
    <t>UMEKUBO RIKI</t>
  </si>
  <si>
    <t>(310) 3369036</t>
  </si>
  <si>
    <t>THE BOEING COMPANY</t>
  </si>
  <si>
    <t>F61597</t>
  </si>
  <si>
    <t>ICE, AB VOLVO PENTA, MODEL NO. TAD1631GE, DIESEL FUELED, NON-ROAD, SIX CYLINDERS, 757 BHP, TURBOCHARGED, AFTERCOOLED, DRIVING AN EMERGENCY ELECTRICAL GENERATOR.</t>
  </si>
  <si>
    <t>8900 DE SOTO AVE</t>
  </si>
  <si>
    <t>CANOGA PARK</t>
  </si>
  <si>
    <t>TEWELDE LEUL</t>
  </si>
  <si>
    <t>(818) 5864005</t>
  </si>
  <si>
    <t>F56554</t>
  </si>
  <si>
    <t>ICE, EMERGENCY POWER, DIESEL FUELED, CATERPILLAR, MODEL NO. 3512 DITA, AFTERCOOLED, TURBOCHARGED, 1801 BHP.</t>
  </si>
  <si>
    <t>2201 SEAL BEACH &amp; 2600 WEST BLVD</t>
  </si>
  <si>
    <t>SEAL BEACH</t>
  </si>
  <si>
    <t>BOEHM THERESA J</t>
  </si>
  <si>
    <t>(562) 7974916</t>
  </si>
  <si>
    <t>F56543</t>
  </si>
  <si>
    <t>ICE, CATERPILLAR, DIESEL FUELED, EMERGENCY ELECTRICAL GENERATOR, MODEL NO. 3412T, 670 BHP, 12 CYLINDERS, TURBOCHARGED, AFTERCOOLED.</t>
  </si>
  <si>
    <t>F56544</t>
  </si>
  <si>
    <t>ICE, CATERPILLAR, DIESEL FUELED, EMERGENCY ELECTRICAL GENERATOR, MODEL NO. D399, 1310 BHP, 16 CYLINDERS, TURBOCHARGED, AFTERCOOLED.</t>
  </si>
  <si>
    <t>F56545</t>
  </si>
  <si>
    <t>F56546</t>
  </si>
  <si>
    <t>F56547</t>
  </si>
  <si>
    <t>F56548</t>
  </si>
  <si>
    <t>F56549</t>
  </si>
  <si>
    <t xml:space="preserve">ICE, CATERPILLAR, DIESEL FUELED, EMERGENCY ELECTRICAL GENERATION, MODEL NO. 3512, 1482 BHP, 12 CYLINDERS, TURBOCHARGED, AFTERCOOLED. </t>
  </si>
  <si>
    <t>F56550</t>
  </si>
  <si>
    <t>F56551</t>
  </si>
  <si>
    <t>F56552</t>
  </si>
  <si>
    <t xml:space="preserve">ICE, CATERPILLAR, DIESEL FUELED, EMERGENCY ELECTRICAL GENERATION, MODEL NO. 3412TA, 800 BHP, 12 CYLINDERS, TURBOCHARGED, AFTERCOOLED. </t>
  </si>
  <si>
    <t>THE GENERAL SERVICES ADMINISTRATION</t>
  </si>
  <si>
    <t>F61980</t>
  </si>
  <si>
    <t>ICE, DETROIT DIESEL ALLISON, DIESEL-FUELED, EMERGENCY ELECTRICAL GENERATION, MODEL NO. 8163-7416, SERIAL NO. XF-19-53680-6/11, TURBOCHARGED, AFTERCOOLED, 16 CYLINDERS, TWO CYCLE, 1232 BHP.</t>
  </si>
  <si>
    <t>312 N SPRING ST</t>
  </si>
  <si>
    <t>DAVIS LORENZO</t>
  </si>
  <si>
    <t>(213) 8944984</t>
  </si>
  <si>
    <t>THE WALT DISNEY COMPANY</t>
  </si>
  <si>
    <t>F56632</t>
  </si>
  <si>
    <t>ICE, CATERPILLAR, MODEL NO. 3512B DITA, DIESEL FUELED, 12 CYLINDERS, TURBOCHARGED, AFTERCOOLED, RATED AT 2025 BHP, DRIVING AN EMERGENCY ELECTRICAL STANDBY GENERATOR.</t>
  </si>
  <si>
    <t>500 S BUENA VISTA ST.</t>
  </si>
  <si>
    <t>RUBINO CHRISTINE</t>
  </si>
  <si>
    <t>(818) 5606221</t>
  </si>
  <si>
    <t>THE WESTIN PASADENA</t>
  </si>
  <si>
    <t>F60634</t>
  </si>
  <si>
    <t>ICE, CUMMINS, DIESEL FUELED, EMERGENCY ELECTRICAL GENERATION, MODEL NO. KTA19-G2, SERIAL NO. 61011, TURBOCHARGED, AFTERCOOLED, 6 CYLINDERS, 620 BHP.</t>
  </si>
  <si>
    <t>191 N LOS ROBLES AVE</t>
  </si>
  <si>
    <t>SCHUMAN TOM</t>
  </si>
  <si>
    <t>(626) 3041404</t>
  </si>
  <si>
    <t>THOMAS PROPERTIES GROUP</t>
  </si>
  <si>
    <t>F59800</t>
  </si>
  <si>
    <t>ICE, CATERPILLAR, DIESEL FUELED, EMERGENCY ELECTRICAL GENERATION, MODEL D398, TURBOCHARGED, AFTERCOOLED, 12 CYLINDERS, 1552 BHP.</t>
  </si>
  <si>
    <t>505-515 S FLOWER ST</t>
  </si>
  <si>
    <t>RHOADES ANDY</t>
  </si>
  <si>
    <t>(213) 4859595</t>
  </si>
  <si>
    <t>F59806</t>
  </si>
  <si>
    <t>ICE, WAUKESHA, DIESEL-FUELED, EMERGENCY ELECTRICAL GENERATION, MODEL NO. L5790 DSI, TURBOCHARGED, AFTERCOOLED, 12 CYLINDERS, 1552 BHP.</t>
  </si>
  <si>
    <t>L5790</t>
  </si>
  <si>
    <t>F59807</t>
  </si>
  <si>
    <t>TOWN PK HOTEL CORP,DBA CROWN PLAZA HOTEL</t>
  </si>
  <si>
    <t>F62157</t>
  </si>
  <si>
    <t>ICE, CATERPILLAR, 6 CYLINDERS, TURBOCHARGED, AFTERCOOLED, MODEL NO. 3406 DITA (400 KW), SERIAL NO. 4ZZR06687, 587 BHP, DIESEL-FUELED, DRIVING AN EMERGENCY ELECTRICAL GENERATOR.</t>
  </si>
  <si>
    <t>300 N HARBOR DR</t>
  </si>
  <si>
    <t>COFFMAN RICH L</t>
  </si>
  <si>
    <t>(213) 3188888</t>
  </si>
  <si>
    <t>TOWNGATE REGIONAL MALL CO</t>
  </si>
  <si>
    <t>ICE, DETROIT DIESEL, MODEL NO. 8V-92A, DIESEL FUELED, EIGHT CYLINDERS, 540 BHP, TURBOCHARGED AFTERCOOLED, DRIVING AN EMERGENCY ELECTRICAL GENERATOR.</t>
  </si>
  <si>
    <t>22500 TOWN CIR SUITE 1206</t>
  </si>
  <si>
    <t>BARRCELONA GUY</t>
  </si>
  <si>
    <t>(714) 6977710</t>
  </si>
  <si>
    <t>TRW INC,</t>
  </si>
  <si>
    <t>F58417</t>
  </si>
  <si>
    <t>ICE, EMERGENCY POWER, DIESEL FUELED, CUMMINS, MODEL NO. VT1410-G, WITH AFTERCOOLER, TURBOCHARGER, 685 HP.</t>
  </si>
  <si>
    <t>VTA1410-G</t>
  </si>
  <si>
    <t>1 SPACE PARK</t>
  </si>
  <si>
    <t>ARAGA REYNALDO G</t>
  </si>
  <si>
    <t>(310) 8148576</t>
  </si>
  <si>
    <t>U S GOVT, V A MEDICAL CENTER, WEST L A</t>
  </si>
  <si>
    <t>F54754</t>
  </si>
  <si>
    <t>ICE, GENERAC, MODEL NO. 339DTA, DIESEL FUELED, 12 CYLINDERS, TURBOCHARGED, AFTERCOOLED, RATED AT 1135 BHP, DRIVING AN EMERGENCY ELECTRICAL GENERATOR.</t>
  </si>
  <si>
    <t>11301 WILSHIRE Blvd.</t>
  </si>
  <si>
    <t>HAYES LEE</t>
  </si>
  <si>
    <t>(310) 2684018</t>
  </si>
  <si>
    <t>ULTRA VIOLET DEVICES, INC</t>
  </si>
  <si>
    <t>F58590</t>
  </si>
  <si>
    <t>ICE, GENERAC, MODEL NO. 16 0 DTA (SD400), DIESEL FUELED, FOUR CYCLES, EIGHT CYLINDERS, TURBOCHARGED AND AFTERCOOLED, RATED AT 563 BHP, DRIVING AN EMERGENCY ELECTRICAL GENERATOR.</t>
  </si>
  <si>
    <t>SD400</t>
  </si>
  <si>
    <t>28220 INDUSTRY DR</t>
  </si>
  <si>
    <t>KEALY PAT</t>
  </si>
  <si>
    <t>(805) 2958140</t>
  </si>
  <si>
    <t>UNION BANK,WALTON UB PLAZA INVESTORS III</t>
  </si>
  <si>
    <t>F60630</t>
  </si>
  <si>
    <t>ICE, CATERPILLAR, DIESEL FUELED, EMERGENCY ELECTRICAL GENERATION, MODEL NO. 3512/1250, SERIAL NO. 24Z0331, 12 CYLINDERS, TURBOCHARGED, 1786 BHP.</t>
  </si>
  <si>
    <t>445 S FIGUEROA ST</t>
  </si>
  <si>
    <t>LIBERMAN KEVIN</t>
  </si>
  <si>
    <t>(213) 6200410</t>
  </si>
  <si>
    <t>UNIVERSAL CITY STUDIOS, LLC.</t>
  </si>
  <si>
    <t>F61396</t>
  </si>
  <si>
    <t>ICE, DETROIT DIESEL, MODEL NO. R123-7536, DIESEL FUEL, TURBOCHARGED, AFTERCOOLED, RATED AT 1120 BHP, DRIVING AN EMERGENCY ELECTRICAL GENERATOR.</t>
  </si>
  <si>
    <t>R123-7536</t>
  </si>
  <si>
    <t>3900 LANKERSHIM BLVD</t>
  </si>
  <si>
    <t>UNIVERSAL CITY</t>
  </si>
  <si>
    <t>RICHARDS MICHELLE</t>
  </si>
  <si>
    <t>(818) 7773263</t>
  </si>
  <si>
    <t>F56614</t>
  </si>
  <si>
    <t>ICE, CATERPILLAR, MODEL NO. 3516B DITA, DIESEL FUELED, TURBOCHARGED, AFTERCOOLED, 16 CYLINDERS, 2847 BHP, DRIVING AN EMERGENCY ELECTRICAL GENERATOR.</t>
  </si>
  <si>
    <t>UNIVERSITY OF CALIFORNIA, RIVERSIDE</t>
  </si>
  <si>
    <t>F60176</t>
  </si>
  <si>
    <t>ICE, CATERPILLAR, 12 CYLINDERS, TURBOCHARGED, AFTERCOOLED, MODEL NO. 3512 DITA (1250 KW), SERIAL NO. CMJ00545, 1801 BHP, DIESEL FUELED, DRIVING AN EMERGENCY ELECTRICAL GENERATOR.</t>
  </si>
  <si>
    <t>UCR PHYSICAL SCIENCES 1</t>
  </si>
  <si>
    <t>FONG CHI KWAN</t>
  </si>
  <si>
    <t>(909) 7874201</t>
  </si>
  <si>
    <t>F63782</t>
  </si>
  <si>
    <t>ICE, CATERPILLAR, DIESEL-FUELED, EMERGENCY ELECTRICAL GENERATION, MODEL NO. 3456 DITA AA, TURBOCHARGED, AFTERCOOLED, 6 CYLINDERS, 4 CYCLE, 536 BHP.</t>
  </si>
  <si>
    <t>2011 ZONAL AVE</t>
  </si>
  <si>
    <t>BURGOS ANGEL C</t>
  </si>
  <si>
    <t>(323) 4422209</t>
  </si>
  <si>
    <t>US GOVT, AF DEPT, MARCH AIR RESERVE BASE</t>
  </si>
  <si>
    <t>F58382</t>
  </si>
  <si>
    <t>MARCH AFB</t>
  </si>
  <si>
    <t>WRIGHTON COLONEL TIMOTHY</t>
  </si>
  <si>
    <t>(909) 6555062</t>
  </si>
  <si>
    <t>F58383</t>
  </si>
  <si>
    <t>VARTEC TELECOM, INC LOS ANGELES SWITCH 1</t>
  </si>
  <si>
    <t>F63588</t>
  </si>
  <si>
    <t>650 S GRAND AVE STE 200</t>
  </si>
  <si>
    <t>NAVARRO JOSE</t>
  </si>
  <si>
    <t>(213) 6271520</t>
  </si>
  <si>
    <t>F61730</t>
  </si>
  <si>
    <t>ICE, CUMMINS, DIESEL FUELED, EMERGENCY ELECTRICAL GENERATION, MODEL NO. N14-G2, SERIAL NO. 12034970, TURBOCHARGED, AFTERCOOLED, SIX CYLINDERS, FOUR CYCLE, 535 BHP.</t>
  </si>
  <si>
    <t>2636 SECRET DR</t>
  </si>
  <si>
    <t>RUNNING SPRINGS</t>
  </si>
  <si>
    <t>WELZ PETER</t>
  </si>
  <si>
    <t>(909) 4692260</t>
  </si>
  <si>
    <t>VERNON CITY</t>
  </si>
  <si>
    <t>F60856</t>
  </si>
  <si>
    <t>4355 S DOWNEY RD</t>
  </si>
  <si>
    <t>RIGG SCOTT B</t>
  </si>
  <si>
    <t>(323) 5838811</t>
  </si>
  <si>
    <t>WELLS REIT GLENDALE CA LLC</t>
  </si>
  <si>
    <t>F61388</t>
  </si>
  <si>
    <t>ICE, CATERPILLAR, DIESEL FUELED, MODEL 3412, SERIAL NO. 81208696, TURBOCHARGED, AFTERCOOLED, 12 CYLINDERS, 890 BHP, DRIVING AN EMERGENCY ELECTRICAL GENERATOR.</t>
  </si>
  <si>
    <t>800 N BRAND BLVD</t>
  </si>
  <si>
    <t>BRIZEE BRAD</t>
  </si>
  <si>
    <t>(818) 5491700</t>
  </si>
  <si>
    <t>YUCAIPA VALLEY WATER DIST/WELL 55</t>
  </si>
  <si>
    <t>F62723</t>
  </si>
  <si>
    <t>ICE, CATERPILLAR, 6 CYLINDERS, TURBOCHARGED, AFTERCOOLED, MODEL NO. 3456 DITA AA (350 KW), SERIAL NO. 3PG00546, 536 BHP, DIESEL FUELED, DRIVING AN EMERGENCY ELECTRICAL GENERATOR.</t>
  </si>
  <si>
    <t>11675 5TH ST</t>
  </si>
  <si>
    <t>YUCAIPA</t>
  </si>
  <si>
    <t>BAILEY CHARLIE</t>
  </si>
  <si>
    <t>(909) 7976115</t>
  </si>
  <si>
    <t>October 2003</t>
  </si>
  <si>
    <t>F53780</t>
  </si>
  <si>
    <t>ICE, CATERPILLAR, DIESEL FUELED, WATER PUMP DRIVER, MODEL 3508, TURBOCHARGED, AFTERCOOLED, 8 CYLINDERS, 1106 BHP.</t>
  </si>
  <si>
    <t>612 IU HOLDINGS, LLC</t>
  </si>
  <si>
    <t>F59891</t>
  </si>
  <si>
    <t xml:space="preserve">ICE, DETROIT DIESEL, MODEL NO. R083-7K36 (8V-2000), DIESEL FUELED, 8 CYLINDER, TURBOCHARGED, AFTERCOOLED, 765 BHP, DRIVING AN EMERGENCY ELECTRICAL GENERATOR </t>
  </si>
  <si>
    <t>612 S FLOWER ST</t>
  </si>
  <si>
    <t>SPEERSTRA CARL</t>
  </si>
  <si>
    <t>(310) 8876400</t>
  </si>
  <si>
    <t>ADP</t>
  </si>
  <si>
    <t>F59940</t>
  </si>
  <si>
    <t>ICE, CATERPILLAR, 12 CYLINDERS, TURBOCHARGED, AFTERCOOLED, MODEL NO. 3412 DITTA (600 KW), SERIAL NO. 3FZ03253, 896 BHP, DIESEL FUELED, DRIVING AN EMERGENCY ELECTRICAL GENERATOR.</t>
  </si>
  <si>
    <t>12610 PARK PLAZA DR</t>
  </si>
  <si>
    <t>TOPPER-REGXV WILLIAM</t>
  </si>
  <si>
    <t>(213) 9244999</t>
  </si>
  <si>
    <t>ALLERGAN INC UNIT N0.02</t>
  </si>
  <si>
    <t>D31546</t>
  </si>
  <si>
    <t>ICE, CUMMINS, DIESEL FUELED, EMERGENCY ELECTRICAL GENERATION, MODEL KTA38, TURBOCHARGED, AFTERCOOLED, 12 CYLINDERS, 1135 BHP.</t>
  </si>
  <si>
    <t>Cummmins</t>
  </si>
  <si>
    <t>2525 DUPONT DR</t>
  </si>
  <si>
    <t>ALONY ARI</t>
  </si>
  <si>
    <t>(714) 7524500</t>
  </si>
  <si>
    <t>D31549</t>
  </si>
  <si>
    <t>ICE, CUMMINS, DIESEL-FUELED, EMERGENCY ELECTRICAL GENERATION, MODEL KTA38, TURBOCHARGED, AFTERCOOLED, 12 CYLINDERS, 1135 BHP.</t>
  </si>
  <si>
    <t>AMERICAN RED CROSS</t>
  </si>
  <si>
    <t>F61942</t>
  </si>
  <si>
    <t>ICE, DETROIT DIESEL, EMERGENCY ELECTRICAL GENERATION, MODEL NO. 8163-7305, DIESEL FUELED, EIGHT CYLINDERS, TURBOCHARGED, 960 BHP.</t>
  </si>
  <si>
    <t>1130 S VERMONT</t>
  </si>
  <si>
    <t>RHOA BRAD</t>
  </si>
  <si>
    <t>(213) 7395440</t>
  </si>
  <si>
    <t>AMERICAN TOWER/MT WILSON</t>
  </si>
  <si>
    <t>F62524</t>
  </si>
  <si>
    <t>ICE, CUMMINS, MODEL NO. NTA855-G3, TURBOCHARGED, AFTERCOOLED, DIESEL FUELED, RATED AT 535 BHP, DRIVING AN ELECTRICAL GENERATOR.</t>
  </si>
  <si>
    <t>VIDEO RD</t>
  </si>
  <si>
    <t>LA CANADA FLINTRIDGE</t>
  </si>
  <si>
    <t>SEGUIN ROBIN</t>
  </si>
  <si>
    <t>(303) 2742556</t>
  </si>
  <si>
    <t>AMERISOURCE BERGEN   CORP.</t>
  </si>
  <si>
    <t>F61042</t>
  </si>
  <si>
    <t>ICE, CATERPILLAR, MODEL NO. 3406 DITA, SERIAL NO. KPS00585/9DR04700, DIESEL FUELED, TURBOCHARGED AND AFTERCOOLED, 587 BHP, 6-CYLINDER, DRIVING AN EMERGENCY ELECTRICAL GENERATOR</t>
  </si>
  <si>
    <t>4000 METROPOLITAN DR</t>
  </si>
  <si>
    <t>JONES SUSAN</t>
  </si>
  <si>
    <t>(714) 3854075</t>
  </si>
  <si>
    <t>ANGEL HOSPITAL</t>
  </si>
  <si>
    <t>F59588</t>
  </si>
  <si>
    <t>ICE, CUMMINS, MODEL NO. KTA50-G1, SERIAL NO. 33117414, DIESEL FUELED, FOUR CYCLES, SIXTEEN CYLINDERS, TURBOCHARGED, AFTERCOOLED, RATED AT 1490 BHP, DRIVING AN EMERGENCY ELECTRICAL GENERATOR.</t>
  </si>
  <si>
    <t>10841 WHITE OAK AVE</t>
  </si>
  <si>
    <t>MAYA JORGE</t>
  </si>
  <si>
    <t>(909) 4665488</t>
  </si>
  <si>
    <t>ARDEN REALTY LIMITED PARTNERSHIP</t>
  </si>
  <si>
    <t>F61138</t>
  </si>
  <si>
    <t>ICE, CATERPILLAR, EMERGENCY ELECTRICAL GENERATION, MODEL NO. 3406B, SERIAL NO. 2WB1304950, DIESEL FUELED, TURBOCHARGED, AFTERCOOLED, 536 BHP.</t>
  </si>
  <si>
    <t>299 N EUCLID</t>
  </si>
  <si>
    <t>KEEL GABRIELLE</t>
  </si>
  <si>
    <t>ARDEN REALTY LTD  PARTNS/GATEWAY TOWERS</t>
  </si>
  <si>
    <t>F58900</t>
  </si>
  <si>
    <t>ICE, CUMMINS, DIESEL-FUELED, EMERGENCY ELECTRICAL GENERATION, MODEL NO. KTA1150-G1/31129717, TURBOCHARGED, AFTERCOOLED, 6 CYLINDERS, 600 BHP.</t>
  </si>
  <si>
    <t>970-990 W 190TH ST</t>
  </si>
  <si>
    <t>HUSEBYE GREG</t>
  </si>
  <si>
    <t>(310) 9662600</t>
  </si>
  <si>
    <t>F59372</t>
  </si>
  <si>
    <t>ICE, CATERPILLAR, MODEL NO. 3512 DITA, SERIAL NO. 24Z00766, DIESEL FUELED, FOUR CYCLES, TWELVE CYLINDERS, TURBOCHARGED, AFTERCOOLED, RATED AT 1482 BHP, DRIVING AN EMERGENCY ELECTRICAL GENERATOR.</t>
  </si>
  <si>
    <t>355 S GRAND AVE</t>
  </si>
  <si>
    <t>WALDEN BARBARA</t>
  </si>
  <si>
    <t>(925) 2241488</t>
  </si>
  <si>
    <t>B BRAUN MEDICAL, INC</t>
  </si>
  <si>
    <t>ICE, EMERGENCY POWER, DIESEL FUEL, CUMMINS, MODEL NO. KTTA19-G2, 750 BHP, WITH AFTERCOOLER, TURBOCHARGER.</t>
  </si>
  <si>
    <t>2525 MCGAW AVE</t>
  </si>
  <si>
    <t>SENKOVICH VLADO</t>
  </si>
  <si>
    <t>(949) 6602082</t>
  </si>
  <si>
    <t>BAXTER HEALTHCARE CORP., HYLAND DIV</t>
  </si>
  <si>
    <t>F60920</t>
  </si>
  <si>
    <t>4501 COLORADO BLVD</t>
  </si>
  <si>
    <t>RUSSO JOSEPH</t>
  </si>
  <si>
    <t>(818) 5078344</t>
  </si>
  <si>
    <t>ICE, CUMMINS, NATURALLY ASPIRATED, V-12, MODEL NO. VT-1710PG635, 636 BHP, DIESEL FUELED, DRIVING A 415 KW STANDBY GENERATOR.</t>
  </si>
  <si>
    <t>BAY TECHNOLOGY CENTER</t>
  </si>
  <si>
    <t>ICE, CUMMINS, DIESEL-FUELED, EMERGENCY ELECTRICAL GENERATION, MODEL NO. VTA28-G2, SERIAL NO. G940550481, TURBOCHARGED, AFTERCOOLED, SIX CYLINDERS, 900 BHP.</t>
  </si>
  <si>
    <t>16802 ASTON ST</t>
  </si>
  <si>
    <t>BOYER TOM</t>
  </si>
  <si>
    <t>(714) 3384363</t>
  </si>
  <si>
    <t>BEAR MOUNTAIN, INC</t>
  </si>
  <si>
    <t>ICE, CUMMINS, MODEL NO. VTA28-P800, 800 HP, DIESEL FUELED, SERIAL NO. 25178650, 12 CYLINDERS, TURBOCHARGED, AFTERCOOLED, DRIVING AN EMERGENCY ELECTRICAL GENERATOR.</t>
  </si>
  <si>
    <t>VTA28-P800</t>
  </si>
  <si>
    <t>43101 GOLDMINE DR</t>
  </si>
  <si>
    <t>BIG BEAR LAKE</t>
  </si>
  <si>
    <t>TREGASKIS BRANT</t>
  </si>
  <si>
    <t>(909) 5850201</t>
  </si>
  <si>
    <t>BOEING SATELLITE SYSTEMS, INC</t>
  </si>
  <si>
    <t>F57566</t>
  </si>
  <si>
    <t>ICE, EMERGENCY POWER, SATELLITE MISSION CONTROL CENTER, CUMMINS, PROPANE, MODEL NO. GTA28, 738 BHP, TURBOCHARGED, AFTERCOOLED.</t>
  </si>
  <si>
    <t>2006 E EL SEGUNDO</t>
  </si>
  <si>
    <t>BURBANK CITY, PUB SERV DEPT</t>
  </si>
  <si>
    <t>F58071</t>
  </si>
  <si>
    <t>ICE, EMERGENCY POWER, DIESEL FUEL, CATERPILLAR, MODEL NO. 3412 DITA, AFTERCOOLED, TURBOCHARGED, 896 BHP, 600 KW.</t>
  </si>
  <si>
    <t>164 W MAGNOLIA BLVD</t>
  </si>
  <si>
    <t>CAMPBELL BRUCE</t>
  </si>
  <si>
    <t>(818) 2383650</t>
  </si>
  <si>
    <t>F61731</t>
  </si>
  <si>
    <t>ICE, CATERPILLAR, 8 CYLINDERS, TURBOCHARGED, AFTERCOOLED, MODEL NO. 3508B DITA (1000 KW), SERIAL NO. 1FZ01543, 1480 BHP, DIESEL-FUELED, DRIVING AN EMERGENCY ELECTRICAL GENERATOR.</t>
  </si>
  <si>
    <t>2627 HOLLYWOOD WY&amp;7901 SAN FER</t>
  </si>
  <si>
    <t>BUTLER AMUSEMENTS, INC.</t>
  </si>
  <si>
    <t>F58751</t>
  </si>
  <si>
    <t>ICE, PORTABLE, CATERPILLAR, MODEL NO. 3406B, SERIAL NO. 3WB13894, DIESEL FUELED, TURBOCHARGED, AFTERCOOLED, 523 BHP, DRIVING AN EMERGENCY ELECTRICAL GENERATOR.</t>
  </si>
  <si>
    <t>BUTLER EARL</t>
  </si>
  <si>
    <t>(000) 2874800</t>
  </si>
  <si>
    <t>F58934</t>
  </si>
  <si>
    <t>ICE, PORTABLE, CATERPILLAR, MODEL NO. 3412 DITTA, SERIAL NO. 81Z17230, DIESEL FUELED, TURBOCHARGED, AFTERCOOLED, 890 BHP, DRIVING AN EMERGENCY ELECTRICAL GENERATOR.</t>
  </si>
  <si>
    <t>CA - ONTARIO CORPORATE CENTER</t>
  </si>
  <si>
    <t>F60940</t>
  </si>
  <si>
    <t>ICE, CUMMINS, MODEL NO. 400 KTA19-G2, SERIAL NO. 39355, DIESEL FUELED, 6-CYLINDER, TURBOCHARGED AND AFTERCOOLED, 600 BHP, DRIVING AN EMERGENCY ELECTRICAL GENERATOR.</t>
  </si>
  <si>
    <t>430 N VINEYARD AVE</t>
  </si>
  <si>
    <t>MANUEL HERNANDEZ VALERIE STANFORD/</t>
  </si>
  <si>
    <t>(909) 3905100</t>
  </si>
  <si>
    <t>F60958</t>
  </si>
  <si>
    <t>ICE, MITSUBISHI, EMERGENCY ELECTRICAL GENERATION, MODEL NO. SIGN-PTA, DIESEL FUELED, TURBOCHARGED, AFTERCOOLED, 1770 BHP.</t>
  </si>
  <si>
    <t>SIGN-PTA</t>
  </si>
  <si>
    <t>1401 S HOPE ST</t>
  </si>
  <si>
    <t>TUANO JOE</t>
  </si>
  <si>
    <t>(213) 7425966</t>
  </si>
  <si>
    <t>F60959</t>
  </si>
  <si>
    <t>ICE, CATERPILLAR, EMERGENCY ELECTRICAL GENERATION, MODEL NO. 3512, SERIAL NO. 24Z01171, DIESEL FUELED, TURBOCHARGED, AFTERCOOLED, TWELVE CYLINDERS, 1543 BHP.</t>
  </si>
  <si>
    <t>F60961</t>
  </si>
  <si>
    <t>ICE, CATERPILLAR, EMERGENCY ELECTRICAL GENERATION, MODEL NO. 3512, SERIAL NO. 24Z01172, DIESEL FUELED, TURBOCHARGED, AFTERCOOLED, TWELVE CYLINDERS, 1543 BHP.</t>
  </si>
  <si>
    <t>CALIFORNIA WATER SERVICE COMPANY</t>
  </si>
  <si>
    <t>F60906</t>
  </si>
  <si>
    <t>ICE, MITSUBISHI, MODEL NO. 245DTA, DIESEL FUELED, EMERGENCY ELECTRICAL GENERATOR, 12 CYLINDERS, TURBOCHARGED AND AFTERCOOLED, 809 BHP.</t>
  </si>
  <si>
    <t>245DTA</t>
  </si>
  <si>
    <t>405 MAPLE AVE</t>
  </si>
  <si>
    <t>MASON RICHARD</t>
  </si>
  <si>
    <t>(310) 2571430</t>
  </si>
  <si>
    <t>CEDARS-SINAI MEDICAL CTR</t>
  </si>
  <si>
    <t>F62172</t>
  </si>
  <si>
    <t>ICE, DETROIT DIESEL, EMERGENCY ELECTRICAL GENERATION, MODEL NO. T163-7K36 (16V-4000), SERIAL NO. 5272001580, DIESEL FUELED, SIXTEEN CYLINDERS, TURBOCHARGED, AFTERCOOLED, 2935 BHP.</t>
  </si>
  <si>
    <t>8700 BEVERLY BLVD.</t>
  </si>
  <si>
    <t>WILLIAMS JEFFERY M</t>
  </si>
  <si>
    <t>(310) 8554336</t>
  </si>
  <si>
    <t>F62173</t>
  </si>
  <si>
    <t>ICE, DETROIT DIESEL, EMERGENCY ELECTRICAL GENERATION, MODEL NO. T163-7K36 (16V-4000), SERIAL NO. 5272001581, DIESEL FUELED, SIXTEEN CYLINDERS, TURBOCHARGED, AFTERCOOLED, 2935 BHP.</t>
  </si>
  <si>
    <t>F62174</t>
  </si>
  <si>
    <t>ICE, DETROIT DIESEL, EMERGENCY ELECTRICAL GENERATION, MODEL NO. T163-7K36 (16V-4000), SERIAL NO. 5272001582, DIESEL FUELED, SIXTEEN CYLINDERS, TURBOCHARGED, AFTERCOOLED, 2935 BHP.</t>
  </si>
  <si>
    <t>F62176</t>
  </si>
  <si>
    <t>ICE, DETROIT DIESEL, EMERGENCY ELECTRICAL GENERATION, MODEL NO. T163-7K36 (16V-4000), SERIAL NO. 5272001601, DIESEL FUELED, SIXTEEN CYLINDERS, TURBOCHARGED, AFTERCOOLED, 2935 BHP.</t>
  </si>
  <si>
    <t>CITY NATIONAL BANK</t>
  </si>
  <si>
    <t>F62346</t>
  </si>
  <si>
    <t>ICE, CATERPILLAR, MODEL D348, SERIAL NO. 36J1860, DIESEL FUELED, NATURALLY ASPIRATED, RATED AT 805 BHP, DRIVING AN EMERGENCY ELECTRICAL GENERATOR.</t>
  </si>
  <si>
    <t>1801 W OLYMPIC BLVD</t>
  </si>
  <si>
    <t>COLLIER TED</t>
  </si>
  <si>
    <t>(213) 4275418</t>
  </si>
  <si>
    <t>CITY OF GLENDALE/POLICE DEPT</t>
  </si>
  <si>
    <t>F60697</t>
  </si>
  <si>
    <t>ICE, NO. 1, DETROIT DIESEL, EMERGENCY ELECTRICAL GENERATION, MODEL NO. R163-7K36 (16V-2000), DIESEL FUELED, SIXTEEN CYLINDERS, TURBOCHARGED AND AFTERCOOLED, 1495 BHP.</t>
  </si>
  <si>
    <t>131 N ISABEL ST</t>
  </si>
  <si>
    <t>SWINFORD JAMES</t>
  </si>
  <si>
    <t>(818) 5484866</t>
  </si>
  <si>
    <t>F60698</t>
  </si>
  <si>
    <t>ICE, NO. 2, DETROIT DIESEL, EMERGENCY ELECTRICAL GENERATION, MODEL NO. R163-7K36 (16V-2000), DIESEL FUELED, SIXTEEN CYLINDERS, TURBOCHARGED AND AFTERCOOLED, 1495 BHP.</t>
  </si>
  <si>
    <t>COMMUNITY MEDICAL GROUP OF RIVERSIDE INC</t>
  </si>
  <si>
    <t>F58510</t>
  </si>
  <si>
    <t>ICE, DETROIT DIESEL, 12 CYLINDERS, TURBOCHARGED, AFTERCOOLED, MODEL NO. R123-7K35 (679 KW), 910 BHP, DIESEL FUELED, DRIVING AN EMERGENCY ELECTRICAL GENERATOR.</t>
  </si>
  <si>
    <t>4444 MAGNOLIA AVE</t>
  </si>
  <si>
    <t>MEIER DAVID E .</t>
  </si>
  <si>
    <t>(909) 7805834</t>
  </si>
  <si>
    <t>COMPUTER SCIENCES CORPORATION</t>
  </si>
  <si>
    <t>F63786</t>
  </si>
  <si>
    <t>ICE, AB VOLVO PENTA, MODEL NO. TAD1241GE, DIESEL FUELED, NON-ROAD, SIX CYLINDERS, 507 BHP, TURBOCHARGED, AFTERCOOLED, DRIVING AN EMERGENCY ELECTRICAL GENERATOR.</t>
  </si>
  <si>
    <t>2923 BRADLEY ST</t>
  </si>
  <si>
    <t>BEASOR HARRY</t>
  </si>
  <si>
    <t>(818) 3541891</t>
  </si>
  <si>
    <t>CORONA CITY, DEPT OF WATER &amp; POWER</t>
  </si>
  <si>
    <t>F59951</t>
  </si>
  <si>
    <t>ICE, CATERPILLAR, MODEL NO. 3516, 16 CYLINDERS, TURBOCHARGED, AFTERCOOLED, 2847 BHP, DIESEL-FUELED, WITH FUEL INJECTION RETARDED SIX DEGREES, DRIVING AN EMERGENCY ELECTRICAL STANDBY GENERATOR.</t>
  </si>
  <si>
    <t>2205 RAILROAD ST</t>
  </si>
  <si>
    <t>CORONA</t>
  </si>
  <si>
    <t>DONALD A WILLIAMS JONATHAN DALY/</t>
  </si>
  <si>
    <t>(909) 7362232</t>
  </si>
  <si>
    <t>F59952</t>
  </si>
  <si>
    <t>COUNTRYWIDE HOME LOANS</t>
  </si>
  <si>
    <t>F59706</t>
  </si>
  <si>
    <t>ICE, CUMMINS, 16 CYLINDERS, TURBOCHARGED, AFTERCOOLED, MODEL NO. KTA50-G9 (1500 KW), SERIAL NO. L010311557, 2220 BHP, DIESEL FUELED, DRIVING AN EMERGENCY ELECTRICAL GENERATOR.</t>
  </si>
  <si>
    <t>29701 AGOURA RD</t>
  </si>
  <si>
    <t>AGOURA HILLS</t>
  </si>
  <si>
    <t>OBRIEN JOHN</t>
  </si>
  <si>
    <t>(818) 2253131</t>
  </si>
  <si>
    <t>CRYSTAL CATHEDRAL MINISTRIES</t>
  </si>
  <si>
    <t>F60771</t>
  </si>
  <si>
    <t>ICE, DETROIT DIESEL, DIESEL-FUELED, EMERGENCY ELECTRICAL GENERATION, MODEL NO. R083-7K36 (8V-2000), SERIAL NO. 5312001787, TURBOCHARGED, AFTERCOOLED, 8 CYLINDERS, FOUR CYCLE, 765 BHP.</t>
  </si>
  <si>
    <t>12143 LEWIS ST</t>
  </si>
  <si>
    <t>GARDEN GROVE</t>
  </si>
  <si>
    <t>KLASSEN NICK</t>
  </si>
  <si>
    <t>(714) 9714043</t>
  </si>
  <si>
    <t>DANARI OCEAN</t>
  </si>
  <si>
    <t>F60321</t>
  </si>
  <si>
    <t>ICE, CATERPILLAR, EMERGENCY ELECTRICAL GENERATION, MODEL NO. 3412, SERIAL NO. 38503184, DIESEL FUELED, TWELVE CYLINDERS, TURBOCHARGED, AFTERCOOLED, 755 BHP.</t>
  </si>
  <si>
    <t>249 E OCEAN BLVD STE 325</t>
  </si>
  <si>
    <t>MONTGOMERY SUSAN</t>
  </si>
  <si>
    <t>(562) 9519668</t>
  </si>
  <si>
    <t>DISNEYLAND RESORT</t>
  </si>
  <si>
    <t>F58963</t>
  </si>
  <si>
    <t>ICE, CATERPILLAR, MODEL NO. G3412STIA (450 KW), SERIAL NO. 7DM, NATURAL GAS,  TURBOCHARGED, AFTERCOOLED, RATED AT 622 BHP, DRIVING AN EMERGENCY ELECTRICAL GENERATOR.</t>
  </si>
  <si>
    <t>3412 STIA</t>
  </si>
  <si>
    <t>1313 S HARBOR BLVD</t>
  </si>
  <si>
    <t>MARSDEN THOMAS</t>
  </si>
  <si>
    <t>(714) 7814504</t>
  </si>
  <si>
    <t>ELASTAR COMMUNITY HOSPITAL</t>
  </si>
  <si>
    <t>F60949</t>
  </si>
  <si>
    <t>ICE, CUMMINS, DIESEL-FUELED, EMERGENCY ELECTRICAL GENERATION, MODEL VT28-G5/GC, SERIAL NO. 767951-3, TURBOCHARGED, AFTERCOOLED, 12 CYLINDERS, 635 BHP.</t>
  </si>
  <si>
    <t>VT28-G5</t>
  </si>
  <si>
    <t>319 N HUMPHREYS AVE</t>
  </si>
  <si>
    <t>BARBA JOSE</t>
  </si>
  <si>
    <t>(323) 2666500</t>
  </si>
  <si>
    <t>EPSON AMERICA, INC</t>
  </si>
  <si>
    <t>F60809</t>
  </si>
  <si>
    <t>ICE, CUMMINS, EMERGENCY ELECTRICAL GENERATION, MODEL NO. KTA19-G4, DIESEL FUELED, TURBOCHARGED AND AFTERCOOLED, 755 BHP.</t>
  </si>
  <si>
    <t>3840 KILROY AIRPORT WAY</t>
  </si>
  <si>
    <t>HOFF MICHELLE</t>
  </si>
  <si>
    <t>(310) 7824009</t>
  </si>
  <si>
    <t>FIGUEROA PLAZA PROPERTIES</t>
  </si>
  <si>
    <t>F59434</t>
  </si>
  <si>
    <t>ICE, CATERPILLAR, MODEL NO. 3508 DITA (1000 KW), SERIAL NO. 1ZF00503, DIESEL FUELED, EMERGENCY ELECTRICAL GENERATION, 8 CYLINDERS, TURBOCHARGED, AFTERCOOLED, 1456 BHP.</t>
  </si>
  <si>
    <t>201-221 N FIGUEROA ST</t>
  </si>
  <si>
    <t>JENKINS ART</t>
  </si>
  <si>
    <t>(213) 4819707</t>
  </si>
  <si>
    <t>FIRST INTERSTATE TOWER A JOINT VENTURE</t>
  </si>
  <si>
    <t>F59746</t>
  </si>
  <si>
    <t>ICE, CUMMINS, DIESEL-FUELED, EMERGENCY ELECTRICAL GENERATION, MODEL NO. KTA38-G4, SERIAL NO. 33140324, TURBOCHARGED, AFTERCOOLED, 12 CYLINDERS, FOUR CYCLE, 1490 BHP.</t>
  </si>
  <si>
    <t>707 WILSHIRE BLVD SUITE 4840</t>
  </si>
  <si>
    <t>THOMPSON DAVE</t>
  </si>
  <si>
    <t>(213) 6142300</t>
  </si>
  <si>
    <t>FORD MOTOR COMPANY</t>
  </si>
  <si>
    <t>F52181</t>
  </si>
  <si>
    <t>ICE, CUMMINS, MODEL NO. QSX15-G9, SERIAL NO. 14018849, TURBOCHARGED, AFTERCOOLED, DIESEL FUELED, RATED AT 755 BHP, DRIVING AN EMERGENCY ELECTRICAL GENERATOR.</t>
  </si>
  <si>
    <t>1 PREMIER PL</t>
  </si>
  <si>
    <t>BARDELLI RICHARD</t>
  </si>
  <si>
    <t>(949) 7882201</t>
  </si>
  <si>
    <t>FOX CABLE NETWORK</t>
  </si>
  <si>
    <t>F56950</t>
  </si>
  <si>
    <t>ICE, DETROIT DIESEL, MODEL NO. R163-7K36 (16V-2000, SERIAL NO. 5362001610, DIESEL FUELED, 16 CYLINDERS, TURBOCHARGED, AFTERCOOLED, RATED AT 1495 BHP, DRIVING AN EMERGENCY ELECTRICAL GENERATOR.</t>
  </si>
  <si>
    <t>10000 SANTA MONICA BLVD</t>
  </si>
  <si>
    <t>HOWE JOHNNY</t>
  </si>
  <si>
    <t>(310) 2204903</t>
  </si>
  <si>
    <t>FOX TELEVISION STATIONS INC/KCOP TELEVIS</t>
  </si>
  <si>
    <t>F59244</t>
  </si>
  <si>
    <t>ICE, DETROIT DIESEL, MODEL NO. 8083-7405, SERIAL NO. 8VF151734, DIESEL FUELED, TWO CYCLES, EIGHT CYLINDERS, TURBOCHARGED, AFTERCOOLED, RATED AT 568 BHP, DRIVING AN EMERGENCY ELECTRICAL GENERATOR.</t>
  </si>
  <si>
    <t>915 N LA BREA AVE</t>
  </si>
  <si>
    <t>RUIZ SERGIO</t>
  </si>
  <si>
    <t>(310) 5842161</t>
  </si>
  <si>
    <t>FREMONT BUILDING/CRESCENT ARMS</t>
  </si>
  <si>
    <t>F60743</t>
  </si>
  <si>
    <t>ICE, DETROIT DIESEL, MODEL NO. 8083-7405, SERIAL NO. 8VF164337, DIESEL FUELED, TWO CYCLES, EIGHT CYLINDERS, TURBOCHARGED, AFTERCOOLED, RATED AT 568 BHP, DRIVING AN EMERGENCY ELECTRICAL GENERATOR.</t>
  </si>
  <si>
    <t>1709 W 8TH ST</t>
  </si>
  <si>
    <t>MEYERS RAYMOND G</t>
  </si>
  <si>
    <t>(213) 3155500</t>
  </si>
  <si>
    <t>FULLERTON CITY, POLICE DEPT</t>
  </si>
  <si>
    <t>F61983</t>
  </si>
  <si>
    <t>ICE, DETROIT DIESEL, MODEL NO. 6063-TK35, DIESEL FUELED, FOUR CYCLES, SIX CYLINDERS, TURBOCHARGED, AND AFTERCOOLED, RATED AT 550 BHP, DRIVING AN EMERGENCY ELECTRICAL GENERATOR.</t>
  </si>
  <si>
    <t>237 W COMMONWEALTH AVE</t>
  </si>
  <si>
    <t>SAMBRANO TONY</t>
  </si>
  <si>
    <t>(714) 7386307</t>
  </si>
  <si>
    <t>F58861</t>
  </si>
  <si>
    <t>ICE, DETROIT DIESEL, MODEL NO. 8163-7405 (16VF8008), DIESEL FUELED, TWO CYCLES, SIXTEEN CYLINDERS, TURBOCHARGED, AFTERCOOLED, RATED AT 1095 BHP, DRIVING AN EMERGENCY ELECTRICAL GENERATOR</t>
  </si>
  <si>
    <t>255 E TEMPLE ST</t>
  </si>
  <si>
    <t>GHARAVI ADDEE</t>
  </si>
  <si>
    <t>(415) 7445806</t>
  </si>
  <si>
    <t>F61378</t>
  </si>
  <si>
    <t>ICE, DETROIT DIESEL, MODEL NO. 8163-7405 (16VF8009), DIESEL FUELED, TWO CYCLES, SIXTEEN CYLINDERS, TURBOCHARGED, AFTERCOOLED, RATED AT 1095 BHP, DRIVING AN EMERGENCY ELECTRICAL GENERATOR</t>
  </si>
  <si>
    <t>GRUPO SMS USA LLC</t>
  </si>
  <si>
    <t>F62764</t>
  </si>
  <si>
    <t xml:space="preserve">ICE, NO. 2, CUMMINS, COMPRESSION-IGNITION, FOUR STROKE, TURBOCHARGED-AFTERCOOLED, V-12 TYPE, MODEL NO. VTA1710-GS2, 900 HP, DIESEL FUEL-FIRED, DRIVING A 600 KW STANDBY GENERATOR. </t>
  </si>
  <si>
    <t>17770 CARTWRIGHT RD STE 120</t>
  </si>
  <si>
    <t>HUGHEN DON</t>
  </si>
  <si>
    <t>GUITAR CENTER, INC</t>
  </si>
  <si>
    <t>F63466</t>
  </si>
  <si>
    <t>ICE, CATERPILLAR, 6 CYLINDERS, TURBOCHARGED, AFTERCOOLED, MODEL NO. 3456 DITA AA (350 KW), 536 BHP, DIESEL FUELED, DRIVING AN EMERGENCY ELECTRICAL GENERATOR.</t>
  </si>
  <si>
    <t>3456 DITA AA</t>
  </si>
  <si>
    <t>5795 LINDERO CANYON RD</t>
  </si>
  <si>
    <t>CHAN EDWARD</t>
  </si>
  <si>
    <t>(818) 7358888</t>
  </si>
  <si>
    <t>HOAG MEM HOSP PRESBYTERIAN</t>
  </si>
  <si>
    <t>F59911</t>
  </si>
  <si>
    <t>ICE, CATERPILLAR, 16 CYLINDERS, TURBOCHARGED, AFTERCOOLED, MODEL NO. 3516B DITA (1750 KW), SERIAL NO. 1HZ02246, 2499 BHP, DIESEL-FUELED, DRIVING AN EMERGENCY ELECTRICAL GENERATOR.</t>
  </si>
  <si>
    <t>ONE HOAG DR.</t>
  </si>
  <si>
    <t>KEELEY LUKE</t>
  </si>
  <si>
    <t>(949) 7605899</t>
  </si>
  <si>
    <t>F62038</t>
  </si>
  <si>
    <t>ICE, CATERPILLAR, EMERGENCY ELECTRICAL GENERATION, MODEL NO. 3516 DITA, SERIAL NO. 3NS00215, DIESEL FUELED, SIXTEEN CYLINDERS, TURBOCHARGED AND AFTERCOOLED, 2518 BHP.</t>
  </si>
  <si>
    <t>F62039</t>
  </si>
  <si>
    <t>ICE, CATERPILLAR, EMERGENCY ELECTRICAL GENERATION, MODEL NO. 3516 DITA, SERIAL NO. 3NS00216, DIESEL FUELED, SIXTEEN CYLINDERS, TURBOCHARGED AND AFTERCOOLED, 2518 BHP.</t>
  </si>
  <si>
    <t>F62040</t>
  </si>
  <si>
    <t>(310) 2464000</t>
  </si>
  <si>
    <t>PSI NET INC</t>
  </si>
  <si>
    <t>F38209</t>
  </si>
  <si>
    <t>INTERNAL COMBUSTION ENGINE NO. 1, CUMMINS, MODEL NO. QSK60-G6, 16 CYLINDERS, TURBOCHARGED AND AFTERCOOLED, DIESEL FUELED, DRIVING AN EMERGENCY ELECTRICAL GENERATOR. 2922 BHP.</t>
  </si>
  <si>
    <t>4505 GLENCOE AVE</t>
  </si>
  <si>
    <t>MARINA DEL REY</t>
  </si>
  <si>
    <t>LOOMIS DAVID</t>
  </si>
  <si>
    <t>(311) 5775960</t>
  </si>
  <si>
    <t>REDONDO BEACH CITY</t>
  </si>
  <si>
    <t>F55475</t>
  </si>
  <si>
    <t>INTERNAL COMBUSTION ENGINE, MITSUBISHI, MODEL S6R-PTA, TURBOCHARGED, AFTERCOOLED, DIESEL FUELED, RATED AT 851 BHP, DRIVING AN EMERGENCY GENERATOR.</t>
  </si>
  <si>
    <t>415 DIAMOND ST</t>
  </si>
  <si>
    <t>RUBOTTOM GARY</t>
  </si>
  <si>
    <t>(3 ) 3721171</t>
  </si>
  <si>
    <t>SANTA MARGARITA WATER DIST</t>
  </si>
  <si>
    <t>F58414</t>
  </si>
  <si>
    <t>INTERNAL COMBUSTION ENGINE, CATERPILLAR, 12 CYLINDERS, TURBOCHARGED, AFTERCOOLED, MODEL NO. 3512 DITA (1250 KW), 1801 BHP, DIESEL-FUELED, DRIVING AN EMERGENCY ELECTRICAL GENERATOR.</t>
  </si>
  <si>
    <t>28793 ORTEGA HWY</t>
  </si>
  <si>
    <t>MEYER RON</t>
  </si>
  <si>
    <t>(949) 4596594</t>
  </si>
  <si>
    <t>F58415</t>
  </si>
  <si>
    <t>SONY PICTURES ENTERTAINMENT</t>
  </si>
  <si>
    <t>F54640</t>
  </si>
  <si>
    <t>INTERNAL COMBUSTION ENGINE, DETROIT DIESEL, MODEL NO. 16V-92TA, DIESEL FUEL, 16 CYLINDERS, TURBOCHARGED AND AFTERCOOLED, RATED AT 1095 BHP DRIVING AN EMERGENCY ELECTRICAL GENERATOR.</t>
  </si>
  <si>
    <t>3400 RIVERSIDE DR RM 228</t>
  </si>
  <si>
    <t>CORCORAN JON</t>
  </si>
  <si>
    <t xml:space="preserve">WATER GARDEN/TRAMMELL CROW CO           </t>
  </si>
  <si>
    <t>F44113</t>
  </si>
  <si>
    <t>ICE, DETROIT DIESEL, 16 CYLINDERS, TURBOCHARGED AND AFTERCOOLED, MODEL NO. R163-7K36 (1007 KW), 1350 BHP, DIESEL-FUELED, DRIVING AN EMERGENCY ELECTRICAL GENERATOR.</t>
  </si>
  <si>
    <t>1007</t>
  </si>
  <si>
    <t xml:space="preserve">2450 COLORADO BLVD                                                              </t>
  </si>
  <si>
    <t xml:space="preserve">WATSON LAND  COMPANY                    </t>
  </si>
  <si>
    <t>387317</t>
  </si>
  <si>
    <t>F46206</t>
  </si>
  <si>
    <t>ICE, CATERPILLAR, EMERGENCY ELECTRICAL GENERATION, MODEL NO. 3508, SERIAL NO. TD4516-00, DIESEL FUELED, EIGHT CYLINDERS, TURBOCHARGED AND AFTERCOOLED, 1337 BHP.</t>
  </si>
  <si>
    <t>1337</t>
  </si>
  <si>
    <t xml:space="preserve">2255 E 220TH ST                                                                 </t>
  </si>
  <si>
    <t xml:space="preserve">JENNISON JEFFREY                                  </t>
  </si>
  <si>
    <t xml:space="preserve">(310) 9526407   </t>
  </si>
  <si>
    <t xml:space="preserve">WEB SERV CO INC                         </t>
  </si>
  <si>
    <t>385013</t>
  </si>
  <si>
    <t>F40915</t>
  </si>
  <si>
    <t>ICE, DAEWOO CORP, MODEL NO. P222LE, SERIAL NO. YPWXL2, 19AYA, DIESEL FUELED, EMERGENCY ELECTRICAL GENERATION, 12 CYLINDERS ADND AFTERWORLD, 870 BHP.</t>
  </si>
  <si>
    <t>Daewoo</t>
  </si>
  <si>
    <t>P222LE</t>
  </si>
  <si>
    <t>870</t>
  </si>
  <si>
    <t xml:space="preserve">3690 REDONDO BEACH AVE                                                          </t>
  </si>
  <si>
    <t xml:space="preserve">PRULL DEAN                                        </t>
  </si>
  <si>
    <t xml:space="preserve">(310) 2979405   </t>
  </si>
  <si>
    <t xml:space="preserve">WEST SAN BERNARDINO CO. WATER DIST      </t>
  </si>
  <si>
    <t>394633</t>
  </si>
  <si>
    <t>F47755</t>
  </si>
  <si>
    <t>ICE, CATERPILLAR, 6 CYLINDERS, TURBOCHARGED, AFTERCOOLED, MODEL NO. 3406 DITA (400 KW), SERIAL NO. ILS01578, 587 BHP, DIESEL FUELED, DRIVING AN EMERGENCY ELECTRICAL GENERATOR.</t>
  </si>
  <si>
    <t xml:space="preserve">855 W BASELINE                                                                  </t>
  </si>
  <si>
    <t xml:space="preserve">LONG LEON                                         </t>
  </si>
  <si>
    <t xml:space="preserve">(909) 8751804   </t>
  </si>
  <si>
    <t>394634</t>
  </si>
  <si>
    <t>F47754</t>
  </si>
  <si>
    <t>ICE, CATERPILLAR, 6 CYLINDERS, TURBOCHARGED, AFTERCOOLED, MODEL NO. 3406 DITA (400 KW), SERIAL NO. IL801579, 587 BHP, DIESEL FUELED, DRIVING AN EMERGENCY ELECTRICAL GENERATOR.</t>
  </si>
  <si>
    <t xml:space="preserve">WESTERN HEIGHTS WATER COMPANY           </t>
  </si>
  <si>
    <t>F24129</t>
  </si>
  <si>
    <t xml:space="preserve">32352 AVE D                                                                     </t>
  </si>
  <si>
    <t xml:space="preserve">CALPINO JOE                                       </t>
  </si>
  <si>
    <t xml:space="preserve">(909) 7901901   </t>
  </si>
  <si>
    <t>F50398</t>
  </si>
  <si>
    <t>ICE, UNIT NO. 1, CATERPILLAR, DIESEL FUELED, EMERGENCY ELECTRICAL GENERATION, MODEL NO. 3508B DITA, TURBOCHARGED, AFTERCOOLED, 8 CYLINDERS, FOUR CYCLE, 1480 BHP.</t>
  </si>
  <si>
    <t xml:space="preserve">DEININGER ALBERT                                  </t>
  </si>
  <si>
    <t>F50399</t>
  </si>
  <si>
    <t>ICE, UNIT NO. 2, CATERPILLAR, DIESEL FUELED, EMERGENCY ELECTRICAL GENERATION, MODEL NO. 3508B DITA, TURBOCHARGED, AFTERCOOLED, 8 CYLINDERS, FOUR CYCLE, 1480 BHP.</t>
  </si>
  <si>
    <t>392632</t>
  </si>
  <si>
    <t>F50400</t>
  </si>
  <si>
    <t>ICE, UNIT NO. 3, CATERPILLAR, DIESEL FUELED, EMERGENCY ELECTRICAL GENERATION, MODEL NO. 3508B DITA, TURBOCHARGED, AFTERCOOLED, 8 CYLINDERS, FOUR CYCLE, 1480 BHP.</t>
  </si>
  <si>
    <t>WHITTIER COLLEGE/OFF. - VP FINANCE ADMIN</t>
  </si>
  <si>
    <t>390935</t>
  </si>
  <si>
    <t>F46698</t>
  </si>
  <si>
    <t xml:space="preserve">7031 FOUNDERS HILL RD                                                           </t>
  </si>
  <si>
    <t xml:space="preserve">MERIDETH JAN                                      </t>
  </si>
  <si>
    <t xml:space="preserve">(562) 9074208   </t>
  </si>
  <si>
    <t xml:space="preserve">WILLIAM O'NEAL &amp; CO INC                 </t>
  </si>
  <si>
    <t>389492</t>
  </si>
  <si>
    <t>F42996</t>
  </si>
  <si>
    <t>ICE, CATERPILLAR, MODEL NO. 3508B DITA, DIESEL FUELED, EMERGENCY ELECTRICAL GENERATION, TURBOCHARGED AND AFTERCOOLED, 1465 BHP.</t>
  </si>
  <si>
    <t>1465</t>
  </si>
  <si>
    <t xml:space="preserve">12655 BEATRICE ST                                                               </t>
  </si>
  <si>
    <t xml:space="preserve">DRAKE DON                                         </t>
  </si>
  <si>
    <t xml:space="preserve">(310) 4486810   </t>
  </si>
  <si>
    <t>389493</t>
  </si>
  <si>
    <t>F42997</t>
  </si>
  <si>
    <t xml:space="preserve">WILLIAMS COMMUNICATIONS                 </t>
  </si>
  <si>
    <t>393460</t>
  </si>
  <si>
    <t>F47821</t>
  </si>
  <si>
    <t>ICE, CATERPILLAR, MODEL 3516 DITA, SERIAL NO. 6HN00344, TURBOCHARGED, AFTERCOOLED, 16 CYLINDERS, DIESEL FUELED, DRIVING AN EMERGENCY ELECTRICAL GENERATOR, 2847 BHP.</t>
  </si>
  <si>
    <t xml:space="preserve">2461 W LA PALMA AVE                                                             </t>
  </si>
  <si>
    <t xml:space="preserve">STORTS BLANE                                      </t>
  </si>
  <si>
    <t xml:space="preserve">(918) 5475991   </t>
  </si>
  <si>
    <t>393461</t>
  </si>
  <si>
    <t>F47822</t>
  </si>
  <si>
    <t>ICE, CATERPILLAR, MODEL 3516 DITA, SERIAL NO. 6HN00343, TURBOCHARGED, AFTERCOOLED, 16 CYLINDERS, DIESEL FUELED, DRIVING AN EMERGENCY ELECTRICAL GENERATOR, 2847 BHP.</t>
  </si>
  <si>
    <t xml:space="preserve">WILLIAMS COMMUNICATIONS, INC            </t>
  </si>
  <si>
    <t>F22120</t>
  </si>
  <si>
    <t>DIESEL ENGINE NO. 1, EMERGENCY ELECTRICAL GENERATION, CUMMINS, TURBOCHARGED, AFTERCOOLED, MODEL KTA-3067 GS, SIXTEEN CYLINDERS, 1490 BHP.</t>
  </si>
  <si>
    <t>MAGUIRE PARTNERS-385 COLORADO LLC</t>
  </si>
  <si>
    <t>F62727</t>
  </si>
  <si>
    <t>385 E COLORADO BLVD</t>
  </si>
  <si>
    <t>(213) 6263300</t>
  </si>
  <si>
    <t>MANUFACTURERS LIFE INSURANCE COMPANY</t>
  </si>
  <si>
    <t>F59749</t>
  </si>
  <si>
    <t>ICE, CUMMINS, MODEL NO. KTA19-G2, SERIAL NO. 37134275, DIESEL FUELED, SIX CYLINDERS, TURBOCHARGED AND AFTERCOOLED, RATED AT 600 BHP, DRIVING AN EMERGENCY ELECTRICAL GENERATOR.</t>
  </si>
  <si>
    <t>865 S FIGUEROA ST</t>
  </si>
  <si>
    <t>O'KEEFE MARIBETH</t>
  </si>
  <si>
    <t>(213) 6890813</t>
  </si>
  <si>
    <t>F62301</t>
  </si>
  <si>
    <t>ICE, CATERPILLAR, MODEL NO. 3412, SERIAL NO. 81Z03637, TURBOCHARGED, AFTERCOOLED, DIESEL FUELED, RATED 749 BHP, DRIVING AN EMERGENCY ELECTRICAL GENERATOR.</t>
  </si>
  <si>
    <t>15303 VENTURA BLVD</t>
  </si>
  <si>
    <t>F62324</t>
  </si>
  <si>
    <t>ICE, CATERPILLAR, MODEL NO. 3412, SERIAL NO. 81213951, TURBOCHARGED, AFTERCOOLED, DIESEL FUELED, RATED AT 890 BHP, DRIVING AN EMERGENCY ELECTRICAL GENERATOR.</t>
  </si>
  <si>
    <t>MERIDIAN MANAGEMENT CORP.</t>
  </si>
  <si>
    <t>F63519</t>
  </si>
  <si>
    <t>ICE, CATERPILLAR, MODEL NO. 3412 DTA, SERIAL NO. 81207457, DIESEL FUEL, 12 CYLINDERS, TURBOCHARGED, AFTERCOOLED, RATED AT 755 BHP, DRIVING AN EMERGENCY STANDBY GENERATOR.</t>
  </si>
  <si>
    <t>3412 DTA</t>
  </si>
  <si>
    <t>501 W OCEAN BLVD SUITE B009</t>
  </si>
  <si>
    <t>DAVIS MICHAEL</t>
  </si>
  <si>
    <t>(562) 9839139</t>
  </si>
  <si>
    <t>NASA JET PROPULSION LAB</t>
  </si>
  <si>
    <t>F57752</t>
  </si>
  <si>
    <t>ICE, EMERGENCY POWER, DETROIT DIESEL, MODEL NO. 6063-TK35, DIESEL FUELED, TURBOCHARGED, AFTERCOOLED, 550 BHP.</t>
  </si>
  <si>
    <t>4800 OAK GROVE DR</t>
  </si>
  <si>
    <t>PHAM JAMES</t>
  </si>
  <si>
    <t>(818) 3549579</t>
  </si>
  <si>
    <t>NEWPORT BEACH CITY, UTILITIES DEPARTMENT</t>
  </si>
  <si>
    <t>F63941</t>
  </si>
  <si>
    <t>ICE, DETROIT DIESEL, MODEL 12V2000, SERIAL NO. 06R0667977, DIESEL FUELED, 12 CYLINDERS, TURBOCHARGED, INTERCOOLED, RATED AT 910 BHP, DRIVING AN EMERGENCY ELECTRICAL STANDBY GENERATOR.</t>
  </si>
  <si>
    <t>39 MORRO BAY DR P.S. # 3</t>
  </si>
  <si>
    <t>MURDOCH GEORGE</t>
  </si>
  <si>
    <t>(949) 7183422</t>
  </si>
  <si>
    <t>NEWPORT FAB, LLC</t>
  </si>
  <si>
    <t>F58354</t>
  </si>
  <si>
    <t>ICE, CATERPILLAR, MODEL NO. 3516B, TURBOCHARGED, AFTERCOOLED, 16 CYLINDERS, 2625 HP, DIESEL FUELED, DRIVING AN EMERGENCY ELECTRICAL GENERATOR.</t>
  </si>
  <si>
    <t>4321 JAMBOREE RD</t>
  </si>
  <si>
    <t>MOSCHET ERIC</t>
  </si>
  <si>
    <t>(949) 4358257</t>
  </si>
  <si>
    <t>F58356</t>
  </si>
  <si>
    <t>NEXTEL  COMMUNICATIONS</t>
  </si>
  <si>
    <t>F60770</t>
  </si>
  <si>
    <t xml:space="preserve">ICE, DETROIT DIESEL, EMERGENCY ELECTRICAL GENERATION, MODEL NO. 8123-7405 (12V-92TA), DIESEL FUELED, TWELVE CYLINDERS, TURBOCHARGED, AFTERCOOLED, 830 BHP. </t>
  </si>
  <si>
    <t>17275 DERIAN AVE</t>
  </si>
  <si>
    <t>BROOKSBANK CHRIS</t>
  </si>
  <si>
    <t>(949) 8622317</t>
  </si>
  <si>
    <t>NORTHROP GRUMMAN CORP</t>
  </si>
  <si>
    <t>F61957</t>
  </si>
  <si>
    <t>ICE, EMERGENCY POWER, DIESEL FUEL, CUMMINS, MODEL NO. KTA38-G3, TURBOCHARGED, AFTERCOOLED, 1340 BHP.</t>
  </si>
  <si>
    <t>1 NORTHROP AVE/12250 CRENSHAW</t>
  </si>
  <si>
    <t>HAWTHORNE</t>
  </si>
  <si>
    <t>CARDARELLI KAREN</t>
  </si>
  <si>
    <t>(310) 3311473</t>
  </si>
  <si>
    <t>NORTHROP GRUMMAN CORP, AIRCRAFT DIV</t>
  </si>
  <si>
    <t>F63760</t>
  </si>
  <si>
    <t>INTERNAL COMBUSTION ENGINE, EMERGENCY POWER, DIESEL FUEL, CATERPILLAR, MODEL NO. 3508, TURBOCHARGED, AFTERCOOLED, 1340 BHP.</t>
  </si>
  <si>
    <t>500-800 N DOUGLAS ST</t>
  </si>
  <si>
    <t>YAMADA M.M.</t>
  </si>
  <si>
    <t>(310) 3317544</t>
  </si>
  <si>
    <t>NORTHROP GRUMMAN CORP, NORTHROP AIRCRAF</t>
  </si>
  <si>
    <t>D82531</t>
  </si>
  <si>
    <t>PORTABLE ICE, DETROIT DIESEL ALLISON, DIESEL FUELED, EMERGENCY ELECTRICAL GENERATION, MODEL NO. 16V-71T, TWO CYCLE, TURBOCHARGED AND AFTERCOOLED, 830 BHP.</t>
  </si>
  <si>
    <t>YAMADA M. M.</t>
  </si>
  <si>
    <t>ORANGE COUNTY FIRE AUTHORITY-RFOTC</t>
  </si>
  <si>
    <t>F59511</t>
  </si>
  <si>
    <t>ICE, DETROIT DIESEL, 16 CYLINDER, TURBOCHARGED, AFTERCOOLED, MODEL NO. R163-7K36 (1115 KW), SERIAL NO. D753707, 1495 BHP, DIESEL FUELED, DRIVING AN EMERGENCY ELECTRICAL GENERATOR</t>
  </si>
  <si>
    <t>1 FIRE AUTHORITY RD</t>
  </si>
  <si>
    <t>PETERS KAREN</t>
  </si>
  <si>
    <t>(714) 7440466</t>
  </si>
  <si>
    <t>F61629</t>
  </si>
  <si>
    <t>ICE, CUMMINS, 16 CYLINDERS, TURBOCHARGED, AFTERCOOLED, MODEL NO. QSK60-G6 (2180 KW), SERIAL NO. J77-CUMMINS-1, 2922 BHP, DIESEL FUELED, DRIVING AN EMERGENCY ELECTRICAL GENERATOR.</t>
  </si>
  <si>
    <t>22212 BROOKHURST ST</t>
  </si>
  <si>
    <t>F61630</t>
  </si>
  <si>
    <t>ICE, CUMMINS, 16 CYLINDERS, TURBOCHARGED, AFTERCOOLED, MODEL NO. QSK60-G6 (2180 KW), SERIAL NO. J77-CUMMINS-2, 2922 BHP, DIESEL FUELED, DRIVING AN EMERGENCY ELECTRICAL GENERATOR.</t>
  </si>
  <si>
    <t>F61631</t>
  </si>
  <si>
    <t>ICE, CUMMINS, 16 CYLINDERS, TURBOCHARGED, AFTERCOOLED, MODEL NO. QSK60-G6 (2180 KW), SERIAL NO. J77-CUMMINS-3, 2922 BHP, DIESEL FUELED, DRIVING AN EMERGENCY ELECTRICAL GENERATOR.</t>
  </si>
  <si>
    <t>F61632</t>
  </si>
  <si>
    <t>ICE, DETROIT DIESEL, 16 CYLINDERS, TURBOCHARGED, AFTERCOOLED, MODEL T163-7K36 (2190 KW), SERIAL NO. J77-DETROIT-1, 2935 BHP, DIESEL-FUELED, DRIVING AN EMERGENCY ELECTRICAL GENERATOR.</t>
  </si>
  <si>
    <t>F61633</t>
  </si>
  <si>
    <t>August 2003</t>
  </si>
  <si>
    <t>September 2003</t>
  </si>
  <si>
    <t>550 CORPORATE CENTER INVESTMENT GROUP INC</t>
  </si>
  <si>
    <t>EMERGENCY GENERATOR: CUMMINS MODEL KTTA-19G, RATED 685 HP AT 450 KW, DIESEL OIL FIRED, S/N 37123603</t>
  </si>
  <si>
    <t>550 C ST W</t>
  </si>
  <si>
    <t xml:space="preserve"> SAN DIEGO </t>
  </si>
  <si>
    <t>(619) 696-6501</t>
  </si>
  <si>
    <t>707 LLC TOWER</t>
  </si>
  <si>
    <t>EMERGENCY ENGINE GENRATOR: 550 HORSEPOWER CATERPILLAR DIESEL ENGINE SERIAL NUMBER 73815, 400 KW KATO GENERATOR, ID CODE CAT400SR9E. GDS 2/99</t>
  </si>
  <si>
    <t>707 BROADWAY BOX #7</t>
  </si>
  <si>
    <t>ADVANCED TISSUE SCIENCES</t>
  </si>
  <si>
    <t>EMERGENCY DIESEL GENERATOR, DETROIT DIESEL 12V92TA, MODEL 8123-7416 TURBOCHARGED, AFTERCOOLED, FOUR DEGREE TIMING RETARD, CRANKCASE EMISSION CONTROL, 947 BHP, S/N 12VF-10993. APP#950123-AFS-12/12/95</t>
  </si>
  <si>
    <t>10933 TORREY PINES RD N</t>
  </si>
  <si>
    <t xml:space="preserve"> LA JOLLA </t>
  </si>
  <si>
    <t>(858) 450-5730</t>
  </si>
  <si>
    <t>EMERGENCY ENGINE: ETROIT DIESEL, MODEL 12V-92TA, DIESEL FIRED, 947 BHP</t>
  </si>
  <si>
    <t>EMERGENCY ENGINE: DETROIT DIESEL, MODEL 12V-92TA, DIESEL FIRED, 947 BHP</t>
  </si>
  <si>
    <t>AGL INVESTMENTS NO 2 LTD PTR</t>
  </si>
  <si>
    <t>CUMMINS DIESEL ENGINE MODEL KTA19-G4, 755 HP, S/N B000062689, 500 KW.</t>
  </si>
  <si>
    <t>ICE, DETROIT DIESEL, 16 CYLINDERS, TURBOCHARGED, AFTERCOOLED, MODEL T163-7K36 (2190 KW), SERIAL NO. J77-DETROIT-2, 2935 BHP, DIESEL-FUELED, DRIVING AN EMERGENCY ELECTRICAL GENERATOR.</t>
  </si>
  <si>
    <t>F61634</t>
  </si>
  <si>
    <t>ICE, DETROIT DIESEL, 16 CYLINDERS, TURBOCHARGED, AFTERCOOLED, MODEL T163-7K36 (2190 KW), SERIAL NO. J77-DETROIT-3, 2935 BHP, DIESEL-FUELED, DRIVING AN EMERGENCY ELECTRICAL GENERATOR.</t>
  </si>
  <si>
    <t>F61635</t>
  </si>
  <si>
    <t>ICE, CATERPILLAR, 16 CYLINDERS, TURBOCHARGED, AFTERCOOLED, MODEL NO. 3516B DITA (2000 KW), SERIAL NO. J77CATERPILLAR1, 2847 BHP, DIESEL FUELED, DRIVING AN EMERGENCY ELECTRICAL GENERATOR.</t>
  </si>
  <si>
    <t>F61636</t>
  </si>
  <si>
    <t>ICE, CATERPILLAR, 16 CYLINDERS, TURBOCHARGED, AFTERCOOLED, MODEL NO. 3516B DITA (2000 KW), SERIAL NO. J77CATERPILLAR2, 2847 BHP, DIESEL FUELED, DRIVING AN EMERGENCY ELECTRICAL GENERATOR.</t>
  </si>
  <si>
    <t>F61637</t>
  </si>
  <si>
    <t>ICE, CATERPILLAR, 16 CYLINDERS, TURBOCHARGED, AFTERCOOLED, MODEL NO. 3516B DITA (2000 KW), SERIAL NO. J77CATERPILLAR3, 2847 BHP, DIESEL FUELED, DRIVING AN EMERGENCY ELECTRICAL GENERATOR.</t>
  </si>
  <si>
    <t>F61168</t>
  </si>
  <si>
    <t>ICE, CUMMINS, 12 CYLINDERS, TURBOCHARGED, AFTERCOOLED, MODEL NO. QST30-G1, SERIAL NO. J020431667, 1135 BHP, DIESEL FUELED, DRIVING AN EMERGENCY ELECTRICAL GENERATOR.</t>
  </si>
  <si>
    <t>1071 W SANTA ANA BLVD</t>
  </si>
  <si>
    <t>F7508</t>
  </si>
  <si>
    <t>ICE, CATERPILLAR, MODEL NO. 3412 DITA, DIESEL FUELED, EMERGENCY ELECTRICAL GENERATION, 12 CYLINDERS, TURBOCHARGED AND AFTERCOOLED, 1200 BHP.</t>
  </si>
  <si>
    <t>2320 FOOTHILL BLVD</t>
  </si>
  <si>
    <t>LA CRESCENTA</t>
  </si>
  <si>
    <t>SUTER TOM</t>
  </si>
  <si>
    <t>(818) 5763175</t>
  </si>
  <si>
    <t>F62180</t>
  </si>
  <si>
    <t>ICE, DETROIT DIESEL, MODEL NO. 8163-7416, SERIAL NO. 16VF011025, DIESEL FUEL, 16 CYLINDERS, TURBOCHARGED, AND AFTERCOOLED, RATED AT 1232 BHP, DRIVING AN EMERGENCY ELECTRICAL STANDBY GENERATOR.</t>
  </si>
  <si>
    <t>24421 ALISO CREEK RD</t>
  </si>
  <si>
    <t>LAGUNA NIGUEL</t>
  </si>
  <si>
    <t>ROBINSON TONI</t>
  </si>
  <si>
    <t>(714) 5758281</t>
  </si>
  <si>
    <t>F63764</t>
  </si>
  <si>
    <t>ICE, CATERPILLAR, MODEL 3408T, SERIAL NO. 78Z03599, DIESEL FUEL, TURBOCHARGED AND AFTERCOOLED, RATED AT 603 BHP, DRIVING AN EMERGENCY ELECTRICAL STANDBY GENERATOR.</t>
  </si>
  <si>
    <t>4815 OAK GROVE DR</t>
  </si>
  <si>
    <t>CASTRUITA J</t>
  </si>
  <si>
    <t>(818) 5705476</t>
  </si>
  <si>
    <t>PASADENA CITY</t>
  </si>
  <si>
    <t>F60822</t>
  </si>
  <si>
    <t>ICE, CATERPILLAR, MODEL NO. 3406C DITA, SERIAL NO. 4RG00609, DIESEL FUELED, FOUR CYCLES, SIX CYLINDERS, TURBOCHARGED AND AFTERCOOLED, RATED AT 519 BHP, DRIVING AN EMERGENCY ELECTRICAL GENERATOR.</t>
  </si>
  <si>
    <t>207 N GARFIELD AVE</t>
  </si>
  <si>
    <t>TORSTENBO DALE</t>
  </si>
  <si>
    <t>(626) 7443971</t>
  </si>
  <si>
    <t>PASADENA CITY, DWP (EIS USE)</t>
  </si>
  <si>
    <t>F57290</t>
  </si>
  <si>
    <t>ICE, EMERGENCY POWER, DIESEL FUELED, CATERPILLAR, MODEL NO. 3406 DITA, TURBOCHARGED, AFTERCOOLED, 519 BHP, 350 KW.</t>
  </si>
  <si>
    <t>72 E GLENARM ST</t>
  </si>
  <si>
    <t>BAWA GURCHARAN</t>
  </si>
  <si>
    <t>(626) 7446562</t>
  </si>
  <si>
    <t>PROVIDENCE ST JOSEPH MED CTR</t>
  </si>
  <si>
    <t>F63507</t>
  </si>
  <si>
    <t xml:space="preserve">ICE, CATERPILLAR, EMERGENCY ELECTRICAL GENERATION, MODEL NO. 3516B, DIESEL FUELED, TURBOCHARGED AND AFTERCOOLED, 2499 BHP. </t>
  </si>
  <si>
    <t>501 S BUENA VISTA ST</t>
  </si>
  <si>
    <t>ROMERO WALDO T.</t>
  </si>
  <si>
    <t>(818) 8435111</t>
  </si>
  <si>
    <t>RAYTHEON COMPANY</t>
  </si>
  <si>
    <t>F57229</t>
  </si>
  <si>
    <t>ICE, EMERGENCY POWER, DETROIT DIESEL ALLISON, MODEL NO. 7123-7305, 630 HP, DIESEL FUELED, TURBOCHARGED.</t>
  </si>
  <si>
    <t>2000-2101 E EL SEGUNDO BLVD</t>
  </si>
  <si>
    <t>SILLAT UVE</t>
  </si>
  <si>
    <t>(310) 6474195</t>
  </si>
  <si>
    <t>F57230</t>
  </si>
  <si>
    <t>ICE, EMERGENCY POWER, DIESEL FUEL, DETROIT DIESEL ALLISON, MODEL NO. 9163-7306, TURBOCHARGED, 1545 BHP.</t>
  </si>
  <si>
    <t>F57231</t>
  </si>
  <si>
    <t>F57234</t>
  </si>
  <si>
    <t>ICE, EMERGENCY POWER, ONAN, MODEL NO. 350 ODVJ-47R/28914A, 521 BHP, AFTERCOOLED, TURBOCHARGED, DIESEL FUELED, SERIAL NO. 30A02335/6J A01516.</t>
  </si>
  <si>
    <t>350ODV-47R</t>
  </si>
  <si>
    <t>F57235</t>
  </si>
  <si>
    <t>ICE, EMERGENCY POWER, 12 CYLINDERS, DIESEL FUELED, CATERPILLAR, MODEL NO. 3412 DITTA (600 KW), WITH AFTERCOOLER, TURBOCHARGER, 890 BHP.</t>
  </si>
  <si>
    <t>F57236</t>
  </si>
  <si>
    <t>ICE, EMERGENCY POWER, 12 CYLINDERS, DIESEL FUELED, CUMMINS, MODEL NO QST30-G1 (750 KW), WITH AFTERCOOLER, TURBOCHARGER, 1135 BHP.</t>
  </si>
  <si>
    <t>RIVERSIDE CO., BOARD OF SUPERVISORS</t>
  </si>
  <si>
    <t>ICE, FAIRBANKS MORSE, MODEL B350-400D-54, SERIAL NO. 79088/FM, TURBOCHARGED, INTERCOOLED, 536 BHP, DIESEL FUELED, EMERGENCY ELECTRICAL GENERATION.</t>
  </si>
  <si>
    <t>B350-400D-54</t>
  </si>
  <si>
    <t>46209 OASIS ST</t>
  </si>
  <si>
    <t>BURT E.</t>
  </si>
  <si>
    <t>(714) 2754838</t>
  </si>
  <si>
    <t>RIVERSIDE TELEPORT CORP</t>
  </si>
  <si>
    <t>F57383</t>
  </si>
  <si>
    <t>ICE, CUMMINS, MODEL NO. KTA38-G1, SERIAL NO. 31134051, DIESEL FUELED, FOUR CYCLES, TWELVE CYLINDERS, TURBOCHARGED, AFTERCOOLED, 1000 BHP, DRIVING AN EMERGENCY ELECTRICAL GENERATOR.</t>
  </si>
  <si>
    <t>F57384</t>
  </si>
  <si>
    <t>S HOPE ST ASSOC,400 S HOPE ST MGT CO</t>
  </si>
  <si>
    <t>F60264</t>
  </si>
  <si>
    <t>400 S HOPE ST</t>
  </si>
  <si>
    <t>CROTHERS TOM</t>
  </si>
  <si>
    <t>(213) 6273255</t>
  </si>
  <si>
    <t>F63373</t>
  </si>
  <si>
    <t>ICE, CATERPILLAR, EMERGENCY ELECTRICAL GENERATION, MODEL 3512, DIESEL FUELED, TWELVE CYLINDERS, TURBOCHARGED AND AFTERCOOLED, 1818 BHP.</t>
  </si>
  <si>
    <t>F56238</t>
  </si>
  <si>
    <t>ICE, CATERPILLAR, MODEL NO. 3512 DITA, SERIAL NO. 24Z05610 DIESEL FUEL, TURBOCHARGED, AFTERCOOLED, RATED AT 1818 BHP, DRIVING AN EMERGENCY ELECTRICAL STAND-BY GENERATOR.</t>
  </si>
  <si>
    <t>1100 W STEWART DR</t>
  </si>
  <si>
    <t>STEVENS STEVEN</t>
  </si>
  <si>
    <t>(714) 7718219</t>
  </si>
  <si>
    <t>F57833</t>
  </si>
  <si>
    <t>ICE, CATERPILLAR, MODEL NO. 3512 DITA, DIESEL FUELED, 12 CYLINDERS, TURBOCHARGED, AFTERCOOLED, RATED AT 1818 BHP, DRIVING AN EMERGENCY ELECTRICAL GENERATOR.</t>
  </si>
  <si>
    <t>F57851</t>
  </si>
  <si>
    <t>ICE, CATERPILLAR, MODEL NO. 3512 DITA, DIESEL FUELED, 12 CYLINDERS, TURBOCHARGED, AFTERCOOLED, RATED AT 1190 KW, DRIVING AN EMERGENCY ELECTRICAL GENERATOR.</t>
  </si>
  <si>
    <t>SHERATON GATEWAY HOTEL- LAX</t>
  </si>
  <si>
    <t>LA CITY DWP</t>
  </si>
  <si>
    <t>D59900</t>
  </si>
  <si>
    <t xml:space="preserve">This database was assembled largely from information received from all the air districts in California except the Bay Area AQMD, with supplemental information supplied by the California Department of Corrections, The Office of Energy Assessments of the California Department of General Services, PG&amp;E, Silicon Valley Power, and a major telecommunications company operating in the state. The user of this inventory needs to be aware of several assumptions made in assembling elements of the database, as well as several known limitations.  These include: </t>
  </si>
  <si>
    <t>•  Missing numbers in sequence within a data source are the result of cancellations and deletions</t>
  </si>
  <si>
    <t>SYLMAR</t>
  </si>
  <si>
    <t>3408T</t>
  </si>
  <si>
    <t>KTA38</t>
  </si>
  <si>
    <t>GENERAL SERVICES ADMINISTRATION</t>
  </si>
  <si>
    <t>KAISER FOUNDATION HOSPITAL</t>
  </si>
  <si>
    <t>KAISER PERMANENTE</t>
  </si>
  <si>
    <t>AT&amp;T</t>
  </si>
  <si>
    <t>12V2000</t>
  </si>
  <si>
    <t>INTERNAL COMBUSTION ENGINE, CATERPILLAR, 12 CYLINDERS, TURBOCHARGED, AFTERCOOLED, MODEL NO. 3412C DITA (500 KW), SERIAL NO. 81Z05107, 748 BHP, DIESEL-FUELED, DRIVING AN EMERGENCY ELECTRICAL GENERATOR.</t>
  </si>
  <si>
    <t>7300 WORLD WEST WAY</t>
  </si>
  <si>
    <t>BRAUN THOMAS</t>
  </si>
  <si>
    <t>(310) 2583300</t>
  </si>
  <si>
    <t>F57180</t>
  </si>
  <si>
    <t>INTERNAL COMBUSTION ENGINE, CATERPILLAR, 6 CYLINDERS, TURBOCHARGED, AFTERCOOLED, MODEL NO. 3456 DITA AA (500 KW), 764 BHP, DIESEL-FUELED, DRIVING AN EMERGENCY ELECTRICAL GENERATOR.</t>
  </si>
  <si>
    <t>10440 ASHFORD ST</t>
  </si>
  <si>
    <t>RODRIGUEZ GEORGE</t>
  </si>
  <si>
    <t>(909) 4837400</t>
  </si>
  <si>
    <t>CUSHMAN &amp; WAKEFIELD OF CALIFORNIA, INC</t>
  </si>
  <si>
    <t>F57422</t>
  </si>
  <si>
    <t>DIESEL ENGINE, EMERGENCY ELECTRICAL GENERATION, WAUKESHA, TURBOCHARGED, AFTERCOOLED, MODEL L579DSIU, SERIAL NO. 234355, TWELVE CYLINDERS, 1500 BHP, DRIVING A 1100 KW ELECTRIC GENERATOR.</t>
  </si>
  <si>
    <t>L579DSIU</t>
  </si>
  <si>
    <t>333 S HOPE ST</t>
  </si>
  <si>
    <t>PAGE DAN</t>
  </si>
  <si>
    <t>(213) 6801900</t>
  </si>
  <si>
    <t>F57424</t>
  </si>
  <si>
    <t>DIESEL ENGINE, EMERGENCY ELECTRICAL GENERATION, WAUKESHA, TURBOCHARGED, AFTERCOOLED, MODEL L579DSIU, SERIAL NO. 234345, TWELVE CYLINDERS, 1500 BHP, DRIVING A 1100 KW ELECTRIC GENERATOR.</t>
  </si>
  <si>
    <t>DERF 2000/ WARNER CENTER TOWERS</t>
  </si>
  <si>
    <t>F57336</t>
  </si>
  <si>
    <t>INTERNAL COMBUSTION ENGINE, CATERPILLAR, DIESEL-FUELED, EMERGENCY ELECTRICAL GENERATION, MODEL NO. D349, SERIAL NO. 61P1280, TURBOCHARGED, AFTERCOOLED, 16 CYLINDERS, 1100 BHP.</t>
  </si>
  <si>
    <t>21600 OXNARD ST</t>
  </si>
  <si>
    <t>GEHRING JEFF</t>
  </si>
  <si>
    <t>(818) 5936265</t>
  </si>
  <si>
    <t>F57345</t>
  </si>
  <si>
    <t>INTERNAL COMBUSTION ENGINE, DETROIT DIESEL, DIESEL-FUELED, EMERGENCY ELECTRICAL GENERATION, MODEL 8123-7305, SERIAL NO. 12VF2535, TURBOCHARGED, AFTERCOOLED, 12 CYLINDERS, 741 BHP.</t>
  </si>
  <si>
    <t>21550 OXNARD ST</t>
  </si>
  <si>
    <t>(818) 5936110</t>
  </si>
  <si>
    <t>DERF 2000/WARNER CENTER TOWERS</t>
  </si>
  <si>
    <t>F57339</t>
  </si>
  <si>
    <t>INTERNAL COMBUSTION ENGINE, CATERPILLAR, MODEL NO. 3512 DI, SERIAL NO. 24Z02923, DIESEL-FUELED, EMERGENCY ELECTRICAL GENERATION, 12 CYLINDERS, TURBOCHARGED AND AFTERCOOLED, 1804 BHP.</t>
  </si>
  <si>
    <t>F57344</t>
  </si>
  <si>
    <t>INTERNAL COMBUSTION ENGINE, CATERPILLAR, DIESEL-FUELED, EMERGENCY ELECTRICAL GENERATION, MODEL 3512, SERIAL NO. 24Z02273, TURBOCHARGED, AFTERCOOLED, 12 CYLINDERS, 1482 BHP.</t>
  </si>
  <si>
    <t>21700 OXNARD ST</t>
  </si>
  <si>
    <t>F57346</t>
  </si>
  <si>
    <t>INTERNAL COMBUSTION ENGINE, CATERPILLAR, DIESEL-FUELED, EMERGENCY ELECTRICAL GENERATION, MODEL 3412, SERIAL NO. 8123712, TURBOCHARGED, AFTERCOOLED, 12 CYLINDERS, 688 BHP.</t>
  </si>
  <si>
    <t>21800 OXNARD ST</t>
  </si>
  <si>
    <t>DISNEY CORE SERVICES</t>
  </si>
  <si>
    <t>F57348</t>
  </si>
  <si>
    <t>INTERNAL COMBUSTION ENGINE, CATERPILLAR, DIESEL-FUELED, EMERGENCY ELECTRICAL GENERATION, MODEL 3412 DIT, TURBOCHARGED, AFTERCOOLED, 12 CYLINDERS, 770 BHP.</t>
  </si>
  <si>
    <t>3800 W ALAMEDA AVE</t>
  </si>
  <si>
    <t>GONZALEZ DEBBIE</t>
  </si>
  <si>
    <t>(818) 5442504</t>
  </si>
  <si>
    <t>DOHENY EYE INSTITUTE</t>
  </si>
  <si>
    <t>F56625</t>
  </si>
  <si>
    <t>INTERNAL COMBUSTION ENGINE, DETROIT DIESEL, MODEL NO. 8163-7416, SERIAL NO. 16VF009280, DIESEL FUELED, TURBOCHARGED, 16-CYLINDER, 1252 BHP, DRIVING AN EMERGENCY ELECTRICAL GENERATOR.</t>
  </si>
  <si>
    <t>1537 NORFOLK ST</t>
  </si>
  <si>
    <t>AHDOUT SAEED</t>
  </si>
  <si>
    <t>(949) 8333455</t>
  </si>
  <si>
    <t>F58120</t>
  </si>
  <si>
    <t>INTERNAL COMBUSTION ENGINE, CUMMINS, MODEL NO. KTA2300GS, SERIAL NO. 33105734, DIESEL FUELED, 12 CYLINDER, TURBOCHARGED AND AFTERCOOLED, 1030 BHP, DRIVING AN EMERGENCY ELECTRICAL GENERATOR.</t>
  </si>
  <si>
    <t>KTA2300GS</t>
  </si>
  <si>
    <t>ELLA LEWIN LLC, C/O HBD COMPANY</t>
  </si>
  <si>
    <t>F57084</t>
  </si>
  <si>
    <t>INTERNAL COMBUSTION  ENGINE, DETROIT DIESEL, 6 CYLINDERS, TURBOCHARGED, AFTERCOOLED, MODEL NO. 6063-TK35 (410 KW), 550 BHP, DIESEL-FUELED, DRIVING AN EMERGENCY ELECTRICAL GENERATOR.</t>
  </si>
  <si>
    <t>9101 S SEPULVEDA BLVD</t>
  </si>
  <si>
    <t>WEST WILLIAM</t>
  </si>
  <si>
    <t>(310) 4178048</t>
  </si>
  <si>
    <t>EMPIRE LAKES CORPORATION</t>
  </si>
  <si>
    <t>F54464</t>
  </si>
  <si>
    <t>INTERNAL COMBUSTION ENGINE, CATERPILLAR, MODEL NO. 3512B DITA SCAC ENGINE, TURBOCHARGED AND AFTERCOOLED, DIESEL FUELED, EMERGENCY ELECTRICAL GENERATOR, FOUR CYLINDERS, 2155 BHP.</t>
  </si>
  <si>
    <t>9500 CLEVELAND AVE STE 110</t>
  </si>
  <si>
    <t>YORK WAYNE</t>
  </si>
  <si>
    <t>(909) 4816187</t>
  </si>
  <si>
    <t>EOP, LLC, A DELAWARE LLC</t>
  </si>
  <si>
    <t>INTERNAL COMBUSTION ENGINE, KOHLER, DIESEL-FUELED, EMERGENCY ELECTRICAL GENERAWTION, MODEL 400 SERIAL NO. 189621, TURBOCHARGED, AFTERCOOLED, 6 CYLINDERS, 600 BHP.</t>
  </si>
  <si>
    <t>18881 VON KARMAN AVE</t>
  </si>
  <si>
    <t>WILES MARVIN</t>
  </si>
  <si>
    <t>(949) 8332133</t>
  </si>
  <si>
    <t>INTERNAL COMBUSTION ENGINE, CUMMINS, 6 CYLINDERS, TURBOCHARGED, AFTERCOOLED, MODEL NO. QSX15-G9, 755 BHP, DIESEL-FUELED, DRIVING AN EMERGENCY ELECTRICAL GENERATOR.</t>
  </si>
  <si>
    <t>2257 N PACIFIC ST</t>
  </si>
  <si>
    <t>JONES GARY</t>
  </si>
  <si>
    <t>(714) 9989200</t>
  </si>
  <si>
    <t>INTERNAL COMBUSTION ENGINE, DETROIT DIESEL, MODEL NO. 8083-7416 (8V-92TA), DIESEL FUELED, TURBOCHARGED AND AFTERCOOLED, RATED AT 643 BHP, DRIVING AN ELECTRICAL GENERATOR.</t>
  </si>
  <si>
    <t>1663 BUTLER AVE</t>
  </si>
  <si>
    <t>KUROKI SHARI</t>
  </si>
  <si>
    <t>(213) 4737748</t>
  </si>
  <si>
    <t>F55182</t>
  </si>
  <si>
    <t>INTERNAL COMBUSTION ENGINE, DETROIT DIESEL, MODEL NO. 7123-7406, SERIAL NO. 12VA086804, DIESEL FUELED, EMERGENCY ELECTRICAL GENERATOR DRIVER, TURBOCHARGED, 760 BHP.</t>
  </si>
  <si>
    <t>200 N MAIN ST RM 800</t>
  </si>
  <si>
    <t>CAIN HAROLD</t>
  </si>
  <si>
    <t>(213) 8474818</t>
  </si>
  <si>
    <t>F55183</t>
  </si>
  <si>
    <t>INTERNAL COMBUSTION ENGINE, DETROIT DIESEL, MODEL NO. 7123-7406, SERIAL NO. 12VA086823, DIESEL FUELED, EMERGENCY ELECTRICAL GENERATOR DRIVER, TURBOCHARGED, 760 BHP.</t>
  </si>
  <si>
    <t>F56160</t>
  </si>
  <si>
    <t>INTERNAL COMBUSTION ENGINE, CUMMINS, MODEL NO. KTA19-G4, SERIAL NO. 37173488, DIESEL FUEL, 6 CYLINDERS, FOUR CYCLE, TURBOCHARGED AND AFTERCOOLED, RATED AT 755 BHP DRIVING AN EMERGENCY ELECTRICAL GENERATOR.</t>
  </si>
  <si>
    <t>3800 MT LEE DR</t>
  </si>
  <si>
    <t>UNKNOWN UNKNOWN</t>
  </si>
  <si>
    <t>(213) 4852915</t>
  </si>
  <si>
    <t>F56490</t>
  </si>
  <si>
    <t>INTERNAL COMBUSTION ENGINE, CATERPILLAR, MODEL N O. 3512 DITA, SERIAL NO. 24Z04526, DIESEL-FUELED, TURBOCHARGED AND AFTERCOOLED, 12-CYLINDER, 1482 BHP, DRIVING AN EMERGENCY ELECTRICAL GENERATOR.</t>
  </si>
  <si>
    <t>200 N SPRING ST</t>
  </si>
  <si>
    <t>LA CO, PROBATION</t>
  </si>
  <si>
    <t>F55206</t>
  </si>
  <si>
    <t>INTERNAL COMBUSTION ENGINE, DETROIT DIESEL, 12 CYLINDERS, TURBOCHARGED, AFTERCOOLED, MODEL NO. R123-7K36 (836 KW), 1120 BHP, DIESEL-FUELED, DRIVING AN EMERGENCY ELECTRICAL GENERATOR.</t>
  </si>
  <si>
    <t>6631 N STEPHENS RANCH RD</t>
  </si>
  <si>
    <t>LA VERNE</t>
  </si>
  <si>
    <t>BILECZ STEVE</t>
  </si>
  <si>
    <t>(661) 9404218</t>
  </si>
  <si>
    <t>LA CO., MECH DEPT/CAMP GONZALES</t>
  </si>
  <si>
    <t>F55100</t>
  </si>
  <si>
    <t>INTERNAL COMBUSTION ENGINE, VOLVO, MODEL TAD1241GE, TURBOCHARGED, AFTERCOOLED, DIESEL FUELED, DRIVING AN EMERGENCY ELECTRICAL GENERATOR, 527 BHP.</t>
  </si>
  <si>
    <t>TAD1241GE</t>
  </si>
  <si>
    <t>1301 N LAS VIRGENES CANYON RD</t>
  </si>
  <si>
    <t>LA CO., PROBATION/CAMP SCUDDER</t>
  </si>
  <si>
    <t>F55099</t>
  </si>
  <si>
    <t>INTERNAL COMBUSTION ENGINE, VOLVO, MODEL TAD1631GE, TURBOCHARGED, AFTERCOOLED, DIESEL FUELED, DRIVING AN EMERGENCY ELECTRICAL GENERATOR, 759 BHP.</t>
  </si>
  <si>
    <t>28750 N BOUQUET CANYON RD</t>
  </si>
  <si>
    <t>SAUGUS</t>
  </si>
  <si>
    <t>(661) 9402180</t>
  </si>
  <si>
    <t>LAGUNA BEACH CITY</t>
  </si>
  <si>
    <t>F55365</t>
  </si>
  <si>
    <t>INTERNAL COMBUSTION ENGINE, DETROIT DIESEL, EMERGENCY ELECTRICAL GENERATION, MODEL NO. 16V-71T-7163-7305, SERIAL NO. 16V016036, DIESEL FUELED, SIXTEEN CYLINDERS, TURBOCHARGED, 755 BHP.</t>
  </si>
  <si>
    <t>1509 GLENNEYRE</t>
  </si>
  <si>
    <t>LAGUNA BEACH</t>
  </si>
  <si>
    <t>THOMPSON LLOY</t>
  </si>
  <si>
    <t>(949) 4970765</t>
  </si>
  <si>
    <t>LONG BEACH CITY, FIRE TRAINING</t>
  </si>
  <si>
    <t>F57983</t>
  </si>
  <si>
    <t>INTERNAL COMBUSTION ENGINE, CUMMINS, DIESEL-FUELED, EMERGENCY ELECTRICAL GENERATION, MODEL NO. NTA14-G2-535, SERIAL NO. 11963522, TURBOCHARGED, AFTERCOOLED, 6 CYLINDERS, FOUR CYCLE, 535 BHP.</t>
  </si>
  <si>
    <t>NTA14-G2</t>
  </si>
  <si>
    <t>2243-224 ARGONNE AVE</t>
  </si>
  <si>
    <t>DUGGAN TIM</t>
  </si>
  <si>
    <t>(562) 5705406</t>
  </si>
  <si>
    <t>LOS ANGELES INTERNATIONAL CHURCH</t>
  </si>
  <si>
    <t>F19463</t>
  </si>
  <si>
    <t>2301 BELLEVUE AVE</t>
  </si>
  <si>
    <t>WILLIAMS BILLY</t>
  </si>
  <si>
    <t>(213) 2737098</t>
  </si>
  <si>
    <t>MCI WORLDCOM</t>
  </si>
  <si>
    <t>F54954</t>
  </si>
  <si>
    <t>INTERNAL COMBUSTION ENGINE, CATERPILLAR, MODEL 3512 DITA, TURBOCHARGED, AFTERCOOLED, DIESEL FUELED, RATED AT 1482 BHP, DRIVING AN EMERGENCY ELECTRICAL GENERATOR.</t>
  </si>
  <si>
    <t>800 S HOPE STE 300</t>
  </si>
  <si>
    <t>HUNZIKER-KLAES NANCY</t>
  </si>
  <si>
    <t>(972) 7296322</t>
  </si>
  <si>
    <t>MERCURY CASUALTY COMPANY</t>
  </si>
  <si>
    <t>F56714</t>
  </si>
  <si>
    <t>INTERNAL COMBUSTION ENGINE, CATERPILLAR, 12 CYLINDERS, TURBOCHARGED, AFTERCOOLED, MODEL NO. 3512B DITA (1500 KW), 2155 BHP, DIESEL-FUELED, DRIVING AN EMERGENCY ELECTRICAL GENERATOR.</t>
  </si>
  <si>
    <t>11000 EUCALYPTUS</t>
  </si>
  <si>
    <t>PETZAK JERRY</t>
  </si>
  <si>
    <t>(714) 2555345</t>
  </si>
  <si>
    <t>F57659</t>
  </si>
  <si>
    <t>INTERNAL COMBUSTION ENGINE, CUMMINS, MODEL NO. VTA1710GS1, SERIAL NO. 37104379, DIESEL FUELED, TWELVE CYLINDERS, TURBOCHARGED AND AFTERCOOLED, RATED AT 760 BHP, DRIVING AN EMERGENCY ELECTRICAL GENERATOR.</t>
  </si>
  <si>
    <t>1840 CENTURY PARK EAST</t>
  </si>
  <si>
    <t>FIRTH HAL</t>
  </si>
  <si>
    <t>(310) 5566850</t>
  </si>
  <si>
    <t>ORANGE, COUNTY OF - SANITATION DISTRICT</t>
  </si>
  <si>
    <t>F55982</t>
  </si>
  <si>
    <t>10844 ELLIS AVE</t>
  </si>
  <si>
    <t>FOUNTAIN VALLEY</t>
  </si>
  <si>
    <t>AHN TERRY</t>
  </si>
  <si>
    <t>(714) 5937082</t>
  </si>
  <si>
    <t>F55984</t>
  </si>
  <si>
    <t>INTERNAL COMBUSTION ENGINE, CUMMINS, 16 CYLINDERS, TURBOCHARGED, AFTERCOOLED, MODEL NO. KTA50-G9 (1500 KW), 2220 BHP, DIESEL-FUELED, DRIVING AN EMERGENCY ELECTRICAL GENERATOR.</t>
  </si>
  <si>
    <t>F55985</t>
  </si>
  <si>
    <t>INTERNAL COMBUSTION ENGINE, DETROIT DIESEL, 12 CYLINDERS, TURBOCHARGED, AFTERCOOLED, MODEL NO. T123-7K36 (12V-4000), 2200 BHP, DIESEL-FUELED, DRIVING AN EMERGENCY ELECTRICAL GENERATOR.</t>
  </si>
  <si>
    <t>(310) 2444510</t>
  </si>
  <si>
    <t>SOUTH COAST AIR QUALITY MANAGEMENT DIST</t>
  </si>
  <si>
    <t>F55332</t>
  </si>
  <si>
    <t>INTERNAL COMBUSTION ENGINE, CATERPILLAR, MODEL NO. G3412 SITA, SERIAL NO. CTP00246, NATURAL GAS FUELED WITH PROPANE BACKUP, FOUR CYCLES, TWELVE CYLINDERS, RICH BURN, TURBOCHARGED AND AFTERCOOLED, RATED AT 622 BHP, WITH A JOHNSON MATTHEY, MODEL NO. QXC30-8, NON-SELECTIVE CATALYTIC REDUCTION CONVERTER, AND AN ALTRONIC EPC-100 AIR/FUEL RATIO CONTROLLER, DRIVING AN EMERGENCY ELECTRICAL GENERATOR.</t>
  </si>
  <si>
    <t>Natural Gas / Propane</t>
  </si>
  <si>
    <t>21865 COPLEY DR</t>
  </si>
  <si>
    <t>DIAMOND BAR</t>
  </si>
  <si>
    <t>VARGAS MARIANO</t>
  </si>
  <si>
    <t>(909) 3962045</t>
  </si>
  <si>
    <t>SPECIALTY LABORATORIES, INC</t>
  </si>
  <si>
    <t>F55213</t>
  </si>
  <si>
    <t>INTERNAL COMBUSTION ENGINE, CATERPILLAR, 12 CYLINDERS, TURBOCHARGED, AFTERCOOLED, MODEL NO. 3512B DITA (1250 KW), 1807 BHP, DIESEL-FUELED, DRIVING AN EMERGENCY ELECTRICAL GENERATOR.</t>
  </si>
  <si>
    <t>27027 TOURNEY RD</t>
  </si>
  <si>
    <t>SANTA CLARITA</t>
  </si>
  <si>
    <t>HORAN RICH</t>
  </si>
  <si>
    <t>(310) 8286543</t>
  </si>
  <si>
    <t>F55283</t>
  </si>
  <si>
    <t>SPRINT COMMUNICATIONS</t>
  </si>
  <si>
    <t>F55601</t>
  </si>
  <si>
    <t>INTERNAL COMBUSTION ENGINE, CUMMINS, MODEL NO. QST30-G1, SERIAL NO. C020342176, DIESEL FUELED, TURBOCHARGED AND AFTERCOOLED, 12-CYLINDER, 1135 BHP, DRIVING AN EMERGENCY ELECTRICAL GENERATOR.</t>
  </si>
  <si>
    <t>747 N BARRANCA AVE</t>
  </si>
  <si>
    <t>COVINA</t>
  </si>
  <si>
    <t>GALINDO NORA</t>
  </si>
  <si>
    <t>(702) 2447212</t>
  </si>
  <si>
    <t>SUPERINTENDENT OF SCHOOLS, RIVERSIDE</t>
  </si>
  <si>
    <t>INTERNAL COMBUSTION ENGINE, CATERPILLAR, DIESEL-FUELED, EMERGENCY ELECTRICAL GENERATION, MODEL 3512 DITA, SERIAL NO. 24209464, TURBOCHARGED, AFTERCOOLED, TWELVE CYLINDERS, 1801 BHP.</t>
  </si>
  <si>
    <t>3939 13TH ST</t>
  </si>
  <si>
    <t>RIVERSIDE</t>
  </si>
  <si>
    <t>HARTUNG AUGIE</t>
  </si>
  <si>
    <t>(909) 8266582</t>
  </si>
  <si>
    <t>SWIFTCOMM, INC.</t>
  </si>
  <si>
    <t>F51885</t>
  </si>
  <si>
    <t>INTERNAL COMBUSTION ENGINE, CATERPILLAR, 16 CYLINDER, TURBOCHARGED, AFTERCOOLED, MODEL 3516B DITA (2000 KW), SERIAL NO. 4FNO2657, 2847 BHP, DIESEL FUELED, DRIVING AN EMERGENCY ELECTRICAL GENERATOR.</t>
  </si>
  <si>
    <t>1960 CHICAGO AVE BUILDING E</t>
  </si>
  <si>
    <t>BORKHARDT ROBERT</t>
  </si>
  <si>
    <t>(909) 7843500</t>
  </si>
  <si>
    <t>F51887</t>
  </si>
  <si>
    <t>INTERNAL COMBUSTION ENGINE, CATERPILLAR, 16 CYLINDER, TURBOCHARGED, AFTERCOOLED, MODEL 3516B DITA (2000 KW), SERIAL NO. 4FNO2656, 2847 BHP, DIESEL FUELED, DRIVING AN EMERGENCY ELECTRICAL GENERATOR.</t>
  </si>
  <si>
    <t>F51888</t>
  </si>
  <si>
    <t>INTERNAL COMBUSTION ENGINE, CATERPILLAR, 16 CYLINDER, TURBOCHARGED, AFTERCOOLED, MODEL 3516B DITA (2000 KW), SERIAL NO. 4FNO2655, 2847 BHP, DIESEL FUELED, DRIVING AN EMERGENCY ELECTRICAL GENERATOR.</t>
  </si>
  <si>
    <t>F55215</t>
  </si>
  <si>
    <t>INTERNAL COMBUSTION ENGINE, CUMMINS, 16 CYLINDERS, TURBOCHARGED, AFTERCOOLED, MODEL NO. QSK60-G6 (2180 KW), SERIAL NO. AD10194801, 2922 BHP, DIESEL-FUELED, DRIVING AN EMERGENCY ELECTRICAL GENERATOR.</t>
  </si>
  <si>
    <t>F55214</t>
  </si>
  <si>
    <t>INTERNAL COMBUSTION ENGINE, CUMMINS, 16 CYLINDERS, TURBOCHARGED, AFTERCOOLED, MODEL NO. QSK60-G6 (2180 KW),  2922 BHP, DIESEL-FUELED, DRIVING AN EMERGENCY ELECTRICAL GENERATOR.</t>
  </si>
  <si>
    <t>TELEGLOBE USA INC</t>
  </si>
  <si>
    <t>F55955</t>
  </si>
  <si>
    <t>INTERNAL COMBUSTION ENGINE, CATERPILLAR, 16 CYLINDERS, TURBOCHARGED, AFTERCOOLED, MODEL 3516B-DITA (2000 KW), SERIAL NO. 6HN00895, 2847 BHP, DIESEL-FUELED, DRIVING AN EMERGENCY ELECTRICAL GENERATOR.</t>
  </si>
  <si>
    <t>900 N ALAMEDA</t>
  </si>
  <si>
    <t>LYNNE JULIE</t>
  </si>
  <si>
    <t>(858) 5358117</t>
  </si>
  <si>
    <t>THE ORANGE COUNTY REGISTER</t>
  </si>
  <si>
    <t>F56639</t>
  </si>
  <si>
    <t>INTERNAL COMBUSTION ENGINE, CUMMINS, DIESEL-FUELED, EMERGENCY ELECTRICAL GENERATION, MODEL KTA19-G2, SERIAL NO. 02534, TURBOCHARGED, AFTERCOOLED, 6 CYLINDERS, 600 BHP.</t>
  </si>
  <si>
    <t>625 N GRAND AVE</t>
  </si>
  <si>
    <t>DANIELS PHIL</t>
  </si>
  <si>
    <t>(714) 7962263</t>
  </si>
  <si>
    <t>UNITED PARCEL SERVICE</t>
  </si>
  <si>
    <t>D63799</t>
  </si>
  <si>
    <t>INTERNAL COMBUSTION ENGINE, CATERPILLAR, DIESEL FUELED, EMERGENCY ELECTRICAL GENERATION, MODEL NO.3512TA, TURBOCHARGED, AFTERCOOLED, 12 CYLINDERS, 4-CYCLE, 1802 BHP.</t>
  </si>
  <si>
    <t>3140 E JURUPA ST</t>
  </si>
  <si>
    <t>NICKELSON DAN</t>
  </si>
  <si>
    <t>(909) 9747116</t>
  </si>
  <si>
    <t>UNIVERSITY OF CALIFORNIA, LOS ANGELES</t>
  </si>
  <si>
    <t>F56117</t>
  </si>
  <si>
    <t>INTERNAL COMBUSTION ENGINE, CATERPILLAR, 16 CYLINDERS, TURBOCHARGED, AFTERCOOLED, MODEL 3516B DITA (2000 KW), SERIAL NO. 1HZ02174, 2847 BHP, DIESEL-FUELED, DRIVING AN EMERGENCY ELECTRICAL GENERATOR.</t>
  </si>
  <si>
    <t>405 HILGARD AVE</t>
  </si>
  <si>
    <t>OTT DAVID</t>
  </si>
  <si>
    <t>(310) 7945369</t>
  </si>
  <si>
    <t>F56116</t>
  </si>
  <si>
    <t>INTERNAL COMBUSTION ENGINE, CATERPILLAR, 16 CYLINDERS, TURBOCHARGED, AFTERCOOLED, MODEL 3516B DITA (2000 KW), SERIAL NO. 1HZ02175, 2847 BHP, DIESEL-FUELED, DRIVING AN EMERGENCY ELECTRICAL GENERATOR.</t>
  </si>
  <si>
    <t>F56115</t>
  </si>
  <si>
    <t>INTERNAL COMBUSTION ENGINE, CATERPILLAR, 16 CYLINDERS, TURBOCHARGED, AFTERCOOLED, MODEL 3516B DITA (2000 KW), SERIAL NO. 1HZ02176, 2847 BHP, DIESEL-FUELED, DRIVING AN EMERGENCY ELECTRICAL GENERATOR.</t>
  </si>
  <si>
    <t>F56114</t>
  </si>
  <si>
    <t>INTERNAL COMBUSTION ENGINE, CATERPILLAR, 16 CYLINDERS, TURBOCHARGED, AFTERCOOLED, MODEL 3516B DITA (2000 KW), SERIAL NO. 1HZ02177, 2847 BHP, DIESEL-FUELED, DRIVING AN EMERGENCY ELECTRICAL GENERATOR.</t>
  </si>
  <si>
    <t>URBAN RETAIL PROPERTIES</t>
  </si>
  <si>
    <t>F56181</t>
  </si>
  <si>
    <t>INTERNAL COMBUSTION ENGINE, CATERPILLAR, 12 CYLINDERS, TURBOCHARGED, AFTERCOOLED, MODEL NO. 3512 DITA (1250 KW), SERIAL NO. 00000ECMJ00347, 1801 BHP, DIESEL-FUELED, DRIVING AN EMERGENCY ELECTRICAL GENERATOR.</t>
  </si>
  <si>
    <t>10250 CONSTELLATION BLVD</t>
  </si>
  <si>
    <t>PADRUTT DAVID</t>
  </si>
  <si>
    <t>(310) 2290800</t>
  </si>
  <si>
    <t>F56182</t>
  </si>
  <si>
    <t>INTERNAL COMBUSTION ENGINE, CATERPILLAR, 12 CYLINDERS, TURBOCHARGED, AFTERCOOLED, MODEL NO. 3412 DITTA (600 KW), 896 BHP, DIESEL-FUELED, DRIVING AN EMERGENCY ELECTRICAL GENERATOR.</t>
  </si>
  <si>
    <t>US FOOD AND DRUG ADMINISTRATION</t>
  </si>
  <si>
    <t>F56218</t>
  </si>
  <si>
    <t>INTERNAL COMBUSTION ENGINE, DETROIT DIESEL, 8 CYLINDERS, TURBOCHARGED,  AFTERCOOLED, MODEL NO. R083-7K36 (571 KW), SERIAL NO. 5312001704, 765 BHP, DIESEL-FUELED, DRIVING AN EMERGENCY ELECTRICAL GENERATOR.</t>
  </si>
  <si>
    <t>19701 FAIRCHILD AVE</t>
  </si>
  <si>
    <t>LITTLE CHARLES</t>
  </si>
  <si>
    <t>(949) 4740847</t>
  </si>
  <si>
    <t>VANCE CORP.</t>
  </si>
  <si>
    <t>F55062</t>
  </si>
  <si>
    <t>INTERNAL COMBUSTION ENGINE, PORTABLE, CATERPILLAR, MODEL NO. 3412-E246, DIESEL FUELED, ELECTRICAL GENERATOR DRIVER, SERIAL NO. 38S18611, 12 CYLINDERS, TURBOCHARGED AND AFTERCOOLED, 850 BHP.</t>
  </si>
  <si>
    <t>3412-E246</t>
  </si>
  <si>
    <t>RIALTO</t>
  </si>
  <si>
    <t>MCNEW PHILLIP</t>
  </si>
  <si>
    <t>(909) 3554333</t>
  </si>
  <si>
    <t>F57671</t>
  </si>
  <si>
    <t>INTERNAL COMBUSTION ENGINE, CUMMINS, 12 CYLINDERS, TURBOCHARGED, AFTERCOOLED, MODEL NO. QST30-G5, SERIAL NO. 3719-3603, 1490 BHP, DIESEL-FUELED, DRIVING AN EMERGENCY ELECTRICAL GENERATOR.</t>
  </si>
  <si>
    <t>19111 BUSHARD ST</t>
  </si>
  <si>
    <t>GILMORE MARTIN</t>
  </si>
  <si>
    <t>(562) 6270186</t>
  </si>
  <si>
    <t>F57670</t>
  </si>
  <si>
    <t>9637 E IMPERIAL HWY</t>
  </si>
  <si>
    <t>DOWNEY</t>
  </si>
  <si>
    <t>WATER TERRACE</t>
  </si>
  <si>
    <t>F56452</t>
  </si>
  <si>
    <t>INTERNAL COMBUSTION ENGINE, CUMMINS, 12 CYLINDERS, TURBOCHARGED, AFTERCOOLED, MODEL NO. QST30-G5, 1490 BHP, DIESEL-FUELED, DRIVING AN EMERGENCY ELECTRICAL GENERATOR.</t>
  </si>
  <si>
    <t>13700 MARINA POINTE DR</t>
  </si>
  <si>
    <t>SPEZZANO GREG</t>
  </si>
  <si>
    <t>(310) 8232955</t>
  </si>
  <si>
    <t>WORLDCOM</t>
  </si>
  <si>
    <t>F55336</t>
  </si>
  <si>
    <t>INTERNAL COMBUSTION ENGINE, CATERPILLAR, MODEL 3508 DITA, TURBOCHARGED, AFTERCOOLED, DIESEL FUELED, RATED AT 1337 BHP, DRIVING AN EMERGENCY ELECTRICAL GENERATOR.</t>
  </si>
  <si>
    <t>555 5TH ST</t>
  </si>
  <si>
    <t>HARRIS TODD</t>
  </si>
  <si>
    <t>(972) 7295671</t>
  </si>
  <si>
    <t>YOUBET.COM INC</t>
  </si>
  <si>
    <t>F58338</t>
  </si>
  <si>
    <t>INTERNAL COMBUSTION ENGINE, CUMMINS, MODEL NO. N14-G2, DIESEL FUELED, FOUR CYCLES, SIX CYLINDERS, TURBOCHARGED AND AFTERCOOLED, RATED  AT 535 BHP, DRIVING AN EMERGENCY ELECTRICAL GENERATOR.</t>
  </si>
  <si>
    <t>5901 DE SOTO AVE</t>
  </si>
  <si>
    <t>SANCHEZ CINDY</t>
  </si>
  <si>
    <t>(818) 6682100</t>
  </si>
  <si>
    <t>ICE, DETROIT DIESEL, MODEL NO. R163-7K36 (16V-2000) , SERIAL NO. GM17862, DIESEL FUELED, TURBOCHARGED AND AFTERCOOLED, 16-CYLINDER, 1495 BHP, DRIVING AN EMERGENCY ELECTRICAL GENERATOR.</t>
  </si>
  <si>
    <t>950 MARINER ST</t>
  </si>
  <si>
    <t>CRAFT KEVIN</t>
  </si>
  <si>
    <t>(714) 2370739</t>
  </si>
  <si>
    <t>EXCALIBUR ENTERTAINMENT</t>
  </si>
  <si>
    <t>F52455</t>
  </si>
  <si>
    <t>ICE, DETROIT DIESEL, 6 CYLINDER, TURBOCHARGED, AFTERCOOLED, MODEL 6063-TK35 (310 KW), 415 BHP, DIESEL FUELED, DRIVING AN ELECTRICAL GENERATOR.</t>
  </si>
  <si>
    <t>3621 W COMMONWEALTH AVE</t>
  </si>
  <si>
    <t>FULLERTON</t>
  </si>
  <si>
    <t>KISNER JACOB</t>
  </si>
  <si>
    <t>(714) 7735856</t>
  </si>
  <si>
    <t>EXODUS, A CABLE &amp; WIRELESS SERVICE</t>
  </si>
  <si>
    <t>F51151</t>
  </si>
  <si>
    <t>ICE NO. E, CATERPILLAR, MODEL NO. 3516B DITA SC, SERIAL NO. 6HN00633, DIESEL FUELED, EMERGENCY ELECTRICAL GENERATOR, TURBOCHARGED AND AFTERCOOLED, 2847 BHP.</t>
  </si>
  <si>
    <t>3516B DITA SC</t>
  </si>
  <si>
    <t>17836 GILLETTE AVE</t>
  </si>
  <si>
    <t>RODRIGUEZ RHONDA C.</t>
  </si>
  <si>
    <t>(949) 6082796</t>
  </si>
  <si>
    <t>F51152</t>
  </si>
  <si>
    <t>ICE NO. C, CATERPILLAR, MODEL NO. 3516B DITA SC, SERIAL NO. 6HN00636, DIESEL FUELED, EMERGENCY ELECTRICAL GENERATOR, TURBOCHARGED AND AFTERCOOLED, 2847 BHP.</t>
  </si>
  <si>
    <t>F51153</t>
  </si>
  <si>
    <t>ICE NO. R2-1, CATERPILLAR, MODEL NO. 3516B DITA SC, SERIAL NO. 6HN00770, DIESEL FUELED, EMERGENCY ELECTRICAL GENERATOR, TURBOCHARGED AND AFTERCOOLED, 2847 BHP.</t>
  </si>
  <si>
    <t>F51154</t>
  </si>
  <si>
    <t>ICE NO. R2-2, CATERPILLAR, MODEL NO. 3516B DITA SC, SERIAL NO. 6HN00786, DIESEL FUELED, EMERGENCY ELECTRICAL GENERATOR, TURBOCHARGED AND AFTERCOOLED, 2847 BHP.</t>
  </si>
  <si>
    <t>F51155</t>
  </si>
  <si>
    <t>ICE, CATERPILLAR, MODEL NO. 3516B DITA, DIESEL FUELED, FOUR CYCLES, SIXTEEN CYLINDERS, TURBOCHARGED AND AFTERCOOLED, RATED AT 2847 BHP, DRIVING AN EMERGENCY ELECTRICAL GENERATOR.</t>
  </si>
  <si>
    <t xml:space="preserve">PACIFIC BELL ENVIRONMENTAL MANAGEMENT   </t>
  </si>
  <si>
    <t>396577</t>
  </si>
  <si>
    <t>F48279</t>
  </si>
  <si>
    <t>ICE, CATERPILLAR, 8 CYLINDER, TURBOCHARGED, AFTERCOOLED, MODEL 3508B-DITA, 1480 BHP, DIESEL FUELED, DRIVING AN EMERGENCY ELECTRICAL GENERATOR.</t>
  </si>
  <si>
    <t xml:space="preserve">1000 S FREMONT AVE                                                              </t>
  </si>
  <si>
    <t xml:space="preserve">PACIFIC DESIGN CENTER 1, LLC            </t>
  </si>
  <si>
    <t>376943</t>
  </si>
  <si>
    <t>F46793</t>
  </si>
  <si>
    <t>ICE, DETROIT DIESEL, MODEL 8163-7305, SERIAL NO. 16VF007037, 860 BHP, DIESEL-FUELED, TURBOCHARGED, AFTERCOOLED, DRIVING AN EMERGENCY ELECTRICAL GENERATOR.</t>
  </si>
  <si>
    <t xml:space="preserve">8687 MELROSE AVE                                                                </t>
  </si>
  <si>
    <t xml:space="preserve">WEST HOLLYWOOD           </t>
  </si>
  <si>
    <t xml:space="preserve">HADUCH ED                                         </t>
  </si>
  <si>
    <t xml:space="preserve">(213) 6570800   </t>
  </si>
  <si>
    <t>386987</t>
  </si>
  <si>
    <t>F40331</t>
  </si>
  <si>
    <t>ICE, CUMMINS, 6 CYLINDERS, TURBOCHARGED, AFTERCOOLED, MODEL NO. N14-G2 (399 KW), SERIAL NO. 199091890, 535 BHP, DIESEL-FUELED, DRIVING AN EMERGENCY ELECTRICAL GENERATOR.</t>
  </si>
  <si>
    <t xml:space="preserve">COOPER DENNIS                                     </t>
  </si>
  <si>
    <t xml:space="preserve">(949) 2193360   </t>
  </si>
  <si>
    <t xml:space="preserve">PACIFIC PALMS CONFERENCE RESORT         </t>
  </si>
  <si>
    <t>391546</t>
  </si>
  <si>
    <t>F44968</t>
  </si>
  <si>
    <t>ICE, DETROIT DIESEL, DIESEL-FUELED EMERGENCY, ELECTRICAL GENERATION, MDOEL 16V-71T, TURBOCHARGED, AFTERCOOLED, 16 CYLINDERS, 830 BHP.</t>
  </si>
  <si>
    <t xml:space="preserve">ONE INDUSTRY HILLS PKY                                                          </t>
  </si>
  <si>
    <t xml:space="preserve">UNZUETA RICK                                      </t>
  </si>
  <si>
    <t xml:space="preserve">(626) 8542341   </t>
  </si>
  <si>
    <t>391552</t>
  </si>
  <si>
    <t>F44962</t>
  </si>
  <si>
    <t>ICE, CATERPILLAR, DIESEL-FUELED, EMERGENCY ELECTRICAL GENERATION, MODEL 3412TA, TURBOCHARGED, AFTERCOOLED, 12 CYLINDERS, 520 BHP.</t>
  </si>
  <si>
    <t>520</t>
  </si>
  <si>
    <t xml:space="preserve">PACIFIC PLASTICS, INC.                  </t>
  </si>
  <si>
    <t>385932</t>
  </si>
  <si>
    <t>F43013</t>
  </si>
  <si>
    <t>ICE, VOLVO PENTA, 6 CYLINDERS, TURBOCHARGED, AFTERCOOLED, MODEL NO. TAD1630/1GE, 658 BHP, DIESEL-FUELED, DRIVING AN EMERGENCY ELECTRICAL GENERATOR.</t>
  </si>
  <si>
    <t>TAD1630GE</t>
  </si>
  <si>
    <t>658</t>
  </si>
  <si>
    <t xml:space="preserve">111 S BERRY ST                                                                  </t>
  </si>
  <si>
    <t xml:space="preserve">BAHREMAND FARHARD                                 </t>
  </si>
  <si>
    <t xml:space="preserve">(310) 8581026   </t>
  </si>
  <si>
    <t xml:space="preserve">PARK PLACE, JAMBOREE LLC                </t>
  </si>
  <si>
    <t>F42572</t>
  </si>
  <si>
    <t>ICE, CATERPILLAR, DIESEL FUELED, DRIVING AN EMERGENCY ELECTRIC GENERATOR, MODEL NO. D348, SERIAL NO. 36J1694, TURBOCHARGED, 750 BHP.</t>
  </si>
  <si>
    <t xml:space="preserve">3337 MICHELSON DR                                                               </t>
  </si>
  <si>
    <t xml:space="preserve">BICKING JOHN W                                    </t>
  </si>
  <si>
    <t xml:space="preserve">(949) 8511660   </t>
  </si>
  <si>
    <t>372955</t>
  </si>
  <si>
    <t>F42571</t>
  </si>
  <si>
    <t>ICE, CATERPILLAR, DIESEL FUELED, DRIVING AN EMERGENCY ELECTRIC GENERATOR, MODEL NO. D348, SERIAL NO. 36J1393, TURBOCHARGED, 750 BHP.</t>
  </si>
  <si>
    <t>386336</t>
  </si>
  <si>
    <t>F42512</t>
  </si>
  <si>
    <t>ICE, WAUKESHA, DIESEL FUELED, EMERGENCY ELECTRICAL GENERATOR, MODEL L5790DSIU, SERIAL NO. 222849, TURBOCHARGED, AFTERCOOLED, 12 CYLINDERS, 1500 BHP.</t>
  </si>
  <si>
    <t>L5790DSIU</t>
  </si>
  <si>
    <t xml:space="preserve">PATRIOT AMERICAN HOSPITALITY OPERATING  </t>
  </si>
  <si>
    <t>F42030</t>
  </si>
  <si>
    <t>ICE, CATERPILLAR, MODEL 3412 SERIAL NO. SCA00788, DIESEL-FUELED, 12 CYLINDERS, TURBOCHARGED AND INTERCOOLED, 680 BHP, DRIVING AN EMERGENCY ELECTRICAL GENERATOR.</t>
  </si>
  <si>
    <t xml:space="preserve">1020 N SAN VICENTE BLVD                                                         </t>
  </si>
  <si>
    <t xml:space="preserve">MITCHELL DANA                                     </t>
  </si>
  <si>
    <t xml:space="preserve">(310) 8541111   </t>
  </si>
  <si>
    <t xml:space="preserve">POMONA VALLEY HOSPITAL MEDICAL CENTER   </t>
  </si>
  <si>
    <t>387896</t>
  </si>
  <si>
    <t>F42123</t>
  </si>
  <si>
    <t>ICE, DETROIT DIESEL, EMERGENCY ELECTRICAL GENERATION, MODEL NO. 9125-7316, DIESEL FUELED, TWELVE CYLINDERS, TURBOCHARGED AND AFTERCOOLED, 1440 BHP.</t>
  </si>
  <si>
    <t>9125-7316</t>
  </si>
  <si>
    <t>1440</t>
  </si>
  <si>
    <t xml:space="preserve">1798 N GAREY AVE                                                                </t>
  </si>
  <si>
    <t xml:space="preserve">WRIGHT G.                                         </t>
  </si>
  <si>
    <t xml:space="preserve">(909) 8659174   </t>
  </si>
  <si>
    <t>387897</t>
  </si>
  <si>
    <t>F42125</t>
  </si>
  <si>
    <t>ICE, DETROIT DIESEL, EMERGENCY ELECTRICAL GENERATION, MODEL NO. 9163-7306, SERIAL NO. 16E0002041, DIESEL FUELED, 1568 BHP.</t>
  </si>
  <si>
    <t>1568</t>
  </si>
  <si>
    <t>387898</t>
  </si>
  <si>
    <t>F42407</t>
  </si>
  <si>
    <t>387486</t>
  </si>
  <si>
    <t>F44705</t>
  </si>
  <si>
    <t>ICE, DETROIT DIESEL, MODEL NO. 8123-7416 (12V-92TA), DIESEL-FUELED, EMERGENCY ELECTRICAL GENERATION, TURBOCHARGED AND AFTERCOOLED, 947 BHP.</t>
  </si>
  <si>
    <t xml:space="preserve">DE JESUS MARTIN                                   </t>
  </si>
  <si>
    <t xml:space="preserve">(661) 2550765   </t>
  </si>
  <si>
    <t>388735</t>
  </si>
  <si>
    <t>F43837</t>
  </si>
  <si>
    <t xml:space="preserve">24303 TOWN CENTER DR                                                            </t>
  </si>
  <si>
    <t xml:space="preserve">PRINCESS CRUISES-VALENCIA TOWN CENTER   </t>
  </si>
  <si>
    <t>393842</t>
  </si>
  <si>
    <t>F47446</t>
  </si>
  <si>
    <t>ICE, DETROIT DIESEL, 12 CYLINDERS, TURBOCHARGED, AFTERCOOLED, MODEL NO. T123-7K36 (1641 KW), 2200 BHP, DIESEL-FUELED, DRIVING AN EMERGENCY ELECTRICAL GENERATOR.</t>
  </si>
  <si>
    <t>1641</t>
  </si>
  <si>
    <t xml:space="preserve">24200 MAGIC MOUNTAIN PKY                                                        </t>
  </si>
  <si>
    <t xml:space="preserve">CZARNECKI RON                                     </t>
  </si>
  <si>
    <t xml:space="preserve">(661) 2844100   </t>
  </si>
  <si>
    <t xml:space="preserve">PROMENADE LLC                           </t>
  </si>
  <si>
    <t>389733</t>
  </si>
  <si>
    <t>F43159</t>
  </si>
  <si>
    <t>750ROZD-4</t>
  </si>
  <si>
    <t xml:space="preserve">201 ELECTRA ST                                                                  </t>
  </si>
  <si>
    <t xml:space="preserve">SANCHEZ ALLAND                                    </t>
  </si>
  <si>
    <t xml:space="preserve">(909) 6298288   </t>
  </si>
  <si>
    <t>PRIME WHEEL CORPORATION</t>
  </si>
  <si>
    <t>F52484</t>
  </si>
  <si>
    <t>ICE, CATERPILLAR, 12 CYLINDER, TURBOCHARGED, AFTERCOOLED, MODEL 3512 DITA (1250 KW), SERIAL NO. 24209921, 1801 BHP, DIESEL FUELED, DRIVING AN EMERGENCY ELECTRICAL GENERATOR.</t>
  </si>
  <si>
    <t>24000 S VERMONT</t>
  </si>
  <si>
    <t>HARBOR CITY</t>
  </si>
  <si>
    <t>TUNG MITCH</t>
  </si>
  <si>
    <t>(310) 3265560</t>
  </si>
  <si>
    <t>PRODUCTIVITY CALIFORNIA</t>
  </si>
  <si>
    <t>F52371</t>
  </si>
  <si>
    <t>ICE, CUMMINS, 16 CYLINDERS, TURBOCHARGED, AFTERCOOLED, MODEL NO. QSK60-G6(2180 KW), 2922 BHP, DIESEL-FUELED, DRIVING AN EMERGENCY ELECTRICAL GENERATOR.</t>
  </si>
  <si>
    <t>10533 SESSLER ST</t>
  </si>
  <si>
    <t>SOUTH GATE</t>
  </si>
  <si>
    <t>VOLLERS GARY</t>
  </si>
  <si>
    <t>(562) 9233100</t>
  </si>
  <si>
    <t>RIVERSIDE GENERAL HOSP,UNIV MEDICAL CTR</t>
  </si>
  <si>
    <t>F53812</t>
  </si>
  <si>
    <t>ICE, CATERPILLAR MODEL 3516 DITA, SERIAL NO. 25Z04264, DIESEL FUEL, 16 CYLINDERS, FOUR CYCLE, TURBOCHARGED AND AFTERCOOLED, RATED AT 2018 BHP, DRIVING AN EMERGENCY ELECTRICAL GENERATOR.</t>
  </si>
  <si>
    <t>TELETECH</t>
  </si>
  <si>
    <t>F53480</t>
  </si>
  <si>
    <t>ICE, CUMMINS, 12 CYLINDERS, TURBOCHARGED, AFTERCOOLED, MODEL NO. QST30-G5, SERIAL NO. C000071143, 1490 BHP, DIESEL FUELED, DRIVING AN EMERGENCY ELECTRICAL GENERATOR.</t>
  </si>
  <si>
    <t>12215 VICTORY BLVD</t>
  </si>
  <si>
    <t>HILL EUGENA</t>
  </si>
  <si>
    <t>(818) 7558210</t>
  </si>
  <si>
    <t>THE GRAND HOMEOWNERS ASSOCIATION</t>
  </si>
  <si>
    <t>F52377</t>
  </si>
  <si>
    <t>ICE, DETROIT DIESEL, MODEL NO. 7123-7305 (12V-71T), SERIAL NO. 12VA065588, DIESEL FUELED, TWO CYCLES, TWELVE CYLINDERS, TURBOCHARGED, RATED AT 630 BHP, DRIVING AN EMERGENCY ELECTRICAL GENERATOR.</t>
  </si>
  <si>
    <t>10445 WILSHIRE</t>
  </si>
  <si>
    <t>ALVERO VALENTINO ALVERO</t>
  </si>
  <si>
    <t>(310) 4709045</t>
  </si>
  <si>
    <t>TOYOTA MOTOR SALES,U.S.A. INC</t>
  </si>
  <si>
    <t>F52581</t>
  </si>
  <si>
    <t>19001 S WESTERN AVE</t>
  </si>
  <si>
    <t>RANSOM CECIL</t>
  </si>
  <si>
    <t>(310) 3814664</t>
  </si>
  <si>
    <t>TRILLIUM PROPERTY, LLC</t>
  </si>
  <si>
    <t>F51800</t>
  </si>
  <si>
    <t>ICE, CATERPILLAR, DIESEL-FUELED, EMERGENCY ELECTRICAL GENERATION, MODEL NO. 3412 81Z04938, TURBOCHARGED, AFTERCOOLED, 12 CYLINDERS, 890 BHP.</t>
  </si>
  <si>
    <t>6320 CANOGA AVE</t>
  </si>
  <si>
    <t>ARNOLD DARRYL</t>
  </si>
  <si>
    <t>(818) 7162010</t>
  </si>
  <si>
    <t>F51802</t>
  </si>
  <si>
    <t>ICE, CATERPILLAR, DIESEL-FUELED, EMERGENCY ELECTRICAL GENERATION, MODEL NO. 3412 81Z06408, TURBOCHARGED, AFTERCOOLED, 12 CYLINDERS, 890 BHP.</t>
  </si>
  <si>
    <t>TUSTIN CENTRE, MULLROCK MORTGAGE, LLC</t>
  </si>
  <si>
    <t>F51238</t>
  </si>
  <si>
    <t>ICE, CATERPILLAR, DIESEL-FUELED, EMERGENCY ELECTRICAL GENERATION, MODEL NO. 3412, TURBOCHARGED, AFTERCOOLED, 12 CYLINDERS, 749 BHP.</t>
  </si>
  <si>
    <t>1551 N TUSTIN AVE</t>
  </si>
  <si>
    <t>COLE ED</t>
  </si>
  <si>
    <t>(714) 5509511</t>
  </si>
  <si>
    <t>F49031</t>
  </si>
  <si>
    <t>ICE, CUMMINS, MODEL KTA38-G1, SERIAL NO. 33124481, DIESEL FUEL, TWELVE CYLINDERS, TURBOCHARGED AND AFTERCOOLED, RATED AT 1135 BHP, DRIVING AN EMERGENCY ELECTRICAL GENERATOR.</t>
  </si>
  <si>
    <t xml:space="preserve">GREENROCK AL                                      </t>
  </si>
  <si>
    <t xml:space="preserve">(562) 4942611   </t>
  </si>
  <si>
    <t>F52909</t>
  </si>
  <si>
    <t>ICE, CUMMINS, MODEL QST30-G5, SERIAL NO. 37199012, DIESEL FUEL, TWELVE CYLINDERS, TURBOCHARGED AND AFTERCOOLED, RATED AT 1490 BHP DRIVING AN EMERGENCY STAND-BY ELECTRICAL GENERATOR.</t>
  </si>
  <si>
    <t>5901 E 7TH ST</t>
  </si>
  <si>
    <t>LONG BEACH</t>
  </si>
  <si>
    <t>GREENROCK AL</t>
  </si>
  <si>
    <t>(562) 4942611</t>
  </si>
  <si>
    <t>VERIZON CALIFORNIA INC</t>
  </si>
  <si>
    <t>F51819</t>
  </si>
  <si>
    <t>ICE, CUMMINS, 12 CYLINDER, TURBOCHARGED, AFTERCOOLED, MODEL QST30-G5 (1112 KW), 1490 BHP, DIESEL FUELED, DRIVING AN EMERGENCY ELECTRICAL GENERATOR.</t>
  </si>
  <si>
    <t>2749 190TH ST</t>
  </si>
  <si>
    <t>REDONDO BEACH</t>
  </si>
  <si>
    <t>POSERINA WILLIAM</t>
  </si>
  <si>
    <t>(805) 3725682</t>
  </si>
  <si>
    <t>F52873</t>
  </si>
  <si>
    <t>ICE, CATERPILLAR, MODEL NO. 3412 DIT, SERIAL NO. 81Z05641, DIESEL FUELED, TWELVE CYLINDERS, TURBOCAHRGED, RATED AT 789 BHP, DRIVING AN EMERGENCY ELECTRICAL GENERATOR.</t>
  </si>
  <si>
    <t>11024 1ST AVE</t>
  </si>
  <si>
    <t>WHITTIER</t>
  </si>
  <si>
    <t>MCCORMICK JACKIE</t>
  </si>
  <si>
    <t>(714) 5906519</t>
  </si>
  <si>
    <t>F52845</t>
  </si>
  <si>
    <t>ICE, CATERPILLAR, MODEL NO. 3412PCTA, SERIAL NO. 38S2279, DIESEL-FUELED, TWELVE CYLINDERS, TURBOCHARGED AND AFTERCOOLED, RATED AT 755 BHP, DRIVING AN EMERGENCY ELECTRICAL GENERATOR.</t>
  </si>
  <si>
    <t>1041 TIVERTON</t>
  </si>
  <si>
    <t>WEST LOS ANGELES</t>
  </si>
  <si>
    <t>NELSON BARRY</t>
  </si>
  <si>
    <t>(310) 3196148</t>
  </si>
  <si>
    <t>VIACOM TELEVISION STATIONS GRP OF LA</t>
  </si>
  <si>
    <t>F53142</t>
  </si>
  <si>
    <t>ICE, CATERPILLAR, DIESEL-FUELED, EMERGENCY ELECTRICAL GENERATION, MODEL NO. 3406B, TURBOCHARGED, AFTERCOOLED, 6 CYLINDERS, 519 BHP.</t>
  </si>
  <si>
    <t>5515 MELROSE AVE</t>
  </si>
  <si>
    <t>HOLLYWOOD</t>
  </si>
  <si>
    <t>EASTMAN GARY</t>
  </si>
  <si>
    <t>(323) 9603670</t>
  </si>
  <si>
    <t>VIACOM TELEVISION STATIONS GRP OF LA LLC</t>
  </si>
  <si>
    <t>F53402</t>
  </si>
  <si>
    <t>ICE, CATERPILLAR, MODEL NO. 3412, DIESEL FUELED, TWELVE CYLINDERS, TURBOCHARGED AND AFTERCOOLED, RATED AT 815 BHP, DRIVING AN EMERGENCY ELECTRICAL GENERATOR.</t>
  </si>
  <si>
    <t>1 MT. WILSON RD</t>
  </si>
  <si>
    <t>KAISER PETER</t>
  </si>
  <si>
    <t>(212) 8467816</t>
  </si>
  <si>
    <t>WARNER BROTHERS STUDIO FACILITIES</t>
  </si>
  <si>
    <t>F52675</t>
  </si>
  <si>
    <t>ICE, JOHN DEERE, DIESEL-FUELED, EMERGENCY ELECTRICAL GENERATION, MODEL NO. G125HF070, TURBOCHARGED, INTERCOOLED, 6 CYLINDERS, FOUR CYCLE, 617 BHP.</t>
  </si>
  <si>
    <t>John Deere</t>
  </si>
  <si>
    <t>G125HF070</t>
  </si>
  <si>
    <t>4000 WARNER BLVD</t>
  </si>
  <si>
    <t>MOORE LOWELL</t>
  </si>
  <si>
    <t>(818) 9542890</t>
  </si>
  <si>
    <t>WASHINGTON MUTUAL BANK/CITY OF INDUSTRY</t>
  </si>
  <si>
    <t>F53525</t>
  </si>
  <si>
    <t>ICE, CATERPILLAR, MODEL NO. 3412, SERIAL NO. 38S3046, DIESEL-FUELED, FOUR CYCLES, TWELVE CYLINDERS, TURBOCHARGED AND AFTERCOOLED, RATED AT 620 BHP, DRIVING AN EMERGENCY ELECTRICAL GENERATOR.</t>
  </si>
  <si>
    <t>2500 PELLISSIER PL</t>
  </si>
  <si>
    <t>PANAT SHASHI</t>
  </si>
  <si>
    <t>(626) 8147900</t>
  </si>
  <si>
    <t>F53633</t>
  </si>
  <si>
    <t>ICE, CATERPILLAR, MODEL NO. 3516 DITA, DIESEL FUELED, SIXTEEN CYLINDERS, TURBOCHARGED AND AFTERCOOLED, RATED AT 2151 BHP, DRIVING AN EMERGENCY ELECTRICAL GENERATOR.</t>
  </si>
  <si>
    <t>WESTCON  MICROTUNNELING INC.</t>
  </si>
  <si>
    <t>F52146</t>
  </si>
  <si>
    <t>F60001</t>
  </si>
  <si>
    <t>ICE, PORTABLE, CATERPILLAR, MODEL NO. 3412 DITA, SERIAL NO. 81Z22371, DIESEL FUEL, TURBOCHARGED, RATED AT 894 BHP, WITH A PARTICULATE MATTER (PM) FILTER, DCL, MODEL 20 X 15, DRIVING AN ELECTRICAL GENERATOR.</t>
  </si>
  <si>
    <t>OSTLER JOHN</t>
  </si>
  <si>
    <t>(801) 7853401</t>
  </si>
  <si>
    <t>F52111</t>
  </si>
  <si>
    <t>ICE, PORTABLE, CATERPILLAR, MODEL NO. 3406 DITA, SERIAL NO. 4JK00598, DIESEL FUEL, TURBOCHARGED, RATED AT 530 BHP, WITH A PARTICULATE MATTER (PM) FILTER, DCL, MODEL 20 X 15, DRIVING AN ELECTRICAL GENERATOR.</t>
  </si>
  <si>
    <t>WESTIN BONAVENTURE HOTEL</t>
  </si>
  <si>
    <t>C43792</t>
  </si>
  <si>
    <t>M30826</t>
  </si>
  <si>
    <t>ICE, DETROIT DIESEL, COMPRESSION IGNITION, TWO-STROKE, TURBOCHARGED, 16-CYLINDER, V-TYPE, MODEL NO. 16V-92T, 960 HP, DIESEL FUEL-FIRED, DRIVING A 600 KW STANDBY EMERGENCY ELECTRIC GENERATOR.</t>
  </si>
  <si>
    <t>404 S FIGUEROA ST</t>
  </si>
  <si>
    <t>SWEARINGEN LINDA</t>
  </si>
  <si>
    <t>(213) 6124733</t>
  </si>
  <si>
    <t xml:space="preserve">WILSHIRE PARK PLACE 3600, LLC           </t>
  </si>
  <si>
    <t>F53062</t>
  </si>
  <si>
    <t>ICE, CATERPILLAR, MODEL NO. 3406BDT, SERIAL NO. 4RE00387, DIESEL FUELED, 6 CYLINDERS, TURBOCHARGED, AFTERCOOLED, 590 BHP, DRIVING AN EMERGENCY ELECTRICAL GENERATOR.</t>
  </si>
  <si>
    <t>3406BDT</t>
  </si>
  <si>
    <t xml:space="preserve">3660 WILSHIRE BLVD SUITE 800                                                    </t>
  </si>
  <si>
    <t xml:space="preserve">PAIK PETER                                        </t>
  </si>
  <si>
    <t xml:space="preserve">(213) 3868782   </t>
  </si>
  <si>
    <t>F52040</t>
  </si>
  <si>
    <t>ICE, CUMMINS, EMERGENCY ELECTRICAL GENERATION, MODEL NO. NTA855-G3, DIESEL FUELED, TURBOCHARGED AND AFTERCOOLED, 535 BHP.</t>
  </si>
  <si>
    <t xml:space="preserve">609 W SEVENTH ST                                                                </t>
  </si>
  <si>
    <t>WYNDHAM CHECKERS HOTEL</t>
  </si>
  <si>
    <t>F53247</t>
  </si>
  <si>
    <t>ICE, DETROIT DIESEL, DIESEL FUELED, EMERGENCY ELECTRICAL GENERATION, MODEL NO. 8123-7405, SERIAL NO. 6A18038, TURBOCHARGED, 12 CYLINDERS, 830 BHP.</t>
  </si>
  <si>
    <t>535 S GRAND AVE</t>
  </si>
  <si>
    <t>HARRIS BRUCE</t>
  </si>
  <si>
    <t>(213) 8910566</t>
  </si>
  <si>
    <t>1221 OCEAN AVE LUXURY APARTMENTS</t>
  </si>
  <si>
    <t>F56659</t>
  </si>
  <si>
    <t>INTERNAL COMBUSTION ENGINE, DETROIT IDESEL, DIESEL-FUELED, EMERGENCY ELECTRICAL GENERATION, MODEL NO. 6063-TK35, SERIAL NO. 06R0498860, TURBOCHARGED, AFTERCOOLED, 6 CYLINDERS, FOUR CYCLE, 550 BHP.</t>
  </si>
  <si>
    <t>1221 OCEAN AVE</t>
  </si>
  <si>
    <t>SANTA MONICA</t>
  </si>
  <si>
    <t>TURCIOS FRANK</t>
  </si>
  <si>
    <t>(310) 2551221</t>
  </si>
  <si>
    <t>1900 AVENUE OF THE STARS</t>
  </si>
  <si>
    <t>F53781</t>
  </si>
  <si>
    <t>INTERNAL COMBUSTION ENGINE, CATERPILLAR, DIESEL-FUELED, EMERGENCY ELECTRICAL GENERATION, MODEL 3508, TURBOCHARGED, AFTERCOOLED, 8 CYLINDERS, 1106 BHP.</t>
  </si>
  <si>
    <t>1900 AVE OF THE STARS</t>
  </si>
  <si>
    <t>FLORES GEORGE</t>
  </si>
  <si>
    <t>(310) 2031870</t>
  </si>
  <si>
    <t>2121 AVENUE OF THE STARS LLC</t>
  </si>
  <si>
    <t>F56434</t>
  </si>
  <si>
    <t>INTERNAL COMBUSTION ENGINE, DETROIT DIESEL, DIESEL-FUELED, EMERGENCY ELECTRICAL GENERATION, ALLISON SERIES 149, MODEL NO. 9163-7316, SERIAL NO. 16E-8382, TURBOCHARGED, AFTERCOOLED, 16 CYLINDERS, 1895 BHP.</t>
  </si>
  <si>
    <t>2121 AVENUE OF THE STARS</t>
  </si>
  <si>
    <t>PRARA DAVID</t>
  </si>
  <si>
    <t>(310) 2820047</t>
  </si>
  <si>
    <t>ADT SECURITY</t>
  </si>
  <si>
    <t>F57078</t>
  </si>
  <si>
    <t>INTERNAL COMBUSTION ENGINE, CATERPILLAR, 12 CYLINDERS, TURBOCHARGED, AFTERCOOLED, MODEL NO. 3412 DITTA (700 KW), 1025 BHP, DIESEL-FUELED, DRIVING AN EMERGENCY ELECTRICAL GENERATOR.</t>
  </si>
  <si>
    <t>MOGI JOANNE</t>
  </si>
  <si>
    <t>(909) 4506310</t>
  </si>
  <si>
    <t>AGILENT TECHNOLOGIES</t>
  </si>
  <si>
    <t>F57691</t>
  </si>
  <si>
    <t>INTERNAL COMBUSTION ENGINE, CATERPILLAR, 6 CYLINDERS, TURBOCHARGED, AFTERCOOLED, MODEL NO. 3406 DITA (350 KW), SERIAL NO. 4JK00786, 519 BHP, DIESEL-FUELED, DRIVING AN EMERGENCY ELECTRICAL GENERATOR.</t>
  </si>
  <si>
    <t>30699 RUSSELL RANCH RD BLDG. 3</t>
  </si>
  <si>
    <t>WESTLAKE VILLAGE</t>
  </si>
  <si>
    <t>SILVER AVA</t>
  </si>
  <si>
    <t>(818) 8796432</t>
  </si>
  <si>
    <t>ALLIANZ GLOBAL RISK</t>
  </si>
  <si>
    <t>F55005</t>
  </si>
  <si>
    <t>INTERNAL COMBUSTION ENGINE, CATERPILLAR, 12 CYLINDERS, TURBOCHARGED, AFTERCOOLED, MODEL NO. 3412C DITA (500 KW), SERIAL NO. BCW00487, 748 BHP, DIESEL-FUELED, DRIVING AN EMERGENCY ELECTRICAL GENERATOR.</t>
  </si>
  <si>
    <t>2350 EMPIRE AVE</t>
  </si>
  <si>
    <t>BUCCOLA PAUL</t>
  </si>
  <si>
    <t>(818) 9728751</t>
  </si>
  <si>
    <t>ANAHEIM MEMORIAL HOSPITAL</t>
  </si>
  <si>
    <t>F43348</t>
  </si>
  <si>
    <t>INTERNAL COMBUSTION ENGINE, VALLEY DETROIT, MODEL 8123-7405, SERIAL NO. 12VF003351, TURBOCHARGED, DIESEL FUELED, DRIVING AN EMERGENCY ELECTRICAL GENERATOR, 830 BHP.</t>
  </si>
  <si>
    <t>1111 W LA PALMA AVE</t>
  </si>
  <si>
    <t>RUBINO CHRIS</t>
  </si>
  <si>
    <t>(714) 9996145</t>
  </si>
  <si>
    <t>F43349</t>
  </si>
  <si>
    <t>INTERNAL COMBUSTION ENGINE, VALLEY DETROIT, MODEL 8123-7405, SERIAL NO. 12VF8103, TURBOCHARGED, DIESEL FUELED, DRIVING AN EMERGENCY ELECTRICAL GENERATOR, 830 BHP.</t>
  </si>
  <si>
    <t>ARDEN REALTY FINANCE IV, LLC</t>
  </si>
  <si>
    <t>F46495</t>
  </si>
  <si>
    <t>INTERNAL COMBUSTION ENGINE, CUMMINS, MODEL NO. CC534C, SERIAL NO. 1880159879, DIESEL FUELED, EMERGENCY ELECTRICAL GENERATION, TURBOCHARGED AND AFTERCOOLED, 600 BHP.</t>
  </si>
  <si>
    <t>CC534C</t>
  </si>
  <si>
    <t>600 CORPORATE POINTE</t>
  </si>
  <si>
    <t>CULVER CITY</t>
  </si>
  <si>
    <t>GONEK DOMINIQUE</t>
  </si>
  <si>
    <t>(310) 6421001</t>
  </si>
  <si>
    <t>ARGO-TECH CORPORATION</t>
  </si>
  <si>
    <t>F53736</t>
  </si>
  <si>
    <t>INTERNAL COMBUSTION ENGINE, DETROIT DIESEL, COMPRESSION IGNITION, TWO-STROKE, TURBOCHARGED-INTERCOOLED, MODEL NO. 16V-149TI, 1540 BHP, DIESEL OR JET-A FUELED, DRIVING A 724 KW ELECTRICAL GENERATOR.</t>
  </si>
  <si>
    <t>671 W 17TH ST</t>
  </si>
  <si>
    <t>COSTA MESA</t>
  </si>
  <si>
    <t>MARSON SYLVIA</t>
  </si>
  <si>
    <t>(949) 7642250</t>
  </si>
  <si>
    <t>BERTELSMANN SERVICES INC</t>
  </si>
  <si>
    <t>F56845</t>
  </si>
  <si>
    <t>INTERNAL COMBUSTION ENGINE, DETROIT DIESEL, MODEL 6063-TK35, SERIAL NO. 06R0646896, TURBOCHARGED, DIESEL FUELED, RATED AT 550 BHP, DRIVING AN EMERGENCY ELECTRICAL GENERATOR.</t>
  </si>
  <si>
    <t>29011 COMMERCE CENTER DR</t>
  </si>
  <si>
    <t>VALENCIA</t>
  </si>
  <si>
    <t>BELL BOB</t>
  </si>
  <si>
    <t>(661) 7756451</t>
  </si>
  <si>
    <t>BFWV, LLC / 21ST CENTURY PLAZA</t>
  </si>
  <si>
    <t>F56234</t>
  </si>
  <si>
    <t>INTERNAL COMBUSTION ENGINE, CATERPILLAR, 12 CYLINDERS, TURBOCHARGED, AFTERCOOLED, MODEL NO. 3412 DITTA (500 KW), SERIAL NO. 81Z24043, 746 BHP, DIESEL-FUELED, DRIVING AN EMERGENCY ELECTRICAL GENERATOR.</t>
  </si>
  <si>
    <t>6303 OWENSMOUTH AVE</t>
  </si>
  <si>
    <t>PRICE KRISTIE</t>
  </si>
  <si>
    <t>(818) 7040500</t>
  </si>
  <si>
    <t>BRIGHTON ENTERPRISES LLC</t>
  </si>
  <si>
    <t>F54895</t>
  </si>
  <si>
    <t>INTERNAL COMBUSTION ENGINE, CATERPILLAR, DIESEL FUELED, EMERGENCY ELECTRICAL GENERATION, MODEL NO. 3412TA, 12 CYLINDERS, TURBOCHARGED, AFTERCOOLED, 755 BHP.</t>
  </si>
  <si>
    <t>9601 WILSHIRE BLVD</t>
  </si>
  <si>
    <t>BRISTOL GROUP LLC/SAMARITAN MED TOWER</t>
  </si>
  <si>
    <t>F58115</t>
  </si>
  <si>
    <t>INTERNAL COMBUSTION ENGINE, CATERPILLAR, MODEL NO. 3406, SERIAL NO. 4RG01214, DIESEL FUELED, 6-CYLINDER, TURBOCHARGED AND AFTERCOOLED, 587 BHP, DRIVING AN EMERGENCY ELECTRICAL GENERATOR.</t>
  </si>
  <si>
    <t>1127 WILSHIRE BLVD</t>
  </si>
  <si>
    <t>PACHEO CHRISTINA</t>
  </si>
  <si>
    <t>(213) 2505900</t>
  </si>
  <si>
    <t>CABAZON COUNTY WATER DISTRICT</t>
  </si>
  <si>
    <t>F56628</t>
  </si>
  <si>
    <t>INTERNAL COMBUSTION ENGINE, DETROIT DIESEL, MODEL NO. 6063-TK35, DIESEL FUELED, FOUR CYCLES, SIX CYLINDERS, TURBOCHARGED AND AFTERCOOLED, RATED AT 490 BHP, DRIVING AN EMERGENCY ELECTRICAL GENERATOR</t>
  </si>
  <si>
    <t>13755 APACHE TRAIL</t>
  </si>
  <si>
    <t>CABAZON</t>
  </si>
  <si>
    <t>WALLIS KENNY</t>
  </si>
  <si>
    <t>(909) 8494442</t>
  </si>
  <si>
    <t>CABLE &amp; WIRELESS INTERNET SERVICES, INC</t>
  </si>
  <si>
    <t>F54886</t>
  </si>
  <si>
    <t>INTERNAL COMBUSTION ENGINE, CATERPILLAR, 12 CYLINDERS, TURBOCHARGED, AFTERCOOLED, MODEL NO. 3512 DITA (1250 KW), SERIAL NO. 24Z09308, 1801 BHP, DIESEL-FUELED, DRIVING AN EMERGENCY ELECTRICAL GENERATOR.</t>
  </si>
  <si>
    <t>200 N NASH ST</t>
  </si>
  <si>
    <t>HARLEY MONICA</t>
  </si>
  <si>
    <t>(310) 9553626</t>
  </si>
  <si>
    <t>F54888</t>
  </si>
  <si>
    <t>INTERNAL COMBUSTION ENGINE, CATERPILLAR, 12 CYLINDERS, TURBOCHARGED, AFTERCOOLED, MODEL NO. 3512 DITA (1250 KW), SERIAL NO. 24Z09123, 1801 BHP, DIESEL-FUELED, DRIVING AN EMERGENCY ELECTRICAL GENERATOR.</t>
  </si>
  <si>
    <t>F54890</t>
  </si>
  <si>
    <t>INTERNAL COMBUSTION ENGINE, CATERPILLAR, 12 CYLINDERS, TURBOCHARGED, AFTERCOOLED, MODEL NO. 3512 DITA (1250 KW), SERIAL NO. 24Z09139, 1801 BHP, DIESEL-FUELED, DRIVING AN EMERGENCY ELECTRICAL GENERATOR.</t>
  </si>
  <si>
    <t>F54891</t>
  </si>
  <si>
    <t>INTERNAL COMBUSTION ENGINE, CATERPILLAR, 12 CYLINDERS, TURBOCHARGED, AFTERCOOLED, MODEL NO. 3512 DITA (1250 KW), SERIAL NO. 24Z09190, 1801 BHP, DIESEL-FUELED, DRIVING AN EMERGENCY ELECTRICAL GENERATOR.</t>
  </si>
  <si>
    <t>F54892</t>
  </si>
  <si>
    <t>INTERNAL COMBUSTION ENGINE, CATERPILLAR, 12 CYLINDERS, TURBOCHARGED, AFTERCOOLED, MODEL NO. 3512 DITA (1250 KW), SERIAL NO. 24Z09188, 1801 BHP, DIESEL-FUELED, DRIVING AN EMERGENCY ELECTRICAL GENERATOR.</t>
  </si>
  <si>
    <t>CABLE AND WIRELESS USA</t>
  </si>
  <si>
    <t>F55360</t>
  </si>
  <si>
    <t>INTERNAL COMBUSTION ENGINE, CATERPILLAR, 12 CYLINDERS, TURBOCHARGED, AFTERCOOLED, MODEL NO. 3412 DISTA (750 KW), SERIAL NO. 6EJ01170, 1114 BHP, DIESEL-FUELED, DRIVING AN EMERGENCY ELECTRICAL GENERATOR.</t>
  </si>
  <si>
    <t>300 S HARBOR BLVD SUITE LL-5</t>
  </si>
  <si>
    <t>ISBELL TODD M</t>
  </si>
  <si>
    <t>(315) 6558161</t>
  </si>
  <si>
    <t>CALIFORNIA FEDERAL BANK</t>
  </si>
  <si>
    <t>INTERNAL COMBUSTION ENGINE NO. 1, CUMMINS, DIESEL-FUELED, EMERGENCY ELECTRICAL GENERATION, MODEL KTA1150G, TURBOCHARGED, AFTERCOOLED, 6 CYLINDERS, 550 BHP</t>
  </si>
  <si>
    <t>2710 WINONA AVE</t>
  </si>
  <si>
    <t>TURANSKY CHUCK</t>
  </si>
  <si>
    <t>(818) 4095127</t>
  </si>
  <si>
    <t>INTERNAL COMBUSTION ENGINE NO. 2, CUMMINS, DIESEL-FUELED, EMERGENCY ELECTRICAL GENERATION, MODEL KTA1150G, TURBOCHARGED, AFTERCOOLED, 6 CYLINDERS, 550 BHP</t>
  </si>
  <si>
    <t>CARRIER CENTER LOS ANGELES</t>
  </si>
  <si>
    <t>F57597</t>
  </si>
  <si>
    <t>INTERNAL COMBUSTION ENGINE, CATERPILLAR, 12 CYLINDERS, TURBOCHARGED, AFTERCOOLED, MODEL NO. 3412 DITTA (500 KW), 746 BHP, DIESEL-FUELED, DRIVING AN EMERGENCY ELECTRICAL GENERATOR.</t>
  </si>
  <si>
    <t>600 W SEVENTH ST</t>
  </si>
  <si>
    <t>BRENNAN DAVE</t>
  </si>
  <si>
    <t>(213) 6889010</t>
  </si>
  <si>
    <t>F57598</t>
  </si>
  <si>
    <t>INTERNAL COMBUSTION ENGINE, CATERPILLAR, MODEL 3512 DITA, SERIAL NO. 6WN00420, DIESEL FUELED, FOUR CYCLE, TWELVE CYLINDERS, TURBOCHARGED AND AFTERCOOLED, RATED AT 2172 BHP DRIVING AN EMERGENCY ELECTRICAL GENERATOR.</t>
  </si>
  <si>
    <t>F57599</t>
  </si>
  <si>
    <t>INTERNAL COMBUSTION ENGINE, CATERPILLAR, MODEL 3512 DITA, SERIAL NO. 6WN00422, DIESEL FUELED, FOUR CYCLE, TWELVE CYLINDERS, TURBOCHARGED AND AFTERCOOLED, RATED AT 2172 BHP, DRIVING AN EMERGENCY ELECTRICAL GENERATOR.</t>
  </si>
  <si>
    <t>F57600</t>
  </si>
  <si>
    <t>INTERNAL COMBUSTION ENGINE, CATERPILLAR, MODEL 3512 DITA, SERIAL NO. 6WN00421, DIESEL FUELED, FOUR CYCLE, TWELVE CYLINDERS, TURBOCHARGED AND AFTERCOOLED, RATED AT 2172 BHP, DRIVING AN EMERGENCY ELECTRICAL GENERATOR.</t>
  </si>
  <si>
    <t>CCA CORPORATE CENTER, LLC</t>
  </si>
  <si>
    <t>F57425</t>
  </si>
  <si>
    <t>INTERNAL COMBUSTION ENGINE, CUMMINS, 6 CYLINDERS, TURBOCHARGED, AFTERCOOLED, MODEL NO. KTA19-G4, 755 BHP, DIESEL FUELED, DRIVING AN EMERGENCY ELECTRICAL GENERATOR.</t>
  </si>
  <si>
    <t>5700 S EASTERN AVE</t>
  </si>
  <si>
    <t>SELLERS RANDI</t>
  </si>
  <si>
    <t>(323) 7248584</t>
  </si>
  <si>
    <t>CHILDRENS HOSPITAL LOS ANGELES, RESEARCH</t>
  </si>
  <si>
    <t>F55851</t>
  </si>
  <si>
    <t>INTERNAL COMBUSTION ENGINE, CATERPILLAR, 12 CYLINDERS, TURBOCHARGED, AFTERCOOLED, MODEL NO. 3512B DITA (1250 KW), SERIAL NO. 1GZ00823, 1807 BHP, DIESEL-FUELED, DRIVING AN EMERGENCY ELECTRICAL GENERATOR.</t>
  </si>
  <si>
    <t>4661 SUNSET BLVD</t>
  </si>
  <si>
    <t>SOTTILE JOHN J</t>
  </si>
  <si>
    <t>(323) 6695433</t>
  </si>
  <si>
    <t>CHURCH OF SCIENTOLOGY WESTERN U S</t>
  </si>
  <si>
    <t>F57060</t>
  </si>
  <si>
    <t>INTERNAL COMBUSTION ENGINE, CATERPILLAR, MODEL NO. 3412, SERIAL NO. 81Z04862, DIESEL FUELED, TURBOCHARGED, 749 BHP, DRIVING AN EMERGENCY ELECTRICAL GENERATOR.</t>
  </si>
  <si>
    <t>1404 N CATALINA</t>
  </si>
  <si>
    <t>REGXV CAL COLE</t>
  </si>
  <si>
    <t>(213) 6600144</t>
  </si>
  <si>
    <t>CITY OF SANTA MONICA EPD/PSF</t>
  </si>
  <si>
    <t>F54972</t>
  </si>
  <si>
    <t>INTERNAL COMBUSTION ENGINE, CUMMINS, 12 CYLINDERS, TURBOCHARGED, AFTERCOOLED, MODEL NO. QST30-G5, SERIAL NO. F010255871, 1490 BHP, DIESEL-FUELED, DRIVING AN EMERGENCY ELECTRICAL GENERATOR.</t>
  </si>
  <si>
    <t>333 OLYMPIC BLVD</t>
  </si>
  <si>
    <t>HANLEY MONICA</t>
  </si>
  <si>
    <t>(310) 4588227</t>
  </si>
  <si>
    <t>F54971</t>
  </si>
  <si>
    <t>INTERNAL COMBUSTION ENGINE, CUMMINS, 12 CYLINDERS, TURBOCHARGED, AFTERCOOLED, MODEL NO. QST30-G5, SERIAL NO. G010259569, 1490 BHP, DIESEL-FUELED, DRIVING AN EMERGENCY ELECTRICAL GENERATOR.</t>
  </si>
  <si>
    <t>F54970</t>
  </si>
  <si>
    <t>INTERNAL COMBUSTION ENGINE, CUMMINS, 12 CYLINDERS, TURBOCHARGED, AFTERCOOLED, MODEL NO. QST30-G5, SERIAL NO. F010255872, 1490 BHP, DIESEL-FUELED, DRIVING AN EMERGENCY ELECTRICAL GENERATOR.</t>
  </si>
  <si>
    <t>COACHELLA VALLEY WATER DISTRICT</t>
  </si>
  <si>
    <t>F57496</t>
  </si>
  <si>
    <t>INTERNAL COMBUSTION ENGINE, DETROIT DIESEL, MODEL 6063-HK35, TURBOCHARGED AND AFTERCOOLED, DIESEL-FIRED, 635 BHP, DRIVING AN EMERGENCY ELECTRICAL GENERATOR.</t>
  </si>
  <si>
    <t>43200 COOK &amp; STORMWATER CHANNEL ST</t>
  </si>
  <si>
    <t>PALM DESERT</t>
  </si>
  <si>
    <t>JONES ROYCE</t>
  </si>
  <si>
    <t>(619) 3982651</t>
  </si>
  <si>
    <t>COMMONWEALTH/COUSINS I, LLC</t>
  </si>
  <si>
    <t>F55709</t>
  </si>
  <si>
    <t>INTERNAL COMBUSTION ENGINE, CATERPILLAR, 12 CYLINDERS, TURBOCHARGED, AFTERCOOLED, MODEL NO. 3512B DITA (1500 KW), SERIAL NO. 6DW01114, 2155 BHP, DIESEL-FUELED, DRIVING AN EMERGENCY ELECTRICAL GENERATOR.</t>
  </si>
  <si>
    <t>12900 PARK PLAZA DR</t>
  </si>
  <si>
    <t>CERRITOS</t>
  </si>
  <si>
    <t>GOODWIN ROBERT</t>
  </si>
  <si>
    <t>(213) 6292100</t>
  </si>
  <si>
    <t>F55708</t>
  </si>
  <si>
    <t>INTERNAL COMBUSTION ENGINE, CATERPILLAR, 12 CYLINDERS, TURBOCHARGED, AFTERCOOLED, MODEL NO. 3412 DITTA (500 KW), SERIAL NO. 9GF21057, 746 BHP, DIESEL-FUELED, DRIVING AN EMERGENCY ELECTRICAL GENERATOR.</t>
  </si>
  <si>
    <t>CONTINENTAL AIRLINES         UNIT NO.02</t>
  </si>
  <si>
    <t>F58262</t>
  </si>
  <si>
    <t xml:space="preserve">TCI ALUMINUM                            </t>
  </si>
  <si>
    <t>386297</t>
  </si>
  <si>
    <t>F41116</t>
  </si>
  <si>
    <t>ICE, CATERPILLAR, MODEL NO. 3508 DITA, SERIAL NO. 23701946, DIESEL FUEL, FOUR CYCLE, LEAN BURN, TURBOCHARGED, RATED AT 1220 BHP, DRIVING AN ELECTRICAL GENERATOR.</t>
  </si>
  <si>
    <t>1220</t>
  </si>
  <si>
    <t xml:space="preserve">240 E ROSECRANS                                                                 </t>
  </si>
  <si>
    <t xml:space="preserve">WALKER LARRY                                      </t>
  </si>
  <si>
    <t xml:space="preserve">(310) 3235613   </t>
  </si>
  <si>
    <t>TENET HEALTHSYSTEM DFH INC, DANIEL FREEM</t>
  </si>
  <si>
    <t>393364</t>
  </si>
  <si>
    <t>F47393</t>
  </si>
  <si>
    <t>ICE, CUMMINS, DIESEL-FUELED, EMERGENCY ELECTRICAL GENERATION, MODEL KTA2300G, TURBOCHARGED, AFTERCOOLED, 12 CYLINDERS, 900 BHP.</t>
  </si>
  <si>
    <t>KTA2300G</t>
  </si>
  <si>
    <t xml:space="preserve">333 N PRAIRIE AVE                                                               </t>
  </si>
  <si>
    <t xml:space="preserve">LEMIEUX MAURICE                                   </t>
  </si>
  <si>
    <t xml:space="preserve">(310) 6747050   </t>
  </si>
  <si>
    <t>393365</t>
  </si>
  <si>
    <t>F47394</t>
  </si>
  <si>
    <t>ICE NO. 4, DETROIT DIESEL, MODEL V71-7123-7305, SERIAL NO. 12VA81452, EMERGENCY ELECTRICAL GENERATION, DIESEL-FUELED, 12 CYLINDERS, 599 BHP, TURBOCHARGED, WITH AN AIR-TO-AIR COOLER.</t>
  </si>
  <si>
    <t>V71-7123-7305</t>
  </si>
  <si>
    <t>599</t>
  </si>
  <si>
    <t>393366</t>
  </si>
  <si>
    <t>F47395</t>
  </si>
  <si>
    <t>ICE, DETROIT DIESEL, MODEL 8123-7416, DIESEL-FUELED, EMERGENCY ELECTRICAL GENERATION, TURBOCHARGED, AFTERCOOLED, 12 CYLINDERS, 947 BHP.</t>
  </si>
  <si>
    <t>393371</t>
  </si>
  <si>
    <t>F47399</t>
  </si>
  <si>
    <t>ICE, DETROIT DIESEL, 8 CYLINDERS, TURBOCHARGED, AFTERCOOLED, MODEL NO. 8083-7416 (8V-92TA), 643 BHP, DIESEL FUELED, DRIVING AN EMERGENCY ELECTRICAL GENERATOR.</t>
  </si>
  <si>
    <t>396035</t>
  </si>
  <si>
    <t>F47921</t>
  </si>
  <si>
    <t>ICE, CATERPILLAR, MODEL NO. 3406 DITA, DIESEL FUELED, NON-ROAD, SIX CYLINDER, 587 BHP, TURBOCHARGED, AFTERCOOLED, DRIVING AN EMERGENCY ELECTRICAL GENERATOR.</t>
  </si>
  <si>
    <t>587</t>
  </si>
  <si>
    <t xml:space="preserve">8900 DE SOTO AVE                                                                </t>
  </si>
  <si>
    <t xml:space="preserve">THE HOME DEPOT                          </t>
  </si>
  <si>
    <t>385750</t>
  </si>
  <si>
    <t>F42218</t>
  </si>
  <si>
    <t>ICE, DETROIT DIESEL, EMERGENCY ELECTRICAL GENERATION, MODEL NO. 6063-TK35, DIESEL FUELED, SIX CYLINDERS, TURBOCHARGED, AND AFTERCOOLED, 550 BHP.</t>
  </si>
  <si>
    <t xml:space="preserve">1675 WILSHIRE BLVD                                                              </t>
  </si>
  <si>
    <t xml:space="preserve">SOBECK SCOTT                                      </t>
  </si>
  <si>
    <t xml:space="preserve">(714) 9403542   </t>
  </si>
  <si>
    <t xml:space="preserve">THE TOWER, EOP,  A DELAWARE LLC         </t>
  </si>
  <si>
    <t>391629</t>
  </si>
  <si>
    <t>F45371</t>
  </si>
  <si>
    <t>ICE, CATERPILLAR, DIESEL-FUELED, EMERGENCY ELECTRICAL GENERATION, MODEL 3412, SERIAL NO. 81Z05957, TURBOCHARGED, AFTERCOOLED, 12 CYLINDERS, 749 BHP.</t>
  </si>
  <si>
    <t xml:space="preserve">10940 WILSHIRE BLVD                                                             </t>
  </si>
  <si>
    <t xml:space="preserve">GONZALES DIANA                                    </t>
  </si>
  <si>
    <t xml:space="preserve">(310) 2080940   </t>
  </si>
  <si>
    <t xml:space="preserve">THE VONS COMPANIES, INC #45070          </t>
  </si>
  <si>
    <t>392004</t>
  </si>
  <si>
    <t>F45339</t>
  </si>
  <si>
    <t>ICE, CATERPILLAR, 16 CYLINDERS, TURBOCHARGED, AFTERCOOLED, MODEL NO. 3516B DITA, 2000 KW (NONEPA), SERIAL NO. 6HN01369,  2847 BHP, DIESEL-FUELED, DRIVING AN EMERGENCY ELECTRICAL GENERATOR.</t>
  </si>
  <si>
    <t xml:space="preserve">12801 EXCELSIOR DR                                                              </t>
  </si>
  <si>
    <t xml:space="preserve">BRIGGERMAN ERROL                                  </t>
  </si>
  <si>
    <t xml:space="preserve">(310) 8026337   </t>
  </si>
  <si>
    <t>FLEISHMANN'S VINEGAR CO, INC</t>
  </si>
  <si>
    <t>F56562</t>
  </si>
  <si>
    <t>INTERNAL COMBUSTION ENGINE, CUMMINS, DIESEL-FUELED, EMERGENCY ELECTRICAL GENERATION, MODEL VT12-700-GC, TURBOCHARGED, INTERCOOLED, 12 CYLINDERS, 638 BHP.</t>
  </si>
  <si>
    <t>VT12-700-GC</t>
  </si>
  <si>
    <t>444 ROOSEVELT AVE</t>
  </si>
  <si>
    <t>MONTEBELLO</t>
  </si>
  <si>
    <t>JOHNSON DOUGLAS</t>
  </si>
  <si>
    <t>(323) 7280142</t>
  </si>
  <si>
    <t>ICG COMMUNICATIONS</t>
  </si>
  <si>
    <t>F56665</t>
  </si>
  <si>
    <t>INTERNAL COMBUSTION ENGINE, DETROIT DIESEL, MODEL NO. T123-7K36 (12V-4000), DIESEL FUELED, FOUR CYCLES, TWELVE CYLINDERS, TURBOCHARGED AND AFTERCOOLED, RATED AT 2200 BHP, DRIVING AN EMERGENCY ELECTRICAL GENERATOR.</t>
  </si>
  <si>
    <t>1905 ARMACOST AVE</t>
  </si>
  <si>
    <t>MASON MIKE</t>
  </si>
  <si>
    <t>(310) 8730222</t>
  </si>
  <si>
    <t>(949) 8380400</t>
  </si>
  <si>
    <t>INTERACTIVE TELECOM NETWORK, INC</t>
  </si>
  <si>
    <t>F23968</t>
  </si>
  <si>
    <t>15303 VENTURA BLVD LOWER GARAGE</t>
  </si>
  <si>
    <t>SHERMAN OAKS</t>
  </si>
  <si>
    <t>CHURCH DEAN</t>
  </si>
  <si>
    <t>(818) 5014486</t>
  </si>
  <si>
    <t>JAMISON 5455 WILSHIRE, LLC</t>
  </si>
  <si>
    <t>F54495</t>
  </si>
  <si>
    <t>INTERNAL COMBUSTION ENGINE, CUMMINS, MODEL QST30-G3, DIESEL FUEL, TWELVE CYLINDERS, TURBOCHARGED AND AFTERCOOLED, RATED AT 1340 BHP, DRIVING AN EMERGENCY STAND-BY GENERATOR.</t>
  </si>
  <si>
    <t>5455 WILSHIRE BLVD STE 1807</t>
  </si>
  <si>
    <t>HEDDEN LINDA</t>
  </si>
  <si>
    <t>(323) 9310882</t>
  </si>
  <si>
    <t>KAISER FOUNDATION HOSPITAL (ANAHEIM)</t>
  </si>
  <si>
    <t>F55606</t>
  </si>
  <si>
    <t>INTERNAL COMBUSTION ENGINE NO. 1, CATERPILLAR, MODEL 3516B DITA, DIESEL FUEL, 16 CYLINDERS, TURBOCHARGED AND AFTERCOOLED, RATED AT 2847 BHP, DRIVING AN EMERGENCY ELECTRICAL STAND-BY GENERATOR.</t>
  </si>
  <si>
    <t>441 N LAKEVIEW AVE</t>
  </si>
  <si>
    <t>BAKER DENNIS</t>
  </si>
  <si>
    <t>(714) 5725710</t>
  </si>
  <si>
    <t>F55605</t>
  </si>
  <si>
    <t>INTERNAL COMBUSTION ENGINE NO. 2, CATERPILLAR, MODEL 3516B DITA, DIESEL FUEL, 16 CYLINDERS, TURBOCHARGED AND AFTERCOOLED, RATED AT 2847 BHP, DRIVING AN EMERGENCY ELECTRICAL STAND-BY GENERATOR.</t>
  </si>
  <si>
    <t>KINDRED HOSPITAL - LA MIRADA CAMPUS</t>
  </si>
  <si>
    <t>F57984</t>
  </si>
  <si>
    <t>INTERNAL COMBUSTION ENGINE, CATERPILLAR, DIESEL-FUELED, EMERGENCY ELECTRICAL GENERATION, MODEL NO. 3412 DIT, SERIAL NO. 81204687, TURBOCHARGED, 12 CYLINDERS, FOUR CYCLE, 679 BHP.</t>
  </si>
  <si>
    <t>14900 E IMPERIAL HWY</t>
  </si>
  <si>
    <t>NICHOLSON EARL</t>
  </si>
  <si>
    <t>(562) 9447900</t>
  </si>
  <si>
    <t>KTLA INC</t>
  </si>
  <si>
    <t>F57865</t>
  </si>
  <si>
    <t>INTERNAL COMBUSTION ENGINE, CATERPILLAR, 6 CYLINDERS, TURBOCHARGED, AFTERCOOLED, MODEL NO. 3406 DITA (400 KW), SERIAL NO. 4PM00298, 587 BHP, DIESEL-FUELED, DRIVING AN EMERGENCY ELECTRICAL GENERATOR.</t>
  </si>
  <si>
    <t>5800 W SUNSET BLVD</t>
  </si>
  <si>
    <t>NEUMAN CHRIS</t>
  </si>
  <si>
    <t>(323) 4603918</t>
  </si>
  <si>
    <t>L A COUNTY DEPT PUBLIC WORK-SEWER MAINT</t>
  </si>
  <si>
    <t>F55903</t>
  </si>
  <si>
    <t>INTERNAL COMBUSTION ENGINE, DETROIT DIESEL, MODEL NO. 8083-7405 (8V-92TA), SERIAL NO. 8V-F171331, DIESEL FUELED, DRIVING AN EMERGENCY ELECTRICAL GENERATOR, 8 CYLINDERS, TURBOCHARGED AND AFTERCOOLED, 568 BHP.</t>
  </si>
  <si>
    <t>28550 COMMERCE CENTER DR</t>
  </si>
  <si>
    <t>VAL VERDE</t>
  </si>
  <si>
    <t>CORTEZ NORMAN</t>
  </si>
  <si>
    <t>(626) 3003388</t>
  </si>
  <si>
    <t>LA CITY, CENTRAL PUB LIBRARY</t>
  </si>
  <si>
    <t>F56166</t>
  </si>
  <si>
    <t>INTERNAL COMBUSTION ENGINE, CATERPILLAR, DIESEL-FUELED, EMERGENCY ELECTRICAL GENERATION, MODEL NO. 3512 DITA, SERIAL NO. 24Z03650, TURBOCHARGED, AFTERCOOLED, 12 CYLINDERS, FOUR CYCLE, 1592 BHP.</t>
  </si>
  <si>
    <t>630 W 5TH ST</t>
  </si>
  <si>
    <t>MOORE LEE</t>
  </si>
  <si>
    <t>(213) 4737745</t>
  </si>
  <si>
    <t>LA CITY, DEPT GENERAL SERVICES</t>
  </si>
  <si>
    <t>F55753</t>
  </si>
  <si>
    <t>INTERNAL COMBUSTION ENGINE, EQUIPMENT NO. 99059, DETROIT DIESEL, MODEL 8123-7405, SERIAL NO. 12VF009425, TURBOCHARGED, DIESEL FUELED, RATED AT 830 BHP, DRIVING AN EMERGENCY ELECTRICAL GENERATOR.</t>
  </si>
  <si>
    <t>3911 S FIGUEROA</t>
  </si>
  <si>
    <t>F55754</t>
  </si>
  <si>
    <t>INTERNAL COMBUSTION ENGINE, EQUIPMENT NO. 99059, DETROIT DIESEL, MODEL 8123-7405, SERIAL NO. 12VF009395, TURBOCHARGED, DIESEL FUELED, RATED AT 830 BHP, DRIVING AN EMERGENCY ELECTRICAL GENERATOR.</t>
  </si>
  <si>
    <t>F55798</t>
  </si>
  <si>
    <t>INTERNAL COMBUSTION ENGINE, EQUIPMENT NO. 99059, DETROIT DIESEL, MODEL 8123-7405, SERIAL NO. 12VF009379, TURBOCHARGED, DIESEL FUELED, RATED AT 830 BHP, DRIVING AN EMERGENCY ELECTRICAL GENERATOR.</t>
  </si>
  <si>
    <t>LA CITY, DEPT OF GEN SERVICES</t>
  </si>
  <si>
    <t>F26168</t>
  </si>
  <si>
    <t>ICE, CUMMINS, KTA19-G3, DIESEL FUEL, SIX CYLINDERS, TURBOCHARGED AND AFTERCOOLED, RATED AT 685 BHP, DRIVING AN EMERGENCY ELECTRICAL GENERATOR (LOCATED AT PHYSICS BLDG.)</t>
  </si>
  <si>
    <t>685</t>
  </si>
  <si>
    <t xml:space="preserve">UCR PHYSICS BLDG                                                                </t>
  </si>
  <si>
    <t xml:space="preserve">MACMULLIN GEORGE                                  </t>
  </si>
  <si>
    <t xml:space="preserve">(909) 7874201   </t>
  </si>
  <si>
    <t xml:space="preserve">UNIVERSAL MUSIC GROUP                   </t>
  </si>
  <si>
    <t>385787</t>
  </si>
  <si>
    <t>F41557</t>
  </si>
  <si>
    <t>ICE, CATERPILLAR, MODEL 3512 DITA, DIESEL FUEL, TWELVE CYLINDER, TURBOCHARGED AND AFTERCOOLED, RATED AT 1592 BHP, DRIVING AN EMERGENCY GENERATOR.</t>
  </si>
  <si>
    <t>1592</t>
  </si>
  <si>
    <t xml:space="preserve">2220 COLORADO AVE                                                               </t>
  </si>
  <si>
    <t xml:space="preserve">MIRZAYAN GEORGE                                   </t>
  </si>
  <si>
    <t xml:space="preserve">(310) 8659904   </t>
  </si>
  <si>
    <t>377360</t>
  </si>
  <si>
    <t>F36980</t>
  </si>
  <si>
    <t>ICE, DETROIT DIESEL, MODEL NO. 6063-TK35, DIESEL FUEL, SIX CYLINDERS, TURBOCHARGED AND AFTERCOOLED, RATED AT 550 BHP, DRIVING AN EMERGENCY STANDBY GENERATOR.</t>
  </si>
  <si>
    <t>398478</t>
  </si>
  <si>
    <t>F49789</t>
  </si>
  <si>
    <t>ICE, CUMMINS, 6 CYLINDERS, TURBOCHARGED, AFTERCOOLED, MODEL NO. N14-G2 (399 KW), SERIAL NO. 12027427, 535 BHP, DIESEL-FUELED, DRIVING AN EMERGENCY ELECTRICAL GENERATOR.</t>
  </si>
  <si>
    <t>F43165</t>
  </si>
  <si>
    <t>ICE, EMERGENCY POWER, DIESEL FUELED, CATERPILLAR, MODEL 3406 DITA, DRIVING AN ELECTRICAL GENERATOR, WITH AFTERCOOLER, TURBOCHARGER, 587 BHP.</t>
  </si>
  <si>
    <t>ICE, EMERGENCY POWER, DIESEL FUEL, WHITE SUPERIOR, MODEL G40-5X-8, DRIVING AN EMERGENCY ELECTRIC GENERATOR, BLDG. 485, WITH TURBOCHARGER, 715 BHP.</t>
  </si>
  <si>
    <t>White Superior</t>
  </si>
  <si>
    <t>G40-5X-8</t>
  </si>
  <si>
    <t>715</t>
  </si>
  <si>
    <t xml:space="preserve">VERDUGO HILLS HOSP                      </t>
  </si>
  <si>
    <t>1986</t>
  </si>
  <si>
    <t>M55331</t>
  </si>
  <si>
    <t>ICE, DETROIT DIESEL, DIESEL FUELED, EMERGENCY ELECTRICAL GENERATION, MODEL 7163-7000, SERIAL NO. 16VA-5860, ROOTS-BLOWN SCAVENGED, AFTERCOOLED, 16 CYLINDERS, 581 BHP.</t>
  </si>
  <si>
    <t xml:space="preserve">1812 VERDUGO BLVD ACCTS PAYABLE DEPT                                            </t>
  </si>
  <si>
    <t xml:space="preserve">MANN ED                                           </t>
  </si>
  <si>
    <t xml:space="preserve">(818) 9522201   </t>
  </si>
  <si>
    <t>151428</t>
  </si>
  <si>
    <t>M55332</t>
  </si>
  <si>
    <t>ICE, DETROIT DIESEL, DIESEL FUELED, EMERGENCY ELECTRICAL GENERATION, MODEL 81637305, SERIAL NO. 16VF006386, TURBOCHARGED, AFTERCOOLED, 16 CYLINDERS, 860 BHP.</t>
  </si>
  <si>
    <t>M50738</t>
  </si>
  <si>
    <t>ICE, CATERPILLAR, DIESEL FUELED, EMERGENCY ELECTRICA LGENERATIONM MODEL 3412, TURBOCHARGED, AFTERCOOLED, 12 CYLINDERS, 670 BHP.</t>
  </si>
  <si>
    <t>670</t>
  </si>
  <si>
    <t xml:space="preserve">5841 CREST RD                                                                   </t>
  </si>
  <si>
    <t xml:space="preserve">ROLLING HILLS            </t>
  </si>
  <si>
    <t xml:space="preserve">POSERINA WILLIAM                                  </t>
  </si>
  <si>
    <t xml:space="preserve">(805) 3725682   </t>
  </si>
  <si>
    <t>F50652</t>
  </si>
  <si>
    <t>ICE, CATERPILLAR, EMERGENCY ELECTRICAL GENERATION, MODEL NO. 3408B, SERIAL NO. 78Z03134, DIESEL FUELED, EIGHT CYLINDERS, TURBOCHARGED AND AFTERCOOLED, 603 BHP.</t>
  </si>
  <si>
    <t>603</t>
  </si>
  <si>
    <t xml:space="preserve">12409 YORBA AVE                                                                 </t>
  </si>
  <si>
    <t xml:space="preserve">(56 ) 6270186   </t>
  </si>
  <si>
    <t>381803</t>
  </si>
  <si>
    <t>F40707</t>
  </si>
  <si>
    <t>ICE, CATERPILLAR, EMERGENCY ELECTRICAL GENERATION, MODEL NO. 3508B-DITA, SERIAL NO. 6PN00749 (GC-177), DIESEL FUELED, EIGHT CYLINDERS, TURBOCHARGED AND AFTERCOOLED, 1480 BHP.</t>
  </si>
  <si>
    <t xml:space="preserve">20747 E VALLEY BLVD                                                             </t>
  </si>
  <si>
    <t>384435</t>
  </si>
  <si>
    <t>F38597</t>
  </si>
  <si>
    <t>ICE, CATERPILLAR, 6 CYLINDERS, TURBOCHARGED, AFTERCOOLED, MODEL NO. 3406 DITA (400 KW), SERIAL NO. GC-153, 587 BHP, DIESEL-FUELED, DRIVING AN EMERGENCY ELECTRICAL GENERATOR.</t>
  </si>
  <si>
    <t xml:space="preserve">165 MONTE VISTA AVE                                                             </t>
  </si>
  <si>
    <t>F56451</t>
  </si>
  <si>
    <t>INTERNAL COMBUSTION ENGINE, CATERPILLAR, 8 CYLINDERS, TURBOCHARGED, AFTERCOOLED, MODEL NO. 3508B DITA (1000 KW), 1480 BHP, DIESEL-FUELED, DRIVING AN EMERGENCY ELECTRICAL GENERATOR.</t>
  </si>
  <si>
    <t>1935 W ADAMS BLVD</t>
  </si>
  <si>
    <t>MILES GLEN</t>
  </si>
  <si>
    <t>(213) 9736782</t>
  </si>
  <si>
    <t>PACIFIC BELL ENVIRONMENTAL MANAGEMENT</t>
  </si>
  <si>
    <t>F55171</t>
  </si>
  <si>
    <t>INTERNAL COMBUSTION ENGINE, PORTABLE, CATERPILLAR, MODEL 3512, SERIAL NO. 3YF00588, DIESEL-FUELED, TURBOCHARGED AND AFTERCOOLED, 2211 BHP, DRIVING AN ELECTRICAL GENERATOR.</t>
  </si>
  <si>
    <t>SAN RAMON</t>
  </si>
  <si>
    <t>MARASIGAN KAREN</t>
  </si>
  <si>
    <t>F55172</t>
  </si>
  <si>
    <t>INTERNAL COMBUSTION ENGINE, PORTABLE, CATERPILLAR, MODEL NO. 3508, SERIAL NO. 23Z04608, DIESEL-FUELED, TURBOCHARGED AND AFTERCOOLED, 1,129 BHP, DRIVING AN ELECTRICAL GENERATOR.</t>
  </si>
  <si>
    <t>F55173</t>
  </si>
  <si>
    <t>INTERNAL COMBUSTION ENGINE, PORTABLE, CATERPILLAR, MODEL NO. 3508, SERIAL NO. 23Z04613, DIESEL-FUELED, TURBOCHARGED AND AFTERCOOLED, 1,129 BHP, DRIVING AN ELECTRICAL GENERATOR.</t>
  </si>
  <si>
    <t>PLAYBOY ENTERTAINMENT</t>
  </si>
  <si>
    <t>F55664</t>
  </si>
  <si>
    <t>INTERNAL COMBUSTION ENGINE, CATERPILLAR, 12 CYLINDERS, TURBOCHARGED, AFTERCOOLED, MODEL NO. 3412 DISTA (800 KW), SERIAL NO. 9EP02201, 1185 BHP, DIESEL-FUELED, DRIVING AN EMERGENCY ELECTRICAL GENERATOR.</t>
  </si>
  <si>
    <t>3030 ANDRITA ST</t>
  </si>
  <si>
    <t>JENEST JEFF</t>
  </si>
  <si>
    <t>ICE, DETROIT DIESEL, 8 CYLINDER, TURBOCHARGED AND AFTERCOOLED, MODEL 8083-7416, SERIAL NO. 8VF15530, 643 BHP, DIESEL-FUELED, DRIVING AN EMERGENCY ELECTRICAL GENERATOR.</t>
  </si>
  <si>
    <t xml:space="preserve">111 E 1ST ST                                                                    </t>
  </si>
  <si>
    <t xml:space="preserve">ARANDA VIRQILIO                                   </t>
  </si>
  <si>
    <t xml:space="preserve">(213) 4857177   </t>
  </si>
  <si>
    <t>384517</t>
  </si>
  <si>
    <t>F40465</t>
  </si>
  <si>
    <t>ICE, PORTABLE, EQUIPMENT NO. 99390, DETROIT DIESEL, EMERGENCY ELECTRICAL GENERATION, MODEL NO. V-16-9163-7306, DIESEL-FUELED,  SIXTEEN CYLINDERS, TURBOCHARGED AND AFTERCOOLED, 1740 BHP.</t>
  </si>
  <si>
    <t>1740</t>
  </si>
  <si>
    <t>F40306</t>
  </si>
  <si>
    <t>ICE, CUMMINS, MODEL NO. KTA19-G2, S/N 37133569, DIESEL FUELED, EMERGENCY ELECTRICAL GENERATOR DRIVER, TURBOCHARGED AND AFTERCOOLED, 600 BHP.</t>
  </si>
  <si>
    <t>1900</t>
  </si>
  <si>
    <t xml:space="preserve">433 E TEMPLE ST BLDG #5                                                         </t>
  </si>
  <si>
    <t xml:space="preserve">TESKA FRED                                        </t>
  </si>
  <si>
    <t xml:space="preserve">(213) 3672433   </t>
  </si>
  <si>
    <t>395552</t>
  </si>
  <si>
    <t>F48171</t>
  </si>
  <si>
    <t>ICE, DETROIT DIESEL, 16 CYLINDERS, TURBOCHARGED, AFTERCOOLED, MODEL NO. R163-7K35 (895 KW), SERIAL NO. 0678416, 1200 BHP, DIESEL-FUELED, DRIVING AN EMERGENCY ELECTRICAL GENERATOR.</t>
  </si>
  <si>
    <t>395550</t>
  </si>
  <si>
    <t>F48169</t>
  </si>
  <si>
    <t>ICE, DETROIT DIESEL, 16 CYLINDERS, TURBOCHARGED, AFTERCOOLED, MODEL NO. R163-7K35 (895 KW), SERIAL NO. 0678413, 1200 BHP, DIESEL-FUELED, DRIVING AN EMERGENCY ELECTRICAL GENERATOR.</t>
  </si>
  <si>
    <t xml:space="preserve">LA CITY, PUB WORKS DEPT                 </t>
  </si>
  <si>
    <t>F43963</t>
  </si>
  <si>
    <t>ICE, GENERAL MOTORS, MODEL S12E4BGW, 2305 BHP, DIESEL-FUELED, TURBOCHARGED, DRIVING AN EMERGENCY ELECTRICAL GENERATOR.</t>
  </si>
  <si>
    <t>S12E4BGW</t>
  </si>
  <si>
    <t xml:space="preserve">6100 WOODLEY AVE                                                                </t>
  </si>
  <si>
    <t xml:space="preserve">LEWIS STANTON                                     </t>
  </si>
  <si>
    <t xml:space="preserve">(818) 7568175   </t>
  </si>
  <si>
    <t xml:space="preserve">LA CO                                   </t>
  </si>
  <si>
    <t>385015</t>
  </si>
  <si>
    <t>F42552</t>
  </si>
  <si>
    <t>ICE, DETROIT DIESEL, 12 CYLINDER, TURBOCHARGED AND AFTERCOOLED, MODEL 9123-7426, SERIAL NO. 12E00-10985, 1850 BHP, DRIVING AN EMERGENCY ELECTRICAL GENERATOR.</t>
  </si>
  <si>
    <t>1850</t>
  </si>
  <si>
    <t xml:space="preserve">11701 LA CIENEGA BLVD                                                           </t>
  </si>
  <si>
    <t xml:space="preserve">LA CO - DOWNEY COURTHOUSE               </t>
  </si>
  <si>
    <t>384992</t>
  </si>
  <si>
    <t>F42050</t>
  </si>
  <si>
    <t>ICE, CATERPILLAR, DIESEL FUELED, DRIVING AN EMERGENCY ELECTRIC GENERATOR, MODEL NO. 3412, SERIAL NO. 81Z06782, TURBOCHARGED, AFTERCOOLED, 804 BHP.</t>
  </si>
  <si>
    <t>804</t>
  </si>
  <si>
    <t xml:space="preserve">7500 IMPERIAL HWY                                                               </t>
  </si>
  <si>
    <t xml:space="preserve">LA CO - TRAFFIC COURTHOUSE              </t>
  </si>
  <si>
    <t>385083</t>
  </si>
  <si>
    <t>F42551</t>
  </si>
  <si>
    <t>ICE, DETROIT DIESEL, 12 CYLINDER, TURBOCHARGED AND AFTERCOOLED, MODEL 9123-7300, SERIAL NO. 12E0000925, 960 BHP, DRIVING AN EMERGENCY ELECTRICAL GENERATOR.</t>
  </si>
  <si>
    <t>9123-7300</t>
  </si>
  <si>
    <t xml:space="preserve">1945 S HILL ST                                                                  </t>
  </si>
  <si>
    <t xml:space="preserve">JENKINGS STEPHEN                                  </t>
  </si>
  <si>
    <t xml:space="preserve">LA CO, MUNCIPAL COURT/ISD               </t>
  </si>
  <si>
    <t>381631</t>
  </si>
  <si>
    <t>F42261</t>
  </si>
  <si>
    <t>ICE, DETROIT DIESEL, MODEL 7123-7305, SERIAL NO. 12VAD81652, DIESEL FUELED, 12 CYLINDERS, TURBOCHARGED, 630 BHP, DRIVING AN EMERGENCY ELECTRICAL GENERATOR.</t>
  </si>
  <si>
    <t>630</t>
  </si>
  <si>
    <t xml:space="preserve">214 S FETTERLY                                                                  </t>
  </si>
  <si>
    <t xml:space="preserve">LA CO. COMPTON COURT HOUSE/ISD          </t>
  </si>
  <si>
    <t>381629</t>
  </si>
  <si>
    <t>F42002</t>
  </si>
  <si>
    <t>ICE, DETROIT DIESEL, MODEL 91237305, SERIAL NUMBER 12E0004232, DIESEL FUELED, RATED AT 960 BHP, DRIVING AN EMERGENCY ELECTRICAL GENERATOR.</t>
  </si>
  <si>
    <t xml:space="preserve">200 W COMPTON BLVD                                                              </t>
  </si>
  <si>
    <t xml:space="preserve">LA CO. INGLEWOOD MUNICIPAL COURT/ISD    </t>
  </si>
  <si>
    <t>381630</t>
  </si>
  <si>
    <t>F42285</t>
  </si>
  <si>
    <t>ICE, DETROIT DIESEL, 12 CYLINDER, TURBOCHARGED AND AFTERCOOLED, MODEL 7123-7305, SERIAL NO .12VA046867, 575 BHP, DRIVING AN EMERGENCY ELECTRICAL GENERATOR.</t>
  </si>
  <si>
    <t>575</t>
  </si>
  <si>
    <t xml:space="preserve">1 REGENT ST                                                                     </t>
  </si>
  <si>
    <t>F39204</t>
  </si>
  <si>
    <t>ICE, CATERPILLAR, MODEL NO. 3516, DIESEL FUELED, EMERGENCY ELECTRICAL GENERATION, 16 CYLINDERS, TURBOCHARGED AND AFTERCOOLED, 2149 BHP.</t>
  </si>
  <si>
    <t>2149</t>
  </si>
  <si>
    <t xml:space="preserve">450 BAUCHET ST                                                                  </t>
  </si>
  <si>
    <t xml:space="preserve">MIRANDA PEPE R                                    </t>
  </si>
  <si>
    <t xml:space="preserve">(626) 3003046   </t>
  </si>
  <si>
    <t>F39231</t>
  </si>
  <si>
    <t>ICE, CATERPILLAR, MODEL NO. 3508, DIESEL FUELED, EMERGENCY ELECTRICAL GENERATION, 8 CYLINDERS, TURBOCHARGED AND AFTERCOOLED, 1456 BHP.</t>
  </si>
  <si>
    <t>385194</t>
  </si>
  <si>
    <t>F39203</t>
  </si>
  <si>
    <t>385197</t>
  </si>
  <si>
    <t>F39206</t>
  </si>
  <si>
    <t xml:space="preserve">LA CO., CRIMINAL COURTS                 </t>
  </si>
  <si>
    <t>385011</t>
  </si>
  <si>
    <t>F42569</t>
  </si>
  <si>
    <t>ICE, DETROIT DIESEL ,16 CYLINDER, TURBOCHARGED AND AFTERCOOLED, MODEL 7163-7000, SERIAL NO. 16VA005015, 550 BHP, DRIVING AN EMERGENCY ELECTRIC GENERATOR.</t>
  </si>
  <si>
    <t xml:space="preserve">210 W TEMPLE ST                                                                 </t>
  </si>
  <si>
    <t>385012</t>
  </si>
  <si>
    <t>F42570</t>
  </si>
  <si>
    <t>ICE, DETROIT DIESEL, 16 CYLINDERS, TURBOCHARGED, AFTERCOOLED, MODEL NO. T163-7K16 (1900 KW), 2550 BHP, DIESEL-FUELED, DRIVING AN EMERGENCY ELECTRICAL GENERATOR.</t>
  </si>
  <si>
    <t>T163-7K16</t>
  </si>
  <si>
    <t xml:space="preserve">1550 MALBOROUGH AVE                                                             </t>
  </si>
  <si>
    <t xml:space="preserve">VAN HOOK MIKE                                     </t>
  </si>
  <si>
    <t xml:space="preserve">(918) 5733880   </t>
  </si>
  <si>
    <t xml:space="preserve">WILSHIRE PALISADES, EQUITY OFFICE PROP  </t>
  </si>
  <si>
    <t>386067</t>
  </si>
  <si>
    <t>F41724</t>
  </si>
  <si>
    <t>ICE, CATERPILLAR, DIESEL-FUELED, EMERGENCY, ELECTRICAL GENERATION, MODEL 3412 DITA, S/N 3857047, TURBOCHARGED, AFTERCOOLED, 12 CYLINDERS, 545 BHP.</t>
  </si>
  <si>
    <t xml:space="preserve">1299 OCEAN AVE                                                                  </t>
  </si>
  <si>
    <t xml:space="preserve">HAGEN KEVIN                                       </t>
  </si>
  <si>
    <t xml:space="preserve">(310) 4519741   </t>
  </si>
  <si>
    <t xml:space="preserve">WILSHIRE PARK PLACE LLC                 </t>
  </si>
  <si>
    <t>F42893</t>
  </si>
  <si>
    <t>ICE, CATERPILLAR, MODEL 3406B DITA, SERIAL NO. 4RG01147, 519 BHP, DIESEL FUELED, TURBOCHARGED, AFTERCOOLED, DRIVING AN EMERGENCY ELECTRICAL GENERATOR.</t>
  </si>
  <si>
    <t xml:space="preserve">3700 WILSHIRE BLVD SUITE 190                                                    </t>
  </si>
  <si>
    <t xml:space="preserve">HAN PETER                                         </t>
  </si>
  <si>
    <t xml:space="preserve">(213) 3821762   </t>
  </si>
  <si>
    <t xml:space="preserve">XEROX CENTER-DL CABRILLO LLC            </t>
  </si>
  <si>
    <t>393446</t>
  </si>
  <si>
    <t>F47443</t>
  </si>
  <si>
    <t>ICE, CATERPILLAR, DIESEL FUELED, EMERGENCY ELECTRICAL GENERATION, MODEL NO. 3406B-DT, SERIAL NO. 2WB04947, 6 CYLINDERS, NATURALLY ASPIRATED, 534 BHP.</t>
  </si>
  <si>
    <t xml:space="preserve">1851 E 1ST STE D                                                                </t>
  </si>
  <si>
    <t xml:space="preserve">CAROL SCHIEK GLEN CALL/                           </t>
  </si>
  <si>
    <t xml:space="preserve">(714) 5680317   </t>
  </si>
  <si>
    <t>3121 MICHELSON DRIVE LLC</t>
  </si>
  <si>
    <t>F54516</t>
  </si>
  <si>
    <t>ICE, CUMMINS, 6 CYLINDERS, TURBOCHARGED, AFTERCOOLED, MODEL NO. N14-G2 (399 KW), SERIAL NO. F010255950, 535 BHP, DIESEL-FUELED, DRIVING AN EMERGENCY ELECTRICAL GENERATOR.</t>
  </si>
  <si>
    <t>3121 MICHELSON DR</t>
  </si>
  <si>
    <t>IRVINE</t>
  </si>
  <si>
    <t>GRIFFITH ROY</t>
  </si>
  <si>
    <t>(949) 5531220</t>
  </si>
  <si>
    <t>4590 MAC ARTHUR, LLC</t>
  </si>
  <si>
    <t>F52119</t>
  </si>
  <si>
    <t>ICE, DETROIT DIESEL, MODEL NO. 7123-7305, DIESEL FUELED, TURBOCHARGED AND AFTERCOOLED, 12 CYLINDERS, 630 BHP, DRIVING AN EMERGENCY ELECTRICAL GENERATOR.</t>
  </si>
  <si>
    <t>4590 MAC ARTHUR</t>
  </si>
  <si>
    <t>NEWPORT BEACH</t>
  </si>
  <si>
    <t>MENDEZ FELIX</t>
  </si>
  <si>
    <t>(949) 7522311</t>
  </si>
  <si>
    <t>3512 DI</t>
  </si>
  <si>
    <t>ADELPHIA COMMUNICATIONS</t>
  </si>
  <si>
    <t>F50461</t>
  </si>
  <si>
    <t>ICE, DETROIT DIESEL, 12 CYLINDER, TURBOCHARGED, AFTERCOOLED, MODEL R123-7K35, SERIAL NO. 5352001163, 910 BHP, DIESEL FUELED, DRIVING AN EMERGENCY ELECTRICAL GENERATOR.</t>
  </si>
  <si>
    <t>1260 DUPONT ST</t>
  </si>
  <si>
    <t>ONTARIO</t>
  </si>
  <si>
    <t>GUIREY THERESA</t>
  </si>
  <si>
    <t>(909) 9753310</t>
  </si>
  <si>
    <t>ADVANCED MEDICAL OPTICS</t>
  </si>
  <si>
    <t>F53500</t>
  </si>
  <si>
    <t>ICE, CUMMINS, EMERGENCY ELECTRICAL GENERATION, MODEL NO. KTA50-G3, DIESEL FUELED, 16 CYLINDERS, TURBOCHARGED AND AFTERCOOLED, 1850 BHP.</t>
  </si>
  <si>
    <t>1700 E ST ANDREW PL</t>
  </si>
  <si>
    <t>SANTA ANA</t>
  </si>
  <si>
    <t>RODRIGUEZ JOSE</t>
  </si>
  <si>
    <t>(714) 2464758</t>
  </si>
  <si>
    <t>ADVO INC.</t>
  </si>
  <si>
    <t>F50869</t>
  </si>
  <si>
    <t>ICE, CUMMINS, 6 CYLINDER, TURBOCHARGED, AFTERCOOLED, MODEL QSX15-G9, SERIAL NO. 14019392, 755 BHP, DIESEL FUELED, DRIVING AN EMERGENCY ELECTRICAL GENERATOR.</t>
  </si>
  <si>
    <t>921 W WALNUT ST</t>
  </si>
  <si>
    <t>COMPTON</t>
  </si>
  <si>
    <t>GALVIS CARLOS</t>
  </si>
  <si>
    <t>(310) 6613901</t>
  </si>
  <si>
    <t>ADVO SYSTEMS INC</t>
  </si>
  <si>
    <t>F50867</t>
  </si>
  <si>
    <t>ICE, CUMMINS, 12 CYLINDERS, TURBOCHARGED, AFTERCOOLED, MODEL QST30-G5 (1112 KW), SERIAL NO. 37198860, 1490 BHP, DIESEL FUELED, DRIVING AN EMERGENCY ELECTRICAL GENERATOR.</t>
  </si>
  <si>
    <t>1001 W WALNUT ST</t>
  </si>
  <si>
    <t>V11 JOHN R BIRKREG</t>
  </si>
  <si>
    <t>(213) 6370438</t>
  </si>
  <si>
    <t>ALAMEDA CORRIDOR TRANS. AUTHORITY</t>
  </si>
  <si>
    <t>F53816</t>
  </si>
  <si>
    <t>ICE, CATERPILLAR, MODEL G3412SITA, SERIAL NO. 7DM, NATURAL GAS, FOUR CYCLE, TURBOCHARGED AND AFTERCOOLED, RATED AT 690 BHP, WITH A THREE-WAY NON-SELECTIVE CATALYTIC CONVERTER, JOHNSON MATTHEY, MODEL BX40-10, DRIVING AN EMERGENCY STAND-BY GENERATOR.</t>
  </si>
  <si>
    <t>BX40-10</t>
  </si>
  <si>
    <t>2020 ZOE AVE</t>
  </si>
  <si>
    <t>HUNTINGTON PARK</t>
  </si>
  <si>
    <t>SILVESTRO ELAINE</t>
  </si>
  <si>
    <t>(310) 8160460</t>
  </si>
  <si>
    <t>APM TERMINALS</t>
  </si>
  <si>
    <t>F52021</t>
  </si>
  <si>
    <t>ICE, DETROIT DIESEL, 6 CYLINDER, TURBOCHARGED, AFTERCOOLED, MODEL 6063-TK35 (310 KW), SERIAL NO. 0723315, 415 BHP, DIESEL FUELED, DRIVING AN ELECTRICAL GENERATOR.</t>
  </si>
  <si>
    <t>2500-100 NAVY WAY</t>
  </si>
  <si>
    <t>SAN PEDRO</t>
  </si>
  <si>
    <t>MOLER DON</t>
  </si>
  <si>
    <t>(562) 5902059</t>
  </si>
  <si>
    <t xml:space="preserve">APPERETO, INC.                          </t>
  </si>
  <si>
    <t>F50211</t>
  </si>
  <si>
    <t>ICE, CUMMINS, MODEL KTA50-G9, DIESLE FUEL, SIXTEEN CYLINDERS, TURBOCHARGED AND AFTERCOOLED, RATED AT 2220 BHP, DRIVING AN EMERGENCY STAND-BY GENERATOR.</t>
  </si>
  <si>
    <t xml:space="preserve">17222 VON KARMAN                                                                </t>
  </si>
  <si>
    <t xml:space="preserve">TOWFIQ MARK                                       </t>
  </si>
  <si>
    <t xml:space="preserve">(949) 7847914   </t>
  </si>
  <si>
    <t>ARBINET-THE EXCHANGE</t>
  </si>
  <si>
    <t>F54631</t>
  </si>
  <si>
    <t>611 W 6TH ST</t>
  </si>
  <si>
    <t>LOS ANGELES</t>
  </si>
  <si>
    <t>DALCOUR CLARENCE</t>
  </si>
  <si>
    <t>(213) 2390418</t>
  </si>
  <si>
    <t>ARDEN REALTY FINANCE PARTNERSHIP</t>
  </si>
  <si>
    <t>F54023</t>
  </si>
  <si>
    <t>ICE, CATERPILLAR, MODEL NO. 3412 DITAJWAC, SERIAL NO. 5NA0363, DIESEL FUELED, TWELVE CYLINDERS, TURBOCHARGED AND AFTERCOOLED, RATED AT 755 BHP, DRIVING AN EMERGENCY ELECTRICAL GENERATOR (SR-4).</t>
  </si>
  <si>
    <t>70 S LAKE AVE</t>
  </si>
  <si>
    <t>PASADENA</t>
  </si>
  <si>
    <t>YESETA TONY</t>
  </si>
  <si>
    <t>(818) 2464751</t>
  </si>
  <si>
    <t>AUTOMATIC DATA PROCESSING INC</t>
  </si>
  <si>
    <t>F44553</t>
  </si>
  <si>
    <t>ICE, CATERPILLAR, MODEL NO. 3512, SERIAL NO. 24Z05055, DIESEL FUELED, EMERGENCY ELECTRICAL GENERATION, 12 CYLINDERS, TURBOCHARGED AND AFTERCOOLED, 1786 BHP.</t>
  </si>
  <si>
    <t>5355 ORANGETHORPE AVE</t>
  </si>
  <si>
    <t>LA PALMA</t>
  </si>
  <si>
    <t>KAKU AL</t>
  </si>
  <si>
    <t>(714) 2284002</t>
  </si>
  <si>
    <t>AVERY DENNISON CORP/MILLER CORP. CENTER</t>
  </si>
  <si>
    <t>F53510</t>
  </si>
  <si>
    <t>ICE, CUMMINS, MODEL NO. KTA38-G1, SERIAL NO. KL93907-107298, DIESEL FUELED, TURBOCHARGED AND AFTERCOOLED, 12-CYLINDER, 1135 BHP, DRIVING AN EMERGENCY ELECTRICAL GENERATOR.</t>
  </si>
  <si>
    <t>150 N ORANGE GROVE BLVD</t>
  </si>
  <si>
    <t>CAUDILLO HENRY</t>
  </si>
  <si>
    <t>(626) 3042202</t>
  </si>
  <si>
    <t>BOEING SATELLITE SYSTEMS INC</t>
  </si>
  <si>
    <t>F52024</t>
  </si>
  <si>
    <t>ICE, EMERGENCY POWER, FOUR CYCLE, 16 CYLINDER, DIESEL FUEL, CUMMINS, MODEL QSK60-G6, WITH AFTERCOOLER, TURBOCHARGER, 2922 BHP.</t>
  </si>
  <si>
    <t>QSX60-G6</t>
  </si>
  <si>
    <t>2240 E IMPERIAL HWY</t>
  </si>
  <si>
    <t>EL SEGUNDO</t>
  </si>
  <si>
    <t>SEITZ DAVID</t>
  </si>
  <si>
    <t>(310) 4162241</t>
  </si>
  <si>
    <t>BURBANK-GLENDALE-PAS. AIRPORT AUTHORITY</t>
  </si>
  <si>
    <t>D59871</t>
  </si>
  <si>
    <t>ICE, DETROIT DIESEL, DIESEL-FUELED, EMERGENCY ELECTRICAL GENERATION, MODEL 9123-7306, TURBOCHARGED, INTERCOOLED, 12 CYLINDERS, 1515 BHP.</t>
  </si>
  <si>
    <t>2627 HOLLYWOOD WAY</t>
  </si>
  <si>
    <t>BURBANK</t>
  </si>
  <si>
    <t>FERGER DAN</t>
  </si>
  <si>
    <t>(818) 8409456</t>
  </si>
  <si>
    <t>BURLINGTON NORTHERN/SANTA FE RAILWAY CO</t>
  </si>
  <si>
    <t>F51533</t>
  </si>
  <si>
    <t>ICE, GENERAC, 12 CYLINDERS, TURBOCHARGED, AFTERCOOLED, MODEL NO. 33 9DTA, SERIAL NO. 22583, 1135 BHP, DIESEL-FUELED, DRIVING AN EMERGENCY ELECTRICAL GENERATOR.</t>
  </si>
  <si>
    <t>339DTA</t>
  </si>
  <si>
    <t>6300 E SHEILA ST</t>
  </si>
  <si>
    <t>COMMERCE</t>
  </si>
  <si>
    <t>WILLIAMS LA DONNA</t>
  </si>
  <si>
    <t>(909) 3864082</t>
  </si>
  <si>
    <t>CAL ST, WATER RESOURCES DEPT</t>
  </si>
  <si>
    <t>F42869</t>
  </si>
  <si>
    <t>ICE, ALLIS CHALMER, DIESEL FUELED, DRIVING AN EMERGENCY ELECTRICAL GENERATOR, MODEL NO. 21000MKII, SERIAL NO. 21-10990, TURBOCHARGED, 636 BHP.</t>
  </si>
  <si>
    <t>Allis Chalmer</t>
  </si>
  <si>
    <t>21000MKII</t>
  </si>
  <si>
    <t>31849 N LAKE HUGHES RD</t>
  </si>
  <si>
    <t>CASTAIC</t>
  </si>
  <si>
    <t>STRADIOTTO L.A.</t>
  </si>
  <si>
    <t>(805) 2573610</t>
  </si>
  <si>
    <t>CAMALI CORPORATION</t>
  </si>
  <si>
    <t>F52381</t>
  </si>
  <si>
    <t>ICE, CATERPILLAR, MODEL 3412XQ, SERIAL NO. 2WJ02398, TURBOCHARGED, AFTERCOOLED, DIESEL FUELED, RATED AT 1072 BHP, DRIVING AN EMERGENCY ELECTRICAL GENERATOR.</t>
  </si>
  <si>
    <t>3412XQ</t>
  </si>
  <si>
    <t>21250 HAWTHORNE BLVD</t>
  </si>
  <si>
    <t>TORRANCE</t>
  </si>
  <si>
    <t>SOLORZANO DAVID</t>
  </si>
  <si>
    <t>(949) 5800250</t>
  </si>
  <si>
    <t xml:space="preserve">CINGULAR WIRELESS/SANTA FE SPRGS FAC    </t>
  </si>
  <si>
    <t>F51879</t>
  </si>
  <si>
    <t xml:space="preserve">13115 TELEGRAPH RD                                                              </t>
  </si>
  <si>
    <t xml:space="preserve">CLAREMONT MANOR                         </t>
  </si>
  <si>
    <t>F53833</t>
  </si>
  <si>
    <t>ICE, DETROIT DIESEL, MODEL 6063-TK35, SERIAL NO. 0672981, TURBOCHARGED, AFTERCOOLED, DIESEL FUELED, WITH DIESEL PARTICULATE FILTER, AND A 10-FOOT STACK, DRIVING AN EMERGENCY ELECTRICAL GENERATOR, 550 BHP.</t>
  </si>
  <si>
    <t xml:space="preserve">650 W HARRISON                                                                  </t>
  </si>
  <si>
    <t xml:space="preserve">TAMBURRANO ANGELO                                 </t>
  </si>
  <si>
    <t xml:space="preserve">(909) 6261227   </t>
  </si>
  <si>
    <t>CLEAN HARBORS LOS ANGELES, LLC</t>
  </si>
  <si>
    <t>F53602</t>
  </si>
  <si>
    <t>ICE, CUMMINS, MODEL NO. VTA20-GT, DIESEL FUEL-FIRED, 6 CYLINDERS, TURBOCHARGED, AFTERCOOLED, 900 HP DRIVING AN EMERGENCY ELECTRICAL GENERATOR.</t>
  </si>
  <si>
    <t>VTA20-GT</t>
  </si>
  <si>
    <t>5756 ALBA ST</t>
  </si>
  <si>
    <t>FOX ROGER</t>
  </si>
  <si>
    <t>(323) 2772528</t>
  </si>
  <si>
    <t>COMMERCIAL DEVELOPMENTS INTL./WEST INC.</t>
  </si>
  <si>
    <t>F52330</t>
  </si>
  <si>
    <t>ICE, CATERPILLAR, MODEL 3406B DITA, SERIAL NO. 4RG01144, DIESEL FUEL, FOUR CYCLE, LEAN BURN, TURBOCHARGED AND AFTERCOOLED, RATED AT 519 HP, DRIVING AN EMERGENCY ELECTRICAL GEENRATOR.</t>
  </si>
  <si>
    <t>250 E FIRST ST #804</t>
  </si>
  <si>
    <t>GORING WILLIAM A</t>
  </si>
  <si>
    <t>(213) 6801197</t>
  </si>
  <si>
    <t>COUNTRYWIDE HOME LOAN</t>
  </si>
  <si>
    <t>F13386</t>
  </si>
  <si>
    <t>ICE, CATERPILLAR, DIESEL, AFTERCOOLED, TURBOCHARGED, V-16, MODEL 3516, 1550 BHP.</t>
  </si>
  <si>
    <t>4500 Park Granada</t>
  </si>
  <si>
    <t>CALABASAS</t>
  </si>
  <si>
    <t>ASKILL LESLIE MAC</t>
  </si>
  <si>
    <t>(818) 3048400</t>
  </si>
  <si>
    <t>COUNTY OF ORANGE/SHERIFF-CORONER DEPT.</t>
  </si>
  <si>
    <t>F50230</t>
  </si>
  <si>
    <t>ICE, CATERPILLAR, 6 CYLINDER, TURBOCHARGED, AFTERCOOLED, MODEL 3406 DITA (400 KW), SERIAL NO. 4ZR07872, 587 BHP, DIESEL FUELED, DRIVING AN EMERGENCY ELECTRICAL GENERATOR.</t>
  </si>
  <si>
    <t>11 JOURNEY</t>
  </si>
  <si>
    <t>ALISO VIEJO</t>
  </si>
  <si>
    <t>FREER LUCILLE</t>
  </si>
  <si>
    <t>(714) 9356879</t>
  </si>
  <si>
    <t xml:space="preserve">CRESTLINE-LAKE ARROWHEAD WATER AGENCY   </t>
  </si>
  <si>
    <t>F53824</t>
  </si>
  <si>
    <t>ICE, CATERPILLAR, MODEL G3512, NATURAL GAS, RICH BURN FOUR CYCLE, 12 CYLINDERS, TURBOCHARGED AND AFTERCOOLED, RATED AT 791 BHP, WITH A NON-SELECTIVE CATALYTIC CONVERTER, MIRATECH, MODEL 1501-14-D3, AND AN AIR/FUEL RATIO CONTROLLER, DRIVING AN ELECTRICAL GENERATOR.</t>
  </si>
  <si>
    <t>G3512</t>
  </si>
  <si>
    <t xml:space="preserve">24116 CREST FOREST DR                                                           </t>
  </si>
  <si>
    <t xml:space="preserve">CRESTLINE                </t>
  </si>
  <si>
    <t xml:space="preserve">HOLMES ROXANNE                                    </t>
  </si>
  <si>
    <t xml:space="preserve">(909) 3381779   </t>
  </si>
  <si>
    <t>CUCAMONGA COUNTY WATER DISTRICT</t>
  </si>
  <si>
    <t>F51077</t>
  </si>
  <si>
    <t>ICE, PORTABLE, CATERPILLAR, MODEL NO. 3412 DITTA, DIESEL FUELED, FOUR CYCLES, TWELVE CYLINDERS, TURBOCHARGED AND AFTERCOOLED, RATED AT 896 BHP, DRIVING AN EMERGENCY ELECTRICAL GENERATOR.</t>
  </si>
  <si>
    <t>VARIOUS LOCATIONS IN SCAQMD</t>
  </si>
  <si>
    <t>RANCHO CUCAMONGA</t>
  </si>
  <si>
    <t>STOCKWELL GARY</t>
  </si>
  <si>
    <t>(909) 8990060</t>
  </si>
  <si>
    <t>F53818</t>
  </si>
  <si>
    <t>ICE, CATERPILLAR, MODEL 3456 DITA AA, DIESEL FUEL, 6 CYLINDERS, TURBOCHARGED AND AFTERCOOLED, RATED AT 536 BHP, DRIVING AN EMERGENCY ELECTRICAL STAND-BY GENERATOR.</t>
  </si>
  <si>
    <t>3456 DITA</t>
  </si>
  <si>
    <t>6615 ETIWANDA AVE</t>
  </si>
  <si>
    <t>CUCAMONGA COUNTY WATER DISTRICT/3C</t>
  </si>
  <si>
    <t>F54290</t>
  </si>
  <si>
    <t>ICE, CATERPILLAR, MODEL NO. 3412 DITTA, DIESEL FUELED, FOUR CYCLES, TWELVE CYLINDERS, TURBOCHARGED AND AFTERCOOLED, RATED AT 896 BHP, DRIVING AN EMERGENCY ELECTRICAL GENERATOR.</t>
  </si>
  <si>
    <t>12536 23 RD ST</t>
  </si>
  <si>
    <t>D90828</t>
  </si>
  <si>
    <t>ICE, CATERPILLAR, 8 CYLINDERS, TURBOCHARGED, AFTERCOOLED, MODEL NO. 3508 DITA (900 KW), 1337 BHP, DIESEL-FUELED, DRIVING AN EMERGENCY ELECTRICAL GENERATOR.</t>
  </si>
  <si>
    <t xml:space="preserve">1313 HARBOR BLVD                                                                </t>
  </si>
  <si>
    <t xml:space="preserve">MARSDEN TOM                                       </t>
  </si>
  <si>
    <t xml:space="preserve">(714) 9994504   </t>
  </si>
  <si>
    <t>DOUGLAS EMMETT REALTY FUND 1995/CAMDEN</t>
  </si>
  <si>
    <t>F53132</t>
  </si>
  <si>
    <t>ICE, CATERPILLAR, MODEL NO. 3406C DITA, SERIAL NO. 4RG01403, DIESEL FUELED, SIX CYLINDERS, TURBOCHARGED AND AFTERCOOLED, RATED AT 599 BHP, DRIVING AN EMERGENCY ELECTRICAL GENERATOR.</t>
  </si>
  <si>
    <t>414 N CAMDEN DR</t>
  </si>
  <si>
    <t>BEVERLY HILLS</t>
  </si>
  <si>
    <t>ESTRADA AUGUSTO</t>
  </si>
  <si>
    <t>(310) 5508011</t>
  </si>
  <si>
    <t>DOUGLAS EMMETT REALTY FUND 2000</t>
  </si>
  <si>
    <t>F52839</t>
  </si>
  <si>
    <t>ICE, CATERPILLAR, DIESEL FUELED, EMERGENCY ELECTRICAL GENERATION, MODEL 3412, TURBOCHARGED, AFTERCOOLED, 12 CYLINDERS, 890 BHP.</t>
  </si>
  <si>
    <t>1901 AVE OF THE STARS SUITE 1910</t>
  </si>
  <si>
    <t>ROGERS WILLIAM</t>
  </si>
  <si>
    <t>(310) 5535500</t>
  </si>
  <si>
    <t>F52838</t>
  </si>
  <si>
    <t xml:space="preserve">EDGINGTON OIL COMPANY                   </t>
  </si>
  <si>
    <t>F47924</t>
  </si>
  <si>
    <t>ICE, DIESEL FUELED, TURBOCHARGED, INTERCOOLED, 16 CYLINDERS, DETROIT DIESEL, MODEL R163-7K35, 1200 HP, DRIVING EMERGENCY POWER GENERATOR.</t>
  </si>
  <si>
    <t xml:space="preserve">2400 E ARTESIA BLVD                                                             </t>
  </si>
  <si>
    <t xml:space="preserve">CIMBALO ROBERT                                    </t>
  </si>
  <si>
    <t xml:space="preserve">(562) 4231465   </t>
  </si>
  <si>
    <t>F47925</t>
  </si>
  <si>
    <t>955 OVERLAND CT</t>
  </si>
  <si>
    <t>SAN DIMAS</t>
  </si>
  <si>
    <t>EL TORO MATERIALS CO</t>
  </si>
  <si>
    <t>F54234</t>
  </si>
  <si>
    <t>ICE, PORTABLE, CATERPILLAR, MODEL 3412  DITTA, TURBOCHARGED, AFTERCOOLED, DIESEL FUELED, RATED AT 746 BHP, DRIVING AN EMERGENCY ELECTRICAL GENERATOR.</t>
  </si>
  <si>
    <t>EL TORO</t>
  </si>
  <si>
    <t>FRUH RUMORGEN</t>
  </si>
  <si>
    <t>(949) 4587993</t>
  </si>
  <si>
    <t>EQUITY OFFICE PROPERTIES/BREA CORP PLACE</t>
  </si>
  <si>
    <t>F52939</t>
  </si>
  <si>
    <t>ICE, CUMMINS, DIESEL-FUELED, EMERGENCY ELECTRICAL GENERATION, MODEL VTA28-G1, SERIAL NO. 877502, TURBOCHARGED, AFTERCOOLED, 12 CYLINDERS, 760 BHP.</t>
  </si>
  <si>
    <t>135-145 S STATE COLLEGE BLVD</t>
  </si>
  <si>
    <t>BREA</t>
  </si>
  <si>
    <t>SOSSAMAN ROBERT</t>
  </si>
  <si>
    <t>(714) 6710100</t>
  </si>
  <si>
    <t>EVANGELICAL CHRISTIAN CREDIT UNION</t>
  </si>
  <si>
    <t>F53834</t>
  </si>
  <si>
    <t xml:space="preserve">1275 N EASTERN AVE                                                              </t>
  </si>
  <si>
    <t>385199</t>
  </si>
  <si>
    <t>F39225</t>
  </si>
  <si>
    <t>ICE, CATERPILLAR, MODEL NO. 3412 DITTA (500 KW), SERIAL NO. 81213626, DIESEL FUELED, EMERGENCY ELECTRICAL GENERATION, 12 CYLINDERS, TURBOCHARGED AND AFTERCOOLED, 746 BHP.</t>
  </si>
  <si>
    <t>385200</t>
  </si>
  <si>
    <t>F39237</t>
  </si>
  <si>
    <t>ICE, CATERPILLAR, MODEL NO. 3412 DITTA (500 KW), SERIAL NO. 81213652, DIESEL FUELED, EMERGENCY ELECTRICAL GENERATION, 12 CYLINDERS, TURBOCHARGED AND AFTERCOOLED, 746 BHP.</t>
  </si>
  <si>
    <t>F40300</t>
  </si>
  <si>
    <t>ICE, NO. 2, CATERPILLAR, MODEL NO. 3516, DIESEL-FUELED, TURBOCHARGED, AFTERCOOLED, 16 CYLINDERS, 2151 BHP.</t>
  </si>
  <si>
    <t>2151</t>
  </si>
  <si>
    <t xml:space="preserve">2000 E 8TH ST                                                                   </t>
  </si>
  <si>
    <t>F40301</t>
  </si>
  <si>
    <t>ICE, NO. 1, CATERPILLAR, MODEL NO. 3516, DIESEL-FUELED, TURBOCHARGED, AFTERCOOLED, 16 CYLINDERS, 2151 BHP.</t>
  </si>
  <si>
    <t>F39933</t>
  </si>
  <si>
    <t>ICE, NO. 2, DIESEL, DETROIT DIESEL ALLISON, MODEL NO. 16V-149TIB, S/N 3249-B-90, 16 CYLINDER, 2340 BHP, TWO-CYCLE, TURBOCHARGED, AFTERCOOLED, DRIVING A 1600 KW EMERGENCY ELECTRIC GENERATOR, WITH AN EXHAUST SYSTEM VENTING TO A SELECTIVE CATALYTIC REDUCTION UNIT, KLEENAIRE MODEL KSVG572H.</t>
  </si>
  <si>
    <t>1600</t>
  </si>
  <si>
    <t xml:space="preserve">1375 SUNFLOWER AVE                                                              </t>
  </si>
  <si>
    <t>F39934</t>
  </si>
  <si>
    <t>ICE, NO. 3, DIESEL, DETROIT DIESEL ALLISON, MODEL NO. 9163-7305, 1515 BHP, TURBOCHARGED, DRIVING A 1700 KW EMERGENCY ELECTRIC GENERATOR.</t>
  </si>
  <si>
    <t>1515</t>
  </si>
  <si>
    <t>F39935</t>
  </si>
  <si>
    <t>ICE, NO. 4, DIESEL, DETROIT DIESEL ALLISON, MODEL NO. 9163-7305, 1515 BHP, TURBOCHARGED, DRIVING A 1700 KW EMERGENCY ELECTRIC GENERATOR.</t>
  </si>
  <si>
    <t>F39939</t>
  </si>
  <si>
    <t>ICE, NO. 5, DIESEL, DETROIT DIESEL ALLISON, MODEL NO. 16V-149TI, S/N KA 94562, 16 CYLINDER, 1540 BHP, TWO CYCLE, TURBOCHARGED, INTERCOOLED, DRIVING AN 1100 KW EMERGENCY ELECTRIC GENERATOR.</t>
  </si>
  <si>
    <t>1100</t>
  </si>
  <si>
    <t>386007</t>
  </si>
  <si>
    <t>F40299</t>
  </si>
  <si>
    <t>ICE, NO. 3, CATERPILLAR, MODEL NO. 3516, DIESEL-FUELED, TURBOCHARGED, AFTERCOOLED, 16 CYLINDERS, 2151 BHP.</t>
  </si>
  <si>
    <t>386187</t>
  </si>
  <si>
    <t>F39932</t>
  </si>
  <si>
    <t xml:space="preserve">LOWE'S HIW INC                          </t>
  </si>
  <si>
    <t>F46704</t>
  </si>
  <si>
    <t>860</t>
  </si>
  <si>
    <t xml:space="preserve">8383 TOPANGA CANYON BLVD                                                        </t>
  </si>
  <si>
    <t>F49599</t>
  </si>
  <si>
    <t>ICE, DETROIT DIESEL, 6 CYLINDERS, TURBOCHARGED, AFTERCOOLED, MODEL NO. 6063-TK35 (410 KW), 550 BHP, DIESEL-FUELED, DRIVING AN EMERGENCY ELECTRICAL GENERATOR</t>
  </si>
  <si>
    <t>410</t>
  </si>
  <si>
    <t xml:space="preserve">1340 S BEACH BLVD                                                               </t>
  </si>
  <si>
    <t>379903</t>
  </si>
  <si>
    <t>F42590</t>
  </si>
  <si>
    <t>ICE, DETROIT DIESEL, MODEL 6063-TK35, SERIAL NO 0685438, TURBOCHARGED, DIESEL FUELED, SIX CYLINDER, DRIVING AN EMERGENCY ELECTRICAL GENERATOR, 550 BHP.</t>
  </si>
  <si>
    <t xml:space="preserve">907 AVENIDA PICO                                                                </t>
  </si>
  <si>
    <t>386731</t>
  </si>
  <si>
    <t>F40682</t>
  </si>
  <si>
    <t>ICE, DETROIT DIESEL , EMERGENCY ELECTRICAL GENERATION, MODEL NO. 860, SERIAL NO. 672641, DIESEL FUELED, SIX CYLINDERS, TURBOCHARGED, 550 BHP.</t>
  </si>
  <si>
    <t xml:space="preserve">1500 LEMON ST                                                                   </t>
  </si>
  <si>
    <t>390221</t>
  </si>
  <si>
    <t>F46556</t>
  </si>
  <si>
    <t>ICE, DETROIT DIESEL, MODEL 6063-TK35, TURBOCHARGED, DIESEL FUELED, SIX CYLINDER, DRIVING AN EMERGENCY ELECTRICAL GENERATOR, 550 BHP.</t>
  </si>
  <si>
    <t xml:space="preserve">2000 EMPIRE AVE                                                                 </t>
  </si>
  <si>
    <t>391102</t>
  </si>
  <si>
    <t>F44446</t>
  </si>
  <si>
    <t>ICE, DETROIT DIESEL, 6 CYLINDERS, TURBOCHARGED, AFTERCOOLED, MODEL NO. 6063-TK35 (410 KW), 550 BHP, DIESEL-FUELED, DRIVING AN EMERGENCY ELECTRICAL GENERATOR.</t>
  </si>
  <si>
    <t xml:space="preserve">26415 BOUQUET CANYON RD                                                         </t>
  </si>
  <si>
    <t xml:space="preserve">MAINTENANCE WAREHOUSE/AMERICA CORP      </t>
  </si>
  <si>
    <t>387451</t>
  </si>
  <si>
    <t>F40980</t>
  </si>
  <si>
    <t>ICE, GENERAC, 12 CYLINDERS, TURBOCHARGED, AFTERCOOLED, MODEL NO. 22.0DTA/LTA (600 KW), 870 BHP, DIESEL-FUELED, DRIVING AN EMERGENCY ELECTRICAL GENERATOR.</t>
  </si>
  <si>
    <t>22.0DTA/LTA</t>
  </si>
  <si>
    <t xml:space="preserve">12801 LEFFINGWELL AVE                                                           </t>
  </si>
  <si>
    <t xml:space="preserve">TANNER ROSS                                       </t>
  </si>
  <si>
    <t xml:space="preserve">(858) 8312412   </t>
  </si>
  <si>
    <t xml:space="preserve">MANHATTAN BCH TOWERS LLC/A DEL LTD CO   </t>
  </si>
  <si>
    <t>384400</t>
  </si>
  <si>
    <t>F39381</t>
  </si>
  <si>
    <t>ICE, CUMMINS, MODEL NO. KTA19-G1, SERIAL NO. HACL110255, TURBOCHARGED, INTERCOOLED, DIESEL FUELED, DRIVING AN EMERGENCY ELECTRICAL GENERATOR, 6 CYLINDERS, 560 BHP.</t>
  </si>
  <si>
    <t>ICE, CUMMINS, MODEL NO. VTA28-G2, SERIAL NO. 37109384, DIESEL FUELED, FOUR CYCLES, TWELVE CYLINDERS, TURBOCHARGED AND AFTERCOOLED, RATED 900 BHP, DRIVING AN EMERGENCY ELECTRICAL GENERATOR.</t>
  </si>
  <si>
    <t>3321 S LA CIENEGA BLVD</t>
  </si>
  <si>
    <t>AVERY NORM</t>
  </si>
  <si>
    <t>(310) 8404945</t>
  </si>
  <si>
    <t>KECK GRADUATE INSTITUTE</t>
  </si>
  <si>
    <t>F54322</t>
  </si>
  <si>
    <t>ICE, DETROIT DIESEL, 16 CYLINDERS, TURBOCHARGED, AFTERCOOLED, MODEL NO. R163-7K35 (895 KW), 1200 BHP, DIESEL-FUELED, DRIVING AN EMERGENCY ELECTRICAL GENERATOR.</t>
  </si>
  <si>
    <t>535 WATSON DR</t>
  </si>
  <si>
    <t>CLAREMONT</t>
  </si>
  <si>
    <t>FARLEY RANDY</t>
  </si>
  <si>
    <t>(909) 6078721</t>
  </si>
  <si>
    <t>KFTR-TV 46</t>
  </si>
  <si>
    <t>F51637</t>
  </si>
  <si>
    <t>ICE, CATERPILLAR, DIESEL FUEL FIRED, COMPRESSION IGNITION, FOUR STROKE, MODEL 3412TA, TURBOCHARGED, AFTERCOOLED, 12 CYLINDERS, 752 BHP, DRIVING A 500 KW EMERGENCY ELECTRICAL GENERATOR.</t>
  </si>
  <si>
    <t>14 WEATHERVANE DR</t>
  </si>
  <si>
    <t>MOUNT WILSON</t>
  </si>
  <si>
    <t>ORTIZ RALPH</t>
  </si>
  <si>
    <t>(909) 6056013</t>
  </si>
  <si>
    <t xml:space="preserve">KINDRED HOSPITAL OF LOS ANGELES         </t>
  </si>
  <si>
    <t>F50092</t>
  </si>
  <si>
    <t>ICE, CATERPILLAR, MODEL NO. 3412 DIT, DIESEL FUELED, EMERGENCY ELECTRICAL GENERATION, SERIAL NO. 81Z01475, 12 CYLINDERS, TURBOCHARGED, 724 BHP.</t>
  </si>
  <si>
    <t xml:space="preserve">5525 W SLAUSON AVE                                                              </t>
  </si>
  <si>
    <t xml:space="preserve">DOMINGUEZ PAUL                                    </t>
  </si>
  <si>
    <t xml:space="preserve">(310) 6420325   </t>
  </si>
  <si>
    <t>KPMG LLP</t>
  </si>
  <si>
    <t>F53985</t>
  </si>
  <si>
    <t>ICE, CUMMINS, 6 CYLINDERS, TURBOCHARGED, AFTERCOOLED, MODEL NO. NTA855-G3, 535 BHP, DIESEL-FUELED, DRIVING AN EMERGENCY ELECTRICAL GENERATOR.</t>
  </si>
  <si>
    <t>6032 KATELLA AVE</t>
  </si>
  <si>
    <t>CYPRESS</t>
  </si>
  <si>
    <t>LEENERTS PAUL</t>
  </si>
  <si>
    <t>(714) 9345409</t>
  </si>
  <si>
    <t>LA CO., DEPT OF PUBLIC WORKS</t>
  </si>
  <si>
    <t>F11196</t>
  </si>
  <si>
    <t>ICE, CATERPILLAR, MODEL 3508, SERIAL NO. 23202350, DIESEL-FUELED, EIGHT CYLINDERS, FOUR CYCLE, TURBOCHARGED/AFTERCOOLED, RATED AT 1069 BHP, DRIVING A EMERGENCY ELECTRICAL GENERATOR.</t>
  </si>
  <si>
    <t>900 S FREMONT AVE</t>
  </si>
  <si>
    <t>ALHAMBRA</t>
  </si>
  <si>
    <t>GONZALES GARY</t>
  </si>
  <si>
    <t>(626) 4587324</t>
  </si>
  <si>
    <t>LA CO., PARKS &amp; REC DEPT (HOLLYWOOD BOWL</t>
  </si>
  <si>
    <t>F54643</t>
  </si>
  <si>
    <t>ICE, CUMMINS, MODEL NO. MTA855-G3, SERIAL NO. 33046, DIESEL FUELED, TURBOCHARGED AND AFTERCOOLED, 6-CYLINDER, 535 BHP, DRIVING AN EMERGENCY ELECTRICAL GENERATOR.</t>
  </si>
  <si>
    <t>MTA855-G3</t>
  </si>
  <si>
    <t>2301 N HIGHLAND AVE</t>
  </si>
  <si>
    <t>LADD MARK</t>
  </si>
  <si>
    <t>(323) 8502060</t>
  </si>
  <si>
    <t>LANDMARK II, C/O DOUGLAS, EMMETT &amp; CO</t>
  </si>
  <si>
    <t>F54073</t>
  </si>
  <si>
    <t>ICE, CATERPILLAR, MODEL NO. 3512, SERIAL NO. 3YF00360, DIESEL FUELED, FOUR CYCLES, TWELVE CYLINDERS, TURBOCHARGED AND AFTERCOOLED, RATED AT 2178 BHP, DRIVING AN EMERGENCY ELECTRICAL GENERATOR.</t>
  </si>
  <si>
    <t>11766 WILSHIRE BLVD</t>
  </si>
  <si>
    <t>JOHNSON CARY</t>
  </si>
  <si>
    <t>(310) 4788444</t>
  </si>
  <si>
    <t>LOS ANGELES TIMES COMMUNICATIONS LLC</t>
  </si>
  <si>
    <t>F54275</t>
  </si>
  <si>
    <t>ICE, EMERGENCY POWER, NO. 7, DIESEL FUEL, CATERPILLAR, WITH AFTERCOOLER, TURBOCHARGER, 2876 BHP.</t>
  </si>
  <si>
    <t>202 W 1ST ST, 221 W 2ND ST &amp; 145 S SPRING ST</t>
  </si>
  <si>
    <t>VOJTEK MARY ELLEN</t>
  </si>
  <si>
    <t>(213) 2375014</t>
  </si>
  <si>
    <t>LOWES HIW INC</t>
  </si>
  <si>
    <t>F52313</t>
  </si>
  <si>
    <t>ICE, DETROIT DIESEL, MODEL 6063-TK35, DIESEL FUEL, 6 CYLINDERS, TURBOCHARGED, AND AFTERCOOLED, RATED AT 550 BHP, DRIVING AN EMERGENCY ELECTRICAL STAND-BY GENERATOR.</t>
  </si>
  <si>
    <t>8600 WASHINGTON BLVD</t>
  </si>
  <si>
    <t>PICO RIVERA</t>
  </si>
  <si>
    <t>CHAUFTY CATHERINE</t>
  </si>
  <si>
    <t>(336) 6587946</t>
  </si>
  <si>
    <t>LOWES HOME IMPROVEMENT WAREHOUSE</t>
  </si>
  <si>
    <t>F52925</t>
  </si>
  <si>
    <t>ICE, DETROIT DIESEL, 6 CYLINDERS, TURBOCHARGED, AFTERCOOLED, MODEL NO. 6063-HK35 (474 KW), 635 BHP, DIESEL FIRED, DRIVING AN EMERGENCY ELECTRICAL GENERATOR.</t>
  </si>
  <si>
    <t>24701 MADISON AVE</t>
  </si>
  <si>
    <t>MURRIETA</t>
  </si>
  <si>
    <t>F54943</t>
  </si>
  <si>
    <t>12400 DAY ST</t>
  </si>
  <si>
    <t>(336) 6584671</t>
  </si>
  <si>
    <t>MCI TELECOMMUNICATIONS INC</t>
  </si>
  <si>
    <t>624 S GRAND AVE</t>
  </si>
  <si>
    <t>MEDTRONIC INC., HEART VALVES DIV.</t>
  </si>
  <si>
    <t>F52112</t>
  </si>
  <si>
    <t>ICE, CATERPILLAR, 12 CYLINDER, TURBOCHARGED, AFTERCOOLED, MODEL 3412 DISTA (800 KW), SERIAL NO. 2WJ06017, 1185 BHP, DIESEL FUELED, DRIVING AN EMERGENCY ELECTRICAL GENERATOR.</t>
  </si>
  <si>
    <t>1851 E DEERE AVE</t>
  </si>
  <si>
    <t>GARCIA J.</t>
  </si>
  <si>
    <t>(949) 3991489</t>
  </si>
  <si>
    <t>MISSION SPRINGS WATER DISTRICT</t>
  </si>
  <si>
    <t>F53526</t>
  </si>
  <si>
    <t>ICE, CATERPILLAR, 8 CYLINDERS, TURBOCHARGED, AFTERCOOLED, MODEL NO. 3508B DITA (1000 KW), SERIAL NO. 2GM01053, 1480 BHP, DIESEL FUELED, DRIVING AN EMERGENCY ELECTRICAL GENERATOR.</t>
  </si>
  <si>
    <t>14601 VERBENA DR</t>
  </si>
  <si>
    <t>DESERT HOT SPRINGS</t>
  </si>
  <si>
    <t>THACKER GEORGE</t>
  </si>
  <si>
    <t>(760) 3296448</t>
  </si>
  <si>
    <t>MURRIETA POLICE DEPARTMENT</t>
  </si>
  <si>
    <t>F53138</t>
  </si>
  <si>
    <t xml:space="preserve">MISSION COMMUNITY HOSPITAL              </t>
  </si>
  <si>
    <t>393249</t>
  </si>
  <si>
    <t>F46674</t>
  </si>
  <si>
    <t>2180</t>
  </si>
  <si>
    <t xml:space="preserve">14850 ROSCOE BLVD                                                               </t>
  </si>
  <si>
    <t xml:space="preserve">YORK RICH                                         </t>
  </si>
  <si>
    <t xml:space="preserve">(818) 9043685   </t>
  </si>
  <si>
    <t xml:space="preserve">M-POWER COMMUNICATIONS                  </t>
  </si>
  <si>
    <t>397289</t>
  </si>
  <si>
    <t>F49802</t>
  </si>
  <si>
    <t>ICE, DETROIT DIESEL, MODEL NO. 8163-7405, SERIAL NO. 16VF014828, TURBOCHARGED, AFTERCOOLED, DIESEL FUELED, RATED AT 1120 BHP, DRIVING AN EMERGENCY ELECTRICAL GENERATOR.</t>
  </si>
  <si>
    <t xml:space="preserve">362 E FOURTH ST                                                                 </t>
  </si>
  <si>
    <t xml:space="preserve">KIRKPATRICK BILL                                  </t>
  </si>
  <si>
    <t xml:space="preserve">(909) 4550000   </t>
  </si>
  <si>
    <t xml:space="preserve">MT. SAN ANTONIO GARDENS - FOOD SERVICE  </t>
  </si>
  <si>
    <t>385824</t>
  </si>
  <si>
    <t>F41303</t>
  </si>
  <si>
    <t>ICE, CUMMINS, EMERGENCY ELECTRICAL GENERATION, MODEL NO. KTA50-G3, DIESEL FUELED, SIXTEEN CYLINDERS, TURBOCHARGED AND AFTERCOOLED, 2220 BHP.</t>
  </si>
  <si>
    <t xml:space="preserve">900 E HARRISON AVE                                                              </t>
  </si>
  <si>
    <t xml:space="preserve">SMITH WILLIAM                                     </t>
  </si>
  <si>
    <t xml:space="preserve">(909) 6245061   </t>
  </si>
  <si>
    <t xml:space="preserve">NESTLE FOOD COMPANY (DISTRIBUTION CTR)  </t>
  </si>
  <si>
    <t>389824</t>
  </si>
  <si>
    <t>F42859</t>
  </si>
  <si>
    <t>ICE, DETROIT DIESEL, 12 CYLINDERS, TURBOCHARGED, AFTERCOOLED, MODEL NO. R123-7K36 (835 KW), 1120 BHP, DIESEL-FUELED, DRIVING AN EMERGENCY ELECTRICAL GENERATOR.</t>
  </si>
  <si>
    <t>835</t>
  </si>
  <si>
    <t xml:space="preserve">3450 DULLES DR                                                                  </t>
  </si>
  <si>
    <t xml:space="preserve">ELWELL DARRELL                                    </t>
  </si>
  <si>
    <t xml:space="preserve">(909) 3607251   </t>
  </si>
  <si>
    <t xml:space="preserve">NEXTEL COMMUNICATIONS                   </t>
  </si>
  <si>
    <t>F50690</t>
  </si>
  <si>
    <t>ICE, CUMMINS, MODEL NO. QST30-G1, SERIAL NO. 37185709, DIESEL FUELED, FOUR CYCLES, TWELVE CYLINDERS, TURBOCHARGED AND AFTERCOOLED, RATED AT 1135 BHP, DRIVING AN EMERGENCY ELECTRICAL GENERATOR.</t>
  </si>
  <si>
    <t xml:space="preserve">3910 E 7TH ST                                                                   </t>
  </si>
  <si>
    <t xml:space="preserve">RAY LERIO                                         </t>
  </si>
  <si>
    <t xml:space="preserve">(925) 2792515   </t>
  </si>
  <si>
    <t xml:space="preserve">NME HOSPITALS INC, USC UNIVERSITY HOSP  </t>
  </si>
  <si>
    <t>F43251</t>
  </si>
  <si>
    <t>ICE, CATERPILLAR, 16 CYLINDER, TURBOCHARGED AND AFTERCOOLED, MODEL 3516, SERIAL NO. 25Z01714, 2151 BHP, DRIVING AN EMERGENCY ELECTRICAL GENERATOR.</t>
  </si>
  <si>
    <t xml:space="preserve">1500 SAN PABLO ST                                                               </t>
  </si>
  <si>
    <t xml:space="preserve">LONAS RICHARD                                     </t>
  </si>
  <si>
    <t xml:space="preserve">(323) 4428500   </t>
  </si>
  <si>
    <t>F43252</t>
  </si>
  <si>
    <t>ICE, CATERPILLAR, 16 CYLINDER, TURBOCHARGED AND AFTERCOOLED, MODEL 3516, SERIAL NO. 25Z01716, 2151 BHP, DRIVING AN EMERGENCY ELECTRICAL GENERATOR.</t>
  </si>
  <si>
    <t xml:space="preserve">NORTHROP GRUMMAN CORP                   </t>
  </si>
  <si>
    <t>383013</t>
  </si>
  <si>
    <t>F39506</t>
  </si>
  <si>
    <t>ICE, EMERGENCY POWER, DIESEL FUEL, CUMMINS, MODEL KTA38-G3, WITH AFTERCOOLER, TURBOCHARGER, 1340 HP.</t>
  </si>
  <si>
    <t>KTA38-G3</t>
  </si>
  <si>
    <t>1340</t>
  </si>
  <si>
    <t xml:space="preserve">1 NORTHROP AVE/12250 CRENSHAW                                                   </t>
  </si>
  <si>
    <t xml:space="preserve">HAWTHORNE                </t>
  </si>
  <si>
    <t xml:space="preserve">CARDARELLI KAREN                                  </t>
  </si>
  <si>
    <t xml:space="preserve">(310) 3311473   </t>
  </si>
  <si>
    <t xml:space="preserve">OAKWOOD INTERIORS, INC                  </t>
  </si>
  <si>
    <t>392444</t>
  </si>
  <si>
    <t>F47055</t>
  </si>
  <si>
    <t>INTERNAL COMBUSTION ENGINE, CATERPILLAR, DIESEL-FUELED, EMERGENCY ELECTRICAL GENERATION, MODEL NO. 3412STA, TURBOCHARGED, AFTERCOOLED, 1114 BHP.</t>
  </si>
  <si>
    <t>3412 STA</t>
  </si>
  <si>
    <t>1114</t>
  </si>
  <si>
    <t xml:space="preserve">1333 S BON VIEW AVE                                                             </t>
  </si>
  <si>
    <t xml:space="preserve">THOMPSON LEVI                                     </t>
  </si>
  <si>
    <t xml:space="preserve">(909) 9303500   </t>
  </si>
  <si>
    <t xml:space="preserve">OFFICE DEPOT/VIKING OFFICE PRODUCTS     </t>
  </si>
  <si>
    <t>392704</t>
  </si>
  <si>
    <t>F47164</t>
  </si>
  <si>
    <t>ICE, CUMMINS, DIESEL-FUELED, EMERGENCY ELECTRICAL GENERATION, MODEL NO. KTA19-G4, SERIAL NO. 37175292, TURBOCHARGED, AFTERCOOLED, SIX CYLINDERS, FOUR CYCLE, 755 BHP.</t>
  </si>
  <si>
    <t xml:space="preserve">950 W 190TH ST                                                                  </t>
  </si>
  <si>
    <t xml:space="preserve">FORRIS BONITA                                     </t>
  </si>
  <si>
    <t xml:space="preserve">(310) 2254416   </t>
  </si>
  <si>
    <t xml:space="preserve">OLD FINANCIAL DISTRICT, L. P.           </t>
  </si>
  <si>
    <t>371695</t>
  </si>
  <si>
    <t>F32575</t>
  </si>
  <si>
    <t>ICE, DETROIT DIESEL, 8 CYLINDERS, TURBOCHARGED, AFTERCOOLED, MODEL NO. R083-7K36 (571 KW) ,765 BHP, DIESEL-FUELED, DRIVING AN EMERGENCY ELECTRICAL GENERATOR.</t>
  </si>
  <si>
    <t>R083-7K36</t>
  </si>
  <si>
    <t>571</t>
  </si>
  <si>
    <t xml:space="preserve">408 S SPRING ST                                                                 </t>
  </si>
  <si>
    <t xml:space="preserve">NEEDLEMAN ERIC                                    </t>
  </si>
  <si>
    <t xml:space="preserve">(213) 6224949   </t>
  </si>
  <si>
    <t xml:space="preserve">ONE HUNDRED TOWERS LLC, CENTURY PLAZA   </t>
  </si>
  <si>
    <t xml:space="preserve">F8689 </t>
  </si>
  <si>
    <t>26520 CACTUS &amp; NASON ST</t>
  </si>
  <si>
    <t>POLLY STEVEN</t>
  </si>
  <si>
    <t>(909) 4864075</t>
  </si>
  <si>
    <t>F53813</t>
  </si>
  <si>
    <t>ICE, CATERPILLAR MODEL 3516 DITA, SERIAL NO. 25Z04268, DIESEL FUEL, 16 CYLINDERS, FOUR CYCLE, TURBOCHARGED AND AFTERCOOLED, RATED AT 2018 BHP, DRIVING AN EMERGENCY ELECTRICAL GENERATOR.</t>
  </si>
  <si>
    <t>F53815</t>
  </si>
  <si>
    <t>ICE, CATERPILLAR MODEL 3516 DITA, SERIAL NO. 25Z04266, DIESEL FUEL, 16 CYLINDERS, FOUR CYCLE, TURBOCHARGED AND AFTERCOOLED, RATED AT 2018 BHP, DRIVING AN EMERGENCY ELECTRICAL GENERATOR.</t>
  </si>
  <si>
    <t>ROYALE HEALTH CARE INC - MISSION VIEJO</t>
  </si>
  <si>
    <t>F52913</t>
  </si>
  <si>
    <t>ICE, CUMMINS, MODEL NO. NTTA-855 G/GS/GC-2, SERIAL NO. 11495093, DIESEL FUELED, FOUR CYCLES, SIX CYLINDERS, TURBOCHARGED, AND AFTERCOOLED, RATED AT 535 BHP, DRIVING AN EMERGENCY ELECTRICAL GENERATOR.</t>
  </si>
  <si>
    <t>NTTA855</t>
  </si>
  <si>
    <t>23228 MADERO AVE</t>
  </si>
  <si>
    <t>MISSION VIEJO</t>
  </si>
  <si>
    <t>ARELLANES WILLIAM</t>
  </si>
  <si>
    <t>(949) 9004580</t>
  </si>
  <si>
    <t>SAINT JOSEPH HOSPITAL</t>
  </si>
  <si>
    <t>1140 W LA VETA DR</t>
  </si>
  <si>
    <t>ORANGE</t>
  </si>
  <si>
    <t>HOADLEY DAVID</t>
  </si>
  <si>
    <t>(714) 5421817</t>
  </si>
  <si>
    <t>SFPP, L. P. S COLTON TERMINAL</t>
  </si>
  <si>
    <t>F54478</t>
  </si>
  <si>
    <t>EMERGENCY ICE, DIESEL-FUELED, VOLVO PENTA, MODEL NO. TAD1232GE, SERIAL NO. 2120255604, TURBOCHARGED, AFTERCOOLED, 518 BHP, DRIVING EMERGENCY ELECTRICAL GENERATOR.</t>
  </si>
  <si>
    <t>Volvo Penta</t>
  </si>
  <si>
    <t>2359 S RIVERSIDE AVE</t>
  </si>
  <si>
    <t>BLOOMINGTON</t>
  </si>
  <si>
    <t>RAY GORDON</t>
  </si>
  <si>
    <t>(909) 8735152</t>
  </si>
  <si>
    <t>SKYLINE HOMES INC</t>
  </si>
  <si>
    <t>F46184</t>
  </si>
  <si>
    <t>ICE, CATERPILLAR, 12 CYLINDER, TURBOCHARGED, AFTERCOOLED, MODEL 3412C DITA, 743 BHP, DIESEL-FUELED, DRIVING AN EMERGENCY ELECTRICAL GENERATOR.</t>
  </si>
  <si>
    <t>499 W ESPLANADE</t>
  </si>
  <si>
    <t>SAN JACINTO</t>
  </si>
  <si>
    <t>TOPP GERRY</t>
  </si>
  <si>
    <t>(909) 6549321</t>
  </si>
  <si>
    <t>SOUTH BAY REGIONAL PUBLIC COMM.AUTHORITY</t>
  </si>
  <si>
    <t>F53368</t>
  </si>
  <si>
    <t>ICE, CUMMINS, MODEL QST30-G5, SERIAL NO. 37199013, TURBOCHARGED, AFTERCOOLED, TWELVE CYLINDER, RATED AT 1490 BHP, DIESEL FUELED, DRIVING AN EMERGENCY ELECTRICAL GENERATOR.</t>
  </si>
  <si>
    <t xml:space="preserve">4440 W BROADWAY AVE                                                             </t>
  </si>
  <si>
    <t xml:space="preserve">RIVERA JOSE L.                                    </t>
  </si>
  <si>
    <t xml:space="preserve">(310) 9731802   </t>
  </si>
  <si>
    <t>SOUTH GATE CITY</t>
  </si>
  <si>
    <t>F53447</t>
  </si>
  <si>
    <t>ICE, WAUKESHA, MODEL F2895GU, SERIAL NO. 399872, NATURAL GAS, RICH BURN, RATED AT 636 BHP, WITH A PRE-STRATIFIED CHARGE CONTROL SYSTEM, DRIVING AN EMERGENCY ELECTRICAL STAND-BY GENERATOR.</t>
  </si>
  <si>
    <t>2451 TWEEDY BLVD</t>
  </si>
  <si>
    <t>BERRY ROLLIE</t>
  </si>
  <si>
    <t>(213) 5639537</t>
  </si>
  <si>
    <t>SPRINT</t>
  </si>
  <si>
    <t>D28472</t>
  </si>
  <si>
    <t>ICE, CATERPILLAR, DIESEL-FUELED, EMERGENCY ELECTRICAL GENERATION, MODEL 3412 DITA, TURBOCHARGED, AFTERCOOLED, 12 CYLINDERS, 755 BHP.</t>
  </si>
  <si>
    <t>1750 W PENHALL WAY</t>
  </si>
  <si>
    <t>KOFFEL STEVE</t>
  </si>
  <si>
    <t>(714) 7817070</t>
  </si>
  <si>
    <t>F20800</t>
  </si>
  <si>
    <t>ICE, CUMMINS, 16 CYLINDERS, TURBOCHARGED, AFTERCOOLED, MODEL NO. KTTA50-G2, 2220 BHP, DIESEL-FUELED, DRIVING AN EMERGENCY ELECTRICAL GENERATOR.</t>
  </si>
  <si>
    <t>SPRINT PCS</t>
  </si>
  <si>
    <t>F6385</t>
  </si>
  <si>
    <t>ICE, CATERPILLAR, 12 CYLINDERS, TURBOCHARGED, AFTERCOOLED, MODEL NO. 3412 DITTA (500 KW), SERIAL NO. 81Z20533, 890 BHP, DIESEL-FUELED, DRIVING AN EMERGENCY ELECTRICAL GENERATOR.</t>
  </si>
  <si>
    <t>3099 CALIFORNIA</t>
  </si>
  <si>
    <t>MARQUEZ ED</t>
  </si>
  <si>
    <t>(714) 2552855</t>
  </si>
  <si>
    <t>SPRINT POINT OF PRESENCE FACILITY</t>
  </si>
  <si>
    <t>F51832</t>
  </si>
  <si>
    <t>ICE, CUMMINS, MODEL NO. QSX15-G9, SERIAL NO. I-01028-6071, DIESEL-FUELED, FOUR CYCLES, SIX CYLINDERS, TURBOCHARGED AND AFTERCOOLED, RATED AT 755 BHP, DRIVING AN EMERGENCY ELECTRICAL GENERATOR.</t>
  </si>
  <si>
    <t>3601 N INDIAN CANYON DR</t>
  </si>
  <si>
    <t>PALM SPRINGS</t>
  </si>
  <si>
    <t>LEHMAN NORM</t>
  </si>
  <si>
    <t>(760) 3223604</t>
  </si>
  <si>
    <t>ST JOSEPH HEALTH SYSTEM, ANAHEIM TECH CT</t>
  </si>
  <si>
    <t>F50382</t>
  </si>
  <si>
    <t>ICE, CUMMINS MODEL QST30-G2, S/N 37177337, 12 CYLINDERS, 1200 BHP, DIESEL FUELED, TURBOCHARGED AND AFTERCOOLED, DRIVING AN EMERGENCY ELECTRICAL GENERATOR.</t>
  </si>
  <si>
    <t>1515 E ORANGEWOOD AVE</t>
  </si>
  <si>
    <t>SNYDER GREG</t>
  </si>
  <si>
    <t>(714) 3477680</t>
  </si>
  <si>
    <t>STANDARD HOTEL,LLC</t>
  </si>
  <si>
    <t>F51284</t>
  </si>
  <si>
    <t>ICE, GENERAC/HINO, MODEL NO. SD500/F17D-T, SERIAL NO. 2064859, DIESEL FUELED, TURBOCHARGED AND AFTERCOOLED, 8-CYLINDER, 758 BHP, DRIVING AN EMERGENCY ELECTRICAL GENERATOR.</t>
  </si>
  <si>
    <t>SD500</t>
  </si>
  <si>
    <t>550 S FLOWER ST</t>
  </si>
  <si>
    <t>PANDOLTINI PAUL</t>
  </si>
  <si>
    <t>(323) 6877209</t>
  </si>
  <si>
    <t>SUNAMERICA, INC</t>
  </si>
  <si>
    <t>F15210</t>
  </si>
  <si>
    <t>ICE, CATERPILLAR, 12 CYLINDERS, TURBOCHARGED, AFTERCOOLED, MODEL NO. 3412 DITTA (500 KW), 890 BHP, DIESEL-FUELED, DRIVING AN EMERGENCY ELECTRICAL GENERATOR.</t>
  </si>
  <si>
    <t>21650 OXNARD ST</t>
  </si>
  <si>
    <t>WOODLAND HILLS</t>
  </si>
  <si>
    <t>SEDRULEY MICK</t>
  </si>
  <si>
    <t>(818) 6734469</t>
  </si>
  <si>
    <t>ICE, CATERPILLAR, MODEL NO. 3508B, DIESEL-FUELED, EMERGENCY ELECTRICAL GENERATOR, TURBOCHARGED AND AFTERCOOLED, 1480 BHP.</t>
  </si>
  <si>
    <t>396295</t>
  </si>
  <si>
    <t>F48938</t>
  </si>
  <si>
    <t xml:space="preserve">CITY OF COLTON, WATER DIVISION-RIALTO   </t>
  </si>
  <si>
    <t>395651</t>
  </si>
  <si>
    <t>F47871</t>
  </si>
  <si>
    <t>ICE, CUMMINS, MODEL NO. KTA19-G1, SERIAL NO. 37113743, DIESEL FUELED, FOUR CYCLES, SIX CYLINDERS, TURBOCHARGED AND AFTERCOOLED, RATED AT 560 BP, DRIVING AN EMERGENCY ELECTRICAL GENERATOR.</t>
  </si>
  <si>
    <t>560</t>
  </si>
  <si>
    <t xml:space="preserve">BELLEVIEW &amp; MOSCOTT                                                             </t>
  </si>
  <si>
    <t xml:space="preserve">MEDINA MIKE                                       </t>
  </si>
  <si>
    <t xml:space="preserve">(909) 3706111   </t>
  </si>
  <si>
    <t xml:space="preserve">CITY OF CORONA - UTILITY SERVICES DEPT. </t>
  </si>
  <si>
    <t>398365</t>
  </si>
  <si>
    <t>F49653</t>
  </si>
  <si>
    <t>ICE, DETROIT DIESEL, 6 CYLINDERS, TURBOCHARGED, AFTERCOOLED, MODEL 6063-HK35 (474 KW), SERIAL NO. 06R0670280, 635 BHP, DIESEL FUELED, DRIVING AN EMERGENCY ELECTRICAL GENERATOR.</t>
  </si>
  <si>
    <t xml:space="preserve">1670 MONTANA RANCH RD                                                           </t>
  </si>
  <si>
    <t xml:space="preserve">PARKS DAN                                         </t>
  </si>
  <si>
    <t xml:space="preserve">(909) 7362438   </t>
  </si>
  <si>
    <t xml:space="preserve">CITY OF FULLERTON-LA PALMA PUMP STATION </t>
  </si>
  <si>
    <t>394755</t>
  </si>
  <si>
    <t>F48395</t>
  </si>
  <si>
    <t>ICE, CUMMINS, MODEL NO. VTA28-G1, SERIAL NO. 37119948, TURBOCHARGED, AFTERCOOLED, 12 CYLINDERS, DIESEL FUELED, DRIVING AN EMERGENCY ELECTRICAL GENERATOR, 760 BHP.</t>
  </si>
  <si>
    <t>760</t>
  </si>
  <si>
    <t xml:space="preserve">627 W LA PALMA                                                                  </t>
  </si>
  <si>
    <t xml:space="preserve">SAMBRANO TONY                                     </t>
  </si>
  <si>
    <t xml:space="preserve">(714) 7386307   </t>
  </si>
  <si>
    <t xml:space="preserve">CITY OF LAKEWOOD                        </t>
  </si>
  <si>
    <t>383463</t>
  </si>
  <si>
    <t>F39675</t>
  </si>
  <si>
    <t>ICE, DETROIT DIESEL, EMERGENCY ELECTRICAL GENERATION, MODEL NO. R123-7K36, SERIAL NO. 5352000710, DIESEL FUELED, TURBOCHARGED, 1120 BHP.</t>
  </si>
  <si>
    <t>R123-7K36</t>
  </si>
  <si>
    <t xml:space="preserve">5812 ARBOR RD                                                                   </t>
  </si>
  <si>
    <t xml:space="preserve">MARLAR HAROLD                                     </t>
  </si>
  <si>
    <t xml:space="preserve">CLARITY REALTY                          </t>
  </si>
  <si>
    <t>390070</t>
  </si>
  <si>
    <t>F46498</t>
  </si>
  <si>
    <t>ICE, DETROIT DIESEL, MODEL NO. 8123-7305, SERIAL NO. 12VF2874, DIESEL FUELED, EMERGENCY ELECTRICAL GENERATION, 12 CYLINDERS, TUROBOCHARGED AND AFTERCOOLED, 740 BHP.</t>
  </si>
  <si>
    <t>740</t>
  </si>
  <si>
    <t xml:space="preserve">100 N CRESCENT DR                                                               </t>
  </si>
  <si>
    <t xml:space="preserve">MURILLO OSCAR                                     </t>
  </si>
  <si>
    <t xml:space="preserve">(310) 2735387   </t>
  </si>
  <si>
    <t xml:space="preserve">COUNTY OF ORANGE                       </t>
  </si>
  <si>
    <t>389587</t>
  </si>
  <si>
    <t>F46570</t>
  </si>
  <si>
    <t>ICE, UNIT NO. 9628, CUMMINS, MODEL NO. KTA50-G1, SERIAL NO. 33114318, DIESEL FUELED, EMERGENCY ELECTRICAL GENERATOR DRIVER, TURBOCHARGED, AFTERCOOLED, 16 CYLINDERS, 1490 BHP.</t>
  </si>
  <si>
    <t xml:space="preserve">400 CIVIC CENTER DRIVE WEST                                                     </t>
  </si>
  <si>
    <t>389588</t>
  </si>
  <si>
    <t>F46571</t>
  </si>
  <si>
    <t>ICE, UNIT NO. 9382, CUMMINS, MODEL NO. KTA2300, SERIAL NO. 33100497, DIESEL FUELED, EMERGENCY ELECTRICLA GENERATOR DRIVER, TURBOCHARGED, AFTERCOOLED, 12 CYLINDERS, 1030 BHP.</t>
  </si>
  <si>
    <t>KTA2300</t>
  </si>
  <si>
    <t>1030</t>
  </si>
  <si>
    <t xml:space="preserve">10 CIVIC CENTER PLZ                                                             </t>
  </si>
  <si>
    <t xml:space="preserve">COUNTY OF ORANGE                        </t>
  </si>
  <si>
    <t>389589</t>
  </si>
  <si>
    <t>F46572</t>
  </si>
  <si>
    <t>ICE, CATERPILLAR, MODEL NO. 3508, DIESEL FUELED, EMERGENCY ELECTRICAL GENERATOR DRIVER, TURBOCHARGED, AFTERCOOLED, 8 CYLINDERS, 1486 BHP.</t>
  </si>
  <si>
    <t>1486</t>
  </si>
  <si>
    <t xml:space="preserve">341 THE CITY DR                                                                 </t>
  </si>
  <si>
    <t>387164</t>
  </si>
  <si>
    <t>F40784</t>
  </si>
  <si>
    <t>ICE, CATERPILLAR, 12 CYLINDERS, TURBOCHARGED, AFTERCOOLED, MODEL NO. 3412 DISTA (800 KW), SERIAL NO. 1EZ01080, 1185 BHP, DIESEL-FUELED, DRIVING AN EMERGENCY ELECTRICAL GENERATOR.</t>
  </si>
  <si>
    <t xml:space="preserve">STOCKWELL GARY                                    </t>
  </si>
  <si>
    <t>387165</t>
  </si>
  <si>
    <t>F42333</t>
  </si>
  <si>
    <t>ICE, CATERPILLAR, 12 CYLINDERS, TURBOCHARGED, AFTERCOLLED, MODEL NO. 3412 DISTA (800 KW), SERIAL NO. 1EZ01077, 1185 BHP, DIESEL-FUELED, DRIVING AN EMERGENCY ELECTRICAL GENERATOR.</t>
  </si>
  <si>
    <t xml:space="preserve">6191 AMETHYST ST                                                                </t>
  </si>
  <si>
    <t>389990</t>
  </si>
  <si>
    <t>F44233</t>
  </si>
  <si>
    <t>ICE, CATERPILLAR, MODEL NO. 3412 DISTA (800 KW), SERIAL NO. 2WJ01166, 12 CYLINDERS, DIESEL FUELED, TURBOCHARGED, AFTERCOOLED, 1185 BHP DRIVING AN EMERGENCY ELECTRICAL GENERATOR.</t>
  </si>
  <si>
    <t>389991</t>
  </si>
  <si>
    <t>F44232</t>
  </si>
  <si>
    <t>ICE, CATERPILLAR, MODEL NO. 3412 DITTA (600 KW), SERIAL NO. 81Z21962, 12 CYLINDERS, DIESEL FUELED, TURBOCHARGED, AFTERCOOLED, 890 BHP, DRIVING EMERGENCY ELECTRICAL GENERATOR.</t>
  </si>
  <si>
    <t>394424</t>
  </si>
  <si>
    <t>F49011</t>
  </si>
  <si>
    <t>ICE, PORTWABLE, CATERPILLAR, MODEL NO. 3412 DITTA, SIERLA NO. BPG00287, DIESEL FUELED, FOUR CYCLES, TWELVE CYLINDERS, TURBOCHARGED AND AFTERCOOLED, RATED AT 896 BHP, DRIVING AN EMERGENCY ELECTRICAL GENERATOR.</t>
  </si>
  <si>
    <t xml:space="preserve">CULVER CITY, CITY OF                    </t>
  </si>
  <si>
    <t>391627</t>
  </si>
  <si>
    <t>F45177</t>
  </si>
  <si>
    <t>ICE, CATERPILLAR, MODEL 3406C DITA, S/N 4ZR03921, LEAN BURN, TURBOCHARGED AND AFTERCOOLED, 519 BHP, DIESEL FUELED, DRIVING A 350 KW EMERGENCY ELECTRICALGENERATOR.</t>
  </si>
  <si>
    <t>ICE, CUMMINS, ENGINE, CO. MODEL NO. N-14G2, DIESEL FUELED, EMERGENCY ELECTRICAL GENERATOR DRIVER, TURBOCHARGED AND AFTERCOOLED, 535 BHP.</t>
  </si>
  <si>
    <t xml:space="preserve">6100 TOPANGA CANYON BLVD                                                        </t>
  </si>
  <si>
    <t xml:space="preserve">BESS JIM                                          </t>
  </si>
  <si>
    <t xml:space="preserve">(818) 5948732   </t>
  </si>
  <si>
    <t xml:space="preserve">PURITAN BAKERY INC                      </t>
  </si>
  <si>
    <t>390056</t>
  </si>
  <si>
    <t>F45327</t>
  </si>
  <si>
    <t>ICE, EMERGENCY POWER, DIESEL FUEL, CATERPILLAR, MODEL 3512 DITA, 1676 BHP.</t>
  </si>
  <si>
    <t>1676</t>
  </si>
  <si>
    <t xml:space="preserve">1624 E CARSON ST                                                                </t>
  </si>
  <si>
    <t xml:space="preserve">HAGLUND JOHN                                      </t>
  </si>
  <si>
    <t xml:space="preserve">(310) 8305451   </t>
  </si>
  <si>
    <t xml:space="preserve">PWREF/MCC - SOUTH COAST LLC             </t>
  </si>
  <si>
    <t>393690</t>
  </si>
  <si>
    <t>F47442</t>
  </si>
  <si>
    <t>ICE, CATERPILLAR, DIESEL-FUELED, EMERGENCY ELECTRICAL GENERATION, MODEL 3412, SERIAL NO. 81Z03526, TURBOCHARGED, AFTERCOOLED, 12 CYLINDERS, 680 BHP.</t>
  </si>
  <si>
    <t xml:space="preserve">575 ANTON BLVD                                                                  </t>
  </si>
  <si>
    <t xml:space="preserve">NELSON CAL                                        </t>
  </si>
  <si>
    <t xml:space="preserve">(714) 7510200   </t>
  </si>
  <si>
    <t xml:space="preserve">QUEST DIAGNOSTICS INC                   </t>
  </si>
  <si>
    <t>392287</t>
  </si>
  <si>
    <t>F46937</t>
  </si>
  <si>
    <t>ICE, DETROIT DIESEL, 16 CYLINDERS, TURBOCHARGED, AFTERCOOLED, MODEL R163-7K36 (16V-2000), 1200 BHP, DIESEL FUELED, DRIVING AN EMERGENCY ELECTRICAL GENERATOR.</t>
  </si>
  <si>
    <t>R163-7K36</t>
  </si>
  <si>
    <t xml:space="preserve">33608 Ortega Hwy.                                                               </t>
  </si>
  <si>
    <t xml:space="preserve">MARTIN EDDY                                       </t>
  </si>
  <si>
    <t xml:space="preserve">(949) 7284574   </t>
  </si>
  <si>
    <t>392288</t>
  </si>
  <si>
    <t>F46935</t>
  </si>
  <si>
    <t>ICE, CUMMINS, 16 CYLINDERS, TURBOCHARGED, AFTERCOOLED, MODEL KTA50-G9, 2220 BHP, DIESEL FUELED, DRIVING AN EMERGENCY ELECTRICAL GENERATOR.</t>
  </si>
  <si>
    <t>392289</t>
  </si>
  <si>
    <t>F46939</t>
  </si>
  <si>
    <t>ICE, DETROIT DIESEL, 16 CYLINDERS, TURBOCHARGED, AFTERCOOLED, MODEL R163-7K36 (16V-2000), 1350 BHP, DIESEL FUELED, DRIVING AN EMERGENCY ELECTRICAL GENERATOR.</t>
  </si>
  <si>
    <t>1350</t>
  </si>
  <si>
    <t>394598</t>
  </si>
  <si>
    <t>F47826</t>
  </si>
  <si>
    <t>ICE, CATERPILLAR, 12 CYLINDERS, TURBOCHARGED, AFTERCOOLED, MODEL NO. 3512B DITA (1500 KW), SERIAL NO. 8RM00528, 2155 BHP, DIESEL-FUELED, DRIVING AN EMERGENCY ELECTRICAL GENERATOR.</t>
  </si>
  <si>
    <t>394599</t>
  </si>
  <si>
    <t>F48936</t>
  </si>
  <si>
    <t>ICE, CATERPILLAR, 12 CYLINDERS, TURBOCHARGED, AFTERCOOLED, MODEL NO. 3512B DITA (1500 KW), SERIAL NO. 8RM00524, 2155 BHP, DIESEL-FUELED, DRIVING AN EMERGENCY ELECTRICAL GENERATOR.</t>
  </si>
  <si>
    <t xml:space="preserve">RAUCH INDUSTRIES, INC.                  </t>
  </si>
  <si>
    <t>393685</t>
  </si>
  <si>
    <t>F49036</t>
  </si>
  <si>
    <t>ICE, DETROIT DIESEL, 12 CYLINDERS, TURBOCHARGED, AFTERCOOLED, MODEL NO. R123-7K35 (679 KW), SERIAL NO. 0710858, 910 BHP, DIESEL FUELED, DRIVING AN EMERGENCY ELECTRICAL GENERATOR.</t>
  </si>
  <si>
    <t>679</t>
  </si>
  <si>
    <t xml:space="preserve">11640 HARREL ST                                                                 </t>
  </si>
  <si>
    <t xml:space="preserve">JUAREZ MARTIN                                     </t>
  </si>
  <si>
    <t xml:space="preserve">(909) 3611000   </t>
  </si>
  <si>
    <t xml:space="preserve">RAYMOND ENKEBOLL DESIGNS                </t>
  </si>
  <si>
    <t>387240</t>
  </si>
  <si>
    <t>F41172</t>
  </si>
  <si>
    <t>ICE, DETROIT DIESEL, 8 CYLINDERS, TURBOCHARGED, AFTERCOOLED, MODEL NO. R083-7K36 (571 KW), 765 BHP, DIESEL-FUELED, DRIVING AN EMERGENCY ELECTRICAL GENERATOR.</t>
  </si>
  <si>
    <t>R083-7K35</t>
  </si>
  <si>
    <t xml:space="preserve">16506 AVALON BLVD                                                               </t>
  </si>
  <si>
    <t xml:space="preserve">CORONA FELIPE                                     </t>
  </si>
  <si>
    <t xml:space="preserve">(310) 5321400   </t>
  </si>
  <si>
    <t xml:space="preserve">RENAISSANCE HOLLYWOOD HOTEL             </t>
  </si>
  <si>
    <t>389474</t>
  </si>
  <si>
    <t>F46702</t>
  </si>
  <si>
    <t>ICE, DETROIT DIESEL, DIESEL-FUELED, EMERGENCY ELECTRICAL GENERATION, MODEL NO. R163-7K36 (16V-2000), TURBOCHARGED, AFTERCOOLED, SIXTEEN CYLINDERS, FOUR CYCLE, 1350 BHP.</t>
  </si>
  <si>
    <t xml:space="preserve">1755 N HIGHLAND AVE                                                             </t>
  </si>
  <si>
    <t xml:space="preserve">CORMIER JAKE                                      </t>
  </si>
  <si>
    <t xml:space="preserve">(323) 8561200   </t>
  </si>
  <si>
    <t xml:space="preserve">RIVERSIDE CEMENT CO (EIS USE)           </t>
  </si>
  <si>
    <t>385897</t>
  </si>
  <si>
    <t>F39682</t>
  </si>
  <si>
    <t>ICE, EMERGENCY POWER, LEAN BURN, DIESEL FUEL, CATERPILLAR, MODEL 3516, FOUR CYCLE, WITH AFTERCOOLER, TURBOCHARGER, 2628 BHP.</t>
  </si>
  <si>
    <t>2682</t>
  </si>
  <si>
    <t xml:space="preserve">1500 RUBIDOUX BLVD                                                              </t>
  </si>
  <si>
    <t xml:space="preserve">KULESZA EUGENE                                    </t>
  </si>
  <si>
    <t xml:space="preserve">(909) 6836458   </t>
  </si>
  <si>
    <t xml:space="preserve">ROCKEFELLER GROUP GATEWAY SOLUTIONS     </t>
  </si>
  <si>
    <t>392673</t>
  </si>
  <si>
    <t>F46469</t>
  </si>
  <si>
    <t>ICE, CATERPILLAR, DIESEL-FUELED, EMERGENCY ELECTRICAL GENERATION, MODEL NO. 3516B DITA, SERIAL NO. FDN00326, TURBOCHARGED, AFTERCOOLED, 16 CYLINDERS, FOUR CYCLE, 2847 BHP.</t>
  </si>
  <si>
    <t xml:space="preserve">2001 E DYER                                                                     </t>
  </si>
  <si>
    <t xml:space="preserve">VALENCIA JERRY                                    </t>
  </si>
  <si>
    <t xml:space="preserve">(858) 5231121   </t>
  </si>
  <si>
    <t>385993</t>
  </si>
  <si>
    <t>F40652</t>
  </si>
  <si>
    <t>ICE, CUMMINS, MODEL NO. KTA50-G9, DIESEL FUEL, 16 CYLINDERS, TURBOCHARGED AND AFTERCOOLED, RATED AT 2220 BHP, DRIVING AN ELECTRICAL GENERATOR.</t>
  </si>
  <si>
    <t xml:space="preserve">SANTA MONICA SEAFOOD COMPANY, INC.      </t>
  </si>
  <si>
    <t>F49602</t>
  </si>
  <si>
    <t>ICE, CATERPILLAR, MODEL 3508B DITASC, TURBOCHARGED, AFTERCOOLED, DIESEL FUELE,D RATED AT 1502 BHP, DRIVING AN EMERGENCY ELECTRICLA GENERATOR.</t>
  </si>
  <si>
    <t>3508B DITASC</t>
  </si>
  <si>
    <t>1502</t>
  </si>
  <si>
    <t xml:space="preserve">18531 BROADWICK ST                                                              </t>
  </si>
  <si>
    <t xml:space="preserve">SMITH RICHARD                                     </t>
  </si>
  <si>
    <t xml:space="preserve">(310) 4518844   </t>
  </si>
  <si>
    <t xml:space="preserve">SCHNEIDER NATIONAL, INC                 </t>
  </si>
  <si>
    <t>392809</t>
  </si>
  <si>
    <t>F46973</t>
  </si>
  <si>
    <t>ICE, DETROIT DIESEL, MODEL NO. R123-7K36 (12V-2000), DIESEL FUELED, FOUR CYCLES, TWELVE CYLINDERS, TURBOCHARGED AND AFTERCOOLED, RATED AT 1120 BHP, DRIVING AN EMERGENCY ELECTRICAL GENERATOR.</t>
  </si>
  <si>
    <t xml:space="preserve">14392 VALLEY BLVD                                                               </t>
  </si>
  <si>
    <t xml:space="preserve">AUZENNE MIKE                                      </t>
  </si>
  <si>
    <t xml:space="preserve">(909) 5742162   </t>
  </si>
  <si>
    <t>SHCI SM BCH HOTEL LLC, LOWES SM BCH HOTE</t>
  </si>
  <si>
    <t>F20838</t>
  </si>
  <si>
    <t>ICE, EMERGENCY POWER, DIESEL FUEL, DETROIT DIESEL, MODEL 8163-7405, WITH AFTERCOOLER, TURBOCHARGER, 1095 HP.</t>
  </si>
  <si>
    <t xml:space="preserve">1700 OCEAN AVE                                                                  </t>
  </si>
  <si>
    <t xml:space="preserve">CALA SAM                                          </t>
  </si>
  <si>
    <t xml:space="preserve">(310) 5763122   </t>
  </si>
  <si>
    <t>387821</t>
  </si>
  <si>
    <t>F42519</t>
  </si>
  <si>
    <t>ICE, CUMMINS, EMERGENCY ELECTRICAL GENERATION, MODEL NO. QST30-G1, DIESEL FUELED, TWELVE CYLINDERS, TURBOCHARGED, AND AFTERCOOLED, 1135 BHP.</t>
  </si>
  <si>
    <t xml:space="preserve">600 CITADEL DR                                                                  </t>
  </si>
  <si>
    <t xml:space="preserve">MONIER GERALD                                     </t>
  </si>
  <si>
    <t xml:space="preserve">(949) 4623945   </t>
  </si>
  <si>
    <t xml:space="preserve">SNAK KING CORP                          </t>
  </si>
  <si>
    <t>398396</t>
  </si>
  <si>
    <t>F49660</t>
  </si>
  <si>
    <t>ICE, CUMMINS, 12 CYLINDERS, TURBOCHARGED, AFTERCOOLED, MODEL QST30-G5 (1112 KW), SERIAL NO. E010244513, 1490 BHP, DIESEL FUELED, DRIVING AN EMERGENCY ELECTRICAL GENERATOR</t>
  </si>
  <si>
    <t xml:space="preserve">16150 E STEPHENS ST                                                             </t>
  </si>
  <si>
    <t xml:space="preserve">ROOPE DAN                                         </t>
  </si>
  <si>
    <t xml:space="preserve">(626) 3367711   </t>
  </si>
  <si>
    <t xml:space="preserve">SO CAL GAS CO UNIT NO.02                </t>
  </si>
  <si>
    <t>C43071</t>
  </si>
  <si>
    <t>1982</t>
  </si>
  <si>
    <t>D08581</t>
  </si>
  <si>
    <t>ICE, UNIT 9, INGERSOLL-RAND, NATURAL GAS-FUELED, MODEL 412 KVS, 12 CYLINDERS, 2000 BHP, WITH A SELECTIVE CATALYTIC REACTOR, DUPONT MONOLITE TYPE.</t>
  </si>
  <si>
    <t>Ingersoll-Rand</t>
  </si>
  <si>
    <t>412 KVS</t>
  </si>
  <si>
    <t xml:space="preserve">831 N HOWARD AVE                                                                </t>
  </si>
  <si>
    <t xml:space="preserve">SANCHEZ MANUEL                                    </t>
  </si>
  <si>
    <t xml:space="preserve">(310) 5782681   </t>
  </si>
  <si>
    <t xml:space="preserve">SOUTHERN CAL REGIONAL RAIL AUTHORITY    </t>
  </si>
  <si>
    <t>F42558</t>
  </si>
  <si>
    <t>ICE, CUMMINS, 6 CYLINDER, TURBOCHARGED AND AFTERCOOLED, MODEL 350DFCC, SERIAL NO. L910439914, 535 BHP, DRIVING AN EMERGENCY ELECTRICAL GENERATOR.</t>
  </si>
  <si>
    <t>350DFCC</t>
  </si>
  <si>
    <t xml:space="preserve">1555 SAN FERNANDO RD                                                            </t>
  </si>
  <si>
    <t xml:space="preserve">ADAY CHICK                                        </t>
  </si>
  <si>
    <t xml:space="preserve">(323) 2243455   </t>
  </si>
  <si>
    <t xml:space="preserve">SOUTHERN CALIFORNIA AUTO AUCTIONS       </t>
  </si>
  <si>
    <t>390153</t>
  </si>
  <si>
    <t>F43466</t>
  </si>
  <si>
    <t xml:space="preserve">10750 HEMLOCK AVE                                                               </t>
  </si>
  <si>
    <t xml:space="preserve">NORRISH RUSS                                      </t>
  </si>
  <si>
    <t xml:space="preserve">(909) 8222261   </t>
  </si>
  <si>
    <t xml:space="preserve">SP 3 HUTTON CENTRE, LLC                 </t>
  </si>
  <si>
    <t>390829</t>
  </si>
  <si>
    <t>F44541</t>
  </si>
  <si>
    <t>ICE, CUMMINS, DIESEL-FUELED, EMERGENCY ELECTRICAL GENERATION, MODEL VTA28 G1, SERIAL NO. 37108962, TURBOCHARGED, AFTERCOOLED, 12 CYLINDERS, 760 BHP.</t>
  </si>
  <si>
    <t xml:space="preserve">3 HUTTON CENTRE DR STE 870                                                      </t>
  </si>
  <si>
    <t xml:space="preserve">SPETH JODY                                        </t>
  </si>
  <si>
    <t xml:space="preserve">(714) 5454976   </t>
  </si>
  <si>
    <t xml:space="preserve">SPRINT E SOLUTIONS                      </t>
  </si>
  <si>
    <t>391111</t>
  </si>
  <si>
    <t>F44866</t>
  </si>
  <si>
    <t>ICE, CUMMINS, 16 CYLINDERS, TURBOCHARGED, AFTERCOOLED, MODEL NO. QSK60-G6 (2180 KW), SERIAL NO. B010205903, 2922 BHP, DIESEL-FUELED, DRIVING AN EMERGENCY ELECTRICAL GENERATOR.</t>
  </si>
  <si>
    <t xml:space="preserve">900 N ALAMEDA ST                                                                </t>
  </si>
  <si>
    <t xml:space="preserve">PORTER PATTY                                      </t>
  </si>
  <si>
    <t xml:space="preserve">(816) 8228498   </t>
  </si>
  <si>
    <t>391112</t>
  </si>
  <si>
    <t>F44867</t>
  </si>
  <si>
    <t>ICE, CUMMINS, 16 CYLINDERS, TURBOCHARGED, AFTERCOOLED, MODEL NO. QSK60-G6 (2180 KW), SERIAL NO. B010205904, 2922 BHP, DIESEL-FUELED, DRIVING AN EMERGENCY ELECTRICAL GENERATOR.</t>
  </si>
  <si>
    <t xml:space="preserve">SSB REALTY LLC - PIMCO                  </t>
  </si>
  <si>
    <t>398231</t>
  </si>
  <si>
    <t>F50010</t>
  </si>
  <si>
    <t>ICE, CATERPILLAR, MODEL 3412 DITTA (700 KW), DIESEL FUEL, TURBOCHARGED AND AFTERCOOLED, RATED AT 1025 BHP, DRIVING AN EMERGENCY ELECTRICAL GENERATOR.</t>
  </si>
  <si>
    <t>700</t>
  </si>
  <si>
    <t xml:space="preserve">1400 NEWPORT CENTER DR                                                          </t>
  </si>
  <si>
    <t xml:space="preserve">DOYLE FRANK                                       </t>
  </si>
  <si>
    <t xml:space="preserve">(617) 9850247   </t>
  </si>
  <si>
    <t>F39062</t>
  </si>
  <si>
    <t>ICE, CUMMINS, MODEL NO. QST30-G1, DIESEL FUELED, EMERGENCY ELECTRICAL GENERATOR, 12 CYLINDERS, TURBOCHARGED, AND AFTERCOOLED, 1135 BHP.</t>
  </si>
  <si>
    <t xml:space="preserve">SUNLINE TRANSIT AGENCY                  </t>
  </si>
  <si>
    <t>F26167</t>
  </si>
  <si>
    <t>ICE, CUMMINS, MODEL GQTA-19-G, SERIAL NO. 90787, NATURAL GAS FUELED, LEAN BURN, FOUR CYCLE, TURBOCHARGED AND AFTERCOOLED, SIX CYLINDERS, RATED AT 470 BHP, DRIVING AN EMERGENCY ELECTRICAL GENERATOR.</t>
  </si>
  <si>
    <t>GQTA-19-G</t>
  </si>
  <si>
    <t>470</t>
  </si>
  <si>
    <t xml:space="preserve">32-505 HARRY OLIVER TRAIL                                                       </t>
  </si>
  <si>
    <t xml:space="preserve">THOUSAND PALMS           </t>
  </si>
  <si>
    <t xml:space="preserve">EDWARDS TOMMY                                     </t>
  </si>
  <si>
    <t xml:space="preserve">(760) 3433456   </t>
  </si>
  <si>
    <t xml:space="preserve">SYSCO FOOD SERV OF LOS ANGELES INC      </t>
  </si>
  <si>
    <t>391610</t>
  </si>
  <si>
    <t>F45588</t>
  </si>
  <si>
    <t>ICE, CUMMINS, MODEL VTA-28-GS2, S/N B890212247, DIESEL FUELED, FOUR CYCLE, SIX CYLINDERS, LEAN BURN TURBOCHARGED AND AFTERCOOLED, RATED AT 900 BHP, DRIVING AN EMERGENCY ELECTRICAL GENERATOR.</t>
  </si>
  <si>
    <t xml:space="preserve">20701 CURRIER RD                                                                </t>
  </si>
  <si>
    <t xml:space="preserve">PATTERSON KEN                                     </t>
  </si>
  <si>
    <t xml:space="preserve">(714) 5983371   </t>
  </si>
  <si>
    <t>391611</t>
  </si>
  <si>
    <t>F47011</t>
  </si>
  <si>
    <t>ICE, DETROIT DIESEL, MODEL T1637K36, S/N 52720005ID, DIESEL FUELED, FOUR CYCLE, SIXTEEN CYLINDERS, LEAN BURN, TURBOCHARGED AND AFTERCOOLED, RATED AT 2550 BHP, DRIVING AN EMERGENCY ELECTRICAL GENERATOR.</t>
  </si>
  <si>
    <t>2550</t>
  </si>
  <si>
    <t>ICE, NO. 1, CATERPILLAR, MODEL NO. 3516 DITA, DIESEL FUEL, SIXTEEN CYLINDERS, TURBOCHARGED AND AFTERCOOLED, RATED AT 2847 BHP DRIVING AN EMERGENCY ELECTRICAL GENERATOR.</t>
  </si>
  <si>
    <t>2847</t>
  </si>
  <si>
    <t xml:space="preserve">39000 Bob Hope Dr.                                                              </t>
  </si>
  <si>
    <t xml:space="preserve">TOURKAMAN ALI A                                   </t>
  </si>
  <si>
    <t xml:space="preserve">(760) 7731273   </t>
  </si>
  <si>
    <t>397525</t>
  </si>
  <si>
    <t>F49353</t>
  </si>
  <si>
    <t>ICE, NO. 2, CATERPILLAR, MODEL NO. 3516 DITA, DIESEL FUEL, SIXTEEN CYLINDERS, TURBOCHARGED AND AFTERCOOLED, RATED AT 2847 BHP, DRIVING AN EMERGENCY ELECTRICAL GENERATOR.</t>
  </si>
  <si>
    <t>386225</t>
  </si>
  <si>
    <t>F40712</t>
  </si>
  <si>
    <t>ICE, CATERPILLAR, MODEL NO. 3412 DISTA (750 KW), DIESEL FUEL, 12 CYLINDERS, TURBOCHARGED AND AFTERCOOLED, RATED AT 1109 BHP, DRIVING AN EMERGENCY ELECTRICAL GENERATOR.</t>
  </si>
  <si>
    <t xml:space="preserve">EICH THEODORE P                                   </t>
  </si>
  <si>
    <t>386226</t>
  </si>
  <si>
    <t>F40725</t>
  </si>
  <si>
    <t>ICE, CATERPILLAR, MODEL NO. 3512 DITA (1250 KW), DIESEL FUEL, 12 CYLINDERS, TURBOCHARGED AND AFTERCOOLED, RATED AT 1801 BHP, DRIVING AN EMERGENCY ELECTRICAL GENERATOR.</t>
  </si>
  <si>
    <t>1250</t>
  </si>
  <si>
    <t>2518</t>
  </si>
  <si>
    <t>ENCINO PLAZA, DOUGLAS EMMETT REALTY FUND</t>
  </si>
  <si>
    <t>382977</t>
  </si>
  <si>
    <t>F40057</t>
  </si>
  <si>
    <t>ICE, CATERPILLAR, MODEL NO. 3406B DITA, 350 KW, DIESEL FUELED, EMERGENCY ELECTRICAL GENERATION, 8 CYLINDERS, TURBOCHARGED AND AFTERCOOLED, 519 BHP.</t>
  </si>
  <si>
    <t xml:space="preserve">15910 VENTURA BLVD                                                              </t>
  </si>
  <si>
    <t xml:space="preserve">DE FEVERE KATHERINE                               </t>
  </si>
  <si>
    <t xml:space="preserve">(818) 7281900   </t>
  </si>
  <si>
    <t xml:space="preserve">ENFRASTRUCTURE, INC.                    </t>
  </si>
  <si>
    <t>396690</t>
  </si>
  <si>
    <t>F48384</t>
  </si>
  <si>
    <t>INTERNAL COMBUSTION ENGINE, CUMMINS, 16 CYLINDERS, TURBOCHARGED, AFTERCOOLED, MODEL KTA50-G9 (1500 KW), SERIAL NO. 1000151900, 2220 BHP, DIESEL FUELED, DRIVING AN EMERGENCY ELECTRICAL GENERATOR.</t>
  </si>
  <si>
    <t xml:space="preserve">65 &amp; 75 ENTERPRISE RD                                                           </t>
  </si>
  <si>
    <t xml:space="preserve">SIMMONS MICHAEL                                   </t>
  </si>
  <si>
    <t xml:space="preserve">(949) 3895840   </t>
  </si>
  <si>
    <t xml:space="preserve">EOP, LLC, A DELAWARE LLC                </t>
  </si>
  <si>
    <t>392993</t>
  </si>
  <si>
    <t>F48322</t>
  </si>
  <si>
    <t>INTERNAL COMBUSTION ENGINE, KOHLER, DIESEL-FUELED, EMERGENCY ELECTRICAL GENERATION, MODEL 400, SERIAL NO. 189621, TURBOCHARGED, AFTERCOOLED, 6 CYLINDERS, 600 BHP.</t>
  </si>
  <si>
    <t xml:space="preserve">18881 VON KARMAN AVE                                                            </t>
  </si>
  <si>
    <t xml:space="preserve">WILES MARVIN                                      </t>
  </si>
  <si>
    <t xml:space="preserve">(949) 8332133   </t>
  </si>
  <si>
    <t xml:space="preserve">EQUINIX L A                             </t>
  </si>
  <si>
    <t>F34163</t>
  </si>
  <si>
    <t>ICE, NO. 2, CATERPILLAR, MODEL NO. 3512B, DIESEL FUELED, EMERGENCY ELECTRICAL GENERATOR, TURBOCHARGED AND AFTERCOOLED, 2172 BHP.</t>
  </si>
  <si>
    <t xml:space="preserve">SEYMOUR JOSEPH                                    </t>
  </si>
  <si>
    <t xml:space="preserve">(213) 2707401   </t>
  </si>
  <si>
    <t>F34164</t>
  </si>
  <si>
    <t>ICE, NO. 3, CATERPILLAR, MODEL NO. 3512B, DIESEL FUELED, EMERGENCY ELECTRICAL GENERATOR, TURBOCHARGED AND AFTERCOOLED, 2172 BHP.</t>
  </si>
  <si>
    <t>372703</t>
  </si>
  <si>
    <t>F43887</t>
  </si>
  <si>
    <t>ICE, NO. 1, CATERPILLAR, MODEL NO. 3512B, DIESEL FUELED, EMERGENCY ELECTRICAL GENERATOR, TURBOCHARGED AND AFTERCOOLED, 2172 BHP.</t>
  </si>
  <si>
    <t xml:space="preserve">EQUITABLE PLAZA, LLC                    </t>
  </si>
  <si>
    <t>F42883</t>
  </si>
  <si>
    <t>ICE, CATERPILLAR, MODEL NO. 3508TA, DIESEL FUELED, DRIVING AN EMERGENCY ELECTRIC GENERATOR, TURBOCHARGED, AFTERCOOLED, 8 CYLINDERS, 1196 BHP.</t>
  </si>
  <si>
    <t>3508TA</t>
  </si>
  <si>
    <t>1196</t>
  </si>
  <si>
    <t xml:space="preserve">3435 WILSHIRE BLVD SUITE 2700                                                   </t>
  </si>
  <si>
    <t xml:space="preserve">LEE KENNETH                                       </t>
  </si>
  <si>
    <t xml:space="preserve">(213) 3833435   </t>
  </si>
  <si>
    <t xml:space="preserve">ERNST &amp; YOUNG                           </t>
  </si>
  <si>
    <t>F49674</t>
  </si>
  <si>
    <t>ICE, NO. 2, CATERPILLAR, MODEL NO. 3508, SERIAL NO. 23Z00856, DIESEL FUELED, FOUR CYCLES, EIGHT CYLINDERS, TURBOCHARGED AND AFTERCOOLED, RATED AT 1106 BHP, DRIVING AN EMERGENCY ELECTRICAL GENERATOR.</t>
  </si>
  <si>
    <t>1106</t>
  </si>
  <si>
    <t xml:space="preserve">TIME WARNER - PALMYRITA INDUSTRIAL      </t>
  </si>
  <si>
    <t>391248</t>
  </si>
  <si>
    <t>F44454</t>
  </si>
  <si>
    <t xml:space="preserve">1110 PALMYRITA AVE                                                              </t>
  </si>
  <si>
    <t xml:space="preserve">OKSENDAHL SYLVIA                                  </t>
  </si>
  <si>
    <t xml:space="preserve">(503) 5525516   </t>
  </si>
  <si>
    <t>192077</t>
  </si>
  <si>
    <t>D09684</t>
  </si>
  <si>
    <t>INTERNAL COMBUSTION ENGINE, CUMMINS, DIESEL-FUELED, EMERGENCY ELECTRICAL GENERATION, MODEL NTA-855-G3, SERILA NO. 58524, TURBOCHARGED, AFTERCOOLED, 6 CYLINDERS, 535 BHP.</t>
  </si>
  <si>
    <t xml:space="preserve">TOPA MANAGEMENT CO                      </t>
  </si>
  <si>
    <t>384471</t>
  </si>
  <si>
    <t>F41995</t>
  </si>
  <si>
    <t>ICE, CATERPILLAR, MODEL 3406B, DIESEL-FUELED, EMERGENCY ELECTRICAL GENERATION, 6 CYLINDERS, TURBOCHARGED, AFTERCOOLED, 587 BHP.</t>
  </si>
  <si>
    <t xml:space="preserve">1800 AVENUE OF THE STARS STE 1400                                               </t>
  </si>
  <si>
    <t xml:space="preserve">FLORES GEORGE                                     </t>
  </si>
  <si>
    <t xml:space="preserve">(310) 2039199   </t>
  </si>
  <si>
    <t xml:space="preserve">TYCO NETWORKS (US) INC.                 </t>
  </si>
  <si>
    <t>397466</t>
  </si>
  <si>
    <t>F49060</t>
  </si>
  <si>
    <t>ICE, CATERPILLAR, 6 CYLINDER, TURBOCHARGED, AFTERCOOLED, MODEL 3456 DITAAA (300 KW), 471 BHP, DIESEL FUELED, DRIVING AN EMERGENCY ELECTRICAL GENERATOR.</t>
  </si>
  <si>
    <t>3456 DITAAA</t>
  </si>
  <si>
    <t>300</t>
  </si>
  <si>
    <t xml:space="preserve">811 N CATALINA AVE                                                              </t>
  </si>
  <si>
    <t xml:space="preserve">MULVIHILL MICHAEL                                 </t>
  </si>
  <si>
    <t xml:space="preserve">(732) 2824130   </t>
  </si>
  <si>
    <t>TYCOM GLOBAL NETWORK TELEXCHANGE FACILTI</t>
  </si>
  <si>
    <t>390354</t>
  </si>
  <si>
    <t>F46187</t>
  </si>
  <si>
    <t>ICE, CATERPILLAR, DIESEL-FUELED, EMERGENCY ELECTRICAL GENERATION, MODEL NO. 3516B DITA, SERIAL NO. FDN00451, TURBOCHARGED, AFTERCOOLED, 16 CYLINDERS, FOUR CYCLE, 2885 BHP.</t>
  </si>
  <si>
    <t>2885</t>
  </si>
  <si>
    <t xml:space="preserve">CONNORS DAVID                                     </t>
  </si>
  <si>
    <t xml:space="preserve">(562) 4372117   </t>
  </si>
  <si>
    <t>392350</t>
  </si>
  <si>
    <t>F46188</t>
  </si>
  <si>
    <t>ICE, CATERPILLAR, DIESEL-FUELED, EMERGENCY ELECTRICAL GENERATION, MODEL NO. 3516B DITA, SERIAL NO. FDN00452, TURBOCHARGED, AFTERCOOLED, 16 CYLINDERS, FOUR CYCLE, 2885 BHP.</t>
  </si>
  <si>
    <t>392351</t>
  </si>
  <si>
    <t>F46189</t>
  </si>
  <si>
    <t>ICE, CATERPILLAR, DIESEL-FUELED, EMERGENCY ELECTRICAL GENERATION, MODEL NO. 3516B DITA, SERIAL NO. FDN00453, TURBOCHARGED, AFTERCOOLED, 16 CYLINDERS, FOUR CYCLE, 2885 BHP.</t>
  </si>
  <si>
    <t xml:space="preserve">U.S. GOVT/GEN SERV'S ADMIN              </t>
  </si>
  <si>
    <t>F49987</t>
  </si>
  <si>
    <t>ICE, CUMMINS, MODEL NO. QSX15-G9, SERIAL NO. 14016728, TURBOCHARGED, AFTERCOOLED, DIESEL FUELED, RATED AT 755 BHP, DRIVING AN EMERGENCY ELECTRICAL GENERATOR.</t>
  </si>
  <si>
    <t xml:space="preserve">11000 WILSHIRE BLVD                                                             </t>
  </si>
  <si>
    <t xml:space="preserve">PORTER BETTYE                                     </t>
  </si>
  <si>
    <t xml:space="preserve">(310) 2356244   </t>
  </si>
  <si>
    <t>397547</t>
  </si>
  <si>
    <t>F50104</t>
  </si>
  <si>
    <t>ICE, CUMMINS, MODEL NO. VT12-6350-GS, SERIAL NO. 10361143, TURBOCHARGED, DIESEL FUELED, RATED AT 545 BHP, DRIVING AN EMERGENCY ELECTRICAL GENERATOR.</t>
  </si>
  <si>
    <t>VT12-6350-GS</t>
  </si>
  <si>
    <t xml:space="preserve">ULTRAMAR INC (NSR USE ONLY)             </t>
  </si>
  <si>
    <t>375761</t>
  </si>
  <si>
    <t>F35675</t>
  </si>
  <si>
    <t>ICE, ENGINE, EMERGENCY POWER, DIESEL FUEL, CATERPILLAR, MODEL 3512B-DITA, WITH AFTERCOOLER, TURBOCHARGER, 1807 BHP.</t>
  </si>
  <si>
    <t xml:space="preserve">2402 E ANAHEIM ST                                                               </t>
  </si>
  <si>
    <t xml:space="preserve">PRICE DAVID                                       </t>
  </si>
  <si>
    <t xml:space="preserve">(562) 4916797   </t>
  </si>
  <si>
    <t xml:space="preserve">UNITED AIRLINES INC                     </t>
  </si>
  <si>
    <t>385017</t>
  </si>
  <si>
    <t>F44054</t>
  </si>
  <si>
    <t>ICE, DETROIT DIESEL, EMERGENCY ELECTRICAL GENERATION, MODEL NO. 12V-92TA, SERIAL NO. 12VF013872, DIESEL FUELED, TWELVE CYLINDERS, TURBOCHARGED AND AFTERCOOLED, 830 BHP.</t>
  </si>
  <si>
    <t xml:space="preserve">6010 &amp; 6020 AVION DR                                                            </t>
  </si>
  <si>
    <t xml:space="preserve">COTTRELL ART                                      </t>
  </si>
  <si>
    <t xml:space="preserve">(310) 3428404   </t>
  </si>
  <si>
    <t>387244</t>
  </si>
  <si>
    <t>F41273</t>
  </si>
  <si>
    <t>ICE, CATERPILLAR, 12 CYLINDERS, TURBOCHARGED, AFTERCOOLED, MODEL NO. 3512EUI, 1676 BHP, DIESEL-FUELED, DRIVING AN EMERGENCY ELECTRICAL GENERATOR.</t>
  </si>
  <si>
    <t>3512 EUI</t>
  </si>
  <si>
    <t xml:space="preserve">HANSON JON                                        </t>
  </si>
  <si>
    <t xml:space="preserve">(626) 5744451   </t>
  </si>
  <si>
    <t>UNIV. OF CALIF. RIVERSIDE - PHYSICS BLDG</t>
  </si>
  <si>
    <t>391435</t>
  </si>
  <si>
    <t>F45861</t>
  </si>
  <si>
    <t xml:space="preserve">200 S EAST END                                                                  </t>
  </si>
  <si>
    <t xml:space="preserve">DING DENIS                                        </t>
  </si>
  <si>
    <t xml:space="preserve">(562) 4932804   </t>
  </si>
  <si>
    <t xml:space="preserve">FOUR POINTS HOTEL                       </t>
  </si>
  <si>
    <t>383976</t>
  </si>
  <si>
    <t>F40235</t>
  </si>
  <si>
    <t xml:space="preserve">9750 AIRPORT BLVD                                                               </t>
  </si>
  <si>
    <t xml:space="preserve">CUEVA ROLANDO                                     </t>
  </si>
  <si>
    <t xml:space="preserve">(310) 6497015   </t>
  </si>
  <si>
    <t>384762</t>
  </si>
  <si>
    <t>F39191</t>
  </si>
  <si>
    <t>ICE, CUMMINS, EMERGENCY ELECTRICAL GENERATION, MODEL NO. KTTA50-G2, DIESEL FUELED, SIXTEEN CYLINDERS, TURBOCHARGED AND AFTERCOOLED, 2220 BHP.</t>
  </si>
  <si>
    <t xml:space="preserve">FRITZ CO INC                            </t>
  </si>
  <si>
    <t>396878</t>
  </si>
  <si>
    <t>F49758</t>
  </si>
  <si>
    <t>ICE, CATERPILLAR, MODEL NO. 3412 DITA JW, SERIAL NO. 5NA10659, TURBOCHARGED, AFTERCOOLED, DIESEL FUELED, RATED AT 718 BHP, DRIVING AN EMERGENCY ELECTRICAL GENERATOR.</t>
  </si>
  <si>
    <t>718</t>
  </si>
  <si>
    <t xml:space="preserve">771 WATSON CENTER RD                                                            </t>
  </si>
  <si>
    <t xml:space="preserve">PEARSON NANNETTE                                  </t>
  </si>
  <si>
    <t xml:space="preserve">(310) 8169633   </t>
  </si>
  <si>
    <t xml:space="preserve">FRUIT GROWERS SUPPLY CO                 </t>
  </si>
  <si>
    <t>385482</t>
  </si>
  <si>
    <t>F44636</t>
  </si>
  <si>
    <t>ICE, EMERGENCY POWER, DIESEL FUEL, CUMMINS, MODEL KTA50-G9, 16 CYLINDER, TURBOCHARGED, AFTERCOOLED, 2220 BHP.</t>
  </si>
  <si>
    <t xml:space="preserve">225 S WINEVILLE RD                                                              </t>
  </si>
  <si>
    <t xml:space="preserve">DEERING TOM                                       </t>
  </si>
  <si>
    <t xml:space="preserve">(909) 3900190   </t>
  </si>
  <si>
    <t>391118</t>
  </si>
  <si>
    <t>F44445</t>
  </si>
  <si>
    <t>ICE, CATERPILLAR, 12 CYLINDERS, TURBOCHARGED, AFTERCOOLED, MODEL NO. 3412 DISTA (750 KW), 1114 BHP, DIESEL-FUELED, DRIVING AN EMERGENCY ELECTRICAL GENERATOR.</t>
  </si>
  <si>
    <t xml:space="preserve">(562) 8022721   </t>
  </si>
  <si>
    <t xml:space="preserve">GENERAL GROWTH  PROPERTIES              </t>
  </si>
  <si>
    <t>F49383</t>
  </si>
  <si>
    <t>ICE, CATERPILLAR, MODEL NO. 3412, SERIAL NO. 2WJ00201, DIESEL FUELED, EMERGENCY ELECTRICAL GENERATOR, 12 CYLINDERS, TURBOCHARGED AND AFTERCOOLED, 1109 BHP.</t>
  </si>
  <si>
    <t>1109</t>
  </si>
  <si>
    <t xml:space="preserve">9301 TAMPA AVE                                                                  </t>
  </si>
  <si>
    <t xml:space="preserve">TOMASELLA TONY                                    </t>
  </si>
  <si>
    <t xml:space="preserve">(818) 8859700   </t>
  </si>
  <si>
    <t xml:space="preserve">GLENDALE ADVENTIST MEDICAL CENTER       </t>
  </si>
  <si>
    <t>214153</t>
  </si>
  <si>
    <t>D29676</t>
  </si>
  <si>
    <t>INTERNAL COMBUSTION ENGINE, DETROIT DIESEL, DIESEL-FUELED, EMERGENCY ELECTRICAL GENERATION, MODEL 12V-71T, SERIAL NO. 12VA042259, TURBOCHARGED, 12 CYLINDERS, 455 BHP</t>
  </si>
  <si>
    <t>455</t>
  </si>
  <si>
    <t xml:space="preserve">801 S CHEVY CHASE DR                                                            </t>
  </si>
  <si>
    <t xml:space="preserve">DOMKE GENE                                        </t>
  </si>
  <si>
    <t xml:space="preserve">GLENDALE CITY CENTER                    </t>
  </si>
  <si>
    <t>395278</t>
  </si>
  <si>
    <t>F48771</t>
  </si>
  <si>
    <t>ICE, CATERPILLAR, MODEL NO. 3512, DIESEL FUELED EMERGENCY ELECTRICAL GENERATION, TURBOCHARGED, AFTERCOOLED, 12 CYLINDERS, 1575 BHP.</t>
  </si>
  <si>
    <t>1575</t>
  </si>
  <si>
    <t xml:space="preserve">101 N BRAND 1630                                                                </t>
  </si>
  <si>
    <t xml:space="preserve">HEATH BRAD                                        </t>
  </si>
  <si>
    <t xml:space="preserve">(818) 5475488   </t>
  </si>
  <si>
    <t xml:space="preserve">GREATER LA WORLD TRADE CENTER           </t>
  </si>
  <si>
    <t>207773</t>
  </si>
  <si>
    <t>D25279</t>
  </si>
  <si>
    <t>ICE, CATERPILLAR, DIESEL-FUELED, EMERGENCY ELECTRICAL GENERATION, MODEL 3508, SERIAL NO. 23Z01646, TURBOCHARGED, INTERCOOLED, 8 CYLINDERS, 1196 BHP.</t>
  </si>
  <si>
    <t xml:space="preserve">1 WORLD TRADE CENTER #1820                                                      </t>
  </si>
  <si>
    <t xml:space="preserve">EDWARDS DAVE                                      </t>
  </si>
  <si>
    <t xml:space="preserve">(310) 7958052   </t>
  </si>
  <si>
    <t>389786</t>
  </si>
  <si>
    <t>F44031</t>
  </si>
  <si>
    <t>ICE, CUMMINS, 6 CYLINDERS, TURBOCHARGED, AFTERCOOLED, MODEL NO. KTA19-G3 (511 KW), SERIAL NO. J000159994, 685 BHP, DIESEL-FUELED, DRIVING AN EMERGENCY ELECTRICAL GENERATOR.</t>
  </si>
  <si>
    <t>511</t>
  </si>
  <si>
    <t xml:space="preserve">1915 S MANCHESTER                                                               </t>
  </si>
  <si>
    <t xml:space="preserve">OLSEN KRIS                                        </t>
  </si>
  <si>
    <t xml:space="preserve">(949) 4742001   </t>
  </si>
  <si>
    <t xml:space="preserve">HOLLYWOOD &amp; HIGHLAND                    </t>
  </si>
  <si>
    <t>388653</t>
  </si>
  <si>
    <t>F48290</t>
  </si>
  <si>
    <t>ICE, CATERPILLAR, EMERGENCY ELECTRICAL GENERATION, MODEL NO. 3512B DITA, SERIAL NO. 8RM00562, DIESEL FUELED, TWELVE CYLINDERS, TURBOCHARGED AND AFTERCOOLED, 1807 BHP.</t>
  </si>
  <si>
    <t>1807</t>
  </si>
  <si>
    <t xml:space="preserve">6801 HOLLYWOOD BLVD                                                             </t>
  </si>
  <si>
    <t xml:space="preserve">DENNIS KEVIN                                      </t>
  </si>
  <si>
    <t xml:space="preserve">(323) 9937700   </t>
  </si>
  <si>
    <t>388654</t>
  </si>
  <si>
    <t>F48291</t>
  </si>
  <si>
    <t>385457</t>
  </si>
  <si>
    <t>F43336</t>
  </si>
  <si>
    <t>ICE, CUMMINS, EMERGENCY ELECTRICAL GENERATION, MODEL NO. QST30-G4, SERIAL NO. 37195315 (GC-556), DIESEL FUELED, TWELVE CYLINDERS, TURBOCHARGED AND AFTERCOOLED, 1490 BHP.</t>
  </si>
  <si>
    <t>QST30-G4</t>
  </si>
  <si>
    <t xml:space="preserve">(80 ) 3725682   </t>
  </si>
  <si>
    <t>387908</t>
  </si>
  <si>
    <t>F41287</t>
  </si>
  <si>
    <t>ICE, CATERPILLAR, EMERGENCY ELECTRICAL GENERATION, MODEL NO. 3512 , DIESEL FUELED, TWELVE CYLINDERS,  TURBOCHARGED AND AFTERCOOLED, 1588 BHP.</t>
  </si>
  <si>
    <t xml:space="preserve">3440 CALIFORNIA AVE                                                             </t>
  </si>
  <si>
    <t>387909</t>
  </si>
  <si>
    <t>F41286</t>
  </si>
  <si>
    <t>ICE, CATERPILLAR, EMERGENCY ELECTRICAL GENERATION, MODEL NO. 3512 DITA, DIESEL FUELED, TWELVE CYLINDERS, TURBOCHARGED AND AFTERCOOLED, 2153 BHP.</t>
  </si>
  <si>
    <t xml:space="preserve">280 S LOCUST ST                                                                 </t>
  </si>
  <si>
    <t>387915</t>
  </si>
  <si>
    <t>F41288</t>
  </si>
  <si>
    <t>ICE, CUMMINS, EMERGENCY ELECTRICAL GENERATION, MODEL NO. VTA1710GS, SERIAL NO. 37100269, DIESEL FUELED, 670.5 BHP.</t>
  </si>
  <si>
    <t>670.5</t>
  </si>
  <si>
    <t xml:space="preserve">315 INDIAN HILL                                                                 </t>
  </si>
  <si>
    <t>388072</t>
  </si>
  <si>
    <t>F41531</t>
  </si>
  <si>
    <t>ICE, CATERPILLAR, EMERGENCY ELECTRICAL GENERATION, MODEL NO. 3512, SERIAL NO. 2H200898, DIESEL FUELED, TWELVE CYLINDERS, TURBOCHARGED, AFTERCOOLED, 1341 BHP.</t>
  </si>
  <si>
    <t>1341</t>
  </si>
  <si>
    <t xml:space="preserve">2001 BROADWAY                                                                   </t>
  </si>
  <si>
    <t>388074</t>
  </si>
  <si>
    <t>F41533</t>
  </si>
  <si>
    <t>ICE, CATERPILLAR, EMERGENCY ELETRICAL GENERATION, MODEL NO. 3516 DITA, DIESEL FUELED, SIXTEEN CYLINDERS, TURBOCHARGED AND AFTERCOOLED, 2847 BHP.</t>
  </si>
  <si>
    <t>388075</t>
  </si>
  <si>
    <t>F41534</t>
  </si>
  <si>
    <t>ICE, CATERPILLAR, EMERGENCY ELECTRICAL GENERATION, MODEL NO. 3412 DITTA, SEIRAL NO. 38S11079, DIESEL FUELED, TWELVE CYLINDERS, TURBOCHARGED AND AFTERCOOLED, 746 BHP.</t>
  </si>
  <si>
    <t xml:space="preserve">3965 CLARK AVE                                                                  </t>
  </si>
  <si>
    <t>388077</t>
  </si>
  <si>
    <t>F41535</t>
  </si>
  <si>
    <t xml:space="preserve">5077 E LEW DAVIS ST                                                             </t>
  </si>
  <si>
    <t>388078</t>
  </si>
  <si>
    <t>F41530</t>
  </si>
  <si>
    <t>ICE, CATERPILLAR, EMERGENCY ELECTRICAL GENERATION, MODEL NO. 3512, SERIAL NO. 6WN00270, DIESEL FUELED, TWELVE CYLINDERS, TURBOCHARGED AND AFTERCOOLED, 1341 BHP.</t>
  </si>
  <si>
    <t xml:space="preserve">550 ELM AVE                                                                     </t>
  </si>
  <si>
    <t>388079</t>
  </si>
  <si>
    <t>F41529</t>
  </si>
  <si>
    <t xml:space="preserve">211 W D ST                                                                      </t>
  </si>
  <si>
    <t>388080</t>
  </si>
  <si>
    <t>F41532</t>
  </si>
  <si>
    <t>ICE, CATERPILLAR, EMERGENCY ELECTRICAL GENERATION, MODEL NO. 3512B DITA, SERIAL NO. 6WN00270, DIESEL FUELED, TWELVE CYLINDERS, TURBOCHARGED AND AFTERCOOLED, 2153 BHP.</t>
  </si>
  <si>
    <t xml:space="preserve">10428 E FOOTHILL BLVD                                                           </t>
  </si>
  <si>
    <t>388081</t>
  </si>
  <si>
    <t>F41584</t>
  </si>
  <si>
    <t>388857</t>
  </si>
  <si>
    <t>F41978</t>
  </si>
  <si>
    <t>ICE, CATERPILLAR, EMERGENCY ELECTRICAL GENERATION, MODEL NO. 3516 DITA, DIESEL FUELED, SIXTEEN CYLINDERS, TURBOCHARGED AND AFTERCOOLED, 2518 BHP.</t>
  </si>
  <si>
    <t xml:space="preserve">200 W OCEAN BLVD                                                                </t>
  </si>
  <si>
    <t>388858</t>
  </si>
  <si>
    <t>F42137</t>
  </si>
  <si>
    <t>ICE, DETROIT DIESEL, EMERGENCY ELECTRICAL GENERATION, MODEL NO. 7123-7305, DIESEL FUELED, TWELVE CYLINDERS, TURBOCHARGED AND AFTERCOOLED, 536 BHP.</t>
  </si>
  <si>
    <t xml:space="preserve">1698 MARTIN LUTHER KING BLVD                                                    </t>
  </si>
  <si>
    <t xml:space="preserve">VERIZON OF CALIFORNIA                   </t>
  </si>
  <si>
    <t>388855</t>
  </si>
  <si>
    <t>F42135</t>
  </si>
  <si>
    <t>ICE, CUMMINS, EMERGENCY ELECTRICAL GENERATION, MODEL NO. QST30-G5, DIESEL FUELED, TWWELVE CYLINDERS, TURBOCHARGED AND AFTERCOOLED, 1490 BHP.</t>
  </si>
  <si>
    <t xml:space="preserve">1544 COTNER AVENUE                                                          </t>
  </si>
  <si>
    <t xml:space="preserve">VOUGHT AIRCRAFT INDUSTRIES              </t>
  </si>
  <si>
    <t>379313</t>
  </si>
  <si>
    <t>F41233</t>
  </si>
  <si>
    <t>ICE, CUMMINS, DIESEL-FUELED, EMERGENCY ELECTRICAL GENERATION, MODEL NO. VTA1710-G2, SERIAL NO. 37107348, TURBOCHARGED, AFTERCOOLED, TWELVE CYLINDERS, FOUR CYCLE, 900 BHP.</t>
  </si>
  <si>
    <t xml:space="preserve">ASKANDER SAAD                                     </t>
  </si>
  <si>
    <t xml:space="preserve">(310) 3316891   </t>
  </si>
  <si>
    <t xml:space="preserve">W/B LTD, C/O C B COMMERICAL             </t>
  </si>
  <si>
    <t>375702</t>
  </si>
  <si>
    <t>F42383</t>
  </si>
  <si>
    <t>ICE, CATERPILLAR, DIESEL-FUELED, EMERGENCY ELECTRICAL GENERATION, MODEL NO. 3412 DIT, SERIAL NO. 81Z03193, 12 CYLINDERS, TURBOCHARGED, 750 BHP.</t>
  </si>
  <si>
    <t xml:space="preserve">12100 WILSHIRE BLVD #680                                                        </t>
  </si>
  <si>
    <t xml:space="preserve">WIGHT ROBERT                                      </t>
  </si>
  <si>
    <t xml:space="preserve">(213) 8201922   </t>
  </si>
  <si>
    <t>ICE, CATERPILLAR, MODEL NO. 3412, TWELVE CYLINDER, FOUR CYCLE, TURBOCHARGED, AFTERCOOLED, DIESEL FUELED, 892 BHP, DRIVING AN EMERGENCY ELECTRICAL GENERATOR.</t>
  </si>
  <si>
    <t>892</t>
  </si>
  <si>
    <t>397182</t>
  </si>
  <si>
    <t>F48709</t>
  </si>
  <si>
    <t>ICE, CUMMINS, 12 CYLINDER, TURBOCHARGED, AFTERCOOLED, MODEL QST30-G1, SERIAL NO. CEX-NR9-00-02, 1135 BHP, DIESEL FUELED, DRIVING AN EMERGENCY ELECTRICAL GENERATOR.</t>
  </si>
  <si>
    <t>F43506</t>
  </si>
  <si>
    <t>ICE, CATERPILLAR, TURBOCHARGED, MODEL NO. 680FDRA198HH, SERIAL NO. 23204304, 1106 BHP, DRIVING AN EMERGENCY ELECTRICAL GENERATOR.</t>
  </si>
  <si>
    <t>680 FDRA</t>
  </si>
  <si>
    <t xml:space="preserve">VIRGEN ALEX                                       </t>
  </si>
  <si>
    <t xml:space="preserve">(818) 7194065   </t>
  </si>
  <si>
    <t>163880</t>
  </si>
  <si>
    <t>ICE, DETROIT DIESEL ALLISON, DIESEL FUELED, EMERGENCY ELECTRICAL GENERATION, MODEL 16V-92T, TURBOCHARGED, AFTERCOOLED, 8 CYLINDERS, 960 BHP.</t>
  </si>
  <si>
    <t>960</t>
  </si>
  <si>
    <t xml:space="preserve">KILROY REALTY L.P. - 999 SEPULVEDA      </t>
  </si>
  <si>
    <t>390866</t>
  </si>
  <si>
    <t>F44176</t>
  </si>
  <si>
    <t>ICE, CATERPILLAR, 6 CYLINDERS, TURBOCHARGED, AFTERCOOLED, MODEL NO. 3406 DITA (350 KW), SERIAL NO. 1LS01633, 519 BHP, DIESEL-FUELED, DRIVING AN EMERGENCY ELECTRICAL GENERATOR.</t>
  </si>
  <si>
    <t>3406</t>
  </si>
  <si>
    <t xml:space="preserve">999 N SEPULVEDA                                                                 </t>
  </si>
  <si>
    <t xml:space="preserve">MOUNT RICK                                        </t>
  </si>
  <si>
    <t xml:space="preserve">(310) 5635500   </t>
  </si>
  <si>
    <t>353351</t>
  </si>
  <si>
    <t>F40307</t>
  </si>
  <si>
    <t>ICE, CATERPILLAR, MODEL NO. D348, SERIAL NO. 36J3009, DIESEL FUELED, EMERGENCY ELECTRICAL GENERATION, 8 CYLINDERS, TURBOCHARGED AND AFTERCOOLED, 890 BHP.</t>
  </si>
  <si>
    <t xml:space="preserve">10322 SUNLAND BLVD                                                              </t>
  </si>
  <si>
    <t xml:space="preserve">SUNLAND                  </t>
  </si>
  <si>
    <t xml:space="preserve">BRESLIN PAT                                       </t>
  </si>
  <si>
    <t xml:space="preserve">(213) 3676603   </t>
  </si>
  <si>
    <t xml:space="preserve">LA CITY DWP, ENCINO PUMPING &amp; CHLOR STA </t>
  </si>
  <si>
    <t>389267</t>
  </si>
  <si>
    <t>F42236</t>
  </si>
  <si>
    <t>ICE, CATERPILLAR, 6 CYLINDERS, TURBOCHARGED, AFTERCOOLED, MODEL NO. 3406 DITA (400 KW), 587 BHP, DIESEL-FUELED, DRIVING AN EMERGENCY ELECTRICAL GENERATOR.</t>
  </si>
  <si>
    <t xml:space="preserve">4500 ENCINO AVE                                                                 </t>
  </si>
  <si>
    <t xml:space="preserve">PARSONS CINDY                                     </t>
  </si>
  <si>
    <t xml:space="preserve">(213) 3670636   </t>
  </si>
  <si>
    <t>389268</t>
  </si>
  <si>
    <t>F42235</t>
  </si>
  <si>
    <t>ICE, CATERPILLAR, 6 CYLINDERS, TURBOCHARGED, AFTRCOOLED, MODEL NO. 3406 DITA (400 KW), 587 BHP, DIESEL-FUELED, DRIVING AN EMERGENCY ELECTRICAL GENERATOR.</t>
  </si>
  <si>
    <t>397325</t>
  </si>
  <si>
    <t>F49048</t>
  </si>
  <si>
    <t>ICE, CUMMINS, 16 CYLINDERS, TURBOCHARGED, AFTERCOOLED, MODEL NO. KTA50-G9 (1500 KW) , SERIAL NO. G010259557, 2220 BHP, DIESEL-FUELED, DRIVING AN EMERGENCY ELECTRICAL GENERATOR.</t>
  </si>
  <si>
    <t>392822</t>
  </si>
  <si>
    <t>F48289</t>
  </si>
  <si>
    <t>ICE, CATERPILLAR, MODEL 3406 DITA, SIX CYLINDER, TURBOCHARGED, AFTERCOOLED, RATED AT 519 BHP, DIESEL-FUELED, DRIVING AN EMERGENCY ELECTRICAL GENERATOR.</t>
  </si>
  <si>
    <t>519</t>
  </si>
  <si>
    <t>F44955</t>
  </si>
  <si>
    <t xml:space="preserve">12440 E IMPERIAL HWY                                                            </t>
  </si>
  <si>
    <t xml:space="preserve">WOLF ERIC A                                       </t>
  </si>
  <si>
    <t xml:space="preserve">(562) 8643107   </t>
  </si>
  <si>
    <t xml:space="preserve">SUPERINTENDENT OF SCHOOLS, RIVERSIDE    </t>
  </si>
  <si>
    <t>F38666</t>
  </si>
  <si>
    <t>ICE, CATERPILLAR, DIESEL-FUELED, EMERGENCY ELECTRICAL GENERATION, MODEL NO. 3512 DITA, SERIAL NO. 24209464, TURBOCHARGED, AFTERCOOLED, TWELVE CYLINDERS, 1801 BHP</t>
  </si>
  <si>
    <t xml:space="preserve">3939 13TH ST                                                                    </t>
  </si>
  <si>
    <t xml:space="preserve">HARTUNG AUGIE                                     </t>
  </si>
  <si>
    <t xml:space="preserve">(909) 8266582   </t>
  </si>
  <si>
    <t xml:space="preserve">THE ATRIUM IRVINE LLC                   </t>
  </si>
  <si>
    <t>F39402</t>
  </si>
  <si>
    <t>ICE, CUMMINS, DIESEL-FUELED, EMERGENCY ELECTRICAL GENERATION, MODEL NO. KTA-3067-G1, SERIAL NO. 11619-12, TURBOCHARGED, AFTERCOOLED, 16 CYLINDERS, 1410 BHP.</t>
  </si>
  <si>
    <t>KTA3067-G1</t>
  </si>
  <si>
    <t xml:space="preserve">19100 VON KARMAN SUITE # 260                                                    </t>
  </si>
  <si>
    <t xml:space="preserve">LILLEY PAUL J.                                    </t>
  </si>
  <si>
    <t xml:space="preserve">(949) 4768771   </t>
  </si>
  <si>
    <t xml:space="preserve">THE PERFORMING ARTS CTR. OF L.A. COUNTY </t>
  </si>
  <si>
    <t>F37743</t>
  </si>
  <si>
    <t>ICE, CATERPILLAR, MODEL NO. 3516 DITA, AMBER 363 FUELED, EMERGENCY ELECTRICAL GENERATOR, 16 CYLINDERS, TURBOCHARGED AND AFTERCOOLED, 2151 BHP.</t>
  </si>
  <si>
    <t xml:space="preserve">111 S GRAND AVE                                                                 </t>
  </si>
  <si>
    <t xml:space="preserve">DE LA CRUZ LUIS                                   </t>
  </si>
  <si>
    <t xml:space="preserve">(213) 9727465   </t>
  </si>
  <si>
    <t>THE WILSHIRE CONDOMINIUM ASSOCIATION INC</t>
  </si>
  <si>
    <t>F42009</t>
  </si>
  <si>
    <t>ICE, CUMMINS ONAN, MODEL NO. VTA28-GS2, SERIAL NO. A890200839, ENGINE MANUFACTURED IN 1991, 900 BHP, DIESEL FUELED, TURBOCHARGED, AFTERCOOLED, EMERGENCY ELECTRICAL GENERATION.</t>
  </si>
  <si>
    <t>VTA28-GS2</t>
  </si>
  <si>
    <t xml:space="preserve">10580 WILSHIRE BLVD                                                             </t>
  </si>
  <si>
    <t xml:space="preserve">MARISCAL VICTOR M                                 </t>
  </si>
  <si>
    <t xml:space="preserve">(310) 4465333   </t>
  </si>
  <si>
    <t>F42010</t>
  </si>
  <si>
    <t>ICE, CUMMINS ONAN, MODEL NO. NTA855-G3, SERIAL NO. 80881684, ENGINE MANUFACTURED IN 1991, 535 BHP, DIESEL FUELED, TURBOCHARGED, AFTERCOOLED, EMERGENCY ELECTRICAL GENERATION</t>
  </si>
  <si>
    <t xml:space="preserve">TIME WARNER TELECOM OF CAL LP           </t>
  </si>
  <si>
    <t>F37852</t>
  </si>
  <si>
    <t>ICE, MTU, MODEL XS1000U, DIESEL FUEL, 16 CYLINDERS, TURBOCHARGED AND AFTERCOOLED, RATED AT 1494 BHP, DRIVING AN EMERGENCY STAND-BY GENERATOR</t>
  </si>
  <si>
    <t>MTU</t>
  </si>
  <si>
    <t>XS1000U</t>
  </si>
  <si>
    <t xml:space="preserve">7 MASON                                                                         </t>
  </si>
  <si>
    <t xml:space="preserve">SLAUGHTER WILLIAM G                               </t>
  </si>
  <si>
    <t xml:space="preserve">(858) 6358858   </t>
  </si>
  <si>
    <t>F37745</t>
  </si>
  <si>
    <t>ICE, CATERPILLAR, 16 CYLINDERS, TURBOCHARGED, AFTERCOOLED, MODEL NO. 3516B DITA, 2847 BHP, DIESEL-FUELED, DRIVING AN EMERGENCY ELECTRICAL GENERATOR.</t>
  </si>
  <si>
    <t>F38571</t>
  </si>
  <si>
    <t>ICE, CATERPILLAR, MODEL 3412, SERIAL NO. 81Z0797, DIESEL FUEL, 12 CYLINDERS, TURBOCHARGED, RATED AT 724 BHP, DRIVING AN EMERGENCY STAND-BY GENERATOR</t>
  </si>
  <si>
    <t xml:space="preserve">UNIVERSITY OF CALIFORNIA, LOS ANGELES   </t>
  </si>
  <si>
    <t>F38498</t>
  </si>
  <si>
    <t>ICE, DETROIT DIESEL, MODEL 7123-7305, SERILA NO. 12VA069126, DIESEL FUEL, 12 CYLINDERS, TURBOCHARGED, AND AFTERCOOLED, RATED AT 625 BHP, DRIVING AN EMERGENCY STANDBY GENERATOR</t>
  </si>
  <si>
    <t xml:space="preserve">10920 WILSHIRE BLVD                                                             </t>
  </si>
  <si>
    <t xml:space="preserve">KAPITAN AUDREY                                    </t>
  </si>
  <si>
    <t xml:space="preserve">(310) 7940671   </t>
  </si>
  <si>
    <t>F38384</t>
  </si>
  <si>
    <t>ICE, CATERPILLAR, 12 CYLINDERS, TURBOCHARGED, AFTERCOOLED, MODEL NO. 3512B DITA (1500 KW), SERIAL NO. GC-575, 2155 BHP, DIESEL-FUELED, DRIVING AN EMERGENCY ELECTRICAL GENERATOR.</t>
  </si>
  <si>
    <t xml:space="preserve">13246 FIJI WAY                                                                  </t>
  </si>
  <si>
    <t>F38385</t>
  </si>
  <si>
    <t>ICE, CATERPILLAR, 12 CYLINDERS, TURBOCHARGED, AFTERCOOLED, MODEL NO. 3512B DITA (1500 KW), SERIAL NO. GC-170, 2155 BHP, DIESEL-FUELED, DRIVING AN EMERGENCY ELECTRICAL GENERATOR.</t>
  </si>
  <si>
    <t xml:space="preserve">234 W FOOTHILL BLVD                                                             </t>
  </si>
  <si>
    <t>F41343</t>
  </si>
  <si>
    <t>ICE, CUMMINS, MODEL NO. KTA50-G9, SERIAL NO: GC-576,  2220 BHP, 16 CYLINDERS, FOUR CYCLE, LEAN BURN, TURBOCHARGED, AFTERCOOLED, DIESEL, EMERGENCY ELECTRICAL GENERATION</t>
  </si>
  <si>
    <t xml:space="preserve">1314 7TH ST                                                                     </t>
  </si>
  <si>
    <t>F40966</t>
  </si>
  <si>
    <t>ICE, CATERPILLAR, MODEL NO. 3512 DITA, DIESEL FUELED, S/N: 6WN00195, TURBOCHARGED, AFTERCOOLED, 2167 BHP, EMERGENCY ELECTRICAL GENERATION</t>
  </si>
  <si>
    <t xml:space="preserve">160 E BADILLO ST                                                                </t>
  </si>
  <si>
    <t>F38383</t>
  </si>
  <si>
    <t>ICE, CATERPILLAR, 8 CYLINDERS, TURBOCHARGED, AFTERCOOLED, MODEL NO. 3508B DITA (1000 KW), SERIAL NO. GC-058, 1480 BHP, DIESEL-FUELED, DRIVING AN EMERGENCY ELECTRICAL GENERATOR.</t>
  </si>
  <si>
    <t>ICE, DETROIT DIESEL ,16 CYLINDER, TURBOCHARGED AND AFTERCOOLED, MODEL 7163-7000, SERIAL NO. 16VA00506, 565 BHP, DRIVING AN EMERGENCY ELECTRIC GENERATOR.</t>
  </si>
  <si>
    <t>565</t>
  </si>
  <si>
    <t>LA CO., FIRE DEPT - FOREST &amp; FIRE WARDEN</t>
  </si>
  <si>
    <t>F39113</t>
  </si>
  <si>
    <t>ICE, CUMMINS, MODEL KTA19-G4, TURBOCHARGED, AFTERCOOLED, DIESEL FUELED, DRIVING AN EMERGENCY ELECTRICAL GENERATOR, 755 BHP.</t>
  </si>
  <si>
    <t xml:space="preserve">12605 OSBORNE ST AIR OPERATIONS                                                 </t>
  </si>
  <si>
    <t xml:space="preserve">FIRE CAPTAIN                     </t>
  </si>
  <si>
    <t xml:space="preserve">(818) 8905707   </t>
  </si>
  <si>
    <t xml:space="preserve">LA CO., LYNWOOD REGIONAL JUSTICE CTR    </t>
  </si>
  <si>
    <t>385181</t>
  </si>
  <si>
    <t>F39198</t>
  </si>
  <si>
    <t>ICE, NO. 1, CATERPILLAR, MODEL NO. 3512/1100, SERIAL NO. 24Z03890, DIESEL FUELED, EMERGENCY ELECTRICAL GENERATION, 12 CYLINDERS, TURBOCHARGED, AND AFTERCOOLED, 1575 BHP.</t>
  </si>
  <si>
    <t xml:space="preserve">11711 ALAMEDA ST                                                                </t>
  </si>
  <si>
    <t xml:space="preserve">KLAUK RANDY                                       </t>
  </si>
  <si>
    <t xml:space="preserve">(626) 3003053   </t>
  </si>
  <si>
    <t>385183</t>
  </si>
  <si>
    <t>F39199</t>
  </si>
  <si>
    <t>ICE, NO. 2, CATERPILLAR, MODEL NO. 3512/1100, SERIAL NO. 24Z03891, DIESEL FUELED, EMERGENCY ELECTRICAL GENERATION, 12 CYLINDERS, TURBOCHARGED, AND AFTERCOOLED, 1575 BHP.</t>
  </si>
  <si>
    <t>385184</t>
  </si>
  <si>
    <t>F39200</t>
  </si>
  <si>
    <t>ICE, NO. 3, CATERPILLAR, MODEL NO. 3512/1100, SERIAL NO. 24Z03884, DIESEL FUELED, EMERGENCY ELECTRICAL GENERATION, 12 CYLINDERS, TURBOCHARGED, AND AFTERCOOLED, 1575 BHP.</t>
  </si>
  <si>
    <t xml:space="preserve">LA CO., PUB LIBRARY HEADQUARTERS        </t>
  </si>
  <si>
    <t>384840</t>
  </si>
  <si>
    <t>F39192</t>
  </si>
  <si>
    <t>ICE, CUMMINS, EMERGENCY ELECTRICAL GENERATION, MODEL NO. NTA-855-G2, DIESEL FUELED, SIX CYLINDERS, TURBOCHARGED AND AFTERCOOLED, 535 BHP.</t>
  </si>
  <si>
    <t xml:space="preserve">7400 E IMPERIAL HWY                                                             </t>
  </si>
  <si>
    <t xml:space="preserve">GARCIA ROSE                                       </t>
  </si>
  <si>
    <t xml:space="preserve">(562) 9408483   </t>
  </si>
  <si>
    <t>388630</t>
  </si>
  <si>
    <t>F42999</t>
  </si>
  <si>
    <t>ICE, CATERPILLAR, EMERGENCY ELECTRICAL GENERATION, MODEL NO. 3412, DIESEL FUELED, TWELVE CYLINDERS, TURBOCHARGED, AND AFTERCOOLED, 600 BHP.</t>
  </si>
  <si>
    <t xml:space="preserve">7401 E IMPERIAL HIGHWAY                                                         </t>
  </si>
  <si>
    <t xml:space="preserve">(562) 4016764   </t>
  </si>
  <si>
    <t xml:space="preserve">LA CO., SHERIFF'S DEPT                  </t>
  </si>
  <si>
    <t>F39236</t>
  </si>
  <si>
    <t>ICE, WAUKESHA, MODEL NO. VLRDU, SERIAL NO. RU-12535, DIESEL FUELED, EMERGENCY ELECTRICAL GENERATION, 12 CYLINDERS, TURBOCHARGED, 680 BHP.</t>
  </si>
  <si>
    <t>VLRDU</t>
  </si>
  <si>
    <t>680</t>
  </si>
  <si>
    <t xml:space="preserve">441 BAUCHET ST                                                                  </t>
  </si>
  <si>
    <t>385185</t>
  </si>
  <si>
    <t>F39228</t>
  </si>
  <si>
    <t>ICE, DETROIT DIESEL, MODEL NO. 9123-7000, SERIAL NO. 12E0001433, DIESEL FUELED, EMERGENCY ELECTRICAL GENERATION , 12 CYLINDERS, TURBOCHARGED, 1275 BHP.</t>
  </si>
  <si>
    <t>9123-7000</t>
  </si>
  <si>
    <t>1275</t>
  </si>
  <si>
    <t>385187</t>
  </si>
  <si>
    <t>F39230</t>
  </si>
  <si>
    <t>ICE, DETROIT DIESEL, MODEL NO. 9123-7305, SERIAL NO. 12E-2183, DIESEL FUELED, EMERGENCY ELECTRICAL GENERATION, 12 CYLINDERS, TURBOCHARGED, 1020 BHP.</t>
  </si>
  <si>
    <t>1020</t>
  </si>
  <si>
    <t xml:space="preserve">LA CO., SHERIFF'S DEPT.                 </t>
  </si>
  <si>
    <t>F39224</t>
  </si>
  <si>
    <t>ICE, DETROIT DIESEL, MODEL NO. 9123-7305, SERIAL NO. 12E1694, DIESEL FUELED, EMERGENCY ELECTRICAL GENERATION, 12 CYLINDERS, TURBOCHARGED, 1155 BHP.</t>
  </si>
  <si>
    <t>1155</t>
  </si>
  <si>
    <t xml:space="preserve">1277 N EASTERN AVE                                                              </t>
  </si>
  <si>
    <t>F39201</t>
  </si>
  <si>
    <t>ICE, CATERPILLAR, MODEL NO. 3516, SERIAL NO. 25Z01133, DIESEL FUELED, EMERGENCY ELECTRICAL GENERATION, 16 CYLINDERS, TURBOCHARGED AND AFTERCOOLED, 2149 BHP.</t>
  </si>
  <si>
    <t xml:space="preserve">MIRANDA PETE R                                    </t>
  </si>
  <si>
    <t>F39202</t>
  </si>
  <si>
    <t>ICE, CATERPILLAR, MODEL NO. 3516, SERIAL NO. 25Z01131, DIESEL FUELED, EMERGENCY ELECTRICAL GENERATION, 16 CYLINDERS, TURBOCHARGED AND AFTERCOOLED, 2149 BHP.</t>
  </si>
  <si>
    <t>F39233</t>
  </si>
  <si>
    <t>ICE, DETROIT DIESEL, MODEL NO. 8163-7405, SERIAL NO. 16F69953, DIESEL FUELED, EMERGENCY ELECTRICAL GENERATION, 16 CYLINDERS, TURBOCHARGED AND AFTERCOOLED, 1095 BHP.</t>
  </si>
  <si>
    <t>1095</t>
  </si>
  <si>
    <t xml:space="preserve">29380 THE OLD RD                                                                </t>
  </si>
  <si>
    <t>385179</t>
  </si>
  <si>
    <t>F39223</t>
  </si>
  <si>
    <t>ICE, DETROIT DIESEL, MODEL NO. 9123-7305, SERIAL NO. 12E1693, DIESEL FUELED, EMERGENCY ELECTRICAL GENERATION, 12 CYLINDERS, TURBOCHARGED, 1155 BHP.</t>
  </si>
  <si>
    <t>385192</t>
  </si>
  <si>
    <t>F39234</t>
  </si>
  <si>
    <t>ICE, DETROIT DIESEL, MODEL NO. 8163-7405, SERIAL NO. 16F06945, DIESEL FUELED, EMERGENCY ELECTRICAL GENERATION, 16 CYLINDERS, TURBOCHARGED AND AFTERCOOLED, 1095 BHP.</t>
  </si>
  <si>
    <t>385193</t>
  </si>
  <si>
    <t>F39235</t>
  </si>
  <si>
    <t>ICE, DETROIT DIESEL, MODEL NO. 8163-7405, SERIAL NO. 16F06932, DIESEL FUELED, EMERGENCY ELECTRICAL GENERATION, 16 CYLINDERS, TURBOCHARGED AND AFTERCOOLED, 1095 BHP.</t>
  </si>
  <si>
    <t xml:space="preserve">LA CO., VAN NUYS MUNICIPAL COURT        </t>
  </si>
  <si>
    <t>385010</t>
  </si>
  <si>
    <t>F42318</t>
  </si>
  <si>
    <t>ICE, DETROIT DIESEL ,16 CYLINDER, TURBOCHARGED AND AFTERCOOLED, MODEL 8163-7405, 1094 BHP, DRIVING AN EMERGENCY ELECTRICAL GENERATOR.</t>
  </si>
  <si>
    <t>1094</t>
  </si>
  <si>
    <t xml:space="preserve">14400 ERWIN STREET MALL STE C                                                   </t>
  </si>
  <si>
    <t>385036</t>
  </si>
  <si>
    <t>F41993</t>
  </si>
  <si>
    <t>ICE, DETROIT DIESEL, TURBOCHARGED, AFTERCOOLED, MODEL 8163-7405, SEIRAL NO. 16VF006793, 1094 BHP, DIESE-FUELED, DRIVING AN EMERGENCY ELECTRICAL GENERATOR.</t>
  </si>
  <si>
    <t>LA COUNTY ED EDELMAN CHILDRENS COURT/ISD</t>
  </si>
  <si>
    <t>381566</t>
  </si>
  <si>
    <t>F41424</t>
  </si>
  <si>
    <t>ICE, CATERPILLAR, 12 CYLINDER, TURBOCHARGER, AFTERCOOLED, MODEL NO. 3512, 1575 BHP, DIESEL-FUELED, DRIVING AN EMERGENCY ELECTRICAL GENERATOR.</t>
  </si>
  <si>
    <t xml:space="preserve">201 CENTRE PLAZA DR                                                             </t>
  </si>
  <si>
    <t>G03352</t>
  </si>
  <si>
    <t>1980</t>
  </si>
  <si>
    <t>M22610</t>
  </si>
  <si>
    <t>ENGINE #2, GENERAL MOTORS, MODEL 16-645-E1, 2000 HP, SERIAL NO. 72-J1-1052, DIESEL FIRED, DRIVING A 1250 KW CAPACITY ELECTRIC GENERATOR.</t>
  </si>
  <si>
    <t>16-645-E1</t>
  </si>
  <si>
    <t xml:space="preserve">THOMPSON JOHN                                     </t>
  </si>
  <si>
    <t xml:space="preserve">(323) 2263036   </t>
  </si>
  <si>
    <t>G03353</t>
  </si>
  <si>
    <t>M22611</t>
  </si>
  <si>
    <t>ENGINE #2, GENERAL MOTORS, MODEL 16-567-D1, 2000 HP, SERIAL NO. 66-J3-1027, DIESEL FIRED, DRIVING A 1250 KW CAPACITY ELECTRIC GENERATOR.</t>
  </si>
  <si>
    <t>16-645-D1</t>
  </si>
  <si>
    <t xml:space="preserve">LAGUNA COOKIE COMPANY                   </t>
  </si>
  <si>
    <t>385321</t>
  </si>
  <si>
    <t>F39136</t>
  </si>
  <si>
    <t>ICE, CUMMINS, 6 CYLINDERS, TURBOCHARGED, AFTERCOOLED, MODEL NO. N14-G2 (399 KW), SERIAL NO. 12027423, 535 BHP, DIESEL-FUELED, DRIVING AN EMERGENCY ELECTRICAL GENERATOR.</t>
  </si>
  <si>
    <t>399</t>
  </si>
  <si>
    <t xml:space="preserve">4041 W GARRY                                                                    </t>
  </si>
  <si>
    <t xml:space="preserve">GOEBEL DAN                                        </t>
  </si>
  <si>
    <t xml:space="preserve">(909) 2726610   </t>
  </si>
  <si>
    <t>LAKE HEMET MUNICIPAL WATER DIST/M&amp;M WELL</t>
  </si>
  <si>
    <t>393466</t>
  </si>
  <si>
    <t>F46792</t>
  </si>
  <si>
    <t>ICE, CATERPILLAR, 12 CYLINDERS, TURBOCHARGED, AFTERCOOLED, MODEL NO. 3412C DITA (550 KW), 823 BHP, DIESEL-FUELED, DRIVING AN EMERGENCY ELECTRICAL GENERATOR.</t>
  </si>
  <si>
    <t xml:space="preserve">43175 CEDAR AVE                                                                 </t>
  </si>
  <si>
    <t xml:space="preserve">TRUMPY DENNIS C                                   </t>
  </si>
  <si>
    <t xml:space="preserve">(909) 9271816   </t>
  </si>
  <si>
    <t>392456</t>
  </si>
  <si>
    <t>F45856</t>
  </si>
  <si>
    <t>ICE, CATERPILLAR, 6 CYLINDERS, TURBOCHARGED, AFTERCOOLED, MODEL NO. 3406 DITA (350 KW) , SERIAL NO. 4JK00584, 519 BHP, DIESEL-FUELED, DRIVING AN EMERGENCY ELECTRICAL GENERATOR.</t>
  </si>
  <si>
    <t xml:space="preserve">GOLDSCHMIDT ANDY                                  </t>
  </si>
  <si>
    <t xml:space="preserve">(562) 5312550   </t>
  </si>
  <si>
    <t xml:space="preserve">LIBERMAN BROADCASTING, INC.             </t>
  </si>
  <si>
    <t>397239</t>
  </si>
  <si>
    <t>F48756</t>
  </si>
  <si>
    <t>ICE, CUMMINS, 12 CYLINDER, TURBOCHARGED, AFTERCOOLED, MODEL QST30-G1, 1135 BHP, DIESEL FUELED, DRIVING AN EMERGENCY ELECTRICAL GENERATOR.</t>
  </si>
  <si>
    <t xml:space="preserve">1845 EMPIRE AVE                                                                 </t>
  </si>
  <si>
    <t xml:space="preserve">BANKS BILL                                        </t>
  </si>
  <si>
    <t xml:space="preserve">(818) 5584216   </t>
  </si>
  <si>
    <t xml:space="preserve">LIGHTCROSS INC                          </t>
  </si>
  <si>
    <t>391942</t>
  </si>
  <si>
    <t>F46833</t>
  </si>
  <si>
    <t>ICE, VOLVO PENTA, MODEL NO. TAD1631G, SERIAL NO. 2160036458, DIESEL FUELED, TURBOCHARGED, INTERCOOLED, SIX CYLINDERS, 713 BHP, DRIVING AN EMERGENCY ELECTRICAL GENERATOR.</t>
  </si>
  <si>
    <t xml:space="preserve">2630 CORPORATE PL                                                               </t>
  </si>
  <si>
    <t xml:space="preserve">NGUYEN LOI                                        </t>
  </si>
  <si>
    <t xml:space="preserve">(626) 2364579   </t>
  </si>
  <si>
    <t xml:space="preserve">LITTLE COMPANY OF MARY HEALTH SERVICES  </t>
  </si>
  <si>
    <t>D99889</t>
  </si>
  <si>
    <t>DIESEL ENGINE, DETROIT DIESEL, MODEL 7163-7005, SERIAL NO 16VA12942, DIESEL FUEL ONLY, DRIVING A 350 KW, CAPACITY ELECTRIC GENERATOR.</t>
  </si>
  <si>
    <t xml:space="preserve">1300 W 7TH ST                                                                   </t>
  </si>
  <si>
    <t xml:space="preserve">SWEERS BOB                                        </t>
  </si>
  <si>
    <t xml:space="preserve">(310) 8323311   </t>
  </si>
  <si>
    <t>D99890</t>
  </si>
  <si>
    <t>DIESEL ENGINE, LAWLESS DETROIT, MODEL NO. 7165-7000C-350, S/N 2250, 570 HP, DRIVING A 350 KW ELECTRIC GENERATOR.</t>
  </si>
  <si>
    <t>7165-7000C-350</t>
  </si>
  <si>
    <t>189297</t>
  </si>
  <si>
    <t>D10829</t>
  </si>
  <si>
    <t>INTERNAL COMBUSTION ENGINE, CATERPILLAR, DIESEL-FUELED, EMERGENCY ELECTRICAL GENERATION, MODEL 3412TA, TURBOCHARGED, AFTERCOOLED, 12 CYLINDERS, 895 BHP.</t>
  </si>
  <si>
    <t xml:space="preserve">LOOKING GLASS NETWORKS INC              </t>
  </si>
  <si>
    <t>390237</t>
  </si>
  <si>
    <t>F44223</t>
  </si>
  <si>
    <t>ICE, VOLVO PENTA, MODEL NO. 500V, SERIAL NO. 206969, DIESEL FUEL, FOUR CYCLE, TURBOCHARGED AND AFTERCOOLED, RATED AT 759 BHP, DRIVING AN EMERGENCY ELECTRICAL GENERATOR.</t>
  </si>
  <si>
    <t>500V</t>
  </si>
  <si>
    <t>759</t>
  </si>
  <si>
    <t xml:space="preserve">600 WILSHIRE BLVD                                                               </t>
  </si>
  <si>
    <t xml:space="preserve">LAUBSCHER GARRY                                   </t>
  </si>
  <si>
    <t xml:space="preserve">(402) 8297053   </t>
  </si>
  <si>
    <t>LOS ANGELES COUNTY, SHERIFF'S DEPARTMENT</t>
  </si>
  <si>
    <t>385198</t>
  </si>
  <si>
    <t>F39226</t>
  </si>
  <si>
    <t>ICE, CATERPILLAR, MODEL NO. 3412 DITTA (500 KW), DIESEL FUELED, EMERGENCY ELECTRICAL GENERATION, 12 CYLINDERS, TURBOCHARGED AND AFTERCOOLED, 746 BHP.</t>
  </si>
  <si>
    <t>ICE, CUMMINS, EMERGENCY ELECTRICAL GENERATION, MODEL NO. KTA38-G1, DIESEL FUELED, SIXTEEN CYLINDERS, TURBOCHARGED AND AFTERCOOLED, 1490 BHP.</t>
  </si>
  <si>
    <t xml:space="preserve">9200 OAKDALE AVE AVE                                                            </t>
  </si>
  <si>
    <t xml:space="preserve">ARMSTRONG STEPHEN                                 </t>
  </si>
  <si>
    <t xml:space="preserve">(818) 7754009   </t>
  </si>
  <si>
    <t xml:space="preserve">WEST ANGELES CHURCH OF GOD IN CHRIST    </t>
  </si>
  <si>
    <t>F38665</t>
  </si>
  <si>
    <t>ICE, DETROIT DIESEL, DIESEL FUELED, EMERGENCY ELECTRICAL GENERATION, MODEL NO. 6063-HK35, TURBOCHARGED, AFTERCOOLED, SIX CYLINDERS, 635 BHP.</t>
  </si>
  <si>
    <t xml:space="preserve">3600 CRENSHAW BLVD                                                              </t>
  </si>
  <si>
    <t xml:space="preserve">RANDALL JON                                       </t>
  </si>
  <si>
    <t xml:space="preserve">(323) 7354400   </t>
  </si>
  <si>
    <t xml:space="preserve">WESTERN DIGITAL CORPORATION             </t>
  </si>
  <si>
    <t>F38789</t>
  </si>
  <si>
    <t>ICE, CUMMINS, 6 CYLINDERS, TURBOCHARGED, AFTERCOOLED, MODEL NO. QSX15-G9, SERIAL NO. H000141518, 755 BHP, DIESEL-FUELED, DRIVING AN EMERGENCY ELECTRICAL GENERATOR</t>
  </si>
  <si>
    <t xml:space="preserve">20511 LAKE FOREST DR                                                            </t>
  </si>
  <si>
    <t xml:space="preserve">MONTEGUE JIM                                      </t>
  </si>
  <si>
    <t xml:space="preserve">(949) 9325790   </t>
  </si>
  <si>
    <t xml:space="preserve">WESTWOOD CENTER  LLC                    </t>
  </si>
  <si>
    <t>F42510</t>
  </si>
  <si>
    <t>ICE, DETROIT DIESEL, MODEL NO. 8123-7405, DIESEL FUELED, EMERGENCY, ELECTRICAL GENERATOR DRIVER, 12 CYLINDERS, 810 BHP, TURBOCHARGED AND AFTERCOOLED.</t>
  </si>
  <si>
    <t xml:space="preserve">1100 GLENDON AVE LOBBY 1                                                        </t>
  </si>
  <si>
    <t xml:space="preserve">BAIRD DEIRDRE                                     </t>
  </si>
  <si>
    <t xml:space="preserve">(310) 2085585   </t>
  </si>
  <si>
    <t>F46385</t>
  </si>
  <si>
    <t>ICE, CATERPILLAR, MODEL NO. 3516 DITA, SERIAL NO. 5935-3, 2168 BHP, ENGINE MANUFACTURED 2/14/97, DIESEL FUELED, TURBOCHARGED, AFTERCOOLED</t>
  </si>
  <si>
    <t xml:space="preserve">17642 ARMSTRONG                                                                 </t>
  </si>
  <si>
    <t xml:space="preserve">HARRIS TODD                                       </t>
  </si>
  <si>
    <t xml:space="preserve">(972) 7295671   </t>
  </si>
  <si>
    <t>F46382</t>
  </si>
  <si>
    <t>ICE, DETROIT DIESEL , MODEL NO. 8163-7416 (16V-92TA), SERIAL NO. 23503259, 1232 BHP, MANUFACTURED 1995, DIESEL FUELED, TURBOCHARGED, AFTERCOOLED, 16 CYLINDERS, EMERGENCY ELECTRICAL GENERATION</t>
  </si>
  <si>
    <t xml:space="preserve">308 S HILL ST                                                                   </t>
  </si>
  <si>
    <t xml:space="preserve">10100 SANTA MONICA, INC                 </t>
  </si>
  <si>
    <t>392994</t>
  </si>
  <si>
    <t>2001</t>
  </si>
  <si>
    <t>F48377</t>
  </si>
  <si>
    <t>ICE, CUMMINS, MODEL KTA38-G1, TURBOCHARGED, AFTERCOOLED, DIESEL FUELED, RATED AT 1135 BHP, DRIVING AN EMERGENCY ELECTRICAL GENERATOR.</t>
  </si>
  <si>
    <t xml:space="preserve">10100 SANTA MONICA BLVD STE 180                                                 </t>
  </si>
  <si>
    <t xml:space="preserve">WUNNER SCOTT                                      </t>
  </si>
  <si>
    <t xml:space="preserve">(310) 4074173   </t>
  </si>
  <si>
    <t xml:space="preserve">200 SOUTH LOS ROBLES - VEF V, LLC       </t>
  </si>
  <si>
    <t>393404</t>
  </si>
  <si>
    <t>F47436</t>
  </si>
  <si>
    <t>ICE, CATERPILLAR, DIESEL-FUELED, EMERGENCY ELECTRICAL GENERATION, MODEL 3406B, SERIAL NO. 2WB05233, TURBOCHARGED, AFTERCOOLED, 6 CYLINDERS, 534 BHP.</t>
  </si>
  <si>
    <t>534</t>
  </si>
  <si>
    <t xml:space="preserve">200 S LOS ROBLES AVE STE 525                                                    </t>
  </si>
  <si>
    <t xml:space="preserve">COLLINS MARYBETH                                  </t>
  </si>
  <si>
    <t xml:space="preserve">(626) 6839398   </t>
  </si>
  <si>
    <t>384793</t>
  </si>
  <si>
    <t>F38725</t>
  </si>
  <si>
    <t>ICE, CUMMINS, 12 CYLINDERS, TURBOCHARGED, AFTERCOOLED, MODEL NO. QST30-G2, SERIAL NO. H000141544, 1200 BHP, DIESEL-FUELED, DRIVING AN EMERGENCY ELECTRICAL GENERATOR.</t>
  </si>
  <si>
    <t>1200</t>
  </si>
  <si>
    <t xml:space="preserve">ISHIHARA DONALD                                   </t>
  </si>
  <si>
    <t xml:space="preserve">(310) 3694277   </t>
  </si>
  <si>
    <t>387944</t>
  </si>
  <si>
    <t>F41334</t>
  </si>
  <si>
    <t>ICE, CUMMINS, MODEL NO. KTTA50-G2, SERIAL NO. H960614528, DIESEL FUEL, 16 CYLINDERS, TURBOCHARGED AND AFTERCOOLED, RATED AT 2220 BHP DRIVING AN ELECTRICAL GENERATOR.</t>
  </si>
  <si>
    <t>2220</t>
  </si>
  <si>
    <t>387945</t>
  </si>
  <si>
    <t>F41335</t>
  </si>
  <si>
    <t xml:space="preserve">1230 ROSECRANS AVE                                                              </t>
  </si>
  <si>
    <t xml:space="preserve">RILEY HEATHER                                     </t>
  </si>
  <si>
    <t xml:space="preserve">(310) 7257014   </t>
  </si>
  <si>
    <t xml:space="preserve">MANSON CONSTRUCTION CO.                 </t>
  </si>
  <si>
    <t>F43929</t>
  </si>
  <si>
    <t>ICE, DETROIT DIESEL, TURBOCHARGED, AFTERCOOLED, MODEL 6063-GK60, SERIAL NO. 06R0431494, 550 BHP, DIESEL FUELED, PORTABLE, DRIVING AN ELECTRIC GENERATOR.</t>
  </si>
  <si>
    <t>6063-GK60</t>
  </si>
  <si>
    <t xml:space="preserve">STUESSY MARK.                                     </t>
  </si>
  <si>
    <t xml:space="preserve">(562) 4326918   </t>
  </si>
  <si>
    <t xml:space="preserve">MARINA BEACH MARRIOTT                   </t>
  </si>
  <si>
    <t>390468</t>
  </si>
  <si>
    <t>F47941</t>
  </si>
  <si>
    <t>ICE, DETROIT DIESEL, MODEL NO. 8163-7305, SERIAL NO. 16VF006512, DIESEL FUELED, TURBOCHARGED AND AFTERCOOLED, 16 CYLINDERS, 960 BHP, DRIVING AN EMERGENCY ELECTRICAL GENERATOR.</t>
  </si>
  <si>
    <t xml:space="preserve">4100 ADMIRALTY WAY                                                              </t>
  </si>
  <si>
    <t xml:space="preserve">THOMPSON STEVE                                    </t>
  </si>
  <si>
    <t xml:space="preserve">(310) 4484871   </t>
  </si>
  <si>
    <t xml:space="preserve">MAZDA MOTOR OF AMERICA INC              </t>
  </si>
  <si>
    <t>387578</t>
  </si>
  <si>
    <t>F41330</t>
  </si>
  <si>
    <t>ICE, CATERPILLAR, EMERGENCY ELECTRICAL GENERATION, MODEL NO. 3412, SERIAL NO. 81Z05329, DIESEL FUELED, TWELVE CYLINDERS, TURBOCHARGED AND AFTERCOOLED, 749 BHP.</t>
  </si>
  <si>
    <t xml:space="preserve">7755 Irvine Center Dr.                                                          </t>
  </si>
  <si>
    <t xml:space="preserve">SNYDER KURT                                       </t>
  </si>
  <si>
    <t xml:space="preserve">(949) 7276174   </t>
  </si>
  <si>
    <t xml:space="preserve">MBNA MARKETING SYSTEMS                  </t>
  </si>
  <si>
    <t>391481</t>
  </si>
  <si>
    <t>F44920</t>
  </si>
  <si>
    <t>ICE, DETROIT DIESEL, MODEL 6063 HK 35, S/N 0677223,  TURBOCHARGED, 635 BHP, DIESEL FUELED, DRIVING AN EMERGENCY ELECTRICAL GENERATOR.</t>
  </si>
  <si>
    <t>635</t>
  </si>
  <si>
    <t xml:space="preserve">85 ENTERPRISE SUITE 300                                                         </t>
  </si>
  <si>
    <t xml:space="preserve">FRIEDMAN LEE                                      </t>
  </si>
  <si>
    <t xml:space="preserve">(949) 6434060   </t>
  </si>
  <si>
    <t>396515</t>
  </si>
  <si>
    <t>F48763</t>
  </si>
  <si>
    <t>ICE, CATERPILLAR, MODEL NO. 3406B TA, DIESEL FUELED, 6 CYLINDERS, FOUR CYCLE, TURBOCHARGED, AND AFTERCOOLED, RATED AT 519 BHP DRIVING AN EMERGENCY ELECTRICAL GENERATOR.</t>
  </si>
  <si>
    <t xml:space="preserve">MCI TELECOMMUNICATION CORP, DOHLCA      </t>
  </si>
  <si>
    <t>D95532</t>
  </si>
  <si>
    <t>ICE, CUMMINS, 6 CYLINDERS, TURBOCHARGED, AFTERCOOLED, MODEL NO. KTA19-G1, 560 BHP, DIESEL-FUELED, DRIVING AN EMERGENCY ELECTRICAL GENERATOR.</t>
  </si>
  <si>
    <t xml:space="preserve">17900 S CENTRAL AVE                                                             </t>
  </si>
  <si>
    <t xml:space="preserve">DETHLEFS BOB                                      </t>
  </si>
  <si>
    <t xml:space="preserve">(310) 6081909   </t>
  </si>
  <si>
    <t>D95533</t>
  </si>
  <si>
    <t>228322</t>
  </si>
  <si>
    <t>1990</t>
  </si>
  <si>
    <t>D35162</t>
  </si>
  <si>
    <t>INTERNAL COMBUSTION ENGINE, CATERPILLAR, DIESELF-FUELED, EMERGENCY ELECTRICAL GENERATION, MODEL NO. 3512, TURBOCHARGED, AFTERCOOLED, 12 CYLINDERS, 2178 BHP.</t>
  </si>
  <si>
    <t>2178</t>
  </si>
  <si>
    <t xml:space="preserve">METLIFE INSURANCE CO/CENTURY CENTRE     </t>
  </si>
  <si>
    <t>383513</t>
  </si>
  <si>
    <t>F39377</t>
  </si>
  <si>
    <t>ICE, CATERPILLAR, DIESEL-FUELED, EMERGENCY ELECTRICAL GENERATION, MODEL NO. 3408, SERIAL NO. 78Z01675, TURBOCHARGED, AFTERCOOLED, 6 CYLINDERS, 538 BHP.</t>
  </si>
  <si>
    <t>538</t>
  </si>
  <si>
    <t xml:space="preserve">2601 MAIN ST STE 500                                                            </t>
  </si>
  <si>
    <t xml:space="preserve">MULL GARY                                         </t>
  </si>
  <si>
    <t xml:space="preserve">(714) 4748300   </t>
  </si>
  <si>
    <t>F43772</t>
  </si>
  <si>
    <t>ICE, CATERPILLAR, MODEL NO. 3512 STD, SERIAL NO. 65Z00637, DIESEL FUELED, RATED AT 1020 BHP DRIVING AN EMERGENCY ELECTRICAL GENERATOR.</t>
  </si>
  <si>
    <t xml:space="preserve">27500 RAMONA EXPRESSWAY                                                         </t>
  </si>
  <si>
    <t xml:space="preserve">MGM PLAZA BUILDINGS                     </t>
  </si>
  <si>
    <t>383326</t>
  </si>
  <si>
    <t>F41354</t>
  </si>
  <si>
    <t>ICE, #3, CATERPILLAR, MODEL NO. 3412, SERIAL NO. AR1W9594, DIESEL FUELED, EMERGENCY ELECTRICAL GENERATION, 12 CYLINDERS, TURBOCHARGED AND AFTERCOOLED, 545 BHP.</t>
  </si>
  <si>
    <t>545</t>
  </si>
  <si>
    <t xml:space="preserve">2425-525 COLORADO AVE                                                           </t>
  </si>
  <si>
    <t xml:space="preserve">GASKELL ALAN                                      </t>
  </si>
  <si>
    <t xml:space="preserve">(310) 8184319   </t>
  </si>
  <si>
    <t>383328</t>
  </si>
  <si>
    <t>F41357</t>
  </si>
  <si>
    <t>ICE, #4, CATERPILLAR, MODEL NO. 3406B DI, SERIAL NO. 4RG01016, DIESEL FUELED, EMERGENCY ELECTRICAL GENERATION, 6 CYLINDERS, TURBOCHARGED AND AFTERCOOLED, 581 BHP.</t>
  </si>
  <si>
    <t>3406B DI</t>
  </si>
  <si>
    <t>581</t>
  </si>
  <si>
    <t>ICE, CATERPILLAR, MODEL NO. 3406 DITA, SERIAL NO. 6JM00630, DIESEL-FUELED, FOUR CYCLES, SIX CYLINDERS, TURBOCHARGED AND AFTERCOOLED, RATED AT 536 BHP, DRIVING AN EMERGENCY ELECTRICAL GENERATOR.</t>
  </si>
  <si>
    <t>536</t>
  </si>
  <si>
    <t xml:space="preserve">21801 OXNARD ST                                                                 </t>
  </si>
  <si>
    <t xml:space="preserve">SALGADO MIGUEL                                    </t>
  </si>
  <si>
    <t xml:space="preserve">(818) 8830706   </t>
  </si>
  <si>
    <t xml:space="preserve">AMERICAN EAGLE WHEEL CORPORATION        </t>
  </si>
  <si>
    <t>386283</t>
  </si>
  <si>
    <t>F41139</t>
  </si>
  <si>
    <t>ICE, CUMMINS, 12 CYLINDERS, TURBOCHARGED, AFTERCOOLED, MODEL NO. QST30-G5, 1490 BHP, DIESEL-FUELED, DRIVING AN EMERGENCY ELECTRICAL GENERATOR.</t>
  </si>
  <si>
    <t>1490</t>
  </si>
  <si>
    <t xml:space="preserve">5780 SOESTERN CT                                                                </t>
  </si>
  <si>
    <t xml:space="preserve">GOROKHOVSLEY VADIM                                </t>
  </si>
  <si>
    <t xml:space="preserve">(909) 5908828   </t>
  </si>
  <si>
    <t>AMERICAN MED INTL, ENCINO/TARZANA REGIONAL MED CTR</t>
  </si>
  <si>
    <t>D77654</t>
  </si>
  <si>
    <t>ICE, CUMMINS, DIESEL-FUELED, EMERGENCY ELECTRICAL GENERATION, MODEL VT1710PG635, SERIAL NO. 682917-3, TURBOCHARGED, AFTERCOOLED, 12 CYLINDERS, 574 BHP.</t>
  </si>
  <si>
    <t>574</t>
  </si>
  <si>
    <t xml:space="preserve">16237 VENTURA BLVD                                                              </t>
  </si>
  <si>
    <t xml:space="preserve">ENCINO                   </t>
  </si>
  <si>
    <t xml:space="preserve">VESTINO MIKE                                      </t>
  </si>
  <si>
    <t xml:space="preserve">(818) 9955087   </t>
  </si>
  <si>
    <t xml:space="preserve">AMERICAN STORES CO, LUCKY STORES INC    </t>
  </si>
  <si>
    <t>389512</t>
  </si>
  <si>
    <t>F42782</t>
  </si>
  <si>
    <t>ICE, DETROIT DIESEL, 6 CYLINDERS, TURBOCHARGED, AFTERCOOLED, MODEL NO. 6063-HK35 (474 KW), SERIAL NO. 300RE02D, 635 BHP, DIESEL FUELED, DRIVING AN EMERGENCY ELECTRICAL GENERATOR.</t>
  </si>
  <si>
    <t>474</t>
  </si>
  <si>
    <t xml:space="preserve">9300 TOLEDO AVE                                                                 </t>
  </si>
  <si>
    <t xml:space="preserve">SUMMERS LAURA                                     </t>
  </si>
  <si>
    <t xml:space="preserve">(208) 3955245   </t>
  </si>
  <si>
    <t xml:space="preserve">ANAHEIM CITY, CONVENTION CTR            </t>
  </si>
  <si>
    <t>392627</t>
  </si>
  <si>
    <t>F47023</t>
  </si>
  <si>
    <t>ICE, CATERPILLAR, MODEL 3512B DITA/1500 KW, DIESEL FUEL, 12 CYLINDERS, TURBOCHARGED AND AFTERCOOLED, RATED AT 2153 BHP DRIVING AN EMERGENCY ELECTRICAL STAND-BY GENERATOR.</t>
  </si>
  <si>
    <t xml:space="preserve">800 W KATELLA AVE                                                               </t>
  </si>
  <si>
    <t>392628</t>
  </si>
  <si>
    <t>F47024</t>
  </si>
  <si>
    <t>ICE, CATERPILLAR, MODEL 3408B, SERIAL NO. 78203313, DIESEL FUEL, 8 CYLINDERS, TURBOCHARGED AND AFTERCOOLED, RATED AT 600 BHP, DRIVING AN EMERGENCY ELECTRICAL STANDBY GENERATOR.</t>
  </si>
  <si>
    <t>600</t>
  </si>
  <si>
    <t>384619</t>
  </si>
  <si>
    <t>F38739</t>
  </si>
  <si>
    <t>ICE, CUMMINS, EMERGENCY ELECTRICAL GENERATION, MODEL NO. GTA1710, NATURAL GAS /LPG FUELED, TURBOCHARGED AND AFTERCOOLED, 710 BHP.</t>
  </si>
  <si>
    <t>GTA1710</t>
  </si>
  <si>
    <t>710</t>
  </si>
  <si>
    <t xml:space="preserve">8103 E SERRANO AVE                                                              </t>
  </si>
  <si>
    <t>392270</t>
  </si>
  <si>
    <t>F48252</t>
  </si>
  <si>
    <t>ICE, CATERPILLAR, 3412 DITTA, SERIAL NO. 81Z25561, DIESEL FUEL, 12 CYLINDERS, TURBOCHARGED, AND AFTERCOOLED, RATED AT 896 BHP DRIVING AN ELECTRICAL GENERATOR.</t>
  </si>
  <si>
    <t>896</t>
  </si>
  <si>
    <t xml:space="preserve">1664 S BROOKHURST ST WELL 40                                                    </t>
  </si>
  <si>
    <t>ANAHEIM PUB UTILITIES DEPT, ENV SVCS DIV</t>
  </si>
  <si>
    <t>384620</t>
  </si>
  <si>
    <t>F38733</t>
  </si>
  <si>
    <t>ICE, CATERPILLAR, EMERGENCY ELECTRICAL GENERATION, MODEL NO. 3508, TURBOCHARGED AND AFTERCOOLED, DIESEL FUELED, 1336 BHP.</t>
  </si>
  <si>
    <t>3508</t>
  </si>
  <si>
    <t>1336</t>
  </si>
  <si>
    <t xml:space="preserve">2004 S WEST ST                                                                  </t>
  </si>
  <si>
    <t xml:space="preserve">ARB INC                                 </t>
  </si>
  <si>
    <t>390009</t>
  </si>
  <si>
    <t>F48765</t>
  </si>
  <si>
    <t>ICE, PORTABLE, CATERPILLAR, MODEL NO. 3412 PCTA, SERIAL NO. 3858255, DIESEL FUEL, TURBOCHARGED AND AFTERCOOLED, RATED AT 665 BHP DRIVING AN ELECTRICAL GENERATOR.</t>
  </si>
  <si>
    <t>3412 PCTA</t>
  </si>
  <si>
    <t>665</t>
  </si>
  <si>
    <t xml:space="preserve">VARIOUS LOCATIONS IN AQMD                                                       </t>
  </si>
  <si>
    <t xml:space="preserve">PETERSON DON                                      </t>
  </si>
  <si>
    <t xml:space="preserve">(949) 4657310   </t>
  </si>
  <si>
    <t>390011</t>
  </si>
  <si>
    <t>F48729</t>
  </si>
  <si>
    <t>ICE, PORTABLE, CATERPILLAR, MODEL NO. 3412 TA, SERIAL NO. 3856598, DIESEL, FUEL, TURBOCHARGED, RATED AT 750 BHP DRIVING AN ELECTRICAL GENERATOR.</t>
  </si>
  <si>
    <t>750</t>
  </si>
  <si>
    <t xml:space="preserve">ARCADIA CITY OF WATER DIVISION          </t>
  </si>
  <si>
    <t>396340</t>
  </si>
  <si>
    <t>F48112</t>
  </si>
  <si>
    <t>ICE, CATERPILLAR, 12 CYLINDER, TURBOCHARGED, AFTERCOOLED, MODEL 3412 DITTA (500 KW), SERIAL NO. BPG00256, 746 BHP, DIESEL FUELED, DRIVING AN EMERGENCY ELECTRICAL GENERATOR.</t>
  </si>
  <si>
    <t xml:space="preserve">230 N SECOND AVE                                                                </t>
  </si>
  <si>
    <t xml:space="preserve">HOLCOMB BUD                                       </t>
  </si>
  <si>
    <t>ICE, CATERPILLAR, DIESEL-FUELED, EMERGENCY ELECTRICAL GENERATION, MODEL D348, SERIAL NO. 36J613, TURBOCHARGED, AFTERCOOLED, 12 CYLINDERS, 805 BHP.</t>
  </si>
  <si>
    <t>805</t>
  </si>
  <si>
    <t xml:space="preserve">2049 CENTURY PARK EAST GARAGE LEVEL A                                           </t>
  </si>
  <si>
    <t xml:space="preserve">LOUROS CHRIS                                      </t>
  </si>
  <si>
    <t xml:space="preserve">(310) 2267432   </t>
  </si>
  <si>
    <t xml:space="preserve">F8690 </t>
  </si>
  <si>
    <t>ICE, CATERPILLAR, DIESEL-FUELED, EMERGENCY ELECTRICAL GENERATION, MODEL D348, SERIAL NO. 36J797, TURBOCHARGED, AFTERCOOLED, 12 CYLINDERS, 860 BHP.</t>
  </si>
  <si>
    <t xml:space="preserve">ONE WILSHIRE, CARLYLE ONE WILSHIRE, LLC </t>
  </si>
  <si>
    <t>393000</t>
  </si>
  <si>
    <t>F47172</t>
  </si>
  <si>
    <t>ICE, CATERPILLAR, DIESEL FUELED, EMERGENCY ELECTRICAL GENERATION, MODEL 3512, TURBOCHARGED, AFTERCOOLED, 12 CYLINDERS, 1482 BHP.</t>
  </si>
  <si>
    <t xml:space="preserve">624 S GRAND AVE                                                                 </t>
  </si>
  <si>
    <t xml:space="preserve">STEVENS PAMELA                                    </t>
  </si>
  <si>
    <t xml:space="preserve">(213) 6294831   </t>
  </si>
  <si>
    <t>393004</t>
  </si>
  <si>
    <t>F47174</t>
  </si>
  <si>
    <t>ICE, CATERPILLAR, DIESEL-FUELED, EMERGENCY ELECTRICAL GENERATION, MODEL 3412, S/N 81Z03521, TURBOCHARGED, INTERCOOLED, 12 CYLINDERS, 680 BHP.</t>
  </si>
  <si>
    <t>393005</t>
  </si>
  <si>
    <t>F47175</t>
  </si>
  <si>
    <t>ICE, CATERPILLAR, 16-CYLINDERS, TURBOCHARGED, AFTERCOOLED, MODEL NO. 3516 DITA (2000 KW), 2847 BHP, DIESEL-FUELED, DRIVING AN EMERGENCY ELECTRICAL GENERATOR.</t>
  </si>
  <si>
    <t>393006</t>
  </si>
  <si>
    <t>F47176</t>
  </si>
  <si>
    <t>393009</t>
  </si>
  <si>
    <t>F47179</t>
  </si>
  <si>
    <t>ICE, CATERPILLAR, 16 CYLINDERS, TURBOCHARGED, AFTERCOOLED, MODEL NO. 3516 DITA (2000 KW), 2847 BHP, DIESEL-FUELED, DRIVING AN EMERGENCY ELECTRICAL GENERATOR.</t>
  </si>
  <si>
    <t>393010</t>
  </si>
  <si>
    <t>F47180</t>
  </si>
  <si>
    <t>ICE, CATERPILLAR, DIESEL-FUELED, EMERGENCY ELECTRICAL GENERATION, MODEL 3516, TURBOCHARGED, AFTERCOOLED, 16 CYLINDERS, 2836 BHP.</t>
  </si>
  <si>
    <t>2836</t>
  </si>
  <si>
    <t>ORANGE, COUNTY OF - SHERIFF DEPT, FAC OP</t>
  </si>
  <si>
    <t>398495</t>
  </si>
  <si>
    <t>F49699</t>
  </si>
  <si>
    <t>ICE, CATERPILLAR, 12 CYLINDERS, TURBOCHARGED, AFTERCOOLED, MODEL NO. 3412C DISTA (750 KW), SERIAL NO. 9EP01633-AFR00306, 1114 BHP, DIESEL FUELED, DRIVING AN EMERGENCY ELECTRICAL GENERATOR.</t>
  </si>
  <si>
    <t>3412C DISTA</t>
  </si>
  <si>
    <t xml:space="preserve">13502 MUSICK ST                                                                 </t>
  </si>
  <si>
    <t xml:space="preserve">LUU LOUIS                                         </t>
  </si>
  <si>
    <t xml:space="preserve">(714) 9358438   </t>
  </si>
  <si>
    <t>272716</t>
  </si>
  <si>
    <t>1992</t>
  </si>
  <si>
    <t>D66316</t>
  </si>
  <si>
    <t>INTERNAL COMBUSTION ENGINE, CATERPILLAR, MODEL NO. 3516 TA, SERIAL NO. 4XF00425, DIESEL FUELED, EMERGENCY, ELECTRICAL GENERATOR DRIVER, TURBOCHARGED, AFTERCOOLED, 16 CYLINDERS, 2847 BHP.</t>
  </si>
  <si>
    <t>3516TA</t>
  </si>
  <si>
    <t>381463</t>
  </si>
  <si>
    <t>F37377</t>
  </si>
  <si>
    <t>ICE, CATERPILLAR, 8 CYLINDERS, TURBOCHARGED, AFTERCOOLED, MODEL NO. 3508B DITA (1000 KW), 1480 BHP, DIESEL FUELED, DRIVING AN EMERGENCY ELECTRICAL GENERATOR.</t>
  </si>
  <si>
    <t>1000</t>
  </si>
  <si>
    <t xml:space="preserve">4885 LAS VIRGENES RD                                                            </t>
  </si>
  <si>
    <t>387570</t>
  </si>
  <si>
    <t>F45422</t>
  </si>
  <si>
    <t>ICE, CATERPILLAR, MODEL 3516B DITA, DIESEL FUEL, 16 CYLINDERS, FOUR CYCLE, LEAN BURN, TURBOCHARGED AND AFTERCOOLED, RATED AT 2499 BHP, DRIVING AN EMERGENCY STAND-BY GENERATOR.</t>
  </si>
  <si>
    <t>2499</t>
  </si>
  <si>
    <t xml:space="preserve">6900 S VERMONT AVE                                                              </t>
  </si>
  <si>
    <t xml:space="preserve">FARIAS LINUS                                      </t>
  </si>
  <si>
    <t xml:space="preserve">(925) 8238851   </t>
  </si>
  <si>
    <t>387761</t>
  </si>
  <si>
    <t>F45585</t>
  </si>
  <si>
    <t>ICE, CATERPILLAR, EMERGENCY ELECTRICAL GENERATION, MODEL NO. 3512B, SERIAL NO. 08RM00703, DIESEL FUELED, TURBOCHARGED AND AFTERCOOLED, 2172 BHP.</t>
  </si>
  <si>
    <t xml:space="preserve">12722 E BIRCH AVE                                                               </t>
  </si>
  <si>
    <t>390083</t>
  </si>
  <si>
    <t>F46471</t>
  </si>
  <si>
    <t>ICE, WAUKESHA, MODEL NO. F3524GSI, NATURAL GAS FIRED, RICH BURN, TURBOCHARGED, AFTERCOOLED, 840 BHP, WITH A JOHNSON MATTHEY QZH90-14 CATALYTIC CONVERTER, WITH MIRATECH MEC200-1 AIR-TO-FUEL RATIO CONTROLLER, DRIVING AN ELECTRICAL GENERATOR.</t>
  </si>
  <si>
    <t>F3524GSI</t>
  </si>
  <si>
    <t>840</t>
  </si>
  <si>
    <t xml:space="preserve">CAL ST UNIV LA                          </t>
  </si>
  <si>
    <t>391466</t>
  </si>
  <si>
    <t>F47028</t>
  </si>
  <si>
    <t>ICE, DETROIT DIESEL, MODEL NO. R123-7K35, DIESEL FUELED, 16 CYLINDERS, TURBOCHARGED, AFTERCOOLED, 1200 BHP, DRIVING AN EMERGENCY ELECTRICAL GENERATOR.</t>
  </si>
  <si>
    <t xml:space="preserve">5151 STATE UNIVERSITY DR                                                        </t>
  </si>
  <si>
    <t xml:space="preserve">FORD FRANK                                        </t>
  </si>
  <si>
    <t xml:space="preserve">(323) 3433546   </t>
  </si>
  <si>
    <t xml:space="preserve">CAL ST UNIV, SAN BERNARDINO             </t>
  </si>
  <si>
    <t xml:space="preserve">F3049 </t>
  </si>
  <si>
    <t>ICE, CATERPILLAR, 6 CYLINDERS, TURBOCHARGED, AFTERCOOLED, MODEL NO. 3406 DITA (400 KW), 587 BHP, DIESEL FUELED, DRIVING AN EMERGENCY ELECTRICAL GENERATOR.</t>
  </si>
  <si>
    <t xml:space="preserve">5500 UNIVERSITY PKY                                                             </t>
  </si>
  <si>
    <t xml:space="preserve">ICHSAN TONY                                       </t>
  </si>
  <si>
    <t xml:space="preserve">(909) 8805179   </t>
  </si>
  <si>
    <t>1989</t>
  </si>
  <si>
    <t>D28786</t>
  </si>
  <si>
    <t>KTA1150G</t>
  </si>
  <si>
    <t>550</t>
  </si>
  <si>
    <t>D28784</t>
  </si>
  <si>
    <t>D28785</t>
  </si>
  <si>
    <t xml:space="preserve">CALIFORNIA SCIENCE CENTER               </t>
  </si>
  <si>
    <t>390895</t>
  </si>
  <si>
    <t>F48545</t>
  </si>
  <si>
    <t>ICE, DETROIT DIESEL, MODEL NO. 7243-7406, SERIAL NO. 376127, DIESEL FUELED, TURBOCHARGED, 24-CYLINDER, 1474 BHP,  DRIVING AN EMERGENCY ELECTRICAL GENERATOR.</t>
  </si>
  <si>
    <t>1474</t>
  </si>
  <si>
    <t xml:space="preserve">700 STATE DR                                                                    </t>
  </si>
  <si>
    <t xml:space="preserve">FRANCIS NATHAN                                    </t>
  </si>
  <si>
    <t xml:space="preserve">(213) 7442620   </t>
  </si>
  <si>
    <t>2172</t>
  </si>
  <si>
    <t>CASTAIC LAKE WATER AGENCY, RIO VISTA WTP</t>
  </si>
  <si>
    <t>380888</t>
  </si>
  <si>
    <t>F43809</t>
  </si>
  <si>
    <t>ICE, DETROIT DIESEL, EMERGENCY ELECTRICAL GENERATION, MODEL NO. 9163-7416, DIESEL-FUELED, SIXTEEN CYLINDERS, TURBOCHARGED AND INTERCOOLED, 2340 BHP.</t>
  </si>
  <si>
    <t>2340</t>
  </si>
  <si>
    <t xml:space="preserve">26401 N BOUQUET CYN RD                                                          </t>
  </si>
  <si>
    <t xml:space="preserve">ROWLEY PAUL                                       </t>
  </si>
  <si>
    <t xml:space="preserve">(661) 2971600   </t>
  </si>
  <si>
    <t xml:space="preserve">CASTIAC LAKE WATER AGENCY               </t>
  </si>
  <si>
    <t>380892</t>
  </si>
  <si>
    <t>F43810</t>
  </si>
  <si>
    <t>ICE, DETROIT DIESEL, EMERGENCY ELECTRICAL GENERATION, MODEL NO. 9123-7306, DIESEL-FUELED, TWELVE CYLINDERS, TURBOCHARGED AND INTERCOOLED, 1550 BHP.</t>
  </si>
  <si>
    <t>1550</t>
  </si>
  <si>
    <t xml:space="preserve">27234 N BOUQUET CANYON RD                                                       </t>
  </si>
  <si>
    <t xml:space="preserve">CBS BROADCASTING, INC                   </t>
  </si>
  <si>
    <t>395197</t>
  </si>
  <si>
    <t>F48214</t>
  </si>
  <si>
    <t>INTERNAL COMBUSTION ENGINE, PORTABLE, DETROIT DIESEL, MODEL NO. 8123-7416 (12V-92TA), SERIAL NO. 336157, DIESEL FUELED, TWO CYCLES, TWELVE CYLINDERS, TURBOCHARGED AND AFTERCOOLED, RATED AT 947 BHP, DRIVING AN EMERGENCY ELECTRICAL GENERATOR.</t>
  </si>
  <si>
    <t xml:space="preserve">CHANCE JOEL                                       </t>
  </si>
  <si>
    <t xml:space="preserve">(323) 5752463   </t>
  </si>
  <si>
    <t xml:space="preserve">CBS INC                                 </t>
  </si>
  <si>
    <t>F50567</t>
  </si>
  <si>
    <t>ICE, CATERPILLAR, MODEL NO. 3512B TA, SERIAL NO. CMC00194/6DW01147, DIESEL FUELED, TURBOCHARGED AND AFTERCOOLED, 12-CYLINDER, 2160 BHP, DRIVING AN EMERGENCY ELECTRICAL GENERATOR.</t>
  </si>
  <si>
    <t>3512B TA</t>
  </si>
  <si>
    <t>2160</t>
  </si>
  <si>
    <t xml:space="preserve">7800 Beverly Blvd.                                                              </t>
  </si>
  <si>
    <t xml:space="preserve">CCL CONTAINER                           </t>
  </si>
  <si>
    <t>388707</t>
  </si>
  <si>
    <t>F42299</t>
  </si>
  <si>
    <t>ICE, CUMMINS, 16 CYLINDERS, TURBOCHARGED, AFTERCOOLED, MODEL NO. QSK60-G6 (2180 KW), 2922 BHP, DIESEL-FUELED, DRIVING AN EMERGENCY ELECTRICAL GENERATOR.</t>
  </si>
  <si>
    <t>2922</t>
  </si>
  <si>
    <t xml:space="preserve">2501 W ROSECRANS                                                                </t>
  </si>
  <si>
    <t xml:space="preserve">HARTMAN MARK                                      </t>
  </si>
  <si>
    <t xml:space="preserve">(310) 6354444   </t>
  </si>
  <si>
    <t>388710</t>
  </si>
  <si>
    <t>F45590</t>
  </si>
  <si>
    <t>ICE, CUMMINS, EMERGENCY ELECTRICAL GENERATION, MODEL NO. KTA50-G9, DIESEL FUELED, SIXTEEN CYLINDERS, TURBOCHARGED AND AFTERCOOLED, 2220 BHP.</t>
  </si>
  <si>
    <t xml:space="preserve">CENDANT CORPORATION                     </t>
  </si>
  <si>
    <t>386637</t>
  </si>
  <si>
    <t>F46274</t>
  </si>
  <si>
    <t xml:space="preserve">27271 LAS RAMBLAS                                                               </t>
  </si>
  <si>
    <t xml:space="preserve">FAZENDEN RICK                                     </t>
  </si>
  <si>
    <t xml:space="preserve">(949) 3672160   </t>
  </si>
  <si>
    <t xml:space="preserve">CHINO VALLEY MEDICAL CENTER             </t>
  </si>
  <si>
    <t>F44015</t>
  </si>
  <si>
    <t>ICE, DETROIT DIESEL, 16 CYLINDERS, TURBOCHARGED AND AFTERCOOLED, MODEL 16V-92TA, 1232 BHP, DRIVING AN EMERGENCY ELECTRICAL GENERATOR.</t>
  </si>
  <si>
    <t>1232</t>
  </si>
  <si>
    <t xml:space="preserve">5451 WALNUT AVE                                                                 </t>
  </si>
  <si>
    <t xml:space="preserve">SERVICE JERRY                                     </t>
  </si>
  <si>
    <t xml:space="preserve">(909) 4648680   </t>
  </si>
  <si>
    <t>386036</t>
  </si>
  <si>
    <t>F43890</t>
  </si>
  <si>
    <t>ICE, CUMMINS, DIESEL-FUELED, ELECTRICAL GENERATION, MODEL NTTAG-2, SERIAL NO. 4880151442, TURBOCHARGED, AFTERCOOLED, 6 CYLINDERS, 535 BHP.</t>
  </si>
  <si>
    <t>NTTAG-2</t>
  </si>
  <si>
    <t>535</t>
  </si>
  <si>
    <t>389413</t>
  </si>
  <si>
    <t>F44014</t>
  </si>
  <si>
    <t>ICE, CATERPILLAR, 8 CYLINDERS, TURBOCHARGED AND AFTERCOOLED, MODEL 3508 DITA, SERIAL NO. 23Z04514, DRIVING AN EMERGENCY ELECTRICAL GENERATOR, 1060 BHP.</t>
  </si>
  <si>
    <t>1060</t>
  </si>
  <si>
    <t xml:space="preserve">CINGULAR WIRELESS                       </t>
  </si>
  <si>
    <t>390844</t>
  </si>
  <si>
    <t>F44528</t>
  </si>
  <si>
    <t>ICE, CATERPILLAR, EMERGENCY ELECTRICAL GENERATION, MODEL NO. 3456, DIESEL FUELED, SIX CYLINDERS, TURBOCHARGED AND AFTERCOOLED, 610 BHP.</t>
  </si>
  <si>
    <t>3456</t>
  </si>
  <si>
    <t>610</t>
  </si>
  <si>
    <t xml:space="preserve">12 GODDARD AVE                                                                  </t>
  </si>
  <si>
    <t xml:space="preserve">DOOLEY COLLEEN                                    </t>
  </si>
  <si>
    <t xml:space="preserve">(714) 7347408   </t>
  </si>
  <si>
    <t>ICE NO. 1A,  ELECTRICAL POWER GENERATION, DETROIT DIESEL, MODEL NO. 16V-149TI, DIESEL-FUELED, TURBOCHARGED, AFTERCOOLED, 16 CYLINDERS, 1,917 BHP, POWER IS NOT TO BE EXPORTED TO OTHER FACILITIES.</t>
  </si>
  <si>
    <t xml:space="preserve">701 S AVIATION BLVD/2383 UTAH AV                                                </t>
  </si>
  <si>
    <t xml:space="preserve">CHANG PETER                                       </t>
  </si>
  <si>
    <t xml:space="preserve">(310) 3335449   </t>
  </si>
  <si>
    <t>D36587</t>
  </si>
  <si>
    <t>ICE NO. 1B,  ELECTRICAL POWER GENERATION, DETROIT DIESEL, MODEL NO. 16V-149TI, DIESEL-FUELED, TURBOCHARGED, AFTERCOOLED, 16 CYLINDERS, 1,917 BHP, POWER IS NOT TO BE EXPORTED TO OTHER FACILITIES.</t>
  </si>
  <si>
    <t>D36585</t>
  </si>
  <si>
    <t>ICE NO. 2A,  ELECTRICAL POWER GENERATION, DETROIT DIESEL, MODEL NO. 16V-149TI, DIESEL-FUELED, TURBOCHARGED, AFTERCOOLED, 16 CYLINDERS, 1,917 BHP, POWER IS NOT TO BE EXPORTED TO OTHER FACILITIES.</t>
  </si>
  <si>
    <t>D36589</t>
  </si>
  <si>
    <t>ICE NO. 2B,  ELECTRICAL POWER GENERATION, DETROIT DIESEL, MODEL NO. 16V-149TI, DIESEL-FUELED, TURBOCHARGED, AFTERCOOLED, 16 CYLINDERS, 1,917 BHP, POWER IS NOT TO BE EXPORTED TO OTHER FACILITIES.</t>
  </si>
  <si>
    <t>D36590</t>
  </si>
  <si>
    <t>ICE NO. 3A,  ELECTRICAL POWER GENERATION, DETROIT DIESEL, MODEL NO. 16V-149TI, DIESEL-FUELED, TURBOCHARGED, AFTERCOOLED, 16 CYLINDERS, 1,917 BHP, POWER IS NOT TO BE EXPORTED TO OTHER FACILITIES.</t>
  </si>
  <si>
    <t>D36591</t>
  </si>
  <si>
    <t>ICE NO. 3B,  ELECTRICAL POWER GENERATION, DETROIT DIESEL, MODEL NO. 16V-149TI, DIESEL-FUELED, TURBOCHARGED, AFTERCOOLED, 16 CYLINDERS, 1,917 BHP, POWER IS NOT TO BE EXPORTED TO OTHER FACILITIES.</t>
  </si>
  <si>
    <t xml:space="preserve">YORBA LINDA CO. WATER DIST              </t>
  </si>
  <si>
    <t xml:space="preserve">F4352 </t>
  </si>
  <si>
    <t>ICE, CATERPILLAR, MODEL NO. G3412 SITA, NATURAL GAS OR LPG FUELED, EMERGENCY, 12 CYLINDERS, 567 BHP.</t>
  </si>
  <si>
    <t>G3412 SITA</t>
  </si>
  <si>
    <t xml:space="preserve">913 S RICHFIELD RD                                                              </t>
  </si>
  <si>
    <t xml:space="preserve">ROBERTSON WILLIAM                                 </t>
  </si>
  <si>
    <t xml:space="preserve">(714) 7773018   </t>
  </si>
  <si>
    <t xml:space="preserve">YUCAIPA VALLEY WATER DIST               </t>
  </si>
  <si>
    <t>D45704</t>
  </si>
  <si>
    <t>ICE, DIESEL, MITSUBISHI, MODEL NO. S12N-PT, 1160 HP, 750 KW, EMERGENCY</t>
  </si>
  <si>
    <t xml:space="preserve">880 W COUNTY LINE RD                                                            </t>
  </si>
  <si>
    <t xml:space="preserve">CALDWELL KENNETH                                  </t>
  </si>
  <si>
    <t xml:space="preserve">(909) 7952491   </t>
  </si>
  <si>
    <t>D45705</t>
  </si>
  <si>
    <t xml:space="preserve">LIVE OAK CYN RD                                                                 </t>
  </si>
  <si>
    <t xml:space="preserve">MAGYAR EDWARD F                                   </t>
  </si>
  <si>
    <t xml:space="preserve">(714) 7975117   </t>
  </si>
  <si>
    <t>D97527</t>
  </si>
  <si>
    <t>ICE, DIESEL, CATERPILLAR, MODEL NO. 3508 TA, EIGHT CYLINDER, 1106 BHP, TURBOCHARGED, AFTERCOOLED, EMERGENCY</t>
  </si>
  <si>
    <t xml:space="preserve">ZML TWO CALIFORNIA PLAZA, LLC           </t>
  </si>
  <si>
    <t xml:space="preserve">F5257 </t>
  </si>
  <si>
    <t>ICE, CATERPILLAR, MODEL NO. 3512, SERIAL NO. 3YF00564, TURBOCHARGED, AFTERCOOLED, 12 CYLINDERS, 2036 BHP.</t>
  </si>
  <si>
    <t xml:space="preserve">350 S GRAND AVE                                                                 </t>
  </si>
  <si>
    <t xml:space="preserve">ADAMS BRUCE                                       </t>
  </si>
  <si>
    <t xml:space="preserve">(213) 6872092   </t>
  </si>
  <si>
    <t xml:space="preserve">F5258 </t>
  </si>
  <si>
    <t>ICE, CATERPILLAR, MODEL NO. 3512, SERIAL NO. 3YF00559, TURBOCHARGED, AFTERCOOLED, 12 CYLINDERS, 2036 BHP.</t>
  </si>
  <si>
    <t>F39105</t>
  </si>
  <si>
    <t>ICE, CATERPILLAR, EMERGENCY ELECTRICAL GENERATION, MODEL NO. 3508B-DITA, DIESEL FUELED, EIGHT CYLINDERS, TURBOCHARGED AND AFTERCOOLED, 1480 BHP.</t>
  </si>
  <si>
    <t xml:space="preserve">1919 TORRANCE BLVD                                                              </t>
  </si>
  <si>
    <t xml:space="preserve">SELLERS GARTH                                     </t>
  </si>
  <si>
    <t xml:space="preserve">(310) 7832056   </t>
  </si>
  <si>
    <t xml:space="preserve">ANAHEIM CITY                            </t>
  </si>
  <si>
    <t>F43331</t>
  </si>
  <si>
    <t>ICE, CATERPILLAR, MODEL NO. 3512, SERIAL NO. 3YF00615, MANUFACTURED IN 1993, 2168 BHP, DIESEL FUELED, LEAN BURN, TURBOCHARGED, AFTERCOOLED, EMERGENCY ELECTRICAL GENERATION</t>
  </si>
  <si>
    <t>2168</t>
  </si>
  <si>
    <t xml:space="preserve">101 S ANAHEIM BLVD                                                              </t>
  </si>
  <si>
    <t xml:space="preserve">AYALA ROBERT                                      </t>
  </si>
  <si>
    <t xml:space="preserve">(714) 7566865   </t>
  </si>
  <si>
    <t>F45297</t>
  </si>
  <si>
    <t>ICE, DETROIT DIESEL, MODEL NO. 91637305, SERIAL 16E0004546, MANUFACTURED IN 1992, 1400 BHP, DIESEL FUELED, TURBOCHARGED AND AFTERCOOLED, EMERGENCY ELECTRICAL GENERATION</t>
  </si>
  <si>
    <t xml:space="preserve">200 S ANAHEIM BLVD                                                              </t>
  </si>
  <si>
    <t xml:space="preserve">(714) 7656865   </t>
  </si>
  <si>
    <t xml:space="preserve">ANAHEIM CITY, POLICE DEPT               </t>
  </si>
  <si>
    <t>F45526</t>
  </si>
  <si>
    <t>ICE, CATERPILLAR, MODEL NO. 3508, SERIAL NO. IZF00499, MANUFACTURED IN 1991, 1456 BHP, DIESEL FUELED, LEAN BURN, TURBOCHARGED, AFTERCOOLED, EMERGENCY ELECTRICAL GENERATION</t>
  </si>
  <si>
    <t>1456</t>
  </si>
  <si>
    <t xml:space="preserve">425 S HARBOR BLVD                                                               </t>
  </si>
  <si>
    <t xml:space="preserve">ANAHEIM PALMS                           </t>
  </si>
  <si>
    <t>F37531</t>
  </si>
  <si>
    <t>ICE, CATERPILLAR, 16 CYLINDERS, TURBOCHARGED, AFTERCOOLED, MODEL NO. 3516B DITA-2000KW (NONEPA), 2847 BHP, DIESEL, FUELED, DRIVING AN EMERGENCY ELECTRICAL GENERATOR</t>
  </si>
  <si>
    <t xml:space="preserve">2431 W LA PALMA                                                                 </t>
  </si>
  <si>
    <t xml:space="preserve">JONES MICHAEL                                     </t>
  </si>
  <si>
    <t>F19297</t>
  </si>
  <si>
    <t xml:space="preserve">9815 JEFFERSON BLVD                                                             </t>
  </si>
  <si>
    <t xml:space="preserve">WINNETT DAVE                                      </t>
  </si>
  <si>
    <t xml:space="preserve">(310) 2536525   </t>
  </si>
  <si>
    <t xml:space="preserve">DEFENSE CONTRACT MGMT DISTRICT          </t>
  </si>
  <si>
    <t>F44701</t>
  </si>
  <si>
    <t>ICE, DETROIT DIESEL, 8 CYLINDERS, TURBOCHARGED AND AFTERCOOLED, MODEL 8083-7416, SERIAL NO. 8VF170899, 643 BHP, DIESEL-FUELED, DRIVING AN EMERGENCY ELECTRIC GENERATOR.</t>
  </si>
  <si>
    <t xml:space="preserve">18901 S WILMINGTON                                                              </t>
  </si>
  <si>
    <t xml:space="preserve">WAGNER AUTO                                       </t>
  </si>
  <si>
    <t xml:space="preserve">(310) 9006147   </t>
  </si>
  <si>
    <t>376494</t>
  </si>
  <si>
    <t>F46475</t>
  </si>
  <si>
    <t>ICE, EMERGENCY POWER, 12 CYLINDERS, DIESEL FUEL, CATERPILLAR, MODEL 3412 DITTA, WITH AFTERCOOLER, TURBOCHARGER, 746 BHP.</t>
  </si>
  <si>
    <t xml:space="preserve">2230 E IMPERIAL HWY                                                             </t>
  </si>
  <si>
    <t>F19356</t>
  </si>
  <si>
    <t>ICE, EMERGENCY POWER, CATERPILLAR, MODEL G3516SITA, NATURAL GAS, LEAN BURN, WITH TURBOCHARGER AND AFTERCOOLER, 1482 BHP.</t>
  </si>
  <si>
    <t>G3516 SITA</t>
  </si>
  <si>
    <t>1482</t>
  </si>
  <si>
    <t xml:space="preserve">PARK THEME                                        </t>
  </si>
  <si>
    <t xml:space="preserve">DOUGLAS EMMETT &amp; CO                     </t>
  </si>
  <si>
    <t>383384</t>
  </si>
  <si>
    <t>F39482</t>
  </si>
  <si>
    <t>ICE, CATERPILLAR, EMERGENCY ELECTRICAL GENERATION, MODEL NO. 3412, SERIAL NO. 81203613, DIESEL FUELED, TWELVE CYLINDERS, TURBOCHARGED AND AFTERCOOLED, 770 BHP.</t>
  </si>
  <si>
    <t>770</t>
  </si>
  <si>
    <t xml:space="preserve">12400 WILSHIRE BLVD STE 280                                                     </t>
  </si>
  <si>
    <t xml:space="preserve">KALTNER MARIA                                     </t>
  </si>
  <si>
    <t xml:space="preserve">(310) 8262587   </t>
  </si>
  <si>
    <t xml:space="preserve">DOUGLAS FURNITURE OF CALIFORNIA LLC     </t>
  </si>
  <si>
    <t>386100</t>
  </si>
  <si>
    <t>F39867</t>
  </si>
  <si>
    <t>ICE, VOLVO, EMERGENCY ELECTRICAL GENERATION, MODEL NO. TAD1232 GE, SERIAL NO. 1011018, DIESEL FUELED, TURBOCHARGED AND AFTERCOOLED, 518 BHP.</t>
  </si>
  <si>
    <t xml:space="preserve">4000 Redondo Beach Ave.                                                         </t>
  </si>
  <si>
    <t xml:space="preserve">ZNAMIEC MARK                                      </t>
  </si>
  <si>
    <t xml:space="preserve">(310) 6437200   </t>
  </si>
  <si>
    <t>386101</t>
  </si>
  <si>
    <t>F39868</t>
  </si>
  <si>
    <t>ICE, VOLVO, EMERGENCY ELECTRICAL GENERATION, MODEL NO. TAD1631 GE, SERIAL NO. 101A027, DIESEL FUELED, TURBOCHARGED AND AFTERCOOLED, 730 BHP.</t>
  </si>
  <si>
    <t>730</t>
  </si>
  <si>
    <t>387822</t>
  </si>
  <si>
    <t>F41152</t>
  </si>
  <si>
    <t>ICE, EMERGENCY POWER, SERIAL NO. E010244459, DIESEL FUELED, CUMMINS, MODEL B5.9-C, MODEL N14-G2, WITH TURBOCHARGER, 535 BHP.</t>
  </si>
  <si>
    <t xml:space="preserve">BINDER MICHAEL                                    </t>
  </si>
  <si>
    <t xml:space="preserve">(562) 5933709   </t>
  </si>
  <si>
    <t xml:space="preserve">DOUGLAS, EMMETT &amp; COMPANY               </t>
  </si>
  <si>
    <t>383706</t>
  </si>
  <si>
    <t>F39471</t>
  </si>
  <si>
    <t>ICE, CATERPILLAR, EMERGENCY ELECTRICAL GENERATION, MODEL NO. 3412DIT, SERIAL NO. 81Z02839, DIESEL FUELED, TURBOCHARGED AND AFTERCOOLED, 749 BHP.</t>
  </si>
  <si>
    <t>749</t>
  </si>
  <si>
    <t xml:space="preserve">15260 VENTURA BLVD #1100                                                        </t>
  </si>
  <si>
    <t xml:space="preserve">BACA MICHAEL                                      </t>
  </si>
  <si>
    <t xml:space="preserve">(818) 9811100   </t>
  </si>
  <si>
    <t xml:space="preserve">DRS TECHNOLOGIES INC                    </t>
  </si>
  <si>
    <t>391236</t>
  </si>
  <si>
    <t>F46175</t>
  </si>
  <si>
    <t>ICE, DETROIT DIESEL, 12 CYLINDERS, TURBOCHARGED, AFTERCOOLED, MODEL NO. 12V-92TA, 830 BHP, DIESEL-FIRED, DRIVING AN EMERGENCY ELECTRICAL GENERATOR.</t>
  </si>
  <si>
    <t>830</t>
  </si>
  <si>
    <t xml:space="preserve">3330-3400 E MIRALOMA AVE                                                        </t>
  </si>
  <si>
    <t xml:space="preserve">ROSS BARBARA                                      </t>
  </si>
  <si>
    <t xml:space="preserve">(714) 7623212   </t>
  </si>
  <si>
    <t xml:space="preserve">E ENTERTAINMENT TELEVISION NETWORK INC. </t>
  </si>
  <si>
    <t>398489</t>
  </si>
  <si>
    <t>F49696</t>
  </si>
  <si>
    <t>ICE, CATERPILLAR, 12 CYLINDERS,  TURBOCHARGED, AFTERCOOLED, MODEL 3412 DITTA (600 KW), SERIAL NO. 81Z24248, 896 BHP, DIESEL FUELED, DRIVING AN EMERGENCY ELECTRICLA GENERATOR.</t>
  </si>
  <si>
    <t xml:space="preserve">5700 WILSHIRE BLVD                                                              </t>
  </si>
  <si>
    <t xml:space="preserve">ANDERSON KEN                                      </t>
  </si>
  <si>
    <t xml:space="preserve">(323) 9542575   </t>
  </si>
  <si>
    <t>F47277</t>
  </si>
  <si>
    <t>ICE, WAUKESHA, NATURAL GAS FIRED MODEL #P9390GL, SERIAL NO. C1037912, TURBOCHARGED, WATER CONNECTED COOLING, SIXTEEN CYLINDERS, FOUR CYCLE 2200 BHP, LEAN BURN, PRECHAMBER DESIGN, WITH AN OXIDATION CATALYTIC MUFFLER, DRIVING A 1540 KW EMERGENCY ELECTRICAL GENERATOR.</t>
  </si>
  <si>
    <t>P9390GL</t>
  </si>
  <si>
    <t>1540</t>
  </si>
  <si>
    <t xml:space="preserve">1301 CASE RD                                                                    </t>
  </si>
  <si>
    <t xml:space="preserve">NOBLE AMANDA                                      </t>
  </si>
  <si>
    <t>F47276</t>
  </si>
  <si>
    <t>ICE, WAUKESHA, NATURAL GAS FIRED MODEL #P9390GL, SERIAL NO. C1037911, TURBOCHARGED, WATER CONNECTED COOLING, SIXTEEN CYLINDERS, FOUR CYCLE 2200 BHP, LEAN BURN, PRECHAMBER DESIGN, WITH AN OXIDATION CATALYTIC MUFFLER, DRIVING A 1540 KW EMERGENCY ELECTRICAL GENERATOR.</t>
  </si>
  <si>
    <t xml:space="preserve">EDCO USA LLC, ATT CENTER                </t>
  </si>
  <si>
    <t>398468</t>
  </si>
  <si>
    <t>F50031</t>
  </si>
  <si>
    <t>ICE, VOLVO, EMERGENCY ELECTRICAL GENERATION, MODEL NO. TAD1631GE, DIESEL FUELED, SIX CYLINDERS, TURBOCHARGED AND AFTERCOOLED, 713 BHP.</t>
  </si>
  <si>
    <t>713</t>
  </si>
  <si>
    <t xml:space="preserve">611 W 6 TH ST #600                                                              </t>
  </si>
  <si>
    <t xml:space="preserve">KEINMAN MARTY                                     </t>
  </si>
  <si>
    <t xml:space="preserve">(213) 4899388   </t>
  </si>
  <si>
    <t>F49352</t>
  </si>
  <si>
    <t xml:space="preserve">(714) 9520751   </t>
  </si>
  <si>
    <t xml:space="preserve">AOC, LLC                                </t>
  </si>
  <si>
    <t>F47468</t>
  </si>
  <si>
    <t>ICE, EMERGENCY ELECTRICAL GENERATOR, DIESEL FUEL, CATERPILLAR, 12 CYLINDERS, MODEL 3412 DITTA, WITH AFTERCOOLER, TURBOCHARGER, 746 BHP</t>
  </si>
  <si>
    <t xml:space="preserve">19991 SEATON AVE                                                                </t>
  </si>
  <si>
    <t xml:space="preserve">PADILLA P. ERIC                                   </t>
  </si>
  <si>
    <t xml:space="preserve">(909) 9439708   </t>
  </si>
  <si>
    <t xml:space="preserve">AUTOMOBILE CLUB OF SO CAL               </t>
  </si>
  <si>
    <t>F38735</t>
  </si>
  <si>
    <t>ICE, CUMMINS, EMERGENCY ELECTRICAL GENERATION, MODEL NO. QST30-G5, DIESEL FUELED, TWELVE CYLINDERS, TURBOCHARGED AND AFTERCOOLED, 1490 BHP.</t>
  </si>
  <si>
    <t xml:space="preserve">2601 S FIGUEROA ST                                                              </t>
  </si>
  <si>
    <t xml:space="preserve">CELIE FRANS P                                     </t>
  </si>
  <si>
    <t xml:space="preserve">(213) 7414858   </t>
  </si>
  <si>
    <t xml:space="preserve">BANK OF AMERICA NT &amp; SA, BREA CENTER    </t>
  </si>
  <si>
    <t>F24301</t>
  </si>
  <si>
    <t>ICE, CATERPILLAR, DIESEL-FUELED, EMERGENCY ELECTRICAL GENERATION, MODEL NO. 3508 DITA SERIAL NO. 4GM0428, TURBOCHARGED, AFTERCOOLED, 8 CYLINDERS, FOUR CYCLE, 1465 BHP.</t>
  </si>
  <si>
    <t xml:space="preserve">275 S VALENCIA AVE                                                              </t>
  </si>
  <si>
    <t xml:space="preserve">GOWIN GLENN                                       </t>
  </si>
  <si>
    <t xml:space="preserve">(714) 7924488   </t>
  </si>
  <si>
    <t xml:space="preserve">BOEING ELECTRON DYNAMIC DEVICES INC     </t>
  </si>
  <si>
    <t>F44632</t>
  </si>
  <si>
    <t>ICE, CUMMINS, 12 CYLINDERS, TURBOCHARGED, AFTERCOOLED, MODEL NO. VTA28-G5, 900 BHP, DIESEL-FUELED, DRIVING AN EMERGENCY ELECTRICAL GENERATOR.</t>
  </si>
  <si>
    <t xml:space="preserve">3100 W LOMITA BLVD                                                              </t>
  </si>
  <si>
    <t xml:space="preserve">SHEPS NANCY                                       </t>
  </si>
  <si>
    <t xml:space="preserve">(310) 5175052   </t>
  </si>
  <si>
    <t>F44631</t>
  </si>
  <si>
    <t>ICE, CUMMINS, 6 CYLINDERS, TURBOCHARGED, AFTERCOOLED, MODEL NO. NTA855-G5, 605 BHP, DIESEL-FUELED, DRIVING AN EMERGENCY ELECTRICAL GENERATOR.</t>
  </si>
  <si>
    <t>F43344</t>
  </si>
  <si>
    <t>ICE, CUMMINS MODEL VTA28-G5, DRIVING AN EMERGENCY ELECTRICAL GENERATOR, 900 BHP</t>
  </si>
  <si>
    <t xml:space="preserve">CAL ST, WATER RESOURCE DEPT             </t>
  </si>
  <si>
    <t>F48596</t>
  </si>
  <si>
    <t>ICE, WAUKESHA, MODEL NO. F2895GU, SERIAL NO. 365751, 636 BHP, PROPANE FUELED, EMERGENCY ELECTRICAL GENERATION</t>
  </si>
  <si>
    <t>F2895GU</t>
  </si>
  <si>
    <t xml:space="preserve">WILLIAM WARNE POWER PLANT                                                       </t>
  </si>
  <si>
    <t xml:space="preserve">GORMAN                   </t>
  </si>
  <si>
    <t xml:space="preserve">STRADIOTTO L.A.                                   </t>
  </si>
  <si>
    <t xml:space="preserve">(805) 2573610   </t>
  </si>
  <si>
    <t xml:space="preserve">      </t>
  </si>
  <si>
    <t xml:space="preserve">COCA-COLA BOTTLING CO OF LOS ANGELES    </t>
  </si>
  <si>
    <t>F45457</t>
  </si>
  <si>
    <t>ICE, CUMMINS, MODEL NO. KTA38-G4, SERIAL NO. 33129815, 1490 BHP, DIESEL FUELED, TURBOCHARGED, AFTERCOOLED, EMERGENCY ELECTRICAL GENERATION</t>
  </si>
  <si>
    <t xml:space="preserve">1338 E 14TH ST                                                                  </t>
  </si>
  <si>
    <t xml:space="preserve">ELLIOT STEVE                                      </t>
  </si>
  <si>
    <t xml:space="preserve">(213) 7448750   </t>
  </si>
  <si>
    <t xml:space="preserve">COMMONWEALTH WILSHIRE CORP              </t>
  </si>
  <si>
    <t>F37478</t>
  </si>
  <si>
    <t>ICE, CATERPILLAR, DIESEL-FUELED, EMERGENCY ELECTRICAL GENERATOR, MODEL 3412, SERIAL NO. 81Z02038, TURBOCHARGED, INTERCOOLED, 12 CYLINDERS, 545 BHP</t>
  </si>
  <si>
    <t xml:space="preserve">12121 WILSHIRE BLVD STE 208                                                     </t>
  </si>
  <si>
    <t xml:space="preserve">QUINTANA MAUREEN                                  </t>
  </si>
  <si>
    <t xml:space="preserve">(310) 2076026   </t>
  </si>
  <si>
    <t>COUNTY SANITATION DISTRICTS OF LA COUNTY</t>
  </si>
  <si>
    <t>F37725</t>
  </si>
  <si>
    <t xml:space="preserve">725 S FIGUEROA ST                                                               </t>
  </si>
  <si>
    <t xml:space="preserve">ADAMS PATRICK M.                                  </t>
  </si>
  <si>
    <t xml:space="preserve">(213) 9557170   </t>
  </si>
  <si>
    <t>396283</t>
  </si>
  <si>
    <t>F49690</t>
  </si>
  <si>
    <t>ICE, NO. 1, CATERPILLAR, MODEL NO. 3512, SERIAL NO. 24Z01166, DIESEL FUELED, FOUR CYCLES, TWELVE CYLINDERS, TURBOCHARGED, AND AFTERCOOLED, RATED AT 1482 BHP, DRIVING AN EMERGNECY ELECTRICAL GENERATOR.</t>
  </si>
  <si>
    <t>3512</t>
  </si>
  <si>
    <t>396285</t>
  </si>
  <si>
    <t>F49675</t>
  </si>
  <si>
    <t>ICE, NO. 3, CATERPILLAR, MODEL NO. 3508, SERIAL NO. 23Z00858, DIESEL FUELED, FOUR CYCLES, EIGHT CYLINDERS, TURBOCHARGED AND AFTERCOOLED, RATED AT 1106 BHP, DRIVING AN EMERGENCY ELECTRICAL GENERATOR.</t>
  </si>
  <si>
    <t>396286</t>
  </si>
  <si>
    <t>F49691</t>
  </si>
  <si>
    <t>ICE, NO. 5, CATERPILLAR, MODEL NO. 3408, SERIAL NO. 78Z01418, DIESEL FUELED, FOUR CYCLES, EIGHT CYLINDERS, TURBOCHARGED AND AFTERCOOLED, RATED AT 600 BHP, DRIVING AN EMERGENCY ELECTRICAL GENERATOR.</t>
  </si>
  <si>
    <t>3408</t>
  </si>
  <si>
    <t xml:space="preserve">EXPERIAN INFORMATION SOLUTIONS INC      </t>
  </si>
  <si>
    <t>387219</t>
  </si>
  <si>
    <t>F43011</t>
  </si>
  <si>
    <t>ICE, DETROIT DIESEL, 16 CYLINDERS, TURBOCHARGED, AFTERCOOLED, MODEL NO. R163-7K35 (895 KW), 1200 BHP, DRIVING AN EMERGENCY ELECTRICAL GENERATOR.</t>
  </si>
  <si>
    <t>895</t>
  </si>
  <si>
    <t xml:space="preserve">475 ANTON BLVD                                                                  </t>
  </si>
  <si>
    <t xml:space="preserve">TIEMAN RUSSELL                                    </t>
  </si>
  <si>
    <t xml:space="preserve">(714) 3857000   </t>
  </si>
  <si>
    <t>EXPLORER INSURANCE CO, ICW, VALENCIA L.P</t>
  </si>
  <si>
    <t>388044</t>
  </si>
  <si>
    <t>F41289</t>
  </si>
  <si>
    <t>ICE, VOLVO, EMERGENCY ELECTRICAL GENERATION, MODEL NO. TAD1631GE, DIESEL FUELED, TURBOCHARGED AND AFTERCOOLED, 730 BHP.</t>
  </si>
  <si>
    <t xml:space="preserve">28490 AVE STANFORD                                                              </t>
  </si>
  <si>
    <t xml:space="preserve">PENA MIGUEL                                       </t>
  </si>
  <si>
    <t xml:space="preserve">(800) 7888984   </t>
  </si>
  <si>
    <t xml:space="preserve">FFF ENTERPRISES                         </t>
  </si>
  <si>
    <t>F42838</t>
  </si>
  <si>
    <t>ICE DETROIT DIESEL, EMERGENCY ELECTRICAL GENERATION, MODEL NO. 860, DIESEL FUELED, SIX CYLINDERS, TURBOCHARGED, 550 BHP.</t>
  </si>
  <si>
    <t xml:space="preserve">41093 COUNTY CENTER DR                                                          </t>
  </si>
  <si>
    <t xml:space="preserve">BUCK PETER                                        </t>
  </si>
  <si>
    <t xml:space="preserve">(909) 2962500   </t>
  </si>
  <si>
    <t xml:space="preserve">FINANCIAL STATEMENT SERVICES INC        </t>
  </si>
  <si>
    <t>392290</t>
  </si>
  <si>
    <t>F45551</t>
  </si>
  <si>
    <t>ICE, CATERPILLAR, 12 CYLINDERS, TURBOCHARGED, AFTERCOOLED, MODEL NO. 3412 DISTA (800KW), SERIAL NO. BLG00281, 1185 BHP, DIESEL FUELED, DRIVING AN EMERGENCY ELECTRICAL GENERATOR.</t>
  </si>
  <si>
    <t xml:space="preserve">3300 S FAIRVIEW                                                                 </t>
  </si>
  <si>
    <t xml:space="preserve">PEREZ HENRY                                       </t>
  </si>
  <si>
    <t xml:space="preserve">(714) 4363391   </t>
  </si>
  <si>
    <t xml:space="preserve">FISERV SOLUTIONS INC                    </t>
  </si>
  <si>
    <t>398507</t>
  </si>
  <si>
    <t>F50048</t>
  </si>
  <si>
    <t>ICE, VOLVO PENTA, MODEL NO. TAD1631G, SERIAL NO. 2160035457, DIESEL FUELED, SIX CYLINDERS, TURBOCHARGED AND AFTERCOOLED, RATED AT 748 BHP, DRIVING AN EMERGENCY ELECTRICAL GENERATOR.</t>
  </si>
  <si>
    <t>TAD1631G</t>
  </si>
  <si>
    <t>748</t>
  </si>
  <si>
    <t xml:space="preserve">20660 BAHAMA ST                                                                 </t>
  </si>
  <si>
    <t xml:space="preserve">DELGADO MARIO                                     </t>
  </si>
  <si>
    <t xml:space="preserve">(909) 5916992   </t>
  </si>
  <si>
    <t>FISHER PRINTING INC, CIRCULAR SPECIALIST</t>
  </si>
  <si>
    <t>394756</t>
  </si>
  <si>
    <t>F48402</t>
  </si>
  <si>
    <t>ICE, CUMMINS, 6 CYLINDERS, TURBOCHARGED, AFTERCOOLED, MODEL NO. QSX15-G9, 755 BHP, DIESEL FUELED, DRIVING AN EMERGENCY ELECTRICAL GENERATOR.</t>
  </si>
  <si>
    <t xml:space="preserve">2257 N PACIFIC ST                                                               </t>
  </si>
  <si>
    <t xml:space="preserve">JONES GARY                                        </t>
  </si>
  <si>
    <t xml:space="preserve">(714) 9989200   </t>
  </si>
  <si>
    <t xml:space="preserve">FNF CONSTRUCTION                        </t>
  </si>
  <si>
    <t>381027</t>
  </si>
  <si>
    <t>F43555</t>
  </si>
  <si>
    <t>ICE, CATERPILLAR, MODEL NO. 3G3516, SERIAL NO. 5YA00822, PROPANE, TURBOCHARGED, 1085 HP, DRIVING A PORTABLE ELECTRICAL GENERATOR.</t>
  </si>
  <si>
    <t>3G3516</t>
  </si>
  <si>
    <t>1085</t>
  </si>
  <si>
    <t xml:space="preserve">STOUT DON                                         </t>
  </si>
  <si>
    <t xml:space="preserve">(480) 7842910   </t>
  </si>
  <si>
    <t xml:space="preserve">FONTANA PAPER MILLS INC                 </t>
  </si>
  <si>
    <t>386052</t>
  </si>
  <si>
    <t>F43784</t>
  </si>
  <si>
    <t>ICE, EMERGENCY POWER, DIESEL FUEL, DETROIT DIESEL, MODEL R163-7K6, 1495 BHP.</t>
  </si>
  <si>
    <t>R163-7K6</t>
  </si>
  <si>
    <t>1495</t>
  </si>
  <si>
    <t xml:space="preserve">13733 VALLEY BLVD                                                               </t>
  </si>
  <si>
    <t xml:space="preserve">THAGARD GEORGE                                    </t>
  </si>
  <si>
    <t xml:space="preserve">(909) 8234100   </t>
  </si>
  <si>
    <t xml:space="preserve">FOOTHILL TRANSIT                        </t>
  </si>
  <si>
    <t>397984</t>
  </si>
  <si>
    <t>F49523</t>
  </si>
  <si>
    <t>ICE, CATERPILLAR, 12 CYLINDERS, TURBOCHARGED, AFTERCOOLED, MODEL NO. 3412C DITA (500 KW), SERIAL NO. BCW00391, 748 BHP, DIESEL-FUELED, DRIVING AN EMERGENCY ELECTRICAL GENERATOR.</t>
  </si>
  <si>
    <t xml:space="preserve">GILEAD SCIENCES INC,  502 BLDG          </t>
  </si>
  <si>
    <t>F38038</t>
  </si>
  <si>
    <t>ICE, DETROIT DIESEL, DIESEL FUELED, EMERGENCY ELECTRICAL GENERATION, MODEL NO. 8V-92TA, TURBOCHARGED, AFTERCOOLED, 8 CYLINDERS, 568 BHP.</t>
  </si>
  <si>
    <t xml:space="preserve">502 COVINA BLVD                                                                 </t>
  </si>
  <si>
    <t xml:space="preserve">TENNIES DAVID                                     </t>
  </si>
  <si>
    <t xml:space="preserve">(909) 3944053   </t>
  </si>
  <si>
    <t xml:space="preserve">GLENDALE PLAZA                          </t>
  </si>
  <si>
    <t>F39423</t>
  </si>
  <si>
    <t>ICE, CATERPILLAR, MODEL NO. 3508 DITA, SERIAL NO. 23Z07149, TURBOCHARGED AND AFTERCOOLED, DIESEL FUELED, EMERGENCY GENERATOR, EIGHT CYLINDERS, 1337 BHP.</t>
  </si>
  <si>
    <t xml:space="preserve">655 N CENTRAL AVE                                                               </t>
  </si>
  <si>
    <t xml:space="preserve">BURSLEY DENNIS                                    </t>
  </si>
  <si>
    <t xml:space="preserve">(818) 6496551   </t>
  </si>
  <si>
    <t xml:space="preserve">HILTON WORLDWIDE RESERVATIONS           </t>
  </si>
  <si>
    <t>F45587</t>
  </si>
  <si>
    <t>ICE, CATERPILLAR, EMERGENCY ELECTRICAL GENERATION, MODEL NO. 3412C, DIESEL FUELED, TURBOCHARGED, 748 BHP.</t>
  </si>
  <si>
    <t>3412C</t>
  </si>
  <si>
    <t xml:space="preserve">3570 W FLORIDA AVE                                                              </t>
  </si>
  <si>
    <t xml:space="preserve">ESTANISLAU BILL                                   </t>
  </si>
  <si>
    <t xml:space="preserve">(714) 2695655   </t>
  </si>
  <si>
    <t>HOTEL PROP., RENAISSANCE L.A. HOTEL, DBA</t>
  </si>
  <si>
    <t>F37552</t>
  </si>
  <si>
    <t>ICE, CUMMINS, MODEL NO. KTTA-19-G1, DIESEL FUELED, EMERGENCY GENERATOR, TURBOCHARGED, AFTERCOOLED, 6 CYLINDERS, 685 BHP.</t>
  </si>
  <si>
    <t xml:space="preserve">9620 AIRPORT BLVD                                                               </t>
  </si>
  <si>
    <t xml:space="preserve">ECHO BILL                                         </t>
  </si>
  <si>
    <t xml:space="preserve">(310) 3372800   </t>
  </si>
  <si>
    <t xml:space="preserve">HRL LABORATORIES, LLC                   </t>
  </si>
  <si>
    <t>F38177</t>
  </si>
  <si>
    <t>ICE, CUMMINS, VTA28G1/57883, TURBOCHARGED AND AFTERCOOLED, 12 CYLINDERS, 760 HP, DIESEL-FUELED, DRIVING AN EMERGENCY GENERATOR</t>
  </si>
  <si>
    <t xml:space="preserve">3011 MALIBU CANYON RD                                                           </t>
  </si>
  <si>
    <t xml:space="preserve">THORELL BRENT                                     </t>
  </si>
  <si>
    <t xml:space="preserve">(310) 3175188   </t>
  </si>
  <si>
    <t>HSR LTD PTNRSHIP/DOUBLETREE GUEST SUITES</t>
  </si>
  <si>
    <t>F38196</t>
  </si>
  <si>
    <t>ICE, CATERPILLAR, EMERGENCY ELECTRICAL GENERATION, MODEL NO. 3412 TA, DIESEL FUELED, SERIAL NO. 81Z04223, SIXTEEN CYLINDERS, TURBOCHARGED AND AFTERCOOLED, 890 BHP.</t>
  </si>
  <si>
    <t xml:space="preserve">1707 4TH ST                                                                     </t>
  </si>
  <si>
    <t xml:space="preserve">BENSINGER DONALD                                  </t>
  </si>
  <si>
    <t xml:space="preserve">(310) 3953332   </t>
  </si>
  <si>
    <t xml:space="preserve">IKEA-CARSON #162                        </t>
  </si>
  <si>
    <t>F39165</t>
  </si>
  <si>
    <t>ICE, CUMMINS, EMERGENCY ELECTRICAL GENERATION, MODEL NO. QST30-G1, DIESEL FUELED, TWELVE CYLINDERS, TURBOCHARGED AND AFTERCOOLED, 1135 BHP.</t>
  </si>
  <si>
    <t xml:space="preserve">20700 S AVALON BLVD CARSON MALL STE 900                                         </t>
  </si>
  <si>
    <t xml:space="preserve">GIACONA TONY                                      </t>
  </si>
  <si>
    <t xml:space="preserve">(310) 2176085   </t>
  </si>
  <si>
    <t xml:space="preserve">JACKSON NATIONAL LIFE DISTRIBUTERS INC  </t>
  </si>
  <si>
    <t>F41903</t>
  </si>
  <si>
    <t>ICE, CATERPILLAR, 12 CYLINDER, TURBOCHARGED, AFTERCOOLED, MODEL 3412C, DIESEL FUELED, 748 BHP, EMERGENCY ELECTRICAL GENERATION.</t>
  </si>
  <si>
    <t xml:space="preserve">401 WILSHIRE BLVD SUITE 1200                                                    </t>
  </si>
  <si>
    <t xml:space="preserve">VINCENT WILLIAM G                                 </t>
  </si>
  <si>
    <t xml:space="preserve">(517) 7022436   </t>
  </si>
  <si>
    <t xml:space="preserve">LA CITY, DEPT OF AIRPORT                </t>
  </si>
  <si>
    <t>F26334</t>
  </si>
  <si>
    <t>ICE, CATERPILLAR, MODEL NO. 3508 DITA, TURBOCHARGED, AFTERCOOLED, DIESEL FUELED, DRIVING AN EMERGENCY ELECTRICAL GENERATOR, 1199 BHP.</t>
  </si>
  <si>
    <t xml:space="preserve">275 CENTER WAY                                                                  </t>
  </si>
  <si>
    <t>F26688</t>
  </si>
  <si>
    <t>ICE, CATERPILLAR, MODEL NO. 3412, TURBOCHARGED AND AFTERCOOLED, DIESEL FUELED, DRIVING AN EMERGENCY ELECTRICAL GENERATOR, 823 BHP.</t>
  </si>
  <si>
    <t>F33388</t>
  </si>
  <si>
    <t>ICE, DETROIT DIESEL, MODEL 6063-HK35, TURBOCHARGED, DIESEL FUELED, SIX CYLINDER, DRIVING AN EMERGENCY ELECTRICAL GENERATOR, 635 BHP.</t>
  </si>
  <si>
    <t>6063-HK35</t>
  </si>
  <si>
    <t xml:space="preserve">LA CITY, DWP HARBOR GENERATING STATION  </t>
  </si>
  <si>
    <t>ICE, EMERGENCY POWER, DIESEL FUEL, CATERPILLAR, MODEL 3412 DITTA, 40 TIMING RETARD, TURBOCHARGED, AFTERCOOLED, 896 BHP</t>
  </si>
  <si>
    <t>ICE, CATERPILLAR, EMERGENCY ELECTRICAL GENERATION, MODEL NO. 3512B DITA, SERIAL NO. 8RM00561, DIESEL FUELED, TWELVE CYLINDERS, TURBOCHARGED AND AFTERCOOLED, 1807 BHP.</t>
  </si>
  <si>
    <t xml:space="preserve">HYATT GRAND CHAMPIONS RESORT            </t>
  </si>
  <si>
    <t>387055</t>
  </si>
  <si>
    <t>F40681</t>
  </si>
  <si>
    <t>ICE, CATERPILLAR, EMERGENCY ELECTRICAL GENERATION, MODEL NO. 3512B, SERIAL NO. 16Z00461, TWELVE CYLINDERS, DIESEL FUELED, TURBOCHARGED AND AFTERCOOLED, 2172 BHP.</t>
  </si>
  <si>
    <t xml:space="preserve">44-600 INDIAN WELLS LN                                                          </t>
  </si>
  <si>
    <t xml:space="preserve">BRITTAN JAKE                                      </t>
  </si>
  <si>
    <t xml:space="preserve">(760) 3411000   </t>
  </si>
  <si>
    <t xml:space="preserve">IMPERIAL PROMENADE &amp; ASSOC. LLC         </t>
  </si>
  <si>
    <t>390453</t>
  </si>
  <si>
    <t>F45446</t>
  </si>
  <si>
    <t>ICE, NO. 1, CUMMINS, MODEL NO. QSX15-G9, DIESEL FUEL, SIX CYLINDERS, FOUR CYCLE, TURBOCHARGED, AND AFTERCOOLED, RATED AT 755 BHP DRIVING AN EMERGENCY ELECTRICAL GENERATOR.</t>
  </si>
  <si>
    <t xml:space="preserve">142 MACARTHUR PL                                                                </t>
  </si>
  <si>
    <t xml:space="preserve">OLSON PHIL                                        </t>
  </si>
  <si>
    <t xml:space="preserve">(714) 5465600   </t>
  </si>
  <si>
    <t>390454</t>
  </si>
  <si>
    <t>F45447</t>
  </si>
  <si>
    <t>ICE, NO. 2, CUMMINS, MODEL NO. QSX15-G9, DIESEL FUEL, SIX CYLINDERS, FOUR CYCLE, TURBOCHARGED, AND AFTERCOOLED, RATED AT 755 BHP DRIVING AN EMERGENCY ELECTRICAL GENERATOR.</t>
  </si>
  <si>
    <t xml:space="preserve">INGRAM MICRO                            </t>
  </si>
  <si>
    <t>383488</t>
  </si>
  <si>
    <t>F38616</t>
  </si>
  <si>
    <t>ICE, CUMMINS, EMERGENCY ELECTRICAL GENERATION, MODEL NO. KTA50-G2, DIESEL FUELED, 16 CYLINDERS, TURBOCHARGED AND AFTERCOOLED, 1620 BHP.</t>
  </si>
  <si>
    <t>KTA50-G2</t>
  </si>
  <si>
    <t>1620</t>
  </si>
  <si>
    <t xml:space="preserve">1610 -1700 E ST ANDREW PL                                                       </t>
  </si>
  <si>
    <t xml:space="preserve">PARQUE DAVID                                      </t>
  </si>
  <si>
    <t xml:space="preserve">(714) 3821242   </t>
  </si>
  <si>
    <t xml:space="preserve">INGRAM MICRO, INC.                      </t>
  </si>
  <si>
    <t>398341</t>
  </si>
  <si>
    <t>F49636</t>
  </si>
  <si>
    <t>ICE, CUMMINS, 12 CYLINDERS, TURBOCHARGED, AFTERCOOLED, MODEL QST30-G5 (1112 KW), SERIAL NO. 37199162, 1490 BHP, DIESEL FUELED, DRIVING AN EMERGENCY ELECTRICAL GENERATOR</t>
  </si>
  <si>
    <t>1112</t>
  </si>
  <si>
    <t xml:space="preserve">12510 MICRO DR                                                                  </t>
  </si>
  <si>
    <t xml:space="preserve">OSMOND MIKE                                       </t>
  </si>
  <si>
    <t xml:space="preserve">(714) 8821242   </t>
  </si>
  <si>
    <t>254827</t>
  </si>
  <si>
    <t>1991</t>
  </si>
  <si>
    <t>D42804</t>
  </si>
  <si>
    <t>INTERNAL COMBUSTION ENGINE, CATERPILLAR, MODEL 3412TA, SERIAL NO. 81Z12142, DIESEL OIL FIRED, 890 BHP, 12 CYLINDERS, TURBOCHARGED, AFTERCOOLED, DRIVING AN EMERGENCY ELECTRICAL GENERATOR.</t>
  </si>
  <si>
    <t>3412TA</t>
  </si>
  <si>
    <t xml:space="preserve">DRURY DOUGLAS                                     </t>
  </si>
  <si>
    <t xml:space="preserve">(909) 9474131   </t>
  </si>
  <si>
    <t>385862</t>
  </si>
  <si>
    <t>F40561</t>
  </si>
  <si>
    <t xml:space="preserve">ICE, WAUKESHA, MODEL NO. VH-3600GSI, NATURAL GAS FIRED, RICH BURN, 738 BHP, TURBOCHARGED AND AFTERCOOLED, WITH A JOHNSON MATTHEY QXC800-12 NON-SELECTIVE CATALYTIC CONVERTER, AND WAUKESHA'S CUSTOM ENGINE CONTROL (CEC) AIR/FUEL MODULE (AFM), DRIVING A 500 KW GENERATOR. </t>
  </si>
  <si>
    <t>VH3600GSI</t>
  </si>
  <si>
    <t xml:space="preserve">12811 6TH ST                                                                    </t>
  </si>
  <si>
    <t xml:space="preserve">DRURY DOUGLAS D                                   </t>
  </si>
  <si>
    <t xml:space="preserve">INTERVENTIONAL TECHNOLOGIES, INC        </t>
  </si>
  <si>
    <t>388208</t>
  </si>
  <si>
    <t>F41637</t>
  </si>
  <si>
    <t>ICE, DETROIT DIESEL, 12 CYLINDERS, TURBOCHARGED, AFTERCOOLED, MODEL NO. T123-7K36 (1380 KW), SERIAL NO. 000652, 1850 BHP, DIESEL-FUELED, DRIVING AN EMERGENCY ELECTRICAL GENERATOR.</t>
  </si>
  <si>
    <t>1380</t>
  </si>
  <si>
    <t xml:space="preserve">30590 COCHISE CIR                                                               </t>
  </si>
  <si>
    <t xml:space="preserve">DAVENPORT TOM                                     </t>
  </si>
  <si>
    <t xml:space="preserve">(909) 9261212   </t>
  </si>
  <si>
    <t xml:space="preserve">IRVINE RANCH  WATER DISTRICT            </t>
  </si>
  <si>
    <t>390832</t>
  </si>
  <si>
    <t>F44540</t>
  </si>
  <si>
    <t>ICE, EMERGENCY ELECTRICAL GENERATION, CUMMINS, MODEL, VTA-1710-62, DIESEL FUELED, TURBOCHARGED, AFTERCOOLED, 12 CYLINDERS, 900 BHP.</t>
  </si>
  <si>
    <t>900</t>
  </si>
  <si>
    <t xml:space="preserve">22312 MUIRLANDS BLVD                                                            </t>
  </si>
  <si>
    <t>390836</t>
  </si>
  <si>
    <t>F44537</t>
  </si>
  <si>
    <t>ICE, CATERPILLAR, MODEL 3508 TA, DIESEL FUEL, SERIAL NO. 23Z05804, 8 CYLINDERS, FOUR CYCLE, TURBOCHARGED, AFTERCOOLED, RATED AT 1093 BHP, DRIVING AN EMERGENCY STAND-BY GENERATOR.</t>
  </si>
  <si>
    <t xml:space="preserve">MIRABELLA HOMEOWNERS' ASSOCIATION INC   </t>
  </si>
  <si>
    <t>F37615</t>
  </si>
  <si>
    <t>ICE, CUMMINS, EMERGENCY ELECTRICAL GENERATION, MODEL NO. KTA19-G1, SERIAL NO. 31124427, DIESEL FUELED, SIX CYLINDER, TURBOCHARGED AND AFTERCOOLED, 560 BHP.</t>
  </si>
  <si>
    <t xml:space="preserve">10430 WILSHIRE BLVD                                                             </t>
  </si>
  <si>
    <t xml:space="preserve">GEROWITZ STACY                                    </t>
  </si>
  <si>
    <t xml:space="preserve">(310) 4757885   </t>
  </si>
  <si>
    <t xml:space="preserve">MONTEREY PARK HOSP                      </t>
  </si>
  <si>
    <t>F43267</t>
  </si>
  <si>
    <t>ICE, CATERPILLAR, DIESEL FUELED, MODEL 3412T, SERIAL NO. 81Z05076, CATERPILLAR, MODEL NO. SR-4, SERIAL NO. 6EA00932, EMERGENCY GENERATOR, 675 BHP, INITIAL OPERATION DATE 1985</t>
  </si>
  <si>
    <t xml:space="preserve">900 S ATLANTIC BLVD                                                             </t>
  </si>
  <si>
    <t xml:space="preserve">(818) 5709000   </t>
  </si>
  <si>
    <t xml:space="preserve">MOOG, INC                               </t>
  </si>
  <si>
    <t>F37156</t>
  </si>
  <si>
    <t>ICE, CATERPILLAR, DIESEL-FUELED, EMERGENCY, ELECTRICAL GENERATOR DRIVER, MODEL 3412-DITT, SERIAL NO. 81202413-5NA041, TURBOCHARGED, 12 CYLINDERS, 755 BHP.</t>
  </si>
  <si>
    <t>3412 DITT</t>
  </si>
  <si>
    <t xml:space="preserve">20263 S WESTERN AVE                                                             </t>
  </si>
  <si>
    <t xml:space="preserve">BADIANG TODD                                      </t>
  </si>
  <si>
    <t xml:space="preserve">(310) 6186596   </t>
  </si>
  <si>
    <t xml:space="preserve">MOUNTAINVIEW POWER COMPANY LLC          </t>
  </si>
  <si>
    <t>ICE, EMERGENCY POWER, LEAN BURN, DIESEL FUEL, CATERPILLAR, MODEL 3612, TIMING RETARD, WITH AFTERCOOLER, TURBOCHARGER, 5900 BHP</t>
  </si>
  <si>
    <t xml:space="preserve">25770 SAN BERNARDINO AVE                                                        </t>
  </si>
  <si>
    <t xml:space="preserve">HALL GEORGE                                       </t>
  </si>
  <si>
    <t xml:space="preserve">(909) 4787900   </t>
  </si>
  <si>
    <t>NATIONAL DIGITAL TELEVISION CENTER, INC.</t>
  </si>
  <si>
    <t>F38367</t>
  </si>
  <si>
    <t>ICE, CUMMINS, EMERGENCY ELECTRICAL GENERATION, MODEL NO. KTA50-G3, DIESEL FUELED, TURBOCHARGED AND AFTERCOOLED, 1850 BHP.</t>
  </si>
  <si>
    <t xml:space="preserve">12312 W OLYMPIC BLVD                                                            </t>
  </si>
  <si>
    <t xml:space="preserve">SALVADOR TED                                      </t>
  </si>
  <si>
    <t xml:space="preserve">(310) 9795341   </t>
  </si>
  <si>
    <t xml:space="preserve">NORTH AMERICA BLDG MGMT CORP            </t>
  </si>
  <si>
    <t>F38189</t>
  </si>
  <si>
    <t>ICE, CUMMINS, EMERGENCY ELECTRICAL GENERATION, MODEL NO. VTA28-G2, SERIAL NO. 37109934, DIESEL FUELED, TURBOCHARGED AND AFTERCOOLED, 900 BHP</t>
  </si>
  <si>
    <t xml:space="preserve">801 S GRAND AVE STE 301                                                         </t>
  </si>
  <si>
    <t xml:space="preserve">NICHOLS ERIC                                      </t>
  </si>
  <si>
    <t xml:space="preserve">(213) 6299142   </t>
  </si>
  <si>
    <t xml:space="preserve">OLD DOMINION FREIGHT LINES INC          </t>
  </si>
  <si>
    <t>F37747</t>
  </si>
  <si>
    <t>ICE, CUMMINS, 6 CYLINDERS, TURBOCHARGED, AFTERCOOLED, MODEL NO. QSX15-G9, SERIAL NO. 14009311, 755 BHP, DIESEL-FUELED, DRIVING AN EMERGENCY ELECTRICAL GENERATOR</t>
  </si>
  <si>
    <t xml:space="preserve">2180 S WILLOW AVE                                                               </t>
  </si>
  <si>
    <t xml:space="preserve">BAKER RUSSELL                                     </t>
  </si>
  <si>
    <t xml:space="preserve">(909) 8201141   </t>
  </si>
  <si>
    <t xml:space="preserve">ORANGE CO - DATA CENTER                 </t>
  </si>
  <si>
    <t>F41835</t>
  </si>
  <si>
    <t>ICE, CATERPILLAR, MODEL NO. 3516 DITA, ENGINE MANUFACTURED MAY 1991, DIESEL FUELED, TURBOCHARGED, AFTERCOOLED, 2498 BHP, EMERGENCY ELECTRICAL GENERATION.</t>
  </si>
  <si>
    <t xml:space="preserve">1400 S GRAND AVE                                                                </t>
  </si>
  <si>
    <t xml:space="preserve">SWEINHART DON                                     </t>
  </si>
  <si>
    <t xml:space="preserve">ORANGE, COUNTY OF - PERFORMING ARTS CTR </t>
  </si>
  <si>
    <t>F43339</t>
  </si>
  <si>
    <t>ICE, CUMMINS, MODEL NO. VTA28CS1, SERIAL NO. 58895, ENGINE MANUFACTURED 1984, 760 BHP, DIESEL FUELED, TURBOCHARGED, AFTERCOOLED, EMERGENCY ELECTRICAL GENERATOR</t>
  </si>
  <si>
    <t>VTA28-CS1</t>
  </si>
  <si>
    <t xml:space="preserve">600 TOWN CENTER                                                                 </t>
  </si>
  <si>
    <t xml:space="preserve">MAHLE ROB                                         </t>
  </si>
  <si>
    <t xml:space="preserve">(714) 5562122   </t>
  </si>
  <si>
    <t xml:space="preserve">PEPPERDINE UNIVERSITY                   </t>
  </si>
  <si>
    <t>F38143</t>
  </si>
  <si>
    <t>ICE, DETROIT DIESEL, DIESEL-FUELED, EMERGENCY ELECTRICAL GENERATION, MODEL NO. 12V-92TA, TURBOCHARGED, AFTERCOOLED, TWELVE CYLINDERS, 830 BHP.</t>
  </si>
  <si>
    <t xml:space="preserve">24255 PACIFIC COAST HWY                                                         </t>
  </si>
  <si>
    <t xml:space="preserve">LAVALLE ART                                       </t>
  </si>
  <si>
    <t xml:space="preserve">(310) 5064921   </t>
  </si>
  <si>
    <t xml:space="preserve">QWEST COMMUNICATIONS CORP               </t>
  </si>
  <si>
    <t>F41822</t>
  </si>
  <si>
    <t>ICE, CUMMINS ONAN, MODEL NO. 1250 DFLC, SERIAL NO. E99091Z657, 1250 KW, 1850 BHP, ENGINE MANUFACTURED NOVEMBER 1998, DIESEL FUELED, TURBOCHARGED, EMERGENCY ELECTRICAL GENERATION</t>
  </si>
  <si>
    <t>1250 DFLC</t>
  </si>
  <si>
    <t xml:space="preserve">3015 WINONA AVE                                                                 </t>
  </si>
  <si>
    <t>1998</t>
  </si>
  <si>
    <t>F41823</t>
  </si>
  <si>
    <t>ICE, CUMMINS ONAN, MODEL NO. 1250 DFLC, SERIAL NO. E99091Z651, 1250 KW, 1850 BHP, ENGINE MANUFACTURED NOVEMBER 1998, DIESEL FUELED, TURBOCHARGED, EMERGENCY ELECTRICAL GENERATION</t>
  </si>
  <si>
    <t>F41838</t>
  </si>
  <si>
    <t>ICE, CUMMINS ONAN, MODEL NO. 1250 DFLC, SERIAL NO. E99091Z659, 1250 KW, 1850 BHP, ENGINE MANUFACTURED NOVEMBER 1998, DIESEL FUELED, TURBOCHARGED, EMERGENCY ELECTRICAL GENERATION</t>
  </si>
  <si>
    <t xml:space="preserve">RANCHO SPRINGS MEDICAL CENTER           </t>
  </si>
  <si>
    <t>F39133</t>
  </si>
  <si>
    <t>ICE, CATERPILLAR, DIESEL FUELED, EMERGENCY ELECTRICAL GENERATION, MODEL 3512 TA, TURBOCHARGED, AFTERCOOLED, 12 CYLINDERS, FOUR CYCLE, 1441 BHP AT 1800 RPM</t>
  </si>
  <si>
    <t xml:space="preserve">25500 MEDICAL CENTER DR                                                         </t>
  </si>
  <si>
    <t xml:space="preserve">BENSON JEFF                                       </t>
  </si>
  <si>
    <t xml:space="preserve">(909) 6966112   </t>
  </si>
  <si>
    <t xml:space="preserve">RECOT INC, FRITO-LAY DBA                </t>
  </si>
  <si>
    <t>F39979</t>
  </si>
  <si>
    <t>ICE, NON-EMERGENCY, NATURAL GAS, CATERPILLAR, MODEL G3412, WITH AFTERCOOLER, TURBOCHARGER, 545 BHP</t>
  </si>
  <si>
    <t>G3412</t>
  </si>
  <si>
    <t xml:space="preserve">9535 ARCHIBALD AVE                                                              </t>
  </si>
  <si>
    <t xml:space="preserve">MEYERS ROBERT                                     </t>
  </si>
  <si>
    <t xml:space="preserve">(972) 3344703   </t>
  </si>
  <si>
    <t xml:space="preserve">RIV. CO., BLDG SERV DEPT                </t>
  </si>
  <si>
    <t>ICE, CATERPILLAR, MODEL 3412, DIESEL FUELED, 746 HP, 500 KW, EMERGENCY ELECTRICAL GENERATION.</t>
  </si>
  <si>
    <t xml:space="preserve">4080 LEMON ST                                                                   </t>
  </si>
  <si>
    <t xml:space="preserve">(909) 2754815   </t>
  </si>
  <si>
    <t xml:space="preserve">SAN GABRIEL VALLEY WATER                </t>
  </si>
  <si>
    <t>F47095</t>
  </si>
  <si>
    <t>ICE, DETROIT DIESEL, MODEL NO. 8123-7416, 947 BHP, DIESEL FUELED,  TURBOCHARGED, AFTERCOOLED, EMERGENCY ELECTRICAL GENERATION, ICE MANUFACTURED 1997, KOHLER POWER SYSTEMS, MODEL NO. 600ROZD, SERIAL NO. 393721</t>
  </si>
  <si>
    <t xml:space="preserve">2701 LOMA AVE                                                                   </t>
  </si>
  <si>
    <t xml:space="preserve">ARRIGHI DAN                                       </t>
  </si>
  <si>
    <t xml:space="preserve">(626) 4486183   </t>
  </si>
  <si>
    <t xml:space="preserve">SAN GABRIEL VALLEY WATER COMPANY        </t>
  </si>
  <si>
    <t>F47092</t>
  </si>
  <si>
    <t>ICE, DETROIT DIESEL, MODEL NO. 8123-7416, 947 BHP, DIESEL FUELED,  TURBOCHARGED, AFTERCOOLED, EMERGENCY ELECTRICAL GENERATION, ICE MANUFACTURED 1997, KOHLER POWER SYSTEMS, MODEL NO. 600ROZD, SERIAL NO. 393722</t>
  </si>
  <si>
    <t xml:space="preserve">14419 LOS ROBLES                                                                </t>
  </si>
  <si>
    <t xml:space="preserve">HACIENDA HEIGHTS         </t>
  </si>
  <si>
    <t xml:space="preserve">SEGUIN JOHN                                       </t>
  </si>
  <si>
    <t>F47093</t>
  </si>
  <si>
    <t>ICE, DETROIT DIESEL, MODEL R123-7K35, 910 BHP, DIESEL-FUELED, TURBOCHARGED, AFTERCOOLED, EMERGENCY ELECTRICAL GENERATION, ICE MANUFACTURED 1999, ICE, KOHLER POWER SYSTEMS, MODEL NO. 600ROZD4, SERIAL NO. 39525</t>
  </si>
  <si>
    <t xml:space="preserve">4921 N TYLER                                                                    </t>
  </si>
  <si>
    <t xml:space="preserve">BLACK G. J.                                       </t>
  </si>
  <si>
    <t xml:space="preserve">(818) 4486183   </t>
  </si>
  <si>
    <t>F47094</t>
  </si>
  <si>
    <t>ICE, DETROIT DIESEL, MODEL R123-7K35, 910 BHP, DIESEL-FUELED, TURBOCHARGED, AFTERCOOLED, ICE MANUFACTURED 1999, EMERGENCY ELECTRICAL GENERATION, KOHLER POWER SYSTEMS, MODEL NO. 600ROZD4, SERIAL NO. 064908</t>
  </si>
  <si>
    <t xml:space="preserve">209 PEREZ PL                                                                    </t>
  </si>
  <si>
    <t xml:space="preserve">SANMINA CORPORATION                     </t>
  </si>
  <si>
    <t xml:space="preserve">LU JENNY                                          </t>
  </si>
  <si>
    <t xml:space="preserve">(949) 6232902   </t>
  </si>
  <si>
    <t>F38766</t>
  </si>
  <si>
    <t>ICE, CUMMINS, 6 CYLINDERS, TURBOCHARGED, AFTERCOOLED, MODEL NO. N14-G2 (399 KW), 535 BHP, DIESEL-FUELED, DRIVING AN EMERGENCY ELECTRICAL GENERATOR</t>
  </si>
  <si>
    <t xml:space="preserve">2955 AIRWAY AVE                                                                 </t>
  </si>
  <si>
    <t>ICE, EMERGENCY POWER, DIESEL FUEL, CATERPILLAR, WITH AFTERCOOLER, TURBOCHARGER, 1025 BHP</t>
  </si>
  <si>
    <t>ICE, CATERPILLAR, 16 CYLINDERS, TURBOCHARGED, AFTERCOOLED, MODEL NO. 3516 DITA (1500 KW), 2151 BHP, DIESEL-FUELED, DRIVING AN EMERGENCY ELECTRICAL GENERATOR</t>
  </si>
  <si>
    <t xml:space="preserve">SPIEKER PROPERTIES                      </t>
  </si>
  <si>
    <t>F42147</t>
  </si>
  <si>
    <t>ICE, CUMMINS, MODEL NO. KTA19-G1, 6 CYLINDER, DIESEL FUELED, TURBOCHARGED, AFTERCOOLED, 560 BHP, EMERGENCY ELECTRICAL GENERATION.</t>
  </si>
  <si>
    <t xml:space="preserve">5 HUTTON CENTER DR STE110                                                       </t>
  </si>
  <si>
    <t xml:space="preserve">SLACK LYNN                                        </t>
  </si>
  <si>
    <t xml:space="preserve">(714) 2417000   </t>
  </si>
  <si>
    <t>F38688</t>
  </si>
  <si>
    <t>ICE, CATERPILLAR, DIESEL-FUELED, EMERGENCY ELECTRICAL GENERATION, MODEL NO. 3406B, SERIAL NO. 2WB03735, TURBOCHARGED, AFTERCOOLED, SIX CYLINDERS, FOUR CYCLE, 536 BHP.</t>
  </si>
  <si>
    <t xml:space="preserve">SPRINT PCS                              </t>
  </si>
  <si>
    <t>F41602</t>
  </si>
  <si>
    <t>ICE, CATERPILLAR, MODEL NO. 3412, 896 BHP, DIESEL FUELED, TURBOCHARGED, AFTERCOOLED, EMERGENCY ELECTRICAL GENERATION</t>
  </si>
  <si>
    <t xml:space="preserve">12103 BURKE ST                                                                  </t>
  </si>
  <si>
    <t xml:space="preserve">CARRILLO J STEVEN                                 </t>
  </si>
  <si>
    <t xml:space="preserve">(916) 9220550   </t>
  </si>
  <si>
    <t xml:space="preserve">STARWOOD OC PORTFOLIO V, LLC            </t>
  </si>
  <si>
    <t>F39360</t>
  </si>
  <si>
    <t>ICE, CUMMINS, DIESEL-FUELED, EMERGENCY ELECTRICAL GENERATION, MODEL NO. VTA 1710-6152, SERIAL NO. 37104848, TURBOCHARGED, AFTERCOOLED, 12 CYLINDERS, 900 BHP</t>
  </si>
  <si>
    <t>VTA1710-6152</t>
  </si>
  <si>
    <t>ICE, CUMMINS, DIESEL, EMERGENCY, MODEL KTA-19-G1, SERIAL NO. 37120235, TURBOCHARGED, AFTERCOOLED, 6 CYLINDERS, 560 BHP.</t>
  </si>
  <si>
    <t xml:space="preserve">5901 E 7TH ST                                                                   </t>
  </si>
  <si>
    <t>90822-5201</t>
  </si>
  <si>
    <t xml:space="preserve">CUDE GEORGE W                                     </t>
  </si>
  <si>
    <t xml:space="preserve">(310) 4945410   </t>
  </si>
  <si>
    <t>D28791</t>
  </si>
  <si>
    <t>ICE, CUMMINS, DIESEL, EMR, MODEL NTA855-G, SN 10794305, 6 CYL, 655 BHP, TURBOCHARGED, AFTERCOOLED</t>
  </si>
  <si>
    <t xml:space="preserve">NTA855-G </t>
  </si>
  <si>
    <t>D91873</t>
  </si>
  <si>
    <t>ICE, CUMMINS, MODEL NO. VTS-1710-G1, EMERGENCY, DIESEL, 12 CYLINDERS, TURBOCHARGED, AFTERCOOLED, 760 BHP.</t>
  </si>
  <si>
    <t>VTS1710-G1</t>
  </si>
  <si>
    <t>D91874</t>
  </si>
  <si>
    <t>ICE, CUMMINS, MODEL NO. VTA28-G2, EMERGENCY, DIESEL, 6 CYLINDERS, TURBOCHARGED, AFTERCOOLED, 900 BHP.</t>
  </si>
  <si>
    <t xml:space="preserve">US NAVY PUBLIC WORKS CENTER             </t>
  </si>
  <si>
    <t>M57305</t>
  </si>
  <si>
    <t>ICE, GM, ELECTRO MOTIVE DIVISION, DIESEL, ELECTRICAL GENERATION, MODEL 12-645-E1, BLOWER, 12 CYLINDERS, 1200 BHP</t>
  </si>
  <si>
    <t>12-645-E1</t>
  </si>
  <si>
    <t xml:space="preserve">NALF SAN CLEMENTE ISLAND                                                        </t>
  </si>
  <si>
    <t>92135-0001</t>
  </si>
  <si>
    <t xml:space="preserve">NICHOLLS DAVID J                                  </t>
  </si>
  <si>
    <t xml:space="preserve">(619) 5246345   </t>
  </si>
  <si>
    <t>M57304</t>
  </si>
  <si>
    <t>ICE, GM, ELECTRO MOTIVE DIVISION, DIESEL, ELECTRICAL GENERATION, MODEL 8-567-CR, SN 59-B-28,  8 CYLINDERS, 720 BHP, TURBOCHARGED, AFTERCOOLED</t>
  </si>
  <si>
    <t>8-567-CR</t>
  </si>
  <si>
    <t>M57303</t>
  </si>
  <si>
    <t>ICE, GM, ELECTRO MOTIVE DIVISION, DIESEL, ELECTRICAL GENERATION, MODEL 8-567-CR, 8 CYLINDERS, 720 BHP</t>
  </si>
  <si>
    <t>M57302</t>
  </si>
  <si>
    <t>ICE, GM, ELECTRO MOTIVE DIVISION, DIESEL, ELECTRICAL GENERATION, MODEL 12-645-E4, SN 69-L1-1129,  12 CYLINDERS, 1440 BHP, TURBOCHARGED, AFTERCOOLED</t>
  </si>
  <si>
    <t xml:space="preserve">US SPRINT COMMUNICATIONS CO             </t>
  </si>
  <si>
    <t>D09082</t>
  </si>
  <si>
    <t>ICE, DIESEL, CATERPILLAR, MODEL NO. 3512, SERIAL NO 24Z01010, 1580 HP, EMERGENCY</t>
  </si>
  <si>
    <t xml:space="preserve">282 S SYCAMORE AVE                                                              </t>
  </si>
  <si>
    <t>92376-6546</t>
  </si>
  <si>
    <t>F20799</t>
  </si>
  <si>
    <t>F22315</t>
  </si>
  <si>
    <t>ICE, CUMMINS, 12 CYLINDERS, TURBOCHARGED, AFTERCOOLED, MODEL NO. KTA38-G1, SERIAL NO. 33112318, 1135 BHP, DIESEL, EMERGENCY</t>
  </si>
  <si>
    <t xml:space="preserve">USAA REALTY COMPANY                     </t>
  </si>
  <si>
    <t>F29382</t>
  </si>
  <si>
    <t>ICE, CATERPILLAR, DIESEL, EMERGENCY, MODEL NO. 3412, SERIAL NO. 81206898, TURBOCHARGED, INTERCOOLED, 12 CYLINDERS, 890 BHP</t>
  </si>
  <si>
    <t xml:space="preserve">21250 HAWTHORNE BLVD                                                            </t>
  </si>
  <si>
    <t xml:space="preserve">BASSAM ASEF                                       </t>
  </si>
  <si>
    <t xml:space="preserve">(310) 5435210   </t>
  </si>
  <si>
    <t xml:space="preserve">VALENCIA TOWN CENTER ASSOCIATES, L P    </t>
  </si>
  <si>
    <t>D68870</t>
  </si>
  <si>
    <t>ICE, EMERGENCY, DETROIT DIESEL, MODEL NO. 12V-92TA, DIESEL, 12 CYLINDERS, TURBOCHARGED, AFTERCOOLED, 830 BHP</t>
  </si>
  <si>
    <t xml:space="preserve">24201 VALENCIA BLVD                                                             </t>
  </si>
  <si>
    <t xml:space="preserve">SMITH MICHAEL                                     </t>
  </si>
  <si>
    <t xml:space="preserve">(805) 2549820   </t>
  </si>
  <si>
    <t xml:space="preserve">VALLEY COUNTY WATER DISTRICT            </t>
  </si>
  <si>
    <t>F23548</t>
  </si>
  <si>
    <t xml:space="preserve">5135 N MAINE AVE                                                                </t>
  </si>
  <si>
    <t xml:space="preserve">MORTENSON TOM                                     </t>
  </si>
  <si>
    <t xml:space="preserve">(626) 8565990   </t>
  </si>
  <si>
    <t xml:space="preserve">VALLEY PRESBYTERIAN HOSPITAL            </t>
  </si>
  <si>
    <t>M54958</t>
  </si>
  <si>
    <t>ICE, CATERPILLAR, DIESEL, EMERGENCY, MODEL NO. 3512, SERIAL NO. 24Z01008, TURBOCHARGED, AFTERCOOLED, 12 CYLINDERS, 1330 BHP.</t>
  </si>
  <si>
    <t xml:space="preserve">6840 SEPULVEDA BLVD                                                             </t>
  </si>
  <si>
    <t xml:space="preserve">LEGGETT TERRY                                     </t>
  </si>
  <si>
    <t xml:space="preserve">(818) 9022902   </t>
  </si>
  <si>
    <t>F15973</t>
  </si>
  <si>
    <t>ICE, CATERPILLAR, MODEL NO. 3508, SERIAL NO. 23Z05G78, EMERGENCY, FUELED WITH LOW NOX AMBER 363, FOUR CYCLE, TURBOCHARGED,  993 BHP.</t>
  </si>
  <si>
    <t xml:space="preserve">VALLEY WATER CO                         </t>
  </si>
  <si>
    <t xml:space="preserve">F5101 </t>
  </si>
  <si>
    <t>ICE, CATERPILLAR, 12 CYLINDERS, TURBOCHARGED, AFTERCOOLED, MODEL NO. 3412 DITTA (500 KW), 746 BHP, DIESEL, EMERGENCY.</t>
  </si>
  <si>
    <t xml:space="preserve">4524 HAMPTON RD                                                                 </t>
  </si>
  <si>
    <t xml:space="preserve">LA CANADA FLINTRIDGE     </t>
  </si>
  <si>
    <t xml:space="preserve">BOYTIM ANDY                                       </t>
  </si>
  <si>
    <t xml:space="preserve">(818) 7905516   </t>
  </si>
  <si>
    <t>VTA1710G</t>
  </si>
  <si>
    <t xml:space="preserve">VARIOUS BLDGS SBIA                                                              </t>
  </si>
  <si>
    <t xml:space="preserve">POPP LARRY                                        </t>
  </si>
  <si>
    <t xml:space="preserve">(909) 3827580   </t>
  </si>
  <si>
    <t xml:space="preserve">SAN BERNARDINO MUN WATER DEPT           </t>
  </si>
  <si>
    <t>F20271</t>
  </si>
  <si>
    <t>ICE, CATERPILLAR, 6 CYLINDERS, TURBOCHARGED, AFTERCOOLED, MODEL NO. 3406 DITA (400 KW), SERIAL NO. 4RZ04456, 587 BHP, DIESEL, EMERGENCY</t>
  </si>
  <si>
    <t xml:space="preserve">195 N D ST                                                                      </t>
  </si>
  <si>
    <t xml:space="preserve">VALDEZ THOMAS A                                   </t>
  </si>
  <si>
    <t xml:space="preserve">(909) 3845087   </t>
  </si>
  <si>
    <t>SAN BERNARDINO REHAB HOSP, R. E. BALLARD</t>
  </si>
  <si>
    <t>D78789</t>
  </si>
  <si>
    <t>ICE, CATERPILLAR, DIESEL, MODEL NO. 3412 TA, FOUR CYCLE, TURBOCHARGED, AFTERCOOLED, TWELVE CYLINDERS, 850 BHP @ 1800 RPM</t>
  </si>
  <si>
    <t xml:space="preserve">1760 W 16TH ST                                                                  </t>
  </si>
  <si>
    <t xml:space="preserve">FELTENBERG DAVID W                                </t>
  </si>
  <si>
    <t xml:space="preserve">(909) 4731210   </t>
  </si>
  <si>
    <t xml:space="preserve">SAN BERNARDINO, CITY OF - POLICE DEPT   </t>
  </si>
  <si>
    <t>D91736</t>
  </si>
  <si>
    <t>ICE, DETROIT DIESEL, 16 CYLINDERS, TURBOCHARGED, AFTERCOOLED, MODEL NO. 8163-7416 (16V-92TA), 1232 BHP, DIESEL, EMERGENCY</t>
  </si>
  <si>
    <t xml:space="preserve">710 N D ST                                                                      </t>
  </si>
  <si>
    <t xml:space="preserve">SHARER JAMES                                      </t>
  </si>
  <si>
    <t xml:space="preserve">(909) 3845244   </t>
  </si>
  <si>
    <t xml:space="preserve">1041 S GRAND AVE                                                                </t>
  </si>
  <si>
    <t>F41344</t>
  </si>
  <si>
    <t>ICE, CUMMINS, MODEL NO. KTA50-G9, SERIAL NO: GC-597,  2220 BHP, 16 CYLINDERS, FOUR CYCLE, LEAN BURN, TURBOCHARGED, AFTERCOOLED, DIESEL, EMERGENCY ELECTRICAL GENERATION</t>
  </si>
  <si>
    <t xml:space="preserve">4121 GRAND VIEW BLVD                                                            </t>
  </si>
  <si>
    <t>F38031</t>
  </si>
  <si>
    <t>ICE, DETROIT DIESEL, MODEL 8163-7416 (16V-92TA), DIESEL FUEL, 16 CYLINDERS, TURBOCHARGED AND AFTERCOOLED, RATED AT 1232 BHP, DRIVING AN EMERGENCY STAND-BY GENERATOR.</t>
  </si>
  <si>
    <t xml:space="preserve">953 MANHATTAN BEACH BLVD                                                        </t>
  </si>
  <si>
    <t>F38619</t>
  </si>
  <si>
    <t>ICE, CATERPILLAR, EMERGENCY ELECTRICAL GENERATION, MODEL NO. 3508 TA, SERIAL NO. 023Z01224, DIESEL FUELED, TURBOCHARGED AND AFTERCOOLED, 1199 BHP.</t>
  </si>
  <si>
    <t xml:space="preserve">17551 GOTHARD ST                                                                </t>
  </si>
  <si>
    <t>F38035</t>
  </si>
  <si>
    <t>ICE, CATERPILLAR, MODEL 3508 DITA, DIESEL FUEL, 8 CYLINDERS, TURBOCHARGED AND AFTERCOOLED, RATED AT 1093 BHP, DRIVING AN EMERGENCY STAND-BY GENERATOR</t>
  </si>
  <si>
    <t xml:space="preserve">15256 LA CRUZ DR                                                                </t>
  </si>
  <si>
    <t xml:space="preserve">PACIFIC PALISADES        </t>
  </si>
  <si>
    <t>F38583</t>
  </si>
  <si>
    <t>ICE, DETROIT DIESEL, MODEL NO. 7163-7305 (16V71T), DIESEL FUELED, EMERGENCY ELECTRICAL GENERATION, 16 CYLINDERS, TURBOCHARGED AND AFTERCOOLED, 830 BHP</t>
  </si>
  <si>
    <t xml:space="preserve">7280 EDINGER AVE                                                                </t>
  </si>
  <si>
    <t>F48080</t>
  </si>
  <si>
    <t>ICE, CATERPILLAR, MODEL NO. 3408, 603 BHP, DIESEL FUELED, SERIAL NO. 6DA01363, TURBOCHARGED, AFTERCOOLED, LEAN BURN, FOUR CYCLE, DRIVING AN EMERGENCY ELECTRICAL GENERATOR</t>
  </si>
  <si>
    <t xml:space="preserve">22400 ALESSANDRO BLVD                                                           </t>
  </si>
  <si>
    <t xml:space="preserve">WASHINGTON MUTUAL BANK, F. A.           </t>
  </si>
  <si>
    <t>F38193</t>
  </si>
  <si>
    <t xml:space="preserve">VENCOR HOSPITALS CALIFORNIA, ORANGE CTY </t>
  </si>
  <si>
    <t>F16393</t>
  </si>
  <si>
    <t>ICE, DETROIT DIESEL, MODEL NO. 7163-7305, SERIAL NO. 25-01960, DIESEL, EMERGENCY, NATURALLY, 16 CYLINDERS, 787 BHP.</t>
  </si>
  <si>
    <t xml:space="preserve">200 HOSPITAL CIR                                                                </t>
  </si>
  <si>
    <t xml:space="preserve">CURRIER JOE                                       </t>
  </si>
  <si>
    <t xml:space="preserve">(714) 8934541   </t>
  </si>
  <si>
    <t xml:space="preserve">VERIZON CALIFORNIA INC                  </t>
  </si>
  <si>
    <t>M49177</t>
  </si>
  <si>
    <t xml:space="preserve">ICE, CUMMINS, DIESEL, EMR, MODEL VTA1710-G3, SN 37102010, 500 KW, </t>
  </si>
  <si>
    <t>VTA1710-G3</t>
  </si>
  <si>
    <t xml:space="preserve">2904 ARCHIBALD AVE                                                              </t>
  </si>
  <si>
    <t xml:space="preserve">GILMORE MARTIN                                    </t>
  </si>
  <si>
    <t xml:space="preserve">(562) 6270186   </t>
  </si>
  <si>
    <t>M57140</t>
  </si>
  <si>
    <t xml:space="preserve">ICE, CUMMINS, DIESEL, EMR, MODEL KTA19-G32, SN 31133411, 500 KW, </t>
  </si>
  <si>
    <t>KTA19-GS2</t>
  </si>
  <si>
    <t xml:space="preserve">42140 WASHINGTON ST                                                             </t>
  </si>
  <si>
    <t xml:space="preserve">WILLIAMS JOE                                      </t>
  </si>
  <si>
    <t>M50591</t>
  </si>
  <si>
    <t>ICE, CATERPILLAR, DIESEL, EMERGENCY, MODEL NO. 3508, TURBOCHARGED, AFTERCOOLED, 8 CYLINDERS, 939 BHP.</t>
  </si>
  <si>
    <t>3508 DI</t>
  </si>
  <si>
    <t xml:space="preserve">598 N SEPULVEDA                                                                 </t>
  </si>
  <si>
    <t xml:space="preserve">WEST LOS ANGELES         </t>
  </si>
  <si>
    <t xml:space="preserve">NELSON BARRY                                      </t>
  </si>
  <si>
    <t xml:space="preserve">(310) 3196148   </t>
  </si>
  <si>
    <t>M50592</t>
  </si>
  <si>
    <t>ICE, CATERPILLAR, DIESEL, EMERGENCY, MODEL NO. D349 TA, TURBOCHARGED, AFTERCOOLED, 16 CYLINDERS, 1006 BHP</t>
  </si>
  <si>
    <t xml:space="preserve">15844 WORKMAN ST                                                                </t>
  </si>
  <si>
    <t xml:space="preserve">LA PUENTE                </t>
  </si>
  <si>
    <t>M50594</t>
  </si>
  <si>
    <t>ICE, MITSUBISHI, DIESEL, EMERGENCY, MODEL NO. S12N-PT, TURBOCHARGED, AFTERCOOLED, 12 CYLINDERS, 939 BHP.</t>
  </si>
  <si>
    <t>S12N-PT</t>
  </si>
  <si>
    <t xml:space="preserve">8334 E 2ND ST                                                                   </t>
  </si>
  <si>
    <t>ICE, CATERPILLAR, DIESEL, EMERGENCY, MODEL NO. 3412, TURBOCHARGED, AFTERCOOLED, 12 CYLINDERS, 670 BHP.</t>
  </si>
  <si>
    <t>3412T</t>
  </si>
  <si>
    <t>M50599</t>
  </si>
  <si>
    <t>ICE, CATERPILLAR, DIESEL, EMERGENCY, MODEL NO. 3508 DITA, TURBOCHARGED, AFTERCOOLED, 8 CYLINDERS, 1006 BHP.</t>
  </si>
  <si>
    <t xml:space="preserve">1008 HOLLISTER ST                                                               </t>
  </si>
  <si>
    <t xml:space="preserve">SAN FERNANDO             </t>
  </si>
  <si>
    <t xml:space="preserve">HARPER MIKE                                       </t>
  </si>
  <si>
    <t xml:space="preserve">(818) 3618717   </t>
  </si>
  <si>
    <t>M50600</t>
  </si>
  <si>
    <t xml:space="preserve">13461 VAN NUYS                                                                  </t>
  </si>
  <si>
    <t xml:space="preserve">ZAMORA LUIS                                       </t>
  </si>
  <si>
    <t>M50604</t>
  </si>
  <si>
    <t xml:space="preserve">13687 TELEGRAPH                                                                 </t>
  </si>
  <si>
    <t>M50605</t>
  </si>
  <si>
    <t xml:space="preserve">17111 BOLSA CHICA                                                               </t>
  </si>
  <si>
    <t>M50767</t>
  </si>
  <si>
    <t>ICE, MITSUBISHI, DIESEL, EMERGENCY, MODEL NO. S12N-PT, TURBOCHARGED, AFTERCOOLED, 12 CYLINDERS, 1160 BHP.</t>
  </si>
  <si>
    <t xml:space="preserve">3980 E 7TH ST                                                                   </t>
  </si>
  <si>
    <t>M50766</t>
  </si>
  <si>
    <t xml:space="preserve">9317 WASHINGTON                                                                 </t>
  </si>
  <si>
    <t xml:space="preserve">PICO RIVERA              </t>
  </si>
  <si>
    <t>M51584</t>
  </si>
  <si>
    <t>ICE, MITSUBISHI, DIESEL, EMERGENCY, MODEL NO. S6N-PTA2, TURBOCHARGED, AFTERCOOLED, 6 CYLINDERS, 670 BHP.</t>
  </si>
  <si>
    <t>S6N-PTA2</t>
  </si>
  <si>
    <t xml:space="preserve">650 PALOS VERDES BLVD                                                           </t>
  </si>
  <si>
    <t xml:space="preserve">WALLS PHIL                                        </t>
  </si>
  <si>
    <t xml:space="preserve">(310) 3714164   </t>
  </si>
  <si>
    <t>M50608</t>
  </si>
  <si>
    <t xml:space="preserve">295 BROADWAY                                                                    </t>
  </si>
  <si>
    <t>M53054</t>
  </si>
  <si>
    <t>ICE, DETROIT DIESEL, DIESEL, EMERGENCY, MODEL NO. 8123-7305, TURBOCHARGED, AFTERCOOLED, 12 CYLINDERS, 670 BHP.</t>
  </si>
  <si>
    <t>8123-7305</t>
  </si>
  <si>
    <t xml:space="preserve">6640 E FLORENCE PL                                                              </t>
  </si>
  <si>
    <t>ICE, CUMMINS, MODEL NO. KTTA50-G2, SERIAL NO. H960614527, DIESEL FUEL, 16 CYLINDERS, TURBOCHARGED AND AFTERCOOLED, RATED AT 2220 BHP DRIVING AN ELECTRICAL GENERATOR.</t>
  </si>
  <si>
    <t xml:space="preserve">2811 WILSHIRE ASSOC., WILSHIRE TOWER    </t>
  </si>
  <si>
    <t>385686</t>
  </si>
  <si>
    <t>ICE, CUMMINS, 12 CYLINDERS, TURBOCHARGED, AFTERCOOLED, MODEL NO. QST30-G1, 1135 BHP, DIESEL-FUELED, DRIVING AN EMERGENCY ELECTRICAL GENERATOR.</t>
  </si>
  <si>
    <t xml:space="preserve">2811 WILSHIRE BLVD                                                              </t>
  </si>
  <si>
    <t xml:space="preserve">SIMMONS ROGER                                     </t>
  </si>
  <si>
    <t xml:space="preserve">(310) 4491099   </t>
  </si>
  <si>
    <t>377565</t>
  </si>
  <si>
    <t>2000</t>
  </si>
  <si>
    <t>F35659</t>
  </si>
  <si>
    <t>ICE, CATERPILLAR, 12 CYLINDERS, TURBOCHARGED, AFTERCOOLED, MODEL NO. 3512B DITA (1500 KW), SERIAL NO. 8RM00628, 2155 BHP, DIESEL-FUELED, DRIVING AN EMERGENCY ELECTRICAL GENERATOR.</t>
  </si>
  <si>
    <t>1500</t>
  </si>
  <si>
    <t>386931</t>
  </si>
  <si>
    <t>F42122</t>
  </si>
  <si>
    <t>ICE, CUMMINS, EMERGENCY ELECTRICAL GENERATION, MODEL NO. KTA38-G1, SERIAL NO. 33116663, DIESEL FUELED, TWELVE CYLINDERS, TURBOCHARGED, AND AFTERCOOLED, 1135 BHP.</t>
  </si>
  <si>
    <t xml:space="preserve">MAYER ROGER                                       </t>
  </si>
  <si>
    <t xml:space="preserve">(818) 8407289   </t>
  </si>
  <si>
    <t>2002</t>
  </si>
  <si>
    <t>500</t>
  </si>
  <si>
    <t>ADVENT REALTY L.P. FUND II/NEWPORT PLACE</t>
  </si>
  <si>
    <t>F42014</t>
  </si>
  <si>
    <t>ICE, DETROIT DIESEL, MODEL 8V-92TA, SERIAL NO. 8083-7416, 643 BHP, DIESEL-FUELED, 8 CYLINDERS, TURBOCHARGED, DRIVING AN EMERGENCY ELECTRICAL GENERATOR.</t>
  </si>
  <si>
    <t>643</t>
  </si>
  <si>
    <t xml:space="preserve">4100 NEWPORT PLACE                                                              </t>
  </si>
  <si>
    <t xml:space="preserve">ROMAGNANO II FRANK                                </t>
  </si>
  <si>
    <t xml:space="preserve">(714) 2528577   </t>
  </si>
  <si>
    <t xml:space="preserve">ALLEGIANCE CUSTOM STERILE               </t>
  </si>
  <si>
    <t>388125</t>
  </si>
  <si>
    <t>F41528</t>
  </si>
  <si>
    <t>ICE, DETROIT DIESEL, EMERGENCY ELECTRICAL GENERATION, MODEL NO. 12V-2000 G81 (R123-7K06), DIESEL FUELED, TWELVE CYLINDERS, TURBOCHARGED AND AFTERCOOLED, 1120 BHP.</t>
  </si>
  <si>
    <t>R123-7K06</t>
  </si>
  <si>
    <t>1120</t>
  </si>
  <si>
    <t xml:space="preserve">821 S ROCKEFELLER AVE                                                           </t>
  </si>
  <si>
    <t xml:space="preserve">LENITHAN RUTH                                     </t>
  </si>
  <si>
    <t xml:space="preserve">(909) 6055308   </t>
  </si>
  <si>
    <t>387640</t>
  </si>
  <si>
    <t>F40804</t>
  </si>
  <si>
    <t>ICE, CUMMINS, 16 CYLINDER, TURBOCHARGED, AFTERCOOLED, MODEL KTA50-G9 (1500 KW), 2220 BHP, DIESEL FUELED, DRIVING AN EMERGENCY ELECTRICAL GENERATOR.</t>
  </si>
  <si>
    <t xml:space="preserve">ALLEGIANCE TELECOM, INC                 </t>
  </si>
  <si>
    <t>F41796</t>
  </si>
  <si>
    <t xml:space="preserve">ICE, CUMMINS, 6 CYLINDER TURBOCHARGED AND AFTERCOOLED, MODEL KTA19-G4, 755 BHP, DIESEL-FUELED, DRIVING AN EMERGENCY ELECTRICAL GENERATOR, MODEL NO. DFED 3384377, SERIAL NO. 990034923. </t>
  </si>
  <si>
    <t>755</t>
  </si>
  <si>
    <t xml:space="preserve">1251 E DYER RD                                                                  </t>
  </si>
  <si>
    <t xml:space="preserve">VIRDIN MARK                                       </t>
  </si>
  <si>
    <t xml:space="preserve">(214) 7628859   </t>
  </si>
  <si>
    <t xml:space="preserve">ALLERGAN INC                            </t>
  </si>
  <si>
    <t>397563</t>
  </si>
  <si>
    <t>F49257</t>
  </si>
  <si>
    <t>ICE, DETROIT DIESEL, 16 CYLINDERS, TURBOCHARGED, AFTERCOOLED, MODEL NO. T163-7K36 (2190 KW), 2935 BHP, DIESEL-FUELED, DRIVING AN EMERGENCY ELECTRICAL GENERATOR.</t>
  </si>
  <si>
    <t>T163-7K36</t>
  </si>
  <si>
    <t>2190</t>
  </si>
  <si>
    <t xml:space="preserve">18600 VON KARMAN &amp; 2525 DUPONT                                                  </t>
  </si>
  <si>
    <t xml:space="preserve">PROPOSIAN ALLEN                                   </t>
  </si>
  <si>
    <t xml:space="preserve">(71 ) 7963223   </t>
  </si>
  <si>
    <t>386142</t>
  </si>
  <si>
    <t>F43199</t>
  </si>
  <si>
    <t>ICE, EMERGENCY POWER, DIESEL FUEL, CUMMINS, MODEL KTA50-G9, TURBOCHARGER, AFTERCOOLER, 2220 BHP.</t>
  </si>
  <si>
    <t xml:space="preserve">NGO TUAN                                          </t>
  </si>
  <si>
    <t xml:space="preserve">(32 ) 2277229   </t>
  </si>
  <si>
    <t xml:space="preserve">ALTA VISTA                              </t>
  </si>
  <si>
    <t>392281</t>
  </si>
  <si>
    <t>F47010</t>
  </si>
  <si>
    <t>ICE, CATERPILLAR, MODEL NO. 3412C DITA, SERIAL NO. 81Z23805, AT 746 BHP, DRIVING AN EMERGENCY ELCTRICAL GENERATOR.</t>
  </si>
  <si>
    <t>746</t>
  </si>
  <si>
    <t xml:space="preserve">111 THEORY                                                                      </t>
  </si>
  <si>
    <t xml:space="preserve">BRISTLE MICHAEL                                   </t>
  </si>
  <si>
    <t xml:space="preserve">(65 ) 3207818   </t>
  </si>
  <si>
    <t xml:space="preserve">AMC PROMENADE 16                        </t>
  </si>
  <si>
    <t>393359</t>
  </si>
  <si>
    <t>F46699</t>
  </si>
  <si>
    <t>ICE, CUMMINS, DIESEL, EMERGENCY, MODEL NO. KTA19-G1, TURBOCHARGED, AFTERCOOLED, 6 CYLINDERS, 560 BHP</t>
  </si>
  <si>
    <t xml:space="preserve">870 N MOUNTAIN AVE                                                              </t>
  </si>
  <si>
    <t xml:space="preserve">VII REG                                           </t>
  </si>
  <si>
    <t xml:space="preserve">(714) 9460283   </t>
  </si>
  <si>
    <t>D23492</t>
  </si>
  <si>
    <t>ICE, CATERPILLAR, DIESEL, EMERGENCY, MODEL NO. 3508, TURBOCHARGED, AFTERCOOLED, 8 CYLINDERS, 1096 BHP</t>
  </si>
  <si>
    <t xml:space="preserve">5380 ATLANTIC AVE                                                               </t>
  </si>
  <si>
    <t>D33897</t>
  </si>
  <si>
    <t>ICE, CATERPILLAR, DIESEL, EMERGENCY, MODEL NO. 3512, TURBOCHARGED, AFTERCOOLED, 2178 BHP, DIESEL, 1500 KW, EMERGENCY</t>
  </si>
  <si>
    <t xml:space="preserve">295 N SUNRISE WAY                                                               </t>
  </si>
  <si>
    <t>D70646</t>
  </si>
  <si>
    <t>EMERGENCY GENERATION SYSTEM CONSISTING OF: (1) INTERNAL COMBUSTION ENGINE,  MITSUBISHI, DIESEL, MODEL NO. S12N-PT, 1Q2 CYLINDERS, TURBOCHARGED, 1000 BHP (2) TWO DIESEL WATER EMULSIFIER, HARRIER, MODEL K3 (3) CATALYTIC OXIDATION UNIT, ENGLEHARD, MODEL 2203, 1'-10" DIA. X 2'-7" L.</t>
  </si>
  <si>
    <t xml:space="preserve">2400 BEVERLY MANOR RD                                                           </t>
  </si>
  <si>
    <t>D63805</t>
  </si>
  <si>
    <t>ICE, CATERPILLAR, MODEL NO. 3412 TA, DIESEL, EMERGENCY, TURBOCHARGED, AFTERCOOLED, 12 CYLINDERS, 890 BHP</t>
  </si>
  <si>
    <t xml:space="preserve">8613 E FIRESTONE BLVD                                                           </t>
  </si>
  <si>
    <t xml:space="preserve">BARR NEAL LA                                      </t>
  </si>
  <si>
    <t xml:space="preserve">(714) 6230460   </t>
  </si>
  <si>
    <t>D48579</t>
  </si>
  <si>
    <t>ICE, CATERPILLAR, MODEL NO. 3406B, DIESEL, EMERGENCY, TURBOCHARGED, AFTERCOOLED, 6 CYLINDERS, 587 BHP</t>
  </si>
  <si>
    <t xml:space="preserve">11333 SEPULVEDA BLVD                                                            </t>
  </si>
  <si>
    <t>D85891</t>
  </si>
  <si>
    <t>ICE, DETROIT DIESEL, DIESEL, EMERGENCY, ELECTRICAL, MODEL NO. 8V-92TA, SERIAL NO. 08VF160187, TURBOCHARGED, AFTERCOOLED, 8 CYLINDERS, 540 BHP.</t>
  </si>
  <si>
    <t xml:space="preserve">320 N TURNER AVE                                                                </t>
  </si>
  <si>
    <t>D84868</t>
  </si>
  <si>
    <t>ICE, CATERPILLAR, MODEL NO. 3412 DITA, SERIAL NO. 81Z01850, DIESEL, EMERGENCY, TURBOCHARGED, AFTERCOOLED, 12 CYLINDERS, 748 BHP</t>
  </si>
  <si>
    <t xml:space="preserve">5431 TORRANCE BLVD                                                              </t>
  </si>
  <si>
    <t>90503-4005</t>
  </si>
  <si>
    <t xml:space="preserve">SYROCZYNSKI PAUL                                  </t>
  </si>
  <si>
    <t>F01030</t>
  </si>
  <si>
    <t xml:space="preserve">1505 E ENTERPRISE DR                                                            </t>
  </si>
  <si>
    <t xml:space="preserve">WELZ PETER                                        </t>
  </si>
  <si>
    <t xml:space="preserve">(909) 4692260   </t>
  </si>
  <si>
    <t>ICE, CATERPILLAR, MODEL NO. 3412, DIESEL, EMERGENCY, 12 CYLINDERS, TURBOCHARGED, AFTERCOOLED, 746 BHP.</t>
  </si>
  <si>
    <t xml:space="preserve">F2137 </t>
  </si>
  <si>
    <t xml:space="preserve">5832 BOLSA AVE                                                                  </t>
  </si>
  <si>
    <t xml:space="preserve">F6576 </t>
  </si>
  <si>
    <t>ICE, CATERPILLAR, DIESEL, EMERGENCY, MODEL NO. 3512B, SERIAL NO. 6WN00116, SIX CYLINDERS, TURBOCHARGED, AFTERCOOLED, 2032 BHP.</t>
  </si>
  <si>
    <t xml:space="preserve">9053 SEPULVEDA                                                                  </t>
  </si>
  <si>
    <t xml:space="preserve">DAVIES RICHARD                                    </t>
  </si>
  <si>
    <t>F10075</t>
  </si>
  <si>
    <t>ICE, MITSUBISHI, MODEL NO. S-12N-PTA-ES, DIESEL, EMERGENCY, TURBOCHARGED, AFTERCOOLED, 1500 BHP</t>
  </si>
  <si>
    <t>S12N-PTA-ES</t>
  </si>
  <si>
    <t xml:space="preserve">6802 WESTMINSTER AVE                                                            </t>
  </si>
  <si>
    <t>92683-3709</t>
  </si>
  <si>
    <t>F12272</t>
  </si>
  <si>
    <t>ICE, CUMMINS, MODEL NO. VTA1710-G2, DIESEL, EMERGENCY, TURBOCHARGED, AFTERCOOLED, 900 BHP</t>
  </si>
  <si>
    <t xml:space="preserve">41963 MORENO RD                                                                 </t>
  </si>
  <si>
    <t>F11252</t>
  </si>
  <si>
    <t>ICE, DETROIT DIESEL, 24 CYLINDERS, TURBOCHARGED, AFTERCOOLED, MODEL NO. 7243-7406 (24V-71TA), SERIAL NO. 24VA001640, 1550 BHP, DIESEL FUELED, EMERGENCY</t>
  </si>
  <si>
    <t xml:space="preserve">665 N E ST                                                                      </t>
  </si>
  <si>
    <t>F19306</t>
  </si>
  <si>
    <t>ICE, CATERPILLAR, 12 CYLINDERS, TURBOCHARGED, AFTERCOOLED, MODEL NO. 3412 DITA (500 KW), SERIAL NO. 81Z02411, 746 BHP, DIESEL, EMERGENCY</t>
  </si>
  <si>
    <t xml:space="preserve">900 N IDAHO ST                                                                  </t>
  </si>
  <si>
    <t>90631-2605</t>
  </si>
  <si>
    <t>F19305</t>
  </si>
  <si>
    <t>ICE, CATERPILLAR, 8 CYLINDERS, TURBOCHARGED, AFTERCOOLED, MODEL NO. 3508 DITA (750 KW), SERIAL NO. 23Z00744, 1093 BHP, DIESEL, EMERGENCY</t>
  </si>
  <si>
    <t xml:space="preserve">12035 E FRONT ST                                                                </t>
  </si>
  <si>
    <t>90650-2913</t>
  </si>
  <si>
    <t>F20058</t>
  </si>
  <si>
    <t xml:space="preserve">ARDEN REALTY/HOWARD HUGHES TOWER        </t>
  </si>
  <si>
    <t>386648</t>
  </si>
  <si>
    <t>F41735</t>
  </si>
  <si>
    <t>ICE, VALLEY DETROIT DIESEL ALLISON, DIESEL FUELED, EMERGENCY ELECTRICAL GENERATION, MODEL NO. 8163-7305, SERIAL NO. 16VF006550, 16 CYLINDERS, TURBOCHARGED, AFTERCOOLED, 940 BHP.</t>
  </si>
  <si>
    <t>940</t>
  </si>
  <si>
    <t xml:space="preserve">6701 CENTER DRIVE WEST                                                          </t>
  </si>
  <si>
    <t xml:space="preserve">SMITH BILL                                        </t>
  </si>
  <si>
    <t xml:space="preserve">(310) 6651800   </t>
  </si>
  <si>
    <t>390795</t>
  </si>
  <si>
    <t>F46917</t>
  </si>
  <si>
    <t>ICE, CUMMINS, EMERGENCY ELECTRICAL GENERATION, MODEL NO. QSX15-G9, SERIAL NO. F010259477, DIESEL FUELED, SIX CYLINDERS, TURBOCHARGED, AND AFTERCOOLED, 755 BHP.</t>
  </si>
  <si>
    <t xml:space="preserve">WAY GARY                                          </t>
  </si>
  <si>
    <t xml:space="preserve">(213) 4000116   </t>
  </si>
  <si>
    <t>390817</t>
  </si>
  <si>
    <t>F46916</t>
  </si>
  <si>
    <t>ICE, CUMMINS, EMERGENCY ELECTRICAL GENERATION, MODEL NO. QSX15-G9, SERIAL NO. F010255383, DIESEL FUELED, SIX CYLINDERS, TURBOCHARGED, AND AFTERCOOLED, 755 BHP.</t>
  </si>
  <si>
    <t xml:space="preserve">AT&amp;T  CORP                              </t>
  </si>
  <si>
    <t>385405</t>
  </si>
  <si>
    <t>F41023</t>
  </si>
  <si>
    <t>ICE, CATERPILLAR, EMERGENCY ELECTRICAL GENERATION, MODEL NO. 3508B DITA, DIESEL FUELED, EIGHT CYLINDERS, TURBOCHARGED AND AFTERCOOLED, 1480 BHP.</t>
  </si>
  <si>
    <t>1480</t>
  </si>
  <si>
    <t xml:space="preserve">417 W WARNER DR                                                                 </t>
  </si>
  <si>
    <t xml:space="preserve">MOORE ADRIAN                                      </t>
  </si>
  <si>
    <t xml:space="preserve">AT&amp;T COMMUNICATIONS (SHERMAN OAKS)      </t>
  </si>
  <si>
    <t>394664</t>
  </si>
  <si>
    <t>F47686</t>
  </si>
  <si>
    <t>ICE, CATERPILLAR, MODEL NO. 3516 DITA (2000 KW), DIESEL FUELED, FOUR CYCLES, SIXTEEN CYLINDERS, TURBOCHARGED AND AFTERCOOLED, RATED AT 2847 BHP, DRIVING AN EMERGENCY ELECTRICAL GENERATOR.</t>
  </si>
  <si>
    <t xml:space="preserve">14800 VENTURA BLVD RM 202                                                       </t>
  </si>
  <si>
    <t xml:space="preserve">(92 ) 2247488   </t>
  </si>
  <si>
    <t xml:space="preserve">AUTOMATIC  DATA  PROCESSING  (ADP)      </t>
  </si>
  <si>
    <t>389770</t>
  </si>
  <si>
    <t>F43858</t>
  </si>
  <si>
    <t>ICE, CATERPILLAR, MODEL NO. 3412, DIESEL FUELED, EMERGENCY ELECTRICAL GENERATOR, TURBOCHARGED, 1186 BHP.</t>
  </si>
  <si>
    <t>3412</t>
  </si>
  <si>
    <t>1186</t>
  </si>
  <si>
    <t xml:space="preserve">7000 VILLAGE DR                                                                 </t>
  </si>
  <si>
    <t xml:space="preserve">JENKINS SCOTT                                     </t>
  </si>
  <si>
    <t xml:space="preserve">(714) 6907021   </t>
  </si>
  <si>
    <t xml:space="preserve">AUTOMOBILE CLUB OF SO CALIF             </t>
  </si>
  <si>
    <t>398620</t>
  </si>
  <si>
    <t>F50337</t>
  </si>
  <si>
    <t>ICE, DETROIT DIESEL, EMERGENCY ELECTRICAL GENERATION, MODEL NO. 16V92TA, SERIAL NO. 16VF013591, DIESEL FUELED, SIXTEEN CYLINDERS, TURBOCHARGED AND AFTERCOOLED, 1252 BHP.</t>
  </si>
  <si>
    <t>16V92TA</t>
  </si>
  <si>
    <t>1252</t>
  </si>
  <si>
    <t xml:space="preserve">3333 FAIRVIEW RD                                                                </t>
  </si>
  <si>
    <t xml:space="preserve">FALB RICK                                         </t>
  </si>
  <si>
    <t xml:space="preserve">(714) 8851551   </t>
  </si>
  <si>
    <t>398621</t>
  </si>
  <si>
    <t>F50205</t>
  </si>
  <si>
    <t>ICE, #2, DETROIT DIESEL, EMERGENCY ELECTRICAL GENERATION, MODEL NO. 8163-7305, SERIAL NO. 16VF005428, DIESEL FUELED, SIXTEEN CYLINDERS, TURBOCHARGED AND AFTERCOOLED, 1050 BHP.</t>
  </si>
  <si>
    <t>1050</t>
  </si>
  <si>
    <t>398622</t>
  </si>
  <si>
    <t>F50204</t>
  </si>
  <si>
    <t>ICE, #1, DETROIT DIESEL, EMERGENCY ELECTRICAL GENERATION, MODEL NO. 8163-7305, SERIAL NO. 16VF005424, DIESEL FUELED, SIXTEEN CYLINDERS, TURBOCHARGED AND AFTERCOOLED, 1050 BHP.</t>
  </si>
  <si>
    <t>800</t>
  </si>
  <si>
    <t xml:space="preserve">BAXTER HEALTHCARE CORP, I V SYSTEMS     </t>
  </si>
  <si>
    <t>389727</t>
  </si>
  <si>
    <t>F46706</t>
  </si>
  <si>
    <t>ICE, CUMMINS, MODEL NO. QST30-G5, DIESEL FUELED, SERIAL NO. AVP31141, TURBOCHARGED AND AFTERCOOLED, 1490 BHP, 12 CYLINDERS, DRIVING AN EMERGENCY ELECTRICAL GENERATOR.</t>
  </si>
  <si>
    <t xml:space="preserve">17511 ARMSTRONG AVE                                                             </t>
  </si>
  <si>
    <t xml:space="preserve">DESROSIER MATT                                    </t>
  </si>
  <si>
    <t xml:space="preserve">(949) 4746477   </t>
  </si>
  <si>
    <t>391352</t>
  </si>
  <si>
    <t>F48229</t>
  </si>
  <si>
    <t>ICE, VOLVO, MODEL NO. TAD1232GE, SERIAL NO. IE9GF8223YR153425, PORTABLE, INTRA-FACILITY, DIESEL FUELED, TURBOCHARGED, &amp; AIRCOOLED, 518 BHP, DRIVING AN EMERGENCY ELECTRICAL GENERATOR.</t>
  </si>
  <si>
    <t>518</t>
  </si>
  <si>
    <t xml:space="preserve">341 N FOOTHILL RD                                                               </t>
  </si>
  <si>
    <t>396528</t>
  </si>
  <si>
    <t>F49224</t>
  </si>
  <si>
    <t xml:space="preserve">3800 W ALAMEDA                                                                  </t>
  </si>
  <si>
    <t xml:space="preserve">HUNLEY BEN                                        </t>
  </si>
  <si>
    <t xml:space="preserve">(818) 5574444   </t>
  </si>
  <si>
    <t xml:space="preserve">WALT DISNEY PICTURES &amp; TELEVISION       </t>
  </si>
  <si>
    <t>F26457</t>
  </si>
  <si>
    <t>ICE, CATERPILLAR, MODEL 3412 DISTA, SERIAL NO. 2WJ05772, DIESEL, TWELVE CYLINDERS, TURBOCHARGED, AFTERCOOLED, 1109 BHP, EMERGENCY</t>
  </si>
  <si>
    <t xml:space="preserve">500 CIRCLE SEVEN DR                                                             </t>
  </si>
  <si>
    <t xml:space="preserve">KHAN RODNEY                                       </t>
  </si>
  <si>
    <t xml:space="preserve">(818) 4760095   </t>
  </si>
  <si>
    <t>F26455</t>
  </si>
  <si>
    <t>ICE, CATERPILLAR, MODEL 3412 DISTA, SERIAL NO. 2WJ05773, DIESEL, TWELVE CYLINDERS, TURBOCHARGED, AFTERCOOLED, 1109 BHP, EMERGENCY</t>
  </si>
  <si>
    <t>F26456</t>
  </si>
  <si>
    <t>ICE, CATERPILLAR, MODEL 3412 DISTA, SERIAL NO. 2WJ05774, DIESEL, TWELVE CYLINDERS, TURBOCHARGED, AFTERCOOLED, 1109 BHP, EMERGENCY</t>
  </si>
  <si>
    <t xml:space="preserve">WALT DISNEY WORLD CO                    </t>
  </si>
  <si>
    <t>D96368</t>
  </si>
  <si>
    <t>ICE, CATERPILLAR, MODEL 3508 DI, SERIAL NO. 28Z00641, DIESEL, EIGHT CYLINDERS, TURBOCHARGED, AFTERCOOLED, 712 BHP, EMERGENCY</t>
  </si>
  <si>
    <t xml:space="preserve">1717 S WEST ST                                                                  </t>
  </si>
  <si>
    <t>92802-2390</t>
  </si>
  <si>
    <t xml:space="preserve">FANNING WILLIAM                                   </t>
  </si>
  <si>
    <t xml:space="preserve">(714) 9566724   </t>
  </si>
  <si>
    <t xml:space="preserve">WARNER BROTHERS STUDIO FACILITIES       </t>
  </si>
  <si>
    <t>D72741</t>
  </si>
  <si>
    <t>ICE, DETROIT DIESEL, DIESEL, MODEL NUMBER 12V-92TA, DIESEL, EMERGENCY, TURBOCHARGED, AFTERCOOLED, TWELVE CYLINDERS, 830 BHP.</t>
  </si>
  <si>
    <t xml:space="preserve">4000 WARNER BLVD                                                                </t>
  </si>
  <si>
    <t xml:space="preserve">MOORE LOWELL                                      </t>
  </si>
  <si>
    <t xml:space="preserve">(818) 9542890   </t>
  </si>
  <si>
    <t xml:space="preserve">F5802 </t>
  </si>
  <si>
    <t>ICE, CATERPILLAR, MODEL NO. SR-4, SERIAL NO. GMA00728, DIESEL, EMERGENCY, 8 CYLINDERS, TURBOCHARGED, AFTERCOOLED, 1100 BHP</t>
  </si>
  <si>
    <t xml:space="preserve">WARNER CENTER MARRIOTT HOTEL            </t>
  </si>
  <si>
    <t>D66641</t>
  </si>
  <si>
    <t>ICE, CATERPILLAR, DIESEL, EMERGENCY, MODEL NO. 3412, TURBOCHARGED, AFTERCOOLED, 12 CYLINDERS, 755 BHP.</t>
  </si>
  <si>
    <t xml:space="preserve">21850 OXNARD ST                                                                 </t>
  </si>
  <si>
    <t xml:space="preserve">FRANK BRAD                                        </t>
  </si>
  <si>
    <t xml:space="preserve">(818) 8874800   </t>
  </si>
  <si>
    <t xml:space="preserve">WATER FACILITIES AUTHORITY - JPA        </t>
  </si>
  <si>
    <t>F13194</t>
  </si>
  <si>
    <t>ICE, CATERPILLAR, MODEL NO. 3412 DIT, SERIAL NO. 81Z06387, DIESEL, 12 CYLINDERS, TURBOCHARGED, AFTERCOOLED, 724 BHP, EMERGENCY</t>
  </si>
  <si>
    <t>3413 DIT</t>
  </si>
  <si>
    <t xml:space="preserve">BAUTISTA BERNIE                                   </t>
  </si>
  <si>
    <t xml:space="preserve">(909) 9819454   </t>
  </si>
  <si>
    <t xml:space="preserve">WATER GARDEN COMPANY, L L C             </t>
  </si>
  <si>
    <t>F00680</t>
  </si>
  <si>
    <t>ICE, DETROIT DIESEL, DIESEL, EMERGENCY, MODEL NO. 8163-7416, SERIAL NO. 16VF008943, TURBOCHARGED, AFTERCOOLED, 16 CYLINDERS, 1232 BHP.</t>
  </si>
  <si>
    <t xml:space="preserve">1620 26TH ST ROOF TOP NORTH                                                     </t>
  </si>
  <si>
    <t xml:space="preserve">ADDISON TRAVIS                                    </t>
  </si>
  <si>
    <t xml:space="preserve">(310) 3159800   </t>
  </si>
  <si>
    <t>F00678</t>
  </si>
  <si>
    <t>ICE, DETROIT DIESEL, DIESEL, EMERGENCY, MODEL 8163-7416, SERIAL NO. 16VF008944, TURBOCHARGED, AFTERCOOLED, 16 CYLINDERS, 1232 BHP.</t>
  </si>
  <si>
    <t xml:space="preserve">2425 OLYMPIC BLVD ROOFTOP EAST                                                  </t>
  </si>
  <si>
    <t xml:space="preserve">WEDDLE WILLIE                                     </t>
  </si>
  <si>
    <t xml:space="preserve">WELLPOINT HEALTH NETWORKS               </t>
  </si>
  <si>
    <t>F28053</t>
  </si>
  <si>
    <t>ICE, CATERPILLAR, 16 CYLINDERS, TURBOCHARGED, AFTERCOOLED, MODEL NO. 3516 DITA (2000 KW), SERIAL NO. 6HN00504,  2847 BHP, DIESEL, EMERGENCY</t>
  </si>
  <si>
    <t xml:space="preserve">21555 OXNARD ST                                                                 </t>
  </si>
  <si>
    <t xml:space="preserve">GALLAGHER DAN                                     </t>
  </si>
  <si>
    <t xml:space="preserve">(818) 6106244   </t>
  </si>
  <si>
    <t>F28054</t>
  </si>
  <si>
    <t>ICE, CATERPILLAR, 16 CYLINDERS, TURBOCHARGED, AFTERCOOLED, MODEL NO. 3516 DITA (2000 KW), SERIAL NO. 6HN00405,  2847 BHP, DIESEL, EMERGENCY</t>
  </si>
  <si>
    <t xml:space="preserve">WELLS FARGO BANK                        </t>
  </si>
  <si>
    <t>D33201</t>
  </si>
  <si>
    <t>ICE NO. 4, DETROIT DIESEL, DIESEL, EMERGENCY, MODEL NO. 9163-7306, SERIAL NO. 16E0007494, TURBOCHARGED, INTERCOOLED, 16 CYLINDERS, 1540 BHP.</t>
  </si>
  <si>
    <t xml:space="preserve">1200 W 7TH ST                                                                   </t>
  </si>
  <si>
    <t>90017-5000</t>
  </si>
  <si>
    <t xml:space="preserve">PAUL DAVID                                        </t>
  </si>
  <si>
    <t xml:space="preserve">(213) 4300706   </t>
  </si>
  <si>
    <t>D33198</t>
  </si>
  <si>
    <t>ICE NO. 2, DETROIT DIESEL, DIESEL, EMERGENCY, MODEL NO. 9163-7306, SERIAL NO. 16E0007364, TURBOCHARGED, INTERCOOLED, 16 CYLINDERS, 1540 BHP.</t>
  </si>
  <si>
    <t>D33199</t>
  </si>
  <si>
    <t>ICE NO. 1, DETROIT DIESEL, DIESEL, EMERGENCY, MODEL NO. 9163-7306, SERIAL NO. 16E0007365, TURBOCHARGED, INTERCOOLED, 16 CYLINDERS, 1540 BHP.</t>
  </si>
  <si>
    <t>D33197</t>
  </si>
  <si>
    <t>ICE NO. 3, DETROIT DIESEL, DIESEL, EMERGENCY, MODEL NO. 9163-7306, SERIAL NO. 16E0007366, TURBOCHARGED, INTERCOOLED, 16 CYLINDERS, 1540 BHP.</t>
  </si>
  <si>
    <t>F33953</t>
  </si>
  <si>
    <t>ICE, DETROIT DIESEL, 12 CYLINDERS, TURBOCHARGED, AFTERCOOLED, MODEL NO. T123-7K36 (1380 KW), SERIAL NO. 5262000505, 1850 BHP, DIESEL, EMERGENCY</t>
  </si>
  <si>
    <t>WELLS FARGO BANK, N.A.,CORPORATE PROP GR</t>
  </si>
  <si>
    <t xml:space="preserve">F4215 </t>
  </si>
  <si>
    <t>ICE, CUMMINS, 6 CYLINDERS, TURBOCHARGED, AFTERCOOLED, MODEL NO. KTTA19-G2, 750 BHP, DIESEL, EMERGENCY</t>
  </si>
  <si>
    <t xml:space="preserve">333 S HOPE ST                                                                   </t>
  </si>
  <si>
    <t xml:space="preserve">MCGRANAHAN CAROL                                  </t>
  </si>
  <si>
    <t xml:space="preserve">(213) 2536002   </t>
  </si>
  <si>
    <t>WESCORP CORP,WESTERN CORP FED CREDIT UNI</t>
  </si>
  <si>
    <t>D69764</t>
  </si>
  <si>
    <t>ICE, DETROIT DIESEL, MODEL NO. 12V-92TA, DIESEL, EMERGENCY, TURBOCHARGED, AFTERCOOLED, 12 CYLINDERS, 947 BHP.</t>
  </si>
  <si>
    <t xml:space="preserve">924 OVERLAND CT                                                                 </t>
  </si>
  <si>
    <t xml:space="preserve">JAEGER JACKIE                                     </t>
  </si>
  <si>
    <t xml:space="preserve">(818) 5936000   </t>
  </si>
  <si>
    <t>WEST COAST LIQUIDATORS INC, PIC 'N' SAVE</t>
  </si>
  <si>
    <t>D35451</t>
  </si>
  <si>
    <t>ICE, CATERPILLAR, DIESEL, EMERGENCY, MODEL NO. 3508 TA, TURBOCHARGED, AFTERCOOLED, 8 CYLINDERS, 1010 BHP.</t>
  </si>
  <si>
    <t xml:space="preserve">12434 4TH ST                                                                    </t>
  </si>
  <si>
    <t xml:space="preserve">RIEKEN JERRY                                      </t>
  </si>
  <si>
    <t xml:space="preserve">(714) 8994408   </t>
  </si>
  <si>
    <t xml:space="preserve">WEST ED                                 </t>
  </si>
  <si>
    <t>F23820</t>
  </si>
  <si>
    <t xml:space="preserve">4665 LAMPSON                                                                    </t>
  </si>
  <si>
    <t xml:space="preserve">SNOKE STEVEN                                      </t>
  </si>
  <si>
    <t xml:space="preserve">(562) 9859140   </t>
  </si>
  <si>
    <t>WEST SAN BERNARDINO COUNTY WATER DISTRIC</t>
  </si>
  <si>
    <t>F23841</t>
  </si>
  <si>
    <t xml:space="preserve">3010 N CEDAR                                                                    </t>
  </si>
  <si>
    <t xml:space="preserve">SIKORSKI KEN                                      </t>
  </si>
  <si>
    <t xml:space="preserve">(909) 8751322   </t>
  </si>
  <si>
    <t xml:space="preserve">WESTERN FINANCIAL BANK                  </t>
  </si>
  <si>
    <t>F20936</t>
  </si>
  <si>
    <t xml:space="preserve">15750 ALTON PKY                                                                 </t>
  </si>
  <si>
    <t xml:space="preserve">HALL GARY                                         </t>
  </si>
  <si>
    <t xml:space="preserve">(949) 7533913   </t>
  </si>
  <si>
    <t xml:space="preserve">WESTERN MUNICIPAL WATER DISTRICT        </t>
  </si>
  <si>
    <t>D61428</t>
  </si>
  <si>
    <t>ICE, CATERPILLAR, DIESEL, MODEL NO. 3406 BDI, TURBOCHARGED, AFTERCOOLED, SIX CYLINDER, FOUR CYCLE, 510 BHP, EMERGENCY</t>
  </si>
  <si>
    <t>3406 BDI</t>
  </si>
  <si>
    <t xml:space="preserve">16451 EL SOBRANTE RD                                                            </t>
  </si>
  <si>
    <t xml:space="preserve">SHIPLEY JOHN                                      </t>
  </si>
  <si>
    <t xml:space="preserve">(909) 7802450   </t>
  </si>
  <si>
    <t>WESTERN RIVERSIDE CO REG WASTEWATER AUTH</t>
  </si>
  <si>
    <t xml:space="preserve">F5491 </t>
  </si>
  <si>
    <t xml:space="preserve">14634 RIVER RD                                                                  </t>
  </si>
  <si>
    <t>SLATE LEE</t>
  </si>
  <si>
    <t xml:space="preserve">(909) 7855411   </t>
  </si>
  <si>
    <t xml:space="preserve">WESTIN LOS ANGELES AIRPORT              </t>
  </si>
  <si>
    <t>F35001</t>
  </si>
  <si>
    <t>ICE, CATERPILLAR, DIESEL, EMERGENCY, MODEL 3508 STD, SERIAL NO. 23700900, TURBOCHARGED, AFTERCOOLED, 8 CYLINDERS, 808 BHP</t>
  </si>
  <si>
    <t xml:space="preserve">5400 W CENTURY BLVD                                                             </t>
  </si>
  <si>
    <t xml:space="preserve">DELIA MICHAEL                                     </t>
  </si>
  <si>
    <t xml:space="preserve">(310) 4174542   </t>
  </si>
  <si>
    <t xml:space="preserve">WESTWOOD GATEWAY LTD                    </t>
  </si>
  <si>
    <t>D23733</t>
  </si>
  <si>
    <t>ICE, CUMMINS, DIESEL, EMERGENCY, MODEL NO. KTA 19-G2, SERIAL NO. 31129716, TURBOCHARGED, AFTERCOOLED, 6 CYLINDERS, 560 BHP.</t>
  </si>
  <si>
    <t xml:space="preserve">11111 SANTA MONICA BLVD                                                         </t>
  </si>
  <si>
    <t xml:space="preserve">SULLIVAN VICKY                                    </t>
  </si>
  <si>
    <t xml:space="preserve">(213) 4796535   </t>
  </si>
  <si>
    <t xml:space="preserve">WHITE MEMORIAL MEDICAL CENTER           </t>
  </si>
  <si>
    <t>D55157</t>
  </si>
  <si>
    <t>ICE, CATERPILLAR, DIESEL, EMERGENCY, MODEL 3508 -750, TURBOCHARGED, AFTERCOOLED, 8 CYLINDERS, 1098 BHP.</t>
  </si>
  <si>
    <t>3508-750</t>
  </si>
  <si>
    <t xml:space="preserve">1720 CESAR CHAVEZ AVE                                                           </t>
  </si>
  <si>
    <t xml:space="preserve">SCHAEFER JOHN                                     </t>
  </si>
  <si>
    <t xml:space="preserve">(323) 2685000   </t>
  </si>
  <si>
    <t>D54926</t>
  </si>
  <si>
    <t>F20480</t>
  </si>
  <si>
    <t>ICE, CATERPILLAR, MODEL NO. 3412, DIESEL, TURBOCHARGED, AFTERCOOLED, 12 CYLINDERS, 620 BHP, EMERGENCY</t>
  </si>
  <si>
    <t xml:space="preserve">WHITTIER CITY, PUBLIC SERVICES DEPT     </t>
  </si>
  <si>
    <t>D66011</t>
  </si>
  <si>
    <t>ICE, CUMMINS, DIESEL, EMERGENCY, MODEL NO. NTTA-855-GS2/GC2, 6 CYLINDERS, TURBOCHARGED, AFTERCOOLED, 535 BHP</t>
  </si>
  <si>
    <t>NTTA855-GS2/GC2</t>
  </si>
  <si>
    <t xml:space="preserve">1380 SUMMIT DR                                                                  </t>
  </si>
  <si>
    <t xml:space="preserve">MCKENNA DAN                                       </t>
  </si>
  <si>
    <t xml:space="preserve">(213) 6955214   </t>
  </si>
  <si>
    <t xml:space="preserve">WHITTIER HOSPITAL MEDICAL CENTER        </t>
  </si>
  <si>
    <t>F18766</t>
  </si>
  <si>
    <t>ICE, DETROIT DIESEL, 12 CYLINDERS, TURBOCHARGED, AFTERCOOLED, MODEL NO. 12V-92TA, 830 BHP, DIESEL, EMERGENCY</t>
  </si>
  <si>
    <t xml:space="preserve">9080 COLIMA RD                                                                  </t>
  </si>
  <si>
    <t xml:space="preserve">MC CLURE KEN                                      </t>
  </si>
  <si>
    <t xml:space="preserve">(562) 4642994   </t>
  </si>
  <si>
    <t xml:space="preserve">WILMOT INC                              </t>
  </si>
  <si>
    <t>F23421</t>
  </si>
  <si>
    <t>ICE, CUMMINS, MODEL NO. KTTA19-G2, DIESEL, EMERGENCY, TURBOCHARGED, AFTERCOOLED, 6 CYLINDERS, 750 BHP</t>
  </si>
  <si>
    <t xml:space="preserve">3200 WILSHIRE BLVD SUITE 999                                                    </t>
  </si>
  <si>
    <t xml:space="preserve">(213) 3657243   </t>
  </si>
  <si>
    <t xml:space="preserve">WILSHIRE COURTYARD                      </t>
  </si>
  <si>
    <t>D21192</t>
  </si>
  <si>
    <t>ICE, CATERPILLAR, DIESEL, EMERGENCY, MODEL NO. 3508 TA, SERIAL NO. 23201309 / 5UA00892, TURBOCHARGED, AFTERCOOLED, 8 CYLINDERS, 1106 BHP.</t>
  </si>
  <si>
    <t xml:space="preserve">5700-50 WILSHIRE BLVD                                                           </t>
  </si>
  <si>
    <t xml:space="preserve">ACCIAVATTI PHIL                                   </t>
  </si>
  <si>
    <t xml:space="preserve">(213) 9390300   </t>
  </si>
  <si>
    <t>D21194</t>
  </si>
  <si>
    <t>ICE, CATERPILLAR, DIESEL, EMERGENCY, MODEL NO. 3508 TA, SERIAL NO. 23201301 / 5UA00890, TURBOCHARGED, AFTERCOOLED, 8 CYLINDERS, 1106 BHP.</t>
  </si>
  <si>
    <t xml:space="preserve">WORLD COM                               </t>
  </si>
  <si>
    <t>F16334</t>
  </si>
  <si>
    <t xml:space="preserve">5055 WILSHIRE BLVD                                                              </t>
  </si>
  <si>
    <t xml:space="preserve">RAUCH CHUCK                                       </t>
  </si>
  <si>
    <t xml:space="preserve">(208) 3426629   </t>
  </si>
  <si>
    <t xml:space="preserve">WORLD TRADE CENTER HOTEL ASSOCIATES LTD </t>
  </si>
  <si>
    <t>D38901</t>
  </si>
  <si>
    <t>ICE, DETROIT DIESEL, MODEL NO. 8163-7405, SERIAL NO. 16VF008082, DIESEL, EMERGENCY, TURBOCHARGED, AFTERCOOLED, 16 CYLINDERS, 1095 BHP.</t>
  </si>
  <si>
    <t xml:space="preserve">1 &amp; 2 WORLD TRADE CENTER                                                        </t>
  </si>
  <si>
    <t xml:space="preserve">MAJD AL                                           </t>
  </si>
  <si>
    <t xml:space="preserve">(562) 9833408   </t>
  </si>
  <si>
    <t xml:space="preserve">WORLDCOM                                </t>
  </si>
  <si>
    <t>F15221</t>
  </si>
  <si>
    <t>ICE, CUMMINS, MODEL NO. KTA50-G3, DIESEL, EMERGENCY, SERIAL NO. 79256/7, 16 CYLINDERS, TURBOCHARGED, AFTERCOOLED, 1850 BHP.</t>
  </si>
  <si>
    <t xml:space="preserve">18850 ORANGE ST                                                                 </t>
  </si>
  <si>
    <t xml:space="preserve">THUNWELL H. C.                                    </t>
  </si>
  <si>
    <t xml:space="preserve">(714) 8200468   </t>
  </si>
  <si>
    <t>F15223</t>
  </si>
  <si>
    <t>ICE, CUMMINS, MODEL NO. KTA50-G3, DIESEL, EMERGENCY, SERIAL NO. 79256/6, 16 CYLINDERS, TURBOCHARGED, AFTERCOOLED, 1850 BHP.</t>
  </si>
  <si>
    <t>F35161</t>
  </si>
  <si>
    <t>ICE NO. 1, CATERPILLAR, MODEL NO. 3516B DITA SC, DIESEL, EMERGENCY, 16 CYLINDERS, TURBOCHARGED, AFTERCOOLED, 2145 BHP</t>
  </si>
  <si>
    <t>F35162</t>
  </si>
  <si>
    <t>ICE NO. 2, CATERPILLAR, MODEL NO. 3516B DITA SC, DIESEL, EMERGENCY, 16 CYLINDERS, TURBOCHARGED, AFTERCOOLED, 2145 BHP</t>
  </si>
  <si>
    <t xml:space="preserve">WRC PROPERTIES INC                      </t>
  </si>
  <si>
    <t>D07770</t>
  </si>
  <si>
    <t>ICE, CATERPILLAR, DIESEL, EMR, MODEL 3508TA, 8 CYL, 1106 BHP, TURBOCHARGED, AFTERCOOLED</t>
  </si>
  <si>
    <t xml:space="preserve">6500 WILSHIRE BLVD SUITE 2280                                                   </t>
  </si>
  <si>
    <t xml:space="preserve">EGERT R                                           </t>
  </si>
  <si>
    <t xml:space="preserve">(213) 6510490   </t>
  </si>
  <si>
    <t xml:space="preserve">XEROX CORP                              </t>
  </si>
  <si>
    <t>D36588</t>
  </si>
  <si>
    <t xml:space="preserve">TELEPACIFIC COMMUNICATIONS              </t>
  </si>
  <si>
    <t>F37370</t>
  </si>
  <si>
    <t>ICE, DETROIT DIESEL, EMERGENCY, SERIAL NO. 380645, DIESEL, TURBOCHARGED AND AFTERCOOLED, 643 BHP.</t>
  </si>
  <si>
    <t xml:space="preserve">800 W 6TH ST 4TH FLOOR                                                          </t>
  </si>
  <si>
    <t xml:space="preserve">PETTORINI LUKE                                    </t>
  </si>
  <si>
    <t xml:space="preserve">(213) 2133355   </t>
  </si>
  <si>
    <t>TENET HEALTHSYSTEM QA INC, QUEEN OF ANGE</t>
  </si>
  <si>
    <t>F19296</t>
  </si>
  <si>
    <t>ICE, CATERPILLAR, DIESEL, EMERGENCY, MODEL NO. 3412, SERIAL NO. 81Z04208, TWELVE CYLINDERS, TURBOCHARGED, AFTERCOOLED, 890 BHP.</t>
  </si>
  <si>
    <t xml:space="preserve">1300 N VERMONT AVE                                                              </t>
  </si>
  <si>
    <t xml:space="preserve">BIONSON ROBERT                                    </t>
  </si>
  <si>
    <t xml:space="preserve">(213) 4133000   </t>
  </si>
  <si>
    <t>ICE, DETROIT DIESEL, MODEL NO. 8163-7416, SERIAL NO. 609447, DIESEL, EMERGENCY, TWO CYCLE, LEAN BURN, SIXTEEN CYLINDERS, TURBOCHARGED AND AFTERCOOLED, 1232 BHP.</t>
  </si>
  <si>
    <t xml:space="preserve">30161 AVENTURA                                                                  </t>
  </si>
  <si>
    <t>F32383</t>
  </si>
  <si>
    <t>ICE, CATERPILLAR, 12 CYLINDERS, TURBOCHARGED, AFTERCOOLED, MODEL NO. 3512B DITA (1500 KW), SERIAL NO. 8RM00495, 2155 BHP, DIESEL, EMERGENCY.</t>
  </si>
  <si>
    <t xml:space="preserve">1255 N VERMONT AVE                                                              </t>
  </si>
  <si>
    <t xml:space="preserve">YOCUM LAURIE                                      </t>
  </si>
  <si>
    <t xml:space="preserve">(626) 5763169   </t>
  </si>
  <si>
    <t>F34542</t>
  </si>
  <si>
    <t>ICE, CATERPILLAR, 12 CYLINDERS, TURBOCHARGED, AFTERCOOLED, MODEL NO. 3512B DITA (1500 KW), SERIAL NO. 8RM00488, 2155 BHP, DIESEL, EMERGENCY.</t>
  </si>
  <si>
    <t>F37354</t>
  </si>
  <si>
    <t>ICE, CATERPILLAR, DIESEL, EMERGENCY, MODEL 3512 TA, TURBOCHARGED AND AFTERCOOLED, 12 CYLINDERS, FOUR CYCLE, 1800 BHP.</t>
  </si>
  <si>
    <t xml:space="preserve">11272 MAGNOLIA BLVD                                                             </t>
  </si>
  <si>
    <t xml:space="preserve">TRAN T.T.                                         </t>
  </si>
  <si>
    <t xml:space="preserve">(62 ) 5763175   </t>
  </si>
  <si>
    <t>F34883</t>
  </si>
  <si>
    <t xml:space="preserve">15 E ALICE ST                                                                   </t>
  </si>
  <si>
    <t xml:space="preserve">ROSELI E. R.                                      </t>
  </si>
  <si>
    <t>PACIFIC BELL                      006944</t>
  </si>
  <si>
    <t>D66319</t>
  </si>
  <si>
    <t>ICE, CATERPILLAR, MODEL 3512 TA, SERIAL NO. CEO4025, DIESEL FUELED, EMERGENCY, ELECTRICAL GENERATOR DRIVER, TURBOCHARGED, AFTERCOOLED, 12 CYLINDERS, 1443 BHP.</t>
  </si>
  <si>
    <t xml:space="preserve">666 LA BREA                                                                     </t>
  </si>
  <si>
    <t xml:space="preserve">PACIFIC BELL TELEPHONE CO               </t>
  </si>
  <si>
    <t>D66040</t>
  </si>
  <si>
    <t>ICE, CATERPILLAR, MODEL NO. 3508, SERIAL NO. 21201081, DIESEL, EMERGENCY, TURBOCHARGED AND AFTERCOOLED, 8 CYLINDERS, 1096 BHP.</t>
  </si>
  <si>
    <t xml:space="preserve">2350 S MAIN ST                                                                  </t>
  </si>
  <si>
    <t xml:space="preserve">M.O.IRBY UNKNOWN                                  </t>
  </si>
  <si>
    <t>F23671</t>
  </si>
  <si>
    <t>ICE, CATERPILLAR, MODEL 3508A, DIESEL, EIGHT CYLINDERS, FOUR CYCLE, RICH BURN, TURBOCHARGED AND AFTERCOOLED, 1325 BHP, EMERGENCY</t>
  </si>
  <si>
    <t>3508A</t>
  </si>
  <si>
    <t xml:space="preserve">PACIFIC CORPORATE TOWERS                </t>
  </si>
  <si>
    <t xml:space="preserve">F4336 </t>
  </si>
  <si>
    <t>ICE, DETROIT DIESEL, DIESEL, EMERGENCY, MODEL NO. 8163-7305, SERIAL NO. 16V-004956, TURBOCHARGED, 16 CYLINDERS, 960 BHP.</t>
  </si>
  <si>
    <t xml:space="preserve">100, 200, 222 N SEPULVEDA BLVD                                                  </t>
  </si>
  <si>
    <t xml:space="preserve">KENNEDY CAMERON                                   </t>
  </si>
  <si>
    <t xml:space="preserve">(310) 4141205   </t>
  </si>
  <si>
    <t xml:space="preserve">PACIFIC HOSP OF LONG BEACH              </t>
  </si>
  <si>
    <t>M47605</t>
  </si>
  <si>
    <t>ICE, CUMMINS, DIESEL, EMR, MODEL VT12-GA300, 12 CYL, 540 BHP, 300 KW, 12 CYL, WATER COOLED</t>
  </si>
  <si>
    <t>VT12-GA300</t>
  </si>
  <si>
    <t xml:space="preserve">2776 PACIFIC AVE                                                                </t>
  </si>
  <si>
    <t xml:space="preserve">REED RON                                          </t>
  </si>
  <si>
    <t xml:space="preserve">(562) 5951911   </t>
  </si>
  <si>
    <t>M47606</t>
  </si>
  <si>
    <t>ICE, CUMMINS, DIESEL, EMR, MODEL KT1150-G, 555 BHP, 300 KW, WATER COOLED, 6 CYL</t>
  </si>
  <si>
    <t>KT1150-G</t>
  </si>
  <si>
    <t xml:space="preserve">PACIFIC LIFE INSURANCE                  </t>
  </si>
  <si>
    <t>D29249</t>
  </si>
  <si>
    <t>ICE, CATERPILLAR, DIESEL, EMERGENCY, MODEL NO. 3406, SERIAL NUMBER 2WB03543, TURBOCHARGED AND AFTERCOOLED, 6 CYLINDERS, 519 BHP.</t>
  </si>
  <si>
    <t>ICE, CATERPILLAR, 12 CYLINDERS, TURBOCHARGED, AFTERCOOLED, MODEL NO. 3512 DITA (1250 KW), SERIAL NO. 24Z05256, 1801 BHP, DIESEL, EMERGENCY</t>
  </si>
  <si>
    <t>D86004</t>
  </si>
  <si>
    <t>ICE, CATERPILLAR, 12 CYLINDERS, TURBOCHARGED, AFTERCOOLED, MODEL NO. 3512 DITA (1250 KW), SERIAL NO. 24Z05259, 1801 BHP, DIESEL, EMERGENCY</t>
  </si>
  <si>
    <t xml:space="preserve">THE MILLS CORP/MANAGEMENT OFFICE        </t>
  </si>
  <si>
    <t xml:space="preserve">F2936 </t>
  </si>
  <si>
    <t xml:space="preserve">ONE MILLS CIRCLE SUITE 1                                                        </t>
  </si>
  <si>
    <t>91764-5200</t>
  </si>
  <si>
    <t xml:space="preserve">MANCE JIM                                         </t>
  </si>
  <si>
    <t xml:space="preserve">(909) 4848301   </t>
  </si>
  <si>
    <t xml:space="preserve">THE NEW OTANI HOTEL &amp; GARDENS           </t>
  </si>
  <si>
    <t>C40901</t>
  </si>
  <si>
    <t>M30839</t>
  </si>
  <si>
    <t>ICE, CUMMINS, COMPRESSION-IGNITION, FOUR STROKE, TURBOCHARGED, V-12 TYPE, MODEL NO. VTA12-800-GS, 600 HP, DIESEL, 500 KW</t>
  </si>
  <si>
    <t xml:space="preserve">120 S LOS ANGELES ST                                                            </t>
  </si>
  <si>
    <t xml:space="preserve">CHASE LADD                                        </t>
  </si>
  <si>
    <t xml:space="preserve">(213) 6291200   </t>
  </si>
  <si>
    <t xml:space="preserve">THE PACIFIC CONDIMINIUM ASSOCIATION     </t>
  </si>
  <si>
    <t>D51171</t>
  </si>
  <si>
    <t>ICE, CATERPILLAR, MODEL NO. 3412, DIESEL, EMERGENCY, TURBOCHARGED, AFTERCOOLED, 12 CYLINDERS, 745 BHP.</t>
  </si>
  <si>
    <t xml:space="preserve">850 E OCEAN BLVD                                                                </t>
  </si>
  <si>
    <t xml:space="preserve">HASKELL OWEN W.                                   </t>
  </si>
  <si>
    <t xml:space="preserve">(415) 5885600   </t>
  </si>
  <si>
    <t>THE PENINSULA BEVERLY HILLS,THE BELVEDER</t>
  </si>
  <si>
    <t>D42431</t>
  </si>
  <si>
    <t>ICE, CATERPILLAR, MODEL NO. 3406B TA, SERIAL NO. 4RG00865, TURBOCHARGED, AFTERCOOLED, 6 CYLINDERS, 587 BHP.</t>
  </si>
  <si>
    <t>ICE, CUMMINS, DIESEL, EMERGENCY, MODEL VT12-800 GS, SERIAL NO. 10318457, TURBOCHARGED, AFTERCOOLED, 12 CYLINDERS, 600 BHP.</t>
  </si>
  <si>
    <t>VT12-800 GS</t>
  </si>
  <si>
    <t>F19299</t>
  </si>
  <si>
    <t>ICE, CUMMINS, DIESEL, EMERGENCY, MODEL VT12-800 GS, SERIAL NO. 10311647, TURBOCHARGED, AFTERCOOLED, 12 CYLINDERS, 600 BHP.</t>
  </si>
  <si>
    <t xml:space="preserve">THE AEROSPACE CORP UNIT NO.02           </t>
  </si>
  <si>
    <t>D64614</t>
  </si>
  <si>
    <t>ICE, CATERPILLAR, DIESEL, MODEL NO. 3508, DIESEL, EMERGENCY, TURBOCHARGED, AFTERCOOLED, 8 CYLINDERS, 1027 BHP.</t>
  </si>
  <si>
    <t xml:space="preserve">2350 E EL SEGUNDO                                                               </t>
  </si>
  <si>
    <t>90245-4609</t>
  </si>
  <si>
    <t xml:space="preserve">UMEKUBO RIKI                                      </t>
  </si>
  <si>
    <t xml:space="preserve">(310) 3369036   </t>
  </si>
  <si>
    <t>F34835</t>
  </si>
  <si>
    <t>ICE, CUMMINS, 6 CYLINDER, TURBOCHARGED, AFTERCOOLED, MODEL NO. N14-G2, 535 BHP, DIESEL, EMERGENCY</t>
  </si>
  <si>
    <t>F36235</t>
  </si>
  <si>
    <t>ICE NO. 1, CATERPILLAR, 16 CYLINDERS, TURBOCHARGED, AFTERCOOLED, MODEL NO. 3516 DITA (2000 KW), 2847 BHP, DIESEL, EMERGENCY</t>
  </si>
  <si>
    <t>F36236</t>
  </si>
  <si>
    <t>ICE NO. 2, CATERPILLAR, 16 CYLINDERS, TURBOCHARGED, AFTERCOOLED, MODEL NO. 3516 DITA (2000 KW), 2847 BHP, DIESEL, EMERGENCY</t>
  </si>
  <si>
    <t>F36237</t>
  </si>
  <si>
    <t>ICE NO. 3, CATERPILLAR, 16 CYLINDERS, TURBOCHARGED, AFTERCOOLED, MODEL NO. 3516 DITA (2000 KW), 2847 BHP, DIESEL, EMERGENCY</t>
  </si>
  <si>
    <t xml:space="preserve">THE BOEING COMPANY                      </t>
  </si>
  <si>
    <t>D08395</t>
  </si>
  <si>
    <t>ICE, CATERPILLAR, DIESEL, EMERGENCY, MODEL NO. 3412 TA, TURBOCHARGED, AFTERCOOLED, 12 CYLINDERS, 800 BHP.</t>
  </si>
  <si>
    <t xml:space="preserve">2201 SEAL BEACH &amp; 2600 WEST BLVD                                                </t>
  </si>
  <si>
    <t xml:space="preserve">BOEHM THERESA J                                   </t>
  </si>
  <si>
    <t xml:space="preserve">(562) 7974916   </t>
  </si>
  <si>
    <t xml:space="preserve">TEWELDE LEUL                                      </t>
  </si>
  <si>
    <t xml:space="preserve">(818) 5864005   </t>
  </si>
  <si>
    <t xml:space="preserve">THE DISNEY CHANNEL                      </t>
  </si>
  <si>
    <t>F14898</t>
  </si>
  <si>
    <t>ICE, CATERPILLAR, 12 CYLINDERS, TURBOCHARGED, AFTERCOOLED, MODEL NO. 3412 DITTA (500 KW), 746 BHP, DIESEL, EMERGENCY</t>
  </si>
  <si>
    <t xml:space="preserve">3800 W ALAMEDA AVE                                                              </t>
  </si>
  <si>
    <t xml:space="preserve">(818) 5606221   </t>
  </si>
  <si>
    <t xml:space="preserve">THE FOUR FORTY-FOUR PLAZA               </t>
  </si>
  <si>
    <t>D72647</t>
  </si>
  <si>
    <t>ICE, DETROIT DIESEL, DIESEL, EMERGENCY, MODEL NO. 7163-7305, SERIAL NO. 16VA017394, TURBOCHARGED, AFTERCOOLED, 670 BHP.</t>
  </si>
  <si>
    <t xml:space="preserve">444 S FLOWER ST STE 1750                                                        </t>
  </si>
  <si>
    <t xml:space="preserve">HYSEN DEBORAH                                     </t>
  </si>
  <si>
    <t xml:space="preserve">(213) 6243229   </t>
  </si>
  <si>
    <t>D72648</t>
  </si>
  <si>
    <t>ICE, CUMMINS, DIESEL, EMERGENCY, MODEL VT1710-F, SERIAL NO. 37100787, TURBOCHARGED, AFTERCOOLED, 548 BHP.</t>
  </si>
  <si>
    <t>VT1710-F</t>
  </si>
  <si>
    <t xml:space="preserve">THE GALLERIA AT SOUTH BAY               </t>
  </si>
  <si>
    <t>D12892</t>
  </si>
  <si>
    <t>ICE, CATERPILLAR, DIESEL, EMR, MODEL 3408, SN 78201257, 8 CYL, 600 BHP, TURBOCHARGED, AFTERCOOLED</t>
  </si>
  <si>
    <t xml:space="preserve">1815 HAWTHORNE BLVD                                                             </t>
  </si>
  <si>
    <t xml:space="preserve">ROGERS BOB                                        </t>
  </si>
  <si>
    <t xml:space="preserve">(310) 3717546   </t>
  </si>
  <si>
    <t xml:space="preserve">THE J PAUL GETTY TRUST                  </t>
  </si>
  <si>
    <t>D86006</t>
  </si>
  <si>
    <t>ICE, CATERPILLAR, 12 CYLINDERS, TURBOCHARGED, AFTERCOOLED, MODEL NO. 3512 DITA (1250 KW), SERIAL NO. 24Z05246, 1801 BHP, DIESEL, EMERGENCY</t>
  </si>
  <si>
    <t xml:space="preserve">1200 GETTY CENTER DR                                                            </t>
  </si>
  <si>
    <t>90049-1642</t>
  </si>
  <si>
    <t xml:space="preserve">DONOHOE JOHN                                      </t>
  </si>
  <si>
    <t xml:space="preserve">(310) 4406528   </t>
  </si>
  <si>
    <t>D86014</t>
  </si>
  <si>
    <t>ICE, CATERPILLAR, 12 CYLINDERS, TURBOCHARGED, AFTERCOOLED, MODEL NO. 3512 DITA (1250 KW), SERIAL NO. 24Z05255, 1801 BHP, DIESEL, EMERGENCY</t>
  </si>
  <si>
    <t>D86003</t>
  </si>
  <si>
    <t>PORTABLE ICE, NON-ROAD, CATERPILLAR, MODEL 3412, SERIAL NO. 81Z14225, COMPRESSION IGNITION, DIESEL FIRED, 676 BHP, TURBOCHARGED AND AFTERCOOLED, DRIVING A 450 KW GENERATOR</t>
  </si>
  <si>
    <t xml:space="preserve">NESBIT CHARLOTTE                                  </t>
  </si>
  <si>
    <t>F37726</t>
  </si>
  <si>
    <t>PORTABLE ICE, NON-ROAD, CUMMINS, MODEL NO. NTA855-G3, SERIAL NO. 30349472, COMPRESSION IGNITION, DIESEL FIRED, 535 BHP, TURBOCHARGED AND AFTERCOOLED, DRIVING A 350 KW GENERATOR.</t>
  </si>
  <si>
    <t>350</t>
  </si>
  <si>
    <t xml:space="preserve">DEUTSCH CO, METAL COMPONENTS DIV        </t>
  </si>
  <si>
    <t>F39507</t>
  </si>
  <si>
    <t>ICE, KOMATSU, MODEL SAIZV140, DIESEL-FUELED, TURBOCHARGED, AFTERCOOLED, 12 CYLINDER, 4-CYCLE, EMERGENCY POWER GENERATOR, 986 BHP.</t>
  </si>
  <si>
    <t>SAIZV140</t>
  </si>
  <si>
    <t xml:space="preserve">14500 &amp; 14800 S FIGUEROA ST                                                     </t>
  </si>
  <si>
    <t xml:space="preserve">RAGLAND ROBERT                                    </t>
  </si>
  <si>
    <t xml:space="preserve">(213) 5169300   </t>
  </si>
  <si>
    <t xml:space="preserve">DISNEYLAND RESORT                       </t>
  </si>
  <si>
    <t>F23453</t>
  </si>
  <si>
    <t>ICE, CUMMINS, MODEL 800 GTA 500 G3, NATURAL GAS FUELED, SIXTEEN CYLINDERS, FOUR CYCLE, RICH BURN, TURBOCHARGED AND AFTERCOOLED, RATED AT 1334 BHP, WITH A THREE WAY CATALYTIC CONVERTER, JOHNSON MATTEY, MODEL QUI-EX AND ALTRONIC EPC-100 SERIES, MODEL 691302 AIR FUEL RATIO CONTROLLER DRIVING AN EMERGENCY STAND-BY GENERATOR</t>
  </si>
  <si>
    <t>GTA500-G3</t>
  </si>
  <si>
    <t xml:space="preserve">1313 S HARBOR BLVD                                                              </t>
  </si>
  <si>
    <t xml:space="preserve">MARSDEN THOMAS                                    </t>
  </si>
  <si>
    <t xml:space="preserve">(714) 7814504   </t>
  </si>
  <si>
    <t xml:space="preserve">DOUBLE TREE HOTEL/ORANGE COUNTY AIRPORT </t>
  </si>
  <si>
    <t>F13304</t>
  </si>
  <si>
    <t>ICE, EMERGENCY POWER, DIESEL FUEL, CATERPILLAR, MODEL 3412T, WITH TURBOCHARGER, 749 HP</t>
  </si>
  <si>
    <t xml:space="preserve">3050 BRISTOL ST                                                                 </t>
  </si>
  <si>
    <t xml:space="preserve">SERGE PATRICK                                     </t>
  </si>
  <si>
    <t xml:space="preserve">(714) 5407000   </t>
  </si>
  <si>
    <t xml:space="preserve">DOUGLAS EMMETT &amp; CO/100  WILSHIRE ETAL  </t>
  </si>
  <si>
    <t>F37569</t>
  </si>
  <si>
    <t>ICE, CATERPILLAR, DIESEL-FUELED, EMERGENCY ELECTRICAL GENERATOR, MODEL 3412PC-385 5771, TURBOCHARGED, AFTERCOOLED, 12 CYLINDERS, 650 BHP</t>
  </si>
  <si>
    <t xml:space="preserve">100 WILSHIRE BLVD STE 1753                                                      </t>
  </si>
  <si>
    <t xml:space="preserve">BERICHON WENDY                                    </t>
  </si>
  <si>
    <t xml:space="preserve">(310) 3190100   </t>
  </si>
  <si>
    <t xml:space="preserve">DOUGLAS EMMETT &amp; CO/ONE WESTWOOD        </t>
  </si>
  <si>
    <t>F39132</t>
  </si>
  <si>
    <t>ICE, DETROIT DIESEL ALLISON, DIESEL, EMERGENCY, MODEL NO. 8163-7405, SERIAL NO. 16UF006896, 16 CYLINDERS, TURBOCHARGED AND AFTERCOOLED, 1232 BHP.</t>
  </si>
  <si>
    <t xml:space="preserve">10990 WILSHIRE BLVD STE 1280                                                    </t>
  </si>
  <si>
    <t xml:space="preserve">HATHAWAY DOROTHY                                  </t>
  </si>
  <si>
    <t xml:space="preserve">(310) 4783211   </t>
  </si>
  <si>
    <t xml:space="preserve">EARTHLINK                               </t>
  </si>
  <si>
    <t>F37665</t>
  </si>
  <si>
    <t>ICE, CATERPILLAR, 12 CYLINDERS, TURBOCHARGED, AFTERCOOLED, MODEL NO. 3512B DITA (1500 KW), SERIAL NO. 8RM00472, 2155 BHP, DIESEL-FUELED, DRIVING AN EMERGENCY ELECTRICAL GENERATOR</t>
  </si>
  <si>
    <t xml:space="preserve">2947 BRADLEY ST                                                                 </t>
  </si>
  <si>
    <t xml:space="preserve">COSTILLO DAVID                                    </t>
  </si>
  <si>
    <t xml:space="preserve">(626) 2962400   </t>
  </si>
  <si>
    <t>F37666</t>
  </si>
  <si>
    <t>ICE, CATERPILLAR, 12 CYLINDERS, TURBOCHARGED, AFTERCOOLED, MODEL NO. 3512B DITA (1500 KW), SERIAL NO. 8RM00512, 2155 BHP, DIESEL-FUELED, DRIVING AN EMERGENCY ELECTRICAL GENERATOR</t>
  </si>
  <si>
    <t>F40487</t>
  </si>
  <si>
    <t>ICE, PORTABLE EMERGENCY CATERPILLAR, MODEL 3512 TA, SERIAL NO. 24Z06102, TURBOCHARGED, AFTERCOOLED, DIESEL FUELED, RATED AT 1443 BHP, DRIVING AN ELECTRICAL GENERATOR</t>
  </si>
  <si>
    <t xml:space="preserve">GABRIELINO HIGH SCHOOL                  </t>
  </si>
  <si>
    <t>F39509</t>
  </si>
  <si>
    <t>ICE, CUMMINS, DIESEL-FUELED, EMERGENCY ELECTRICAL GENERATION, MODEL NO. N14-G2, TURBOCHARGED, AFTERCOOLED, SIX CYLINDERS, 535 BHP.</t>
  </si>
  <si>
    <t xml:space="preserve">1327 S SAN GABRIEL                                                              </t>
  </si>
  <si>
    <t xml:space="preserve">MURPHY GENE                                       </t>
  </si>
  <si>
    <t xml:space="preserve">(626) 5730214   </t>
  </si>
  <si>
    <t xml:space="preserve">TIME WARNER ENTERTAINMENT ADV NEWHOUSE  </t>
  </si>
  <si>
    <t>D95938</t>
  </si>
  <si>
    <t>ICE, CUMMINS, MODEL NO. KTA19-G3, DIESEL, EMERGENCY, TURBOCHARGED, AFTERCOOLED, 685 BHP.</t>
  </si>
  <si>
    <t xml:space="preserve">303 W PALM AVE                                                                  </t>
  </si>
  <si>
    <t xml:space="preserve">ELDRIDGE KEN                                      </t>
  </si>
  <si>
    <t xml:space="preserve">(714) 7713143   </t>
  </si>
  <si>
    <t>TISHMAN WEST CO, WILSHIRE LNDMRK I,CA GP</t>
  </si>
  <si>
    <t>D50517</t>
  </si>
  <si>
    <t>ICE, CATERPILLAR, DIESEL, EMERGENCY, MODEL NO. 3412, TURBOCHARGED, INTERCOOLED, 12 CYLINDERS, 755 BHP.</t>
  </si>
  <si>
    <t xml:space="preserve">11755 WILSHIRE BLVD                                                             </t>
  </si>
  <si>
    <t xml:space="preserve">VANDENBERGH FRANK                                 </t>
  </si>
  <si>
    <t xml:space="preserve">(310) 4739075   </t>
  </si>
  <si>
    <t xml:space="preserve">TOOLEY &amp; COMPANY                        </t>
  </si>
  <si>
    <t>D32455</t>
  </si>
  <si>
    <t>ICE, CATERPILLAR, DIESEL, EMERGENCY, MODEL NO. 3406B, TURBOCHARGED, AFTERCOOLED, 6 CYLINDERS, 518 BHP.</t>
  </si>
  <si>
    <t xml:space="preserve">5 PARK PLZ                                                                      </t>
  </si>
  <si>
    <t xml:space="preserve">BANICH MIKE                                       </t>
  </si>
  <si>
    <t xml:space="preserve">(714) 2512135   </t>
  </si>
  <si>
    <t>D31416</t>
  </si>
  <si>
    <t>ICE, CUMMINS, DIESEL, EMERGENCY, MODEL NO. NTA855-G3, TURBOCHARGED, AFTERCOOLED, 6 CYLINDERS, 535 BHP.</t>
  </si>
  <si>
    <t xml:space="preserve">OXY WESTWOOD CORP                       </t>
  </si>
  <si>
    <t>D74653</t>
  </si>
  <si>
    <t>ICE, CATERPILLAR, DIESEL, EMERGENCY ELECTRICAL GENERATION, MODEL NO. 3408 TA, SERIAL NO. 23ZO2729, TURBOCHARGED, AFTERCOOLED, 8 CYLINDERS, 1174 BHP.</t>
  </si>
  <si>
    <t xml:space="preserve">10889 WILSHIRE BLVD                                                             </t>
  </si>
  <si>
    <t xml:space="preserve">DOMINIS ANTHONY                                   </t>
  </si>
  <si>
    <t xml:space="preserve">(310) 4436670   </t>
  </si>
  <si>
    <t xml:space="preserve">TORRANCE MARRIOTT HOTEL                 </t>
  </si>
  <si>
    <t>D13331</t>
  </si>
  <si>
    <t>ICE, CATERPILLAR, DIESEL, EMERGENCY, MODEL NO. 3412, SERIAL NO. 81Z03523, TURBOCHARGED, AFTERCOOLED, 12 CYLINDERS, 680 BHP.</t>
  </si>
  <si>
    <t xml:space="preserve">3635 FASHION WAY                                                                </t>
  </si>
  <si>
    <t xml:space="preserve">KEEFFE DENNIS                                     </t>
  </si>
  <si>
    <t xml:space="preserve">(310) 3163636   </t>
  </si>
  <si>
    <t xml:space="preserve">TORRANCE MEMORIAL MEDICAL CENTER        </t>
  </si>
  <si>
    <t xml:space="preserve">3330 LOMITA BLVD                                                                </t>
  </si>
  <si>
    <t>90505-5073</t>
  </si>
  <si>
    <t xml:space="preserve">MAXFIELD BUD                                      </t>
  </si>
  <si>
    <t xml:space="preserve">(310) 5174755   </t>
  </si>
  <si>
    <t>D93299</t>
  </si>
  <si>
    <t>ICE, CATERPILLAR, DIESEL, EMERGENCY, MODEL NO. 3516 DITA (1500 KW), 2151 BHP, TURBOCHARGED, AFTERCOOLED, 16 CYLINDERS</t>
  </si>
  <si>
    <t xml:space="preserve">TOSCO REFINING COMPANY                  </t>
  </si>
  <si>
    <t xml:space="preserve">F6164 </t>
  </si>
  <si>
    <t>ICE, EMERGENCY FIRE, DIESEL, CATERPILLAR, MODEL NO. 3412 DITA PA-3281, 638 HP</t>
  </si>
  <si>
    <t xml:space="preserve">1660 W ANAHEIM ST                                                               </t>
  </si>
  <si>
    <t xml:space="preserve">WALLER MARSHALL                                   </t>
  </si>
  <si>
    <t xml:space="preserve">(310) 9526420   </t>
  </si>
  <si>
    <t xml:space="preserve">F6165 </t>
  </si>
  <si>
    <t xml:space="preserve">TOWNGATE REGIONAL MALL CO               </t>
  </si>
  <si>
    <t>D63807</t>
  </si>
  <si>
    <t>ICE, EMERGENCY, KOHLER MODEL 350 RODZ GENERATOR, 350 KW, POWERED BY A DETROIT DIESEL MODEL 8V-92A, DIESEL, EIGHT CYLINDER, 540 BHP, TURBOCHARGED, AFTERCOOLED</t>
  </si>
  <si>
    <t>8V-92A</t>
  </si>
  <si>
    <t xml:space="preserve">22500 TOWN CIR SUITE 1206                                                       </t>
  </si>
  <si>
    <t xml:space="preserve">BARRCELONA GUY                                    </t>
  </si>
  <si>
    <t xml:space="preserve">(714) 6977710   </t>
  </si>
  <si>
    <t>D63809</t>
  </si>
  <si>
    <t xml:space="preserve">TOYOTA MOTOR SALES,U.S.A. INC           </t>
  </si>
  <si>
    <t>M30245</t>
  </si>
  <si>
    <t>ICE, DETROIT DIESEL, DIESEL FUELED, EMERGENCY, MODEL NO.16V-149T, COMPRESSION IGNITION, TWO STROKE, TURBOCHARGED, AFTERCOOLED, 16 CYLINDERS, 1400 HP, 1000 KW</t>
  </si>
  <si>
    <t>16V-149T</t>
  </si>
  <si>
    <t xml:space="preserve">19001 S WESTERN AVE                                                             </t>
  </si>
  <si>
    <t xml:space="preserve">RANSOM CECIL                                      </t>
  </si>
  <si>
    <t xml:space="preserve">(310) 3814664   </t>
  </si>
  <si>
    <t>M30246</t>
  </si>
  <si>
    <t xml:space="preserve">TRANSAMERICA CTR, OCCIDENTAL LIFE       </t>
  </si>
  <si>
    <t>M62140</t>
  </si>
  <si>
    <t>ICE, ENTERPRISE, DIESEL, EMR, MODEL DSM-38, 8 CYL, 712 BHP, TURBOCHARGED</t>
  </si>
  <si>
    <t>Enterprise</t>
  </si>
  <si>
    <t>DSM-38</t>
  </si>
  <si>
    <t xml:space="preserve">1149 S HILL ST                                                                  </t>
  </si>
  <si>
    <t>M62141</t>
  </si>
  <si>
    <t xml:space="preserve">161 N ISLAND AVE                                                                </t>
  </si>
  <si>
    <t xml:space="preserve">LA CO MTA,  FACILITIES MAINTENANCE      </t>
  </si>
  <si>
    <t>F41987</t>
  </si>
  <si>
    <t>ICE, CUMMINS, MODEL NO. KTA38-GSI, DIESEL-FUELED, EMERGENCY ELECTRICAL GENERATION, TURBOCHARGED, AFTERCOOLED, 12 CYLINDERS, 1135 BHP.</t>
  </si>
  <si>
    <t>KTA38-GSI</t>
  </si>
  <si>
    <t xml:space="preserve">320 S SANTA FE                                                                  </t>
  </si>
  <si>
    <t xml:space="preserve">HUNT RICHARD                                      </t>
  </si>
  <si>
    <t xml:space="preserve">(213) 9726650   </t>
  </si>
  <si>
    <t xml:space="preserve">LA CO. ISD/NETWORK SERVICES DIVISION    </t>
  </si>
  <si>
    <t>F42003</t>
  </si>
  <si>
    <t>ICE, CUMMINS, MODEL KTTA19CZ, SERIAL NO. 61173, MANUFACTURED 1993, 670 BHP, EMERGENCY ELECTRICAL GENERATION</t>
  </si>
  <si>
    <t>KTTA19CZ</t>
  </si>
  <si>
    <t xml:space="preserve">1110 N EASTERN AVE                                                              </t>
  </si>
  <si>
    <t xml:space="preserve">JENKINS STEPHEN                                   </t>
  </si>
  <si>
    <t xml:space="preserve">(323) 8814608   </t>
  </si>
  <si>
    <t xml:space="preserve">LA CO., PROBATION/FAC PLANNING/ISD      </t>
  </si>
  <si>
    <t>F42000</t>
  </si>
  <si>
    <t>ICE, DETROIT DIESEL, MODEL NO. 9163-7305, SERIAL NO. 16E0003497, 1290 BHP, EMERGENCY ELECTRICAL GENERATION</t>
  </si>
  <si>
    <t xml:space="preserve">9150 E IMPERIAL HIGHWAY                                                         </t>
  </si>
  <si>
    <t>F42001</t>
  </si>
  <si>
    <t>ICE, DETROIT DIESEL, MODEL NO. 9123-7305, SERIAL NO. 12E0001246, MANUFACTURED 1971, 960 BHP, EMERGENCY ELECTRICAL GENERATION</t>
  </si>
  <si>
    <t>F42688</t>
  </si>
  <si>
    <t>ICE, DETROIT DIESEL, MODEL NO. 9123-7305, MANUFACTURED 1978, 960 BHP, EMERGENCY ELECTRICAL GENERATION</t>
  </si>
  <si>
    <t>F42565</t>
  </si>
  <si>
    <t>ICE, DETROIT DIESEL, MODEL NO. 9123-7305, SERIAL NO. 12E0001427, MANUFACTURED 1971, RATED AT 1135 BHP, EMERGENCY ELECTRICAL GENERATION</t>
  </si>
  <si>
    <t>1135</t>
  </si>
  <si>
    <t>F42557</t>
  </si>
  <si>
    <t>ICE, CUMMINS, MODEL NO. VTA171062, 37104108, MANUFACTURED 1978, 900 BHP, EMERGENCY ELECTRICAL GENERATION</t>
  </si>
  <si>
    <t>VTA171062</t>
  </si>
  <si>
    <t xml:space="preserve">LE MERIDIEN                             </t>
  </si>
  <si>
    <t>F39656</t>
  </si>
  <si>
    <t>ICE, DETROIT DIESEL, MODEL 8123-7416, DIESEL-FUELED, EMERGENCY ELECTRICAL GENERATION, TURBOCHARGED, AFTERCOOLED, 12 CYLINDERS, 947 BHP</t>
  </si>
  <si>
    <t xml:space="preserve">465 S LA CIENEGA BLVD                                                           </t>
  </si>
  <si>
    <t xml:space="preserve">ENCARNACION CESAR                                 </t>
  </si>
  <si>
    <t xml:space="preserve">(310) 2462110   </t>
  </si>
  <si>
    <t>LEVEL 3 COMMUNICATIONS, TISHMAN CONSTRUC</t>
  </si>
  <si>
    <t>F46125</t>
  </si>
  <si>
    <t>ICE, CATERPILLAR, MODEL NO. 3512 DITA, SERIAL NO. 24Z08471, ENGINE MANUFACTURED 12/18/97, 1801 BHP, DIESEL FUELED, TURBOCHARGED, EMERGENCY ELECTRICAL GENERATION</t>
  </si>
  <si>
    <t>1801</t>
  </si>
  <si>
    <t xml:space="preserve">818 W 7TH ST                                                                    </t>
  </si>
  <si>
    <t xml:space="preserve">BERNARD JEFF                                      </t>
  </si>
  <si>
    <t xml:space="preserve">(213) 9965519   </t>
  </si>
  <si>
    <t>F46126</t>
  </si>
  <si>
    <t>ICE, CATERPILLAR, MODEL NO. 3512 DITA, SERIAL NO. 3MS00218, ENGINE MANUFACTURED 1/12/00, 1801 BHP, DIESEL FUELED, TURBOCHARGED, EMERGENCY ELECTRICAL GENERATION</t>
  </si>
  <si>
    <t xml:space="preserve">LONG BEACH CITY, PUB SERV DEPT          </t>
  </si>
  <si>
    <t>F42746</t>
  </si>
  <si>
    <t>ICE, DETROIT DIESEL, MODEL NO. 16V92TAB, SN 8A12733, 1200 BHP, INSTALLED 10/11/99, DIESEL FUELED, LEAN BURN, TURBOCHARGED, AFTERCOOLED, EMERGENCY ELECTRICAL GENERATION</t>
  </si>
  <si>
    <t xml:space="preserve">1601 SAN FRANCISCO AVE                                                          </t>
  </si>
  <si>
    <t xml:space="preserve">DUGGAN TIM                                        </t>
  </si>
  <si>
    <t xml:space="preserve">(562) 5705406   </t>
  </si>
  <si>
    <t xml:space="preserve">MAGUIRE PARTNERS - GLENDALE CENTER LLC  </t>
  </si>
  <si>
    <t>F36871</t>
  </si>
  <si>
    <t>ICE, DETROIT DIESEL, DIESEL FUELED, MODEL NO. 7163-7005, SERIAL NO. 16VA7204, 16 CYLINDERS, TWO CYCLE, NATURALLY ASPIRATED, 469 BHP, WITH 1 EXHAUST.</t>
  </si>
  <si>
    <t xml:space="preserve">PEREZ GARY                                        </t>
  </si>
  <si>
    <t xml:space="preserve">(818) 5075800   </t>
  </si>
  <si>
    <t>F43342</t>
  </si>
  <si>
    <t>ICE, CATERPILLAR, MODEL NO. 3516B DITA, 2300 BHP, DIESEL FUELED, TURBOCHARGED, AFTERCOOLED, EMERGENCY ELECTRICAL GENERATION</t>
  </si>
  <si>
    <t>F43343</t>
  </si>
  <si>
    <t>F37074</t>
  </si>
  <si>
    <t>ICE, CATERPILLAR, MODEL 3508 TA, DIESEL FUEL, SERIAL NO. 23Z05793, 8 CYLINDERS, FOUR CYCLE, TURBOCHARGED, AFTERCOOLED, RATED AT 1093 BHP, DRIVING AN EMERGENCY STAND-BY GENERATOR.</t>
  </si>
  <si>
    <t xml:space="preserve">550 E ALESSANDRO BLVD                                                           </t>
  </si>
  <si>
    <t>F37076</t>
  </si>
  <si>
    <t xml:space="preserve">222 W 6TH ST                                                                    </t>
  </si>
  <si>
    <t xml:space="preserve">SEARS DARRELL                                     </t>
  </si>
  <si>
    <t xml:space="preserve">(213) 5142745   </t>
  </si>
  <si>
    <t xml:space="preserve">U S GOV'T, V A MEDICAL CENTER, WEST L A </t>
  </si>
  <si>
    <t>D75579</t>
  </si>
  <si>
    <t>ICE, GM, DIESEL, EMERGENCY, MODEL NO. 16-645-E4, SERIAL NO. 75M1 1042, 16 CYLINDERS, TURBOCHARGED, INTERCOOLED, 3125 BHP</t>
  </si>
  <si>
    <t>16-645-E4</t>
  </si>
  <si>
    <t xml:space="preserve">11301 WILSHIRE                                                              </t>
  </si>
  <si>
    <t>RICHARD JACKSON</t>
  </si>
  <si>
    <t xml:space="preserve">(310) 2683709   </t>
  </si>
  <si>
    <t>D75580</t>
  </si>
  <si>
    <t>ICE, GM, DIESEL, EMERGENCY, MODEL NO. 16-645-E4, SERIAL NO. 75M1 1061, 16 CYLINDERS, TURBOCHARGED, INTERCOOLED, 3125 BHP</t>
  </si>
  <si>
    <t>D75635</t>
  </si>
  <si>
    <t>ICE, CATERPILLAR, DIESEL, EMERGENCY, MODEL NO. 3508 STD, SERIAL NO. 23Z02148, 8 CYLINDERS, TURBOCHARGED AND AFTERCOOLED, 1027 BHP.</t>
  </si>
  <si>
    <t xml:space="preserve">WILSHIRE/SAWTELLE                                                               </t>
  </si>
  <si>
    <t xml:space="preserve">SERRANO SALVADOR                                  </t>
  </si>
  <si>
    <t xml:space="preserve">UCLA (REGENTS OF UC)                    </t>
  </si>
  <si>
    <t>D48280</t>
  </si>
  <si>
    <t>ICE, CATERPILLAR, MODEL NO. 3412, DIESEL, EMERGENCY, TURBOCHARGED, AFTERCOOLED, 12 CYLINDERS, 890 BHP</t>
  </si>
  <si>
    <t>675 CIRCLE DRIVE SOUTH</t>
  </si>
  <si>
    <t>90024-1393</t>
  </si>
  <si>
    <t>D75643</t>
  </si>
  <si>
    <t>ICE, CUMMINS, 16 CYLINDERS, TURBOCHARGED, AFTERCOOLED, MODEL NO. KTTA50-G2, SERIAL NO. 33122288, 2220 BHP, DIESEL, EMERGENCY</t>
  </si>
  <si>
    <t>601 WESTWOOD PLAZA</t>
  </si>
  <si>
    <t>90024-1357</t>
  </si>
  <si>
    <t>D78147</t>
  </si>
  <si>
    <t>ICE, CATERPILLAR, DIESEL, EMERGENCY, MODEL D399-35B1071, SERIAL NO. LJ8374210, 16 CYLINDERS, TURBOCHARGED, 1260 BHP, LOCATED AT MDCC, UNIT #1.</t>
  </si>
  <si>
    <t>D78148</t>
  </si>
  <si>
    <t>ICE, CATERPILLAR, DIESEL, EMERGENCY, MODEL D399-35B1072, SERIAL NO. LJ837424, 16 CYLINDERS, TURBOCHARGED, 1260 BHP, LOCATED AT MDCC, UNIT #2.</t>
  </si>
  <si>
    <t>D78149</t>
  </si>
  <si>
    <t>ICE, CATERPILLAR, DIESEL, EMERGENCY, MODEL D399-35B4263, SERIAL NO. DR8415899, 16 CYLINDERS, TURBOCHARGED, 1260 BHP, LOCATED AT EMERGENCY ENTRANCE, UNIT #3.</t>
  </si>
  <si>
    <t xml:space="preserve">F2943 </t>
  </si>
  <si>
    <t>ICE, CUMMINS MODEL NO. KTTA19-GA, 12 CYLINDERS, TURBOCHARGED, AFTERCOOLED, 750 BHP, DIESEL, EMERGENCY</t>
  </si>
  <si>
    <t>KTTA19-GA</t>
  </si>
  <si>
    <t xml:space="preserve">405 HILGARD AVE                                                                 </t>
  </si>
  <si>
    <t>D78150</t>
  </si>
  <si>
    <t>ICE, CATERPILLAR, DIESEL, EMERGENCY, MODEL D399-35B4258, SERIAL NO. DR8415898, 16 CYLINDERS, TURBOCHARGED, 1260 BHP, LOCATED AT EMERGENCY ENTRANCE, UNIT #4.</t>
  </si>
  <si>
    <t>D79963</t>
  </si>
  <si>
    <t>ICE, DETROIT DIESEL, 12 CYLINDERS, TURBOCHARGED, AFTERCOOLED, MODEL NO. 12V-149TI, 1550 BHP, DIESEL, EMERGENCY</t>
  </si>
  <si>
    <t>10833 LE CONTE AVE</t>
  </si>
  <si>
    <t>D99790</t>
  </si>
  <si>
    <t>ICE, DETROIT DIESEL, 16 CYLINDERS, TURBOCHARGED, AFTERCOOLED, MODEL NO. 8163-7405 (16V-92TA), 1095 BHP, DIESEL, EMERGENCY</t>
  </si>
  <si>
    <t>F00371</t>
  </si>
  <si>
    <t>D87699</t>
  </si>
  <si>
    <t>D88255</t>
  </si>
  <si>
    <t>ICE, DETROIT DIESEL, 12 CYLINDERS, TURBOCHARGED, AFTERCOOLED, MODEL NO. 9123-7416 (12V-149TIB), 1750 BHP, DIESEL, EMERGENCY</t>
  </si>
  <si>
    <t>D89196</t>
  </si>
  <si>
    <t>F37551</t>
  </si>
  <si>
    <t>ICE, DETROIT DIESEL, MODEL NO. 9163-7316, DIESEL FUELED, 16 CYLINDERS, TURBOCHARGED, RATED AT 2514 BHP, DRIVING AN EMERGENCY STAND-BY GENERATOR</t>
  </si>
  <si>
    <t>F11549</t>
  </si>
  <si>
    <t>ICE, CATERPILLAR, 12 CYLINDERS, TURBOCHARGED, AFTERCOOLED, MODEL NO. 3412 DITTA (500 KW), SERIAL NO. 81Z20682, 746 BHP, DIESEL, EMERGENCY</t>
  </si>
  <si>
    <t>F17312</t>
  </si>
  <si>
    <t>ICE, CATERPILLAR, 6 CYLINDERS, TURBOCHARGED, AFTERCOOLED, MODEL NO. 3406 DITA (350 KW), SERIAL NO. 4ZR03724, 519 BHP, DIESEL, DRIVING AN EMERGENCY ELECTRICAL GENERATOR.</t>
  </si>
  <si>
    <t>F23691</t>
  </si>
  <si>
    <t>ICE, CATERPILLAR, 12 CYLINDERS, TURBOCHARGED, AFTERCOOLED, MODEL NO. 3412 DITTA (500 KW), 746 BHP, DIESEL, DRIVING AN EMERGENCY ELECTRICAL GENERATOR.</t>
  </si>
  <si>
    <t xml:space="preserve">UNIFIED WESTERN GROCERS INC             </t>
  </si>
  <si>
    <t>D33794</t>
  </si>
  <si>
    <t>ICE, DETROIT DIESEL, DIESEL, EMERGENCY, ELECTRICAL GENERATOR, MODEL NO. 8163-7305, SERIAL NO. 16VF003738, TURBOCHARGED, AFTERCOOLED, 16 CYLINDERS, 960 BHP.</t>
  </si>
  <si>
    <t xml:space="preserve">5300 SHEILA ST                                                                  </t>
  </si>
  <si>
    <t xml:space="preserve">STEIN STEVE                                       </t>
  </si>
  <si>
    <t xml:space="preserve">(323) 2645200   </t>
  </si>
  <si>
    <t>D33793</t>
  </si>
  <si>
    <t>ICE, DETROIT DIESEL, DIESEL, EMERGENCY, ELECTRICAL GENERATOR, MODEL NO. 7163-7305, SERIAL NO. 16AV017125, TURBOCHARGED, AFTERCOOLED, 16 CYLINDERS, 830 BHP.</t>
  </si>
  <si>
    <t>F12049</t>
  </si>
  <si>
    <t>ICE, CUMMINS, 6 CYLINDERS, TURBOCHARGED, AFTERCOOLED, MODEL NO. NTA855-G3, SERIAL NO. L970660762, 535 BHP, DIESEL, EMERGENCY</t>
  </si>
  <si>
    <t xml:space="preserve">5200 E SHEILA                                                                   </t>
  </si>
  <si>
    <t xml:space="preserve">(213) 7237476   </t>
  </si>
  <si>
    <t xml:space="preserve">UNION BANK (VOLK CENTER)                </t>
  </si>
  <si>
    <t>M54727</t>
  </si>
  <si>
    <t>ICE, CATERPILLAR, DIESEL, EMR, MODEL 3512 TA, SN 24Z01387, 12 CYL, 1589 BHP, TURBOCHARGED, AFTERCOOLED</t>
  </si>
  <si>
    <t xml:space="preserve">1980 SATURN ST                                                                  </t>
  </si>
  <si>
    <t xml:space="preserve">(213) 7224766   </t>
  </si>
  <si>
    <t>M54728</t>
  </si>
  <si>
    <t>ICE, CATERPILLAR, DIESEL, EMR, MODEL 3512 TA, SN 24Z01399, 12 CYL, 1589 BHP, TURBOCHARGED, AFTERCOOLED</t>
  </si>
  <si>
    <t>M54729</t>
  </si>
  <si>
    <t>ICE, CATERPILLAR, DIESEL, EMR, MODEL 3512 TA, SN 24Z01388, 12 CYL, 1589 BHP, TURBOCHARGED, AFTERCOOLED</t>
  </si>
  <si>
    <t xml:space="preserve">UNION BANK OF CALIFORNIA                </t>
  </si>
  <si>
    <t>F16856</t>
  </si>
  <si>
    <t xml:space="preserve">3151 E IMPERIAL HIGHWAY                                                         </t>
  </si>
  <si>
    <t xml:space="preserve">REZA DANIEL                                       </t>
  </si>
  <si>
    <t xml:space="preserve">(213) 2367787   </t>
  </si>
  <si>
    <t>F23696</t>
  </si>
  <si>
    <t>ICE, CATERPILLAR, 12 CYLINDERS, TURBOCHARGED, AFTERCOOLED, MODEL NO. 3512 DITA (1100 KW), 1592 BHP, DIESEL, EMERGENCY</t>
  </si>
  <si>
    <t>91754-7417</t>
  </si>
  <si>
    <t xml:space="preserve">REZA DANIEL T                                     </t>
  </si>
  <si>
    <t xml:space="preserve">UNISYS CORP                             </t>
  </si>
  <si>
    <t>F14039</t>
  </si>
  <si>
    <t xml:space="preserve">25725 JERONIMO RD                                                               </t>
  </si>
  <si>
    <t xml:space="preserve">HEDDEN GERALD                                     </t>
  </si>
  <si>
    <t xml:space="preserve">(949) 3804920   </t>
  </si>
  <si>
    <t xml:space="preserve">UNITED PARCEL SERVICE                   </t>
  </si>
  <si>
    <t>D63801</t>
  </si>
  <si>
    <t>ICE, CATERPILLAR, DIESEL, EMERGENCY, MODEL NO. 3512 TA, TURBOCHARGED, AFTERCOOLED, 12 CYLINDERS, 4 CYCLE, 1802 BHP.</t>
  </si>
  <si>
    <t xml:space="preserve">3140 E JURUPA ST                                                                </t>
  </si>
  <si>
    <t xml:space="preserve">NICKELSON DAN                                     </t>
  </si>
  <si>
    <t xml:space="preserve">(909) 9747116   </t>
  </si>
  <si>
    <t>D63800</t>
  </si>
  <si>
    <t>UNITED STATES SEA LAUNCH LIMITED PARTNER</t>
  </si>
  <si>
    <t xml:space="preserve">F2396 </t>
  </si>
  <si>
    <t>ICE, CATERPILLAR, DIESEL, EMERGENCY, MODEL NO. 3412, 12 CYLINDERS, TURBOCHARGED, 670 BHP.</t>
  </si>
  <si>
    <t xml:space="preserve">2700 NIMITZ RD                                                                  </t>
  </si>
  <si>
    <t xml:space="preserve">SUMMERHILL ROBIN                                  </t>
  </si>
  <si>
    <t xml:space="preserve">(562) 9517381   </t>
  </si>
  <si>
    <t xml:space="preserve">UNITED WESTERN MEDICAL CENTER INC       </t>
  </si>
  <si>
    <t>D25594</t>
  </si>
  <si>
    <t>ICE, CUMMINS, DIESEL, EMERGENCY, MODEL NO. KTA-19-G1, SERIAL NO. 377116651, TURBOCHARGED, AFTERCOOLED, 6 CYLINDERS, 560 BHP.</t>
  </si>
  <si>
    <t xml:space="preserve">1025 S ANAHEIM BLVD                                                             </t>
  </si>
  <si>
    <t xml:space="preserve">KING MARK                                         </t>
  </si>
  <si>
    <t xml:space="preserve">(714) 5632828   </t>
  </si>
  <si>
    <t xml:space="preserve">UNITEK CORP/3M                          </t>
  </si>
  <si>
    <t>F22834</t>
  </si>
  <si>
    <t>ICE, DETROIT DIESEL, 6 CYLINDER, TURBOCHARGED, AFTERCOOLED, MODEL 6063-TK36, 550 BHP, DIESEL, EMERGENCY</t>
  </si>
  <si>
    <t xml:space="preserve">2724 S PECK RD                                                                  </t>
  </si>
  <si>
    <t>91016-5097</t>
  </si>
  <si>
    <t xml:space="preserve">DEMOSS EVAN C                                     </t>
  </si>
  <si>
    <t xml:space="preserve">(651) 7786698   </t>
  </si>
  <si>
    <t xml:space="preserve">UNIV CAL IRVINE (NSR USE ONLY)          </t>
  </si>
  <si>
    <t>F35061</t>
  </si>
  <si>
    <t>ICE, CATERPILLAR, DIESEL, EMERGENCY, MODEL NO. 3406 DITA, SERIAL NO. 42R05103, TURBOCHARGED, AFTERCOOLED, SIX CYLINDERS, FOUR CYCLE, 587 BHP.</t>
  </si>
  <si>
    <t xml:space="preserve">46 BISON AVE                                                                    </t>
  </si>
  <si>
    <t xml:space="preserve">COUNTER JOHN                                      </t>
  </si>
  <si>
    <t xml:space="preserve">(949) 8247000   </t>
  </si>
  <si>
    <t xml:space="preserve">UNIV CAL IRVINE MEDICAL CTR             </t>
  </si>
  <si>
    <t>D73384</t>
  </si>
  <si>
    <t>ICE, DETROIT DIESEL, MODEL NO. 9163-7305, SERIAL NO. 12E000882, DIESEL FUELED, EMERGENCY, TURBOCHARGED, 12 CYLINDERS, 1515 BHP</t>
  </si>
  <si>
    <t xml:space="preserve">101 CITY DR S ROUTE 104                                                         </t>
  </si>
  <si>
    <t>ZIMMERMAN ROY</t>
  </si>
  <si>
    <t>(714) 4565596</t>
  </si>
  <si>
    <t>F17122</t>
  </si>
  <si>
    <t>F23041</t>
  </si>
  <si>
    <t>C43509</t>
  </si>
  <si>
    <t>M27659</t>
  </si>
  <si>
    <t>ICE, DETROIT DIESEL, EMR, DIESEL, MODEL 9163-7301, SN 16E0000171, 16 CYL, 1076 KW, 1515 BHP, TURBOCHARGED</t>
  </si>
  <si>
    <t>9163-7301</t>
  </si>
  <si>
    <t>C43510</t>
  </si>
  <si>
    <t>M27660</t>
  </si>
  <si>
    <t>ICE, DETROIT DIESEL, COMPRESSION-IGNITION, TWO-STROKE, TURBOCHARGED V-16 TYPE, MODEL NO. 16V-149T (9163-7301), SERIAL NO. 16E0000171, 1515 BHP, DIESEL, 1076 KW, EMERGENCY</t>
  </si>
  <si>
    <t>UNIV CAL IRVINE, CENTRAL PLNT.UNIT NO.03</t>
  </si>
  <si>
    <t>D36514</t>
  </si>
  <si>
    <t>ICE, DETROIT DIESEL, DIESEL, EMERGENCY, MODEL NO. 8V-92TTA-400ROZD, TURBOCHARGED, AFTERCOOLED, 8 CYLINDERS, 643 BHP.</t>
  </si>
  <si>
    <t>8V-92TTA</t>
  </si>
  <si>
    <t xml:space="preserve">1207 BRIDGE RD                                                                  </t>
  </si>
  <si>
    <t>92717-0001</t>
  </si>
  <si>
    <t xml:space="preserve">COUTNER JOHN                                      </t>
  </si>
  <si>
    <t xml:space="preserve">(714) 8247000   </t>
  </si>
  <si>
    <t>D95768</t>
  </si>
  <si>
    <t>ICE, CUMMINS, MODEL NO. NTA855-G3, 535 BHP, 6 CYLINDER, DIESEL, TURBOCHARGED, AFTERCOOLED, EMERGENCY ELECTRIC GENERATION</t>
  </si>
  <si>
    <t>D97129</t>
  </si>
  <si>
    <t>ICE, DETROIT DIESEL, 16 CYLINDERS, TURBOCHARGED, AFTERCOOLED, MODEL NO. 16V-92TA 8163-7416, 1095 BHP, DIESEL.</t>
  </si>
  <si>
    <t xml:space="preserve">F4492 </t>
  </si>
  <si>
    <t>ICE, DETROIT DIESEL, MODEL 8V-92TA, 643 BHP, 8 CYLINDER, DIESEL , TURBOCHARGED, AFTERCOOLED, EMERGENCY</t>
  </si>
  <si>
    <t xml:space="preserve">F7047 </t>
  </si>
  <si>
    <t>ICE, DETROIT DIESEL, MODEL 8123-7416 (12V-92TA), SERIAL NO. 383150, 947 BHP, DIESEL, EMERGENCY</t>
  </si>
  <si>
    <t xml:space="preserve">UNIV CAL, RIVERSIDE                     </t>
  </si>
  <si>
    <t>F16390</t>
  </si>
  <si>
    <t xml:space="preserve">ICE, DETROIT DIESEL, 8 CYLINDER, TURBOCHARGED, AFTERCOOLED, MODEL NO. D8083-7416 (8V-92TA), 643 BHP, DIESEL, EMERGENCY </t>
  </si>
  <si>
    <t>D8083-7416</t>
  </si>
  <si>
    <t xml:space="preserve">3401 WATKINS DR                                                                 </t>
  </si>
  <si>
    <t xml:space="preserve">MAROUFFHANI DARIUS                                </t>
  </si>
  <si>
    <t xml:space="preserve">(909) 7874724   </t>
  </si>
  <si>
    <t xml:space="preserve">UNIV OF SO CAL UNIT 01                  </t>
  </si>
  <si>
    <t>F23842</t>
  </si>
  <si>
    <t>ICE, CATERPILLAR, 12 CYLINDERS, TURBOCHARGED, AFTERCOOLED, MODEL NO. 3412 DISTA (750 KW), SERIAL NO. 2W102574, 1109 BHP, DIESEL, EMERGENCY</t>
  </si>
  <si>
    <t xml:space="preserve">3620-50 MC CLINTOCK AVE                                                         </t>
  </si>
  <si>
    <t>90089-0631</t>
  </si>
  <si>
    <t xml:space="preserve">BURGOS ANGEL                                      </t>
  </si>
  <si>
    <t xml:space="preserve">(323) 4422209   </t>
  </si>
  <si>
    <t xml:space="preserve">UNIVERSITY OF SO CALIFORNIA             </t>
  </si>
  <si>
    <t xml:space="preserve">F7030 </t>
  </si>
  <si>
    <t>ICE, DETROIT DIESEL, 8 CYLINDERS, TURBOCHARGED, AFTERCOOLED, MODEL NO. 8083-7405 (8V-92TA), SERIAL NO. 50441, 568 BHP, DIESEL, EMERGENCY</t>
  </si>
  <si>
    <t xml:space="preserve">2250 ALCAZAR ST                                                                 </t>
  </si>
  <si>
    <t xml:space="preserve">WELSH JOHN C.                                     </t>
  </si>
  <si>
    <t xml:space="preserve">(213) 7406249   </t>
  </si>
  <si>
    <t>UNIVERSITY SO CALIFORNIA,HEALTH SCIENCES</t>
  </si>
  <si>
    <t>M54932</t>
  </si>
  <si>
    <t>ICE, CATERPILLAR, DIESEL, EMERGENCY, MODEL NO. 3412, SERIAL NO. 58BH5189, TURBOCHARGED, AFTERCOOLED, 12 CYLINDERS, 890 BHP.</t>
  </si>
  <si>
    <t xml:space="preserve">2011 ZONAL AVE                                                                  </t>
  </si>
  <si>
    <t>90033-1048</t>
  </si>
  <si>
    <t xml:space="preserve">BURGOS ANGEL C                                    </t>
  </si>
  <si>
    <t>M54933</t>
  </si>
  <si>
    <t>ICE, CATERPILLAR, DIESEL, EMERGENCY, MODEL NO. 3412, SERIAL NO. 58BH5182, TURBOCHARGED, AFTERCOOLED, 12 CYLINDERS, 890 BHP.</t>
  </si>
  <si>
    <t>D77807</t>
  </si>
  <si>
    <t>ICE, CATERPILLAR, MODEL NO. 3508 TA, SERIAL NO. 23Z04625, EMERGENCY, DIESEL, 8 CYLINDERS, TURBOCHARGED, AFTERCOOLED, FOUR CYCLE, 1025 BHP</t>
  </si>
  <si>
    <t>D77808</t>
  </si>
  <si>
    <t>ICE, CATERPILLAR, MODEL NO. 3508 TA, SERIAL NO. 23Z04629, EMERGENCY, DIESEL, 8 CYLINDERS, TURBOCHARGED, AFTERCOOLED, FOUR CYCLE, 1025 BHP</t>
  </si>
  <si>
    <t xml:space="preserve">UNOCAL CORP., HARTLEY CENTER            </t>
  </si>
  <si>
    <t>D77583</t>
  </si>
  <si>
    <t>ICE, CATERPILLAR, DIESEL, EMERGENCY, MODEL NO. 3412 DITA, SERIAL NO. 6FA09103, TURBOCHARGED, AFTERCOOLED, 12 CYLINDERS, FOUR CYCLE, 890 BHP.</t>
  </si>
  <si>
    <t xml:space="preserve">376 S VALENCIA AVE                                                              </t>
  </si>
  <si>
    <t xml:space="preserve">VILLA RON                                         </t>
  </si>
  <si>
    <t xml:space="preserve">(714) 5771463   </t>
  </si>
  <si>
    <t>D77584</t>
  </si>
  <si>
    <t>ICE, CATERPILLAR, DIESEL, EMERGENCY, MODEL NO. 3508 DITA, SERIAL NO. 5UA0254, TURBOCHARGED, AFTERCOOLED, 8 CYLINDERS, FOUR CYCLE, 1093 BHP.</t>
  </si>
  <si>
    <t xml:space="preserve">US GOVT NAVAL AIR STATION NORTH ISLAND  </t>
  </si>
  <si>
    <t>D17343</t>
  </si>
  <si>
    <t xml:space="preserve">ICE, CATERPILLAR, DIESEL, EMR, MODEL 3508, 8 CYL, 515 BHP, 350 KW, </t>
  </si>
  <si>
    <t xml:space="preserve">BLDG 60121-93-96 NALF SAN CLEM                                                  </t>
  </si>
  <si>
    <t xml:space="preserve">NICHOLLS DAVID                                    </t>
  </si>
  <si>
    <t xml:space="preserve">(619) 5451125   </t>
  </si>
  <si>
    <t xml:space="preserve">US GOVT, JUSTICE DEPARTMENT             </t>
  </si>
  <si>
    <t xml:space="preserve">F5270 </t>
  </si>
  <si>
    <t>ICE, CATERPILLAR, MODEL NO. 3412, DIESEL, TURBOCHARGED, AFTERCOOLED, EIGHT CYLINDERS, 980 BHP, EMERGENCY</t>
  </si>
  <si>
    <t xml:space="preserve">535 N ALAMEDA                                                                   </t>
  </si>
  <si>
    <t xml:space="preserve">MC CAMPBELL TODD                                  </t>
  </si>
  <si>
    <t xml:space="preserve">(213) 2539528   </t>
  </si>
  <si>
    <t>US GOVT, NAVAL WARFARE ASSESSMENT CENTER</t>
  </si>
  <si>
    <t>D46569</t>
  </si>
  <si>
    <t>ICE, CATERPILLAR, DIESEL, EMERGENCY, MODEL NO. 3512 TA, TURBOCHARGED, AFTERCOOLED, 12 CYLINDERS, 1780 BHP.</t>
  </si>
  <si>
    <t xml:space="preserve">6 6TH ST                                                                        </t>
  </si>
  <si>
    <t xml:space="preserve">CRINIGAN BETH                                     </t>
  </si>
  <si>
    <t xml:space="preserve">(310) 6267608   </t>
  </si>
  <si>
    <t xml:space="preserve">US GOVT, NAVY DEPT,NAVAL WEAPONS STN    </t>
  </si>
  <si>
    <t>D73379</t>
  </si>
  <si>
    <t>ICE, CATERPILLAR, MODEL NO. 3408 DITA, SERIAL NO. 78703338, FOUR CYCLE, LEAN BURN, TURBOCHARGED, AFTERCOOLED, DIESEL, 603 HP, EMERGENCY</t>
  </si>
  <si>
    <t>3408 DITA</t>
  </si>
  <si>
    <t xml:space="preserve">800 SEAL BEACH BLDG 128-230                                                     </t>
  </si>
  <si>
    <t xml:space="preserve">MALHOTRA RAM                                      </t>
  </si>
  <si>
    <t xml:space="preserve">(562) 6267660   </t>
  </si>
  <si>
    <t>US GOVT, VETERANS ADMINISTRATION MED CTR</t>
  </si>
  <si>
    <t>D13708</t>
  </si>
  <si>
    <t>ICE, CATERPILLAR, DIESEL, EMERGENCY, MODEL NO. 3412, SERIAL NO. 3885662, TURBOCHARGED, INTERCOOLED, 12 CYLINDERS, 775 BHP</t>
  </si>
  <si>
    <t xml:space="preserve">16111 PLUMMER ST                                                                </t>
  </si>
  <si>
    <t xml:space="preserve">SEPULVEDA                </t>
  </si>
  <si>
    <t>91343-2099</t>
  </si>
  <si>
    <t xml:space="preserve">BENKESER ROBERT                                   </t>
  </si>
  <si>
    <t xml:space="preserve">(310) 2684677   </t>
  </si>
  <si>
    <t>F36085</t>
  </si>
  <si>
    <t>ICE, CUMMINS, MODEL NO. VTA-28-G5, SERIAL NO. 25212931, DIESEL, FOUR CYCLE, TWELVE CYLINDERS, TURBOCHARGED, AFTERCOOLED, 900 BHP, EMERGENCY</t>
  </si>
  <si>
    <t>F36090</t>
  </si>
  <si>
    <t>ICE, DETROIT DIESEL, MODEL NO. 16V-92, SERIAL NO. 16V002520, DIESEL FUEL, TWO CYCLE, SIXTEEN CYLINDERS, TURBOCHARGED, AFTERCOOLED, 821 BHP, EMERGENCY</t>
  </si>
  <si>
    <t>16V-92</t>
  </si>
  <si>
    <t>F36218</t>
  </si>
  <si>
    <t>ICE, CUMMINS, MODEL NO. VTA-28-G5, SERIAL NO. 25212933, DIESEL, FOUR CYCLE, TWELVE CYLINDERS, TURBOCHARGED, AFTERCOOLED, 900 BHP, EMERGENCY</t>
  </si>
  <si>
    <t>US GOVT, VETERANS AFFAIRS MEDICAL CENTER</t>
  </si>
  <si>
    <t>D35143</t>
  </si>
  <si>
    <t xml:space="preserve">OR CO, SHERIFF DEPT, FAC OPERATIONS     </t>
  </si>
  <si>
    <t>D59878</t>
  </si>
  <si>
    <t>ICE, CATERPILLAR, DIESEL, EMERGENCY, MODEL NO. 3512, TURBOCHARGED, AFTERCOOLED, 12 CYLINDERS, 1575 BHP</t>
  </si>
  <si>
    <t xml:space="preserve">501 CITY DR                                                                     </t>
  </si>
  <si>
    <t xml:space="preserve">FREER LUCILLE                                     </t>
  </si>
  <si>
    <t xml:space="preserve">(714) 5677785   </t>
  </si>
  <si>
    <t>D45193</t>
  </si>
  <si>
    <t>ICE, CATERPILLAR, DIESEL, EMERGENCY, MODEL NO. 3412, SERIAL NO. 81Z05690, TURBOCHARGED, AFTERCOOLED, 12 CYLINDERS, 755 BHP</t>
  </si>
  <si>
    <t xml:space="preserve">550 N FLOWER ST                                                                 </t>
  </si>
  <si>
    <t xml:space="preserve">ZUHLKE B.                                         </t>
  </si>
  <si>
    <t xml:space="preserve">(714) 5677734   </t>
  </si>
  <si>
    <t>D45174</t>
  </si>
  <si>
    <t>ICE, CATERPILLAR, DIESEL, EMERGENCY, MODEL NO. 3412, SERIAL NO. 81Z05684, TURBOCHARGED, AFTERCOOLED, 12 CYLINDERS, 755 BHP</t>
  </si>
  <si>
    <t>D64769</t>
  </si>
  <si>
    <t xml:space="preserve">PALZES MIKE                                       </t>
  </si>
  <si>
    <t>D58520</t>
  </si>
  <si>
    <t>ICE, CUMMINS, MODEL KTA19-G2, DIESEL, EMERGENCY, TURBOCHARGED, AFTERCOOLED, 6 CYLINDERS, 600 BHP.</t>
  </si>
  <si>
    <t xml:space="preserve">1 ALTISIMA                                                                      </t>
  </si>
  <si>
    <t>D68393</t>
  </si>
  <si>
    <t>ICE, CATERPILLAR, DIESEL, EMERGENCY, MODEL NO. 3412 TA, TURBOCHARGED, AFTERCOOLED, 12 CYLINDERS, 745 BHP.</t>
  </si>
  <si>
    <t xml:space="preserve">23084 ANTONIO PKY                                                               </t>
  </si>
  <si>
    <t>D70821</t>
  </si>
  <si>
    <t>ICE, CUMMINS, MODEL NO. VTA 1710-G2, DIESEL, EMERGENCY, TURBOCHARGED, AFTERCOOLED, 12 CYLINDERS, 900 BHP.</t>
  </si>
  <si>
    <t>VTA1710-G2</t>
  </si>
  <si>
    <t xml:space="preserve">24152 ANTONIO PKY                                                               </t>
  </si>
  <si>
    <t xml:space="preserve">(714) 5823204   </t>
  </si>
  <si>
    <t>D70822</t>
  </si>
  <si>
    <t>ICE, CATERPILLAR, MODEL NO. 3508 DITA, DIESEL, EMERGENCY, TURBOCHARGED, AFTERCOOLED, 8 CYLINDERS, 1336 BHP</t>
  </si>
  <si>
    <t xml:space="preserve">23372 LA GLORIETA LN                                                            </t>
  </si>
  <si>
    <t xml:space="preserve">AGUILAR JAIME                                     </t>
  </si>
  <si>
    <t>D70246</t>
  </si>
  <si>
    <t>ICE, CUMMINS, MODEL NO. KTA38-G2, DIESEL, EMERGENCY, TURBOCHARGED, AFTERCOOLED, 12 CYLINDERS, 1200 BHP.</t>
  </si>
  <si>
    <t xml:space="preserve">22215 SANTA MARGARITA PKY                                                       </t>
  </si>
  <si>
    <t>D74068</t>
  </si>
  <si>
    <t>ICE, CATERPILLAR, COMPRESSION IGNITION, FOUR STROKE CYCLE, TURBOCHARGED AND AFTERCOOLED, LEAN BURN, TWELVE CYLINDERS, V-TYPE, MODEL NO. 3412 DIT, 755 HP, DIESEL-FUELED, 500 KW, EMERGENCY</t>
  </si>
  <si>
    <t xml:space="preserve">22442 ALICIA PKY                                                                </t>
  </si>
  <si>
    <t xml:space="preserve">JORDAN ROBERT                                     </t>
  </si>
  <si>
    <t xml:space="preserve">(714) 4935225   </t>
  </si>
  <si>
    <t>F18768</t>
  </si>
  <si>
    <t>ICE, CATERPILLAR, 12 CYLINDERS, TURBOCHARGED, AFTERCOOLED, MODEL NO. 3412 DITTA (500 KW), SERIAL NO. 81Z13823, DIESEL, 746 BHP, DIESEL, EMERGENCY</t>
  </si>
  <si>
    <t xml:space="preserve">S/W CRN OF AVENIDA PICO T13919                                                  </t>
  </si>
  <si>
    <t>F23539</t>
  </si>
  <si>
    <t xml:space="preserve">27925 O'NEIL RD                                                                 </t>
  </si>
  <si>
    <t xml:space="preserve">SANTA MONICA - UCLA MEDICAL CENTER      </t>
  </si>
  <si>
    <t xml:space="preserve">1250 16TH ST                                                                    </t>
  </si>
  <si>
    <t>90404-1200</t>
  </si>
  <si>
    <t xml:space="preserve">OTT DAVID                                         </t>
  </si>
  <si>
    <t xml:space="preserve">(310) 7945369   </t>
  </si>
  <si>
    <t>F37746</t>
  </si>
  <si>
    <t>ICE, CUMMINS, 16 CYLINDERS, TURBOCHARGED, AFTERCOOLED, MODEL NO. KTA50-G9 (1500 KW), 2220 BHP, DIESEL, EMERGENCY</t>
  </si>
  <si>
    <t xml:space="preserve">SANTA MONICA CITY                       </t>
  </si>
  <si>
    <t>D73525</t>
  </si>
  <si>
    <t>ICE, DETROIT DIESEL, COMPRESSION IGNITION, 12 CYLINDERS, TWO CYCLE, TURBOCHARGED, AFTERCOOLED, MODEL NO. 12V92TA, 947 BHP, DIESEL, EMERGENCY</t>
  </si>
  <si>
    <t xml:space="preserve">1228 S BUNDY DR                                                                 </t>
  </si>
  <si>
    <t xml:space="preserve">READ CHERYL                                       </t>
  </si>
  <si>
    <t xml:space="preserve">(213) 4588232   </t>
  </si>
  <si>
    <t>SANTA MONICA CITY, UTILITIES DIV, E&amp;PWMD</t>
  </si>
  <si>
    <t>F32577</t>
  </si>
  <si>
    <t>ICE, CUMMINS, 12 CYLINDERS, TURBOCHARGED, AFTERCOOLED, MODEL NO. QST30-G5, 1490 BHP, DIESEL, EMERGENCY</t>
  </si>
  <si>
    <t xml:space="preserve">1625 APPIAN WAY                                                                 </t>
  </si>
  <si>
    <t xml:space="preserve">BORBOA GILBERT M                                  </t>
  </si>
  <si>
    <t xml:space="preserve">(310) 4588230   </t>
  </si>
  <si>
    <t>SANTA MONICA CITY, WATER/WASTEWATER ADMI</t>
  </si>
  <si>
    <t>D75261</t>
  </si>
  <si>
    <t xml:space="preserve">11375 WESTMINSTER AVE                                                           </t>
  </si>
  <si>
    <t xml:space="preserve">HARVEY ROBERT                                     </t>
  </si>
  <si>
    <t xml:space="preserve">(310) 8266712   </t>
  </si>
  <si>
    <t>SANTA MONICA CITY,MUNI BUSLINE/TRANS FAC</t>
  </si>
  <si>
    <t>D25591</t>
  </si>
  <si>
    <t>ICE, DETROIT DIESEL, DIESEL, EMERGENCY, MODEL NO. 7163-7305, SERIES 16V-71T, TURBOCHARGED, INTERCOOLED, 16 CYLINDERS, TWO CYCLE, 830 BHP.</t>
  </si>
  <si>
    <t xml:space="preserve">1620 6TH ST                                                                     </t>
  </si>
  <si>
    <t>ICE NO. 1, CATERPILLAR, COMPRESSION-IGNITION, FOUR-STROKE, TURBOCHARGED-AFTERCOOLED, V-12 TYPE, MODEL NO. 3512, SER. NO. 24Z01548, 1482 HP, DIESEL OIL-FIRED, DRIVING A 1000 KW EMERGENCY ELECTRIC GENERATOR.</t>
  </si>
  <si>
    <t>D11233</t>
  </si>
  <si>
    <t>ICE NO. 3, CATERPILLAR, COMPRESSION-IGNITION, FOUR-STROKE, TURBOCHARGED AFTERCOOLED. V-12 TYPE, MODEL NO. 3512, SER. NO. 24Z01552, 1482 HP, DIESEL OIL-FIRED, DRIVING A 1000 KW EMERGENCY ELECTRIC GENERATOR.</t>
  </si>
  <si>
    <t>D11234</t>
  </si>
  <si>
    <t>ICE NO. 4, CATERPILLAR, COMPRESSION-IGNITION, FOUR-STROKE, TURBOCHARGED AFTERCOOLED. V-12 TYPE, MODEL NO. 3512, SER. NO. 24Z01540, 1482 HP, DIESEL OIL-FIRED, DRIVING A 1000 KW EMERGENCY ELECTRIC GENERATOR.</t>
  </si>
  <si>
    <t>D66612</t>
  </si>
  <si>
    <t>ICE, CATERPILLAR, MODEL NO. 3406BTA, DIESEL FUELED, EMERGENCY ELECTRICAL GENERATOR DRIVER, TURBOCHARGED, AFTERCOOLED, 6 CYLINDERS, 587 BHP.</t>
  </si>
  <si>
    <t>3406B TA</t>
  </si>
  <si>
    <t xml:space="preserve">290 E COAST HWY                                                                 </t>
  </si>
  <si>
    <t xml:space="preserve">SAN CLEMENTE CITY, WASTEWATER DIV       </t>
  </si>
  <si>
    <t>D11490</t>
  </si>
  <si>
    <t>ICE, CUMMINS/ONAN, DIESEL, EMR, MODEL 1000 KTA51, 16 CYL, 1490 BHP, TURBOCHARGED, AFTERCOOLED</t>
  </si>
  <si>
    <t>1000 KTA51</t>
  </si>
  <si>
    <t xml:space="preserve">380 AVENIDA PICO                                                                </t>
  </si>
  <si>
    <t xml:space="preserve">SAN CLEMENTE             </t>
  </si>
  <si>
    <t xml:space="preserve">WILLIAMS GEORGE                                   </t>
  </si>
  <si>
    <t xml:space="preserve">SAN CLEMENTE CITY, WATER &amp; SANITATION   </t>
  </si>
  <si>
    <t>10684A</t>
  </si>
  <si>
    <t>M28382</t>
  </si>
  <si>
    <t>ICE, CUMMINS, COMPRESSION IGNITION, FOUR STROKE, NATURALLY ASPIRATED, V-12 TYPE, MODEL NO. VT-1710-65, SERIAL NO. 45338, 750 HP, DIESEL, 450 KW, EMERGENCY.</t>
  </si>
  <si>
    <t>VT1710-65</t>
  </si>
  <si>
    <t xml:space="preserve">1811 AVENIDA ESTACION                                                           </t>
  </si>
  <si>
    <t xml:space="preserve">HOWARD A J                                        </t>
  </si>
  <si>
    <t xml:space="preserve">(949) 3361553   </t>
  </si>
  <si>
    <t xml:space="preserve">SAN GABRIEL VALLEY MEDICAL CENTER       </t>
  </si>
  <si>
    <t>F20218</t>
  </si>
  <si>
    <t>ICE, CUMMINS, DIESEL, EMERGENCY, MODEL KTA-38-GI, SERIAL NO. 79245, TURBOCHARGED, AFTERCOOLED, 12 CYLINDERS, 1135 BHP.</t>
  </si>
  <si>
    <t xml:space="preserve">438 W LAS TUNAS DR                                                              </t>
  </si>
  <si>
    <t xml:space="preserve">GUZMAN JOHN                                       </t>
  </si>
  <si>
    <t xml:space="preserve">(626) 5706502   </t>
  </si>
  <si>
    <t xml:space="preserve">SAN GORGONIO PASS MEM HOSP DIST         </t>
  </si>
  <si>
    <t>M47152</t>
  </si>
  <si>
    <t>ICE, DIESEL, CATERPILLAR, MODEL NO. 3412, 620 HP, 420 KW, EMERGENCY</t>
  </si>
  <si>
    <t xml:space="preserve">600 N HIGHLAND SPRINGS AVE                                                      </t>
  </si>
  <si>
    <t xml:space="preserve">BANNING                  </t>
  </si>
  <si>
    <t xml:space="preserve">CALDER STUART                                     </t>
  </si>
  <si>
    <t xml:space="preserve">(909) 8451121   </t>
  </si>
  <si>
    <t xml:space="preserve">SANTA ANA CITY, CORPORATE YARD          </t>
  </si>
  <si>
    <t>D73732</t>
  </si>
  <si>
    <t>ICE, DETROIT DIESEL, DIESEL, EMERGENCY, MODEL NO. 8V-92TA, 8083-7416, 8 CYLINDERS, TURBOCHARGED AND AFTERCOOLED, 643 BHP.</t>
  </si>
  <si>
    <t xml:space="preserve">215 S CENTER ST                                                                 </t>
  </si>
  <si>
    <t xml:space="preserve">BAILEY AL                                         </t>
  </si>
  <si>
    <t xml:space="preserve">(714) 5496860   </t>
  </si>
  <si>
    <t xml:space="preserve">SANTA MARGARITA WATER DIST              </t>
  </si>
  <si>
    <t>D88653</t>
  </si>
  <si>
    <t>ICE, CATERPILLAR, MODEL NO. 3412 DIT, DIESEL, FUELED, EMERGENCY, SERIAL NO. 81Z08525, 12 CYLINDERS, TURBOCHARGED, 749 BHP.</t>
  </si>
  <si>
    <t xml:space="preserve">27204 E LA PAZ                                                                  </t>
  </si>
  <si>
    <t xml:space="preserve">MEYER RON                                         </t>
  </si>
  <si>
    <t xml:space="preserve">(949) 4596594   </t>
  </si>
  <si>
    <t xml:space="preserve">SANTA MARGARITA WATER DISTRICT          </t>
  </si>
  <si>
    <t>D68366</t>
  </si>
  <si>
    <t>ICE, CATERPILLAR, COMPRESSION IGNITION, FOUR STROKE CYCLE, TURBOCHARGED AND AFTERCOOLED, LEAN BURN, EIGHT CYLINDERS, MODEL NO. 3508, 1196 BHP, DIESEL-FUELED, EMERGENCY</t>
  </si>
  <si>
    <t xml:space="preserve">24134 ANTONIO PKY                                                               </t>
  </si>
  <si>
    <t xml:space="preserve">RANCHO STA MARGARITA     </t>
  </si>
  <si>
    <t xml:space="preserve">BELL GARDENS             </t>
  </si>
  <si>
    <t>M50765</t>
  </si>
  <si>
    <t xml:space="preserve">2749 190TH ST                                                                   </t>
  </si>
  <si>
    <t xml:space="preserve">DAVIDSON PHILIP                                   </t>
  </si>
  <si>
    <t>M50763</t>
  </si>
  <si>
    <t>ICE, CUMMINS, DIESEL, EMERGENCY, MODEL NO. UTA-1710-GS, TURBOCHARGED, AFTERCOOLED, 12 CYLINDERS, 671 BHP.</t>
  </si>
  <si>
    <t>VTA1710GS</t>
  </si>
  <si>
    <t xml:space="preserve">1625 CLARK AVE                                                                  </t>
  </si>
  <si>
    <t>M50762</t>
  </si>
  <si>
    <t>ICE, DETROIT DIESEL, EMR, DIESEL, MODEL 8123-7300, 12 CYL, 671 BHP, TURBOCHARGED, AFTERCOOLED</t>
  </si>
  <si>
    <t>8123-7300</t>
  </si>
  <si>
    <t xml:space="preserve">22211 PACIFIC COAST HWY                                                         </t>
  </si>
  <si>
    <t xml:space="preserve">HIGH BILL                                         </t>
  </si>
  <si>
    <t xml:space="preserve">(805) 4983986   </t>
  </si>
  <si>
    <t>M51573</t>
  </si>
  <si>
    <t xml:space="preserve">10603 WHITTIER BLVD                                                             </t>
  </si>
  <si>
    <t xml:space="preserve">MERRIAM W.R.                                      </t>
  </si>
  <si>
    <t xml:space="preserve">(714) 6276352   </t>
  </si>
  <si>
    <t>M50346</t>
  </si>
  <si>
    <t>ICE, MITSUBISHI, DIESEL, EMERGENCY, MODEL NO. S12N-PT, TURBOCHARGED, AFTERCOOLED, 12 CYLINDERS, 1006 BHP.</t>
  </si>
  <si>
    <t xml:space="preserve">10681 ENCINO AVE                                                                </t>
  </si>
  <si>
    <t>M50347</t>
  </si>
  <si>
    <t>ICE, DETROIT DIESEL, DIESEL, EMERGENCY, ELECTRICAL, MODEL NO. 8123-7305, TURBOCHARGED, AFTERCOOLED, 8 CYLINDERS, 670 BHP.</t>
  </si>
  <si>
    <t xml:space="preserve">147 W LEMON AVE                                                                 </t>
  </si>
  <si>
    <t xml:space="preserve">(626) 3580000   </t>
  </si>
  <si>
    <t>M50348</t>
  </si>
  <si>
    <t xml:space="preserve">15351 MAPLEGROVE                                                                </t>
  </si>
  <si>
    <t>M50349</t>
  </si>
  <si>
    <t xml:space="preserve">2158 E 3RD ST                                                                   </t>
  </si>
  <si>
    <t xml:space="preserve">MERRIAM W.R                                       </t>
  </si>
  <si>
    <t>M50620</t>
  </si>
  <si>
    <t>ICE, CATERPILLAR, DIESEL, EMERGENCY, MODEL NO. 3412, TURBOCHARGED, AFTERCOOLED, 12 CYLINDERS, 536 BHP.</t>
  </si>
  <si>
    <t xml:space="preserve">19111 BUSHARD                                                                   </t>
  </si>
  <si>
    <t>M50351</t>
  </si>
  <si>
    <t>ICE, DETROIT DIESEL, DIESEL, EMERGENCY, MODEL 7163-7305, TURBOCHARGED, AFTERCOOLED, 16 CYLINDERS, 670 BHP.</t>
  </si>
  <si>
    <t xml:space="preserve">18400 PIONEER                                                                   </t>
  </si>
  <si>
    <t xml:space="preserve">ARTESIA                  </t>
  </si>
  <si>
    <t>M50695</t>
  </si>
  <si>
    <t xml:space="preserve">13155 ALONDRA                                                                   </t>
  </si>
  <si>
    <t>M50354</t>
  </si>
  <si>
    <t xml:space="preserve">1041 TIVERTON                                                                   </t>
  </si>
  <si>
    <t>M51142</t>
  </si>
  <si>
    <t>ICE, CUMMINS, DIESEL, EMR, MODEL UTA1710-GS, 500 KW</t>
  </si>
  <si>
    <t>VTA1710-GS</t>
  </si>
  <si>
    <t xml:space="preserve">160 W HAYS ST                                                                   </t>
  </si>
  <si>
    <t>M51141</t>
  </si>
  <si>
    <t>ICE, CATERPILLAR, DIESEL, EMR, MODEL 3412, 500 KW</t>
  </si>
  <si>
    <t xml:space="preserve">723 VINE AVE                                                                    </t>
  </si>
  <si>
    <t>M51745</t>
  </si>
  <si>
    <t xml:space="preserve">120 S JUANITA ST                                                                </t>
  </si>
  <si>
    <t xml:space="preserve">HEMET                    </t>
  </si>
  <si>
    <t>M50901</t>
  </si>
  <si>
    <t>ICE, CATERPILLAR, DIESEL, EMR, MODEL D-349, 750 KW</t>
  </si>
  <si>
    <t xml:space="preserve">45550 JACKSON ST                                                            </t>
  </si>
  <si>
    <t>M51746</t>
  </si>
  <si>
    <t xml:space="preserve">35625 DUVALL RD                                                                 </t>
  </si>
  <si>
    <t>M50923</t>
  </si>
  <si>
    <t>ICE, DETROIT DIESEL, EMR, DIESEL, MODEL 7123-7305, 400 KW</t>
  </si>
  <si>
    <t xml:space="preserve">699 N STATE ST                                                                  </t>
  </si>
  <si>
    <t xml:space="preserve">(714) 5906512   </t>
  </si>
  <si>
    <t>M51747</t>
  </si>
  <si>
    <t xml:space="preserve">12656 PERRIS BLVD                                                               </t>
  </si>
  <si>
    <t>MORENO VALLEY</t>
  </si>
  <si>
    <t>M61230</t>
  </si>
  <si>
    <t>ICE, MITSUBISHI, DIESEL, EMERGENCY, MODEL NO. S12N-PT, TURBOCHARGED, AFTERCOOLED, 12 CYLINDERS, 1500 BHP.</t>
  </si>
  <si>
    <t>F39520</t>
  </si>
  <si>
    <t xml:space="preserve">14436 E RAMONA                                                                  </t>
  </si>
  <si>
    <t>D13971</t>
  </si>
  <si>
    <t>DIESEL, CATERPILLAR, MODEL NO. 3408B, TURBOCHARGED, AFTERCOOLED, 4 STROKE, 4 DEGREE IGNITION RETARDATION, V-8 TYPE, 597 HP, 400 KW, EMERGENCY</t>
  </si>
  <si>
    <t xml:space="preserve">1010 CALIMESA BLVD                                                              </t>
  </si>
  <si>
    <t xml:space="preserve">CALIMESA                 </t>
  </si>
  <si>
    <t xml:space="preserve">LABARR NEAL                                       </t>
  </si>
  <si>
    <t xml:space="preserve">(714) 6239588   </t>
  </si>
  <si>
    <t xml:space="preserve">(714) 5906519   </t>
  </si>
  <si>
    <t>D09991</t>
  </si>
  <si>
    <t xml:space="preserve">NEVA LEROY                                        </t>
  </si>
  <si>
    <t xml:space="preserve">(213) 4581975   </t>
  </si>
  <si>
    <t xml:space="preserve">SANTEE DAIRIES, INC                     </t>
  </si>
  <si>
    <t>F34115</t>
  </si>
  <si>
    <t>ICE, DETROIT DIESEL, 24 CYLINDER, TURBOCHARGED, AFTERCOOLED, MODEL 7243-7406 (24V-71TA), 1550 BHP, DIESEL, EMERGENCY</t>
  </si>
  <si>
    <t xml:space="preserve">7243-7406 </t>
  </si>
  <si>
    <t xml:space="preserve">17851 E RAILROAD ST                                                             </t>
  </si>
  <si>
    <t xml:space="preserve">CITY OF INDUSTRY         </t>
  </si>
  <si>
    <t xml:space="preserve">STARKEY MIKE                                      </t>
  </si>
  <si>
    <t xml:space="preserve">(626) 9233070   </t>
  </si>
  <si>
    <t xml:space="preserve">SANTIAGO HILLS PUMP STATION             </t>
  </si>
  <si>
    <t>F34556</t>
  </si>
  <si>
    <t>ICE, DETROIT DIESEL, 6 CYLINDERS, TURBOCHARGED, AFTERCOOLED, MODEL NO. 6063-TK35 (410 KW), 550 BHP, DIESEL, EMERGENCY</t>
  </si>
  <si>
    <t xml:space="preserve">SANTIAGO CYN RD E OF JAMBOREE RD                                                </t>
  </si>
  <si>
    <t xml:space="preserve">REDDICK JOHN T                                    </t>
  </si>
  <si>
    <t xml:space="preserve">(714) 6492600   </t>
  </si>
  <si>
    <t xml:space="preserve">SANWA BANK CALIFORNIA                   </t>
  </si>
  <si>
    <t>D59892</t>
  </si>
  <si>
    <t>ICE, CATERPILLAR, MODEL NO. 3508, DIESEL, EMERGENCY, TURBOCHARGED, AFTERCOOLED, 8 CYLINDERS, 1093 BHP.</t>
  </si>
  <si>
    <t xml:space="preserve">1977 SATURN ST                                                                  </t>
  </si>
  <si>
    <t xml:space="preserve">MONROE PATRICIA                                   </t>
  </si>
  <si>
    <t xml:space="preserve">(213) 7273265   </t>
  </si>
  <si>
    <t>D59893</t>
  </si>
  <si>
    <t>D59829</t>
  </si>
  <si>
    <t xml:space="preserve">SEAL BEACH CITY                         </t>
  </si>
  <si>
    <t>D36722</t>
  </si>
  <si>
    <t>ICE, WAUKESHA, NATURAL GAS, MODEL L3712G, NATURALLY ASPIRATED, 12 CYLINDERS, 581 BHP, WITH A NON-SELECTIVE CATALYTIC REDUCTION SYSTEM, ENGELHARD.</t>
  </si>
  <si>
    <t>L3712G</t>
  </si>
  <si>
    <t xml:space="preserve">3333 BOLSA CHICA RD                                                             </t>
  </si>
  <si>
    <t xml:space="preserve">SEAL BEACH               </t>
  </si>
  <si>
    <t xml:space="preserve">JUE DENNIS H                                      </t>
  </si>
  <si>
    <t xml:space="preserve">(213) 4312527   </t>
  </si>
  <si>
    <t xml:space="preserve">SEARS, ROEBUCK COMPANY                  </t>
  </si>
  <si>
    <t>D62256</t>
  </si>
  <si>
    <t>ICE, CATERPILLAR, MODEL D34127, DIESEL, TWELVE CYLINDERS, FOUR CYCLE, TURBOCHARGED, 749 BHP, EMERGENCY</t>
  </si>
  <si>
    <t>D34127</t>
  </si>
  <si>
    <t xml:space="preserve">9337 MILLIKEN AVE                                                               </t>
  </si>
  <si>
    <t xml:space="preserve">DAVIS JIM                                         </t>
  </si>
  <si>
    <t xml:space="preserve">(714) 9486002   </t>
  </si>
  <si>
    <t xml:space="preserve">SEMPRA ENERGY FAC MGMT/CENTRAL PLANTS   </t>
  </si>
  <si>
    <t>D12797</t>
  </si>
  <si>
    <t>ICE, WAUKESHA, NATURAL GAS, MODEL 5108, NATURALLY ASPIRATED, 12 CYLINDERS, 708 BHP, WITH A NON-SELECTIVE CATALYTIC REDUCTION SYSTEM, ECS</t>
  </si>
  <si>
    <t xml:space="preserve">2501 E COLLEGE PL                                                               </t>
  </si>
  <si>
    <t xml:space="preserve">WOLFE JON                                         </t>
  </si>
  <si>
    <t xml:space="preserve">(714) 8793450   </t>
  </si>
  <si>
    <t>D13100</t>
  </si>
  <si>
    <t>ICE, FAIRBANKS MORSE, MODEL 50A6TCW-8V, DIESEL, EMERGENCY, TURBOCHARGED, INTERCOOLED, 8 CYLINDERS, 515 BHP.</t>
  </si>
  <si>
    <t>50A6TCW-8V</t>
  </si>
  <si>
    <t xml:space="preserve">715 W 3RD ST                                                                    </t>
  </si>
  <si>
    <t xml:space="preserve">ZISON STANLEY                                     </t>
  </si>
  <si>
    <t>D23756</t>
  </si>
  <si>
    <t>ICE, WAUKESHA, STANDBY, NATURAL GAS, MODEL 5708, NATURALLY ASPIRATED, 12 CYLINDERS, 700 BHP</t>
  </si>
  <si>
    <t xml:space="preserve">2052 CENTURY PARK EAST                                                          </t>
  </si>
  <si>
    <t xml:space="preserve">CENTURY CITY             </t>
  </si>
  <si>
    <t xml:space="preserve">WASHINGTON ANDREW F.                              </t>
  </si>
  <si>
    <t xml:space="preserve">(213) 8795677   </t>
  </si>
  <si>
    <t>C04035</t>
  </si>
  <si>
    <t>P67827</t>
  </si>
  <si>
    <t>ICE NO. 1, NORDBERG, TYPE FSG-136-HSC, DUAL FUEL, FOUR CYCLE, SIX CYLINDERS, IN-LINE, RATED AT 1650 BHP.</t>
  </si>
  <si>
    <t>Dual Fuel</t>
  </si>
  <si>
    <t>Nordberg</t>
  </si>
  <si>
    <t>FSG-136-HSC</t>
  </si>
  <si>
    <t>C04036</t>
  </si>
  <si>
    <t>P67828</t>
  </si>
  <si>
    <t>ICE NO. 2, NORDBERG, TYPE FSG-136-HSC, DUAL FUEL, FOUR CYCLE, SIX CYLINDERS, IN-LINE, RATED AT 1650 BHP.</t>
  </si>
  <si>
    <t>C04037</t>
  </si>
  <si>
    <t>P67829</t>
  </si>
  <si>
    <t>ICE NO. 3, NORDBERG, TYPE FSG-136-HSC, DUAL FUEL, FOUR CYCLE, SIX CYLINDERS, IN-LINE, RATED AT 1650 BHP.</t>
  </si>
  <si>
    <t xml:space="preserve">SGL TECHNIC INC, POLYCARBON DIVISION    </t>
  </si>
  <si>
    <t>F37277</t>
  </si>
  <si>
    <t>ICE, EMERGENCY, DIESEL, CATERPILLAR, AFTERCOOLER, TURBOCHARGER, 1025 BHP</t>
  </si>
  <si>
    <t xml:space="preserve">28176 N STANFORD AVE                                                            </t>
  </si>
  <si>
    <t xml:space="preserve">GREEN BRIAN                                       </t>
  </si>
  <si>
    <t xml:space="preserve">(661) 2570500   </t>
  </si>
  <si>
    <t xml:space="preserve">SHERATON L.A. HARBOR                    </t>
  </si>
  <si>
    <t>F22104</t>
  </si>
  <si>
    <t>ICE, CATERPILLAR, MODEL NO. 3412, DIESEL, EMERGENCY, TURBOCHARGED AND AFTERCOOLED, 12 CYLINDERS, 749 BHP.</t>
  </si>
  <si>
    <t xml:space="preserve">601 S PALOS VERDES ST                                                           </t>
  </si>
  <si>
    <t xml:space="preserve">VAUGHN KNAUST LINDA                               </t>
  </si>
  <si>
    <t xml:space="preserve">(310) 5198200   </t>
  </si>
  <si>
    <t>ICE, CATERPILLAR, 12 CYLINDERS, TURBOCHARGED, AFTERCOOLED, MODEL NO. 3412 DITA (500 KW), 746 BHP, DIESEL, EMERGENCY</t>
  </si>
  <si>
    <t xml:space="preserve">24960 VAN LEUVEN BLVD                                                           </t>
  </si>
  <si>
    <t>F20961</t>
  </si>
  <si>
    <t>ICE, CATERPILLAR, MODEL NO. 3508B DITA, DIESEL, EMERGENCY, 8 CYLINDERS, TURBOCHARGED, AFTERCOOLED, 1465 BHP</t>
  </si>
  <si>
    <t>3508B DITA</t>
  </si>
  <si>
    <t xml:space="preserve">18131 E VALLEY BLVD                                                             </t>
  </si>
  <si>
    <t>F21831</t>
  </si>
  <si>
    <t xml:space="preserve">HWY 79 &amp; GEORGE CUSHMAN RD                                                      </t>
  </si>
  <si>
    <t>F23578</t>
  </si>
  <si>
    <t>ICE, CATERPILLAR, 12 CYLINDERS, TURBOCHARGED, AFTERCOOLED, MODEL NO. 3412 DITTA (600 KW), SERIAL NO. 81Z23777, 890 BHP, DIESEL, EMERGENCY.</t>
  </si>
  <si>
    <t xml:space="preserve">41611 REAGAN AVE                                                                </t>
  </si>
  <si>
    <t xml:space="preserve">(909) 4692262   </t>
  </si>
  <si>
    <t>F32312</t>
  </si>
  <si>
    <t>ICE, CATERPILLAR, MODEL 3508B TA, DIESEL, TURBOCHARGED, AFTERCOOLED, 1502 BHP, EMERGENCY</t>
  </si>
  <si>
    <t>3508B TA</t>
  </si>
  <si>
    <t xml:space="preserve">1515 OCEAN PARK BLVD                                                            </t>
  </si>
  <si>
    <t>90405-4819</t>
  </si>
  <si>
    <t xml:space="preserve">NELSON BARY                                       </t>
  </si>
  <si>
    <t>F32083</t>
  </si>
  <si>
    <t>ICE, CATERPILLAR, 8 CYLINDERS, TURBOCHARGED, AFTERCOOLED, MODEL NO. 3508B DITA (1000 KW), SERIAL NO. GC-563, 1480 BHP, DIESEL, EMERGENCY</t>
  </si>
  <si>
    <t xml:space="preserve">102 PACIFIC COAST HIGHWAY                                                       </t>
  </si>
  <si>
    <t xml:space="preserve">HERMOSA BEACH            </t>
  </si>
  <si>
    <t>90254-5355</t>
  </si>
  <si>
    <t xml:space="preserve">MESSER TONY                                       </t>
  </si>
  <si>
    <t>F33002</t>
  </si>
  <si>
    <t xml:space="preserve">1810 PARNELL AVE                                                                </t>
  </si>
  <si>
    <t xml:space="preserve">WESTWOOD                 </t>
  </si>
  <si>
    <t xml:space="preserve">VERIZON WIRELESS                        </t>
  </si>
  <si>
    <t>D28152</t>
  </si>
  <si>
    <t>ICE, CATERPILLAR, DIESEL, MODEL NO. 3412, TURBOCHARGED, AFTERCOOLED, 12 CYLINDERS, 890 BHP.</t>
  </si>
  <si>
    <t xml:space="preserve">2640 MAIN ST                                                                    </t>
  </si>
  <si>
    <t>92614-6229</t>
  </si>
  <si>
    <t xml:space="preserve">ARENSDORFF RICHARD                                </t>
  </si>
  <si>
    <t xml:space="preserve">(714) 2228420   </t>
  </si>
  <si>
    <t>D35680</t>
  </si>
  <si>
    <t>D72645</t>
  </si>
  <si>
    <t>ICE, CATERPILLAR, DIESEL, MODEL NO. 3412, SERIAL NO. 81Z07634, TURBOCHARGED, AFTERCOOLED, 12 CYLINDERS, 890 BHP.</t>
  </si>
  <si>
    <t>D72646</t>
  </si>
  <si>
    <t>ICE, CATERPILLAR, DIESEL, MODEL NO. 3412, SERIAL NO. 81Z11951, TURBOCHARGED, AFTERCOOLED, 12 CYLINDERS, 890 BHP.</t>
  </si>
  <si>
    <t>D88384</t>
  </si>
  <si>
    <t>ICE, CUMMINS, TURBOCHARGED, AFTERCOOLED, MODEL NO. KTA38-G2, 1200 BHP, DIESEL, EMERGENCY</t>
  </si>
  <si>
    <t>KTA30-G2</t>
  </si>
  <si>
    <t xml:space="preserve">5549 WESTLAWN AVE MARINA MT50                                                   </t>
  </si>
  <si>
    <t xml:space="preserve">CARR BILL                                         </t>
  </si>
  <si>
    <t xml:space="preserve">(714) 2227654   </t>
  </si>
  <si>
    <t>D92523</t>
  </si>
  <si>
    <t xml:space="preserve">2614 WHITTIER BLVD                                                              </t>
  </si>
  <si>
    <t xml:space="preserve">FENTON FRED                                       </t>
  </si>
  <si>
    <t xml:space="preserve">(714) 2227133   </t>
  </si>
  <si>
    <t xml:space="preserve">WALNUT MANOR RETIREMENT VILLAGE         </t>
  </si>
  <si>
    <t>D33307</t>
  </si>
  <si>
    <t>ICE, CUMMINS, DIESEL, EMERGENCY, MODEL NO. KTTA19-GS/GC, TURBOCHARGED, AFTERCOOLED, 6 CYLINDERS, 685 BHP.</t>
  </si>
  <si>
    <t>KTTA19GS/GC</t>
  </si>
  <si>
    <t xml:space="preserve">891 S WALNUT                                                                    </t>
  </si>
  <si>
    <t xml:space="preserve">MANCEBO FRANK                                     </t>
  </si>
  <si>
    <t xml:space="preserve">(714) 7767150   </t>
  </si>
  <si>
    <t xml:space="preserve">WALT DISNEY  COMPANY                    </t>
  </si>
  <si>
    <t>D88597</t>
  </si>
  <si>
    <t xml:space="preserve">UNKNOWN PETER WELSING                             </t>
  </si>
  <si>
    <t xml:space="preserve">(818) 3029536   </t>
  </si>
  <si>
    <t xml:space="preserve">F9283 </t>
  </si>
  <si>
    <t>ICE, CATERPILLAR, 16 CYLINDERS, TURBOCHARGED, AFTERCOOLED, MODEL NO. 3516 DITA (1500 KW), 2151 BHP, DIESEL, EMERGENCY</t>
  </si>
  <si>
    <t xml:space="preserve">23 PARKER                                                                       </t>
  </si>
  <si>
    <t xml:space="preserve">WELSING PETER WELSING                             </t>
  </si>
  <si>
    <t xml:space="preserve">F9284 </t>
  </si>
  <si>
    <t>ICE, CATERPILLAR, 16 CYLINDERS, TURBOCHARGED, AFTERCOOLED, MODEL NO. 3516 DITA (2000 KW), 2847 BHP, DIESEL, EMERGENCY</t>
  </si>
  <si>
    <t xml:space="preserve">2255 WALNUT GROVE AVE                                                           </t>
  </si>
  <si>
    <t>F10182</t>
  </si>
  <si>
    <t>ICE, CATERPILLAR, 16 CYLINDERS, TURBOCHARGED, AFTERCOOLED, MODEL NO. 3516 DITA (1500 KW), SERIAL NO. 25Z05673, 2151 BHP, DIESEL, EMERGENCY</t>
  </si>
  <si>
    <t>F23407</t>
  </si>
  <si>
    <t xml:space="preserve">2244 WALNUT GROVE AVE                                                           </t>
  </si>
  <si>
    <t>F24163</t>
  </si>
  <si>
    <t>ICE, CATERPILLAR, 6 CYLINDERS, TURBOCHARGED, AFTERCOOLED, MODEL NO. 3406 DITA (350 KW), SERIAL NO. 42R05761, 519 BHP, DIESEL, EMERGENCY</t>
  </si>
  <si>
    <t xml:space="preserve">62030 16TH AVE                                                                  </t>
  </si>
  <si>
    <t xml:space="preserve">NORTH PALM SPRINGS       </t>
  </si>
  <si>
    <t xml:space="preserve">SO CAL GAS CO                           </t>
  </si>
  <si>
    <t>D35170</t>
  </si>
  <si>
    <t>ICE, CATERPILLAR, DIESEL, EMERGENCY, MODEL NO. D348, TURBOCHARGED, AFTERCOOLED, 12 CYLINDERS, 890 BHP.</t>
  </si>
  <si>
    <t xml:space="preserve">1801 S ATLANTIC BLVD                                                            </t>
  </si>
  <si>
    <t xml:space="preserve">MOORE MARC                                        </t>
  </si>
  <si>
    <t xml:space="preserve">(323) 2655308   </t>
  </si>
  <si>
    <t>D35169</t>
  </si>
  <si>
    <t>ICE, CATERPILLAR, DIESEL, EMERGENCY, MODEL NO. 3512, TURBOCHARGED, AFTERCOOLED, 12 CYLINDERS, 1804 BHP.</t>
  </si>
  <si>
    <t>F20801</t>
  </si>
  <si>
    <t>ICE, COMBUSTION ENGINE, CATERPILLAR, 12 CYLINDERS, TURBOCHARGED, AFTERCOOLED, MODEL NO. 3412 DISTA (750 KW), 1109 BHP, DIESEL., EMERGENCY</t>
  </si>
  <si>
    <t xml:space="preserve">1981 W LUGONIA AVE                                                              </t>
  </si>
  <si>
    <t xml:space="preserve">BAUCHMAN MIKE                                     </t>
  </si>
  <si>
    <t xml:space="preserve">(213) 2445405   </t>
  </si>
  <si>
    <t>SO CAL PRESBYTERIAN HOMES,ROYAL OAKS MNR</t>
  </si>
  <si>
    <t>D59874</t>
  </si>
  <si>
    <t>ICE, CATERPILLAR, MODEL 3406TA, DIESEL, EMERGENCY, TURBOCHARGED, AFTERCOOLED, 6 CYLINDERS, 587 BHP.</t>
  </si>
  <si>
    <t xml:space="preserve">1763 ROYAL OAKS DR                                                              </t>
  </si>
  <si>
    <t xml:space="preserve">ERRICKSON NIEL                                    </t>
  </si>
  <si>
    <t xml:space="preserve">(626) 3052500   </t>
  </si>
  <si>
    <t xml:space="preserve">SO WINE &amp; SPIRITS OF CAL INC            </t>
  </si>
  <si>
    <t>F34897</t>
  </si>
  <si>
    <t>ICE, CATERPILLAR, MODEL 3412 DITTA (600 KW), 12 CYLINDER, TURBOCHARGED, AFTERCOOLED, 896 BHP, DIESEL, EMERGENCY</t>
  </si>
  <si>
    <t xml:space="preserve">17101 VALLEY VIEW AVE                                                           </t>
  </si>
  <si>
    <t>90701-2413</t>
  </si>
  <si>
    <t xml:space="preserve">PAVONE ROBERT                                     </t>
  </si>
  <si>
    <t xml:space="preserve">(800) 2524737   </t>
  </si>
  <si>
    <t xml:space="preserve">SOKA UNIVERSITY OF AMERICA              </t>
  </si>
  <si>
    <t>F19434</t>
  </si>
  <si>
    <t>ICE, CUMMINS, 6 CYLINDERS, TURBOCHARGED, AFTERCOOLED, MODEL NO. NTA855-G5, 605 BHP, DIESEL, EMERGENCY</t>
  </si>
  <si>
    <t xml:space="preserve">27865 WOOD CANYON DR                                                            </t>
  </si>
  <si>
    <t xml:space="preserve">ASAWA ARCHIBALD                                   </t>
  </si>
  <si>
    <t xml:space="preserve">(949) 4723060   </t>
  </si>
  <si>
    <t xml:space="preserve">SOLEC INTERNATIONAL , INC               </t>
  </si>
  <si>
    <t xml:space="preserve">F8048 </t>
  </si>
  <si>
    <t>ICE, CUMMINS, 6 CYLINDERS, TURBOCHARGED, AFTERCOOLED, MODEL NO. NTA855-G5, SERIAL NO. 11844804, 605 BHP, DIESEL, EMERGENCY</t>
  </si>
  <si>
    <t xml:space="preserve">970 236TH ST                                                                    </t>
  </si>
  <si>
    <t xml:space="preserve">ELARCOSA JAY                                      </t>
  </si>
  <si>
    <t xml:space="preserve">(310) 8345800   </t>
  </si>
  <si>
    <t xml:space="preserve">SONY PICTURES ENTERTAINMENT             </t>
  </si>
  <si>
    <t>D82731</t>
  </si>
  <si>
    <t>ICE, CUMMINS, DIESEL, EMERGENCY, MODEL NO. KTA50-GS1, SERIAL NO. 33108744, TURBOCHARGED, AFTERCOOLED, 16 CYLINDERS, 1490 BHP</t>
  </si>
  <si>
    <t>KTA50-GS1</t>
  </si>
  <si>
    <t xml:space="preserve">10000 W WASHINGTON BLVD                                                         </t>
  </si>
  <si>
    <t>90232-3119</t>
  </si>
  <si>
    <t>F20740</t>
  </si>
  <si>
    <t>ICE, GENERAC, MODEL NO. S6R-PTA, DIESEL, EMERGENCY, 6 CYLINDERS, TURBOCHARGED, AFTERCOOLED, 883 BHP.</t>
  </si>
  <si>
    <t xml:space="preserve">600 CORPORATE POINTE                                                            </t>
  </si>
  <si>
    <t xml:space="preserve">(310) 2444510   </t>
  </si>
  <si>
    <t>SONY PICTURES ENTERTAINMENT,SONY PICTURE</t>
  </si>
  <si>
    <t>F15528</t>
  </si>
  <si>
    <t>ICE, MITSUBISHI, MODEL NO. S6R-PTA, SERIAL NO. SPS-CP1, FOUR CYCLE, SIX CYLINDER, DIESEL, 883 BHP, TURBOCHARGED, AFTERCOOLED, EMERGENCY</t>
  </si>
  <si>
    <t xml:space="preserve">10202 W WASHINGTON BLVD                                                         </t>
  </si>
  <si>
    <t xml:space="preserve">FEILID ROSANNE                                    </t>
  </si>
  <si>
    <t>F36924</t>
  </si>
  <si>
    <t>ICE, CUMMINS, MODEL KTTA50-G2, SERIAL NO. SPS-PP2, DIESEL, 16 CYLINDERS, TURBOCHARGED AND AFTERCOOLED, 2200 BHP, EMERGENCY</t>
  </si>
  <si>
    <t xml:space="preserve">SOUTH GATE CITY                         </t>
  </si>
  <si>
    <t>M48041</t>
  </si>
  <si>
    <t>ICE, DIESEL, CATERPILLAR, TURBOCHARGED, AFTERCOOLED, MODEL 3508, 8 CYLINDERS, 1090 BHP, 765 KW, EMERGENCY</t>
  </si>
  <si>
    <t xml:space="preserve">9475 FRONTAGE W RD                                                              </t>
  </si>
  <si>
    <t xml:space="preserve">SPIRITO LISA                                      </t>
  </si>
  <si>
    <t>D78133</t>
  </si>
  <si>
    <t>ICE, CUMMINS, MODEL KTA38-12, DIESEL, TWELVE CYLINDERS, FOUR CYCLE, TURBOCHARGED, AFTERCOOLED, 1200 BHP, EMERGENCY</t>
  </si>
  <si>
    <t>KTA38-12</t>
  </si>
  <si>
    <t xml:space="preserve">4933 SOUTHERN AVE                                                               </t>
  </si>
  <si>
    <t xml:space="preserve">MASSEY G                                          </t>
  </si>
  <si>
    <t xml:space="preserve">(323) 5635443   </t>
  </si>
  <si>
    <t xml:space="preserve">SOUTH PARK ASSOC                        </t>
  </si>
  <si>
    <t>D35870</t>
  </si>
  <si>
    <t>ICE, CATERPILLAR, DIESEL, MODEL NO. 3412, SERIAL NO. 81Z03832, TURBOCHARGED, AFTERCOOLED, 12 CYLINDERS, 507 BHP.</t>
  </si>
  <si>
    <t xml:space="preserve">888 S FIGUEROA ST                                                               </t>
  </si>
  <si>
    <t xml:space="preserve">WONG VICTOR                                       </t>
  </si>
  <si>
    <t xml:space="preserve">(213) 6833270   </t>
  </si>
  <si>
    <t>SO. ORANGE CO. WASTEWATER AUTHORITY</t>
  </si>
  <si>
    <t>D60946</t>
  </si>
  <si>
    <t>ICE, CATERPILLAR, MODEL NO. 3412 SITA, SERIAL NO. 7DB00473, EMERGENCY, NATURAL GAS, 12 CYLINDERS, FOUR CYCLE, TURBOCHARGED, AFTERCOOLED, 600 BHP.</t>
  </si>
  <si>
    <t xml:space="preserve">34152 DEL OBISPO ST                                                             </t>
  </si>
  <si>
    <t xml:space="preserve">DANA POINT               </t>
  </si>
  <si>
    <t xml:space="preserve">WILSON MICHAEL J.                                 </t>
  </si>
  <si>
    <t xml:space="preserve">(714) 4961786   </t>
  </si>
  <si>
    <t xml:space="preserve">SOUTHWEST MARINE INC                    </t>
  </si>
  <si>
    <t>D95470</t>
  </si>
  <si>
    <t>ICE, CATERPILLAR, DIESEL, EMERGENCY, MODEL NO. 3412, SERIAL NO. 3882409, 12 CYLINDERS, TURBOCHARGED, 755 BHP.</t>
  </si>
  <si>
    <t xml:space="preserve">985 S SEASIDE AVE                                                               </t>
  </si>
  <si>
    <t xml:space="preserve">LA MIRADA                </t>
  </si>
  <si>
    <t xml:space="preserve">SPRINT COMMUNICATIONS CO., L.P.         </t>
  </si>
  <si>
    <t>F20063</t>
  </si>
  <si>
    <t xml:space="preserve">100 S FLOWER ST                                                                 </t>
  </si>
  <si>
    <t xml:space="preserve">CONTROL CENTER BUILDING MAINTENANCE               </t>
  </si>
  <si>
    <t xml:space="preserve">(800) 7588002   </t>
  </si>
  <si>
    <t>ST CALIF DEPT CORRECTIONS,CAL REHAB CNTR</t>
  </si>
  <si>
    <t>D65090</t>
  </si>
  <si>
    <t>ICE, CATERPILLAR, DIESEL, EMERGENCY, MODEL 3516 TA, SERIAL NO. 4XF0391, TURBOCHARGED, AFTERCOOLED, 16 CYLINDER, FOUR CYCLE, 2850 HORSEPOWER.</t>
  </si>
  <si>
    <t xml:space="preserve">5TH &amp; WESTERN ST                                                                </t>
  </si>
  <si>
    <t xml:space="preserve">NORCO                    </t>
  </si>
  <si>
    <t xml:space="preserve">COWLEY SHIRLEY                                    </t>
  </si>
  <si>
    <t xml:space="preserve">(909) 2732907   </t>
  </si>
  <si>
    <t xml:space="preserve">ST JOHNS MEDICAL PLAZA                  </t>
  </si>
  <si>
    <t>D25588</t>
  </si>
  <si>
    <t>ICE, CATERPILLAR, DIESEL, EMERGENCY, MODEL 3412, SERIAL NO. 8120669, TURBOCHARGED, AFTERCOOLED, 12 CYLINDERS, 749 BHP.</t>
  </si>
  <si>
    <t xml:space="preserve">1301 20TH ST                                                                    </t>
  </si>
  <si>
    <t xml:space="preserve">CARTER WILLIAM                                    </t>
  </si>
  <si>
    <t xml:space="preserve">(310) 3150200   </t>
  </si>
  <si>
    <t xml:space="preserve">ST JUDE MEDICAL CENTER                  </t>
  </si>
  <si>
    <t>D35900</t>
  </si>
  <si>
    <t>ICE NO. 1, CATERPILLAR, DIESEL, EMERGENCY, MODEL 3508, SERIAL NO. 23Z03198, TURBOCHARGED, AFTERCOOLED, 8 CYLINDERS, 1108 BHP</t>
  </si>
  <si>
    <t xml:space="preserve">101 E VALENCIA MESA DR                                                          </t>
  </si>
  <si>
    <t xml:space="preserve">NOONAN ROBERT                                     </t>
  </si>
  <si>
    <t xml:space="preserve">(714) 9923988   </t>
  </si>
  <si>
    <t>D36765</t>
  </si>
  <si>
    <t>ICE NO. 2, CATERPILLAR, DIESEL, EMERGENCY, MODEL 3508, SERIAL NO. 23Z03471, TURBOCHARGED, AFTERCOOLED, 8 CYLINDERS, 1108 BHP</t>
  </si>
  <si>
    <t>F22373</t>
  </si>
  <si>
    <t>ICE, CATERPILLAR, 8 CYLINDERS, TURBOCHARGED, AFTERCOOLED, MODEL NO. 3508 DITA (750 KW), 1093 BHP, DIESEL, EMERGENCY.</t>
  </si>
  <si>
    <t xml:space="preserve">ST VINCENT MED CENTER                   </t>
  </si>
  <si>
    <t xml:space="preserve">F5246 </t>
  </si>
  <si>
    <t>ICE, CATERPILLAR, 6 CYLINDER, TURBOCHARGED, AFTERCOOLED, MODEL NO. 3406 DITA (400 KW), 587 BHP, DIESEL, EMERGENCY</t>
  </si>
  <si>
    <t xml:space="preserve">2222 OCEAN VIEW AVE                                                             </t>
  </si>
  <si>
    <t xml:space="preserve">BROWN BARBARA                                     </t>
  </si>
  <si>
    <t xml:space="preserve">(213) 4847152   </t>
  </si>
  <si>
    <t xml:space="preserve">ST. BERNARDINE MEDICAL CENTER           </t>
  </si>
  <si>
    <t>M57243</t>
  </si>
  <si>
    <t>ICE, DETROIT DIESEL, TURBOCHARGED, AFTERCOOLED, MODEL NO. 8123-7305, SERIAL NO. 12VF001612, 750 HP, DIESEL, DRIVING A LIMA ELECTRIC EMERGENCY GENERATOR, MODEL 3150-0819, SERIAL NO. AC92492, AT 500 KW.</t>
  </si>
  <si>
    <t>3150-0819</t>
  </si>
  <si>
    <t xml:space="preserve">2101 N WATERMAN AVE                                                             </t>
  </si>
  <si>
    <t>92404-4836</t>
  </si>
  <si>
    <t xml:space="preserve">HEINE MICHAEL                                     </t>
  </si>
  <si>
    <t xml:space="preserve">(909) 8838711   </t>
  </si>
  <si>
    <t>F11259</t>
  </si>
  <si>
    <t>ICE, DETROIT DIESEL, 16 CYLINDERS, TURBOCHARGED, AFTERCOOLED, MODEL NO. 8163-7416 (16V-92TA), SERIAL NO. 387465, 1232 BHP, DIESEL, EMERGENCY</t>
  </si>
  <si>
    <t>F11257</t>
  </si>
  <si>
    <t>ICE, DETROIT DIESEL, 16 CYLINDERS, TURBOCHARGED, AFTERCOOLED, MODEL NO. 8163-7416 (16V-92TA), SERIAL NO. 387464, 1232 BHP, DIESEL, EMERGENCY</t>
  </si>
  <si>
    <t xml:space="preserve">ST. FRANCIS MEDICAL CENTER              </t>
  </si>
  <si>
    <t xml:space="preserve">3630 E IMPERIAL HWY                                                             </t>
  </si>
  <si>
    <t xml:space="preserve">LYNWOOD                  </t>
  </si>
  <si>
    <t xml:space="preserve">BENNET JOHN                                       </t>
  </si>
  <si>
    <t xml:space="preserve">(213) 6036217   </t>
  </si>
  <si>
    <t>D61508</t>
  </si>
  <si>
    <t>ICE, DETROIT DIESEL, MODEL NO. 9163-7416, DIESEL FUELED, EMERGENCY, TURBOCHARGED, INTERCOOLED, 16 CYLINDERS, 2340 BHP.</t>
  </si>
  <si>
    <t xml:space="preserve">F7445 </t>
  </si>
  <si>
    <t>ICE, DETROIT DIESEL, 24 CYLINDERS, TURBOCHARGED, AFTERCOOLED, MODEL NO. 7243-7406 (24V-71TA), 1550 BHP, DIESEL, EMERGENCY</t>
  </si>
  <si>
    <t xml:space="preserve">PROVIDENCE ST JOSEPH MED CTR            </t>
  </si>
  <si>
    <t>276927</t>
  </si>
  <si>
    <t>D69668</t>
  </si>
  <si>
    <t>ICE, CATERPILLAR, MODEL NO. 3512, SERIAL NO. 24203833, DIESEL, EMERGENCY, TURBOCHARGED, AFTERCOOLED, 12 CYLINDERS, 1786 BHP.</t>
  </si>
  <si>
    <t xml:space="preserve">501 S BUENA VISTA ST                                                            </t>
  </si>
  <si>
    <t>91505-4866</t>
  </si>
  <si>
    <t xml:space="preserve">ROMERO WALDO T.                                   </t>
  </si>
  <si>
    <t xml:space="preserve">(818) 8435111   </t>
  </si>
  <si>
    <t xml:space="preserve">ST. VINCENT MEDICAL GROUP               </t>
  </si>
  <si>
    <t>M35035</t>
  </si>
  <si>
    <t>ICE, DETROIT DIESEL ALLISON, COMPRESSION IGNITION, TWO CYCLE, TURBOCHARGED, INTERCOOLED, V-12, MODEL 12V-149TI, 1792 CUBIC INCHES, SERIAL NUMBER 12E0001562, 1155 BHP, DIESEL FUELED, DRIVING A 825 KW ELECTRICAL EMERGENCY GENERATOR.</t>
  </si>
  <si>
    <t xml:space="preserve">2131 W 3RD ST                                                                   </t>
  </si>
  <si>
    <t xml:space="preserve">SEARS RICHARD                                     </t>
  </si>
  <si>
    <t xml:space="preserve">(213) 4847153   </t>
  </si>
  <si>
    <t>M35036</t>
  </si>
  <si>
    <t>ICE, DETROIT DIESEL ALLISON, COMPRESSION IGNITION, TWO CYCLE, TURBOCHARGED, INTERCOOLED, V-12, MODEL 12V-149TI, 1792 CUBIC INCHES, SERIAL NUMBER 12E0001561, 1155 BHP, DIESEL FUELED, DRIVING A 825 KW ELECTRICAL EMERGENCY GENERATOR.</t>
  </si>
  <si>
    <t xml:space="preserve">STARR SURGICAL CO                       </t>
  </si>
  <si>
    <t>F22703</t>
  </si>
  <si>
    <t>ICE, DETROIT DIESEL, MODEL NO. 8163-7400, SERIAL NO. 16VF7148, DIESEL, EMERGENCY, 16 CYLINDERS, TURBOCHARGED AND AFTERCOOLED, 986 BHP.</t>
  </si>
  <si>
    <t xml:space="preserve">1900 MYRTLE AVE                                                                 </t>
  </si>
  <si>
    <t xml:space="preserve">MONROVIA                 </t>
  </si>
  <si>
    <t xml:space="preserve">WOOD SANDRA                                       </t>
  </si>
  <si>
    <t xml:space="preserve">(626) 3037902   </t>
  </si>
  <si>
    <t>STATE CA DEPT GEN SRV,R W REGAN STATE BL</t>
  </si>
  <si>
    <t>D73619</t>
  </si>
  <si>
    <t>ICE, CATERPILLAR, MODEL NO. 3508 STD, SERIAL NO. 23Z02327, DIESEL, EMERGENCY, TURBOCHARGED, AFTERCOOLED, 8 CYLINDERS, 1332 BHP.</t>
  </si>
  <si>
    <t xml:space="preserve">300 S SPRING ST                                                                 </t>
  </si>
  <si>
    <t xml:space="preserve">SHELTON GENE                                      </t>
  </si>
  <si>
    <t>D73620</t>
  </si>
  <si>
    <t>ICE, CATERPILLAR, MODEL NO. 3508 STD, SERIAL NO. 23Z02323, DIESEL, EMERGENCY, TURBOCHARGED, AFTERCOOLED, 8 CYLINDERS, 1332 BHP.</t>
  </si>
  <si>
    <t xml:space="preserve">SUBURBAN MEDICAL CENTER                 </t>
  </si>
  <si>
    <t>F13488</t>
  </si>
  <si>
    <t xml:space="preserve">16453 S COLORADO AVE                                                            </t>
  </si>
  <si>
    <t xml:space="preserve">STEINAHUSER PATRICK                               </t>
  </si>
  <si>
    <t xml:space="preserve">(562) 4087438   </t>
  </si>
  <si>
    <t xml:space="preserve">SUMITOMO LIFE REALTY (N.Y.), INC        </t>
  </si>
  <si>
    <t>D28187</t>
  </si>
  <si>
    <t>ICE, CATERPILLAR, DIESEL, EMERGENCY, MODEL 3412 DITA, TURBOCHARGED, AFTERCOOLED, 12 CYLINDERS, 890 BHP.</t>
  </si>
  <si>
    <t xml:space="preserve">1000 WILSHIRE BLVD SUITE 550                                                    </t>
  </si>
  <si>
    <t xml:space="preserve">LUTES ROY                                         </t>
  </si>
  <si>
    <t xml:space="preserve">(213) 6298068   </t>
  </si>
  <si>
    <t xml:space="preserve">SUMITOMO LIFE REALTY INC, MURDOCK PLAZA </t>
  </si>
  <si>
    <t>D58438</t>
  </si>
  <si>
    <t>ICE, CATERPILLAR, DIESEL, EMERGENCY, MODEL NO. D349, SERIAL NO. G1P1243, TURBOCHARGED, AFTERCOOLED, 16 CYLINDERS, 1070 BHP</t>
  </si>
  <si>
    <t xml:space="preserve">10900 WILSHIRE BLVD                                                             </t>
  </si>
  <si>
    <t xml:space="preserve">STONECYPHER SANDRA                                </t>
  </si>
  <si>
    <t xml:space="preserve">(310) 2081616   </t>
  </si>
  <si>
    <t xml:space="preserve">SYSTEMS MANAGEMENT SPECIALISTS          </t>
  </si>
  <si>
    <t>F14413</t>
  </si>
  <si>
    <t>ICE NO. 2, DETROIT DIESEL, DIESEL, EMERGENCY, MODEL NO. 8163-7305, SERIAL NO. 16VF006032, TURBOCHARGED, AFTERCOOLED, 16 CYLINDERS, 600 BHP.</t>
  </si>
  <si>
    <t xml:space="preserve">3300 BIRCH ST                                                                   </t>
  </si>
  <si>
    <t xml:space="preserve">WHITEHORN LORAN                                   </t>
  </si>
  <si>
    <t xml:space="preserve">(714) 3433435   </t>
  </si>
  <si>
    <t>F14414</t>
  </si>
  <si>
    <t>ICE NO. 1, DETROIT DIESEL, DIESEL, EMERGENCY, MODEL NO. 8163-7305, SERIAL NO. 16VF002545, TURBOCHARGED, INTERCOOLED, 16 CYLINDERS, 600 BHP</t>
  </si>
  <si>
    <t>F14417</t>
  </si>
  <si>
    <t>ICE NO. 3, DETROIT DIESEL, DIESEL, EMERGENCY, MODEL NO. 8163-7305, SERIAL NO. 16VF006432, TURBOCHARGED, INTERCOOLED, 16 CYLINDERS, 600 BHP</t>
  </si>
  <si>
    <t xml:space="preserve">TAMCO                                   </t>
  </si>
  <si>
    <t xml:space="preserve">F5044 </t>
  </si>
  <si>
    <t>CUMMINS, EMERGENCY, MODEL NO. VTA28-G1, NATURAL GAS, 760 BHP AT 1800 RPM</t>
  </si>
  <si>
    <t xml:space="preserve">12459 ARROW HWY                                                                 </t>
  </si>
  <si>
    <t xml:space="preserve">PERCHAN MICHAEL                                   </t>
  </si>
  <si>
    <t xml:space="preserve">(909) 8990660   </t>
  </si>
  <si>
    <t xml:space="preserve">TECH DATA CORPORATION                   </t>
  </si>
  <si>
    <t>F11569</t>
  </si>
  <si>
    <t>ICE, DETROIT DIESEL, 8 CYLINDERS, TURBOCHARGED, AFTERCOOLED, MODEL NO. 8083-7405 (8V-92TA), SERIAL NO. 06VF218021, 568 BHP, DIESEL, EMERGENCY</t>
  </si>
  <si>
    <t xml:space="preserve">13472 MARLAY AVE                                                                </t>
  </si>
  <si>
    <t xml:space="preserve">GODWIN BEN                                        </t>
  </si>
  <si>
    <t xml:space="preserve">(813) 5387895   </t>
  </si>
  <si>
    <t xml:space="preserve">TELE TV                                 </t>
  </si>
  <si>
    <t>F21114</t>
  </si>
  <si>
    <t>ICE, CUMMINS, MODEL NO. KTA38-G2, DIESEL, EMERGENCY, 12 CYLINDERS, TURBOCHARGED, AFTERCOOLED, 1200 BHP.</t>
  </si>
  <si>
    <t xml:space="preserve">3375 RIO HONDO AVE                                                              </t>
  </si>
  <si>
    <t xml:space="preserve">SLATER STEPHEN                                    </t>
  </si>
  <si>
    <t xml:space="preserve">(818) 7129002   </t>
  </si>
  <si>
    <t xml:space="preserve">TELEHOUSE INTERNATIONAL CORP OF AMERICA </t>
  </si>
  <si>
    <t>F21397</t>
  </si>
  <si>
    <t>ICE, CATERPILLAR, 12 CYLINDERS, TURBOCHARGED, AFTERCOOLED, MODEL NO. 3412 DISTA (800 KW), SERIAL NO. 2WJO1986, 1185 BHP, DIESEL, EMERGENCY</t>
  </si>
  <si>
    <t xml:space="preserve">626 WILSHIRE BLVD 6TH FLOOR                                                     </t>
  </si>
  <si>
    <t xml:space="preserve">WALDMANN KENNETH J.                               </t>
  </si>
  <si>
    <t xml:space="preserve">(718) 3552506   </t>
  </si>
  <si>
    <t xml:space="preserve">PAGING NETWORK, INC                     </t>
  </si>
  <si>
    <t>D96474</t>
  </si>
  <si>
    <t>ICE, CATERPILLAR, DIESEL, EMERGENCY, MODEL NO. 3412 DISTA (750 KW), TURBOCHARGED AND AFTERCOOLED, 12 CYLINDERS, 1109 BHP.</t>
  </si>
  <si>
    <t xml:space="preserve">6001 RICKENBACKER                                                               </t>
  </si>
  <si>
    <t xml:space="preserve">BROWN MIKE                                        </t>
  </si>
  <si>
    <t xml:space="preserve">(213) 8872537   </t>
  </si>
  <si>
    <t>D96475</t>
  </si>
  <si>
    <t>ICE, CATERPILLAR, 6 CYLINDERS, TURBOCHARGED, AFTERCOOLED, MODEL NO. 3406 DITA (350 KW), 519 BHP, DIESEL-FUELED, EMERGENCY</t>
  </si>
  <si>
    <t xml:space="preserve">PALM SPRINGS MOTORS INC                 </t>
  </si>
  <si>
    <t>F23801</t>
  </si>
  <si>
    <t>ICE, CATERPILLAR, 12 CYLINDERS, TURBOCHARGED, AFTERCOOLED, MODEL NO. 3412 DITTA (600 KW), 890 BHP, DIESEL, EMERGENCY</t>
  </si>
  <si>
    <t xml:space="preserve">69200 HIGHWAY 111                                                               </t>
  </si>
  <si>
    <t xml:space="preserve">CATHEDRAL CITY           </t>
  </si>
  <si>
    <t xml:space="preserve">PENDLETON TOM                                     </t>
  </si>
  <si>
    <t xml:space="preserve">(760) 3287422   </t>
  </si>
  <si>
    <t xml:space="preserve">PAN AM SAT CORPORATION                  </t>
  </si>
  <si>
    <t>F10977</t>
  </si>
  <si>
    <t xml:space="preserve">1600 FORBES WAY                                                                 </t>
  </si>
  <si>
    <t xml:space="preserve">LOTTA JAMES                                       </t>
  </si>
  <si>
    <t xml:space="preserve">(310) 5255871   </t>
  </si>
  <si>
    <t xml:space="preserve">PARAMOUNT PETR CORP UNIT NO. 18         </t>
  </si>
  <si>
    <t>D69707</t>
  </si>
  <si>
    <t>ICE, CLARK, NATURAL GAS/LPG, EMERGENCY, MODEL NO. HRA-8, SERIAL NO. 25518, 8 CYLINDERS, 880 BHP.</t>
  </si>
  <si>
    <t>Clark</t>
  </si>
  <si>
    <t>HRA-8</t>
  </si>
  <si>
    <t xml:space="preserve">14700 DOWNEY AVE                                                                </t>
  </si>
  <si>
    <t xml:space="preserve">THOMPSON DOUGLAS M                                </t>
  </si>
  <si>
    <t xml:space="preserve">(310) 5312060   </t>
  </si>
  <si>
    <t xml:space="preserve">PARAMOUNT PICTURES CORP                 </t>
  </si>
  <si>
    <t xml:space="preserve">5555 MELROSE AVE                                                                </t>
  </si>
  <si>
    <t xml:space="preserve">MONACO FRANK                                      </t>
  </si>
  <si>
    <t xml:space="preserve">(323) 9561675   </t>
  </si>
  <si>
    <t>F10038</t>
  </si>
  <si>
    <t>ICE, CATERPILLAR, 12 CYLINDERS, TURBOCHARGED, AFTERCOOLED, MODEL NO. 3412 DITTA (500 KW), SERIAL NO. 81Z21299, 746 BHP, DIESEL, EMERGENCY</t>
  </si>
  <si>
    <t xml:space="preserve">PARK HYATT LOS ANGELES AT CENTURY CITY  </t>
  </si>
  <si>
    <t>D23767</t>
  </si>
  <si>
    <t>ICE, CATERPILLAR, DIESEL, EMERGENCY, MODEL NO. 3508, SERIAL NO. 5UA00923, TURBOCHARGED, AFTERCOOLED, 8 CYLINDERS, 1069 BHP.</t>
  </si>
  <si>
    <t xml:space="preserve">2151 AVENUE OF THE STARS                                                        </t>
  </si>
  <si>
    <t xml:space="preserve">ANNALORO JEROME                                   </t>
  </si>
  <si>
    <t xml:space="preserve">(310) 2771234   </t>
  </si>
  <si>
    <t xml:space="preserve">PARKVIEW COMM HOSP MEDICAL CENTER       </t>
  </si>
  <si>
    <t>D91030</t>
  </si>
  <si>
    <t>ICE, CUMMINS, 6 CYLINDERS, TURBOCHARGED, AFTERCOOLED, MODEL NO. VTA28-G2, 900 BHP, DIESEL, EMERGENCY</t>
  </si>
  <si>
    <t xml:space="preserve">3865 JACKSON ST                                                                 </t>
  </si>
  <si>
    <t xml:space="preserve">BROWN LEROY                                       </t>
  </si>
  <si>
    <t xml:space="preserve">(909) 6882211   </t>
  </si>
  <si>
    <t xml:space="preserve">PASADENA CITY, DWP                      </t>
  </si>
  <si>
    <t>D88885</t>
  </si>
  <si>
    <t xml:space="preserve">130 WALLIS ST                                                                   </t>
  </si>
  <si>
    <t xml:space="preserve">BAWA GURCHARAN                                    </t>
  </si>
  <si>
    <t xml:space="preserve">(818) 6836562   </t>
  </si>
  <si>
    <t xml:space="preserve">MCA/UNIVERSAL CITY STUDIOS              </t>
  </si>
  <si>
    <t>D78798</t>
  </si>
  <si>
    <t>ICE, CATERPILLAR 8 CYLINDERS, TURBOCHARGED, AFTERCOOLED, MODEL NO. 3508 DITA (750 KW), 1093 BHP, DIESEL-FUELED, DRIVING AN EMERGENCY ELECTRICAL GENERATOR.</t>
  </si>
  <si>
    <t xml:space="preserve">3900 LANKERSHIM BLVD                                                            </t>
  </si>
  <si>
    <t xml:space="preserve">UNIVERSAL CITY           </t>
  </si>
  <si>
    <t xml:space="preserve">RICHARDS MICHELLE                                 </t>
  </si>
  <si>
    <t xml:space="preserve">(818) 7773263   </t>
  </si>
  <si>
    <t>F13928</t>
  </si>
  <si>
    <t>ICE, WAUKESHA, MODEL NO. L5792DS, SERIAL NO. 1124493, DIESEL-FUELED, 12 CYLINDERS, TURBOCHARGED, 1262 BHP, DRIVING AN EMERGENCY ELECTRICAL GENERATOR (LOCATED BEHIND BUILDING 218)</t>
  </si>
  <si>
    <t>L5792 DS</t>
  </si>
  <si>
    <t>F26335</t>
  </si>
  <si>
    <t>ICE, VOLVO PENTA, MODEL TAD1631GE, SERIAL NO. 2160035892WA522269-1199, DIESEL, SIX CYLINDERS, TURBOCHARGED AND AFTERCOOLED, RATED AT 687 BHP, DRIVING AN EMERGENCY STAND-BY GENERATOR.</t>
  </si>
  <si>
    <t>TAD1631GE</t>
  </si>
  <si>
    <t>MCDONNELL DOUGLAS CORP, SUB OF BOEING CO</t>
  </si>
  <si>
    <t>F22343</t>
  </si>
  <si>
    <t>ICE, CATERPILLAR, 12 CYLINDERS, TURBOCHARGED, AFTERCOOLED, MODEL NO. 3412 DITTA (500 KW), 746 BHP, DIESEL-FUELED, DRIVING AN EMERGENCY ELECTRICAL GENERATOR.</t>
  </si>
  <si>
    <t xml:space="preserve">5301 BOLSA AVE                                                                  </t>
  </si>
  <si>
    <t xml:space="preserve">CHAURUSHIA ASHOK                                  </t>
  </si>
  <si>
    <t xml:space="preserve">(714) 3722007   </t>
  </si>
  <si>
    <t>F36877</t>
  </si>
  <si>
    <t>ICE, CATERPILLAR, DIESEL-FUELED, EMERGENCY ELECTRICAL GENERATION, MODEL NO. 3512, TURBOCHARGED, AFTERCOOLED, 12 CYLINDERS, 1588 BHP.</t>
  </si>
  <si>
    <t xml:space="preserve">MCI INTERNATIONAL                       </t>
  </si>
  <si>
    <t xml:space="preserve">F9637 </t>
  </si>
  <si>
    <t>ICE, DETROIT DIESEL, MODEL NO. 8163-7400, DIESEL-FUELED, EMERGENCY ELECTRICAL GENERATION, 16 CYLINDERS, TURBOCHARGED AND AFTERCOOLED, 960 BHP.</t>
  </si>
  <si>
    <t>8163-7400</t>
  </si>
  <si>
    <t xml:space="preserve">700 FLOWER ST                                                                   </t>
  </si>
  <si>
    <t xml:space="preserve">PHILLIPS TOM                                      </t>
  </si>
  <si>
    <t xml:space="preserve">MCI TELECOMMUNICATIONS                  </t>
  </si>
  <si>
    <t>F37398</t>
  </si>
  <si>
    <t>ICE, CUMMINS, MODEL QST30-G3, DIESEL FUEL, 12 CYLINDERS, TURBOCHARGED AND AFTERCOOLED, RATED AT 1350 BHP DRIVING AN EMERGENCY STAND-BY GENERATOR.</t>
  </si>
  <si>
    <t xml:space="preserve">905 E DISCOVERY LN                                                              </t>
  </si>
  <si>
    <t xml:space="preserve">BOCK CHUCK                                        </t>
  </si>
  <si>
    <t xml:space="preserve">(310) 6081910   </t>
  </si>
  <si>
    <t xml:space="preserve">MCI TELECOMMUNICATIONS CORPORATION      </t>
  </si>
  <si>
    <t>D35896</t>
  </si>
  <si>
    <t>ICE, CATERPILLAR, DIESEL-FUELED, EMERGENCY, MODEL NO. 3512, SERIAL NUMBER 24Z0826, TURBOCHARGED, AFTERCOOLED, 12 CYLINDERS, 1330 BHP.</t>
  </si>
  <si>
    <t xml:space="preserve">2300 S CENTRAL AVE                                                              </t>
  </si>
  <si>
    <t xml:space="preserve">COOPER JEFF                                       </t>
  </si>
  <si>
    <t xml:space="preserve">(818) 5011951   </t>
  </si>
  <si>
    <t xml:space="preserve">MCI WORLDCOM                            </t>
  </si>
  <si>
    <t>F31310</t>
  </si>
  <si>
    <t xml:space="preserve">9882 SANTA MONICA BLVD                                                          </t>
  </si>
  <si>
    <t xml:space="preserve">MAFFIT DAVID                                      </t>
  </si>
  <si>
    <t xml:space="preserve">(310) 8205533   </t>
  </si>
  <si>
    <t xml:space="preserve">THE REALTY ASSOCIATES, FUND III         </t>
  </si>
  <si>
    <t>D96966</t>
  </si>
  <si>
    <t>ICE, CATERPILLAR, MODEL NO. 3412, SERIAL NO. 3856207, TURBOCHARGED, INTERCOOLED, 12 CYLINDERS, 755 BHP.</t>
  </si>
  <si>
    <t xml:space="preserve">1301 DOVE ST                                                                    </t>
  </si>
  <si>
    <t xml:space="preserve">WESTBROOK LARRY                                   </t>
  </si>
  <si>
    <t xml:space="preserve">(714) 4760337   </t>
  </si>
  <si>
    <t>THE RICHARD NIXON LIB &amp; BIRTHPLACE FOUND</t>
  </si>
  <si>
    <t>D33196</t>
  </si>
  <si>
    <t>ICE, CATERPILLAR, MODEL NO. 3408 TA, TURBOCHARGED, AFTERCOOLED, 8 CYLINDERS, 600 BHP.</t>
  </si>
  <si>
    <t xml:space="preserve">18001 YORBA LINDA BLVD                                                          </t>
  </si>
  <si>
    <t xml:space="preserve">HEWITT HUGH                                       </t>
  </si>
  <si>
    <t xml:space="preserve">(714) 5532685   </t>
  </si>
  <si>
    <t xml:space="preserve">THE RITZ-CARLTON HOTEL                  </t>
  </si>
  <si>
    <t>D37824</t>
  </si>
  <si>
    <t>ICE, CATERPILLAR, DIESEL, EMERGENCY, MODEL NO. 3406, TURBOCHARGED, AFTERCOOLED, 6 CYLINDERS, 519  BHP.</t>
  </si>
  <si>
    <t xml:space="preserve">4375 ADMIRALTY WAY                                                              </t>
  </si>
  <si>
    <t xml:space="preserve">VILLANUEVA MIKE                                   </t>
  </si>
  <si>
    <t xml:space="preserve">(310) 8231700   </t>
  </si>
  <si>
    <t xml:space="preserve">THE SHOPS @ MISSION VIEJO               </t>
  </si>
  <si>
    <t>F22147</t>
  </si>
  <si>
    <t xml:space="preserve">555 SHOPS @ MISSION VIEJO                                                       </t>
  </si>
  <si>
    <t xml:space="preserve">WILSON CONNIE                                     </t>
  </si>
  <si>
    <t xml:space="preserve">(949) 3641832   </t>
  </si>
  <si>
    <t xml:space="preserve">THE SUTTON PLACE HOTEL                  </t>
  </si>
  <si>
    <t>D08740</t>
  </si>
  <si>
    <t>ICE, CATERPILLAR, DIESEL, EMERGENCY, MODEL NO. 3412, SERIAL NO. 81Z02860, TURBOCHARGED, INTERCOOLED, 12 CYLINDERS, 546 BHP.</t>
  </si>
  <si>
    <t xml:space="preserve">4500 MACARTHUR BLVD                                                             </t>
  </si>
  <si>
    <t xml:space="preserve">SCHWAB RUSSELL                                    </t>
  </si>
  <si>
    <t xml:space="preserve">(949) 4762001   </t>
  </si>
  <si>
    <t xml:space="preserve">THE WALT DISNEY COMPANY                 </t>
  </si>
  <si>
    <t>D28406</t>
  </si>
  <si>
    <t>ICE, CATERPILLAR DIESEL, EMERGENCY, MODEL NO. 3512, SERIAL NO. 24Z01589, TURBOCHARGED, AFTERCOOLED, 12 CYLINDERS, 1675 BHP.</t>
  </si>
  <si>
    <t xml:space="preserve">500 S BUENA VISTA                                                               </t>
  </si>
  <si>
    <t xml:space="preserve">RUBINO CHRISTINE                                  </t>
  </si>
  <si>
    <t>D37624</t>
  </si>
  <si>
    <t>ICE, DETROIT DIESEL, DIESEL FUELED, EMERGENCY, MODEL NO. 8163-7305, SERIAL NO. 16VA00716, TURBOCHARGED, AFTERCOOLED, 16 CYLINDERS, 860 BHP.</t>
  </si>
  <si>
    <t>D81605</t>
  </si>
  <si>
    <t>ICE, CUMMINS, 16 CYLINDERS, TURBOCHARGED, AFTERCOOLED, MODEL NO. KTTA50-G2, 2220 BHP, DIESEL, EMERGENCY</t>
  </si>
  <si>
    <t xml:space="preserve">F4245 </t>
  </si>
  <si>
    <t xml:space="preserve">3100-110 THORNTON AVE                                                           </t>
  </si>
  <si>
    <t xml:space="preserve">F4478 </t>
  </si>
  <si>
    <t xml:space="preserve">F5801 </t>
  </si>
  <si>
    <t>ICE, CUMMINS, 6 CYLINDER, TURBOCHARGED, AFTERCOOLED, MODEL NO. KTA19-G4, 755 BHP, DIESEL, EMERGENCY</t>
  </si>
  <si>
    <t>F24566</t>
  </si>
  <si>
    <t>ICE, CATERPILLAR, MODEL NO. 3512 DITA, SERIAL NO. 24Z09000, DIESEL FUEL, TWELVE CYLINDERS, TURBOCHARGED, AFTERCOOLED, 1801 BHP, EMERGENCY</t>
  </si>
  <si>
    <t xml:space="preserve">PATTON ST HOSP                          </t>
  </si>
  <si>
    <t>M58035</t>
  </si>
  <si>
    <t>DIESEL ENGINE, CATERPILLAR, MODEL NO. 3508, 1100 HP, DRIVING A 750 KW, EMERGENCY, SERIAL NO. 23Z01353.</t>
  </si>
  <si>
    <t xml:space="preserve">3102 E HIGHLAND AVE                                                             </t>
  </si>
  <si>
    <t xml:space="preserve">PATTON                   </t>
  </si>
  <si>
    <t xml:space="preserve">KLEIST CLIFFORD D                                 </t>
  </si>
  <si>
    <t xml:space="preserve">(909) 4257590   </t>
  </si>
  <si>
    <t>M61424</t>
  </si>
  <si>
    <t>DIESEL ENGINE, CATERPILLAR, MODEL NO. 3508, SERIAL NO. 23701356, 1100 HP, 750 KW, EMERGENCY</t>
  </si>
  <si>
    <t>01992E</t>
  </si>
  <si>
    <t>E04895</t>
  </si>
  <si>
    <t>GENERATOR NO. 1, ONAN MODEL 750, S/N 0DEZ-4XR-20021C; DRIVEN BY 1115 HP CUMMINS DIESEL ENGINE #33101603.</t>
  </si>
  <si>
    <t xml:space="preserve">PIMCO ADVISORS L P                      </t>
  </si>
  <si>
    <t>F20066</t>
  </si>
  <si>
    <t>ICE, CATERPILLAR, 12 CYLINDERS, TURBOCHARGED, AFTERCOOLED, MODEL NO. 3412 DISTA (800 KW), 1185 BHP, DIESEL, EMERGENCY</t>
  </si>
  <si>
    <t xml:space="preserve">840 NEWPORT CENTER DR                                                           </t>
  </si>
  <si>
    <t xml:space="preserve">DUNN ANITA                                        </t>
  </si>
  <si>
    <t xml:space="preserve">(949) 7215312   </t>
  </si>
  <si>
    <t xml:space="preserve">PINE REALTY, INC., MANAGING AGENT       </t>
  </si>
  <si>
    <t>D55124</t>
  </si>
  <si>
    <t>ICE, CATERPILLAR, MODEL NO. 3406BTA, DIESEL, EMERGENCY, TURBOCHARGED, AFTERCOOLED, 6 CYLINDERS, 587 BHP.</t>
  </si>
  <si>
    <t xml:space="preserve">1801 AVE OF THE STARS                                                           </t>
  </si>
  <si>
    <t xml:space="preserve">LESTER ROBERTA                                    </t>
  </si>
  <si>
    <t xml:space="preserve">(310) 2775711   </t>
  </si>
  <si>
    <t xml:space="preserve">PIVOTAL CENTURY PLAZA HOTEL, LLC        </t>
  </si>
  <si>
    <t>F20124</t>
  </si>
  <si>
    <t>ICE, CATERPILLAR, EMERGENCY, MODEL NO. 3508, AFTERCOOLED, 8 CYLINDERS, 1106 BHP.</t>
  </si>
  <si>
    <t xml:space="preserve">2025 AVENUE OF THE STARS                                                        </t>
  </si>
  <si>
    <t xml:space="preserve">HART VINCE                                        </t>
  </si>
  <si>
    <t xml:space="preserve">(310) 2772000   </t>
  </si>
  <si>
    <t>F20125</t>
  </si>
  <si>
    <t>ICE, DETROIT DIESEL, DIESEL, EMERGENCY, MODEL NO. 8163-7305, SERIAL NO. 16V-006196, TURBOCHARGED, 16 CYLINDERS, 960 BHP.</t>
  </si>
  <si>
    <t xml:space="preserve">PORT OF LONG BEACH                      </t>
  </si>
  <si>
    <t>D99985</t>
  </si>
  <si>
    <t>ICE, CUMMINS, 16 CYLINDERS, TURBOCHARGED, AFTERCOOLED, MODEL NO. KTA50-G3, 1850 BHP, DIESEL, EMERGENCY</t>
  </si>
  <si>
    <t xml:space="preserve">2615 PIER A STREET EAST                                                         </t>
  </si>
  <si>
    <t xml:space="preserve">ALLEN E DAN                                       </t>
  </si>
  <si>
    <t xml:space="preserve">(310) 5904140   </t>
  </si>
  <si>
    <t>F10234</t>
  </si>
  <si>
    <t>ICE, CUMMINS, 12 CYLINDERS, TURBOCHARGED, AFTERCOOLED, MODEL NO. QST30-G1 (750 KW), 1135 BHP, DIESEL, EMERGENCY</t>
  </si>
  <si>
    <t xml:space="preserve">2801 W OCEAN BLVD                                                               </t>
  </si>
  <si>
    <t xml:space="preserve">ALLEN E. DAN                                      </t>
  </si>
  <si>
    <t xml:space="preserve">PORT OF LONG BEACH, CA UNITED TERMINALS </t>
  </si>
  <si>
    <t>D75094</t>
  </si>
  <si>
    <t>ICE, CATERPILLAR, MODEL NO. 3406B DITA, DIESEL FUELED, EMERGENCY, SERIAL NO. 4R601559, 6 CYLINDERS, TURBOCHARGED AND AFTERCOOLED, 587 BHP.</t>
  </si>
  <si>
    <t xml:space="preserve">1200 PIER E ST                                                                  </t>
  </si>
  <si>
    <t xml:space="preserve">HOLTZ D. A.                                       </t>
  </si>
  <si>
    <t xml:space="preserve">(310) 5904172   </t>
  </si>
  <si>
    <t xml:space="preserve">PORT OF LOS ANGELES                     </t>
  </si>
  <si>
    <t xml:space="preserve">F9465 </t>
  </si>
  <si>
    <t>ICE, CATERPILLAR, 8 CYLINDER, TURBOCHARGED, AFTERCOOLED, MODEL NO. 3508 DITA (750 KW), SERIAL NO. 23Z06722, 1093 BHP, DIESEL, EMERGENCY</t>
  </si>
  <si>
    <t xml:space="preserve">3610 D0CK ST                                                                    </t>
  </si>
  <si>
    <t xml:space="preserve">GROVES RON                                        </t>
  </si>
  <si>
    <t xml:space="preserve">(310) 7323648   </t>
  </si>
  <si>
    <t xml:space="preserve">POWER SYSTEMS ASSOCIATES                </t>
  </si>
  <si>
    <t>F16882</t>
  </si>
  <si>
    <t>ICE, CATERPILLAR, 12 CYLINDERS, TURBOCHARGED, AFTERCOOLED, MODEL NO. 3512 DITA (1250 KW), SERIAL NO. 24Z08648, 1801 BHP, DIESEL, EMERGENCY</t>
  </si>
  <si>
    <t xml:space="preserve">SHEPHERD ROBERT                                   </t>
  </si>
  <si>
    <t xml:space="preserve">(562) 4636072   </t>
  </si>
  <si>
    <t>F19814</t>
  </si>
  <si>
    <t>ICE, PORTABLE, CATERPILLAR, MODEL NO. 3412C DITA, DIESEL FUELED, ELECTRICAL GENERATOR DRIVER, 12 CYLINDERS, TURBOCHARGED AND AFTERCOOLED, 1011 BHP.</t>
  </si>
  <si>
    <t>F22252</t>
  </si>
  <si>
    <t>ICE, PORTABLE, CATERPILLAR, MODEL NO. 3412XQ, SERIAL NO. 2WJO2415, DIESEL, TURBOCHARGED AND AFTERCOOLED, 1072 BHP</t>
  </si>
  <si>
    <t>3412 XQ</t>
  </si>
  <si>
    <t>F22253</t>
  </si>
  <si>
    <t>ICE, PORTABLE, CATERPILLAR, MODEL NO. 3412XQ, SERIAL NO. 2WJO2397, DIESEL, TURBOCHARGED AND AFTERCOOLED, 1072 BHP</t>
  </si>
  <si>
    <t>F22254</t>
  </si>
  <si>
    <t>ICE, PORTABLE, CATERPILLAR, MODEL NO. 3412 XQ, SERIAL NO. 2WJO2398, DIESEL, TURBOCHARGED AND AFTERCOOLED, 1072 BHP</t>
  </si>
  <si>
    <t>F22349</t>
  </si>
  <si>
    <t>ICE, PORTABLE, CATERPILLAR, MODEL NO. 3512 XQ, SERIAL NO. 24Z09243, DIESEL, TURBOCHARGED AND AFTERCOOLED, 1662 BHP</t>
  </si>
  <si>
    <t>3512 XQ</t>
  </si>
  <si>
    <t>F22350</t>
  </si>
  <si>
    <t xml:space="preserve"> ICE, DETROIT DIESEL, EMR, DIESEL, MODEL 7163-7305, 16 CYL, 750 BHP, TURBOCHARGED</t>
  </si>
  <si>
    <t>M62142</t>
  </si>
  <si>
    <t>ENGINE #2: ICE, DETROIT DIESEL, EMR, DIESEL, MODEL 9123-7030, 12 CYL, 650 BHP, TURBOCHARGED</t>
  </si>
  <si>
    <t>9123-7030</t>
  </si>
  <si>
    <t>ENGINE #1: ICE, DETROIT DIESEL, EMR, DIESEL, MODEL 7163-7305, 16 CYL, 750 BHP, TURBOCHARGED</t>
  </si>
  <si>
    <t xml:space="preserve">TRANSAMERICA OCCIDENTAL LIFE            </t>
  </si>
  <si>
    <t>D92548</t>
  </si>
  <si>
    <t xml:space="preserve">1150 S OLIVE ST                                                                 </t>
  </si>
  <si>
    <t xml:space="preserve">QUON ROBERT G                                     </t>
  </si>
  <si>
    <t xml:space="preserve">(213) 7422671   </t>
  </si>
  <si>
    <t xml:space="preserve">TRIAD HEALTH SERV,SHERMAN OAKS HOSP &amp; H </t>
  </si>
  <si>
    <t>D71063</t>
  </si>
  <si>
    <t>ICE, DETROIT DIESEL, MODEL NO. 7163-7305, SERIAL NO. DASE1218500, DIESEL FUELED, EMERGENCY, GENERATOR, TURBOCHARGED, 16 CYLINDERS, 750 BHP.</t>
  </si>
  <si>
    <t xml:space="preserve">4929 VAN NUYS BLVD                                                              </t>
  </si>
  <si>
    <t xml:space="preserve">HARPER TOM                                        </t>
  </si>
  <si>
    <t xml:space="preserve">(818) 9074591   </t>
  </si>
  <si>
    <t xml:space="preserve">TRIDENT CENTER A CALIF LTD PARTNERSHIP  </t>
  </si>
  <si>
    <t>D12539</t>
  </si>
  <si>
    <t>ICE, CATERPILLAR, DIESEL, EMERGENCY, MODEL NO. 3412, TURBOCHARGED, AFTERCOOLED, 12 CYLINDERS, 755 BHP</t>
  </si>
  <si>
    <t xml:space="preserve">11355 OLYMPIC BLVD                                                              </t>
  </si>
  <si>
    <t xml:space="preserve">DANIEL CHRIS                                      </t>
  </si>
  <si>
    <t xml:space="preserve">(310) 4781251   </t>
  </si>
  <si>
    <t xml:space="preserve">TRUST CO OF THE WEST/A I M/CAL STRS     </t>
  </si>
  <si>
    <t>F10976</t>
  </si>
  <si>
    <t>ICE, DETROIT DIESEL, MODEL 8V92TA, DIESEL, EMERGENCY, TURBOCHARGED, AFTERCOOLED, 8 CYLINDERS, 540 BHP</t>
  </si>
  <si>
    <t xml:space="preserve">9595 WILSHIRE BLVD #407                                                         </t>
  </si>
  <si>
    <t xml:space="preserve">GELBER MICHAEL                                    </t>
  </si>
  <si>
    <t xml:space="preserve">(310) 2739595   </t>
  </si>
  <si>
    <t xml:space="preserve">TRUST COMPANY OF THE WEST               </t>
  </si>
  <si>
    <t>D36197</t>
  </si>
  <si>
    <t>ICE, CUMMINS, DIESEL, EMERGENCY, MODEL NO. NTTA 855-G3, TURBOCHARGED, AFTERCOOLED, 6 CYLINDERS, 535 BHP</t>
  </si>
  <si>
    <t>NTTA855-G3</t>
  </si>
  <si>
    <t xml:space="preserve">ECKER ANTHONY                                     </t>
  </si>
  <si>
    <t xml:space="preserve">TUNTEX PROPERTIES INC,UNIV HILTON HOTEL </t>
  </si>
  <si>
    <t>D64732</t>
  </si>
  <si>
    <t>ICE, CATERPILLAR, 12 CYLINDERS, TURBOCHARGED, AFTERCOOLED, MODEL NO. 3412 DIT, SN 8170089,  515 BHP, DIESEL, EMERGENCY</t>
  </si>
  <si>
    <t xml:space="preserve">555 UNIVERSAL TERRACE PKY                                                       </t>
  </si>
  <si>
    <t xml:space="preserve">BYNDLOSS LESTER                                   </t>
  </si>
  <si>
    <t xml:space="preserve">(818) 5062500   </t>
  </si>
  <si>
    <t xml:space="preserve">TUSTIN HOSPITAL &amp; MEDICAL CENTER/PLAZA  </t>
  </si>
  <si>
    <t>F12555</t>
  </si>
  <si>
    <t>ICE, CATERPILLAR, 12 CYLINDERS, TURBOCHARGED, AFTERCOOLED, MODEL NO. 3412, 890 BHP, DIESEL, EMERGENCY</t>
  </si>
  <si>
    <t xml:space="preserve">14662 NEWPORT AVE                                                               </t>
  </si>
  <si>
    <t xml:space="preserve">WEST KEN                                          </t>
  </si>
  <si>
    <t xml:space="preserve">(714) 6692001   </t>
  </si>
  <si>
    <t xml:space="preserve">TUTOR-SALIBA/DUNN MANAGEMENT            </t>
  </si>
  <si>
    <t>D38483</t>
  </si>
  <si>
    <t>ICE, CATERPILLAR, DIESEL, EMERGENCY, MODEL 3412 TA, SERIAL NO. 81Z08955, TURBOCHARGED, AFTERCOOLED, 12 CYLINDERS, 890 BHP.</t>
  </si>
  <si>
    <t xml:space="preserve">600 W 7TH ST                                                                    </t>
  </si>
  <si>
    <t xml:space="preserve">REICHERT LARRY                                    </t>
  </si>
  <si>
    <t xml:space="preserve">(303) 9923223   </t>
  </si>
  <si>
    <t xml:space="preserve">RALPHS GROCERY CO                       </t>
  </si>
  <si>
    <t>D11977</t>
  </si>
  <si>
    <t>ICE, CATERPILLAR, DIESEL, EMR, MODEL 3412, 12 CYL, 800 BHP, TURBOCHARGED, AFTERCOOLED</t>
  </si>
  <si>
    <t xml:space="preserve">2201-15 S WILMINGTON AVE                                                        </t>
  </si>
  <si>
    <t xml:space="preserve">CHEN CAROL                                        </t>
  </si>
  <si>
    <t xml:space="preserve">(310) 8844288   </t>
  </si>
  <si>
    <t>D96648</t>
  </si>
  <si>
    <t>ICE, CATERPILLAR, DIESEL, EMR, MODEL 3508, 16 CYL, 1200 BHP, TURBOCHARGED, AFTERCOOLED</t>
  </si>
  <si>
    <t xml:space="preserve">1500 EASTRIDGE AVE                                                              </t>
  </si>
  <si>
    <t>D96649</t>
  </si>
  <si>
    <t>EMERGENCY, ICE, CATERPILLAR, MODEL NO. 3508, DIESEL, 1200 HP, SIXTEEN CYLINDERS, LEAN BURN, TURBOCHARGED AND AFTERCOOLED</t>
  </si>
  <si>
    <t xml:space="preserve">RANCHO CALIFORNIA WATER DISTRICT        </t>
  </si>
  <si>
    <t>D47327</t>
  </si>
  <si>
    <t>ICE, CATERPILLAR, MODEL NO. 3512 SITA, RICH BURN, TURBOCHARGED, AFTERCOOLED, 12 CYLINDERS, FOUR STROKE CYCLE, 795 BHP, AT 1200 RPM, ONE EXHAUST WITH A HOUSTON DENOX CATALYTIC CONVERTER, DRIVING A 550 KW EMERGENCY ELECTRICAL GENERATOR, CATERPILLAR, MODEL SR4.</t>
  </si>
  <si>
    <t>3512 SITA</t>
  </si>
  <si>
    <t xml:space="preserve">41520 MARGARITA RD NORMA MARSHALL PUMP STATION                                  </t>
  </si>
  <si>
    <t xml:space="preserve">OERTEL BOB                                        </t>
  </si>
  <si>
    <t xml:space="preserve">(714) 4723505   </t>
  </si>
  <si>
    <t>D91310</t>
  </si>
  <si>
    <t>ICE, WAUKESHA, MODEL NO. VHP36000GSI, SERIAL NO. G48693, NATURAL GAS FUELED, EMERGENCY, ELECTRICAL GENERATOR DRIVER, RICH BURN, TURBOCHARGED, INTERCOOLED, 6 CYLINDERS, 863 BHP, EQUIPPED WITH AN AUTOMATIC AIR/FUEL RATIO CONTROLLER.</t>
  </si>
  <si>
    <t>VHP36000GSI</t>
  </si>
  <si>
    <t xml:space="preserve">26266 WASHINGTON ST                                                             </t>
  </si>
  <si>
    <t xml:space="preserve">MURRIETA                 </t>
  </si>
  <si>
    <t xml:space="preserve">WEBSTER ANDREW                                    </t>
  </si>
  <si>
    <t xml:space="preserve">(909) 6764101   </t>
  </si>
  <si>
    <t>D73919</t>
  </si>
  <si>
    <t>ICE, CATERPILLAR, MODEL NO. 3512 DITA, EMERGENCY, DIESEL, V-12, FOUR CYCLE, TURBOCHARGED AND AFTERCOOLED, 1801 BHP.</t>
  </si>
  <si>
    <t>D73920</t>
  </si>
  <si>
    <t xml:space="preserve">RANCHO SAN ANTONIO MED CTR              </t>
  </si>
  <si>
    <t>D28896</t>
  </si>
  <si>
    <t>ICE, CUMMINS, DIESEL, EMR, MODEL NTTA855-GS2, 6 CYL, 535 BHP, TURBOCHARGED, AFTERCOOLED</t>
  </si>
  <si>
    <t xml:space="preserve">7777 MILLIKEN                                                                   </t>
  </si>
  <si>
    <t xml:space="preserve">SANCHEZ MARK                                      </t>
  </si>
  <si>
    <t xml:space="preserve">(714) 8798932   </t>
  </si>
  <si>
    <t xml:space="preserve">RAYTHEON SYSTEMS COMPANY                </t>
  </si>
  <si>
    <t>F19059</t>
  </si>
  <si>
    <t>ICE (LOCATED IN BUILDING R1-ESN), EMERGENCY FIRE, DIESEL FUEL, DETROIT DIESEL, MODEL 12V-71T, 630 HP, WITH A TURBOCHARGER.</t>
  </si>
  <si>
    <t xml:space="preserve">1970 E IMPERIAL HWY                                                             </t>
  </si>
  <si>
    <t xml:space="preserve">SILLAT UVE                                        </t>
  </si>
  <si>
    <t xml:space="preserve">(310) 6167316   </t>
  </si>
  <si>
    <t xml:space="preserve">RCN TELECOM SERVICES CALIFORNIA         </t>
  </si>
  <si>
    <t>F34512</t>
  </si>
  <si>
    <t>ICE, CATERPILLAR, MODEL NO. 3512 DITA, DIESEL, TURBOCHARGED AND AFTERCOOLED, RATED AT 1801 BHP, EMERGENCY</t>
  </si>
  <si>
    <t xml:space="preserve">1059 BEDMAR ST                                                                  </t>
  </si>
  <si>
    <t xml:space="preserve">FAUSHER CRAIG                                     </t>
  </si>
  <si>
    <t xml:space="preserve">(650) 7032209   </t>
  </si>
  <si>
    <t xml:space="preserve">RED LION HOTEL - GLENDALE               </t>
  </si>
  <si>
    <t>D63652</t>
  </si>
  <si>
    <t>ICE, DETROIT DIESEL, MODEL NO. 8163-7416, DIESEL FUELED, EMERGENCY, TURBOCHARGED, AFTERCOOLED, 16 CYLINDERS, 1170 BHP.</t>
  </si>
  <si>
    <t xml:space="preserve">100 W GLENOAKS BLVD                                                             </t>
  </si>
  <si>
    <t xml:space="preserve">GLEAVE RICHARD                                    </t>
  </si>
  <si>
    <t xml:space="preserve">(818) 9565466   </t>
  </si>
  <si>
    <t xml:space="preserve">REDLANDS CITY, MUN UTILITIES DEPT       </t>
  </si>
  <si>
    <t>F14291</t>
  </si>
  <si>
    <t>ICE, CUMMINS, DIESEL-FUELED, EMERGENCY, MODEL NO. KTA19-G2, TURBOCHARGED, AFTERCOOLED, 6 CYLINDERS, 600 BHP.</t>
  </si>
  <si>
    <t xml:space="preserve">955 PARK DR                                                                     </t>
  </si>
  <si>
    <t xml:space="preserve">DICKEY STEPHEN C                                  </t>
  </si>
  <si>
    <t xml:space="preserve">(909) 7987698   </t>
  </si>
  <si>
    <t xml:space="preserve">REDLANDS COMMUNITY HOSPITAL             </t>
  </si>
  <si>
    <t>F25818</t>
  </si>
  <si>
    <t>ICE, CATERPILLAR, MODEL 3508B, DIESEL, TWELVE CYLINDERS, TURBOCHARGED AND AFTERCOOLED, RATED AT 1502 BHP, EMERGENCY</t>
  </si>
  <si>
    <t>3508B</t>
  </si>
  <si>
    <t xml:space="preserve">350 TERRACINA BLVD                                                              </t>
  </si>
  <si>
    <t>92373-4897</t>
  </si>
  <si>
    <t xml:space="preserve">MADSEN BRIAN G                                    </t>
  </si>
  <si>
    <t xml:space="preserve">(909) 3356437   </t>
  </si>
  <si>
    <t xml:space="preserve">REGATTA SEASIDE H O A                   </t>
  </si>
  <si>
    <t>F33887</t>
  </si>
  <si>
    <t>ICE, CATERPILLAR, 12 CYLINDERS, TURBOCHARGED, AFTERCOOLED, MODEL NO. 3412 DITTA (600 KW), SERIAL NO. 81Z24072, 896 BHP, DIESEL-FUELED, DRIVING AN EMERGENCY ELECTRICAL GENERATOR.</t>
  </si>
  <si>
    <t xml:space="preserve">13600 MARINA POINTE DR                                                          </t>
  </si>
  <si>
    <t xml:space="preserve">MARINA DEL REY           </t>
  </si>
  <si>
    <t xml:space="preserve">DE SILVA GEOFFREY                                 </t>
  </si>
  <si>
    <t xml:space="preserve">(310) 5778776   </t>
  </si>
  <si>
    <t xml:space="preserve">REICHHOLD INC                           </t>
  </si>
  <si>
    <t>F33833</t>
  </si>
  <si>
    <t>ICE, EMERGENCY, SERIAL NO. 4ZR03668, DIESEL FUEL, CATERPILLAR, MODEL 3406, WITH AFTERCOOLER, TURBOCHARGER, 587 BHP.</t>
  </si>
  <si>
    <t xml:space="preserve">237 S MOTOR AVE                                                                 </t>
  </si>
  <si>
    <t xml:space="preserve">AZUSA                    </t>
  </si>
  <si>
    <t xml:space="preserve">DANIELS JOHN                                      </t>
  </si>
  <si>
    <t xml:space="preserve">(626) 3344974   </t>
  </si>
  <si>
    <t xml:space="preserve">RIALTO CITY                             </t>
  </si>
  <si>
    <t>D31476</t>
  </si>
  <si>
    <t>ICE, CATERPILLAR, 6 CYLINDERS, TURBOCHARGED, AFTERCOOLED, DIESEL, MODEL NO. 3412 DI, SERIAL NO. PA-2038, 749 BHP,  EMERGENCY</t>
  </si>
  <si>
    <t xml:space="preserve">501 E SANTA ANA AVE                                                             </t>
  </si>
  <si>
    <t xml:space="preserve">WELLINGTON RICHARD                                </t>
  </si>
  <si>
    <t xml:space="preserve">(909) 8202610   </t>
  </si>
  <si>
    <t xml:space="preserve">RIVERSIDE CITY, SEWAGE SYSTEMS DIV      </t>
  </si>
  <si>
    <t>D98521</t>
  </si>
  <si>
    <t>ICE, CATERPILLAR, 8 CYLINDERS, TURBOCHARGED, AFTERCOOLED, MODEL NO. 3508 DITA (800 KW), 1199 BHP, DIESEL, EMERGENCY</t>
  </si>
  <si>
    <t xml:space="preserve">3930 PIERCE ST                                                                  </t>
  </si>
  <si>
    <t xml:space="preserve">CRUZE ROD                                         </t>
  </si>
  <si>
    <t xml:space="preserve">(909) 3516011   </t>
  </si>
  <si>
    <t xml:space="preserve">RIVERSIDE CO., BOARD OF SUPERVISORS     </t>
  </si>
  <si>
    <t>D39561</t>
  </si>
  <si>
    <t>ICE, FAIRBANKS MORSE, MODEL B350-400D-54, SERIAL NO. 79088/FM, TURBOCHARGED, INTERCOOLED, 536 BHP, DIESEL, EMERGENCY.</t>
  </si>
  <si>
    <t>Fairbanks Morse</t>
  </si>
  <si>
    <t>B340-400D-54</t>
  </si>
  <si>
    <t xml:space="preserve">46209 OASIS ST                                                                  </t>
  </si>
  <si>
    <t xml:space="preserve">BURT E.                                           </t>
  </si>
  <si>
    <t xml:space="preserve">(714) 2754838   </t>
  </si>
  <si>
    <t>F12908</t>
  </si>
  <si>
    <t>ICE, CATERPILLAR, 6 CYLINDERS, TURBOCHARGED, AFTERCOOLED, MODEL NO. 3406 DITA (400 KW), 587 BHP, DIESEL, EMERGENCY</t>
  </si>
  <si>
    <t xml:space="preserve">4050 MAIN ST                                                                    </t>
  </si>
  <si>
    <t xml:space="preserve">ALFRED JOHN                                       </t>
  </si>
  <si>
    <t xml:space="preserve">(714) 2754844   </t>
  </si>
  <si>
    <t xml:space="preserve">RIVERSIDE CO., GSA BUILDING SERVICES    </t>
  </si>
  <si>
    <t>D13498</t>
  </si>
  <si>
    <t>ICE, CATERPILLAR, DIESEL, MODEL 3512, 1800 HP, 1250 KW</t>
  </si>
  <si>
    <t xml:space="preserve">4000 ORANGE ST                                                                  </t>
  </si>
  <si>
    <t xml:space="preserve">FONG ART                                          </t>
  </si>
  <si>
    <t xml:space="preserve">(909) 2754482   </t>
  </si>
  <si>
    <t>D13497</t>
  </si>
  <si>
    <t xml:space="preserve">RIVERSIDE CO.,GEN SERV AGENCY/BLDG SERV </t>
  </si>
  <si>
    <t>D52838</t>
  </si>
  <si>
    <t>ICE, DETROIT DIESEL, DIESEL, EMERGENCY, MODEL NO. 16V159TIB, LEAN BURN, TURBOCHARGED, INTERCOOLED, 16 CYLINDERS, TWO CYCLE, 2340 BHP AT 1800 RPM.</t>
  </si>
  <si>
    <t>16V-159TIB</t>
  </si>
  <si>
    <t xml:space="preserve">30755 AULD RD                                                                   </t>
  </si>
  <si>
    <t>92362-4199</t>
  </si>
  <si>
    <t xml:space="preserve">DAVIS DAVE                                        </t>
  </si>
  <si>
    <t xml:space="preserve">(909) 2754800   </t>
  </si>
  <si>
    <t>F35865</t>
  </si>
  <si>
    <t>ICE, CATERPILLAR, 6 CYLINDERS, TURBOCHARGED, AFTERCOOLED, MODEL NO. 3406 DITA (300 KW), 443 BHP, DIESEL, EMERGENCY</t>
  </si>
  <si>
    <t xml:space="preserve">RIVERSIDE HEALTHCARE SYSTEM L.L.C.      </t>
  </si>
  <si>
    <t xml:space="preserve">F9301 </t>
  </si>
  <si>
    <t>ICE, CATERPILLAR, 8 CYLINDERS, TURBOCHARGED, AFTERCOOLED, MODEL NO. 3508 DITA (700 KW), SERIAL NO. 23Z05945, 1025 BHP, DIESEL, EMERGENCY</t>
  </si>
  <si>
    <t xml:space="preserve">4445 MAGNOLIA AVE                                                               </t>
  </si>
  <si>
    <t xml:space="preserve">KRULL ROBERT                                      </t>
  </si>
  <si>
    <t xml:space="preserve">(909) 7883150   </t>
  </si>
  <si>
    <t xml:space="preserve">F9299 </t>
  </si>
  <si>
    <t>ICE NO. 2, CATERPILLAR, DIESEL, MODEL NO. 3508, 1106 HP, DRIVING A 750 KW ELECTRIC GENERATOR</t>
  </si>
  <si>
    <t xml:space="preserve">F9298 </t>
  </si>
  <si>
    <t xml:space="preserve">RMS FOUNDATION INC                      </t>
  </si>
  <si>
    <t>D76919</t>
  </si>
  <si>
    <t>ICE, DETROIT DIESEL, DIESEL, EMERGENCY, MODEL NO. 7163-7300, TURBOCHARGED, AFTERCOOLED, 16 CYLINDERS, 645 BHP.</t>
  </si>
  <si>
    <t>7163-7300</t>
  </si>
  <si>
    <t xml:space="preserve">1256 S PIER J AVE                                                               </t>
  </si>
  <si>
    <t xml:space="preserve">GONZALEZ JORGE                                    </t>
  </si>
  <si>
    <t xml:space="preserve">(310) 4991660   </t>
  </si>
  <si>
    <t xml:space="preserve">RUBIDOUX COMMUNITY SERVICES DISTRICT    </t>
  </si>
  <si>
    <t>D91543</t>
  </si>
  <si>
    <t>ICE, CATERPILLAR, 12 CYLINDERS, TURBOCHARGED, AFTERCOOLED, MODEL NO. 3412 DITTA (700 KW), 1025 BHP, DIESEL, EMERGENCY</t>
  </si>
  <si>
    <t xml:space="preserve">2100 FLEETWOOD DR                                                               </t>
  </si>
  <si>
    <t xml:space="preserve">RUBIDOUX                 </t>
  </si>
  <si>
    <t xml:space="preserve">LOPEZ DAVID                                       </t>
  </si>
  <si>
    <t xml:space="preserve">(909) 6847580   </t>
  </si>
  <si>
    <t xml:space="preserve">RUBIO CANON LAND &amp; WATER ASSOCIATION    </t>
  </si>
  <si>
    <t>F10801</t>
  </si>
  <si>
    <t>ICE, CUMMINS, 6 CYLINDERS, TURBOCHARGED, AFTERCOOLED, MODEL NO. KTA19-G4, 755 BHP, DIESEL, EMERGENCY</t>
  </si>
  <si>
    <t xml:space="preserve">263 W FIGUEROA DR                                                               </t>
  </si>
  <si>
    <t xml:space="preserve">ALTADENA                 </t>
  </si>
  <si>
    <t xml:space="preserve">WEAVER WALLEY                                     </t>
  </si>
  <si>
    <t xml:space="preserve">(818) 7970509   </t>
  </si>
  <si>
    <t xml:space="preserve">S HOPE ST ASSOC,400 S HOPE ST MGT CO   </t>
  </si>
  <si>
    <t>D64538</t>
  </si>
  <si>
    <t xml:space="preserve">ICE, CUMMINS, DIESEL,  EMR, MODEL VT1710GS, SN 37103290, TURBOCHARGED, AFTERCOOLED, 12 CYL, 685 BHP </t>
  </si>
  <si>
    <t>VT1710GS</t>
  </si>
  <si>
    <t xml:space="preserve">400 S HOPE ST                                                                   </t>
  </si>
  <si>
    <t xml:space="preserve">CROTHERS TOM                                      </t>
  </si>
  <si>
    <t xml:space="preserve">(213) 6273255   </t>
  </si>
  <si>
    <t xml:space="preserve">SADDLEBACK COMMUNITY COLLEGE DISTRICT   </t>
  </si>
  <si>
    <t>F15339</t>
  </si>
  <si>
    <t>ICE, DETROIT DIESEL, 8 CYLINDERS, TURBOCHARGED, AFTERCOOLED, MODEL NO. 8083-7405 (8V-92TA), SERIAL NO. 396432, 568 BHP, DIESEL-FUELED, DRIVING AN EMERGENCY ELECTRICAL GENERATOR</t>
  </si>
  <si>
    <t xml:space="preserve">28000 MARGUERITE PKY                                                            </t>
  </si>
  <si>
    <t>92692-3699</t>
  </si>
  <si>
    <t xml:space="preserve">OZUROVICH JOHN                                    </t>
  </si>
  <si>
    <t xml:space="preserve">(714) 8314880   </t>
  </si>
  <si>
    <t xml:space="preserve">SADDLEBACK MEMORIAL MEDICAL CENTER      </t>
  </si>
  <si>
    <t>M38477</t>
  </si>
  <si>
    <t>DIESEL, EMERGENCY, LAWLESS, DETROIT DIESEL, 675 HP, SERIAL NO. 91237005, DRIVING A 500 KW GENERATOR.</t>
  </si>
  <si>
    <t xml:space="preserve">24451 HEALTH CENTER DR                                                          </t>
  </si>
  <si>
    <t xml:space="preserve">STEWART JAMES                                     </t>
  </si>
  <si>
    <t xml:space="preserve">(949) 4523430   </t>
  </si>
  <si>
    <t>D09398</t>
  </si>
  <si>
    <t>ICE, DETROIT DIESEL, EMERGENCY, DIESEL, MODEL 9123-7306, SN 12E0008872, 12 CYL,  1515 HP, TURBOCHARGED, INTERCOOLED</t>
  </si>
  <si>
    <t xml:space="preserve">SAINT JOHN'S HOSPITAL &amp; HEALTH CENTER   </t>
  </si>
  <si>
    <t xml:space="preserve">F3000 </t>
  </si>
  <si>
    <t>ICE, CATERPILLAR, 12 CYLINDERS, TURBOCHARGED, AFTERCOOLED, MODEL NO. 3512 DITA (1250 KW), 1801 BHP, DIESEL, EMERGENCY</t>
  </si>
  <si>
    <t xml:space="preserve">1328 22ND ST                                                                    </t>
  </si>
  <si>
    <t xml:space="preserve">ARNOLD NANCY                                      </t>
  </si>
  <si>
    <t xml:space="preserve">(310) 8298139   </t>
  </si>
  <si>
    <t xml:space="preserve">SAINT MARY MEDICAL CENTER               </t>
  </si>
  <si>
    <t>D66586</t>
  </si>
  <si>
    <t>ICE, CATERPILLAR, COMPRESSION IGNITION, FOUR CYCLE, TURBOCHARGED AND AFTERCOOLED, LEAN BURN, EIGHT CYLINDERS, MODEL NO. 3408, 604 BHP, DIESEL-FUELED, EMERGENCY</t>
  </si>
  <si>
    <t xml:space="preserve">1050 LINDEN AVE                                                                 </t>
  </si>
  <si>
    <t xml:space="preserve">DAY BOB R.                                        </t>
  </si>
  <si>
    <t xml:space="preserve">(310) 4919185   </t>
  </si>
  <si>
    <t>D66587</t>
  </si>
  <si>
    <t>D66588</t>
  </si>
  <si>
    <t xml:space="preserve">SAJAHTERA INC, THE BEVERLY HILLS HOTEL  </t>
  </si>
  <si>
    <t>D87697</t>
  </si>
  <si>
    <t>ICE, 8 CYLINDERS, CATERPILLAR, TURBOCHARGED, AFTERCOOLED, MODEL NO. 3508 DITA (800 KW), 1199 BHP, DIESEL, EMERGENCY</t>
  </si>
  <si>
    <t xml:space="preserve">9641 SUNSET BLVD                                                                </t>
  </si>
  <si>
    <t xml:space="preserve">KIRK MARK J                                       </t>
  </si>
  <si>
    <t xml:space="preserve">(310) 2812915   </t>
  </si>
  <si>
    <t>SAN ANTONIO COMMUNITY HOSP,IPSA MED BLDG</t>
  </si>
  <si>
    <t>D99731</t>
  </si>
  <si>
    <t>ICE, DETROIT DIESEL, 12 CYLINDERS, TURBOCHARGED, AFTERCOOLED, MODEL NO. 8123-7416 (12V-92TA), 947 BHP, DIESEL, EMERGENCY</t>
  </si>
  <si>
    <t xml:space="preserve">901 SAN BERNARDINO RD                                                           </t>
  </si>
  <si>
    <t xml:space="preserve">UPLAND                   </t>
  </si>
  <si>
    <t>91786-4992</t>
  </si>
  <si>
    <t>SANTILLI GENE</t>
  </si>
  <si>
    <t>(909) 9204963</t>
  </si>
  <si>
    <t xml:space="preserve">SAN ANTONIO COMMUNITY HOSPITAL          </t>
  </si>
  <si>
    <t>F15352</t>
  </si>
  <si>
    <t>DETROIT DIESEL, MODEL NO. 8123-7416, DIESEL, EMERGENCY, 600 KW (800 HP), 12 CYLINDERS, TURBOCHARGED AND AFTERCOOLED, 947 BHP</t>
  </si>
  <si>
    <t xml:space="preserve">999 SAN BERNARDINO RD                                                           </t>
  </si>
  <si>
    <t>00180B</t>
  </si>
  <si>
    <t>E1867B</t>
  </si>
  <si>
    <t>DIESEL, EMERGENCY, DETROIT DIESEL, MODEL NO. 9123-7305, SERIAL NO. 12E2607, 600 KW (800 HP)</t>
  </si>
  <si>
    <t>00181B</t>
  </si>
  <si>
    <t>E1868B</t>
  </si>
  <si>
    <t>DIESEL, EMERGENCY, DETROIT DIESEL, MODEL NO. 9123-7305, SERIAL NO. 12E2606, 600 KW (800 HP)</t>
  </si>
  <si>
    <t>01410E</t>
  </si>
  <si>
    <t>E03670</t>
  </si>
  <si>
    <t>DIESEL, EMERGENCY, DETROIT DIESEL, MODEL NO. 9123-7305, SERIAL NO. 12E5466, 600 KW (800 HP)</t>
  </si>
  <si>
    <t xml:space="preserve">SAN BERN CO., GLEN HELEN REHABIL CENTER </t>
  </si>
  <si>
    <t>F23998</t>
  </si>
  <si>
    <t>ICE, CATERPILLAR, 6 CYLINDERS, TURBOCHARGED, AFTERCOOLED, MODEL NO. 3406 DITA (350 KW), 519 BHP, DIESEL, EMERGENCY</t>
  </si>
  <si>
    <t xml:space="preserve">18000 W INSTITUTION RD                                                          </t>
  </si>
  <si>
    <t xml:space="preserve">ANDERSON SUSAN                                    </t>
  </si>
  <si>
    <t xml:space="preserve">(909) 8802656   </t>
  </si>
  <si>
    <t xml:space="preserve">SAN BERN. CO, EPWA COUNTY JAIL          </t>
  </si>
  <si>
    <t>02390E</t>
  </si>
  <si>
    <t>E05055</t>
  </si>
  <si>
    <t>EMERGENCY, ICE NO. 1, CUMMINS, MODEL VTA1710PG700, 635 HP ENGINE, V-12 TYPE, DIESEL</t>
  </si>
  <si>
    <t>VTA1710-PG700</t>
  </si>
  <si>
    <t xml:space="preserve">630 E RIALTO AVE                                                                </t>
  </si>
  <si>
    <t>02391E</t>
  </si>
  <si>
    <t>E05056</t>
  </si>
  <si>
    <t>EMERGENCY, ICE NO. 2, CUMMINS, MODEL VTA1710PG700, 635 HP ENGINE, V-12 TYPE, DIESEL</t>
  </si>
  <si>
    <t xml:space="preserve">SAN BERN. CO, LAKE ARROWHEAD FIRE DEPT  </t>
  </si>
  <si>
    <t>D33796</t>
  </si>
  <si>
    <t>ICE, GM, MODEL NO. I-499, TURBOCHARGED, AFTERCOOLED, SIX CYLINDERS, FOUR CYCLE, 672 BHP EMERGENCY STAND-BY.</t>
  </si>
  <si>
    <t>I-499</t>
  </si>
  <si>
    <t xml:space="preserve">301 S HWY 173                                                                   </t>
  </si>
  <si>
    <t xml:space="preserve">LAKE ARROWHEAD           </t>
  </si>
  <si>
    <t xml:space="preserve">THOMPSON WAYNE                                    </t>
  </si>
  <si>
    <t xml:space="preserve">(714) 3378586   </t>
  </si>
  <si>
    <t xml:space="preserve">SAN BERNARDINO CITY MUN WATER DEPT      </t>
  </si>
  <si>
    <t>F37194</t>
  </si>
  <si>
    <t>ICE, CATERPILLAR, 12 CYLINDERS, TURBOCHARGED, AFTERCOOLED, MODEL NO. 3412, 700 BHP, DIESEL, EMERGENCY</t>
  </si>
  <si>
    <t xml:space="preserve">PERRY JOHN A                                      </t>
  </si>
  <si>
    <t xml:space="preserve">(909) 3845502   </t>
  </si>
  <si>
    <t>SAN BERNARDINO CITY MUN WATER DEPT (WRP)</t>
  </si>
  <si>
    <t>D65026</t>
  </si>
  <si>
    <t>ICE, EMERGENCY, DIESEL, CATERPILLAR, MODEL NO. 3412 TA, 558 HP, DRIVING A 794 KW STANDBY GENERATOR.</t>
  </si>
  <si>
    <t xml:space="preserve">399 CHANDLER PL                                                                 </t>
  </si>
  <si>
    <t xml:space="preserve">PERRY JOHN                                        </t>
  </si>
  <si>
    <t xml:space="preserve">(909) 3845108   </t>
  </si>
  <si>
    <t>D67815</t>
  </si>
  <si>
    <t>ICE, WAUKESHA, MODEL NO. L5108GL, 750 BHP, 880 RPM, TURBOCHARGED, DIGESTER GAS FIRED (NATURAL GAS STANDBY).</t>
  </si>
  <si>
    <t>L5108 GL</t>
  </si>
  <si>
    <t>D67816</t>
  </si>
  <si>
    <t>ICE, WAUKESHA, MODEL NO. L5108GL (OR SUPERIOR MODEL 5GTLB), 750 BHP, 880 RPM, TURBOCHARGED, DIGESTER GAS FIRED (NATURAL GAS STANDBY).</t>
  </si>
  <si>
    <t>F37155</t>
  </si>
  <si>
    <t>ICE, 16 CYLINDERS, CATERPILLAR, TURBOCHARGED, AFTERCOOLED, MODEL NO. 3516DITA (1500 KW), SERIAL NO. 25Z02986, 2151 BHP, FUELED,  EMERGENCY GENERATOR.</t>
  </si>
  <si>
    <t xml:space="preserve">SAN BERNARDINO CITY, WATER &amp; POWER DEPT </t>
  </si>
  <si>
    <t>F37183</t>
  </si>
  <si>
    <t>ICE, CATERPILLAR, 12 CYLINDERS, TURBOCHARGED, AFTERCOOLED, MODEL NO. 3412 (500 KW), 658 BHP, DIESEL, EMERGENCY GENERATOR.</t>
  </si>
  <si>
    <t xml:space="preserve">1302 SOUTH E ST                                                                 </t>
  </si>
  <si>
    <t xml:space="preserve">NORTON DUANE                                      </t>
  </si>
  <si>
    <t xml:space="preserve">(714) 3845108   </t>
  </si>
  <si>
    <t xml:space="preserve">SAN BERNARDINO CO.                      </t>
  </si>
  <si>
    <t>D62573</t>
  </si>
  <si>
    <t>ICE NO. 1, CATERPILLAR, DIESEL, MODEL NO. 3508, TURBOCHARGED, AFTERCOOLED, EIGHT CYLINDERS, FOUR CYCLE, SERIAL NO. 237O2861, 1196 HP, DUAL EXHAUST, DRIVING A 892 KW ELECTRIC GENERATOR</t>
  </si>
  <si>
    <t xml:space="preserve">9500 ETIWANDA AVE                                                               </t>
  </si>
  <si>
    <t xml:space="preserve">OGDEN JIM                                         </t>
  </si>
  <si>
    <t>D62572</t>
  </si>
  <si>
    <t>ICE NO. 2, CATERPILLAR, DIESEL, MODEL NO. 3508, TURBOCHARGED, AFTERCOOLED, EIGHT CYLINDERS, FOUR CYCLE, SERIAL NO. 237O2854, 1196 HP, DUAL EXHAUST, DRIVING A 892 KW ELECTRIC GENERATOR</t>
  </si>
  <si>
    <t>D62574</t>
  </si>
  <si>
    <t>ICE, NO. 3, CATERPILLAR, DIESEL FUELED, MODEL NO. 3508, TURBOCHARGED, AFTERCOOLED, EIGHT CYLINDERS, FOUR CYCLE, ENGINE, SERIAL NO. 23702858, 1196 HP, DUAL EXHAUST, 800 KW.</t>
  </si>
  <si>
    <t xml:space="preserve">SAN BERNARDINO INTL AIRPORT AUTHORITY   </t>
  </si>
  <si>
    <t>D81022</t>
  </si>
  <si>
    <t>ICE, CUMMINS, MODEL NO. VTA1710G, DIESEL FUELED, EMERGENCY ELECTRICAL GENERATOR DRIVER, 12 CYLINDERS, TURBOCHARGED, AND AFTERCOOLED, 800 BHP.</t>
  </si>
  <si>
    <t xml:space="preserve">1840 CENTURY PARK EAST                                                          </t>
  </si>
  <si>
    <t xml:space="preserve">(310) 5566850   </t>
  </si>
  <si>
    <t xml:space="preserve">OLS ENERGY-CHINO C/O GPU INT'L., INC.   </t>
  </si>
  <si>
    <t>D61738</t>
  </si>
  <si>
    <t>ICE, DETROIT DIESEL ALLISON, NO. 2 DIESEL, COMPRESSION IGNITION, TURBOCHARGED, V-16 TYPE, MODEL NO. 16V71T, 830 HP, DRIVING A 610 KW EMERGENCY GENERATOR</t>
  </si>
  <si>
    <t>16V-71T</t>
  </si>
  <si>
    <t xml:space="preserve">5601 EUCALYPTUS AVE                                                             </t>
  </si>
  <si>
    <t xml:space="preserve">WIMER BILL                                        </t>
  </si>
  <si>
    <t xml:space="preserve">(909) 5970338   </t>
  </si>
  <si>
    <t xml:space="preserve">OMNITRANS                               </t>
  </si>
  <si>
    <t>F18319</t>
  </si>
  <si>
    <t>ICE, CATERPILLAR MODEL NO. G3412TA, SERIAL 7DB01374, SPARK IGNITED, FOUR CYCLE, TWELVE CYLINDER, NATURAL GAS FIRED, 607 BHP, DRIVING A NATURAL GAS FUEL COMPRESSOR, TURBOCHARGED/AFTERCOOLED, THREE WAY CATALYTIC CONVERTER, MIRATECH, MODEL NO. MHS-362615-10-D2, AND AN AIR TO FUEL RATIO CONTROLLER.</t>
  </si>
  <si>
    <t>G3412 TA</t>
  </si>
  <si>
    <t xml:space="preserve">1700 W 5TH ST                                                                   </t>
  </si>
  <si>
    <t xml:space="preserve">RODEMEYER BOB                                     </t>
  </si>
  <si>
    <t xml:space="preserve">(909) 8890811   </t>
  </si>
  <si>
    <t>F18320</t>
  </si>
  <si>
    <t>ICE, CATERPILLAR MODEL NO. G3412TA, SERIAL 7DB01387, SPARK IGNITED, FOUR CYCLE, TWELVE CYLINDER, NATURAL GAS FIRED, 607 BHP, DRIVING A NATURAL GAS FUEL COMPRESSOR, TURBOCHARGED/AFTERCOOLED, THREE WAY CATALYTIC CONVERTER, MIRATECH, MODEL NO. MHS-362615-10-D2, AND AN AIR TO FUEL RATIO CONTROLLER.</t>
  </si>
  <si>
    <t>F17921</t>
  </si>
  <si>
    <t>ICE, VOLVO, MODEL NO. TAD1232GE, SERIAL NO. 2120246596, DIESEL FUELED, EMERGENCY ELECTRICAL GENERATION, 6 CYLINDERS, TURBOCHARGED AND AFTERCOOLED, 533 BHP.</t>
  </si>
  <si>
    <t>TAD1232GE</t>
  </si>
  <si>
    <t xml:space="preserve">ONTARIO CITY, PUBLIC SERVICE DEPT       </t>
  </si>
  <si>
    <t>F18299</t>
  </si>
  <si>
    <t>ICE, CATERPILLAR, 6 CYLINDERS, TURBOCHARGED, AFTERCOOLED, MODEL NO. 3406 DITA (400 KW),  587 BHP, DIESEL, EMERGENCY GENERATOR</t>
  </si>
  <si>
    <t xml:space="preserve">1425 S BON VIEW AVE                                                             </t>
  </si>
  <si>
    <t xml:space="preserve">WATSON DENNIS                                     </t>
  </si>
  <si>
    <t xml:space="preserve">(714) 3912507   </t>
  </si>
  <si>
    <t xml:space="preserve">ONTARIO HOTEL ASSOCIATES, LLC           </t>
  </si>
  <si>
    <t xml:space="preserve">F5536 </t>
  </si>
  <si>
    <t>ICE, CATERPILLAR, DIESEL, EMERGENCY, MODEL NO. 3408, SERIAL NO. 78201834, TURBOCHARGED, AFTERCOOLED, 8 CYLINDERS, 600 BHP</t>
  </si>
  <si>
    <t xml:space="preserve">700 N HAVEN AVE                                                                 </t>
  </si>
  <si>
    <t xml:space="preserve">KRUG DALE                                         </t>
  </si>
  <si>
    <t xml:space="preserve">(909) 4811752   </t>
  </si>
  <si>
    <t xml:space="preserve">OPERATING ENGINEERS PENSION TRUST FUND  </t>
  </si>
  <si>
    <t>D33368</t>
  </si>
  <si>
    <t>ICE, CUMMINS, DIESEL, EMERGENCY, MODEL NO. VTA 28 G2, SERIAL NO. 680FDR7128JJ, 12 CYLINDERS, TURBOCHARGED AND AFTERCOOLED, 900 BHP</t>
  </si>
  <si>
    <t xml:space="preserve">301 N LAKE ST                                                                   </t>
  </si>
  <si>
    <t xml:space="preserve">MANNING BRUCE                                     </t>
  </si>
  <si>
    <t xml:space="preserve">(818) 3561009   </t>
  </si>
  <si>
    <t>ICE, CATERPILLAR, 6 CYLINDERS, TURBOCHARGED, AFTERCOOLED, MODEL NO. 3406 DITA (400 KW), SERIAL NO. 42R02450, 587 BHP, DIESEL, EMERGENCY GENERATOR</t>
  </si>
  <si>
    <t xml:space="preserve">ORANGE, COUNTY OF - SANITATION DISTRICT </t>
  </si>
  <si>
    <t>D11231</t>
  </si>
  <si>
    <t>ICE NO. 2, CATERPILLAR, COMPRESSION-IGNITION, FOUR-STROKE, TURBOCHARGED-AFTERCOOLED, V-12 TYPE, MODEL NO. 3512, SER. NO. 24Z01551, 1482 HP, DIESEL OIL-FIRED, DRIVING A 1000 KW EMERGENCY ELECTRIC GENERATOR.</t>
  </si>
  <si>
    <t xml:space="preserve">10844 ELLIS AVE                                                                 </t>
  </si>
  <si>
    <t xml:space="preserve">AHN TERRY                                         </t>
  </si>
  <si>
    <t xml:space="preserve">(714) 5937082   </t>
  </si>
  <si>
    <t>D11232</t>
  </si>
  <si>
    <t>LA CO DEPT HEALTH SRV,UCLA HARBOR MED HO</t>
  </si>
  <si>
    <t xml:space="preserve">1000 W CARSON ST BOX 499                                                        </t>
  </si>
  <si>
    <t xml:space="preserve">GUZMAN MANUEL E                                   </t>
  </si>
  <si>
    <t xml:space="preserve">(310) 2223301   </t>
  </si>
  <si>
    <t>F22167</t>
  </si>
  <si>
    <t>ICE, CATERPILLAR, DIESEL, EMERGENCY ELECTRICAL GENERATION,  MODEL 3516 DITA, 2000 KW,  12 CYL, TURBOCHARGED, AFTERCOOLED</t>
  </si>
  <si>
    <t>F22168</t>
  </si>
  <si>
    <t>F22169</t>
  </si>
  <si>
    <t>F22170</t>
  </si>
  <si>
    <t>LA CO HEALTH SERV, KING/DREW MEDICAL CTR</t>
  </si>
  <si>
    <t xml:space="preserve">F5227 </t>
  </si>
  <si>
    <t>ICE, CATERPILLAR, DIESEL, EMR,  MODEL 3516 DITA, 2847 BHP,  16 CYL, TURBOCHARGED, AFTERCOOLED</t>
  </si>
  <si>
    <t xml:space="preserve">12021 S WILMINGTON AVE                                                          </t>
  </si>
  <si>
    <t>90059-3019</t>
  </si>
  <si>
    <t xml:space="preserve">RICHARDSON EUGENE                                 </t>
  </si>
  <si>
    <t xml:space="preserve">(310) 6685096   </t>
  </si>
  <si>
    <t xml:space="preserve">F5228 </t>
  </si>
  <si>
    <t xml:space="preserve">F5229 </t>
  </si>
  <si>
    <t>ICE, DETROIT DIESEL, EMR, DIESEL,  MODEL 12V-149TIB, SN 12E10256, 1750 BHP,  12 CYL, TURBOCHARGED, AFTERCOOLED</t>
  </si>
  <si>
    <t>12V-149TIB</t>
  </si>
  <si>
    <t xml:space="preserve">F5231 </t>
  </si>
  <si>
    <t>ICE, DETROIT DIESEL, EMR, DIESEL,  MODEL 12V-149TIB, SN 12E10289, 1750 BHP,  12 CYL, TURBOCHARGED, AFTERCOOLED</t>
  </si>
  <si>
    <t xml:space="preserve">F5232 </t>
  </si>
  <si>
    <t>ICE, DETROIT DIESEL, EMR, DIESEL,  MODEL 16V-149TI, SN 16E0004733, 1540 BHP,  16 CYL, TURBOCHARGED, AFTERCOOLED</t>
  </si>
  <si>
    <t xml:space="preserve">LA CO. INTERNAL SERVICES DEPT           </t>
  </si>
  <si>
    <t>F16068</t>
  </si>
  <si>
    <t>ICE, DETROIT DIESEL, EMR, DIESEL, MODEL 6063-TK36, 410 KW, TURBOCHARGED, AFTERCOOLED</t>
  </si>
  <si>
    <t>6063-TK36</t>
  </si>
  <si>
    <t xml:space="preserve">29300 THE OLD RD                                                                </t>
  </si>
  <si>
    <t xml:space="preserve">SAUGUS                   </t>
  </si>
  <si>
    <t xml:space="preserve">WATTS DONALD A                                    </t>
  </si>
  <si>
    <t xml:space="preserve">(805) 2958423   </t>
  </si>
  <si>
    <t xml:space="preserve">LA CO., DEPT OF PUBLIC WORKS            </t>
  </si>
  <si>
    <t>D66360</t>
  </si>
  <si>
    <t>ICE, CATERPILLAR, DIESEL, EMR, MODEL 3412,  SN 81206113, 12 CYL, 750 BHP, TURBOCHARGED</t>
  </si>
  <si>
    <t xml:space="preserve">21418 FOUNTAIN SPRINGS RD                                                       </t>
  </si>
  <si>
    <t xml:space="preserve">HAMPTON TIMOTHEUS                                 </t>
  </si>
  <si>
    <t xml:space="preserve">(213) 2264156   </t>
  </si>
  <si>
    <t>LA CO., EL MONTE COMPREHENSIVE HEALTH CT</t>
  </si>
  <si>
    <t>D29195</t>
  </si>
  <si>
    <t>ICE, CUMMINS, DIESEL, EMR, MODEL KTA 3076-68, SN 59774, 16 CYL, 1490 BHP, TURBOCHARGED, AFTERCOOLED</t>
  </si>
  <si>
    <t>KTA3076-G8</t>
  </si>
  <si>
    <t xml:space="preserve">10953 RAMONA BLVD                                                               </t>
  </si>
  <si>
    <t xml:space="preserve">MALDONADO LINDA                                   </t>
  </si>
  <si>
    <t xml:space="preserve">(818) 5798311   </t>
  </si>
  <si>
    <t>LA CO., H. HUMPHREY COMPREHENSIVE HEALTH</t>
  </si>
  <si>
    <t xml:space="preserve">F9517 </t>
  </si>
  <si>
    <t>ICE, DETROIT DIESEL, EMR, DIESEL, MODEL 7123-7305, SN 12VA032285, 12 CYL, 510 BHP, TURBOCHARGED</t>
  </si>
  <si>
    <t xml:space="preserve">5850 S MAIN ST                                                                  </t>
  </si>
  <si>
    <t>90003-1253</t>
  </si>
  <si>
    <t xml:space="preserve">LA CO., HEALTH SERVICES DEPT            </t>
  </si>
  <si>
    <t>D80634</t>
  </si>
  <si>
    <t>ICE, CUMMINS, DIESEL, EMR, MODEL KTA38-G1, 1135 BHP, 12 CYL, TURBOCHARGED, AFTERCOOLED</t>
  </si>
  <si>
    <t xml:space="preserve">30500 ARRASTRE CYN RD                                                           </t>
  </si>
  <si>
    <t xml:space="preserve">ACTON                    </t>
  </si>
  <si>
    <t xml:space="preserve">HAYMAN BERT                                       </t>
  </si>
  <si>
    <t xml:space="preserve">(661) 2690144   </t>
  </si>
  <si>
    <t xml:space="preserve">LA CO., METROPOLITAN TRANS AUTHORITY    </t>
  </si>
  <si>
    <t>D10569</t>
  </si>
  <si>
    <t>ICE, ROLLS ROYCE, DIESEL, EMR, MODEL CVM 12170-4, SN 2814, 12 CYL, 765 BHP, TURBOCHARGED, AFTERCOOLED</t>
  </si>
  <si>
    <t>Rolls Royce</t>
  </si>
  <si>
    <t>CVM 12170-4</t>
  </si>
  <si>
    <t xml:space="preserve">900 LYON ST                                                                     </t>
  </si>
  <si>
    <t xml:space="preserve">URBAN BEN                                         </t>
  </si>
  <si>
    <t xml:space="preserve">(213) 9224714   </t>
  </si>
  <si>
    <t xml:space="preserve">LA CO., OLIVE VIEW/UCLA MEDICAL CENTER  </t>
  </si>
  <si>
    <t>F23608</t>
  </si>
  <si>
    <t>ICE, CATERPILLAR, DIESEL, EMERGENCY ELECTRICAL GENERATION, MODEL 3512 DITA, SN 24Z00912, 12 CYL, 1000 KW, TURBOCHARGED, AFTERCOOLED</t>
  </si>
  <si>
    <t>3512  DITA</t>
  </si>
  <si>
    <t xml:space="preserve">14445 OLIVE VIEW DR                                                             </t>
  </si>
  <si>
    <t>91342-1495</t>
  </si>
  <si>
    <t xml:space="preserve">ROSS BOB                                          </t>
  </si>
  <si>
    <t xml:space="preserve">(818) 3643325   </t>
  </si>
  <si>
    <t>F23610</t>
  </si>
  <si>
    <t>ICE, CATERPILLAR, DIESEL, EMERGENCY ELECTRICAL GENERATION, MODEL 3512 DITA, SN 24Z00911, 12 CYL, 1100 KW, TURBOCHARGED, AFTERCOOLED</t>
  </si>
  <si>
    <t>LA CO., RANCHO LOS AMIGOS MEDICAL CENTER</t>
  </si>
  <si>
    <t xml:space="preserve">F4986 </t>
  </si>
  <si>
    <t>ICE, CATERPILLAR, DIESEL, EMERGENCY ELECTRICAL GENERATION, MODEL 3516DITA, 16 CYL, 2847 BHP, TURBOCHARGED, AFTERCOOLED</t>
  </si>
  <si>
    <t xml:space="preserve">531 W COLLEGE ST                                                                </t>
  </si>
  <si>
    <t xml:space="preserve">LOPEZ LUIS                                        </t>
  </si>
  <si>
    <t xml:space="preserve">(213) 6839316   </t>
  </si>
  <si>
    <t xml:space="preserve">PACIFIC BELL                            </t>
  </si>
  <si>
    <t xml:space="preserve">25624 WALNUT ST                                                                 </t>
  </si>
  <si>
    <t xml:space="preserve">LOMITA                   </t>
  </si>
  <si>
    <t xml:space="preserve">TEMPLETON KELLY                                   </t>
  </si>
  <si>
    <t xml:space="preserve">(909) 6819283   </t>
  </si>
  <si>
    <t>M48029</t>
  </si>
  <si>
    <t>ICE, CATERPILLAR, DIESEL, EMR, MODEL 3508, 8 CYL, 1062 BHP, 750 KW</t>
  </si>
  <si>
    <t xml:space="preserve">111 N UNION AVE                                                                 </t>
  </si>
  <si>
    <t xml:space="preserve">GECHA MANNY                                       </t>
  </si>
  <si>
    <t xml:space="preserve">(818) 5784181   </t>
  </si>
  <si>
    <t>D28360</t>
  </si>
  <si>
    <t xml:space="preserve">ICE, DETROIT DIESEL, DIESEL, EMERGENCY, MODEL NO. 8083-7405, TURBOCHARGED-AFTERCOOLED, 8 CYLINDERS, 540 BHP </t>
  </si>
  <si>
    <t xml:space="preserve">16991 VAN BUREN BLVD                                                            </t>
  </si>
  <si>
    <t xml:space="preserve">MAY DENNIS                                        </t>
  </si>
  <si>
    <t xml:space="preserve">(714) 9622411   </t>
  </si>
  <si>
    <t>D98220</t>
  </si>
  <si>
    <t>ICE, DETROIT DIESEL, DIESEL FUELED, EMERGENCY, MODEL NO. 149TI, SERIAL NO. 166223M, TURBOCHARGED-AFTERCOOLED, 16 CYLINDERS, 1400 BHP.</t>
  </si>
  <si>
    <t>149TI</t>
  </si>
  <si>
    <t>D98221</t>
  </si>
  <si>
    <t>ICE, DETROIT DIESEL, DIESEL FUELED, EMERGENCY, MODEL NO. 149TI, SERIAL NO. CHZ228772, TURBOCHARGED-AFTERCOOLED, 16 CYLINDERS, 1400 BHP.</t>
  </si>
  <si>
    <t>D98222</t>
  </si>
  <si>
    <t>ICE, DETROIT DIESEL, DIESEL FUELED, EMERGENCY, MODEL NO. 149TI, SERIAL NO. 166096E, TURBOCHARGED-AFTERCOOLED, 16 CYLINDERS, 1400 BHP.</t>
  </si>
  <si>
    <t>D98223</t>
  </si>
  <si>
    <t>ICE, DETROIT DIESEL, DIESEL FUELED, EMERGENCY, MODEL NO. 149TI, SERIAL NO. YF216433M, TURBOCHARGED-AFTERCOOLED, 16 CYLINDERS, 1400 BHP.</t>
  </si>
  <si>
    <t>D98224</t>
  </si>
  <si>
    <t>ICE, DETROIT DIESEL, DIESEL FUELED, EMERGENCY, MODEL NO. 149TI, SERIAL NO. YF2164701M, TURBOCHARGED-AFTERCOOLED, 16 CYLINDERS, 1400 BHP.</t>
  </si>
  <si>
    <t>D98225</t>
  </si>
  <si>
    <t>ICE, DETROIT DIESEL, DIESEL, EMERGENCY, MODEL NO. 8123-7405, TURBOCHARGED-AFTERCOOLED, 12 CYLINDERS, 830 BHP (SLATER PUMP STATION)</t>
  </si>
  <si>
    <t xml:space="preserve">SLATER/GOLDEN                                                                   </t>
  </si>
  <si>
    <t>F18009</t>
  </si>
  <si>
    <t>ICE, CUMMINS, 16 CYLINDERS, TURBOCHARGED, AFTERCOOLED, MODEL NO. KTA50-G3, 1850 BHP, DIESEL-FUELED, EMERGENCY  GENERATOR</t>
  </si>
  <si>
    <t xml:space="preserve">1499 MAIN ST                                                                    </t>
  </si>
  <si>
    <t xml:space="preserve">ORANGE, COUNTY OF - TRANSPORTATION DIST </t>
  </si>
  <si>
    <t>F23654</t>
  </si>
  <si>
    <t xml:space="preserve">11800 WOODBURY AVE                                                              </t>
  </si>
  <si>
    <t xml:space="preserve">PRICE TOM                                         </t>
  </si>
  <si>
    <t xml:space="preserve">(714) 5605869   </t>
  </si>
  <si>
    <t xml:space="preserve">ORANGE, COUNTY OF - YOUTH GUIDANCE CTR  </t>
  </si>
  <si>
    <t>F15745</t>
  </si>
  <si>
    <t xml:space="preserve">3030 N HESPERIAN ST                                                             </t>
  </si>
  <si>
    <t xml:space="preserve">DUCKWORTH DICK                                    </t>
  </si>
  <si>
    <t xml:space="preserve">(714) 9356625   </t>
  </si>
  <si>
    <t xml:space="preserve">ORANGE, COUNTYOF - SANITATION DISTRICT  </t>
  </si>
  <si>
    <t>D11236</t>
  </si>
  <si>
    <t>ICE NO. 1, CATERPILLAR, COMPRESSION-IGNITION, FOUR-STROKE, TURBOCHARGED-AFTERCOOLED, V-12 TYPE, MODEL NO. 3512, SER. NO. 24Z01547, 1482 HP, DIESEL, 1000 KW, EMERGENCY</t>
  </si>
  <si>
    <t xml:space="preserve">22212 BROOKHURST ST                                                             </t>
  </si>
  <si>
    <t>D11237</t>
  </si>
  <si>
    <t>ICE NO. 2, CATERPILLAR, COMPRESSION-IGNITION, FOUR-STROKE, TURBOCHARGED-AFTERCOOLED, V-12 TYPE, MODEL NO. 3512, SER. NO. 24Z01541, 1482 HP, DIESEL, 1000 KW, EMERGENCY</t>
  </si>
  <si>
    <t>D11235</t>
  </si>
  <si>
    <t>ICE NO. 3, CATERPILLAR, COMPRESSION-IGNITION, FOUR-STROKE, TURBOCHARGED-AFTERCOOLED, V-12 TYPE, MODEL NO. 3512, SER. NO. 24Z01544, 1482 HP, DIESEL, 1000 KW, EMERGENCY</t>
  </si>
  <si>
    <t>F21753</t>
  </si>
  <si>
    <t>ICE, DETROIT DIESEL, 16 CYLINDER, TURBOCHARGED, AFTERCOOLED, MODEL T163-7K16, 2935 BHP, DIESEL, EMERGENCY</t>
  </si>
  <si>
    <t>T-163-7K16</t>
  </si>
  <si>
    <t>F21752</t>
  </si>
  <si>
    <t xml:space="preserve">PACIFIC 888, LLC                        </t>
  </si>
  <si>
    <t>F32876</t>
  </si>
  <si>
    <t>ICE, CUMMINS, MODEL NO. KTA19-G3, SERIAL NO. 8920450427, DIESEL, EMERGENCY, TURBOCHARGED, AFTERCOOLED, 6 CYLINDERS, 685 BHP.</t>
  </si>
  <si>
    <t xml:space="preserve">888 W 6TH ST                                                                    </t>
  </si>
  <si>
    <t xml:space="preserve">PITTS RAY                                         </t>
  </si>
  <si>
    <t xml:space="preserve">(213) 6245328   </t>
  </si>
  <si>
    <t xml:space="preserve">PACIFIC ALLIANCE MEDICAL CENTER         </t>
  </si>
  <si>
    <t>F12524</t>
  </si>
  <si>
    <t>ICE, DETROIT DIESEL, MODEL 7163-7305, EMERGENCY, DIESEL, TURBOCHARGED, 536 BHP</t>
  </si>
  <si>
    <t xml:space="preserve">SHORELINE SQUARE MANAGEMENT, INC        </t>
  </si>
  <si>
    <t>D11161</t>
  </si>
  <si>
    <t>ICE, DETROIT DIESEL, DIESEL, EMERGENCY, MODEL 8123-7405, SERIAL NO. 12VF002578, TURBOCHARGED, AFTERCOOLED, 12 CYLINDERS, 740 BHP.</t>
  </si>
  <si>
    <t xml:space="preserve">301 E OCEAN BLVD                                                                </t>
  </si>
  <si>
    <t xml:space="preserve">KRUGER BILL                                       </t>
  </si>
  <si>
    <t xml:space="preserve">(562) 4352185   </t>
  </si>
  <si>
    <t xml:space="preserve">SHRINER'S HOSPITAL FOR CHILDREN         </t>
  </si>
  <si>
    <t>D20189</t>
  </si>
  <si>
    <t>ICE, CATERPILLAR, DIESEL, EMERGENCY, MODEL 3412, TURBOCHARGED, AFTERCOOLED, 12 CYLINDERS, 890 BHP.</t>
  </si>
  <si>
    <t xml:space="preserve">3160 GENEVA ST                                                                  </t>
  </si>
  <si>
    <t xml:space="preserve">BARUKH ISAAC H                                    </t>
  </si>
  <si>
    <t xml:space="preserve">(213) 3883151   </t>
  </si>
  <si>
    <t xml:space="preserve">SISCO SYSTEMS                           </t>
  </si>
  <si>
    <t>F21418</t>
  </si>
  <si>
    <t>ICE, CUMMINS, 6 CYLINDERS, TURBOCHARGED, AFTERCOOLED, MODEL NO. N14-G2 (399 KW), 535 BHP, DIESEL-FUELED, DRIVING AN EMERGENCY ELECTRICAL GENERATOR.</t>
  </si>
  <si>
    <t xml:space="preserve">121 THEORY DR                                                                   </t>
  </si>
  <si>
    <t xml:space="preserve">LA VAZZA MIKE                                     </t>
  </si>
  <si>
    <t xml:space="preserve">(408) 5273212   </t>
  </si>
  <si>
    <t xml:space="preserve">SMART &amp; FINAL                           </t>
  </si>
  <si>
    <t>F15840</t>
  </si>
  <si>
    <t xml:space="preserve">5500 SHEILA ST                                                                  </t>
  </si>
  <si>
    <t xml:space="preserve">FERAMISCO DAN                                     </t>
  </si>
  <si>
    <t xml:space="preserve">(909) 6842820   </t>
  </si>
  <si>
    <t xml:space="preserve">SNAFUEL INC                             </t>
  </si>
  <si>
    <t>F10487</t>
  </si>
  <si>
    <t>ICE, CATERPILLAR, 6 CYLINDERS, TURBOCHARGED, AFTERCOOLED, MODEL NO. 3406 DITA (400 KW), SERIAL NO. 4ZR02450, 587 BHP, DIESEL, EMERGENCY</t>
  </si>
  <si>
    <t xml:space="preserve">390 PAULARINO ST                                                                </t>
  </si>
  <si>
    <t xml:space="preserve">MORAN RICHARD                                     </t>
  </si>
  <si>
    <t xml:space="preserve">(714) 6624551   </t>
  </si>
  <si>
    <t xml:space="preserve">SNOW VALLEY INC                         </t>
  </si>
  <si>
    <t>D94713</t>
  </si>
  <si>
    <t>ICE, CATERPILLAR, DIESEL, EMERGENCY, MODEL NO. 3512, SERIAL NO. 24Z00678, TURBOCHARGED AND AFTERCOOLED, 12 CYLINDERS, 1330 BHP.</t>
  </si>
  <si>
    <t xml:space="preserve">35100 HWY 18                                                                    </t>
  </si>
  <si>
    <t xml:space="preserve">RUNNING SPRINGS          </t>
  </si>
  <si>
    <t>92382-9999</t>
  </si>
  <si>
    <t xml:space="preserve">BECKMAN SWEDE                                     </t>
  </si>
  <si>
    <t xml:space="preserve">(909) 8672751   </t>
  </si>
  <si>
    <t>D94714</t>
  </si>
  <si>
    <t>ICE, CATERPILLAR, DIESEL, EMERGENCY, MODEL NO. 3512, SERIAL NO. 24Z00677, TURBOCHARGED AND AFTERCOOLED, 12 CYLINDERS, 1330 BHP.</t>
  </si>
  <si>
    <t xml:space="preserve">SO CAL EDISON CO                        </t>
  </si>
  <si>
    <t>M53809</t>
  </si>
  <si>
    <t>ICE, UNIT 14, GM, MODEL NO. S-16-645-E1, DIESEL, ROOTS-BLOWN SCAVENGED, 16 CYLINDERS, 1950 BHP.</t>
  </si>
  <si>
    <t>S-16-645-E1</t>
  </si>
  <si>
    <t xml:space="preserve">1 PEBBLY BEACH RD                                                               </t>
  </si>
  <si>
    <t xml:space="preserve">AVALON                   </t>
  </si>
  <si>
    <t xml:space="preserve">WELSING PETER                                     </t>
  </si>
  <si>
    <t xml:space="preserve">(626) 3029536   </t>
  </si>
  <si>
    <t>M60116</t>
  </si>
  <si>
    <t>ICE, WAUKESHA, EMERGENCY, MODEL NO. 5200 GSI, 12 CYLINDERS, 1305 HP, TURBOCHARGED, INTERCOOLED, NATURAL GAS FIRED.</t>
  </si>
  <si>
    <t>5200 GSI</t>
  </si>
  <si>
    <t xml:space="preserve">7300 FENWICK LN                                                                 </t>
  </si>
  <si>
    <t xml:space="preserve">WESTMINSTER              </t>
  </si>
  <si>
    <t xml:space="preserve">STEPMAN MARCI B                                   </t>
  </si>
  <si>
    <t xml:space="preserve">(818) 3021805   </t>
  </si>
  <si>
    <t>D59029</t>
  </si>
  <si>
    <t>ICE UNIT NO. 8, GM, MODEL EMD, DIESEL, MODEL NO. 16-567-D4, SERIAL NO. 64-B-151S, TWO CYCLE, LEAN BURN, TURBOCHARGED, 16 CYLINDERS, 2000 BHP, 1500 KW</t>
  </si>
  <si>
    <t>16-567-D4</t>
  </si>
  <si>
    <t xml:space="preserve">F8471 </t>
  </si>
  <si>
    <t>ICE, CATERPILLAR, 12 CYLINDERS, TURBOCHARGED, AFTERCOOLED, MODEL NO. 3512 DITA (1000 KW), 1443 BHP, DIESEL, EMERGENCY</t>
  </si>
  <si>
    <t xml:space="preserve">125 ELM AVE                                                                     </t>
  </si>
  <si>
    <t xml:space="preserve">20600 PLUM CANYON RD                                                            </t>
  </si>
  <si>
    <t xml:space="preserve">VILLINES DAVE                                     </t>
  </si>
  <si>
    <t xml:space="preserve">(818) 5782160   </t>
  </si>
  <si>
    <t>D42573</t>
  </si>
  <si>
    <t>ICE, DETROIT DIESEL, DIESEL, EMERGENCY, MODEL NO. 8163-7416, TURBOCHARGED, AFTERCOOLED, 16 CYLINDERS, 1170 BHP.</t>
  </si>
  <si>
    <t xml:space="preserve">4918 IRVINE CENTER DR                                                           </t>
  </si>
  <si>
    <t xml:space="preserve">SKELTON JOHN                                      </t>
  </si>
  <si>
    <t xml:space="preserve">(714) 9998734   </t>
  </si>
  <si>
    <t>D46004</t>
  </si>
  <si>
    <t>ICE, DETROIT DIESEL, DIESEL, EMERGENCY, MODEL NO. 7123-7405, TURBOCHARGED, AFTERCOOLED, 12 CYLINDERS, TWO CYCLE, 670 BHP AT 1800 RPM.</t>
  </si>
  <si>
    <t>7123-7405</t>
  </si>
  <si>
    <t xml:space="preserve">16816 ARROW BLVD                                                                </t>
  </si>
  <si>
    <t>D47326</t>
  </si>
  <si>
    <t>ICE, MITSUBISHI, EMERGENCY, MODEL 512N NTA, SERIAL NO. 10410, DIESEL FUEL TYPE, TURBOCHARGED, AFTERCOOLED, 12 CYLINDERS, TWO CYCLE, 1280 BHP AT 1800 RPM.</t>
  </si>
  <si>
    <t>512N-NTA</t>
  </si>
  <si>
    <t xml:space="preserve">3580 ORANGE ST                                                                  </t>
  </si>
  <si>
    <t>D61144</t>
  </si>
  <si>
    <t>ICE, DETROIT DIESEL, DIESEL, EMERGENCY, MODEL NO. 8163-7405, TURBOCHARGED, AFTERCOOLED, 16 CYLINDERS, 1095 BHP.</t>
  </si>
  <si>
    <t xml:space="preserve">1418 N BROAD AVE                                                                </t>
  </si>
  <si>
    <t xml:space="preserve">(310) 3733947   </t>
  </si>
  <si>
    <t>D47602</t>
  </si>
  <si>
    <t>ICE, CATERPILLAR, MODEL 3512 TA,  DIESEL, EMERGENCY, TURBOCHARGED, AFTERCOOLED, 12 CYLINDERS, 4-CYCLE, 1798 BHP.</t>
  </si>
  <si>
    <t xml:space="preserve">4480 KESTER AVE                                                                 </t>
  </si>
  <si>
    <t xml:space="preserve">(805) 9484418   </t>
  </si>
  <si>
    <t>D65203</t>
  </si>
  <si>
    <t>ICE, DETROIT DIESEL, DIESEL, EMERGENCY, MODEL NO. 12V-71TA, TURBOCHARGED, AFTERCOOLED, 12 CYLINDERS, 637 BHP AT 1800 RPM.</t>
  </si>
  <si>
    <t xml:space="preserve">495 S RIVERSIDE BLVD                                                            </t>
  </si>
  <si>
    <t xml:space="preserve">RIALTO                   </t>
  </si>
  <si>
    <t>D67844</t>
  </si>
  <si>
    <t>ICE, CATERPILLAR, MODEL 3508, SERIAL NO. 23Z02664, DIESEL, EMERGENCY, TURBOCHARGED, AFTERCOOLED, 8 CYLINDERS, 1098 BHP.</t>
  </si>
  <si>
    <t xml:space="preserve">5472 E LA PALMA AVE                                                             </t>
  </si>
  <si>
    <t xml:space="preserve">BRESSLER REG/V11 B.                               </t>
  </si>
  <si>
    <t xml:space="preserve">(714) 6936611   </t>
  </si>
  <si>
    <t>D59626</t>
  </si>
  <si>
    <t>ICE, DETROIT DIESEL, DIESEL, EMERGENCY, MODEL NO. 16V-92T, TURBOCHARGED, AFTERCOOLED, 8 CYLINDERS, 960 BHP.</t>
  </si>
  <si>
    <t xml:space="preserve">7840 GARVEY                                                                     </t>
  </si>
  <si>
    <t xml:space="preserve">ROSEMEAD                 </t>
  </si>
  <si>
    <t xml:space="preserve">PARKS THERESA                                     </t>
  </si>
  <si>
    <t xml:space="preserve">(818) 5705476   </t>
  </si>
  <si>
    <t xml:space="preserve">ROSELI ELAINE                                     </t>
  </si>
  <si>
    <t xml:space="preserve">(818) 5763182   </t>
  </si>
  <si>
    <t>D71955</t>
  </si>
  <si>
    <t>ICE, DETROIT DIESEL, DIESEL, EMERGENCY, MODEL NO. 7123-7405, TURBOCHARGED, AFTERCOOLED, 12 CYLINDERS, 830 BHP.</t>
  </si>
  <si>
    <t xml:space="preserve">33 BUNSEN                                                                       </t>
  </si>
  <si>
    <t xml:space="preserve">BEARD JERRY                                       </t>
  </si>
  <si>
    <t xml:space="preserve">(714) 6692153   </t>
  </si>
  <si>
    <t>D66313</t>
  </si>
  <si>
    <t>ICE, CATERPILLAR, MODEL 3512 TA, SERIAL NO. CE04091, DIESEL, EMERGENCY, TURBOCHARGED, AFTERCOOLED, 12 CYLINDERS, 1343 BHP.</t>
  </si>
  <si>
    <t xml:space="preserve">6803 CEDROS AVE                                                                 </t>
  </si>
  <si>
    <t xml:space="preserve">SEMINGTON PAT                                     </t>
  </si>
  <si>
    <t>D66317</t>
  </si>
  <si>
    <t>ICE, CATERPILLAR, MODEL 3516 TA, SERIAL NO. 4XF00425, DIESEL, EMERGENCY, TURBOCHARGED, AFTERCOOLED, 16 CYLINDERS, 2847 BHP.</t>
  </si>
  <si>
    <t xml:space="preserve">433 S OLIVE                                                                     </t>
  </si>
  <si>
    <t xml:space="preserve">PATEL RAJ                                         </t>
  </si>
  <si>
    <t xml:space="preserve">(818) 5782055   </t>
  </si>
  <si>
    <t xml:space="preserve">8707 SHIRLEY AVE                                                                </t>
  </si>
  <si>
    <t>D70371</t>
  </si>
  <si>
    <t>ICE, CATERPILLAR, MODEL 3508 TA, SERIAL NO. 23Z4613, DIESEL, EMERGENCY, TURBOCHARGED, AFTERCOOLED, 8 CYLINDERS, 1098 BHP.</t>
  </si>
  <si>
    <t xml:space="preserve">666 S LA BREA AVE                                                               </t>
  </si>
  <si>
    <t>D71409</t>
  </si>
  <si>
    <t>ICE, DETROIT DIESEL, DIESEL, EMERGENCY, MODEL NO. 7123-7406 12V-71TA, TURBOCHARGED, AFTERCOOLED, 12 CYLINDERS, 750 BHP.</t>
  </si>
  <si>
    <t>7123-7406</t>
  </si>
  <si>
    <t xml:space="preserve">1971 IRVINE BLVD                                                                </t>
  </si>
  <si>
    <t xml:space="preserve">MENDOZA DAVI                                      </t>
  </si>
  <si>
    <t xml:space="preserve">(714) 5758284   </t>
  </si>
  <si>
    <t>D71410</t>
  </si>
  <si>
    <t>ICE, DETROIT DIESEL, DIESEL, EMERGENCY, MODEL NO. 16V-92 8163-7405, SERIAL NO. 16VF010896, TURBOCHARGED, AFTERCOOLED, 16 CYLINDERS, 1095 BHP.</t>
  </si>
  <si>
    <t xml:space="preserve">4302 FORD RD                                                                    </t>
  </si>
  <si>
    <t xml:space="preserve">CORONA DEL MAR           </t>
  </si>
  <si>
    <t xml:space="preserve">JOA-AMANCIO CARMEN                                </t>
  </si>
  <si>
    <t>D73546</t>
  </si>
  <si>
    <t>ICE, DETROIT DIESEL, DIESEL, EMERGENCY, MODEL NO. 7123-7406, TURBOCHARGED, AFTERCOOLED, 12 CYLINDERS, 750 BHP, 560 KW.</t>
  </si>
  <si>
    <t xml:space="preserve">901 E KATELLA AVE                                                               </t>
  </si>
  <si>
    <t xml:space="preserve">ROBINSON TONI                                     </t>
  </si>
  <si>
    <t xml:space="preserve">(714) 5758281   </t>
  </si>
  <si>
    <t>D73547</t>
  </si>
  <si>
    <t xml:space="preserve">433 N LA CADENA                                                                 </t>
  </si>
  <si>
    <t xml:space="preserve">STEVENS MARA                                      </t>
  </si>
  <si>
    <t xml:space="preserve">(949) 5517718   </t>
  </si>
  <si>
    <t>D73548</t>
  </si>
  <si>
    <t>ICE, DIESEL, DETROIT, DIESEL, MODEL NO. 8163-7416, 16 CYLINDER, 1170 BHP, TURBOCHARGED, AFTERCOOLED, DRIVING A 900 KW EMERGENCY GENERATOR.</t>
  </si>
  <si>
    <t xml:space="preserve">143 E AMERIGE AVE                                                               </t>
  </si>
  <si>
    <t>D73549</t>
  </si>
  <si>
    <t xml:space="preserve">3502 W ORANGE AVE                                                               </t>
  </si>
  <si>
    <t>D74736</t>
  </si>
  <si>
    <t>ICE, DIESEL, DETROIT, DIESEL, MODEL NO. 8163-7416, SERIAL NO. 16VF10725, 16 CYLINDER, TURBOCHARGED, AFTERCOOLED, 1232 BHP.</t>
  </si>
  <si>
    <t xml:space="preserve">911 E CHAPMAN AVE                                                               </t>
  </si>
  <si>
    <t>D75686</t>
  </si>
  <si>
    <t>ICE, CATERPILLAR, DIESEL, EMERGENCY, MODEL NO. 3516 TA, SERIAL NO. 25703342, 16 CYLINDERS, TURBOCHARGED AND AFTERCOOLED, 2168 BHP.</t>
  </si>
  <si>
    <t xml:space="preserve">490 N FOOTHILL RD                                                               </t>
  </si>
  <si>
    <t xml:space="preserve">PERKINS BOB                                       </t>
  </si>
  <si>
    <t xml:space="preserve">(818) 5782162   </t>
  </si>
  <si>
    <t>D89367</t>
  </si>
  <si>
    <t>ICE, CATERPILLAR, EMERGENCY, MODEL NO. 3516 TA,  SERIAL NO. 4XF00499, DIESEL, 16 CYLINDERS, TURBOCHARGED AND AFTERCOOLED, 2847 BHP.</t>
  </si>
  <si>
    <t xml:space="preserve">420 S GRAND AVE                                                                 </t>
  </si>
  <si>
    <t>D89368</t>
  </si>
  <si>
    <t>ICE, CATERPILLAR, EMERGENCY, MODEL NO. 3516 TA,  SERIAL NO. 4XF00500, DIESEL, 16 CYLINDERS, TURBOCHARGED AND AFTERCOOLED, 2847 BHP.</t>
  </si>
  <si>
    <t>D89369</t>
  </si>
  <si>
    <t>ICE, CATERPILLAR, EMERGENCY, MODEL NO. 3516 TA,  SERIAL NO. 4XF00503, DIESEL, 16 CYLINDERS, TURBOCHARGED AND AFTERCOOLED, 2847 BHP.</t>
  </si>
  <si>
    <t>D89370</t>
  </si>
  <si>
    <t>ICE, CATERPILLAR, EMERGENCY, MODEL NO. 3516 TA,  SERIAL NO. 4XF00502, DIESEL, 16 CYLINDERS, TURBOCHARGED AND AFTERCOOLED, 2847 BHP.</t>
  </si>
  <si>
    <t>D79761</t>
  </si>
  <si>
    <t>ICE, CATERPILLAR, DIESEL, EMERGENCY, MODEL NO. 3516 TA, SERIAL NO. 4XF00517, 16 CYLINDERS, TURBOCHARGED AND AFTERCOOLED, 2847 BHP.</t>
  </si>
  <si>
    <t xml:space="preserve">17200 S VERMONT AVE                                                             </t>
  </si>
  <si>
    <t xml:space="preserve">(818) 5763175   </t>
  </si>
  <si>
    <t>D86519</t>
  </si>
  <si>
    <t>ICE, CATERPILLAR, DIESEL, EMERGENCY, MODEL NO. 3516 TA, SERIAL NO. 25Z3981,  16 CYLINDERS, TURBOCHARGED AND AFTERCOOLED, 2518 BHP.</t>
  </si>
  <si>
    <t xml:space="preserve">720 S RAMPART                                                                   </t>
  </si>
  <si>
    <t xml:space="preserve">VALLINES DAVE                                     </t>
  </si>
  <si>
    <t>D84230</t>
  </si>
  <si>
    <t>ICE, CATERPILLAR, DIESEL, EMERGENCY, MODEL NO. 3516 TA,  16 CYLINDERS, TURBOCHARGED AND AFTERCOOLED, 2151 BHP.</t>
  </si>
  <si>
    <t xml:space="preserve">16208 S VERMONT AVE                                                             </t>
  </si>
  <si>
    <t>D84232</t>
  </si>
  <si>
    <t>ICE, CATERPILLAR, DIESEL, EMERGENCY, MODEL NO. 3516 TA,  16 CYLINDERS, TURBOCHARGED AND AFTERCOOLED, 2518 BHP.</t>
  </si>
  <si>
    <t xml:space="preserve">3220 S BRISTOL ST                                                               </t>
  </si>
  <si>
    <t xml:space="preserve">(714) 5758308   </t>
  </si>
  <si>
    <t>D86962</t>
  </si>
  <si>
    <t>ICE, DIESEL, DETROIT, DIESEL, MODEL NO. 9163-7416 (16V-149TIB), 16 CYLINDER, EMERGENCY, TURBOCHARGED, AFTERCOOLED, 2340 BHP.</t>
  </si>
  <si>
    <t xml:space="preserve">608 E COMPTON BLVD                                                              </t>
  </si>
  <si>
    <t xml:space="preserve">MORRINGS MIKE                                     </t>
  </si>
  <si>
    <t xml:space="preserve">(310) 2192460   </t>
  </si>
  <si>
    <t>D88591</t>
  </si>
  <si>
    <t xml:space="preserve">600 E GREEN ST                                                                  </t>
  </si>
  <si>
    <t xml:space="preserve">MOHLER CHRIS                                      </t>
  </si>
  <si>
    <t>D89236</t>
  </si>
  <si>
    <t>ICE, DIESEL, DETROIT, DIESEL, MODEL NO. 8163-7416, 16 CYLINDER, EMERGENCY, TURBOCHARGED, AFTERCOOLED, 1232 BHP.</t>
  </si>
  <si>
    <t>D89252</t>
  </si>
  <si>
    <t>ICE, CATERPILLAR, DIESEL, EMERGENCY, MODEL NO. 3516 DITA,  16 CYLINDERS, TURBOCHARGED AND AFTERCOOLED, 2151 BHP.</t>
  </si>
  <si>
    <t xml:space="preserve">6135 WHITTIER BLVD                                                              </t>
  </si>
  <si>
    <t xml:space="preserve">EAST LOS ANGELES         </t>
  </si>
  <si>
    <t>D93145</t>
  </si>
  <si>
    <t>ICE, DIESEL, DETROIT, DIESEL, MODEL NO. 8163-7416, 16 CYLINDERS, TURBOCHARGED, AFTERCOOLED, EMERGENCY, 1232 BHP.</t>
  </si>
  <si>
    <t xml:space="preserve">7701 ARTESIA                                                                    </t>
  </si>
  <si>
    <t>D91578</t>
  </si>
  <si>
    <t>ICE, DETROIT DIESEL, MODEL NO. 8123-7405, SERIAL NO. 12VF009917, DIESEL FUELED, EMERGENCY, TURBOCHARGED, AFTERCOOLED, 12 CYLINDERS, 840 BHP.</t>
  </si>
  <si>
    <t xml:space="preserve">27826 CENTER DR                                                                 </t>
  </si>
  <si>
    <t>D91661</t>
  </si>
  <si>
    <t>ICE, CATERPILLAR, EMERGENCY, MODEL NO. 3516 DITA,  DIESEL, 16 CYLINDERS, TURBOCHARGED AND AFTERCOOLED, 2018 BHP.</t>
  </si>
  <si>
    <t xml:space="preserve">2445 DALY ST                                                                    </t>
  </si>
  <si>
    <t>D92071</t>
  </si>
  <si>
    <t>ICE, DIESEL, DETROIT, DIESEL, MODEL NO. 12V92TA 8163-7416, TURBOCHARGED, 12 CYLINDERS, AFTERCOOLED, EMERGENCY, 947 BHP.</t>
  </si>
  <si>
    <t xml:space="preserve">1102 E YORBA LINDA BLVD                                                         </t>
  </si>
  <si>
    <t xml:space="preserve">PLACENTIA                </t>
  </si>
  <si>
    <t>D96339</t>
  </si>
  <si>
    <t>ICE, CATERPILLAR, EMERGENCY, MODEL NO. 3512B, SERIAL NO. 6WN0078, DIESEL, 12 CYLINDERS, TURBOCHARGED AND AFTERCOOLED, 2100 BHP.</t>
  </si>
  <si>
    <t>3512B</t>
  </si>
  <si>
    <t xml:space="preserve">301 S LA BREA AVE                                                               </t>
  </si>
  <si>
    <t>D96549</t>
  </si>
  <si>
    <t>ICE, CATERPILLAR, EMERGENCY, MODEL NO. 3512B, SERIAL NO. 6WN0079, DIESEL, 12 CYLINDERS, TURBOCHARGED AND AFTERCOOLED, 2100 BHP.</t>
  </si>
  <si>
    <t xml:space="preserve">8530 AIRPORT BLVD                                                               </t>
  </si>
  <si>
    <t>D93286</t>
  </si>
  <si>
    <t>ICE, DIESEL, DETROIT, DIESEL, MODEL NO. 8163-7416, 16 CYLINDERS, TURBOCHARGED, AFTERCOOLED, EMERGENCY, 1064 BHP.</t>
  </si>
  <si>
    <t xml:space="preserve">29300 W ROADSIDE DR                                                             </t>
  </si>
  <si>
    <t xml:space="preserve">AGOURA HILLS             </t>
  </si>
  <si>
    <t xml:space="preserve">MCDONNELL LARRY                                   </t>
  </si>
  <si>
    <t xml:space="preserve">(818) 5784890   </t>
  </si>
  <si>
    <t>D94202</t>
  </si>
  <si>
    <t>ICE, CATERPILLAR, EMERGENCY, MODEL NO. 3512 DITA,  DIESEL, 12 CYLINDERS, TURBOCHARGED AND AFTERCOOLED, 1443 BHP (1000 KW).</t>
  </si>
  <si>
    <t xml:space="preserve">501 E VERNON AVE                                                                </t>
  </si>
  <si>
    <t>D94351</t>
  </si>
  <si>
    <t>ICE, CATERPILLAR, EMERGENCY, MODEL NO. 3512B,  DIESEL, 12 CYLINDERS, TURBOCHARGED AND AFTERCOOLED, 2172 BHP.</t>
  </si>
  <si>
    <t xml:space="preserve">177 E COLORADO BLVD                                                             </t>
  </si>
  <si>
    <t xml:space="preserve">HOWARD VICI                                       </t>
  </si>
  <si>
    <t xml:space="preserve">(818) 5694629   </t>
  </si>
  <si>
    <t>D96238</t>
  </si>
  <si>
    <t xml:space="preserve">1615 N LAKE AVE                                                                 </t>
  </si>
  <si>
    <t>D96242</t>
  </si>
  <si>
    <t>ICE, CATERPILLAR, EMERGENCY, MODEL NO. 3516 DITA (1500 KW),  DIESEL, 16 CYLINDERS, TURBOCHARGED AND AFTERCOOLED, 2151 BHP.</t>
  </si>
  <si>
    <t xml:space="preserve">124 S ORANGE ST                                                                 </t>
  </si>
  <si>
    <t>D96992</t>
  </si>
  <si>
    <t>ICE, DIESEL, DETROIT DIESEL, MODEL NO. 16V-92-TAB, SERIAL NO. 16VF13556, 16 CYLINDERS, TURBOCHARGED, AFTERCOOLED, EMERGENCY, 1232 BHP.</t>
  </si>
  <si>
    <t>16V-92TAB</t>
  </si>
  <si>
    <t xml:space="preserve">1452 EDINGER                                                                    </t>
  </si>
  <si>
    <t xml:space="preserve">JOA CARMEN                                        </t>
  </si>
  <si>
    <t>F01073</t>
  </si>
  <si>
    <t>ICE, CATERPILLAR, EMERGENCY, MODEL NO. 3512, 1100 KW,  DIESEL, 12 CYLINDERS, TURBOCHARGED AND AFTERCOOLED, 1592 BHP.</t>
  </si>
  <si>
    <t xml:space="preserve">13062 EUCLID                                                                    </t>
  </si>
  <si>
    <t>D98761</t>
  </si>
  <si>
    <t xml:space="preserve">1429 GOWER ST                                                                   </t>
  </si>
  <si>
    <t>D98762</t>
  </si>
  <si>
    <t xml:space="preserve">F6855 </t>
  </si>
  <si>
    <t>ICE, DETROIT DIESEL, 16 CYLINDERS, MODEL NO. 16V-92TA, SERIAL NO. 16VF014165, 1095 BHP, TURBOCHARGED, AFTERCOOLED, DIESEL, EMERGENCY</t>
  </si>
  <si>
    <t xml:space="preserve">4245 W CHAPMAN AVE                                                              </t>
  </si>
  <si>
    <t xml:space="preserve">F7509 </t>
  </si>
  <si>
    <t>ICE, CATERPILLAR, MODEL NO. 3412 DITA, DIESEL, EMERGENCY, 12 CYLINDERS, TURBOCHARGED, AFTERCOOLED, 1200 BHP.</t>
  </si>
  <si>
    <t xml:space="preserve">6931 ATLANTIC AVE                                                               </t>
  </si>
  <si>
    <t xml:space="preserve">BELL                     </t>
  </si>
  <si>
    <t xml:space="preserve">SUTTER TOM                                        </t>
  </si>
  <si>
    <t xml:space="preserve">F9679 </t>
  </si>
  <si>
    <t>ICE, CATERPILLAR, MODEL NO. 3516B, SERIAL NO. 6HN00165, DIESEL, EMERGENCY, SIXTEEN CYLINDERS, TURBOCHARGED AND AFTERCOOLED, 2876 BHP.</t>
  </si>
  <si>
    <t xml:space="preserve">21 S 1ST ST                                                                     </t>
  </si>
  <si>
    <t xml:space="preserve">F7071 </t>
  </si>
  <si>
    <t>ICE, DETROIT DIESEL, 12 CYLINDERS, MODEL NO. 12V-71TA, 750 BHP, TURBOCHARGED, AFTERCOOLED, DIESEL, EMERGENCY</t>
  </si>
  <si>
    <t xml:space="preserve">3031 E LA PALMA AVE                                                             </t>
  </si>
  <si>
    <t xml:space="preserve">WALLNER BARRY                                     </t>
  </si>
  <si>
    <t xml:space="preserve">F7510 </t>
  </si>
  <si>
    <t>ICE, DETROIT DIESEL, MODEL NO. 8123-7405, DIESEL, EMERGENCY, 12 CYLINDERS, TURBOCHARGED, AFTERCOOLED, 830 BHP</t>
  </si>
  <si>
    <t xml:space="preserve">18211 SOLEDAD CANYON RD                                                         </t>
  </si>
  <si>
    <t xml:space="preserve">CANYON COUNTRY           </t>
  </si>
  <si>
    <t xml:space="preserve">F7511 </t>
  </si>
  <si>
    <t>ICE, CATERPILLAR, MODEL NO. 3412 DISTA, DIESEL, EMERGENCY, 12 CYLINDERS, TURBOCHARGED, AFTERCOOLED, 1200 BHP.</t>
  </si>
  <si>
    <t xml:space="preserve">15706 S PARAMOUNT BLVD                                                          </t>
  </si>
  <si>
    <t xml:space="preserve">PARAMOUNT                </t>
  </si>
  <si>
    <t>90723-4333</t>
  </si>
  <si>
    <t xml:space="preserve">F8051 </t>
  </si>
  <si>
    <t xml:space="preserve">10600 S VERMONT AVE                                                             </t>
  </si>
  <si>
    <t xml:space="preserve">(213) 5782097   </t>
  </si>
  <si>
    <t xml:space="preserve">F8052 </t>
  </si>
  <si>
    <t>ICE, CATERPILLAR, MODEL NO. 3512 DITA, DIESEL, EMERGENCY, 12 CYLINDERS, TURBOCHARGED AND AFTERCOOLED, 1818 BHP</t>
  </si>
  <si>
    <t xml:space="preserve">3614 N CENTER ST                                                                </t>
  </si>
  <si>
    <t xml:space="preserve">JONASEN JIM                                       </t>
  </si>
  <si>
    <t xml:space="preserve">(818) 5782883   </t>
  </si>
  <si>
    <t xml:space="preserve">F8694 </t>
  </si>
  <si>
    <t xml:space="preserve">9420 LONG BEACH BLVD                                                            </t>
  </si>
  <si>
    <t xml:space="preserve">THOMPSON B                                        </t>
  </si>
  <si>
    <t xml:space="preserve">(213) 5154119   </t>
  </si>
  <si>
    <t>F11099</t>
  </si>
  <si>
    <t>ICE, CATERPILLAR, EMERGENCY, MODEL NO. 3406 DITA (350 KW), SERIAL NO. 4JK00286, 519 BHP, DIESEL, 6 CYLINDERS.</t>
  </si>
  <si>
    <t>F11100</t>
  </si>
  <si>
    <t>ICE, CATERPILLAR, EMERGENCY, MODEL NO. 3406 DITA (350 KW), SERIAL NO. 4JK00292, 519 BHP, DIESEL, 6 CYLINDERS.</t>
  </si>
  <si>
    <t xml:space="preserve">2320 FOOTHILL BLVD                                                              </t>
  </si>
  <si>
    <t xml:space="preserve">LA CRESCENTA             </t>
  </si>
  <si>
    <t>F12947</t>
  </si>
  <si>
    <t>ICE, DETROIT DIESEL, MODEL NO. 8163-7416, DIESEL, EMERGENCY, TURBOCHARGED AND AFTERCOOLED, 1232 BHP.</t>
  </si>
  <si>
    <t xml:space="preserve">9129 MAGNOLIA                                                                   </t>
  </si>
  <si>
    <t xml:space="preserve">ARLINGTON                </t>
  </si>
  <si>
    <t>F13590</t>
  </si>
  <si>
    <t>ICE, CATERPILLAR, MODEL NO. 3512B, DIESEL, EMERGENCY, TURBOCHARGED AND AFTERCOOLED, 2100 BHP.</t>
  </si>
  <si>
    <t xml:space="preserve">8075 MELROSE AVE                                                                </t>
  </si>
  <si>
    <t>F13587</t>
  </si>
  <si>
    <t xml:space="preserve">3847 CARDIFF AVE                                                                </t>
  </si>
  <si>
    <t>F13589</t>
  </si>
  <si>
    <t xml:space="preserve">3233 W VERNON AVE                                                               </t>
  </si>
  <si>
    <t>F13588</t>
  </si>
  <si>
    <t xml:space="preserve">6822 SANTA FE AVE                                                               </t>
  </si>
  <si>
    <t xml:space="preserve">HUNTINGTON PARK          </t>
  </si>
  <si>
    <t>F14967</t>
  </si>
  <si>
    <t>ICE, CATERPILLAR, MODEL NO. 3412 DISTA, DIESEL, EMEWRGENCY, TURBOCHARGED AND AFTERCOOLED, 1185 BHP.</t>
  </si>
  <si>
    <t xml:space="preserve">105 N SAN GABRIEL BLVD                                                          </t>
  </si>
  <si>
    <t xml:space="preserve">SAN GABRIEL              </t>
  </si>
  <si>
    <t>F14968</t>
  </si>
  <si>
    <t xml:space="preserve">1207 N AVENUE 56                                                                </t>
  </si>
  <si>
    <t>F14966</t>
  </si>
  <si>
    <t xml:space="preserve">511 S JOY ST                                                                    </t>
  </si>
  <si>
    <t>F17008</t>
  </si>
  <si>
    <t>ICE, CATERPILLAR, MODEL NO. 3512B DITA, DIESEL, EMERGENCY, TWELVE CYLINDERS, TURBOCHARGED AND AFTERCOOLED, 2100 BHP.</t>
  </si>
  <si>
    <t xml:space="preserve">1900 S GRAND AVE                                                                </t>
  </si>
  <si>
    <t xml:space="preserve">ROSELY ELAINE                                     </t>
  </si>
  <si>
    <t>F20600</t>
  </si>
  <si>
    <t>ICE, CATERPILLAR, 12 CYLINDERS, TURBOCHARGED, AFTERCOOLED, MODEL NO. 3412 DISTA (800 KW), 1185 BHP, DIESEL, EMERGENCY.</t>
  </si>
  <si>
    <t xml:space="preserve">3001 THORNTON AVE                                                               </t>
  </si>
  <si>
    <t>F21264</t>
  </si>
  <si>
    <t>ICE, CATERPILLAR, MODEL NO. 3512B, DIESEL FUEL, 12 CYLINDERS, TURBOCHARGED/AFTERCOOLED, 2153 BHP, EMERGENCY</t>
  </si>
  <si>
    <t xml:space="preserve">2010 CENTURY PARK EAST                                                          </t>
  </si>
  <si>
    <t xml:space="preserve">WILLEY E.                                         </t>
  </si>
  <si>
    <t xml:space="preserve">(310) 5520204   </t>
  </si>
  <si>
    <t>F21265</t>
  </si>
  <si>
    <t xml:space="preserve">3434 E FOURTH ST                                                                </t>
  </si>
  <si>
    <t xml:space="preserve">(626) 5763182   </t>
  </si>
  <si>
    <t>F22146</t>
  </si>
  <si>
    <t>ICE, CATERPILLAR, MODEL NO. 3516 DITA (2000 KW), 2847 BHP, 16 CYLINDERS, DIESEL, TURBOCHARGED, AFTERCOOLED, EMERGENCY</t>
  </si>
  <si>
    <t>90247-5898</t>
  </si>
  <si>
    <t>F23662</t>
  </si>
  <si>
    <t>ICE, CUMMINS, MODEL QST30-G3, SERIAL NO. 37189538, DIESEL, TWELVE CYLINDERS, TURBOCHARGED AND AFTERCOOLED, RATED AT 1340 BHP , EMERGENCY</t>
  </si>
  <si>
    <t xml:space="preserve">1786 ORANGE AVE                                                                 </t>
  </si>
  <si>
    <t xml:space="preserve">(714) 7397395   </t>
  </si>
  <si>
    <t>F23664</t>
  </si>
  <si>
    <t>ICE, CUMMINS, MODEL QST30-G3, SERIAL NO. 37189537, DIESEL, TWELVE CYLINDERS, TURBOCHARGED AND AFTERCOOLED, RATED AT 1340 BHP , EMERGENCY</t>
  </si>
  <si>
    <t>F23690</t>
  </si>
  <si>
    <t xml:space="preserve">COLLINS ANDY                                      </t>
  </si>
  <si>
    <t xml:space="preserve">(336) 6584317   </t>
  </si>
  <si>
    <t xml:space="preserve">LOWES HOME IMPROVEMENT CENTER           </t>
  </si>
  <si>
    <t>F37621</t>
  </si>
  <si>
    <t>ICE, DETROIT DIESEL, EMR, DIESEL, MODEL S60, SN 644528, 6 CYL, 550 BHP, TURBOCHARGED</t>
  </si>
  <si>
    <t xml:space="preserve">50390 WINCHESTER RD                                                             </t>
  </si>
  <si>
    <t xml:space="preserve">LOWE'S HOME IMPROVEMENT WAREHOUSE       </t>
  </si>
  <si>
    <t>F23088</t>
  </si>
  <si>
    <t>ICE, DETROIT DIESEL, EMR, DIESEL, MODEL 6063-TK35, SN 06RO544485, 6 CYL, 550 BHP, TURBOCHARGED</t>
  </si>
  <si>
    <t xml:space="preserve">7300 CARSON BLVD                                                                </t>
  </si>
  <si>
    <t xml:space="preserve">COTE JAY P                                        </t>
  </si>
  <si>
    <t>F37296</t>
  </si>
  <si>
    <t>ICE, DETROIT DIESEL, EMR, DIESEL, MODEL 6063-TK35, SN 691055, 6 CYL, 550 BHP, TURBOCHARGED</t>
  </si>
  <si>
    <t xml:space="preserve">9851 MAGNOLIA AVE                                                               </t>
  </si>
  <si>
    <t>F37297</t>
  </si>
  <si>
    <t>ICE, DETROIT DIESEL, EMR, DIESEL, MODEL S60, SN 0686122, 6 CYL, 550 BHP, TURBOCHARGED</t>
  </si>
  <si>
    <t>S60</t>
  </si>
  <si>
    <t xml:space="preserve">5001 RAMON RD                                                                   </t>
  </si>
  <si>
    <t xml:space="preserve">LOYOLA MARYMOUNT UNIVERSITY             </t>
  </si>
  <si>
    <t>D88759</t>
  </si>
  <si>
    <t xml:space="preserve">7900 LOYOLA BLVD                                                                </t>
  </si>
  <si>
    <t>90045-2699</t>
  </si>
  <si>
    <t xml:space="preserve">BEASLEY CATHY                                     </t>
  </si>
  <si>
    <t xml:space="preserve">(310) 3381932   </t>
  </si>
  <si>
    <t>LUCENT TECHNOLOGIES, MICROELECTRONICS GR</t>
  </si>
  <si>
    <t>F34559</t>
  </si>
  <si>
    <t>ICE, CATERPILLAR, EMERGENCY ELECTRICAL GENERATION, DIESEL, MODEL 3512,  12 CYL, 2168 BHP,  TURBOCHARGED, AFTERCOOLED</t>
  </si>
  <si>
    <t xml:space="preserve">4920 RIVERGRADE RD                                                              </t>
  </si>
  <si>
    <t xml:space="preserve">IRWINDALE                </t>
  </si>
  <si>
    <t xml:space="preserve">KANIPE MARK                                       </t>
  </si>
  <si>
    <t xml:space="preserve">(626) 2931136   </t>
  </si>
  <si>
    <t xml:space="preserve">MAGUIRE THOMAS PARTNERS DEVELOPMENT LTD </t>
  </si>
  <si>
    <t>D76557</t>
  </si>
  <si>
    <t>ICE, DETROIT DIESEL ALLISON, DIESEL FUELED, EMERGENCY, MODEL NO. 9123-7306, SERIAL NO. 12E0007807; 12 CYLINDERS, TURBOCHARGED AND AFTERCOOLED, 1250 BHP.</t>
  </si>
  <si>
    <t xml:space="preserve">333/355 S GRAND AVE                                                             </t>
  </si>
  <si>
    <t xml:space="preserve">BROWN JAMES H                                     </t>
  </si>
  <si>
    <t xml:space="preserve">(213) 2534200   </t>
  </si>
  <si>
    <t>D76558</t>
  </si>
  <si>
    <t>ICE, DETROIT DIESEL ALLISON, DIESEL FUELED, EMERGENCY, MODEL NO. 9163-7305, SERIAL NO. 12E0007807; 12 CYLINDERS, TURBOCHARGED AND AFTERCOOLED, 1400 BHP.</t>
  </si>
  <si>
    <t>9163-7305</t>
  </si>
  <si>
    <t xml:space="preserve">MAGUIRE THOMAS PARTNERS,LIBRARY SQ LTD  </t>
  </si>
  <si>
    <t>D74009</t>
  </si>
  <si>
    <t>ICE, NO. 1, CATERPILLAR, DIESEL-FUELED, EMERGENCY, MODEL NO. 3512, 12 CYLINDERS, TURBOCHARGED AND AFTERCOOLED, 1779 BHP</t>
  </si>
  <si>
    <t xml:space="preserve">633 W 5TH ST                                                                    </t>
  </si>
  <si>
    <t xml:space="preserve">SCROGGINS CHUCK                                   </t>
  </si>
  <si>
    <t xml:space="preserve">(213) 6134828   </t>
  </si>
  <si>
    <t>D74010</t>
  </si>
  <si>
    <t>ICE, NO. 2, CATERPILLAR, DIESEL-FUELED, EMERGENCY, MODEL NO. 3508, 8 CYLINDERS, TURBOCHARGED AND AFTERCOOLED, 1336 BHP.</t>
  </si>
  <si>
    <t xml:space="preserve">MAGUIRE THOMAS PARTNERS-FIFTH&amp;GRAND LTD </t>
  </si>
  <si>
    <t>D43860</t>
  </si>
  <si>
    <t>ICE, CATERPILLAR, MODEL NO. 3512, DIESEL FUELED, EMERGENCY, TURBOCHARGED, AFTERCOOLED, 12 CYLINDERS, 1592 BHP.</t>
  </si>
  <si>
    <t xml:space="preserve">555 W 5TH ST                                                                    </t>
  </si>
  <si>
    <t xml:space="preserve">SCOTT RANDALL L                                   </t>
  </si>
  <si>
    <t xml:space="preserve">(213) 6801782   </t>
  </si>
  <si>
    <t>D43861</t>
  </si>
  <si>
    <t>ICE, CATERPILLAR, MODEL NO. 3508, DIESEL-FUELED, EMERGENCY, TURBOCHARGED, AFTERCOOLED, 8 CYLINDERS, 1106 BHP.</t>
  </si>
  <si>
    <t xml:space="preserve">700 NEWPORT CENTER DR                                                           </t>
  </si>
  <si>
    <t xml:space="preserve">MANN MIKE                                         </t>
  </si>
  <si>
    <t xml:space="preserve">(714) 6403360   </t>
  </si>
  <si>
    <t>F16936</t>
  </si>
  <si>
    <t>ICE, CUMMINS, 12 CYLINDERS, TURBOCHARGED, AFTERCOOLED, MODEL NO. KTA38-G4, 1490 BHP, DIESEL, EMERGENCY</t>
  </si>
  <si>
    <t>92660-6397</t>
  </si>
  <si>
    <t>F16937</t>
  </si>
  <si>
    <t>F22889</t>
  </si>
  <si>
    <t>ICE, CUMMINS, 6 CYLINDERS, TURBOCHARGED, AFTERCOOLED, MODEL NO. KTA19-G4, 755 BHP, DIESEL, EMERGENCY.</t>
  </si>
  <si>
    <t xml:space="preserve">PACIFIC TOWER ASSOCIATES                </t>
  </si>
  <si>
    <t>D17641</t>
  </si>
  <si>
    <t xml:space="preserve">ICE, CATERPILLAR, DIESEL, EMR, MODEL 3412 DIT, SN 81Z2238, 12 CYL, 680 BHP, </t>
  </si>
  <si>
    <t xml:space="preserve">300 OCEANGATE                                                                   </t>
  </si>
  <si>
    <t xml:space="preserve">SMITH DOUG                                        </t>
  </si>
  <si>
    <t xml:space="preserve">(562) 4358200   </t>
  </si>
  <si>
    <t xml:space="preserve">PACIFICARE HEALTH SYSTEMS               </t>
  </si>
  <si>
    <t>D67862</t>
  </si>
  <si>
    <t>ICE, CATERPILLAR, DIESEL, EMERGENCY, MODEL NO. 3508, SERIAL NUMBER 1ZF00454, TURBOCHARGED AND AFTERCOOLED, 8 CYLINDERS, 1456 BHP.</t>
  </si>
  <si>
    <t xml:space="preserve">6400 GATEWAY DR                                                                 </t>
  </si>
  <si>
    <t xml:space="preserve">SAMARIN GARY                                      </t>
  </si>
  <si>
    <t xml:space="preserve">(714) 8217700   </t>
  </si>
  <si>
    <t>ICE, CATERPILLAR, 6 CYLINDERS, TURBOCHARGED, AFTERCOOLED, MODEL NO. 3406 DITA (350 KW), SERIAL NO. 4203510, 519 BHP, DIESEL-FUELED, DRIVING AN EMERGENCY ELECTRICAL GENERATOR.</t>
  </si>
  <si>
    <t xml:space="preserve">20525 QUIGLEY                                                                   </t>
  </si>
  <si>
    <t xml:space="preserve">SANTA CLARITA            </t>
  </si>
  <si>
    <t xml:space="preserve">HILL ROSA                                         </t>
  </si>
  <si>
    <t xml:space="preserve">(310) 2163560   </t>
  </si>
  <si>
    <t xml:space="preserve">MENIFEE VALLEY MEDICAL CENTER           </t>
  </si>
  <si>
    <t>D08770</t>
  </si>
  <si>
    <t>ICE, CATERPILLAR, 12 CYLINDERS, TURBOCHARGED, AFTERCOOLED, MODEL NO. 3412 (600 KW), 890 BHP, DIESEL, EMERGENCY GENERATOR.</t>
  </si>
  <si>
    <t xml:space="preserve">28400 MCCALL BLVD                                                               </t>
  </si>
  <si>
    <t xml:space="preserve">GREENER RICHARD                                   </t>
  </si>
  <si>
    <t xml:space="preserve">(909) 6798888   </t>
  </si>
  <si>
    <t xml:space="preserve">MERISEL                                 </t>
  </si>
  <si>
    <t>F23963</t>
  </si>
  <si>
    <t>ICE, CUMMINS, 6 CYLINDERS, TURBOCHARGED, AFTERCOOLED, MODEL NO. KTA 19-G4, 755 BHP, DIESEL, EMERGENCY GENERATOR.</t>
  </si>
  <si>
    <t xml:space="preserve">200 CONTINENTAL BLVD                                                            </t>
  </si>
  <si>
    <t xml:space="preserve">MILLER THOMAS E                                   </t>
  </si>
  <si>
    <t xml:space="preserve">(310) 5354322   </t>
  </si>
  <si>
    <t xml:space="preserve">MERLE NORMAN COSMETICS                  </t>
  </si>
  <si>
    <t>M52125</t>
  </si>
  <si>
    <t>ICE, CATERPILLAR, DIESEL, EMR, MODEL 3516, 16 CYL, 2058 BHP, TURBOCHARGED, AFTERCOOLED</t>
  </si>
  <si>
    <t xml:space="preserve">15180 BLEDSOE ST                                                                </t>
  </si>
  <si>
    <t xml:space="preserve">NOLIND DICK                                       </t>
  </si>
  <si>
    <t xml:space="preserve">(818) 3671085   </t>
  </si>
  <si>
    <t>D91635</t>
  </si>
  <si>
    <t>ICE, CATERPILLAR, 6 CYLINDERS, TURBOCHARGED, AFTERCOOLED, MODEL NO. 3406 DITA (350 KW), 519 BHP, DIESEL, EMERGENCY GENERATOR.</t>
  </si>
  <si>
    <t xml:space="preserve">9035 BELLANCA AVE                                                               </t>
  </si>
  <si>
    <t xml:space="preserve">MORSE BERT                                        </t>
  </si>
  <si>
    <t xml:space="preserve">(310) 3372294   </t>
  </si>
  <si>
    <t xml:space="preserve">METHODIST HOSPITAL OF SO CAL            </t>
  </si>
  <si>
    <t>M35033</t>
  </si>
  <si>
    <t>ICE, CUMMINS, DIESEL, EMR, MODEL KTA2300-GS, 12 CYL, 1135 BHP, 750 KW, TURBOCHARGED, AFTERCOOLED</t>
  </si>
  <si>
    <t>KTA2300-GS</t>
  </si>
  <si>
    <t xml:space="preserve">300 W HUNTINGTON DR                                                             </t>
  </si>
  <si>
    <t xml:space="preserve">DUFFIELD BOB                                      </t>
  </si>
  <si>
    <t xml:space="preserve">(818) 5743722   </t>
  </si>
  <si>
    <t>M55206</t>
  </si>
  <si>
    <t xml:space="preserve">ICE, DETROIT DIESEL, ALLISON, EMR, DIESEL, MODEL 8163-7305, SN 16VF006714, 8 CYL, 960 BHP, </t>
  </si>
  <si>
    <t>8163-7305</t>
  </si>
  <si>
    <t>M55780</t>
  </si>
  <si>
    <t>F14658</t>
  </si>
  <si>
    <t>ICE, DETROIT DIESEL, 12 CYLINDERS, TURBOCHARGED, AFTERCOOLED, MODEL NO. 12V-92TA, 830 BHP, DIESEL-FUELED, DRIVING AN EMERGENCY ELECTRICAL GENERATOR.</t>
  </si>
  <si>
    <t>F15311</t>
  </si>
  <si>
    <t>ICE, DETROIT DIESEL, 12 CYLINDERS, TURBOCHARGED, AFTERCOOLED, MODEL NO. 8123-7416 (12V-92TA), SERIAL NO. 12VF012627, 947 BHP, DIESEL, EMERGENCY GENERATOR.</t>
  </si>
  <si>
    <t xml:space="preserve">METRO WATER DIST OF SO CAL              </t>
  </si>
  <si>
    <t>F37402</t>
  </si>
  <si>
    <t>ICE, CATERPILLAR, MODEL 3516 DITA (1500 KW) , SERIAL NO. 25Z05484, DIESEL FUEL, 16 CYLINDERS, TURBOCHARGED AND AFTERCOOLED, RATED AT 2151 BHP, EMERGENCY GENERATOR.</t>
  </si>
  <si>
    <t xml:space="preserve">13100 BALBOA BLVD                                                               </t>
  </si>
  <si>
    <t xml:space="preserve">VINSONHALER LAURA                                 </t>
  </si>
  <si>
    <t xml:space="preserve">(909) 3922512   </t>
  </si>
  <si>
    <t>F37400</t>
  </si>
  <si>
    <t>ICE, CATERPILLAR, MODEL 3508 DITA (900 KW), SERIAL NO. 23Z03269, DIESEL FUEL, 8 CYLINDERS, TURBOCHARGED AND AFTERCOOLED, RATED AT 1337 BHP, EMERGENCY GENERATOR</t>
  </si>
  <si>
    <t xml:space="preserve">3972 VALLEY VIEW AVE                                                            </t>
  </si>
  <si>
    <t xml:space="preserve">YORBA LINDA              </t>
  </si>
  <si>
    <t>F37401</t>
  </si>
  <si>
    <t>ICE, CATERPILLAR, PORTABLE, DIESEL, EMR, MODEL 3508, 8 CYL, 1332 BHP TURBOCHARGED, AFTERCOOLED</t>
  </si>
  <si>
    <t xml:space="preserve">F4281 </t>
  </si>
  <si>
    <t>ICE, KOMATSU, MODEL SA6D170A, DIESEL, 6 CYL, 684 BHP, TURBOCHARGED, AFTERCOOLED</t>
  </si>
  <si>
    <t>Komatsu</t>
  </si>
  <si>
    <t>SA6D 170A</t>
  </si>
  <si>
    <t xml:space="preserve">IRVINE RANCH WATER DIST/PORTOLA ZONE    </t>
  </si>
  <si>
    <t>F37342</t>
  </si>
  <si>
    <t>ICE, CUMMINS, DIESEL, EMR,  MODEL QST30-G1, SN 23Z05804, 12 CYL,  1135 BHP, TURBOCHARGED, AFTERCOOLED</t>
  </si>
  <si>
    <t xml:space="preserve">27841 GLENN RANCH RD                                                            </t>
  </si>
  <si>
    <t xml:space="preserve">FOOTHILL RANCH           </t>
  </si>
  <si>
    <t xml:space="preserve">IRVINE, CITY OF-OPERATION SUPPORT FAC.  </t>
  </si>
  <si>
    <t>F25439</t>
  </si>
  <si>
    <t>ICE, CATERPILLAR, DIESEL, EMR, MODEL 3412 DIT, SN 81702023,  8 CYL, 750 BHP TURBOCHARGED</t>
  </si>
  <si>
    <t xml:space="preserve">6427 OAK CANYON                                                                 </t>
  </si>
  <si>
    <t xml:space="preserve">SMITH CHRIS                                       </t>
  </si>
  <si>
    <t xml:space="preserve">(949) 7247556   </t>
  </si>
  <si>
    <t xml:space="preserve">ISUZU MOTORS AMERICA INC                </t>
  </si>
  <si>
    <t>F21487</t>
  </si>
  <si>
    <t>ICE, CATERPILLAR, DIESEL, EMR, MODEL 3512, 12 CYL, 1786 BHP TURBOCHARGED, AFTERCOOLED</t>
  </si>
  <si>
    <t xml:space="preserve">7101 VILLAGE DR                                                                 </t>
  </si>
  <si>
    <t xml:space="preserve">PATTERSN JOHN                                     </t>
  </si>
  <si>
    <t xml:space="preserve">(562) 2297114   </t>
  </si>
  <si>
    <t xml:space="preserve">J.H. SNYDER CO III, L.P.                </t>
  </si>
  <si>
    <t>D92036</t>
  </si>
  <si>
    <t>ICE, DETROIT DIESEL, EMR, DIESEL, MODEL 7163-7305, SN 16VA015500,  670 BHP, 16 CYL,   TURBOCHARGED,  AFTERCOOLED</t>
  </si>
  <si>
    <t xml:space="preserve">5670 WILSHIRE BLVD                                                              </t>
  </si>
  <si>
    <t xml:space="preserve">GRATHWOHL DANNY                                   </t>
  </si>
  <si>
    <t xml:space="preserve">(213) 9655546   </t>
  </si>
  <si>
    <t xml:space="preserve">JAMES HARDIE BUILDING PRODUCTS INC      </t>
  </si>
  <si>
    <t>F20615</t>
  </si>
  <si>
    <t>ICE, CATERPILLAR, DIESEL, EMR, MODEL 3406 DI-TA-JW, 6 CYL, 520 BHP, TURBOCHARGED, AFTERCOOLED</t>
  </si>
  <si>
    <t xml:space="preserve">10901 ELM AVE                                                                   </t>
  </si>
  <si>
    <t xml:space="preserve">DODDS SCOTT                                       </t>
  </si>
  <si>
    <t xml:space="preserve">(909) 3566301   </t>
  </si>
  <si>
    <t xml:space="preserve">JEWISH HOME FOR THE AGING               </t>
  </si>
  <si>
    <t xml:space="preserve">F5428 </t>
  </si>
  <si>
    <t>ICE, DETROIT DIESEL, EMR, DIESEL, MODEL 8123-7416 (12V-92TA),  940 BHP, 12 CYL,   TURBOCHARGED,  AFTERCOOLED</t>
  </si>
  <si>
    <t xml:space="preserve">18855 VICTORY BLVD                                                              </t>
  </si>
  <si>
    <t xml:space="preserve">RESEDA                   </t>
  </si>
  <si>
    <t>91335-6499</t>
  </si>
  <si>
    <t xml:space="preserve">CASTILLO RONNIE                                   </t>
  </si>
  <si>
    <t xml:space="preserve">(818) 7743081   </t>
  </si>
  <si>
    <t xml:space="preserve">JURUPA COMMUNITY SERVICES DISTRICT      </t>
  </si>
  <si>
    <t>02404E</t>
  </si>
  <si>
    <t>E04653</t>
  </si>
  <si>
    <t>ICE, CATERPILLAR, MODEL NO. 3516B DITA SC ELECTRONICALLY CONTROLLED, SERIAL NO. 61N000682, TURBOCHARGED AND AFTERCOOLED, DIESEL FUELED, EMERGENCY ELECTRICAL GENERATOR, 2300 BHP.</t>
  </si>
  <si>
    <t>3516B DITA</t>
  </si>
  <si>
    <t xml:space="preserve">800 S HOPE STE 300                                                              </t>
  </si>
  <si>
    <t xml:space="preserve">HUNZIKER-KLAES NANCY                              </t>
  </si>
  <si>
    <t xml:space="preserve">(972) 7296322   </t>
  </si>
  <si>
    <t>F31311</t>
  </si>
  <si>
    <t>ICE, CATERPILLAR, MODEL NO. 3516B DITA SC ELECTRONICALLY CONTROLLED, SERIAL NO. 61N00685, TURBOCHARGED AND AFTERCOOLED, DIESEL FUELED, EMERGENCY ELECTRICAL GENERATOR, 2300 BHP.</t>
  </si>
  <si>
    <t>3516B</t>
  </si>
  <si>
    <t xml:space="preserve">MCI WORLDCOM NETWORK SERVICES, INC      </t>
  </si>
  <si>
    <t>F24416</t>
  </si>
  <si>
    <t>ICE, UNIT NO. 1 CUMMINS, MODEL QSK60-G6, TURBOCHARGED LOW TEMPERATURE AND AFTERCOOLED, DIESEL FUELED, EMERGENCY, SIXTEEN CYLINDERS, 2922 BHP.</t>
  </si>
  <si>
    <t>QSK60-G6</t>
  </si>
  <si>
    <t xml:space="preserve">1501 FRANCISCO ST                                                               </t>
  </si>
  <si>
    <t xml:space="preserve">VENNEMAN STEPHEN M                                </t>
  </si>
  <si>
    <t xml:space="preserve">(972) 7296692   </t>
  </si>
  <si>
    <t>F24417</t>
  </si>
  <si>
    <t>ICE, UNIT NO. 2, CUMMINS, MODEL QSK60-G6, TURBOCHARGED LOW TEMPERATURE AND AFTERCOOLED, DIESEL, EMERGENCY, SIXTEEN CYLINDERS, 2922 BHP.</t>
  </si>
  <si>
    <t>F24418</t>
  </si>
  <si>
    <t>ICE, UNIT NO. 3 CUMMINS, MODEL QSK60-G6, TURBOCHARGED LOW TEMPERATURE AND AFTERCOOLED, DIESEL FUELED, EMERGENCY, SIXTEEN CYLINDERS, 2922 BHP.</t>
  </si>
  <si>
    <t>F24419</t>
  </si>
  <si>
    <t>ICE, UNIT NO. 4 CUMMINS, MODEL QSK60-G6, TURBOCHARGED LOW TEMPERATURE AND AFTERCOOLED, DIESEL FUELED, EMERGENCY, SIXTEEN CYLINDERS, 2922 BHP.</t>
  </si>
  <si>
    <t>F24420</t>
  </si>
  <si>
    <t>ICE, PORTABLE, CATERPILLAR, MODEL NO. 3512 XQ, SERIAL NO. 24Z09197, DIESEL, TURBOCHARGED AND AFTERCOOLED, 1662 BHP</t>
  </si>
  <si>
    <t>F22348</t>
  </si>
  <si>
    <t>ICE, PORTABLE, CATERPILLAR, MODEL NO. 3516 XQ, SERIAL NO. 25Z06478, DIESEL, TURBOCHARGED AND AFTERCOOLED, 2304 BHP</t>
  </si>
  <si>
    <t>3516 XQ</t>
  </si>
  <si>
    <t>PRATT/NO PLZ ASSOC-MAXIMSDEPARIS STE HTL</t>
  </si>
  <si>
    <t>D12271</t>
  </si>
  <si>
    <t>ICE, CATERPILLAR, DIESEL, EMERGENCY, MODEL NO. 3408, SERIAL NO. 78201602, TURBOCHARGED, AFTERCOOLED, 8 CYLINDERS, 538 BHP.</t>
  </si>
  <si>
    <t xml:space="preserve">285 N PALM CANYON DR                                                            </t>
  </si>
  <si>
    <t xml:space="preserve">MORENO CARLOS                                     </t>
  </si>
  <si>
    <t xml:space="preserve">(619) 3229000   </t>
  </si>
  <si>
    <t xml:space="preserve">PREMIER AMERICA FEDERAL CREDIT UNION    </t>
  </si>
  <si>
    <t>D37294</t>
  </si>
  <si>
    <t>ICE, CATERPILLAR, MODEL NO. 3406, DIESEL, EMERGENCY, TURBOCHARGED, AFTERCOOLED, 6 CYLINDERS, 519 BHP.</t>
  </si>
  <si>
    <t xml:space="preserve">19867 PRAIRIE ST                                                                </t>
  </si>
  <si>
    <t xml:space="preserve">CROSBY MIKE                                       </t>
  </si>
  <si>
    <t xml:space="preserve">(818) 7724079   </t>
  </si>
  <si>
    <t xml:space="preserve">PRESBYTERIAN INTERCOMMUNITY HOSP        </t>
  </si>
  <si>
    <t>M38189</t>
  </si>
  <si>
    <t>ICE, DETROIT DIESEL, EMR, DIESEL, MODEL 8163-7305, 590 BHP, 500 KW, TURBOCHARGED</t>
  </si>
  <si>
    <t xml:space="preserve">12401 E WASHINGTON BLVD                                                         </t>
  </si>
  <si>
    <t xml:space="preserve">ORTIZ JOE                                         </t>
  </si>
  <si>
    <t xml:space="preserve">(310) 6980811   </t>
  </si>
  <si>
    <t>D73391</t>
  </si>
  <si>
    <t>ICE, CATERPILLAR, DIESEL, EMERGENCY, MODEL NO. 3508, TURBOCHARGED, AFTERCOOLED, 12 CYLINDERS, 1199 BHP.</t>
  </si>
  <si>
    <t xml:space="preserve">PACOIMA                  </t>
  </si>
  <si>
    <t xml:space="preserve">PRINCESS CRUISES                        </t>
  </si>
  <si>
    <t>F20930</t>
  </si>
  <si>
    <t>ICE, DETROIT DIESEL, DIESEL, 12 CYLINDERS, TURBOCHARGED, AFTERCOOLED, MODEL NO. 9123-7426, 1850 BHP, EMERGENCY</t>
  </si>
  <si>
    <t>9123-7426</t>
  </si>
  <si>
    <t xml:space="preserve">24305 TOWN CENTER DR                                                            </t>
  </si>
  <si>
    <t xml:space="preserve">GUNTHER JAN                                       </t>
  </si>
  <si>
    <t xml:space="preserve">(661) 2554000   </t>
  </si>
  <si>
    <t xml:space="preserve">PROVIDENCE HOLY CROSS MEDICAL CTR.      </t>
  </si>
  <si>
    <t>F12552</t>
  </si>
  <si>
    <t>DIESEL ENGINE, LAWLESS DETROIT DIESEL, MODEL NO. 12V-149T, 12 CYLINDERS, 1135 HP, 800 KW, EMERGENCY</t>
  </si>
  <si>
    <t>12V-149T</t>
  </si>
  <si>
    <t xml:space="preserve">15031 RINALDI ST                                                                </t>
  </si>
  <si>
    <t>91345-1285</t>
  </si>
  <si>
    <t xml:space="preserve">BRINK RAY                                         </t>
  </si>
  <si>
    <t xml:space="preserve">(818) 8984523   </t>
  </si>
  <si>
    <t xml:space="preserve">QUEEN OF THE VALLEY HOSPITAL            </t>
  </si>
  <si>
    <t>D16903</t>
  </si>
  <si>
    <t>ICE, CUMMINS, DIESEL-FUELED, EMERGENCY, MODEL NO. KTA38-G1, TURBOCHARGED, AFTERCOOLED, 12 CYLINDERS, 1067 BHP.</t>
  </si>
  <si>
    <t xml:space="preserve">1115 S SUNSET AVE                                                               </t>
  </si>
  <si>
    <t xml:space="preserve">HENDERSON JEFFREY                                 </t>
  </si>
  <si>
    <t xml:space="preserve">(818) 9624011   </t>
  </si>
  <si>
    <t xml:space="preserve">QUINBY BUILDING                         </t>
  </si>
  <si>
    <t>F26336</t>
  </si>
  <si>
    <t>ICE, CATERPILLAR, MODEL NO. D348 (600 KW), SERIAL NO. 36J2963, DIESEL, EMERGENCY, TURBOCHARGED, 1040 BHP.</t>
  </si>
  <si>
    <t xml:space="preserve">650 S GRAND AVE                                                                 </t>
  </si>
  <si>
    <t xml:space="preserve">GOBLE JIM                                         </t>
  </si>
  <si>
    <t xml:space="preserve">(213) 6225995   </t>
  </si>
  <si>
    <t>F26337</t>
  </si>
  <si>
    <t>ICE, CATERPILLAR, MODEL NO. D348 (600 KW), SERIAL NO. 36J2960, DIESEL, EMERGENCY, TURBOCHARGED, 1040 BHP.</t>
  </si>
  <si>
    <t xml:space="preserve">QWEST COMMUNICATIONS CORPORATION        </t>
  </si>
  <si>
    <t>F32576</t>
  </si>
  <si>
    <t>ICE, CATERPILLAR, 12 CYLINDERS, TURBOCHARGED, AFTERCOOLED, MODEL NO. 3512B DITA (1500 KW), SERIAL NO. 8RM00527, 2155 BHP, DIESEL, EMERGENCY</t>
  </si>
  <si>
    <t>ICE, CATERPILLAR, MODEL 3516 DITA (1500 KW), SERIAL NO. 25Z05485, DIESEL FUEL, 16 CYLINDERS, TURBOCHARGED AND AFTERCOOLED, RATED AT 2151 BHP, DRIVING AN EMERGENCY STAND-BY GENERATOR.</t>
  </si>
  <si>
    <t xml:space="preserve">METROPLEX, LLC                          </t>
  </si>
  <si>
    <t>F27837</t>
  </si>
  <si>
    <t>ICE ENGINE, CATERPILLAR, DIESEL-FUELED, EMERGENCY ELECTRICAL GENERATION, MODEL 3412, SERIAL NO. 81Z04223, TURBOCHARGED AND AFTERCOOLED, 890 BHP.</t>
  </si>
  <si>
    <t xml:space="preserve">3530 WILSHIRE BLVD                                                              </t>
  </si>
  <si>
    <t xml:space="preserve">FARSON KRISTINE                                   </t>
  </si>
  <si>
    <t xml:space="preserve">(213) 3879713   </t>
  </si>
  <si>
    <t xml:space="preserve">METROPOLITAN STRUCTURES WEST INC        </t>
  </si>
  <si>
    <t>D77198</t>
  </si>
  <si>
    <t>ICE, CATERPILLAR, DIESEL FUELED, EMERGENCY, MODEL NO. 3512, SERIAL NO. 24Z01077, 12 CYLINDERS, TURBOCHARGED AND AFTERCOOLED, 1482 BHP.</t>
  </si>
  <si>
    <t xml:space="preserve">300 S GRAND AVE                                                                 </t>
  </si>
  <si>
    <t xml:space="preserve">SMITH FRED                                        </t>
  </si>
  <si>
    <t xml:space="preserve">(213) 6872011   </t>
  </si>
  <si>
    <t xml:space="preserve">METROPOLITAN WATER DIST OF SO CAL       </t>
  </si>
  <si>
    <t xml:space="preserve">F2578 </t>
  </si>
  <si>
    <t>INTERNAL COMBUSTION ENGINE, CATERPILLAR, MODEL NO. 3512STD, SERIAL NO. 24Z06652, DIESEL FUEL, TWELVE CYLINDERS, TURBOCHARGED/ AFTERCOOLED, RATED AT 1482 BHP, EMERGENCY GENERATOR</t>
  </si>
  <si>
    <t xml:space="preserve">33740 BOREL RD                                                                  </t>
  </si>
  <si>
    <t xml:space="preserve">F2579 </t>
  </si>
  <si>
    <t>ICE, CATERPILLAR, MODEL NO. 3512 STD, SERIAL NO. 24Z06641, DIESEL FUEL, TWELVE CYLINDERS, TURBOCHARGED/ AFTERCOOLED, RATED AT 1482 BHP, DRIVING AN EMERGENCY GENERATOR.</t>
  </si>
  <si>
    <t>F37343</t>
  </si>
  <si>
    <t>ICE, CATERPILLAR, MODEL 3516 DITA (1500 KW), SERIAL NO. 25205474, DIESEL FUEL, 16 CYLINDERS, TURBOCHARGED AND AFTERCOOLED, RATED AT 2151 BHP, EMERGENCY GENERATOR</t>
  </si>
  <si>
    <t xml:space="preserve">700 N ALAMEDA ST                                                                </t>
  </si>
  <si>
    <t xml:space="preserve">SIMON MARK                                        </t>
  </si>
  <si>
    <t>F36945</t>
  </si>
  <si>
    <t>ICE, CATERPILLAR, MODEL 3512 DITA (1100 KW), SERIAL NO. 24Z03343, DIESEL FUEL, 12 CYLINDERS, TURBOCHARGED AND AFTERCOOLED, RATED AT 1586 BHP, EMERGENCY GENERATOR</t>
  </si>
  <si>
    <t xml:space="preserve">700 N MORENO AVE FE WEYMOUTH FILTRATION PLANT                                   </t>
  </si>
  <si>
    <t xml:space="preserve">LA VERNE                 </t>
  </si>
  <si>
    <t xml:space="preserve">(213) 2176660   </t>
  </si>
  <si>
    <t xml:space="preserve">METROPOLITAN WATER DISTRICT             </t>
  </si>
  <si>
    <t>F36941</t>
  </si>
  <si>
    <t>ICE, DETROIT DIESEL, MODEL 7243-7406 (24V-71TA), SERIAL NO. 504986, DIESEL, 24 CYLINDERS, TURBOCHARGED AND AFTERCOOLED, RATED AT 1550 BHP, EMERGENCY GENERATOR</t>
  </si>
  <si>
    <t>7243-7406</t>
  </si>
  <si>
    <t xml:space="preserve">700 N MORENO AVE                                                                </t>
  </si>
  <si>
    <t xml:space="preserve">METROPOLITAN WATER DISTRICT OF SO CAL   </t>
  </si>
  <si>
    <t>D79479</t>
  </si>
  <si>
    <t>PORTABLE ICE, CATERPILLAR, DIESEL-FUELED, EMERGENCY ELECTRICAL GENERATION, MODEL NO. 3412 DIT, SERIAL NO. 81Z11279, TURBO-CHARGED, AFTERCOOLED, 12 CYLINDERS, 749 BHP.</t>
  </si>
  <si>
    <t>F36938</t>
  </si>
  <si>
    <t>INTERNAL COMBUSTION ENGINE, DETROIT DIESEL, MODEL 9123-7416 (12V-149TIB), SERIAL NO. 12E00100995, DIESEL FUEL, 12 CYLINDERS, TURBOCHARGED AND AFTERCOOLED, RATED AT 1750 BHP, DRIVING AN EMERGENCY STAND-BY GENERATOR.</t>
  </si>
  <si>
    <t xml:space="preserve">33752 E NEWPORT RD                                                              </t>
  </si>
  <si>
    <t xml:space="preserve">MICRON PC WEB SVCS, INC - HOSTPRO       </t>
  </si>
  <si>
    <t>F32578</t>
  </si>
  <si>
    <t>ICE, CATERPILLAR, MODEL NO. 3512B DITA, DIESEL, TURBOCHARGED, AFTERCOOLED, RATED AT 2155 BHP, EMERGENCY GENERATOR.</t>
  </si>
  <si>
    <t xml:space="preserve">3250 WILSHIRE BLVD                                                              </t>
  </si>
  <si>
    <t xml:space="preserve">PARK LEX                                          </t>
  </si>
  <si>
    <t xml:space="preserve">(208) 4932043   </t>
  </si>
  <si>
    <t xml:space="preserve">MIDWAY HOSPITAL MEDICAL CENTER          </t>
  </si>
  <si>
    <t>D76568</t>
  </si>
  <si>
    <t>ICE, DETROIT, MODEL NO. V-12-717, DIESEL FUELED, EMERGENCY, TURBOCHARGED, 12 CYLINDERS, 575 BHP</t>
  </si>
  <si>
    <t>V12-717</t>
  </si>
  <si>
    <t xml:space="preserve">5925 SAN VICENTE BLVD                                                           </t>
  </si>
  <si>
    <t>90019-6696</t>
  </si>
  <si>
    <t xml:space="preserve">KLINE GORDON                                      </t>
  </si>
  <si>
    <t xml:space="preserve">(213) 9383161   </t>
  </si>
  <si>
    <t xml:space="preserve">MEDTRONIC MINIMED, INC.                 </t>
  </si>
  <si>
    <t>F23725</t>
  </si>
  <si>
    <t>ICE, CATERPILLAR, 12 CYLINDERS, TURBOCHARGED, AFTERCOOLED, MODEL NO. 3512 DITA (1250 KW), 1801 BHP, DIESEL-FUELED,  EMERGENCY GENERATOR.</t>
  </si>
  <si>
    <t xml:space="preserve">18000 DEVONSHIRE ST                                                             </t>
  </si>
  <si>
    <t xml:space="preserve">NORTHRIDGE               </t>
  </si>
  <si>
    <t xml:space="preserve">LICHAVCO GINGER                                   </t>
  </si>
  <si>
    <t xml:space="preserve">(818) 3622358   </t>
  </si>
  <si>
    <t xml:space="preserve">MIOTEL CORP, MIOTEL HOTEL CORP DBA      </t>
  </si>
  <si>
    <t xml:space="preserve">F5427 </t>
  </si>
  <si>
    <t>ICE, CATERPILLAR MODEL SR-4, DIESEL, EMERGENCY, SERIAL NO. 6FA04303, TURBOCHARGED, 12 CYLINDERS, TWO CYCLE, 749 BHP AT 1800 RPM.</t>
  </si>
  <si>
    <t>SR-4</t>
  </si>
  <si>
    <t xml:space="preserve">8555 BEVERLY BLVD                                                               </t>
  </si>
  <si>
    <t xml:space="preserve">JOHNSON CYNTHIA                                   </t>
  </si>
  <si>
    <t xml:space="preserve">(310) 2785444   </t>
  </si>
  <si>
    <t>MISSION HOSPITAL REGIONAL MEDICAL CENTER</t>
  </si>
  <si>
    <t>F22015</t>
  </si>
  <si>
    <t>ICE, CUMMINS MODEL NO. KTA19-G4, 6 CYLINDERS,TURBOCHARGED, AFTERCOOLED,  755 BHP, DIESEL, EMERGENCY GENERATOR</t>
  </si>
  <si>
    <t xml:space="preserve">27700 MEDICAL CENTER RD                                                         </t>
  </si>
  <si>
    <t xml:space="preserve">NEAL GLENN                                        </t>
  </si>
  <si>
    <t xml:space="preserve">(949) 3647751   </t>
  </si>
  <si>
    <t>MISSION VIEJO MED DEV CO,MISSION H R M C</t>
  </si>
  <si>
    <t>D61307</t>
  </si>
  <si>
    <t>ICE, CATERPILLAR MODEL NO. 3512/1100, DIESEL, 12 CYLINDERS, FOUR CYCLE, EMERGENCY, TURBOCHARGED, AFTERCOOLED, 1575 BHP.</t>
  </si>
  <si>
    <t xml:space="preserve">SICHLEY BRUCE                                     </t>
  </si>
  <si>
    <t xml:space="preserve">(714) 3647784   </t>
  </si>
  <si>
    <t>D72765</t>
  </si>
  <si>
    <t>ICE, MITSUBISHI, NO. S16N-PT, DIESEL, EMERGENCY, TURBOCHARGED, AFTERCOOLED, 16 CYLINDERS, 1750 BHP.</t>
  </si>
  <si>
    <t>S16N-PT</t>
  </si>
  <si>
    <t xml:space="preserve">MITSUBISHI MOTOR SALES OF AMERICA INC   </t>
  </si>
  <si>
    <t>F34791</t>
  </si>
  <si>
    <t>ICE, VOLVO PENTA, MODEL TAD1631GE, SERIAL NO. 2160037809, TURBOCHARGED, AFTERCOOLED, DIESEL, EMERGENCY GENERATOR, 730 BHP.</t>
  </si>
  <si>
    <t xml:space="preserve">6400 &amp; 6440 KATELLA AVE                                                         </t>
  </si>
  <si>
    <t xml:space="preserve">CYPRESS                  </t>
  </si>
  <si>
    <t xml:space="preserve">SPROWL WALT                                       </t>
  </si>
  <si>
    <t xml:space="preserve">(714) 3726218   </t>
  </si>
  <si>
    <t xml:space="preserve">MOBIL OIL CORP, WEST COAST PIPELINES    </t>
  </si>
  <si>
    <t>D82186</t>
  </si>
  <si>
    <t>ICE, CUMMINS, 16 CYLINDERS, TURBOCHARGED, AFTERCOOLED, MODEL NO. KTTA50-G2, 2220 BHP, DIESEL-FUELED, EMERGENCY</t>
  </si>
  <si>
    <t xml:space="preserve">551 PILCHARD ST                                                                 </t>
  </si>
  <si>
    <t xml:space="preserve">RICHARDSON KELLY                                  </t>
  </si>
  <si>
    <t xml:space="preserve">(310) 2124248   </t>
  </si>
  <si>
    <t>MOBIL OIL CORP,WEST COAST PIPELINES GNRL</t>
  </si>
  <si>
    <t>D82185</t>
  </si>
  <si>
    <t>ICE, CUMMINS, 16 CYLINDERS, TURBOCHARGED, AFTERCOOLED, MODEL NO. KTA38-G1, 1135 BHP, DIESEL-FUELED, EMERGENCY</t>
  </si>
  <si>
    <t xml:space="preserve">799 S SEASIDE AVE                                                               </t>
  </si>
  <si>
    <t xml:space="preserve">WIEBE KURT                                        </t>
  </si>
  <si>
    <t xml:space="preserve">(714) 5567992   </t>
  </si>
  <si>
    <t xml:space="preserve">MORENO VALLEY CITY                      </t>
  </si>
  <si>
    <t>F23964</t>
  </si>
  <si>
    <t>ICE, CATERPILLAR, 12 CYLINDERS, TURBOCHARGED, AFTERCOOLED, MODEL NO. 3412 DISTA (750 KW), 1109 BHP, DIESEL, EMERGENCY GENERATOR</t>
  </si>
  <si>
    <t xml:space="preserve">14177 FREDERICK ST                                                              </t>
  </si>
  <si>
    <t xml:space="preserve">ROSS DAVID                                        </t>
  </si>
  <si>
    <t xml:space="preserve">(909) 4133130   </t>
  </si>
  <si>
    <t>MORLIN MANAGEMENT CORP, HIRO REAL ESTATE</t>
  </si>
  <si>
    <t>F36290</t>
  </si>
  <si>
    <t>ICE, DETROIT DIESEL, 12 CYLINDERS, TURBOCHARGED, AFTERCOOLED, MODEL NO. R123-7K35 (679 KW), SERIAL NO. 5352001119, 910 BHP, DIESEL, EMERGENCY</t>
  </si>
  <si>
    <t>R123-7K35</t>
  </si>
  <si>
    <t xml:space="preserve">617 W 7TH ST STE 1010                                                           </t>
  </si>
  <si>
    <t xml:space="preserve">MOORE TIM                                         </t>
  </si>
  <si>
    <t xml:space="preserve">(213) 6224442   </t>
  </si>
  <si>
    <t xml:space="preserve">MOTION PICTURE &amp; TELEVISION FUND        </t>
  </si>
  <si>
    <t>D63387</t>
  </si>
  <si>
    <t>ICE, CATERPILLAR, DIESEL, EMERGENCY, MODEL 3412, TURBOCHARGED, AFTERCOOLED, 12 CYLINDERS, 890 BHP</t>
  </si>
  <si>
    <t xml:space="preserve">23388 MULHOLLAND DR                                                             </t>
  </si>
  <si>
    <t>91364-2792</t>
  </si>
  <si>
    <t xml:space="preserve">SPALINGER MICHAEL                                 </t>
  </si>
  <si>
    <t xml:space="preserve">(818) 8761180   </t>
  </si>
  <si>
    <t xml:space="preserve">MOULTON NIGUEL WATER DIST               </t>
  </si>
  <si>
    <t>D13343</t>
  </si>
  <si>
    <t>ICE, CATERPILLAR, DIESEL, EMERGENCY, MODEL 3406 B/4RG00222, TURBOCHARGED, AFTERCOOLED, 6 CYLINDERS, 518 BHP.</t>
  </si>
  <si>
    <t xml:space="preserve">31447 NIGUEL RD                                                                 </t>
  </si>
  <si>
    <t xml:space="preserve">LAGUNA NIGUEL            </t>
  </si>
  <si>
    <t xml:space="preserve">SMITH JAMES E.                                    </t>
  </si>
  <si>
    <t xml:space="preserve">(714) 6432006   </t>
  </si>
  <si>
    <t>D13829</t>
  </si>
  <si>
    <t>ICE, CATERPILLAR, DIESEL, EMERGENCY, MODEL 3412, SN 81Z04431, TURBOCHARGED, AFTERCOOLED, 12 CYLINDERS, 749 BHP.</t>
  </si>
  <si>
    <t xml:space="preserve">24271 CROWN VALLEY PKY                                                          </t>
  </si>
  <si>
    <t xml:space="preserve">MOULTON NIGUEL WATER DISTRICT           </t>
  </si>
  <si>
    <t>D33401</t>
  </si>
  <si>
    <t>ICE, CATERPILLAR, NATURAL GAS FUELED, EMERGENCY GENERATOR, MODEL 3412 SITA, TURBOCHARGED, AFTERCOOLED, 8 CYLINDERS, 597 BHP, WITH A NON-SELECTIVE CATALYTIC REDUCTION SYSTEM, HOUSTON INDUSTRIAL SILENCING.</t>
  </si>
  <si>
    <t xml:space="preserve">26593 MEADOW CREST DR                                                           </t>
  </si>
  <si>
    <t xml:space="preserve">ESQUER MARK                                       </t>
  </si>
  <si>
    <t xml:space="preserve">(714) 9681221   </t>
  </si>
  <si>
    <t>D42400</t>
  </si>
  <si>
    <t>ICE, CATERPILLAR, LPG FUELED, EMERGENCY, MODEL NO. 3412 SITA, SERIAL NO. 7DB00518, TURBOCHARGED, AFTERCOOLED, 12 CYLINDERS, 600 BHP.</t>
  </si>
  <si>
    <t xml:space="preserve">27155 ALISO CREEK RD                                                            </t>
  </si>
  <si>
    <t xml:space="preserve">HABASH CARLO                                      </t>
  </si>
  <si>
    <t xml:space="preserve">(714) 6432584   </t>
  </si>
  <si>
    <t>D85357</t>
  </si>
  <si>
    <t>ICE, CATERPILLAR MODEL 3412 SITA, LPG FUELED, 12 CYLINDERS, 565 BHP, TURBOCHARGED/ AFTERCOOLED, WITH A HOUSTON INDUSTRIAL DeNOx CATALYTIC CONVERTER, EMERGENCY GENERATOR</t>
  </si>
  <si>
    <t xml:space="preserve">27133 WOOD CANYON DR                                                            </t>
  </si>
  <si>
    <t>F19442</t>
  </si>
  <si>
    <t>ICE, CATERPILLAR MODEL NO. 3508 DITA (1000 KW), DIESEL, EMERGENCY, EIGHT CYLINDERS, TURBOCHARGED AND AFTERCOOLED, RATEDAT 1465 BHP.</t>
  </si>
  <si>
    <t xml:space="preserve">28386 ALICIA PKY                                                                </t>
  </si>
  <si>
    <t xml:space="preserve">WILLIAMS JOHN                                     </t>
  </si>
  <si>
    <t xml:space="preserve">(949) 4253525   </t>
  </si>
  <si>
    <t xml:space="preserve">MT. SAN ANTONIO COMMUNITY COLLEGE       </t>
  </si>
  <si>
    <t>D20763</t>
  </si>
  <si>
    <t>ICE, CATERPILLAR, DIESEL, EMERGENCY, MODEL 3516TA, TURBOCHARGED, AFTERCOOLED, 16 CYLINDERS 2149 BHP.</t>
  </si>
  <si>
    <t>3516 TA</t>
  </si>
  <si>
    <t xml:space="preserve">1100 N GRAND AVE                                                                </t>
  </si>
  <si>
    <t xml:space="preserve">WALNUT                   </t>
  </si>
  <si>
    <t xml:space="preserve">SNEED ROGER                                       </t>
  </si>
  <si>
    <t xml:space="preserve">(909) 5945611   </t>
  </si>
  <si>
    <t>D20764</t>
  </si>
  <si>
    <t xml:space="preserve">NAKANO FOODS, INC.                      </t>
  </si>
  <si>
    <t>M57430</t>
  </si>
  <si>
    <t>ICE, CUMMINS, DIESEL, EMR, MODEL KTA1150-GS1, 565 BHP, 365 KW</t>
  </si>
  <si>
    <t>KTA1150-GS1</t>
  </si>
  <si>
    <t xml:space="preserve">10037 E 8TH ST                                                                  </t>
  </si>
  <si>
    <t xml:space="preserve">PAPAI RON                                         </t>
  </si>
  <si>
    <t xml:space="preserve">(909) 9894211   </t>
  </si>
  <si>
    <t xml:space="preserve">NASA JET PROPULSION LAB                 </t>
  </si>
  <si>
    <t>D89305</t>
  </si>
  <si>
    <t>ICE, CUMMINS, EMERGENCY, MODEL NTTA 855 GS2, SERIAL NO. H880147524, 6 CYLINDERS, TURBOCHARGED/ AFTERCOOLED, 535 BHP</t>
  </si>
  <si>
    <t>NTTA855-GS2</t>
  </si>
  <si>
    <t xml:space="preserve">4800 OAK GROVE DR                                                               </t>
  </si>
  <si>
    <t xml:space="preserve">PHAM JAMES                                        </t>
  </si>
  <si>
    <t xml:space="preserve">(818) 3549579   </t>
  </si>
  <si>
    <t xml:space="preserve">F6089 </t>
  </si>
  <si>
    <t>ICE, DETROIT DIESEL, CATERPILLAR, DIESEL, EMERGENCY, MODEL NO. 3516 DITA, 16 CYLINDERS, SERIAL NUMBER 25Z05039, TURBOCHARGED AND AFTERCOOLED, 2151 BHP.</t>
  </si>
  <si>
    <t>F10324</t>
  </si>
  <si>
    <t>ICE, CATERPILLAR, 16 CYLINDERS, TURBOCHARGED, AFTERCOOLED, MODEL NO. 3516 DITA, 2151 BHP, DIESEL, EMERGENCY GENERATOR</t>
  </si>
  <si>
    <t>F10325</t>
  </si>
  <si>
    <t>F19914</t>
  </si>
  <si>
    <t>ICE, DETROIT DIESEL, 8 CYLINDERS, TURBOCHARGED, AFTERCOOLED, MODEL NO. 8083-7405 (8V-92TA), 568 BHP, DIESEL, EMERGENCY GENERATOR</t>
  </si>
  <si>
    <t xml:space="preserve">NATCO                                   </t>
  </si>
  <si>
    <t>F21601</t>
  </si>
  <si>
    <t>ICE, CATERPILLAR, TURBOCHARGED AND AFTERCOOLED, MODEL D398, SERIAL NO. 66B7748, 940 BHP, DIESEL-FUELED, DRIVING AN ELECTRICAL GENERATOR.</t>
  </si>
  <si>
    <t xml:space="preserve">PAGENDARM BILL                                    </t>
  </si>
  <si>
    <t xml:space="preserve">(800) 3237100   </t>
  </si>
  <si>
    <t>F21602</t>
  </si>
  <si>
    <t>ICE, CATERPILLAR, TURBOCHARGED AND AFTERCOOLED, MODEL D398, SERIAL NO. 66B7753, 940 BHP, DIESEL-FUELED, DRIVING AN ELECTRICAL GENERATOR.</t>
  </si>
  <si>
    <t>F23397</t>
  </si>
  <si>
    <t>ICE, CATERPILLAR, TURBOCHARGED AND AFTERCOOLED, MODEL D398, SERIAL NO. 66B6741, 940 BHP, DIESEL-FUELED, DRIVING AN ELECTRIC GENERATOR.</t>
  </si>
  <si>
    <t>F23398</t>
  </si>
  <si>
    <t>ICE, CATERPILLAR, TURBOCHARGED AND AFTERCOOLED, MODEL D398, SERIAL NO. 66B3062, 940 BHP, DIESEL-FUELED, DRIVING AN ELECTRIC GENERATOR.</t>
  </si>
  <si>
    <t xml:space="preserve">NATIONAL BROADCASTING CO INC(NBC)       </t>
  </si>
  <si>
    <t>D92545</t>
  </si>
  <si>
    <t>ICE NO. 1, CATERPILLAR MODEL 3516, SERIAL NO. 25200840, DIESEL, EMERGENCY, TURBOCHARGED, 16 CYLINDERS, 2153 BHP</t>
  </si>
  <si>
    <t xml:space="preserve">3000 W ALAMEDA AVE                                                              </t>
  </si>
  <si>
    <t>91523-0001</t>
  </si>
  <si>
    <t xml:space="preserve">TANKERSON LAURA L.                                </t>
  </si>
  <si>
    <t>D92546</t>
  </si>
  <si>
    <t>ICE NO. 2, CATERPILLAR MODEL 3516, SERIAL NO. 25700606, DIESEL, EMERGENCY, TURBOCHARGED, 16 CYLINDERS, 2153 BHP</t>
  </si>
  <si>
    <t>D92547</t>
  </si>
  <si>
    <t>ICE NO. 3, CATERPILLAR MODEL 3516, SERIAL NO. 25700605, DIESEL, EMERGENCY, TURBOCHARGED, 16 CYLINDERS, 2153 BHP</t>
  </si>
  <si>
    <t>NATIONAL MEDICAL ENTER.,GARFIELD MED CTR</t>
  </si>
  <si>
    <t>D40890</t>
  </si>
  <si>
    <t>ICE, CATERPILLAR, DIESEL, EMERGENCY, MODEL NO. G-349, SERIAL NO. 93R89, 16 CYLINDERS, NATURALLY ASPIRATED, 600 BHP</t>
  </si>
  <si>
    <t>G349</t>
  </si>
  <si>
    <t xml:space="preserve">525 N GARFIELD AVE                                                              </t>
  </si>
  <si>
    <t xml:space="preserve">QUIJADA JOE                                       </t>
  </si>
  <si>
    <t xml:space="preserve">(626) 3072016   </t>
  </si>
  <si>
    <t xml:space="preserve">NATIONAL RAILROAD PASSENGER CORP-AMTRAK </t>
  </si>
  <si>
    <t>D69118</t>
  </si>
  <si>
    <t>ICE, EMERGENCY, CATERPILLAR, DIESEL, MODEL NO. 3512 TA, FOUR CYCLE, TURBOCHARGED, AFTERCOOLED, TWELVE CYLINDERS, 1425 BHP @ 1800 RPM, 1000KW</t>
  </si>
  <si>
    <t xml:space="preserve">7920 LINDBERGH DR                                                               </t>
  </si>
  <si>
    <t xml:space="preserve">SOLTES THOMAS J.                                  </t>
  </si>
  <si>
    <t xml:space="preserve">(714) 2787780   </t>
  </si>
  <si>
    <t>NETWORK TELEPHONE SERVICES INC, FAC DEPT</t>
  </si>
  <si>
    <t>F10401</t>
  </si>
  <si>
    <t>ICE, CATERPILLAR, 6 CYLINDERS, TURBOCHARGED, AFTERCOOLED, MODEL NO. 3406 DITA (400 KW), SERIAL NO. 4ZR02701, 587 BHP, DIESEL, EMERGENCY GENERATOR</t>
  </si>
  <si>
    <t xml:space="preserve">6203 VARIEL AVE                                                                 </t>
  </si>
  <si>
    <t xml:space="preserve">MAXON GEORGE                                      </t>
  </si>
  <si>
    <t xml:space="preserve">(818) 2271132   </t>
  </si>
  <si>
    <t xml:space="preserve">NEXTLINK CALIFORNIA INC                 </t>
  </si>
  <si>
    <t>F37606</t>
  </si>
  <si>
    <t>ICE, CUMMINS, EMERGENCY, MODEL NO. KTA19-G4, SERIAL NO. 37190026, DIESEL, SIX CYLINDERS, TURBOCHARGED AND AFTERCOOLED, 755 BHP.</t>
  </si>
  <si>
    <t xml:space="preserve">1924 DEERE AVE                                                                  </t>
  </si>
  <si>
    <t xml:space="preserve">BRADLEY VICTOR                                    </t>
  </si>
  <si>
    <t xml:space="preserve">(949) 4177800   </t>
  </si>
  <si>
    <t>F37604</t>
  </si>
  <si>
    <t>ICE, CUMMINS, EMERGENCY, MODEL KTA19-G4, DIESEL, SIX CYLINDER, TURBOCHARGED AND AFTERCOOLED, 755 BHP.</t>
  </si>
  <si>
    <t xml:space="preserve">NIKKEN USA, LTD.                        </t>
  </si>
  <si>
    <t>F19700</t>
  </si>
  <si>
    <t>ICE, DETROIT DIESEL, 12 CYLINDERS, TURBOCHARGED, AFTERCOOLED, MODEL NO. 12V-92TA, 830 BHP, DIESEL, EMERGENCY GENERATOR</t>
  </si>
  <si>
    <t xml:space="preserve">52 DISCOVERY                                                                    </t>
  </si>
  <si>
    <t xml:space="preserve">CHAVEZ AL                                         </t>
  </si>
  <si>
    <t xml:space="preserve">(949) 7892000   </t>
  </si>
  <si>
    <t>F21078</t>
  </si>
  <si>
    <t>ICE, DETROIT DIESEL, 12 CYLINDER, TURBOCHARGED, AFTERCOOLED, MODEL NO. R123-7K05 (12V-2000 G70), 910 BHP, DIESEL FUELED, DRIVING AN EMERGENCY ELECTRICAL GENERATOR.</t>
  </si>
  <si>
    <t>R123-7K05</t>
  </si>
  <si>
    <t xml:space="preserve">NISSAN MOTOR CORP IN U.S.A.             </t>
  </si>
  <si>
    <t>D72050</t>
  </si>
  <si>
    <t>ICE, CATERPILLAR, DIESEL FUELED, EMERGENCY, MODEL 3412DI, SERIAL NO. 81203457, NATURALLY ASPIRATED, 12 CYLINDERS, FOUR CYCLES, 890 BHP.</t>
  </si>
  <si>
    <t xml:space="preserve">18600 S FIGUEROA ST                                                             </t>
  </si>
  <si>
    <t xml:space="preserve">CARSON                   </t>
  </si>
  <si>
    <t>90248-4504</t>
  </si>
  <si>
    <t xml:space="preserve">(213) 5161338   </t>
  </si>
  <si>
    <t xml:space="preserve">NORTHRIDGE HOSPITAL MEDICAL CENTER      </t>
  </si>
  <si>
    <t>F20243</t>
  </si>
  <si>
    <t>ICE, CUMMINS, MODEL NO. VTA12800GS, SERIAL NO. DB92055257, DIESEL FUELED, EMERGENCY, TURBOCHARGED, AFTERCOOLED, 12 CYLINDERS, 670 BHP.</t>
  </si>
  <si>
    <t>VTA12800GS</t>
  </si>
  <si>
    <t xml:space="preserve">18300 ROSCOE BLVD                                                               </t>
  </si>
  <si>
    <t xml:space="preserve">ROARK CHARLES                                     </t>
  </si>
  <si>
    <t xml:space="preserve">(818) 8855383   </t>
  </si>
  <si>
    <t>F20244</t>
  </si>
  <si>
    <t>ICE, CUMMINS, MODEL NO. VTA12800GS, SERIAL NO. DD920554107, DIESEL FUELED, EMERGENCY, TURBOCHARGED, AFTERCOOLED, 12 CYLINDERS, 670 BHP.</t>
  </si>
  <si>
    <t>F20245</t>
  </si>
  <si>
    <t>ICE, CUMMINS, MODEL NO. VTA28G1, SERIAL NO. 25162850, DIESEL FUELED, EMERGENCY, TURBOCHARGED, AFTERCOOLED, 12 CYLINDERS, 760 BHP.</t>
  </si>
  <si>
    <t>VTA28-G1</t>
  </si>
  <si>
    <t>NORTHRIDGE HOSPITAL MEDICAL CENTER SHERM</t>
  </si>
  <si>
    <t>F20229</t>
  </si>
  <si>
    <t>ICE, KURTZ AND ROOT, COMPRESSION IGNITION, FOUR STROKE, NATURALLY ASPIRATED, V-12 TYPE, MODEL NO. KD-400, 700 HP, DIESEL, 400 KW GENERATOR</t>
  </si>
  <si>
    <t>Kurtz and Root</t>
  </si>
  <si>
    <t>KD-400</t>
  </si>
  <si>
    <t xml:space="preserve">14500 SHERMAN CIR                                                               </t>
  </si>
  <si>
    <t xml:space="preserve">COOK WILLIAM J.                                   </t>
  </si>
  <si>
    <t xml:space="preserve">(818) 9088675   </t>
  </si>
  <si>
    <t>NORTHROP GRUMMAN PLAZA C/O RICHARD ELLIS</t>
  </si>
  <si>
    <t>ICE, CUMMINS, DIESEL, EMERGENCY ELECTRICAL GENERATION, MODEL KTA 38-G2, 12 CYL, 1200 BHP, TURBOCHARGED, AFTERCOOLED</t>
  </si>
  <si>
    <t xml:space="preserve">5550 INGLEWOOD BLVD PP 654                                                      </t>
  </si>
  <si>
    <t xml:space="preserve">(213) 4855877   </t>
  </si>
  <si>
    <t>D89704</t>
  </si>
  <si>
    <t xml:space="preserve">15266 CABRITO RD                                                                </t>
  </si>
  <si>
    <t xml:space="preserve">COOR QUAL. PERMITS                                </t>
  </si>
  <si>
    <t xml:space="preserve">(213) 4858272   </t>
  </si>
  <si>
    <t>F17142</t>
  </si>
  <si>
    <t>ICE, CUMMINS, DIESEL, EMR, MODEL QST30-G1, 750 KW, 12 CYL, TURBOCHARGED, AFTERCOOLED</t>
  </si>
  <si>
    <t>LA CITY, BUREAU OF SANITATION-WASTEWATER</t>
  </si>
  <si>
    <t>D82325</t>
  </si>
  <si>
    <t>ICE, CATERPILLAR, DIESEL, EMR, MODEL 3412 DITA, 500 KW, 12 CYL, TURBOCHARGED, AFTERCOOLED</t>
  </si>
  <si>
    <t xml:space="preserve">1164 DACOTAH ST                                                                 </t>
  </si>
  <si>
    <t xml:space="preserve">CQUAY STEVE MC                                    </t>
  </si>
  <si>
    <t xml:space="preserve">LA CITY, DEPARTMENT OF AIRPORTS         </t>
  </si>
  <si>
    <t>D96051</t>
  </si>
  <si>
    <t>ICE, CUMMINS, DIESEL, EMR, MODEL KTA 1150G, 555 BHP, 6 CYL, TURBOCHARGED, AFTERCOOLED</t>
  </si>
  <si>
    <t xml:space="preserve">KTA1150-G </t>
  </si>
  <si>
    <t xml:space="preserve">ONTARIO INTERNATIONAL AIRPORT                                                   </t>
  </si>
  <si>
    <t>91761-7771</t>
  </si>
  <si>
    <t xml:space="preserve">WANG LIN                                          </t>
  </si>
  <si>
    <t xml:space="preserve">(310) 6463853   </t>
  </si>
  <si>
    <t xml:space="preserve">F7128 </t>
  </si>
  <si>
    <t>ICE, CATERPILLAR, DIESEL, EMR, MODEL 3508 DITA, SN 23Z06721, 900 KW, 8 CYL, TURBOCHARGED, AFTERCOOLED</t>
  </si>
  <si>
    <t xml:space="preserve">F7130 </t>
  </si>
  <si>
    <t>ICE, CATERPILLAR, DIESEL, EMR, MODEL 3512 DITA, SN 24Z07642, 1100 KW, 12 CYL, TURBOCHARGED, AFTERCOOLED</t>
  </si>
  <si>
    <t xml:space="preserve">F7132 </t>
  </si>
  <si>
    <t>ICE, CATERPILLAR, DIESEL, EMR, MODEL 3508 DITA, SN 23Z06720, 900 KW, 8 CYL, TURBOCHARGED, AFTERCOOLED</t>
  </si>
  <si>
    <t xml:space="preserve">F7134 </t>
  </si>
  <si>
    <t>ICE, CATERPILLAR, DIESEL, EMR, MODEL 3512 DITA, SN 23Z07648, 1100 KW, 12 CYL, TURBOCHARGED, AFTERCOOLED</t>
  </si>
  <si>
    <t xml:space="preserve">LA CITY, DEPT OF AIRPORTS               </t>
  </si>
  <si>
    <t>D48477</t>
  </si>
  <si>
    <t>ICE, CATERPILLAR, DIESEL, EMR, MODEL D349, SN 61P01533, 1100 BHP, 16 CYL, TURBOCHARGED, AFTERCOOLED</t>
  </si>
  <si>
    <t xml:space="preserve">380 WORLD WAY                                                                   </t>
  </si>
  <si>
    <t xml:space="preserve">LAHAM MAURICE Z.                                  </t>
  </si>
  <si>
    <t xml:space="preserve">(213) 6463853   </t>
  </si>
  <si>
    <t xml:space="preserve">LA CITY, DEPT OF GEN SERVICES           </t>
  </si>
  <si>
    <t xml:space="preserve">200 N SPRING ST                                                                 </t>
  </si>
  <si>
    <t xml:space="preserve">AREVALO JOAN                                      </t>
  </si>
  <si>
    <t xml:space="preserve">(213) 4855619   </t>
  </si>
  <si>
    <t>D72800</t>
  </si>
  <si>
    <t>ICE, DETROIT DIESEL, EMERGENCY ELECTRICAL GENERATION, DIESEL, MODEL 9163-7146, SN XB375-4458-01, 2161 BHP, 6 CYL, TURBOCHARGED, AFTERCOOLED</t>
  </si>
  <si>
    <t>9163-7146</t>
  </si>
  <si>
    <t xml:space="preserve">1201 S FIGUEROA ST                                                              </t>
  </si>
  <si>
    <t>90015-1376</t>
  </si>
  <si>
    <t xml:space="preserve">WARD ALLEN                                        </t>
  </si>
  <si>
    <t xml:space="preserve">(213) 7654672   </t>
  </si>
  <si>
    <t>D72351</t>
  </si>
  <si>
    <t>ICE, DETROIT DIESEL, EMERGENCY ELECTRICAL GENERATION, DIESEL, MODEL 9163-7146, SN XB375-4458-02, 2161 BHP, 6 CYL, TURBOCHARGED, AFTERCOOLED</t>
  </si>
  <si>
    <t>D72352</t>
  </si>
  <si>
    <t>ICE, DETROIT DIESEL, EMERGENCY ELECTRICAL GENERATION, DIESEL, MODEL 9163-7146, SN XB375-4458-03, 2161 BHP, 6 CYL, TURBOCHARGED, AFTERCOOLED</t>
  </si>
  <si>
    <t>F11402</t>
  </si>
  <si>
    <t>ICE, DETROIT DIESEL, EMERGENCY ELECTRICAL GENERATION, DIESEL, MODEL 8083-7416, SN 99039, 643 BHP, 8 CYL, TURBOCHARGED, AFTERCOOLED</t>
  </si>
  <si>
    <t xml:space="preserve">251 E 6TH ST                                                                    </t>
  </si>
  <si>
    <t xml:space="preserve">PALKA PAULA                                       </t>
  </si>
  <si>
    <t xml:space="preserve">(213) 4851578   </t>
  </si>
  <si>
    <t>F11476</t>
  </si>
  <si>
    <t>ICE, DETROIT DIESEL, EMERGENCY ELECTRICAL GENERATION, DIESEL, MODEL 8083-7416, SN 99040, 643 BHP, 8 CYL, TURBOCHARGED, AFTERCOOLED</t>
  </si>
  <si>
    <t>90012-4111</t>
  </si>
  <si>
    <t>F11403</t>
  </si>
  <si>
    <t>ICE, DETROIT DIESEL, MODEL NO. 8163-7416, DIESEL, EMERGENCY, ELECTRICAL GENERATOR DRIVER, TURBOCHARGED, AFTERCOOLED, 16 CYLINDERS, 1170 BHP.</t>
  </si>
  <si>
    <t xml:space="preserve">2644 SANTIAGO CYN RD                                                            </t>
  </si>
  <si>
    <t xml:space="preserve">DAVIDSON STAN                                     </t>
  </si>
  <si>
    <t xml:space="preserve">(714) 5677725   </t>
  </si>
  <si>
    <t>D64770</t>
  </si>
  <si>
    <t>F23879</t>
  </si>
  <si>
    <t xml:space="preserve">ICE, CUMMINS, 12 CYLINDERS, TURBOCHARGED, AFTERCOOLED, MODEL NO. QST30-G2 (800 KW), 1200 BHP, DIESEL, EMERGENCY </t>
  </si>
  <si>
    <t xml:space="preserve">ORANGE CO, ORANGEWOOD CHILDRENS HOME    </t>
  </si>
  <si>
    <t>F20477</t>
  </si>
  <si>
    <t>ICE, CUMMINS, 6 CYLINDERS, TURBOCHARGED, AFTERCOOLED, MODEL NO. KTA-19-G4, 755 BHP, DIESEL, EMERGENCY</t>
  </si>
  <si>
    <t xml:space="preserve">401 THE CITY DR                                                                 </t>
  </si>
  <si>
    <t xml:space="preserve">HOBBS TIM                                         </t>
  </si>
  <si>
    <t xml:space="preserve">(714) 5417849   </t>
  </si>
  <si>
    <t xml:space="preserve">ORANGE CO, PFRD/FACILITIES OPERATIONS   </t>
  </si>
  <si>
    <t>D87286</t>
  </si>
  <si>
    <t>ICE, EMERGENCY, DETROIT DIESEL, MODEL 8V-92TA, DIESEL, EIGHT CYLINDERS, TWO CYCLE, LEAN BURN, TURBOCHARGED, 568 BHP</t>
  </si>
  <si>
    <t xml:space="preserve">300320 FLOWER ST                                                                </t>
  </si>
  <si>
    <t xml:space="preserve">KNOY HOMER                                        </t>
  </si>
  <si>
    <t xml:space="preserve">(714) 5677728   </t>
  </si>
  <si>
    <t xml:space="preserve">ORANGE CO, PROBATION DEPT               </t>
  </si>
  <si>
    <t>F15744</t>
  </si>
  <si>
    <t>ICE, CUMMINS, 6 CYLINDERS, TURBOCHARGED, AFTERCOOLED, MODEL NO. NTA855-G3, 535 BHP, DIESEL, EMERGENCY</t>
  </si>
  <si>
    <t xml:space="preserve">19480 ROSE CANYON RD                                                            </t>
  </si>
  <si>
    <t xml:space="preserve">TRABUCO CANYON           </t>
  </si>
  <si>
    <t xml:space="preserve">SALCIDO JOE                                       </t>
  </si>
  <si>
    <t xml:space="preserve">(714) 8589374   </t>
  </si>
  <si>
    <t xml:space="preserve">ORANGE COAST MEMORIAL MEDICAL CENTER    </t>
  </si>
  <si>
    <t>D97288</t>
  </si>
  <si>
    <t>ICE, CATERPILLAR, MODEL NO. 3412, SERIAL NO. 2840760, DIESEL, EMERGENCY, TURBOCHARGED, AFTERCOOLED, 12 CYLINDERS, 805 BHP.</t>
  </si>
  <si>
    <t xml:space="preserve">9920 TALBERT AVE                                                                </t>
  </si>
  <si>
    <t xml:space="preserve">FUERY KEN                                         </t>
  </si>
  <si>
    <t xml:space="preserve">(714) 3787025   </t>
  </si>
  <si>
    <t>D97289</t>
  </si>
  <si>
    <t>ICE, KOHLER, MODEL NO. 500RQZD71, SERIAL NO. 283367, DIESEL, EMERGENCY, TURBOCHARGED, AFTERCOOLED, 8 CYLINDERS, 619 BHP</t>
  </si>
  <si>
    <t>500RQZD71</t>
  </si>
  <si>
    <t xml:space="preserve">ORANGE COUNTY TEACHERS FED CREDIT UNION </t>
  </si>
  <si>
    <t>D84042</t>
  </si>
  <si>
    <t xml:space="preserve">15422 DEL AMO AVE                                                               </t>
  </si>
  <si>
    <t xml:space="preserve">TODD STAN                                         </t>
  </si>
  <si>
    <t xml:space="preserve">(714) 5474141   </t>
  </si>
  <si>
    <t xml:space="preserve">ORANGE, COUNTY OF - GSA FACILITY OPS    </t>
  </si>
  <si>
    <t>F35919</t>
  </si>
  <si>
    <t>ICE, CUMMINS, MODEL NO. NTA855-G5, TURBOCHARGED, AFTERCOOLED, DIESEL FUELED, DRIVING AN EMERGENCY ELECTRICAL GENERATOR, 605 BHP.</t>
  </si>
  <si>
    <t xml:space="preserve">32951 ORTEGA HWY                                                                </t>
  </si>
  <si>
    <t xml:space="preserve">LUS CHARLES                                       </t>
  </si>
  <si>
    <t xml:space="preserve">(714) 5677719   </t>
  </si>
  <si>
    <t xml:space="preserve">ORANGE, COUNTY OF - JOHN WAYNE AIRPORT  </t>
  </si>
  <si>
    <t>D34585</t>
  </si>
  <si>
    <t>ICE NO. 3, CATERPILLAR DIESEL-FUELED, EMERGENCY ELECTRICAL GENERATION, MODEL 3406, SERIAL NO. JJ00339, TURBOCHARGED, AFTERCOOLED, 6 CYLINDERS, 518 BHP.</t>
  </si>
  <si>
    <t xml:space="preserve">18601 AIRPORT WAY NORTH                                                         </t>
  </si>
  <si>
    <t xml:space="preserve">GRIFFITH BRITT                                    </t>
  </si>
  <si>
    <t xml:space="preserve">(714) 2525269   </t>
  </si>
  <si>
    <t>D34584</t>
  </si>
  <si>
    <t>ICE NO. 4, CATERPILLAR DIESEL-FUELED, EMERGENCY ELECTRICAL GENERATION, MODEL 3406, SERIAL NO. JJ00342, TURBOCHARGED, AFTERCOOLED, 6 CYLINDERS, 518 BHP.</t>
  </si>
  <si>
    <t>D35740</t>
  </si>
  <si>
    <t>ICE NO. 1, CUMMINS, DIESEL, EMERGENCY, MODEL KTTA 19-GS21/GC2, SERIAL NO. 890252346, TURBOCHARGED, AFTERCOOLED, 6 CYLINDERS, 738 BHP</t>
  </si>
  <si>
    <t>KTTA19-GS1/GS2</t>
  </si>
  <si>
    <t>D35742</t>
  </si>
  <si>
    <t>ICE NO. 2, CUMMINS, DIESEL, EMERGENCY, MODEL KTTA 19-GS21/GC2, SERIAL NO. 890253448, TURBOCHARGED, AFTERCOOLED, 6 CYLINDERS, 738 BHP</t>
  </si>
  <si>
    <t>KTTA19-GS21/GC2</t>
  </si>
  <si>
    <t xml:space="preserve">F7912 </t>
  </si>
  <si>
    <t xml:space="preserve">LA CO., SHERIFF'S DEPT. HDQTRS          </t>
  </si>
  <si>
    <t>F24026</t>
  </si>
  <si>
    <t>ICE, CUMMINS,  DIESEL, EMR. MODEL N14-G2, SN 11964006, 6 CYL, 399 KW, TURBOCHARGED, AFTERCOOLED</t>
  </si>
  <si>
    <t xml:space="preserve">4700 RAMONA BLVD                                                                </t>
  </si>
  <si>
    <t xml:space="preserve">MONTEREY PARK            </t>
  </si>
  <si>
    <t xml:space="preserve">MIRANDA PETE                                      </t>
  </si>
  <si>
    <t xml:space="preserve">(323) 8813776   </t>
  </si>
  <si>
    <t xml:space="preserve">LA CO., WARM SPRINGS                    </t>
  </si>
  <si>
    <t>D48476</t>
  </si>
  <si>
    <t>ICE, DETROIT DIESEL, EMR, DIESEL, MODEL 7123-7000, SN 12VA23082, 12 CYL, 630 BHP, TURBOCHARGED, AFTERCOOLED</t>
  </si>
  <si>
    <t>7123-7000</t>
  </si>
  <si>
    <t xml:space="preserve">38200 N LAKE HUGHES RD                                                          </t>
  </si>
  <si>
    <t xml:space="preserve">(805) 2690062   </t>
  </si>
  <si>
    <t xml:space="preserve">LA CO.,DEPT HLH SRV,LA CO.,USC MDCL CTR </t>
  </si>
  <si>
    <t>D72772</t>
  </si>
  <si>
    <t>ICE, DETROIT DIESEL, EMR, DIESEL, MODEL 7163-7000, SN 16VA3465,  570 BHP, NATURALLY ASPIRATED</t>
  </si>
  <si>
    <t>7163-7000</t>
  </si>
  <si>
    <t xml:space="preserve">313 N FIGUEROA ST                                                               </t>
  </si>
  <si>
    <t>90012-2659</t>
  </si>
  <si>
    <t xml:space="preserve">BRADY PAT                                         </t>
  </si>
  <si>
    <t xml:space="preserve">(213) 2666041   </t>
  </si>
  <si>
    <t>LA CO.,INTERNAL SER DIV, S F VLY JUV HAL</t>
  </si>
  <si>
    <t xml:space="preserve">F4519 </t>
  </si>
  <si>
    <t>ICE, CUMMINS, DIESEL, EMR, MODEL KTA19-G3, 685 BHP, 6 CYL, TURBOCHARGED, AFTERCOOLED</t>
  </si>
  <si>
    <t>KTA19-G3</t>
  </si>
  <si>
    <t xml:space="preserve">16350 FILBERT ST                                                                </t>
  </si>
  <si>
    <t xml:space="preserve">GIVERTZ MARIE                                     </t>
  </si>
  <si>
    <t xml:space="preserve">(818) 3642445   </t>
  </si>
  <si>
    <t xml:space="preserve">LA COUNTY, DEPT OF PUBLIC WORKS         </t>
  </si>
  <si>
    <t>D13794</t>
  </si>
  <si>
    <t>ICE, CATERPILLAR, NAT. GAS, MODEL G398, SN 01281E, 6 CYL, 500 BHP, NATURALLY ASPIRATED</t>
  </si>
  <si>
    <t>G398</t>
  </si>
  <si>
    <t xml:space="preserve">1810 GAVIOTA ST                                                                 </t>
  </si>
  <si>
    <t xml:space="preserve">TAN WU                                            </t>
  </si>
  <si>
    <t xml:space="preserve">(213) 8610316   </t>
  </si>
  <si>
    <t>D13795</t>
  </si>
  <si>
    <t>ICE, CATERPILLAR, NAT. GAS, MODEL G398, SN 01281D, 6 CYL, 500 BHP, NATURALLY ASPIRATED</t>
  </si>
  <si>
    <t>D13796</t>
  </si>
  <si>
    <t>ICE, CATERPILLAR, NAT. GAS, MODEL G398, SN 01281C, 6 CYL, 500 BHP, NATURALLY ASPIRATED</t>
  </si>
  <si>
    <t>D13797</t>
  </si>
  <si>
    <t>ICE, NO. 3, DETROIT DIESEL, EMERGENCY ELECTRICAL GENERATION, DIESEL, MODEL 9163-7306, 1600 HP, 1150 KW</t>
  </si>
  <si>
    <t xml:space="preserve">EL MIRADOR MEDICAL PLAZA                </t>
  </si>
  <si>
    <t xml:space="preserve">F8154 </t>
  </si>
  <si>
    <t>ICE, CATERPILLAR, DIESEL, EMR, MODEL 3512-TA, 1100 KW, TURBOCCHARGED, AFTERCOOLED</t>
  </si>
  <si>
    <t xml:space="preserve">1180 N INDIAN CANYON DR                                                         </t>
  </si>
  <si>
    <t xml:space="preserve">EL TORO WATER DIST                      </t>
  </si>
  <si>
    <t>D13858</t>
  </si>
  <si>
    <t>ICE, CATERPILLAR, DIESEL, EMR, MODEL 3412, 737 BHP, TURBOCHARGED, AFTERCOOLED, 12 CYL,</t>
  </si>
  <si>
    <t xml:space="preserve">23542 MOULTON PKY                                                               </t>
  </si>
  <si>
    <t xml:space="preserve">LAGUNA HILLS             </t>
  </si>
  <si>
    <t xml:space="preserve">MAUTZ WES                                         </t>
  </si>
  <si>
    <t xml:space="preserve">(714) 8370580   </t>
  </si>
  <si>
    <t>F19347</t>
  </si>
  <si>
    <t>ICE, CATERPILLAR, DIESEL, EMR, MODEL 3516DITA,  1400 KW, TURBOCHARGED, AFTERCOOLED, 16 CYL,</t>
  </si>
  <si>
    <t>92653-1960</t>
  </si>
  <si>
    <t xml:space="preserve">EL TORO WATER DISTRICT                  </t>
  </si>
  <si>
    <t>D54902</t>
  </si>
  <si>
    <t>ICE, CATERPILLAR, DIESEL, EMR, MODEL 3412 TA,  860 BHP, TURBOCHARGED, AFTERCOOLED, 12 CYL,</t>
  </si>
  <si>
    <t xml:space="preserve">24141 MOULTON PKY                                                               </t>
  </si>
  <si>
    <t xml:space="preserve">CAFFERTY DENNIS                                   </t>
  </si>
  <si>
    <t xml:space="preserve">(714) 8377050   </t>
  </si>
  <si>
    <t xml:space="preserve">ELSINORE VALLEY MUN WATER DIST          </t>
  </si>
  <si>
    <t>M47880</t>
  </si>
  <si>
    <t>ICE, DETROIT DIESEL, EMERGENCY ELECTRICAL GENERATION, DIESEL, MODEL 7123-7305, 575 BHP, 400 KW,</t>
  </si>
  <si>
    <t xml:space="preserve">21982 RAILROAD CANYON RD                                                        </t>
  </si>
  <si>
    <t xml:space="preserve">LAKE ELSINORE            </t>
  </si>
  <si>
    <t xml:space="preserve">EICH TED                                          </t>
  </si>
  <si>
    <t xml:space="preserve">(909) 6743146   </t>
  </si>
  <si>
    <t>D70991</t>
  </si>
  <si>
    <t>ICE, CATERPILLAR, MODEL 3412TA, DIESEL, EMERGENCY ELECTRICAL GENERATION, 804 BHP, 600 KW, TURBOCHARGED, AFTERCOOLED</t>
  </si>
  <si>
    <t xml:space="preserve">18200 TRELEVEN AVE                                                              </t>
  </si>
  <si>
    <t xml:space="preserve">EICH THEODORE P.                                  </t>
  </si>
  <si>
    <t>ELSINORE VALLEY MUNICIPAL WATER DISTRICT</t>
  </si>
  <si>
    <t>D44073</t>
  </si>
  <si>
    <t>ICE, CATERPILLAR, MODEL 3408TA, SN 7824085, DIESEL, EMR, 8 CYL, 576 BHP, TURBOCHARGED, AFTERCOOLED</t>
  </si>
  <si>
    <t xml:space="preserve">2 VILLA RAVENNA                                                                 </t>
  </si>
  <si>
    <t xml:space="preserve">HOAGLAND JACK                                     </t>
  </si>
  <si>
    <t xml:space="preserve">(714) 6743146   </t>
  </si>
  <si>
    <t>D70342</t>
  </si>
  <si>
    <t>ICE, CATERPILLAR, MODEL 3406, SN 4RG01138, DIESEL, EMERGENCY ELECTRICAL GENERATION, 6 CYL, 519 BHP, TURBOCHARGED, AFTERCOOLED</t>
  </si>
  <si>
    <t xml:space="preserve">31315 CHANEY ST                                                                 </t>
  </si>
  <si>
    <t>D68351</t>
  </si>
  <si>
    <t>ICE, CATERPILLAR, MODEL 3406 TA, DIESEL, EMERGENCY ELECTRICAL GENERATION, 6 CYL, 570 BHP, TURBOCHARGED, AFTERCOOLED</t>
  </si>
  <si>
    <t xml:space="preserve">31071 WISCONSIN ST                                                              </t>
  </si>
  <si>
    <t xml:space="preserve">F4872 </t>
  </si>
  <si>
    <t>ICE, CATERPILLAR, MODEL 3406 DITA, SN 4PM00360, DIESEL, EMERGENCY ELECTRICAL GENERATION, 519 BHP, 6 CYL, 350 KW, TURBOCHARGED, AFTERCOOLED</t>
  </si>
  <si>
    <t>F24497</t>
  </si>
  <si>
    <t>ICE, CATERPILLAR, MODEL 3406 DITA, DIESEL, EMERGENCY ELECTRICAL GENERATION, 6 CYL, 350 KW, TURBOCHARGED, AFTERCOOLED</t>
  </si>
  <si>
    <t xml:space="preserve">18861 GRAND AVE                                                                 </t>
  </si>
  <si>
    <t>92531-3000</t>
  </si>
  <si>
    <t xml:space="preserve">MILLER PHILLIP M                                  </t>
  </si>
  <si>
    <t xml:space="preserve">EOP - 10960 WILSHIRE LLC                </t>
  </si>
  <si>
    <t>F20343</t>
  </si>
  <si>
    <t>ICE, CATERPILLAR, DIESEL, EMR, MODEL 3508, 8 CYL, 1337 BHP, TURBOCHARGED, AFTERCOOLED</t>
  </si>
  <si>
    <t xml:space="preserve">10960 WILSHIRE BLVD                                                             </t>
  </si>
  <si>
    <t xml:space="preserve">BUCKLEY KEVIN                                     </t>
  </si>
  <si>
    <t xml:space="preserve">(310) 4770034   </t>
  </si>
  <si>
    <t>F20344</t>
  </si>
  <si>
    <t>ICE, WAUKESHA, NAT.GAS, MODEL L5790GU, SN 200111, 12 CYL, 908 BHP, NATURALLY ASPIRATED</t>
  </si>
  <si>
    <t>L5790GU</t>
  </si>
  <si>
    <t>F20464</t>
  </si>
  <si>
    <t xml:space="preserve">EOP 550 SOUTH HOPE STREET, LLC          </t>
  </si>
  <si>
    <t xml:space="preserve">IRBY MIKE                                         </t>
  </si>
  <si>
    <t xml:space="preserve">(818) 5782020   </t>
  </si>
  <si>
    <t>D37243</t>
  </si>
  <si>
    <t>ICE, DETROIT DIESEL, DIESEL, EMERGENCY, MODEL NO. 8163-7416, TURBOCHARGED, AFTERCOOLED, 16 CYLINDERS, 1232 BHP.</t>
  </si>
  <si>
    <t xml:space="preserve">23011 EL TORO RD                                                                </t>
  </si>
  <si>
    <t xml:space="preserve">EL TORO                  </t>
  </si>
  <si>
    <t xml:space="preserve">LOPEZ GLORIA                                      </t>
  </si>
  <si>
    <t>D37859</t>
  </si>
  <si>
    <t xml:space="preserve">425 W 5TH ST                                                                    </t>
  </si>
  <si>
    <t xml:space="preserve">SUTER TOM                                         </t>
  </si>
  <si>
    <t>D39550</t>
  </si>
  <si>
    <t xml:space="preserve">ICE, DETROIT DIESEL, DIESEL, EMERGENCY, MODEL NO. 8123-7416, TURBOCHARGED, AFTERCOOLED, 12 CYLINDERS, LEAN BURN, TWO CYCLE, 947 BHP </t>
  </si>
  <si>
    <t xml:space="preserve">25762 CAMINO DEL AVION                                                          </t>
  </si>
  <si>
    <t xml:space="preserve">SAN JUAN CAPISTRANO      </t>
  </si>
  <si>
    <t>D37309</t>
  </si>
  <si>
    <t xml:space="preserve">1307 CRAVENS AVE                                                                </t>
  </si>
  <si>
    <t xml:space="preserve">(818) 5782375   </t>
  </si>
  <si>
    <t>D30372</t>
  </si>
  <si>
    <t>ICE, DETROIT DIESEL, DIESEL, EMERGENCY, MODEL NO. 12V92TAB, TURBOCHARGED, AFTERCOOLED, 12 CYLINDERS, 830 BHP.</t>
  </si>
  <si>
    <t xml:space="preserve">24705 N NEWHALL AVE                                                             </t>
  </si>
  <si>
    <t xml:space="preserve">NEWHALL                  </t>
  </si>
  <si>
    <t xml:space="preserve">STONE LEON                                        </t>
  </si>
  <si>
    <t xml:space="preserve">(805) 5830003   </t>
  </si>
  <si>
    <t xml:space="preserve">6920 VAN NUYS BLVD                                                              </t>
  </si>
  <si>
    <t>D36547</t>
  </si>
  <si>
    <t>ICE NO. 2, DETROIT DIESEL, EMERGENCY, MODEL 9163-7416, SERIES 16V149TI, TURBOCHARGED, AFTERCOOLED, 16 CYLINDERS, 2230 BHP.</t>
  </si>
  <si>
    <t>9163-7416</t>
  </si>
  <si>
    <t xml:space="preserve">217 N LEMON ST                                                                  </t>
  </si>
  <si>
    <t>D36548</t>
  </si>
  <si>
    <t>ICE NO. 1, DETROIT DIESEL, DIESEL, EMERGENCY, MODEL 9163-7416, SERIES 16V149TI, TURBOCHARGED, AFTERCOOLED, 16 CYLINDERS, 2230 BHP.</t>
  </si>
  <si>
    <t>D36549</t>
  </si>
  <si>
    <t>ICE NO. 3, DETROIT DIESEL, DIESEL, EMERGENCY, MODEL 9163-7416, SERIES 16V149TI, TURBOCHARGED, AFTERCOOLED, 16 CYLINDERS, 2230 BHP.</t>
  </si>
  <si>
    <t>D36550</t>
  </si>
  <si>
    <t>D39749</t>
  </si>
  <si>
    <t>ICE, CATERPILLAR, DIESEL-FUELED, EMERGENCY ELECTRICAL GENERATION, MODEL NO. 3412-TA, SERIAL NUMBER 87Z11031, TURBOCHARGED, AFTERCOOLED, 12 CYLINDERS, 890 BHP.</t>
  </si>
  <si>
    <t xml:space="preserve">1010 WILSHIRE BLVD                                                              </t>
  </si>
  <si>
    <t xml:space="preserve">FLEETWOOD RAINY                                   </t>
  </si>
  <si>
    <t xml:space="preserve">(213) 9572074   </t>
  </si>
  <si>
    <t>D39312</t>
  </si>
  <si>
    <t>ICE, CATERPILLAR, MODEL 3516 TA, SERIAL NO. 25Z1951, DIESEL, EMERGENCY, TURBOCHARGED, AFTERCOOLED, 16 CYLINDERS, 2153 BHP.</t>
  </si>
  <si>
    <t xml:space="preserve">201 S DOUGLAS ST                                                                </t>
  </si>
  <si>
    <t>D48267</t>
  </si>
  <si>
    <t>ICE, CATERPILLAR, MODEL NO. 3516 TA, DIESEL, EMERGENCY, TURBOCHARGED, AFTERCOOLED, 16 CYLINDERS, 2520 BHP.</t>
  </si>
  <si>
    <t xml:space="preserve">22012 VANOWEN ST                                                                </t>
  </si>
  <si>
    <t xml:space="preserve">CANOGA PARK              </t>
  </si>
  <si>
    <t xml:space="preserve">SIMINGTON PAT                                     </t>
  </si>
  <si>
    <t xml:space="preserve">(818) 8858313   </t>
  </si>
  <si>
    <t>D44929</t>
  </si>
  <si>
    <t>ICE, DETROIT DIESEL, DIESEL, EMERGENCY, MODEL NO. 8123-7405, TURBOCHARGED, AFTERCOOLED, 12 CYLINDERS, 830 BHP.</t>
  </si>
  <si>
    <t>ICE, CATERPILLAR, NAT. GAS, MODEL G398, SN 01281A, 6 CYL, 500 BHP, NATURALLY ASPIRATED</t>
  </si>
  <si>
    <t>D13798</t>
  </si>
  <si>
    <t>ICE, CATERPILLAR, NAT. GAS, MODEL G398, SN 01281B, 6 CYL, 500 BHP, NATURALLY ASPIRATED</t>
  </si>
  <si>
    <t>LA STATE BLDG AUTHORITY, JUNIPERO SIERRA</t>
  </si>
  <si>
    <t>F19646</t>
  </si>
  <si>
    <t>ICE, CUMMINS, DIESEL, EMR, MODEL KTA38-G4, 1490 BHP, TURBOCHARGED, AFTERCOOLED</t>
  </si>
  <si>
    <t xml:space="preserve">320 W 4 TH ST                                                                   </t>
  </si>
  <si>
    <t xml:space="preserve">JENKINS SHERION                                   </t>
  </si>
  <si>
    <t xml:space="preserve">(213) 8972241   </t>
  </si>
  <si>
    <t xml:space="preserve">LA TOUR RESIDENTIAL COMMUNITY           </t>
  </si>
  <si>
    <t>D49495</t>
  </si>
  <si>
    <t>ICE, CATERPILLAR, MODEL 3406, 519 BHP, DIESEL, EMR, 12 CYL, TURBOCHARGED, AFTERCOOLED</t>
  </si>
  <si>
    <t xml:space="preserve">10380 WILSHIRE BLVD                                                             </t>
  </si>
  <si>
    <t xml:space="preserve">ROBERTS KATHY                                     </t>
  </si>
  <si>
    <t xml:space="preserve">(310) 2812500   </t>
  </si>
  <si>
    <t xml:space="preserve">LA WILSHIRE CORP, 811 WILSHIRE          </t>
  </si>
  <si>
    <t>F24459</t>
  </si>
  <si>
    <t>ICE, CATERPILLAR, MODEL D379, SN A225700006,  600 BHP, DIESEL, EMR, 8 CYL, TURBOCHARGED, AFTERCOOLED</t>
  </si>
  <si>
    <t>D379</t>
  </si>
  <si>
    <t xml:space="preserve">811 WILSHIRE                                                                    </t>
  </si>
  <si>
    <t xml:space="preserve">HAYWARD MAXINE                                    </t>
  </si>
  <si>
    <t xml:space="preserve">(213) 6222033   </t>
  </si>
  <si>
    <t xml:space="preserve">LAC/USC MEDICAL CENTER                  </t>
  </si>
  <si>
    <t>D39314</t>
  </si>
  <si>
    <t>ICE, DETROIT DIESEL, PORTABLE, EMR, DIESEL, MODEL 8083-7405, 8 CYL, 540 BHP, TURBOCHARGED, AFTERCOOLED</t>
  </si>
  <si>
    <t xml:space="preserve">1200 N STATE ST                                                                 </t>
  </si>
  <si>
    <t xml:space="preserve">OLINGER FRANK                                     </t>
  </si>
  <si>
    <t xml:space="preserve">(213) 2266041   </t>
  </si>
  <si>
    <t>D97367</t>
  </si>
  <si>
    <t xml:space="preserve">F3444 </t>
  </si>
  <si>
    <t>LAGUNA BEACH COUNTY WATER DIST/VIEJO STN</t>
  </si>
  <si>
    <t>F22941</t>
  </si>
  <si>
    <t xml:space="preserve">10161 PACIFIC COAST HWY                                                         </t>
  </si>
  <si>
    <t xml:space="preserve">HOFFER DENNIS                                     </t>
  </si>
  <si>
    <t xml:space="preserve">(949) 4941041   </t>
  </si>
  <si>
    <t xml:space="preserve">LAIDLAW MEDICAL TRANSP, INC, MEDTRANS,  </t>
  </si>
  <si>
    <t xml:space="preserve">F4063 </t>
  </si>
  <si>
    <t>ICE, DETROIT DIESEL, EMR, DIESEL, MODEL 8083-7416, 8 CYL, 644 BHP, TURBOCHARGED, AFTERCOOLED</t>
  </si>
  <si>
    <t xml:space="preserve">20101 HAMILTON AVE 300                                                          </t>
  </si>
  <si>
    <t xml:space="preserve">MONSON LAWRENCE                                   </t>
  </si>
  <si>
    <t xml:space="preserve">(714) 4445977   </t>
  </si>
  <si>
    <t xml:space="preserve">LAKESHORE TOWERS LIMITED PARTNERSHIP II </t>
  </si>
  <si>
    <t>F23780</t>
  </si>
  <si>
    <t>ICE, DETROIT DIESEL, EMR, DIESEL, MODEL R083-7K06, 571 KW, 8 CYL,  TURBOCHARGED, AFTERCOOLED</t>
  </si>
  <si>
    <t xml:space="preserve">18111 VON KARMAN AVE                                                            </t>
  </si>
  <si>
    <t xml:space="preserve">PUGH JOEL                                         </t>
  </si>
  <si>
    <t xml:space="preserve">(949) 9555259   </t>
  </si>
  <si>
    <t>LAKESHORE TOWERS LTD PARTNERSHIP PHASE I</t>
  </si>
  <si>
    <t>D31418</t>
  </si>
  <si>
    <t>ICE, CUMMINS, DIESEL, EMR, MODEL KTTA 38-G1, 1135 BHP, 12 CYL, TURBOCHARGED, AFTERCOOLED</t>
  </si>
  <si>
    <t>KTTA38-G1</t>
  </si>
  <si>
    <t xml:space="preserve">18101 VON KARMAN                                                                </t>
  </si>
  <si>
    <t xml:space="preserve">LAKEWOOD CITY, WATER PLANT #22          </t>
  </si>
  <si>
    <t>F14222</t>
  </si>
  <si>
    <t>ICE, DETROIT DIESEL, EMR, DIESEL, MODEL 12V-92TA, 830 BHP, 12 CYL,  TURBOCHARGED, AFTERCOOLED</t>
  </si>
  <si>
    <t xml:space="preserve">3310 CANDLEWOOD ST                                                              </t>
  </si>
  <si>
    <t xml:space="preserve">LAKEWOOD                 </t>
  </si>
  <si>
    <t xml:space="preserve">KERSTING DAVE                                     </t>
  </si>
  <si>
    <t xml:space="preserve">(562) 8669771   </t>
  </si>
  <si>
    <t xml:space="preserve">LAKEWOOD REGIONAL MEDICAL CENTER        </t>
  </si>
  <si>
    <t>D69119</t>
  </si>
  <si>
    <t>ICE, CATERPILLAR, MODEL 3412DITA,  890 BHP, DIESEL, EMR, 12 CYL, TURBOCHARGED, AFTERCOOLED</t>
  </si>
  <si>
    <t xml:space="preserve">3700 E SOUTH ST                                                                 </t>
  </si>
  <si>
    <t>90712-1498</t>
  </si>
  <si>
    <t xml:space="preserve">CARTHY RON MC                                     </t>
  </si>
  <si>
    <t xml:space="preserve">(310) 6026708   </t>
  </si>
  <si>
    <t>D78141</t>
  </si>
  <si>
    <t>ICE, CUMMINS, NAT. GAS, EMR, MODEL GV12-525 1 PG, SN 10236513, 12 CYL, 580 BHP, TURBOCHARGED, AFTERCOOLED</t>
  </si>
  <si>
    <t>GV12-525</t>
  </si>
  <si>
    <t>LAS VIRGENES MUN WATER DIST, TAPIA RECLA</t>
  </si>
  <si>
    <t>D90738</t>
  </si>
  <si>
    <t>ICE, WAUKESHA, DIESEL, EMR, MODEL L5792DSI, 12 CYL, 1276 BHP, TURBOCHARGED, AFTERCOOLED</t>
  </si>
  <si>
    <t>L5792DSI</t>
  </si>
  <si>
    <t xml:space="preserve">731 MALIBU CANYON RD                                                            </t>
  </si>
  <si>
    <t xml:space="preserve">EMBSER BOB                                        </t>
  </si>
  <si>
    <t xml:space="preserve">(818) 8804110   </t>
  </si>
  <si>
    <t>F36129</t>
  </si>
  <si>
    <t>ICE, CATERPILLAR, DIESEL, EMR, MODEL D399PCTA, 12 CYL, 1308 BHP, TURBOCHARGED, AFTERCOOLED</t>
  </si>
  <si>
    <t>D399 PCTA</t>
  </si>
  <si>
    <t>F36130</t>
  </si>
  <si>
    <t xml:space="preserve">LAS VIRGENES MUNICIPAL WATER DISTRICT   </t>
  </si>
  <si>
    <t>D10392</t>
  </si>
  <si>
    <t>ICE, CATERPILLAR, DIESEL, EMR, MODEL 3408B, 8 CYL, 603 BHP, TURBOCHARGED, AFTERCOOLED</t>
  </si>
  <si>
    <t>3408B</t>
  </si>
  <si>
    <t xml:space="preserve">32601 TORCHWOOD PL                                                              </t>
  </si>
  <si>
    <t xml:space="preserve">REED KENNETH                                      </t>
  </si>
  <si>
    <t xml:space="preserve">(818) 8894741   </t>
  </si>
  <si>
    <t>D17668</t>
  </si>
  <si>
    <t>ICE, DETROIT DIESEL, EMR, DIESEL, MODEL 400 D 71 T, 12 CYL, 525 BHP, TURBOCHARGED</t>
  </si>
  <si>
    <t>400D-71T</t>
  </si>
  <si>
    <t xml:space="preserve">24303 CALABASAS RD                                                              </t>
  </si>
  <si>
    <t xml:space="preserve">WHITAKER BRIAN                                    </t>
  </si>
  <si>
    <t xml:space="preserve">LAXFUEL CORP UNIT NO.12                 </t>
  </si>
  <si>
    <t>D85784</t>
  </si>
  <si>
    <t>ICE, CATERPILLAR, MODEL 3508,  1098 BHP, DIESEL, EMR, 8 CYL, TURBOCHARGED, AFTERCOOLED</t>
  </si>
  <si>
    <t>7259 WORLD WAY WEST</t>
  </si>
  <si>
    <t xml:space="preserve">SPEELMANS THOMAS P                                </t>
  </si>
  <si>
    <t xml:space="preserve">(213) 6461334   </t>
  </si>
  <si>
    <t>D85785</t>
  </si>
  <si>
    <t>D85786</t>
  </si>
  <si>
    <t>D85787</t>
  </si>
  <si>
    <t xml:space="preserve">9900 LAXFUEL RD                                                                 </t>
  </si>
  <si>
    <t xml:space="preserve">LBA-VFIII, LLC                          </t>
  </si>
  <si>
    <t>F34706</t>
  </si>
  <si>
    <t>ICE, CUMMINS, DIESEL, EMR, MODEL KTA1150GS2, SN 31127410, 600 BHP, 6 CYL, TURBOCHARGED, AFTERCOOLED</t>
  </si>
  <si>
    <t>KTA1150-GS2</t>
  </si>
  <si>
    <t xml:space="preserve">1500 QUAIL                                                                      </t>
  </si>
  <si>
    <t xml:space="preserve">UITERMARK DOUGLAS                                 </t>
  </si>
  <si>
    <t xml:space="preserve">(949) 9551644   </t>
  </si>
  <si>
    <t xml:space="preserve">L'ERMITAGE HOTEL                        </t>
  </si>
  <si>
    <t>F14288</t>
  </si>
  <si>
    <t>ICE, CUMMINS, DIESEL, EMR, MODEL NTA855-G3, 535 BHP, 6 CYL, TURBOCHARGED, AFTERCOOLED</t>
  </si>
  <si>
    <t xml:space="preserve">NTA855-G3 </t>
  </si>
  <si>
    <t xml:space="preserve">9291 BURTON WAY                                                                 </t>
  </si>
  <si>
    <t>90210-3799</t>
  </si>
  <si>
    <t xml:space="preserve">TAJERI MICHAEL                                    </t>
  </si>
  <si>
    <t xml:space="preserve">(310) 2783344   </t>
  </si>
  <si>
    <t xml:space="preserve">LEVEL 3 COMMUNICATIONS, LL3             </t>
  </si>
  <si>
    <t>F34175</t>
  </si>
  <si>
    <t>ICE, CATERPILLAR, MODEL 3512B DITA SC, SN 6WN00658,  2155 BHP, DIESEL, EMR, TURBOCHARGED, AFTERCOOLED</t>
  </si>
  <si>
    <t xml:space="preserve">5705 INDUSTRIAL PKY                                                             </t>
  </si>
  <si>
    <t xml:space="preserve">GROGEAN STEVE                                     </t>
  </si>
  <si>
    <t xml:space="preserve">(310) 2158236   </t>
  </si>
  <si>
    <t xml:space="preserve">LEVEL 3 COMMUNICATIONS/TUSTIN GATEWAY   </t>
  </si>
  <si>
    <t>F37335</t>
  </si>
  <si>
    <t>ICE, CATERPILLAR, MODEL 3512B DITA SC, SN 6WN00647, 12 CYL,  2155 BHP, DIESEL, EMR, TURBOCHARGED, AFTERCOOLED</t>
  </si>
  <si>
    <t xml:space="preserve">14452 FRANKLIN AVE                                                              </t>
  </si>
  <si>
    <t xml:space="preserve">(714) 5082450   </t>
  </si>
  <si>
    <t>F37336</t>
  </si>
  <si>
    <t>ICE, CATERPILLAR, MODEL 3512B DITA SC, SN 6WN00650, 12 CYL,  2155 BHP, DIESEL, EMR, TURBOCHARGED, AFTERCOOLED</t>
  </si>
  <si>
    <t>9123-7416</t>
  </si>
  <si>
    <t xml:space="preserve">LODESTAR TOWERS CALIFORNIA INC          </t>
  </si>
  <si>
    <t>F23961</t>
  </si>
  <si>
    <t>ICE, CUMMINS, DIESEL, EMR, MODEL KTA50-G3, 16 CYL, 1850 BHP, TURBOCHARGED, AFTERCOOLED</t>
  </si>
  <si>
    <t xml:space="preserve">1 MT HARVARD                                                                    </t>
  </si>
  <si>
    <t xml:space="preserve">POMPONIO ROBERT V                                 </t>
  </si>
  <si>
    <t xml:space="preserve">(909) 3381555   </t>
  </si>
  <si>
    <t>F23962</t>
  </si>
  <si>
    <t xml:space="preserve">LOMA LINDA UNIV                         </t>
  </si>
  <si>
    <t>D71638</t>
  </si>
  <si>
    <t>ICE, CATERPILLAR, DIESEL, EMR, MODEL 3508, SN 23Z01443, 8 CYL, 1344 BHP, TURBOCHARGED, AFTERCOOLED</t>
  </si>
  <si>
    <t xml:space="preserve">11110 UNIVERSITY POWR PLNT AVE                                                  </t>
  </si>
  <si>
    <t xml:space="preserve">LOMA LINDA               </t>
  </si>
  <si>
    <t>92354-2870</t>
  </si>
  <si>
    <t xml:space="preserve">GURULE DONNA                                      </t>
  </si>
  <si>
    <t xml:space="preserve">(909) 8244913   </t>
  </si>
  <si>
    <t>D71639</t>
  </si>
  <si>
    <t>ICE, CATERPILLAR, DIESEL, EMR, MODEL 3508, SN 23Z01442, 8 CYL, 1344 BHP, TURBOCHARGED, AFTERCOOLED</t>
  </si>
  <si>
    <t>F10748</t>
  </si>
  <si>
    <t>ICE, CATERPILLAR, DIESEL, EMR, MODEL 3508 DITA, 900 KW, 8 CYL, TURBOCHARGED, AFTERCOOLED</t>
  </si>
  <si>
    <t>F10749</t>
  </si>
  <si>
    <t xml:space="preserve">LONG BCH HOTEL ASSOC, RENAISSANCE HOTEL </t>
  </si>
  <si>
    <t>D84780</t>
  </si>
  <si>
    <t>ICE, CATERPILLAR, DIESEL, EMR, MODEL 3412,SN 81Z04966, 667 BHP, 12 CYL, TURBOCHARGED, AFTERCOOLED</t>
  </si>
  <si>
    <t xml:space="preserve">111 E OCEAN BLVD                                                                </t>
  </si>
  <si>
    <t>90802-4794</t>
  </si>
  <si>
    <t xml:space="preserve">LEUNG KWONG                                       </t>
  </si>
  <si>
    <t xml:space="preserve">(310) 4375900   </t>
  </si>
  <si>
    <t xml:space="preserve">LONG BEACH AIRPORT MARRIOTT             </t>
  </si>
  <si>
    <t>D09790</t>
  </si>
  <si>
    <t>ICE, ONAN, DIESEL, EMR, MODEL 06152TA-B,SN 110089, 521 BHP, 6 CYL, TURBOCHARGED, AFTERCOOLED</t>
  </si>
  <si>
    <t>06512TA-B</t>
  </si>
  <si>
    <t xml:space="preserve">4700 AIRPORT DR                                                                 </t>
  </si>
  <si>
    <t xml:space="preserve">ROXAS MARIANO                                     </t>
  </si>
  <si>
    <t xml:space="preserve">(213) 4255210   </t>
  </si>
  <si>
    <t xml:space="preserve">LONG BEACH AQUARIUM OF THE PACIFIC      </t>
  </si>
  <si>
    <t>F12496</t>
  </si>
  <si>
    <t>ICE, CATERPILLAR, DIESEL, EMR, MODEL 3512 DITA,  SN 24Z07895, 1000 KW, 12 CYL, TURBOCHARGED, AFTERCOOLED</t>
  </si>
  <si>
    <t xml:space="preserve">100 AQUARIUM RD                                                                 </t>
  </si>
  <si>
    <t xml:space="preserve">PEARCE J SCOTT                                    </t>
  </si>
  <si>
    <t xml:space="preserve">(562) 5903104   </t>
  </si>
  <si>
    <t xml:space="preserve">LONG BEACH CITY, CITY HALL              </t>
  </si>
  <si>
    <t>D39432</t>
  </si>
  <si>
    <t>ICE, CUMMINS, DIESEL, EMR, MODEL VT1710PG6535, 6 CYL, 635 BHP, TURBOCHARGED, AFTERCOOLED</t>
  </si>
  <si>
    <t>VT1710-PG6535</t>
  </si>
  <si>
    <t xml:space="preserve">333 W OCEAN BLVD                                                                </t>
  </si>
  <si>
    <t xml:space="preserve">ARONSON ROBERT S                                  </t>
  </si>
  <si>
    <t xml:space="preserve">(310) 5906029   </t>
  </si>
  <si>
    <t>D42402</t>
  </si>
  <si>
    <t>ICE, WAUKESHA, DIESEL, EMR, MODEL F2896DSU, 6 CYL, 631 BHP, TURBOCHARGED</t>
  </si>
  <si>
    <t>F2896DSU</t>
  </si>
  <si>
    <t xml:space="preserve">LONG BEACH CITY, CONVENTION CENTER      </t>
  </si>
  <si>
    <t>D71396</t>
  </si>
  <si>
    <t>ICE, CATERPILLAR, DIESEL, EMR, MODEL 3412TA,  890 BHP, 12 CYL, TURBOCHARGED, AFTERCOOLED</t>
  </si>
  <si>
    <t xml:space="preserve">300 E OCEAN BLVD                                                                </t>
  </si>
  <si>
    <t>90802-4893</t>
  </si>
  <si>
    <t xml:space="preserve">KENNELLY JAMES R                                  </t>
  </si>
  <si>
    <t xml:space="preserve">(310) 4247250   </t>
  </si>
  <si>
    <t xml:space="preserve">LONG BEACH CITY, GAS DEPT               </t>
  </si>
  <si>
    <t>D63763</t>
  </si>
  <si>
    <t>ICE, CATERPILLAR, NAT. GAS OR LPG, EMR, MODEL 3412SITA, SN 7DB00722,  675 BHP, 12 CYL, TURBOCHARGED, AFTERCOOLED</t>
  </si>
  <si>
    <t>3412 SITA</t>
  </si>
  <si>
    <t xml:space="preserve">2400 E SPRING ST                                                                </t>
  </si>
  <si>
    <t xml:space="preserve">SMOCK PAUL                                        </t>
  </si>
  <si>
    <t xml:space="preserve">(562) 5702052   </t>
  </si>
  <si>
    <t xml:space="preserve">LONG BEACH CONTAINER TERMINAL INC       </t>
  </si>
  <si>
    <t>D28897</t>
  </si>
  <si>
    <t>ICE, CATERPILLAR, DIESEL, EMR, MODEL 3406,  519 BHP, 6 CYL, TURBOCHARGED, AFTERCOOLED</t>
  </si>
  <si>
    <t xml:space="preserve">1171 PIER F AVE                                                                 </t>
  </si>
  <si>
    <t xml:space="preserve">FARNUM MIKE                                       </t>
  </si>
  <si>
    <t xml:space="preserve">(562) 4358585   </t>
  </si>
  <si>
    <t xml:space="preserve">LONG BEACH MEMORIAL MEDICAL CENTER      </t>
  </si>
  <si>
    <t>D78999</t>
  </si>
  <si>
    <t>ICE, CUMMINS, DIESEL, EMR, MODEL KTA19-G3, SN D930505482, 6 CYL, 685 BHP, TURBOCHARGED, AFTERCOOLED</t>
  </si>
  <si>
    <t xml:space="preserve">2801 ATLANTIC AVE                                                               </t>
  </si>
  <si>
    <t xml:space="preserve">DENNIS GEORGE                                     </t>
  </si>
  <si>
    <t xml:space="preserve">(562) 9330565   </t>
  </si>
  <si>
    <t>D79000</t>
  </si>
  <si>
    <t>ICE, CUMMINS, DIESEL, EMR, MODEL NTA855-G3, SN D930504735, 6 CYL, 535 BHP, TURBOCHARGED, AFTERCOOLED</t>
  </si>
  <si>
    <t>D79001</t>
  </si>
  <si>
    <t>ICE, CUMMINS, DIESEL, EMR, MODEL NTA855-G3, SN D930504736, 6 CYL, 535 BHP, TURBOCHARGED, AFTERCOOLED</t>
  </si>
  <si>
    <t>D79002</t>
  </si>
  <si>
    <t>ICE, CUMMINS, DIESEL, EMR, MODEL NTA855-G3, SN D930504733, 6 CYL, 535 BHP, TURBOCHARGED, AFTERCOOLED</t>
  </si>
  <si>
    <t>D79003</t>
  </si>
  <si>
    <t>ICE, CUMMINS, DIESEL, EMR, MODEL NTA855-G3, SN D930504734, 6 CYL, 535 BHP, TURBOCHARGED, AFTERCOOLED</t>
  </si>
  <si>
    <t>F19420</t>
  </si>
  <si>
    <t>ICE, CUMMINS, DIESEL, EMERGENCY ELECTRICAL GENERATION, MODEL KTA19-G3, SN I980801991, 6 CYL, 685 BHP, TURBOCHARGED, AFTERCOOLED</t>
  </si>
  <si>
    <t>F19419</t>
  </si>
  <si>
    <t>ICE, CUMMINS, DIESEL, EMERGENCY ELECTRICAL GENERATION, MODEL KTA19-G3, SN I980801990, 6 CYL, 685 BHP, TURBOCHARGED, AFTERCOOLED</t>
  </si>
  <si>
    <t>F19421</t>
  </si>
  <si>
    <t>ICE, CUMMINS, DIESEL, EMR, MODEL KTA19-G3, SN I980801992, 6 CYL, 685 BHP, TURBOCHARGED, AFTERCOOLED</t>
  </si>
  <si>
    <t xml:space="preserve">LONG BEACH PUBLIC TRANPORTATION CO      </t>
  </si>
  <si>
    <t>D79145</t>
  </si>
  <si>
    <t>ICE, CATERPILLAR, DIESEL, EMR, MODEL 3412 DITTA,  600 KW, 12 CYL, TURBOCHARGED, AFTERCOOLED</t>
  </si>
  <si>
    <t xml:space="preserve">1300 GARDENIA AVE                                                               </t>
  </si>
  <si>
    <t xml:space="preserve">SANDOVAL GENE                                     </t>
  </si>
  <si>
    <t xml:space="preserve">(310) 5918753   </t>
  </si>
  <si>
    <t xml:space="preserve">LOS ANGELES AIRPORT HILTON              </t>
  </si>
  <si>
    <t>D18004</t>
  </si>
  <si>
    <t>ICE, CUMMINS, DIESEL, EMR, MODEL KTA3067-G, 1490 BHP, 16 CYL, TURBOCHARGED, AFTERCOOLED</t>
  </si>
  <si>
    <t>KTA3067-G</t>
  </si>
  <si>
    <t xml:space="preserve">5711 W CENTURY BLVD                                                             </t>
  </si>
  <si>
    <t xml:space="preserve">ASTGEN JIM                                        </t>
  </si>
  <si>
    <t xml:space="preserve">(310) 4106152   </t>
  </si>
  <si>
    <t>D18005</t>
  </si>
  <si>
    <t>ICE, CUMMINS, DIESEL, EMR, MODEL KTA2300-G1, 1135 BHP, 12 CYL, TURBOCHARGED, AFTERCOOLED</t>
  </si>
  <si>
    <t>KTA2300-G1</t>
  </si>
  <si>
    <t xml:space="preserve">LOS ANGELES CELLUALR TELEPHONE CO       </t>
  </si>
  <si>
    <t>D99615</t>
  </si>
  <si>
    <t>ICE, CUMMINS, DIESEL, EMR, MODEL KTA38-G4, 1490 BHP, 12 CYL, TURBOCHARGED, AFTERCOOLED</t>
  </si>
  <si>
    <t xml:space="preserve">5515 E LA PALMA                                                                 </t>
  </si>
  <si>
    <t xml:space="preserve">ANAHEIM HILLS            </t>
  </si>
  <si>
    <t xml:space="preserve">SIEGFRIED DIANE                                   </t>
  </si>
  <si>
    <t xml:space="preserve">(310) 4688601   </t>
  </si>
  <si>
    <t>LOS ANGELES CITY OF, BUREAU OF SANITATION</t>
  </si>
  <si>
    <t xml:space="preserve">F4509 </t>
  </si>
  <si>
    <t>ICE, DETROIT DIESEL, EMR, DIESEL,  MODEL 16V-92TA, 16 CYL, 1095 BHP, TURBOCHARGED, AFTERCOOLED</t>
  </si>
  <si>
    <t xml:space="preserve">COORDINATOR AIR QUALITY PERMITS                   </t>
  </si>
  <si>
    <t xml:space="preserve">LOS ANGELES CITY,  BUREAU OF SANITATION </t>
  </si>
  <si>
    <t xml:space="preserve">F4510 </t>
  </si>
  <si>
    <t xml:space="preserve">301 MC FARLLAND AVE                                                             </t>
  </si>
  <si>
    <t xml:space="preserve">LOS ANGELES DWP                         </t>
  </si>
  <si>
    <t xml:space="preserve">F5617 </t>
  </si>
  <si>
    <t>ICE, CUMMINS, DIESEL, EMR, MODEL VTA28-G5, SN L960624755, 12 CYL, 900 BHP, TURBOCHARGED, AFTERCOOLED</t>
  </si>
  <si>
    <t xml:space="preserve">2633 ARTESIAN ST                                                                </t>
  </si>
  <si>
    <t xml:space="preserve">WOOD ANH T                                        </t>
  </si>
  <si>
    <t xml:space="preserve">(213) 3670466   </t>
  </si>
  <si>
    <t xml:space="preserve">LOS ANGELES TIMES COMMUNICATIONS LLC    </t>
  </si>
  <si>
    <t>F35938</t>
  </si>
  <si>
    <t>ICE, DETROIT DIESEL, EMERGENCY ELECTRICAL GENERATION, DIESEL, MODEL 16V-149TI,SN 82508-1, 16 CYL,  1100KW, TURBOCHARGED, AFTERCOOLED</t>
  </si>
  <si>
    <t xml:space="preserve">20000 PRAIRIE ST                                                                </t>
  </si>
  <si>
    <t xml:space="preserve">VOJTEK MARY ELLEN                                 </t>
  </si>
  <si>
    <t xml:space="preserve">(213) 2375014   </t>
  </si>
  <si>
    <t>F35939</t>
  </si>
  <si>
    <t>ICE, DETROIT DIESEL, EMERGENCY ELECTRICAL GENERATION, DIESEL, MODEL 16V-149TI, SN 82508-2, 16 CYL,  1100KW, TURBOCHARGED, AFTERCOOLED</t>
  </si>
  <si>
    <t>374790</t>
  </si>
  <si>
    <t>F35574</t>
  </si>
  <si>
    <t>ICE, CATERPILLAR, DIESEL, EMERGENCY ELECTRICAL GENERATION, 2876 BHP, TURBOCHARGED, AFTERCOOLED</t>
  </si>
  <si>
    <t xml:space="preserve">202 W 1ST ST, 221 W 2ND ST &amp; 145 S SPRING ST                                    </t>
  </si>
  <si>
    <t xml:space="preserve">F4508 </t>
  </si>
  <si>
    <t>ICE, DETROIT DIESEL, EMR, DIESEL, MODEL 16V-92TA, 16 CYL,  1095 BHP, TURBOCHARGED, AFTERCOOLED</t>
  </si>
  <si>
    <t xml:space="preserve">637 FRIES AVE                                                                   </t>
  </si>
  <si>
    <t xml:space="preserve">LOWE'S  HOME IMPROVEMENT CENTER         </t>
  </si>
  <si>
    <t>F34129</t>
  </si>
  <si>
    <t>ICE, DETROIT DIESEL, EMR, DIESEL, MODEL 6063-TK35, SN 0648585, 6 CYL,  550 BHP, TURBOCHARGED, AFTERCOOLED</t>
  </si>
  <si>
    <t xml:space="preserve">30489 AVENIDA DE LOS FLORES                                                     </t>
  </si>
  <si>
    <t xml:space="preserve">BEARD MIKE                                        </t>
  </si>
  <si>
    <t xml:space="preserve">(336) 6587946   </t>
  </si>
  <si>
    <t xml:space="preserve">LOWE'S  HOME IMPROVEMENT W/HSE          </t>
  </si>
  <si>
    <t>F31838</t>
  </si>
  <si>
    <t>ICE, CATERPILLAR, DIESEL, EMR, MODEL 3406 DITA, 350 KW, 6 CYL,  TURBOCHARGED, AFTERCOOLED</t>
  </si>
  <si>
    <t xml:space="preserve">11399 FOOTHILL BLVD                                                             </t>
  </si>
  <si>
    <t xml:space="preserve">COTE JAY                                          </t>
  </si>
  <si>
    <t xml:space="preserve">(562) 3770069   </t>
  </si>
  <si>
    <t xml:space="preserve">LOWE'S  HOME IMPROVEMENT WAREHOUSE      </t>
  </si>
  <si>
    <t>F31841</t>
  </si>
  <si>
    <t>ICE, DETROIT DIESEL, EMR, DIESEL, MODEL 6063-TK35, 410 KW, 6 CYL, TURBOCHARGED, AFTERCOOLED</t>
  </si>
  <si>
    <t xml:space="preserve">2840 BELLFLOWER BLVD                                                            </t>
  </si>
  <si>
    <t xml:space="preserve">LOWE'S HIW INC, LOWE'S HOME IMPROVEMENT </t>
  </si>
  <si>
    <t>F33925</t>
  </si>
  <si>
    <t>ICE, DETROIT DIESEL, EMR, DIESEL, MODEL 6065TX35, 550 BHP, 6 CYL,  TURBOCHARGED, AFTERCOOLED</t>
  </si>
  <si>
    <t>6065-TX35</t>
  </si>
  <si>
    <t xml:space="preserve">13300 JAMBOREE RD                                                               </t>
  </si>
  <si>
    <t xml:space="preserve">LOWE'S HOME IMPROVEMENT CENTER          </t>
  </si>
  <si>
    <t>F32635</t>
  </si>
  <si>
    <t>ICE, KOHLER, MODEL 350REOZD, SN 0654997, DIESEL, EMR, 550 BHP, TURBOCHARGED, AFTERCOOLED</t>
  </si>
  <si>
    <t>350 REOZD</t>
  </si>
  <si>
    <t xml:space="preserve">1725 W REDLANDS BLVD                                                            </t>
  </si>
  <si>
    <t xml:space="preserve">(909) 6545347   </t>
  </si>
  <si>
    <t xml:space="preserve">GRANADA HILLS            </t>
  </si>
  <si>
    <t xml:space="preserve">GUIDANT INC                             </t>
  </si>
  <si>
    <t xml:space="preserve">F4131 </t>
  </si>
  <si>
    <t>ICE, CATERPILLAR, DIESEL, EMERGENCY ELECTRICAL GENERATION, MODEL 3512 TA, 1568 BHP, 12 CYL, TURBOCHARGED, AFTERCOOLED</t>
  </si>
  <si>
    <t xml:space="preserve">26531 YNEZ RD                                                                   </t>
  </si>
  <si>
    <t xml:space="preserve">LEE EDWARD                                        </t>
  </si>
  <si>
    <t xml:space="preserve">(909) 9142250   </t>
  </si>
  <si>
    <t>F22021</t>
  </si>
  <si>
    <t>ICE, CATERPILLAR, DIESEL, EMERGENCY ELECTRICAL GENERATION, MODEL 3516DITA, 1750 KW, 16 CYL, TURBOCHARGED, AFTERCOOLED</t>
  </si>
  <si>
    <t>HANJIN INTL CORP,OMNI LA HOTEL/CENTRE DB</t>
  </si>
  <si>
    <t>D38260</t>
  </si>
  <si>
    <t>ICE, CATERPILLAR, DIESEL, EMR, MODEL 3508 TA, SN 23Z00946, 1096 BHP, 8 CYL, TURBOCHARGED, AFTERCOOLED</t>
  </si>
  <si>
    <t xml:space="preserve">930 WILSHIRE BLVD                                                               </t>
  </si>
  <si>
    <t xml:space="preserve">MILLER DANNY                                      </t>
  </si>
  <si>
    <t xml:space="preserve">(213) 6294321   </t>
  </si>
  <si>
    <t>HARBOR PLACE TOWER OWNER ASSOCIATION,530</t>
  </si>
  <si>
    <t>D39770</t>
  </si>
  <si>
    <t>ICE, CATERPILLAR, DIESEL, EMR, MODEL 3406, SN 4RF00655, 510 BHP, 6 CYL, TURBOCHARGED, AFTERCOOLED</t>
  </si>
  <si>
    <t xml:space="preserve">525 E SEASIDE WAY                                                               </t>
  </si>
  <si>
    <t xml:space="preserve">MORELAN BRIAN K.                                  </t>
  </si>
  <si>
    <t xml:space="preserve">(213) 4352803   </t>
  </si>
  <si>
    <t xml:space="preserve">SAN DIEGO                </t>
  </si>
  <si>
    <t>HEMET VALLEY HOSP DIST(MORENO VLY MD CTR</t>
  </si>
  <si>
    <t>D47091</t>
  </si>
  <si>
    <t xml:space="preserve">MANHATTAN BEACH, CITY, WELL # 11A       </t>
  </si>
  <si>
    <t>F18481</t>
  </si>
  <si>
    <t>ICE, CUMMINS, 6 CYLINDERS, TURBOCHARGED, AFTERCOOLED, MODEL NO. NTA855-G3, 535 BHP, DIESEL-FUELED, EMERGENCY</t>
  </si>
  <si>
    <t xml:space="preserve">1932 MANHATTAN BEACH BLVD                                                       </t>
  </si>
  <si>
    <t xml:space="preserve">REDONDO BEACH            </t>
  </si>
  <si>
    <t xml:space="preserve">GUERRERO MICHAEL A                                </t>
  </si>
  <si>
    <t>MANUFACTURERS LIFE INS CO,NAMORA REAL ES</t>
  </si>
  <si>
    <t>D43419</t>
  </si>
  <si>
    <t>ICE, CUMMINS, DIESEL-FUELED, EMERGENCY, MODEL KTTA 19-62, SERIAL NO. 37132124, TURBOCHARGED, AFTERCOOLED, 6 CYLINDERS, 750 BHP</t>
  </si>
  <si>
    <t>KTTA19-62</t>
  </si>
  <si>
    <t xml:space="preserve">515 S FIGUEROA ST #720                                                          </t>
  </si>
  <si>
    <t xml:space="preserve">CHANDLER DEBORAH                                  </t>
  </si>
  <si>
    <t xml:space="preserve">(213) 6290727   </t>
  </si>
  <si>
    <t xml:space="preserve">MANUFACTURERS LIFE INSURANCE COMPANY    </t>
  </si>
  <si>
    <t>D31409</t>
  </si>
  <si>
    <t>ICE, CUMMINS, DIESEL-FUELED, EMERGENCY, MODEL KTA-38-G1, SERIAL NO. C890215546, TURBOCHARGED, AFTERCOOLED, 12 CYLINDERS, 1,135 BHP</t>
  </si>
  <si>
    <t xml:space="preserve">865 S FIGUEROA ST                                                               </t>
  </si>
  <si>
    <t xml:space="preserve">WELLES RICHARD                                    </t>
  </si>
  <si>
    <t xml:space="preserve">(213) 6890813   </t>
  </si>
  <si>
    <t>MARRIOTT CORP,COSTA MESA MARRIOTT SUITES</t>
  </si>
  <si>
    <t>D77094</t>
  </si>
  <si>
    <t>ICE, CATERPILLAR, MODEL NO. 3408B, SERIAL NO. 78202949, DIESEL, EMERGENCY, TURBOCHARGED AND AFTERCOOLED, 12 CYLINDERS, 603 BHP</t>
  </si>
  <si>
    <t xml:space="preserve">500 ANTON BLVD                                                                  </t>
  </si>
  <si>
    <t xml:space="preserve">STEVENS RICK                                      </t>
  </si>
  <si>
    <t xml:space="preserve">(714) 9571100   </t>
  </si>
  <si>
    <t xml:space="preserve">MARRIOTT SUITES NEWPORT BEACH           </t>
  </si>
  <si>
    <t>D09779</t>
  </si>
  <si>
    <t>ICE, CUMMINS, DIESEL, EMR, MODEL, KTA19-G1, SN 371117540, 6 CYL, 560 BHP, TURBOCHARGED, AFTERCOOLED</t>
  </si>
  <si>
    <t xml:space="preserve">500 BAYVIEW CIR                                                                 </t>
  </si>
  <si>
    <t>(714) 854-4500</t>
  </si>
  <si>
    <t xml:space="preserve">MARRIOTT'S DESERT SPRINGS RESORT &amp; SPA  </t>
  </si>
  <si>
    <t>D09780</t>
  </si>
  <si>
    <t>ICE, CATERPILLAR, DIESEL, EMR, MODEL 3512, 1150 BHP, 1000 KW</t>
  </si>
  <si>
    <t xml:space="preserve">74855 COUNTRY CLUB DR                                                           </t>
  </si>
  <si>
    <t xml:space="preserve">CARLSON SCOTT                                     </t>
  </si>
  <si>
    <t xml:space="preserve">(760) 3411762   </t>
  </si>
  <si>
    <t xml:space="preserve">MATTEL TOYS INC                         </t>
  </si>
  <si>
    <t xml:space="preserve">F5402 </t>
  </si>
  <si>
    <t>ICE, 6 CYLINDERS, CATERPILLAR, TURBOCHARGED, AFTERCOOLED, MODEL NO. 3406 DITA (400 KW), SERIAL NO. 4ZR02019, 587 BHP, DIESEL-FUELED, DRIVING AN EMERGENCY ELECTRICAL GENERATOR.</t>
  </si>
  <si>
    <t xml:space="preserve">2031 MARIPOSA AV                                                                </t>
  </si>
  <si>
    <t xml:space="preserve">CORORAN JON A.                                    </t>
  </si>
  <si>
    <t xml:space="preserve">(310) 2522771   </t>
  </si>
  <si>
    <t xml:space="preserve">MATTEL, INC.                            </t>
  </si>
  <si>
    <t xml:space="preserve">F7674 </t>
  </si>
  <si>
    <t>ICE, ROLLS ROYCE, DIESEL FUELED. EMERGENCY, MODEL NO. CV8G395, EIGHT CYLINDERS, TURBOCHARGED AND AFTERCOOLED, 583 BHP.</t>
  </si>
  <si>
    <t>CV8G395</t>
  </si>
  <si>
    <t xml:space="preserve">333 CONTINENTAL BLVD MAIL STOP MI-0530                                          </t>
  </si>
  <si>
    <t xml:space="preserve">HOLLINGSWORTH STEVE                               </t>
  </si>
  <si>
    <t xml:space="preserve">(310) 2522000   </t>
  </si>
  <si>
    <t xml:space="preserve">MATTEL, INCORPORATED                    </t>
  </si>
  <si>
    <t>F33671</t>
  </si>
  <si>
    <t>ICE, DETROIT DIESEL ALLISON, COMPRESSION IGNITION, TWO-STROKE CYCLE, MODEL NO. 9123-7305, 1135 HP, 12 CYLINDER, V-TYPE, DIESEL FUEL-FIRED, DRIVING AN 800 KW EMERGENCY GENERATIOR.</t>
  </si>
  <si>
    <t xml:space="preserve">1955 E GRAND AVE                                                                </t>
  </si>
  <si>
    <t xml:space="preserve">WILSON COZETTA                                    </t>
  </si>
  <si>
    <t xml:space="preserve">(310) 2525524   </t>
  </si>
  <si>
    <t xml:space="preserve">MAYWOOD MUTUAL WATER COMPANY # 2        </t>
  </si>
  <si>
    <t>F10763</t>
  </si>
  <si>
    <t>ICE, CATERPILLAR 6 CYLINDERS, TURBOCHARGED, AFTERCOOLED, MODEL NO. 3406 DITA (350 KW), 519 BHP, DIESEL FUELED, DRIVING AN EMERGENCY GENERATOR.</t>
  </si>
  <si>
    <t xml:space="preserve">5207 MAYWOOD AVE                                                                </t>
  </si>
  <si>
    <t xml:space="preserve">MAYWOOD                  </t>
  </si>
  <si>
    <t xml:space="preserve">RICKABAUGH WARREN                                 </t>
  </si>
  <si>
    <t xml:space="preserve">(213) 5815816   </t>
  </si>
  <si>
    <t>ICE, CATERPILLAR, DIESEL, EMR, MODEL 3508DITA,  900 KW,  8 CYL, TURBOCHARGED, AFTERCOOLED</t>
  </si>
  <si>
    <t xml:space="preserve">2701 N SEPULVEDA BLVD                                                           </t>
  </si>
  <si>
    <t>90049-6833</t>
  </si>
  <si>
    <t xml:space="preserve">HUGHES AIRCRAFT CO, EDSG                </t>
  </si>
  <si>
    <t>M47736</t>
  </si>
  <si>
    <t>ICE, DETROIT DIESEL, ALLISON,  EMR, DIESEL, MODEL 7123-7305, 12 CYL, 630 BHP, 425 KW, TURBOCHARGED</t>
  </si>
  <si>
    <t xml:space="preserve">2000-2101 E EL SEGUNDO BLVD                                                     </t>
  </si>
  <si>
    <t xml:space="preserve">ROBINSON BERNARD                                  </t>
  </si>
  <si>
    <t xml:space="preserve">(310) 5324013   </t>
  </si>
  <si>
    <t>M47737</t>
  </si>
  <si>
    <t>ICE, DETROIT DIESEL, ALLISON,  EMR, DIESEL, MODEL 9163-7306, 16 CYL, 1545 BHP, 1000 KW, TURBOCHARGED</t>
  </si>
  <si>
    <t>M47738</t>
  </si>
  <si>
    <t xml:space="preserve">HUNTINGTON BEACH HOSPITAL               </t>
  </si>
  <si>
    <t>F22716</t>
  </si>
  <si>
    <t>ICE, CUMMINS, DIESEL, EMR, MODEL CA-1150-02, 8 CYL, 600 HP,  AFTERCOOLED</t>
  </si>
  <si>
    <t>CA1150-02</t>
  </si>
  <si>
    <t xml:space="preserve">17772 BEACH BLVD                                                                </t>
  </si>
  <si>
    <t xml:space="preserve">HUNTINGTON BEACH         </t>
  </si>
  <si>
    <t xml:space="preserve">JOHNS GROVER                                      </t>
  </si>
  <si>
    <t xml:space="preserve">(714) 8435078   </t>
  </si>
  <si>
    <t>HUNTINGTON LIBRARY/ART GALLERY/BOT GARDN</t>
  </si>
  <si>
    <t>F20397</t>
  </si>
  <si>
    <t>ICE, CATERPILLAR, DIESEL, EMR, MODEL 3412 DITTA,  500 KW,  12 CYL, TURBOCHARGED, AFTERCOOLED</t>
  </si>
  <si>
    <t xml:space="preserve">1151 OXFORD RD                                                                  </t>
  </si>
  <si>
    <t xml:space="preserve">SAN MARINO               </t>
  </si>
  <si>
    <t xml:space="preserve">NIWA AKIO D                                       </t>
  </si>
  <si>
    <t xml:space="preserve">(626) 4052129   </t>
  </si>
  <si>
    <t xml:space="preserve">HUNTINGTON MEMORIAL HOSPITAL            </t>
  </si>
  <si>
    <t>F11424</t>
  </si>
  <si>
    <t>ICE, DETROIT DIESEL, EMERGENCY ELECTRICAL GENERATION, DIESEL, MODEL 9163-7K26,  2540 BHP,   TURBOCHARGED, AFTERCOOLED</t>
  </si>
  <si>
    <t>9163-7K26</t>
  </si>
  <si>
    <t xml:space="preserve">100 W CALIFORNIA BLVD                                                           </t>
  </si>
  <si>
    <t>91105-3097</t>
  </si>
  <si>
    <t xml:space="preserve">TODD MICHAEL                                      </t>
  </si>
  <si>
    <t xml:space="preserve">(626) 3973790   </t>
  </si>
  <si>
    <t>F11423</t>
  </si>
  <si>
    <t>ICE, DETROIT DIESEL, EMR, DIESEL, MODEL 9163-7K26,  2540 BHP,   TURBOCHARGED, AFTERCOOLED</t>
  </si>
  <si>
    <t>F11422</t>
  </si>
  <si>
    <t xml:space="preserve">HYATT REGENCY ALICANTE                  </t>
  </si>
  <si>
    <t>D16522</t>
  </si>
  <si>
    <t>ICE, CATERPILLAR, DIESEL, EMERGENCY ELECTRICAL GENERATION, MODEL 3412, SN 81A03827, 755 BHP, 12 CYL, TURBOCHARGED, INTERCOOLED</t>
  </si>
  <si>
    <t xml:space="preserve">100 PLAZA ALICANTE                                                              </t>
  </si>
  <si>
    <t xml:space="preserve">POYNTER KEN                                       </t>
  </si>
  <si>
    <t xml:space="preserve">(714) 7406025   </t>
  </si>
  <si>
    <t>D16328</t>
  </si>
  <si>
    <t>ICE, CATERPILLAR, DIESEL, EMERGENCY ELECTRICAL GENERATION, MODEL 3408, SN 78201661, 598 BHP,  8 CYL, TURBOCHARGED, INTERCOOLED</t>
  </si>
  <si>
    <t xml:space="preserve">INFONET                                 </t>
  </si>
  <si>
    <t>F21191</t>
  </si>
  <si>
    <t>ICE, DETROIT DIESEL, EMR, DIESEL, MODEL R163-7K05, 895 KW, 16 CYL,   TURBOCHARGED,  AFTERCOOLED</t>
  </si>
  <si>
    <t>R163-7K05</t>
  </si>
  <si>
    <t xml:space="preserve">2160 E GRAND AVE                                                                </t>
  </si>
  <si>
    <t xml:space="preserve">BOWLING DALE                                      </t>
  </si>
  <si>
    <t xml:space="preserve">(310) 3352849   </t>
  </si>
  <si>
    <t xml:space="preserve">INLAND EMPIRE UTILITIES AGENCY          </t>
  </si>
  <si>
    <t>F21587</t>
  </si>
  <si>
    <t>ICE, CATERPILLAR, DIESEL, EMR, MODEL 3516 DITA, 1500 KW, 16 CYL, TURBOCHARGED, AFTERCOOLED</t>
  </si>
  <si>
    <t xml:space="preserve">6063 KIMBALL AVE                                                                </t>
  </si>
  <si>
    <t xml:space="preserve">DESADDI GABRIEL                                   </t>
  </si>
  <si>
    <t xml:space="preserve">(909) 5975759   </t>
  </si>
  <si>
    <t>F21588</t>
  </si>
  <si>
    <t>F36505</t>
  </si>
  <si>
    <t>ICE, CATERPILLAR, DIESEL, EMR, MODEL 3516 BDITA, 2000 KW, 16 CYL, TURBOCHARGED, AFTERCOOLED</t>
  </si>
  <si>
    <t>INLAND EMPIRE UTL  AGEN, A MUN WATER DIS</t>
  </si>
  <si>
    <t>D33657</t>
  </si>
  <si>
    <t>ICE, CATERPILLAR, DIESEL, EMR, MODEL 3412TA, 895 BHP, 12 CYL, TURBOCHARGED, AFTERCOOLED</t>
  </si>
  <si>
    <t xml:space="preserve">2450 PHILADELPHIA AVE                                                           </t>
  </si>
  <si>
    <t xml:space="preserve">ROBINSON ORICK                                    </t>
  </si>
  <si>
    <t xml:space="preserve">(909) 3570241   </t>
  </si>
  <si>
    <t>D87103</t>
  </si>
  <si>
    <t>ICE, CATERPILLAR, DIESEL, EMR, MODEL 3512DITA, 1250 KW, 12 CYL, TURBOCHARGED, AFTERCOOLED</t>
  </si>
  <si>
    <t>D87104</t>
  </si>
  <si>
    <t>D87105</t>
  </si>
  <si>
    <t>ICE, CATERPILLAR, DIESEL, EMR, MODEL 3512DITA, 1000 KW, 12 CYL, TURBOCHARGED, AFTERCOOLED</t>
  </si>
  <si>
    <t>ICE, UNIT NO. 5 CUMMINS, MODEL QSK60-G6, TURBOCHARGED LOW TEMPERATURE AND AFTERCOOLED, DIESEL FUELED, EMERGENCY, SIXTEEN CYLINDERS, 2922 BHP.</t>
  </si>
  <si>
    <t>F24421</t>
  </si>
  <si>
    <t>ICE, UNIT NO. 6 CUMMINS, MODEL QSK60-G6, TURBOCHARGED LOW TEMPERATURE AND AFTERCOOLED, DIESEL FUELED, EMERGENCY, SIXTEEN CYLINDERS, 2922 BHP.</t>
  </si>
  <si>
    <t xml:space="preserve">MED CTR GARDEN GROVE                    </t>
  </si>
  <si>
    <t>D75749</t>
  </si>
  <si>
    <t>ICE, DETROIT DIESEL, MODEL NO. 9163-7305, DIESEL FIRED, EMERGENCY ELECTRICAL GENERATION, TURBOCHARGED/ AFTERCOOLED, 16 CYLINDERS, 1400 BHP.</t>
  </si>
  <si>
    <t xml:space="preserve">12601 GARDEN GROVE BLVD                                                         </t>
  </si>
  <si>
    <t xml:space="preserve">WALKER TOM                                        </t>
  </si>
  <si>
    <t xml:space="preserve">(714) 7413366   </t>
  </si>
  <si>
    <t xml:space="preserve">MEDIAONE GROUP, INC                     </t>
  </si>
  <si>
    <t>F22927</t>
  </si>
  <si>
    <t xml:space="preserve">1 CIVIC CENTER PLZ                                                              </t>
  </si>
  <si>
    <t xml:space="preserve">MCALLISTER JOHN                                   </t>
  </si>
  <si>
    <t xml:space="preserve">(714) 7246692   </t>
  </si>
  <si>
    <t xml:space="preserve">IRVINE OFFICE CO, C/O P M REALTY GROUP  </t>
  </si>
  <si>
    <t>D31407</t>
  </si>
  <si>
    <t>ICE, CUMMINS, DIESEL, EMR,  MODEL VT-1710-P, 635 BHP, TURBOCHARGED</t>
  </si>
  <si>
    <t>VT1710-P</t>
  </si>
  <si>
    <t xml:space="preserve">660 NEWPORT CENTER DR                                                           </t>
  </si>
  <si>
    <t xml:space="preserve">ROSA BART                                         </t>
  </si>
  <si>
    <t xml:space="preserve">(949) 7593601   </t>
  </si>
  <si>
    <t xml:space="preserve">IRVINE RANCH WATER DIST                 </t>
  </si>
  <si>
    <t>D37645</t>
  </si>
  <si>
    <t>ICE, NO. 2, CATERPILLAR, PORTABLE, DIESEL, EMERGENCY ELECTRICAL GENERATION, MODEL 3412, 12 CYL, 890 BHP TURBOCHARGED, AFTERCOOLED</t>
  </si>
  <si>
    <t>890</t>
  </si>
  <si>
    <t xml:space="preserve">HYDE JAMES                                        </t>
  </si>
  <si>
    <t xml:space="preserve">(949) 4535866   </t>
  </si>
  <si>
    <t>D37246</t>
  </si>
  <si>
    <t>ICE, NO. 1, CATERPILLAR, PORTABLE, DIESEL, EMERGENCY ELECTRICAL GENERATION, MODEL 3412, 12 CYL, 890 BHP TURBOCHARGED, AFTERCOOLED</t>
  </si>
  <si>
    <t xml:space="preserve">F6957 </t>
  </si>
  <si>
    <t>ICE, CATERPILLAR, DIESEL, EMR, MODEL 3516, SN 25Z00809, 1500 KW, TURBOCHARGED, AFTERCOOLED</t>
  </si>
  <si>
    <t>D98623</t>
  </si>
  <si>
    <t>ICE, CATERPILLAR, DIESEL, EMR, MODEL 3516 DITA, 2000 KW, 16 CYL TURBOCHARGED, AFTERCOOLED</t>
  </si>
  <si>
    <t>D98624</t>
  </si>
  <si>
    <t>ICE, CATERPILLAR, DIESEL, EMR, MODEL 3516 DITA, SN 4XF00599, 2000 KW, 16 CYL TURBOCHARGED, AFTERCOOLED</t>
  </si>
  <si>
    <t>D98625</t>
  </si>
  <si>
    <t>ICE, CATERPILLAR, DIESEL, EMR, MODEL 3516 DITA, SN 4XF00600, 2000 KW, 16 CYL TURBOCHARGED, AFTERCOOLED</t>
  </si>
  <si>
    <t>D98626</t>
  </si>
  <si>
    <t>C21426</t>
  </si>
  <si>
    <t>M16182</t>
  </si>
  <si>
    <t>ICE, CUMMINS, DIESEL, MODEL VT12-700GS, SN  10461575, 700 HP, 400 KW</t>
  </si>
  <si>
    <t>VT12-700GS</t>
  </si>
  <si>
    <t xml:space="preserve">CITY OF MANHATTAN BEACH                 </t>
  </si>
  <si>
    <t>F19429</t>
  </si>
  <si>
    <t>ICE, CUMMINS, DIESEL, EMERGENCY ELECTRICAL GENERATION, MODEL NTA855-G3, 6 CYL, 535 BHP, TURBOCHARGED, AFTERCOOLED</t>
  </si>
  <si>
    <t xml:space="preserve">6TH ST @ POWELL AVE                                                             </t>
  </si>
  <si>
    <t xml:space="preserve">MANHATTAN BEACH          </t>
  </si>
  <si>
    <t xml:space="preserve">KAU GLEN                                          </t>
  </si>
  <si>
    <t xml:space="preserve">(310) 5455621   </t>
  </si>
  <si>
    <t>F19428</t>
  </si>
  <si>
    <t xml:space="preserve">2230 MANHATTAN BEACH BLVD                                                       </t>
  </si>
  <si>
    <t xml:space="preserve">CITY OF SANTA ANA POLICE DEPARTMENT     </t>
  </si>
  <si>
    <t>F11216</t>
  </si>
  <si>
    <t>ICE, CATERPILLAR, DIESEL, EMR, MODEL 3512 DITA, SN 24Z06104, 1250 KW, 12 CYL TURBOCHARGED, AFTERCOOLED</t>
  </si>
  <si>
    <t xml:space="preserve">60/62 CIVIC CENTER PLZ                                                          </t>
  </si>
  <si>
    <t xml:space="preserve">SANTA ANA                </t>
  </si>
  <si>
    <t xml:space="preserve">HAYES JIM                                         </t>
  </si>
  <si>
    <t xml:space="preserve">(714) 2458165   </t>
  </si>
  <si>
    <t>F11217</t>
  </si>
  <si>
    <t>ICE, CATERPILLAR, DIESEL, EMR, MODEL 3512 DITA, SN 24Z06090, 1250 KW, 12 CYL TURBOCHARGED, AFTERCOOLED</t>
  </si>
  <si>
    <t xml:space="preserve">CITY OF SIGNAL HILL                     </t>
  </si>
  <si>
    <t xml:space="preserve">F8550 </t>
  </si>
  <si>
    <t>ICE, CATERPILLAR, DIESEL, EMR, MODEL 3412 DITTA,  500 KW, 12 CYL TURBOCHARGED, AFTERCOOLED</t>
  </si>
  <si>
    <t xml:space="preserve">2271 TEMPLE AVE                                                                 </t>
  </si>
  <si>
    <t xml:space="preserve">SIGNAL HILL              </t>
  </si>
  <si>
    <t xml:space="preserve">LUNDAHL RICHARD                                   </t>
  </si>
  <si>
    <t xml:space="preserve">(310) 9897300   </t>
  </si>
  <si>
    <t xml:space="preserve">CITY OF SOUTHGATE WATER DEPT            </t>
  </si>
  <si>
    <t xml:space="preserve">F9635 </t>
  </si>
  <si>
    <t>ICE, CATERPILLAR, DIESEL, EMR, MODEL 3508,  1456 BHP, 8 CYL TURBOCHARGED, AFTERCOOLED</t>
  </si>
  <si>
    <t xml:space="preserve">2751 TWEEDY BLVD                                                                </t>
  </si>
  <si>
    <t xml:space="preserve">SOUTH GATE               </t>
  </si>
  <si>
    <t xml:space="preserve">CHAMBERS JOHN                                     </t>
  </si>
  <si>
    <t xml:space="preserve">(213) 5639537   </t>
  </si>
  <si>
    <t xml:space="preserve">CITY OF TORRANCE                        </t>
  </si>
  <si>
    <t xml:space="preserve">F5196 </t>
  </si>
  <si>
    <t>ICE, CUMMINS, DIESEL, EMR, MODEL KTA19-G4, 6 CYL, 755 BHP, TURBOCHARGED, AFTERCOOLED</t>
  </si>
  <si>
    <t xml:space="preserve">25924 ROLLING HILLS RD                                                          </t>
  </si>
  <si>
    <t xml:space="preserve">BARRIENTOS JAVIER                                 </t>
  </si>
  <si>
    <t xml:space="preserve">(310) 2201120   </t>
  </si>
  <si>
    <t>CO OF SAN BERDO, EPWA/FACILITIES MGMT DT</t>
  </si>
  <si>
    <t>D23211</t>
  </si>
  <si>
    <t>ICE, CATERPILLAR, DIESEL, EMR, MODEL 3412, SN 81Z03594, 500 KW</t>
  </si>
  <si>
    <t xml:space="preserve">8303 N HAVEN AVE                                                                </t>
  </si>
  <si>
    <t xml:space="preserve">FRAZIER RANDALL K                                 </t>
  </si>
  <si>
    <t xml:space="preserve">(714) 3872240   </t>
  </si>
  <si>
    <t xml:space="preserve">CO SAN BERNARDINO                       </t>
  </si>
  <si>
    <t>D07826</t>
  </si>
  <si>
    <t xml:space="preserve">ICE, CATERPILLAR, DIESEL, EMR, MODEL 3512, 1809 BHP </t>
  </si>
  <si>
    <t xml:space="preserve">670 E GILBERT ST                                                                </t>
  </si>
  <si>
    <t xml:space="preserve">STARNE WAYNE                                      </t>
  </si>
  <si>
    <t xml:space="preserve">(714) 3873185   </t>
  </si>
  <si>
    <t xml:space="preserve">COACHELLA CITY                          </t>
  </si>
  <si>
    <t>D77258</t>
  </si>
  <si>
    <t>ICE, CATERPILLAR, DIESEL, EMR, MODEL 3406B, 587 BHP, 6 CYL TURBOCHARGED, AFTERCOOLED</t>
  </si>
  <si>
    <t xml:space="preserve">COACHELLA                </t>
  </si>
  <si>
    <t xml:space="preserve">MARR CHARLES                                      </t>
  </si>
  <si>
    <t xml:space="preserve">(714) 8553614   </t>
  </si>
  <si>
    <t xml:space="preserve">COACHELLA VALLEY WATER DIST             </t>
  </si>
  <si>
    <t>D01689</t>
  </si>
  <si>
    <t>ICE, CATERPILLAR, DIESEL, PORTABLE, EMR, MODEL 3412TA, 500 KW,  TURBOCHARGED, AFTERCOOLED</t>
  </si>
  <si>
    <t xml:space="preserve">HWY 111                                                                         </t>
  </si>
  <si>
    <t xml:space="preserve">FIELD RICHARD                                     </t>
  </si>
  <si>
    <t xml:space="preserve">(760) 3982661   </t>
  </si>
  <si>
    <t>D01690</t>
  </si>
  <si>
    <t>D01692</t>
  </si>
  <si>
    <t>ICE, CATERPILLAR, PORTABLE, DIESEL, EMR, MODEL 3412TA, 450 KW,  TURBOCHARGED, AFTERCOOLED</t>
  </si>
  <si>
    <t>D01693</t>
  </si>
  <si>
    <t>ICE, CATERPILLAR, DIESEL, PORTABLE, EMR, MODEL 3412TA, 450 KW,  TURBOCHARGED, AFTERCOOLED</t>
  </si>
  <si>
    <t>D21226</t>
  </si>
  <si>
    <t>ICE, CATERPILLAR, DIESEL, PORTABLE, EMR, MODEL 3412, SN 81Z04904, 450 KW,  TURBOCHARGED, AFTERCOOLED</t>
  </si>
  <si>
    <t>3412 DI</t>
  </si>
  <si>
    <t>D69946</t>
  </si>
  <si>
    <t>ICE, DIESEL, EMR,  8 CYL, 1440 BHP,  1000 KW, TURBOCHARGED, AFTERCOOLED</t>
  </si>
  <si>
    <t xml:space="preserve">43-000 COOK ST                                                                  </t>
  </si>
  <si>
    <t xml:space="preserve">PALM DESERT              </t>
  </si>
  <si>
    <t>CARIAGA FRED</t>
  </si>
  <si>
    <t xml:space="preserve">(760) 3982651   </t>
  </si>
  <si>
    <t>D88047</t>
  </si>
  <si>
    <t>ICE, CATERPILLAR, DIESEL, EMR, 12 CYL, MODEL 3512 TA, 1100 KW, TURBOCHARGED, AFTERCOOLED</t>
  </si>
  <si>
    <t xml:space="preserve">AVENUE 38 E MADISON                                                             </t>
  </si>
  <si>
    <t xml:space="preserve">INDIO                    </t>
  </si>
  <si>
    <t xml:space="preserve">MEYER ELSIE                                       </t>
  </si>
  <si>
    <t>D91876</t>
  </si>
  <si>
    <t>ICE, CATERPILLAR, DIESEL, EMR, MODEL 3512 DITTA, 1250 KW, 12 CYL TURBOCHARGED, AFTERCOOLED</t>
  </si>
  <si>
    <t>3512 DITTA</t>
  </si>
  <si>
    <t>F12102</t>
  </si>
  <si>
    <t xml:space="preserve">ICE, CUMMINS, DIESEL, EMR, MODEL VT-1710-E, 400 KW, </t>
  </si>
  <si>
    <t>VT1710-E</t>
  </si>
  <si>
    <t xml:space="preserve">10124 LIMONITE AVE                                                              </t>
  </si>
  <si>
    <t xml:space="preserve">O'NEILL TOM .                                     </t>
  </si>
  <si>
    <t xml:space="preserve">(909) 6857435   </t>
  </si>
  <si>
    <t xml:space="preserve">KAISER FOUNDATION HEALTH PLAN           </t>
  </si>
  <si>
    <t>D35731</t>
  </si>
  <si>
    <t>ICE, CATERPILLAR, DIESEL, EMR, MODEL 3412, SN 81709930,  12 CYL, 749 BHP, TURBOCHARGED, AFTERCOOLED</t>
  </si>
  <si>
    <t xml:space="preserve">9449 E IMPERIAL HWY                                                             </t>
  </si>
  <si>
    <t xml:space="preserve">GONZALEZ VIRGINIA                                 </t>
  </si>
  <si>
    <t xml:space="preserve">(714) 9784735   </t>
  </si>
  <si>
    <t xml:space="preserve">KAISER FOUNDATION HEALTH PLAN INC       </t>
  </si>
  <si>
    <t>F16272</t>
  </si>
  <si>
    <t>ICE, CATERPILLAR, DIESEL, EMERGENCY ELECTRICAL GENERATION, MODEL 3508STD, SN 23Z01151,  8 CYL, 1175 BHP, TURBOCHARGED, AFTERCOOLED</t>
  </si>
  <si>
    <t>3508 STD</t>
  </si>
  <si>
    <t xml:space="preserve">11666 SHERMAN WAY                                                               </t>
  </si>
  <si>
    <t xml:space="preserve">NORTH HOLLYWOOD          </t>
  </si>
  <si>
    <t>91605-58311</t>
  </si>
  <si>
    <t xml:space="preserve">NEWQUIST RON                                      </t>
  </si>
  <si>
    <t xml:space="preserve">(818) 5036582   </t>
  </si>
  <si>
    <t>F16267</t>
  </si>
  <si>
    <t>ICE, CATERPILLAR, DIESEL, EMERGENCY ELECTRICAL GENERATION, MODEL 3512, SN 24Z04073,  12 CYL, 1786 BHP, TURBOCHARGED, AFTERCOOLED</t>
  </si>
  <si>
    <t xml:space="preserve">KAISER FOUNDATION HOSP                  </t>
  </si>
  <si>
    <t>M35821</t>
  </si>
  <si>
    <t>ICE, CATERPILLAR, DIESEL, EMERGENCY ELECTRICAL GENERATION, MODEL D-348TA,  12 CYL, 805 HP, 500 KW, TURBOCHARGED, AFTERCOOLED</t>
  </si>
  <si>
    <t>D348 TA</t>
  </si>
  <si>
    <t xml:space="preserve">9400 E ROSECRANS AVE                                                            </t>
  </si>
  <si>
    <t xml:space="preserve">BELLFLOWER               </t>
  </si>
  <si>
    <t xml:space="preserve">LEON TONY                                         </t>
  </si>
  <si>
    <t xml:space="preserve">(562) 4614236   </t>
  </si>
  <si>
    <t>M35822</t>
  </si>
  <si>
    <t>M35823</t>
  </si>
  <si>
    <t>ICE, DETROIT DIESEL, EMERGENCY ELECTRICAL GENERATION, MODEL 12V-71T, DIESEL, 700 HP, 12 CYL, 400 KW, TURBOCHARGED, AFTERCOOLED</t>
  </si>
  <si>
    <t>M35824</t>
  </si>
  <si>
    <t xml:space="preserve">F6906 </t>
  </si>
  <si>
    <t>ICE, DETROIT DIESEL, EMERGENCY ELECTRICAL GENERATION, MODEL 8123-7416 (12V-92TA), SN 12VF011975, 12 CYL, 947 BHP, DIESEL TURBOCHARGED, AFTERCOOLED</t>
  </si>
  <si>
    <t xml:space="preserve">1100 PACIFIC COAST HWY                                                          </t>
  </si>
  <si>
    <t xml:space="preserve">HARBOR CITY              </t>
  </si>
  <si>
    <t>90710-3511</t>
  </si>
  <si>
    <t xml:space="preserve">F6907 </t>
  </si>
  <si>
    <t>ICE, DETROIT DIESEL, EMERGENCY ELECTRICAL GENERATION, MODEL 8123-7416 (12V-92TA), SN 12VF011982, 12 CYL, 947 BHP, DIESEL TURBOCHARGED, AFTERCOOLED</t>
  </si>
  <si>
    <t xml:space="preserve">F6908 </t>
  </si>
  <si>
    <t>ICE, DETROIT DIESEL, EMERGENCY ELECTRICAL GENERATION, MODEL 8123-7416 (12V-92TA), SN 12VF011979, 12 CYL, 947 BHP, DIESEL TURBOCHARGED, AFTERCOOLED</t>
  </si>
  <si>
    <t>F21685</t>
  </si>
  <si>
    <t>ICE, NO. 1, CATERPILLAR, DIESEL, EMERGENCY ELECTRICAL GENERATION, MODEL 3512 BDITA,  12 CYL, 1500 KW, TURBOCHARGED, AFTERCOOLED</t>
  </si>
  <si>
    <t xml:space="preserve">6041 CADILLAC AVE                                                               </t>
  </si>
  <si>
    <t>90034-1700</t>
  </si>
  <si>
    <t xml:space="preserve">EDGARIAN NORAIR                                   </t>
  </si>
  <si>
    <t xml:space="preserve">(323) 8572221   </t>
  </si>
  <si>
    <t>F21686</t>
  </si>
  <si>
    <t>ICE, NO. 2, CATERPILLAR, DIESEL, EMERGENCY ELECTRICAL GENERATION, MODEL 3512 BDITA,  12 CYL, 1500 KW, TURBOCHARGED, AFTERCOOLED</t>
  </si>
  <si>
    <t>F21687</t>
  </si>
  <si>
    <t>ICE, NO. 3, CATERPILLAR, DIESEL, EMERGENCY ELECTRICAL GENERATION, MODEL 3512 BDITA,  12 CYL, 1500 KW, TURBOCHARGED, AFTERCOOLED</t>
  </si>
  <si>
    <t xml:space="preserve">KAISER FOUNDATION HOSPITAL              </t>
  </si>
  <si>
    <t>M52186</t>
  </si>
  <si>
    <t>ICE, CATERPILLAR, DIESEL, EMERGENCY ELECTRICAL GENERATION, MODEL 3508 TA, SN 23700632, 8 CYL, 920 BHP, TURBOCHARGED, AFTERCOOLED</t>
  </si>
  <si>
    <t xml:space="preserve">5601 DE SOTO                                                                    </t>
  </si>
  <si>
    <t xml:space="preserve">HANARAHAN JOHN                                    </t>
  </si>
  <si>
    <t xml:space="preserve">(818) 7194092   </t>
  </si>
  <si>
    <t>M52187</t>
  </si>
  <si>
    <t>ICE, CATERPILLAR, DIESEL, EMERGENCY ELECTRICAL GENERATION, MODEL 3508 TA, SN 23700662, 8 CYL, 920 BHP, TURBOCHARGED, AFTERCOOLED</t>
  </si>
  <si>
    <t>M52188</t>
  </si>
  <si>
    <t>M52189</t>
  </si>
  <si>
    <t>ICE, CATERPILLAR, DIESEL, EMERGENCY ELECTRICAL GENERATION, MODEL 3508 TA, SN 23700635, 8 CYL, 920 BHP, TURBOCHARGED, AFTERCOOLED</t>
  </si>
  <si>
    <t>D18026</t>
  </si>
  <si>
    <t>ICE, DETROIT DIESEL, ALLISON, DIESEL, EMERGENCY ELECTRICAL GENERATION, MODEL 16V-92T, 8 CYL, 960 BHP, TURBOCHARGED, AFTERCOOLED</t>
  </si>
  <si>
    <t>16V-92T</t>
  </si>
  <si>
    <t xml:space="preserve">13652 CANTARA ST                                                                </t>
  </si>
  <si>
    <t xml:space="preserve">PANORAMA CITY            </t>
  </si>
  <si>
    <t xml:space="preserve">MANKOWSKI MICHAEL                                 </t>
  </si>
  <si>
    <t xml:space="preserve">(818) 3753844   </t>
  </si>
  <si>
    <t>D09861</t>
  </si>
  <si>
    <t>ICE, NO. 1, CATERPILLAR, DIESEL-FUELED, EMERGENCY ELECTRICAL GENERATION, MODEL 3516, TURBOCHARGED, AFTERCOOLED, 16 CYLINDERS, 2153 BHP.</t>
  </si>
  <si>
    <t>3516</t>
  </si>
  <si>
    <t>2153</t>
  </si>
  <si>
    <t>4867 SUNSET BLVD.</t>
  </si>
  <si>
    <t xml:space="preserve">SHARIFI MOHAMMAD                                  </t>
  </si>
  <si>
    <t xml:space="preserve">(323) 7838442   </t>
  </si>
  <si>
    <t>D09860</t>
  </si>
  <si>
    <t>ICE, NO. 2, CATERPILLAR, DIESEL-FUELED, EMERGENCY ELECTRICAL GENERATION, MODEL 3516, TURBOCHARGED, AFTERCOOLED, 16 CYLINDERS, 2153 BHP.</t>
  </si>
  <si>
    <t>D18027</t>
  </si>
  <si>
    <t>ICE, NO. 3, CATERPILLAR, DIESEL, EMERGENCY ELECTRICAL GENERATION, MODEL 3512, 12 CYL, 1588 BHP, TURBOCHARGED, AFTERCOOLED</t>
  </si>
  <si>
    <t>1588</t>
  </si>
  <si>
    <t>D13218</t>
  </si>
  <si>
    <t>ICE, CATERPILLAR, DIESEL, EMERGENCY ELECTRICAL GENERATION, 930 HP, MODEL 3508, 650 KW</t>
  </si>
  <si>
    <t xml:space="preserve">10800 MAGNOLIA AVE                                                              </t>
  </si>
  <si>
    <t xml:space="preserve">TALASKA RON                                       </t>
  </si>
  <si>
    <t xml:space="preserve">(909) 3533243   </t>
  </si>
  <si>
    <t>D13219</t>
  </si>
  <si>
    <t>ICE, CATERPILLAR, DIESEL, EMERGENCY ELECTRICAL GENERATION, MODEL 3508, 930 HP, 650 KW</t>
  </si>
  <si>
    <t>D13220</t>
  </si>
  <si>
    <t>D13221</t>
  </si>
  <si>
    <t>D70350</t>
  </si>
  <si>
    <t>ICE, DETROIT DIESEL, EMERGENCY ELECTRICAL GENERATION, MODEL 9123-7306, 12 CYL, 1550 BHP, DIESEL, TURBOCHARGED, INTERCOOLED</t>
  </si>
  <si>
    <t xml:space="preserve">1011 BALDWIN PARK BLVD                                                          </t>
  </si>
  <si>
    <t xml:space="preserve">BALDWIN PARK             </t>
  </si>
  <si>
    <t xml:space="preserve">ROBERTS LAWRENCE                                  </t>
  </si>
  <si>
    <t xml:space="preserve">(818) 8515285   </t>
  </si>
  <si>
    <t>D70351</t>
  </si>
  <si>
    <t>D70636</t>
  </si>
  <si>
    <t>D71068</t>
  </si>
  <si>
    <t>00984B</t>
  </si>
  <si>
    <t>E2537B</t>
  </si>
  <si>
    <t>ICE, DIESEL ENGINE, 800 BHP, DRIVING ELECTRICAL GENERATOR, MODEL S/N 59-516-1</t>
  </si>
  <si>
    <t xml:space="preserve">9961 SIERRA AVE                                                                 </t>
  </si>
  <si>
    <t xml:space="preserve">NEAL KEN                                          </t>
  </si>
  <si>
    <t xml:space="preserve">(909) 8295161   </t>
  </si>
  <si>
    <t>00985B</t>
  </si>
  <si>
    <t>E2538B</t>
  </si>
  <si>
    <t>ICE, DIESEL ENGINE, 800 BHP, DRIVING ELECTRICAL GENERATOR, MODEL S/N 60-516</t>
  </si>
  <si>
    <t xml:space="preserve">KAISER PERMANENTE CORONA DATA CENTER    </t>
  </si>
  <si>
    <t>F18068</t>
  </si>
  <si>
    <t>ICE, CATERPILLAR, DIESEL, EMR, MODEL 3516 DITA, 16 CYL, 2518 BHP, TURBOCHARGED, AFTERCOOLED</t>
  </si>
  <si>
    <t xml:space="preserve">1850 CALIFORNIA AVE                                                             </t>
  </si>
  <si>
    <t xml:space="preserve">KLEIN KEN                                         </t>
  </si>
  <si>
    <t xml:space="preserve">(909) 2701220   </t>
  </si>
  <si>
    <t>F18069</t>
  </si>
  <si>
    <t>F18073</t>
  </si>
  <si>
    <t>F18074</t>
  </si>
  <si>
    <t>F18075</t>
  </si>
  <si>
    <t xml:space="preserve">KAISER PERMANENTE HOSPITAL              </t>
  </si>
  <si>
    <t xml:space="preserve">F7337 </t>
  </si>
  <si>
    <t>ICE, DETROIT DIESEL, MODEL 8163-7416 (16V-92TA), 16 CYL, 1232 BHP, DIESEL, EMR, TURBOCHARGED, AFTERCOOLED</t>
  </si>
  <si>
    <t xml:space="preserve">4580 ELECTRONICS PL                                                             </t>
  </si>
  <si>
    <t>90039-1072</t>
  </si>
  <si>
    <t xml:space="preserve">NEWQUIST RON.                                     </t>
  </si>
  <si>
    <t xml:space="preserve">KAISER PERMANENTE L A MEDICAL CENTER    </t>
  </si>
  <si>
    <t>F10275</t>
  </si>
  <si>
    <t>ICE, DETROIT DIESEL, MODEL 12V-92TA, 12 CYL, 830 BHP, DIESEL, EMR, TURBOCHARGED, AFTERCOOLED</t>
  </si>
  <si>
    <t xml:space="preserve">1515 VERMONT                                                                    </t>
  </si>
  <si>
    <t xml:space="preserve">(213) 7838442   </t>
  </si>
  <si>
    <t xml:space="preserve">KAISER PERMANENTE MEDICAL CENTER-BELLF. </t>
  </si>
  <si>
    <t>D61287</t>
  </si>
  <si>
    <t>ICE, DETROIT DIESEL, EMR, DIESEL, MODEL149TI, SN 12E001054, 12 CYL, 1550 BHP, TURBOCHARGED, AFTERCOOLED</t>
  </si>
  <si>
    <t xml:space="preserve">ROJAS ANA                                         </t>
  </si>
  <si>
    <t xml:space="preserve">(818) 4056729   </t>
  </si>
  <si>
    <t xml:space="preserve">KENNEDY-WILSON PROP LTD, WILSHIRE BIXEL </t>
  </si>
  <si>
    <t>F20424</t>
  </si>
  <si>
    <t>ICE, CATERPILLAR, DIESEL, EMR, MODEL 3412, 12 CYL, 924 BHP, TURBOCHARGED, AFTERCOOLED</t>
  </si>
  <si>
    <t xml:space="preserve">1055 WILSHIRE BLVD ROOF                                                         </t>
  </si>
  <si>
    <t xml:space="preserve">KETCHEN NORMAN                                    </t>
  </si>
  <si>
    <t xml:space="preserve">(213) 4811511   </t>
  </si>
  <si>
    <t xml:space="preserve">KENT H. LANDSBERG CO                    </t>
  </si>
  <si>
    <t>D85931</t>
  </si>
  <si>
    <t>ICE, CATERPILLAR, DIESEL, EMR, MODEL 3512 DITA, SN 24Z01327, 12 CYL, 1000 KW, TURBOCHARGED, AFTERCOOLED</t>
  </si>
  <si>
    <t xml:space="preserve">1640 S GREENWOOD AVE                                                            </t>
  </si>
  <si>
    <t>90640-6538</t>
  </si>
  <si>
    <t xml:space="preserve">HUNTINGTON STEPH L                                </t>
  </si>
  <si>
    <t xml:space="preserve">(213) 7213355   </t>
  </si>
  <si>
    <t xml:space="preserve">KILROY AIRPORT ASSOCIATES               </t>
  </si>
  <si>
    <t>D07357</t>
  </si>
  <si>
    <t>ICE, CATERPILLAR, DIESEL, EMR, MODEL 3412,  SN 81202156, 12 CYL, 890 BHP, TURBOCHARGED, AFTERCOOLED</t>
  </si>
  <si>
    <t xml:space="preserve">WENDT BILL                                        </t>
  </si>
  <si>
    <t xml:space="preserve">(213) 7721193   </t>
  </si>
  <si>
    <t xml:space="preserve">KILROY LONG BCH ASSOC, KILROY REALTY LP </t>
  </si>
  <si>
    <t>F31649</t>
  </si>
  <si>
    <t>ICE, CATERPILLAR, DIESEL, EMR, MODEL 3412 DITTA,  SN 81Z24407, 896 BHP, TURBOCHARGED, AFTERCOOLED</t>
  </si>
  <si>
    <t xml:space="preserve">3750-3800 KILROY AIRPORT WAY                                                    </t>
  </si>
  <si>
    <t xml:space="preserve">BEACH SANDY                                       </t>
  </si>
  <si>
    <t xml:space="preserve">(562) 9881160   </t>
  </si>
  <si>
    <t xml:space="preserve">KMEX-TV                                 </t>
  </si>
  <si>
    <t>D28782</t>
  </si>
  <si>
    <t>ICE, CATERPILLAR, DIESEL, EMR, MODEL 3408,  SN 78Z01816, 8 CYL, 538 BHP, TURBOCHARGED, AFTERCOOLED</t>
  </si>
  <si>
    <t xml:space="preserve">VIDEO RD                                                                        </t>
  </si>
  <si>
    <t xml:space="preserve">MOUNT WILSON             </t>
  </si>
  <si>
    <t xml:space="preserve">LOVING RANDY                                      </t>
  </si>
  <si>
    <t xml:space="preserve">(213) 4663434   </t>
  </si>
  <si>
    <t>KNBC TELEVISION, NATL BROADCASTING CO DB</t>
  </si>
  <si>
    <t>F12744</t>
  </si>
  <si>
    <t>ICE, CATERPILLAR, DIESEL, EMR,  MODEL 3406 DITA, 400 KW,  TURBOCHARGED, AFTERCOOLED, 6 CYL</t>
  </si>
  <si>
    <t xml:space="preserve">VIDEO DR                                                                        </t>
  </si>
  <si>
    <t xml:space="preserve">TANKENSON LAURA                                   </t>
  </si>
  <si>
    <t xml:space="preserve">(818) 8404529   </t>
  </si>
  <si>
    <t>KOLL CTR NEWPORT NO 9,A CAL LTD PARTNRSP</t>
  </si>
  <si>
    <t>D48941</t>
  </si>
  <si>
    <t>ICE, CATERPILLAR, DIESEL, EMR,  MODEL 3412 PC, TURBOCHARGED, AFTERCOOLED, 12 CYL</t>
  </si>
  <si>
    <t>3412 PC</t>
  </si>
  <si>
    <t xml:space="preserve">4400 MACARTHUR BLVD                                                             </t>
  </si>
  <si>
    <t xml:space="preserve">NAPIER JIM                                        </t>
  </si>
  <si>
    <t xml:space="preserve">(714) 8330310   </t>
  </si>
  <si>
    <t xml:space="preserve">KRAMER-WILSON                           </t>
  </si>
  <si>
    <t>F37371</t>
  </si>
  <si>
    <t>ICE, VOLVO, PORTABLE, EMR, MODEL TAD 1631 GE, SN 2160035637, DIESEL, 6 CYL, TURBOCHARGED, AFTERCOOLED, 749 BHP</t>
  </si>
  <si>
    <t>Volvo</t>
  </si>
  <si>
    <t>TAD 1631GE</t>
  </si>
  <si>
    <t xml:space="preserve">YOUNG TIM                                         </t>
  </si>
  <si>
    <t xml:space="preserve">(800) 8215095   </t>
  </si>
  <si>
    <t xml:space="preserve">KRCA-TV 62                              </t>
  </si>
  <si>
    <t>D49906</t>
  </si>
  <si>
    <t>ICE, CATERPILLAR, DIESEL, EMR,  MODEL D348TA 57K633, TURBOCHARGED, AFTERCOOLED, 12 CYL, 890 BHP</t>
  </si>
  <si>
    <t xml:space="preserve">SUNSET                                                                          </t>
  </si>
  <si>
    <t xml:space="preserve">MOUNT BALDY              </t>
  </si>
  <si>
    <t xml:space="preserve">SALARVAND MASSOUD                                 </t>
  </si>
  <si>
    <t xml:space="preserve">(818) 5635722   </t>
  </si>
  <si>
    <t xml:space="preserve">KSCI INC                                </t>
  </si>
  <si>
    <t xml:space="preserve">F6979 </t>
  </si>
  <si>
    <t>ICE, DETROIT DIESEL, EMR,  MODEL 7123-7305,  DIESEL, 12 CYL, 630 BHP, TURBOCHARGED, AFTERCOOLED</t>
  </si>
  <si>
    <t xml:space="preserve">SUNSET RIDGE ELECTRONICS SITE                                                   </t>
  </si>
  <si>
    <t xml:space="preserve">CLAREMONT                </t>
  </si>
  <si>
    <t xml:space="preserve">WELTY BILL                                        </t>
  </si>
  <si>
    <t xml:space="preserve">(310) 4781818   </t>
  </si>
  <si>
    <t xml:space="preserve">KTLA INC                                </t>
  </si>
  <si>
    <t>D36770</t>
  </si>
  <si>
    <t>ICE, DETROIT DIESEL, EMR,  MODEL 12V-71TA,  DIESEL, 12 CYL, 545 BHP, TURBOCHARGED, AFTERCOOLED</t>
  </si>
  <si>
    <t xml:space="preserve">5800 W SUNSET BLVD                                                              </t>
  </si>
  <si>
    <t xml:space="preserve">(213) 4603987   </t>
  </si>
  <si>
    <t xml:space="preserve">L A CITY FIRE STATION #401              </t>
  </si>
  <si>
    <t>F33447</t>
  </si>
  <si>
    <t>ICE, CUMMINS, DIESEL, EMR, MODEL QSX15-G9, 6 CYL, 755 BHP, TURBOCHARGED, AFTERCOOLED</t>
  </si>
  <si>
    <t xml:space="preserve">140 N AVENUE 19                                                                 </t>
  </si>
  <si>
    <t xml:space="preserve">KUROKI SHARI                                      </t>
  </si>
  <si>
    <t xml:space="preserve">(213) 4737748   </t>
  </si>
  <si>
    <t xml:space="preserve">LA AIRPORT MARRIOTT HOTEL               </t>
  </si>
  <si>
    <t>M36406</t>
  </si>
  <si>
    <t>D-348</t>
  </si>
  <si>
    <t xml:space="preserve">5855 W CENTURY BLVD                                                             </t>
  </si>
  <si>
    <t xml:space="preserve">TOMASEK TRACY SCOTT                               </t>
  </si>
  <si>
    <t xml:space="preserve">(310) 3375370   </t>
  </si>
  <si>
    <t xml:space="preserve">LA CITY DWP                             </t>
  </si>
  <si>
    <t>D59869</t>
  </si>
  <si>
    <t>ICE, CATERPILLAR, DIESEL, EMR, MODEL 3516, 16 CYL, 2847 BHP, TURBOCHARGED, AFTERCOOLED</t>
  </si>
  <si>
    <t xml:space="preserve">8501 ARLETA AVE                                                                 </t>
  </si>
  <si>
    <t xml:space="preserve">SUN VALLEY               </t>
  </si>
  <si>
    <t xml:space="preserve">ROBERTS BOYD                                      </t>
  </si>
  <si>
    <t xml:space="preserve">(818) 7712326   </t>
  </si>
  <si>
    <t>D59898</t>
  </si>
  <si>
    <t>D98029</t>
  </si>
  <si>
    <t>ICE, CUMMINS, DIESEL, EMR, MODEL KTA19-G2, 6 CYL, 600 BHP, TURBOCHARGED, AFTERCOOLED</t>
  </si>
  <si>
    <t xml:space="preserve">7501 TYRONE AVE                                                                 </t>
  </si>
  <si>
    <t xml:space="preserve">RUTTY SHELLEY                                     </t>
  </si>
  <si>
    <t xml:space="preserve">(213) 3670275   </t>
  </si>
  <si>
    <t>F17783</t>
  </si>
  <si>
    <t>ICE, CUMMINS, DIESEL, EMR, MODEL KTA50-G9, 1500 KW, TURBOCHARGED, AFTERCOOLED, 16 CYL</t>
  </si>
  <si>
    <t xml:space="preserve">13101 SEPULVEDA BLVD                                                            </t>
  </si>
  <si>
    <t xml:space="preserve">SYLMAR                   </t>
  </si>
  <si>
    <t xml:space="preserve">BODEN BRENT                                       </t>
  </si>
  <si>
    <t xml:space="preserve">(818) 7716003   </t>
  </si>
  <si>
    <t xml:space="preserve">LA CITY DWP, DE SOTO P.S.               </t>
  </si>
  <si>
    <t>D10745</t>
  </si>
  <si>
    <t>ICE, CUMMINS, DIESEL, EMR, MODEL VTA1710-P700, SN 10253096, 700 BHP, TURBOCHARGED, AFTERCOOLED, 12 CYL</t>
  </si>
  <si>
    <t>VTA1710-P700</t>
  </si>
  <si>
    <t xml:space="preserve">11200 DE SOTO ST                                                                </t>
  </si>
  <si>
    <t xml:space="preserve">CHATSWORTH               </t>
  </si>
  <si>
    <t xml:space="preserve">LILL KUNO                                         </t>
  </si>
  <si>
    <t xml:space="preserve">(213) 4816231   </t>
  </si>
  <si>
    <t xml:space="preserve">LA CITY, 77TH ST AREA POLICE FACILITY   </t>
  </si>
  <si>
    <t>D99613</t>
  </si>
  <si>
    <t>ICE, CATERPILLAR, DIESEL, EMR, MODEL 3516,  SN 25Z04857,16 CYL, 1400 KW, TURBOCHARGED, AFTERCOOLED</t>
  </si>
  <si>
    <t xml:space="preserve">7600 BROADWAY                                                                   </t>
  </si>
  <si>
    <t xml:space="preserve">MUNZ PAUL                                         </t>
  </si>
  <si>
    <t xml:space="preserve">(213) 8474177   </t>
  </si>
  <si>
    <t xml:space="preserve">LA CITY, BUREAU OF SANITATION           </t>
  </si>
  <si>
    <t>D23188</t>
  </si>
  <si>
    <t>ICE, NO. 1, DETROIT DIESEL, EMERGENCY ELECTRICAL GENERATION, DIESEL, MODEL 16V-92TA, 880 HP, 16 CYL, 750 KW, TURBOCHARGED, AFTERCOOLED</t>
  </si>
  <si>
    <t xml:space="preserve">140 HURRICANE ST                                                                </t>
  </si>
  <si>
    <t xml:space="preserve">VENICE                   </t>
  </si>
  <si>
    <t xml:space="preserve">MCQUAY STEVE                                      </t>
  </si>
  <si>
    <t xml:space="preserve">(213) 4855879   </t>
  </si>
  <si>
    <t>D23187</t>
  </si>
  <si>
    <t>ICE, NO. 2, DETROIT DIESEL, EMERGENCY ELECTRICAL GENERATION, DIESEL, MODEL 16V-92TA, 880 HP, 16 CYL, 750 KW, TURBOCHARGED, AFTERCOOLED</t>
  </si>
  <si>
    <t>D21364</t>
  </si>
  <si>
    <t xml:space="preserve">ICE, CATERPILLAR, DIESEL, EMR, MODEL 3508, 8 CYL, TURBOCHARGED, 1069 BHP, </t>
  </si>
  <si>
    <t xml:space="preserve">45 TERMINAL WAY                                                                 </t>
  </si>
  <si>
    <t xml:space="preserve">TERMINAL ISLAND          </t>
  </si>
  <si>
    <t>D23109</t>
  </si>
  <si>
    <t xml:space="preserve">ICE, CATERPILLAR, DIESEL, EMR, MODEL 3406 TA, 6 CYL, TURBOCHARGED, 560 BHP, </t>
  </si>
  <si>
    <t xml:space="preserve">520 W MANCHESTER                                                                </t>
  </si>
  <si>
    <t>D21291</t>
  </si>
  <si>
    <t xml:space="preserve">ICE, CATERPILLAR, DIESEL, EMERGENCY ELECTRICAL GENERATION, MODEL 3406, 6 CYL, TURBOCHARGED, 560 BHP, </t>
  </si>
  <si>
    <t xml:space="preserve">1220 W B ST                                                                     </t>
  </si>
  <si>
    <t xml:space="preserve">WILMINGTON               </t>
  </si>
  <si>
    <t xml:space="preserve">KATEN BRIAN KNOX/P                                </t>
  </si>
  <si>
    <t xml:space="preserve">(213) 8479511   </t>
  </si>
  <si>
    <t>D21292</t>
  </si>
  <si>
    <t xml:space="preserve">301 MCFARLAND AVE                                                               </t>
  </si>
  <si>
    <t>D60117</t>
  </si>
  <si>
    <t>ICE, CUMMINS, DIESEL, EMR, MODEL KTA 38-G2, 12 CYL, 1200 BHP, TURBOCHARGED, AFTERCOOLED</t>
  </si>
  <si>
    <t>KTA38-G2</t>
  </si>
  <si>
    <t xml:space="preserve">675 FRONT ST                                                                    </t>
  </si>
  <si>
    <t xml:space="preserve">LI MICHAEL                                        </t>
  </si>
  <si>
    <t xml:space="preserve">(714) 8613844   </t>
  </si>
  <si>
    <t>D62336</t>
  </si>
  <si>
    <t>ICE, CATERPILLAR, MODEL 3406 DITA, DIESEL, EMR, 400 KW,  6 CYL, SN 1L500778, TURBOCHARGED, AFTERCOOLED</t>
  </si>
  <si>
    <t xml:space="preserve">1740 OCEAN AVE                                                                  </t>
  </si>
  <si>
    <t xml:space="preserve">SANTA MONICA             </t>
  </si>
  <si>
    <t xml:space="preserve">WORLEY WES                                        </t>
  </si>
  <si>
    <t xml:space="preserve">(606) 5781161   </t>
  </si>
  <si>
    <t xml:space="preserve">DELTA AIR LINES, INC                    </t>
  </si>
  <si>
    <t>F22043</t>
  </si>
  <si>
    <t>ICE, DETROIT DIESEL, 6 CYL, TURBOCHARGED, AFTERCOOLED, MODEL 6063-TK35, 365 KW, DIESEL, EMR</t>
  </si>
  <si>
    <t xml:space="preserve">6060 AVION DR                                                                   </t>
  </si>
  <si>
    <t xml:space="preserve">LITTLEWOOD DON                                    </t>
  </si>
  <si>
    <t xml:space="preserve">(310) 6466369   </t>
  </si>
  <si>
    <t>DEPT VETERANS AFFAIRS, OUTPATIENT CLINIC</t>
  </si>
  <si>
    <t>D59028</t>
  </si>
  <si>
    <t>ICE, DETROIT DIESEL, MODEL 9123-7305, SN DD12E0009864, 12 CYL, 1515 BHP, TURBOCHARGED, AFTERCOOLED, DIESEL, EMR</t>
  </si>
  <si>
    <t>9123-7305</t>
  </si>
  <si>
    <t xml:space="preserve">351 E TEMPLE ST                                                                 </t>
  </si>
  <si>
    <t xml:space="preserve">VERMA SANTOSH                                     </t>
  </si>
  <si>
    <t xml:space="preserve">(213) 2534759   </t>
  </si>
  <si>
    <t xml:space="preserve">DESERT HOSPITAL                         </t>
  </si>
  <si>
    <t xml:space="preserve">F7955 </t>
  </si>
  <si>
    <t>#1 EMERGENCY ICE, WAUKESHA, SERIES L5790D, DIESEL ENGINE, SN 294146, 1403 HP</t>
  </si>
  <si>
    <t>L5790D</t>
  </si>
  <si>
    <t xml:space="preserve">1150 N INDIAN CANYON DR                                                         </t>
  </si>
  <si>
    <t xml:space="preserve">PALM SPRINGS             </t>
  </si>
  <si>
    <t xml:space="preserve">BARNHART DALE                                     </t>
  </si>
  <si>
    <t xml:space="preserve">(760) 3236511   </t>
  </si>
  <si>
    <t xml:space="preserve">F7952 </t>
  </si>
  <si>
    <t>#2 EMERGENCY ICE, WAUKESHA, SERIES L5790D, DIESEL ENGINE, SN 296134, 1403 HP</t>
  </si>
  <si>
    <t xml:space="preserve">F7954 </t>
  </si>
  <si>
    <t>ICE, DETROIT DIESEL, MODEL NO. 16V-149TI, DIESEL ENGINE,1500 KW, SIXTEEN CYLINDERS, EMERGENCY ELECTRICAL GENERATION, TURBOCHARGED, AFTERCOOLED</t>
  </si>
  <si>
    <t>16V-149TI</t>
  </si>
  <si>
    <t xml:space="preserve">DESERT SANDS UNI SCH DISTRICT           </t>
  </si>
  <si>
    <t>F27709</t>
  </si>
  <si>
    <t>ICE, CATERPILLAR, MODEL 3412, SN 2WJ00745, DIESEL, EMR, TURBOCHARGED, 1039 BHP</t>
  </si>
  <si>
    <t xml:space="preserve">47950 DUNE PALMS RD                                                             </t>
  </si>
  <si>
    <t xml:space="preserve">SHERMAN LOIS                                      </t>
  </si>
  <si>
    <t xml:space="preserve">(760) 7718512   </t>
  </si>
  <si>
    <t>F27711</t>
  </si>
  <si>
    <t>ICE, CATERPILLAR, MODEL 3412, SN 2WJ00747, DIESEL, EMR, TURBOCHARGED, 1039 BHP</t>
  </si>
  <si>
    <t xml:space="preserve">DESTINATION OAK KNOLL HOTEL INC         </t>
  </si>
  <si>
    <t>D82922</t>
  </si>
  <si>
    <t>ICE, CATERPILLAR, MODEL 3406 DITA, DIESEL, EMR, 400 KW, TURBOCHARGED, AFTERCOOLED</t>
  </si>
  <si>
    <t xml:space="preserve">1401 S OAK KNOLL                                                                </t>
  </si>
  <si>
    <t xml:space="preserve">SYLVESTER TIM                                     </t>
  </si>
  <si>
    <t xml:space="preserve">(818) 5683900   </t>
  </si>
  <si>
    <t xml:space="preserve">DIRECTORS GUILD OF AMERICA              </t>
  </si>
  <si>
    <t>D88693</t>
  </si>
  <si>
    <t>ICE, CATERPILLAR, MODEL 3412, SN 81206949,  DIESEL, EMR, 12 CYL, TURBOCHARGED, 724 BHP</t>
  </si>
  <si>
    <t xml:space="preserve">7920 SUNSET BLVD                                                                </t>
  </si>
  <si>
    <t xml:space="preserve">RODICAN DAVE                                      </t>
  </si>
  <si>
    <t xml:space="preserve">(31 ) 2892095   </t>
  </si>
  <si>
    <t xml:space="preserve">DIRECTV                                 </t>
  </si>
  <si>
    <t>F13514</t>
  </si>
  <si>
    <t>ICE, CUMMINS, DIESEL, EMR, 16 CYL, MODEL KTA50-G3, 1850 BHP, TURBOCHARGED, AFTERCOOLED</t>
  </si>
  <si>
    <t xml:space="preserve">12800 CULVER BLVD                                                               </t>
  </si>
  <si>
    <t xml:space="preserve">HOWARD BOB                                        </t>
  </si>
  <si>
    <t xml:space="preserve">(310) 9648917   </t>
  </si>
  <si>
    <t>F13515</t>
  </si>
  <si>
    <t>F13516</t>
  </si>
  <si>
    <t>F14709</t>
  </si>
  <si>
    <t xml:space="preserve">200 N SEPULVEDA BLVD                                                            </t>
  </si>
  <si>
    <t xml:space="preserve">IKIRI TAZU                                        </t>
  </si>
  <si>
    <t>ICE, DETROIT DIESEL, EMERGENCY ELECTRICAL GENERATION, DIESEL, MODEL 8083-7416, SN 99041, 643 BHP, 8 CYL, TURBOCHARGED, AFTERCOOLED</t>
  </si>
  <si>
    <t>F11404</t>
  </si>
  <si>
    <t>ICE, DETROIT DIESEL, EMERGENCY ELECTRICAL GENERATION, DIESEL, MODEL 8083-7416, SN 99457, 643 BHP, 8 CYL, TURBOCHARGED, AFTERCOOLED</t>
  </si>
  <si>
    <t xml:space="preserve">145 W 108TH ST                                                                  </t>
  </si>
  <si>
    <t>90061-2001</t>
  </si>
  <si>
    <t xml:space="preserve">MOORE LEE                                         </t>
  </si>
  <si>
    <t xml:space="preserve">(213) 4737745   </t>
  </si>
  <si>
    <t>F16868</t>
  </si>
  <si>
    <t>ICE, DETROIT DIESEL, EMR, DIESEL, MODEL 8083-7405 (8V-92TA), 568 BHP, 8 CYL, TURBOCHARGED, AFTERCOOLED</t>
  </si>
  <si>
    <t xml:space="preserve">12312 CULVER BLVD                                                               </t>
  </si>
  <si>
    <t>F26174</t>
  </si>
  <si>
    <t>ICE, DETROIT DIESEL, EMERGENCY ELECTRICAL GENERATION, DIESEL, MODEL 8083-7416 (8V-92TA), 643 BHP, 8 CYL, TURBOCHARGED, AFTERCOOLED</t>
  </si>
  <si>
    <t xml:space="preserve">4861 VENICE BLVD                                                                </t>
  </si>
  <si>
    <t>90019-5664</t>
  </si>
  <si>
    <t xml:space="preserve">MORE LEE                                          </t>
  </si>
  <si>
    <t>F22251</t>
  </si>
  <si>
    <t>ICE, CATERPILLAR, DIESEL, EMERGENCY ELECTRICAL GENERATION, MODEL 3512 DITA, SN 24Z08887, 1250 KW, 12 CYL, TURBOCHARGED, AFTERCOOLED</t>
  </si>
  <si>
    <t>F23293</t>
  </si>
  <si>
    <t>ICE, CATERPILLAR, DIESEL, EMERGENCY ELECTRICAL GENERATION, MODEL 3516 DITA, 2000 KW, 16 CYL, TURBOCHARGED, AFTERCOOLED</t>
  </si>
  <si>
    <t xml:space="preserve">200 N MAIN ST                                                                   </t>
  </si>
  <si>
    <t>ART SMITH</t>
  </si>
  <si>
    <t xml:space="preserve">(213) 4855866   </t>
  </si>
  <si>
    <t>F23294</t>
  </si>
  <si>
    <t>F23295</t>
  </si>
  <si>
    <t xml:space="preserve">LA CITY, DEPT OF GENERAL SERVICES       </t>
  </si>
  <si>
    <t>D99783</t>
  </si>
  <si>
    <t>ICE, CATERPILLAR, DIESEL, EMR,  MODEL 3406 DITA, 400 KW, 6 CYL, TURBOCHARGED, AFTERCOOLED, DRIVING A TUB GRINDER</t>
  </si>
  <si>
    <t xml:space="preserve">3400 S CENTRAL AVE                                                              </t>
  </si>
  <si>
    <t xml:space="preserve">LA CITY, DWP                            </t>
  </si>
  <si>
    <t xml:space="preserve">F4207 </t>
  </si>
  <si>
    <t>ICE, DETROIT DIESEL, EMR, DIESEL, MODEL 16V-149TIB, SN 16E0012997, 2275 BHP, 16 CYL, TURBOCHARGED, AFTERCOOLED</t>
  </si>
  <si>
    <t>16V-149TIB</t>
  </si>
  <si>
    <t xml:space="preserve">111 N HOPE ST                                                                   </t>
  </si>
  <si>
    <t xml:space="preserve">GIESE JODEAN                                      </t>
  </si>
  <si>
    <t xml:space="preserve">(213) 3670409   </t>
  </si>
  <si>
    <t>LA CITY, DWP SCATTERGO STM PLT UNIT NO.1</t>
  </si>
  <si>
    <t>M50119</t>
  </si>
  <si>
    <t>ICE, CUMMINS, DIESEL, EMR, MODEL VT12-700-G5, SN 10439400, 12 CYL, 700 BHP, TURBOCHARGED, AFTERCOOLED</t>
  </si>
  <si>
    <t>VT12-700-G5</t>
  </si>
  <si>
    <t xml:space="preserve">12700 VISTA DEL MAR                                                             </t>
  </si>
  <si>
    <t xml:space="preserve">PLAYA DEL REY            </t>
  </si>
  <si>
    <t xml:space="preserve">SZABO KAREN L                                     </t>
  </si>
  <si>
    <t xml:space="preserve">LA CITY, HYPERION TREATMENT PLANT       </t>
  </si>
  <si>
    <t>D71033</t>
  </si>
  <si>
    <t>ICE, NO. 1, CATERPILLAR, DIESEL, EMERGENCY ELECTRICAL GENERATION,  MODEL 3516, 1750 KW,  16 CYL, TURBOCHARGED, AFTERCOOLED</t>
  </si>
  <si>
    <t xml:space="preserve">12000 VISTA DEL MAR                                                             </t>
  </si>
  <si>
    <t>90293-8504</t>
  </si>
  <si>
    <t xml:space="preserve">NOGUCHI MICHAEL                                   </t>
  </si>
  <si>
    <t xml:space="preserve">(310) 6485492   </t>
  </si>
  <si>
    <t>D71031</t>
  </si>
  <si>
    <t>ICE, NO. 2, CATERPILLAR, DIESEL, EMERGENCY ELECTRICAL GENERATION,  MODEL 3516, 1750 KW,  16 CYL, TURBOCHARGED, AFTERCOOLED</t>
  </si>
  <si>
    <t xml:space="preserve">F9091 </t>
  </si>
  <si>
    <t>ICE, CATERPILLAR, DIESEL, EMR,  MODEL 3516, 2151 BHP,  16 CYL, TURBOCHARGED, AFTERCOOLED</t>
  </si>
  <si>
    <t xml:space="preserve">LA CITY, LAPD, METRO COMM DISPATCH CNTR </t>
  </si>
  <si>
    <t>F35532</t>
  </si>
  <si>
    <t>ICE, DETROIT DIESEL, EMR,  MODEL R163-7K35, SN 06784/0678415, 895 KW,  16 CYL, TURBOCHARGED, AFTERCOOLED</t>
  </si>
  <si>
    <t>R163-7K35</t>
  </si>
  <si>
    <t xml:space="preserve">100 N LOS ANGELES ST                                                            </t>
  </si>
  <si>
    <t xml:space="preserve">CABRERA GLENN                                     </t>
  </si>
  <si>
    <t xml:space="preserve">(213) 8474734   </t>
  </si>
  <si>
    <t xml:space="preserve">LA CITY, LAPD, VALLEY COMM DISPATCH CTR </t>
  </si>
  <si>
    <t>F35531</t>
  </si>
  <si>
    <t>ICE, DETROIT DIESEL, EMR,  MODEL R163-7K35, SN 06784I3/0678414, 895 KW,  16 CYL, TURBOCHARGED, AFTERCOOLED</t>
  </si>
  <si>
    <t xml:space="preserve">23001 ROSCOE BLVD                                                               </t>
  </si>
  <si>
    <t>LA CITY,SANITATION BUREAU,TERMINAL ISLAN</t>
  </si>
  <si>
    <t>F36349</t>
  </si>
  <si>
    <t>ICE, CATERPILLAR, DIESEL, EMR,  MODEL 3412 DITA, SN 81Z02256,  890 BHP,  12 CYL, TURBOCHARGED, AFTERCOOLED</t>
  </si>
  <si>
    <t xml:space="preserve">445 FERRY ST                                                                    </t>
  </si>
  <si>
    <t>90731-7493</t>
  </si>
  <si>
    <t xml:space="preserve">MOGHADDAM H R                                     </t>
  </si>
  <si>
    <t xml:space="preserve">(310) 6485423   </t>
  </si>
  <si>
    <t>G03511</t>
  </si>
  <si>
    <t>1981</t>
  </si>
  <si>
    <t>M38109</t>
  </si>
  <si>
    <t>ICE, DETROIT DIESEL, EMERGENCY ELECTRICAL GENERATION, DIESEL, MODEL 16V-149TI, 16 CYL, 1540 BHP, 1100 KW, TURBOCHARGED, INTERCOOLED</t>
  </si>
  <si>
    <t xml:space="preserve">(310) 2245349   </t>
  </si>
  <si>
    <t>D35972</t>
  </si>
  <si>
    <t xml:space="preserve">DOW JONES &amp; CO INC                      </t>
  </si>
  <si>
    <t>F20180</t>
  </si>
  <si>
    <t>ICE, CATERPILLAR, MODEL 3412 DIT, SN 81Z03538,  618 BHP, 6 CYL, DIESEL, EMR, TURBOCHARGED,</t>
  </si>
  <si>
    <t xml:space="preserve">6900 JURUPA AVE                                                                 </t>
  </si>
  <si>
    <t>92504-1010</t>
  </si>
  <si>
    <t xml:space="preserve">DUESBERG NICOLA                                   </t>
  </si>
  <si>
    <t xml:space="preserve">(909) 3513203   </t>
  </si>
  <si>
    <t xml:space="preserve">DOWNEY COMM HOSP                        </t>
  </si>
  <si>
    <t>D13857</t>
  </si>
  <si>
    <t>ICE, DETROIT DIESEL, MODEL 16FV-92TA, 16 CYL,  860 BHP, DIESEL, EMR, TURBOCHARGED, AFTERCOOLED</t>
  </si>
  <si>
    <t>16FV-92TA</t>
  </si>
  <si>
    <t xml:space="preserve">11500 BROOKSHIRE AVE                                                            </t>
  </si>
  <si>
    <t xml:space="preserve">SALAZAR RAUL                                      </t>
  </si>
  <si>
    <t xml:space="preserve">(562) 9045040   </t>
  </si>
  <si>
    <t xml:space="preserve">F9222 </t>
  </si>
  <si>
    <t>ICE, CATERPILLAR, MODEL 3406 DITA, 300KW,  6 CYL, DIESEL, EMR, TURBOCHARGED, AFTERCOOLED</t>
  </si>
  <si>
    <t>90241-4990</t>
  </si>
  <si>
    <t xml:space="preserve">DOWNTOWN PROPERTIES III, LLC            </t>
  </si>
  <si>
    <t>F20372</t>
  </si>
  <si>
    <t>ICE, CATERPILLAR, MODEL 3516 DITA, 2000KW,  16 CYL, DIESEL, EMR, TURBOCHARGED, AFTERCOOLED</t>
  </si>
  <si>
    <t xml:space="preserve">700 WILSHIRE BLVD 7TH FLOOR                                                     </t>
  </si>
  <si>
    <t xml:space="preserve">BENDER ERIC                                       </t>
  </si>
  <si>
    <t xml:space="preserve">(213) 2138600   </t>
  </si>
  <si>
    <t xml:space="preserve">DOWNTOWN PROPERTIES, LLC                </t>
  </si>
  <si>
    <t xml:space="preserve">F7090 </t>
  </si>
  <si>
    <t xml:space="preserve">611 WILSHIRE BLVD KEN-WIL MGMT GRP                                              </t>
  </si>
  <si>
    <t xml:space="preserve">(312) 6235800   </t>
  </si>
  <si>
    <t xml:space="preserve">DRAPER'S ROSSMOOR INC                   </t>
  </si>
  <si>
    <t>F22929</t>
  </si>
  <si>
    <t>ICE, CATERPILLAR, MODEL 3406 DITA, 350 KW,  6 CYL, DIESEL, EMR, TURBOCHARGED, AFTERCOOLED</t>
  </si>
  <si>
    <t xml:space="preserve">9 PASTEUR                                                                       </t>
  </si>
  <si>
    <t xml:space="preserve">GARDINER STEVE                                    </t>
  </si>
  <si>
    <t xml:space="preserve">(949) 7843026   </t>
  </si>
  <si>
    <t xml:space="preserve">DREYFUS BROKERAGE                       </t>
  </si>
  <si>
    <t>F33539</t>
  </si>
  <si>
    <t>ICE, CATERPILLAR, MODEL 3412 DITA, 500 KW,  12 CYL, DIESEL, EMR, TURBOCHARGED, AFTERCOOLED</t>
  </si>
  <si>
    <t xml:space="preserve">6500 WILSHIRE BLVD 9                                                            </t>
  </si>
  <si>
    <t xml:space="preserve">SARTORI PAUL                                      </t>
  </si>
  <si>
    <t xml:space="preserve">(310) 2282704   </t>
  </si>
  <si>
    <t>DUTHIE ELECTRIC SVC CORP/DUTHIE POWER SV</t>
  </si>
  <si>
    <t>D95729</t>
  </si>
  <si>
    <t>ICE, CATERPILLAR, PORTABLE, MODEL 3406CDITA, SN 4JK00174, 350 KW,  6 CYL, DIESEL,  TURBOCHARGED, AFTERCOOLED</t>
  </si>
  <si>
    <t>3406C DITA</t>
  </si>
  <si>
    <t xml:space="preserve">DUTHIE RICHARD                                    </t>
  </si>
  <si>
    <t xml:space="preserve">(562) 7901772   </t>
  </si>
  <si>
    <t>D95731</t>
  </si>
  <si>
    <t>ICE, CATERPILLAR, PORTABLE, MODEL 3406CDITA, SN 4JK00176, 350 KW,  6 CYL, DIESEL,  TURBOCHARGED, AFTERCOOLED</t>
  </si>
  <si>
    <t>D96020</t>
  </si>
  <si>
    <t>ICE, CUMMINS, DIESEL, MODEL VTA28-G5, SN G940549091, PORTABLE, 12 CYL, 900 BHP, TURBOCHARGED, AFTERCOOLED</t>
  </si>
  <si>
    <t>VTA28-G5</t>
  </si>
  <si>
    <t>F14933</t>
  </si>
  <si>
    <t>ICE, CUMMINS, DIESEL, EMR, MODEL VTA28-G5-600DFGB, SN J970654206, PORTABLE, 12 CYL, 900 BHP, TURBOCHARGED, AFTERCOOLED</t>
  </si>
  <si>
    <t xml:space="preserve">EARTH STATION, GE AMERICAN COMM., INC.  </t>
  </si>
  <si>
    <t>D93603</t>
  </si>
  <si>
    <t>ICE, DETROIT DIESEL, MODEL 7123-7305, SN 12VA077540, 12 CYL,  630 BHP, DIESEL, EMR, TURBOCHARGED, AFTERCOOLED</t>
  </si>
  <si>
    <t xml:space="preserve">13560 SAN TIMOTEO CANYON RD                                                     </t>
  </si>
  <si>
    <t xml:space="preserve">SIDDIQUI RIAZ                                     </t>
  </si>
  <si>
    <t xml:space="preserve">EASTERN MUN WATER DIST                  </t>
  </si>
  <si>
    <t>D48760</t>
  </si>
  <si>
    <t>ICE, CATERPILLAR, MODEL 3508, SN 23Z04458, 1337 BHP,  8 CYL, DIESEL,  EMR, TURBOCHARGED, AFTERCOOLED</t>
  </si>
  <si>
    <t xml:space="preserve">770 N SANDERSON AVE                                                             </t>
  </si>
  <si>
    <t xml:space="preserve">SAN JACINTO              </t>
  </si>
  <si>
    <t xml:space="preserve">RONQUILLO RAY                                     </t>
  </si>
  <si>
    <t xml:space="preserve">(909) 9283777 x6219  </t>
  </si>
  <si>
    <t>D78523</t>
  </si>
  <si>
    <t>ICE, CATERPILLAR, PORTABLE, MODEL 3512TA, 1801 BHP,  12 CYL, DIESEL,  EMR, TURBOCHARGED, AFTERCOOLED</t>
  </si>
  <si>
    <t xml:space="preserve">MCGIVNEY DAN                                      </t>
  </si>
  <si>
    <t xml:space="preserve">(909) 9283777   </t>
  </si>
  <si>
    <t xml:space="preserve">EASTERN MUN WATER DIST, WINCHESTER STN  </t>
  </si>
  <si>
    <t>F20592</t>
  </si>
  <si>
    <t>ICE, CATERPILLAR, MODEL 3412DITTA, 600 KW,  12 CYL, DIESEL,  EMR, TURBOCHARGED, AFTERCOOLED</t>
  </si>
  <si>
    <t xml:space="preserve">30554 OLIVE AVE                                                                 </t>
  </si>
  <si>
    <t xml:space="preserve">WINCHESTER               </t>
  </si>
  <si>
    <t xml:space="preserve">MORYCZ DAVID                                      </t>
  </si>
  <si>
    <t xml:space="preserve">EASTERN MUNICIPAL WATER DIST            </t>
  </si>
  <si>
    <t>F00466</t>
  </si>
  <si>
    <t xml:space="preserve">7601 E IMPERIAL HIGHWAY                                                         </t>
  </si>
  <si>
    <t>90242-3456</t>
  </si>
  <si>
    <t xml:space="preserve">EVANS MIKE                                        </t>
  </si>
  <si>
    <t xml:space="preserve">(310) 4016764   </t>
  </si>
  <si>
    <t xml:space="preserve">F4985 </t>
  </si>
  <si>
    <t xml:space="preserve">F4984 </t>
  </si>
  <si>
    <t xml:space="preserve">LA CO., REGISTRAR-RECORDER/CTY CLERK    </t>
  </si>
  <si>
    <t>D68394</t>
  </si>
  <si>
    <t>ICE, CATERPILLAR, DIESEL, EMR, MODEL 3508, 8 CYL, 1093 BHP, TURBOCHARGED, AFTERCOOLED</t>
  </si>
  <si>
    <t xml:space="preserve">12400 E IMPERIAL HIGHWAY                                                        </t>
  </si>
  <si>
    <t xml:space="preserve">HAMPTON GROVER                                    </t>
  </si>
  <si>
    <t xml:space="preserve">(310) 4622798   </t>
  </si>
  <si>
    <t xml:space="preserve">LA CO., ROYBAL COMPREHENSIVE HEALTH CTR </t>
  </si>
  <si>
    <t>D35167</t>
  </si>
  <si>
    <t>ICE, LAWLESS, DIESEL, EMR, MODEL 7123-7305, SN 1218350, 12 CYL, 630 BHP, TURBOCHARGED, AFTERCOOLED</t>
  </si>
  <si>
    <t>Lawless</t>
  </si>
  <si>
    <t xml:space="preserve">245 FETTERLY AVE                                                                </t>
  </si>
  <si>
    <t xml:space="preserve">BROUDREAUEX JERRY                                 </t>
  </si>
  <si>
    <t xml:space="preserve">(213) 2603298   </t>
  </si>
  <si>
    <t xml:space="preserve">LA CO., SANITATION DIST                 </t>
  </si>
  <si>
    <t>D69531</t>
  </si>
  <si>
    <t>ICE, COMPRESSION-IGNITION, 1290 BHP, DIESEL, EMERGENCY ELECTRICAL GENERATION, 900 KW</t>
  </si>
  <si>
    <t xml:space="preserve">26200 SPRINGBROOK AVE                                                           </t>
  </si>
  <si>
    <t xml:space="preserve">FERRANTE ROBERT                                   </t>
  </si>
  <si>
    <t xml:space="preserve">(310) 6997411   </t>
  </si>
  <si>
    <t xml:space="preserve">F4965 </t>
  </si>
  <si>
    <t>ICE, DETROIT DIESEL, PORTABLE, EMR, DIESEL, MODEL 24V-71TA, 24 CYL, 1550 BHP, TURBOCHARGED, AFTERCOOLED</t>
  </si>
  <si>
    <t>24V-71TA</t>
  </si>
  <si>
    <t xml:space="preserve">ACOSTA GLENN                                      </t>
  </si>
  <si>
    <t xml:space="preserve">(562) 6997411   </t>
  </si>
  <si>
    <t>LA CO., SANITATION DIST, LB PUMPING PLNT</t>
  </si>
  <si>
    <t>D93199</t>
  </si>
  <si>
    <t>ICE, PERKINS, MODEL 26.1LTA, DIESEL, EMR, 12 CYL, 934 BHP,, TURBOCHARGED, AFTERCOOLED</t>
  </si>
  <si>
    <t>Perkins</t>
  </si>
  <si>
    <t>26.1 LTA</t>
  </si>
  <si>
    <t xml:space="preserve">1238 W 16TH ST                                                                  </t>
  </si>
  <si>
    <t xml:space="preserve">CONWAY VICKI                                      </t>
  </si>
  <si>
    <t xml:space="preserve">LA CO., SANITATION DISTRICT             </t>
  </si>
  <si>
    <t>G03259</t>
  </si>
  <si>
    <t>M18227</t>
  </si>
  <si>
    <t>ICE, GM, DIESEL, MODEL 12-645-E4, 12 CYL,  2300 BHP</t>
  </si>
  <si>
    <t>12-645-E4</t>
  </si>
  <si>
    <t xml:space="preserve">1965 WORKMAN MILL RD                                                            </t>
  </si>
  <si>
    <t>GRIFFITH PATRICK</t>
  </si>
  <si>
    <t>(562) 6997411</t>
  </si>
  <si>
    <t>ICE, CATERPILLAR, DIESEL, EMR, MODEL 3512B DITA, SN 8RM00537,  TURBOCHARGED, AFTERCOOLED, 12 CYL, 1250 KW</t>
  </si>
  <si>
    <t xml:space="preserve">AT&amp;T COMMUNICATIONS                     </t>
  </si>
  <si>
    <t>D31660</t>
  </si>
  <si>
    <t>ICE, CATERPILLAR, DIESEL, MODEL D349, TURBOCHARGED, AFTERCOOLED, 16 CYL, 1100 BHP</t>
  </si>
  <si>
    <t xml:space="preserve">1700 S BARDMAN AVE                                                              </t>
  </si>
  <si>
    <t xml:space="preserve">MALIBU                   </t>
  </si>
  <si>
    <t xml:space="preserve">DOWNING ROBERT W                                  </t>
  </si>
  <si>
    <t xml:space="preserve">(818) 9064771   </t>
  </si>
  <si>
    <t>KTA38-G1</t>
  </si>
  <si>
    <t xml:space="preserve">AT&amp;T CORP                               </t>
  </si>
  <si>
    <t>F34128</t>
  </si>
  <si>
    <t>ICE, CATERPILLAR, DIESEL, EMR, MODEL 3512B-DITA,  TURBOCHARGED, AFTERCOOLED, 12 CYL, 1807 BHP</t>
  </si>
  <si>
    <t>91731-2526</t>
  </si>
  <si>
    <t xml:space="preserve">PLEASANT CAROL PLEASANT                           </t>
  </si>
  <si>
    <t xml:space="preserve">(213) 2368269   </t>
  </si>
  <si>
    <t xml:space="preserve">AUTOMATIC DATA PROCESSING, INC.         </t>
  </si>
  <si>
    <t>D34587</t>
  </si>
  <si>
    <t>ICE, CATERPILLAR, DIESEL, EMR, MODEL 3512, SN 3YF00476,  TURBOCHARGED, AFTERCOOLED, 12 CYL, 2168 BHP</t>
  </si>
  <si>
    <t xml:space="preserve">400 COVINA BLVD                                                                 </t>
  </si>
  <si>
    <t xml:space="preserve">SAN DIMAS                </t>
  </si>
  <si>
    <t xml:space="preserve">SPEK KAREN                                        </t>
  </si>
  <si>
    <t xml:space="preserve">(909) 5926411   </t>
  </si>
  <si>
    <t xml:space="preserve">B BRAUN MEDICAL, INC                    </t>
  </si>
  <si>
    <t>F22118</t>
  </si>
  <si>
    <t>ICE, CUMMINS, DIESEL, EMR, MODEL KTTA19-G2, TURBOCHARGER, AFTERCOOLER, 750 BHP</t>
  </si>
  <si>
    <t>KTTA19-G2</t>
  </si>
  <si>
    <t xml:space="preserve">2525 MCGAW AVE                                                                  </t>
  </si>
  <si>
    <t>91614-5895</t>
  </si>
  <si>
    <t xml:space="preserve">SENKOVICH VLADO                                   </t>
  </si>
  <si>
    <t xml:space="preserve">(949) 6602082   </t>
  </si>
  <si>
    <t xml:space="preserve">BANK OF AMERICA                         </t>
  </si>
  <si>
    <t>F19751</t>
  </si>
  <si>
    <t>ICE, CATERPILLAR, DIESEL, EMR, MODEL 3412, SN 81Z16934,  TURBOCHARGED, AFTERCOOLED, 12 CYL, 890 BHP</t>
  </si>
  <si>
    <t xml:space="preserve">333 S BEAUDRY AVE W1 1                                                          </t>
  </si>
  <si>
    <t>90017-1466</t>
  </si>
  <si>
    <t xml:space="preserve">CORDERO ENSWINS                                   </t>
  </si>
  <si>
    <t xml:space="preserve">(213) 3459388   </t>
  </si>
  <si>
    <t>F19752</t>
  </si>
  <si>
    <t>ICE, CATERPILLAR, DIESEL, EMR, MODEL 3412, SN 6FA03383,  TURBOCHARGED, AFTERCOOLED, 12 CYL, 890 BHP</t>
  </si>
  <si>
    <t>F19753</t>
  </si>
  <si>
    <t>ICE, CUMMINS, DIESEL, EMR, MODEL KTA 3067-GS, SN 33106, TURBOCHARGER, AFTERCOOLER, 1490 BHP, 16 CYL</t>
  </si>
  <si>
    <t xml:space="preserve">BANK OF AMERICA NT &amp;SA                  </t>
  </si>
  <si>
    <t>D01430</t>
  </si>
  <si>
    <t>ICE, DETROIT DIESEL, EMR, DIESEL, MODEL 4163-7305, SN 16E0006011, TURBOCHARGED, 12 CYL, 1350 BHP</t>
  </si>
  <si>
    <t>4163-7305</t>
  </si>
  <si>
    <t xml:space="preserve">611 N BRAND BLVD                                                                </t>
  </si>
  <si>
    <t xml:space="preserve">LUCEY R.A.                                        </t>
  </si>
  <si>
    <t xml:space="preserve">(818) 5072455   </t>
  </si>
  <si>
    <t>D01431</t>
  </si>
  <si>
    <t>ICE, DETROIT DIESEL, EMR, DIESEL, MODEL 9163-7306, SN 16E0000342, TURBOCHARGED, 12 CYL, 1350 BHP</t>
  </si>
  <si>
    <t>9163-7306</t>
  </si>
  <si>
    <t xml:space="preserve">BANK OF AMERICA-PASADENA CARD CENTER    </t>
  </si>
  <si>
    <t>D47043</t>
  </si>
  <si>
    <t>ICE, DETROIT DIESEL, MODEL 8163-7405, 16 CYL, TURBOCHARGED, AFTERCOOLED, DIESEL, 1095 BHP, EMR</t>
  </si>
  <si>
    <t xml:space="preserve">101 S MARENGO AVE                                                               </t>
  </si>
  <si>
    <t xml:space="preserve">SIACUNCO GEOFF                                    </t>
  </si>
  <si>
    <t xml:space="preserve">(626) 6662828   </t>
  </si>
  <si>
    <t xml:space="preserve">BARLOW RESPIRATORY HOSPITAL             </t>
  </si>
  <si>
    <t>F11537</t>
  </si>
  <si>
    <t>ICE, CUMMINS, DIESEL, EMR, MODEL KTA19-G4, SN H970646357, TURBOCHARGER, AFTERCOOLER, 755 BHP, 6 CYL</t>
  </si>
  <si>
    <t xml:space="preserve">2000 STADIUM WAY                                                                </t>
  </si>
  <si>
    <t>90026-2696</t>
  </si>
  <si>
    <t xml:space="preserve">CRANE MARGARET                                    </t>
  </si>
  <si>
    <t xml:space="preserve">(213) 2504200   </t>
  </si>
  <si>
    <t>F11538</t>
  </si>
  <si>
    <t>ICE, CUMMINS, DIESEL, EMR, MODEL KTA19-G4, SN H970646358, TURBOCHARGER, AFTERCOOLER, 755 BHP, 6 CYL</t>
  </si>
  <si>
    <t xml:space="preserve">BAXTER HEALTHCARE CORP., HYLAND DIV     </t>
  </si>
  <si>
    <t>M38063</t>
  </si>
  <si>
    <t>ICE, CUMMINS, FOUR-STROKE, NATURALLY ASPIRATED, 12 CYL, MODEL VT-1710PG635, DIESEL, 636 HP, EMERGENCY ELECTRICAL GENERATION, 415 KW</t>
  </si>
  <si>
    <t>VT1710-PG635</t>
  </si>
  <si>
    <t xml:space="preserve">4501 COLORADO BLVD                                                              </t>
  </si>
  <si>
    <t xml:space="preserve">ROSAL MARDY                                       </t>
  </si>
  <si>
    <t xml:space="preserve">(818) 5078613   </t>
  </si>
  <si>
    <t>F14192</t>
  </si>
  <si>
    <t>ICE, CATERPILLAR, DIESEL, EMERGENCY ELECTRICAL GENERATION, MODEL 3412 DITTA,  746 BHP, TURBOCHARGED, AFTERCOOLED, 12 CYL, 500 KW</t>
  </si>
  <si>
    <t>3412 DITTA</t>
  </si>
  <si>
    <t xml:space="preserve">15915 STRATHERN                                                                 </t>
  </si>
  <si>
    <t xml:space="preserve">VAN NUYS                 </t>
  </si>
  <si>
    <t xml:space="preserve">DUARTE                   </t>
  </si>
  <si>
    <t xml:space="preserve">BAY TECHNOLOGY CENTER                   </t>
  </si>
  <si>
    <t>F37216</t>
  </si>
  <si>
    <t>ICE, CUMMINS, DIESEL, EMR, MODEL VTA28-G2, SN G940550481, TURBOCHARGER, AFTERCOOLER, 900 BHP, 6 CYL</t>
  </si>
  <si>
    <t>VTA28-G2</t>
  </si>
  <si>
    <t xml:space="preserve">16802 ASTON ST                                                                  </t>
  </si>
  <si>
    <t xml:space="preserve">BOYER TOM                                         </t>
  </si>
  <si>
    <t xml:space="preserve">(714) 3384363   </t>
  </si>
  <si>
    <t xml:space="preserve">BEAR MOUNTAIN, INC                      </t>
  </si>
  <si>
    <t>F24610</t>
  </si>
  <si>
    <t>ICE, CUMMINS, DIESEL, MODEL KTTA 19, SN 11664821, TURBOCHARGER, AFTERCOOLER, 700 BHP, 6 CYL, SKI LIFT AUXILLARY DRIVE</t>
  </si>
  <si>
    <t>KTTA 19</t>
  </si>
  <si>
    <t xml:space="preserve">43101 GOLDMINE DR                                                               </t>
  </si>
  <si>
    <t xml:space="preserve">BIG BEAR LAKE            </t>
  </si>
  <si>
    <t>92315-6812</t>
  </si>
  <si>
    <t xml:space="preserve">LUFKIN LES                                        </t>
  </si>
  <si>
    <t xml:space="preserve">(909) 5852519   </t>
  </si>
  <si>
    <t xml:space="preserve">BECKMAN COULTER, INC.                   </t>
  </si>
  <si>
    <t>F23167</t>
  </si>
  <si>
    <t>ICE, CUMMINS, DIESEL, MODEL QST30-G2, TURBOCHARGER, AFTERCOOLER, 800 KW 12 CYL, EMR</t>
  </si>
  <si>
    <t xml:space="preserve">200 S KRAEMER BLVD W-365                                                        </t>
  </si>
  <si>
    <t xml:space="preserve">BREA                     </t>
  </si>
  <si>
    <t xml:space="preserve">OLSEN WAYNE                                       </t>
  </si>
  <si>
    <t xml:space="preserve">(714) 9938889   </t>
  </si>
  <si>
    <t xml:space="preserve">BERGEN BRUNSWIG                         </t>
  </si>
  <si>
    <t>D42432</t>
  </si>
  <si>
    <t>ICE, DETROIT DIESEL, MODEL 12V-92TA, 12 CYL, TURBOCHARGED, AFTERCOOLED, DIESEL, 947 BHP, EMR</t>
  </si>
  <si>
    <t xml:space="preserve">24903 KEARNEY AVE                                                               </t>
  </si>
  <si>
    <t xml:space="preserve">SUMMERS LARRY                                     </t>
  </si>
  <si>
    <t xml:space="preserve">(714) 3854000   </t>
  </si>
  <si>
    <t xml:space="preserve">BERGEN BRUNSWIG DRUG CO                 </t>
  </si>
  <si>
    <t>D25710</t>
  </si>
  <si>
    <t>ICE, CATERPILLAR, DIESEL, EMR, MODEL 3412TA,  TURBOCHARGED, AFTERCOOLED, 12 CYL, 895 BHP</t>
  </si>
  <si>
    <t xml:space="preserve">1851 CALIFORNIA AVE                                                             </t>
  </si>
  <si>
    <t xml:space="preserve">CORONA                   </t>
  </si>
  <si>
    <t xml:space="preserve">ALBRIGHT KENNETH A                                </t>
  </si>
  <si>
    <t xml:space="preserve">(909) 3712000   </t>
  </si>
  <si>
    <t xml:space="preserve">BEVERLY HILLS CITY                      </t>
  </si>
  <si>
    <t>D36515</t>
  </si>
  <si>
    <t>ICE, CATERPILLAR, DIESEL, EMR, MODEL 3508,  SN 23Z02729,  TURBOCHARGED, AFTERCOOLED, 8 CYL, 1106 BHP</t>
  </si>
  <si>
    <t>F20538</t>
  </si>
  <si>
    <t>ICE, DETROIT DIESEL, EMR, DIESEL, MODEL 16V-92TA, 16 CYL, 1095 BHP, TURBOCHARGED, AFTERCOOLED</t>
  </si>
  <si>
    <t xml:space="preserve">16V-92TA </t>
  </si>
  <si>
    <t xml:space="preserve">550 S HOPE ST                                                                   </t>
  </si>
  <si>
    <t xml:space="preserve">TURNER JIM                                        </t>
  </si>
  <si>
    <t xml:space="preserve">(213) 3626920   </t>
  </si>
  <si>
    <t xml:space="preserve">EQUITY OFFICE PROPERTIES, LLC           </t>
  </si>
  <si>
    <t xml:space="preserve">F8178 </t>
  </si>
  <si>
    <t>ICE, DETROIT DIESEL, EMR, DIESEL, MODEL 8163-7415, 16 CYL, 1095 BHP, TURBOCHARGED, AFTERCOOLED</t>
  </si>
  <si>
    <t>8163-7415</t>
  </si>
  <si>
    <t xml:space="preserve">55 S LAKE AVE                                                                   </t>
  </si>
  <si>
    <t xml:space="preserve">RAMIREZ DONNA                                     </t>
  </si>
  <si>
    <t xml:space="preserve">(818) 7932323   </t>
  </si>
  <si>
    <t xml:space="preserve">EQUITY OFFICE PROPERTIES,LLC            </t>
  </si>
  <si>
    <t xml:space="preserve">F8168 </t>
  </si>
  <si>
    <t>ICE, CATERPILLAR, DIESEL, EMR, MODEL 3508TA, 8 CYL, 1017 BHP, TURBOCHARGED, AFTERCOOLED</t>
  </si>
  <si>
    <t xml:space="preserve">800 E COLORADO BLVD                                                             </t>
  </si>
  <si>
    <t xml:space="preserve">FAIRVIEW DEVELOPMENTAL CENTER           </t>
  </si>
  <si>
    <t>04759A</t>
  </si>
  <si>
    <t>M28372</t>
  </si>
  <si>
    <t>ICE, DETROIT DIESEL, MODEL 9123-7306, 12 CYL,  SN 12E-3808, DIESEL, EMR, 800 KW, TURBOCHARGED, AFTERCOOLED</t>
  </si>
  <si>
    <t>9123-7306</t>
  </si>
  <si>
    <t xml:space="preserve">2501 HARBOR BLVD                                                                </t>
  </si>
  <si>
    <t>CAPILOUTO DAVID</t>
  </si>
  <si>
    <t>(714) 9575072</t>
  </si>
  <si>
    <t>10154A</t>
  </si>
  <si>
    <t>M35879</t>
  </si>
  <si>
    <t>ICE, DETROIT DIESEL, MODEL 12V-149TI, 12 CYL,  SN 12E0006428, DIESEL, EMR, 800 KW, 1155 BHP, TURBOCHARGED, INTERCOOLED</t>
  </si>
  <si>
    <t>10155A</t>
  </si>
  <si>
    <t>M35880</t>
  </si>
  <si>
    <t>ICE, DETROIT DIESEL, MODEL 12V-149TI, SN 12E0006428, 12 CYL DIESEL, EMR, 800 KW, TURBOCHARGED, INTERCOOLED</t>
  </si>
  <si>
    <t xml:space="preserve">FARMERS INSURANCE GROUP                 </t>
  </si>
  <si>
    <t>M57306</t>
  </si>
  <si>
    <t>ICE, CATERPILLAR, DIESEL, EMR, MODEL 3508 TA, SN 6NA00608, 8 CYL, 1337 BHP, TURBOCHARGED, AFTERCOOLED</t>
  </si>
  <si>
    <t xml:space="preserve">4680 WILSHIRE BLVD                                                              </t>
  </si>
  <si>
    <t xml:space="preserve">WITHAM GEORGE                                     </t>
  </si>
  <si>
    <t xml:space="preserve">(213) 9327131   </t>
  </si>
  <si>
    <t>M57307</t>
  </si>
  <si>
    <t>M57308</t>
  </si>
  <si>
    <t>ICE, CATERPILLAR, DIESEL, EMR, MODEL 3508 TA, SN 6NA00609, 8 CYL, 1337 BHP, TURBOCHARGED, AFTERCOOLED</t>
  </si>
  <si>
    <t xml:space="preserve">F-D-S MANUFACTURING CO INC              </t>
  </si>
  <si>
    <t>F36557</t>
  </si>
  <si>
    <t>ICE, CUMMINS, DIESEL, EMR, MODEL QST30-G5, 12 CYL, 1490 BHP, TURBOCHARGED, AFTERCOOLED</t>
  </si>
  <si>
    <t xml:space="preserve">2200 S RESERVOIR ST                                                             </t>
  </si>
  <si>
    <t xml:space="preserve">BEATTY RICHARD                                    </t>
  </si>
  <si>
    <t xml:space="preserve">(909) 5911733   </t>
  </si>
  <si>
    <t xml:space="preserve">FEDERAL EXPRESS CORPROATION             </t>
  </si>
  <si>
    <t>F16218</t>
  </si>
  <si>
    <t>ICE, CATERPILLAR, DIESEL, EMR, MODEL 3412 DITTA,  500 KW, TURBOCHARGED, AFTERCOOLED, 12 CYL</t>
  </si>
  <si>
    <t xml:space="preserve">7000 BARRANCA PKY                                                               </t>
  </si>
  <si>
    <t xml:space="preserve">PETERSON JOHN                                     </t>
  </si>
  <si>
    <t xml:space="preserve">(949) 3994477   </t>
  </si>
  <si>
    <t xml:space="preserve">FIDELITY FEDERAL BANK                   </t>
  </si>
  <si>
    <t>D25558</t>
  </si>
  <si>
    <t>ICE, CUMMINS, DIESEL, EMR, MODEL KTA-19-G1, 6 CYL, 560 BHP, TURBOCHARGED, AFTERCOOLED</t>
  </si>
  <si>
    <t>KTA19-G1</t>
  </si>
  <si>
    <t xml:space="preserve">4565 COLORADO BLVD                                                              </t>
  </si>
  <si>
    <t xml:space="preserve">MCKENTLY JOHN                                     </t>
  </si>
  <si>
    <t xml:space="preserve">FIGUEROA AT WILSHIRE LLC                </t>
  </si>
  <si>
    <t>F29413</t>
  </si>
  <si>
    <t>ICE, CATERPILLAR, DIESEL, EMERGENCY ELECTRICAL GENERATION, MODEL 3512, SN 24Z02440, 1779 BHP, TURBOCHARGED, AFTERCOOLED, 12 CYL</t>
  </si>
  <si>
    <t xml:space="preserve">600-601 S FIGUEROA ST                                                           </t>
  </si>
  <si>
    <t xml:space="preserve">BONHAM JIM                                        </t>
  </si>
  <si>
    <t xml:space="preserve">(213) 6279636   </t>
  </si>
  <si>
    <t>F29385</t>
  </si>
  <si>
    <t>ICE, CATERPILLAR, DIESEL, EMERGENCY ELECTRICAL GENERATION, MODEL 3512, SN 24Z02439, 1779 BHP, TURBOCHARGED, AFTERCOOLED, 12 CYL</t>
  </si>
  <si>
    <t xml:space="preserve">FILENET CORP                            </t>
  </si>
  <si>
    <t>F22419</t>
  </si>
  <si>
    <t>ICE, CATERPILLAR, DIESEL, EMR, MODEL 3406 DITA, SN 4ZR05386, 400 KW, TURBOCHARGED, AFTERCOOLED, 12 CYL</t>
  </si>
  <si>
    <t xml:space="preserve">1540 SCENIC                                                                     </t>
  </si>
  <si>
    <t xml:space="preserve">ST CLAIRE LINDA                                   </t>
  </si>
  <si>
    <t xml:space="preserve">(714) 9663603   </t>
  </si>
  <si>
    <t xml:space="preserve">FIRST INTERSTATE TOWER A JOINT VENTURE  </t>
  </si>
  <si>
    <t>F18840</t>
  </si>
  <si>
    <t xml:space="preserve">707 WILSHIRE BLVD SUITE 5530                                                    </t>
  </si>
  <si>
    <t>90017-3617</t>
  </si>
  <si>
    <t xml:space="preserve">THOMPSON DAVE                                     </t>
  </si>
  <si>
    <t xml:space="preserve">(213) 6142300   </t>
  </si>
  <si>
    <t>C41174</t>
  </si>
  <si>
    <t>M28156</t>
  </si>
  <si>
    <t>ICE, CATERPILLAR, DIESEL, EMR, MODEL D-348, 12 CYL, 600 KW, 890 BHP, TURBOCHARGED, AFTERCOOLED</t>
  </si>
  <si>
    <t>D-349</t>
  </si>
  <si>
    <t xml:space="preserve">FISERV                                  </t>
  </si>
  <si>
    <t>F12817</t>
  </si>
  <si>
    <t>ICE, CUMMINS, DIESEL, EMR, MODEL VTA17106, SN 37106878, 12 CYL, 685 BHP, TURBOCHARGED, AFTERCOOLED</t>
  </si>
  <si>
    <t>VTA17106</t>
  </si>
  <si>
    <t xml:space="preserve">15030 KESWICK ST                                                                </t>
  </si>
  <si>
    <t xml:space="preserve">LEVAN JAMES                                       </t>
  </si>
  <si>
    <t xml:space="preserve">(818) 3764100   </t>
  </si>
  <si>
    <t xml:space="preserve">FLUOR DANIEL, INC.                      </t>
  </si>
  <si>
    <t>F16406</t>
  </si>
  <si>
    <t>ICE, DETROIT DIESEL, MODEL 16V92TA, 16 CYL,  DIESEL, EMR, 1170 BHP, TURBOCHARGED, INTERCOOLED</t>
  </si>
  <si>
    <t xml:space="preserve">3 FLUOR DANIEL DR                                                               </t>
  </si>
  <si>
    <t xml:space="preserve">LAKEY STEVE                                       </t>
  </si>
  <si>
    <t xml:space="preserve">(949) 9752177   </t>
  </si>
  <si>
    <t xml:space="preserve">FONTANA CITY, POLICE DEPT               </t>
  </si>
  <si>
    <t>D29196</t>
  </si>
  <si>
    <t>ICE, CUMMINS, DIESEL, EMR, MODEL NTA 855-G2, SN 254294, 6 CYL, 535 BHP, TURBOCHARGED, AFTERCOOLED</t>
  </si>
  <si>
    <t>NTA855-G2</t>
  </si>
  <si>
    <t xml:space="preserve">17005 UPLAND AVE                                                                </t>
  </si>
  <si>
    <t xml:space="preserve">UNKNOWN UNKNOWN                                   </t>
  </si>
  <si>
    <t xml:space="preserve">(714) 3507740   </t>
  </si>
  <si>
    <t xml:space="preserve">FOOTHILL MUNICIPAL WATER DISTRICT       </t>
  </si>
  <si>
    <t>D90562</t>
  </si>
  <si>
    <t>ICE, CUMMINS, DIESEL, EMR, MODEL NTA855-G3, SN 30343506, 6 CYL, 535 BHP, TURBOCHARGED, AFTERCOOLED</t>
  </si>
  <si>
    <t xml:space="preserve">PALMER RONALD C                                   </t>
  </si>
  <si>
    <t xml:space="preserve">(818) 7904036   </t>
  </si>
  <si>
    <t>F13189</t>
  </si>
  <si>
    <t>ICE, CUMMINS, DIESEL, EMERGENCY ELECTRICAL GENERATION, MODEL VTA12-800GS, SN 10341541, 12 CYL, 750 BHP, TURBOCHARGED, AFTERCOOLED</t>
  </si>
  <si>
    <t>VTA12-800GS</t>
  </si>
  <si>
    <t>F13188</t>
  </si>
  <si>
    <t>ICE, CUMMINS, DIESEL, EMERGENCY ELECTRICAL GENERATION, MODEL VTA12-800GS, SN 10341540, 12 CYL, 750 BHP, TURBOCHARGED, AFTERCOOLED</t>
  </si>
  <si>
    <t xml:space="preserve">FORMAT CORP C/O CLANLAW CORP            </t>
  </si>
  <si>
    <t>D84898</t>
  </si>
  <si>
    <t>ICE, CATERPILLAR, DIESEL, EMR, MODEL 3508, 8 CYL, 1096 BHP, TURBOCHARGED, AFTERCOOLED</t>
  </si>
  <si>
    <t xml:space="preserve">1100 WILSHIRE BLVD                                                              </t>
  </si>
  <si>
    <t xml:space="preserve">SCHULZE DUTCH                                     </t>
  </si>
  <si>
    <t xml:space="preserve">(213) 4811149   </t>
  </si>
  <si>
    <t xml:space="preserve">FOUR SEASONS HOTEL                      </t>
  </si>
  <si>
    <t>M62235</t>
  </si>
  <si>
    <t xml:space="preserve">690 NEWPORT CENTER DR                                                           </t>
  </si>
  <si>
    <t xml:space="preserve">PARKER RON                                        </t>
  </si>
  <si>
    <t xml:space="preserve">FOX BUNDY                               </t>
  </si>
  <si>
    <t>F31840</t>
  </si>
  <si>
    <t>ICE, CATERPILLAR, DIESEL, EMR, MODEL 3412 DITTA, SN 81Z25055, 12 CYL, 600 KW, TURBOCHARGED, AFTERCOOLED</t>
  </si>
  <si>
    <t xml:space="preserve">1925 S BUNDY DR                                                                 </t>
  </si>
  <si>
    <t xml:space="preserve">MALLARD GENNIFER                                  </t>
  </si>
  <si>
    <t xml:space="preserve">(310) 3695803   </t>
  </si>
  <si>
    <t xml:space="preserve">FOX TELEVISION STATIONS, INC            </t>
  </si>
  <si>
    <t>F37469</t>
  </si>
  <si>
    <t>ICE, CATERPILLAR, DIESEL, EMR, MODEL 3512 TA, 6WN00281, 2153 BHP TURBOCHARGED, AFTERCOOLED</t>
  </si>
  <si>
    <t xml:space="preserve">1999 BUNDY DR                                                                   </t>
  </si>
  <si>
    <t xml:space="preserve">RUIZ SERGIO                                       </t>
  </si>
  <si>
    <t xml:space="preserve">(310) 5842161   </t>
  </si>
  <si>
    <t xml:space="preserve">FRED C NELLES SCHOOL, CALIF YOUTH AUTH. </t>
  </si>
  <si>
    <t>D31474</t>
  </si>
  <si>
    <t>ICE, CATERPILLAR, DIESEL, EMR, MODEL 3508 TA,  1106 BHP, 8 CYL, TURBOCHARGED, AFTERCOOLED</t>
  </si>
  <si>
    <t xml:space="preserve">11850 E WHITTIER BLVD                                                           </t>
  </si>
  <si>
    <t xml:space="preserve">WHITTIER                 </t>
  </si>
  <si>
    <t xml:space="preserve">SUMMERS ROB                                       </t>
  </si>
  <si>
    <t xml:space="preserve">(310) 3032339   </t>
  </si>
  <si>
    <t xml:space="preserve">FRONTIER GLOBAL CENTER                  </t>
  </si>
  <si>
    <t>F24986</t>
  </si>
  <si>
    <t>ICE, CATERPILLAR, DIESEL, EMR, MODEL 3516 DITA, SN 6HN00499, 16 CYL, 2000 KW, TURBOCHARGED, AFTERCOOLED</t>
  </si>
  <si>
    <t xml:space="preserve">2463 W LA PALMA                                                                 </t>
  </si>
  <si>
    <t xml:space="preserve">ADAIR BOB                                         </t>
  </si>
  <si>
    <t xml:space="preserve">(818) 2034933   </t>
  </si>
  <si>
    <t>F24987</t>
  </si>
  <si>
    <t>ICE, CATERPILLAR, DIESEL, EMR, MODEL 3516 DITA, SN 6HN00500, 16 CYL, 2000 KW, TURBOCHARGED, AFTERCOOLED</t>
  </si>
  <si>
    <t>F24988</t>
  </si>
  <si>
    <t>ICE, CATERPILLAR, DIESEL, EMR, MODEL 3516 DITA, SN 6HN00502, 16 CYL, 2000 KW, TURBOCHARGED, AFTERCOOLED</t>
  </si>
  <si>
    <t>F24989</t>
  </si>
  <si>
    <t>ICE, CATERPILLAR, DIESEL, EMR, MODEL 3516 DITA, SN 6HN00550, 16 CYL, 2000 KW, TURBOCHARGED, AFTERCOOLED</t>
  </si>
  <si>
    <t xml:space="preserve">FRY STEEL CO CORP                       </t>
  </si>
  <si>
    <t>F34041</t>
  </si>
  <si>
    <t>ICE, CATERPILLAR, DIESEL, EMR, MODEL 3412 DISTA,  1114 BHP, TURBOCHARGED, AFTERCOOLED</t>
  </si>
  <si>
    <t xml:space="preserve">13325 MOLETTE ST                                                                </t>
  </si>
  <si>
    <t xml:space="preserve">REED LARRY                                        </t>
  </si>
  <si>
    <t xml:space="preserve">(562) 9217146   </t>
  </si>
  <si>
    <t xml:space="preserve">FULLERTON MARRIOTT HOTEL                </t>
  </si>
  <si>
    <t>D16861</t>
  </si>
  <si>
    <t>ICE, CUMMINS, DIESEL, EMR, MODEL NTTA-855G, SN K880179948,  6 CYL, 535 BHP, TURBOCHARGED, AFTERCOOLED</t>
  </si>
  <si>
    <t>NTTA855-G</t>
  </si>
  <si>
    <t xml:space="preserve">2701 E NUTWOOD AVE                                                              </t>
  </si>
  <si>
    <t xml:space="preserve">PURCELL MARK                                      </t>
  </si>
  <si>
    <t xml:space="preserve">(714) 7387800   </t>
  </si>
  <si>
    <t xml:space="preserve">GARDEN GROVE CITY, PUB SAFETY DIV       </t>
  </si>
  <si>
    <t xml:space="preserve">F3119 </t>
  </si>
  <si>
    <t>ICE, CATERPILLAR, MODEL 3412 DISTA, 750KW, 12 CYL, DIESEL, EMR, TURBOCHARGED, AFTERCOOLED</t>
  </si>
  <si>
    <t xml:space="preserve">11301 ACACIA PKY                                                                </t>
  </si>
  <si>
    <t xml:space="preserve">MEISLAHN RON                                      </t>
  </si>
  <si>
    <t xml:space="preserve">(714) 6389906   </t>
  </si>
  <si>
    <t xml:space="preserve">GARDEN GROVE CITY, WATER SERVICES DIV   </t>
  </si>
  <si>
    <t xml:space="preserve">F9645 </t>
  </si>
  <si>
    <t xml:space="preserve">ICE, WAUKESHA, MODEL F3521G, NAT. GAS, 6 CYL, 512 BHP, </t>
  </si>
  <si>
    <t>F3521G</t>
  </si>
  <si>
    <t xml:space="preserve">12573 HASTER                                                                    </t>
  </si>
  <si>
    <t xml:space="preserve">SARANGE CYRUS                                     </t>
  </si>
  <si>
    <t xml:space="preserve">(714) 7415395   </t>
  </si>
  <si>
    <t xml:space="preserve">GARDEN OF CHAMPIONS                     </t>
  </si>
  <si>
    <t>F24035</t>
  </si>
  <si>
    <t>ICE, DETROIT DIESEL, EMR, DIESEL, MODEL R083-7K06, 765 BHP, TURBOCHARGED, AFTERCOOLED</t>
  </si>
  <si>
    <t xml:space="preserve">78200 MILES AVE                                                                 </t>
  </si>
  <si>
    <t xml:space="preserve">INDIAN WELLS             </t>
  </si>
  <si>
    <t xml:space="preserve">MOORE RAYMOND                                     </t>
  </si>
  <si>
    <t xml:space="preserve">(760) 3403166   </t>
  </si>
  <si>
    <t xml:space="preserve">GATEWAY                                 </t>
  </si>
  <si>
    <t>F33409</t>
  </si>
  <si>
    <t>ICE, DETROIT DIESEL, EMR, DIESEL, MODEL R163-7K06, 1495 BHP, 16 CYL, TURBOCHARGED, AFTERCOOLED</t>
  </si>
  <si>
    <t xml:space="preserve">26211 ENTERPRISE WAY                                                            </t>
  </si>
  <si>
    <t xml:space="preserve">LAKE FOREST              </t>
  </si>
  <si>
    <t xml:space="preserve">RICH ZOSS RICHARD MENDOZA                         </t>
  </si>
  <si>
    <t xml:space="preserve">(949) 4543200   </t>
  </si>
  <si>
    <t>F33435</t>
  </si>
  <si>
    <t>ICE, DETROIT DIESEL, EMR, DIESEL, MODEL T123-7K36, 2220 BHP, 12 CYL, TURBOCHARGED, AFTERCOOLED</t>
  </si>
  <si>
    <t xml:space="preserve">GE CAPITAL SERVICES OF CALIF            </t>
  </si>
  <si>
    <t>F20671</t>
  </si>
  <si>
    <t>ICE, CATERPILLAR, MODEL 3508B , 1502 BHP, 8 CYL, DIESEL, EMR, TURBOCHARGED, AFTERCOOLED</t>
  </si>
  <si>
    <t xml:space="preserve">3508B  </t>
  </si>
  <si>
    <t xml:space="preserve">4680 HALLMARK PKY                                                               </t>
  </si>
  <si>
    <t xml:space="preserve">MOLINA MARK                                       </t>
  </si>
  <si>
    <t xml:space="preserve">(909) 8804527   </t>
  </si>
  <si>
    <t xml:space="preserve">GENE AUTRY WESTERN HERITAGE MUSEUM      </t>
  </si>
  <si>
    <t>D81215</t>
  </si>
  <si>
    <t>ICE, DETROIT DIESEL, EMR, DIESEL, MODEL 8163-7405, SN DD16VF7123, 1095 BHP, 12 CYL, TURBOCHARGED, AFTERCOOLED</t>
  </si>
  <si>
    <t xml:space="preserve">4700 WESTERN HERITAGE WAY                                                       </t>
  </si>
  <si>
    <t xml:space="preserve">GARCIA MIKE                                       </t>
  </si>
  <si>
    <t xml:space="preserve">(213) 6672000   </t>
  </si>
  <si>
    <t xml:space="preserve">GENERAL CONSTRUCTION CO.                </t>
  </si>
  <si>
    <t>M56918</t>
  </si>
  <si>
    <t>ICE, CUMMINS, DIESEL, MODEL KTA2300CID50, 12 CYL, 1050 BHP, TURBOCHARGED, AFTERCOOLED</t>
  </si>
  <si>
    <t>KTA2300-CID50</t>
  </si>
  <si>
    <t xml:space="preserve">VARIOUS LOCATIONS                                                               </t>
  </si>
  <si>
    <t xml:space="preserve">WILKINS MARK                                      </t>
  </si>
  <si>
    <t xml:space="preserve">(206) 9386754   </t>
  </si>
  <si>
    <t xml:space="preserve">GLENDALE ADVENTIST MEDICAL CTR          </t>
  </si>
  <si>
    <t>D33268</t>
  </si>
  <si>
    <t>ICE, DETROIT DIESEL, EMR, DIESEL, MODEL 12V-71T, SN 12VA78539, 12 CYL, TURBOCHARGED, AFTERCOOLED, 598 BHP</t>
  </si>
  <si>
    <t xml:space="preserve">1505-09 WILSON TERRACE                                                          </t>
  </si>
  <si>
    <t xml:space="preserve">READER J.                                         </t>
  </si>
  <si>
    <t xml:space="preserve">(818) 4098051   </t>
  </si>
  <si>
    <t>D53130</t>
  </si>
  <si>
    <t>ICE, DETROIT DIESEL, EMERGENCY ELECTRICAL GENERATION, DIESEL, MODEL 8083-7416,  8 CYL, TURBOCHARGED, AFTERCOOLED, 611 BHP</t>
  </si>
  <si>
    <t>91206-4007</t>
  </si>
  <si>
    <t>C43099</t>
  </si>
  <si>
    <t>M24250</t>
  </si>
  <si>
    <t>ICE, DETROIT DIESEL, EMR, DIESEL, MODEL 7163-7305, SN DASE 418500, 16 CYL, 500 KW, 650 HP, TURBOCHARGED</t>
  </si>
  <si>
    <t>7163-7305</t>
  </si>
  <si>
    <t xml:space="preserve">GLENDALE CITY (CIVIC CENTER GARAGE)     </t>
  </si>
  <si>
    <t>D34480</t>
  </si>
  <si>
    <t>ICE, CUMMINS, DIESEL, EMR,  MODEL KTTA 19 G-1, 6 CYL, 685 BHP, TURBOCHARGED, AFTERCOOLED</t>
  </si>
  <si>
    <t>KTTA19-G1</t>
  </si>
  <si>
    <t xml:space="preserve">120 N ISABEL ST                                                                 </t>
  </si>
  <si>
    <t xml:space="preserve">COLE DAVE                                         </t>
  </si>
  <si>
    <t xml:space="preserve">(714) 5493952   </t>
  </si>
  <si>
    <t xml:space="preserve">GLENDALE CITY (MAINTENANCE YARD)        </t>
  </si>
  <si>
    <t>D93062</t>
  </si>
  <si>
    <t>ICE, CUMMINS, DIESEL, EMR,  MODEL KTTA 19 G-1, SN 30317714, 6 CYL, 535 BHP, TURBOCHARGED, AFTERCOOLED</t>
  </si>
  <si>
    <t xml:space="preserve">541 CHEVY CHASE DR                                                              </t>
  </si>
  <si>
    <t>91204-1813</t>
  </si>
  <si>
    <t xml:space="preserve">STILES KEN                                        </t>
  </si>
  <si>
    <t xml:space="preserve">(818) 5483731   </t>
  </si>
  <si>
    <t xml:space="preserve">GLENDALE CITY, FIRE DIVISION (FS# 22)   </t>
  </si>
  <si>
    <t>D55146</t>
  </si>
  <si>
    <t>ICE, CUMMINS, DIESEL, EMR,  MODEL KTTA 19 G-1, 6 CYL, 560 BHP, TURBOCHARGED, AFTERCOOLED</t>
  </si>
  <si>
    <t xml:space="preserve">1201 S GLENDALE AVE                                                             </t>
  </si>
  <si>
    <t xml:space="preserve">DEMIRJIAN VASKEN                                  </t>
  </si>
  <si>
    <t xml:space="preserve">(818) 5484030   </t>
  </si>
  <si>
    <t>GLENDALE MEMORIAL HOSPITAL &amp; HEALTH CENT</t>
  </si>
  <si>
    <t>F20202</t>
  </si>
  <si>
    <t>ICE, CATERPILLAR, MODEL 3508TA, 1106 BHP, 8 CYL, DIESEL, EMR, TURBOCHARGED, AFTERCOOLED</t>
  </si>
  <si>
    <t xml:space="preserve">1420 S CENTRAL AVE                                                              </t>
  </si>
  <si>
    <t xml:space="preserve">MUNIZ MARK                                        </t>
  </si>
  <si>
    <t xml:space="preserve">(818) 5022285   </t>
  </si>
  <si>
    <t>F20205</t>
  </si>
  <si>
    <t>GLENDALE, CITY OF, FIRE DEPT, STATION 21</t>
  </si>
  <si>
    <t>D87330</t>
  </si>
  <si>
    <t>ICE, DETROIT DIESEL, EMR, DIESEL, MODEL 8123-7405, 12 CYL, TURBOCHARGED, AFTERCOOLED, 830 BHP</t>
  </si>
  <si>
    <t xml:space="preserve">421 W OAK ST                                                                    </t>
  </si>
  <si>
    <t xml:space="preserve">(818) 5484080   </t>
  </si>
  <si>
    <t xml:space="preserve">GLOBECAST                               </t>
  </si>
  <si>
    <t>F24489</t>
  </si>
  <si>
    <t>ICE, CATERPILLAR, MODEL 3512DITA, SN 24Z01940, 1586 BHP, 12 CYL, DIESEL, EMR, TURBOCHARGED, AFTERCOOLED</t>
  </si>
  <si>
    <t xml:space="preserve">10525 W WASHINGTON BLVD                                                         </t>
  </si>
  <si>
    <t xml:space="preserve">WATKINS ANDREW                                    </t>
  </si>
  <si>
    <t xml:space="preserve">(310) 8453859   </t>
  </si>
  <si>
    <t xml:space="preserve">GOLDEN EAGLE EXPRESS INC                </t>
  </si>
  <si>
    <t>F12045</t>
  </si>
  <si>
    <t>ICE, CATERPILLAR, MODEL 3406 DITA, 400 KW, 6 CYL, DIESEL, EMR, TURBOCHARGED, AFTERCOOLED</t>
  </si>
  <si>
    <t xml:space="preserve">2840 FICUS ST                                                                   </t>
  </si>
  <si>
    <t xml:space="preserve">CAIRNS JOHN                                       </t>
  </si>
  <si>
    <t xml:space="preserve">(909) 4640858   </t>
  </si>
  <si>
    <t xml:space="preserve">GOLDEN ERA PRODUCTIONS                  </t>
  </si>
  <si>
    <t>D74816</t>
  </si>
  <si>
    <t>ICE, CATERPILLAR, MODEL 3512, 1447 BHP, 12 CYL, DIESEL, EMR, TURBOCHARGED, AFTERCOOLED</t>
  </si>
  <si>
    <t xml:space="preserve">19625 HWY 79                                                                    </t>
  </si>
  <si>
    <t xml:space="preserve">GILMAN HOT SPRINGS       </t>
  </si>
  <si>
    <t xml:space="preserve">HODEN KEN                                         </t>
  </si>
  <si>
    <t xml:space="preserve">ICE, CUMMINS, DIESEL, MODEL KTA50-G1, EMR, 16 CYL, TURBOCHARGED,  AFTERCOOLED, 1490 BHP </t>
  </si>
  <si>
    <t>KTA50-G1</t>
  </si>
  <si>
    <t xml:space="preserve">6131 E TELEGRAPH RD                                                             </t>
  </si>
  <si>
    <t>90040-2501</t>
  </si>
  <si>
    <t xml:space="preserve">MARSEILLES BILL                                   </t>
  </si>
  <si>
    <t xml:space="preserve">(323) 7212100   </t>
  </si>
  <si>
    <t xml:space="preserve">F3928 </t>
  </si>
  <si>
    <t>ICE, DETROIT DIESEL, MODEL 7243-4706 (24V-71TA), DIESEL, EMERGENCY ELECTRICAL GENERATION, 24 CYL, 1550 BHP, TURBOCHARGED, AFTERCOOLED</t>
  </si>
  <si>
    <t>7243-4706</t>
  </si>
  <si>
    <t>F21997</t>
  </si>
  <si>
    <t>ICE, DETROIT DIESEL, MODEL R163-7K06, DIESEL, EMERGENCY ELECTRICAL GENERATION, 1350 BHP, 16 CYL, 1007 KW, TURBOCHARGED, AFTERCOOLED</t>
  </si>
  <si>
    <t>R163-7K06</t>
  </si>
  <si>
    <t>CALIFORNIA HOSPITAL MEDICAL CENTER-L.A.</t>
  </si>
  <si>
    <t>CALIFORNIA INDEPENDENT SYSTEM OPR, (ISO)</t>
  </si>
  <si>
    <t xml:space="preserve">F9318 </t>
  </si>
  <si>
    <t>ICE, CUMMINS, DIESEL, EMR, 12 CYL, MODEL QST30-G3, 1340 BHP, TURBOCHARGED, AFTERCOOLED</t>
  </si>
  <si>
    <t>QST30-G3</t>
  </si>
  <si>
    <t xml:space="preserve">1000 S FREMONT ST BLDG A13                                                      </t>
  </si>
  <si>
    <t xml:space="preserve">ALHAMBRA                 </t>
  </si>
  <si>
    <t>91803-4737</t>
  </si>
  <si>
    <t xml:space="preserve">WOO CHUCK                                         </t>
  </si>
  <si>
    <t xml:space="preserve">(626) 5872723   </t>
  </si>
  <si>
    <t xml:space="preserve">CALIFORNIA PORTLAND CEMENT CO (NSR USE) </t>
  </si>
  <si>
    <t>F36150</t>
  </si>
  <si>
    <t>ICE, CATERPILLAR, NAT. GAS, EMR,  MODEL 3415SITA, 675 HP, TURBOCHARGER, AFTERCOOLER</t>
  </si>
  <si>
    <t>3415 SITA</t>
  </si>
  <si>
    <t xml:space="preserve">695 S RANCHO AVE                                                                </t>
  </si>
  <si>
    <t xml:space="preserve">KEYES TIMOTHY F                                   </t>
  </si>
  <si>
    <t xml:space="preserve">(909) 8254260   </t>
  </si>
  <si>
    <t xml:space="preserve">CALIFORNIA STATE UNIVERSITY, FULLERTON  </t>
  </si>
  <si>
    <t>D65153</t>
  </si>
  <si>
    <t>ICE, CATERPILLAR, EMR, MODEL 3406B DITA, 350 KW, TURBOCHARGED, AFTERCOOLED</t>
  </si>
  <si>
    <t>3406B DITA</t>
  </si>
  <si>
    <t xml:space="preserve">800 N STATE COLLEGE BLVD                                                        </t>
  </si>
  <si>
    <t xml:space="preserve">GILL ROBERT                                       </t>
  </si>
  <si>
    <t xml:space="preserve">(714) 2784345   </t>
  </si>
  <si>
    <t>D89972</t>
  </si>
  <si>
    <t>ICE, DETROIT DIESEL, 16 CYL, DIESEL, EMR, MODEL 16V-92TA, 1095 BHP, TURBOCHARGED, AFTERCOOLED</t>
  </si>
  <si>
    <t>16V-92TA</t>
  </si>
  <si>
    <t xml:space="preserve">CALIFORNIA VIDEO CENTER                 </t>
  </si>
  <si>
    <t>F14408</t>
  </si>
  <si>
    <t>ICE, CATERPILLAR, DIESEL, EMR, 12 CYL, MODEL 3412 DITTA, 600 KW, SN 81Z22738, TURBOCHARGED, AFTERCOOLED</t>
  </si>
  <si>
    <t xml:space="preserve">5432 W 102ND ST                                                                 </t>
  </si>
  <si>
    <t>90045-6005</t>
  </si>
  <si>
    <t xml:space="preserve">JALAL LALANI                                      </t>
  </si>
  <si>
    <t xml:space="preserve">(626) 9720454   </t>
  </si>
  <si>
    <t xml:space="preserve">CALIFORNIA WATER SERVICE                </t>
  </si>
  <si>
    <t>F33663</t>
  </si>
  <si>
    <t>ICE, MITSUBISHI, MODEL 24.5DTA, DIESEL, 12 CYL, EMR, 809 BHP, TURBOCHARGED, AFTERCOOLED</t>
  </si>
  <si>
    <t>24.5 DTA</t>
  </si>
  <si>
    <t xml:space="preserve">18800 S WILMINGTON ST                                                           </t>
  </si>
  <si>
    <t xml:space="preserve">COMPTON                  </t>
  </si>
  <si>
    <t xml:space="preserve">RAY MELINDA                                       </t>
  </si>
  <si>
    <t xml:space="preserve">(310) 8342625   </t>
  </si>
  <si>
    <t>ICE, DETROIT DIESEL, EMR, DIESEL, MODEL 8163-7405, SN 16V F008568, 16 CYL, 750 KW TURBOCHARGED, AFTERCOOLED</t>
  </si>
  <si>
    <t xml:space="preserve">27300 IRIS AVE                                                                  </t>
  </si>
  <si>
    <t xml:space="preserve">GOTTSCHALK CARL A.                                </t>
  </si>
  <si>
    <t xml:space="preserve">(714) 9256368   </t>
  </si>
  <si>
    <t xml:space="preserve">HENRY MAYO NEWHALL MEMORIAL HOSPITAL    </t>
  </si>
  <si>
    <t>D61315</t>
  </si>
  <si>
    <t>ICE, MITSUBISHI, MODEL S12A-PTA, DIESEL, 12 CYL, 650 KW, TURBOCHARGED, AFTERCOOLED</t>
  </si>
  <si>
    <t>S12A-PTA</t>
  </si>
  <si>
    <t xml:space="preserve">23845 W MC BEAN PKY                                                             </t>
  </si>
  <si>
    <t xml:space="preserve">ENGLAND LARRY                                     </t>
  </si>
  <si>
    <t xml:space="preserve">(805) 2538476   </t>
  </si>
  <si>
    <t xml:space="preserve">HILTON SUITES INC                       </t>
  </si>
  <si>
    <t>D36529</t>
  </si>
  <si>
    <t>ICE, CUMMINS, DIESEL, EMR, 760 BHP, MODEL VTA28-GS1, SN J88213927, 12 CYL, TURBOCHARGED, AFTERCOOLED</t>
  </si>
  <si>
    <t xml:space="preserve">400 N STATE COLLEGE                                                             </t>
  </si>
  <si>
    <t xml:space="preserve">STARK BILLY                                       </t>
  </si>
  <si>
    <t xml:space="preserve">(714) 9381111   </t>
  </si>
  <si>
    <t xml:space="preserve">HITACHI CHEMICAL RESEARCH CENTER        </t>
  </si>
  <si>
    <t>D23745</t>
  </si>
  <si>
    <t>ICE, CUMMINS, DIESEL, EMR, 685 BHP, MODEL KTTA 19-GS, 6 CYL, TURBOCHARGED, AFTERCOOLED</t>
  </si>
  <si>
    <t>KTTA19-GS</t>
  </si>
  <si>
    <t xml:space="preserve">1003 HEALTH SCIENCES ROAD WEST UNIVERSITY OF CALIFORNIA                         </t>
  </si>
  <si>
    <t xml:space="preserve">SANCHEZ EFRAIN                                    </t>
  </si>
  <si>
    <t xml:space="preserve">(714) 7252721   </t>
  </si>
  <si>
    <t xml:space="preserve">HOLIDAY INN                             </t>
  </si>
  <si>
    <t>D11188</t>
  </si>
  <si>
    <t>ICE, CATERPILLAR, DIESEL, EMR, MODEL 3406B, SN 2WB04615,  534 BHP, 6 CYL, TURBOCHARGED, AFTERCOOLED</t>
  </si>
  <si>
    <t xml:space="preserve">19800 S VERMONT AVE                                                             </t>
  </si>
  <si>
    <t xml:space="preserve">SPRENGER GERRY                                    </t>
  </si>
  <si>
    <t xml:space="preserve">(213) 7819100   </t>
  </si>
  <si>
    <t xml:space="preserve">HOOVER RANCH                            </t>
  </si>
  <si>
    <t xml:space="preserve">F4201 </t>
  </si>
  <si>
    <t>ICE, CATERPILLAR, DIESEL, EMR, MODEL 3406 DITA, 400 KW, 6 CYL, TURBOCHARGED, AFTERCOOLED</t>
  </si>
  <si>
    <t xml:space="preserve">35999 CARTER ST                                                                 </t>
  </si>
  <si>
    <t xml:space="preserve">YUCAIPA                  </t>
  </si>
  <si>
    <t xml:space="preserve">HOOVER RICHARD                                    </t>
  </si>
  <si>
    <t xml:space="preserve">(909) 7952526   </t>
  </si>
  <si>
    <t xml:space="preserve">HOPE &amp; FLOWER B P PARTNERSHIP           </t>
  </si>
  <si>
    <t>D10405</t>
  </si>
  <si>
    <t>ICE, DETROIT DIESEL, EMR, DIESEL, MODEL 8163-7406, 16 CYL, 1170 BHP, TURBOCHARGED, AFTERCOOLED</t>
  </si>
  <si>
    <t>8163-7406</t>
  </si>
  <si>
    <t xml:space="preserve">700 S FLOWER ST BROADWAY PLAZA STE 406                                          </t>
  </si>
  <si>
    <t xml:space="preserve">BRADFORD JON                                      </t>
  </si>
  <si>
    <t xml:space="preserve">HOSPITAL OF THE GOOD SAMARITAN          </t>
  </si>
  <si>
    <t>M63296</t>
  </si>
  <si>
    <t>ICE, CUMMINS, DIESEL, EMR, 750 BHP, MODEL DTA12800GS,  8 CYL, NATURALLY ASPIRATED</t>
  </si>
  <si>
    <t>DTA12800-GS</t>
  </si>
  <si>
    <t xml:space="preserve">616 S WITMER ST                                                                 </t>
  </si>
  <si>
    <t xml:space="preserve">DATIN DENNIS                                      </t>
  </si>
  <si>
    <t xml:space="preserve">(213) 9774090   </t>
  </si>
  <si>
    <t>M63297</t>
  </si>
  <si>
    <t>ICE, DIETROIT DIESEL, EMR, 1500 BHP, MODEL 12V149T1,  12 CYL, NATURALLY ASPIRATED</t>
  </si>
  <si>
    <t>M63298</t>
  </si>
  <si>
    <t>M63299</t>
  </si>
  <si>
    <t xml:space="preserve">HOUSEHOLD FINANCE CORPORATION           </t>
  </si>
  <si>
    <t>D20400</t>
  </si>
  <si>
    <t>ICE, CATERPILLAR, DIESEL, EMR, MODEL 3512, 2178 BHP, 12 CYL, TURBOCHARGED, AFTERCOOLED</t>
  </si>
  <si>
    <t xml:space="preserve">931 CORPORATE CENTER DR                                                         </t>
  </si>
  <si>
    <t xml:space="preserve">WILLIAMS KIM                                      </t>
  </si>
  <si>
    <t xml:space="preserve">(714) 3973157   </t>
  </si>
  <si>
    <t xml:space="preserve">HOWARD HUGHES CENTER                    </t>
  </si>
  <si>
    <t>F37191</t>
  </si>
  <si>
    <t>ICE, CUMMINS, DIESEL, EMR, MODEL KTA50-G9, 1500 KW,  16 CYL, TURBOCHARGED, AFTERCOOLED</t>
  </si>
  <si>
    <t xml:space="preserve">5999 CENTER DR                                                                  </t>
  </si>
  <si>
    <t xml:space="preserve">LOCH PATTY                                        </t>
  </si>
  <si>
    <t xml:space="preserve">HUC-SKIRBALL CULTURAL CENTER            </t>
  </si>
  <si>
    <t>F01317</t>
  </si>
  <si>
    <t>D45166</t>
  </si>
  <si>
    <t>F36173</t>
  </si>
  <si>
    <t>ICE, CATERPILLAR, DIESEL, EMR, MODEL 3508, 8 CYL, 1486 BHP, TURBOCHARGED, AFTERCOOLED</t>
  </si>
  <si>
    <t>C27699</t>
  </si>
  <si>
    <t>M14491</t>
  </si>
  <si>
    <t xml:space="preserve">ICE, DETROIT DIESEL, MODEL 9163-7306, 1100 KW, </t>
  </si>
  <si>
    <t>C27700</t>
  </si>
  <si>
    <t>M14492</t>
  </si>
  <si>
    <t>ICE, DETROIT DIESEL, EMR, DIESEL, MODEL 9136-7306, 1540 BHP, 1100 KW</t>
  </si>
  <si>
    <t>C27701</t>
  </si>
  <si>
    <t>M14493</t>
  </si>
  <si>
    <t>ICE, DETROIT DIESEL, DIESEL, MODEL 9163-7306, 1540 BHP, 1100 KW</t>
  </si>
  <si>
    <t>C27702</t>
  </si>
  <si>
    <t>M14494</t>
  </si>
  <si>
    <t>ICE, DETROIT DIESEL, MODEL 9163-7306, 1100 KW, 1540 BHP</t>
  </si>
  <si>
    <t>C27703</t>
  </si>
  <si>
    <t>M14495</t>
  </si>
  <si>
    <t>ICE, CUMMINS, MODEL KD-350, 350 KW</t>
  </si>
  <si>
    <t>KD-350</t>
  </si>
  <si>
    <t xml:space="preserve">CENTER TRUST/ALEXANDER HAAGEN CO.       </t>
  </si>
  <si>
    <t>D39438</t>
  </si>
  <si>
    <t>ICE, CUMMINS, DIESEL, EMR, MODEL NTA855-G3, 6 CYL, 535 BHP, TURBOCHARGED, AFTERCOOLED</t>
  </si>
  <si>
    <t xml:space="preserve">201 E MAGNOLIA BLVD                                                             </t>
  </si>
  <si>
    <t xml:space="preserve">DEMARCO PAUL                                      </t>
  </si>
  <si>
    <t xml:space="preserve">(818) 5661253   </t>
  </si>
  <si>
    <t xml:space="preserve">CENTER WEST                             </t>
  </si>
  <si>
    <t>D36738</t>
  </si>
  <si>
    <t>ICE, CATERPILLAR, DIESEL, EMR, MODEL 3508, 8 CYL, 1023 BHP, TURBOCHARGED, AFTERCOOLED</t>
  </si>
  <si>
    <t xml:space="preserve">10877 WILSHIRE BLVD                                                             </t>
  </si>
  <si>
    <t xml:space="preserve">HAMAOUI NESS                                      </t>
  </si>
  <si>
    <t xml:space="preserve">(213) 8241600   </t>
  </si>
  <si>
    <t xml:space="preserve">CENTRAL PLANTS INC, DREAMWORKS, DBA     </t>
  </si>
  <si>
    <t>F34221</t>
  </si>
  <si>
    <t>ICE, CATERPILLAR, DIESEL, EMR, MODEL 3512 DITA, 1250 KW, 12 CYL, TURBOCHARGED, AFTERCOOLED</t>
  </si>
  <si>
    <t xml:space="preserve">901 -1000 FLOWER ST                                                             </t>
  </si>
  <si>
    <t xml:space="preserve">ZISON STANLEY W                                   </t>
  </si>
  <si>
    <t xml:space="preserve">(213) 2444195   </t>
  </si>
  <si>
    <t xml:space="preserve">CENTRAL PLAZA LLC                       </t>
  </si>
  <si>
    <t>F32244</t>
  </si>
  <si>
    <t>ICE, CATERPILLAR, DIESEL, EMR, MODEL 3508 TA, 8 CYL, 1486 BHP, TURBOCHARGED, AFTERCOOLED</t>
  </si>
  <si>
    <t>3508 TA</t>
  </si>
  <si>
    <t xml:space="preserve">3450 WILSHIRE BLVD STE 400                                                      </t>
  </si>
  <si>
    <t xml:space="preserve">KIM PAUL                                          </t>
  </si>
  <si>
    <t xml:space="preserve">(213) 4873770   </t>
  </si>
  <si>
    <t>CENTURY PARK PLAZA, DOUGLAS EMMETT REALT</t>
  </si>
  <si>
    <t>F34619</t>
  </si>
  <si>
    <t>ICE, CATERPILLAR, DIESEL, EMR, MODEL 3406, 6 CYL, 519 BHP, TURBOCHARGED, AFTERCOOLED</t>
  </si>
  <si>
    <t xml:space="preserve">1801 CENTURY PARK EAST SUITE 470                                                </t>
  </si>
  <si>
    <t xml:space="preserve">BOHENER PETER                                     </t>
  </si>
  <si>
    <t xml:space="preserve">(310) 5521801   </t>
  </si>
  <si>
    <t xml:space="preserve">CERIDIAN TAX SERVICE, INC               </t>
  </si>
  <si>
    <t>F20230</t>
  </si>
  <si>
    <t>ICE, CATERPILLAR, DIESEL, EMR, 400 KW, MODEL 3406 DITA, 6 CYL, TURBOCHARGED, AFTERCOOLED</t>
  </si>
  <si>
    <t xml:space="preserve">17390 BROOKHURST ST SUITE 300                                                   </t>
  </si>
  <si>
    <t xml:space="preserve">FOUNTAIN VALLEY          </t>
  </si>
  <si>
    <t xml:space="preserve">VATCHER HAROLD                                    </t>
  </si>
  <si>
    <t xml:space="preserve">(714) 9631311   </t>
  </si>
  <si>
    <t xml:space="preserve">CHAPMAN GEN HOSP                        </t>
  </si>
  <si>
    <t>D87488</t>
  </si>
  <si>
    <t>ICE, DETROIT DIESEL, EMR, MODEL 8V-92TA, DIESEL, 8 CYL, 568 BHP, TURBOCHARGED, AFTERCOOLED</t>
  </si>
  <si>
    <t xml:space="preserve">2601 E CHAPMAN                                                                  </t>
  </si>
  <si>
    <t xml:space="preserve">ORANGE                   </t>
  </si>
  <si>
    <t>92669-3296</t>
  </si>
  <si>
    <t xml:space="preserve">WILSON MARK                                       </t>
  </si>
  <si>
    <t xml:space="preserve">(714) 6330011   </t>
  </si>
  <si>
    <t xml:space="preserve">CHILDREN'S HOSPITAL OF LOS ANGELES      </t>
  </si>
  <si>
    <t>D39311</t>
  </si>
  <si>
    <t xml:space="preserve">ICE, DETROIT DIESEL, MODEL 8123-7400, DIESEL, EMR, 12 CYL, 830 BHP, TURBOCHARGED, AFTERCOOLED, </t>
  </si>
  <si>
    <t xml:space="preserve">4650 SUNSET BLVD                                                                </t>
  </si>
  <si>
    <t>90027-6088</t>
  </si>
  <si>
    <t xml:space="preserve">HOLLOWELL ROBERT                                  </t>
  </si>
  <si>
    <t xml:space="preserve">(323) 6692400   </t>
  </si>
  <si>
    <t>F22417</t>
  </si>
  <si>
    <t>ICE, CATERPILLAR, DIESEL, EMR, 1250 KW, MODEL 3512 DITA, 12 CYL, TURBOCHARGED, AFTERCOOLED</t>
  </si>
  <si>
    <t>F24882</t>
  </si>
  <si>
    <t>F24883</t>
  </si>
  <si>
    <t>F24884</t>
  </si>
  <si>
    <t xml:space="preserve">CHILDRENS HOSPITAL OF ORANGE COUNTY     </t>
  </si>
  <si>
    <t>D65324</t>
  </si>
  <si>
    <t>ICE, CATERPILLAR, DIESEL, EMERGENCY ELECTRICAL GENERATION, 890 BHP, MODEL 3412 TA, 12 CYL, TURBOCHARGED, AFTERCOOLED</t>
  </si>
  <si>
    <t xml:space="preserve">455 S MAIN ST                                                                   </t>
  </si>
  <si>
    <t xml:space="preserve">TORRES JOHN                                       </t>
  </si>
  <si>
    <t xml:space="preserve">(714) 5328557   </t>
  </si>
  <si>
    <t>D64685</t>
  </si>
  <si>
    <t>D64686</t>
  </si>
  <si>
    <t xml:space="preserve">CHIPPEWA ENTERPRISES INC                </t>
  </si>
  <si>
    <t>D82378</t>
  </si>
  <si>
    <t>ICE, CATERPILLAR, DIESEL, EMR, MODEL 3508TA, 750 KW, 8 CYL, TURBOCHARGED, AFTERCOOLED</t>
  </si>
  <si>
    <t xml:space="preserve">3801 UNIVERSITY AVE                                                             </t>
  </si>
  <si>
    <t xml:space="preserve">BELLE MARILYNN                                    </t>
  </si>
  <si>
    <t xml:space="preserve">(909) 3699844   </t>
  </si>
  <si>
    <t>CHURCHILL DOWNS CALIF CO, HOLLYWOOD PARK</t>
  </si>
  <si>
    <t>F27429</t>
  </si>
  <si>
    <t xml:space="preserve">INLAND EMPIRE UTL AGEN, A MUN WATER DIS </t>
  </si>
  <si>
    <t>D71997</t>
  </si>
  <si>
    <t>ICE, WAUKESHA, MODEL L5790GL, DIGESTER GAS AND  NAT. GAS, 911 BHP, AFTERCOOLED, DRIVING AN ELECTRICAL GENERATOR</t>
  </si>
  <si>
    <t>L5790GL</t>
  </si>
  <si>
    <t xml:space="preserve">16400 EL PRADO                                                                  </t>
  </si>
  <si>
    <t>INLAND EMPIRE UTL AGEN, A MUN WATER DIST</t>
  </si>
  <si>
    <t>D65025</t>
  </si>
  <si>
    <t>ICE, CATERPILLAR, DIESEL, EMR, MODEL 3512TA, 1500 KW</t>
  </si>
  <si>
    <t xml:space="preserve">14950 TELEPHONE AVE                                                             </t>
  </si>
  <si>
    <t>91710-9616</t>
  </si>
  <si>
    <t xml:space="preserve">F3791 </t>
  </si>
  <si>
    <t>ICE, CATERPILLAR, DIESEL, EMR, MODEL 3516DITA,  SN 4XF00638, 2000 KW, 16 CYL, TURBOCHARGED, AFTERCOOLED</t>
  </si>
  <si>
    <t xml:space="preserve">12811 6TH &amp; ETIWANDA ST                                                         </t>
  </si>
  <si>
    <t>JALAL</t>
  </si>
  <si>
    <t xml:space="preserve">VERIZON WIRELESS/INLAND MTSO            </t>
  </si>
  <si>
    <t>F32548</t>
  </si>
  <si>
    <t>ICE, CATERPILLAR, DIESEL, EMERGENCY ELECTRICAL GENERATION, MODEL 3412 C DITA,  SN 2WJ01435, 1180 BHP, TURBOCHARGED, AFTERCOOLED</t>
  </si>
  <si>
    <t>3412C DITA</t>
  </si>
  <si>
    <t xml:space="preserve">5351 E AIRPORT DR                                                               </t>
  </si>
  <si>
    <t xml:space="preserve">GRANGER OSCAR                                     </t>
  </si>
  <si>
    <t xml:space="preserve">(425) 6034894   </t>
  </si>
  <si>
    <t xml:space="preserve">INLAND VALLEY REGIONAL MEDICAL CENTER   </t>
  </si>
  <si>
    <t>D65304</t>
  </si>
  <si>
    <t>ICE, CUMMINS, DIESEL, EMR,  SN 31135936, 600 BHP, 6 CYL, TURBOCHARGED, AFTERCOOLED</t>
  </si>
  <si>
    <t xml:space="preserve">36485 INLAND VALLEY DR                                                          </t>
  </si>
  <si>
    <t xml:space="preserve">WILDOMAR                 </t>
  </si>
  <si>
    <t xml:space="preserve">RIELLY TIM                                        </t>
  </si>
  <si>
    <t xml:space="preserve">(909) 6779732   </t>
  </si>
  <si>
    <t xml:space="preserve">INTER-COMMUNITY MEDICAL CENTER          </t>
  </si>
  <si>
    <t>D13993</t>
  </si>
  <si>
    <t>ICE, DETROIT DIESEL, EMR, DIESEL, MODEL 12V-149TI, 1515 BHP, 12 CYL,   TURBOCHARGED,  INTERCOOLED</t>
  </si>
  <si>
    <t xml:space="preserve">303 N 3RD AVE                                                                   </t>
  </si>
  <si>
    <t xml:space="preserve">COVINA                   </t>
  </si>
  <si>
    <t xml:space="preserve">KAPPLER FRED                                      </t>
  </si>
  <si>
    <t xml:space="preserve">(818) 3317331   </t>
  </si>
  <si>
    <t xml:space="preserve">INTERNATIONAL MEDICATION SYSTEMS LTD    </t>
  </si>
  <si>
    <t>D88237</t>
  </si>
  <si>
    <t>ICE, CATERPILLAR, DIESEL, EMR, MODEL 3412 DITA,  SN 81207075, 890 BHP, 12 CYL, TURBOCHARGED, AFTERCOOLED</t>
  </si>
  <si>
    <t xml:space="preserve">1878-919 SANTA ANITA AVE                                                        </t>
  </si>
  <si>
    <t xml:space="preserve">SOUTH EL MONTE           </t>
  </si>
  <si>
    <t>91733-3414</t>
  </si>
  <si>
    <t xml:space="preserve">NYKANEN MICHAEL                                   </t>
  </si>
  <si>
    <t xml:space="preserve">(818) 4595245   </t>
  </si>
  <si>
    <t xml:space="preserve">INTERNATIONAL RECTIFIER HEXFET AMERICA  </t>
  </si>
  <si>
    <t>M56108</t>
  </si>
  <si>
    <t xml:space="preserve">ICE, MITSUBISHI, DIESEL, EMR, MODEL S12N-PTA-2, 1000 KW, </t>
  </si>
  <si>
    <t xml:space="preserve">41915 BUSINESS PARK DR                                                          </t>
  </si>
  <si>
    <t xml:space="preserve">NACEEM FARIDA Z.                                  </t>
  </si>
  <si>
    <t xml:space="preserve">(909) 6767500   </t>
  </si>
  <si>
    <t xml:space="preserve">IRVINE CENTER PARTNERS I LLC, OPUS CNTR </t>
  </si>
  <si>
    <t>F21832</t>
  </si>
  <si>
    <t>ICE, CATERPILLAR, DIESEL, EMR, MODEL 3412 DITA,  SN 81223679/SNALL459, 500 KW, 12 CYL, TURBOCHARGED, AFTERCOOLED</t>
  </si>
  <si>
    <t xml:space="preserve">2020 MAIN ST STE 800                                                            </t>
  </si>
  <si>
    <t xml:space="preserve">WINTER KAREN                                      </t>
  </si>
  <si>
    <t xml:space="preserve">(949) 6221950   </t>
  </si>
  <si>
    <t xml:space="preserve">IRVINE CITY                             </t>
  </si>
  <si>
    <t>D32442</t>
  </si>
  <si>
    <t>ICE, DETROIT DIESEL, EMR, DIESEL, MODEL 8163-7405, SN 16VF007099-6A05713,  1095 BHP, 16 CYL,   TURBOCHARGED,  AFTERCOOLED</t>
  </si>
  <si>
    <r>
      <t xml:space="preserve">•  </t>
    </r>
    <r>
      <rPr>
        <b/>
        <sz val="10"/>
        <rFont val="Arial"/>
        <family val="2"/>
      </rPr>
      <t>Stated Engine Rating (hp):</t>
    </r>
    <r>
      <rPr>
        <sz val="10"/>
        <rFont val="Arial"/>
        <family val="2"/>
      </rPr>
      <t xml:space="preserve">  The BUG engine rating (hp) given by the data source, if supplied</t>
    </r>
  </si>
  <si>
    <r>
      <t xml:space="preserve">•  </t>
    </r>
    <r>
      <rPr>
        <b/>
        <sz val="10"/>
        <rFont val="Arial"/>
        <family val="2"/>
      </rPr>
      <t>Stated Engine Rating (bhp):</t>
    </r>
    <r>
      <rPr>
        <sz val="10"/>
        <rFont val="Arial"/>
        <family val="2"/>
      </rPr>
      <t xml:space="preserve">  The BUG engine rating (bhp) given by the data source, if supplied</t>
    </r>
  </si>
  <si>
    <r>
      <t xml:space="preserve">•  </t>
    </r>
    <r>
      <rPr>
        <b/>
        <sz val="10"/>
        <rFont val="Arial"/>
        <family val="2"/>
      </rPr>
      <t>Facility Address:</t>
    </r>
    <r>
      <rPr>
        <sz val="10"/>
        <rFont val="Arial"/>
        <family val="2"/>
      </rPr>
      <t xml:space="preserve">  Street address of the facility having the BUG given by the data source</t>
    </r>
  </si>
  <si>
    <r>
      <t xml:space="preserve">•  </t>
    </r>
    <r>
      <rPr>
        <b/>
        <sz val="10"/>
        <rFont val="Arial"/>
        <family val="2"/>
      </rPr>
      <t>City:</t>
    </r>
    <r>
      <rPr>
        <sz val="10"/>
        <rFont val="Arial"/>
        <family val="2"/>
      </rPr>
      <t xml:space="preserve">  BUG location city given by the data source</t>
    </r>
  </si>
  <si>
    <r>
      <t xml:space="preserve">•  </t>
    </r>
    <r>
      <rPr>
        <b/>
        <sz val="10"/>
        <rFont val="Arial"/>
        <family val="2"/>
      </rPr>
      <t>Zip Code:</t>
    </r>
    <r>
      <rPr>
        <sz val="10"/>
        <rFont val="Arial"/>
        <family val="2"/>
      </rPr>
      <t xml:space="preserve">  Zip Code for the facility address</t>
    </r>
  </si>
  <si>
    <r>
      <t xml:space="preserve">•  </t>
    </r>
    <r>
      <rPr>
        <b/>
        <sz val="10"/>
        <rFont val="Arial"/>
        <family val="2"/>
      </rPr>
      <t>Contact Person:</t>
    </r>
    <r>
      <rPr>
        <sz val="10"/>
        <rFont val="Arial"/>
        <family val="2"/>
      </rPr>
      <t xml:space="preserve">  Contact given by the data source</t>
    </r>
  </si>
  <si>
    <r>
      <t xml:space="preserve">•  </t>
    </r>
    <r>
      <rPr>
        <b/>
        <sz val="10"/>
        <rFont val="Arial"/>
        <family val="2"/>
      </rPr>
      <t>Contact Phone Number:</t>
    </r>
    <r>
      <rPr>
        <sz val="10"/>
        <rFont val="Arial"/>
        <family val="2"/>
      </rPr>
      <t xml:space="preserve">  Phone number for the contact given by the data source</t>
    </r>
  </si>
  <si>
    <t>Data Source Codes</t>
  </si>
  <si>
    <t>Code</t>
  </si>
  <si>
    <t>AMA</t>
  </si>
  <si>
    <t>AV</t>
  </si>
  <si>
    <t>BTT</t>
  </si>
  <si>
    <t>CLS</t>
  </si>
  <si>
    <t>CSC</t>
  </si>
  <si>
    <t>Silicon Valley Power (City of Santa Clara)</t>
  </si>
  <si>
    <t>DOC</t>
  </si>
  <si>
    <t>DWP</t>
  </si>
  <si>
    <t>Los Angeles Department of Water and Power</t>
  </si>
  <si>
    <t>EDC</t>
  </si>
  <si>
    <t>FRV</t>
  </si>
  <si>
    <t>GB</t>
  </si>
  <si>
    <t>GLN</t>
  </si>
  <si>
    <t>IMP</t>
  </si>
  <si>
    <t>KRN</t>
  </si>
  <si>
    <t>LKE</t>
  </si>
  <si>
    <t>MAR</t>
  </si>
  <si>
    <t>MB</t>
  </si>
  <si>
    <t>MEN</t>
  </si>
  <si>
    <t>NCT</t>
  </si>
  <si>
    <t>OEA</t>
  </si>
  <si>
    <t>Office of Energy Assessments of the California Department of General Services</t>
  </si>
  <si>
    <t>PGE</t>
  </si>
  <si>
    <t>PLC</t>
  </si>
  <si>
    <t>SAC</t>
  </si>
  <si>
    <t>Sacramento Metropolitan AQMD</t>
  </si>
  <si>
    <t>SB</t>
  </si>
  <si>
    <t>SD</t>
  </si>
  <si>
    <t>SHA</t>
  </si>
  <si>
    <t>SLO</t>
  </si>
  <si>
    <t>THM</t>
  </si>
  <si>
    <t>VEN</t>
  </si>
  <si>
    <t>VRZ</t>
  </si>
  <si>
    <t>YS</t>
  </si>
  <si>
    <t>Yolo Solano AQMD</t>
  </si>
  <si>
    <t>SJV</t>
  </si>
  <si>
    <t>Record Number</t>
  </si>
  <si>
    <t>Data Source</t>
  </si>
  <si>
    <t>Permit Application Number</t>
  </si>
  <si>
    <t>Permit Application Year</t>
  </si>
  <si>
    <t>Primary Fuel</t>
  </si>
  <si>
    <t>Generator Capacity (kW)</t>
  </si>
  <si>
    <t>Facility Address</t>
  </si>
  <si>
    <t>Permit Number</t>
  </si>
  <si>
    <t>Facility Name</t>
  </si>
  <si>
    <t>City</t>
  </si>
  <si>
    <t>Zip Code</t>
  </si>
  <si>
    <t>Contact Person</t>
  </si>
  <si>
    <t>Contact Phone Number</t>
  </si>
  <si>
    <t xml:space="preserve">Engine Description </t>
  </si>
  <si>
    <t>Manufacturer</t>
  </si>
  <si>
    <t>Model</t>
  </si>
  <si>
    <t>Stated Generator Capacity (kW)</t>
  </si>
  <si>
    <t>Stated Engine Rating (hp)</t>
  </si>
  <si>
    <t>Stated Engine Rating (bhp)</t>
  </si>
  <si>
    <t>NOx Emission Factor  (g/bhp-hr)</t>
  </si>
  <si>
    <t>PM Emission Factor (g/bhp-hr)</t>
  </si>
  <si>
    <t>SC</t>
  </si>
  <si>
    <r>
      <t xml:space="preserve">•  </t>
    </r>
    <r>
      <rPr>
        <b/>
        <sz val="10"/>
        <rFont val="Arial"/>
        <family val="2"/>
      </rPr>
      <t xml:space="preserve">Record Number: </t>
    </r>
    <r>
      <rPr>
        <sz val="10"/>
        <rFont val="Arial"/>
        <family val="2"/>
      </rPr>
      <t xml:space="preserve"> A number assigned by TIAX/NCI for tracking purposes</t>
    </r>
  </si>
  <si>
    <t xml:space="preserve">1875/1925 CENTURY PARK EAST CO          </t>
  </si>
  <si>
    <t>D85615</t>
  </si>
  <si>
    <t xml:space="preserve">ICE, CATERPILLAR, DIESEL,  EMR, MODEL 3412, SN 3857846, TURBOCHARGED, AFTERCOOLED, 12 CYL, 755 BHP </t>
  </si>
  <si>
    <t>Diesel</t>
  </si>
  <si>
    <t>Caterpillar</t>
  </si>
  <si>
    <t xml:space="preserve">1875 CENTURY PARK E                                                             </t>
  </si>
  <si>
    <t xml:space="preserve">LOS ANGELES              </t>
  </si>
  <si>
    <t xml:space="preserve">DIEHR STEVE                                       </t>
  </si>
  <si>
    <t xml:space="preserve">(310) 2030330   </t>
  </si>
  <si>
    <t xml:space="preserve">20TH CENTURY FOX FILM CORP              </t>
  </si>
  <si>
    <t xml:space="preserve">F8683 </t>
  </si>
  <si>
    <t xml:space="preserve">ICE, CUMMINS, DIESEL,  EMR, MODEL QST30-G2,  TURBOCHARGED, AFTERCOOLED, 12 CYL, 800 KW, EMR </t>
  </si>
  <si>
    <t>Cummins</t>
  </si>
  <si>
    <t>QST30-G2</t>
  </si>
  <si>
    <t xml:space="preserve">10201 W PICO BLVD BLDG 99                                                       </t>
  </si>
  <si>
    <t>90064-2651</t>
  </si>
  <si>
    <t xml:space="preserve">CANDLER TREVOR                                    </t>
  </si>
  <si>
    <t xml:space="preserve">(310) 3696623   </t>
  </si>
  <si>
    <t xml:space="preserve">20TH CENTURY INSURANCE CO               </t>
  </si>
  <si>
    <t>F23017</t>
  </si>
  <si>
    <t xml:space="preserve">ICE, CUMMINS, DIESEL,  EMR, MODEL KTA50-G9, EMR TURBOCHARGED, AFTERCOOLED, 16 CYL, 1500 KW </t>
  </si>
  <si>
    <t>KTA50-G9</t>
  </si>
  <si>
    <t xml:space="preserve">6301 OWENSMOUTH AVE                                                             </t>
  </si>
  <si>
    <t xml:space="preserve">WOODLAND HILLS           </t>
  </si>
  <si>
    <t>91367-2286</t>
  </si>
  <si>
    <t xml:space="preserve">LANDGRAF BERNARD                                  </t>
  </si>
  <si>
    <t xml:space="preserve">(818) 7043091   </t>
  </si>
  <si>
    <t xml:space="preserve">360 NETWORKS (USA) INC                  </t>
  </si>
  <si>
    <t>F35656</t>
  </si>
  <si>
    <t>ICE, CATERPILLAR, DIESEL, 12 CYL, TURBOCHARGED, AFTERCOOLED, MODEL 3512B DITA, SN 8RM00626, 1500 KW, EMR</t>
  </si>
  <si>
    <t>3512B DITA</t>
  </si>
  <si>
    <t xml:space="preserve">600 W 7 TH ST                                                                   </t>
  </si>
  <si>
    <t xml:space="preserve">WALKER RICHARD                                    </t>
  </si>
  <si>
    <t xml:space="preserve">(541) 3187392   </t>
  </si>
  <si>
    <t>F35657</t>
  </si>
  <si>
    <t>ICE, CATERPILLAR, DIESEL, 12 CYL, TURBOCHARGED, AFTERCOOLED, MODEL 3512B DITA, SN 8RM00627, 1500 KW, EMR</t>
  </si>
  <si>
    <t>F35661</t>
  </si>
  <si>
    <t>ICE, CATERPILLAR, DIESEL, 12 CYL, TURBOCHARGED, AFTERCOOLED, MODEL 3512B DITA, SN 8RM00628, 1500 KW, EMR</t>
  </si>
  <si>
    <t xml:space="preserve">450 NORTH BRAND LLC                     </t>
  </si>
  <si>
    <t>F23702</t>
  </si>
  <si>
    <t>ICE, DETROIT DIESEL, 12 CYL, TURBOCHARGED, AFTERCOOLED, MODEL 12V-92TA, SN 12VF013933, 830 BHP, EMR</t>
  </si>
  <si>
    <t>Detroit Diesel</t>
  </si>
  <si>
    <t>12V-92TA</t>
  </si>
  <si>
    <t xml:space="preserve">450 N BRAND BLVD                                                                </t>
  </si>
  <si>
    <t xml:space="preserve">GLENDALE                 </t>
  </si>
  <si>
    <t xml:space="preserve">TEEGARDEN CATHY                                   </t>
  </si>
  <si>
    <t xml:space="preserve">(818) 2422152   </t>
  </si>
  <si>
    <t xml:space="preserve">4MC-BURBANK, INC.                       </t>
  </si>
  <si>
    <t>F21411</t>
  </si>
  <si>
    <t>ICE, CATERPILLAR, 12 CYL, TURBOCHARGED, AFTERCOOLED, MODEL 3512 DITA, 1250 KW, DIESEL, EMR</t>
  </si>
  <si>
    <t>3512 DITA</t>
  </si>
  <si>
    <t xml:space="preserve">2901 W ALAMEDA AVE                                                              </t>
  </si>
  <si>
    <t xml:space="preserve">BURBANK                  </t>
  </si>
  <si>
    <t xml:space="preserve">TABB JOHN                                         </t>
  </si>
  <si>
    <t xml:space="preserve">(818) 8407207   </t>
  </si>
  <si>
    <t xml:space="preserve">550 NORTH BRAND OWNER'S CORP            </t>
  </si>
  <si>
    <t>D77793</t>
  </si>
  <si>
    <t>ICE, CATERPILLAR, 12 CYL, TURBOCHARGED, AFTERCOOLED, MODEL 3412, SN 81205336, 558 BHP, DIESEL, EMR</t>
  </si>
  <si>
    <t xml:space="preserve">550 N BRAND BLVD                                                                </t>
  </si>
  <si>
    <t xml:space="preserve">ROSS JUNE                                         </t>
  </si>
  <si>
    <t xml:space="preserve">(818) 2426550   </t>
  </si>
  <si>
    <t>600 ANTON BLV ASSOC,SO COAST PLZ TWN CTR</t>
  </si>
  <si>
    <t>D51286</t>
  </si>
  <si>
    <t>ICE, CATERPILLAR, 8 CYL, DIESEL, EMR, MODEL 3508/750, SN 23203472, TURBOCHARGED, AFTERCOOLED, 1098 BHP</t>
  </si>
  <si>
    <t xml:space="preserve">600 ANTON BLVD                                                                  </t>
  </si>
  <si>
    <t xml:space="preserve">COSTA MESA               </t>
  </si>
  <si>
    <t xml:space="preserve">SUTTON DON                                        </t>
  </si>
  <si>
    <t xml:space="preserve">(714) 4352133   </t>
  </si>
  <si>
    <t xml:space="preserve">611 W 6TH ST ASSOC LLC/METCOM MGMT LLC  </t>
  </si>
  <si>
    <t>F33277</t>
  </si>
  <si>
    <t>ICE, CATERPILLAR, 12 CYL, DIESEL, EMR, MODEL 3412DIT, SN 81Z02794, TURBOCHARGED, AFTERCOOLED, 755 BHP</t>
  </si>
  <si>
    <t>3412 DIT</t>
  </si>
  <si>
    <t xml:space="preserve">611 W 6TH ST                                                                    </t>
  </si>
  <si>
    <t xml:space="preserve">KOILE STEPHEN                                     </t>
  </si>
  <si>
    <t xml:space="preserve">(213) 6239989   </t>
  </si>
  <si>
    <t>F33278</t>
  </si>
  <si>
    <t>ICE, DETROIT DIESEL, 16 CYL, TURBOCHARGED, AFTERCOOLED, MODEL 7163-7400, SN 16V3328, 700 BHP, EMR, DIESEL</t>
  </si>
  <si>
    <t>7163-7400</t>
  </si>
  <si>
    <t xml:space="preserve">6300 WILSHIRE ASSOCIATES                </t>
  </si>
  <si>
    <t>D48429</t>
  </si>
  <si>
    <t>ICE, DETROIT DIESEL, 12 CYL, TURBOCHARGED, AFTERCOOLED, MODEL 8123-7405, SN 12VF013933, 830 BHP, EMR, DIESEL</t>
  </si>
  <si>
    <t>8123-7405</t>
  </si>
  <si>
    <t>ICE, CATERPILLAR, DIESEL, EMR, MODEL 3406 DITA, SN 4RG1540,  400 KW,  6 CYL TURBOCHARGED, AFTERCOOLED</t>
  </si>
  <si>
    <t xml:space="preserve">75-525 HOVLEY LN                                                                </t>
  </si>
  <si>
    <t xml:space="preserve">HARRIS WILLIE                                     </t>
  </si>
  <si>
    <t>F16166</t>
  </si>
  <si>
    <t>ICE, CATERPILLAR, DIESEL, EMR, MODEL 3512 DITA, SN 24Z09713, 1250 KW, 12 CYL TURBOCHARGED, AFTERCOOLED</t>
  </si>
  <si>
    <t>02047E</t>
  </si>
  <si>
    <t>E04283</t>
  </si>
  <si>
    <t>ICE,  CATERPILLAR, DIESEL, MODEL D399, WAUKESHA GENERATOR, 900 KW, MODEL L5790</t>
  </si>
  <si>
    <t>D399</t>
  </si>
  <si>
    <t>(760) 3982651</t>
  </si>
  <si>
    <t xml:space="preserve">COACHELLA VALLEY WATER DIST, STA #05617 </t>
  </si>
  <si>
    <t>F18199</t>
  </si>
  <si>
    <t>ICE, CATERPILLAR, DIESEL, EMR, MODEL 3412 DITA, SN 81Z23214, 500 KW, 12 CYL TURBOCHARGED, AFTERCOOLED</t>
  </si>
  <si>
    <t xml:space="preserve">1/4M E PORTOLA/N RESERVE RES CO CLUB MAINT YARD                                 </t>
  </si>
  <si>
    <t xml:space="preserve">JONES ROYCE                                       </t>
  </si>
  <si>
    <t xml:space="preserve">COACHELLA VALLEY WATER DISTRICT         </t>
  </si>
  <si>
    <t>D63802</t>
  </si>
  <si>
    <t>ICE, CATERPILLAR, DIESEL, EMR, MODEL 3406 SBTA, SN 4RG1179, 576 BHP, 400 KW, 6 CYL TURBOCHARGED, AFTERCOOLED</t>
  </si>
  <si>
    <t>3406 SBTA</t>
  </si>
  <si>
    <t xml:space="preserve">79000 COUNTRY CLUB DR                                                           </t>
  </si>
  <si>
    <t xml:space="preserve">BERMUDA DUNES            </t>
  </si>
  <si>
    <t xml:space="preserve">HOLLENBECK BOB                                    </t>
  </si>
  <si>
    <t xml:space="preserve">(619) 3982651   </t>
  </si>
  <si>
    <t>D91877</t>
  </si>
  <si>
    <t>ICE, CATERPILLAR, DIESEL, EMR, MODEL 3412 DITA,  700 KW, 12 CYL TURBOCHARGED, AFTERCOOLED</t>
  </si>
  <si>
    <t xml:space="preserve">78-800 38TH AVE                                                                 </t>
  </si>
  <si>
    <t xml:space="preserve">F9916 </t>
  </si>
  <si>
    <t>ICE, CATERPILLAR, DIESEL, EMR, MODEL 3406 DITA, 400 KW, 6 CYL TURBOCHARGED, AFTERCOOLED</t>
  </si>
  <si>
    <t xml:space="preserve">AVENUE 50 &amp; ADAMS                                                               </t>
  </si>
  <si>
    <t xml:space="preserve">LA QUINTA                </t>
  </si>
  <si>
    <t>COACHELLA VALLEY WATER DISTRICT (WRP #4)</t>
  </si>
  <si>
    <t>M59028</t>
  </si>
  <si>
    <t>ICE, CATERPILLAR, DIESEL, EMERGENCY ELECTRICAL GENERATION, 724 HP, MODEL 3412,  475 KW,  TURBOCHARGED, AFTERCOOLED</t>
  </si>
  <si>
    <t>475</t>
  </si>
  <si>
    <t xml:space="preserve">63-002 FILLMORE ST                                                              </t>
  </si>
  <si>
    <t xml:space="preserve">THERMAL                  </t>
  </si>
  <si>
    <t xml:space="preserve">F9993 </t>
  </si>
  <si>
    <t>ICE, CATERPILLAR, DIESEL, EMR, MODEL 3412TA ,  865 BHP, 600 KW, TURBOCHARGED, AFTERCOOLED</t>
  </si>
  <si>
    <t>F18723</t>
  </si>
  <si>
    <t>ICE, CATERPILLAR, DIESEL, EMERGENCY ELECTRICAL GENERATION, MODEL 3406 DITA, 587 BHP, 400 KW, 6 CYL TURBOCHARGED, AFTERCOOLED</t>
  </si>
  <si>
    <t>400</t>
  </si>
  <si>
    <t xml:space="preserve">COLTON CITY WASTEWATER PLANT            </t>
  </si>
  <si>
    <t>D75167</t>
  </si>
  <si>
    <t>ICE, CATERPILLAR, DIESEL, EMR, MODEL 3508 TA, 900 KW, 8 CYL TURBOCHARGED, AFTERCOOLED</t>
  </si>
  <si>
    <t xml:space="preserve">1201 S RANCHO AVE                                                               </t>
  </si>
  <si>
    <t xml:space="preserve">ROTH WILLIAM A                                    </t>
  </si>
  <si>
    <t xml:space="preserve">(909) 8254114   </t>
  </si>
  <si>
    <t xml:space="preserve">COLUMBIA WEST HILLS MEDICAL CENTER      </t>
  </si>
  <si>
    <t>M35034</t>
  </si>
  <si>
    <t>ICE, DETROIT DIESEL, MODEL 12V-149T, DIESEL, EMERGENCY ELECTRICAL GENERATION, 1070 HP, 755 KW, TURBOCHARGED</t>
  </si>
  <si>
    <t xml:space="preserve">12V-149T </t>
  </si>
  <si>
    <t xml:space="preserve">7300 MEDICAL CENTER DR                                                          </t>
  </si>
  <si>
    <t xml:space="preserve">WEST HILLS               </t>
  </si>
  <si>
    <t xml:space="preserve">PURKETT JEROME D                                  </t>
  </si>
  <si>
    <t xml:space="preserve">(818) 7124144   </t>
  </si>
  <si>
    <t xml:space="preserve">COMMONWEALTH PARTNERS MGMT SERVICES LP  </t>
  </si>
  <si>
    <t>F34720</t>
  </si>
  <si>
    <t>ICE, CUMMINS, DIESEL, EMR, MODEL VTA-28-G2, SN 10619290, 12 CYL, 576 BHP, TURBOCHARGED, INTERCOOLED</t>
  </si>
  <si>
    <t xml:space="preserve">3200 BRISTOL ST                                                                 </t>
  </si>
  <si>
    <t xml:space="preserve">PETERSEN TERRY                                    </t>
  </si>
  <si>
    <t xml:space="preserve">(714) 3845500   </t>
  </si>
  <si>
    <t xml:space="preserve">COMMONWEALTH/COUSINS I, LLC             </t>
  </si>
  <si>
    <t>F19574</t>
  </si>
  <si>
    <t>ICE, CATERPILLAR, DIESEL, EMR, MODEL 3412 DISTA, 750 KW, 12 CYL,  TURBOCHARGED, AFTERCOOLED</t>
  </si>
  <si>
    <t>3412 DISTA</t>
  </si>
  <si>
    <t xml:space="preserve">12900 PARK PLAZA DR                                                             </t>
  </si>
  <si>
    <t xml:space="preserve">GOODWIN ROBERT                                    </t>
  </si>
  <si>
    <t xml:space="preserve">(213) 6292100   </t>
  </si>
  <si>
    <t xml:space="preserve">COMMUNITY HOSPITAL OF SAN BERNARDINO    </t>
  </si>
  <si>
    <t>D07762</t>
  </si>
  <si>
    <t>ICE, CATERPILLAR, DIESEL, EMR, MODEL 3512 STD, 1482 BHP, 1000 KW</t>
  </si>
  <si>
    <t>3512 STD</t>
  </si>
  <si>
    <t xml:space="preserve">1805 MEDICAL CENTER DR                                                          </t>
  </si>
  <si>
    <t xml:space="preserve">MARTIN DWIGHT D                                   </t>
  </si>
  <si>
    <t xml:space="preserve">(909) 8876333   </t>
  </si>
  <si>
    <t>F16278</t>
  </si>
  <si>
    <t>ICE, CATERPILLAR, DIESEL, EMR, MODEL 3412 DITTA,  12 CYL, 746 BHP, TURBOCHARGED, AFTERCOOLED</t>
  </si>
  <si>
    <t>92411-1203</t>
  </si>
  <si>
    <t xml:space="preserve">COMMUNITY RECYCLING &amp; RESOURCE RECOVERY </t>
  </si>
  <si>
    <t>D79295</t>
  </si>
  <si>
    <t>ICE, CATERPILLAR, PORTABLE, DIESEL,  MODEL 3412 DITA, SN 38S16684,   12 CYL, 800 BHP, TURBOCHARGED, AFTERCOOLED, WOOD GRINDER DRIVER</t>
  </si>
  <si>
    <t xml:space="preserve">RICHARDSON JOHN                                   </t>
  </si>
  <si>
    <t xml:space="preserve">(818) 7676000   </t>
  </si>
  <si>
    <t xml:space="preserve">CONEXANT SYSTEMS INC                    </t>
  </si>
  <si>
    <t xml:space="preserve">4311 JAMBOREE RD                                                                </t>
  </si>
  <si>
    <t xml:space="preserve">NEWPORT BEACH            </t>
  </si>
  <si>
    <t xml:space="preserve">GOOCH MICHAEL                                     </t>
  </si>
  <si>
    <t xml:space="preserve">(714) 2214882   </t>
  </si>
  <si>
    <t xml:space="preserve">F7996 </t>
  </si>
  <si>
    <t>ICE, DETROIT DIESEL, MODEL 8123-7416 (12V-92TA), TWIN TURBO, DIESEL, EMERGENCY ELECTRICAL GENERATION, 947 BHP, TURBOCHARGED, AFTERCOOLED, 12 CYL</t>
  </si>
  <si>
    <t>8123-7416</t>
  </si>
  <si>
    <t>947</t>
  </si>
  <si>
    <t>F16384</t>
  </si>
  <si>
    <t>ICE, NO. 1, CATERPILLAR, DIESEL, EMERGENCY ELECTRICAL GENERATION, MODEL 3412,   SN 3854261, 12 CYL, 620 BHP, TURBOCHARGED, AFTERCOOLED</t>
  </si>
  <si>
    <t xml:space="preserve">4000 MACARTHUR BLVD                                                             </t>
  </si>
  <si>
    <t xml:space="preserve">(949) 4834882   </t>
  </si>
  <si>
    <t>F16385</t>
  </si>
  <si>
    <t>ICE, NO. 2, CATERPILLAR, DIESEL, EMERGENCY ELECTRICAL GENERATION, MODEL 3412,   SN 3858271, 12 CYL, 620 BHP, TURBOCHARGED, AFTERCOOLED</t>
  </si>
  <si>
    <t xml:space="preserve">CONSTELLATION LAND LTD PARTNERSHIP      </t>
  </si>
  <si>
    <t>D21114</t>
  </si>
  <si>
    <t>ICE, CATERPILLAR, DIESEL, EMR, MODEL 3512,   SN 24Z2581, 12 CYL, 1779 BHP, TURBOCHARGED, AFTERCOOLED</t>
  </si>
  <si>
    <t xml:space="preserve">1999 AVENUE OF THE STARS                                                        </t>
  </si>
  <si>
    <t xml:space="preserve">MEIXNER STEVEN C                                  </t>
  </si>
  <si>
    <t xml:space="preserve">(213) 5571990   </t>
  </si>
  <si>
    <t xml:space="preserve">CORONA REGIONAL MEDICAL CENTER          </t>
  </si>
  <si>
    <t>D44196</t>
  </si>
  <si>
    <t>ICE, DETROIT DIESEL, EMR, MODEL 8123-7418, DIESEL, 12 CYL, TURBOCHARGED, AFTERCOOLED,  980 BHP</t>
  </si>
  <si>
    <t>8123-7418</t>
  </si>
  <si>
    <t xml:space="preserve">800 S MAIN ST                                                                   </t>
  </si>
  <si>
    <t xml:space="preserve">BYRN ROBERT                                       </t>
  </si>
  <si>
    <t xml:space="preserve">(909) 7374343   </t>
  </si>
  <si>
    <t xml:space="preserve">CORONA REGIONAL MEDICAL CTR             </t>
  </si>
  <si>
    <t>F37082</t>
  </si>
  <si>
    <t>ICE, DETROIT DIESEL, EMR, MODEL 16V2TAB, DIESEL, 16 CYL, TURBOCHARGED, AFTERCOOLED,  1095 BHP</t>
  </si>
  <si>
    <t>16V-2TAB</t>
  </si>
  <si>
    <t xml:space="preserve">730 MAGNOLIA                                                                    </t>
  </si>
  <si>
    <t xml:space="preserve">BYRN ROBERT L                                     </t>
  </si>
  <si>
    <t xml:space="preserve">(909) 7364894   </t>
  </si>
  <si>
    <t xml:space="preserve">CORONA, CITY OF/TEMESCAL DESALTER       </t>
  </si>
  <si>
    <t>F24125</t>
  </si>
  <si>
    <t>ICE, CATERPILLAR, DIESEL, EMERGENCY ELECTRICAL GENERATION, MODEL 3512B SCAC,  2155 BHP, TURBOCHARGED, AFTERCOOLED</t>
  </si>
  <si>
    <t>3512B SCAC</t>
  </si>
  <si>
    <t xml:space="preserve">450 N COTA ST                                                                   </t>
  </si>
  <si>
    <t xml:space="preserve">(909) 7362478   </t>
  </si>
  <si>
    <t>F23778</t>
  </si>
  <si>
    <t>ICE, CATERPILLAR, DIESEL, EMERGENCY ELECTRICAL GENERATION, MODEL 3512 DITA,  12 CYL,  1250 KW, TURBOCHARGED, AFTERCOOLED</t>
  </si>
  <si>
    <t xml:space="preserve">COX COMMUNICATIONS                      </t>
  </si>
  <si>
    <t>F20288</t>
  </si>
  <si>
    <t>ICE, CATERPILLAR, DIESEL, EMR, MODEL 3412 DISTA,  12 CYL,  750 KW, TURBOCHARGED, AFTERCOOLED</t>
  </si>
  <si>
    <t xml:space="preserve">29947 AVENIDA DE LAS BANDERAS                                                   </t>
  </si>
  <si>
    <t xml:space="preserve">RANCHO SANTA MARGARITA   </t>
  </si>
  <si>
    <t xml:space="preserve">MARTINEZ LYDIA                                    </t>
  </si>
  <si>
    <t xml:space="preserve">(949) 2408828   </t>
  </si>
  <si>
    <t xml:space="preserve">COX COMMUNICATIONS ORANGE CO INC        </t>
  </si>
  <si>
    <t xml:space="preserve">F5199 </t>
  </si>
  <si>
    <t>ICE, CATERPILLAR, DIESEL, EMR, MODEL 3412 DITTA, SN 81Z19963,  12 CYL,  600 KW, TURBOCHARGED, AFTERCOOLED</t>
  </si>
  <si>
    <t xml:space="preserve">17 JOURNEY ST                                                                   </t>
  </si>
  <si>
    <t xml:space="preserve">HUTCHINS BILL                                     </t>
  </si>
  <si>
    <t xml:space="preserve">(714) 2408828   </t>
  </si>
  <si>
    <t xml:space="preserve">F5200 </t>
  </si>
  <si>
    <t>ICE, CATERPILLAR, DIESEL, EMR, MODEL 3412 DITTA, SN 81Z19969,  12 CYL,  600 KW, TURBOCHARGED, AFTERCOOLED</t>
  </si>
  <si>
    <t xml:space="preserve">COX COMMUNICATIONS PCS, LP              </t>
  </si>
  <si>
    <t>F12491</t>
  </si>
  <si>
    <t>ICE, CATERPILLAR, DIESEL, EMR, MODEL 3412 DISTA, SN 2WJ01632,  12 CYL,  750 KW, TURBOCHARGED, AFTERCOOLED</t>
  </si>
  <si>
    <t xml:space="preserve">1643 S GROVE AVE                                                                </t>
  </si>
  <si>
    <t xml:space="preserve">FIGGING RANDY                                     </t>
  </si>
  <si>
    <t xml:space="preserve">(714) 2252994   </t>
  </si>
  <si>
    <t xml:space="preserve">CREST NATIONAL OPTICAL MEDIA/VIDEO      </t>
  </si>
  <si>
    <t>F13848</t>
  </si>
  <si>
    <t>ICE, CATERPILLAR, DIESEL, EMR, MODEL 3406 DITA, SN 4ZR01133,  6 CYL,  400 KW, TURBOCHARGED, AFTERCOOLED</t>
  </si>
  <si>
    <t xml:space="preserve">6721 ROMAINE ST                                                                 </t>
  </si>
  <si>
    <t xml:space="preserve">HOLLYWOOD                </t>
  </si>
  <si>
    <t xml:space="preserve">KURU KUSHAN                                       </t>
  </si>
  <si>
    <t xml:space="preserve">(213) 8601378   </t>
  </si>
  <si>
    <t xml:space="preserve">CRYSTAL CATHEDRAL MINISTRIES            </t>
  </si>
  <si>
    <t>D17047</t>
  </si>
  <si>
    <t>ICE, CUMMINS, DIESEL, EMR, MODEL KTA1962, SN 37124392, 6 CYL, 600 BHP, TURBOCHARGED, INTERCOOLED</t>
  </si>
  <si>
    <t>KTA 1962</t>
  </si>
  <si>
    <t xml:space="preserve">13280 CHAPMAN AVE                                                               </t>
  </si>
  <si>
    <t xml:space="preserve">GARDEN GROVE             </t>
  </si>
  <si>
    <t xml:space="preserve">SCHATT ROMAN                                      </t>
  </si>
  <si>
    <t xml:space="preserve">(714) 9714099   </t>
  </si>
  <si>
    <t xml:space="preserve">CUCAMONGA COUNTY WATER DISTRICT         </t>
  </si>
  <si>
    <t>D13681</t>
  </si>
  <si>
    <t>ICE, CATERPILLAR, DIESEL, EMERGENCY ELECTRICAL GENERATION, MODEL 3412, 890 HP, 12 CYL,  600 KW, TURBOCHARGED, AFTERCOOLED</t>
  </si>
  <si>
    <t xml:space="preserve">5815 ETIWANDA AVE                                                               </t>
  </si>
  <si>
    <t xml:space="preserve">PEREZ ROBERT                                      </t>
  </si>
  <si>
    <t xml:space="preserve">(714) 9872591   </t>
  </si>
  <si>
    <t>F26911</t>
  </si>
  <si>
    <t>ICE, CATERPILLAR, DIESEL, EMERGENCY ELECTRICAL GENERATION, MODEL 3412 DITTA, SN 81Z24178,  12 CYL,  890 BHP, TURBOCHARGED, AFTERCOOLED</t>
  </si>
  <si>
    <t xml:space="preserve">(909) 8990060   </t>
  </si>
  <si>
    <t>F26912</t>
  </si>
  <si>
    <t>ICE, CATERPILLAR, DIESEL, EMERGENCY ELECTRICAL GENERATION, MODEL 3412 DITTA, SN 81Z24181,  12 CYL,  890 BHP, TURBOCHARGED, AFTERCOOLED</t>
  </si>
  <si>
    <t xml:space="preserve">CULVER CITY                             </t>
  </si>
  <si>
    <t>D87886</t>
  </si>
  <si>
    <t>ICE, DETROIT DIESEL, MODEL 8123-7416 (12V-92TA), 12 CYL, DIESEL, EMR, TURBOCHARGED, AFTERCOOLED, 947 BHP</t>
  </si>
  <si>
    <t xml:space="preserve">4040 DUQUESNE                                                                   </t>
  </si>
  <si>
    <t xml:space="preserve">CULVER CITY              </t>
  </si>
  <si>
    <t xml:space="preserve">KEYES PAM                                         </t>
  </si>
  <si>
    <t xml:space="preserve">(310) 2536433   </t>
  </si>
  <si>
    <t>CULVER STUDIOS OFFICE BLDG, SONY PICTURE</t>
  </si>
  <si>
    <t>F14940</t>
  </si>
  <si>
    <t>ICE, GENERAC, MODEL S6R-PTA, SN TCOB-GN1, DIESEL, EMR, 6 CYL, TURBOCHARGED, AFTERCOOLED, 883 BHP</t>
  </si>
  <si>
    <t>Generac</t>
  </si>
  <si>
    <t>S6R-PTA</t>
  </si>
  <si>
    <t xml:space="preserve">9050 W WASHINGTON BLVD 3RD FLR RM 3421                                          </t>
  </si>
  <si>
    <t xml:space="preserve">FEILD ROSANNE                                     </t>
  </si>
  <si>
    <t xml:space="preserve">(310) 2804510   </t>
  </si>
  <si>
    <t>KTA38-G4</t>
  </si>
  <si>
    <t>CUSHMAN &amp; WAKEFIELD OF CAL/BRD OF REGENT</t>
  </si>
  <si>
    <t>F23840</t>
  </si>
  <si>
    <t>ICE, CATERPILLAR, MODEL 3406 DITA, SN 4ZR05959, DIESEL, EMR, 400 KW, 6 CYL, TURBOCHARGED, AFTERCOOLED</t>
  </si>
  <si>
    <t xml:space="preserve">200 S MANCHESTER AVE                                                            </t>
  </si>
  <si>
    <t xml:space="preserve">GUZMAN JOE                                        </t>
  </si>
  <si>
    <t xml:space="preserve">(714) 4562360   </t>
  </si>
  <si>
    <t>CUSHMAN &amp; WAKEFIELD, 777 TOWER ASSOCIATE</t>
  </si>
  <si>
    <t>F15950</t>
  </si>
  <si>
    <t>ICE, CATERPILLAR, MODEL 3508 TA, SN 6NA01395, DIESEL, EMR, 1486 BHP,  8 CYL, TURBOCHARGED, AFTERCOOLED</t>
  </si>
  <si>
    <t xml:space="preserve">777 S FIGUEROA ST 4050                                                          </t>
  </si>
  <si>
    <t xml:space="preserve">STEENSEN ROD                                      </t>
  </si>
  <si>
    <t xml:space="preserve">(213) 2363934   </t>
  </si>
  <si>
    <t xml:space="preserve">CUSHMAN &amp; WAKEFIELD, HOPE &amp; FLOWER ETAL </t>
  </si>
  <si>
    <t>D70047</t>
  </si>
  <si>
    <t>ICE, CATERPILLAR, MODEL D346, DIESEL, EMR, 570 BHP,  8 CYL, NATURALLY ASPIRATED</t>
  </si>
  <si>
    <t>D346</t>
  </si>
  <si>
    <t xml:space="preserve">700 S FLOWER ST                                                                 </t>
  </si>
  <si>
    <t xml:space="preserve">FITZPATRICK TOM                                   </t>
  </si>
  <si>
    <t xml:space="preserve">(213) 6242891   </t>
  </si>
  <si>
    <t xml:space="preserve">CVHS HOSPITAL CORPORATION               </t>
  </si>
  <si>
    <t xml:space="preserve">F3761 </t>
  </si>
  <si>
    <t>ICE, DETROIT DIESEL, MODEL 12V-92TA, 16 CYL, DIESEL, EMR, TURBOCHARGED, AFTERCOOLED, 1095 BHP</t>
  </si>
  <si>
    <t xml:space="preserve">555 E HARDY ST                                                                  </t>
  </si>
  <si>
    <t xml:space="preserve">KATZ BRUCE                                        </t>
  </si>
  <si>
    <t xml:space="preserve">(310) 6734660   </t>
  </si>
  <si>
    <t xml:space="preserve">F3765 </t>
  </si>
  <si>
    <t>ICE, GM, DIESEL, EMR, MODEL 7163-7005, 16 CYL, 550 BHP, SUPERCHARGED, INTERCOOLED</t>
  </si>
  <si>
    <t>General Motors</t>
  </si>
  <si>
    <t>7163-7005</t>
  </si>
  <si>
    <t xml:space="preserve">CWCP LIMITED PARTNERS                   </t>
  </si>
  <si>
    <t>F22914</t>
  </si>
  <si>
    <t xml:space="preserve">(213) 2277644   </t>
  </si>
  <si>
    <t>D82427</t>
  </si>
  <si>
    <t>ICE, CUMMINS, 16 CYL, TURBOCHARGED, AFTERCOOLED, MODEL  KTTA50-G2, SN K930525356, 2220 BHP, DIESEL, EMR</t>
  </si>
  <si>
    <t>F00711</t>
  </si>
  <si>
    <t>ICE, CATERPILLAR,MODEL 3516 DITA, TURBOCHARGED, AFTERCOOLED, 16 CYL, 2000 KW, EMR, DIESEL</t>
  </si>
  <si>
    <t>3516 DITA</t>
  </si>
  <si>
    <t xml:space="preserve">AMBULATORY CARE CENTER                  </t>
  </si>
  <si>
    <t>F34082</t>
  </si>
  <si>
    <t>ICE, DETROIT DIESEL,MODEL 8123-7400, DIESEL, EMR,16 CYL, 1095 BHP, TURBOCHARGED, AFTERCOOLED</t>
  </si>
  <si>
    <t>8123-7400</t>
  </si>
  <si>
    <t xml:space="preserve">25751 MC BEAN PKY                                                               </t>
  </si>
  <si>
    <t xml:space="preserve">VALENCIA                 </t>
  </si>
  <si>
    <t xml:space="preserve">GRUND JACK                                        </t>
  </si>
  <si>
    <t xml:space="preserve">(818) 5945800   </t>
  </si>
  <si>
    <t xml:space="preserve">AMERICAN BROADCASTING CO                </t>
  </si>
  <si>
    <t>M44624</t>
  </si>
  <si>
    <t>ENGINE NO. 3, ICE, CUMMINS, TURBOCHARGED, AFTERCOOLED, EMERGENCY ELECTRICAL GENERATION, DIESEL, MODEL VTA-1710-GS2, 12 CYL, 900 BHP</t>
  </si>
  <si>
    <t>VTA1710-GS2</t>
  </si>
  <si>
    <t xml:space="preserve">4151 PROSPECT AVE                                                               </t>
  </si>
  <si>
    <t xml:space="preserve">ROUTT G.                                          </t>
  </si>
  <si>
    <t xml:space="preserve">(213) 5574370   </t>
  </si>
  <si>
    <t>M44651</t>
  </si>
  <si>
    <t>ENGINE NO. 2, ICE, CUMMINS, TURBOCHARGED, AFTERCOOLED, EMERGENCY ELECTRICAL GENERATION, DIESEL, MODEL VTA-1710-GS1, 12 CYL, 760 BHP</t>
  </si>
  <si>
    <t>VTA1710-GS1</t>
  </si>
  <si>
    <t>D23738</t>
  </si>
  <si>
    <t>ICE, CUMMINS, DIESEL, EMERGENCY ELECTRICAL GENERATION, MODEL VTA-1710-GS2, TURBOCHARGED, AFTERCOOLED, 12 CYL, 882 BHP</t>
  </si>
  <si>
    <t xml:space="preserve">AMERICAN CABLEVISION/MEDIAONE DBA       </t>
  </si>
  <si>
    <t>F12959</t>
  </si>
  <si>
    <t>ICE, CATERPILLAR, 6 CYL, TURBOCHARGED, AFTERCOOLED, MODEL 3406 DITA, 350 KW, SN 4ZR03510, DIESEL, EMR</t>
  </si>
  <si>
    <t>3406 DITA</t>
  </si>
  <si>
    <t xml:space="preserve">1970 E GRAND AVE                                                                </t>
  </si>
  <si>
    <t xml:space="preserve">EL SEGUNDO               </t>
  </si>
  <si>
    <t xml:space="preserve">FELDSTEIN BARRY                                   </t>
  </si>
  <si>
    <t xml:space="preserve">(310) 2163606   </t>
  </si>
  <si>
    <t xml:space="preserve">AMERICAN HONDA MOTOR CO INC             </t>
  </si>
  <si>
    <t>M59153</t>
  </si>
  <si>
    <t>ICE, MITSUBISHI, DIESEL, EMERGENCY ELECTRICAL GENERATION, MODEL S12N-PTA-2, SN 20535, 12 CYL, 1450 BHP, TURBOCHARGED, AFTERCOOLED</t>
  </si>
  <si>
    <t>Mitsubishi</t>
  </si>
  <si>
    <t>S12N-PTA2</t>
  </si>
  <si>
    <t xml:space="preserve">700 VAN NESS AVE                                                                </t>
  </si>
  <si>
    <t xml:space="preserve">TORRANCE                 </t>
  </si>
  <si>
    <t>90501-1490</t>
  </si>
  <si>
    <t xml:space="preserve">HARMON CHARLES                                    </t>
  </si>
  <si>
    <t xml:space="preserve">(310) 7814011   </t>
  </si>
  <si>
    <t>D36531</t>
  </si>
  <si>
    <t>ICE, CATERPILLAR, DIESEL, MODEL 3406, 6 CYL, 518 BHP, EMR, TURBOCHARGED, AFTERCOOLED</t>
  </si>
  <si>
    <t>D28728</t>
  </si>
  <si>
    <t>ICE, CATERPILLAR, DIESEL, MODEL 3512, 16 CYL, 2149 BHP, TURBOCHARGED, AFTERCOOLED, EMERGENCY ELECTRICAL GENERATION</t>
  </si>
  <si>
    <t xml:space="preserve">AMERICAN PROCUREMENT &amp; LOGISTICS CO.    </t>
  </si>
  <si>
    <t>F11536</t>
  </si>
  <si>
    <t>ICE, CUMMINS, 16 CYL, TURBOCHARGED, AFTERCOOLED, MODEL KTA50-G3, SN B970631820, 1850 BHP, DIESEL, EMR</t>
  </si>
  <si>
    <t>KTA50-G3</t>
  </si>
  <si>
    <t xml:space="preserve">777 S HARBOR BLVD                                                               </t>
  </si>
  <si>
    <t xml:space="preserve">LA HABRA                 </t>
  </si>
  <si>
    <t xml:space="preserve">HUNTER TOM                                        </t>
  </si>
  <si>
    <t xml:space="preserve">(714) 5269608   </t>
  </si>
  <si>
    <t>AMERICAN SAVINGS BANK DBA WASHINGTON MUT</t>
  </si>
  <si>
    <t>D25556</t>
  </si>
  <si>
    <t xml:space="preserve">ICE, CATERPILLAR, DIESEL, EMR, MODEL 3512TA, TURBOCHARGED, AFTERCOOLED, 12 CYL, 1125 BHP, </t>
  </si>
  <si>
    <t>3512 TA</t>
  </si>
  <si>
    <t xml:space="preserve">4150 N PALM ST                                                                  </t>
  </si>
  <si>
    <t xml:space="preserve">(310) 5355040   </t>
  </si>
  <si>
    <t>F14710</t>
  </si>
  <si>
    <t>ICE, CATERPILLAR, DIESEL, EMR, MODEL 3412 DISTA, 12 CYL,  750 KW, TURBOCHARGED, AFTERCOOLED</t>
  </si>
  <si>
    <t xml:space="preserve">DIRECTV, CALIFORNIA BROADCAST CENTER    </t>
  </si>
  <si>
    <t>F13048</t>
  </si>
  <si>
    <t>ICE, CUMMINS, DIESEL, EMR, MODEL KTA38-G4, 12 CYL, 1490 BHP, TURBOCHARGED, AFTERCOOLED</t>
  </si>
  <si>
    <t xml:space="preserve">3800 VIA ORO AVE                                                                </t>
  </si>
  <si>
    <t xml:space="preserve">LONG BEACH               </t>
  </si>
  <si>
    <t xml:space="preserve">BRUGH STAN                                        </t>
  </si>
  <si>
    <t xml:space="preserve">(310) 2332343   </t>
  </si>
  <si>
    <t>F13049</t>
  </si>
  <si>
    <t>8163-7416</t>
  </si>
  <si>
    <t xml:space="preserve">DOLE FOOD COMPANY INC                   </t>
  </si>
  <si>
    <t>F20545</t>
  </si>
  <si>
    <t>ICE, CATERPILLAR, DIESEL, EMR, MODEL 3412 DITTA, 12 CYL,  500 KW, TURBOCHARGED, AFTERCOOLED</t>
  </si>
  <si>
    <t xml:space="preserve">ONE DOLE DR                                                                     </t>
  </si>
  <si>
    <t xml:space="preserve">WESTLAKE VILLAGE         </t>
  </si>
  <si>
    <t xml:space="preserve">EGERT BOB                                         </t>
  </si>
  <si>
    <t xml:space="preserve">(818) 8796720   </t>
  </si>
  <si>
    <t xml:space="preserve">DOMINO'S PIZZA DIST.                    </t>
  </si>
  <si>
    <t>F23541</t>
  </si>
  <si>
    <t>ICE, CUMMINS, DIESEL, EMR, MODEL KTA19-G4, SN 377189068, 755 BHP, 6 CYL, TURBOCHARGED, AFTERCOOLED</t>
  </si>
  <si>
    <t xml:space="preserve">301 S ROCKEFELLER AVE                                                           </t>
  </si>
  <si>
    <t xml:space="preserve">MAYNARD GEORGE                                    </t>
  </si>
  <si>
    <t xml:space="preserve">(90 ) 3901990   </t>
  </si>
  <si>
    <t xml:space="preserve">DOUBLETREE GUEST SUITES/ DT MGMT, INC.  </t>
  </si>
  <si>
    <t>F10499</t>
  </si>
  <si>
    <t>ICE, CATERPILLAR, DIESEL, EMR, MODEL 3412, SN 38511529, 12 CYL, 665 BHP, TURBOCHARGED, AFTERCOOLED</t>
  </si>
  <si>
    <t xml:space="preserve">100 THE CITY DR                                                                 </t>
  </si>
  <si>
    <t xml:space="preserve">WATERHOUSE TIM                                    </t>
  </si>
  <si>
    <t xml:space="preserve">(714) 6344500   </t>
  </si>
  <si>
    <t>DOUGLAS EMMETT REALTY ADVISORS EXEC TOWE</t>
  </si>
  <si>
    <t>F10811</t>
  </si>
  <si>
    <t>ICE, CATERPILLAR, DIESEL, EMR, MODEL 3412TA, 890 BHP, TURBOCHARGED, AFTERCOOLED</t>
  </si>
  <si>
    <t xml:space="preserve">11400 W OLYMPIC BLVD                                                            </t>
  </si>
  <si>
    <t xml:space="preserve">BOOTH CAREY                                       </t>
  </si>
  <si>
    <t xml:space="preserve">(310) 4440051   </t>
  </si>
  <si>
    <t xml:space="preserve">DOUGLAS EMMETT REALTY FUND DBA WESTSIDE </t>
  </si>
  <si>
    <t>F18542</t>
  </si>
  <si>
    <t>ICE, CATERPILLAR, DIESEL, EMR, MODEL 3412, 8 CYL, 750 BHP, TURBOCHARGED, AFTERCOOLED</t>
  </si>
  <si>
    <t xml:space="preserve">11845 OLYMPIC BLVD #1260                                                        </t>
  </si>
  <si>
    <t xml:space="preserve">ALLEN MICHAEL C.                                  </t>
  </si>
  <si>
    <t xml:space="preserve">(310) 3128630   </t>
  </si>
  <si>
    <t xml:space="preserve">DOUGLAS PRODUCTS DIVISION               </t>
  </si>
  <si>
    <t>D73789</t>
  </si>
  <si>
    <t>ICE, CUMMINS, DIESEL, EMR, MODEL KTA-1150-G1, 6 CYL, 560 BHP, TURBOCHARGED, AFTERCOOLED</t>
  </si>
  <si>
    <t>KTA1150-G1</t>
  </si>
  <si>
    <t xml:space="preserve">3855 LAKEWOOD &amp; 2401 WARDLOW R                                                  </t>
  </si>
  <si>
    <t>90846-0001</t>
  </si>
  <si>
    <t xml:space="preserve">TRUONG NEAL                                       </t>
  </si>
  <si>
    <t xml:space="preserve">(562) 5934007   </t>
  </si>
  <si>
    <t>D91017</t>
  </si>
  <si>
    <t>ICE, CATERPILLAR, MODEL 3412TA, DIESEL, EMERGENCY ELECTRICAL GENERATION, 12 CYL, SN 81Z04978, 745 BHP, TURBOCHARGED, AFTERCOOLED</t>
  </si>
  <si>
    <t>315809</t>
  </si>
  <si>
    <t>D99122</t>
  </si>
  <si>
    <t>ICE, CUMMINS, DIESEL, EMERGENCY ELECTRICAL GENERATION, MODEL KTA38-G1, 1135 BHP</t>
  </si>
  <si>
    <t>F35174</t>
  </si>
  <si>
    <t>ICE, CUMMINS, DIESEL, EMERGENCY ELECTRICAL GENERATION, MODEL N14G2, 535 BHP</t>
  </si>
  <si>
    <t xml:space="preserve">DOUGLAS, EMMETT &amp; CO                    </t>
  </si>
  <si>
    <t>F23639</t>
  </si>
  <si>
    <t>ICE, CATERPILLAR, MODEL 3412 DITTA, 600 KW, 12 CYL, DIESEL, EMR, TURBOCHARGED, AFTERCOOLED</t>
  </si>
  <si>
    <t xml:space="preserve">15301 VENTURA BLVD                                                              </t>
  </si>
  <si>
    <t xml:space="preserve">SHERMAN OAKS             </t>
  </si>
  <si>
    <t xml:space="preserve">RIALL TIMOTHY                                     </t>
  </si>
  <si>
    <t xml:space="preserve">(818) 3824197   </t>
  </si>
  <si>
    <t xml:space="preserve">DOUGLAS, EMMETT REALTY FUND - 1995 FFS  </t>
  </si>
  <si>
    <t xml:space="preserve">F3327 </t>
  </si>
  <si>
    <t>ICE, CATERPILLAR, MODEL 3412, SN 3856503,  550 bhp, 12 CYL, DIESEL, EMR, TURBOCHARGED, AFTERCOOLED</t>
  </si>
  <si>
    <t xml:space="preserve">401 WILSHIRE BLVD                                                               </t>
  </si>
  <si>
    <t xml:space="preserve">SCHUTTE ED                                        </t>
  </si>
  <si>
    <t xml:space="preserve">(310) 3938495   </t>
  </si>
  <si>
    <t xml:space="preserve">DOW CHEM U.S.A. UNIT NO. 1              </t>
  </si>
  <si>
    <t>D35971</t>
  </si>
  <si>
    <t>ICE, DETROIT DIESEL, MODEL 16V71, 16 CYL,  542 BHP, DIESEL, EMR, TURBOCHARGED, AFTERCOOLED</t>
  </si>
  <si>
    <t>16V-71</t>
  </si>
  <si>
    <t xml:space="preserve">305 CRENSHAW BLVD                                                               </t>
  </si>
  <si>
    <t xml:space="preserve">SANTOS MANNY                                      </t>
  </si>
  <si>
    <t xml:space="preserve">ICE, CATERPILLAR, DIESEL, EMR, MODEL 3412 DITA, TURBOCHARGED, AFTERCOOLED, 12 CYL, 600 KW </t>
  </si>
  <si>
    <t xml:space="preserve">2000 GENE AUTRY WAY                                                             </t>
  </si>
  <si>
    <t xml:space="preserve">UNLICH KEVIN                                      </t>
  </si>
  <si>
    <t xml:space="preserve">(714) 9402009   </t>
  </si>
  <si>
    <t xml:space="preserve">ANAHEIM CITY PUBLIC UTILITIES DEPT      </t>
  </si>
  <si>
    <t>F23540</t>
  </si>
  <si>
    <t>ICE, CUMMINS, EMERGENCY ELECTRICAL GENERATION, MODEL KTA50-G9, SN 33144019,  DIESEL, 16 CYL, TURBOCHARGED, AFTERCOOLED, 1500 KW</t>
  </si>
  <si>
    <t xml:space="preserve">1411 N TUSTIN AVE                                                               </t>
  </si>
  <si>
    <t xml:space="preserve">PEPITO FRANK                                      </t>
  </si>
  <si>
    <t xml:space="preserve">(714) 7656826   </t>
  </si>
  <si>
    <t xml:space="preserve">ANAHEIM CITY, PUBLIC UTILITIES DEPT     </t>
  </si>
  <si>
    <t>D49300</t>
  </si>
  <si>
    <t>ICE, CATERPILLAR, DIESEL, EMERGENCY ELECTRICAL GENERATION, MODEL 3412 TA, TURBOCHARGED, AFTERCOOLED, 12 CYL, 675 BHP WITH A HOUSTON INDUSTRIAL SILENCING NON-SELECTIVE CATALYTIC REDUCTION SYSTEM MODEL DN/S-2/67010H.</t>
  </si>
  <si>
    <t xml:space="preserve">6751 WALNUT CANYON RD                                                           </t>
  </si>
  <si>
    <t xml:space="preserve">LIEN SHARON                                       </t>
  </si>
  <si>
    <t xml:space="preserve">(714) 2544279   </t>
  </si>
  <si>
    <t>ANAHEIM HOTEL PARTNERSHIP,ANAHEIM HILTON</t>
  </si>
  <si>
    <t>D08047</t>
  </si>
  <si>
    <t>ICE, NO. 1, CUMMINS, EMERGENCY ELECTRICAL GENERATION, MODEL KTA 3067-GS, SN 33105977, DIESEL, 16 CYL, TURBOCHARGED, AFTERCOOLED, 1490 BHP</t>
  </si>
  <si>
    <t>KTA3067-GS</t>
  </si>
  <si>
    <t xml:space="preserve">777 CONVENTION WAY                                                              </t>
  </si>
  <si>
    <t xml:space="preserve">KRUBL LEIGH                                       </t>
  </si>
  <si>
    <t xml:space="preserve">(714) 7404374   </t>
  </si>
  <si>
    <t>D07538</t>
  </si>
  <si>
    <t>ICE, NO. 2, CUMMINS, EMERGENCY ELECTRICAL GENERATION, MODEL KTA 3067-GS, SN 33105978, DIESEL, 16 CYL, TURBOCHARGED, AFTERCOOLED, 1490 BHP</t>
  </si>
  <si>
    <t xml:space="preserve">ANAHEIM MARRIOTT HOTEL                  </t>
  </si>
  <si>
    <t>D70318</t>
  </si>
  <si>
    <t xml:space="preserve">ICE, DETROIT DIESEL, MODEL 12V-71T, DIESEL, EMR, TURBOCHARGED, AFTERCOOLED, 12 CYL, 630 BHP </t>
  </si>
  <si>
    <t>12V-71T</t>
  </si>
  <si>
    <t xml:space="preserve">700 W CONVENTION WAY                                                            </t>
  </si>
  <si>
    <t>92802-3483</t>
  </si>
  <si>
    <t xml:space="preserve">WITT BARRY                                        </t>
  </si>
  <si>
    <t xml:space="preserve">(714) 7508000   </t>
  </si>
  <si>
    <t xml:space="preserve">ANAHEIM MEMORIAL HOSPITAL               </t>
  </si>
  <si>
    <t>D34807</t>
  </si>
  <si>
    <t xml:space="preserve">ICE, DETROIT DIESEL, MODEL 12V-92TAB, DIESEL, EMR, TURBOCHARGED, AFTERCOOLED, 12 CYL, 830 BHP </t>
  </si>
  <si>
    <t>12V-92TAB</t>
  </si>
  <si>
    <t xml:space="preserve">1111 W LA PALMA AVE                                                             </t>
  </si>
  <si>
    <t xml:space="preserve">RUBINO CHRIS                                      </t>
  </si>
  <si>
    <t xml:space="preserve">(714) 9996145   </t>
  </si>
  <si>
    <t>D34809</t>
  </si>
  <si>
    <t xml:space="preserve">ICE, DETROIT DIESEL, MODEL 7125-7305, DIESEL, EMR, TURBOCHARGED, AFTERCOOLED, 12 CYL, 630 BHP </t>
  </si>
  <si>
    <t>7125-7305</t>
  </si>
  <si>
    <t>03870A</t>
  </si>
  <si>
    <t>S02642</t>
  </si>
  <si>
    <t>ICE, DETROIT DIESEL, MODEL 7123-7300, SN 2149, FUEL-OIL SUPPLIED,  300 KW</t>
  </si>
  <si>
    <t>7123-7300</t>
  </si>
  <si>
    <t xml:space="preserve">RUBINO CHRIS                                         </t>
  </si>
  <si>
    <t xml:space="preserve">(714) 9996144   </t>
  </si>
  <si>
    <t xml:space="preserve">APOLLO WOOD RECOVERY, INC.              </t>
  </si>
  <si>
    <t>F32056</t>
  </si>
  <si>
    <t>ICE, CATERPILLAR, DIESEL, MODEL 3412ETTA, SN 4CR01168,  TURBOCHARGED, AFTERCOOLED, 12 CYL, 750 BHP, OPERATING A WOOD GRINDER</t>
  </si>
  <si>
    <t>3412 ETTA</t>
  </si>
  <si>
    <t xml:space="preserve">8640 CHERRY AVE                                                                 </t>
  </si>
  <si>
    <t xml:space="preserve">FONTANA                  </t>
  </si>
  <si>
    <t xml:space="preserve">HEANEY PATRICK                                    </t>
  </si>
  <si>
    <t xml:space="preserve">(909) 3562735   </t>
  </si>
  <si>
    <t xml:space="preserve">ARARAT HOME OF LOS ANGELES INC          </t>
  </si>
  <si>
    <t>D48620</t>
  </si>
  <si>
    <t>ICE, CATERPILLAR, DIESEL, EMR, MODEL 3412 DITA, TURBOCHARGED, AFTERCOOLED, 12 CYL, 672 BHP</t>
  </si>
  <si>
    <t xml:space="preserve">15105 MISSION HILLS RD                                                          </t>
  </si>
  <si>
    <t xml:space="preserve">MISSION HILLS            </t>
  </si>
  <si>
    <t xml:space="preserve">TAYLOR ROBERT                                     </t>
  </si>
  <si>
    <t xml:space="preserve">(818) 3653000   </t>
  </si>
  <si>
    <t xml:space="preserve">ARCADIA CITY, WATER DIVISION            </t>
  </si>
  <si>
    <t>D78082</t>
  </si>
  <si>
    <t xml:space="preserve">ICE, DETROIT DIESEL, MODEL 8083-7416, DIESEL, EMR, TURBOCHARGED, AFTERCOOLED, 8 CYL, TWO-CYCLE, 611 BHP </t>
  </si>
  <si>
    <t>8083-7416</t>
  </si>
  <si>
    <t xml:space="preserve">67 W ORANGE GROVE AVE                                                           </t>
  </si>
  <si>
    <t xml:space="preserve">ARCADIA                  </t>
  </si>
  <si>
    <t xml:space="preserve">HOLCOMB HOWARD B.                                 </t>
  </si>
  <si>
    <t xml:space="preserve">(818) 3035583   </t>
  </si>
  <si>
    <t xml:space="preserve">ARDEN REALTY FINANCE PARTNERSHIP, L.P.  </t>
  </si>
  <si>
    <t>F10309</t>
  </si>
  <si>
    <t>ICE, CATERPILLAR, DIESEL, EMR, MODEL 3412 TA, SN 81203793,  TURBOCHARGED, AFTERCOOLED, 12 CYL, 675 BHP</t>
  </si>
  <si>
    <t xml:space="preserve">6100 WILSHIRE BLVD                                                              </t>
  </si>
  <si>
    <t xml:space="preserve">KAMMINGA CHRIS                                    </t>
  </si>
  <si>
    <t xml:space="preserve">(213) 9336100   </t>
  </si>
  <si>
    <t>ICE, CUMMINS, DIESEL, EMERGENCY ELECTRICAL GENERATION, MODEL KTA50-G3, SN 33126987, 16 CYL, 1850 BHP, TURBOCHARGED, AFTERCOOLED</t>
  </si>
  <si>
    <t xml:space="preserve">MCGIVNEY DANIEL                                   </t>
  </si>
  <si>
    <t>F19874</t>
  </si>
  <si>
    <t>ICE, CATERPILLAR, MODEL 3412DITTA, SN 81Z10106,  600 KW,  12 CYL, DIESEL,  EMERGENCY ELECTRICAL GENERATION, TURBOCHARGED, AFTERCOOLED</t>
  </si>
  <si>
    <t xml:space="preserve">29170 FRONT ST                                                                  </t>
  </si>
  <si>
    <t xml:space="preserve">TEMECULA                 </t>
  </si>
  <si>
    <t xml:space="preserve">EASTERN MUNICIPAL WATER DISTRICT        </t>
  </si>
  <si>
    <t>M62229</t>
  </si>
  <si>
    <t>ICE, DETROIT DIESEL, MODEL 8163-7405 16V92-TAB, DIESEL,1095 HP,  EMERGENCY ELECTRICAL GENERATION, 750 KW</t>
  </si>
  <si>
    <t xml:space="preserve">29285 VALLEY BLVD                                                               </t>
  </si>
  <si>
    <t xml:space="preserve">SUN CITY                 </t>
  </si>
  <si>
    <t>D61197</t>
  </si>
  <si>
    <t>ICE, CUMMINS, DIESEL, EMR, MODEL VTA28-GR, SN 25169579, 12 CYL, 600 KW, TURBOCHARGED, AFTERCOOLED</t>
  </si>
  <si>
    <t>VTA28-GR</t>
  </si>
  <si>
    <t xml:space="preserve">41780 DIAZ RD                                                                   </t>
  </si>
  <si>
    <t xml:space="preserve">DAWSON DAVE                                       </t>
  </si>
  <si>
    <t xml:space="preserve">(714) 9257676   </t>
  </si>
  <si>
    <t>D48761</t>
  </si>
  <si>
    <t>ICE, CATERPILLAR, DIESEL, EMERGENCY ELECTRICAL GENERATION, MODEL 3508, SN 23704696, TURBOCHARGED, AFTERCOOLED, 8 CYL, 1337 BHP</t>
  </si>
  <si>
    <t xml:space="preserve">2270 TRUMBLE RD                                                                 </t>
  </si>
  <si>
    <t xml:space="preserve">PERRIS                   </t>
  </si>
  <si>
    <t xml:space="preserve">KAITUKOFF KEVIN                                   </t>
  </si>
  <si>
    <t xml:space="preserve">MORENO VALLEY            </t>
  </si>
  <si>
    <t>F21409</t>
  </si>
  <si>
    <t>ICE, CATERPILLAR, MODEL G399-TA-HCR, NAT. GAS WITH LPG BACKUP, 8 CYL,  930 BHP</t>
  </si>
  <si>
    <t>Natural Gas / LPG</t>
  </si>
  <si>
    <t>G399</t>
  </si>
  <si>
    <t xml:space="preserve">42565 AVENIDA ALVARADO                                                          </t>
  </si>
  <si>
    <t>F20625</t>
  </si>
  <si>
    <t>ICE, CATERPILLAR, DIESEL, EMERGENCY ELECTRICAL GENERATION, MODEL 3508 DITA, SN 23Z04969, TURBOCHARGED, AFTERCOOLED, 8 CYL, 800 KW,</t>
  </si>
  <si>
    <t>3508 DITA</t>
  </si>
  <si>
    <t xml:space="preserve">21865 HARVILL AVE                                                               </t>
  </si>
  <si>
    <t xml:space="preserve">MORYCZ DAVE                                       </t>
  </si>
  <si>
    <t>F26995</t>
  </si>
  <si>
    <t>ICE, CATERPILLAR, DIESEL, EMERGENCY ELECTRICAL GENERATION, MODEL 3412 DITTA, 600 KW, TURBOCHARGED, AFTERCOOLED, 12 CYL</t>
  </si>
  <si>
    <t xml:space="preserve">198 N SANDERSON AVE SANDERSON LIFT STATION                                      </t>
  </si>
  <si>
    <t xml:space="preserve">EASTLAND TOWER PARTNERSHIP              </t>
  </si>
  <si>
    <t>D13895</t>
  </si>
  <si>
    <t>ICE, CUMMINS, DIESEL, EMR, MODEL VTA 28 G5, SN 37114444, 12 CYL, 900 BHP, TURBOCHARGED, AFTERCOOLED</t>
  </si>
  <si>
    <t xml:space="preserve">100 N BARRANCA                                                                  </t>
  </si>
  <si>
    <t xml:space="preserve">ESCOBAR HERMES D.                                 </t>
  </si>
  <si>
    <t xml:space="preserve">(818) 9677374   </t>
  </si>
  <si>
    <t xml:space="preserve">EISENHOWER MEDICAL CENTER               </t>
  </si>
  <si>
    <t>M53326</t>
  </si>
  <si>
    <t>ICE, CATERPILLAR, DIESEL, EMERGENCY ELECTRICAL GENERATION, MODEL 3512, 1250 KW, TURBOCHARGED, AFTERCOOLED</t>
  </si>
  <si>
    <t xml:space="preserve">39000 BOB HOPE DR                                                               </t>
  </si>
  <si>
    <t xml:space="preserve">RANCHO MIRAGE            </t>
  </si>
  <si>
    <t>TOURKAMAN ALI A</t>
  </si>
  <si>
    <t>(760) 7731273</t>
  </si>
  <si>
    <t>D69659</t>
  </si>
  <si>
    <t>ICE, CATERPILLAR, DIESEL, EMERGENCY ELECTRICAL GENERATION, MODEL 3512, SN 24201929, 12 CYL,1786 BHP, TURBOCHARGED, AFTERCOOLED</t>
  </si>
  <si>
    <t>92270-3202</t>
  </si>
  <si>
    <t>D69660</t>
  </si>
  <si>
    <t>ICE, CATERPILLAR, DIESEL, EMERGENCY ELECTRICAL GENERATION, MODEL 3512, SN 24201344, 12 CYL,1786 BHP, TURBOCHARGED, AFTERCOOLED</t>
  </si>
  <si>
    <t>F22835</t>
  </si>
  <si>
    <t>ICE, CATERPILLAR, DIESEL, EMERGENCY ELECTRICAL GENERATION, MODEL 3516 DITA, SN 6HN00384, 16 CYL,2000 KW, TURBOCHARGED, AFTERCOOLED</t>
  </si>
  <si>
    <t>F23798</t>
  </si>
  <si>
    <t>C41508</t>
  </si>
  <si>
    <t>M26833</t>
  </si>
  <si>
    <t>ICE, NO. 1, WAUKESHA, DIESEL, EMERGENCY ELECTRICAL GENERATION, MODEL L-5790-D, 1280 BHP, 950 KW</t>
  </si>
  <si>
    <t>C41510</t>
  </si>
  <si>
    <t>M29523</t>
  </si>
  <si>
    <t xml:space="preserve">CONNORS RAY                                       </t>
  </si>
  <si>
    <t xml:space="preserve">(562) 9240000   </t>
  </si>
  <si>
    <t xml:space="preserve">AT &amp; T WIRELESS SERVICES                </t>
  </si>
  <si>
    <t>F23773</t>
  </si>
  <si>
    <t>ICE, CUMMINS, 12 CYL, TURBOCHARGED, AFTERCOOLED, MODEL QST30-G1, DIESEL, EMR, 750 KW</t>
  </si>
  <si>
    <t>QST30-G1</t>
  </si>
  <si>
    <t xml:space="preserve">6045 E SLAUSON                                                                  </t>
  </si>
  <si>
    <t xml:space="preserve">COMMERCE                 </t>
  </si>
  <si>
    <t xml:space="preserve">ROSE JIM                                          </t>
  </si>
  <si>
    <t xml:space="preserve">(949) 2536024   </t>
  </si>
  <si>
    <t xml:space="preserve">AT&amp;T COMM  (EL MONTE)                   </t>
  </si>
  <si>
    <t>D99784</t>
  </si>
  <si>
    <t>ICE, CATERPILLAR, DIESEL, EMR, MODEL 3512 DITA, SN 24Z06975,  TURBOCHARGED, AFTERCOOLED, 12 CYL, 1250 KW</t>
  </si>
  <si>
    <t xml:space="preserve">3640 EL MONTE AVE                                                               </t>
  </si>
  <si>
    <t xml:space="preserve">EL MONTE                 </t>
  </si>
  <si>
    <t xml:space="preserve">MORRIS J M                                        </t>
  </si>
  <si>
    <t xml:space="preserve">(213) 0000000   </t>
  </si>
  <si>
    <t xml:space="preserve">AT&amp;T COMM (MISSION VIEJO)               </t>
  </si>
  <si>
    <t>F32382</t>
  </si>
  <si>
    <t>ICE, CATERPILLAR, DIESEL, EMR, MODEL 3412 DITA, SN 8RM00536,  TURBOCHARGED, AFTERCOOLED, 12 CYL, 1250 KW</t>
  </si>
  <si>
    <t xml:space="preserve">28302 MARGUERITE PKY                                                            </t>
  </si>
  <si>
    <t xml:space="preserve">MISSION VIEJO            </t>
  </si>
  <si>
    <t>92692-3706</t>
  </si>
  <si>
    <t xml:space="preserve">MOORE ADRIEN                                      </t>
  </si>
  <si>
    <t xml:space="preserve">(714) 5208750   </t>
  </si>
  <si>
    <t>F32854</t>
  </si>
  <si>
    <t>DOCTORS MEDICAL CENTER</t>
  </si>
  <si>
    <t>N-2333-6-0</t>
  </si>
  <si>
    <t>ONE (1) 1515 HP "DETROIT DIESEL" MODEL #9123-7306 TURBOCHARGED AND AFTERCOOLED DIESEL FIRED EMERGENCY IC ENGINE POWERING A 1,100 KW ELECTRICAL GENERATOR</t>
  </si>
  <si>
    <t>1441 FLORIDA AVENUE</t>
  </si>
  <si>
    <t>95350</t>
  </si>
  <si>
    <t>(209) 576-3691</t>
  </si>
  <si>
    <t>N-2333-7-0</t>
  </si>
  <si>
    <t>N-2333-8-0</t>
  </si>
  <si>
    <t>EDUCATIONAL EMPL FEDERAL C U</t>
  </si>
  <si>
    <t>C-3511-1-0</t>
  </si>
  <si>
    <t>1465 BHP CATERPILLAR MODEL 3508B DIESEL-FIRED EMERGENCY IC ENGINE POWERING A 1000 KW ELECTRICAL GENERATOR.</t>
  </si>
  <si>
    <t>2222 WEST SHAW AVENUE</t>
  </si>
  <si>
    <t>93711</t>
  </si>
  <si>
    <t>(559) 431-5839</t>
  </si>
  <si>
    <t>EDUCATIONAL EMPLOYEES C.U.</t>
  </si>
  <si>
    <t>C-3527-1-0</t>
  </si>
  <si>
    <t>449 HP CATERPILLAR MODEL 3406 DIESEL-FIRED EMERGENCY INTERNAL COMBUSTION ENGINE POWERING A 300 KW ELECTRICAL GENERATOR.</t>
  </si>
  <si>
    <t>3488 W SHAW AVENUE</t>
  </si>
  <si>
    <t>EMANUEL MEDICAL CENTER</t>
  </si>
  <si>
    <t>N-3120-1-0</t>
  </si>
  <si>
    <t>1093 BHP CATERPILLAR MODEL NO. 3508TA EMERGENCY DIESEL-FIRED IC ENGINE POWERING A 750 KW EMERGENCY ELECTRICAL GENERATOR SET.</t>
  </si>
  <si>
    <t>825 DELBON AVENUE</t>
  </si>
  <si>
    <t>95382</t>
  </si>
  <si>
    <t>(916) 558-1900</t>
  </si>
  <si>
    <t>N-3120-2-0</t>
  </si>
  <si>
    <t>1093 BHP CATERPILLAR MODEL NO. 3508TA EMERGENCY DIESEL-FIRED IC ENGINE POWERING AN 750 KW EMERGENCY ELECTRICAL GENERATOR SET.</t>
  </si>
  <si>
    <t>EQUILON PIPELINE COMPANY LLC</t>
  </si>
  <si>
    <t>C-1234-10-1</t>
  </si>
  <si>
    <t>465 BHP CUMMINS MODEL NTTA-855G DIESEL ENGINE FOR EMERGENCY ELECTRICAL POWER</t>
  </si>
  <si>
    <t>NTTA-855G</t>
  </si>
  <si>
    <t>NW SEC. 17,  T20S,  R15E</t>
  </si>
  <si>
    <t>(209) 327-0110</t>
  </si>
  <si>
    <t>FEDERAL PRISON @ TAFT</t>
  </si>
  <si>
    <t>S-2718-3-0</t>
  </si>
  <si>
    <t>1109 HP CATERPILLER MODEL 3412 EMERGENCY DIESEL FIRED I.C. ENGINE DRIVING ELECTRICAL GENERATOR EQUIPPED WITH TURBOCHARGER, INTERCOOLER/AFTERCOOLER, AND POSITIVE CRANKCASE VENTILATION (PCV)</t>
  </si>
  <si>
    <t>1500 CADET ROAD</t>
  </si>
  <si>
    <t xml:space="preserve"> TAFT</t>
  </si>
  <si>
    <t>93268</t>
  </si>
  <si>
    <t>(661) 763-2510</t>
  </si>
  <si>
    <t>FRESNO COGENERATION PARTNERS</t>
  </si>
  <si>
    <t>C-14-5-2</t>
  </si>
  <si>
    <t>534 HP CATERPILLAR DIESEL I.C. ENGINE MODEL 3406B POWERING AN EMERGENCY ELECTRICAL GENERATOR..</t>
  </si>
  <si>
    <t>8105 S LASSEN AVE</t>
  </si>
  <si>
    <t xml:space="preserve"> SAN JOAQUIN</t>
  </si>
  <si>
    <t>93660</t>
  </si>
  <si>
    <t>(209) 693-2494</t>
  </si>
  <si>
    <t>FRESNO COMMUNITY HOSPITAL</t>
  </si>
  <si>
    <t>C-540-4-0</t>
  </si>
  <si>
    <t>2,520.0 HP CATERPILLAR MODEL 3516 DIESEL IC ENGINE WITH TURBOCHARGER AND AFTERCOOLER, S/N 25Z00973, POWERING A 1750 KW EMERGENCY ELECTRICAL GENERATOR.</t>
  </si>
  <si>
    <t>2823 FRESNO ST</t>
  </si>
  <si>
    <t>93721</t>
  </si>
  <si>
    <t>(209) 442-3975</t>
  </si>
  <si>
    <t>C-540-3-0</t>
  </si>
  <si>
    <t>2,307.0 HP CATERPILLAR MODEL 3516 DIESEL IC ENGINE WITH TURBOCHARGER AND AFTERCOOLER, S/N 25Z02178, POWERING A 1730 KW EMERGENCY ELECTRICAL GENERATOR.</t>
  </si>
  <si>
    <t>FRESNO COUNTY BUILD MAINT DIV</t>
  </si>
  <si>
    <t>C-1623-1-0</t>
  </si>
  <si>
    <t>ONE 1005.5 HP CATERPILLAR MODEL 3508Di DIESEL-FIRED INTERNAL COMBUSTION ENGINE DRIVING A 750 KW EMERGENCY ELECTRICAL GENERATOR(BLDG 509).</t>
  </si>
  <si>
    <t>1020 S. TENTH</t>
  </si>
  <si>
    <t>(209) 488-3242</t>
  </si>
  <si>
    <t>C-1624-2-0</t>
  </si>
  <si>
    <t>450 HP DIESEL-FIRED CATERPILLAR MODEL 3406 INTERNAL COMBUSTION ENGINE DRIVING A 300 KW EMERGENCY ELECTRICAL GENERATOR (BLDG 605).</t>
  </si>
  <si>
    <t>2204 FRESNO ST</t>
  </si>
  <si>
    <t>C-1625-4-0</t>
  </si>
  <si>
    <t>900 HP DIESEL-FIRED CUMMINS MODEL VTA28-G2 INTERNAL COMBUSTION ENGINE DRIVING A 500 KW EMERGENCY ELECTRICAL GENERATOR.</t>
  </si>
  <si>
    <t>2220 TULARE ST</t>
  </si>
  <si>
    <t>C-1629-5-0</t>
  </si>
  <si>
    <t>1,050 HP DETROIT I/C ENGINE, MODEL #16V-92TA, FIRED WITH #2 FUEL OIL AND DRIVING A 750 KW KOHLER GENERATOR DESIGNED TO SUPPLY POWER DURING AN EMERGENCY (BLDG 608).</t>
  </si>
  <si>
    <t>1225 M STREET</t>
  </si>
  <si>
    <t>C-1629-3-0</t>
  </si>
  <si>
    <t>1,500 HP CATERPILLAR MODEL 3512 STANDBY IC ENGINE DRIVING A 1,100 KW EMERGENCY POWER GENERATOR, SN 24201743 (BLDG 607).</t>
  </si>
  <si>
    <t>FRESNO SURGERY &amp; RECOVERY CARE</t>
  </si>
  <si>
    <t>C-536-4-0</t>
  </si>
  <si>
    <t>587 HP CATERPILLAR IC ENGINE POWERING A 371 KW EMERGENCY STANDBY ELECTRICAL GENERATOR SET, MODEL 3406B DI, SN 4RG01358.</t>
  </si>
  <si>
    <t>6125 N FRESNO ST</t>
  </si>
  <si>
    <t>(209) 431-8000</t>
  </si>
  <si>
    <t>FRESNO/CLOVIS REGIONAL WWTP</t>
  </si>
  <si>
    <t>C-535-10-1</t>
  </si>
  <si>
    <t>2518 HP CATERPILLAR MODEL 3516 EMERGENCY TURBOCHARGED DIESEL-FIRED IC ENGINE POWERING 1750 KW GENERATOR.</t>
  </si>
  <si>
    <t>5607 W JENSEN AVE</t>
  </si>
  <si>
    <t>(209) 498-1707</t>
  </si>
  <si>
    <t>C-535-17-1</t>
  </si>
  <si>
    <t>455 HP CUMMINS MODEL NTA855 EMERGENCY DIESEL-FIRED IC ENGINE POWERING AN ONAN MODEL 350DFCC, 350 KW EMERGENCY GENERATOR SET.</t>
  </si>
  <si>
    <t>GALLO GLASS COMPANY</t>
  </si>
  <si>
    <t>N-1662-10-1</t>
  </si>
  <si>
    <t>ONE (1) 971.1 BHP CATERPILLAR TURBOCHARGED AND AFTERCOOLED DIESEL FIRED IC ENGINE (MODEL D349TTA-SCA/SERIAL NO. 61P485) SERVING A 724 KW EMERGENCY ELECTRICAL GENERATOR</t>
  </si>
  <si>
    <t>D349TTA-SCA</t>
  </si>
  <si>
    <t>605 S SANTA CRUZ</t>
  </si>
  <si>
    <t>(209) 341-3411</t>
  </si>
  <si>
    <t>N-1662-11-1</t>
  </si>
  <si>
    <t>ONE (1) 971.1 BHP CATERPILLAR TURBOCHARGED AND AFTERCOOLED DIESEL FIRED IC ENGINE (MODEL D349TTA-SCA/SERIAL NO. 61P486) SERVING A 724 KW EMERGENCY ELECTRICAL GENERATOR</t>
  </si>
  <si>
    <t>N-1662-12-1</t>
  </si>
  <si>
    <t>ONE (1) 971.1 BHP CATERPILLAR TURBOCHARGED AND AFTERCOOLED DIESEL FIRED IC ENGINE (MODEL D349TTA-SCA/SERIAL NO. 61P549) SERVING A 724 KW EMERGENCY ELECTRICAL GENERATOR</t>
  </si>
  <si>
    <t>GAP, INC.</t>
  </si>
  <si>
    <t>C-3289-1-0</t>
  </si>
  <si>
    <t>1818 BHP CATERPILLAR MODEL 3512 DIESEL-FIRED EMERGENCY IC ENGINE POWERING A 1250 KW ELECTRICAL GENERATOR.</t>
  </si>
  <si>
    <t>3400 N. GAP DRIVE</t>
  </si>
  <si>
    <t>(805) 339-3422</t>
  </si>
  <si>
    <t>GOLDEN BEAR OIL SPECIALTIES</t>
  </si>
  <si>
    <t>S-44-141-1</t>
  </si>
  <si>
    <t>609 HP DIESEL-FIRED EMERGENCY IC ENGINE DRIVING A ELECTRICAL GENERATOR, EQUIPMENT #D-203</t>
  </si>
  <si>
    <t>1134 MANOR ST</t>
  </si>
  <si>
    <t xml:space="preserve"> OILDALE</t>
  </si>
  <si>
    <t>(661) 393-7110</t>
  </si>
  <si>
    <t>GTE OF CALIFORNIA</t>
  </si>
  <si>
    <t>C-3026-1-0</t>
  </si>
  <si>
    <t>755 HP CATERPILLAR MODEL 3412 DIESEL-FIRED, TURBO-CHARGED, AFTERCOOLED INTERNAL COMBUSTION ENGINE POWERING A 520 KW EMERGENCY GENERATOR.</t>
  </si>
  <si>
    <t>1359 G STREET</t>
  </si>
  <si>
    <t xml:space="preserve"> REEDLEY</t>
  </si>
  <si>
    <t>91766-5432</t>
  </si>
  <si>
    <t>(209) 469-2261</t>
  </si>
  <si>
    <t>N-1134-1-0</t>
  </si>
  <si>
    <t>560 HP DIESEL FIRED IC ENGINE POWERING AN EMERGENCY GENERATOR</t>
  </si>
  <si>
    <t>430 W CENTER ST</t>
  </si>
  <si>
    <t>(909) 469-2260</t>
  </si>
  <si>
    <t>N-1134-2-0</t>
  </si>
  <si>
    <t>ONE (1) 754 HP CATERPILLAR MODEL 3412 CAT DIESEL-FIRED EMERGENCY IC ENGINE POWERING A 500 KW ELECTRICAL GENERATOR</t>
  </si>
  <si>
    <t>GUARDIAN INDUSTRIES CORP</t>
  </si>
  <si>
    <t>C-598-1-2</t>
  </si>
  <si>
    <t>1,115 HP CUMMINS MODEL 7421 DIESEL-FUELED I.C. ENGINE #1, POWERING A 750 KW EMERGENCY GENERATOR.</t>
  </si>
  <si>
    <t>11535 E MOUNTAIN VIEW AVE</t>
  </si>
  <si>
    <t xml:space="preserve"> KINGSBURG</t>
  </si>
  <si>
    <t>93631</t>
  </si>
  <si>
    <t>(209) 896-6400</t>
  </si>
  <si>
    <t>C-598-2-2</t>
  </si>
  <si>
    <t>1,115 HP CUMMINS MODEL 7421 DIESEL-FUELED I.C. ENGINE #2, POWERING A 750 KW EMERGENCY GENERATOR.</t>
  </si>
  <si>
    <t>C-598-3-2</t>
  </si>
  <si>
    <t>1,115 HP CUMMINS MODEL 7421 DIESEL-FUELED I.C. ENGINE #3, POWERING A 750 KW EMERGENCY GENERATOR.</t>
  </si>
  <si>
    <t>HANFORD COMMUNITY MEDICAL CTR</t>
  </si>
  <si>
    <t>C-2384-1-0</t>
  </si>
  <si>
    <t>749 HP DIESEL-FIRED CATERPILLAR MODEL 3412 DIT EMERGENCY IC ENGINE WITH TURBOCHARGER, SN 81204536, POWERING A 500 KW ELECTRICAL GENERATOR.</t>
  </si>
  <si>
    <t>450 GREENFIELD AVE</t>
  </si>
  <si>
    <t>(209) 582-9000</t>
  </si>
  <si>
    <t>C-2384-2-0</t>
  </si>
  <si>
    <t xml:space="preserve">464 N REXFORD DR                                                                </t>
  </si>
  <si>
    <t>90210-4817</t>
  </si>
  <si>
    <t xml:space="preserve">RATTNER HOWARD                                    </t>
  </si>
  <si>
    <t xml:space="preserve">(213) 2851181   </t>
  </si>
  <si>
    <t>D36517</t>
  </si>
  <si>
    <t>ICE, CATERPILLAR, DIESEL, EMR, MODEL 3412,  SN 81Z07548,  TURBOCHARGED, AFTERCOOLED, 12 CYL, 890 BHP</t>
  </si>
  <si>
    <t xml:space="preserve">BEVERLY HILLS CITY OF                   </t>
  </si>
  <si>
    <t>F35862</t>
  </si>
  <si>
    <t>ICE, CATERPILLAR, DIESEL, EMR, MODEL 3412 DITTA,  SN 81Z24817,  TURBOCHARGED, AFTERCOOLED, 12 CYL, 600 KW</t>
  </si>
  <si>
    <t xml:space="preserve">455 N REXFORD DR                                                                </t>
  </si>
  <si>
    <t xml:space="preserve">BURNETT WALTER                                    </t>
  </si>
  <si>
    <t xml:space="preserve">(310) 2852485   </t>
  </si>
  <si>
    <t>D348</t>
  </si>
  <si>
    <t xml:space="preserve">MONTEBELLO               </t>
  </si>
  <si>
    <t xml:space="preserve">BGI HOLDING II LLC                      </t>
  </si>
  <si>
    <t>F21321</t>
  </si>
  <si>
    <t>ICE, CATERPILLAR, DIESEL, EMR, MODEL 3508,  SN 23Z01697/7C4594,  TURBOCHARGED, AFTERCOOLED, 8 CYL, 1196 BHP</t>
  </si>
  <si>
    <t xml:space="preserve">1055 W 7TH ST                                                                   </t>
  </si>
  <si>
    <t xml:space="preserve">VARIE GAIL                                        </t>
  </si>
  <si>
    <t xml:space="preserve">(213) 6248641   </t>
  </si>
  <si>
    <t xml:space="preserve">BIG BEAR AREA REGIONAL WASTEWATER       </t>
  </si>
  <si>
    <t>M44591</t>
  </si>
  <si>
    <t>ICE, CATERPILLAR, DIESEL, EMR. MODEL 3408, 890 BHP, 550 KW</t>
  </si>
  <si>
    <t xml:space="preserve">122 PALOMINO DR                                                                 </t>
  </si>
  <si>
    <t xml:space="preserve">BIG BEAR CITY            </t>
  </si>
  <si>
    <t xml:space="preserve">SCHINCLER STEVEN                                  </t>
  </si>
  <si>
    <t xml:space="preserve">(909) 5855578   </t>
  </si>
  <si>
    <t xml:space="preserve">BIO-RAD LABORATORIES                    </t>
  </si>
  <si>
    <t>F20494</t>
  </si>
  <si>
    <t>ICE, CUMMINS, DIESEL, MODEL QST30-G1,SN J980817980, TURBOCHARGER, AFTERCOOLER, 750 KW 12 CYL, EMR</t>
  </si>
  <si>
    <t xml:space="preserve">9500 JERONIMO RD                                                                </t>
  </si>
  <si>
    <t>92618-2017</t>
  </si>
  <si>
    <t xml:space="preserve">ALFREY JANICE                                     </t>
  </si>
  <si>
    <t xml:space="preserve">(949) 5981284   </t>
  </si>
  <si>
    <t>BKK CORPORATION, LANDFILL DIVISION  GNRL</t>
  </si>
  <si>
    <t>D82565</t>
  </si>
  <si>
    <t>ICE, CATERPILLAR, DIESEL, EMR, MODEL 3412 DITTA,  SN 38510601,  TURBOCHARGED, AFTERCOOLED, 12 CYL, 550 BHP</t>
  </si>
  <si>
    <t xml:space="preserve">2210 S AZUSA AVE                                                                </t>
  </si>
  <si>
    <t xml:space="preserve">WEST COVINA              </t>
  </si>
  <si>
    <t xml:space="preserve">SORIANO PETER                                     </t>
  </si>
  <si>
    <t xml:space="preserve">(626) 9650911   </t>
  </si>
  <si>
    <t xml:space="preserve">BNY CALIFORNIA INC, BARNEYS NEW YORK    </t>
  </si>
  <si>
    <t>D74708</t>
  </si>
  <si>
    <t>ICE, CATERPILLAR, DIESEL, EMR, MODEL 3512,  TURBOCHARGED, AFTERCOOLED, 12 CYL, 1575 BHP</t>
  </si>
  <si>
    <t xml:space="preserve">9570 WILSHIRE BLVD                                                              </t>
  </si>
  <si>
    <t xml:space="preserve">TOLLIN JARID                                      </t>
  </si>
  <si>
    <t xml:space="preserve">(310) 8882200   </t>
  </si>
  <si>
    <t xml:space="preserve">BOEING SATELLITE SYSTEMS INC            </t>
  </si>
  <si>
    <t>F21873</t>
  </si>
  <si>
    <t>ICE, WAUKESHA, LPG FUELED, EMERGENCY ELECTRICAL GENERATION, MODEL L5108G, NATURALLY ASPIRATED, 12 CYL, FOUR-CYCLE, 773 BHP</t>
  </si>
  <si>
    <t>LPG</t>
  </si>
  <si>
    <t>Waukesha</t>
  </si>
  <si>
    <t>L5108G</t>
  </si>
  <si>
    <t xml:space="preserve">2240 E IMPERIAL HWY                                                             </t>
  </si>
  <si>
    <t xml:space="preserve">SEITZ DAVID M.                                    </t>
  </si>
  <si>
    <t xml:space="preserve">(310) 4162241   </t>
  </si>
  <si>
    <t>F21874</t>
  </si>
  <si>
    <t>F14899</t>
  </si>
  <si>
    <t>ICE, CATERPILLAR, DIESEL, EMERGENCY ELECTRICAL GENERATION, MODEL 3412 DITTA,  TURBOCHARGED, AFTERCOOLED, 12 CYL, 500 KW</t>
  </si>
  <si>
    <t>F37579</t>
  </si>
  <si>
    <t>ICE, CUMMINS, MODEL GTA28, NAT. GAS, EMERGENCY ELECTRICAL GENERATION, TURBOCHARGED, AFTERCOOLER, 770 HP</t>
  </si>
  <si>
    <t>GTA28</t>
  </si>
  <si>
    <t>F37578</t>
  </si>
  <si>
    <t>ICE, CUMMINS, MODEL GTA28, NAT. GAS, EMR, TURBOCHARGED, AFTERCOOLER, 770 HP</t>
  </si>
  <si>
    <t>F37577</t>
  </si>
  <si>
    <t xml:space="preserve">IMPERIAL MAPLE NASH &amp; SELBY                                                     </t>
  </si>
  <si>
    <t xml:space="preserve">BREA CITY                               </t>
  </si>
  <si>
    <t>D71268</t>
  </si>
  <si>
    <t>ICE, DETROIT DIESEL, EMR, DIESEL, MODEL 8163-7405, SN DD16VP010605, TURBOCHARGED, AFTERCOOLED, 16 CYL, 1095 BHP</t>
  </si>
  <si>
    <t xml:space="preserve">545 N BERRY ST                                                                  </t>
  </si>
  <si>
    <t>92621-3107</t>
  </si>
  <si>
    <t xml:space="preserve">BECKMAN RICH                                      </t>
  </si>
  <si>
    <t xml:space="preserve">(714) 9917696   </t>
  </si>
  <si>
    <t xml:space="preserve">BREA GREEN RECYCLING                    </t>
  </si>
  <si>
    <t>F24049</t>
  </si>
  <si>
    <t>ICE, CATERPILLAR, MODEL 3412, DIESEL, 12 CYL, 800 BHP, TURBOCHARGED, AFTERCOOLED, DRIVING A WASTE WOOD GRINDER</t>
  </si>
  <si>
    <t xml:space="preserve">1983 VALENCIA AVE                                                               </t>
  </si>
  <si>
    <t xml:space="preserve">WABISZEWSKI DAVID                                 </t>
  </si>
  <si>
    <t xml:space="preserve">(714) 5779322   </t>
  </si>
  <si>
    <t xml:space="preserve">BUENA PARK CITY                         </t>
  </si>
  <si>
    <t>D29918</t>
  </si>
  <si>
    <t>ICE, DETROIT DIESEL, EMERGENCY ELECTRICAL GENERATION, DIESEL, MODEL 8V92TA,  TURBOCHARGED, AFTERCOOLED, 8 CYL, 540 BHP</t>
  </si>
  <si>
    <t xml:space="preserve">6491 KNOTT AVE                                                                  </t>
  </si>
  <si>
    <t xml:space="preserve">BUENA PARK               </t>
  </si>
  <si>
    <t xml:space="preserve">JENSEN DONALD K                                   </t>
  </si>
  <si>
    <t xml:space="preserve">(714) 5219900   </t>
  </si>
  <si>
    <t>D29911</t>
  </si>
  <si>
    <t>ICE, DETROIT DIESEL, EMERGENCY ELECTRICAL GENERATION, DIESEL, MODEL 8V92TAB,  TURBOCHARGED, AFTERCOOLED, 8 CYL, 540 BHP</t>
  </si>
  <si>
    <t>8V-92TAB</t>
  </si>
  <si>
    <t xml:space="preserve">6480 CABALLERO BLVD                                                             </t>
  </si>
  <si>
    <t xml:space="preserve">BUENA PARK CITY, FIRE STA #3            </t>
  </si>
  <si>
    <t>D29919</t>
  </si>
  <si>
    <t>ICE, DETROIT DIESEL, EMR, DIESEL, MODEL 8V92TAB,  TURBOCHARGED, AFTERCOOLED, 8 CYL, 540 BHP</t>
  </si>
  <si>
    <t xml:space="preserve">9120 HOLDER ST                                                                  </t>
  </si>
  <si>
    <t xml:space="preserve">BUENA PARK CITY, MAINT YARD             </t>
  </si>
  <si>
    <t>F18322</t>
  </si>
  <si>
    <t>ICE, CATERPILLAR, DIESEL, EMR, MODEL 3400 DITA, SN 6819-10-96-1,  TURBOCHARGED, AFTERCOOLED, 6 CYL, 400 KW</t>
  </si>
  <si>
    <t>3400 DITA</t>
  </si>
  <si>
    <t xml:space="preserve">8071 PAGE ST                                                                    </t>
  </si>
  <si>
    <t xml:space="preserve">DE PIETRO PAUL                                    </t>
  </si>
  <si>
    <t xml:space="preserve">(714) 5623652   </t>
  </si>
  <si>
    <t xml:space="preserve">BURTON WAY LTD., FOUR SEASONS HOTEL LA              </t>
  </si>
  <si>
    <t>D20935</t>
  </si>
  <si>
    <t>ICE, DETROIT DIESEL, EMERGENCY ELECTRICAL GENERATION, DIESEL, MODEL 8123-7405, 12C 92TA,  TURBOCHARGED, AFTERCOOLED, 12 CYL, 830 BHP</t>
  </si>
  <si>
    <t xml:space="preserve">300 S DOHENY DR                                                                 </t>
  </si>
  <si>
    <t xml:space="preserve">BUECHNER TERRY                                    </t>
  </si>
  <si>
    <t xml:space="preserve">(310) 2732222   </t>
  </si>
  <si>
    <t xml:space="preserve">BUY.COM                                 </t>
  </si>
  <si>
    <t>F23800</t>
  </si>
  <si>
    <t>ICE, CATERPILLAR, DIESEL, EMR, MODEL 3406 DITA, SN 4ZR06033,  TURBOCHARGED, AFTERCOOLED, 6 CYL, 400 KW</t>
  </si>
  <si>
    <t xml:space="preserve">85 ENTERPRISE                                                                   </t>
  </si>
  <si>
    <t xml:space="preserve">ALISO VIEJO              </t>
  </si>
  <si>
    <t xml:space="preserve">FLENNIKEN SCOTT                                   </t>
  </si>
  <si>
    <t xml:space="preserve">(949) 3845752   </t>
  </si>
  <si>
    <t xml:space="preserve">CACIQUE CHEESE CO                       </t>
  </si>
  <si>
    <t>F23042</t>
  </si>
  <si>
    <t>ICE, DETROIT DIESEL, EMR, DIESEL, MODEL R083-7K06, 571 KW, SN HF800E3J, TURBOCHARGED, AFTERCOOLED</t>
  </si>
  <si>
    <t>R083-7K06</t>
  </si>
  <si>
    <t xml:space="preserve">14940 PROCTOR AVE                                                               </t>
  </si>
  <si>
    <t xml:space="preserve">INDUSTRY                 </t>
  </si>
  <si>
    <t xml:space="preserve">(714) 7604948   </t>
  </si>
  <si>
    <t xml:space="preserve">HODGE KEN                                         </t>
  </si>
  <si>
    <t xml:space="preserve">(626) 9613399   </t>
  </si>
  <si>
    <t xml:space="preserve">CAL FED                                 </t>
  </si>
  <si>
    <t>D51349</t>
  </si>
  <si>
    <t>ICE, CATERPILLAR, DIESEL, EMR, MODEL D3412PC, SN 3852005, TURBOCHARGED, AFTERCOOLED, 12 CYL, 755 BHP</t>
  </si>
  <si>
    <t>D3412 PC</t>
  </si>
  <si>
    <t xml:space="preserve">201 W LEXINGTON DR                                                              </t>
  </si>
  <si>
    <t xml:space="preserve">BERNAL J                                          </t>
  </si>
  <si>
    <t xml:space="preserve">CAL ST, INST FOR WOMEN                  </t>
  </si>
  <si>
    <t>D65111</t>
  </si>
  <si>
    <t>ICE, CATERPILLAR, DIESEL, MODEL 3512TA, SN 24704420, TURBOCHARGED, AFTERCOOLED, 12 CYL, 1800 BHP, EMR</t>
  </si>
  <si>
    <t xml:space="preserve">16756 CHINO-CORONA RD                                                           </t>
  </si>
  <si>
    <t xml:space="preserve">FRONTERA                 </t>
  </si>
  <si>
    <t xml:space="preserve">WOODS GEORGE                                      </t>
  </si>
  <si>
    <t xml:space="preserve">(909) 5971771   </t>
  </si>
  <si>
    <t xml:space="preserve">CAL ST, POLYTECHNIC UNIV, POMONA        </t>
  </si>
  <si>
    <t>D66593</t>
  </si>
  <si>
    <t>ICE, CATERPILLAR, DIESEL, MODEL 3512TA, TURBOCHARGED, AFTERCOOLED, 12 CYL, 1786 BHP, EMR</t>
  </si>
  <si>
    <t xml:space="preserve">3801 W TEMPLE AVE                                                               </t>
  </si>
  <si>
    <t xml:space="preserve">POMONA                   </t>
  </si>
  <si>
    <t xml:space="preserve">HUYTER MICHAEL P.                                 </t>
  </si>
  <si>
    <t xml:space="preserve">(909) 8693230   </t>
  </si>
  <si>
    <t>F35110</t>
  </si>
  <si>
    <t>ICE, DETROIT DIESEL, MODEL 12V-71TA, SN 12VA09100, DIESEL, 12 CYL, TURBOCHARGED, AFTERCOOLED, EMR, 760 BHP</t>
  </si>
  <si>
    <t>12V-71TA</t>
  </si>
  <si>
    <t xml:space="preserve">CAL ST, YOUTH AUTH, SO RCPTN CTR &amp; CLNC </t>
  </si>
  <si>
    <t>D87280</t>
  </si>
  <si>
    <t>ICE, CATERPILLAR, MODEL 3412 DITTA, 600 KW, 12 CYL, TURBOCHARGED, AFTERCOOLED, EMR</t>
  </si>
  <si>
    <t xml:space="preserve">13200 BLOOMFIELD AVE                                                            </t>
  </si>
  <si>
    <t xml:space="preserve">NORWALK                  </t>
  </si>
  <si>
    <t>90650-3253</t>
  </si>
  <si>
    <t xml:space="preserve">WARREN FRANK                                      </t>
  </si>
  <si>
    <t xml:space="preserve">(310) 8689979   </t>
  </si>
  <si>
    <t>CALIF ST DEPT OF CORRECTIONS,CAL INS MEN</t>
  </si>
  <si>
    <t>D32894</t>
  </si>
  <si>
    <t>ICE, CATERPILLLAR, MODEL 3406B-DT, SN 2WB04614, 6 CYL, 534 BHP, TURBOCHARGED, AFTERCOOLED, EMERGENCY ELECTRICAL GENERATION</t>
  </si>
  <si>
    <t>3406B DT</t>
  </si>
  <si>
    <t xml:space="preserve">14901 CENTRAL AVE                                                               </t>
  </si>
  <si>
    <t xml:space="preserve">CHINO                    </t>
  </si>
  <si>
    <t xml:space="preserve">HANNA MAGDY                                       </t>
  </si>
  <si>
    <t xml:space="preserve">(909) 5971821   </t>
  </si>
  <si>
    <t>D32714</t>
  </si>
  <si>
    <t>ICE, CATERPILLLAR, MODEL 3406B-DT, SN 2WB04628, 6 CYL, 534 BHP, TURBOCHARGED, AFTERCOOLED, EMERGENCY ELECTRICAL GENERATION</t>
  </si>
  <si>
    <t xml:space="preserve">CALIFORNIA ARMY NATIONAL GUARD          </t>
  </si>
  <si>
    <t>F37344</t>
  </si>
  <si>
    <t>ICE, DETROIT DIESEL, MODEL 8083-7405, SN DD08VF123822, 8 CYL, DIESEL, EMERGENCY ELECTRICAL GENERATION, TURBOCHARGED, 540 BHP</t>
  </si>
  <si>
    <t>8083-7405</t>
  </si>
  <si>
    <t xml:space="preserve">4411 YORKTOWN AVE BLDG.6.SUITE 22                                               </t>
  </si>
  <si>
    <t xml:space="preserve">LOS ALAMITOS             </t>
  </si>
  <si>
    <t>90720-5177</t>
  </si>
  <si>
    <t xml:space="preserve">HARDIN TROY                                       </t>
  </si>
  <si>
    <t xml:space="preserve">(562) 7952114   </t>
  </si>
  <si>
    <t>F37345</t>
  </si>
  <si>
    <t>ICE, DETROIT DIESEL, MODEL 8083-7405, SN DD08VF123846, 8 CYL, DIESEL, EMERGENCY ELECTRICAL GENERATION, TURBOCHARGED, 540 BHP</t>
  </si>
  <si>
    <t>F37352</t>
  </si>
  <si>
    <t>ICE, DETROIT DIESEL, MODEL 8083-7405, SN DD08VF123858, 8 CYL, DIESEL, EMERGENCY ELECTRICAL GENERATION, TURBOCHARGED, 540 BHP</t>
  </si>
  <si>
    <t xml:space="preserve">CALIFORNIA BIO MASS, INC                </t>
  </si>
  <si>
    <t xml:space="preserve">F8767 </t>
  </si>
  <si>
    <t>ICE, CATERPILLAR, DIESEL, MODEL 3408, 8 CYL, 503 BHP, DRIVING A PORTABLE WOOD WASTE GRINDER</t>
  </si>
  <si>
    <t xml:space="preserve">10397 ALDER AVE                                                                 </t>
  </si>
  <si>
    <t xml:space="preserve">BLOOMINGTON              </t>
  </si>
  <si>
    <t xml:space="preserve">HURDY DAVID L                                     </t>
  </si>
  <si>
    <t xml:space="preserve">(909) 8756441   </t>
  </si>
  <si>
    <t xml:space="preserve">CALIFORNIA COMMERCE CLUB INC            </t>
  </si>
  <si>
    <t>D39435</t>
  </si>
  <si>
    <t xml:space="preserve">FULLERTON                </t>
  </si>
  <si>
    <t>92835-1079</t>
  </si>
  <si>
    <t xml:space="preserve">WALKER BRIAN                                      </t>
  </si>
  <si>
    <t xml:space="preserve">(949) 8334665   </t>
  </si>
  <si>
    <t xml:space="preserve">AMERICAN SAVINGS BANK, F. A.            </t>
  </si>
  <si>
    <t xml:space="preserve">F9605 </t>
  </si>
  <si>
    <t>ICE, CUMMINS, DIESEL, EMR, MODEL VTA-28-GS1/CG1, TURBOCHARGED, AFTERCOOLED, 12 CYL, 760 BHP</t>
  </si>
  <si>
    <t>VTA28-GS1</t>
  </si>
  <si>
    <t xml:space="preserve">17875-77 VON KARMAN AVE                                                         </t>
  </si>
  <si>
    <t xml:space="preserve">THYS JIM                                          </t>
  </si>
  <si>
    <t xml:space="preserve">(714) 2527111   </t>
  </si>
  <si>
    <t>8V-92TA</t>
  </si>
  <si>
    <t xml:space="preserve">AMERIGAS PROPANE L.P.                   </t>
  </si>
  <si>
    <t>M63527</t>
  </si>
  <si>
    <t>ICE, FOR REFRIGERANT COMPRESSOR K2A, NATURAL GAS FIRED (RICH BURN), 500 BHP, EQUIPPED WITH KLEENAIRE NOX CATALYTIC MODEL KNVG67H FOR NOX CONTROL,</t>
  </si>
  <si>
    <t>Natural Gas</t>
  </si>
  <si>
    <t>N/A</t>
  </si>
  <si>
    <t xml:space="preserve">2110 N GAFFEY ST                                                                </t>
  </si>
  <si>
    <t xml:space="preserve">SAN PEDRO                </t>
  </si>
  <si>
    <t>90731-1251</t>
  </si>
  <si>
    <t xml:space="preserve">BLASER JIM                                        </t>
  </si>
  <si>
    <t xml:space="preserve">(213) 8335275   </t>
  </si>
  <si>
    <t>M63528</t>
  </si>
  <si>
    <t>ICE, FOR REFRIGERANT COMPRESSOR K2B, NATURAL GAS FIRED (RICH BURN), 500 BHP, EQUIPPED WITH KLEENAIRE NOX CATALYTIC MODEL KNVG67H FOR NOX CONTROL,</t>
  </si>
  <si>
    <t>M63529</t>
  </si>
  <si>
    <t>ICE, FOR REFRIGERANT COMPRESSOR K2C, NATURAL GAS FIRED (RICH BURN), 500 BHP, EQUIPPED WITH KLEENAIRE NOX CATALYTIC MODEL KNVG67H FOR NOX CONTROL,</t>
  </si>
  <si>
    <t xml:space="preserve">AMERISOURCE CORPORATION                 </t>
  </si>
  <si>
    <t>F37375</t>
  </si>
  <si>
    <t>ICE, CUMMINS, EMR, MODEL KTA19-G4, DIESEL, 6 CYL, TURBOCHARGED, AFTERCOOLED, 755 BHP</t>
  </si>
  <si>
    <t xml:space="preserve">11010 HOPKINS ST UNIT C                                                         </t>
  </si>
  <si>
    <t xml:space="preserve">MIRA LOMA                </t>
  </si>
  <si>
    <t xml:space="preserve">DUNBAR JOHN                                       </t>
  </si>
  <si>
    <t xml:space="preserve">(909) 3600257   </t>
  </si>
  <si>
    <t xml:space="preserve">AMI TARZANA REGIONAL MEDICAL CENTER     </t>
  </si>
  <si>
    <t>D72069</t>
  </si>
  <si>
    <t xml:space="preserve">ICE, DETROIT DIESEL, MODEL 8163-7405, DIESEL, EMR TURBOCHARGED, AFTERCOOLED, 16 CYL, TWO-CYCLE, 1095 BHP </t>
  </si>
  <si>
    <t>8163-7405</t>
  </si>
  <si>
    <t xml:space="preserve">18321 CLARK ST                                                                  </t>
  </si>
  <si>
    <t xml:space="preserve">TARZANA                  </t>
  </si>
  <si>
    <t>91356-3501</t>
  </si>
  <si>
    <t xml:space="preserve">LAZATIN LOU                                       </t>
  </si>
  <si>
    <t xml:space="preserve">(818) 8810100   </t>
  </si>
  <si>
    <t xml:space="preserve">AMISUB, IRVINE MEDICAL CTR DBA          </t>
  </si>
  <si>
    <t>D31480</t>
  </si>
  <si>
    <t xml:space="preserve">ICE, CATERPILLAR, DIESEL, EMR, MODEL 3512, TURBOCHARGED, AFTERCOOLED, 12 CYL, 1779 BHP </t>
  </si>
  <si>
    <t xml:space="preserve">16178  1/2  SAND CANYON AVE                                                           </t>
  </si>
  <si>
    <t xml:space="preserve">NGUYEN NGUYEN                                     </t>
  </si>
  <si>
    <t xml:space="preserve">(949) 7542345   </t>
  </si>
  <si>
    <t xml:space="preserve">AMPHASTAR PHARMACEUTICAL, INC           </t>
  </si>
  <si>
    <t>F20492</t>
  </si>
  <si>
    <t xml:space="preserve">ICE, CATERPILLAR, DIESEL, EMR, MODEL 3406 DITA, SN 4ZR05063, TURBOCHARGED, AFTERCOOLED, 6 CYL, 400 KW </t>
  </si>
  <si>
    <t xml:space="preserve">11570 SIXTH ST                                                                  </t>
  </si>
  <si>
    <t xml:space="preserve">RANCHO CUCAMONGA         </t>
  </si>
  <si>
    <t xml:space="preserve">LIAWATIDEWI JACOB                                 </t>
  </si>
  <si>
    <t xml:space="preserve">(626) 4595259   </t>
  </si>
  <si>
    <t xml:space="preserve">ANAHEIM ANGELS, L.P./EDISON INTL FIELD  </t>
  </si>
  <si>
    <t>F12739</t>
  </si>
  <si>
    <t xml:space="preserve">CALIFORNIA WOOD RECYCLING               </t>
  </si>
  <si>
    <t>F25999</t>
  </si>
  <si>
    <t>ICE, CATERPILLAR, PORTABLE, MODEL 3412DIT, SN 38S17357, 12 CYL, TURBOCHARGED, AFTERCOOLED, DIESEL, 650 BHP, OPERATING A WOOD TUB GRINDER</t>
  </si>
  <si>
    <t xml:space="preserve">CAMARILLO BILL                                    </t>
  </si>
  <si>
    <t xml:space="preserve">(805) 4858756   </t>
  </si>
  <si>
    <t xml:space="preserve">CALMAT CO                               </t>
  </si>
  <si>
    <t>D63932</t>
  </si>
  <si>
    <t>ICE, CATERPILLAR, DIESEL, PORTABLE, MODEL D398, 16 CYL, 800 BHP</t>
  </si>
  <si>
    <t>D398</t>
  </si>
  <si>
    <t xml:space="preserve">VARIOUS LOCATIONS SCAQMD TERMINAL ANNEX                                         </t>
  </si>
  <si>
    <t xml:space="preserve">LUCERO TONY J                                     </t>
  </si>
  <si>
    <t xml:space="preserve">(323) 2582777   </t>
  </si>
  <si>
    <t>D83151</t>
  </si>
  <si>
    <t>ICE, CATERPILLAR, PORTABLE, MODEL 0398, DIESEL, SN 66B7871, 12 CYL, TURBOCHARGED, AFTERCOOLED, 853 BHP</t>
  </si>
  <si>
    <t>O398</t>
  </si>
  <si>
    <t>90051-0950</t>
  </si>
  <si>
    <t xml:space="preserve">CANDLE CORPORATION                      </t>
  </si>
  <si>
    <t>F21408</t>
  </si>
  <si>
    <t>ICE, CATERPILLAR, DIESEL, EMR, MODEL 3406 DITA, SN 9NN00439, 400 KW, TURBOCHARGED, AFTERCOOLED, 6 CYL</t>
  </si>
  <si>
    <t xml:space="preserve">201 N DOUGLAS                                                                   </t>
  </si>
  <si>
    <t xml:space="preserve">SORENA AL                                         </t>
  </si>
  <si>
    <t xml:space="preserve">(310) 8295800   </t>
  </si>
  <si>
    <t xml:space="preserve">CAPITAL &amp; COUNTIES USA INC              </t>
  </si>
  <si>
    <t>D17233</t>
  </si>
  <si>
    <t>ICE, CATERPILLAR, DIESEL, EMR, MODEL 3406TA, 6 CYL, 519 BHP, TURBOCHARGED, AFTERCOOLED</t>
  </si>
  <si>
    <t>3406 TA</t>
  </si>
  <si>
    <t xml:space="preserve">800 W 6TH ST                                                                    </t>
  </si>
  <si>
    <t xml:space="preserve">WHITE ANN SUNDIN                                  </t>
  </si>
  <si>
    <t xml:space="preserve">(213) 6209200   </t>
  </si>
  <si>
    <t xml:space="preserve">CAPITAL GROUP INC, THE                  </t>
  </si>
  <si>
    <t>F23837</t>
  </si>
  <si>
    <t>ICE, CATERPILLAR, DIESEL, EMR, MODEL 3412 DITTA, 600 KW, SN 81Z06204, TURBOCHARGED, AFTERCOOLED</t>
  </si>
  <si>
    <t xml:space="preserve">135 S STATE COLLEGE ST                                                          </t>
  </si>
  <si>
    <t xml:space="preserve">CORRY BILL                                        </t>
  </si>
  <si>
    <t xml:space="preserve">(714) 2575505   </t>
  </si>
  <si>
    <t xml:space="preserve">CAREMARK INC, CAREMARK THERAPEUTIC SVS  </t>
  </si>
  <si>
    <t>F22771</t>
  </si>
  <si>
    <t xml:space="preserve">1127 BRYN MAWR AVE                                                              </t>
  </si>
  <si>
    <t xml:space="preserve">REDLANDS                 </t>
  </si>
  <si>
    <t xml:space="preserve">OLIVER CANDYCE                                    </t>
  </si>
  <si>
    <t xml:space="preserve">(909) 7967171   </t>
  </si>
  <si>
    <t xml:space="preserve">CARLSBERG MANAGEMENT COMPANY            </t>
  </si>
  <si>
    <t>F20126</t>
  </si>
  <si>
    <t>ICE, CUMMINS, DIESEL, EMR, MODEL KTA 2300G, 1030 BHP, TURBOCHARGED, AFTERCOOLED</t>
  </si>
  <si>
    <t>KTA2300-G</t>
  </si>
  <si>
    <t xml:space="preserve">6171 W CENTURY BLVD                                                             </t>
  </si>
  <si>
    <t xml:space="preserve">VIESCA SAL                                        </t>
  </si>
  <si>
    <t xml:space="preserve">(310) 4509696   </t>
  </si>
  <si>
    <t>F20128</t>
  </si>
  <si>
    <t xml:space="preserve">CARRAMERICA REALTY, L.P.                </t>
  </si>
  <si>
    <t>F12871</t>
  </si>
  <si>
    <t>ICE, CATERPILLAR, DIESEL, EMR, 8 CYL, MODEL 3408 TA, SN 78202079, 602 BHP, TURBOCHARGED, AFTERCOOLED</t>
  </si>
  <si>
    <t>3408 TA</t>
  </si>
  <si>
    <t xml:space="preserve">3150 BRISTOL ST                                                                 </t>
  </si>
  <si>
    <t xml:space="preserve">STONE BOB                                         </t>
  </si>
  <si>
    <t xml:space="preserve">(714) 5402277   </t>
  </si>
  <si>
    <t xml:space="preserve">CASTAIC LAKE WATER AGENCY               </t>
  </si>
  <si>
    <t>D67768</t>
  </si>
  <si>
    <t>ICE, WAUKESHA, EMR, PROPANE, MODEL F2895 G, 6 CYL, NATURALLY ASPIRATED, 526 BHP</t>
  </si>
  <si>
    <t>Propane</t>
  </si>
  <si>
    <t>F2895G</t>
  </si>
  <si>
    <t xml:space="preserve">32700 N LAKE HUGHES RD                                                          </t>
  </si>
  <si>
    <t xml:space="preserve">CASTAIC                  </t>
  </si>
  <si>
    <t xml:space="preserve">POLLOCK WENDELL                                   </t>
  </si>
  <si>
    <t xml:space="preserve">(805) 2572055   </t>
  </si>
  <si>
    <t xml:space="preserve">CEDARS SINAI MEDICAL TOWERS             </t>
  </si>
  <si>
    <t>F46082</t>
  </si>
  <si>
    <t>ICE, ONAN, MODEL VT-1710-G, OIL-FIRED, 400 KW</t>
  </si>
  <si>
    <t>Oil-Fired</t>
  </si>
  <si>
    <t>Onan</t>
  </si>
  <si>
    <t>VT1710-G</t>
  </si>
  <si>
    <t xml:space="preserve">8631-35 W 3RD ST STE 301                                                        </t>
  </si>
  <si>
    <t xml:space="preserve">LAZAUSKAS PETER P                                 </t>
  </si>
  <si>
    <t xml:space="preserve">(310) 3585550   </t>
  </si>
  <si>
    <t>F46084</t>
  </si>
  <si>
    <t>ICE, CUMMINS, DIESEL, EMERGENCY ELECTRICAL GENERATION, 6 CYL, MODEL KTA19-G2, 600 BHP, TURBOCHARGED, AFTERCOOLED</t>
  </si>
  <si>
    <t xml:space="preserve">CEDARS-SINAI MEDICAL CENTER             </t>
  </si>
  <si>
    <t>D05896</t>
  </si>
  <si>
    <t>ICE, CATERPILLAR, DIESEL, EMR, MODEL 3412, 12 CYL, 890 BHP, TURBOCHARGED, AFTERCOOLED</t>
  </si>
  <si>
    <t xml:space="preserve">444 S SAN VICENTE BLVD                                                          </t>
  </si>
  <si>
    <t xml:space="preserve">SILVA PATRICIA E                                  </t>
  </si>
  <si>
    <t xml:space="preserve">(213) 8558831   </t>
  </si>
  <si>
    <t xml:space="preserve">CEDARS-SINAI MEDICAL CTR                </t>
  </si>
  <si>
    <t>D45165</t>
  </si>
  <si>
    <t>ICE, DETROIT DIESEL, EMR, 16 CYL, DIESEL, MODEL 9163-7316, TURBOCHARGED, AFTERCOOLED, 1745 BHP</t>
  </si>
  <si>
    <t>9163-7316</t>
  </si>
  <si>
    <t xml:space="preserve">8730 ALDEN DR                                                                   </t>
  </si>
  <si>
    <t xml:space="preserve">WILLIAMS JEFFERY M                                </t>
  </si>
  <si>
    <t xml:space="preserve">(310) 8554336   </t>
  </si>
  <si>
    <t xml:space="preserve">ARDEN REALTY INC                        </t>
  </si>
  <si>
    <t>F23607</t>
  </si>
  <si>
    <t>ICE, CATERPILLAR, DIESEL, EMR, MODEL 3412 DITA, SN 81Z2423,  TURBOCHARGED, AFTERCOOLED, 12 CYL, 500 KW</t>
  </si>
  <si>
    <t xml:space="preserve">6060 CENTER DR                                                                  </t>
  </si>
  <si>
    <t xml:space="preserve">SONDEREGGER DAVID                                 </t>
  </si>
  <si>
    <t xml:space="preserve">(310) 4175330   </t>
  </si>
  <si>
    <t xml:space="preserve">ARDEN REALTY LIMITED PARTNERSHIP        </t>
  </si>
  <si>
    <t>F35701</t>
  </si>
  <si>
    <t>ICE, CUMMINS, EMR, MODEL QST30-G5, DIESEL, 12 CYL, TURBOCHARGED, AFTERCOOLED, 1490 BHP</t>
  </si>
  <si>
    <t>QST30-G5</t>
  </si>
  <si>
    <t xml:space="preserve">6080 CENTER                                                                     </t>
  </si>
  <si>
    <t xml:space="preserve">UY MELINDA                                        </t>
  </si>
  <si>
    <t xml:space="preserve">ARDEN REALTY, INC                       </t>
  </si>
  <si>
    <t>F32473</t>
  </si>
  <si>
    <t>ICE, CATERPILLAR, DIESEL, EMR, MODEL 3406, SN 4RG00442,  TURBOCHARGED, AFTERCOOLED, 6 CYL, 518 BHP</t>
  </si>
  <si>
    <t xml:space="preserve">9665 WILSHIRE BLVD SUITE 805                                                    </t>
  </si>
  <si>
    <t xml:space="preserve">DANKO ZOU D                                       </t>
  </si>
  <si>
    <t xml:space="preserve">(310) 2759665   </t>
  </si>
  <si>
    <t xml:space="preserve">ARROWHEAD POND OF ANAHEIM               </t>
  </si>
  <si>
    <t xml:space="preserve">F5291 </t>
  </si>
  <si>
    <t>ICE, DETROIT DIESEL, MODEL 12V-149TI, 12 CYL, TURBOCHARGED, AFTERCOOLED, DIESEL, 1550 BHP, EMR</t>
  </si>
  <si>
    <t>12V-149TI</t>
  </si>
  <si>
    <t xml:space="preserve">2695 E KATELLA AVE                                                              </t>
  </si>
  <si>
    <t xml:space="preserve">PERDEW GARY                                       </t>
  </si>
  <si>
    <t xml:space="preserve">(714) 7042480   </t>
  </si>
  <si>
    <t xml:space="preserve">ARROWHEAD REGIONAL MEDICAL CENTER       </t>
  </si>
  <si>
    <t xml:space="preserve">F9236 </t>
  </si>
  <si>
    <t>ICE, DETROIT DIESEL, MODEL 9203-7K16, SN 376930, 20 CYL, TURBOCHARGED, AFTERCOOLED, DIESEL, 2925 BHP, EMR</t>
  </si>
  <si>
    <t>9203-7K16</t>
  </si>
  <si>
    <t xml:space="preserve">400 N PEPPER ST                                                                 </t>
  </si>
  <si>
    <t xml:space="preserve">COLTON                   </t>
  </si>
  <si>
    <t xml:space="preserve">MAINEZ LARRY                                      </t>
  </si>
  <si>
    <t xml:space="preserve">(909) 8726004   </t>
  </si>
  <si>
    <t xml:space="preserve">F9242 </t>
  </si>
  <si>
    <t>ICE, DETROIT DIESEL, MODEL 9203-7K16 (20V-149TI DDEC), SN 377137, 20 CYL, TURBOCHARGED, AFTERCOOLED, DIESEL, 2925 BHP, EMERGENCY ELECTRICAL GENERATION</t>
  </si>
  <si>
    <t xml:space="preserve">F9241 </t>
  </si>
  <si>
    <t>ICE, DETROIT DIESEL, MODEL 9203-7K16 (20V-149TI DDEC), SN 376841, 20 CYL, TURBOCHARGED, AFTERCOOLED, DIESEL, 2925 BHP, EMERGENCY ELECTRICAL GENERATION</t>
  </si>
  <si>
    <t xml:space="preserve">F9240 </t>
  </si>
  <si>
    <t>ICE, DETROIT DIESEL, MODEL 9203-7K16 (20V-149TI DDEC), SN 376829, 20 CYL, TURBOCHARGED, AFTERCOOLED, DIESEL, 2925 BHP, EMERGENCY ELECTRICAL GENERATION</t>
  </si>
  <si>
    <t xml:space="preserve">F9239 </t>
  </si>
  <si>
    <t>ICE, DETROIT DIESEL, MODEL 9203-7K16 (20V-149TI DDEC), SN 377270, 20 CYL, TURBOCHARGED, AFTERCOOLED, DIESEL, 2925 BHP, EMERGENCY ELECTRICAL GENERATION</t>
  </si>
  <si>
    <t xml:space="preserve">F9238 </t>
  </si>
  <si>
    <t>ICE, DETROIT DIESEL, MODEL 9203-7K16 (20V-149TI DDEC), SN 377269, 20 CYL, TURBOCHARGED, AFTERCOOLED, DIESEL, 2925 BHP, EMERGENCY ELECTRICAL GENERATION</t>
  </si>
  <si>
    <t xml:space="preserve">F9237 </t>
  </si>
  <si>
    <t>ICE, DETROIT DIESEL, MODEL 9203-7K16 (20V-149TI DDEC), SN 376317, 20 CYL, TURBOCHARGED, AFTERCOOLED, DIESEL, 2925 BHP, EMERGENCY ELECTRICAL GENERATION</t>
  </si>
  <si>
    <t xml:space="preserve">AT &amp; T COMM INC (SAN BERNARDINO)        </t>
  </si>
  <si>
    <t>D12714</t>
  </si>
  <si>
    <t>ICE, CATERPILLAR, DIESEL, EMR, MODEL 3508,  TURBOCHARGED, AFTERCOOLED, 8 CYL, 900 KW</t>
  </si>
  <si>
    <t xml:space="preserve">455 2ND ST                                                                      </t>
  </si>
  <si>
    <t xml:space="preserve">SAN BERNARDINO           </t>
  </si>
  <si>
    <t xml:space="preserve">WHYTE S                                           </t>
  </si>
  <si>
    <t xml:space="preserve">(714) 8891989   </t>
  </si>
  <si>
    <t>D12715</t>
  </si>
  <si>
    <t>ICE, CATERPILLAR, DIESEL, EMR, MODEL 3508, 1336 BHP, TURBOCHARGED, AFTERCOOLED, 8 CYL, 900 KW</t>
  </si>
  <si>
    <t>D12716</t>
  </si>
  <si>
    <t>D12717</t>
  </si>
  <si>
    <t>F23772</t>
  </si>
  <si>
    <t>ICE, CUMMINS, 6 CYL, TURBOCHARGED, AFTERCOOLED, MODEL KTA19-G4, DIESEL,EMR,755 BHP</t>
  </si>
  <si>
    <t xml:space="preserve">15215 S BROADWAY                                                                </t>
  </si>
  <si>
    <t xml:space="preserve">GARDENA                  </t>
  </si>
  <si>
    <t>ICE, CATERPILLAR, DIESEL, EMR, MODEL 3512 DI, SN 24Z00968, 12 CYL, 1471 BHP, TURBOCHARGED, AFTERCOOLED</t>
  </si>
  <si>
    <t xml:space="preserve">3512 DI </t>
  </si>
  <si>
    <t xml:space="preserve">1050 S PRAIRIE AVE                                                              </t>
  </si>
  <si>
    <t xml:space="preserve">INGLEWOOD                </t>
  </si>
  <si>
    <t xml:space="preserve">BOUNDS CLEN                                       </t>
  </si>
  <si>
    <t xml:space="preserve">(310) 4191618   </t>
  </si>
  <si>
    <t>CITY OF ANAHEIM/COMB TURBINE GEN STATION</t>
  </si>
  <si>
    <t>D33644</t>
  </si>
  <si>
    <t>ICE, DETROIT DIESEL, EMR, DIESEL, MODEL 9136-7316, 16 CYL, 2020 BHP, TURBOCHARGED, INTERCOOLED</t>
  </si>
  <si>
    <t>9136-7316</t>
  </si>
  <si>
    <t xml:space="preserve">1144 N KRAEMER BLVD                                                             </t>
  </si>
  <si>
    <t xml:space="preserve">WILSON SUZANNE                                    </t>
  </si>
  <si>
    <t xml:space="preserve">(714) 7656874   </t>
  </si>
  <si>
    <t>CITY OF ARCADIA/ORANGE GROVE PUMPING STN</t>
  </si>
  <si>
    <t>F24480</t>
  </si>
  <si>
    <t>ICE, DETROIT DIESEL, EMR, DIESEL, MODEL 6063-TK35, 6 CYL, 310 KW, TURBOCHARGED, INTERCOOLED</t>
  </si>
  <si>
    <t>6063-TK35</t>
  </si>
  <si>
    <t xml:space="preserve">79 W ORANGE GROVE                                                               </t>
  </si>
  <si>
    <t>91066-6021</t>
  </si>
  <si>
    <t xml:space="preserve">MCVEY DAVID                                       </t>
  </si>
  <si>
    <t xml:space="preserve">(626) 2566664   </t>
  </si>
  <si>
    <t xml:space="preserve">CITY OF ARCADIA-WATER DIVISION          </t>
  </si>
  <si>
    <t>F23275</t>
  </si>
  <si>
    <t>ICE, CATERPILLAR, DIESEL, EMR, MODEL 3406 DITA, 350 KW, 6 CYL, TURBOCHARGED, AFTERCOOLED</t>
  </si>
  <si>
    <t xml:space="preserve">2205 N SANTA ANITA AVE                                                          </t>
  </si>
  <si>
    <t xml:space="preserve">SIERRA MADRE             </t>
  </si>
  <si>
    <t xml:space="preserve">KONKIRATI PAUL                                    </t>
  </si>
  <si>
    <t xml:space="preserve">(626) 2566582   </t>
  </si>
  <si>
    <t xml:space="preserve">CITY OF BEVERLY HILLS                   </t>
  </si>
  <si>
    <t>F37171</t>
  </si>
  <si>
    <t>ICE, CATERPILLAR, DIESEL, EMR, MODEL 3412 , SN 81Z06121, 12 CYL, 750 BHP, TURBOCHARGED, AFTERCOOLED</t>
  </si>
  <si>
    <t xml:space="preserve">444 N REXFORD                                                                   </t>
  </si>
  <si>
    <t>90210-4873</t>
  </si>
  <si>
    <t xml:space="preserve">CITY OF BUENA PARK, FREEWAY WELL        </t>
  </si>
  <si>
    <t>F18324</t>
  </si>
  <si>
    <t>ICE, CATERPILLAR, DIESEL, EMR, MODEL 3406 DITA , SN 4PM00078, 12 CYL, 400 KW, TURBOCHARGED, AFTERCOOLED</t>
  </si>
  <si>
    <t xml:space="preserve">7301 KNOTT AVE                                                                  </t>
  </si>
  <si>
    <t xml:space="preserve">(714) 5623651   </t>
  </si>
  <si>
    <t xml:space="preserve">CITY OF BURBANK, POLICE/FIRE HDQTRS     </t>
  </si>
  <si>
    <t xml:space="preserve">F8526 </t>
  </si>
  <si>
    <t>ICE, CUMMINS, DIESEL, EMR, MODEL QST30-G2, SN 100-3337-04, 800 KW, TURBOCHARGED, AFTERCOOLED</t>
  </si>
  <si>
    <t xml:space="preserve">200 N THIRD ST                                                                  </t>
  </si>
  <si>
    <t xml:space="preserve">BERDROW STEVE                                     </t>
  </si>
  <si>
    <t xml:space="preserve">(818) 2383161   </t>
  </si>
  <si>
    <t xml:space="preserve">CITY OF CERRITOS                        </t>
  </si>
  <si>
    <t>D93178</t>
  </si>
  <si>
    <t>ICE, DETROIT DIESEL, EMR, DIESEL, MODEL 8083-7416 (8V-92TA), 8 CYL, 643 BHP, TURBOCHARGED, AFTERCOOLED</t>
  </si>
  <si>
    <t xml:space="preserve">12700 CENTER DR                                                                 </t>
  </si>
  <si>
    <t xml:space="preserve">CERRITOS                 </t>
  </si>
  <si>
    <t xml:space="preserve">RAMON PHIL                                        </t>
  </si>
  <si>
    <t xml:space="preserve">(310) 8600311   </t>
  </si>
  <si>
    <t xml:space="preserve">CITY OF CORONA                          </t>
  </si>
  <si>
    <t>F28435</t>
  </si>
  <si>
    <t>ICE, CATERPILLAR, DIESEL, EMR, MODEL 3412 DITTA, 12 CYL, 746 BHP, TURBOCHARGED, AFTERCOOLED</t>
  </si>
  <si>
    <t xml:space="preserve">405 SIERRA VISTA ST                                                             </t>
  </si>
  <si>
    <t xml:space="preserve">RACINE MARSHALL L                                 </t>
  </si>
  <si>
    <t xml:space="preserve">(909) 736       </t>
  </si>
  <si>
    <t xml:space="preserve">CITY OF DOWNEY                          </t>
  </si>
  <si>
    <t>D85821</t>
  </si>
  <si>
    <t>ICE, CATERPILLAR, PORTABLE, MODEL 3406B, 6 CYL, 585 BHP, TURBOCHARGED, AFTERCOOLED</t>
  </si>
  <si>
    <t>3406B</t>
  </si>
  <si>
    <t xml:space="preserve">9252 STEWART &amp; GRAY                                                             </t>
  </si>
  <si>
    <t xml:space="preserve">DOWNEY                   </t>
  </si>
  <si>
    <t xml:space="preserve">VASQUEZ TONY                                      </t>
  </si>
  <si>
    <t xml:space="preserve">(310) 9047202   </t>
  </si>
  <si>
    <t>CITY OF EL SEGUNDO,DEPT. OF PUBLIC WORKS</t>
  </si>
  <si>
    <t>F21374</t>
  </si>
  <si>
    <t>ICE, CUMMINS, DIESEL, EMR, MODEL NTA855-G5, 605 BHP, 6 CYL, TURBOCHARGED, AFTERCOOLED</t>
  </si>
  <si>
    <t>NTA855-G5</t>
  </si>
  <si>
    <t xml:space="preserve">348 MAIN ST                                                                     </t>
  </si>
  <si>
    <t xml:space="preserve">DOMANN CATHY                                      </t>
  </si>
  <si>
    <t xml:space="preserve">(310) 6072208   </t>
  </si>
  <si>
    <t xml:space="preserve">CITY OF HOPE MEDICAL CENTER             </t>
  </si>
  <si>
    <t>D64727</t>
  </si>
  <si>
    <t>ICE, CATERPILLAR, DIESEL, EMR, MODEL 3516, SN 25Z00808, 1500 KW, TURBOCHARGED, AFTERCOOLED</t>
  </si>
  <si>
    <t xml:space="preserve">1500 E DUARTE RD                                                                </t>
  </si>
  <si>
    <t>91010-3012</t>
  </si>
  <si>
    <t xml:space="preserve">THACKER MARK S                                    </t>
  </si>
  <si>
    <t xml:space="preserve">(818) 3598111   </t>
  </si>
  <si>
    <t>D64728</t>
  </si>
  <si>
    <t>ICE, CATERPILLAR, DIESEL, EMR, MODEL 3516, SN 25Z00807, 1500 KW, TURBOCHARGED, AFTERCOOLED</t>
  </si>
  <si>
    <t>D64729</t>
  </si>
  <si>
    <t>March 2003</t>
  </si>
  <si>
    <t>MJV</t>
  </si>
  <si>
    <t>Mojave Desert AQMD</t>
  </si>
  <si>
    <t>Source</t>
  </si>
  <si>
    <t>Number of BUGs</t>
  </si>
  <si>
    <t>Total MW</t>
  </si>
  <si>
    <t>Database Current Through:</t>
  </si>
  <si>
    <t>Air Districts</t>
  </si>
  <si>
    <t>South Coast AQMD</t>
  </si>
  <si>
    <t>April 2001</t>
  </si>
  <si>
    <t>San Diego County APCD</t>
  </si>
  <si>
    <t>San Joaquin Valley Unified APCD</t>
  </si>
  <si>
    <t>March 2001</t>
  </si>
  <si>
    <t>Monterey Bay Unified APCD</t>
  </si>
  <si>
    <t>Yolo/Solano AQMD</t>
  </si>
  <si>
    <t>Ventura County APCD</t>
  </si>
  <si>
    <t>Placer County APCD</t>
  </si>
  <si>
    <t>Antelope Valley APCD</t>
  </si>
  <si>
    <t>San Luis Obispo County APCD</t>
  </si>
  <si>
    <t>El Dorado County APCD</t>
  </si>
  <si>
    <t>Kern County APCD</t>
  </si>
  <si>
    <t>Feather River AQMD</t>
  </si>
  <si>
    <t>Imperial County APCD</t>
  </si>
  <si>
    <t>Butte County AQMD</t>
  </si>
  <si>
    <t>Great Basin Unified APCD</t>
  </si>
  <si>
    <t>Santa Barbara County APCD</t>
  </si>
  <si>
    <t>March 2001, poor recordkeeping prior to 2001</t>
  </si>
  <si>
    <t>Amador County APCD</t>
  </si>
  <si>
    <t>Shasta County AQMD</t>
  </si>
  <si>
    <t>Lake County AQMD</t>
  </si>
  <si>
    <t>Mendocino County AQMD</t>
  </si>
  <si>
    <t>Glenn County APCD</t>
  </si>
  <si>
    <t>Mariposa County APCD</t>
  </si>
  <si>
    <t>Tehama County APCD</t>
  </si>
  <si>
    <t>North Coast Unified AQMD</t>
  </si>
  <si>
    <t>Colusa County APCD</t>
  </si>
  <si>
    <t>Other Sources</t>
  </si>
  <si>
    <t>Pacific Gas &amp; Electric</t>
  </si>
  <si>
    <t>Silicon Valley Power</t>
  </si>
  <si>
    <t>Los Angeles Dept. of Water and Power</t>
  </si>
  <si>
    <t>Office of Energy Assessments-California Department of General Services</t>
  </si>
  <si>
    <t>California Department of Corrections</t>
  </si>
  <si>
    <t>May 2000</t>
  </si>
  <si>
    <t>Major Telecommunications Company</t>
  </si>
  <si>
    <t>Totals</t>
  </si>
  <si>
    <t>User Warning</t>
  </si>
  <si>
    <t>•  NOx and PM emissions factors were taken from the ARB OFFROAD model, and represent average emission factors for corresponding engine ratings and year of manufacture.  Emission factors are noted only for diesel-fueled BUGs with known permit application years.  The permit application year was assumed to be the BUG year of manufacture.</t>
  </si>
  <si>
    <t>Database Structure</t>
  </si>
  <si>
    <t>The database is contained in the sheet tabbed "Inventory."  Each BUG record contains the following information, when available from the data source, arranged in columns:</t>
  </si>
  <si>
    <r>
      <t xml:space="preserve">•  </t>
    </r>
    <r>
      <rPr>
        <b/>
        <sz val="10"/>
        <rFont val="Arial"/>
        <family val="2"/>
      </rPr>
      <t>Data Source:</t>
    </r>
    <r>
      <rPr>
        <sz val="10"/>
        <rFont val="Arial"/>
        <family val="2"/>
      </rPr>
      <t xml:space="preserve">  A 2 or 3 letter code that corresponds to the source of the data; the table below indicates data sources corresponding to each code</t>
    </r>
  </si>
  <si>
    <r>
      <t xml:space="preserve">•  </t>
    </r>
    <r>
      <rPr>
        <b/>
        <sz val="10"/>
        <rFont val="Arial"/>
        <family val="2"/>
      </rPr>
      <t>Facility Name:</t>
    </r>
    <r>
      <rPr>
        <sz val="10"/>
        <rFont val="Arial"/>
        <family val="2"/>
      </rPr>
      <t xml:space="preserve">  The BUG owner and facility name</t>
    </r>
  </si>
  <si>
    <r>
      <t xml:space="preserve">•  </t>
    </r>
    <r>
      <rPr>
        <b/>
        <sz val="10"/>
        <rFont val="Arial"/>
        <family val="2"/>
      </rPr>
      <t>Permit Application Number:</t>
    </r>
    <r>
      <rPr>
        <sz val="10"/>
        <rFont val="Arial"/>
        <family val="2"/>
      </rPr>
      <t xml:space="preserve">  The air district application number for the BUG's air permit</t>
    </r>
  </si>
  <si>
    <r>
      <t xml:space="preserve">•  </t>
    </r>
    <r>
      <rPr>
        <b/>
        <sz val="10"/>
        <rFont val="Arial"/>
        <family val="2"/>
      </rPr>
      <t>Permit Application Year:</t>
    </r>
    <r>
      <rPr>
        <sz val="10"/>
        <rFont val="Arial"/>
        <family val="2"/>
      </rPr>
      <t xml:space="preserve"> The year the initial air permit application was submitted </t>
    </r>
  </si>
  <si>
    <r>
      <t xml:space="preserve">•  </t>
    </r>
    <r>
      <rPr>
        <b/>
        <sz val="10"/>
        <rFont val="Arial"/>
        <family val="2"/>
      </rPr>
      <t>Permit Number:</t>
    </r>
    <r>
      <rPr>
        <sz val="10"/>
        <rFont val="Arial"/>
        <family val="2"/>
      </rPr>
      <t xml:space="preserve">  The air district number of the air permit issued</t>
    </r>
  </si>
  <si>
    <r>
      <t xml:space="preserve">•  </t>
    </r>
    <r>
      <rPr>
        <b/>
        <sz val="10"/>
        <rFont val="Arial"/>
        <family val="2"/>
      </rPr>
      <t>Engine Description:</t>
    </r>
    <r>
      <rPr>
        <sz val="10"/>
        <rFont val="Arial"/>
        <family val="2"/>
      </rPr>
      <t xml:space="preserve">  All information describing the BUG's engine received from the data source</t>
    </r>
  </si>
  <si>
    <r>
      <t xml:space="preserve">•  </t>
    </r>
    <r>
      <rPr>
        <b/>
        <sz val="10"/>
        <rFont val="Arial"/>
        <family val="2"/>
      </rPr>
      <t>Primary Fuel:</t>
    </r>
    <r>
      <rPr>
        <sz val="10"/>
        <rFont val="Arial"/>
        <family val="2"/>
      </rPr>
      <t xml:space="preserve">  The BUG's primary fuel</t>
    </r>
  </si>
  <si>
    <r>
      <t xml:space="preserve">•  </t>
    </r>
    <r>
      <rPr>
        <b/>
        <sz val="10"/>
        <rFont val="Arial"/>
        <family val="2"/>
      </rPr>
      <t>Manufacturer:</t>
    </r>
    <r>
      <rPr>
        <sz val="10"/>
        <rFont val="Arial"/>
        <family val="2"/>
      </rPr>
      <t xml:space="preserve">  The manufacturer of the BUG's engine</t>
    </r>
  </si>
  <si>
    <r>
      <t xml:space="preserve">•  </t>
    </r>
    <r>
      <rPr>
        <b/>
        <sz val="10"/>
        <rFont val="Arial"/>
        <family val="2"/>
      </rPr>
      <t>Model:</t>
    </r>
    <r>
      <rPr>
        <sz val="10"/>
        <rFont val="Arial"/>
        <family val="2"/>
      </rPr>
      <t xml:space="preserve">  The model number of the BUG's engine</t>
    </r>
  </si>
  <si>
    <r>
      <t xml:space="preserve">•  </t>
    </r>
    <r>
      <rPr>
        <b/>
        <sz val="10"/>
        <rFont val="Arial"/>
        <family val="2"/>
      </rPr>
      <t>Generator Capacity:</t>
    </r>
    <r>
      <rPr>
        <sz val="10"/>
        <rFont val="Arial"/>
        <family val="2"/>
      </rPr>
      <t xml:space="preserve">  The stated or estimated BUG generation capacity (kW); if the capacity was stated by the data source, this is the value used; if the data source only gave the BUG engine's hp or bhp rating, then the generator capacity is calculated from the stated hp or bhp rating using a conversion factor of 0.67 kW/hp</t>
    </r>
  </si>
  <si>
    <r>
      <t xml:space="preserve">•  </t>
    </r>
    <r>
      <rPr>
        <b/>
        <sz val="10"/>
        <rFont val="Arial"/>
        <family val="2"/>
      </rPr>
      <t>Stated Generator Capacity (kW):</t>
    </r>
    <r>
      <rPr>
        <sz val="10"/>
        <rFont val="Arial"/>
        <family val="2"/>
      </rPr>
      <t xml:space="preserve">  The generator capacity (kW) given by the data source, if supplied</t>
    </r>
  </si>
  <si>
    <t>ONE (1) 670 HP CATERPILLAR DIESEL FUELED INTERNAL COMBUSTION ENGINE (MODEL # 3412) POWERING A 455 KW EMERGENCY GENERATOR.</t>
  </si>
  <si>
    <t>200 E. HACKETT RD.</t>
  </si>
  <si>
    <t>(209) 525-4108</t>
  </si>
  <si>
    <t>N-1683-2-0</t>
  </si>
  <si>
    <t>ONE (1) 742 HP CATERPILLAR DIESEL FUELED INTERNAL COMBUSTION ENGINE (MODEL #3412) POWERING A 500 KW EMERGENCY GENERATOR.</t>
  </si>
  <si>
    <t>STANISLAUS MEDICAL CENTER</t>
  </si>
  <si>
    <t>N-3827-4-0</t>
  </si>
  <si>
    <t>ONE (1) 628 HP CATERPILLAR MODEL NO. D379 (SERIAL NO. 68B00644) DIESEL FIRED EMERGENCY I.C. ENGINE POWERING A 400 KW ELECTRICAL GENERATOR</t>
  </si>
  <si>
    <t>830 SCENIC DRIVE</t>
  </si>
  <si>
    <t>(209) 558-7125</t>
  </si>
  <si>
    <t>STANISLAUS SURGERY CENTER</t>
  </si>
  <si>
    <t>N-4239-1-0</t>
  </si>
  <si>
    <t>896 HP CATERPILLAR MODEL 3412C DIESEL-FIRED EMERGENCY IC ENGINE WITH TURBOCHARGER, AFTERCOOLER, AND PCV POWERING A 600 KW ELECTRICAL GENERATOR</t>
  </si>
  <si>
    <t>1421 OAKDALE ROAD</t>
  </si>
  <si>
    <t>(209) 572-2700</t>
  </si>
  <si>
    <t>STATE CENTER COMMUNITY COLLEGE</t>
  </si>
  <si>
    <t>C-2928-3-0</t>
  </si>
  <si>
    <t>566 HP CATERPILLAR MODEL G3412 NATURAL GAS OR PROPANE FIRED EMERGENCY IC ENGINE POWERING A 370 KW ELECTRICAL GENERATOR.</t>
  </si>
  <si>
    <t>Natural Gas or Propane</t>
  </si>
  <si>
    <t>30277 AVENUE 12</t>
  </si>
  <si>
    <t>93638</t>
  </si>
  <si>
    <t>(209) 638-0316</t>
  </si>
  <si>
    <t>STATE FARM MUTUAL AUTO INS</t>
  </si>
  <si>
    <t>S-2777-3-0</t>
  </si>
  <si>
    <t>749 BHP TURBOCHARGED CATERPILLER DIESEL-FIRED IC ENGINE MODEL 3412 TA POWERING AN EMERGENCY GENERATOR</t>
  </si>
  <si>
    <t>900 OLD RIVER RD</t>
  </si>
  <si>
    <t>(805) 663-4104</t>
  </si>
  <si>
    <t>STOCKTON EAST WATER DISTRICT</t>
  </si>
  <si>
    <t>N-823-10-1</t>
  </si>
  <si>
    <t>ONE (1) 760 BHP DETROIT DIESEL TURBOCHARGED DIESEL FIRED IC ENGINE POWERING AN EMERGENCY STANDBY ELECTRICAL GENERATOR</t>
  </si>
  <si>
    <t>6767 E MAIN STREET</t>
  </si>
  <si>
    <t>(209) 948-0333</t>
  </si>
  <si>
    <t>STOCKTON MUNICIPAL UTILITY</t>
  </si>
  <si>
    <t>N-2550-1-0</t>
  </si>
  <si>
    <t>ONE (1) 1978 HP CATERPILLAR MODEL 3512 DIESEL FIRED IC ENGINE SERVING AN EMERGENCY STANDBY GENERATOR</t>
  </si>
  <si>
    <t>FONTANA AVE AT SMITH CANAL</t>
  </si>
  <si>
    <t>STOCKTON RWCF</t>
  </si>
  <si>
    <t>N-811-6-2</t>
  </si>
  <si>
    <t>EMERGENCY STANDBY GENERATOR SERVED BY A 450 HP CATERPILLAR D343TA DIESEL ENGINE</t>
  </si>
  <si>
    <t>D343 TA</t>
  </si>
  <si>
    <t>2500 NAVY DR</t>
  </si>
  <si>
    <t>(209) 466-5261</t>
  </si>
  <si>
    <t>N-811-11-1</t>
  </si>
  <si>
    <t>PORTABLE EMERGENCY STANDBY GENERATOR SERVED BY 450 HP CATERPILLER 3406 DITA DIESEL ENGINE, S/N 75Z1640.  TURBOCHARGED. TIMING RETARDED.</t>
  </si>
  <si>
    <t>N-811-12-1</t>
  </si>
  <si>
    <t>PORTABLE EMERGENCY STANDBY GENERATOR SERVED BY 450 HP CATERPILLAR 3406TA DIESEL ENGINE, S/N 75Z01455. TURBOCHARGED. TIMING RETARDED.</t>
  </si>
  <si>
    <t>SUPER STORE INDUSTRIES</t>
  </si>
  <si>
    <t>N-3232-3-0</t>
  </si>
  <si>
    <t>535 BHP CUMMINS DIESEL-FIRED EMERGENCY  IC ENGINE MODEL N14-G2 SERIAL# 11987924 EQUIPPED WITH TURBOCHARGER AND AFTERCOOLER USED TO POWER A 350 KW ONAN GENERATOR SET.</t>
  </si>
  <si>
    <t>16888 MCKINLEY AVE</t>
  </si>
  <si>
    <t>(209) 858-2010</t>
  </si>
  <si>
    <t>THE MODESTO BEE</t>
  </si>
  <si>
    <t>N-3590-2-0</t>
  </si>
  <si>
    <t>ONE (1) 603 HP TURBOCHARGED CATERPILLAR DIESEL FUELED INTERNAL COMBUSTION ENGINE (MODEL # 3408) POWERING A 450 KW EMERGENCY GENERATOR.</t>
  </si>
  <si>
    <t>1325 H STREET</t>
  </si>
  <si>
    <t>(209) 578-2172</t>
  </si>
  <si>
    <t>TULARE CITY WASTEWATER PLANT</t>
  </si>
  <si>
    <t>S-548-7-1</t>
  </si>
  <si>
    <t>900 HP CATERPILLAR MODEL D348, V-12 DIESEL-FIRED EMERGENCY IC ENGINE (S/N 36J1780) DRIVING 615 KW MARATHON ELECTRIC GENERATOR</t>
  </si>
  <si>
    <t>1875 SOUTH WEST STREET</t>
  </si>
  <si>
    <t>(559) 688-2001</t>
  </si>
  <si>
    <t>U S FILTER OPERATING SERVICES</t>
  </si>
  <si>
    <t>S-3629-1-0</t>
  </si>
  <si>
    <t>685 BHP CUMMINS KTA19-G3 DIESEL-FIRED I.C. ENGINE EQUIPPED WITH A TURBOCHARGER AND AFTERCOOLER POWERING A 450 KW EMERGENCY GENERATOR</t>
  </si>
  <si>
    <t>18500 RANCHO ROAD</t>
  </si>
  <si>
    <t xml:space="preserve"> ARVIN</t>
  </si>
  <si>
    <t>93203</t>
  </si>
  <si>
    <t>UNIFIED WESTERN GROCERS, INC</t>
  </si>
  <si>
    <t>N-4156-1-0</t>
  </si>
  <si>
    <t>1094 HP CATERPILLAR MODEL 3508 DIESEL-FIRED EMERGENCY IC ENGINE WITH TURBOCHARGER, AFTERCOOLER, PCV, AND 4 DEGREES RETARDATION POWERING A 765 KW ELECTRICAL GENERATOR</t>
  </si>
  <si>
    <t>1990 PICCOLL ROAD</t>
  </si>
  <si>
    <t>95215</t>
  </si>
  <si>
    <t>(209) 931-9440 X8501</t>
  </si>
  <si>
    <t>UNITED STATES PENITENTIARY</t>
  </si>
  <si>
    <t>N-4254-5-0</t>
  </si>
  <si>
    <t>2,220 HP CUMMINS (MODEL # KTA 50-G9) DIESEL-FIRED EMERGENCY IC ENGINE (SERIAL #33143305) POWERING A 1,500 KW ELECTRICAL GENERATOR.</t>
  </si>
  <si>
    <t>NUMBER 1 FEDERAL WAY</t>
  </si>
  <si>
    <t>(202) 514-5942</t>
  </si>
  <si>
    <t>UNIVERSITY MEDICAL CENTER</t>
  </si>
  <si>
    <t>C-1333-3-1</t>
  </si>
  <si>
    <t>1000 HP CATERPILLAR DIESEL-FIRED EMERGENCY IC ENGINE DRIVING 750 KW GENERATOR, #1.</t>
  </si>
  <si>
    <t>445 S CEDAR AVE</t>
  </si>
  <si>
    <t>(209) 453-5070</t>
  </si>
  <si>
    <t>C-1333-4-1</t>
  </si>
  <si>
    <t>1,000 HP CATERPILLAR DIESEL-FIRED EMERGENCY IC ENGINE DRIVING 750 KW ELECTRICAL GENERATOR, #2.</t>
  </si>
  <si>
    <t>VA MEDICAL CENTER</t>
  </si>
  <si>
    <t>C-1336-5-0</t>
  </si>
  <si>
    <t>455.0 HP CATERPILLAR 3408DI EMERGENCY STANDBY IC ENGINE, S/N 78Z02317, DRIVING AN ELECTRICAL GENERATOR.  ENGINE IS LOCATED IN THE OUTPATIENT CLINIC (BLDG. #35).</t>
  </si>
  <si>
    <t>3408 DI</t>
  </si>
  <si>
    <t>2615 E CLINTON AVE</t>
  </si>
  <si>
    <t>(209) 225-6100 X5382</t>
  </si>
  <si>
    <t>C-1336-6-0</t>
  </si>
  <si>
    <t>536.0 HP CUMMINS MODEL VTA-1710-GS IC ENGINE, S/N 10704341, DRIVING AN ELECTRICAL GENERATOR TO PROVIDE EMERGENCY POWER. ENGINE IS LOCATED IN THE BOILER PLANT (BLDG. 2).</t>
  </si>
  <si>
    <t>VTA-1710-GS</t>
  </si>
  <si>
    <t>C-1336-8-0</t>
  </si>
  <si>
    <t>487.0 HP CATERPILLAR MODEL 3406DI EMERGENCY STANDBY IC ENGINE, S/N 2WB03429, DRIVING AN ELECTRICAL GENERATOR.  ENGINE IS LOCATED IN BLDG. 18.</t>
  </si>
  <si>
    <t>3406 DI</t>
  </si>
  <si>
    <t>C-1336-4-0</t>
  </si>
  <si>
    <t>1490.0 HP CUMMINS KTA 3067G EMERGENCY STANDBY IC ENGINE DRIVING A 750 KW ELECTRICAL GENERATOR.</t>
  </si>
  <si>
    <t>KTA3067G</t>
  </si>
  <si>
    <t>VALLEY CHILDREN'S HOSPITAL</t>
  </si>
  <si>
    <t>C-2902-5-0</t>
  </si>
  <si>
    <t>1818 BHP CATERPILLAR MODEL 3512, DIESEL-FIRED IC ENGINE POWERING A 1250 KW EMERGENCY GENERATOR.</t>
  </si>
  <si>
    <t>9300 VALLEY CHILDREN'S PLACE</t>
  </si>
  <si>
    <t>(559) 353-5993</t>
  </si>
  <si>
    <t>C-2902-6-0</t>
  </si>
  <si>
    <t>C-2902-7-0</t>
  </si>
  <si>
    <t>C-2902-8-0</t>
  </si>
  <si>
    <t>VISALIA WASTEWATER TREATMENT</t>
  </si>
  <si>
    <t>S-984-1-1</t>
  </si>
  <si>
    <t>805 HP CATERPILLAR MODEL D348 DIESEL-FIRED IC EMERGENCY STANDBY ENGINE WITH TURBOCHARGER AND AFTERCOOLER POWERING 545 KW ELECTRICAL GENERATOR.</t>
  </si>
  <si>
    <t>7579 AVENUE 288</t>
  </si>
  <si>
    <t>(559) 738-3467</t>
  </si>
  <si>
    <t>S-984-11-0</t>
  </si>
  <si>
    <t>1550 BHP SPECTRUM (BY KOHLER) DIESEL-FIRED EMERGENCY IC ENGINE POWERING A 900 KW GENERATOR</t>
  </si>
  <si>
    <t>WARMERDAM PACKING</t>
  </si>
  <si>
    <t>C-3071-3-0</t>
  </si>
  <si>
    <t>900 HP WAUKESHA MODEL FU5400 DIESEL FIRED IC ENGINE POWERING A 500 KW EMERGENCY GENERATOR.</t>
  </si>
  <si>
    <t>FU5400</t>
  </si>
  <si>
    <t>15650 EXCELSIOR AVE</t>
  </si>
  <si>
    <t>(209) 584-9211</t>
  </si>
  <si>
    <t>WASHINGTON MUTUAL BANK</t>
  </si>
  <si>
    <t>N-2456-1-0</t>
  </si>
  <si>
    <t>ONE (1) 2149 HP DIESEL FIRED IC ENGINE POWERING AN EMERGENCY STANDBY GENERATOR</t>
  </si>
  <si>
    <t>400 E  MAIN ST</t>
  </si>
  <si>
    <t>(209) 460-2591</t>
  </si>
  <si>
    <t>WEST VALLEY MALL</t>
  </si>
  <si>
    <t>N-3577-1-1</t>
  </si>
  <si>
    <t>ONE (1) 947 HP DIESEL FUELED DETROIT DIESEL INTERNAL COMBUSTION ENGINE (MODEL # 12V92TA) POWERING A 600 KW EMERGENCY GENERATOR.</t>
  </si>
  <si>
    <t>3200 NAGLEE ROAD</t>
  </si>
  <si>
    <t>(209) 836-4091</t>
  </si>
  <si>
    <t>WILLIAMS COMMUNICATION</t>
  </si>
  <si>
    <t>C-3572-1-0</t>
  </si>
  <si>
    <t>759 HP VOLVO MODEL TAD1631GEPVUMR DIESEL FIRED EMERGENCY IC ENGINE POWERING A 500 KW ELECTRICAL GENERATOR.</t>
  </si>
  <si>
    <t xml:space="preserve">6300 WILSHIRE BLVD #1115                                                        </t>
  </si>
  <si>
    <t>90048-5213</t>
  </si>
  <si>
    <t xml:space="preserve">O'KEEFE KEN                                       </t>
  </si>
  <si>
    <t xml:space="preserve">(323) 6555443   </t>
  </si>
  <si>
    <t xml:space="preserve">AT &amp; T WIRELESS                         </t>
  </si>
  <si>
    <t>F31366</t>
  </si>
  <si>
    <t>ICE, CUMMINS, DIESEL, MODEL KTA19-G4, TURBOCHARGED, AFTERCOOLED, EMERGENCY ELECTRICAL GENERATION, 755 BHP</t>
  </si>
  <si>
    <t>KTA19-G4</t>
  </si>
  <si>
    <t xml:space="preserve">301 N CRESCENT WAY                                                              </t>
  </si>
  <si>
    <t xml:space="preserve">ANAHEIM                  </t>
  </si>
  <si>
    <t xml:space="preserve">WALDEN BARBARA                                    </t>
  </si>
  <si>
    <t xml:space="preserve">(925) 2241488   </t>
  </si>
  <si>
    <t xml:space="preserve">AB CELLULAR HOLDING/AT&amp;T WIRELESS       </t>
  </si>
  <si>
    <t>F34169</t>
  </si>
  <si>
    <t>ICE, CUMMINS, MODEL N14 G2, SN 12004341, DIESEL, 6 CYL, TURBOCHARGED, AFTERCOOLED, 535 BHP, EMR</t>
  </si>
  <si>
    <t>N14-G2</t>
  </si>
  <si>
    <t xml:space="preserve">4135 GARNER RD                                                                  </t>
  </si>
  <si>
    <t xml:space="preserve">RIVERSIDE                </t>
  </si>
  <si>
    <t>F34172</t>
  </si>
  <si>
    <t>ICE, CUMMINS, MODEL N14 G2, SN 12004388, DIESEL, 6 CYL, TURBOCHARGED, AFTERCOOLED, 535 BHP, EMR</t>
  </si>
  <si>
    <t>F34174</t>
  </si>
  <si>
    <t>ICE, CUMMINS, MODEL QSX15-G9, SN 14009139, DIESEL, 6 CYL, TURBOCHARGED, AFTERCOOLED, 765 BHP, EMR</t>
  </si>
  <si>
    <t>QSX15-G9</t>
  </si>
  <si>
    <t xml:space="preserve">ABLESTIK LABORATORIES                   </t>
  </si>
  <si>
    <t>F37050</t>
  </si>
  <si>
    <t>ICE, DETROIT  DIESEL, 12 CYL, TURBOCHARGED, AFTERCOOLED, MODEL T123-7K36 (12V-4000), 2200 BHP, DIESEL, EMR</t>
  </si>
  <si>
    <t>T123-7K36</t>
  </si>
  <si>
    <t xml:space="preserve">20021 SUSANA RD                                                                 </t>
  </si>
  <si>
    <t xml:space="preserve">RANCHO DOMINGUEZ         </t>
  </si>
  <si>
    <t xml:space="preserve">GEBREYESUS YARED                                  </t>
  </si>
  <si>
    <t xml:space="preserve">(310) 6055764   </t>
  </si>
  <si>
    <t>ACADEMY MOTION PICTURES OF ARTS &amp;SCIENCE</t>
  </si>
  <si>
    <t>F14027</t>
  </si>
  <si>
    <t>ICE, CUMMINS, 6 CYL, TURBOCHARGED, AFTERCOOLED, MODEL NTA855-G3, 535 BHP, DIESEL, EMR</t>
  </si>
  <si>
    <t>NTA855-G3</t>
  </si>
  <si>
    <t xml:space="preserve">8949 WILSHIRE BLVD                                                              </t>
  </si>
  <si>
    <t xml:space="preserve">BEVERLY HILLS            </t>
  </si>
  <si>
    <t xml:space="preserve">EDWARDS DOUG                                      </t>
  </si>
  <si>
    <t xml:space="preserve">(213) 2788990   </t>
  </si>
  <si>
    <t xml:space="preserve">AETNA LIFE INSURANCE CO  .              </t>
  </si>
  <si>
    <t>F16616</t>
  </si>
  <si>
    <t xml:space="preserve">251 S LAKE AVE                                                                  </t>
  </si>
  <si>
    <t xml:space="preserve">PASADENA                 </t>
  </si>
  <si>
    <t xml:space="preserve">ALVARADO ARMAND V                                 </t>
  </si>
  <si>
    <t xml:space="preserve">(626) 7925161   </t>
  </si>
  <si>
    <t xml:space="preserve">AETNA LIFE INSURANCE COMPANY            </t>
  </si>
  <si>
    <t>D81346</t>
  </si>
  <si>
    <t>ICE, CATERPILLAR, MODEL D348PCTA, SN JO3053, 600KW, DIESEL, 12 CYL, AFTERCOOLED, EMR,</t>
  </si>
  <si>
    <t>D348 PCTA</t>
  </si>
  <si>
    <t xml:space="preserve">225 S LAKE AVE                                                                  </t>
  </si>
  <si>
    <t xml:space="preserve">ALVARADO ARMAND                                   </t>
  </si>
  <si>
    <t xml:space="preserve">AGGREKO INC                             </t>
  </si>
  <si>
    <t>D37004</t>
  </si>
  <si>
    <t>ICE, CUMMINS, 6 CYL, TURBOCHARGED, AFTERCOOLED, MODEL KTTA-19-G, 620 BHP, DIESEL.</t>
  </si>
  <si>
    <t>KTTA19-G</t>
  </si>
  <si>
    <t xml:space="preserve">VARIOUS LOCATIONS IN SCAQMD                                                     </t>
  </si>
  <si>
    <t xml:space="preserve">SANTA FE SPRINGS         </t>
  </si>
  <si>
    <t>90670-4995</t>
  </si>
  <si>
    <t xml:space="preserve">ONEILL PETER                                      </t>
  </si>
  <si>
    <t xml:space="preserve">(310) 8027972   </t>
  </si>
  <si>
    <t>D37005</t>
  </si>
  <si>
    <t>D37006</t>
  </si>
  <si>
    <t>D96673</t>
  </si>
  <si>
    <t>ICE, CUMMINS, PORTABLE, MODEL P 6558, SN 37140831, DIESEL, 6 CYL, TURBOCHARGED, AFTERCOOLED, 620 BHP</t>
  </si>
  <si>
    <t>P 6558</t>
  </si>
  <si>
    <t xml:space="preserve">AGL INVESTMENTS #5                      </t>
  </si>
  <si>
    <t>F32814</t>
  </si>
  <si>
    <t>ICE, CATERPILLAR, MODEL 3412, SN 81Z06828, 724 BHP, DIESEL, 12 CYL, TURBOCHARGED, AFTERCOOLED, EMR,</t>
  </si>
  <si>
    <t xml:space="preserve">555 ANTON BLVD                                                                  </t>
  </si>
  <si>
    <t xml:space="preserve">HUNTER JAMES                                      </t>
  </si>
  <si>
    <t xml:space="preserve">(714) 7084350   </t>
  </si>
  <si>
    <t xml:space="preserve">AGUINAGA FERTILIZER CO INC              </t>
  </si>
  <si>
    <t>F36126</t>
  </si>
  <si>
    <t>ICE, PORTABLE, CATERPILLAR, MODEL 3412E DITA, SN 4CR00600, TURBOCHARGED, AFTERCOOLED, DIESEL, 750 BHP, TUB GRINDER DRIVER</t>
  </si>
  <si>
    <t>3412E DITA</t>
  </si>
  <si>
    <t xml:space="preserve">7992 IRVINE BLVD                                                                </t>
  </si>
  <si>
    <t xml:space="preserve">IRVINE                   </t>
  </si>
  <si>
    <t xml:space="preserve">AGUINAGA ROGER                                    </t>
  </si>
  <si>
    <t xml:space="preserve">(949) 7869558   </t>
  </si>
  <si>
    <t>D349</t>
  </si>
  <si>
    <t xml:space="preserve">VERIZON WIRELESS/TUSTIN MTSO            </t>
  </si>
  <si>
    <t>288928</t>
  </si>
  <si>
    <t>D79916</t>
  </si>
  <si>
    <t>ICE, CUMMINS, 6 CYL, TURBOCHARGED, AFTERCOOLED, MODEL KTA19-G2, 600 BHP, DIESEL, EMERGENCY ELECTRICAL GENERATION</t>
  </si>
  <si>
    <t>KTA19-G2</t>
  </si>
  <si>
    <t xml:space="preserve">2792 WALNUT AVE                                                                 </t>
  </si>
  <si>
    <t xml:space="preserve">TUSTIN                   </t>
  </si>
  <si>
    <t xml:space="preserve">CARR WILLIAM                                      </t>
  </si>
  <si>
    <t xml:space="preserve">(714) 6733182   </t>
  </si>
  <si>
    <t xml:space="preserve">ALCATEL INDUSTRIES                      </t>
  </si>
  <si>
    <t>F32665</t>
  </si>
  <si>
    <t>ICE, CATERPILLAR, 12 CYL, TURBOCHARGED, AFTERCOOLED, MODEL 3412 DITA, 600 KW, DIESEL, EMR</t>
  </si>
  <si>
    <t>3412 DITA</t>
  </si>
  <si>
    <t xml:space="preserve">26801 W AGOURA                                                                  </t>
  </si>
  <si>
    <t xml:space="preserve">CALABASAS                </t>
  </si>
  <si>
    <t xml:space="preserve">CHRISTIE BRIAN                                    </t>
  </si>
  <si>
    <t xml:space="preserve">(818) 8785123   </t>
  </si>
  <si>
    <t xml:space="preserve">ALCON SURGICAL INC                      </t>
  </si>
  <si>
    <t>F36552</t>
  </si>
  <si>
    <t>ICE, CUMMINS,16 CYL, TURBOCHARGED, AFTERCOOLED, MODEL KTA50-G9, 2220 BHP, DIESEL, EMR</t>
  </si>
  <si>
    <t xml:space="preserve">15800 ALTON PKY                                                                 </t>
  </si>
  <si>
    <t xml:space="preserve">BRUNDAGE BRANDON                                  </t>
  </si>
  <si>
    <t xml:space="preserve">(949) 7536495   </t>
  </si>
  <si>
    <t xml:space="preserve">ALISO WATER MGMT AGENCY                 </t>
  </si>
  <si>
    <t>10680A</t>
  </si>
  <si>
    <t>M30351</t>
  </si>
  <si>
    <t>ICE, DETROIT DIESEL, TWO-CYCLE, WATER COOLED, 12 CYL, MODEL 7123 7305, 350KW, SN 12VA060486, EMR</t>
  </si>
  <si>
    <t>7123-7305</t>
  </si>
  <si>
    <t xml:space="preserve">515 FOREST AVE                                                                  </t>
  </si>
  <si>
    <t xml:space="preserve">LAGUNA BEACH             </t>
  </si>
  <si>
    <t xml:space="preserve">                                                  </t>
  </si>
  <si>
    <t xml:space="preserve">                </t>
  </si>
  <si>
    <t xml:space="preserve">ALL STATE INSURANCE CO                  </t>
  </si>
  <si>
    <t>F36888</t>
  </si>
  <si>
    <t>ICE, CATERPILLAR, MODEL 3512BDITA, 1500 KW, DIESEL, 12 CYL, TURBOCHARGED, AFTERCOOLED, EMR</t>
  </si>
  <si>
    <t xml:space="preserve">21950 E COPLEY DR                                                               </t>
  </si>
  <si>
    <t xml:space="preserve">DIAMOND BAR              </t>
  </si>
  <si>
    <t xml:space="preserve">SCOTT HELEN                                       </t>
  </si>
  <si>
    <t xml:space="preserve">(909) 6126794   </t>
  </si>
  <si>
    <t xml:space="preserve">ALLEGIANCE HEALTHCARE CORPORATION       </t>
  </si>
  <si>
    <t xml:space="preserve">F6087 </t>
  </si>
  <si>
    <t>ICE, CATERPILLAR, MODEL 3412TA, 749 BHP, DIESEL, 12 CYL, FOUR CYCLE, TURBOCHARGED, AFTERCOOLED, EMR,</t>
  </si>
  <si>
    <t>3412 TA</t>
  </si>
  <si>
    <t xml:space="preserve">4551 E PHILADELPHIA ST                                                          </t>
  </si>
  <si>
    <t xml:space="preserve">ONTARIO                  </t>
  </si>
  <si>
    <t xml:space="preserve">VU KENNETH                                        </t>
  </si>
  <si>
    <t xml:space="preserve">(909) 9743648   </t>
  </si>
  <si>
    <t xml:space="preserve">ALLEGIANCE TELECOM INC                  </t>
  </si>
  <si>
    <t>F24498</t>
  </si>
  <si>
    <t>ICE, KOHLER, MODEL 750ROZD, DIESEL, TURBOCHARGED, AFTERCOOLED, 1170 BHP, EMR</t>
  </si>
  <si>
    <t>Kohler</t>
  </si>
  <si>
    <t>750 ROZD</t>
  </si>
  <si>
    <t xml:space="preserve">818 W 7TH ST STE 320                                                            </t>
  </si>
  <si>
    <t xml:space="preserve">CHING TED                                         </t>
  </si>
  <si>
    <t xml:space="preserve">(213) 8910600   </t>
  </si>
  <si>
    <t>D60073</t>
  </si>
  <si>
    <t>ICE, CATERPILLAR, MODEL 3412 DT, SN 38506732, DIESEL, EMR, 12 CYL, 545 BHP, TURBOCHARGED, AFTERCOOLED</t>
  </si>
  <si>
    <t>3412 DT</t>
  </si>
  <si>
    <t xml:space="preserve">18600 VON KARMAN                                                                </t>
  </si>
  <si>
    <t>92715-1513</t>
  </si>
  <si>
    <t xml:space="preserve">REED JON                                          </t>
  </si>
  <si>
    <t xml:space="preserve">(714) 9556785   </t>
  </si>
  <si>
    <t>D60074</t>
  </si>
  <si>
    <t>ICE, DETROIT DIESEL, MODEL 12V92T, SN 12VF002698, DIESEL, EMR, 8 CYL, 741 BHP, TURBOCHARGED, AFTERCOOLED</t>
  </si>
  <si>
    <t xml:space="preserve">12V-92T </t>
  </si>
  <si>
    <t xml:space="preserve">ALPHA THERAPEUTIC CORP                  </t>
  </si>
  <si>
    <t>D82426</t>
  </si>
  <si>
    <t>ICE, CUMMINS, 16 CYL, TURBOCHARGED, AFTERCOOLED, MODEL KTTA-50-G2, SN K930526551, 2220 BHP, DIESEL, EMR</t>
  </si>
  <si>
    <t>KTTA50-G2</t>
  </si>
  <si>
    <t xml:space="preserve">5555 VALLEY BLVD                                                                </t>
  </si>
  <si>
    <t>90032-3548</t>
  </si>
  <si>
    <t xml:space="preserve">ENRIQUEZ MATHILDE                                 </t>
  </si>
  <si>
    <t>ACADIAN/MODESTO REHABILITATION HOSPITAL</t>
  </si>
  <si>
    <t>N-1687-3-0</t>
  </si>
  <si>
    <t>700 BHP CUMMINS, MODEL VTA 1710-GS, DIESEL-FIRED EMERGENCY IC ENGINE POWERING A 500 KW ELECTRIC GENERATOR.</t>
  </si>
  <si>
    <t>VTA 1710-GS</t>
  </si>
  <si>
    <t>730 17TH ST</t>
  </si>
  <si>
    <t xml:space="preserve"> MODESTO</t>
  </si>
  <si>
    <t>95354</t>
  </si>
  <si>
    <t>(209) 549-4165</t>
  </si>
  <si>
    <t>AERA ENERGY LLC</t>
  </si>
  <si>
    <t>S-1548-401-0</t>
  </si>
  <si>
    <t>498 BRAKE HP CATERPILLAR EMERGENCY STANDBY I.C. ENGINE (GAS FIRED)</t>
  </si>
  <si>
    <t>LIGHT OIL WESTERN</t>
  </si>
  <si>
    <t xml:space="preserve">  </t>
  </si>
  <si>
    <t>(661) 665-5279</t>
  </si>
  <si>
    <t>S-1135-235-2</t>
  </si>
  <si>
    <t>2,520 BHP DIESEL FIRED I.C. ENGINE FOR EMERGENCY POWER GENERATION, INCLUDING: CATERPILLAR MODEL #3516STD I.C. ENGINE, 1500 KW ELECTRIC GENERATOR, PVC &amp; ELAPSED OPERATING TIME METER</t>
  </si>
  <si>
    <t>HEAVY OIL WESTERN</t>
  </si>
  <si>
    <t xml:space="preserve"> KERN COUNTY </t>
  </si>
  <si>
    <t>S-1547-911-2</t>
  </si>
  <si>
    <t xml:space="preserve">890 BHP DIESEL-FIRED I.C. ENGINE WITH TURBOCHARGER, INTERCOOLER/AFTERCOOLER, RETARDED INJECTION TIMING, AND CRANKCASE EMISSION CONTROL POWERING AN EMERGENCY GENERATOR.  </t>
  </si>
  <si>
    <t xml:space="preserve"> KERN COUNTY</t>
  </si>
  <si>
    <t>AIRBORNE EXPRESS</t>
  </si>
  <si>
    <t>C-2739-1-0</t>
  </si>
  <si>
    <t>1232 HP KOHLER MODEL 750COZD71 SERIAL NUMBER 368068 DIESEL-FIRED EMERGENCY IC ENGINE, WITH TURBOCHARGER AND AFTERCOOLER, POWERING 750 KW ELECTRICAL GENERATOR</t>
  </si>
  <si>
    <t>750COZD71</t>
  </si>
  <si>
    <t>3688 CENTRAL AVE</t>
  </si>
  <si>
    <t xml:space="preserve"> FRESNO</t>
  </si>
  <si>
    <t>93725</t>
  </si>
  <si>
    <t>(209) 498-7027</t>
  </si>
  <si>
    <t>AMERICAN RADIO SYSTEMS CORP.</t>
  </si>
  <si>
    <t>C-3072-1-0</t>
  </si>
  <si>
    <t>465 HP CUMMINS MODEL NTA855-G2, DIESEL-FIRED EMERGENCY INTERNAL COMBUSTION ENGINE, WITH TURBOCHARGER AND AFTERCOOLER, POWERING A 300 KW ELECTRIC GENERATOR.</t>
  </si>
  <si>
    <t>1071 W SHAW</t>
  </si>
  <si>
    <t>93704</t>
  </si>
  <si>
    <t>(559) 265-5813</t>
  </si>
  <si>
    <t>AT &amp; T INC.</t>
  </si>
  <si>
    <t>N-1110-1-0</t>
  </si>
  <si>
    <t>480 HP DETROIT DIESEL MODEL 8V-92TA DIESEL FIRED EMERGENCY I.C. ENGINE POWERING AN ELECTRIC GENERATOR</t>
  </si>
  <si>
    <t>2173 W. YOSEMITE AVE.</t>
  </si>
  <si>
    <t xml:space="preserve"> MANTECA</t>
  </si>
  <si>
    <t>95336</t>
  </si>
  <si>
    <t>(916) 361-6056</t>
  </si>
  <si>
    <t>AT&amp;T BROADBAND</t>
  </si>
  <si>
    <t>C-3114-1-0</t>
  </si>
  <si>
    <t>896 BHP CATERPILLAR MODEL 3412 DIESEL INTERNAL COMBUSTION ENGINE WITH TURBOCHARGER AND INTERCOOLER/AFTERCOOLER POWERING A 600 KW EMERGENCY ELECTRICAL GENERATOR.</t>
  </si>
  <si>
    <t>2096 N GATEWAY</t>
  </si>
  <si>
    <t>93727</t>
  </si>
  <si>
    <t xml:space="preserve"> </t>
  </si>
  <si>
    <t>C-2950-1-0</t>
  </si>
  <si>
    <t>449 HP CATERPILLAR MODEL 3406B DIESEL-FIRED EMERGENCY IC ENGINE POWERING A 300 KW ELECTRICAL GENERATOR.</t>
  </si>
  <si>
    <t xml:space="preserve">3406B </t>
  </si>
  <si>
    <t>1945 N HELM AVE</t>
  </si>
  <si>
    <t>(559) 735-2105</t>
  </si>
  <si>
    <t>N-4016-1-1</t>
  </si>
  <si>
    <t>587 BHP CATERPILLAR, MODEL NO. 3406TA, EMERGENCY DIESEL-FIRED IC ENGINE POWERING A 400 KW GENERATOR.</t>
  </si>
  <si>
    <t>844 E  HAMMERTOWN LANE</t>
  </si>
  <si>
    <t xml:space="preserve"> STOCKTON</t>
  </si>
  <si>
    <t>95210</t>
  </si>
  <si>
    <t>(310) 647-3000</t>
  </si>
  <si>
    <t>S-2835-1-0</t>
  </si>
  <si>
    <t>520 BHP TURBOCHARGED DIESEL-FIRED I.C. ENGINE POWERING 350 KW EMERGENCY GENERATOR</t>
  </si>
  <si>
    <t>1031 N PLAZA DR</t>
  </si>
  <si>
    <t xml:space="preserve"> VISALIA</t>
  </si>
  <si>
    <t>93291</t>
  </si>
  <si>
    <t>(559) 455-4275</t>
  </si>
  <si>
    <t>BAKERSFIELD CITY OF(CIVIC AUD)</t>
  </si>
  <si>
    <t>S-3352-4-0</t>
  </si>
  <si>
    <t>1550 HP DETROIT DIESEL EMERGENCY DIESEL FIRED I.C. ENGINE WITH TURBOCHARGER, AFTERCOOLER AND POSITIVE CRANKCASE VENTILATION POWERING A 900 KW ELECTRIC GENERATOR.</t>
  </si>
  <si>
    <t>1001 TRUXTUN AVE</t>
  </si>
  <si>
    <t xml:space="preserve"> BAKERSFIELD</t>
  </si>
  <si>
    <t>93301</t>
  </si>
  <si>
    <t>661 326 3795</t>
  </si>
  <si>
    <t>BAKERSFIELD CITY WASTEWATER #3</t>
  </si>
  <si>
    <t>S-3103-10-0</t>
  </si>
  <si>
    <t>1199 BHP CATERPILLAR MODEL 3508 TA DIESEL IC ENGINE WITH TURBOCHARGER, INTERCOOLER/AFTERCOOLER, RETARDED INJECTION TIMING AND CRANKCASE EMISSION CONTROL POWERING AN 820 KW EMERGENCY GENERATOR</t>
  </si>
  <si>
    <t>8101 ASHE ROAD</t>
  </si>
  <si>
    <t>93313</t>
  </si>
  <si>
    <t>661-326-3258</t>
  </si>
  <si>
    <t>BAKERSFIELD HEART HOSPITAL</t>
  </si>
  <si>
    <t>S-3379-3-0</t>
  </si>
  <si>
    <t>1,180 HP DIESEL FIRED CATERPILLAR MODEL 3412 I.C. ENGINE  POWERING EMERGENCY ELECTRICAL GENERATOR</t>
  </si>
  <si>
    <t>3008 SILLECT AVENUE</t>
  </si>
  <si>
    <t>93308</t>
  </si>
  <si>
    <t>(805) 282-7000</t>
  </si>
  <si>
    <t>S-3379-4-0</t>
  </si>
  <si>
    <t>BAKERSFIELD MEMORIAL HOSPITAL</t>
  </si>
  <si>
    <t>S-1205-5-0</t>
  </si>
  <si>
    <t>1730 BRAKE HP DIESEL FIRED CATERPILLAR 3512 DITA EMERGENCY IC ENGINE POWERING A CATERPILLAR SR4 GENERATOR</t>
  </si>
  <si>
    <t>420 34TH ST/3600 SAN DIMAS</t>
  </si>
  <si>
    <t>(661) 327-1792</t>
  </si>
  <si>
    <t>S-1205-6-0</t>
  </si>
  <si>
    <t>S-1205-7-0</t>
  </si>
  <si>
    <t>BAKERSFIELD REHAB HOSPITAL</t>
  </si>
  <si>
    <t>S-1380-1-1</t>
  </si>
  <si>
    <t>465 BHP DIESEL-FIRED CUMMINS NTA855-G2 INTERNAL COMBUSTION ENGINE WITH TURBOCHARGER AND AFTERCOOLER FOR EMERGENCY/STANDBY 300 KW ELECTRICAL GENERATOR</t>
  </si>
  <si>
    <t>5001 COMMERCE DRIVE</t>
  </si>
  <si>
    <t>93309</t>
  </si>
  <si>
    <t>(805) 323-5500</t>
  </si>
  <si>
    <t>BERRY PETROLEUM COMPANY</t>
  </si>
  <si>
    <t>S-1246-144-0</t>
  </si>
  <si>
    <t>1,000 BRAKE HP WAUKESHA NATURAL GAS FIRED EMERGENCY I.C. ENGINE WITH GENERATOR</t>
  </si>
  <si>
    <t>(661) 769-8811</t>
  </si>
  <si>
    <t>BEST BUY</t>
  </si>
  <si>
    <t>S-3435-1-0</t>
  </si>
  <si>
    <t>2220 HP CUMMINS, MODEL KTA50-G9, DIESEL FIRED EMERGENCY I.C. ENGINE POWERING A 1500 KW ELECTRIC GENERATOR</t>
  </si>
  <si>
    <t>777 MONTE VISTA DRIVE</t>
  </si>
  <si>
    <t xml:space="preserve"> DINUBA</t>
  </si>
  <si>
    <t>93618</t>
  </si>
  <si>
    <t>(612) 995-4430</t>
  </si>
  <si>
    <t>CAL DEPT OF CORRECTIONS DELANO (North Kern State Prison)</t>
  </si>
  <si>
    <t>S-864-1-0</t>
  </si>
  <si>
    <t>2,884 HP DIESEL-FIRED CATERPILLAR MODEL 3516 DITA EMERGENCY IC ENGINE</t>
  </si>
  <si>
    <t>2737 WEST CECIL AVENUE</t>
  </si>
  <si>
    <t xml:space="preserve"> DELANO</t>
  </si>
  <si>
    <t>93215</t>
  </si>
  <si>
    <t>Tina Cherry (ext. 7306)</t>
  </si>
  <si>
    <t>(916) 444-6666 / (805) 721-2345</t>
  </si>
  <si>
    <t>S-864-2-0</t>
  </si>
  <si>
    <t>CAL DEPT OF CORRECTIONS WASCO</t>
  </si>
  <si>
    <t>S-559-3-2</t>
  </si>
  <si>
    <t>2,847 HP DIESEL-FIRED INTERNAL COMBUSTION ENGINE (# 1) WITH TURBOCHARGER AND AFTERCOOLER POWERING 2,000 KW EMERGENCY ELECTRICAL GENERATOR</t>
  </si>
  <si>
    <t>701 SCOFIELD ROAD</t>
  </si>
  <si>
    <t xml:space="preserve"> WASCO</t>
  </si>
  <si>
    <t>93280-8800</t>
  </si>
  <si>
    <t>Mike Kruger (ext. 5840)</t>
  </si>
  <si>
    <t>(661) 758-8400</t>
  </si>
  <si>
    <t>S-559-4-2</t>
  </si>
  <si>
    <t>2,847 HP DIESEL-FIRED INTERNAL COMBUSTION ENGINE (# 2) WITH TURBOCHARGER AND AFTERCOOLER POWERING 2,000 KW EMERGENCY ELECTRICAL GENERATOR</t>
  </si>
  <si>
    <t>CALIF STATE PRISON - COALINGA (Pleasant Valley State Prison)</t>
  </si>
  <si>
    <t>C-1990-1-0</t>
  </si>
  <si>
    <t>587 CATERPILLAR MODEL 3406 DITA DIESEL ENGINE, TURBOCHARGED, AFTERCOOLED, SERVING A 400 KW EMERGENCY ELECTRICAL GENERATOR.  LOCATED AT THE WATER BOOSTER STATION (BLDG 623).</t>
  </si>
  <si>
    <t>24863 W JAYNE AVE</t>
  </si>
  <si>
    <t xml:space="preserve"> COALINGA</t>
  </si>
  <si>
    <t>93210</t>
  </si>
  <si>
    <t>(559) 935-4900 X6819</t>
  </si>
  <si>
    <t>C-1990-2-0</t>
  </si>
  <si>
    <t>2,847 HP CATERPILLAR MODEL 3516 DITA DIESEL ENGINE, TURBOCHARGED, AFTERCOOLED, SERVING A 2,000 KW EMERGENCY ELECTRICAL GENERATOR.  LOCATED AT AREA 600.</t>
  </si>
  <si>
    <t xml:space="preserve">3516 DITA </t>
  </si>
  <si>
    <t>PO Box 8500</t>
  </si>
  <si>
    <t>Keith Morden</t>
  </si>
  <si>
    <t>(559) 935-4900 x4958</t>
  </si>
  <si>
    <t>C-1990-3-0</t>
  </si>
  <si>
    <t>C-1990-5-0</t>
  </si>
  <si>
    <t>587 HP CATERPILLAR MODEL 3406 DITA DIESEL ENGINE #2, TURBOCHARGED, AFTERCOOLED, SERVING A 400 KW EMERGENCY ELECTRICAL GENERATOR.  LOCATED AT THE CENTRAL HEALTH FACILITY (NEAR BLDG 451).</t>
  </si>
  <si>
    <t>C-1990-6-0</t>
  </si>
  <si>
    <t>587 HP CATERPILLAR MODEL 3406 DITA DIESEL ENGINE #1, TURBOCHARGED, AFTERCOOLED, SERVING A 400 KW EMERGENCY ELECTRICAL GENERATOR.  LOCATED AT THE CENTRAL HEALTH FACILITY (NEAR BLDG 451).</t>
  </si>
  <si>
    <t>CALIF STATE PRISON - CORCORAN</t>
  </si>
  <si>
    <t>C-214-9-0</t>
  </si>
  <si>
    <t>1,490 BHP TURBOCHARGED CUMMINS MODEL KTA-50-GI DIESEL IC ENGINE #1 POWERING AN EMERGENCY ELECTRICAL GENERATOR.  LOCATED IN BLDG 210.</t>
  </si>
  <si>
    <t>KTA50-GI</t>
  </si>
  <si>
    <t>4001 KING AVE</t>
  </si>
  <si>
    <t xml:space="preserve"> CORCORAN</t>
  </si>
  <si>
    <t>93212</t>
  </si>
  <si>
    <t>Pat Downey</t>
  </si>
  <si>
    <t>(559) 992-8800</t>
  </si>
  <si>
    <t>C-214-10-0</t>
  </si>
  <si>
    <t>1,490 BHP TURBOCHARGED CUMMINS MODEL KTA-50-GI DIESEL IC ENGINE #2 POWERING AN EMERGENCY ELECTRICAL GENERATOR.  LOCATED IN BLDG 210.</t>
  </si>
  <si>
    <t>C-214-11-0</t>
  </si>
  <si>
    <t>1,490 BHP TURBOCHARGED CUMMINS MODEL KTA-50-GI DIESEL IC ENGINE #3 POWERING AN EMERGENCY ELECTRICAL GENERATOR.  LOCATED IN BLDG 201.</t>
  </si>
  <si>
    <t>C-214-12-0</t>
  </si>
  <si>
    <t>1,593 BHP CATERPILLAR MODEL 3512 DITA DIESEL IC ENGINE POWERING AN EMERGENCY ELECTRICAL GENERATOR.  LOCATED AT THE HOSPITAL.</t>
  </si>
  <si>
    <t>CALIF STATE PRISON - CORCORAN (California Substance Abuse Treatment Facility)</t>
  </si>
  <si>
    <t>C-214-19-1</t>
  </si>
  <si>
    <t>2,876 BHP CATERPILLAR MODEL 3516B DITA DIESEL IC ENGINE POWERING A KATO/RELIANCE ELECTRIC 2,000 KW EMERGENCY ELECTRICAL GENERATOR FOR CORCORAN II STATE PRISON, QUEBEC &amp; 4TH AVENUES.</t>
  </si>
  <si>
    <t>900 QUEBEC AVE</t>
  </si>
  <si>
    <t>Mike Fergason</t>
  </si>
  <si>
    <t>(559) 992-7100x5865</t>
  </si>
  <si>
    <t>C-214-23-1</t>
  </si>
  <si>
    <t>C-214-24-1</t>
  </si>
  <si>
    <t>C-214-25-1</t>
  </si>
  <si>
    <t>C-214-31-0</t>
  </si>
  <si>
    <t>896 HP CATERPILLAR MODEL 3412 DITA DIESEL IC ENGINE, TURBOCHARGED AND AFTERCOOLED, WITH POSITIVE CRANKCASE VENTILATION POWERING A 600 KW EMERGENCY ELECTRICAL GENERATOR FOR CORCORAN II STATE PRISON, QUEBEC &amp; 4TH AVENUES. SERIAL # TO BE DETERMINED.</t>
  </si>
  <si>
    <t>CALIF STATE PRISON- CHOWCHILLA (Valley State Prison for Women)</t>
  </si>
  <si>
    <t>C-2283-2-0</t>
  </si>
  <si>
    <t>2,847 HP CATERPILLAR 3516 DITA IC ENGINE #1, TURBOCHARGED, INTERCOOLED, SERVING A 2,000 KW LEROY-SOMER/US GENERATOR SUPPLYING EMERGENCY POWER TO THE MAIN FACILITY (BUILDING 602).</t>
  </si>
  <si>
    <t>21633 AVENUE 24</t>
  </si>
  <si>
    <t xml:space="preserve"> CHOWCHILLA</t>
  </si>
  <si>
    <t>93610-0099</t>
  </si>
  <si>
    <t>Anthony Beebe (ext. 6179)</t>
  </si>
  <si>
    <t>(916) 323-2314 / (209) 665-6100</t>
  </si>
  <si>
    <t>C-2283-3-0</t>
  </si>
  <si>
    <t>2,847 HP CATERPILLAR 3516 DITA IC ENGINE #2, TURBOCHARGED, INTERCOOLED, SERVING A 2,000 KW LEROY-SOMER/US GENERATOR SUPPLYING EMERGENCY ELECTRICAL POWER TO THE MAIN FACILITY ( BUILDING 602).</t>
  </si>
  <si>
    <t>C-2283-11-0</t>
  </si>
  <si>
    <t>519 HP TURBOCHARGED DIESEL IC ENGINE, CATERPILLAR MODEL 3406DITA, SERIAL # 4PM00158, SOUTH #1, POWERING A 350 KW EMERGENCY GENERATOR.</t>
  </si>
  <si>
    <t>93610</t>
  </si>
  <si>
    <t>C-2283-12-0</t>
  </si>
  <si>
    <t>519 HP TURBOCHARGED DIESEL IC ENGINE, MODEL 3406DITA, SERIAL # 4PM00157, NORTH #2, POWERING A 350 KW EMERGENCY GENERATOR.</t>
  </si>
  <si>
    <t>CALIF STATE UNIV FRESNO</t>
  </si>
  <si>
    <t>C-392-19-0</t>
  </si>
  <si>
    <t>746 HP TURBOCHARGED CATERPILLAR, MODEL #3412 DITA, DIESEL IC ENGINE POWERING A 500 KW EMERGENCY GENERATOR.</t>
  </si>
  <si>
    <t>5241 N MAPLE AVE</t>
  </si>
  <si>
    <t>93740</t>
  </si>
  <si>
    <t>(209) 278-7422</t>
  </si>
  <si>
    <t>CALIFORNIA AMMONIA CO</t>
  </si>
  <si>
    <t>N-157-8-0</t>
  </si>
  <si>
    <t>ONE 600 HP DETROIT DIESEL (MODEL #12V-71T) DIESEL FIRED IC ENGINE POWERING AN EMERGENCY GENERATOR.</t>
  </si>
  <si>
    <t>2321 W WASHINGTON STREET</t>
  </si>
  <si>
    <t>95203</t>
  </si>
  <si>
    <t>(209) 982-1000</t>
  </si>
  <si>
    <t>N-157-9-0</t>
  </si>
  <si>
    <t>ONE (1) 532 HP CATERPILLAR DIESEL FIRED IC ENGINE (MODEL 3406 DITA) WITH TURBOCHARGER AND AFTERCOOLER POWERING A 350 KW EMERGENCY GENERATOR</t>
  </si>
  <si>
    <t>CALIFORNIA NATURAL PRODUCTS</t>
  </si>
  <si>
    <t>N-173-11-0</t>
  </si>
  <si>
    <t>ONE (1) 1220 BHP CATERPILLAR DIESEL FIRED TURBOCHARGED AND AFTERCOOLED IC ENGINE (MODEL 3508) POWERING AN 800 KW EMERGENCY GENERATOR.</t>
  </si>
  <si>
    <t>1250 E  LATHROP RD</t>
  </si>
  <si>
    <t xml:space="preserve"> LATHROP</t>
  </si>
  <si>
    <t>95330</t>
  </si>
  <si>
    <t>(209) 858-2525</t>
  </si>
  <si>
    <t>CALIFORNIA STATE UNIVERSITY</t>
  </si>
  <si>
    <t>N-818-4-1</t>
  </si>
  <si>
    <t>CATERPILLAR, CAT T349D, 1200 HP DIESEL I.C. ENGINE (#1) SERVING AN EMERGENCY STANDBY GENERATOR</t>
  </si>
  <si>
    <t>T349D</t>
  </si>
  <si>
    <t>1208 N STATE ST</t>
  </si>
  <si>
    <t>95202</t>
  </si>
  <si>
    <t>(209) 235-7411</t>
  </si>
  <si>
    <t>N-818-6-1</t>
  </si>
  <si>
    <t>CATERPILLAR, CAT T349D, 1200 HP DIESEL I.C. ENGINE (#3) SERVING AN EMERGENCY STANDBY GENERATOR</t>
  </si>
  <si>
    <t>N-818-5-1</t>
  </si>
  <si>
    <t>CATERPILLAR, CAT T349D, 1200 HP DIESEL I.C. ENGINE (#2) SERVING AN EMERGENCY STANDBY GENERATOR</t>
  </si>
  <si>
    <t>CALIFORNIA WATER SERVICE CO</t>
  </si>
  <si>
    <t>S-1482-1-1</t>
  </si>
  <si>
    <t>535 HP DIESEL-FIRED, TURBOCHARGED, INTERCOOLED/AFTERCOOLED EMERGENCY IC ENGINE POWERING A 350 KW GENERATOR</t>
  </si>
  <si>
    <t>4400 PANORAMA DRIVE</t>
  </si>
  <si>
    <t>93306</t>
  </si>
  <si>
    <t>(805) 832-2141</t>
  </si>
  <si>
    <t>CANANDAIGUA WEST, INC</t>
  </si>
  <si>
    <t>C-628-10-0</t>
  </si>
  <si>
    <t>1,600 HP TRAILER-MOUNTED DETROIT DIESEL MODEL 149, SERIES 9163-7301 DIESEL-FIRED EMERGENCY IC ENGINE POWERING A 1100 KW ELECTRICAL GENERATOR.</t>
  </si>
  <si>
    <t>12667 ROAD 24</t>
  </si>
  <si>
    <t xml:space="preserve"> MADERA</t>
  </si>
  <si>
    <t>93637</t>
  </si>
  <si>
    <t>(209) 673-7071</t>
  </si>
  <si>
    <t>CENTRAL CAL WOMEN'S FACILITY</t>
  </si>
  <si>
    <t>C-252-1-1</t>
  </si>
  <si>
    <t>1490 HP CUMMINS MODEL KTA-50-GL DIESEL-FIRED EMERGENCY IC ENGINE POWERING AN ENERGY DYNAMIC INC. ELECTRIC GENERATOR SET</t>
  </si>
  <si>
    <t>KTA50-GL</t>
  </si>
  <si>
    <t>23370 ROAD 22</t>
  </si>
  <si>
    <t>John Dory</t>
  </si>
  <si>
    <t>(209) 665-5531</t>
  </si>
  <si>
    <t>C-252-8-1</t>
  </si>
  <si>
    <t>1490 HP CUMMINS MODEL KTA-50-GL DIESEL-FIRED EMERGENCY IC ENGINE POWERING AN ENERGY DYNAMICS INC. ELECTRIC GENERATOR SET</t>
  </si>
  <si>
    <t>C-252-12-0</t>
  </si>
  <si>
    <t>750 HP CUMMINS MODEL KTTA19-G2 DIESEL-FIRED EMERGENCY IC ENGINE POWERING A 500 KW ELECTRIC GENERATOR FOR THE WASTE WATER TREATMENT</t>
  </si>
  <si>
    <t>CENTRAL VALLEY MEAT CO</t>
  </si>
  <si>
    <t>C-2282-3-0</t>
  </si>
  <si>
    <t>1919 HP DETROIT DIESEL MODEL 91637316 DIESEL-FIRED EMERGENCY IC ENGINE POWERING AN ELECTRICAL GENERATOR.</t>
  </si>
  <si>
    <t>10431 8 3/4 AVE</t>
  </si>
  <si>
    <t xml:space="preserve"> HANFORD</t>
  </si>
  <si>
    <t>93230</t>
  </si>
  <si>
    <t>(209) 583-9624</t>
  </si>
  <si>
    <t>CERTAINTEED CORPORATION</t>
  </si>
  <si>
    <t>C-261-27-2</t>
  </si>
  <si>
    <t>890 HP CATERPILLAR EMERGENCY STANDBY DIESEL ELECTRICAL GENERATOR SET #1, MODEL D348, 620 KW.  TITLE V OPERATING PERMIT</t>
  </si>
  <si>
    <t>17775 AVENUE 23 1/2</t>
  </si>
  <si>
    <t>(559) 665-4831 X326</t>
  </si>
  <si>
    <t>C-261-28-2</t>
  </si>
  <si>
    <t>890 HP CATERPILLAR EMERGENCY STANDBY DIESEL ELECTRICAL GENERATOR SET #2, MODEL D348, 620 KW.  TITLE OPERATING PERMIT</t>
  </si>
  <si>
    <t>CHEVRON USA INC</t>
  </si>
  <si>
    <t>S-1128-306-1</t>
  </si>
  <si>
    <t>600 HP CUMMINS MODEL KTA1965T DIESEL FIRED I.C. ENGINE POWERING EMERGENCY GENERATOR</t>
  </si>
  <si>
    <t>KTA1965T</t>
  </si>
  <si>
    <t>(661) 392-3300</t>
  </si>
  <si>
    <t>CIGNA HEALTH CARE</t>
  </si>
  <si>
    <t>S-3717-1-0</t>
  </si>
  <si>
    <t>2935 HP DETROIT DIESEL/MTU MODEL 16V-4000 DIESEL-FIRED EMERGENCY IC ENGINE POWERING A KOHLER 2000 ROZD-4 ELECTRICAL GENERATOR</t>
  </si>
  <si>
    <t>16V-4000</t>
  </si>
  <si>
    <t>5300 W TULARE AVENUE</t>
  </si>
  <si>
    <t>93278-1068</t>
  </si>
  <si>
    <t>CITY OF CLOVIS</t>
  </si>
  <si>
    <t>C-3333-1-0</t>
  </si>
  <si>
    <t>605 HP CUMMINS MODEL NTA855-65 DIESEL-FIRED EMERGENCY IC ENGINE POWERING A 400 KW ELECTRICAL GENERATOR.</t>
  </si>
  <si>
    <t>1033 5TH STREET</t>
  </si>
  <si>
    <t xml:space="preserve"> CLOVIS</t>
  </si>
  <si>
    <t>93612</t>
  </si>
  <si>
    <t>(209) 297-2371</t>
  </si>
  <si>
    <t>CITY OF CORCORAN PUBLIC WORKS</t>
  </si>
  <si>
    <t>C-2684-1-0</t>
  </si>
  <si>
    <t>860 HP CUMMINS, TURBO-CHARGED, AFTER COOLED, 4 DEGREE TIMING RETARDED EMERGENCY DIESEL IC ENGINE POWERING A 600 KW EMERGENCY GENERATOR.</t>
  </si>
  <si>
    <t>N/W INTERSEC HWY 43 &amp; 5TH AVE</t>
  </si>
  <si>
    <t>(209) 992-2537</t>
  </si>
  <si>
    <t>CITY OF DELANO</t>
  </si>
  <si>
    <t>S-3662-1-0</t>
  </si>
  <si>
    <t>755 BHP CUMMINS ONAN MODEL KTAIG4 DIESEL-FIRED EMERGENCY IC ENGINE POWERING A 500 KW ELECTRICAL GENERATOR</t>
  </si>
  <si>
    <t>KTAI-G4</t>
  </si>
  <si>
    <t>2737 W CECIL AVE (NKSP)</t>
  </si>
  <si>
    <t>S-3663-1-0</t>
  </si>
  <si>
    <t>605 BHP CUMMINS ONAN MODEL LTA-10-G1 DIESEL-FIRED EMERGENCY IC ENGINE WITH TURBOCHARGER, AFTERCOOLER, AND PCV POWERING A 400 KW ELECTRIC GENERATOR</t>
  </si>
  <si>
    <t>LTA10-G1</t>
  </si>
  <si>
    <t>1/4 MILE EAST OF 20TH AVE &amp; BROWNING</t>
  </si>
  <si>
    <t>S-3664-1-0</t>
  </si>
  <si>
    <t>605 BHP CUMMINS ONAN MODEL NTA855 DIESEL-FIRED EMERGENCY IC ENGINE WITH TURBOCHARGER, AFTERCOOLER, AND PCV POWERING A 400 KW ELECTRIC GENERATOR</t>
  </si>
  <si>
    <t>NTA855</t>
  </si>
  <si>
    <t>1/8 MILE NO OF SO RANDOLPH &amp; SCHUSTER</t>
  </si>
  <si>
    <t>CITY OF FRESNO - AIRPORTS</t>
  </si>
  <si>
    <t>C-2930-1-0</t>
  </si>
  <si>
    <t>890 BHP CAT 3412 DIESEL, TURBOCHARGED, INTERCOOLED/AFTERCOOLED EMERGENCY I.C. ENGINE GENERATING 600KW OF ELECTRICITY.</t>
  </si>
  <si>
    <t>5175 E. CLINTON - TERMINAL BLD</t>
  </si>
  <si>
    <t>93722</t>
  </si>
  <si>
    <t>(559) 498-4700</t>
  </si>
  <si>
    <t>CITY OF FRESNO WATER DIVISION</t>
  </si>
  <si>
    <t>C-1933-1-0</t>
  </si>
  <si>
    <t>742 HP CATERPILLAR MODEL 3412 DIESEL-FIRED EMERGENCY  IC ENGINE, POWERING A 450 KW ELECTRICAL GENERATOR.</t>
  </si>
  <si>
    <t>CLOVIS AVE &amp; CALIFORNIA AVE</t>
  </si>
  <si>
    <t>93611</t>
  </si>
  <si>
    <t>(209) 498-1409</t>
  </si>
  <si>
    <t>C-3320-1-0</t>
  </si>
  <si>
    <t>449 HP CATERPILLAR MODEL 3406 DIESEL-FIRED EMERGENCY IC ENGINE POWERING A WATER WELL GENERATOR.  ENGINE HAS BEEN MODIFIED TO PRODUCE 484 HP.</t>
  </si>
  <si>
    <t>1590 N PEACH AVE</t>
  </si>
  <si>
    <t>(209) 498-4680</t>
  </si>
  <si>
    <t>C-3318-1-0</t>
  </si>
  <si>
    <t>587 HP CATERPILLAR MODEL 3406 DIESEL-FIRED EMERGENCY IC ENGINE POWERING A 400 KW WATER WELL GENERATOR.</t>
  </si>
  <si>
    <t>2030 W OLIVE AVE</t>
  </si>
  <si>
    <t>93701</t>
  </si>
  <si>
    <t>C-3321-1-0</t>
  </si>
  <si>
    <t>449 HP DIESEL-FIREDCATERPILLAR MODEL 3406 EMERGENCY IC ENGINE POWERING A 340 KW WATER WELL GENERATOR. ENGINE HAS BEEN MODIFIED TO PRODUCE 484 HP.</t>
  </si>
  <si>
    <t>7265 N SANDRINI AVE</t>
  </si>
  <si>
    <t>93703</t>
  </si>
  <si>
    <t>C-3316-1-0</t>
  </si>
  <si>
    <t>449 HP DIESEL-FIRED CATERPILLAR MODEL 3406 EMERGENCY IC ENGINE POWERING A 300 KW WATER WELL GENERATOR.  ENGINE HAS BEEN MODIFIED TO PRODUCE 484 HP.</t>
  </si>
  <si>
    <t>315 N FIRST ST</t>
  </si>
  <si>
    <t>93702</t>
  </si>
  <si>
    <t>C-3315-1-0</t>
  </si>
  <si>
    <t>INSTALL 484 HP DIESEL-FIRED EMERGENCY IC ENGINE DRIVING A WATER WELL GENERATOR.</t>
  </si>
  <si>
    <t>2283 E INTERNATIONAL</t>
  </si>
  <si>
    <t>C-3319-1-0</t>
  </si>
  <si>
    <t>519 HP CATERPILLAR MODEL 3406 DIESEL-FIRED EMERGENCY INTERNAL COMBUSTION ENGINE POWERING A WATER WELL GENERATOR.</t>
  </si>
  <si>
    <t>1352 STANISLAUS ST</t>
  </si>
  <si>
    <t>93706</t>
  </si>
  <si>
    <t>C-3204-1-0</t>
  </si>
  <si>
    <t>535 BHP CUMMINS MODEL NTA855-G3 DIESEL FIRED EMERGENCY IC ENGINE POWERING A 350 KW ELECTRICAL GENERATOR.</t>
  </si>
  <si>
    <t>2224 N BRAWLEY</t>
  </si>
  <si>
    <t>CITY OF LODI</t>
  </si>
  <si>
    <t>N-3863-1-0</t>
  </si>
  <si>
    <t>ONE (1) 746 HP CATERPILLAR DIESEL FIRED IC ENGINE, MODEL NO. 3412TA, POWERING A 500 KW EMERGENCY GENERATOR.</t>
  </si>
  <si>
    <t>1215 THURMAN STREET</t>
  </si>
  <si>
    <t xml:space="preserve"> LODI</t>
  </si>
  <si>
    <t>95240</t>
  </si>
  <si>
    <t>(209) 333-6800</t>
  </si>
  <si>
    <t>CITY OF LODI (WATER WELL #16)</t>
  </si>
  <si>
    <t>N-3510-1-0</t>
  </si>
  <si>
    <t>443 HP CATERPILLAR 3406TA TURBOCHARGED AND AFTERCOOLED DIESEL FIRED IC ENGINE POWERING A 300 KW EMERGENCY GENERATOR.</t>
  </si>
  <si>
    <t>3406TA</t>
  </si>
  <si>
    <t>CENTURY BLVD &amp; CANAL</t>
  </si>
  <si>
    <t>(209) 333-6706</t>
  </si>
  <si>
    <t>CITY OF LODI (WATER WELL #7)</t>
  </si>
  <si>
    <t>N-3511-1-0</t>
  </si>
  <si>
    <t>443 HP CATERPILLAR (MODEL NUMBER 3406TA) TURBOCHARGED AND AFTERCOOLED DIESEL FIRED IC ENGINE POWERING A 300 KW EMERGENCY GENERATOR.</t>
  </si>
  <si>
    <t>TURNER RD &amp; MILLS AVE</t>
  </si>
  <si>
    <t>95241-1910</t>
  </si>
  <si>
    <t>CITY OF MERCED</t>
  </si>
  <si>
    <t>N-4302-3-0</t>
  </si>
  <si>
    <t>402 BHP (DETROIT DIESEL MODEL 80837305) EMERGENCY DIESEL FIRED IC ENGINE POWERING A 300 KW ELECTRICAL GENERATOR.</t>
  </si>
  <si>
    <t>8083-7305</t>
  </si>
  <si>
    <t>10260 GOVE ROAD</t>
  </si>
  <si>
    <t xml:space="preserve"> MERCED</t>
  </si>
  <si>
    <t>95340</t>
  </si>
  <si>
    <t>CITY OF MODESTO</t>
  </si>
  <si>
    <t>N-3516-1-0</t>
  </si>
  <si>
    <t>587 HP CATERPILLAR MODEL 3406 C DIESEL-FIRED EMERGENCY IC ENGINE WITH TURBOCHARGER, POWERING A 400 KW ELECTRICAL GENERATOR (TANK 4).</t>
  </si>
  <si>
    <t>3406C</t>
  </si>
  <si>
    <t>1500 BLOCK OF SYLVAN AVENUE</t>
  </si>
  <si>
    <t>(209) 571-5102</t>
  </si>
  <si>
    <t>CITY OF MODESTO, PUBLIC WORKS</t>
  </si>
  <si>
    <t>N-2338-3-0</t>
  </si>
  <si>
    <t>910 BHP CATERPILLAR, MODEL NO. D396, EMERGENCY DIESEL-FIRED IC ENGINE POWERING A 600 KW ELECTRICAL GENERATOR.</t>
  </si>
  <si>
    <t>D396</t>
  </si>
  <si>
    <t>1221 SUTTER AVENUE</t>
  </si>
  <si>
    <t>95351</t>
  </si>
  <si>
    <t>(209) 577-5260</t>
  </si>
  <si>
    <t>CITY OF RIPON</t>
  </si>
  <si>
    <t>N-3482-1-0</t>
  </si>
  <si>
    <t>465 HP CUMMINS MODEL #NTA855-G2 TURBOCHARGED AND AFTERCOOLED DIESEL FIRED IC ENGINE POWERING A 300 KW EMERGENCY GENERATOR.</t>
  </si>
  <si>
    <t>HUGHES LANE (WELL #10)</t>
  </si>
  <si>
    <t xml:space="preserve"> RIPON</t>
  </si>
  <si>
    <t>95366</t>
  </si>
  <si>
    <t>(209) 529-2108</t>
  </si>
  <si>
    <t>CITY OF STOCKTON</t>
  </si>
  <si>
    <t>N-2928-1-0</t>
  </si>
  <si>
    <t>NORTH SANITARY PUMP STATION:  ONE (1) EMERGENCY STANDBY ALLIS CHALMERS ENGINE (700 HP)/GENERATOR SET.  ENGINE MODEL #65000 AND SERIAL #6V01057.</t>
  </si>
  <si>
    <t>Allis Chalmers</t>
  </si>
  <si>
    <t>SWENSON PARK GOLF COURSE</t>
  </si>
  <si>
    <t>(209) 944-8735</t>
  </si>
  <si>
    <t>CITY OF TRACY</t>
  </si>
  <si>
    <t>N-3735-1-0</t>
  </si>
  <si>
    <t>ONE (1) 519 HP CATERPILLAR DIESEL FIRED TURBOCHARGED IC ENGINE (MODEL # 3406TA) POWERING AN EMERGENCY 350 KW GENERATOR.</t>
  </si>
  <si>
    <t>1000 CIVIC CENTER DRIVE</t>
  </si>
  <si>
    <t xml:space="preserve"> TRACY</t>
  </si>
  <si>
    <t>95376</t>
  </si>
  <si>
    <t>(209) 831-4460</t>
  </si>
  <si>
    <t>N-213-2-0</t>
  </si>
  <si>
    <t>2100 HP KONSBERG-NORTH AMERICAN MODEL KG23C EMERGENCY DIESEL FIRED TURBINE GENERATOR DRIVING A GENERATOR</t>
  </si>
  <si>
    <t>Konsberg-North American</t>
  </si>
  <si>
    <t>KG23C</t>
  </si>
  <si>
    <t>3900 HOLLY DRIVE</t>
  </si>
  <si>
    <t>(209) 831-4480</t>
  </si>
  <si>
    <t>N-4250-1-0</t>
  </si>
  <si>
    <t>507 BHP MITSUBISHI MODEL 14.5DTA DIESEL-FIRED EMERGENCY IC ENGINE POWERING A 400KW ELECTRICAL GENERATOR.</t>
  </si>
  <si>
    <t>14.5DTA</t>
  </si>
  <si>
    <t>EATON AVENUE AT HOLLY DRIVE</t>
  </si>
  <si>
    <t>(209) 831-4434</t>
  </si>
  <si>
    <t>CITY OF TURLOCK WATER CONTROL</t>
  </si>
  <si>
    <t>N-3669-5-0</t>
  </si>
  <si>
    <t>570 HP DIESEL FIRED IC ENGINE MANUFACTURED BY CATERPILLAR (MODEL # D346TA) POWERING A 400 KW EMERGENCY GENERATOR</t>
  </si>
  <si>
    <t>D346 TA</t>
  </si>
  <si>
    <t>901 S WALNUT RD</t>
  </si>
  <si>
    <t xml:space="preserve"> TURLOCK</t>
  </si>
  <si>
    <t>95380</t>
  </si>
  <si>
    <t>(209) 668-5590</t>
  </si>
  <si>
    <t>CITY-COUNTY CAPITOL IMPROVEMENT</t>
  </si>
  <si>
    <t>N-4219-1-0</t>
  </si>
  <si>
    <t>480 HP HINO DIESEL-FIRED EMERGENCY IC ENGINE POWERING A GENERAC 300 KW ELECTRIC GENERATOR</t>
  </si>
  <si>
    <t>Hino</t>
  </si>
  <si>
    <t>1010 10TH STREET</t>
  </si>
  <si>
    <t>(209) 558-4100</t>
  </si>
  <si>
    <t>CLOVIS COMMUNITY HOSPITAL</t>
  </si>
  <si>
    <t>C-345-1-0</t>
  </si>
  <si>
    <t>1,482 HP CATERPILLAR MODEL# 3512,SN 24Z02272, DIESEL EMERGENCY IC ENGINE POWERING A 1000 KW GENSET.</t>
  </si>
  <si>
    <t>2755 HERNDON</t>
  </si>
  <si>
    <t>(209) 442-2468</t>
  </si>
  <si>
    <t>COALINGA REGIONAL MEDICAL CTR</t>
  </si>
  <si>
    <t>C-353-11-0</t>
  </si>
  <si>
    <t>600 HP CUMMINS MODEL #KTA19-G2 DIESEL-FIRED EMERGENCY IC ENGINE POWERING AN ELECTRICAL GENERATOR.</t>
  </si>
  <si>
    <t>1191 PHELPS AVE</t>
  </si>
  <si>
    <t>(209) 935-6400</t>
  </si>
  <si>
    <t>CONVERGYS</t>
  </si>
  <si>
    <t>C-3750-1-0</t>
  </si>
  <si>
    <t>749 HP CATERPILLAR MODEL 3412 DITA DIESEL-FIRED EMERGENCY IC ENGINE POWERING A 500 KW ELECTRIC GENERATOR</t>
  </si>
  <si>
    <t>5156 N BLACKSTONE AVE</t>
  </si>
  <si>
    <t>93710</t>
  </si>
  <si>
    <t>CON-WAY WESTERN EXPRESS</t>
  </si>
  <si>
    <t>C-3630-1-0</t>
  </si>
  <si>
    <t>605 HP CUMMINS MODEL NTA855G5 DIESEL-FIRED EMERGENCY INTERNAL COMBUSTION ENGINE, EQUIPPED WITH TURBOCHARGER AND INTERCOOLER POWERING A 400 KW ONAN ELECTRIC GENERATOR</t>
  </si>
  <si>
    <t>32251 HIGHWAY 41</t>
  </si>
  <si>
    <t xml:space="preserve"> KETTLEMAN CITY</t>
  </si>
  <si>
    <t>93239</t>
  </si>
  <si>
    <t>COUNTY OF TULARE RESOURCE MGMT</t>
  </si>
  <si>
    <t>S-3530-1-0</t>
  </si>
  <si>
    <t>896 BHP CATERPILLAR MODEL 3412 DIESEL-FIRED EMERGENCY IC ENGINE POWERING A 600 KW ELECTRICAL GENERATOR</t>
  </si>
  <si>
    <t>36650 ROAD 112</t>
  </si>
  <si>
    <t>93277</t>
  </si>
  <si>
    <t>(559) 733-6271</t>
  </si>
  <si>
    <t>CYPRESS REHAB HOSPITAL</t>
  </si>
  <si>
    <t>S-2741-1-0</t>
  </si>
  <si>
    <t>947 BHP DIESEL FIRED IC ENGINE DRIVING AN EMERGENCY GENERATOR</t>
  </si>
  <si>
    <t>840 SOUTH AKERS</t>
  </si>
  <si>
    <t>(559) 625-736</t>
  </si>
  <si>
    <t>DAMERON HOSPITAL</t>
  </si>
  <si>
    <t>N-2392-2-0</t>
  </si>
  <si>
    <t>890 BHP CATERPILLAR, MODEL 3412 EMERGENCY DIESEL-FIRED IC ENGINE POWERING A GENERATOR.</t>
  </si>
  <si>
    <t>525 W. ACACIA STREET</t>
  </si>
  <si>
    <t>(209) 461-3156</t>
  </si>
  <si>
    <t>DANA CORPORATION, PARISH DIV.</t>
  </si>
  <si>
    <t>N-2976-5-0</t>
  </si>
  <si>
    <t>KOHLER EMERGENCY GENERATOR (MODEL #300R OZD, 300KW) SERVED BY A DETROIT DIESEL I.C. ENGINE (MODEL #8063-7416).</t>
  </si>
  <si>
    <t>8063-7416</t>
  </si>
  <si>
    <t>1550 INDUSTRIAL DRIVE</t>
  </si>
  <si>
    <t>95206</t>
  </si>
  <si>
    <t>(209) 983-6130</t>
  </si>
  <si>
    <t>DDRW - TRACY FACILITY</t>
  </si>
  <si>
    <t>N-263-15-0</t>
  </si>
  <si>
    <t>1085 BHP CUMMINS, MODEL DTA-2300 G2, EMERGENCY DIESEL-FIRED IC ENGINE POWERING AN ELECTRICAL GENERATOR (GENERATOR #1 - BLDG. 100).</t>
  </si>
  <si>
    <t>DTA-2300-G2</t>
  </si>
  <si>
    <t>25600 CHRISMAN ROAD</t>
  </si>
  <si>
    <t>(209) 982-2080</t>
  </si>
  <si>
    <t>N-263-16-0</t>
  </si>
  <si>
    <t>1085 BHP CUMMINS, MODEL KTA-2300 G2, EMERGENCY DIESEL-FIRED IC ENGINE POWERING AN ELECTRICAL GENERATOR (GENERATOR # 2 - BLDG. 100).</t>
  </si>
  <si>
    <t>KTA-2300-G2</t>
  </si>
  <si>
    <t>N-263-20-0</t>
  </si>
  <si>
    <t>397 BHP VOLVO EMERGENCY DIESEL-FIRED IC  ENGINE POWERING A 300 KW  ELECTRICAL GENERATOR.</t>
  </si>
  <si>
    <t>DEPT WATER RESOURCES-EDMONSTON</t>
  </si>
  <si>
    <t>S-2933-4-0</t>
  </si>
  <si>
    <t>635 HP CUMMINS DIESEL IC ENGINE CONNECTED TO AN EMERGENCY GENERATOR</t>
  </si>
  <si>
    <t>39000 EDMONSTON PUMPING PLANT</t>
  </si>
  <si>
    <t xml:space="preserve"> METTLER</t>
  </si>
  <si>
    <t>(661) 858-2211</t>
  </si>
  <si>
    <t>S-2933-3-0</t>
  </si>
  <si>
    <t>500 HP DETROIT DIESEL IC ENGINE CONNECTED TO AN EMERGENCY GENERATOR</t>
  </si>
  <si>
    <t>DOCTORS HOSPITAL OF MANTECA</t>
  </si>
  <si>
    <t>N-1108-2-0</t>
  </si>
  <si>
    <t>536 HP DETROIT DIESEL MODEL 8V92TTA DIESEL FIRED IC ENGINE POWERING A 400 KW EMERGENCY ELECTRICAL GENERATOR</t>
  </si>
  <si>
    <t>1205 E  NORTH STREET</t>
  </si>
  <si>
    <t>(209) 239-8323</t>
  </si>
  <si>
    <t>550 HP DETROIT DIESEL MODEL S60 DIESEL-FIRED EMERGENCY IC ENGINE POWERING A 365 KW ELECTRICAL GENERATOR</t>
  </si>
  <si>
    <t>3645 E HAMMER LANE</t>
  </si>
  <si>
    <t>N-3182-4-0</t>
  </si>
  <si>
    <t>713 HP VOLVO MODEL TAD1631GE DIESEL-FIRED EMERGENCY IC ENGINE POWERING A 500 KW ELECTRICAL GENERATOR</t>
  </si>
  <si>
    <t>EL NIDO</t>
  </si>
  <si>
    <t>N-3182-3-0</t>
  </si>
  <si>
    <t xml:space="preserve">713 HP VOLVO MODEL TAD1631GE DIESEL-FIRED EMERGENCY IC ENGINE POWERING A 500 KW ELECTRICAL GENERATOR </t>
  </si>
  <si>
    <t>MOUNTAIN HOUSE CSD - WATER TREATMENT PLA</t>
  </si>
  <si>
    <t>N-4686-1-0</t>
  </si>
  <si>
    <t>1200 HP DETROIT DIESEL, MODEL 16V2000 G70 R163-7K35, DIESEL FIRED EMERGENCY INTERNAL COMBUSTION ENGINE POWERING A 800 KW ELECTRIC GENERATOR.</t>
  </si>
  <si>
    <t>18045 KELSO ROAD</t>
  </si>
  <si>
    <t>BYRON</t>
  </si>
  <si>
    <t>NEIGHBORCARE INC</t>
  </si>
  <si>
    <t>N-4741-1-0</t>
  </si>
  <si>
    <t>536 HP CATERPILLAR MODEL 3456 DIESEL-FIRED EMERGENCY IC ENGINE POWERING A 350 KW ELECTRICAL GENERATOR</t>
  </si>
  <si>
    <t>927 INDUSTRIAL WAY</t>
  </si>
  <si>
    <t>N-2863-2-0</t>
  </si>
  <si>
    <t>1186 HP CATERPILLAR MODEL 3412 DIESEL-FIRED EMERGENCY IC ENGINE POWERING AN ELECTRICAL GENERATOR</t>
  </si>
  <si>
    <t>2761 SYLVAN AVE</t>
  </si>
  <si>
    <t>S-1169-2-0</t>
  </si>
  <si>
    <t>480 HP CUMMINS MODEL N14-G2 DIESEL-FIRED EMERGENCY IC ENGINE POWERING A 300 KW ELECTRICAL GENERATOR</t>
  </si>
  <si>
    <t>11101 WHITE LANE</t>
  </si>
  <si>
    <t>N-2872-2-0</t>
  </si>
  <si>
    <t>1,135 HP CUMMINS MODEL QST-30G1 DIESEL-FIRED EMERGENCY IC ENGINE POWERING A 400 KW ELECTRICAL GENERATOR</t>
  </si>
  <si>
    <t>1288 CEDAR AVE</t>
  </si>
  <si>
    <t>PRISON INDUSTRY AUTHORITY--AVENAL</t>
  </si>
  <si>
    <t>C-954-12-0</t>
  </si>
  <si>
    <t>1,250 HP CATERPILLAR MODEL 3412 STA DIESEL-FIRED EMERGENCY IC ENGINE EQUIPPED WITH TURBOCHARGER, INTERCOOLER/AFTERCOOLER AND POSITIVE CRANKCASE VENTILATION POWERING AN 800 KW ELECTRICAL GENERATOR</t>
  </si>
  <si>
    <t>1 KINGS WAY</t>
  </si>
  <si>
    <t>AVENAL</t>
  </si>
  <si>
    <t>(209) 386-0587 X6061</t>
  </si>
  <si>
    <t>RIVERBANK ARMY AMMUNITION PLT.</t>
  </si>
  <si>
    <t>N-2138-28-0</t>
  </si>
  <si>
    <t>483 HP POWER TECH MODEL 6125HF001 DIESEL FIRED EMERGENCY IC ENGINE POWERING AN ELECTRIC GENERATOR LOCATED EAST OF BLDG 18</t>
  </si>
  <si>
    <t>Power Tech</t>
  </si>
  <si>
    <t>6125HF001</t>
  </si>
  <si>
    <t>5300 CLAUS ROAD</t>
  </si>
  <si>
    <t>RIVERBANK</t>
  </si>
  <si>
    <t>(209) 529-8100</t>
  </si>
  <si>
    <t>C-4018-1-0</t>
  </si>
  <si>
    <t>755 HP CUMMINS MODEL QSX15-G9 DIESEL-FIRED EMERGENCY IC ENGINE POWERING A 500 KW ELECTRICAL GENERATOR</t>
  </si>
  <si>
    <t>233 W. VOORMAN AVE</t>
  </si>
  <si>
    <t>N-811-25-0</t>
  </si>
  <si>
    <t>2,550 BHP DETROIT DIESEL MODEL T1637K16 EMERGENCY STANDBY DIESEL FIRED IC ENGINE SERVING A 1750 KW ELECTRICAL GENERATOR.</t>
  </si>
  <si>
    <t>N-3232-4-0</t>
  </si>
  <si>
    <t>1200 HP DETROIT DIESEL MODEL 16V2000 G70 DIESEL-FIRED EMERGENCY IC ENGINE POWERING A 800 KW ELECTRICAL GENERATOR</t>
  </si>
  <si>
    <t>16V2000-G70</t>
  </si>
  <si>
    <t>LATHROP</t>
  </si>
  <si>
    <t xml:space="preserve">95330     </t>
  </si>
  <si>
    <t>THE FRESNO HEART HOSPITAL, LLC</t>
  </si>
  <si>
    <t>C-3835-3-0</t>
  </si>
  <si>
    <t>1502 HP CATERPILLAR MODEL 3508B DITA DIESEL-FIRED EMERGENCY IC ENGINE POWERING A 1000 KW ELECTRICAL GENERATOR</t>
  </si>
  <si>
    <t>15 E AUDUBON</t>
  </si>
  <si>
    <t>C-3835-4-0</t>
  </si>
  <si>
    <t>S-548-11-0</t>
  </si>
  <si>
    <t>1502 HP CATERPILLAR MODEL 3508B DIESEL-FIRED EMERGENCY IC ENGINE POWERING A 1000 KW ELECTRICAL GENERATOR</t>
  </si>
  <si>
    <t>1875 S WEST ST</t>
  </si>
  <si>
    <t>BURLINGTON NORTHERN SANTA FE RAILWAY</t>
  </si>
  <si>
    <t>N-4775-1-0</t>
  </si>
  <si>
    <t>427 HP GENERAC MODEL 12.0 DTA DIESEL-FIRED EMERGENCY IC ENGINE POWERING A 300 KW ELECTRICAL GENERATOR</t>
  </si>
  <si>
    <t>12.0 DTA</t>
  </si>
  <si>
    <t>6540 AUSTIN ROAD</t>
  </si>
  <si>
    <t>S-864-12-0</t>
  </si>
  <si>
    <t>1186 HP CATERPILLAR MODEL #3412 DIESEL FIRED EMERGENCY IC ENGINE EQUIPPED WITH TURBOCHARGER AND AFTERCOOLER POWERING A 800 KW ELECTRICAL GENERATOR</t>
  </si>
  <si>
    <t>2737 W CECIL AVE</t>
  </si>
  <si>
    <t>S-864-10-0</t>
  </si>
  <si>
    <t>2885 HP CATERPILLAR MODEL #3516B DIESEL FIRED EMERGENCY IC ENGINE EQUIPPED WITH TURBOCHARGER AND AFTERCOOLER POWERING A 2000 KW ELECTRICAL GENERATOR</t>
  </si>
  <si>
    <t>S-864-11-0</t>
  </si>
  <si>
    <t>N-4724-1-0</t>
  </si>
  <si>
    <t>449 BHP CATERPILLAR, MODEL 3406 DI, EMERGENCY DIESEL-FIRED IC ENGINE POWERING A 335 KW ELECTRICAL GENERATOR (WELL #15 - UNIT #7164).</t>
  </si>
  <si>
    <t>WELL #15 - COMMERCE AVENUE @ INDUSTRY</t>
  </si>
  <si>
    <t>N-4723-1-0</t>
  </si>
  <si>
    <t>449 BHP CATERPILLAR, MODEL 3406, EMERGENCY DIESEL-FIRED IC ENGINE POWERING A 355 KW ELECTRICAL GENERATOR. (WELL #14 - UNIT #7163)</t>
  </si>
  <si>
    <t>WELL #14 - FAY DRIVE @WINTON WAY</t>
  </si>
  <si>
    <t>N-4663-1-0</t>
  </si>
  <si>
    <t>632 HP DETROIT DIESEL, MODEL 6063-HK35, DIESEL FIRED EMERGENCY INTERNAL COMBUSTION ENGINE POWERING A 400 KW ELECTRIC GENERATOR.</t>
  </si>
  <si>
    <t>2650 N NAGLEE ROAD</t>
  </si>
  <si>
    <t>(209) 831-4600</t>
  </si>
  <si>
    <t>N-4664-1-0</t>
  </si>
  <si>
    <t>765 HP DETROIT DIESEL, MODEL 8V2000, DIESEL FIRED EMERGENCY INTERNAL COMBUSTION ENGINE POWERING A 500 KW ELECTRIC GENERATOR.</t>
  </si>
  <si>
    <t>8V2000</t>
  </si>
  <si>
    <t>2001 BESSIE AVENUE</t>
  </si>
  <si>
    <t>CITY OF TRACY, DEVELOPMENT &amp; ENGINEERING</t>
  </si>
  <si>
    <t>N-4835-1-0</t>
  </si>
  <si>
    <t>1200 HP DETROIT DIESEL MODEL 16V2000 DIESEL-FIRED EMERGENCY IC ENGINE POWERING AN 800 KW ELECTRICAL GENERATOR.</t>
  </si>
  <si>
    <t>16V2000</t>
  </si>
  <si>
    <t>LINNE ROAD</t>
  </si>
  <si>
    <t>CITY OF TURLOCK</t>
  </si>
  <si>
    <t>N-4595-2-0</t>
  </si>
  <si>
    <t>635 HP DETROIT DIESEL, MODEL 6063-HK35, DIESEL FIRED EMERGENCY INTERNAL COMBUSTION ENGINE POWERING A 350 KW ELECTRIC GENERATOR</t>
  </si>
  <si>
    <t>MONTE VISTA AVENUE AT TEGNER ROAD</t>
  </si>
  <si>
    <t>DIAMOND WALNUT GROWERS, INC.</t>
  </si>
  <si>
    <t>N-285-100-0</t>
  </si>
  <si>
    <t>600 BHP CUMMINS, MODEL KTA 19-G2, EMERGENCY DIESEL-FIRED IC ENGINE POWERING A 400 KW GENERATOR.</t>
  </si>
  <si>
    <t>1050 DIAMOND STREET</t>
  </si>
  <si>
    <t>(209) 466-4851</t>
  </si>
  <si>
    <t>E &amp; J GALLO WINERY</t>
  </si>
  <si>
    <t>N-3386-27-0</t>
  </si>
  <si>
    <t>1,120 BHP DETROIT DIESEL, MODEL 12V2000, DIESEL FIRED EMERGENCY STANDBY IC ENGINE SERVING A 750 KW ELECTRIC GENERATOR.</t>
  </si>
  <si>
    <t>600 YOSEMITE BLVD</t>
  </si>
  <si>
    <t>(209) 579-4217</t>
  </si>
  <si>
    <t>N-3694-2-0</t>
  </si>
  <si>
    <t>1200 HP CUMMINS MODEL QST30-G2 DIESEL-FIRED EMERGENCY IC ENGINE POWERING A 725 KW ELECTRICAL GENERATOR</t>
  </si>
  <si>
    <t>7717 S. MCKINLEY AVE</t>
  </si>
  <si>
    <t>FRENCH CAMP</t>
  </si>
  <si>
    <t>N-2867-2-0</t>
  </si>
  <si>
    <t xml:space="preserve">1,200 HP CUMMINS MODEL QST30-G2 DIESEL-FIRED EMERGENCY IC ENGINE POWERING A 700 KW ELECTRICAL GENERATOR </t>
  </si>
  <si>
    <t>325 N CENTER STREET</t>
  </si>
  <si>
    <t>N-3667-3-0</t>
  </si>
  <si>
    <t>2200 HP DETROIT DIESEL MODEL 12V4000 DIESEL-FIRED EMERGENCY IC ENGINE POWERING  A 1200 KW ELECTRIC GENERATOR.</t>
  </si>
  <si>
    <t>12V4000</t>
  </si>
  <si>
    <t>TAKENAKA CORPORATION USA</t>
  </si>
  <si>
    <t>N-4783-1-0</t>
  </si>
  <si>
    <t>878 HP DIESEL-FIRED MITSUBISHI MODEL S6R-PTA-E EMERGENCY IC ENGINE POWERING A 600 KW KATOLIGHT GENERATOR.</t>
  </si>
  <si>
    <t>S6R-PTA-E</t>
  </si>
  <si>
    <t>18231 MURPHY PARKWAY</t>
  </si>
  <si>
    <t>UNIVERSITY OF THE PACIFIC</t>
  </si>
  <si>
    <t>N-3744-3-0</t>
  </si>
  <si>
    <t>490 HP DETROIT DIESEL MODEL SERIES 60, 12.7 DIESEL-FIRED EMERGENCY IC ENGINE POWERING AN ELECTRICAL GENERATOR SERVICING THE COMPUTER AND TELECOMMUNICATIONS CENTER.</t>
  </si>
  <si>
    <t>Series 60</t>
  </si>
  <si>
    <t>3546 BAXTER WAY</t>
  </si>
  <si>
    <t>(209) 946-2541</t>
  </si>
  <si>
    <t>AMERICAN AVENUE LANDFILL</t>
  </si>
  <si>
    <t>C-3115-3-0</t>
  </si>
  <si>
    <t>755 HP CUMMINS MODEL #QSX15-69 DIESEL-FIRED EMERGENCY IC ENGINE POWERING AN ELECTRICAL GENERATOR</t>
  </si>
  <si>
    <t>18950 W AMERICAN AVE</t>
  </si>
  <si>
    <t>KERMAN</t>
  </si>
  <si>
    <t>BERGELECTRIC CORP</t>
  </si>
  <si>
    <t>C-4228-1-0</t>
  </si>
  <si>
    <t>1350 HP DETROIT DIESEL MODEL #DDC 16V-2000 DIESEL-FIRED EMERGENCY IC ENGINE #1 POWERING AN ELECTRICAL GENERATOR</t>
  </si>
  <si>
    <t>DDC 16V-2000</t>
  </si>
  <si>
    <t>2502 TULARE ST</t>
  </si>
  <si>
    <t>C-4228-2-0</t>
  </si>
  <si>
    <t>1350 HP DETROIT DIESEL MODEL #DDC 16V-2000 DIESEL-FIRED EMERGENCY IC ENGINE #2 POWERING AN ELECTRICAL GENERATOR</t>
  </si>
  <si>
    <t>S-864-16-0</t>
  </si>
  <si>
    <t>490 HP DETROIT DIESEL MODEL 6063-MK35 DIESEL-FIRED EMERGENCY IC ENGINE POWERING AN ELECTRICAL GENERATOR</t>
  </si>
  <si>
    <t>6063-MK35</t>
  </si>
  <si>
    <t>CALIFORNIA AIR NATIONAL GUARD</t>
  </si>
  <si>
    <t>C-216-33-0</t>
  </si>
  <si>
    <t>470 HP CUMMINS QSM11-G2 DIESEL-FIRED EMERGENCY IC ENGINE POWERING A 300 KW ELECTRICAL GENERATOR</t>
  </si>
  <si>
    <t>QSM11-G2</t>
  </si>
  <si>
    <t>5323 E MCKINLEY</t>
  </si>
  <si>
    <t>CARQUEST AUTO PARTS</t>
  </si>
  <si>
    <t>S-4135-1-0</t>
  </si>
  <si>
    <t>519 HP DIESEL-FIRED CATERPILLAR MODEL 3406B DIT EMERGENCY IC ENGINE, SN 4RG01691, POWERING A 350 KW ELECTRICAL GENERATOR.</t>
  </si>
  <si>
    <t>3406B DIT</t>
  </si>
  <si>
    <t>HANFORD L P</t>
  </si>
  <si>
    <t>C-603-6-1</t>
  </si>
  <si>
    <t>724 HP CATERPILLAR MODEL 3412 DIESEL-FIRED IC ENGINE, POWERING 475 KW EMERGENCY GENERATOR.</t>
  </si>
  <si>
    <t>10596 IDAHO AVE</t>
  </si>
  <si>
    <t>(925) 431-1426</t>
  </si>
  <si>
    <t>HANFORD MALL</t>
  </si>
  <si>
    <t>C-3240-1-0</t>
  </si>
  <si>
    <t>465 HP CUMMINS MODEL NTA855-G2 DIESEL-FIRED EMERGENCY IC ENGINE POWERING A 300 KW ELECTRICAL GENERATOR</t>
  </si>
  <si>
    <t>1675 W LACEY BLVD</t>
  </si>
  <si>
    <t>(209) 583-1200</t>
  </si>
  <si>
    <t>HARRY J PAPPAS-KFRE RADIO</t>
  </si>
  <si>
    <t>S-3416-1-0</t>
  </si>
  <si>
    <t>520 BHP CUMMINS MODEL VT1710 PG635 DIESEL-FIRED EMERGENCY IC ENGINE POWERING A 350 KW ELECTRICAL GENERATOR</t>
  </si>
  <si>
    <t>VT1710</t>
  </si>
  <si>
    <t>11058 EAST AVENUE 384</t>
  </si>
  <si>
    <t xml:space="preserve"> CUTLER</t>
  </si>
  <si>
    <t>93615</t>
  </si>
  <si>
    <t>(209) 255-2600</t>
  </si>
  <si>
    <t>HUME LAKE CHRISTIAN CAMP</t>
  </si>
  <si>
    <t>C-645-6-0</t>
  </si>
  <si>
    <t>650 HP DETROIT DIESEL ENGINE, MODEL 7123-7300 WITH TURBOCHARGER POWERING A 350 KW EMERGENCY ELECTRICAL GENERATOR.</t>
  </si>
  <si>
    <t>64144 HUME LAKE RD</t>
  </si>
  <si>
    <t xml:space="preserve"> HUME LAKE</t>
  </si>
  <si>
    <t>93628</t>
  </si>
  <si>
    <t>(209) 335-2881</t>
  </si>
  <si>
    <t>C-645-7-0</t>
  </si>
  <si>
    <t>755 HP DETROIT DEISEL ENGINE, MODEL 7163-7305 WITH TURBOCHARGER, POWERING A 455 KW EMERGENCY ELECTRICAL GENERATOR.</t>
  </si>
  <si>
    <t>J R SIMPLOT COMPANY</t>
  </si>
  <si>
    <t>C-705-2-1</t>
  </si>
  <si>
    <t>469.0 HP CATERPILLAR MODEL 3406 DIESEL-FIRED EMERGENCY INTERNAL COMBUSTION ENGINE DRIVING A 313 KVA ELECTRICAL GENERATOR</t>
  </si>
  <si>
    <t>12688 S COLORADO AVE</t>
  </si>
  <si>
    <t xml:space="preserve"> HELM</t>
  </si>
  <si>
    <t>93627</t>
  </si>
  <si>
    <t>(209) 866-5681</t>
  </si>
  <si>
    <t>JOSEPH GALLO FINE CHEESE</t>
  </si>
  <si>
    <t>N-1660-4-0</t>
  </si>
  <si>
    <t>800 HP CUMMINS (MODEL # VT 12-800-GSGC) DIESEL-FIRED EMERGENCY IC ENGINE POWERING A 500 KW ELECTRICAL GENERATOR.</t>
  </si>
  <si>
    <t>VT 12-800-    GSGC</t>
  </si>
  <si>
    <t>10561 W HIGHWAY 140</t>
  </si>
  <si>
    <t xml:space="preserve"> LIVINGSTON</t>
  </si>
  <si>
    <t>95301</t>
  </si>
  <si>
    <t>(209) 394-8999</t>
  </si>
  <si>
    <t>KAISER PERMANENTE MED CENTER</t>
  </si>
  <si>
    <t>C-709-3-1</t>
  </si>
  <si>
    <t>1027 HP CATERPILLAR MODEL 3508 DIESEL-FIRED EMERGENCY INTERNAL COMBUSTION ENGINE #1 POWERING A 700 KW ELECTRICAL GENERATOR.</t>
  </si>
  <si>
    <t>7300 N FRESNO ST</t>
  </si>
  <si>
    <t>93720</t>
  </si>
  <si>
    <t>(209) 448-2900</t>
  </si>
  <si>
    <t>C-709-4-1</t>
  </si>
  <si>
    <t>1027 HP CATERPILLAR MODEL 3508 DIESEL-FIRED EMERGENCY INTERNAL COMBUSTION ENGINE #2 POWERING A 700 KW ELECTRICAL GENERATOR.</t>
  </si>
  <si>
    <t>C-709-11-1</t>
  </si>
  <si>
    <t>1027 HP CATERPILLAR MODEL 3508 DIESEL-FIRED EMERGENCY INTERNAL COMBUSTION ENGINE #3 POWERING A 700 KW ELECTRICAL GENERATOR.</t>
  </si>
  <si>
    <t>C-709-12-1</t>
  </si>
  <si>
    <t>1027 HP CATERPILLAR MODEL 3508 DIESEL-FIRED EMERGENCY INTERNAL COMBUSTION ENGINE #4 POWERING A 700 KW ELECTRICAL GENERATOR.</t>
  </si>
  <si>
    <t>KAISER PERMANENTE MEDICAL CTR.</t>
  </si>
  <si>
    <t>N-2654-3-0</t>
  </si>
  <si>
    <t>ONE (1) 1,456 HP CATERPILLAR DIESEL FIRED IC ENGINE (MODEL 3508) EQUIPPED WITH TURBOCHARGER AND AFTERCOOLER POWERING AN EMERGENCY GENERATOR</t>
  </si>
  <si>
    <t>7373 N WEST LANE</t>
  </si>
  <si>
    <t>(209) 476-3023</t>
  </si>
  <si>
    <t>KAWEAH DELTA DISTRICT HOSPITAL</t>
  </si>
  <si>
    <t>S-318-3-0</t>
  </si>
  <si>
    <t>1456 HP CATERPILLAR MODEL 3508 TURBOCHARGED DIESEL I.C. ENGINE,  SERIAL# 1ZF00626,  POWERING 1000 KW EMERGENCY GENERATOR</t>
  </si>
  <si>
    <t>400 WEST MINERAL KING RD</t>
  </si>
  <si>
    <t>(559) 625-2693</t>
  </si>
  <si>
    <t>S-318-4-0</t>
  </si>
  <si>
    <t>1456 HP CATERPILLAR MODEL 3508 TURBOCHARGED DIESEL I.C. ENGINE,  SERIAL# 1ZF00624, POWERING  1000 KW EMERGENCY GENERATOR</t>
  </si>
  <si>
    <t>KERN COUNTY GENERAL SERVICES</t>
  </si>
  <si>
    <t>S-9-1-0</t>
  </si>
  <si>
    <t>1,330 HP CATERPILLAR MODEL 3512) TURBOCHARGED DIESEL EMERGENCY IC ENGINE DRIVING A 895 KW ELECTRICAL GENERATOR (1415 TRUXTUN, SUPERIOR COURT BUILDING)</t>
  </si>
  <si>
    <t>1115 - 1415 TRUXTUN AVE</t>
  </si>
  <si>
    <t>(661) 861-2491</t>
  </si>
  <si>
    <t>S-9-6-0</t>
  </si>
  <si>
    <t>540 HP DETROIT DIESEL EMERGENCY IC ENGINE DRIVING A 400 KW ELECTRICAL GENERATOR (1215 TRUXTUN, MUNICIPAL COURT BUILDING)</t>
  </si>
  <si>
    <t>S-12-1-0</t>
  </si>
  <si>
    <t>535 HP EMERGENCY STANDBY CUMMINS TURBOCHARGED I.C. ENGINE SERIAL #30315954 DRIVING CUMMINS ELECTRAL GENERATOR MODEL #249-0152-04 AND SERIAL #W320414</t>
  </si>
  <si>
    <t>2100 COLLEGE AVE</t>
  </si>
  <si>
    <t>93305</t>
  </si>
  <si>
    <t>S-15-1-0</t>
  </si>
  <si>
    <t>500 HP EMERGENCY STANDBY DIESEL FIRED HIND TURBOCHARGED I.C. ENGINE MODEL #11411-1941 DRIVING GE GENERATOR MODEL #G420CBP-250, SERIAL #JF11093</t>
  </si>
  <si>
    <t>Hind</t>
  </si>
  <si>
    <t>11411-1941</t>
  </si>
  <si>
    <t>2601 PANORAMA DR</t>
  </si>
  <si>
    <t>S-9-8-0</t>
  </si>
  <si>
    <t>1190 HP CUMMINS MODEL #KTA38-G1 DIESEL EMERGENCY IC ENGINE DRIVING AN ONAN 750 KW ELECTRICAL GENERATOR (1415 TRUXTUN, SUPERIOR COURT BUILDING)</t>
  </si>
  <si>
    <t>KERN COUNTY SHERIFF DEPT LERDO</t>
  </si>
  <si>
    <t>S-1458-6-0</t>
  </si>
  <si>
    <t>1308 HP CATERPILLAR MODEL D399 DIESEL-FIRED EMERGENCY IC ENGINE WITH TURBOCHARGER AND PCV POWERING A 780 KW ELECTRIC GENERATOR</t>
  </si>
  <si>
    <t>17635 INDUSTRIAL FARM ROAD</t>
  </si>
  <si>
    <t>(661) 399-9529</t>
  </si>
  <si>
    <t>KERN COUNTY SUPT OF SCHOOLS</t>
  </si>
  <si>
    <t>S-2634-1-0</t>
  </si>
  <si>
    <t>821 HP TURBOCHARGED DIESEL INTERNAL COMBUSTION ENGINE POWERING 625 KW EMERGENCY GENERATOR.</t>
  </si>
  <si>
    <t>1300 17TH STREET</t>
  </si>
  <si>
    <t>(661) 636-4000</t>
  </si>
  <si>
    <t>KERN MEDICAL CENTER</t>
  </si>
  <si>
    <t>S-1678-5-1</t>
  </si>
  <si>
    <t>1,135 BRAKE HP CUMMINGS KT-2300-GS TURBO CHARGED DIESEL FIRED INTERNAL COMBUSTION ENGINE DRIVING EMERGENCY GENERATOR</t>
  </si>
  <si>
    <t>KT-2300-GS</t>
  </si>
  <si>
    <t>1830 FLOWER STREET</t>
  </si>
  <si>
    <t>(661) 326-2101</t>
  </si>
  <si>
    <t>S-1678-9-0</t>
  </si>
  <si>
    <t>1098 HP DIESEL FUEL-FIRED CATERPILLAR, MODEL 3508 DITA, EMERGENCY STAND-BY IC ENGINE DRIVING 750 KW GENERATOR</t>
  </si>
  <si>
    <t>S-1678-21-0</t>
  </si>
  <si>
    <t>1108 HP CATERPILLAR MODEL 3412 DIESEL IC ENGINE WITH TURBOCHARGER AND AFTERCOOLER POWERING A 750 KW EMERGENCY GENERATOR</t>
  </si>
  <si>
    <t>KERN OIL &amp; REFINING COMPANY</t>
  </si>
  <si>
    <t>S-37-80-0</t>
  </si>
  <si>
    <t>471 HP DETROIT MODEL 12V71T DIESEL FIRED IC ENGINE DRIVING AN EMERGENCY GENERATOR</t>
  </si>
  <si>
    <t>PANAMA LN &amp; WEEDPATCH HWY</t>
  </si>
  <si>
    <t>93307-9210</t>
  </si>
  <si>
    <t>(661) 845-0761</t>
  </si>
  <si>
    <t>KINGS VIEW HOSPITAL</t>
  </si>
  <si>
    <t>C-728-4-0</t>
  </si>
  <si>
    <t>400 HP CATERPILLAR MODEL 3406 DIESEL INTERNAL COMBUSTION ENGINE POWERING 300 KW EMERGENCY GENERATOR.</t>
  </si>
  <si>
    <t>42675 ROAD 44</t>
  </si>
  <si>
    <t>93654</t>
  </si>
  <si>
    <t>KMPH TV-PAPPAS TELECASTING</t>
  </si>
  <si>
    <t>S-3438-1-0</t>
  </si>
  <si>
    <t>896 HP CATERPILLAR MODEL 3412 DIESEL-FIRED EMERGENCY IC ENGINE EQUIPPED WITH TURBOCHARGER, INTERCOOLER/AFTERCOOLER, AND POSITIVE CRANKCASE VENTILATION SYSTEM, DRIVING 600 KW CATERPILLAR MODEL SR4B ELECTRICAL GENERATOR</t>
  </si>
  <si>
    <t>BALDY RIDGE SITE</t>
  </si>
  <si>
    <t xml:space="preserve"> SEQUOIA NF</t>
  </si>
  <si>
    <t>559 255 2600</t>
  </si>
  <si>
    <t>KMPH TV-PAPPAS TELECASTING INC</t>
  </si>
  <si>
    <t>S-3456-1-0</t>
  </si>
  <si>
    <t>1070 HP DETROIT DIESEL 12V-149T DIESEL-FIRED EMERGENCY IC ENGINE EQUIPPED WITH TURBOCHARGER, POWERING A 755 KW ELECTRICAL GENERATOR (36 DEG. 17'12" N, 118 DEG. 50'20" W)</t>
  </si>
  <si>
    <t>BLUE RIDGE MICROWAVE SITE</t>
  </si>
  <si>
    <t xml:space="preserve"> SPRINGVILLE</t>
  </si>
  <si>
    <t>93727-1965</t>
  </si>
  <si>
    <t>559-255-2600</t>
  </si>
  <si>
    <t>KRAFT FOODS, INC</t>
  </si>
  <si>
    <t>S-843-3-1</t>
  </si>
  <si>
    <t>600 HP DIESEL FIRED KOHLER EMERGENCY I.C. ENGINE WITH ELECTRICAL GENERATOR</t>
  </si>
  <si>
    <t>10800 AVENUE 184</t>
  </si>
  <si>
    <t xml:space="preserve"> TULARE</t>
  </si>
  <si>
    <t>93274-9514</t>
  </si>
  <si>
    <t>(559) 685-0790</t>
  </si>
  <si>
    <t>KSEE TV</t>
  </si>
  <si>
    <t>C-3077-1-0</t>
  </si>
  <si>
    <t>534 HP CATERPILLAR MODEL 3406 DI DIESEL-FIRED EMERGENCY IC ENGINE USED TO POWER A 350 KW GENERATOR FOR TELEVISION BROADCASTING EQUIPMENT.</t>
  </si>
  <si>
    <t>LEE DEVELOPMENT GROUP</t>
  </si>
  <si>
    <t>S-3502-1-0</t>
  </si>
  <si>
    <t>474 HP DETROIT DIESEL MODEL 6V92-TA DIESEL-FIRED EMERGENCY IC ENGINE EQUIPPED WITH TURBOCHARGER, AFTERCOOLER (WATER), AND POSITIVE CRANKCASE VENTILATION SYSTEM, DRIVING 300 KW KOHLER MODEL 300ROZD-R ELECTRICAL GENERATOR</t>
  </si>
  <si>
    <t>6V-92TA</t>
  </si>
  <si>
    <t>1300 18TH STREET</t>
  </si>
  <si>
    <t>661 395 0541</t>
  </si>
  <si>
    <t>LEVEL 3 COMMUNICATIONS LLC</t>
  </si>
  <si>
    <t>C-3690-1-0</t>
  </si>
  <si>
    <t>449 HP CATERPILLAR MODEL 3406C DIESEL-FIRED EMERGENCY IC ENGINE POWERING A 300 KW ELECTRICAL GENERATOR</t>
  </si>
  <si>
    <t>11090  10  1/2  AVE</t>
  </si>
  <si>
    <t>(925) 398-3025</t>
  </si>
  <si>
    <t>N-4384-1-0</t>
  </si>
  <si>
    <t>449 BHP CATERPILLAR MODEL NUMBER 3406C DIESEL-FIRED EMERGENCY IC ENGINE DRIVING A CATERPILLAR MODEL 3406 300 KW ELECTRICAL GENERATOR</t>
  </si>
  <si>
    <t>INTERSECTION OF FRANKLIN ROAD AND UNION</t>
  </si>
  <si>
    <t>LEVEL 3 COMMUNICATIONS, LLC</t>
  </si>
  <si>
    <t>S-3666-1-0</t>
  </si>
  <si>
    <t>449 HP CATERPILLAR MODEL 3406 DIESEL FIRED EMERGENCY I.C. ENGINE, EQUIPPED WITH TURBOCHARGER W/AFTERCOOLER AND POSITIVE CRANKCASE VENTILATION SYSTEM, POWERING A 300 KW ELECTRICAL GENERATOR.</t>
  </si>
  <si>
    <t>INTERSECTION OF BURLINGTON NORTHERN</t>
  </si>
  <si>
    <t xml:space="preserve"> POND</t>
  </si>
  <si>
    <t>93280</t>
  </si>
  <si>
    <t>S-3704-1-0</t>
  </si>
  <si>
    <t>449 HP CATERPILLAR MODEL 3406C DIESEL-FIRED EMERGENCY IC ENGINE POWERING A 300 KW ELECTRIC GENERATOR</t>
  </si>
  <si>
    <t>7731 DIMILLER DRIVE</t>
  </si>
  <si>
    <t>LINDSAY CITY OF</t>
  </si>
  <si>
    <t>S-3228-1-0</t>
  </si>
  <si>
    <t>725 HP DIESEL FUELED BUDA EMERGENCY IC ENGINE POWERING A 500 KW GENERATOR.</t>
  </si>
  <si>
    <t>Buda</t>
  </si>
  <si>
    <t>185 NORTH GALE HILL</t>
  </si>
  <si>
    <t xml:space="preserve"> LINDSAY</t>
  </si>
  <si>
    <t>93247</t>
  </si>
  <si>
    <t>559-562-2511</t>
  </si>
  <si>
    <t>LODI MEMORIAL HOSPITAL</t>
  </si>
  <si>
    <t>N-496-2-1</t>
  </si>
  <si>
    <t>755 HP CATERPILLAR, MODEL NO. 3412, DIESEL-FIRED IC EMERGENCY ENGINE POWERING A 520 KW EMERGENCY GENERATOR (#1).</t>
  </si>
  <si>
    <t>975 S. FAIRMONT</t>
  </si>
  <si>
    <t>(209) 339-7680</t>
  </si>
  <si>
    <t>N-496-3-1</t>
  </si>
  <si>
    <t>755 HP CATERPILLAR, MODEL NO. 3412, DIESEL-FIRED IC EMERGENCY ENGINE POWERING A 520 KW EMERGENCY GENERATOR (#2).</t>
  </si>
  <si>
    <t>LOWES H I W, INC</t>
  </si>
  <si>
    <t>S-3659-1-0</t>
  </si>
  <si>
    <t>550 HP DETROIT DIESEL MODEL 6063-TK35 DIESEL FIRED EMERGENCY I.C. ENGINE, EQUIPPED WITH TURBOCHARGER, DRIVING A 355 KW ELECTRICAL GENERATOR.</t>
  </si>
  <si>
    <t>7825 ROSEDALE HIGHWAY</t>
  </si>
  <si>
    <t>M.C.I. TELECOM.</t>
  </si>
  <si>
    <t>N-3812-1-0</t>
  </si>
  <si>
    <t>ONE (1) 947 BHP "DETROIT DIESEL" DIESEL FIRED TURBOCHARGED AND AFTERCOOLED IC ENGINE (MODEL 8123-7416) POWERING A 600 KW EMERGENCY GENERATOR.</t>
  </si>
  <si>
    <t>6436 OAKDALE ROAD</t>
  </si>
  <si>
    <t xml:space="preserve"> RIVERBANK</t>
  </si>
  <si>
    <t>95367</t>
  </si>
  <si>
    <t>(209) 863-3027</t>
  </si>
  <si>
    <t>MADERA COMMUNITY HOSPITAL</t>
  </si>
  <si>
    <t>C-803-5-1</t>
  </si>
  <si>
    <t>805 HP EMERGENCY CATERPILLAR IC ENGINE, MODEL #3408,  POWERING AN ELECTRICAL GENERATOR.</t>
  </si>
  <si>
    <t>1250 E ALMOND AVE</t>
  </si>
  <si>
    <t>93639</t>
  </si>
  <si>
    <t>(209) 673-5101 X5926</t>
  </si>
  <si>
    <t>MADERA COUNTY ENGINEERING DEPT</t>
  </si>
  <si>
    <t>C-3324-1-0</t>
  </si>
  <si>
    <t>600 HP CUMMINS MODEL KTA19-G2 DIESEL FIRED EMERGENCY IC ENGINE POWERING A 400 KW ELECTRICAL GENERATOR.</t>
  </si>
  <si>
    <t>14191 ROAD 28</t>
  </si>
  <si>
    <t>(559) 675-7817</t>
  </si>
  <si>
    <t>MALAGA COUNTY WATER DISTRICT</t>
  </si>
  <si>
    <t>C-2876-1-0</t>
  </si>
  <si>
    <t>587 BHP CATERPILLAR MODEL 3406C DIESEL IC ENGINE, WITH TURBOCHARGER AND AFTERCOOLER, POWERING A 400 KW EMERGENCY GENERATOR FOR WASTEWATER TREATMENT PROCESS.</t>
  </si>
  <si>
    <t>3749 S MAPLE AVE</t>
  </si>
  <si>
    <t>(209) 485-7358</t>
  </si>
  <si>
    <t>MCFARLAND MUTUAL WATER CO</t>
  </si>
  <si>
    <t>S-3235-1-0</t>
  </si>
  <si>
    <t>450 HP CATERPILLAR MODEL 3406 DIESEL EMERGENCY IC ENGINE DRIVING A 300 KW ELECTRICAL GENERATOR, ALSO APPROVED TO OPERATE ON THE SOUTH SIDE OF THE ALLEY BEHIND 140 SECOND STREET IN MCFARLAND</t>
  </si>
  <si>
    <t>W. END OF HAIL LN, SOUTH SIDE</t>
  </si>
  <si>
    <t xml:space="preserve"> MCFARLAND</t>
  </si>
  <si>
    <t>93250</t>
  </si>
  <si>
    <t>(661) 792-3058</t>
  </si>
  <si>
    <t>MCI INTERNATIONAL</t>
  </si>
  <si>
    <t>N-2679-1-0</t>
  </si>
  <si>
    <t>ONE (1) 650 HP CATERPILLAR MODEL #D379 DIESEL FIRED IC ENGINE POWERING AN EMERGENCY GENERATOR</t>
  </si>
  <si>
    <t>2500 W TURNER RD</t>
  </si>
  <si>
    <t>95242</t>
  </si>
  <si>
    <t>(209) 367-2600</t>
  </si>
  <si>
    <t>MCI TELECOMMUNICATIONS, INC.</t>
  </si>
  <si>
    <t>N-533-2-0</t>
  </si>
  <si>
    <t>465 BHP CUMMINS, MODEL NTA 855G2, DIESEL-FIRED EMERGENCY IC ENGINE POWERING A 300 KW ELECTRIC GENERATOR.</t>
  </si>
  <si>
    <t>28455 S. CORRAL HOLLOW RD</t>
  </si>
  <si>
    <t>96376</t>
  </si>
  <si>
    <t>(916) 373-4606</t>
  </si>
  <si>
    <t>MEMORIAL HOSPITAL NORTH</t>
  </si>
  <si>
    <t>N-2022-14-0</t>
  </si>
  <si>
    <t>2167 HP CATERPILLAR MODEL 3512 DITA DIESEL-FIRED EMERGENCY IC ENGINE POWERING AN ELECTRICAL GENERATOR</t>
  </si>
  <si>
    <t>1700 COFFEE RD</t>
  </si>
  <si>
    <t>95355</t>
  </si>
  <si>
    <t>(209) 569-7396</t>
  </si>
  <si>
    <t>N-2022-15-0</t>
  </si>
  <si>
    <t>2167 BHP CATERPILLAR MODEL #3512 DITA DIESEL-FIRED EMERGENCY IC ENGINE POWERING AN ELECTRICAL GENERATOR</t>
  </si>
  <si>
    <t>MENDOTA BIOMASS POWER, LTD</t>
  </si>
  <si>
    <t>C-825-1-0</t>
  </si>
  <si>
    <t>890 HP CATERPILLAR MODEL 3412 DIESEL-FUELED IC ENGINE WITH TURBOCHARGER POWERING A 750 KW EMERGENCY GENERATOR.</t>
  </si>
  <si>
    <t>400 GUILLEN PARKWAY</t>
  </si>
  <si>
    <t xml:space="preserve"> MENDOTA</t>
  </si>
  <si>
    <t>93640</t>
  </si>
  <si>
    <t>(559) 655-4921</t>
  </si>
  <si>
    <t>MENNONITE BRETHREN HOMES, INC.</t>
  </si>
  <si>
    <t>C-3007-2-0</t>
  </si>
  <si>
    <t>535 HP CUMMINGS ONAN (MODEL # NTA855-G3) EMERGENCY DIESEL-FIRED IC ENGINE DRIVING A 350 KW ELECTRICAL GENERATOR.</t>
  </si>
  <si>
    <t>701 W. HERBERT</t>
  </si>
  <si>
    <t>(209) 638-6933</t>
  </si>
  <si>
    <t>MERCED COUNTY, PUBLIC WORKS</t>
  </si>
  <si>
    <t>N-3182-2-0</t>
  </si>
  <si>
    <t>ONE (1) 680 HP DIESEL FUELED CUMMINS (MODEL KTTA19-G2-6) I.C. ENGINE SERVING A 500 KW MARATHON (MODEL 572RSL2037) EMERGENCY GENERATOR.</t>
  </si>
  <si>
    <t>KTTA19-G2-6</t>
  </si>
  <si>
    <t>2584 WEST SANDY MUSH ROAD</t>
  </si>
  <si>
    <t xml:space="preserve"> EL NIDO</t>
  </si>
  <si>
    <t>95317</t>
  </si>
  <si>
    <t>(385) 747-7</t>
  </si>
  <si>
    <t>MERCY HOSPITAL</t>
  </si>
  <si>
    <t>S-1-4-1</t>
  </si>
  <si>
    <t>890 BHP DIESEL FIRED CAT MODEL 3412 EMERGENCY INTERNAL COMBUSTION ENGINE WITH 600 KW CAT SR4 ELECTRIC GENERATOR.</t>
  </si>
  <si>
    <t>2215 TRUXTUN AVE</t>
  </si>
  <si>
    <t>(661) 327-3371</t>
  </si>
  <si>
    <t>S-831-1-1</t>
  </si>
  <si>
    <t>1,600 BHP TURBO-CHARGED DIESEL-FIRED CAT MODEL 3512 I.C. ENGINE  POWERING ONE 1100 KW EMERGENCY GENERATOR</t>
  </si>
  <si>
    <t>400 OLD RIVER ROAD</t>
  </si>
  <si>
    <t>MERCY WESTSIDE HOSPITAL</t>
  </si>
  <si>
    <t>S-1707-2-0</t>
  </si>
  <si>
    <t>400 KW EMERGENCY ELECTRICAL GENERATOR POWERED BY CATERPILLAR MODEL 3406, 587 BHP DIESEL FIRED I.C. ENGINE WITH TURBOCHARGER AND AFTERCOOLER</t>
  </si>
  <si>
    <t>110 E NORTH ST</t>
  </si>
  <si>
    <t>(661) 632-5377</t>
  </si>
  <si>
    <t>MODESTO ENERGY LIMITED PARTNER</t>
  </si>
  <si>
    <t>N-2045-4-1</t>
  </si>
  <si>
    <t xml:space="preserve">ONE 2020 HP DETROIT DIESEL MODEL 149 9163-7316 TURBOCHARGED AND AFTERCOOLED IC ENGINE SERVING AN EMERGENCY STANDBY 1,500 KW GENERATOR </t>
  </si>
  <si>
    <t>149 9163-7316</t>
  </si>
  <si>
    <t>4549 INGRAM CREEK ROAD</t>
  </si>
  <si>
    <t xml:space="preserve"> WESTLEY</t>
  </si>
  <si>
    <t>95387</t>
  </si>
  <si>
    <t>(925) 244-1100</t>
  </si>
  <si>
    <t>MUNICIPAL RESOURCE CONSULTANTS</t>
  </si>
  <si>
    <t>C-3310-1-0</t>
  </si>
  <si>
    <t>535 HP CUMMINS MODEL NTA855-G3 DIESEL-FIRED EMERGENCY IC ENGINE, EQUIPPED WITH TURBOCHARGER, INTERCOOLER/AFTERCOOLER AND POSITIVE CRANKCASE VENTILATION.  THE ENGINE POWERS A 350KW ELECTRIC GENERATOR</t>
  </si>
  <si>
    <t>3433 W SHAW</t>
  </si>
  <si>
    <t>(559) 271-6865</t>
  </si>
  <si>
    <t>NAS LEMOORE</t>
  </si>
  <si>
    <t>C-2106-1-0</t>
  </si>
  <si>
    <t>487 HP CATERPILLAR MODEL #3406B-D1 EMERGENCY IC ENGINE, DIESEL FIRED, 6 CYLINDER INLINE.  THE ENGINE IS LOCATED IN THE CONTROL TOWER - BUILDING 001.</t>
  </si>
  <si>
    <t>NAVAL AIR STATION LEMOORE</t>
  </si>
  <si>
    <t xml:space="preserve"> LEMOORE</t>
  </si>
  <si>
    <t>93246-5001</t>
  </si>
  <si>
    <t>(209) 998-4113</t>
  </si>
  <si>
    <t>C-2106-2-0</t>
  </si>
  <si>
    <t>749 HP CATERPILLAR MODEL #3412 12 CYLINDER  DIESEL-FIRED EMERGENCY IC ENGINE.  THE ENGINE IS LOCATED IN BUILDING 003 - THE FIELD LIGHTING VAULT.</t>
  </si>
  <si>
    <t>C-2106-9-0</t>
  </si>
  <si>
    <t>749 HP CATERPILLAR MODEL #3412, 12 CYLINDER, DIESEL-FIRED, EMERGENCY IC ENGINE.  THIS ENGINE IS LOCATED IN BUILDING 468 - APPROACH LIGHT VAULT.</t>
  </si>
  <si>
    <t>C-2341-16-0</t>
  </si>
  <si>
    <t>550 HP CATERPILLAR MODEL 3408 B STANDBY IC ENGINE, SERIAL #78Z05408, DRIVING A 365 KW EMERGENCY POWER GENERATOR.  LOCATED IN BUILDING 722 - WATER TREATMENT PLANT.</t>
  </si>
  <si>
    <t>(209) 998-4070</t>
  </si>
  <si>
    <t>C-2341-22-0</t>
  </si>
  <si>
    <t>1,550 HP DETROIT DIESEL, MODEL 7243-7406, DIESEL-FIRED EMERGENCY IC ENGINE DRIVING 1,000 KW, 3 PHASE GENERATOR.  LOCATED IN NEW BASE HOSPITAL</t>
  </si>
  <si>
    <t>C-2341-7-0</t>
  </si>
  <si>
    <t>586 HP DETROIT MODEL #81237300, 12 CYLINDER, DIESEL-FIRED EMERGENCY IC ENGINE. LOCATED IN BUILDING 928 - MOTOR GENERATOR BUILDING.</t>
  </si>
  <si>
    <t>C-2341-23-0</t>
  </si>
  <si>
    <t>NORTH OF RIVER SANITARY DIST</t>
  </si>
  <si>
    <t>S-489-3-0</t>
  </si>
  <si>
    <t>ONE 450 HP DIESEL-FIRED IC ENGINE DRIVING AN EMERGENCY/STANDBY GENERATOR</t>
  </si>
  <si>
    <t>5001 OLIVE DR</t>
  </si>
  <si>
    <t>(805) 393-5411</t>
  </si>
  <si>
    <t>NORTHERN CALIFORNIA WOMENS FAC</t>
  </si>
  <si>
    <t>N-1138-1-0</t>
  </si>
  <si>
    <t>CATERPILLAR (MODEL 3412) 723 HP DIESEL-FIRED ENGINE POWERING AN EMERGENCY GENERATOR.</t>
  </si>
  <si>
    <t>7150 ARCH ROAD</t>
  </si>
  <si>
    <t>95213</t>
  </si>
  <si>
    <t>(209) 943-1600</t>
  </si>
  <si>
    <t>NORTHERN CALIFORNIA YOUTH CNTR</t>
  </si>
  <si>
    <t>N-581-27-0</t>
  </si>
  <si>
    <t>1425 BHP WAUKESHA MODEL NO. VHP5900GST NATURAL GAS FIRED EMERGENCY IC ENGINE POWERING A 1000 KW EMERGENCY GENERATOR. (N.A. CHADERJIAN SCHOOL)</t>
  </si>
  <si>
    <t>VHP5900GST</t>
  </si>
  <si>
    <t>7650 S  NEWCASTLE ROAD</t>
  </si>
  <si>
    <t>95205</t>
  </si>
  <si>
    <t>(209) 944-6011</t>
  </si>
  <si>
    <t>OCCIDENTAL OF ELK HILLS, INC.</t>
  </si>
  <si>
    <t>S-382-421-1</t>
  </si>
  <si>
    <t>773 BHP WAUKESHA NATURAL GAS FIRED EMERGENCY I.C. ENGINE UNX# 14100</t>
  </si>
  <si>
    <t>(661) 763-6068</t>
  </si>
  <si>
    <t>OCEANIC CALIFORNIA INC</t>
  </si>
  <si>
    <t>S-1375-1-0</t>
  </si>
  <si>
    <t>750 BRAKE HP CATERPILLAR DIESEL-FIRED STANDBY IC ENGINE DRIVING EMERGENCY ELECTRICAL GENERATOR</t>
  </si>
  <si>
    <t>10000 MING AVE</t>
  </si>
  <si>
    <t>93311</t>
  </si>
  <si>
    <t>(805) 835-6031</t>
  </si>
  <si>
    <t>ORANGE AVENUE DISPOSAL</t>
  </si>
  <si>
    <t>C-2425-2-1</t>
  </si>
  <si>
    <t>520 HP DIESEL FUELED IC ENGINE POWERING A 350 KW EMERGENCY GENERATOR</t>
  </si>
  <si>
    <t>3510 S ORANGE AVE</t>
  </si>
  <si>
    <t>(209) 233-1158</t>
  </si>
  <si>
    <t>ORCHARD SUPPLY HARDWARE</t>
  </si>
  <si>
    <t>N-3255-1-0</t>
  </si>
  <si>
    <t>611 BHP DETROIT DIESEL MODEL 8083-7416 EMERGENCY DIESEL-FIRED IC ENGINE POWERING 400 KW ELECTRIC GENERATOR.</t>
  </si>
  <si>
    <t>2650 N. MACARTHUR DRIVE</t>
  </si>
  <si>
    <t>(619) 677-0150 X3002</t>
  </si>
  <si>
    <t>OWENS-BROCKWAY GLASS CONTAINER</t>
  </si>
  <si>
    <t>N-593-29-1</t>
  </si>
  <si>
    <t>ONE (1) 534 HP CATERPILLAR DIESEL FIRED IC ENGINE (MODEL # 3406 DITA) POWERING A 350 KW EMERGENCY GENERATOR "C"</t>
  </si>
  <si>
    <t>14700 W SCHULTE ROAD</t>
  </si>
  <si>
    <t>(209) 835-5701</t>
  </si>
  <si>
    <t>C-1652-2-0</t>
  </si>
  <si>
    <t>995 HP DETROIT DIESEL MODEL 16V92TA DIESEL-FIRED EMERGENCY IC ENGINE POWERING A 600 KW ELECTRICAL GENERATOR.</t>
  </si>
  <si>
    <t>525 E SHAW</t>
  </si>
  <si>
    <t>91910</t>
  </si>
  <si>
    <t>(800) 757-6575</t>
  </si>
  <si>
    <t>C-907-2-0</t>
  </si>
  <si>
    <t>1232 HP DETROIT, MODEL 8163-7416, DIESEL-FIRED IC ENGINE POWERING A 650 KW EMERGENCY GENERATOR.</t>
  </si>
  <si>
    <t>5555 E OLIVE AVE</t>
  </si>
  <si>
    <t>C-1666-3-0</t>
  </si>
  <si>
    <t>568 HP, DETROIT DIESEL, MODEL # 8083-7495, DIESEL-FIRED EMERGENCY IC ENGINE POWERING A 320 KW STAMFORD NEWAGE ELECTRICAL GENERATOR</t>
  </si>
  <si>
    <t>8083-7495</t>
  </si>
  <si>
    <t>221 S E STREET</t>
  </si>
  <si>
    <t>C-1668-2-0</t>
  </si>
  <si>
    <t>560 BHP CUMMINS, 4 CYCLE, IN-LINE, 6 CYLINDER DIESEL-FIRED EMERGENCY IC ENGINE, MODEL KTA19G1, POWERING A 350 KW ELECTRICAL GENERATOR.</t>
  </si>
  <si>
    <t>1250 E ASHLAN AVE</t>
  </si>
  <si>
    <t>N-2412-1-0</t>
  </si>
  <si>
    <t>ONE SATURN (MODEL #KS15992) 1100 HP, DIESEL FIRED TURBINE POWERING AN EMERGENCY STANDBY 750 KW ALTERNATOR</t>
  </si>
  <si>
    <t>Saturn</t>
  </si>
  <si>
    <t>KS15992</t>
  </si>
  <si>
    <t>345 N  SAN JOAQUIN STREET</t>
  </si>
  <si>
    <t>N-2412-2-0</t>
  </si>
  <si>
    <t>N-3667-1-0</t>
  </si>
  <si>
    <t>ONE (1) "DETROIT DIESEL" 474 BHP TURBOCHARGED AND AFTERCOOLED DIESEL FIRED IC ENGINE, MODEL #6V-92TA USED TO POWER A 300 KW EMERGENCY GENERATOR.</t>
  </si>
  <si>
    <t>10 EAST 12TH ST</t>
  </si>
  <si>
    <t>N-3649-1-0</t>
  </si>
  <si>
    <t>ONE (1) 1,095 BHP "DETROIT DIESEL" DIESEL FIRED IC ENGINE (MODEL #8163-7405) WITH A TURBOCHARGER AND AFTERCOOLER POWERING AN EMERGENCY 650 KW GENERATOR</t>
  </si>
  <si>
    <t>907 LINCOLN RD</t>
  </si>
  <si>
    <t>95207</t>
  </si>
  <si>
    <t>N-2412-4-0</t>
  </si>
  <si>
    <t>ONE (1) 2,340 BHP "DETROIT DIESEL" DIESEL FIRED IC ENGINE (MODEL #9163-7416) WITH A TURBOCHARGER AND AFTERCOOLER POWERING AN EMERGENCY 1635 KW GENERATOR</t>
  </si>
  <si>
    <t>N-2907-3-0</t>
  </si>
  <si>
    <t>2520 HP CATERPILLAR, MODEL D3516, EMERGENCY DIESEL-FIRED IC ENGINE WITH TURBOCHARGER POWERING A GENERATOR.</t>
  </si>
  <si>
    <t>D3516</t>
  </si>
  <si>
    <t>1025 13TH STREET</t>
  </si>
  <si>
    <t>N-4074-1-0</t>
  </si>
  <si>
    <t>630 BHP DETROIT DIESEL, MODEL NO. 7123-7305, EMERGENCY DIESEL-FIRED IC ENGINE POWERING A 470 KW  ELECTRICAL GENERATOR.</t>
  </si>
  <si>
    <t>44 W YOKUTS</t>
  </si>
  <si>
    <t>S-1170-1-0</t>
  </si>
  <si>
    <t>650 HP DIESEL-FIRED EMERGENCY IC ENGINE (S/N 8VF141911A-V8GMC) DRIVING 350KW EMERGENCY GENERATOR</t>
  </si>
  <si>
    <t>5101 OFFICE PARK DRIVE</t>
  </si>
  <si>
    <t>S-671-1-0</t>
  </si>
  <si>
    <t>DETROIT DIESEL GENERATOR SET MODEL #12V-92TA, 670 HP, DRIVING 500 KW ELECTRICAL EMERGENCY GENERATOR</t>
  </si>
  <si>
    <t>217 W ACEQUIA</t>
  </si>
  <si>
    <t>93278</t>
  </si>
  <si>
    <t>S-2198-1-0</t>
  </si>
  <si>
    <t>405 HP TURBOCHARGED DIESEL I.C. ENGINE POWERING A 320 KW EMERGENCY GENERATOR</t>
  </si>
  <si>
    <t>140 NORTH L STREET</t>
  </si>
  <si>
    <t>93274</t>
  </si>
  <si>
    <t>S-1163-2-0</t>
  </si>
  <si>
    <t>750 HP TURBOCHARGED DIESEL FUELED IC ENGINE POWERING A 450 KW EMERGENCY GENERATOR</t>
  </si>
  <si>
    <t>3221 SO H STREET</t>
  </si>
  <si>
    <t>93304</t>
  </si>
  <si>
    <t>S-1156-2-0</t>
  </si>
  <si>
    <t>ONE EMERGENCY STANDBY 1750 HP DETROIT DIESEL IC ENGINE DRIVING 1200 KW KOHLER GENERATOR</t>
  </si>
  <si>
    <t>1918 M STREET</t>
  </si>
  <si>
    <t>PACIFIC BELL WIRELESS</t>
  </si>
  <si>
    <t>N-4377-2-0</t>
  </si>
  <si>
    <t>1500 BHP CATERPILLAR MODEL 3516 DITA EMERGENCY DIESEL FIRED IC ENGINE DRIVING AN 1500 KW CATERPILLAR MODEL 3512 ELECTRICAL GENERATOR.</t>
  </si>
  <si>
    <t>1920 CUSTOMER CARE WAY</t>
  </si>
  <si>
    <t xml:space="preserve"> ATWATER</t>
  </si>
  <si>
    <t>PACIFIC GAS &amp; ELECTRIC CO</t>
  </si>
  <si>
    <t>C-2886-1-0</t>
  </si>
  <si>
    <t>1109 BHP FOUR STROKE, 12 CYLINDER, CATERPILLAR MODEL 3412 TURBOCHARGED AND AFTERCOOLED, DIESEL IC ENGINE POWERING A 750 KW EMERGENCY ELECTRICAL GENERATOR.</t>
  </si>
  <si>
    <t>650 O STREET</t>
  </si>
  <si>
    <t>(209) 263-7299</t>
  </si>
  <si>
    <t>C-932-2-0</t>
  </si>
  <si>
    <t>PG&amp;E SOURCE #1: 605 BHP CATERPILLAR MODEL 3412 DIESEL IC ENGINE WITH TURBOCHARGER AND INTERCOOLER, S/N 38S1433, POWERING A 520 KW EMERGENCY ELECTRICAL GENERATOR.  LOCATED AT HELMS SUPPORT FACILITY.</t>
  </si>
  <si>
    <t>70185 COURTRIGHT</t>
  </si>
  <si>
    <t xml:space="preserve"> SHAVER LAKE</t>
  </si>
  <si>
    <t>93664</t>
  </si>
  <si>
    <t>(209) 448-7833</t>
  </si>
  <si>
    <t>C-3197-1-0</t>
  </si>
  <si>
    <t>PG&amp;E SOURCE #2: 605 BHP CATERPILLAR MODEL 3412 DIESEL IC ENGINE, S/N 38S1394, WITH TURBOCHARGER AND INTERCOOLER, POWERING A 500 KW EMERGENCY ELECTRICAL GENERATOR.  LOCATED AT WOODCHUCK SITE.</t>
  </si>
  <si>
    <t>HELMS OFFICE COMPLEX-WOODCHUCK</t>
  </si>
  <si>
    <t>(209) 865-3698</t>
  </si>
  <si>
    <t>C-3196-1-0</t>
  </si>
  <si>
    <t>PG&amp;E SOURCE #3: 605 BHP CATERPILLAR MODEL 3412 DIESEL IC ENGINE, S/N 38S1390, WITH TURBOCHARGER AND INTERCOOLER, POWERING A 520 KW EMERGENCY ELECTRICAL GENERATOR.  LOCATED AT HELMS SWITCHYARD FACILITY.</t>
  </si>
  <si>
    <t>HELMS SWITCHYARD FACILITY</t>
  </si>
  <si>
    <t>PACIFIC GAS &amp; ELECTRIC CO.</t>
  </si>
  <si>
    <t>N-608-1-1</t>
  </si>
  <si>
    <t>625 BHP CATERPILLAR MODEL G-398 NATURAL GAS FIRED IC ENGINE  POWERING AN EMERGENCY GENERATOR (SERIAL # 73B1022) SERVING THE TURNER CUT STATION.</t>
  </si>
  <si>
    <t>G-398</t>
  </si>
  <si>
    <t>MCDONALD ISLAND</t>
  </si>
  <si>
    <t xml:space="preserve"> HOLT</t>
  </si>
  <si>
    <t>95234</t>
  </si>
  <si>
    <t>(510) 943-3811</t>
  </si>
  <si>
    <t>N-608-2-1</t>
  </si>
  <si>
    <t>625 BHP CATERPILLAR MODEL G-398 NATURAL GAS FIRED IC ENGINE POWERING AN EMERGENCY GENERATOR (SERIAL # 73B1012) SERVING THE TURNER CUT STATION.</t>
  </si>
  <si>
    <t>N-608-3-1</t>
  </si>
  <si>
    <t>625 BHP CATERPILLAR MODEL G-398 NATURAL GAS FIRED IC ENGINE POWERING AN EMERGENCY GENERATOR (SERIAL # 73B1020) SERVING THE WHISKEY SLOUGH STATION.</t>
  </si>
  <si>
    <t>N-608-4-1</t>
  </si>
  <si>
    <t>625 BHP CATERPILLAR MODEL G-398 NATURAL GAS FIRED IC ENGINE POWERING AN EMERGENCY GENERATOR (SERIAL # 73B1025) SERVING THE WHISKEY SLOUGH STATION.</t>
  </si>
  <si>
    <t>PACIFIC GAS AND ELECTRIC</t>
  </si>
  <si>
    <t>N-4288-1-0</t>
  </si>
  <si>
    <t>685 BHP CUMMINS MODEL KTA19-G3 DIESEL-FIRED EMERGENCY IC ENGINE POWERING A 450 KW ELECTRICAL GENERATOR.</t>
  </si>
  <si>
    <t>8110 N LORRAINE AVE</t>
  </si>
  <si>
    <t>PACIFIC PIPELINE SYSTEM, LLC</t>
  </si>
  <si>
    <t>S-1334-5-2</t>
  </si>
  <si>
    <t>1000 BRAKE HP CATERPILLAR, MODEL #D399, EMERGENCY STANDBY DIESEL I.C. ENGINE</t>
  </si>
  <si>
    <t>TEJON PUMP STATION</t>
  </si>
  <si>
    <t xml:space="preserve"> LEBEC</t>
  </si>
  <si>
    <t>93243</t>
  </si>
  <si>
    <t>(562) 728-2273</t>
  </si>
  <si>
    <t>S-1336-4-2</t>
  </si>
  <si>
    <t>1000 BRAKE HP CATERPILLAR, MODEL #D399, EMERGENCY STANDBY DIESEL ENGINE</t>
  </si>
  <si>
    <t>KELLEY PIPELINE STATION</t>
  </si>
  <si>
    <t>PAC-WEST TELECOMMUNICATIONS</t>
  </si>
  <si>
    <t>N-3121-2-0</t>
  </si>
  <si>
    <t>ONE (1) 960 BHP "DETROIT DIESEL" MODEL #8163-7305 DIESEL FIRED IC ENGINE USED TO POWER A 650 KW EMERGENCY GENERATOR</t>
  </si>
  <si>
    <t>4210 CORONADO AVE</t>
  </si>
  <si>
    <t>95204</t>
  </si>
  <si>
    <t>(209) 462-5214</t>
  </si>
  <si>
    <t>PAPPAS TELECASTING, INC.</t>
  </si>
  <si>
    <t>C-3440-1-0</t>
  </si>
  <si>
    <t>805 BHP CATERPILLAR MODEL #D-348 DIESEL-FIRED EMERGENCY IC ENGINE POWERING A 500 KW ELECTRIC GENERATOR.</t>
  </si>
  <si>
    <t>5111 E. MCKINLEY AVE.</t>
  </si>
  <si>
    <t>(559) 255-2500</t>
  </si>
  <si>
    <t>PAXSON COMM OF FRESNO</t>
  </si>
  <si>
    <t>S-3503-1-0</t>
  </si>
  <si>
    <t>465 HP CUMMINS MODEL NTA855-G2 EMERGENCY DIESEL FIRED I.C. ENGINE DRIVING ELECTRICAL GENERATOR EQUIPPED WITH TURBOCHARGER, INTERCOOLER/AFTERCOOLER, AND POSITIVE CRANKCASE VENTILATION (PCV)</t>
  </si>
  <si>
    <t>BLUE RIDGE LOOKOUT MT</t>
  </si>
  <si>
    <t>559 255 1161</t>
  </si>
  <si>
    <t>PORT OF STOCKTON</t>
  </si>
  <si>
    <t>N-1013-46-0</t>
  </si>
  <si>
    <t>603 BHP CATERPILLAR MODEL 3408-B DIESEL FIRED IC ENGINE POWERING A 400 KW EMERGENCY GENERATOR.</t>
  </si>
  <si>
    <t>2201 W. WASHINGTON ST.</t>
  </si>
  <si>
    <t>(209) 946-0246</t>
  </si>
  <si>
    <t>PORTERVILLE DEVELOPMENTAL CEN</t>
  </si>
  <si>
    <t>S-185-5-0</t>
  </si>
  <si>
    <t>1600 BHP DETROIT DIESEL 9163-7305, DIESEL-FUELED I.C. ENGINE WITH TURBOCHARGER, SERIAL # 16E004465, POWERING A BEMAC III 1050 KW EMERGENCY GENERATOR</t>
  </si>
  <si>
    <t>26501 AVENUE 140</t>
  </si>
  <si>
    <t xml:space="preserve"> PORTERVILLE</t>
  </si>
  <si>
    <t>93257</t>
  </si>
  <si>
    <t>(559) 782-2258</t>
  </si>
  <si>
    <t>S-185-6-0</t>
  </si>
  <si>
    <t>1600 BHP DETROIT DIESEL 9163-7305, DIESEL-FUELED I.C. ENGINE WITH TURBOCHARGER, SERIAL # 16E004618, POWERING A BEMAC III 1050 KW EMERGENCY GENERATOR</t>
  </si>
  <si>
    <t>PPG INDUSTRIES</t>
  </si>
  <si>
    <t>C-948-2-2</t>
  </si>
  <si>
    <t>1577 HP DETROIT DIESEL MODEL 12E-9885 DIESEL-FIRED EMERGENCY IC ENGINE POWERING AN ELECTRICAL GENERATOR.</t>
  </si>
  <si>
    <t>12E-9885</t>
  </si>
  <si>
    <t>3333 S PEACH</t>
  </si>
  <si>
    <t>(209) 485-4660</t>
  </si>
  <si>
    <t>C-948-22-0</t>
  </si>
  <si>
    <t>1500 HP DETROIT, MODEL 16E-4930, DIESEL FIRED IC ENGINE POWERING A 1050 KW DETROIT DIESEL DDC 1050 EMERGENCY ELECTRICAL GENERATOR.</t>
  </si>
  <si>
    <t>16E-4930</t>
  </si>
  <si>
    <t>C-948-28-0</t>
  </si>
  <si>
    <t>1804 HP CATERPILLAR MODEL 3512 STD EMERGENCY DIESEL-FIRED INTERNAL COMBUSTION ENGINE DRIVING A 1250 KW ELECTRICAL GENERATOR.</t>
  </si>
  <si>
    <t>SAINT AGNES MEDICAL CENTER</t>
  </si>
  <si>
    <t>C-1059-3-0</t>
  </si>
  <si>
    <t>749 HP CATERPILLAR 3412 STANDBY DIESEL IC ENGINE #4, SN 81210682, TURBOCHARGED WITH AFTERCOOLER, POWERING A 625 KVA EMERGENCY GENERATOR.</t>
  </si>
  <si>
    <t>1303 E HERNDON AVE</t>
  </si>
  <si>
    <t>(209) 449-3313 X3241</t>
  </si>
  <si>
    <t>C-1059-4-0</t>
  </si>
  <si>
    <t>749 HP CATERPILLAR 3412 STANDBY DIESEL IC ENGINE #5, SN 81210671, TURBOCHARGED WITH AFTERCOOLER, POWERING A 625 KVA EMERGENCY GENERATOR.</t>
  </si>
  <si>
    <t>C-1059-5-0</t>
  </si>
  <si>
    <t>2,847 HP CATERPILLAR 3516 STANDBY DIESEL IC ENGINE #3, SN 4XF00332, TURBOCHARGED WITH AFTERCOOLER, POWERING A 2500 KVA EMERGENCY GENERATOR.</t>
  </si>
  <si>
    <t>C-1059-6-0</t>
  </si>
  <si>
    <t>805 HP CATERPILLAR D348 STANDBY DIESEL IC ENGINE, SN 36J1266, TURBOCHARGED WITH AFTERCOOLER, POWERING A 600 KVA EMERGENCY GENERATOR.</t>
  </si>
  <si>
    <t>C-1059-7-0</t>
  </si>
  <si>
    <t>805 HP DIESEL CATERPILLAR D348 STANDBY DIESEL IC ENGINE #2, SN 36J1292, TURBOCHARGED WITH AFTERCOOLER, POWERING A 750 KVA EMERGENCY GENERATOR.</t>
  </si>
  <si>
    <t>C-2505-1-0</t>
  </si>
  <si>
    <t>908 HP CATERPILLAR MODEL 3412 TURBOCHARGED DIESEL INTERNAL COMBUSTION ENGINE POWERING 600 KW EMERGENCY GENERATOR.</t>
  </si>
  <si>
    <t>1111 E SPRUCE</t>
  </si>
  <si>
    <t>(209) 449-3186</t>
  </si>
  <si>
    <t>SAN JOAQUIN COMMUNITY HOSPITAL</t>
  </si>
  <si>
    <t>S-2220-4-0</t>
  </si>
  <si>
    <t>635 HP CUMMINGS MODEL VT1710PG635 DIESEL-FIRED EMERGENCY IC ENGINE</t>
  </si>
  <si>
    <t>VT1710 PG635</t>
  </si>
  <si>
    <t>2615 EYE STREET</t>
  </si>
  <si>
    <t>(805) 327-1711</t>
  </si>
  <si>
    <t>S-2220-6-0</t>
  </si>
  <si>
    <t>1850 HP CUMMINS DIESEL-FIRED EMERGENCY IC ENGINE POWERING 1250 KW ONAN ELECTRICAL GENERATOR</t>
  </si>
  <si>
    <t>SAN JOAQUIN COUNTY HONOR FARM</t>
  </si>
  <si>
    <t>N-1097-1-0</t>
  </si>
  <si>
    <t>ONE (1) CUMMINS 1200 HP DIESEL ENGINE, MODEL #KTA38-G2-V12 SERVING EMERGENCY STANDBY GENERATOR #1.</t>
  </si>
  <si>
    <t>1005 W. MATTHEWS RD</t>
  </si>
  <si>
    <t xml:space="preserve"> FRENCH CAMP</t>
  </si>
  <si>
    <t>95231</t>
  </si>
  <si>
    <t>(209) 468-3358</t>
  </si>
  <si>
    <t>N-1097-2-0</t>
  </si>
  <si>
    <t>ONE (1) CUMMINS 1200 HP DIESEL ENGINE, MODEL #KTA38-G2-V12, SERVING EMERGENCY STANDBY GENERATOR #2.</t>
  </si>
  <si>
    <t>SAN JOAQUIN GENERAL HOSPITAL</t>
  </si>
  <si>
    <t>N-728-9-0</t>
  </si>
  <si>
    <t>ENGINE #1; ONE (1) 2,340 HP DETROIT DIESEL IC ENGINE (MODEL # 9163-7416) WITH A TURBOCHARGER POWERING A 1500 KW EMERGENCY GENERATOR</t>
  </si>
  <si>
    <t>500 W HOSPITAL RD</t>
  </si>
  <si>
    <t>(209) 468-6814</t>
  </si>
  <si>
    <t>N-728-10-0</t>
  </si>
  <si>
    <t>ENGINE #2; ONE (1) 2,340 HP DETROIT DIESEL IC ENGINE (MODEL # 9163-7416) WITH A TURBOCHARGER POWERING A 1500 KW EMERGENCY GENERATOR</t>
  </si>
  <si>
    <t>SAN JOAQUIN VALLEY REHAB. HOSP</t>
  </si>
  <si>
    <t>C-1543-3-0</t>
  </si>
  <si>
    <t>600 HP CUMMINS MODEL KTA 19-G2 TURBOCHARGED DIESEL IC ENGINE POWERING A 400 KW EMERGENCY GENERATOR.</t>
  </si>
  <si>
    <t>7173 N SHARON AVE</t>
  </si>
  <si>
    <t>(714) 544-4443</t>
  </si>
  <si>
    <t>SEQUOIA &amp; KINGS CANYON NATIONAL PARKS</t>
  </si>
  <si>
    <t>S-2173-12-0</t>
  </si>
  <si>
    <t>463 HP DIESEL I.C. ENGINE POWERING CATERPILLAR MODEL #3408B EMERGENCY GENERATOR AT THE CLOVER CREEK SEWER PLANT</t>
  </si>
  <si>
    <t>THREE RIVERS</t>
  </si>
  <si>
    <t>(209) 565-3341</t>
  </si>
  <si>
    <t>SIERRA SUMMIT</t>
  </si>
  <si>
    <t>C-2344-7-0</t>
  </si>
  <si>
    <t>1500 HP DETROIT DIESEL MODEL 912370306 (SN 12E0009132S.O.4A96092) DIESEL-FIRED EMERGENCY INTERNAL COMBUSTION ENGINE, EQUIPPED WITH A TURBOCHARGER, POWERING A 1050 KW ELECTRICAL GENERATOR.</t>
  </si>
  <si>
    <t>59265 HIGHWAY 168</t>
  </si>
  <si>
    <t xml:space="preserve"> LAKESHORE</t>
  </si>
  <si>
    <t>93634</t>
  </si>
  <si>
    <t>(209) 233-2500</t>
  </si>
  <si>
    <t>SIERRA TELEPHONE COMPANY INC</t>
  </si>
  <si>
    <t>C-3145-1-0</t>
  </si>
  <si>
    <t>ONE 540 BHP DETROIT DIESEL-FIRED EMERGENCY IC ENGINE MODEL 80837305 POWERING A 315 KW ELECTRICAL GENERATOR.</t>
  </si>
  <si>
    <t>49150 ROAD 426</t>
  </si>
  <si>
    <t xml:space="preserve"> OAKHURST</t>
  </si>
  <si>
    <t>93644</t>
  </si>
  <si>
    <t>(209) 642-0290</t>
  </si>
  <si>
    <t>SIERRA VIEW LOCAL HOSPITAL</t>
  </si>
  <si>
    <t>S-2062-2-0</t>
  </si>
  <si>
    <t>900 KW EMERGENCY ELECTRICAL GENERATOR SET POWERED BY 1232 HORSEPOWER DIESEL INTERNAL COMBUSTION ENGINE WITH TURBOCHARGER, AFTERCOOLER, AND CRANKCASE VENTILATION CONTROL SYSTEM</t>
  </si>
  <si>
    <t>465 W PUTNAM</t>
  </si>
  <si>
    <t>93251</t>
  </si>
  <si>
    <t>(559) 784-1110</t>
  </si>
  <si>
    <t>S-2062-3-0</t>
  </si>
  <si>
    <t>S-2062-5-1</t>
  </si>
  <si>
    <t>465 HP EMERGENCY/STANDBY DIESEL-FIRED IC ENGINE POWERING 300 KW ONAN GENERATOR</t>
  </si>
  <si>
    <t>SOUTHERN CALIFORNIA EDISON CO</t>
  </si>
  <si>
    <t>C-2428-1-0</t>
  </si>
  <si>
    <t>750 HP CUMMINS-ONAN MODEL # KTTA 19-G2 IC ENGINE, SERIAL #62056, DRIVING A 560 KW EMERGENCY POWER GENERATOR.</t>
  </si>
  <si>
    <t>47368 LOWER AUBERRY ROAD</t>
  </si>
  <si>
    <t xml:space="preserve"> AUBERRY</t>
  </si>
  <si>
    <t>(626) 302-4836</t>
  </si>
  <si>
    <t>SPRINT (KSOPAJO3O3)</t>
  </si>
  <si>
    <t>N-2764-1-1</t>
  </si>
  <si>
    <t>ONE (1) 1,200 HP CUMMINS MODEL KTA-38GS-2 DIESEL-FIRED EMERGENCY IC ENGINE POWERING A 835 KW MODEL #682FDR7039JJ ELECTRICAL GENERATOR.</t>
  </si>
  <si>
    <t>KTA38-GS2</t>
  </si>
  <si>
    <t>3807 CORONADO AVE</t>
  </si>
  <si>
    <t>N-2764-2-0</t>
  </si>
  <si>
    <t>ONE (1) 680 HP CATERPILLAR MODEL 3412 DIESEL-FIRED EMERGENCY IC ENGINE POWERING A 455 KW KATO ELECTRICAL GENERATOR.</t>
  </si>
  <si>
    <t>N-2764-3-0</t>
  </si>
  <si>
    <t>ONE (1) 1093 HP CATERPILLAR MODEL #3508 DITA DIESEL-FIRED EMERGENCY IC ENGINE POWERING A 750 KW ELECTRICAL GENERATOR.</t>
  </si>
  <si>
    <t>N-2764-5-0</t>
  </si>
  <si>
    <t>1850 HP CUMMINS MODEL KTA50-G3 DIESEL-FIRED EMERGENCY IC ENGINE POWERING A 1250 KW ELECTRICAL GENERATOR.</t>
  </si>
  <si>
    <t>ST. DOMINIC'S HOSP.OF MANTECA</t>
  </si>
  <si>
    <t>N-2424-1-0</t>
  </si>
  <si>
    <t>ONE (1) 600 KW EMERGENCY STANDBY GENERATOR SERVED BY AN 890 HP CATERPILLAR DIESEL ENGINE, MODEL CAT 3412</t>
  </si>
  <si>
    <t>1777 W. YOSEMITE AVE</t>
  </si>
  <si>
    <t>(209) 461-5193</t>
  </si>
  <si>
    <t>STANISLAUS COUNTY BLDG. MAINT.</t>
  </si>
  <si>
    <t>N-1683-1-0</t>
  </si>
  <si>
    <t>535 HP CUMMINS MODEL NTA855-G3 DIESEL-FIRED EMERGENCY IC ENGINE POWERING AN ELECTRICAL GENERATOR</t>
  </si>
  <si>
    <t>34928 MCMURTREY AVENUE</t>
  </si>
  <si>
    <t>C-4181-1-0</t>
  </si>
  <si>
    <t>1,114 HP CATERPILLAR MODEL 3412C DIESEL-FIRED EMERGENCY IC ENGINE POWERING A 750 KW ELECTRICAL GENERATOR</t>
  </si>
  <si>
    <t>5525 N GOLDEN STATE BLVD</t>
  </si>
  <si>
    <t>C-4282-1-0</t>
  </si>
  <si>
    <t>536 HP CATERPILLAR MODEL 3456 ATAAC DIESEL-FIRED EMERGENCY IC ENGINE SERVING A DRINKING WATER SYSTEM</t>
  </si>
  <si>
    <t>3456 ATAAC</t>
  </si>
  <si>
    <t>5775 E NEES AVE</t>
  </si>
  <si>
    <t>CITY OF MANTECA</t>
  </si>
  <si>
    <t>N-4853-1-0</t>
  </si>
  <si>
    <t xml:space="preserve"> 474 HP DETROIT DIESEL MODEL 6V-92TA DIESEL-FIRED EMERGENCY IC ENGINE POWERING AN ELECTRICAL GENERATOR</t>
  </si>
  <si>
    <t>801 LOUISE AVENUE</t>
  </si>
  <si>
    <t>MANTECA</t>
  </si>
  <si>
    <t>N-4526-2-0</t>
  </si>
  <si>
    <t>685 HP CUMMINS MODEL KTTA19G DIESEL-FIRED EMERGENCY INTERNAL COMBUSTION ENGINE POWERING A 450 KW ELECTRIC GENERATOR: TRANSFER OF LOCATION TO THE NE CORNER OF GERARD AVENUE AND KIBBY.</t>
  </si>
  <si>
    <t>CITY OF NEWMAN</t>
  </si>
  <si>
    <t>N-4890-2-0</t>
  </si>
  <si>
    <t>490 HP DETROIT DIESEL MODEL S-60 DIESEL FIRED EMERGENCY IC ENGINE POWERING AN ELECTRICAL GENERATOR</t>
  </si>
  <si>
    <t>INYO X CANAL SCHOOL ROAD</t>
  </si>
  <si>
    <t>CITY OF OAKDALE</t>
  </si>
  <si>
    <t>N-4739-1-0</t>
  </si>
  <si>
    <t>465 HP CUMMINS MODEL NTA855-G2 DIESEL FIRED EMERGENCY IC ENGINE POWERING AN ELECTRICAL GENERATOR</t>
  </si>
  <si>
    <t>2451 PONTIAC ST</t>
  </si>
  <si>
    <t>OAKDALE</t>
  </si>
  <si>
    <t>C-4136-4-0</t>
  </si>
  <si>
    <t>2,155 HP CATERPILLAR MODEL 3512 DIESEL-FIRED EMERGENCY IC ENGINE POWERING A 1,500 KW GENERATOR</t>
  </si>
  <si>
    <t>AMERICAN AVE AND SR 99</t>
  </si>
  <si>
    <t>C-4136-5-0</t>
  </si>
  <si>
    <t>DEFENSE DISTRIB DEPOT SAN JOAQUIN-SHARPE</t>
  </si>
  <si>
    <t>N-754-54-0</t>
  </si>
  <si>
    <t>ONE 910 HP DETROIT DIESEL MODEL 12V2000 G70 (R123-7K05) DIESEL FIRED EMERGENCY IC ENGINE POWERING A 679 KW ELECTRICAL GENERATOR</t>
  </si>
  <si>
    <t>700 E ROTH ROAD</t>
  </si>
  <si>
    <t>S-2933-7-0</t>
  </si>
  <si>
    <t>1114 BHP CATERPILLAR MODEL 3412C DIESEL-FIRED EMERGENCY IC ENGINE WITH TURBOCHARGER, AFTERCOOLER, AND POSITIVE CRANKCASE VENTILATION SYSTEM POWERING AN EMERGENCY GENERATOR</t>
  </si>
  <si>
    <t>METTLER</t>
  </si>
  <si>
    <t>S-2933-6-0</t>
  </si>
  <si>
    <t>465 BHP CUMMINS MODEL NTA-855-G2 DIESEL-FIRED EMERGENCY IC ENGINE WITH TURBOCHARGER AND AFTERCOOLER POWERING AN EMERGENCY GENERATOR</t>
  </si>
  <si>
    <t>DEPT. OF CORRECTIONS FOR STATE OF CALIF</t>
  </si>
  <si>
    <t>S-4128-5-0</t>
  </si>
  <si>
    <t>DELANO II PRISON</t>
  </si>
  <si>
    <t>S-4128-3-0</t>
  </si>
  <si>
    <t>S-4128-4-0</t>
  </si>
  <si>
    <t>C-3944-3-0</t>
  </si>
  <si>
    <t>471 BHP CATERPILLAR MODEL #3456 ATAAC DIESEL-FIRED EMERGENCY IC ENGINE SERVED BY A TURBOCHARGER, AFTERCOOLER AND PCV POWERING A 300 KW ELECTRIC GENERATOR</t>
  </si>
  <si>
    <t>FRUIT PATCH INC</t>
  </si>
  <si>
    <t>S-3515-4-0</t>
  </si>
  <si>
    <t>2,943 HP CATERPILLAR MODEL 3516B DIESEL-FIRED EMERGENCY IC ENGINE POWERING A 1,825 KW ELECTRICAL GENERATOR</t>
  </si>
  <si>
    <t>38773 ROAD 48</t>
  </si>
  <si>
    <t>DINUBA</t>
  </si>
  <si>
    <t>(559) 591-6140</t>
  </si>
  <si>
    <t>S-3515-5-0</t>
  </si>
  <si>
    <t>GWF ENERGY LLC</t>
  </si>
  <si>
    <t>N-4597-4-0</t>
  </si>
  <si>
    <t>471 HP CATERPILLAR MODEL 3456 DI TA AA DIESEL-FIRED EMERGENCY IC ENGINE POWERING A 300 KW ELECTRICAL GENERATOR</t>
  </si>
  <si>
    <t>TRACY PEAKER POWER PLANT</t>
  </si>
  <si>
    <t>GWF ENERGY LLC - HENRIETTA</t>
  </si>
  <si>
    <t>C-3929-4-0</t>
  </si>
  <si>
    <t>471 HP CATERPILLAR MODEL #3456 DI TA AA DIESEL-FIRED EMERGENCY IC ENGINE POWERING AN ELECTRICAL GENERATOR</t>
  </si>
  <si>
    <t>25TH AVE</t>
  </si>
  <si>
    <t>HOME DEPOT USA INC</t>
  </si>
  <si>
    <t>S-4078-1-0</t>
  </si>
  <si>
    <t>455 HP DETROIT DIESEL MODEL 6063-TK35 DIESEL-FIRED EMERGENCY IC ENGINE POWERING AN ELECTRICAL GENERATOR</t>
  </si>
  <si>
    <t>JAYE ST/POPLAR AVENUE</t>
  </si>
  <si>
    <t>PORTERVILLE</t>
  </si>
  <si>
    <t>S-3856-3-0</t>
  </si>
  <si>
    <t>1114 HP CATERPILLAR MODEL #3412C TA DIESEL-FIRED EMERGENCY IC ENGINE POWERING A 750 KW ELECTRICAL GENERATOR</t>
  </si>
  <si>
    <t>LESCO, INC</t>
  </si>
  <si>
    <t>N-878-11-0</t>
  </si>
  <si>
    <t>ONE (1) 525 HP DIESEL FIRED DETROIT MODEL #12171 EMERGENCY IC ENGINE POWERING A 350 KW ELECTRICAL GENERATOR</t>
  </si>
  <si>
    <t>2829 W  WASHINGTON ST</t>
  </si>
  <si>
    <t>(209) 942-0417</t>
  </si>
  <si>
    <t>N-4936-1-0</t>
  </si>
  <si>
    <t>635 HP DETROIT DIESEL MODEL 560 DIESEL-FIRED EMERGENCY IC ENGINE POWERING AN ELECTRICAL GENERATOR</t>
  </si>
  <si>
    <t>1750 W OLIVE</t>
  </si>
  <si>
    <t>S-4158-1-0</t>
  </si>
  <si>
    <t>635 HP DETROIT DIESEL MODEL #S60 DIESEL-FIRED EMERGENCY IC ENGINE POWERING A 420 KW ELECTRICAL GENERATOR</t>
  </si>
  <si>
    <t>4144 S MOONEY BLVD</t>
  </si>
  <si>
    <t>C-4279-1-0</t>
  </si>
  <si>
    <t>550 HP DETROIT DIESEL MODEL S60/6063HK35 DIESEL-FIRED EMERGENCY IC ENGINE POWERING AN ELECTRICAL GENERATOR</t>
  </si>
  <si>
    <t>1632 RAILROAD AVE</t>
  </si>
  <si>
    <t>M. L. STREET PROPERTIES, A JOINT VENTURE</t>
  </si>
  <si>
    <t>C-4198-1-0</t>
  </si>
  <si>
    <t xml:space="preserve">1,490 HP CUMMINS MODEL QST30-G5 DIESEL-FIRED EMERGENCY IC ENGINE POWERING A 1,000 KW ELECTRICAL GENERATOR </t>
  </si>
  <si>
    <t>855 M ST</t>
  </si>
  <si>
    <t>N-3182-5-0</t>
  </si>
  <si>
    <t>765 HP DETROIT DIESEL MODEL 8V-2000 G81 DIESEL-FIRED EMERGENCY IC ENGINE POWERING A 500 KW ELECTRICAL GENERATOR</t>
  </si>
  <si>
    <t>8V-2000 G81</t>
  </si>
  <si>
    <t>(209) 385-7477</t>
  </si>
  <si>
    <t>N-3182-6-0</t>
  </si>
  <si>
    <t>STATE COMPENSATION INSURANCE FUND</t>
  </si>
  <si>
    <t>C-4227-1-0</t>
  </si>
  <si>
    <t>972 HP CATERPILLAR MODEL #3412C DIESEL-FIRED EMERGENCY IC ENGINE POWERING AN ELECTRICAL GENERATOR</t>
  </si>
  <si>
    <t>7370 N PALM</t>
  </si>
  <si>
    <t>SUNVIEW COLD STORAGE</t>
  </si>
  <si>
    <t>S-2747-6-0</t>
  </si>
  <si>
    <t>31548 PETERSON RD</t>
  </si>
  <si>
    <t>MC FARLAND</t>
  </si>
  <si>
    <t>S-2747-7-0</t>
  </si>
  <si>
    <t>SUTTER TRACY COMMUNITY HOSPITAL</t>
  </si>
  <si>
    <t>N-4996-1-0</t>
  </si>
  <si>
    <t>1490 HP CUMMINS MODEL QST30-G5 DIESEL-FIRED EMERGENCY IC ENGINE POWERING A 900 KW ELECTRIC GENERATOR</t>
  </si>
  <si>
    <t>1420 N TRACY BLVD</t>
  </si>
  <si>
    <t>THE HOME DEPOT USA INC</t>
  </si>
  <si>
    <t>N-5001-1-0</t>
  </si>
  <si>
    <t>455 HP DETROIT DIESEL MODEL S60 DIESEL-FIRED EMERGENCY IC ENGINE POWERING AN ELECTRICAL GENERATOR</t>
  </si>
  <si>
    <t>250 COMMERCE AVENUE</t>
  </si>
  <si>
    <t>•  Data on BUGs in the Bay Area AQMD (BAAQMD) is limited to that supplied by PG&amp;E, Silicon Valley Power, and the major telecommunications company.  The inventory most certainly does not include all BUGs in the jurisdiction of the BAAQMD.  Although the BAAQMD provided a database of permitted engines in August 2003, it did not contain information on equipment location needed for this database.  Therefore, no information provided by BAAQMD is included in this database.</t>
  </si>
  <si>
    <t>BEAR MOUNTAIN KSEE TRANSMITTER</t>
  </si>
  <si>
    <t xml:space="preserve"> SITE NEAR SANGE</t>
  </si>
  <si>
    <t>(209) 454-2498</t>
  </si>
  <si>
    <t>KSFN-TV/ABC INC</t>
  </si>
  <si>
    <t>C-3163-1-0</t>
  </si>
  <si>
    <t>480 HP CUMMINS DIESEL EMERGENCY IC ENGINE, MODEL # NTA855-G3, POWERING A 350 KW ELECTRICAL GENERATOR.</t>
  </si>
  <si>
    <t>41986 RINGTAIL LANE</t>
  </si>
  <si>
    <t xml:space="preserve"> MEADOW LAKES</t>
  </si>
  <si>
    <t>93602</t>
  </si>
  <si>
    <t>(209) 442-1170</t>
  </si>
  <si>
    <t>LAMONT PUBLIC UTILITY DIST</t>
  </si>
  <si>
    <t>S-2811-2-0</t>
  </si>
  <si>
    <t>465 HP CUMMINS DIESEL-FIRED EMERGENCY I.C. ENGINE WITH TURBOCHARGER, AFTERCOOLER, POSITIVE CRANKCASE VENTILATION POWERING A 300 KW ONAN EMERGENCY GENERATOR</t>
  </si>
  <si>
    <t>BEAR MTN BLVD</t>
  </si>
  <si>
    <t>93307</t>
  </si>
  <si>
    <t>(805) 845 1213</t>
  </si>
  <si>
    <t>TAD1631</t>
  </si>
  <si>
    <t>364 W FALLBROOK,  SUITE 103</t>
  </si>
  <si>
    <t>(559) 437-0247</t>
  </si>
  <si>
    <t>WILLIAMS COMMUNICATIONS</t>
  </si>
  <si>
    <t>N-4248-1-0</t>
  </si>
  <si>
    <t>1495 HP DIESEL FIRED EMERGENCY I.C. ENGINE, DETROIT DIESEL MODEL # R163-7K06 DRIVING A 1000 KW ELECTRICAL GENERATOR.</t>
  </si>
  <si>
    <t>1224 13TH STREET</t>
  </si>
  <si>
    <t>(918) 573-8294</t>
  </si>
  <si>
    <t>WILLIAMS COMMUNICATIONS INC</t>
  </si>
  <si>
    <t>S-3541-1-0</t>
  </si>
  <si>
    <t>1232 HP DETROIT DIESEL MODEL 8163-7416 DIESEL-FIRED EMERGENCY IC ENGINE POWERING 825 KW ELECTRIC GENERATOR</t>
  </si>
  <si>
    <t>2020 P STREET</t>
  </si>
  <si>
    <t>S-1246-144-2</t>
  </si>
  <si>
    <t xml:space="preserve">          </t>
  </si>
  <si>
    <t>S-1128-306-2</t>
  </si>
  <si>
    <t>KERN COUNTY</t>
  </si>
  <si>
    <t>CITY OF STOCKTON, CALIFORNIA</t>
  </si>
  <si>
    <t>N-3843-1-0</t>
  </si>
  <si>
    <t>ONE (1) 519 BHP CATERPILLAR DIESEL FIRED EMERGENCY IC ENGINE POWERING A 350 KW  ELECTRICAL GENERATOR.</t>
  </si>
  <si>
    <t>WRIGHT TRACT(14&amp;5 MILE SLOUGH)</t>
  </si>
  <si>
    <t>STOCKTON</t>
  </si>
  <si>
    <t>(209) 937-7630</t>
  </si>
  <si>
    <t>N-3842-1-0</t>
  </si>
  <si>
    <t>ONE (1) 749 BHP CATERPILLAR DIESEL FIRED EMERGENCY IC ENGINE POWERING A 500 KW ELECTRICAL GENERATOR.</t>
  </si>
  <si>
    <t>MARCH LANE &amp; BUCKLEY COVE DR</t>
  </si>
  <si>
    <t>JOHN HAMMONS II HOLIDAY INN</t>
  </si>
  <si>
    <t>S-3451-1-0</t>
  </si>
  <si>
    <t>587 HP CATERPILLAR MODEL 3406 DIESEL-FIRED EMERGENCY IC ENGINE (SERIAL # 4RG02354) POWERING A 400 KW ELECTRICAL GENERATOR</t>
  </si>
  <si>
    <t>801 TRUXTUN AVENUE</t>
  </si>
  <si>
    <t>BAKERSFIELD</t>
  </si>
  <si>
    <t xml:space="preserve">93301     </t>
  </si>
  <si>
    <t>(805) 323-1900</t>
  </si>
  <si>
    <t>S-318-11-0</t>
  </si>
  <si>
    <t>587 BHP CATERPILLAR MODEL 3406 EMERGENCY DIESEL-FIRED IC ENGINE, SERVED BY TURBOCHARGER AND AFTERCOOLER, DRIVING A 400 KW ELECTRICAL GENERATOR</t>
  </si>
  <si>
    <t>VISALIA</t>
  </si>
  <si>
    <t xml:space="preserve">93291     </t>
  </si>
  <si>
    <t>C-3705-1-0</t>
  </si>
  <si>
    <t>550 HP DETROIT DIESEL MODEL 560 DIESEL-FIRED EMERGENCY IC ENGINE POWERING A 350 KW ELECTRIC GENERATOR.</t>
  </si>
  <si>
    <t>7651 N BLACKSTONE</t>
  </si>
  <si>
    <t>FRESNO</t>
  </si>
  <si>
    <t xml:space="preserve">93721     </t>
  </si>
  <si>
    <t>S-382-421-2</t>
  </si>
  <si>
    <t>S-2234-104-1</t>
  </si>
  <si>
    <t>1445 HP CATERPILLAR MODEL 3512 DIESEL-FIRED EMERGENCY IC ENGINE POWERING A 1000KW ELECTRIC GENERATOR</t>
  </si>
  <si>
    <t>GAS PLANT</t>
  </si>
  <si>
    <t>TUPMAN</t>
  </si>
  <si>
    <t>360 NETWORKS (USA) INC</t>
  </si>
  <si>
    <t>C-3792-1-0</t>
  </si>
  <si>
    <t>2,220 HP CUMMINS MODEL KTA50-G9 DIESEL-FIRED EMERGENCY IC ENGINE POWERING A 1500 KW ELECTRICAL GENERATOR.</t>
  </si>
  <si>
    <t>7620 N DEL MAR</t>
  </si>
  <si>
    <t>AERA ENERGY</t>
  </si>
  <si>
    <t>S-3798-1-0</t>
  </si>
  <si>
    <t>465 HP CUMMINS MODEL NTTA-855-G2 DIESEL-FIRED EMERGENCY IC ENGINE POWERING A 300 KW ELECTRICAL GENERATOR</t>
  </si>
  <si>
    <t>NTTA855-G2</t>
  </si>
  <si>
    <t>4MI W 7TH STANDARD ROAD &amp; HWY 33</t>
  </si>
  <si>
    <t>93389-1164</t>
  </si>
  <si>
    <t>AGRI-CEL INC</t>
  </si>
  <si>
    <t>S-848-11-0</t>
  </si>
  <si>
    <t>1200 HP DETROIT DIESEL MODEL R163-7K35, DIESEL-FIRED EMERGENCY IC ENGINE EQUIPPED WITH TURBOCHARGER AND INTERCOOLER OR  AFTERCOOLER, DRIVING AN ELECTRICAL GENERATOR</t>
  </si>
  <si>
    <t>Detroit</t>
  </si>
  <si>
    <t>391 ROAD 192</t>
  </si>
  <si>
    <t>DELANO</t>
  </si>
  <si>
    <t>(661) 725-1911</t>
  </si>
  <si>
    <t>APTCO LLC</t>
  </si>
  <si>
    <t>S-3012-6-0</t>
  </si>
  <si>
    <t>599 HP CATERPILLAR MODEL 3406 DIESEL-FIRED EMERGENCY IC ENGINE POWERING A 400 KW GENERATOR</t>
  </si>
  <si>
    <t>31381 POND ROAD</t>
  </si>
  <si>
    <t>MCFARLAND</t>
  </si>
  <si>
    <t xml:space="preserve">93215     </t>
  </si>
  <si>
    <t>559-734-1807</t>
  </si>
  <si>
    <t>C-3907-1-0</t>
  </si>
  <si>
    <t>587 HP CATERPILLAR MODEL 3406  DIESEL-FIRED EMERGENCY 1C ENGINE POWERING A 350 KW ELECTRICAL GENERATOR</t>
  </si>
  <si>
    <t>2441 GROVE INDUSTRIAL DR</t>
  </si>
  <si>
    <t xml:space="preserve">93727     </t>
  </si>
  <si>
    <t/>
  </si>
  <si>
    <t>AVISTA COMMUNICATIONS</t>
  </si>
  <si>
    <t>N-4570-1-0</t>
  </si>
  <si>
    <t>587 BHP CATERPILLAR MODEL 3406 DIESEL FIRED EMERGENCY STANDBY IC ENGINE SERVING A 400 KW ELECTRICAL GENERATOR.  THE ENGINE IS EQUIPPED WITH AN ENGELHARD DPX 20X15 DIESEL PARTICULATE FILTER, A POSITIVE CRANKCASE VENTILATION SYSTEM, A TURBOCHARGER AND AN IN</t>
  </si>
  <si>
    <t>1127 13TH AVE</t>
  </si>
  <si>
    <t>MODESTO</t>
  </si>
  <si>
    <t xml:space="preserve">95354     </t>
  </si>
  <si>
    <t>B F SISK FEDERAL BUILDING</t>
  </si>
  <si>
    <t>C-3891-1-0</t>
  </si>
  <si>
    <t>519 BHP CATERPILLAR DIESEL INTERNAL COMBUSTION ENGINE MODEL 3406TA EQUIPPED WITH TURBOCHARGER, AFTERCOOLER, AND POSITIVE CRANKCASE VENTILATION SYSTEM USED TO POWER A 300 KW EMERGENCY STANDBY GENERATOR SET</t>
  </si>
  <si>
    <t>1130 "O" STREET</t>
  </si>
  <si>
    <t>(559) 891-6611</t>
  </si>
  <si>
    <t>BANK OF AMERICA</t>
  </si>
  <si>
    <t>C-3663-1-0</t>
  </si>
  <si>
    <t>1480 HP CATERPILLAR MODEL 3508B DIESEL-FIRED EMERGENCY INTERNAL COMBUSTION ENGINE POWERING A 1000 KW ELECTRIC GENERATOR</t>
  </si>
  <si>
    <t>7201 N PALM AVE</t>
  </si>
  <si>
    <t>BEEF PACKERS</t>
  </si>
  <si>
    <t>C-3463-5-0</t>
  </si>
  <si>
    <t>2922 BHP CUMMINS MODEL QSK60-G6 DIESEL-FIRED EMERGENCY INTERNAL COMBUSTION ENGINE POWERING 2000 KW ELECTRICAL GENERATOR.</t>
  </si>
  <si>
    <t>3115 S. FIG STREET</t>
  </si>
  <si>
    <t>(559) 268-5586</t>
  </si>
  <si>
    <t>BOGHOSIAN RAISIN PACKING COMPANY, INC.</t>
  </si>
  <si>
    <t>C-3865-1-0</t>
  </si>
  <si>
    <t>972 HP CATERPILLAR MODEL 3412 DIESEL-FIRED EMERGENCY INTERNAL COMBUSTION ENGINE POWERING 650 KW ELECTRICAL GENERATOR.</t>
  </si>
  <si>
    <t>726 S 8TH STREET</t>
  </si>
  <si>
    <t>FOWLER</t>
  </si>
  <si>
    <t xml:space="preserve">93625     </t>
  </si>
  <si>
    <t>C-3865-1-1</t>
  </si>
  <si>
    <t>93625</t>
  </si>
  <si>
    <t>BUJULIAN BROTHERS INC</t>
  </si>
  <si>
    <t>C-2049-8-0</t>
  </si>
  <si>
    <t>514 HP VOLVO MODEL TAD1232GE DIESEL-FIRED EMERGENCY IC ENGINE POWERING A 392 KW ELECTRICAL GENERATOR</t>
  </si>
  <si>
    <t>291 N 6TH AVE</t>
  </si>
  <si>
    <t>KINGSBURG</t>
  </si>
  <si>
    <t xml:space="preserve">93631     </t>
  </si>
  <si>
    <t>(209) 897-3482</t>
  </si>
  <si>
    <t>CAL DEPT OF CORRECTIONS DELANO</t>
  </si>
  <si>
    <t>S-864-2-1</t>
  </si>
  <si>
    <t>MODIFICATION OF 2,884 BHP DIESEL FIRED CATERPILLAR MODEL 3516 DITA EMERGENCY IC ENGINE WITH TURBOCHARGER AND AFTERCOOLER DRIVING A 2,000 KW EMERGENCY GENERATOR: ALLOW ENGINE TO BE TESTED ON THE SAME DAY AS S-864-1 ENGINE OPERATES.</t>
  </si>
  <si>
    <t>(916) 444-6666</t>
  </si>
  <si>
    <t>S-864-1-1</t>
  </si>
  <si>
    <t>MODIFICATION OF 2,884 BHP DIESEL FIRED CATERPILLAR MODEL 3516 DITA EMERGENCY IC ENGINE WITH TURBOCHARGER AND AFTERCOOLER DRIVING A 2,000 KW EMERGENCY GENERATOR: ALLOW ENGINE TO BE TESTED ON THE SAME DAY AS S-864-2 ENGINE OPERATES</t>
  </si>
  <si>
    <t>CALIFORNIA DAIRIES, INC.</t>
  </si>
  <si>
    <t>C-402-11-0</t>
  </si>
  <si>
    <t>2220 HP CUMMINS MODEL KTA50-G9 DIESEL-FIRED EMERGENCY IC ENGINE POWERING A 1500 KW ELECTRICAL GENERATOR.</t>
  </si>
  <si>
    <t>755 F STREET</t>
  </si>
  <si>
    <t>93706-3415</t>
  </si>
  <si>
    <t>(559) 233-5154</t>
  </si>
  <si>
    <t>N-2149-7-0</t>
  </si>
  <si>
    <t>2,220 BHP CUMMINS MODEL KTA50-G9 DIESEL FIRED EMERGENCY STANDBY IC ENGINE SERVING A 1850 KW ELECTRICAL GENERATOR.</t>
  </si>
  <si>
    <t>475 S TEGNER ROAD</t>
  </si>
  <si>
    <t>TURLOCK</t>
  </si>
  <si>
    <t xml:space="preserve">95380     </t>
  </si>
  <si>
    <t>(559) 752-5210</t>
  </si>
  <si>
    <t>N-1788-15-0</t>
  </si>
  <si>
    <t xml:space="preserve">605 BHP CUMMINS, MODEL NTA855-G5, EMERGENCY DIESEL-FIRED I.C. ENGINE POWERING AN ONAN, MODEL DFCE, ELECTRICAL GENERATOR. </t>
  </si>
  <si>
    <t>801 W. MONTE VISTA AVE</t>
  </si>
  <si>
    <t xml:space="preserve">95382     </t>
  </si>
  <si>
    <t>(209) 667-3654</t>
  </si>
  <si>
    <t>CITY OF ATWATER</t>
  </si>
  <si>
    <t>N-4534-1-0</t>
  </si>
  <si>
    <t>535 HP CUMMINS MODEL G-DRIVE N14-G2 DIESEL-FIRED EMERGENCY IC ENGINE POWERING A 300 KW ELECTRICAL GENERATOR.</t>
  </si>
  <si>
    <t>4450 FEDERAL WAY</t>
  </si>
  <si>
    <t>ATWATER</t>
  </si>
  <si>
    <t xml:space="preserve">95301     </t>
  </si>
  <si>
    <t>CITY OF EXETER</t>
  </si>
  <si>
    <t>S-3837-1-0</t>
  </si>
  <si>
    <t>667 BHP VOLVO PENTA MODEL TAD-1630  DIESEL FIRED EMERGENCY IC ENGINE EQUIPPED WITH TURBOCHARGER W/INTERCOOLER, POWERING A 450 KW GENERATOR.</t>
  </si>
  <si>
    <t>TAD-1630</t>
  </si>
  <si>
    <t>1907 W MEYERS</t>
  </si>
  <si>
    <t>EXETER</t>
  </si>
  <si>
    <t xml:space="preserve">93221     </t>
  </si>
  <si>
    <t>C-2931-1-0</t>
  </si>
  <si>
    <t>1114 BHP CATERPILLAR MODEL 3412 DIESEL-FIRED EMERGENCY IC ENGINE POWERING A 750 KW ELECTRICAL GENERATOR.</t>
  </si>
  <si>
    <t>2401 N ASHLEY WAY</t>
  </si>
  <si>
    <t>N-4527-1-0</t>
  </si>
  <si>
    <t>685 HP CUMMINS, MODEL KTTA19G, DIESEL FIRED EMERGENCY IC ENGINE POWERING A 450 KW ELECTRIC GENERATOR.</t>
  </si>
  <si>
    <t>KTTA-19G</t>
  </si>
  <si>
    <t>346 E YOSEMITE AVENUE</t>
  </si>
  <si>
    <t>MERCED</t>
  </si>
  <si>
    <t>N-4520-1-0</t>
  </si>
  <si>
    <t xml:space="preserve">ALLERGAN INC                    UNIT #1 </t>
  </si>
  <si>
    <t>685 HP CUMMINS, MODEL KTTA19G, DIESEL FIRED EMERGENCY FIRED INTERNAL COMBUSTION ENGINE POWERING A 450 KW ELECTRIC GENERATOR (WELL #2).</t>
  </si>
  <si>
    <t>KTTA19G</t>
  </si>
  <si>
    <t>1201 PARSONS AVENUE</t>
  </si>
  <si>
    <t>N-4523-1-0</t>
  </si>
  <si>
    <t>685 HP CUMMINS, MODEL KTTA19G, DIESEL FIRED EMERGENCY INTERNAL COMBUSTION ENGINE POWERING A 450 KW ELECTRIC GENERATOR (WELL #6).</t>
  </si>
  <si>
    <t>32 E CHILDS AVENUE</t>
  </si>
  <si>
    <t>N-4526-1-0</t>
  </si>
  <si>
    <t>685 HP CUMMINS, MODEL KTTA19G, DIESEL FIRED EMERGENCY INTERNAL COMBUSTION ENGINE POWERING A 450 KW ELECTRIC GENERATOR (WELL #10).</t>
  </si>
  <si>
    <t>3516 CHILDS AVENUE</t>
  </si>
  <si>
    <t>N-4340-1-0</t>
  </si>
  <si>
    <t>1200 BHP DETROIT DIESEL MODEL 16V2000 G70 RI63-7K05, SERIAL# ???, DIESEL-FIRED  I.C. ENGINE, EQUIPPED WITH TURBOCHARGER, INTERCOOLER, AND POSITIVE CRANKCASE VENTILATION SYSTEM, USED TO POWER A STANDBY EMERGENCY GENERATOR.</t>
  </si>
  <si>
    <t>RI63-7K05</t>
  </si>
  <si>
    <t>600 10TH STREET</t>
  </si>
  <si>
    <t xml:space="preserve">95353     </t>
  </si>
  <si>
    <t>CITY OF MODESTO, OPERATIONS &amp; MAINTENANC</t>
  </si>
  <si>
    <t>N-4642-1-0</t>
  </si>
  <si>
    <t>755 HP CUMMINS MODEL QSX15-G9 DIESEL-FIRED EMERGENCY IC ENGINE POWERING A 400 KW ELECTRICAL GENERATOR (TANK 6)</t>
  </si>
  <si>
    <t>1229 S CARPENTER ROAD</t>
  </si>
  <si>
    <t>N-2338-7-0</t>
  </si>
  <si>
    <t>1850 BHP CUMMINS MODEL KTA50-G3 EMERGENCY DIESEL-FIRED IC ENGINE POWERING A 1250 KW GENERATOR.</t>
  </si>
  <si>
    <t xml:space="preserve">95351     </t>
  </si>
  <si>
    <t>CITY OF SHAFTER</t>
  </si>
  <si>
    <t>S-3915-1-0</t>
  </si>
  <si>
    <t>535 BHP CUMMINS MODEL N14-G2 DIESEL-FIRED EMERGENCY IC ENGINE POWERING AN ELECTRICAL GENERATOR</t>
  </si>
  <si>
    <t>ZACHARY &amp; 7TH STANDARD ROAD</t>
  </si>
  <si>
    <t>SHAFTER</t>
  </si>
  <si>
    <t xml:space="preserve">93263     </t>
  </si>
  <si>
    <t>CITY OF STOCKTON MUNICIPAL UTILITIES</t>
  </si>
  <si>
    <t>N-4476-1-0</t>
  </si>
  <si>
    <t>1,120 BHP (DETROIT DIESEL/MTU MODEL 12V2000 G81 R123-7K06) DIESEL FIRED EMERGENCY STANDBY IC ENGINE SERVING A 755 KW (KOHLER MODEL 750 ROZD-4) ELECTRICAL GENERATOR.</t>
  </si>
  <si>
    <t>8477 N EL DORADO STREET</t>
  </si>
  <si>
    <t xml:space="preserve">95210     </t>
  </si>
  <si>
    <t>N-4579-1-0</t>
  </si>
  <si>
    <t>490 HP DETROIT DIESEL S-60 EMERGENCY IC ENGINE DRIVING A 300 KW KOHLER GENERATOR</t>
  </si>
  <si>
    <t>S-60</t>
  </si>
  <si>
    <t>1382 NORTH CHRISMAN ROAD</t>
  </si>
  <si>
    <t>TRACY</t>
  </si>
  <si>
    <t xml:space="preserve">95376     </t>
  </si>
  <si>
    <t>COUNTY OF FRESNO</t>
  </si>
  <si>
    <t>C-3903-1-0</t>
  </si>
  <si>
    <t>2,220 HP CUMMINS MODELKTA50-G9 DIESEL-FIRED EMERGENCY IC ENGINE POWERING A 1,250 KW ELECTRICAL GENERATOR.</t>
  </si>
  <si>
    <t>1265 M STREET</t>
  </si>
  <si>
    <t>C-3920-1-0</t>
  </si>
  <si>
    <t>1,135 HP CUMMINS/ONAN, MODEL NUMBER QST 30-G1, DIESEL-FIRED EMERGENCY IC ENGINE POWERING AN ELECTRICAL GENERATOR</t>
  </si>
  <si>
    <t>200 "H" STREET</t>
  </si>
  <si>
    <t xml:space="preserve">93702     </t>
  </si>
  <si>
    <t>CRICKET COMMUNICATIONS, INC</t>
  </si>
  <si>
    <t>N-4646-1-0</t>
  </si>
  <si>
    <t>587 HP CATERPILLAR, MODEL 3406, DIESEL FIRED EMERGENCY INTERNAL COMBUSTION ENGINE POWERING A 400 KW ELECTRIC GENERATOR</t>
  </si>
  <si>
    <t>Caterpilliar</t>
  </si>
  <si>
    <t>1120 13TH STREET</t>
  </si>
  <si>
    <t>CYPRESS MENTAL HEALTH CENTER</t>
  </si>
  <si>
    <t>S-3842-1-0</t>
  </si>
  <si>
    <t>568 HP KOHLER MODEL 80837405 DIESEL-FIRED EMERGENCY IC ENGINE POWERING A350 KW ELECTRICAL GENERATOR</t>
  </si>
  <si>
    <t>1100 S AKERS AVE</t>
  </si>
  <si>
    <t>(559) 624-2694</t>
  </si>
  <si>
    <t>DELANO REGIONAL MEDICAL CENTER</t>
  </si>
  <si>
    <t>S-2240-4-0</t>
  </si>
  <si>
    <t>605 HP CUMMINS MODEL NTA855-G5 DIESEL-FIRED EMERGENCY IC ENGINE EQUIPPED WITH A TURBOCHARGER AND AFTERCOOLER, POWERING A 400 KW ELECTRICAL GENERATOR</t>
  </si>
  <si>
    <t>1401 GARCES HWY</t>
  </si>
  <si>
    <t>(661) 725-4800</t>
  </si>
  <si>
    <t>FIRST WORLD COMMUNICATIONS</t>
  </si>
  <si>
    <t>C-3756-1-0</t>
  </si>
  <si>
    <t>1120 HP DETROIT DIESEL MODEL 12V2000 EMERGENCY DIESEL-FIRED IC ENGINE POWERING A 750 KW EMERGENCY ELECTRICAL GENERATOR.</t>
  </si>
  <si>
    <t>170 W SHAW AVENUE, SUITE B</t>
  </si>
  <si>
    <t>CLOVIS</t>
  </si>
  <si>
    <t xml:space="preserve">93612     </t>
  </si>
  <si>
    <t>FISHER MANUFACTURING CO</t>
  </si>
  <si>
    <t>S-2420-4-0</t>
  </si>
  <si>
    <t>526 HP VOLVO PENTA MODEL TAD 1232 EMERGENCY DIESEL IC ENGINE DRIVING A 392 KW  ELECTRICAL GENERATOR, WITH TURBO CHARGER / AFTERCOOLER AND POSITIVE CRANKCASE VENTILATION</t>
  </si>
  <si>
    <t>TAD1232</t>
  </si>
  <si>
    <t>1900 SOUTH O STREET</t>
  </si>
  <si>
    <t>TULARE</t>
  </si>
  <si>
    <t xml:space="preserve">93275     </t>
  </si>
  <si>
    <t>(559) 685-5200</t>
  </si>
  <si>
    <t>FOSTER FOOD PRODUCTS</t>
  </si>
  <si>
    <t>N-1252-16-0</t>
  </si>
  <si>
    <t>449 HP CATERPILLAR MODEL 3406 DIESEL-FIRED EMERGENCY IC ENGINE POWERING A 300 KW ELECTRICAL GENERATOR.</t>
  </si>
  <si>
    <t>843 DAVIS STREET</t>
  </si>
  <si>
    <t>LIVINGSTON</t>
  </si>
  <si>
    <t>C-540-9-0</t>
  </si>
  <si>
    <t>2,847 HP CATERPILLAR MODEL 3516 DIESEL-FIRED EMERGENCY IC ENGINE POWERING A 2,000 KW ELECTRICAL GENERATOR.</t>
  </si>
  <si>
    <t>C-540-10-0</t>
  </si>
  <si>
    <t>C-540-11-0</t>
  </si>
  <si>
    <t>C-540-12-0</t>
  </si>
  <si>
    <t>FRESNO IMAGING CENTER</t>
  </si>
  <si>
    <t>C-3910-1-0</t>
  </si>
  <si>
    <t>449 HP CATERPILLAR MODEL 3406 DIESEL-FIRED EMERGENCY IC ENGINE POWERING A 300 KW ELECTRICAL GENERATOR</t>
  </si>
  <si>
    <t>6191 N THESTA</t>
  </si>
  <si>
    <t xml:space="preserve">93710     </t>
  </si>
  <si>
    <t>C-3289-3-0</t>
  </si>
  <si>
    <t>1810 HP CATERPILLAR MODEL 3512B DIESEL-FIRED EMERGENCY IC ENGINE POWERING A 1250 KW ELECTRICAL GENERATOR</t>
  </si>
  <si>
    <t>GOLDEN STATE VINTNERS</t>
  </si>
  <si>
    <t>C-581-3-0</t>
  </si>
  <si>
    <t>2922 HP CUMMINS MODEL QSK60-G6 DIESEL-FIRED EMERGENCY IC ENGINE POWERING A 2000 KW ELECTRICAL GENERATOR.</t>
  </si>
  <si>
    <t>7409 W CENTRAL</t>
  </si>
  <si>
    <t>(209) 266-6548</t>
  </si>
  <si>
    <t>C-629-8-0</t>
  </si>
  <si>
    <t>8418 S LAC JAC AVE</t>
  </si>
  <si>
    <t>PARLIER</t>
  </si>
  <si>
    <t xml:space="preserve">93648     </t>
  </si>
  <si>
    <t>(209) 638-3544</t>
  </si>
  <si>
    <t>C-629-9-0</t>
  </si>
  <si>
    <t>HOGAN MANUFACTURING, INC</t>
  </si>
  <si>
    <t>N-407-10-0</t>
  </si>
  <si>
    <t>556 BHP (DETROIT DIESEL MODEL # 12V-71T) DIESEL-FIRED EMERGENCY IC ENGINE POWERING A 350 KW GENERATOR.</t>
  </si>
  <si>
    <t>19527 S  McHENRY AVE</t>
  </si>
  <si>
    <t>ESCALON</t>
  </si>
  <si>
    <t xml:space="preserve">95320     </t>
  </si>
  <si>
    <t>(209) 838-7323</t>
  </si>
  <si>
    <t>N-407-11-0</t>
  </si>
  <si>
    <t>730 BHP (VOLVO TAD 1631 GE) EMERGENCY STANDBY DIESEL FIRED  IC ENGINE SERVING A 537 KW (VOLVO) ELECTRICAL GENERATOR.</t>
  </si>
  <si>
    <t>ICE CREAM PARTNERS USA LLC</t>
  </si>
  <si>
    <t>S-152-2-0</t>
  </si>
  <si>
    <t>2922 HP CUMMINS MODEL QSK60-G6 DIESEL-FIRED EMERGENCY IC ENGINE EQUIPPED WITH A TURBOCHARGER AND AFTERCOOLER, POWERING A 2000 KW ELECTRICAL GENERATOR</t>
  </si>
  <si>
    <t>970 CONTINENTAL AVE</t>
  </si>
  <si>
    <t xml:space="preserve">93274     </t>
  </si>
  <si>
    <t>(559) 688-1703</t>
  </si>
  <si>
    <t>S-152-2-1</t>
  </si>
  <si>
    <t>MODIFICATION OF 2922 HP CUMMINS MODEL QSK60-G6 DIESEL-FIRED EMERGENCY IC ENGINE EQUIPPED WITH A TURBOCHARGER AND AFTERCOOLER, POWERING A 2000 KW ELECTRICAL GENERATOR: REVISE DAILY OPERATION TO 24 HRS/DAY</t>
  </si>
  <si>
    <t>ICE CREAM PARTNERS USA, LLC</t>
  </si>
  <si>
    <t>S-879-6-0</t>
  </si>
  <si>
    <t>2922 HP CUMMINS MODEL QSK60-G6 DIESEL-FIRED EMERGENCY IC ENGINE POWERING A 2000 KW ELECTRICAL GENERATOR</t>
  </si>
  <si>
    <t>7301 DISTRICT BOULEVARD</t>
  </si>
  <si>
    <t xml:space="preserve">93313     </t>
  </si>
  <si>
    <t>(661) 398-3597</t>
  </si>
  <si>
    <t>S-879-6-1</t>
  </si>
  <si>
    <t>MODIFICATION OF 2922 HP CUMMINS MODEL QSK60-G6 DIESEL-FIRED EMERGENCY IC ENGINE POWERING A 2000 KW ELECTRICAL GENERATOR: DELETE LIMIT ON DAILY HOURS OF OPERATION</t>
  </si>
  <si>
    <t>ICG TELECOM GROUP INC</t>
  </si>
  <si>
    <t>C-3695-1-0</t>
  </si>
  <si>
    <t>1109 BHP CATERPILLAR MODEL 3412 STA DIESEL FIRED EMERGENCY IC ENGINE POWERING A 750 KW ELECTRICAL GENERATOR.</t>
  </si>
  <si>
    <t>4595 W. JACQUELYN AVE.</t>
  </si>
  <si>
    <t>IKEA PROPERTY</t>
  </si>
  <si>
    <t>S-3856-1-0</t>
  </si>
  <si>
    <t>EMERGENCY 755 HP CUMMINS, MODEL KTA19-G4, DIESEL FIRED IC ENGINE WITH TURBOCHARGER, AFTERCOOLER, AND POSITIVE CRANKCASE VENTILATION SYSTEM DRIVING AN ELECTRICAL GENERATOR</t>
  </si>
  <si>
    <t>4104 INDUSTRIAL PARKWAY</t>
  </si>
  <si>
    <t>LEBEC</t>
  </si>
  <si>
    <t>KERN SCHOOLS FEDERAL CREDIT UNION</t>
  </si>
  <si>
    <t>S-3922-1-0</t>
  </si>
  <si>
    <t>755 HP CUMMINS MODEL QSX15-G9 DIESEL-FIRED INTERNAL COMBUSTION EMERGENCY STANDBY ENGINE POWERING A 400 KW ONAN 400DFEH ELECTRIC GENERATOR</t>
  </si>
  <si>
    <t>4901 COMMERCE DRIVE</t>
  </si>
  <si>
    <t>93389-9506</t>
  </si>
  <si>
    <t>KOVACEVICH 5 FARMS</t>
  </si>
  <si>
    <t>S-3874-1-1</t>
  </si>
  <si>
    <t>1180 BHP CATERPILLAR, MODEL 3412STA, EMERGENCY DIESEL-FIRED IC ENGINE DRIVING A 800 KW CATERPILLAR, MODEL SR4B, GENERATOR</t>
  </si>
  <si>
    <t>14276 COUNTY LINE ROAD</t>
  </si>
  <si>
    <t>93215-2517</t>
  </si>
  <si>
    <t>KRAFT FOODS  INC</t>
  </si>
  <si>
    <t>N-1933-22-0</t>
  </si>
  <si>
    <t>2487.9 HP CATERPILLAR MODEL XQ1750 DIESEL-FIRED EMERGENCY IC ENGINE DRIVING 1750 KW CATERPILLAR ELECTRICAL GENERATOR</t>
  </si>
  <si>
    <t>XQ1750</t>
  </si>
  <si>
    <t>901 E  WHITMORE</t>
  </si>
  <si>
    <t xml:space="preserve">95358     </t>
  </si>
  <si>
    <t>(209) 541-3400</t>
  </si>
  <si>
    <t>N-1933-23-0</t>
  </si>
  <si>
    <t>N-1933-24-0</t>
  </si>
  <si>
    <t>N-1933-25-0</t>
  </si>
  <si>
    <t>S-843-14-0</t>
  </si>
  <si>
    <t>S-843-15-0</t>
  </si>
  <si>
    <t>S-843-16-0</t>
  </si>
  <si>
    <t>LEPRINO FOODS</t>
  </si>
  <si>
    <t>N-474-9-0</t>
  </si>
  <si>
    <t>910 BHP DETROIT DIESEL MODEL 12V200 G70 R123-7KO5 EMERGENCY DIESEL-FIRED IC ENGINE POWERING A 600 KW ELECTRICAL GENERATOR.</t>
  </si>
  <si>
    <t>2401 MACARTHUR BLVD</t>
  </si>
  <si>
    <t>(209) 835-8340</t>
  </si>
  <si>
    <t>LEVEL 3</t>
  </si>
  <si>
    <t>C-3706-1-0</t>
  </si>
  <si>
    <t>2172 HP CATERPILLAR MODEL 3512B DIESEL-FIRED EMERGENCY IC ENGINE POWERING A 1500 KW ELECTRICAL GENERATOR.</t>
  </si>
  <si>
    <t>305 W NAPA AVE</t>
  </si>
  <si>
    <t xml:space="preserve">93706     </t>
  </si>
  <si>
    <t>C-3706-2-0</t>
  </si>
  <si>
    <t>2172 HP CATERPILLAR MODEL 3512B DIESEL-FIRED EMERGENCY IC ENGINE #2 POWERING A 1500 KW ELECTRICAL GENERATOR.</t>
  </si>
  <si>
    <t>N-4393-2-0</t>
  </si>
  <si>
    <t>449 HP CATERPILLAR, MODEL 3406, DIESEL FIRED EMERGENCY IC ENGINE POWERING A 300 KW ELECTRIC GENERATOR.</t>
  </si>
  <si>
    <t>2079 MINER AVENUE</t>
  </si>
  <si>
    <t>LIPTON</t>
  </si>
  <si>
    <t>N-672-11-0</t>
  </si>
  <si>
    <t>1,972 BHP MITSUBISHI MODEL S12R-PTA2 EMERGENCY STANDBY DIESEL FIRED IC ENGINE SERVING A 1,250 KW KATOLIGHT MODEL D1250FRY4 ELECTRICAL GENERATOR.</t>
  </si>
  <si>
    <t>S12R-PTA2</t>
  </si>
  <si>
    <t>1400 WATERLOO RD</t>
  </si>
  <si>
    <t xml:space="preserve">95205     </t>
  </si>
  <si>
    <t>(209) 466-9580</t>
  </si>
  <si>
    <t>N-1351-10-0</t>
  </si>
  <si>
    <t>1785 ASHBY ROAD</t>
  </si>
  <si>
    <t xml:space="preserve">95344     </t>
  </si>
  <si>
    <t>(209) 723-8831</t>
  </si>
  <si>
    <t>LODI GAS STORAGE LLC</t>
  </si>
  <si>
    <t>N-4238-7-0</t>
  </si>
  <si>
    <t>ONE 1,508-BHP WAUKESHA VHP7100GSI NATURAL GAS FIRED RICH BURN IC ENGINE POWERING AN EMERGENCY GENERATOR.  THE ENGINE IS SERVED BY A 3-WAY CATALYTIC CONVERTER.</t>
  </si>
  <si>
    <t>VHP7100GSI</t>
  </si>
  <si>
    <t>SAN JOAQUIN COUNTY</t>
  </si>
  <si>
    <t>LODI</t>
  </si>
  <si>
    <t>(281) 679-3592</t>
  </si>
  <si>
    <t>LOS BANOS FOODS, INC</t>
  </si>
  <si>
    <t>N-1363-5-0</t>
  </si>
  <si>
    <t>1155 E PACHECO BLVD</t>
  </si>
  <si>
    <t>LOS BANOS</t>
  </si>
  <si>
    <t xml:space="preserve">93635     </t>
  </si>
  <si>
    <t>LOS GATOS TOMATO PRODUCTS</t>
  </si>
  <si>
    <t>C-787-9-0</t>
  </si>
  <si>
    <t>2304 HP CATERPILLAR MODEL 3516 DIESEL-FIRED EMERGENCY IC ENGINE POWERING A 1750 KW ELECTRICAL GENERATOR</t>
  </si>
  <si>
    <t>19800 GALE AVE</t>
  </si>
  <si>
    <t>HURON</t>
  </si>
  <si>
    <t>93234</t>
  </si>
  <si>
    <t>(209) 945-2700</t>
  </si>
  <si>
    <t>LOWE'S HIW INC</t>
  </si>
  <si>
    <t>N-4440-1-0</t>
  </si>
  <si>
    <t>550 BHP DETROIT MODEL 6065TK35 DIESEL-FIRED IC ENGINE WITH A TURBOCHARGER, INTERCOOLER/AFTERCOOLER AND PCV SYSTEM SERVING  A STANDBY EMERGENCY GENERATOR.</t>
  </si>
  <si>
    <t>6065-TK35</t>
  </si>
  <si>
    <t>3801 PELANDALE ROAD</t>
  </si>
  <si>
    <t xml:space="preserve">95356     </t>
  </si>
  <si>
    <t>M &amp; L COLD STORAGE</t>
  </si>
  <si>
    <t>S-3836-1-0</t>
  </si>
  <si>
    <t>1850 BHP CUMMINS KTA50-G3 EMERGENCY DIESEL ENGINE POWERING AN ELECTRICAL GENERATOR</t>
  </si>
  <si>
    <t>33164 POND ROAD</t>
  </si>
  <si>
    <t>M CARATAN INC</t>
  </si>
  <si>
    <t>S-533-7-0</t>
  </si>
  <si>
    <t>605 HP CUMMINS MODEL NTA855-G5 DIESEL-FIRED I.C. ENGINE WITH TURBOCHARGER, AFTERCOOLER, AND PCV SYSTEM POWERING 400 KW ONAN EMERGENCY ELECTRICAL GENERATOR</t>
  </si>
  <si>
    <t>CECIL AVE &amp; FAMOSO</t>
  </si>
  <si>
    <t>(661) 725-2566</t>
  </si>
  <si>
    <t>N-533-3-0</t>
  </si>
  <si>
    <t>1490 HP CUMMINS/ONAN MODEL 1000 DFHD DIESEL-FIRED EMERGENCY IC ENGINE POWERING  A 1000 KW ELECTRICAL GENERATOR.</t>
  </si>
  <si>
    <t>1000DFHD</t>
  </si>
  <si>
    <t xml:space="preserve">96376     </t>
  </si>
  <si>
    <t>MEMORIAL HOSPITAL LOS BANOS</t>
  </si>
  <si>
    <t>N-4578-1-0</t>
  </si>
  <si>
    <t>519 HP CATERPILLAR MODEL 3406 EMERGENCY DIESEL-FIRED  IC ENGINE EQUIPPED WITH A TURBOCHARGER AND AN AFTERCOOLER/INTERCOOLER POWERING A 350 KW ELECTRICAL GENERATOR</t>
  </si>
  <si>
    <t>520 WEST I ST</t>
  </si>
  <si>
    <t>MERCY HOSPITAL &amp; HEALTH SERVICES</t>
  </si>
  <si>
    <t>N-4386-2-0</t>
  </si>
  <si>
    <t>575 BHP DETROIT DIESEL MODEL 7123-7305, SERIAL # 12VA 18987, EMERGENCY I.C. ENGINE  USED TO POWER A GENERATOR.</t>
  </si>
  <si>
    <t>2740 M STREET</t>
  </si>
  <si>
    <t xml:space="preserve">95340     </t>
  </si>
  <si>
    <t>MERCY MEDICAL CENTER MERCED COMMUNITY</t>
  </si>
  <si>
    <t>N-4073-5-0</t>
  </si>
  <si>
    <t>570 HP DETROIT, MODEL WLC 300CAH, DIESEL FIRED EMERGENCY IC ENGINE POWERING A 300 KW ELECTRIC GENERATOR.</t>
  </si>
  <si>
    <t>WLC300CAH</t>
  </si>
  <si>
    <t>301 E 13TH ST</t>
  </si>
  <si>
    <t>(209) 385-7146</t>
  </si>
  <si>
    <t>ORTHOPEDIC MEDICAL GROUP INC</t>
  </si>
  <si>
    <t>N-4460-1-0</t>
  </si>
  <si>
    <t>446 HP GENERAC MODEL 13.3 DTA DIESEL-FIRED EMERGENCY IC ENGINE POWERING A 300 KW ELECTRICAL GENERATOR</t>
  </si>
  <si>
    <t>13.3 DTA</t>
  </si>
  <si>
    <t>2388 N CALIFORNIA STREET</t>
  </si>
  <si>
    <t xml:space="preserve">95202     </t>
  </si>
  <si>
    <t>C-1643-2-0</t>
  </si>
  <si>
    <t>535 HP CUMMINS MODEL N14-G2 DIESEL-FIRED IC ENGINE POWERING A 324 KW EMERGENCY GENERATOR.</t>
  </si>
  <si>
    <t>450 E NEWPORT DR</t>
  </si>
  <si>
    <t>C-1643-3-0</t>
  </si>
  <si>
    <t>C-1670-3-0</t>
  </si>
  <si>
    <t>568 HP DETROIT DIESEL MODEL 8083-7405 DIESEL-FIRED EMERGENCY IC ENGINE POWERING A 350 KW ELECTRICAL GENERATOR.</t>
  </si>
  <si>
    <t>4309 N POLK</t>
  </si>
  <si>
    <t>C-3642-1-0</t>
  </si>
  <si>
    <t>754 HP CATERPILLAR MODEL 3412 EMERGENCY DIESEL-FIRED INTERNAL COMBUSTION ENGINE DRIVING A 500KW ELECTRIC GENERATOR</t>
  </si>
  <si>
    <t>429 W. SIERRA AVE</t>
  </si>
  <si>
    <t>N-3693-2-0</t>
  </si>
  <si>
    <t>1495 HP DETROIT MODEL R163-7K06 DIESEL-FIRED EMERGENCY IC ENGINE POWERING A 900 KW ELECTRICAL GENERATOR.</t>
  </si>
  <si>
    <t>124 W  ELM ST</t>
  </si>
  <si>
    <t>N-2412-5-0</t>
  </si>
  <si>
    <t>2935 HP DETROIT MODEL T163-7K37 DIESEL-FIRED EMERGENCY IC ENGINE POWERING A 1590 KW ELECTRICAL GENERATOR.</t>
  </si>
  <si>
    <t>T163-7K37</t>
  </si>
  <si>
    <t>N-4377-1-0</t>
  </si>
  <si>
    <t>755 BHP CUMMINS MODEL KTA19-G4 EMERGENCY DIESEL FIRED IC ENGINE EQUIPPED WITH TURBOCHARGER AND AFTERCOOLER/INTERCOOLER DRIVING A ONAN ELECTRICAL GENERATOR</t>
  </si>
  <si>
    <t>PACTIV CORPORATION</t>
  </si>
  <si>
    <t>S-892-18-0</t>
  </si>
  <si>
    <t>2,610 BHP CATERPILLAR MODEL 3516B DIESEL-FIRED EMERGENCY IC ENGINE WITH TURBOCHARGER AND AFTERCOOLER POWERING AN 1880 KW EMERGENCY GENERATOR</t>
  </si>
  <si>
    <t>2024 NORRIS RD</t>
  </si>
  <si>
    <t>93308-2297</t>
  </si>
  <si>
    <t>(661) 392-4020</t>
  </si>
  <si>
    <t>S-892-19-0</t>
  </si>
  <si>
    <t>S-892-20-0</t>
  </si>
  <si>
    <t>S-892-21-0</t>
  </si>
  <si>
    <t>PAC-WEST TELECOMM INC</t>
  </si>
  <si>
    <t>N-4451-1-0</t>
  </si>
  <si>
    <t>446 BHP HINO MODEL 13.3 DTA DIESEL-FIRED EMERGENCY IC ENGINE POWERING A 300 KW ELECTRICAL GENERATOR.</t>
  </si>
  <si>
    <t>1776 W MARCH LANE</t>
  </si>
  <si>
    <t>95207-6450</t>
  </si>
  <si>
    <t>N-3121-3-0</t>
  </si>
  <si>
    <t>1135 BHP CUMMINS MODEL QST30-G1 DIESEL FIRED EMERGENCY I.C. ENGINE, EQUIPPED WITH TURBOCHARGER, INTERCOOLER/AFTERCOOLER, POSITIVE CRANKCASE VENTILATION AND INJECTION TIMING RETARDED 4 DEGREES, USED TO POWER AN ELECTRIC GENERATOR.</t>
  </si>
  <si>
    <t xml:space="preserve">95204     </t>
  </si>
  <si>
    <t>PASTORIA ENERGY FACILITY, LLC</t>
  </si>
  <si>
    <t>S-3636-7-0</t>
  </si>
  <si>
    <t>814 HP CATERPILLAR MODEL G3512 SC TA NATURAL GAS FIRED IC ENGINE DRIVING AN EMERGENCY ELECTRICAL GENERATOR, WITH THREE-WAY EXHAUST CATALYST</t>
  </si>
  <si>
    <t>G3512 SCTA</t>
  </si>
  <si>
    <t>TEJON RANCH 30 MILES S OF BAKERSFIELD</t>
  </si>
  <si>
    <t>RANCHO EL TEJON</t>
  </si>
  <si>
    <t>PENNY NEWMAN GRAIN COMPANY</t>
  </si>
  <si>
    <t>N-227-37-0</t>
  </si>
  <si>
    <t>449 BHP CATERPILLAR MODEL 3406CDITA DIESEL FIRED EMERGENCY STANDBY IC ENGINE SERVING A 300 KW ELECTRICAL GENERATOR.</t>
  </si>
  <si>
    <t>1805 W HARBOR ROAD</t>
  </si>
  <si>
    <t>95201</t>
  </si>
  <si>
    <t>(559) 488-8800</t>
  </si>
  <si>
    <t>S.C. JOHNSON HOME STORAGE INC.</t>
  </si>
  <si>
    <t>C-437-29-0</t>
  </si>
  <si>
    <t>760 HP  VOLVO MODEL #TAD 1631 GE DIESEL-FIRED EMERGENCY  IC ENGINE POWERING A 505 KW ELECTRICAL GENERATOR</t>
  </si>
  <si>
    <t>4787 E DATE AVE</t>
  </si>
  <si>
    <t xml:space="preserve">93725     </t>
  </si>
  <si>
    <t>(559) 488-7600</t>
  </si>
  <si>
    <t>C-437-30-0</t>
  </si>
  <si>
    <t>C-1059-21-0</t>
  </si>
  <si>
    <t>2847 HP CATERPILLAR MODEL 3516B DIESEL-FIRED EMERGENCY IC ENGINE POWERING A 2000 KW ELECTRICAL GENERATOR</t>
  </si>
  <si>
    <t xml:space="preserve">93720     </t>
  </si>
  <si>
    <t>SALADINO'S</t>
  </si>
  <si>
    <t>C-3909-1-0</t>
  </si>
  <si>
    <t>749 HP CATERPILLAR MODEL 3412TTA DIESEL-FIRED EMERGENCY IC ENGINE POWERING A 500 KW ELECTRICAL GENERATOR.</t>
  </si>
  <si>
    <t>3412TTA</t>
  </si>
  <si>
    <t>4397 N GOLDEN STATE BLVD</t>
  </si>
  <si>
    <t>STATE OF CALIFORNIA - DEPT OF JUSTICE</t>
  </si>
  <si>
    <t>N-4541-1-0</t>
  </si>
  <si>
    <t>1180 HP CATERPILLAR, MODEL 3412, DIESEL FIRED EMERGENCY IC ENGINE POWERING A 800 KW ELECTRIC GENERATOR.</t>
  </si>
  <si>
    <t>1306 HUGHES LANE</t>
  </si>
  <si>
    <t>RIPON</t>
  </si>
  <si>
    <t xml:space="preserve">95366     </t>
  </si>
  <si>
    <t>STERILE RECOVERIES INC</t>
  </si>
  <si>
    <t>N-4587-1-0</t>
  </si>
  <si>
    <t>519 HP CATERPILLAR, MODEL 3406 C, DIESEL FIRED EMERGENCY INTERNAL COMBUSTION ENGINE POWERING A 350 KW ELECTRIC GENERATOR.</t>
  </si>
  <si>
    <t>6801 LONGE STREET</t>
  </si>
  <si>
    <t xml:space="preserve">95206     </t>
  </si>
  <si>
    <t>N-823-12-0</t>
  </si>
  <si>
    <t>890 HP CATERPILLAR, MODEL 3412 TA, DIESEL FIRED EMERGENCY IC ENGINE POWERING A 600 KW ELECTRIC GENERATOR.</t>
  </si>
  <si>
    <t>THE DIMARE COMPANY</t>
  </si>
  <si>
    <t>N-4585-1-0</t>
  </si>
  <si>
    <t xml:space="preserve">1490 BHP CUMMINS, MODEL QST30-65, EMERGENCY DIESEL-FIRED IC ENGINE POWERING A 1000 KW ELECTRIC GENERATOR. </t>
  </si>
  <si>
    <t>QST30-65</t>
  </si>
  <si>
    <t>1406 N STREET</t>
  </si>
  <si>
    <t>NEWMAN</t>
  </si>
  <si>
    <t xml:space="preserve">95360     </t>
  </si>
  <si>
    <t>N-4254-6-0</t>
  </si>
  <si>
    <t>2,220 HP CUMMINS (MODEL # KTA 50-G9) DIESEL-FIRED EMERGENCY IC ENGINE POWERING A 1,500 KW ELECTRICAL GENERATOR</t>
  </si>
  <si>
    <t>UNIVISION TELEVISION GROUP</t>
  </si>
  <si>
    <t>S-3832-1-0</t>
  </si>
  <si>
    <t>519 HP CATERPILLAR MODEL 3406 (SERIAL # 1LF01383) EMERGENCY DIESEL-FIRED IC ENGINE DRIVING A 350 KW GENERATOR</t>
  </si>
  <si>
    <t>5801 TRUXTUN AVENUE</t>
  </si>
  <si>
    <t>USDA/ARS</t>
  </si>
  <si>
    <t>C-3652-1-0</t>
  </si>
  <si>
    <t>830 HP DETROIT DIESEL MODEL 8123-7405  DIESEL-FIRED EMERGENCY IC ENGINE DRIVING 515 KW SPECTRUM 500DS ELECTRICAL GENERATOR</t>
  </si>
  <si>
    <t>9611 S RIVERBEND AVE</t>
  </si>
  <si>
    <t>VERIZON CALIFORNIA</t>
  </si>
  <si>
    <t>C-3922-1-0</t>
  </si>
  <si>
    <t>535 HP CUMMINS MODEL N14-G2, DIESEL FIRED EMERGENCY IC ENGINE DRIVING A 300 KW ELECTRICAL GENERATOR.</t>
  </si>
  <si>
    <t>635 "N" STREET</t>
  </si>
  <si>
    <t>SANGER</t>
  </si>
  <si>
    <t xml:space="preserve">93657     </t>
  </si>
  <si>
    <t>VERIZON WIRELESS - STOCKTON SWITCH</t>
  </si>
  <si>
    <t>N-4560-1-0</t>
  </si>
  <si>
    <t>896 HP CATERPILLAR MODEL 3412C DIESEL-FIRED EMERGENCY IC ENGINE POWERING A 600 KW ELECTRICAL GENERATOR</t>
  </si>
  <si>
    <t>3202 MOURFIELD ROAD</t>
  </si>
  <si>
    <t>VISALIA CITY PUBLIC SAFETY DEP</t>
  </si>
  <si>
    <t>S-2425-2-0</t>
  </si>
  <si>
    <t>605 BHP CUMMINS MODEL NTA855-G5 DIESEL FIRED EMERGENCY IC ENGINE EQUIPPED WITH TURBOCHARGER W/AFTERCOOLER, POWERING A 400 KW ONAN GENERATOR.</t>
  </si>
  <si>
    <t>303 S JOHNSON</t>
  </si>
  <si>
    <t>(209) 738-3266</t>
  </si>
  <si>
    <t>WELLHEAD INC</t>
  </si>
  <si>
    <t>S-3853-1-0</t>
  </si>
  <si>
    <t>518 BHP VOLVO MODEL TAD1232GE EMERGENCY DIESEL FIRED IC ENGINE DRIVING A 375 KW SDMO MODEL GS375ES GENERATOR</t>
  </si>
  <si>
    <t>3912 GILMORE AVENUE</t>
  </si>
  <si>
    <t xml:space="preserve">93308     </t>
  </si>
  <si>
    <t>(661) 325-5026</t>
  </si>
  <si>
    <t>S-1547-1105-0</t>
  </si>
  <si>
    <t>1085 HP DETROIT DIESEL DIESEL-FIRED MODEL 16V-92 8163-7405 EMERGENCY IC ENGINE POWERING A 800 KW ELECTRICAL GENERATOR.</t>
  </si>
  <si>
    <t>ANLIN INDUSTRIES</t>
  </si>
  <si>
    <t>C-4017-1-0</t>
  </si>
  <si>
    <t>743 HP CATERPILLAR MODEL 3412C DIESEL-FIRED EMERGENCY IC ENGINE EQUIPPED WITH A TURBOCHARGER AND INTERCOOLER/AFTERCOOLER POWERING AN ELECTRICAL GENERATOR</t>
  </si>
  <si>
    <t>1665 TOLLHOUSE RD</t>
  </si>
  <si>
    <t>AT&amp;T COMMUNICATIONS</t>
  </si>
  <si>
    <t>S-861-2-0</t>
  </si>
  <si>
    <t>1502 HP CATERPILLAR MODEL 3508 DIESEL-FIRED EMERGENCY IC ENGINE POWERING A 1000 KW ELECTRICAL GENERATOR</t>
  </si>
  <si>
    <t>1520 20TH STREET</t>
  </si>
  <si>
    <t>(805) 325-1037</t>
  </si>
  <si>
    <t>CAL DIAMOND</t>
  </si>
  <si>
    <t>S-3938-1-0</t>
  </si>
  <si>
    <t>985 HP DDC/MTV MODEL 12V2000G42 DIESEL-FIRED EMERGENCY IC ENGINE POWERING A 650 KW ELECTRICAL GENERATOR</t>
  </si>
  <si>
    <t>12V200-G42</t>
  </si>
  <si>
    <t>2255 HIGHWAY 99/AVE 24 AHN BUILDING #4</t>
  </si>
  <si>
    <t>S-1346-21-0</t>
  </si>
  <si>
    <t>2934 HP CATERPILLAR MODEL 3516B DITA DIESEL-FIRED EMERGENCY IC ENGINE POWERING A 1750 KW ELECTRICAL GENERATOR</t>
  </si>
  <si>
    <t>11894 AVENUE 120</t>
  </si>
  <si>
    <t>TIPTON</t>
  </si>
  <si>
    <t>(559) 825-2200</t>
  </si>
  <si>
    <t>S-1346-22-0</t>
  </si>
  <si>
    <t>2934 HP CATERPILLAR MODEL 3516B DITA DIESEL-FIRED EMERGENCY IC ENGINE POWERING A 2000 KW ELECTRICAL GENERATOR</t>
  </si>
  <si>
    <t>CALIFORNIA STATE DEPT OF JUSTICE</t>
  </si>
  <si>
    <t>C-4046-1-0</t>
  </si>
  <si>
    <t>1,807 CATERPILLAR MODEL 3512 DIESEL-FIRED EMERGENCY IC ENGINE POWERING A 1,250 KW ELECTRICAL GENERATOR</t>
  </si>
  <si>
    <t>5311 N WOODROW AVE</t>
  </si>
  <si>
    <t>CALIFORNIA STATE UNIVERSITY, FRESNO ASSN</t>
  </si>
  <si>
    <t>C-4080-1-0</t>
  </si>
  <si>
    <t>1,807 HP CATERPILLAR MODEL 3512 DIESEL-FIRED EMERGENCY IC ENGINE POWERING AN ELECTRICAL GENERATOR</t>
  </si>
  <si>
    <t>5075 N CHESTNUT AVE</t>
  </si>
  <si>
    <t>CALIFORNIA WATER SERVICE</t>
  </si>
  <si>
    <t>S-4027-1-0</t>
  </si>
  <si>
    <t>2934 BHP CATERPILLAR MODEL #3516, SERIAL #7RNO1429, DIESEL FIRED EMERGENCY IC ENGINE SERVED BY A TURBOCHARGER, INTERCOOLER/AFTERCOOLER, AND A POSITIVE CRANKCASE VENTILATION SYSTEM POWERING A 2000 KW ELECTRIC GENERATOR.</t>
  </si>
  <si>
    <t>10000 BELLA DR</t>
  </si>
  <si>
    <t>CENTRAL VALLEY ENERGY CENTER LLC</t>
  </si>
  <si>
    <t>N-3959-7-0</t>
  </si>
  <si>
    <t>1,529 HP CUMMINS MODEL QSV81G OR EQUIVALENT LEAN BURN NATURAL GAS-FIRED EMERGENCY IC ENGINE POWERING A 1,100 KW ELECTRICAL GENERATOR</t>
  </si>
  <si>
    <t>QSV81G</t>
  </si>
  <si>
    <t>NEAR THE INTERSECTION OF W MANNING</t>
  </si>
  <si>
    <t>SAN JOAQUIN</t>
  </si>
  <si>
    <t>CINGULAR WIRELESS</t>
  </si>
  <si>
    <t>N-4658-1-0</t>
  </si>
  <si>
    <t>1,114 HP CATERPILLAR MODEL 3412C TA DIESEL-FIRED EMERGENCY IC ENGINE POWERING AN ELECTRICAL GENERATOR</t>
  </si>
  <si>
    <t>3412C TA</t>
  </si>
  <si>
    <t>6762 S LONGE STREET</t>
  </si>
  <si>
    <t>C-3333-3-0</t>
  </si>
  <si>
    <t>1033 5TH ST</t>
  </si>
  <si>
    <t>S-3989-1-0</t>
  </si>
  <si>
    <t>600 HP CUMMINS MODEL KTA 19-G2 DIESEL-FIRED EMERGENCY IC ENGINE POWERING A 400 KW ELECTRICAL GENERATOR</t>
  </si>
  <si>
    <t>5TH AVE &amp; RANDOLPH ST</t>
  </si>
  <si>
    <t>CITY OF FRESNO</t>
  </si>
  <si>
    <t>C-4020-2-0</t>
  </si>
  <si>
    <t>1800 TULARE ST</t>
  </si>
  <si>
    <t>C-4020-1-0</t>
  </si>
  <si>
    <t>C-2930-6-0</t>
  </si>
  <si>
    <t>1,114 HP CATERPILLAR MODEL 3412 DIESEL-FIRED EMERGENCY IC ENGINE POWERING AN ELECTRICAL GENERATOR</t>
  </si>
  <si>
    <t>5175 E CLINTON - TERMINAL BLD</t>
  </si>
  <si>
    <t>N-4529-1-0</t>
  </si>
  <si>
    <t>685 HP CUMMINS, MODEL KTA19-G3, DIESEL FIRED EMERGENCY INTERNAL COMBUSTION ENGINE POWERING A 450 KW ELECTRIC GENERATOR.</t>
  </si>
  <si>
    <t>2110 WARDROBE</t>
  </si>
  <si>
    <t>N-4524-1-0</t>
  </si>
  <si>
    <t>755 HP CUMMINS, MODEL KTA19-G4, DIESEL FIRED EMERGENCY INTERNAL COMBUSTION ENGINE POWERING A 500 KW ELECTRIC GENERATOR.</t>
  </si>
  <si>
    <t>3362 MCKEE ROAD</t>
  </si>
  <si>
    <t>N-4302-7-0</t>
  </si>
  <si>
    <t>2,155 HP CATERPILLAR, MODEL 3512 BTA, DIESEL FIRED EMERGENCY INTERNAL COMBUSTION ENGINE POWERING A 1,500 KW ELECTRIC GENERATOR.</t>
  </si>
  <si>
    <t>N-4528-1-0</t>
  </si>
  <si>
    <t>2890 GERARD AVENUE</t>
  </si>
  <si>
    <t>N-4470-1-0</t>
  </si>
  <si>
    <t>568 HP DETROIT DIESEL MODEL 8V-92TA 8083-7405 DIESEL-FIRED EMERGENCY IC ENGINE POWERING A 350 KW ELECTRICAL GENERATOR.</t>
  </si>
  <si>
    <t>300 CODONI AVENUE</t>
  </si>
  <si>
    <t>N-3166-2-0</t>
  </si>
  <si>
    <t>755 HP CUMMINS MODEL QSX15-G9 DIESEL-FIRED EMERGENCY IC ENGINE POWERING A 400 KW ELECTRICAL GENERATOR (TANK 5).</t>
  </si>
  <si>
    <t>OAKDALE RD &amp; BRIGGSMORE AVE</t>
  </si>
  <si>
    <t>N-4653-1-0</t>
  </si>
  <si>
    <t>635 HP DETROIT MODEL 6063-HR35 EMERGENCY DIESEL-FIRED IC ENGINE WITH A TURBOCHARGER AND AN AFTERCOOLER/INTERCOOLER POWERING A 355 KW ELECTRICAL GENERATOR SERVING A MUNICIPAL WATER WELL.</t>
  </si>
  <si>
    <t>6063-HR35</t>
  </si>
  <si>
    <t>WEST TWELFTH STREET AT LONNA WAY</t>
  </si>
  <si>
    <t>COUNTY OF KERN, GENERAL SERVICES</t>
  </si>
  <si>
    <t>S-4015-1-0</t>
  </si>
  <si>
    <t>471 HP CATERPILLAR MODEL 3456 DIESEL-FIRED EMERGENCY IC ENGINE POWERING A 300 KW ELECTRICAL GENERATOR</t>
  </si>
  <si>
    <t>NE CORNER QUALITY ROAD/LERDO HWY</t>
  </si>
  <si>
    <t>DAISEYTEK INTERNATIONAL</t>
  </si>
  <si>
    <t>S-4000-1-0</t>
  </si>
  <si>
    <t>462.6 HP VOLVO MQ POWER MODEL TAD1240GE DIESEL-FIRED EMERGENCY IC ENGINE POWERING A 300 KW ELECTRICAL GENERATOR</t>
  </si>
  <si>
    <t>TAD1240GE</t>
  </si>
  <si>
    <t>4049 INDUSTRIAL PARKWAY DR</t>
  </si>
  <si>
    <t xml:space="preserve">93243     </t>
  </si>
  <si>
    <t>S-4000-2-0</t>
  </si>
  <si>
    <t>ELI LILLY AND COMPANY</t>
  </si>
  <si>
    <t>C-3944-2-0</t>
  </si>
  <si>
    <t>449 HP CATERPILLAR MODEL 3406TA DIESEL-FIRED EMERGENCY IC ENGINE POWERING A 300 KW ELECTRICAL GENERATOR</t>
  </si>
  <si>
    <t>3131 S WILLOW</t>
  </si>
  <si>
    <t>GALLO CATTLE COMPANY</t>
  </si>
  <si>
    <t>N-1660-6-0</t>
  </si>
  <si>
    <t>1490 HP CUMMINS MODEL QST30-G5 DIESEL-FIRED EMERGENCY IC ENGINE POWERING A 1000 KW ELECTRICAL GENERATOR</t>
  </si>
  <si>
    <t>(209) 394-7984</t>
  </si>
  <si>
    <t>N-474-11-0</t>
  </si>
  <si>
    <t>2,847 HP CATERPILLAR MODEL 3516B DIESEL-FIRED EMERGENCY IC ENGINE POWERING A 2,000 KW ELECTRICAL GENERATOR</t>
  </si>
  <si>
    <t>LEPRINO FOODS COMPANY</t>
  </si>
  <si>
    <t>C-3955-7-0</t>
  </si>
  <si>
    <t>1,200 HP CUMMINS MODEL QST30-G2 DIESEL-FIRED EMERGENCY IC ENGINE POWERING A 800 KW ELECTRICAL GENERATOR.</t>
  </si>
  <si>
    <t>350 N BELL HAVEN DR</t>
  </si>
  <si>
    <t>LEMOORE</t>
  </si>
  <si>
    <t>C-3955-6-0</t>
  </si>
  <si>
    <t>764 HP CATERPILLAR MODEL 3456 ATAAC DIESEL-FIRED EMERGENCY IC ENGINE POWERING A 500 KW ELECTRICAL GENERATOR.</t>
  </si>
  <si>
    <t>LOWE'S HIW, INC</t>
  </si>
  <si>
    <t>N-4694-1-0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</si>
</sst>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00"/>
  </numFmts>
  <fonts count="3" x14ac:knownFonts="1">
    <font>
      <sz val="10"/>
      <name val="Arial"/>
    </font>
    <font>
      <b/>
      <sz val="10"/>
      <name val="Arial"/>
      <family val="2"/>
    </font>
    <font>
      <sz val="10"/>
      <name val="Arial"/>
      <family val="2"/>
    </font>
  </fonts>
  <fills count="2">
    <fill>
      <patternFill patternType="none"/>
    </fill>
    <fill>
      <patternFill patternType="gray125"/>
    </fill>
  </fills>
  <borders count="2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s>
  <cellStyleXfs count="1">
    <xf numFmtId="0" fontId="0" fillId="0" borderId="0"/>
  </cellStyleXfs>
  <cellXfs count="41">
    <xf numFmtId="0" fontId="0" fillId="0" borderId="0" xfId="0"/>
    <xf numFmtId="3" fontId="0" fillId="0" borderId="0" xfId="0" applyNumberFormat="1" applyAlignment="1">
      <alignment horizontal="center"/>
    </xf>
    <xf numFmtId="0" fontId="1" fillId="0" borderId="1" xfId="0" applyFont="1" applyBorder="1" applyAlignment="1">
      <alignment horizontal="center" vertical="center" wrapText="1"/>
    </xf>
    <xf numFmtId="3" fontId="1" fillId="0" borderId="2"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left" vertical="center" wrapText="1"/>
    </xf>
    <xf numFmtId="3" fontId="1" fillId="0" borderId="5"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vertical="top" wrapText="1"/>
    </xf>
    <xf numFmtId="3" fontId="0" fillId="0" borderId="8" xfId="0" applyNumberFormat="1" applyBorder="1" applyAlignment="1">
      <alignment horizontal="center" vertical="top"/>
    </xf>
    <xf numFmtId="49" fontId="0" fillId="0" borderId="9" xfId="0" applyNumberFormat="1" applyBorder="1" applyAlignment="1">
      <alignment vertical="top" wrapText="1"/>
    </xf>
    <xf numFmtId="0" fontId="1" fillId="0" borderId="7" xfId="0" applyFont="1" applyBorder="1" applyAlignment="1">
      <alignment vertical="top" wrapText="1"/>
    </xf>
    <xf numFmtId="0" fontId="0" fillId="0" borderId="10" xfId="0" applyBorder="1" applyAlignment="1">
      <alignment vertical="top" wrapText="1"/>
    </xf>
    <xf numFmtId="3" fontId="0" fillId="0" borderId="11" xfId="0" applyNumberFormat="1" applyBorder="1" applyAlignment="1">
      <alignment horizontal="center" vertical="top"/>
    </xf>
    <xf numFmtId="49" fontId="0" fillId="0" borderId="12" xfId="0" applyNumberFormat="1" applyBorder="1" applyAlignment="1">
      <alignment vertical="top" wrapText="1"/>
    </xf>
    <xf numFmtId="0" fontId="1" fillId="0" borderId="13" xfId="0" applyFont="1" applyBorder="1" applyAlignment="1">
      <alignment horizontal="right" vertical="top"/>
    </xf>
    <xf numFmtId="3" fontId="1" fillId="0" borderId="14" xfId="0" applyNumberFormat="1" applyFont="1" applyBorder="1" applyAlignment="1">
      <alignment horizontal="center"/>
    </xf>
    <xf numFmtId="0" fontId="0" fillId="0" borderId="0" xfId="0" applyAlignment="1"/>
    <xf numFmtId="0" fontId="1" fillId="0" borderId="0" xfId="0" applyFont="1" applyAlignment="1"/>
    <xf numFmtId="0" fontId="0" fillId="0" borderId="0" xfId="0" applyAlignment="1">
      <alignment vertical="top" wrapText="1"/>
    </xf>
    <xf numFmtId="0" fontId="0" fillId="0" borderId="0" xfId="0" applyAlignment="1">
      <alignment wrapText="1"/>
    </xf>
    <xf numFmtId="172" fontId="2" fillId="0" borderId="0" xfId="0" applyNumberFormat="1" applyFont="1" applyFill="1" applyBorder="1" applyAlignment="1">
      <alignment horizontal="left" wrapText="1"/>
    </xf>
    <xf numFmtId="0" fontId="2" fillId="0" borderId="0" xfId="0" applyFont="1" applyFill="1" applyBorder="1" applyAlignment="1">
      <alignment horizontal="left" wrapText="1"/>
    </xf>
    <xf numFmtId="0" fontId="2" fillId="0" borderId="0" xfId="0" applyNumberFormat="1" applyFont="1" applyFill="1" applyBorder="1" applyAlignment="1">
      <alignment horizontal="left" wrapText="1"/>
    </xf>
    <xf numFmtId="0" fontId="0" fillId="0" borderId="0" xfId="0" applyBorder="1" applyAlignment="1">
      <alignment horizontal="left" wrapText="1"/>
    </xf>
    <xf numFmtId="49" fontId="2" fillId="0" borderId="0" xfId="0" applyNumberFormat="1" applyFont="1" applyFill="1" applyBorder="1" applyAlignment="1">
      <alignment horizontal="left" wrapText="1"/>
    </xf>
    <xf numFmtId="1" fontId="2" fillId="0" borderId="0" xfId="0" applyNumberFormat="1" applyFont="1" applyFill="1" applyBorder="1" applyAlignment="1">
      <alignment horizontal="left" wrapText="1"/>
    </xf>
    <xf numFmtId="49" fontId="1" fillId="0" borderId="15" xfId="0" applyNumberFormat="1" applyFont="1" applyFill="1" applyBorder="1" applyAlignment="1">
      <alignment horizontal="left" wrapText="1"/>
    </xf>
    <xf numFmtId="49" fontId="1" fillId="0" borderId="16" xfId="0" applyNumberFormat="1" applyFont="1" applyFill="1" applyBorder="1" applyAlignment="1">
      <alignment horizontal="left" wrapText="1"/>
    </xf>
    <xf numFmtId="49" fontId="1" fillId="0" borderId="17" xfId="0" applyNumberFormat="1" applyFont="1" applyFill="1" applyBorder="1" applyAlignment="1">
      <alignment horizontal="left" wrapText="1"/>
    </xf>
    <xf numFmtId="0" fontId="1" fillId="0" borderId="18" xfId="0" applyFont="1" applyFill="1" applyBorder="1" applyAlignment="1">
      <alignment horizontal="left" wrapText="1"/>
    </xf>
    <xf numFmtId="0" fontId="1" fillId="0" borderId="19" xfId="0" applyFont="1" applyFill="1" applyBorder="1" applyAlignment="1">
      <alignment horizontal="left" wrapText="1"/>
    </xf>
    <xf numFmtId="0" fontId="1" fillId="0" borderId="0" xfId="0" applyFont="1" applyFill="1" applyAlignment="1">
      <alignment horizontal="left" wrapText="1"/>
    </xf>
    <xf numFmtId="3" fontId="0" fillId="0" borderId="20" xfId="0" applyNumberFormat="1" applyBorder="1"/>
    <xf numFmtId="0" fontId="1" fillId="0" borderId="0" xfId="0" applyFont="1" applyFill="1" applyBorder="1" applyAlignment="1">
      <alignment horizontal="left" wrapText="1"/>
    </xf>
    <xf numFmtId="0" fontId="0" fillId="0" borderId="21" xfId="0" applyFill="1" applyBorder="1" applyAlignment="1">
      <alignment vertical="top" wrapText="1"/>
    </xf>
    <xf numFmtId="3" fontId="0" fillId="0" borderId="22" xfId="0" applyNumberFormat="1" applyFill="1" applyBorder="1" applyAlignment="1">
      <alignment horizontal="center" vertical="top"/>
    </xf>
    <xf numFmtId="49" fontId="0" fillId="0" borderId="23" xfId="0" applyNumberFormat="1" applyFill="1" applyBorder="1" applyAlignment="1">
      <alignment vertical="top" wrapText="1"/>
    </xf>
    <xf numFmtId="0" fontId="0" fillId="0" borderId="7" xfId="0" applyFill="1" applyBorder="1" applyAlignment="1">
      <alignment vertical="top" wrapText="1"/>
    </xf>
    <xf numFmtId="3" fontId="0" fillId="0" borderId="8" xfId="0" applyNumberFormat="1" applyFill="1" applyBorder="1" applyAlignment="1">
      <alignment horizontal="center" vertical="top"/>
    </xf>
    <xf numFmtId="3" fontId="0" fillId="0" borderId="8"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cstinson@dgs.ca.gov" TargetMode="External"/><Relationship Id="rId7" Type="http://schemas.openxmlformats.org/officeDocument/2006/relationships/printerSettings" Target="../printerSettings/printerSettings3.bin"/><Relationship Id="rId2" Type="http://schemas.openxmlformats.org/officeDocument/2006/relationships/hyperlink" Target="mailto:cstinson@dgs.ca.gov" TargetMode="External"/><Relationship Id="rId1" Type="http://schemas.openxmlformats.org/officeDocument/2006/relationships/hyperlink" Target="mailto:cstinson@dgs.ca.gov" TargetMode="External"/><Relationship Id="rId6" Type="http://schemas.openxmlformats.org/officeDocument/2006/relationships/hyperlink" Target="mailto:lynn.westhoven@dgs.ca.gov" TargetMode="External"/><Relationship Id="rId5" Type="http://schemas.openxmlformats.org/officeDocument/2006/relationships/hyperlink" Target="mailto:cstinson@dgs.ca.gov" TargetMode="External"/><Relationship Id="rId4" Type="http://schemas.openxmlformats.org/officeDocument/2006/relationships/hyperlink" Target="mailto:lynn.westhoven@dgs.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70"/>
  <sheetViews>
    <sheetView tabSelected="1" zoomScaleNormal="100" workbookViewId="0"/>
  </sheetViews>
  <sheetFormatPr defaultColWidth="25.7265625" defaultRowHeight="12.5" x14ac:dyDescent="0.25"/>
  <cols>
    <col min="1" max="1" width="2.7265625" style="17" customWidth="1"/>
    <col min="2" max="2" width="5.7265625" style="17" customWidth="1"/>
    <col min="3" max="3" width="106.7265625" style="17" customWidth="1"/>
    <col min="4" max="4" width="2.26953125" style="17" customWidth="1"/>
    <col min="5" max="16384" width="25.7265625" style="17"/>
  </cols>
  <sheetData>
    <row r="2" spans="2:3" ht="13" x14ac:dyDescent="0.3">
      <c r="B2" s="18" t="s">
        <v>16628</v>
      </c>
    </row>
    <row r="3" spans="2:3" ht="62.5" x14ac:dyDescent="0.3">
      <c r="B3" s="18"/>
      <c r="C3" s="19" t="s">
        <v>6664</v>
      </c>
    </row>
    <row r="4" spans="2:3" ht="13" x14ac:dyDescent="0.3">
      <c r="B4" s="18"/>
      <c r="C4" s="19" t="s">
        <v>837</v>
      </c>
    </row>
    <row r="5" spans="2:3" ht="52.5" customHeight="1" x14ac:dyDescent="0.3">
      <c r="B5" s="18"/>
      <c r="C5" s="19" t="s">
        <v>18247</v>
      </c>
    </row>
    <row r="6" spans="2:3" ht="25" x14ac:dyDescent="0.3">
      <c r="B6" s="18"/>
      <c r="C6" s="19" t="s">
        <v>213</v>
      </c>
    </row>
    <row r="7" spans="2:3" ht="50" x14ac:dyDescent="0.25">
      <c r="C7" s="20" t="s">
        <v>214</v>
      </c>
    </row>
    <row r="8" spans="2:3" ht="37.5" x14ac:dyDescent="0.25">
      <c r="C8" s="20" t="s">
        <v>16629</v>
      </c>
    </row>
    <row r="9" spans="2:3" x14ac:dyDescent="0.25">
      <c r="C9" s="19" t="s">
        <v>6665</v>
      </c>
    </row>
    <row r="11" spans="2:3" ht="13" x14ac:dyDescent="0.3">
      <c r="B11" s="18" t="s">
        <v>16630</v>
      </c>
    </row>
    <row r="12" spans="2:3" ht="25" x14ac:dyDescent="0.25">
      <c r="C12" s="20" t="s">
        <v>16631</v>
      </c>
    </row>
    <row r="13" spans="2:3" ht="13" x14ac:dyDescent="0.3">
      <c r="C13" s="20" t="s">
        <v>15369</v>
      </c>
    </row>
    <row r="14" spans="2:3" ht="25.5" x14ac:dyDescent="0.25">
      <c r="C14" s="20" t="s">
        <v>16632</v>
      </c>
    </row>
    <row r="15" spans="2:3" ht="13" x14ac:dyDescent="0.3">
      <c r="C15" s="20" t="s">
        <v>16633</v>
      </c>
    </row>
    <row r="16" spans="2:3" ht="13" x14ac:dyDescent="0.3">
      <c r="C16" s="20" t="s">
        <v>16634</v>
      </c>
    </row>
    <row r="17" spans="3:3" ht="13" x14ac:dyDescent="0.3">
      <c r="C17" s="20" t="s">
        <v>16635</v>
      </c>
    </row>
    <row r="18" spans="3:3" ht="13" x14ac:dyDescent="0.3">
      <c r="C18" s="20" t="s">
        <v>16636</v>
      </c>
    </row>
    <row r="19" spans="3:3" ht="13" x14ac:dyDescent="0.3">
      <c r="C19" s="20" t="s">
        <v>16637</v>
      </c>
    </row>
    <row r="20" spans="3:3" ht="13" x14ac:dyDescent="0.3">
      <c r="C20" s="20" t="s">
        <v>16638</v>
      </c>
    </row>
    <row r="21" spans="3:3" ht="13" x14ac:dyDescent="0.3">
      <c r="C21" s="20" t="s">
        <v>16639</v>
      </c>
    </row>
    <row r="22" spans="3:3" ht="13" x14ac:dyDescent="0.3">
      <c r="C22" s="20" t="s">
        <v>16640</v>
      </c>
    </row>
    <row r="23" spans="3:3" ht="38" x14ac:dyDescent="0.25">
      <c r="C23" s="20" t="s">
        <v>16641</v>
      </c>
    </row>
    <row r="24" spans="3:3" ht="13" x14ac:dyDescent="0.3">
      <c r="C24" s="20" t="s">
        <v>16642</v>
      </c>
    </row>
    <row r="25" spans="3:3" ht="13" x14ac:dyDescent="0.3">
      <c r="C25" s="20" t="s">
        <v>15302</v>
      </c>
    </row>
    <row r="26" spans="3:3" ht="13" x14ac:dyDescent="0.3">
      <c r="C26" s="20" t="s">
        <v>15303</v>
      </c>
    </row>
    <row r="27" spans="3:3" ht="13" x14ac:dyDescent="0.3">
      <c r="C27" s="20" t="s">
        <v>15304</v>
      </c>
    </row>
    <row r="28" spans="3:3" ht="13" x14ac:dyDescent="0.3">
      <c r="C28" s="20" t="s">
        <v>15305</v>
      </c>
    </row>
    <row r="29" spans="3:3" ht="13" x14ac:dyDescent="0.3">
      <c r="C29" s="20" t="s">
        <v>15306</v>
      </c>
    </row>
    <row r="30" spans="3:3" ht="13" x14ac:dyDescent="0.3">
      <c r="C30" s="20" t="s">
        <v>15307</v>
      </c>
    </row>
    <row r="31" spans="3:3" ht="13" x14ac:dyDescent="0.3">
      <c r="C31" s="20" t="s">
        <v>15308</v>
      </c>
    </row>
    <row r="32" spans="3:3" ht="13" x14ac:dyDescent="0.3">
      <c r="C32" s="20" t="s">
        <v>215</v>
      </c>
    </row>
    <row r="33" spans="2:3" ht="13" x14ac:dyDescent="0.3">
      <c r="C33" s="20" t="s">
        <v>216</v>
      </c>
    </row>
    <row r="34" spans="2:3" x14ac:dyDescent="0.25">
      <c r="C34" s="20"/>
    </row>
    <row r="35" spans="2:3" ht="13" x14ac:dyDescent="0.3">
      <c r="B35" s="18" t="s">
        <v>15309</v>
      </c>
      <c r="C35" s="20"/>
    </row>
    <row r="37" spans="2:3" ht="13" x14ac:dyDescent="0.3">
      <c r="B37" s="18" t="s">
        <v>15310</v>
      </c>
      <c r="C37" s="18" t="s">
        <v>15348</v>
      </c>
    </row>
    <row r="38" spans="2:3" x14ac:dyDescent="0.25">
      <c r="B38" s="17" t="s">
        <v>15311</v>
      </c>
      <c r="C38" s="17" t="s">
        <v>16610</v>
      </c>
    </row>
    <row r="39" spans="2:3" x14ac:dyDescent="0.25">
      <c r="B39" s="17" t="s">
        <v>15312</v>
      </c>
      <c r="C39" s="17" t="s">
        <v>16600</v>
      </c>
    </row>
    <row r="40" spans="2:3" x14ac:dyDescent="0.25">
      <c r="B40" s="17" t="s">
        <v>15313</v>
      </c>
      <c r="C40" s="17" t="s">
        <v>16606</v>
      </c>
    </row>
    <row r="41" spans="2:3" x14ac:dyDescent="0.25">
      <c r="B41" s="17" t="s">
        <v>15314</v>
      </c>
      <c r="C41" s="17" t="s">
        <v>16618</v>
      </c>
    </row>
    <row r="42" spans="2:3" x14ac:dyDescent="0.25">
      <c r="B42" s="17" t="s">
        <v>15315</v>
      </c>
      <c r="C42" s="17" t="s">
        <v>15316</v>
      </c>
    </row>
    <row r="43" spans="2:3" x14ac:dyDescent="0.25">
      <c r="B43" s="17" t="s">
        <v>15317</v>
      </c>
      <c r="C43" s="17" t="s">
        <v>16624</v>
      </c>
    </row>
    <row r="44" spans="2:3" x14ac:dyDescent="0.25">
      <c r="B44" s="17" t="s">
        <v>15318</v>
      </c>
      <c r="C44" s="17" t="s">
        <v>15319</v>
      </c>
    </row>
    <row r="45" spans="2:3" x14ac:dyDescent="0.25">
      <c r="B45" s="17" t="s">
        <v>15320</v>
      </c>
      <c r="C45" s="17" t="s">
        <v>16602</v>
      </c>
    </row>
    <row r="46" spans="2:3" x14ac:dyDescent="0.25">
      <c r="B46" s="17" t="s">
        <v>15321</v>
      </c>
      <c r="C46" s="17" t="s">
        <v>16604</v>
      </c>
    </row>
    <row r="47" spans="2:3" x14ac:dyDescent="0.25">
      <c r="B47" s="17" t="s">
        <v>15322</v>
      </c>
      <c r="C47" s="17" t="s">
        <v>16607</v>
      </c>
    </row>
    <row r="48" spans="2:3" x14ac:dyDescent="0.25">
      <c r="B48" s="17" t="s">
        <v>15323</v>
      </c>
      <c r="C48" s="17" t="s">
        <v>16614</v>
      </c>
    </row>
    <row r="49" spans="2:3" x14ac:dyDescent="0.25">
      <c r="B49" s="17" t="s">
        <v>15324</v>
      </c>
      <c r="C49" s="17" t="s">
        <v>16605</v>
      </c>
    </row>
    <row r="50" spans="2:3" x14ac:dyDescent="0.25">
      <c r="B50" s="17" t="s">
        <v>15325</v>
      </c>
      <c r="C50" s="17" t="s">
        <v>16603</v>
      </c>
    </row>
    <row r="51" spans="2:3" x14ac:dyDescent="0.25">
      <c r="B51" s="17" t="s">
        <v>15326</v>
      </c>
      <c r="C51" s="17" t="s">
        <v>16612</v>
      </c>
    </row>
    <row r="52" spans="2:3" x14ac:dyDescent="0.25">
      <c r="B52" s="17" t="s">
        <v>15327</v>
      </c>
      <c r="C52" s="17" t="s">
        <v>16615</v>
      </c>
    </row>
    <row r="53" spans="2:3" x14ac:dyDescent="0.25">
      <c r="B53" s="17" t="s">
        <v>15328</v>
      </c>
      <c r="C53" s="17" t="s">
        <v>16596</v>
      </c>
    </row>
    <row r="54" spans="2:3" x14ac:dyDescent="0.25">
      <c r="B54" s="17" t="s">
        <v>15329</v>
      </c>
      <c r="C54" s="17" t="s">
        <v>16613</v>
      </c>
    </row>
    <row r="55" spans="2:3" x14ac:dyDescent="0.25">
      <c r="B55" s="17" t="s">
        <v>16584</v>
      </c>
      <c r="C55" s="17" t="s">
        <v>16585</v>
      </c>
    </row>
    <row r="56" spans="2:3" x14ac:dyDescent="0.25">
      <c r="B56" s="17" t="s">
        <v>15330</v>
      </c>
      <c r="C56" s="17" t="s">
        <v>16617</v>
      </c>
    </row>
    <row r="57" spans="2:3" x14ac:dyDescent="0.25">
      <c r="B57" s="17" t="s">
        <v>15331</v>
      </c>
      <c r="C57" s="17" t="s">
        <v>15332</v>
      </c>
    </row>
    <row r="58" spans="2:3" x14ac:dyDescent="0.25">
      <c r="B58" s="17" t="s">
        <v>15333</v>
      </c>
      <c r="C58" s="17" t="s">
        <v>16620</v>
      </c>
    </row>
    <row r="59" spans="2:3" x14ac:dyDescent="0.25">
      <c r="B59" s="17" t="s">
        <v>15334</v>
      </c>
      <c r="C59" s="17" t="s">
        <v>16599</v>
      </c>
    </row>
    <row r="60" spans="2:3" x14ac:dyDescent="0.25">
      <c r="B60" s="17" t="s">
        <v>15335</v>
      </c>
      <c r="C60" s="17" t="s">
        <v>15336</v>
      </c>
    </row>
    <row r="61" spans="2:3" x14ac:dyDescent="0.25">
      <c r="B61" s="17" t="s">
        <v>15337</v>
      </c>
      <c r="C61" s="17" t="s">
        <v>16608</v>
      </c>
    </row>
    <row r="62" spans="2:3" x14ac:dyDescent="0.25">
      <c r="B62" s="17" t="s">
        <v>15368</v>
      </c>
      <c r="C62" s="17" t="s">
        <v>16591</v>
      </c>
    </row>
    <row r="63" spans="2:3" x14ac:dyDescent="0.25">
      <c r="B63" s="17" t="s">
        <v>15338</v>
      </c>
      <c r="C63" s="17" t="s">
        <v>16593</v>
      </c>
    </row>
    <row r="64" spans="2:3" x14ac:dyDescent="0.25">
      <c r="B64" s="17" t="s">
        <v>15339</v>
      </c>
      <c r="C64" s="17" t="s">
        <v>16611</v>
      </c>
    </row>
    <row r="65" spans="2:3" x14ac:dyDescent="0.25">
      <c r="B65" s="17" t="s">
        <v>15346</v>
      </c>
      <c r="C65" s="17" t="s">
        <v>16594</v>
      </c>
    </row>
    <row r="66" spans="2:3" x14ac:dyDescent="0.25">
      <c r="B66" s="17" t="s">
        <v>15340</v>
      </c>
      <c r="C66" s="17" t="s">
        <v>16601</v>
      </c>
    </row>
    <row r="67" spans="2:3" x14ac:dyDescent="0.25">
      <c r="B67" s="17" t="s">
        <v>15341</v>
      </c>
      <c r="C67" s="17" t="s">
        <v>16616</v>
      </c>
    </row>
    <row r="68" spans="2:3" x14ac:dyDescent="0.25">
      <c r="B68" s="17" t="s">
        <v>15342</v>
      </c>
      <c r="C68" s="17" t="s">
        <v>16598</v>
      </c>
    </row>
    <row r="69" spans="2:3" x14ac:dyDescent="0.25">
      <c r="B69" s="17" t="s">
        <v>15343</v>
      </c>
      <c r="C69" s="17" t="s">
        <v>16626</v>
      </c>
    </row>
    <row r="70" spans="2:3" x14ac:dyDescent="0.25">
      <c r="B70" s="17" t="s">
        <v>15344</v>
      </c>
      <c r="C70" s="17" t="s">
        <v>15345</v>
      </c>
    </row>
  </sheetData>
  <pageMargins left="0.5" right="0.5" top="1" bottom="1" header="0.5" footer="0.5"/>
  <pageSetup scale="83" fitToHeight="5" orientation="portrait" r:id="rId1"/>
  <headerFooter alignWithMargins="0"/>
  <rowBreaks count="1" manualBreakCount="1">
    <brk id="34"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9"/>
  <sheetViews>
    <sheetView zoomScale="75" workbookViewId="0"/>
  </sheetViews>
  <sheetFormatPr defaultRowHeight="12.5" x14ac:dyDescent="0.25"/>
  <cols>
    <col min="1" max="1" width="2.7265625" customWidth="1"/>
    <col min="2" max="2" width="32.7265625" customWidth="1"/>
    <col min="3" max="4" width="11.81640625" style="1" customWidth="1"/>
    <col min="5" max="5" width="25.7265625" customWidth="1"/>
  </cols>
  <sheetData>
    <row r="1" spans="2:5" ht="13" thickBot="1" x14ac:dyDescent="0.3"/>
    <row r="2" spans="2:5" ht="26" x14ac:dyDescent="0.25">
      <c r="B2" s="2" t="s">
        <v>16586</v>
      </c>
      <c r="C2" s="3" t="s">
        <v>16587</v>
      </c>
      <c r="D2" s="3" t="s">
        <v>16588</v>
      </c>
      <c r="E2" s="4" t="s">
        <v>16589</v>
      </c>
    </row>
    <row r="3" spans="2:5" ht="13" x14ac:dyDescent="0.25">
      <c r="B3" s="5" t="s">
        <v>16590</v>
      </c>
      <c r="C3" s="6"/>
      <c r="D3" s="6"/>
      <c r="E3" s="7"/>
    </row>
    <row r="4" spans="2:5" x14ac:dyDescent="0.25">
      <c r="B4" s="35" t="s">
        <v>16591</v>
      </c>
      <c r="C4" s="36">
        <f>COUNT(Inventory!K2:K2234)</f>
        <v>2233</v>
      </c>
      <c r="D4" s="36">
        <f>SUM(Inventory!K2:K2234)/1000</f>
        <v>1844.8673333333311</v>
      </c>
      <c r="E4" s="37" t="s">
        <v>6083</v>
      </c>
    </row>
    <row r="5" spans="2:5" x14ac:dyDescent="0.25">
      <c r="B5" s="38" t="s">
        <v>16593</v>
      </c>
      <c r="C5" s="36">
        <f>COUNT(Inventory!K2762:K3378)</f>
        <v>617</v>
      </c>
      <c r="D5" s="36">
        <f>SUM(Inventory!K2762:K3378)/1000</f>
        <v>433.19866666666672</v>
      </c>
      <c r="E5" s="37" t="s">
        <v>6553</v>
      </c>
    </row>
    <row r="6" spans="2:5" x14ac:dyDescent="0.25">
      <c r="B6" s="38" t="s">
        <v>16594</v>
      </c>
      <c r="C6" s="36">
        <f>COUNT(Inventory!K2235:K2761)</f>
        <v>527</v>
      </c>
      <c r="D6" s="36">
        <f>SUM(Inventory!K2235:K2761)/1000</f>
        <v>402.31966666666654</v>
      </c>
      <c r="E6" s="37" t="s">
        <v>6083</v>
      </c>
    </row>
    <row r="7" spans="2:5" x14ac:dyDescent="0.25">
      <c r="B7" s="38" t="s">
        <v>15336</v>
      </c>
      <c r="C7" s="39">
        <f>COUNT(Inventory!K3513:K3871)</f>
        <v>359</v>
      </c>
      <c r="D7" s="39">
        <f>SUM(Inventory!K3513:K3871)/1000</f>
        <v>298.19266666666658</v>
      </c>
      <c r="E7" s="37" t="s">
        <v>6554</v>
      </c>
    </row>
    <row r="8" spans="2:5" x14ac:dyDescent="0.25">
      <c r="B8" s="38" t="s">
        <v>16596</v>
      </c>
      <c r="C8" s="39">
        <f>COUNT(Inventory!K3379:K3512)</f>
        <v>134</v>
      </c>
      <c r="D8" s="39">
        <f>SUM(Inventory!K3379:K3512)/1000</f>
        <v>88.134</v>
      </c>
      <c r="E8" s="37" t="s">
        <v>6083</v>
      </c>
    </row>
    <row r="9" spans="2:5" x14ac:dyDescent="0.25">
      <c r="B9" s="38" t="s">
        <v>16597</v>
      </c>
      <c r="C9" s="39">
        <f>COUNT(Inventory!K3949:K4038)</f>
        <v>90</v>
      </c>
      <c r="D9" s="39">
        <f>SUM(Inventory!K3949:K4038)/1000</f>
        <v>74.947333333333319</v>
      </c>
      <c r="E9" s="37" t="s">
        <v>6083</v>
      </c>
    </row>
    <row r="10" spans="2:5" x14ac:dyDescent="0.25">
      <c r="B10" s="38" t="s">
        <v>16598</v>
      </c>
      <c r="C10" s="39">
        <f>COUNT(Inventory!K4208:K4273)</f>
        <v>66</v>
      </c>
      <c r="D10" s="39">
        <f>SUM(Inventory!K4208:K4273)/1000</f>
        <v>60.324333333333342</v>
      </c>
      <c r="E10" s="37" t="s">
        <v>6083</v>
      </c>
    </row>
    <row r="11" spans="2:5" x14ac:dyDescent="0.25">
      <c r="B11" s="38" t="s">
        <v>16585</v>
      </c>
      <c r="C11" s="39">
        <f>COUNT(Inventory!K3872:K3948)</f>
        <v>77</v>
      </c>
      <c r="D11" s="39">
        <f>SUM(Inventory!K3872:K3948)/1000</f>
        <v>46.193333333333328</v>
      </c>
      <c r="E11" s="37" t="s">
        <v>6083</v>
      </c>
    </row>
    <row r="12" spans="2:5" x14ac:dyDescent="0.25">
      <c r="B12" s="38" t="s">
        <v>16599</v>
      </c>
      <c r="C12" s="39">
        <f>COUNT(Inventory!K4341:K4380)</f>
        <v>40</v>
      </c>
      <c r="D12" s="39">
        <f>SUM(Inventory!K4341:K4380)/1000</f>
        <v>44.865666666666662</v>
      </c>
      <c r="E12" s="37" t="s">
        <v>6083</v>
      </c>
    </row>
    <row r="13" spans="2:5" x14ac:dyDescent="0.25">
      <c r="B13" s="38" t="s">
        <v>16601</v>
      </c>
      <c r="C13" s="39">
        <f>COUNT(Inventory!K4139:K4177)</f>
        <v>39</v>
      </c>
      <c r="D13" s="39">
        <f>SUM(Inventory!K4139:K4177)/1000</f>
        <v>30.523333333333337</v>
      </c>
      <c r="E13" s="37" t="s">
        <v>6083</v>
      </c>
    </row>
    <row r="14" spans="2:5" x14ac:dyDescent="0.25">
      <c r="B14" s="38" t="s">
        <v>16600</v>
      </c>
      <c r="C14" s="39">
        <f>COUNT(Inventory!K4039:K4083)</f>
        <v>45</v>
      </c>
      <c r="D14" s="39">
        <f>SUM(Inventory!K4039:K4083)/1000</f>
        <v>27.451333333333324</v>
      </c>
      <c r="E14" s="37" t="s">
        <v>6083</v>
      </c>
    </row>
    <row r="15" spans="2:5" x14ac:dyDescent="0.25">
      <c r="B15" s="38" t="s">
        <v>16603</v>
      </c>
      <c r="C15" s="40">
        <f>COUNT(Inventory!K4287:K4325)</f>
        <v>39</v>
      </c>
      <c r="D15" s="40">
        <f>SUM(Inventory!K4287:K4325)/1000</f>
        <v>18.102666666666668</v>
      </c>
      <c r="E15" s="37" t="s">
        <v>6083</v>
      </c>
    </row>
    <row r="16" spans="2:5" x14ac:dyDescent="0.25">
      <c r="B16" s="38" t="s">
        <v>838</v>
      </c>
      <c r="C16" s="36">
        <f>COUNT(Inventory!K4084:K4117)</f>
        <v>34</v>
      </c>
      <c r="D16" s="36">
        <f>SUM(Inventory!K4084:K4117)/1000</f>
        <v>22.215333333333334</v>
      </c>
      <c r="E16" s="37" t="s">
        <v>6554</v>
      </c>
    </row>
    <row r="17" spans="2:5" x14ac:dyDescent="0.25">
      <c r="B17" s="38" t="s">
        <v>16604</v>
      </c>
      <c r="C17" s="39">
        <f>COUNT(Inventory!K4178:K4198)</f>
        <v>21</v>
      </c>
      <c r="D17" s="39">
        <f>SUM(Inventory!K4178:K4198)/1000</f>
        <v>14.599999999999998</v>
      </c>
      <c r="E17" s="37" t="s">
        <v>6083</v>
      </c>
    </row>
    <row r="18" spans="2:5" x14ac:dyDescent="0.25">
      <c r="B18" s="8" t="s">
        <v>16605</v>
      </c>
      <c r="C18" s="9">
        <f>COUNT(Inventory!K4202:K4207)</f>
        <v>6</v>
      </c>
      <c r="D18" s="9">
        <f>SUM(Inventory!K4202:K4207)/1000</f>
        <v>9.6513333333333335</v>
      </c>
      <c r="E18" s="10" t="s">
        <v>16592</v>
      </c>
    </row>
    <row r="19" spans="2:5" x14ac:dyDescent="0.25">
      <c r="B19" s="8" t="s">
        <v>16606</v>
      </c>
      <c r="C19" s="9">
        <f>COUNT(Inventory!K4393:K4405)</f>
        <v>13</v>
      </c>
      <c r="D19" s="9">
        <f>SUM(Inventory!K4393:K4405)/1000</f>
        <v>9.1493333333333347</v>
      </c>
      <c r="E19" s="10" t="s">
        <v>16592</v>
      </c>
    </row>
    <row r="20" spans="2:5" x14ac:dyDescent="0.25">
      <c r="B20" s="8" t="s">
        <v>16607</v>
      </c>
      <c r="C20" s="9">
        <f>COUNT(Inventory!K4118:K4128)</f>
        <v>11</v>
      </c>
      <c r="D20" s="9">
        <f>SUM(Inventory!K4118:K4128)/1000</f>
        <v>7.9853333333333349</v>
      </c>
      <c r="E20" s="10" t="s">
        <v>16595</v>
      </c>
    </row>
    <row r="21" spans="2:5" ht="25" x14ac:dyDescent="0.25">
      <c r="B21" s="8" t="s">
        <v>16608</v>
      </c>
      <c r="C21" s="9">
        <f>COUNT(Inventory!K4274:K4286)</f>
        <v>13</v>
      </c>
      <c r="D21" s="9">
        <f>SUM(Inventory!K4274:K4286)/1000</f>
        <v>7.8</v>
      </c>
      <c r="E21" s="10" t="s">
        <v>16609</v>
      </c>
    </row>
    <row r="22" spans="2:5" x14ac:dyDescent="0.25">
      <c r="B22" s="8" t="s">
        <v>16610</v>
      </c>
      <c r="C22" s="9">
        <f>COUNT(Inventory!K4129:K4136)</f>
        <v>8</v>
      </c>
      <c r="D22" s="9">
        <f>SUM(Inventory!K4129:K4136)/1000</f>
        <v>6.9489999999999998</v>
      </c>
      <c r="E22" s="10" t="s">
        <v>16592</v>
      </c>
    </row>
    <row r="23" spans="2:5" x14ac:dyDescent="0.25">
      <c r="B23" s="8" t="s">
        <v>16611</v>
      </c>
      <c r="C23" s="9">
        <f>COUNT(Inventory!K4381:K4389)</f>
        <v>9</v>
      </c>
      <c r="D23" s="9">
        <f>SUM(Inventory!K4381:K4389)/1000</f>
        <v>6.4096666666666664</v>
      </c>
      <c r="E23" s="10" t="s">
        <v>16592</v>
      </c>
    </row>
    <row r="24" spans="2:5" x14ac:dyDescent="0.25">
      <c r="B24" s="8" t="s">
        <v>16612</v>
      </c>
      <c r="C24" s="9">
        <f>COUNT(Inventory!K4326:K4333)</f>
        <v>8</v>
      </c>
      <c r="D24" s="9">
        <f>SUM(Inventory!K4326:K4333)/1000</f>
        <v>3.87</v>
      </c>
      <c r="E24" s="10" t="s">
        <v>16592</v>
      </c>
    </row>
    <row r="25" spans="2:5" x14ac:dyDescent="0.25">
      <c r="B25" s="8" t="s">
        <v>16613</v>
      </c>
      <c r="C25" s="9">
        <f>COUNT(Inventory!K4337:K4339)</f>
        <v>3</v>
      </c>
      <c r="D25" s="9">
        <f>SUM(Inventory!K4337:K4339)/1000</f>
        <v>2.25</v>
      </c>
      <c r="E25" s="10" t="s">
        <v>16592</v>
      </c>
    </row>
    <row r="26" spans="2:5" x14ac:dyDescent="0.25">
      <c r="B26" s="8" t="s">
        <v>16614</v>
      </c>
      <c r="C26" s="9">
        <f>COUNT(Inventory!K4199:K4201)</f>
        <v>3</v>
      </c>
      <c r="D26" s="9">
        <f>SUM(Inventory!K4199:K4201)/1000</f>
        <v>1.5289999999999999</v>
      </c>
      <c r="E26" s="10" t="s">
        <v>16592</v>
      </c>
    </row>
    <row r="27" spans="2:5" x14ac:dyDescent="0.25">
      <c r="B27" s="8" t="s">
        <v>16615</v>
      </c>
      <c r="C27" s="9">
        <f>COUNT(Inventory!K4334:K4336)</f>
        <v>3</v>
      </c>
      <c r="D27" s="9">
        <f>SUM(Inventory!K4334:K4336)/1000</f>
        <v>1.1200000000000001</v>
      </c>
      <c r="E27" s="10" t="s">
        <v>16592</v>
      </c>
    </row>
    <row r="28" spans="2:5" x14ac:dyDescent="0.25">
      <c r="B28" s="8" t="s">
        <v>16616</v>
      </c>
      <c r="C28" s="9">
        <f>COUNT(Inventory!K4390:K4392)</f>
        <v>3</v>
      </c>
      <c r="D28" s="9">
        <f>SUM(Inventory!K4390:K4392)/1000</f>
        <v>0.98333333333333328</v>
      </c>
      <c r="E28" s="10" t="s">
        <v>16592</v>
      </c>
    </row>
    <row r="29" spans="2:5" x14ac:dyDescent="0.25">
      <c r="B29" s="8" t="s">
        <v>16617</v>
      </c>
      <c r="C29" s="9">
        <f>COUNT(Inventory!K4340)</f>
        <v>1</v>
      </c>
      <c r="D29" s="9">
        <f>SUM(Inventory!K4340)/1000</f>
        <v>0.75</v>
      </c>
      <c r="E29" s="10" t="s">
        <v>16592</v>
      </c>
    </row>
    <row r="30" spans="2:5" x14ac:dyDescent="0.25">
      <c r="B30" s="8" t="s">
        <v>16618</v>
      </c>
      <c r="C30" s="9">
        <f>COUNT(Inventory!K4137:K4138)</f>
        <v>2</v>
      </c>
      <c r="D30" s="9">
        <f>SUM(Inventory!K4137:K4138)/1000</f>
        <v>0.7</v>
      </c>
      <c r="E30" s="10" t="s">
        <v>16592</v>
      </c>
    </row>
    <row r="31" spans="2:5" x14ac:dyDescent="0.25">
      <c r="B31" s="8"/>
      <c r="C31" s="9"/>
      <c r="D31" s="9"/>
      <c r="E31" s="10"/>
    </row>
    <row r="32" spans="2:5" ht="13" x14ac:dyDescent="0.25">
      <c r="B32" s="11" t="s">
        <v>16619</v>
      </c>
      <c r="C32" s="9"/>
      <c r="D32" s="9"/>
      <c r="E32" s="10"/>
    </row>
    <row r="33" spans="2:5" x14ac:dyDescent="0.25">
      <c r="B33" s="8" t="s">
        <v>16620</v>
      </c>
      <c r="C33" s="9">
        <f>COUNT(Inventory!K4448:K4803)</f>
        <v>356</v>
      </c>
      <c r="D33" s="9">
        <f>SUM(Inventory!K4448:K4803)/1000</f>
        <v>295.17720100000003</v>
      </c>
      <c r="E33" s="10" t="s">
        <v>16583</v>
      </c>
    </row>
    <row r="34" spans="2:5" x14ac:dyDescent="0.25">
      <c r="B34" s="8" t="s">
        <v>16624</v>
      </c>
      <c r="C34" s="9">
        <f>COUNT(Inventory!K4818:K4847)</f>
        <v>30</v>
      </c>
      <c r="D34" s="9">
        <f>SUM(Inventory!K4818:K4847)/1000</f>
        <v>36.9</v>
      </c>
      <c r="E34" s="10" t="s">
        <v>16625</v>
      </c>
    </row>
    <row r="35" spans="2:5" x14ac:dyDescent="0.25">
      <c r="B35" s="8" t="s">
        <v>16621</v>
      </c>
      <c r="C35" s="9">
        <f>COUNT(Inventory!K4406:K4447)</f>
        <v>42</v>
      </c>
      <c r="D35" s="9">
        <f>SUM(Inventory!K4406:K4447)/1000</f>
        <v>35.725000000000001</v>
      </c>
      <c r="E35" s="10" t="s">
        <v>16592</v>
      </c>
    </row>
    <row r="36" spans="2:5" x14ac:dyDescent="0.25">
      <c r="B36" s="8" t="s">
        <v>16626</v>
      </c>
      <c r="C36" s="9">
        <f>COUNT(Inventory!K4848:K4907)</f>
        <v>60</v>
      </c>
      <c r="D36" s="9">
        <f>SUM(Inventory!K4848:K4907)/1000</f>
        <v>33.215000000000003</v>
      </c>
      <c r="E36" s="10" t="s">
        <v>16592</v>
      </c>
    </row>
    <row r="37" spans="2:5" ht="37.5" x14ac:dyDescent="0.25">
      <c r="B37" s="8" t="s">
        <v>16623</v>
      </c>
      <c r="C37" s="9">
        <f>COUNT(Inventory!K4811:K4817)</f>
        <v>7</v>
      </c>
      <c r="D37" s="9">
        <f>SUM(Inventory!K4811:K4817)/1000</f>
        <v>8.3733333333333313</v>
      </c>
      <c r="E37" s="10" t="s">
        <v>16595</v>
      </c>
    </row>
    <row r="38" spans="2:5" x14ac:dyDescent="0.25">
      <c r="B38" s="12" t="s">
        <v>16622</v>
      </c>
      <c r="C38" s="13">
        <f>COUNT(Inventory!K4804:K4810)</f>
        <v>7</v>
      </c>
      <c r="D38" s="13">
        <f>SUM(Inventory!K4804:K4810)/1000</f>
        <v>5.76</v>
      </c>
      <c r="E38" s="14" t="s">
        <v>16592</v>
      </c>
    </row>
    <row r="39" spans="2:5" ht="13.5" thickBot="1" x14ac:dyDescent="0.35">
      <c r="B39" s="15" t="s">
        <v>16627</v>
      </c>
      <c r="C39" s="16">
        <f>SUM(C4:C38)</f>
        <v>4906</v>
      </c>
      <c r="D39" s="16">
        <f>SUM(D4:D38)</f>
        <v>3880.2332009999982</v>
      </c>
      <c r="E39" s="33"/>
    </row>
  </sheetData>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907"/>
  <sheetViews>
    <sheetView zoomScale="75" zoomScaleNormal="75" workbookViewId="0">
      <pane xSplit="3" ySplit="1" topLeftCell="L2" activePane="bottomRight" state="frozenSplit"/>
      <selection pane="topRight" activeCell="D1" sqref="D1"/>
      <selection pane="bottomLeft" activeCell="A2" sqref="A2"/>
      <selection pane="bottomRight"/>
    </sheetView>
  </sheetViews>
  <sheetFormatPr defaultColWidth="9.1796875" defaultRowHeight="12.5" x14ac:dyDescent="0.25"/>
  <cols>
    <col min="1" max="1" width="9.1796875" style="21"/>
    <col min="2" max="2" width="8.54296875" style="22" customWidth="1"/>
    <col min="3" max="3" width="24.453125" style="22" customWidth="1"/>
    <col min="4" max="4" width="12.1796875" style="23" customWidth="1"/>
    <col min="5" max="5" width="12.1796875" style="24" customWidth="1"/>
    <col min="6" max="6" width="10.7265625" style="22" customWidth="1"/>
    <col min="7" max="7" width="59.7265625" style="23" customWidth="1"/>
    <col min="8" max="8" width="9.1796875" style="25"/>
    <col min="9" max="9" width="16.7265625" style="22" customWidth="1"/>
    <col min="10" max="10" width="14.81640625" style="22" customWidth="1"/>
    <col min="11" max="12" width="9.81640625" style="26" customWidth="1"/>
    <col min="13" max="14" width="8.7265625" style="26" customWidth="1"/>
    <col min="15" max="15" width="27.54296875" style="22" customWidth="1"/>
    <col min="16" max="16" width="14.7265625" style="22" customWidth="1"/>
    <col min="17" max="17" width="10.54296875" style="22" customWidth="1"/>
    <col min="18" max="18" width="14.7265625" style="22" customWidth="1"/>
    <col min="19" max="19" width="14.26953125" style="22" customWidth="1"/>
    <col min="20" max="22" width="10.7265625" style="22" customWidth="1"/>
    <col min="23" max="16384" width="9.1796875" style="22"/>
  </cols>
  <sheetData>
    <row r="1" spans="1:25" s="32" customFormat="1" ht="57" customHeight="1" thickBot="1" x14ac:dyDescent="0.35">
      <c r="A1" s="27" t="s">
        <v>15347</v>
      </c>
      <c r="B1" s="28" t="s">
        <v>15348</v>
      </c>
      <c r="C1" s="28" t="s">
        <v>15355</v>
      </c>
      <c r="D1" s="28" t="s">
        <v>15349</v>
      </c>
      <c r="E1" s="28" t="s">
        <v>15350</v>
      </c>
      <c r="F1" s="28" t="s">
        <v>15354</v>
      </c>
      <c r="G1" s="28" t="s">
        <v>15360</v>
      </c>
      <c r="H1" s="28" t="s">
        <v>15351</v>
      </c>
      <c r="I1" s="28" t="s">
        <v>15361</v>
      </c>
      <c r="J1" s="28" t="s">
        <v>15362</v>
      </c>
      <c r="K1" s="28" t="s">
        <v>15352</v>
      </c>
      <c r="L1" s="28" t="s">
        <v>15363</v>
      </c>
      <c r="M1" s="28" t="s">
        <v>15364</v>
      </c>
      <c r="N1" s="28" t="s">
        <v>15365</v>
      </c>
      <c r="O1" s="28" t="s">
        <v>15353</v>
      </c>
      <c r="P1" s="28" t="s">
        <v>15356</v>
      </c>
      <c r="Q1" s="28" t="s">
        <v>15357</v>
      </c>
      <c r="R1" s="28" t="s">
        <v>15358</v>
      </c>
      <c r="S1" s="29" t="s">
        <v>15359</v>
      </c>
      <c r="T1" s="30" t="s">
        <v>15366</v>
      </c>
      <c r="U1" s="31" t="s">
        <v>15367</v>
      </c>
      <c r="V1" s="34"/>
    </row>
    <row r="2" spans="1:25" ht="25" x14ac:dyDescent="0.25">
      <c r="A2" s="21">
        <v>1</v>
      </c>
      <c r="B2" s="22" t="s">
        <v>15368</v>
      </c>
      <c r="C2" s="22" t="s">
        <v>15370</v>
      </c>
      <c r="D2" s="23">
        <v>296382</v>
      </c>
      <c r="E2" s="24">
        <v>1994</v>
      </c>
      <c r="F2" s="22" t="s">
        <v>15371</v>
      </c>
      <c r="G2" s="23" t="s">
        <v>15372</v>
      </c>
      <c r="H2" s="25" t="s">
        <v>15373</v>
      </c>
      <c r="I2" s="22" t="s">
        <v>15374</v>
      </c>
      <c r="J2" s="22">
        <v>3412</v>
      </c>
      <c r="K2" s="26">
        <f t="shared" ref="K2:K65" si="0">L2+M2*(2/3)+N2*(2/3)</f>
        <v>503.33333333333331</v>
      </c>
      <c r="N2" s="26">
        <v>755</v>
      </c>
      <c r="O2" s="22" t="s">
        <v>15375</v>
      </c>
      <c r="P2" s="22" t="s">
        <v>15376</v>
      </c>
      <c r="Q2" s="22">
        <v>90067</v>
      </c>
      <c r="R2" s="22" t="s">
        <v>15377</v>
      </c>
      <c r="S2" s="22" t="s">
        <v>15378</v>
      </c>
      <c r="T2" s="22">
        <v>8.17</v>
      </c>
      <c r="U2" s="22">
        <v>0.38</v>
      </c>
      <c r="X2" s="26"/>
      <c r="Y2" s="26"/>
    </row>
    <row r="3" spans="1:25" ht="25" x14ac:dyDescent="0.25">
      <c r="A3" s="21">
        <v>4</v>
      </c>
      <c r="B3" s="22" t="s">
        <v>15368</v>
      </c>
      <c r="C3" s="22" t="s">
        <v>15379</v>
      </c>
      <c r="D3" s="23">
        <v>330888</v>
      </c>
      <c r="E3" s="24">
        <v>1997</v>
      </c>
      <c r="F3" s="22" t="s">
        <v>15380</v>
      </c>
      <c r="G3" s="23" t="s">
        <v>15381</v>
      </c>
      <c r="H3" s="25" t="s">
        <v>15373</v>
      </c>
      <c r="I3" s="22" t="s">
        <v>15382</v>
      </c>
      <c r="J3" s="22" t="s">
        <v>15383</v>
      </c>
      <c r="K3" s="26">
        <f t="shared" si="0"/>
        <v>800</v>
      </c>
      <c r="L3" s="26">
        <v>800</v>
      </c>
      <c r="O3" s="22" t="s">
        <v>15384</v>
      </c>
      <c r="P3" s="22" t="s">
        <v>15376</v>
      </c>
      <c r="Q3" s="22" t="s">
        <v>15385</v>
      </c>
      <c r="R3" s="22" t="s">
        <v>15386</v>
      </c>
      <c r="S3" s="22" t="s">
        <v>15387</v>
      </c>
      <c r="T3" s="22">
        <v>8.17</v>
      </c>
      <c r="U3" s="22">
        <v>0.38</v>
      </c>
      <c r="X3" s="26"/>
      <c r="Y3" s="26"/>
    </row>
    <row r="4" spans="1:25" ht="25" x14ac:dyDescent="0.25">
      <c r="A4" s="21">
        <v>5</v>
      </c>
      <c r="B4" s="22" t="s">
        <v>15368</v>
      </c>
      <c r="C4" s="22" t="s">
        <v>15388</v>
      </c>
      <c r="D4" s="23">
        <v>361864</v>
      </c>
      <c r="E4" s="24">
        <v>1999</v>
      </c>
      <c r="F4" s="22" t="s">
        <v>15389</v>
      </c>
      <c r="G4" s="23" t="s">
        <v>15390</v>
      </c>
      <c r="H4" s="25" t="s">
        <v>15373</v>
      </c>
      <c r="I4" s="22" t="s">
        <v>15382</v>
      </c>
      <c r="J4" s="22" t="s">
        <v>15391</v>
      </c>
      <c r="K4" s="26">
        <f t="shared" si="0"/>
        <v>1500</v>
      </c>
      <c r="L4" s="26">
        <v>1500</v>
      </c>
      <c r="O4" s="22" t="s">
        <v>15392</v>
      </c>
      <c r="P4" s="22" t="s">
        <v>15393</v>
      </c>
      <c r="Q4" s="22" t="s">
        <v>15394</v>
      </c>
      <c r="R4" s="22" t="s">
        <v>15395</v>
      </c>
      <c r="S4" s="22" t="s">
        <v>15396</v>
      </c>
      <c r="T4" s="22">
        <v>8.17</v>
      </c>
      <c r="U4" s="22">
        <v>0.38</v>
      </c>
      <c r="X4" s="26"/>
      <c r="Y4" s="26"/>
    </row>
    <row r="5" spans="1:25" ht="25" x14ac:dyDescent="0.25">
      <c r="A5" s="21">
        <v>7</v>
      </c>
      <c r="B5" s="22" t="s">
        <v>15368</v>
      </c>
      <c r="C5" s="22" t="s">
        <v>15397</v>
      </c>
      <c r="D5" s="23">
        <v>377563</v>
      </c>
      <c r="E5" s="24">
        <v>2000</v>
      </c>
      <c r="F5" s="22" t="s">
        <v>15398</v>
      </c>
      <c r="G5" s="23" t="s">
        <v>15399</v>
      </c>
      <c r="H5" s="25" t="s">
        <v>15373</v>
      </c>
      <c r="I5" s="22" t="s">
        <v>15374</v>
      </c>
      <c r="J5" s="22" t="s">
        <v>15400</v>
      </c>
      <c r="K5" s="26">
        <f t="shared" si="0"/>
        <v>1500</v>
      </c>
      <c r="L5" s="26">
        <v>1500</v>
      </c>
      <c r="O5" s="22" t="s">
        <v>15401</v>
      </c>
      <c r="P5" s="22" t="s">
        <v>15376</v>
      </c>
      <c r="Q5" s="22">
        <v>90017</v>
      </c>
      <c r="R5" s="22" t="s">
        <v>15402</v>
      </c>
      <c r="S5" s="22" t="s">
        <v>15403</v>
      </c>
      <c r="T5" s="22">
        <v>6.9</v>
      </c>
      <c r="U5" s="22">
        <v>0.4</v>
      </c>
      <c r="X5" s="26"/>
      <c r="Y5" s="26"/>
    </row>
    <row r="6" spans="1:25" ht="25" x14ac:dyDescent="0.25">
      <c r="A6" s="21">
        <v>8</v>
      </c>
      <c r="B6" s="22" t="s">
        <v>15368</v>
      </c>
      <c r="C6" s="22" t="s">
        <v>15397</v>
      </c>
      <c r="D6" s="23">
        <v>377564</v>
      </c>
      <c r="E6" s="24">
        <v>2000</v>
      </c>
      <c r="F6" s="22" t="s">
        <v>15404</v>
      </c>
      <c r="G6" s="23" t="s">
        <v>15405</v>
      </c>
      <c r="H6" s="25" t="s">
        <v>15373</v>
      </c>
      <c r="I6" s="22" t="s">
        <v>15374</v>
      </c>
      <c r="J6" s="22" t="s">
        <v>15400</v>
      </c>
      <c r="K6" s="26">
        <f t="shared" si="0"/>
        <v>1500</v>
      </c>
      <c r="L6" s="26">
        <v>1500</v>
      </c>
      <c r="O6" s="22" t="s">
        <v>15401</v>
      </c>
      <c r="P6" s="22" t="s">
        <v>15376</v>
      </c>
      <c r="Q6" s="22">
        <v>90017</v>
      </c>
      <c r="R6" s="22" t="s">
        <v>15402</v>
      </c>
      <c r="S6" s="22" t="s">
        <v>15403</v>
      </c>
      <c r="T6" s="22">
        <v>6.9</v>
      </c>
      <c r="U6" s="22">
        <v>0.4</v>
      </c>
      <c r="X6" s="26"/>
      <c r="Y6" s="26"/>
    </row>
    <row r="7" spans="1:25" ht="25" x14ac:dyDescent="0.25">
      <c r="A7" s="21">
        <v>9</v>
      </c>
      <c r="B7" s="22" t="s">
        <v>15368</v>
      </c>
      <c r="C7" s="22" t="s">
        <v>15397</v>
      </c>
      <c r="D7" s="23">
        <v>377566</v>
      </c>
      <c r="E7" s="24">
        <v>2000</v>
      </c>
      <c r="F7" s="22" t="s">
        <v>15406</v>
      </c>
      <c r="G7" s="23" t="s">
        <v>15407</v>
      </c>
      <c r="H7" s="25" t="s">
        <v>15373</v>
      </c>
      <c r="I7" s="22" t="s">
        <v>15374</v>
      </c>
      <c r="J7" s="22" t="s">
        <v>15400</v>
      </c>
      <c r="K7" s="26">
        <f t="shared" si="0"/>
        <v>1500</v>
      </c>
      <c r="L7" s="26">
        <v>1500</v>
      </c>
      <c r="O7" s="22" t="s">
        <v>15401</v>
      </c>
      <c r="P7" s="22" t="s">
        <v>15376</v>
      </c>
      <c r="Q7" s="22">
        <v>90017</v>
      </c>
      <c r="R7" s="22" t="s">
        <v>15402</v>
      </c>
      <c r="S7" s="22" t="s">
        <v>15403</v>
      </c>
      <c r="T7" s="22">
        <v>6.9</v>
      </c>
      <c r="U7" s="22">
        <v>0.4</v>
      </c>
      <c r="X7" s="26"/>
      <c r="Y7" s="26"/>
    </row>
    <row r="8" spans="1:25" ht="25" x14ac:dyDescent="0.25">
      <c r="A8" s="21">
        <v>10</v>
      </c>
      <c r="B8" s="22" t="s">
        <v>15368</v>
      </c>
      <c r="C8" s="22" t="s">
        <v>15408</v>
      </c>
      <c r="D8" s="23">
        <v>363450</v>
      </c>
      <c r="E8" s="24">
        <v>1999</v>
      </c>
      <c r="F8" s="22" t="s">
        <v>15409</v>
      </c>
      <c r="G8" s="23" t="s">
        <v>15410</v>
      </c>
      <c r="H8" s="25" t="s">
        <v>15373</v>
      </c>
      <c r="I8" s="22" t="s">
        <v>15411</v>
      </c>
      <c r="J8" s="22" t="s">
        <v>15412</v>
      </c>
      <c r="K8" s="26">
        <f t="shared" si="0"/>
        <v>553.33333333333326</v>
      </c>
      <c r="N8" s="26">
        <v>830</v>
      </c>
      <c r="O8" s="22" t="s">
        <v>15413</v>
      </c>
      <c r="P8" s="22" t="s">
        <v>15414</v>
      </c>
      <c r="Q8" s="22">
        <v>91209</v>
      </c>
      <c r="R8" s="22" t="s">
        <v>15415</v>
      </c>
      <c r="S8" s="22" t="s">
        <v>15416</v>
      </c>
      <c r="T8" s="22">
        <v>8.17</v>
      </c>
      <c r="U8" s="22">
        <v>0.38</v>
      </c>
      <c r="X8" s="26"/>
      <c r="Y8" s="26"/>
    </row>
    <row r="9" spans="1:25" ht="25" x14ac:dyDescent="0.25">
      <c r="A9" s="21">
        <v>12</v>
      </c>
      <c r="B9" s="22" t="s">
        <v>15368</v>
      </c>
      <c r="C9" s="22" t="s">
        <v>15417</v>
      </c>
      <c r="D9" s="23">
        <v>357595</v>
      </c>
      <c r="E9" s="24">
        <v>1999</v>
      </c>
      <c r="F9" s="22" t="s">
        <v>15418</v>
      </c>
      <c r="G9" s="23" t="s">
        <v>15419</v>
      </c>
      <c r="H9" s="25" t="s">
        <v>15373</v>
      </c>
      <c r="I9" s="22" t="s">
        <v>15374</v>
      </c>
      <c r="J9" s="22" t="s">
        <v>15420</v>
      </c>
      <c r="K9" s="26">
        <f t="shared" si="0"/>
        <v>1250</v>
      </c>
      <c r="L9" s="26">
        <v>1250</v>
      </c>
      <c r="O9" s="22" t="s">
        <v>15421</v>
      </c>
      <c r="P9" s="22" t="s">
        <v>15422</v>
      </c>
      <c r="Q9" s="22">
        <v>91505</v>
      </c>
      <c r="R9" s="22" t="s">
        <v>15423</v>
      </c>
      <c r="S9" s="22" t="s">
        <v>15424</v>
      </c>
      <c r="T9" s="22">
        <v>8.17</v>
      </c>
      <c r="U9" s="22">
        <v>0.38</v>
      </c>
      <c r="X9" s="26"/>
      <c r="Y9" s="26"/>
    </row>
    <row r="10" spans="1:25" ht="25" x14ac:dyDescent="0.25">
      <c r="A10" s="21">
        <v>13</v>
      </c>
      <c r="B10" s="22" t="s">
        <v>15368</v>
      </c>
      <c r="C10" s="22" t="s">
        <v>15425</v>
      </c>
      <c r="D10" s="23">
        <v>286105</v>
      </c>
      <c r="E10" s="24">
        <v>1993</v>
      </c>
      <c r="F10" s="22" t="s">
        <v>15426</v>
      </c>
      <c r="G10" s="23" t="s">
        <v>15427</v>
      </c>
      <c r="H10" s="25" t="s">
        <v>15373</v>
      </c>
      <c r="I10" s="22" t="s">
        <v>15374</v>
      </c>
      <c r="J10" s="22">
        <v>3412</v>
      </c>
      <c r="K10" s="26">
        <f t="shared" si="0"/>
        <v>372</v>
      </c>
      <c r="N10" s="26">
        <v>558</v>
      </c>
      <c r="O10" s="22" t="s">
        <v>15428</v>
      </c>
      <c r="P10" s="22" t="s">
        <v>15414</v>
      </c>
      <c r="Q10" s="22">
        <v>91203</v>
      </c>
      <c r="R10" s="22" t="s">
        <v>15429</v>
      </c>
      <c r="S10" s="22" t="s">
        <v>15430</v>
      </c>
      <c r="T10" s="22">
        <v>8.17</v>
      </c>
      <c r="U10" s="22">
        <v>0.38</v>
      </c>
      <c r="X10" s="26"/>
      <c r="Y10" s="26"/>
    </row>
    <row r="11" spans="1:25" ht="37.5" x14ac:dyDescent="0.25">
      <c r="A11" s="21">
        <v>14</v>
      </c>
      <c r="B11" s="22" t="s">
        <v>15368</v>
      </c>
      <c r="C11" s="22" t="s">
        <v>15431</v>
      </c>
      <c r="D11" s="23">
        <v>260878</v>
      </c>
      <c r="E11" s="24">
        <v>1991</v>
      </c>
      <c r="F11" s="22" t="s">
        <v>15432</v>
      </c>
      <c r="G11" s="23" t="s">
        <v>15433</v>
      </c>
      <c r="H11" s="25" t="s">
        <v>15373</v>
      </c>
      <c r="I11" s="22" t="s">
        <v>15374</v>
      </c>
      <c r="J11" s="22">
        <v>3508</v>
      </c>
      <c r="K11" s="26">
        <f t="shared" si="0"/>
        <v>732</v>
      </c>
      <c r="N11" s="26">
        <v>1098</v>
      </c>
      <c r="O11" s="22" t="s">
        <v>15434</v>
      </c>
      <c r="P11" s="22" t="s">
        <v>15435</v>
      </c>
      <c r="Q11" s="22">
        <v>92626</v>
      </c>
      <c r="R11" s="22" t="s">
        <v>15436</v>
      </c>
      <c r="S11" s="22" t="s">
        <v>15437</v>
      </c>
      <c r="T11" s="22">
        <v>8.17</v>
      </c>
      <c r="U11" s="22">
        <v>0.38</v>
      </c>
      <c r="X11" s="26"/>
      <c r="Y11" s="26"/>
    </row>
    <row r="12" spans="1:25" ht="25" x14ac:dyDescent="0.25">
      <c r="A12" s="21">
        <v>15</v>
      </c>
      <c r="B12" s="22" t="s">
        <v>15368</v>
      </c>
      <c r="C12" s="22" t="s">
        <v>15438</v>
      </c>
      <c r="D12" s="23">
        <v>368199</v>
      </c>
      <c r="E12" s="24">
        <v>2000</v>
      </c>
      <c r="F12" s="22" t="s">
        <v>15439</v>
      </c>
      <c r="G12" s="23" t="s">
        <v>15440</v>
      </c>
      <c r="H12" s="25" t="s">
        <v>15373</v>
      </c>
      <c r="I12" s="22" t="s">
        <v>15374</v>
      </c>
      <c r="J12" s="22" t="s">
        <v>15441</v>
      </c>
      <c r="K12" s="26">
        <f t="shared" si="0"/>
        <v>503.33333333333331</v>
      </c>
      <c r="N12" s="26">
        <v>755</v>
      </c>
      <c r="O12" s="22" t="s">
        <v>15442</v>
      </c>
      <c r="P12" s="22" t="s">
        <v>15376</v>
      </c>
      <c r="Q12" s="22">
        <v>90017</v>
      </c>
      <c r="R12" s="22" t="s">
        <v>15443</v>
      </c>
      <c r="S12" s="22" t="s">
        <v>15444</v>
      </c>
      <c r="T12" s="22">
        <v>6.9</v>
      </c>
      <c r="U12" s="22">
        <v>0.4</v>
      </c>
      <c r="X12" s="26"/>
      <c r="Y12" s="26"/>
    </row>
    <row r="13" spans="1:25" ht="25" x14ac:dyDescent="0.25">
      <c r="A13" s="21">
        <v>16</v>
      </c>
      <c r="B13" s="22" t="s">
        <v>15368</v>
      </c>
      <c r="C13" s="22" t="s">
        <v>15438</v>
      </c>
      <c r="D13" s="23">
        <v>368200</v>
      </c>
      <c r="E13" s="24">
        <v>2000</v>
      </c>
      <c r="F13" s="22" t="s">
        <v>15445</v>
      </c>
      <c r="G13" s="23" t="s">
        <v>15446</v>
      </c>
      <c r="H13" s="25" t="s">
        <v>15373</v>
      </c>
      <c r="I13" s="22" t="s">
        <v>15411</v>
      </c>
      <c r="J13" s="22" t="s">
        <v>15447</v>
      </c>
      <c r="K13" s="26">
        <f t="shared" si="0"/>
        <v>466.66666666666663</v>
      </c>
      <c r="N13" s="26">
        <v>700</v>
      </c>
      <c r="O13" s="22" t="s">
        <v>15442</v>
      </c>
      <c r="P13" s="22" t="s">
        <v>15376</v>
      </c>
      <c r="Q13" s="22">
        <v>90017</v>
      </c>
      <c r="R13" s="22" t="s">
        <v>15443</v>
      </c>
      <c r="S13" s="22" t="s">
        <v>15444</v>
      </c>
      <c r="T13" s="22">
        <v>6.9</v>
      </c>
      <c r="U13" s="22">
        <v>0.4</v>
      </c>
      <c r="X13" s="26"/>
      <c r="Y13" s="26"/>
    </row>
    <row r="14" spans="1:25" ht="25" x14ac:dyDescent="0.25">
      <c r="A14" s="21">
        <v>17</v>
      </c>
      <c r="B14" s="22" t="s">
        <v>15368</v>
      </c>
      <c r="C14" s="22" t="s">
        <v>15448</v>
      </c>
      <c r="D14" s="23">
        <v>261846</v>
      </c>
      <c r="E14" s="24">
        <v>1992</v>
      </c>
      <c r="F14" s="22" t="s">
        <v>15449</v>
      </c>
      <c r="G14" s="23" t="s">
        <v>15450</v>
      </c>
      <c r="H14" s="25" t="s">
        <v>15373</v>
      </c>
      <c r="I14" s="22" t="s">
        <v>15411</v>
      </c>
      <c r="J14" s="22" t="s">
        <v>15451</v>
      </c>
      <c r="K14" s="26">
        <f t="shared" si="0"/>
        <v>553.33333333333326</v>
      </c>
      <c r="N14" s="26">
        <v>830</v>
      </c>
      <c r="O14" s="22" t="s">
        <v>16777</v>
      </c>
      <c r="P14" s="22" t="s">
        <v>15376</v>
      </c>
      <c r="Q14" s="22" t="s">
        <v>16778</v>
      </c>
      <c r="R14" s="22" t="s">
        <v>16779</v>
      </c>
      <c r="S14" s="22" t="s">
        <v>16780</v>
      </c>
      <c r="T14" s="22">
        <v>8.17</v>
      </c>
      <c r="U14" s="22">
        <v>0.38</v>
      </c>
      <c r="X14" s="26"/>
      <c r="Y14" s="26"/>
    </row>
    <row r="15" spans="1:25" ht="37.5" x14ac:dyDescent="0.25">
      <c r="A15" s="21">
        <v>18</v>
      </c>
      <c r="B15" s="22" t="s">
        <v>15368</v>
      </c>
      <c r="C15" s="22" t="s">
        <v>16781</v>
      </c>
      <c r="D15" s="23">
        <v>366410</v>
      </c>
      <c r="E15" s="24">
        <v>2000</v>
      </c>
      <c r="F15" s="22" t="s">
        <v>16782</v>
      </c>
      <c r="G15" s="23" t="s">
        <v>16783</v>
      </c>
      <c r="H15" s="25" t="s">
        <v>15373</v>
      </c>
      <c r="I15" s="22" t="s">
        <v>15382</v>
      </c>
      <c r="J15" s="22" t="s">
        <v>16784</v>
      </c>
      <c r="K15" s="26">
        <f t="shared" si="0"/>
        <v>503.33333333333331</v>
      </c>
      <c r="N15" s="26">
        <v>755</v>
      </c>
      <c r="O15" s="22" t="s">
        <v>16785</v>
      </c>
      <c r="P15" s="22" t="s">
        <v>16786</v>
      </c>
      <c r="Q15" s="22">
        <v>92805</v>
      </c>
      <c r="R15" s="22" t="s">
        <v>16787</v>
      </c>
      <c r="S15" s="22" t="s">
        <v>16788</v>
      </c>
      <c r="T15" s="22">
        <v>6.9</v>
      </c>
      <c r="U15" s="22">
        <v>0.4</v>
      </c>
      <c r="X15" s="26"/>
      <c r="Y15" s="26"/>
    </row>
    <row r="16" spans="1:25" ht="25" x14ac:dyDescent="0.25">
      <c r="A16" s="21">
        <v>19</v>
      </c>
      <c r="B16" s="22" t="s">
        <v>15368</v>
      </c>
      <c r="C16" s="22" t="s">
        <v>16789</v>
      </c>
      <c r="D16" s="23">
        <v>374313</v>
      </c>
      <c r="E16" s="24">
        <v>2000</v>
      </c>
      <c r="F16" s="22" t="s">
        <v>16790</v>
      </c>
      <c r="G16" s="23" t="s">
        <v>16791</v>
      </c>
      <c r="H16" s="25" t="s">
        <v>15373</v>
      </c>
      <c r="I16" s="22" t="s">
        <v>15382</v>
      </c>
      <c r="J16" s="22" t="s">
        <v>16792</v>
      </c>
      <c r="K16" s="26">
        <f t="shared" si="0"/>
        <v>356.66666666666663</v>
      </c>
      <c r="N16" s="26">
        <v>535</v>
      </c>
      <c r="O16" s="22" t="s">
        <v>16793</v>
      </c>
      <c r="P16" s="22" t="s">
        <v>16794</v>
      </c>
      <c r="Q16" s="22">
        <v>92501</v>
      </c>
      <c r="R16" s="22" t="s">
        <v>16787</v>
      </c>
      <c r="S16" s="22" t="s">
        <v>16788</v>
      </c>
      <c r="T16" s="22">
        <v>6.9</v>
      </c>
      <c r="U16" s="22">
        <v>0.4</v>
      </c>
      <c r="X16" s="26"/>
      <c r="Y16" s="26"/>
    </row>
    <row r="17" spans="1:25" ht="25" x14ac:dyDescent="0.25">
      <c r="A17" s="21">
        <v>20</v>
      </c>
      <c r="B17" s="22" t="s">
        <v>15368</v>
      </c>
      <c r="C17" s="22" t="s">
        <v>16789</v>
      </c>
      <c r="D17" s="23">
        <v>374315</v>
      </c>
      <c r="E17" s="24">
        <v>2000</v>
      </c>
      <c r="F17" s="22" t="s">
        <v>16795</v>
      </c>
      <c r="G17" s="23" t="s">
        <v>16796</v>
      </c>
      <c r="H17" s="25" t="s">
        <v>15373</v>
      </c>
      <c r="I17" s="22" t="s">
        <v>15382</v>
      </c>
      <c r="J17" s="22" t="s">
        <v>16792</v>
      </c>
      <c r="K17" s="26">
        <f t="shared" si="0"/>
        <v>356.66666666666663</v>
      </c>
      <c r="N17" s="26">
        <v>535</v>
      </c>
      <c r="O17" s="22" t="s">
        <v>16793</v>
      </c>
      <c r="P17" s="22" t="s">
        <v>16794</v>
      </c>
      <c r="Q17" s="22">
        <v>92501</v>
      </c>
      <c r="R17" s="22" t="s">
        <v>16787</v>
      </c>
      <c r="S17" s="22" t="s">
        <v>16788</v>
      </c>
      <c r="T17" s="22">
        <v>6.9</v>
      </c>
      <c r="U17" s="22">
        <v>0.4</v>
      </c>
      <c r="X17" s="26"/>
      <c r="Y17" s="26"/>
    </row>
    <row r="18" spans="1:25" ht="25" x14ac:dyDescent="0.25">
      <c r="A18" s="21">
        <v>21</v>
      </c>
      <c r="B18" s="22" t="s">
        <v>15368</v>
      </c>
      <c r="C18" s="22" t="s">
        <v>16789</v>
      </c>
      <c r="D18" s="23">
        <v>374317</v>
      </c>
      <c r="E18" s="24">
        <v>2000</v>
      </c>
      <c r="F18" s="22" t="s">
        <v>16797</v>
      </c>
      <c r="G18" s="23" t="s">
        <v>16798</v>
      </c>
      <c r="H18" s="25" t="s">
        <v>15373</v>
      </c>
      <c r="I18" s="22" t="s">
        <v>15382</v>
      </c>
      <c r="J18" s="22" t="s">
        <v>16799</v>
      </c>
      <c r="K18" s="26">
        <f t="shared" si="0"/>
        <v>510</v>
      </c>
      <c r="N18" s="26">
        <v>765</v>
      </c>
      <c r="O18" s="22" t="s">
        <v>16793</v>
      </c>
      <c r="P18" s="22" t="s">
        <v>16794</v>
      </c>
      <c r="Q18" s="22">
        <v>92501</v>
      </c>
      <c r="R18" s="22" t="s">
        <v>16787</v>
      </c>
      <c r="S18" s="22" t="s">
        <v>16788</v>
      </c>
      <c r="T18" s="22">
        <v>6.9</v>
      </c>
      <c r="U18" s="22">
        <v>0.4</v>
      </c>
      <c r="X18" s="26"/>
      <c r="Y18" s="26"/>
    </row>
    <row r="19" spans="1:25" ht="25" x14ac:dyDescent="0.25">
      <c r="A19" s="21">
        <v>22</v>
      </c>
      <c r="B19" s="22" t="s">
        <v>15368</v>
      </c>
      <c r="C19" s="22" t="s">
        <v>16800</v>
      </c>
      <c r="D19" s="23">
        <v>379682</v>
      </c>
      <c r="E19" s="24">
        <v>2001</v>
      </c>
      <c r="F19" s="22" t="s">
        <v>16801</v>
      </c>
      <c r="G19" s="23" t="s">
        <v>16802</v>
      </c>
      <c r="H19" s="25" t="s">
        <v>15373</v>
      </c>
      <c r="I19" s="22" t="s">
        <v>15411</v>
      </c>
      <c r="J19" s="22" t="s">
        <v>16803</v>
      </c>
      <c r="K19" s="26">
        <f t="shared" si="0"/>
        <v>1466.6666666666665</v>
      </c>
      <c r="N19" s="26">
        <v>2200</v>
      </c>
      <c r="O19" s="22" t="s">
        <v>16804</v>
      </c>
      <c r="P19" s="22" t="s">
        <v>16805</v>
      </c>
      <c r="Q19" s="22">
        <v>90221</v>
      </c>
      <c r="R19" s="22" t="s">
        <v>16806</v>
      </c>
      <c r="S19" s="22" t="s">
        <v>16807</v>
      </c>
      <c r="T19" s="22">
        <v>6.9</v>
      </c>
      <c r="U19" s="22">
        <v>0.4</v>
      </c>
      <c r="X19" s="26"/>
      <c r="Y19" s="26"/>
    </row>
    <row r="20" spans="1:25" ht="37.5" x14ac:dyDescent="0.25">
      <c r="A20" s="21">
        <v>32</v>
      </c>
      <c r="B20" s="22" t="s">
        <v>15368</v>
      </c>
      <c r="C20" s="22" t="s">
        <v>16808</v>
      </c>
      <c r="D20" s="23">
        <v>340677</v>
      </c>
      <c r="E20" s="24">
        <v>1998</v>
      </c>
      <c r="F20" s="22" t="s">
        <v>16809</v>
      </c>
      <c r="G20" s="23" t="s">
        <v>16810</v>
      </c>
      <c r="H20" s="25" t="s">
        <v>15373</v>
      </c>
      <c r="I20" s="22" t="s">
        <v>15382</v>
      </c>
      <c r="J20" s="22" t="s">
        <v>16811</v>
      </c>
      <c r="K20" s="26">
        <f t="shared" si="0"/>
        <v>356.66666666666663</v>
      </c>
      <c r="N20" s="26">
        <v>535</v>
      </c>
      <c r="O20" s="22" t="s">
        <v>16812</v>
      </c>
      <c r="P20" s="22" t="s">
        <v>16813</v>
      </c>
      <c r="Q20" s="22">
        <v>90210</v>
      </c>
      <c r="R20" s="22" t="s">
        <v>16814</v>
      </c>
      <c r="S20" s="22" t="s">
        <v>16815</v>
      </c>
      <c r="T20" s="22">
        <v>6.9</v>
      </c>
      <c r="U20" s="22">
        <v>0.4</v>
      </c>
      <c r="X20" s="26"/>
      <c r="Y20" s="26"/>
    </row>
    <row r="21" spans="1:25" ht="25" x14ac:dyDescent="0.25">
      <c r="A21" s="21">
        <v>33</v>
      </c>
      <c r="B21" s="22" t="s">
        <v>15368</v>
      </c>
      <c r="C21" s="22" t="s">
        <v>16816</v>
      </c>
      <c r="D21" s="23">
        <v>345974</v>
      </c>
      <c r="E21" s="24">
        <v>1998</v>
      </c>
      <c r="F21" s="22" t="s">
        <v>16817</v>
      </c>
      <c r="G21" s="23" t="s">
        <v>16810</v>
      </c>
      <c r="H21" s="25" t="s">
        <v>15373</v>
      </c>
      <c r="I21" s="22" t="s">
        <v>15382</v>
      </c>
      <c r="J21" s="22" t="s">
        <v>16811</v>
      </c>
      <c r="K21" s="26">
        <f t="shared" si="0"/>
        <v>356.66666666666663</v>
      </c>
      <c r="N21" s="26">
        <v>535</v>
      </c>
      <c r="O21" s="22" t="s">
        <v>16818</v>
      </c>
      <c r="P21" s="22" t="s">
        <v>16819</v>
      </c>
      <c r="Q21" s="22">
        <v>91125</v>
      </c>
      <c r="R21" s="22" t="s">
        <v>16820</v>
      </c>
      <c r="S21" s="22" t="s">
        <v>16821</v>
      </c>
      <c r="T21" s="22">
        <v>6.9</v>
      </c>
      <c r="U21" s="22">
        <v>0.4</v>
      </c>
      <c r="X21" s="26"/>
      <c r="Y21" s="26"/>
    </row>
    <row r="22" spans="1:25" ht="25" x14ac:dyDescent="0.25">
      <c r="A22" s="21">
        <v>34</v>
      </c>
      <c r="B22" s="22" t="s">
        <v>15368</v>
      </c>
      <c r="C22" s="22" t="s">
        <v>16822</v>
      </c>
      <c r="D22" s="23">
        <v>290657</v>
      </c>
      <c r="E22" s="24">
        <v>1994</v>
      </c>
      <c r="F22" s="22" t="s">
        <v>16823</v>
      </c>
      <c r="G22" s="23" t="s">
        <v>16824</v>
      </c>
      <c r="H22" s="25" t="s">
        <v>15373</v>
      </c>
      <c r="I22" s="22" t="s">
        <v>15374</v>
      </c>
      <c r="J22" s="22" t="s">
        <v>16825</v>
      </c>
      <c r="K22" s="26">
        <f t="shared" si="0"/>
        <v>600</v>
      </c>
      <c r="L22" s="26">
        <v>600</v>
      </c>
      <c r="O22" s="22" t="s">
        <v>16826</v>
      </c>
      <c r="P22" s="22" t="s">
        <v>16819</v>
      </c>
      <c r="Q22" s="22">
        <v>91101</v>
      </c>
      <c r="R22" s="22" t="s">
        <v>16827</v>
      </c>
      <c r="S22" s="22" t="s">
        <v>16821</v>
      </c>
      <c r="T22" s="22">
        <v>8.17</v>
      </c>
      <c r="U22" s="22">
        <v>0.38</v>
      </c>
      <c r="X22" s="26"/>
      <c r="Y22" s="26"/>
    </row>
    <row r="23" spans="1:25" ht="25" x14ac:dyDescent="0.25">
      <c r="A23" s="21">
        <v>35</v>
      </c>
      <c r="B23" s="22" t="s">
        <v>15368</v>
      </c>
      <c r="C23" s="22" t="s">
        <v>16828</v>
      </c>
      <c r="D23" s="23">
        <v>168559</v>
      </c>
      <c r="E23" s="24">
        <v>1988</v>
      </c>
      <c r="F23" s="22" t="s">
        <v>16829</v>
      </c>
      <c r="G23" s="23" t="s">
        <v>16830</v>
      </c>
      <c r="H23" s="25" t="s">
        <v>15373</v>
      </c>
      <c r="I23" s="22" t="s">
        <v>15382</v>
      </c>
      <c r="J23" s="22" t="s">
        <v>16831</v>
      </c>
      <c r="K23" s="26">
        <f t="shared" si="0"/>
        <v>413.33333333333331</v>
      </c>
      <c r="N23" s="26">
        <v>620</v>
      </c>
      <c r="O23" s="22" t="s">
        <v>16832</v>
      </c>
      <c r="P23" s="22" t="s">
        <v>16833</v>
      </c>
      <c r="Q23" s="22" t="s">
        <v>16834</v>
      </c>
      <c r="R23" s="22" t="s">
        <v>16835</v>
      </c>
      <c r="S23" s="22" t="s">
        <v>16836</v>
      </c>
      <c r="T23" s="22">
        <v>8.17</v>
      </c>
      <c r="U23" s="22">
        <v>0.38</v>
      </c>
      <c r="X23" s="26"/>
      <c r="Y23" s="26"/>
    </row>
    <row r="24" spans="1:25" ht="25" x14ac:dyDescent="0.25">
      <c r="A24" s="21">
        <v>36</v>
      </c>
      <c r="B24" s="22" t="s">
        <v>15368</v>
      </c>
      <c r="C24" s="22" t="s">
        <v>16828</v>
      </c>
      <c r="D24" s="23">
        <v>168560</v>
      </c>
      <c r="E24" s="24">
        <v>1988</v>
      </c>
      <c r="F24" s="22" t="s">
        <v>16837</v>
      </c>
      <c r="G24" s="23" t="s">
        <v>16830</v>
      </c>
      <c r="H24" s="25" t="s">
        <v>15373</v>
      </c>
      <c r="I24" s="22" t="s">
        <v>15382</v>
      </c>
      <c r="J24" s="22" t="s">
        <v>16831</v>
      </c>
      <c r="K24" s="26">
        <f t="shared" si="0"/>
        <v>413.33333333333331</v>
      </c>
      <c r="N24" s="26">
        <v>620</v>
      </c>
      <c r="O24" s="22" t="s">
        <v>16832</v>
      </c>
      <c r="P24" s="22" t="s">
        <v>16833</v>
      </c>
      <c r="Q24" s="22" t="s">
        <v>16834</v>
      </c>
      <c r="R24" s="22" t="s">
        <v>16835</v>
      </c>
      <c r="S24" s="22" t="s">
        <v>16836</v>
      </c>
      <c r="T24" s="22">
        <v>8.17</v>
      </c>
      <c r="U24" s="22">
        <v>0.38</v>
      </c>
      <c r="X24" s="26"/>
      <c r="Y24" s="26"/>
    </row>
    <row r="25" spans="1:25" ht="25" x14ac:dyDescent="0.25">
      <c r="A25" s="21">
        <v>37</v>
      </c>
      <c r="B25" s="22" t="s">
        <v>15368</v>
      </c>
      <c r="C25" s="22" t="s">
        <v>16828</v>
      </c>
      <c r="D25" s="23">
        <v>168561</v>
      </c>
      <c r="E25" s="24">
        <v>1988</v>
      </c>
      <c r="F25" s="22" t="s">
        <v>16838</v>
      </c>
      <c r="G25" s="23" t="s">
        <v>16830</v>
      </c>
      <c r="H25" s="25" t="s">
        <v>15373</v>
      </c>
      <c r="I25" s="22" t="s">
        <v>15382</v>
      </c>
      <c r="J25" s="22" t="s">
        <v>16831</v>
      </c>
      <c r="K25" s="26">
        <f t="shared" si="0"/>
        <v>413.33333333333331</v>
      </c>
      <c r="N25" s="26">
        <v>620</v>
      </c>
      <c r="O25" s="22" t="s">
        <v>16832</v>
      </c>
      <c r="P25" s="22" t="s">
        <v>16833</v>
      </c>
      <c r="Q25" s="22" t="s">
        <v>16834</v>
      </c>
      <c r="R25" s="22" t="s">
        <v>16835</v>
      </c>
      <c r="S25" s="22" t="s">
        <v>16836</v>
      </c>
      <c r="T25" s="22">
        <v>8.17</v>
      </c>
      <c r="U25" s="22">
        <v>0.38</v>
      </c>
      <c r="X25" s="26"/>
      <c r="Y25" s="26"/>
    </row>
    <row r="26" spans="1:25" ht="25" x14ac:dyDescent="0.25">
      <c r="A26" s="21">
        <v>40</v>
      </c>
      <c r="B26" s="22" t="s">
        <v>15368</v>
      </c>
      <c r="C26" s="22" t="s">
        <v>16828</v>
      </c>
      <c r="D26" s="23">
        <v>299501</v>
      </c>
      <c r="E26" s="24">
        <v>1995</v>
      </c>
      <c r="F26" s="22" t="s">
        <v>16839</v>
      </c>
      <c r="G26" s="23" t="s">
        <v>16840</v>
      </c>
      <c r="H26" s="25" t="s">
        <v>15373</v>
      </c>
      <c r="I26" s="22" t="s">
        <v>15382</v>
      </c>
      <c r="J26" s="22" t="s">
        <v>16841</v>
      </c>
      <c r="K26" s="26">
        <f t="shared" si="0"/>
        <v>413.33333333333331</v>
      </c>
      <c r="N26" s="26">
        <v>620</v>
      </c>
      <c r="O26" s="22" t="s">
        <v>16832</v>
      </c>
      <c r="P26" s="22" t="s">
        <v>16833</v>
      </c>
      <c r="Q26" s="22" t="s">
        <v>16834</v>
      </c>
      <c r="R26" s="22" t="s">
        <v>16835</v>
      </c>
      <c r="S26" s="22" t="s">
        <v>16836</v>
      </c>
      <c r="T26" s="22">
        <v>8.17</v>
      </c>
      <c r="U26" s="22">
        <v>0.38</v>
      </c>
      <c r="X26" s="26"/>
      <c r="Y26" s="26"/>
    </row>
    <row r="27" spans="1:25" ht="25" x14ac:dyDescent="0.25">
      <c r="A27" s="21">
        <v>49</v>
      </c>
      <c r="B27" s="22" t="s">
        <v>15368</v>
      </c>
      <c r="C27" s="22" t="s">
        <v>16842</v>
      </c>
      <c r="D27" s="23">
        <v>363379</v>
      </c>
      <c r="E27" s="24">
        <v>1999</v>
      </c>
      <c r="F27" s="22" t="s">
        <v>16843</v>
      </c>
      <c r="G27" s="23" t="s">
        <v>16844</v>
      </c>
      <c r="H27" s="25" t="s">
        <v>15373</v>
      </c>
      <c r="I27" s="22" t="s">
        <v>15374</v>
      </c>
      <c r="J27" s="22">
        <v>3412</v>
      </c>
      <c r="K27" s="26">
        <f t="shared" si="0"/>
        <v>482.66666666666663</v>
      </c>
      <c r="N27" s="26">
        <v>724</v>
      </c>
      <c r="O27" s="22" t="s">
        <v>16845</v>
      </c>
      <c r="P27" s="22" t="s">
        <v>15435</v>
      </c>
      <c r="Q27" s="22">
        <v>92626</v>
      </c>
      <c r="R27" s="22" t="s">
        <v>16846</v>
      </c>
      <c r="S27" s="22" t="s">
        <v>16847</v>
      </c>
      <c r="T27" s="22">
        <v>6.9</v>
      </c>
      <c r="U27" s="22">
        <v>0.4</v>
      </c>
      <c r="X27" s="26"/>
      <c r="Y27" s="26"/>
    </row>
    <row r="28" spans="1:25" ht="37.5" x14ac:dyDescent="0.25">
      <c r="A28" s="21">
        <v>50</v>
      </c>
      <c r="B28" s="22" t="s">
        <v>15368</v>
      </c>
      <c r="C28" s="22" t="s">
        <v>16848</v>
      </c>
      <c r="D28" s="23">
        <v>378015</v>
      </c>
      <c r="E28" s="24">
        <v>2000</v>
      </c>
      <c r="F28" s="22" t="s">
        <v>16849</v>
      </c>
      <c r="G28" s="23" t="s">
        <v>16850</v>
      </c>
      <c r="H28" s="25" t="s">
        <v>15373</v>
      </c>
      <c r="I28" s="22" t="s">
        <v>15374</v>
      </c>
      <c r="J28" s="22" t="s">
        <v>16851</v>
      </c>
      <c r="K28" s="26">
        <f t="shared" si="0"/>
        <v>500</v>
      </c>
      <c r="N28" s="26">
        <v>750</v>
      </c>
      <c r="O28" s="22" t="s">
        <v>16852</v>
      </c>
      <c r="P28" s="22" t="s">
        <v>16853</v>
      </c>
      <c r="Q28" s="22">
        <v>92718</v>
      </c>
      <c r="R28" s="22" t="s">
        <v>16854</v>
      </c>
      <c r="S28" s="22" t="s">
        <v>16855</v>
      </c>
      <c r="T28" s="22">
        <v>6.9</v>
      </c>
      <c r="U28" s="22">
        <v>0.4</v>
      </c>
      <c r="X28" s="26"/>
      <c r="Y28" s="26"/>
    </row>
    <row r="29" spans="1:25" ht="37.5" x14ac:dyDescent="0.25">
      <c r="A29" s="21">
        <v>54</v>
      </c>
      <c r="B29" s="22" t="s">
        <v>15368</v>
      </c>
      <c r="C29" s="22" t="s">
        <v>16857</v>
      </c>
      <c r="D29" s="23" t="s">
        <v>16858</v>
      </c>
      <c r="E29" s="24">
        <v>1994</v>
      </c>
      <c r="F29" s="22" t="s">
        <v>16859</v>
      </c>
      <c r="G29" s="23" t="s">
        <v>16860</v>
      </c>
      <c r="H29" s="25" t="s">
        <v>15373</v>
      </c>
      <c r="I29" s="22" t="s">
        <v>15382</v>
      </c>
      <c r="J29" s="22" t="s">
        <v>16861</v>
      </c>
      <c r="K29" s="26">
        <f t="shared" si="0"/>
        <v>400</v>
      </c>
      <c r="N29" s="26">
        <v>600</v>
      </c>
      <c r="O29" s="22" t="s">
        <v>16862</v>
      </c>
      <c r="P29" s="22" t="s">
        <v>16863</v>
      </c>
      <c r="Q29" s="22">
        <v>92782</v>
      </c>
      <c r="R29" s="22" t="s">
        <v>16864</v>
      </c>
      <c r="S29" s="22" t="s">
        <v>16865</v>
      </c>
      <c r="T29" s="22">
        <v>8.17</v>
      </c>
      <c r="U29" s="22">
        <v>0.38</v>
      </c>
      <c r="X29" s="26"/>
      <c r="Y29" s="26"/>
    </row>
    <row r="30" spans="1:25" ht="25" x14ac:dyDescent="0.25">
      <c r="A30" s="21">
        <v>55</v>
      </c>
      <c r="B30" s="22" t="s">
        <v>15368</v>
      </c>
      <c r="C30" s="22" t="s">
        <v>16866</v>
      </c>
      <c r="D30" s="23">
        <v>371907</v>
      </c>
      <c r="E30" s="24">
        <v>2000</v>
      </c>
      <c r="F30" s="22" t="s">
        <v>16867</v>
      </c>
      <c r="G30" s="23" t="s">
        <v>16868</v>
      </c>
      <c r="H30" s="25" t="s">
        <v>15373</v>
      </c>
      <c r="I30" s="22" t="s">
        <v>15374</v>
      </c>
      <c r="J30" s="22" t="s">
        <v>16869</v>
      </c>
      <c r="K30" s="26">
        <f t="shared" si="0"/>
        <v>600</v>
      </c>
      <c r="L30" s="26">
        <v>600</v>
      </c>
      <c r="O30" s="22" t="s">
        <v>16870</v>
      </c>
      <c r="P30" s="22" t="s">
        <v>16871</v>
      </c>
      <c r="Q30" s="22">
        <v>91301</v>
      </c>
      <c r="R30" s="22" t="s">
        <v>16872</v>
      </c>
      <c r="S30" s="22" t="s">
        <v>16873</v>
      </c>
      <c r="T30" s="22">
        <v>6.9</v>
      </c>
      <c r="U30" s="22">
        <v>0.4</v>
      </c>
      <c r="X30" s="26"/>
      <c r="Y30" s="26"/>
    </row>
    <row r="31" spans="1:25" ht="25" x14ac:dyDescent="0.25">
      <c r="A31" s="21">
        <v>56</v>
      </c>
      <c r="B31" s="22" t="s">
        <v>15368</v>
      </c>
      <c r="C31" s="22" t="s">
        <v>16874</v>
      </c>
      <c r="D31" s="23">
        <v>378534</v>
      </c>
      <c r="E31" s="24">
        <v>2000</v>
      </c>
      <c r="F31" s="22" t="s">
        <v>16875</v>
      </c>
      <c r="G31" s="23" t="s">
        <v>16876</v>
      </c>
      <c r="H31" s="25" t="s">
        <v>15373</v>
      </c>
      <c r="I31" s="22" t="s">
        <v>15382</v>
      </c>
      <c r="J31" s="22" t="s">
        <v>15391</v>
      </c>
      <c r="K31" s="26">
        <f t="shared" si="0"/>
        <v>1480</v>
      </c>
      <c r="N31" s="26">
        <v>2220</v>
      </c>
      <c r="O31" s="22" t="s">
        <v>16877</v>
      </c>
      <c r="P31" s="22" t="s">
        <v>16853</v>
      </c>
      <c r="Q31" s="22">
        <v>92718</v>
      </c>
      <c r="R31" s="22" t="s">
        <v>16878</v>
      </c>
      <c r="S31" s="22" t="s">
        <v>16879</v>
      </c>
      <c r="T31" s="22">
        <v>6.9</v>
      </c>
      <c r="U31" s="22">
        <v>0.4</v>
      </c>
      <c r="X31" s="26"/>
      <c r="Y31" s="26"/>
    </row>
    <row r="32" spans="1:25" ht="25" x14ac:dyDescent="0.25">
      <c r="A32" s="21">
        <v>57</v>
      </c>
      <c r="B32" s="22" t="s">
        <v>15368</v>
      </c>
      <c r="C32" s="22" t="s">
        <v>16880</v>
      </c>
      <c r="D32" s="23" t="s">
        <v>16881</v>
      </c>
      <c r="E32" s="24">
        <v>1981</v>
      </c>
      <c r="F32" s="22" t="s">
        <v>16882</v>
      </c>
      <c r="G32" s="23" t="s">
        <v>16883</v>
      </c>
      <c r="H32" s="25" t="s">
        <v>15373</v>
      </c>
      <c r="I32" s="22" t="s">
        <v>15411</v>
      </c>
      <c r="J32" s="22" t="s">
        <v>16884</v>
      </c>
      <c r="K32" s="26">
        <f t="shared" si="0"/>
        <v>350</v>
      </c>
      <c r="L32" s="26">
        <v>350</v>
      </c>
      <c r="O32" s="22" t="s">
        <v>16885</v>
      </c>
      <c r="P32" s="22" t="s">
        <v>16886</v>
      </c>
      <c r="Q32" s="22">
        <v>92653</v>
      </c>
      <c r="R32" s="22" t="s">
        <v>16887</v>
      </c>
      <c r="S32" s="22" t="s">
        <v>16888</v>
      </c>
      <c r="T32" s="22">
        <v>12</v>
      </c>
      <c r="U32" s="22">
        <v>0.53</v>
      </c>
      <c r="X32" s="26"/>
      <c r="Y32" s="26"/>
    </row>
    <row r="33" spans="1:25" ht="25" x14ac:dyDescent="0.25">
      <c r="A33" s="21">
        <v>58</v>
      </c>
      <c r="B33" s="22" t="s">
        <v>15368</v>
      </c>
      <c r="C33" s="22" t="s">
        <v>16889</v>
      </c>
      <c r="D33" s="23">
        <v>376547</v>
      </c>
      <c r="E33" s="24">
        <v>2000</v>
      </c>
      <c r="F33" s="22" t="s">
        <v>16890</v>
      </c>
      <c r="G33" s="23" t="s">
        <v>16891</v>
      </c>
      <c r="H33" s="25" t="s">
        <v>15373</v>
      </c>
      <c r="I33" s="22" t="s">
        <v>15374</v>
      </c>
      <c r="J33" s="22" t="s">
        <v>15400</v>
      </c>
      <c r="K33" s="26">
        <f t="shared" si="0"/>
        <v>1500</v>
      </c>
      <c r="L33" s="26">
        <v>1500</v>
      </c>
      <c r="O33" s="22" t="s">
        <v>16892</v>
      </c>
      <c r="P33" s="22" t="s">
        <v>16893</v>
      </c>
      <c r="Q33" s="22">
        <v>91765</v>
      </c>
      <c r="R33" s="22" t="s">
        <v>16894</v>
      </c>
      <c r="S33" s="22" t="s">
        <v>16895</v>
      </c>
      <c r="T33" s="22">
        <v>6.9</v>
      </c>
      <c r="U33" s="22">
        <v>0.4</v>
      </c>
      <c r="X33" s="26"/>
      <c r="Y33" s="26"/>
    </row>
    <row r="34" spans="1:25" ht="37.5" x14ac:dyDescent="0.25">
      <c r="A34" s="21">
        <v>59</v>
      </c>
      <c r="B34" s="22" t="s">
        <v>15368</v>
      </c>
      <c r="C34" s="22" t="s">
        <v>16896</v>
      </c>
      <c r="D34" s="23">
        <v>325847</v>
      </c>
      <c r="E34" s="24">
        <v>1997</v>
      </c>
      <c r="F34" s="22" t="s">
        <v>16897</v>
      </c>
      <c r="G34" s="23" t="s">
        <v>16898</v>
      </c>
      <c r="H34" s="25" t="s">
        <v>15373</v>
      </c>
      <c r="I34" s="22" t="s">
        <v>15374</v>
      </c>
      <c r="J34" s="22" t="s">
        <v>16899</v>
      </c>
      <c r="K34" s="26">
        <f t="shared" si="0"/>
        <v>499.33333333333331</v>
      </c>
      <c r="N34" s="26">
        <v>749</v>
      </c>
      <c r="O34" s="22" t="s">
        <v>16900</v>
      </c>
      <c r="P34" s="22" t="s">
        <v>16901</v>
      </c>
      <c r="Q34" s="22">
        <v>91761</v>
      </c>
      <c r="R34" s="22" t="s">
        <v>16902</v>
      </c>
      <c r="S34" s="22" t="s">
        <v>16903</v>
      </c>
      <c r="T34" s="22">
        <v>6.9</v>
      </c>
      <c r="U34" s="22">
        <v>0.4</v>
      </c>
      <c r="X34" s="26"/>
      <c r="Y34" s="26"/>
    </row>
    <row r="35" spans="1:25" ht="25" x14ac:dyDescent="0.25">
      <c r="A35" s="21">
        <v>60</v>
      </c>
      <c r="B35" s="22" t="s">
        <v>15368</v>
      </c>
      <c r="C35" s="22" t="s">
        <v>16904</v>
      </c>
      <c r="D35" s="23">
        <v>362791</v>
      </c>
      <c r="E35" s="24">
        <v>1999</v>
      </c>
      <c r="F35" s="22" t="s">
        <v>16905</v>
      </c>
      <c r="G35" s="23" t="s">
        <v>16906</v>
      </c>
      <c r="H35" s="25" t="s">
        <v>15373</v>
      </c>
      <c r="I35" s="22" t="s">
        <v>16907</v>
      </c>
      <c r="J35" s="22" t="s">
        <v>16908</v>
      </c>
      <c r="K35" s="26">
        <f t="shared" si="0"/>
        <v>780</v>
      </c>
      <c r="N35" s="26">
        <v>1170</v>
      </c>
      <c r="O35" s="22" t="s">
        <v>16909</v>
      </c>
      <c r="P35" s="22" t="s">
        <v>15376</v>
      </c>
      <c r="Q35" s="22">
        <v>90017</v>
      </c>
      <c r="R35" s="22" t="s">
        <v>16910</v>
      </c>
      <c r="S35" s="22" t="s">
        <v>16911</v>
      </c>
      <c r="T35" s="22">
        <v>8.17</v>
      </c>
      <c r="U35" s="22">
        <v>0.38</v>
      </c>
      <c r="X35" s="26"/>
      <c r="Y35" s="26"/>
    </row>
    <row r="36" spans="1:25" ht="25" x14ac:dyDescent="0.25">
      <c r="A36" s="21">
        <v>61</v>
      </c>
      <c r="B36" s="22" t="s">
        <v>15368</v>
      </c>
      <c r="C36" s="22" t="s">
        <v>18419</v>
      </c>
      <c r="D36" s="23">
        <v>263600</v>
      </c>
      <c r="E36" s="24">
        <v>1992</v>
      </c>
      <c r="F36" s="22" t="s">
        <v>16912</v>
      </c>
      <c r="G36" s="23" t="s">
        <v>16913</v>
      </c>
      <c r="H36" s="25" t="s">
        <v>15373</v>
      </c>
      <c r="I36" s="22" t="s">
        <v>15374</v>
      </c>
      <c r="J36" s="22" t="s">
        <v>16914</v>
      </c>
      <c r="K36" s="26">
        <f t="shared" si="0"/>
        <v>363.33333333333331</v>
      </c>
      <c r="N36" s="26">
        <v>545</v>
      </c>
      <c r="O36" s="22" t="s">
        <v>16915</v>
      </c>
      <c r="P36" s="22" t="s">
        <v>16853</v>
      </c>
      <c r="Q36" s="22" t="s">
        <v>16916</v>
      </c>
      <c r="R36" s="22" t="s">
        <v>16917</v>
      </c>
      <c r="S36" s="22" t="s">
        <v>16918</v>
      </c>
      <c r="T36" s="22">
        <v>8.17</v>
      </c>
      <c r="U36" s="22">
        <v>0.38</v>
      </c>
      <c r="X36" s="26"/>
      <c r="Y36" s="26"/>
    </row>
    <row r="37" spans="1:25" ht="25" x14ac:dyDescent="0.25">
      <c r="A37" s="21">
        <v>62</v>
      </c>
      <c r="B37" s="22" t="s">
        <v>15368</v>
      </c>
      <c r="C37" s="22" t="s">
        <v>18419</v>
      </c>
      <c r="D37" s="23">
        <v>263601</v>
      </c>
      <c r="E37" s="24">
        <v>1992</v>
      </c>
      <c r="F37" s="22" t="s">
        <v>16919</v>
      </c>
      <c r="G37" s="23" t="s">
        <v>16920</v>
      </c>
      <c r="H37" s="25" t="s">
        <v>15373</v>
      </c>
      <c r="I37" s="22" t="s">
        <v>15411</v>
      </c>
      <c r="J37" s="22" t="s">
        <v>16921</v>
      </c>
      <c r="K37" s="26">
        <f t="shared" si="0"/>
        <v>494</v>
      </c>
      <c r="N37" s="26">
        <v>741</v>
      </c>
      <c r="O37" s="22" t="s">
        <v>16915</v>
      </c>
      <c r="P37" s="22" t="s">
        <v>16853</v>
      </c>
      <c r="Q37" s="22">
        <v>92715</v>
      </c>
      <c r="R37" s="22" t="s">
        <v>16917</v>
      </c>
      <c r="S37" s="22" t="s">
        <v>16918</v>
      </c>
      <c r="T37" s="22">
        <v>8.17</v>
      </c>
      <c r="U37" s="22">
        <v>0.38</v>
      </c>
      <c r="X37" s="26"/>
      <c r="Y37" s="26"/>
    </row>
    <row r="38" spans="1:25" ht="25" x14ac:dyDescent="0.25">
      <c r="A38" s="21">
        <v>63</v>
      </c>
      <c r="B38" s="22" t="s">
        <v>15368</v>
      </c>
      <c r="C38" s="22" t="s">
        <v>16922</v>
      </c>
      <c r="D38" s="23">
        <v>292033</v>
      </c>
      <c r="E38" s="24">
        <v>1994</v>
      </c>
      <c r="F38" s="22" t="s">
        <v>16923</v>
      </c>
      <c r="G38" s="23" t="s">
        <v>16924</v>
      </c>
      <c r="H38" s="25" t="s">
        <v>15373</v>
      </c>
      <c r="I38" s="22" t="s">
        <v>15382</v>
      </c>
      <c r="J38" s="22" t="s">
        <v>16925</v>
      </c>
      <c r="K38" s="26">
        <f t="shared" si="0"/>
        <v>1480</v>
      </c>
      <c r="N38" s="26">
        <v>2220</v>
      </c>
      <c r="O38" s="22" t="s">
        <v>16926</v>
      </c>
      <c r="P38" s="22" t="s">
        <v>15376</v>
      </c>
      <c r="Q38" s="22" t="s">
        <v>16927</v>
      </c>
      <c r="R38" s="22" t="s">
        <v>16928</v>
      </c>
      <c r="S38" s="22" t="s">
        <v>15672</v>
      </c>
      <c r="T38" s="22">
        <v>8.17</v>
      </c>
      <c r="U38" s="22">
        <v>0.38</v>
      </c>
      <c r="X38" s="26"/>
      <c r="Y38" s="26"/>
    </row>
    <row r="39" spans="1:25" ht="25" x14ac:dyDescent="0.25">
      <c r="A39" s="21">
        <v>64</v>
      </c>
      <c r="B39" s="22" t="s">
        <v>15368</v>
      </c>
      <c r="C39" s="22" t="s">
        <v>16922</v>
      </c>
      <c r="D39" s="23">
        <v>292034</v>
      </c>
      <c r="E39" s="24">
        <v>1994</v>
      </c>
      <c r="F39" s="22" t="s">
        <v>15673</v>
      </c>
      <c r="G39" s="23" t="s">
        <v>15674</v>
      </c>
      <c r="H39" s="25" t="s">
        <v>15373</v>
      </c>
      <c r="I39" s="22" t="s">
        <v>15382</v>
      </c>
      <c r="J39" s="22" t="s">
        <v>16925</v>
      </c>
      <c r="K39" s="26">
        <f t="shared" si="0"/>
        <v>1480</v>
      </c>
      <c r="N39" s="26">
        <v>2220</v>
      </c>
      <c r="O39" s="22" t="s">
        <v>16926</v>
      </c>
      <c r="P39" s="22" t="s">
        <v>15376</v>
      </c>
      <c r="Q39" s="22" t="s">
        <v>16927</v>
      </c>
      <c r="R39" s="22" t="s">
        <v>16928</v>
      </c>
      <c r="S39" s="22" t="s">
        <v>15672</v>
      </c>
      <c r="T39" s="22">
        <v>8.17</v>
      </c>
      <c r="U39" s="22">
        <v>0.38</v>
      </c>
      <c r="X39" s="26"/>
      <c r="Y39" s="26"/>
    </row>
    <row r="40" spans="1:25" ht="25" x14ac:dyDescent="0.25">
      <c r="A40" s="21">
        <v>65</v>
      </c>
      <c r="B40" s="22" t="s">
        <v>15368</v>
      </c>
      <c r="C40" s="22" t="s">
        <v>16922</v>
      </c>
      <c r="D40" s="23">
        <v>317427</v>
      </c>
      <c r="E40" s="24">
        <v>1996</v>
      </c>
      <c r="F40" s="22" t="s">
        <v>15675</v>
      </c>
      <c r="G40" s="23" t="s">
        <v>15676</v>
      </c>
      <c r="H40" s="25" t="s">
        <v>15373</v>
      </c>
      <c r="I40" s="22" t="s">
        <v>15374</v>
      </c>
      <c r="J40" s="22" t="s">
        <v>15677</v>
      </c>
      <c r="K40" s="26">
        <f t="shared" si="0"/>
        <v>2000</v>
      </c>
      <c r="L40" s="26">
        <v>2000</v>
      </c>
      <c r="O40" s="22" t="s">
        <v>16926</v>
      </c>
      <c r="P40" s="22" t="s">
        <v>15376</v>
      </c>
      <c r="Q40" s="22">
        <v>90032</v>
      </c>
      <c r="R40" s="22" t="s">
        <v>16928</v>
      </c>
      <c r="S40" s="22" t="s">
        <v>15672</v>
      </c>
      <c r="T40" s="22">
        <v>8.17</v>
      </c>
      <c r="U40" s="22">
        <v>0.38</v>
      </c>
      <c r="X40" s="26"/>
      <c r="Y40" s="26"/>
    </row>
    <row r="41" spans="1:25" ht="25" x14ac:dyDescent="0.25">
      <c r="A41" s="21">
        <v>66</v>
      </c>
      <c r="B41" s="22" t="s">
        <v>15368</v>
      </c>
      <c r="C41" s="22" t="s">
        <v>15678</v>
      </c>
      <c r="D41" s="23">
        <v>372106</v>
      </c>
      <c r="E41" s="24">
        <v>2000</v>
      </c>
      <c r="F41" s="22" t="s">
        <v>15679</v>
      </c>
      <c r="G41" s="23" t="s">
        <v>15680</v>
      </c>
      <c r="H41" s="25" t="s">
        <v>15373</v>
      </c>
      <c r="I41" s="22" t="s">
        <v>15411</v>
      </c>
      <c r="J41" s="22" t="s">
        <v>15681</v>
      </c>
      <c r="K41" s="26">
        <f t="shared" si="0"/>
        <v>730</v>
      </c>
      <c r="N41" s="26">
        <v>1095</v>
      </c>
      <c r="O41" s="22" t="s">
        <v>15682</v>
      </c>
      <c r="P41" s="22" t="s">
        <v>15683</v>
      </c>
      <c r="Q41" s="22">
        <v>91355</v>
      </c>
      <c r="R41" s="22" t="s">
        <v>15684</v>
      </c>
      <c r="S41" s="22" t="s">
        <v>15685</v>
      </c>
      <c r="T41" s="22">
        <v>6.9</v>
      </c>
      <c r="U41" s="22">
        <v>0.4</v>
      </c>
      <c r="X41" s="26"/>
      <c r="Y41" s="26"/>
    </row>
    <row r="42" spans="1:25" ht="37.5" x14ac:dyDescent="0.25">
      <c r="A42" s="21">
        <v>67</v>
      </c>
      <c r="B42" s="22" t="s">
        <v>15368</v>
      </c>
      <c r="C42" s="22" t="s">
        <v>15686</v>
      </c>
      <c r="D42" s="23">
        <v>128640</v>
      </c>
      <c r="E42" s="24">
        <v>1985</v>
      </c>
      <c r="F42" s="22" t="s">
        <v>15687</v>
      </c>
      <c r="G42" s="23" t="s">
        <v>15688</v>
      </c>
      <c r="H42" s="25" t="s">
        <v>15373</v>
      </c>
      <c r="I42" s="22" t="s">
        <v>15382</v>
      </c>
      <c r="J42" s="22" t="s">
        <v>15689</v>
      </c>
      <c r="K42" s="26">
        <f t="shared" si="0"/>
        <v>600</v>
      </c>
      <c r="N42" s="26">
        <v>900</v>
      </c>
      <c r="O42" s="22" t="s">
        <v>15690</v>
      </c>
      <c r="P42" s="22" t="s">
        <v>15376</v>
      </c>
      <c r="Q42" s="22">
        <v>90027</v>
      </c>
      <c r="R42" s="22" t="s">
        <v>15691</v>
      </c>
      <c r="S42" s="22" t="s">
        <v>15692</v>
      </c>
      <c r="T42" s="22">
        <v>11</v>
      </c>
      <c r="U42" s="22">
        <v>0.53</v>
      </c>
      <c r="X42" s="26"/>
      <c r="Y42" s="26"/>
    </row>
    <row r="43" spans="1:25" ht="37.5" x14ac:dyDescent="0.25">
      <c r="A43" s="21">
        <v>68</v>
      </c>
      <c r="B43" s="22" t="s">
        <v>15368</v>
      </c>
      <c r="C43" s="22" t="s">
        <v>15686</v>
      </c>
      <c r="D43" s="23">
        <v>128642</v>
      </c>
      <c r="E43" s="24">
        <v>1985</v>
      </c>
      <c r="F43" s="22" t="s">
        <v>15693</v>
      </c>
      <c r="G43" s="23" t="s">
        <v>15694</v>
      </c>
      <c r="H43" s="25" t="s">
        <v>15373</v>
      </c>
      <c r="I43" s="22" t="s">
        <v>15382</v>
      </c>
      <c r="J43" s="22" t="s">
        <v>15695</v>
      </c>
      <c r="K43" s="26">
        <f t="shared" si="0"/>
        <v>506.66666666666663</v>
      </c>
      <c r="N43" s="26">
        <v>760</v>
      </c>
      <c r="O43" s="22" t="s">
        <v>15690</v>
      </c>
      <c r="P43" s="22" t="s">
        <v>15376</v>
      </c>
      <c r="Q43" s="22">
        <v>90027</v>
      </c>
      <c r="R43" s="22" t="s">
        <v>15691</v>
      </c>
      <c r="S43" s="22" t="s">
        <v>15692</v>
      </c>
      <c r="T43" s="22">
        <v>11</v>
      </c>
      <c r="U43" s="22">
        <v>0.53</v>
      </c>
      <c r="X43" s="26"/>
      <c r="Y43" s="26"/>
    </row>
    <row r="44" spans="1:25" ht="37.5" x14ac:dyDescent="0.25">
      <c r="A44" s="21">
        <v>69</v>
      </c>
      <c r="B44" s="22" t="s">
        <v>15368</v>
      </c>
      <c r="C44" s="22" t="s">
        <v>15686</v>
      </c>
      <c r="D44" s="23">
        <v>202288</v>
      </c>
      <c r="E44" s="24">
        <v>1989</v>
      </c>
      <c r="F44" s="22" t="s">
        <v>15696</v>
      </c>
      <c r="G44" s="23" t="s">
        <v>15697</v>
      </c>
      <c r="H44" s="25" t="s">
        <v>15373</v>
      </c>
      <c r="I44" s="22" t="s">
        <v>15382</v>
      </c>
      <c r="J44" s="22" t="s">
        <v>15689</v>
      </c>
      <c r="K44" s="26">
        <f t="shared" si="0"/>
        <v>588</v>
      </c>
      <c r="N44" s="26">
        <v>882</v>
      </c>
      <c r="O44" s="22" t="s">
        <v>15690</v>
      </c>
      <c r="P44" s="22" t="s">
        <v>15376</v>
      </c>
      <c r="Q44" s="22">
        <v>90027</v>
      </c>
      <c r="R44" s="22" t="s">
        <v>15691</v>
      </c>
      <c r="S44" s="22" t="s">
        <v>15692</v>
      </c>
      <c r="T44" s="22">
        <v>8.17</v>
      </c>
      <c r="U44" s="22">
        <v>0.38</v>
      </c>
      <c r="X44" s="26"/>
      <c r="Y44" s="26"/>
    </row>
    <row r="45" spans="1:25" ht="37.5" x14ac:dyDescent="0.25">
      <c r="A45" s="21">
        <v>70</v>
      </c>
      <c r="B45" s="22" t="s">
        <v>15368</v>
      </c>
      <c r="C45" s="22" t="s">
        <v>15698</v>
      </c>
      <c r="D45" s="23">
        <v>338165</v>
      </c>
      <c r="E45" s="24">
        <v>1998</v>
      </c>
      <c r="F45" s="22" t="s">
        <v>15699</v>
      </c>
      <c r="G45" s="23" t="s">
        <v>15700</v>
      </c>
      <c r="H45" s="25" t="s">
        <v>15373</v>
      </c>
      <c r="I45" s="22" t="s">
        <v>15374</v>
      </c>
      <c r="J45" s="22" t="s">
        <v>15701</v>
      </c>
      <c r="K45" s="26">
        <f t="shared" si="0"/>
        <v>350</v>
      </c>
      <c r="L45" s="26">
        <v>350</v>
      </c>
      <c r="O45" s="22" t="s">
        <v>15702</v>
      </c>
      <c r="P45" s="22" t="s">
        <v>15703</v>
      </c>
      <c r="Q45" s="22">
        <v>90245</v>
      </c>
      <c r="R45" s="22" t="s">
        <v>15704</v>
      </c>
      <c r="S45" s="22" t="s">
        <v>15705</v>
      </c>
      <c r="T45" s="22">
        <v>6.9</v>
      </c>
      <c r="U45" s="22">
        <v>0.4</v>
      </c>
      <c r="X45" s="26"/>
      <c r="Y45" s="26"/>
    </row>
    <row r="46" spans="1:25" ht="37.5" x14ac:dyDescent="0.25">
      <c r="A46" s="21">
        <v>71</v>
      </c>
      <c r="B46" s="22" t="s">
        <v>15368</v>
      </c>
      <c r="C46" s="22" t="s">
        <v>15706</v>
      </c>
      <c r="D46" s="23">
        <v>155361</v>
      </c>
      <c r="E46" s="24">
        <v>1987</v>
      </c>
      <c r="F46" s="22" t="s">
        <v>15707</v>
      </c>
      <c r="G46" s="23" t="s">
        <v>15708</v>
      </c>
      <c r="H46" s="25" t="s">
        <v>15373</v>
      </c>
      <c r="I46" s="22" t="s">
        <v>15709</v>
      </c>
      <c r="J46" s="22" t="s">
        <v>15710</v>
      </c>
      <c r="K46" s="26">
        <f t="shared" si="0"/>
        <v>966.66666666666663</v>
      </c>
      <c r="N46" s="26">
        <v>1450</v>
      </c>
      <c r="O46" s="22" t="s">
        <v>15711</v>
      </c>
      <c r="P46" s="22" t="s">
        <v>15712</v>
      </c>
      <c r="Q46" s="22" t="s">
        <v>15713</v>
      </c>
      <c r="R46" s="22" t="s">
        <v>15714</v>
      </c>
      <c r="S46" s="22" t="s">
        <v>15715</v>
      </c>
      <c r="T46" s="22">
        <v>11</v>
      </c>
      <c r="U46" s="22">
        <v>0.53</v>
      </c>
      <c r="X46" s="26"/>
      <c r="Y46" s="26"/>
    </row>
    <row r="47" spans="1:25" ht="25" x14ac:dyDescent="0.25">
      <c r="A47" s="21">
        <v>72</v>
      </c>
      <c r="B47" s="22" t="s">
        <v>15368</v>
      </c>
      <c r="C47" s="22" t="s">
        <v>15706</v>
      </c>
      <c r="D47" s="23">
        <v>221149</v>
      </c>
      <c r="E47" s="24">
        <v>1990</v>
      </c>
      <c r="F47" s="22" t="s">
        <v>15716</v>
      </c>
      <c r="G47" s="23" t="s">
        <v>15717</v>
      </c>
      <c r="H47" s="25" t="s">
        <v>15373</v>
      </c>
      <c r="I47" s="22" t="s">
        <v>15374</v>
      </c>
      <c r="J47" s="22">
        <v>3406</v>
      </c>
      <c r="K47" s="26">
        <f t="shared" si="0"/>
        <v>345.33333333333331</v>
      </c>
      <c r="N47" s="26">
        <v>518</v>
      </c>
      <c r="O47" s="22" t="s">
        <v>15711</v>
      </c>
      <c r="P47" s="22" t="s">
        <v>15712</v>
      </c>
      <c r="Q47" s="22" t="s">
        <v>15713</v>
      </c>
      <c r="R47" s="22" t="s">
        <v>15714</v>
      </c>
      <c r="S47" s="22" t="s">
        <v>15715</v>
      </c>
      <c r="T47" s="22">
        <v>8.17</v>
      </c>
      <c r="U47" s="22">
        <v>0.38</v>
      </c>
      <c r="X47" s="26"/>
      <c r="Y47" s="26"/>
    </row>
    <row r="48" spans="1:25" ht="37.5" x14ac:dyDescent="0.25">
      <c r="A48" s="21">
        <v>73</v>
      </c>
      <c r="B48" s="22" t="s">
        <v>15368</v>
      </c>
      <c r="C48" s="22" t="s">
        <v>15706</v>
      </c>
      <c r="D48" s="23">
        <v>229281</v>
      </c>
      <c r="E48" s="24">
        <v>1990</v>
      </c>
      <c r="F48" s="22" t="s">
        <v>15718</v>
      </c>
      <c r="G48" s="23" t="s">
        <v>15719</v>
      </c>
      <c r="H48" s="25" t="s">
        <v>15373</v>
      </c>
      <c r="I48" s="22" t="s">
        <v>15374</v>
      </c>
      <c r="J48" s="22">
        <v>3512</v>
      </c>
      <c r="K48" s="26">
        <f t="shared" si="0"/>
        <v>1432.6666666666665</v>
      </c>
      <c r="N48" s="26">
        <v>2149</v>
      </c>
      <c r="O48" s="22" t="s">
        <v>15711</v>
      </c>
      <c r="P48" s="22" t="s">
        <v>15712</v>
      </c>
      <c r="Q48" s="22" t="s">
        <v>15713</v>
      </c>
      <c r="R48" s="22" t="s">
        <v>15714</v>
      </c>
      <c r="S48" s="22" t="s">
        <v>15715</v>
      </c>
      <c r="T48" s="22">
        <v>8.17</v>
      </c>
      <c r="U48" s="22">
        <v>0.38</v>
      </c>
      <c r="X48" s="26"/>
      <c r="Y48" s="26"/>
    </row>
    <row r="49" spans="1:25" ht="37.5" x14ac:dyDescent="0.25">
      <c r="A49" s="21">
        <v>74</v>
      </c>
      <c r="B49" s="22" t="s">
        <v>15368</v>
      </c>
      <c r="C49" s="22" t="s">
        <v>15720</v>
      </c>
      <c r="D49" s="23">
        <v>335939</v>
      </c>
      <c r="E49" s="24">
        <v>1998</v>
      </c>
      <c r="F49" s="22" t="s">
        <v>15721</v>
      </c>
      <c r="G49" s="23" t="s">
        <v>15722</v>
      </c>
      <c r="H49" s="25" t="s">
        <v>15373</v>
      </c>
      <c r="I49" s="22" t="s">
        <v>15382</v>
      </c>
      <c r="J49" s="22" t="s">
        <v>15723</v>
      </c>
      <c r="K49" s="26">
        <f t="shared" si="0"/>
        <v>1233.3333333333333</v>
      </c>
      <c r="N49" s="26">
        <v>1850</v>
      </c>
      <c r="O49" s="22" t="s">
        <v>15724</v>
      </c>
      <c r="P49" s="22" t="s">
        <v>15725</v>
      </c>
      <c r="Q49" s="22">
        <v>90631</v>
      </c>
      <c r="R49" s="22" t="s">
        <v>15726</v>
      </c>
      <c r="S49" s="22" t="s">
        <v>15727</v>
      </c>
      <c r="T49" s="22">
        <v>8.17</v>
      </c>
      <c r="U49" s="22">
        <v>0.38</v>
      </c>
      <c r="X49" s="26"/>
      <c r="Y49" s="26"/>
    </row>
    <row r="50" spans="1:25" ht="25" x14ac:dyDescent="0.25">
      <c r="A50" s="21">
        <v>75</v>
      </c>
      <c r="B50" s="22" t="s">
        <v>15368</v>
      </c>
      <c r="C50" s="22" t="s">
        <v>15728</v>
      </c>
      <c r="D50" s="23">
        <v>204593</v>
      </c>
      <c r="E50" s="24">
        <v>1989</v>
      </c>
      <c r="F50" s="22" t="s">
        <v>15729</v>
      </c>
      <c r="G50" s="23" t="s">
        <v>15730</v>
      </c>
      <c r="H50" s="25" t="s">
        <v>15373</v>
      </c>
      <c r="I50" s="22" t="s">
        <v>15374</v>
      </c>
      <c r="J50" s="22" t="s">
        <v>15731</v>
      </c>
      <c r="K50" s="26">
        <f t="shared" si="0"/>
        <v>750</v>
      </c>
      <c r="N50" s="26">
        <v>1125</v>
      </c>
      <c r="O50" s="22" t="s">
        <v>15732</v>
      </c>
      <c r="P50" s="22" t="s">
        <v>16295</v>
      </c>
      <c r="Q50" s="22" t="s">
        <v>16296</v>
      </c>
      <c r="R50" s="22" t="s">
        <v>16297</v>
      </c>
      <c r="S50" s="22" t="s">
        <v>16298</v>
      </c>
      <c r="T50" s="22">
        <v>8.17</v>
      </c>
      <c r="U50" s="22">
        <v>0.38</v>
      </c>
      <c r="X50" s="26"/>
      <c r="Y50" s="26"/>
    </row>
    <row r="51" spans="1:25" ht="25" x14ac:dyDescent="0.25">
      <c r="A51" s="21">
        <v>76</v>
      </c>
      <c r="B51" s="22" t="s">
        <v>15368</v>
      </c>
      <c r="C51" s="22" t="s">
        <v>16299</v>
      </c>
      <c r="D51" s="23">
        <v>332715</v>
      </c>
      <c r="E51" s="24">
        <v>1997</v>
      </c>
      <c r="F51" s="22" t="s">
        <v>16300</v>
      </c>
      <c r="G51" s="23" t="s">
        <v>16301</v>
      </c>
      <c r="H51" s="25" t="s">
        <v>15373</v>
      </c>
      <c r="I51" s="22" t="s">
        <v>15382</v>
      </c>
      <c r="J51" s="22" t="s">
        <v>16302</v>
      </c>
      <c r="K51" s="26">
        <f t="shared" si="0"/>
        <v>506.66666666666663</v>
      </c>
      <c r="N51" s="26">
        <v>760</v>
      </c>
      <c r="O51" s="22" t="s">
        <v>16303</v>
      </c>
      <c r="P51" s="22" t="s">
        <v>16853</v>
      </c>
      <c r="Q51" s="22">
        <v>92814</v>
      </c>
      <c r="R51" s="22" t="s">
        <v>16304</v>
      </c>
      <c r="S51" s="22" t="s">
        <v>16305</v>
      </c>
      <c r="T51" s="22">
        <v>8.17</v>
      </c>
      <c r="U51" s="22">
        <v>0.38</v>
      </c>
      <c r="X51" s="26"/>
      <c r="Y51" s="26"/>
    </row>
    <row r="52" spans="1:25" ht="37.5" x14ac:dyDescent="0.25">
      <c r="A52" s="21">
        <v>78</v>
      </c>
      <c r="B52" s="22" t="s">
        <v>15368</v>
      </c>
      <c r="C52" s="22" t="s">
        <v>16307</v>
      </c>
      <c r="D52" s="23">
        <v>156115</v>
      </c>
      <c r="E52" s="24">
        <v>1987</v>
      </c>
      <c r="F52" s="22" t="s">
        <v>16308</v>
      </c>
      <c r="G52" s="23" t="s">
        <v>16309</v>
      </c>
      <c r="H52" s="25" t="s">
        <v>16310</v>
      </c>
      <c r="I52" s="22" t="s">
        <v>16311</v>
      </c>
      <c r="J52" s="22" t="s">
        <v>16311</v>
      </c>
      <c r="K52" s="26">
        <f t="shared" si="0"/>
        <v>333.33333333333331</v>
      </c>
      <c r="N52" s="26">
        <v>500</v>
      </c>
      <c r="O52" s="22" t="s">
        <v>16312</v>
      </c>
      <c r="P52" s="22" t="s">
        <v>16313</v>
      </c>
      <c r="Q52" s="22" t="s">
        <v>16314</v>
      </c>
      <c r="R52" s="22" t="s">
        <v>16315</v>
      </c>
      <c r="S52" s="22" t="s">
        <v>16316</v>
      </c>
      <c r="X52" s="26"/>
      <c r="Y52" s="26"/>
    </row>
    <row r="53" spans="1:25" ht="37.5" x14ac:dyDescent="0.25">
      <c r="A53" s="21">
        <v>79</v>
      </c>
      <c r="B53" s="22" t="s">
        <v>15368</v>
      </c>
      <c r="C53" s="22" t="s">
        <v>16307</v>
      </c>
      <c r="D53" s="23">
        <v>156116</v>
      </c>
      <c r="E53" s="24">
        <v>1987</v>
      </c>
      <c r="F53" s="22" t="s">
        <v>16317</v>
      </c>
      <c r="G53" s="23" t="s">
        <v>16318</v>
      </c>
      <c r="H53" s="25" t="s">
        <v>16310</v>
      </c>
      <c r="I53" s="22" t="s">
        <v>16311</v>
      </c>
      <c r="J53" s="22" t="s">
        <v>16311</v>
      </c>
      <c r="K53" s="26">
        <f t="shared" si="0"/>
        <v>333.33333333333331</v>
      </c>
      <c r="N53" s="26">
        <v>500</v>
      </c>
      <c r="O53" s="22" t="s">
        <v>16312</v>
      </c>
      <c r="P53" s="22" t="s">
        <v>16313</v>
      </c>
      <c r="Q53" s="22" t="s">
        <v>16314</v>
      </c>
      <c r="R53" s="22" t="s">
        <v>16315</v>
      </c>
      <c r="S53" s="22" t="s">
        <v>16316</v>
      </c>
      <c r="X53" s="26"/>
      <c r="Y53" s="26"/>
    </row>
    <row r="54" spans="1:25" ht="37.5" x14ac:dyDescent="0.25">
      <c r="A54" s="21">
        <v>80</v>
      </c>
      <c r="B54" s="22" t="s">
        <v>15368</v>
      </c>
      <c r="C54" s="22" t="s">
        <v>16307</v>
      </c>
      <c r="D54" s="23">
        <v>156117</v>
      </c>
      <c r="E54" s="24">
        <v>1987</v>
      </c>
      <c r="F54" s="22" t="s">
        <v>16319</v>
      </c>
      <c r="G54" s="23" t="s">
        <v>16320</v>
      </c>
      <c r="H54" s="25" t="s">
        <v>16310</v>
      </c>
      <c r="I54" s="22" t="s">
        <v>16311</v>
      </c>
      <c r="J54" s="22" t="s">
        <v>16311</v>
      </c>
      <c r="K54" s="26">
        <f t="shared" si="0"/>
        <v>333.33333333333331</v>
      </c>
      <c r="N54" s="26">
        <v>500</v>
      </c>
      <c r="O54" s="22" t="s">
        <v>16312</v>
      </c>
      <c r="P54" s="22" t="s">
        <v>16313</v>
      </c>
      <c r="Q54" s="22">
        <v>90731</v>
      </c>
      <c r="R54" s="22" t="s">
        <v>16315</v>
      </c>
      <c r="S54" s="22" t="s">
        <v>16316</v>
      </c>
      <c r="X54" s="26"/>
      <c r="Y54" s="26"/>
    </row>
    <row r="55" spans="1:25" ht="25" x14ac:dyDescent="0.25">
      <c r="A55" s="21">
        <v>81</v>
      </c>
      <c r="B55" s="22" t="s">
        <v>15368</v>
      </c>
      <c r="C55" s="22" t="s">
        <v>16321</v>
      </c>
      <c r="D55" s="23">
        <v>367814</v>
      </c>
      <c r="E55" s="24">
        <v>2000</v>
      </c>
      <c r="F55" s="22" t="s">
        <v>16322</v>
      </c>
      <c r="G55" s="23" t="s">
        <v>16323</v>
      </c>
      <c r="H55" s="25" t="s">
        <v>15373</v>
      </c>
      <c r="I55" s="22" t="s">
        <v>15382</v>
      </c>
      <c r="J55" s="22" t="s">
        <v>16784</v>
      </c>
      <c r="K55" s="26">
        <f t="shared" si="0"/>
        <v>503.33333333333331</v>
      </c>
      <c r="N55" s="26">
        <v>755</v>
      </c>
      <c r="O55" s="22" t="s">
        <v>16324</v>
      </c>
      <c r="P55" s="22" t="s">
        <v>16325</v>
      </c>
      <c r="Q55" s="22">
        <v>91752</v>
      </c>
      <c r="R55" s="22" t="s">
        <v>16326</v>
      </c>
      <c r="S55" s="22" t="s">
        <v>16327</v>
      </c>
      <c r="T55" s="22">
        <v>6.9</v>
      </c>
      <c r="U55" s="22">
        <v>0.4</v>
      </c>
      <c r="X55" s="26"/>
      <c r="Y55" s="26"/>
    </row>
    <row r="56" spans="1:25" ht="37.5" x14ac:dyDescent="0.25">
      <c r="A56" s="21">
        <v>82</v>
      </c>
      <c r="B56" s="22" t="s">
        <v>15368</v>
      </c>
      <c r="C56" s="22" t="s">
        <v>16328</v>
      </c>
      <c r="D56" s="23">
        <v>273309</v>
      </c>
      <c r="E56" s="24">
        <v>1992</v>
      </c>
      <c r="F56" s="22" t="s">
        <v>16329</v>
      </c>
      <c r="G56" s="23" t="s">
        <v>16330</v>
      </c>
      <c r="H56" s="25" t="s">
        <v>15373</v>
      </c>
      <c r="I56" s="22" t="s">
        <v>15411</v>
      </c>
      <c r="J56" s="22" t="s">
        <v>16331</v>
      </c>
      <c r="K56" s="26">
        <f t="shared" si="0"/>
        <v>730</v>
      </c>
      <c r="N56" s="26">
        <v>1095</v>
      </c>
      <c r="O56" s="22" t="s">
        <v>16332</v>
      </c>
      <c r="P56" s="22" t="s">
        <v>16333</v>
      </c>
      <c r="Q56" s="22" t="s">
        <v>16334</v>
      </c>
      <c r="R56" s="22" t="s">
        <v>16335</v>
      </c>
      <c r="S56" s="22" t="s">
        <v>16336</v>
      </c>
      <c r="T56" s="22">
        <v>8.17</v>
      </c>
      <c r="U56" s="22">
        <v>0.38</v>
      </c>
      <c r="X56" s="26"/>
      <c r="Y56" s="26"/>
    </row>
    <row r="57" spans="1:25" ht="25" x14ac:dyDescent="0.25">
      <c r="A57" s="21">
        <v>83</v>
      </c>
      <c r="B57" s="22" t="s">
        <v>15368</v>
      </c>
      <c r="C57" s="22" t="s">
        <v>16337</v>
      </c>
      <c r="D57" s="23">
        <v>208224</v>
      </c>
      <c r="E57" s="24">
        <v>1989</v>
      </c>
      <c r="F57" s="22" t="s">
        <v>16338</v>
      </c>
      <c r="G57" s="23" t="s">
        <v>16339</v>
      </c>
      <c r="H57" s="25" t="s">
        <v>15373</v>
      </c>
      <c r="I57" s="22" t="s">
        <v>15374</v>
      </c>
      <c r="J57" s="22">
        <v>3512</v>
      </c>
      <c r="K57" s="26">
        <f t="shared" si="0"/>
        <v>1186</v>
      </c>
      <c r="N57" s="26">
        <v>1779</v>
      </c>
      <c r="O57" s="22" t="s">
        <v>16340</v>
      </c>
      <c r="P57" s="22" t="s">
        <v>16853</v>
      </c>
      <c r="Q57" s="22">
        <v>92618</v>
      </c>
      <c r="R57" s="22" t="s">
        <v>16341</v>
      </c>
      <c r="S57" s="22" t="s">
        <v>16342</v>
      </c>
      <c r="T57" s="22">
        <v>8.17</v>
      </c>
      <c r="U57" s="22">
        <v>0.38</v>
      </c>
      <c r="X57" s="26"/>
      <c r="Y57" s="26"/>
    </row>
    <row r="58" spans="1:25" ht="25" x14ac:dyDescent="0.25">
      <c r="A58" s="21">
        <v>84</v>
      </c>
      <c r="B58" s="22" t="s">
        <v>15368</v>
      </c>
      <c r="C58" s="22" t="s">
        <v>16343</v>
      </c>
      <c r="D58" s="23">
        <v>353296</v>
      </c>
      <c r="E58" s="24">
        <v>1999</v>
      </c>
      <c r="F58" s="22" t="s">
        <v>16344</v>
      </c>
      <c r="G58" s="23" t="s">
        <v>16345</v>
      </c>
      <c r="H58" s="25" t="s">
        <v>15373</v>
      </c>
      <c r="I58" s="22" t="s">
        <v>15374</v>
      </c>
      <c r="J58" s="22" t="s">
        <v>15701</v>
      </c>
      <c r="K58" s="26">
        <f t="shared" si="0"/>
        <v>400</v>
      </c>
      <c r="L58" s="26">
        <v>400</v>
      </c>
      <c r="O58" s="22" t="s">
        <v>16346</v>
      </c>
      <c r="P58" s="22" t="s">
        <v>16347</v>
      </c>
      <c r="Q58" s="22">
        <v>91730</v>
      </c>
      <c r="R58" s="22" t="s">
        <v>16348</v>
      </c>
      <c r="S58" s="22" t="s">
        <v>16349</v>
      </c>
      <c r="T58" s="22">
        <v>6.9</v>
      </c>
      <c r="U58" s="22">
        <v>0.4</v>
      </c>
      <c r="X58" s="26"/>
      <c r="Y58" s="26"/>
    </row>
    <row r="59" spans="1:25" ht="25" x14ac:dyDescent="0.25">
      <c r="A59" s="21">
        <v>85</v>
      </c>
      <c r="B59" s="22" t="s">
        <v>15368</v>
      </c>
      <c r="C59" s="22" t="s">
        <v>16350</v>
      </c>
      <c r="D59" s="23">
        <v>337753</v>
      </c>
      <c r="E59" s="24">
        <v>1998</v>
      </c>
      <c r="F59" s="22" t="s">
        <v>16351</v>
      </c>
      <c r="G59" s="23" t="s">
        <v>15810</v>
      </c>
      <c r="H59" s="25" t="s">
        <v>15373</v>
      </c>
      <c r="I59" s="22" t="s">
        <v>15374</v>
      </c>
      <c r="J59" s="22" t="s">
        <v>16869</v>
      </c>
      <c r="K59" s="26">
        <f t="shared" si="0"/>
        <v>600</v>
      </c>
      <c r="L59" s="26">
        <v>600</v>
      </c>
      <c r="O59" s="22" t="s">
        <v>15811</v>
      </c>
      <c r="P59" s="22" t="s">
        <v>16786</v>
      </c>
      <c r="Q59" s="22">
        <v>92806</v>
      </c>
      <c r="R59" s="22" t="s">
        <v>15812</v>
      </c>
      <c r="S59" s="22" t="s">
        <v>15813</v>
      </c>
      <c r="T59" s="22">
        <v>8.17</v>
      </c>
      <c r="U59" s="22">
        <v>0.38</v>
      </c>
      <c r="X59" s="26"/>
      <c r="Y59" s="26"/>
    </row>
    <row r="60" spans="1:25" ht="37.5" x14ac:dyDescent="0.25">
      <c r="A60" s="21">
        <v>87</v>
      </c>
      <c r="B60" s="22" t="s">
        <v>15368</v>
      </c>
      <c r="C60" s="22" t="s">
        <v>15814</v>
      </c>
      <c r="D60" s="23">
        <v>362959</v>
      </c>
      <c r="E60" s="24">
        <v>1999</v>
      </c>
      <c r="F60" s="22" t="s">
        <v>15815</v>
      </c>
      <c r="G60" s="23" t="s">
        <v>15816</v>
      </c>
      <c r="H60" s="25" t="s">
        <v>15373</v>
      </c>
      <c r="I60" s="22" t="s">
        <v>15382</v>
      </c>
      <c r="J60" s="22" t="s">
        <v>15391</v>
      </c>
      <c r="K60" s="26">
        <f t="shared" si="0"/>
        <v>1500</v>
      </c>
      <c r="L60" s="26">
        <v>1500</v>
      </c>
      <c r="O60" s="22" t="s">
        <v>15817</v>
      </c>
      <c r="P60" s="22" t="s">
        <v>16786</v>
      </c>
      <c r="Q60" s="22">
        <v>92807</v>
      </c>
      <c r="R60" s="22" t="s">
        <v>15818</v>
      </c>
      <c r="S60" s="22" t="s">
        <v>15819</v>
      </c>
      <c r="T60" s="22">
        <v>8.17</v>
      </c>
      <c r="U60" s="22">
        <v>0.38</v>
      </c>
      <c r="X60" s="26"/>
      <c r="Y60" s="26"/>
    </row>
    <row r="61" spans="1:25" ht="62.5" x14ac:dyDescent="0.25">
      <c r="A61" s="21">
        <v>90</v>
      </c>
      <c r="B61" s="22" t="s">
        <v>15368</v>
      </c>
      <c r="C61" s="22" t="s">
        <v>15820</v>
      </c>
      <c r="D61" s="23">
        <v>259246</v>
      </c>
      <c r="E61" s="24">
        <v>1991</v>
      </c>
      <c r="F61" s="22" t="s">
        <v>15821</v>
      </c>
      <c r="G61" s="23" t="s">
        <v>15822</v>
      </c>
      <c r="H61" s="25" t="s">
        <v>15373</v>
      </c>
      <c r="I61" s="22" t="s">
        <v>15374</v>
      </c>
      <c r="J61" s="22" t="s">
        <v>16899</v>
      </c>
      <c r="K61" s="26">
        <f t="shared" si="0"/>
        <v>450</v>
      </c>
      <c r="N61" s="26">
        <v>675</v>
      </c>
      <c r="O61" s="22" t="s">
        <v>15823</v>
      </c>
      <c r="P61" s="22" t="s">
        <v>16786</v>
      </c>
      <c r="Q61" s="22">
        <v>92807</v>
      </c>
      <c r="R61" s="22" t="s">
        <v>15824</v>
      </c>
      <c r="S61" s="22" t="s">
        <v>15825</v>
      </c>
      <c r="T61" s="22">
        <v>8.17</v>
      </c>
      <c r="U61" s="22">
        <v>0.38</v>
      </c>
      <c r="X61" s="26"/>
      <c r="Y61" s="26"/>
    </row>
    <row r="62" spans="1:25" ht="37.5" x14ac:dyDescent="0.25">
      <c r="A62" s="21">
        <v>91</v>
      </c>
      <c r="B62" s="22" t="s">
        <v>15368</v>
      </c>
      <c r="C62" s="22" t="s">
        <v>15826</v>
      </c>
      <c r="D62" s="23">
        <v>179807</v>
      </c>
      <c r="E62" s="24">
        <v>1988</v>
      </c>
      <c r="F62" s="22" t="s">
        <v>15827</v>
      </c>
      <c r="G62" s="23" t="s">
        <v>15828</v>
      </c>
      <c r="H62" s="25" t="s">
        <v>15373</v>
      </c>
      <c r="I62" s="22" t="s">
        <v>15382</v>
      </c>
      <c r="J62" s="22" t="s">
        <v>15829</v>
      </c>
      <c r="K62" s="26">
        <f t="shared" si="0"/>
        <v>993.33333333333326</v>
      </c>
      <c r="N62" s="26">
        <v>1490</v>
      </c>
      <c r="O62" s="22" t="s">
        <v>15830</v>
      </c>
      <c r="P62" s="22" t="s">
        <v>16786</v>
      </c>
      <c r="Q62" s="22">
        <v>92802</v>
      </c>
      <c r="R62" s="22" t="s">
        <v>15831</v>
      </c>
      <c r="S62" s="22" t="s">
        <v>15832</v>
      </c>
      <c r="T62" s="22">
        <v>8.17</v>
      </c>
      <c r="U62" s="22">
        <v>0.38</v>
      </c>
      <c r="X62" s="26"/>
      <c r="Y62" s="26"/>
    </row>
    <row r="63" spans="1:25" ht="37.5" x14ac:dyDescent="0.25">
      <c r="A63" s="21">
        <v>92</v>
      </c>
      <c r="B63" s="22" t="s">
        <v>15368</v>
      </c>
      <c r="C63" s="22" t="s">
        <v>15826</v>
      </c>
      <c r="D63" s="23">
        <v>179808</v>
      </c>
      <c r="E63" s="24">
        <v>1988</v>
      </c>
      <c r="F63" s="22" t="s">
        <v>15833</v>
      </c>
      <c r="G63" s="23" t="s">
        <v>15834</v>
      </c>
      <c r="H63" s="25" t="s">
        <v>15373</v>
      </c>
      <c r="I63" s="22" t="s">
        <v>15382</v>
      </c>
      <c r="J63" s="22" t="s">
        <v>15829</v>
      </c>
      <c r="K63" s="26">
        <f t="shared" si="0"/>
        <v>993.33333333333326</v>
      </c>
      <c r="N63" s="26">
        <v>1490</v>
      </c>
      <c r="O63" s="22" t="s">
        <v>15830</v>
      </c>
      <c r="P63" s="22" t="s">
        <v>16786</v>
      </c>
      <c r="Q63" s="22">
        <v>92802</v>
      </c>
      <c r="R63" s="22" t="s">
        <v>15831</v>
      </c>
      <c r="S63" s="22" t="s">
        <v>15832</v>
      </c>
      <c r="T63" s="22">
        <v>8.17</v>
      </c>
      <c r="U63" s="22">
        <v>0.38</v>
      </c>
      <c r="X63" s="26"/>
      <c r="Y63" s="26"/>
    </row>
    <row r="64" spans="1:25" ht="25" x14ac:dyDescent="0.25">
      <c r="A64" s="21">
        <v>93</v>
      </c>
      <c r="B64" s="22" t="s">
        <v>15368</v>
      </c>
      <c r="C64" s="22" t="s">
        <v>15835</v>
      </c>
      <c r="D64" s="23">
        <v>278190</v>
      </c>
      <c r="E64" s="24">
        <v>1993</v>
      </c>
      <c r="F64" s="22" t="s">
        <v>15836</v>
      </c>
      <c r="G64" s="23" t="s">
        <v>15837</v>
      </c>
      <c r="H64" s="25" t="s">
        <v>15373</v>
      </c>
      <c r="I64" s="22" t="s">
        <v>15411</v>
      </c>
      <c r="J64" s="22" t="s">
        <v>15838</v>
      </c>
      <c r="K64" s="26">
        <f t="shared" si="0"/>
        <v>420</v>
      </c>
      <c r="N64" s="26">
        <v>630</v>
      </c>
      <c r="O64" s="22" t="s">
        <v>15839</v>
      </c>
      <c r="P64" s="22" t="s">
        <v>16786</v>
      </c>
      <c r="Q64" s="22" t="s">
        <v>15840</v>
      </c>
      <c r="R64" s="22" t="s">
        <v>15841</v>
      </c>
      <c r="S64" s="22" t="s">
        <v>15842</v>
      </c>
      <c r="T64" s="22">
        <v>8.17</v>
      </c>
      <c r="U64" s="22">
        <v>0.38</v>
      </c>
      <c r="X64" s="26"/>
      <c r="Y64" s="26"/>
    </row>
    <row r="65" spans="1:25" ht="25" x14ac:dyDescent="0.25">
      <c r="A65" s="21">
        <v>94</v>
      </c>
      <c r="B65" s="22" t="s">
        <v>15368</v>
      </c>
      <c r="C65" s="22" t="s">
        <v>15843</v>
      </c>
      <c r="D65" s="23">
        <v>175703</v>
      </c>
      <c r="E65" s="24">
        <v>1988</v>
      </c>
      <c r="F65" s="22" t="s">
        <v>15844</v>
      </c>
      <c r="G65" s="23" t="s">
        <v>15845</v>
      </c>
      <c r="H65" s="25" t="s">
        <v>15373</v>
      </c>
      <c r="I65" s="22" t="s">
        <v>15411</v>
      </c>
      <c r="J65" s="22" t="s">
        <v>15846</v>
      </c>
      <c r="K65" s="26">
        <f t="shared" si="0"/>
        <v>553.33333333333326</v>
      </c>
      <c r="N65" s="26">
        <v>830</v>
      </c>
      <c r="O65" s="22" t="s">
        <v>15847</v>
      </c>
      <c r="P65" s="22" t="s">
        <v>16786</v>
      </c>
      <c r="Q65" s="22">
        <v>92801</v>
      </c>
      <c r="R65" s="22" t="s">
        <v>15848</v>
      </c>
      <c r="S65" s="22" t="s">
        <v>15849</v>
      </c>
      <c r="T65" s="22">
        <v>8.17</v>
      </c>
      <c r="U65" s="22">
        <v>0.38</v>
      </c>
      <c r="X65" s="26"/>
      <c r="Y65" s="26"/>
    </row>
    <row r="66" spans="1:25" ht="25" x14ac:dyDescent="0.25">
      <c r="A66" s="21">
        <v>95</v>
      </c>
      <c r="B66" s="22" t="s">
        <v>15368</v>
      </c>
      <c r="C66" s="22" t="s">
        <v>15843</v>
      </c>
      <c r="D66" s="23">
        <v>175912</v>
      </c>
      <c r="E66" s="24">
        <v>1988</v>
      </c>
      <c r="F66" s="22" t="s">
        <v>15850</v>
      </c>
      <c r="G66" s="23" t="s">
        <v>15851</v>
      </c>
      <c r="H66" s="25" t="s">
        <v>15373</v>
      </c>
      <c r="I66" s="22" t="s">
        <v>15411</v>
      </c>
      <c r="J66" s="22" t="s">
        <v>15852</v>
      </c>
      <c r="K66" s="26">
        <f t="shared" ref="K66:K129" si="1">L66+M66*(2/3)+N66*(2/3)</f>
        <v>420</v>
      </c>
      <c r="N66" s="26">
        <v>630</v>
      </c>
      <c r="O66" s="22" t="s">
        <v>15847</v>
      </c>
      <c r="P66" s="22" t="s">
        <v>16786</v>
      </c>
      <c r="Q66" s="22">
        <v>92801</v>
      </c>
      <c r="R66" s="22" t="s">
        <v>15848</v>
      </c>
      <c r="S66" s="22" t="s">
        <v>15849</v>
      </c>
      <c r="T66" s="22">
        <v>8.17</v>
      </c>
      <c r="U66" s="22">
        <v>0.38</v>
      </c>
      <c r="X66" s="26"/>
      <c r="Y66" s="26"/>
    </row>
    <row r="67" spans="1:25" ht="25" x14ac:dyDescent="0.25">
      <c r="A67" s="21">
        <v>96</v>
      </c>
      <c r="B67" s="22" t="s">
        <v>15368</v>
      </c>
      <c r="C67" s="22" t="s">
        <v>15843</v>
      </c>
      <c r="D67" s="23" t="s">
        <v>15853</v>
      </c>
      <c r="E67" s="24">
        <v>1990</v>
      </c>
      <c r="F67" s="22" t="s">
        <v>15854</v>
      </c>
      <c r="G67" s="23" t="s">
        <v>15855</v>
      </c>
      <c r="H67" s="25" t="s">
        <v>15373</v>
      </c>
      <c r="I67" s="22" t="s">
        <v>15411</v>
      </c>
      <c r="J67" s="22" t="s">
        <v>15856</v>
      </c>
      <c r="K67" s="26">
        <f t="shared" si="1"/>
        <v>300</v>
      </c>
      <c r="L67" s="26">
        <v>300</v>
      </c>
      <c r="O67" s="22" t="s">
        <v>15847</v>
      </c>
      <c r="P67" s="22" t="s">
        <v>16786</v>
      </c>
      <c r="Q67" s="22">
        <v>92801</v>
      </c>
      <c r="R67" s="22" t="s">
        <v>15857</v>
      </c>
      <c r="S67" s="22" t="s">
        <v>15858</v>
      </c>
      <c r="T67" s="22">
        <v>8.17</v>
      </c>
      <c r="U67" s="22">
        <v>0.38</v>
      </c>
      <c r="X67" s="26"/>
      <c r="Y67" s="26"/>
    </row>
    <row r="68" spans="1:25" ht="37.5" x14ac:dyDescent="0.25">
      <c r="A68" s="21">
        <v>99</v>
      </c>
      <c r="B68" s="22" t="s">
        <v>15368</v>
      </c>
      <c r="C68" s="22" t="s">
        <v>15859</v>
      </c>
      <c r="D68" s="23">
        <v>370743</v>
      </c>
      <c r="E68" s="24">
        <v>2000</v>
      </c>
      <c r="F68" s="22" t="s">
        <v>15860</v>
      </c>
      <c r="G68" s="23" t="s">
        <v>15861</v>
      </c>
      <c r="H68" s="25" t="s">
        <v>15373</v>
      </c>
      <c r="I68" s="22" t="s">
        <v>15374</v>
      </c>
      <c r="J68" s="22" t="s">
        <v>15862</v>
      </c>
      <c r="K68" s="26">
        <f t="shared" si="1"/>
        <v>500</v>
      </c>
      <c r="N68" s="26">
        <v>750</v>
      </c>
      <c r="O68" s="22" t="s">
        <v>15863</v>
      </c>
      <c r="P68" s="22" t="s">
        <v>15864</v>
      </c>
      <c r="Q68" s="22">
        <v>92335</v>
      </c>
      <c r="R68" s="22" t="s">
        <v>15865</v>
      </c>
      <c r="S68" s="22" t="s">
        <v>15866</v>
      </c>
      <c r="T68" s="22">
        <v>6.9</v>
      </c>
      <c r="U68" s="22">
        <v>0.4</v>
      </c>
      <c r="X68" s="26"/>
      <c r="Y68" s="26"/>
    </row>
    <row r="69" spans="1:25" ht="25" x14ac:dyDescent="0.25">
      <c r="A69" s="21">
        <v>100</v>
      </c>
      <c r="B69" s="22" t="s">
        <v>15368</v>
      </c>
      <c r="C69" s="22" t="s">
        <v>15867</v>
      </c>
      <c r="D69" s="23">
        <v>260659</v>
      </c>
      <c r="E69" s="24">
        <v>1992</v>
      </c>
      <c r="F69" s="22" t="s">
        <v>15868</v>
      </c>
      <c r="G69" s="23" t="s">
        <v>15869</v>
      </c>
      <c r="H69" s="25" t="s">
        <v>15373</v>
      </c>
      <c r="I69" s="22" t="s">
        <v>15374</v>
      </c>
      <c r="J69" s="22" t="s">
        <v>16869</v>
      </c>
      <c r="K69" s="26">
        <f t="shared" si="1"/>
        <v>448</v>
      </c>
      <c r="N69" s="26">
        <v>672</v>
      </c>
      <c r="O69" s="22" t="s">
        <v>15870</v>
      </c>
      <c r="P69" s="22" t="s">
        <v>15871</v>
      </c>
      <c r="Q69" s="22">
        <v>91345</v>
      </c>
      <c r="R69" s="22" t="s">
        <v>15872</v>
      </c>
      <c r="S69" s="22" t="s">
        <v>15873</v>
      </c>
      <c r="T69" s="22">
        <v>8.17</v>
      </c>
      <c r="U69" s="22">
        <v>0.38</v>
      </c>
      <c r="X69" s="26"/>
      <c r="Y69" s="26"/>
    </row>
    <row r="70" spans="1:25" ht="25" x14ac:dyDescent="0.25">
      <c r="A70" s="21">
        <v>102</v>
      </c>
      <c r="B70" s="22" t="s">
        <v>15368</v>
      </c>
      <c r="C70" s="22" t="s">
        <v>15874</v>
      </c>
      <c r="D70" s="23">
        <v>286404</v>
      </c>
      <c r="E70" s="24">
        <v>1993</v>
      </c>
      <c r="F70" s="22" t="s">
        <v>15875</v>
      </c>
      <c r="G70" s="23" t="s">
        <v>15876</v>
      </c>
      <c r="H70" s="25" t="s">
        <v>15373</v>
      </c>
      <c r="I70" s="22" t="s">
        <v>15411</v>
      </c>
      <c r="J70" s="22" t="s">
        <v>15877</v>
      </c>
      <c r="K70" s="26">
        <f t="shared" si="1"/>
        <v>407.33333333333331</v>
      </c>
      <c r="N70" s="26">
        <v>611</v>
      </c>
      <c r="O70" s="22" t="s">
        <v>15878</v>
      </c>
      <c r="P70" s="22" t="s">
        <v>15879</v>
      </c>
      <c r="Q70" s="22">
        <v>91006</v>
      </c>
      <c r="R70" s="22" t="s">
        <v>15880</v>
      </c>
      <c r="S70" s="22" t="s">
        <v>15881</v>
      </c>
      <c r="T70" s="22">
        <v>8.17</v>
      </c>
      <c r="U70" s="22">
        <v>0.38</v>
      </c>
      <c r="X70" s="26"/>
      <c r="Y70" s="26"/>
    </row>
    <row r="71" spans="1:25" ht="25" x14ac:dyDescent="0.25">
      <c r="A71" s="21">
        <v>103</v>
      </c>
      <c r="B71" s="22" t="s">
        <v>15368</v>
      </c>
      <c r="C71" s="22" t="s">
        <v>15882</v>
      </c>
      <c r="D71" s="23">
        <v>333717</v>
      </c>
      <c r="E71" s="24">
        <v>1997</v>
      </c>
      <c r="F71" s="22" t="s">
        <v>15883</v>
      </c>
      <c r="G71" s="23" t="s">
        <v>15884</v>
      </c>
      <c r="H71" s="25" t="s">
        <v>15373</v>
      </c>
      <c r="I71" s="22" t="s">
        <v>15374</v>
      </c>
      <c r="J71" s="22" t="s">
        <v>16899</v>
      </c>
      <c r="K71" s="26">
        <f t="shared" si="1"/>
        <v>450</v>
      </c>
      <c r="N71" s="26">
        <v>675</v>
      </c>
      <c r="O71" s="22" t="s">
        <v>15885</v>
      </c>
      <c r="P71" s="22" t="s">
        <v>15376</v>
      </c>
      <c r="Q71" s="22">
        <v>90048</v>
      </c>
      <c r="R71" s="22" t="s">
        <v>15886</v>
      </c>
      <c r="S71" s="22" t="s">
        <v>15887</v>
      </c>
      <c r="T71" s="22">
        <v>6.9</v>
      </c>
      <c r="U71" s="22">
        <v>0.4</v>
      </c>
      <c r="X71" s="26"/>
      <c r="Y71" s="26"/>
    </row>
    <row r="72" spans="1:25" ht="25" x14ac:dyDescent="0.25">
      <c r="A72" s="21">
        <v>104</v>
      </c>
      <c r="B72" s="22" t="s">
        <v>15368</v>
      </c>
      <c r="C72" s="22" t="s">
        <v>16441</v>
      </c>
      <c r="D72" s="23">
        <v>363054</v>
      </c>
      <c r="E72" s="24">
        <v>1999</v>
      </c>
      <c r="F72" s="22" t="s">
        <v>16442</v>
      </c>
      <c r="G72" s="23" t="s">
        <v>16443</v>
      </c>
      <c r="H72" s="25" t="s">
        <v>15373</v>
      </c>
      <c r="I72" s="22" t="s">
        <v>15374</v>
      </c>
      <c r="J72" s="22" t="s">
        <v>16869</v>
      </c>
      <c r="K72" s="26">
        <f t="shared" si="1"/>
        <v>500</v>
      </c>
      <c r="L72" s="26">
        <v>500</v>
      </c>
      <c r="O72" s="22" t="s">
        <v>16444</v>
      </c>
      <c r="P72" s="22" t="s">
        <v>15376</v>
      </c>
      <c r="Q72" s="22">
        <v>90045</v>
      </c>
      <c r="R72" s="22" t="s">
        <v>16445</v>
      </c>
      <c r="S72" s="22" t="s">
        <v>16446</v>
      </c>
      <c r="T72" s="22">
        <v>6.9</v>
      </c>
      <c r="U72" s="22">
        <v>0.4</v>
      </c>
      <c r="X72" s="26"/>
      <c r="Y72" s="26"/>
    </row>
    <row r="73" spans="1:25" ht="25" x14ac:dyDescent="0.25">
      <c r="A73" s="21">
        <v>105</v>
      </c>
      <c r="B73" s="22" t="s">
        <v>15368</v>
      </c>
      <c r="C73" s="22" t="s">
        <v>16447</v>
      </c>
      <c r="D73" s="23">
        <v>375459</v>
      </c>
      <c r="E73" s="24">
        <v>2000</v>
      </c>
      <c r="F73" s="22" t="s">
        <v>16448</v>
      </c>
      <c r="G73" s="23" t="s">
        <v>16449</v>
      </c>
      <c r="H73" s="25" t="s">
        <v>15373</v>
      </c>
      <c r="I73" s="22" t="s">
        <v>15382</v>
      </c>
      <c r="J73" s="22" t="s">
        <v>16450</v>
      </c>
      <c r="K73" s="26">
        <f t="shared" si="1"/>
        <v>993.33333333333326</v>
      </c>
      <c r="N73" s="26">
        <v>1490</v>
      </c>
      <c r="O73" s="22" t="s">
        <v>16451</v>
      </c>
      <c r="P73" s="22" t="s">
        <v>15376</v>
      </c>
      <c r="Q73" s="22">
        <v>90045</v>
      </c>
      <c r="R73" s="22" t="s">
        <v>16452</v>
      </c>
      <c r="S73" s="22" t="s">
        <v>16446</v>
      </c>
      <c r="T73" s="22">
        <v>6.9</v>
      </c>
      <c r="U73" s="22">
        <v>0.4</v>
      </c>
      <c r="X73" s="26"/>
      <c r="Y73" s="26"/>
    </row>
    <row r="74" spans="1:25" ht="25" x14ac:dyDescent="0.25">
      <c r="A74" s="21">
        <v>106</v>
      </c>
      <c r="B74" s="22" t="s">
        <v>15368</v>
      </c>
      <c r="C74" s="22" t="s">
        <v>16453</v>
      </c>
      <c r="D74" s="23">
        <v>369569</v>
      </c>
      <c r="E74" s="24">
        <v>2000</v>
      </c>
      <c r="F74" s="22" t="s">
        <v>16454</v>
      </c>
      <c r="G74" s="23" t="s">
        <v>16455</v>
      </c>
      <c r="H74" s="25" t="s">
        <v>15373</v>
      </c>
      <c r="I74" s="22" t="s">
        <v>15374</v>
      </c>
      <c r="J74" s="22">
        <v>3406</v>
      </c>
      <c r="K74" s="26">
        <f t="shared" si="1"/>
        <v>345.33333333333331</v>
      </c>
      <c r="N74" s="26">
        <v>518</v>
      </c>
      <c r="O74" s="22" t="s">
        <v>16456</v>
      </c>
      <c r="P74" s="22" t="s">
        <v>16813</v>
      </c>
      <c r="Q74" s="22">
        <v>90212</v>
      </c>
      <c r="R74" s="22" t="s">
        <v>16457</v>
      </c>
      <c r="S74" s="22" t="s">
        <v>16458</v>
      </c>
      <c r="T74" s="22">
        <v>6.9</v>
      </c>
      <c r="U74" s="22">
        <v>0.4</v>
      </c>
      <c r="X74" s="26"/>
      <c r="Y74" s="26"/>
    </row>
    <row r="75" spans="1:25" ht="25" x14ac:dyDescent="0.25">
      <c r="A75" s="21">
        <v>108</v>
      </c>
      <c r="B75" s="22" t="s">
        <v>15368</v>
      </c>
      <c r="C75" s="22" t="s">
        <v>16459</v>
      </c>
      <c r="D75" s="23">
        <v>324294</v>
      </c>
      <c r="E75" s="24">
        <v>1996</v>
      </c>
      <c r="F75" s="22" t="s">
        <v>16460</v>
      </c>
      <c r="G75" s="23" t="s">
        <v>16461</v>
      </c>
      <c r="H75" s="25" t="s">
        <v>15373</v>
      </c>
      <c r="I75" s="22" t="s">
        <v>15411</v>
      </c>
      <c r="J75" s="22" t="s">
        <v>16462</v>
      </c>
      <c r="K75" s="26">
        <f t="shared" si="1"/>
        <v>1033.3333333333333</v>
      </c>
      <c r="N75" s="26">
        <v>1550</v>
      </c>
      <c r="O75" s="22" t="s">
        <v>16463</v>
      </c>
      <c r="P75" s="22" t="s">
        <v>16786</v>
      </c>
      <c r="Q75" s="22">
        <v>92806</v>
      </c>
      <c r="R75" s="22" t="s">
        <v>16464</v>
      </c>
      <c r="S75" s="22" t="s">
        <v>16465</v>
      </c>
      <c r="T75" s="22">
        <v>8.17</v>
      </c>
      <c r="U75" s="22">
        <v>0.38</v>
      </c>
      <c r="X75" s="26"/>
      <c r="Y75" s="26"/>
    </row>
    <row r="76" spans="1:25" ht="25" x14ac:dyDescent="0.25">
      <c r="A76" s="21">
        <v>109</v>
      </c>
      <c r="B76" s="22" t="s">
        <v>15368</v>
      </c>
      <c r="C76" s="22" t="s">
        <v>16466</v>
      </c>
      <c r="D76" s="23">
        <v>329665</v>
      </c>
      <c r="E76" s="24">
        <v>1997</v>
      </c>
      <c r="F76" s="22" t="s">
        <v>16467</v>
      </c>
      <c r="G76" s="23" t="s">
        <v>16468</v>
      </c>
      <c r="H76" s="25" t="s">
        <v>15373</v>
      </c>
      <c r="I76" s="22" t="s">
        <v>15411</v>
      </c>
      <c r="J76" s="22" t="s">
        <v>16469</v>
      </c>
      <c r="K76" s="26">
        <f t="shared" si="1"/>
        <v>1950</v>
      </c>
      <c r="N76" s="26">
        <v>2925</v>
      </c>
      <c r="O76" s="22" t="s">
        <v>16470</v>
      </c>
      <c r="P76" s="22" t="s">
        <v>16471</v>
      </c>
      <c r="Q76" s="22">
        <v>92324</v>
      </c>
      <c r="R76" s="22" t="s">
        <v>16472</v>
      </c>
      <c r="S76" s="22" t="s">
        <v>16473</v>
      </c>
      <c r="T76" s="22">
        <v>8.17</v>
      </c>
      <c r="U76" s="22">
        <v>0.38</v>
      </c>
      <c r="X76" s="26"/>
      <c r="Y76" s="26"/>
    </row>
    <row r="77" spans="1:25" ht="37.5" x14ac:dyDescent="0.25">
      <c r="A77" s="21">
        <v>110</v>
      </c>
      <c r="B77" s="22" t="s">
        <v>15368</v>
      </c>
      <c r="C77" s="22" t="s">
        <v>16466</v>
      </c>
      <c r="D77" s="23">
        <v>329670</v>
      </c>
      <c r="E77" s="24">
        <v>1997</v>
      </c>
      <c r="F77" s="22" t="s">
        <v>16474</v>
      </c>
      <c r="G77" s="23" t="s">
        <v>16475</v>
      </c>
      <c r="H77" s="25" t="s">
        <v>15373</v>
      </c>
      <c r="I77" s="22" t="s">
        <v>15411</v>
      </c>
      <c r="J77" s="22" t="s">
        <v>16469</v>
      </c>
      <c r="K77" s="26">
        <f t="shared" si="1"/>
        <v>1950</v>
      </c>
      <c r="N77" s="26">
        <v>2925</v>
      </c>
      <c r="O77" s="22" t="s">
        <v>16470</v>
      </c>
      <c r="P77" s="22" t="s">
        <v>16471</v>
      </c>
      <c r="Q77" s="22">
        <v>92324</v>
      </c>
      <c r="R77" s="22" t="s">
        <v>16472</v>
      </c>
      <c r="S77" s="22" t="s">
        <v>16473</v>
      </c>
      <c r="T77" s="22">
        <v>8.17</v>
      </c>
      <c r="U77" s="22">
        <v>0.38</v>
      </c>
      <c r="X77" s="26"/>
      <c r="Y77" s="26"/>
    </row>
    <row r="78" spans="1:25" ht="37.5" x14ac:dyDescent="0.25">
      <c r="A78" s="21">
        <v>111</v>
      </c>
      <c r="B78" s="22" t="s">
        <v>15368</v>
      </c>
      <c r="C78" s="22" t="s">
        <v>16466</v>
      </c>
      <c r="D78" s="23">
        <v>329672</v>
      </c>
      <c r="E78" s="24">
        <v>1997</v>
      </c>
      <c r="F78" s="22" t="s">
        <v>16476</v>
      </c>
      <c r="G78" s="23" t="s">
        <v>16477</v>
      </c>
      <c r="H78" s="25" t="s">
        <v>15373</v>
      </c>
      <c r="I78" s="22" t="s">
        <v>15411</v>
      </c>
      <c r="J78" s="22" t="s">
        <v>16469</v>
      </c>
      <c r="K78" s="26">
        <f t="shared" si="1"/>
        <v>1950</v>
      </c>
      <c r="N78" s="26">
        <v>2925</v>
      </c>
      <c r="O78" s="22" t="s">
        <v>16470</v>
      </c>
      <c r="P78" s="22" t="s">
        <v>16471</v>
      </c>
      <c r="Q78" s="22">
        <v>92324</v>
      </c>
      <c r="R78" s="22" t="s">
        <v>16472</v>
      </c>
      <c r="S78" s="22" t="s">
        <v>16473</v>
      </c>
      <c r="T78" s="22">
        <v>8.17</v>
      </c>
      <c r="U78" s="22">
        <v>0.38</v>
      </c>
      <c r="X78" s="26"/>
      <c r="Y78" s="26"/>
    </row>
    <row r="79" spans="1:25" ht="37.5" x14ac:dyDescent="0.25">
      <c r="A79" s="21">
        <v>112</v>
      </c>
      <c r="B79" s="22" t="s">
        <v>15368</v>
      </c>
      <c r="C79" s="22" t="s">
        <v>16466</v>
      </c>
      <c r="D79" s="23">
        <v>329674</v>
      </c>
      <c r="E79" s="24">
        <v>1997</v>
      </c>
      <c r="F79" s="22" t="s">
        <v>16478</v>
      </c>
      <c r="G79" s="23" t="s">
        <v>16479</v>
      </c>
      <c r="H79" s="25" t="s">
        <v>15373</v>
      </c>
      <c r="I79" s="22" t="s">
        <v>15411</v>
      </c>
      <c r="J79" s="22" t="s">
        <v>16469</v>
      </c>
      <c r="K79" s="26">
        <f t="shared" si="1"/>
        <v>1950</v>
      </c>
      <c r="N79" s="26">
        <v>2925</v>
      </c>
      <c r="O79" s="22" t="s">
        <v>16470</v>
      </c>
      <c r="P79" s="22" t="s">
        <v>16471</v>
      </c>
      <c r="Q79" s="22">
        <v>92324</v>
      </c>
      <c r="R79" s="22" t="s">
        <v>16472</v>
      </c>
      <c r="S79" s="22" t="s">
        <v>16473</v>
      </c>
      <c r="T79" s="22">
        <v>8.17</v>
      </c>
      <c r="U79" s="22">
        <v>0.38</v>
      </c>
      <c r="X79" s="26"/>
      <c r="Y79" s="26"/>
    </row>
    <row r="80" spans="1:25" ht="37.5" x14ac:dyDescent="0.25">
      <c r="A80" s="21">
        <v>113</v>
      </c>
      <c r="B80" s="22" t="s">
        <v>15368</v>
      </c>
      <c r="C80" s="22" t="s">
        <v>16466</v>
      </c>
      <c r="D80" s="23">
        <v>329675</v>
      </c>
      <c r="E80" s="24">
        <v>1997</v>
      </c>
      <c r="F80" s="22" t="s">
        <v>16480</v>
      </c>
      <c r="G80" s="23" t="s">
        <v>16481</v>
      </c>
      <c r="H80" s="25" t="s">
        <v>15373</v>
      </c>
      <c r="I80" s="22" t="s">
        <v>15411</v>
      </c>
      <c r="J80" s="22" t="s">
        <v>16469</v>
      </c>
      <c r="K80" s="26">
        <f t="shared" si="1"/>
        <v>1950</v>
      </c>
      <c r="N80" s="26">
        <v>2925</v>
      </c>
      <c r="O80" s="22" t="s">
        <v>16470</v>
      </c>
      <c r="P80" s="22" t="s">
        <v>16471</v>
      </c>
      <c r="Q80" s="22">
        <v>92324</v>
      </c>
      <c r="R80" s="22" t="s">
        <v>16472</v>
      </c>
      <c r="S80" s="22" t="s">
        <v>16473</v>
      </c>
      <c r="T80" s="22">
        <v>8.17</v>
      </c>
      <c r="U80" s="22">
        <v>0.38</v>
      </c>
      <c r="X80" s="26"/>
      <c r="Y80" s="26"/>
    </row>
    <row r="81" spans="1:25" ht="37.5" x14ac:dyDescent="0.25">
      <c r="A81" s="21">
        <v>114</v>
      </c>
      <c r="B81" s="22" t="s">
        <v>15368</v>
      </c>
      <c r="C81" s="22" t="s">
        <v>16466</v>
      </c>
      <c r="D81" s="23">
        <v>329677</v>
      </c>
      <c r="E81" s="24">
        <v>1997</v>
      </c>
      <c r="F81" s="22" t="s">
        <v>16482</v>
      </c>
      <c r="G81" s="23" t="s">
        <v>16483</v>
      </c>
      <c r="H81" s="25" t="s">
        <v>15373</v>
      </c>
      <c r="I81" s="22" t="s">
        <v>15411</v>
      </c>
      <c r="J81" s="22" t="s">
        <v>16469</v>
      </c>
      <c r="K81" s="26">
        <f t="shared" si="1"/>
        <v>1950</v>
      </c>
      <c r="N81" s="26">
        <v>2925</v>
      </c>
      <c r="O81" s="22" t="s">
        <v>16470</v>
      </c>
      <c r="P81" s="22" t="s">
        <v>16471</v>
      </c>
      <c r="Q81" s="22">
        <v>92324</v>
      </c>
      <c r="R81" s="22" t="s">
        <v>16472</v>
      </c>
      <c r="S81" s="22" t="s">
        <v>16473</v>
      </c>
      <c r="T81" s="22">
        <v>8.17</v>
      </c>
      <c r="U81" s="22">
        <v>0.38</v>
      </c>
      <c r="X81" s="26"/>
      <c r="Y81" s="26"/>
    </row>
    <row r="82" spans="1:25" ht="37.5" x14ac:dyDescent="0.25">
      <c r="A82" s="21">
        <v>115</v>
      </c>
      <c r="B82" s="22" t="s">
        <v>15368</v>
      </c>
      <c r="C82" s="22" t="s">
        <v>16466</v>
      </c>
      <c r="D82" s="23">
        <v>329678</v>
      </c>
      <c r="E82" s="24">
        <v>1997</v>
      </c>
      <c r="F82" s="22" t="s">
        <v>16484</v>
      </c>
      <c r="G82" s="23" t="s">
        <v>16485</v>
      </c>
      <c r="H82" s="25" t="s">
        <v>15373</v>
      </c>
      <c r="I82" s="22" t="s">
        <v>15411</v>
      </c>
      <c r="J82" s="22" t="s">
        <v>16469</v>
      </c>
      <c r="K82" s="26">
        <f t="shared" si="1"/>
        <v>1950</v>
      </c>
      <c r="N82" s="26">
        <v>2925</v>
      </c>
      <c r="O82" s="22" t="s">
        <v>16470</v>
      </c>
      <c r="P82" s="22" t="s">
        <v>16471</v>
      </c>
      <c r="Q82" s="22">
        <v>92324</v>
      </c>
      <c r="R82" s="22" t="s">
        <v>16472</v>
      </c>
      <c r="S82" s="22" t="s">
        <v>16473</v>
      </c>
      <c r="T82" s="22">
        <v>8.17</v>
      </c>
      <c r="U82" s="22">
        <v>0.38</v>
      </c>
      <c r="X82" s="26"/>
      <c r="Y82" s="26"/>
    </row>
    <row r="83" spans="1:25" ht="25" x14ac:dyDescent="0.25">
      <c r="A83" s="21">
        <v>120</v>
      </c>
      <c r="B83" s="22" t="s">
        <v>15368</v>
      </c>
      <c r="C83" s="22" t="s">
        <v>16486</v>
      </c>
      <c r="D83" s="23">
        <v>174856</v>
      </c>
      <c r="E83" s="24">
        <v>1988</v>
      </c>
      <c r="F83" s="22" t="s">
        <v>16487</v>
      </c>
      <c r="G83" s="23" t="s">
        <v>16488</v>
      </c>
      <c r="H83" s="25" t="s">
        <v>15373</v>
      </c>
      <c r="I83" s="22" t="s">
        <v>15374</v>
      </c>
      <c r="J83" s="22">
        <v>3508</v>
      </c>
      <c r="K83" s="26">
        <f t="shared" si="1"/>
        <v>900</v>
      </c>
      <c r="L83" s="26">
        <v>900</v>
      </c>
      <c r="O83" s="22" t="s">
        <v>16489</v>
      </c>
      <c r="P83" s="22" t="s">
        <v>16490</v>
      </c>
      <c r="Q83" s="22">
        <v>92401</v>
      </c>
      <c r="R83" s="22" t="s">
        <v>16491</v>
      </c>
      <c r="S83" s="22" t="s">
        <v>16492</v>
      </c>
      <c r="T83" s="22">
        <v>8.17</v>
      </c>
      <c r="U83" s="22">
        <v>0.38</v>
      </c>
      <c r="X83" s="26"/>
      <c r="Y83" s="26"/>
    </row>
    <row r="84" spans="1:25" ht="25" x14ac:dyDescent="0.25">
      <c r="A84" s="21">
        <v>121</v>
      </c>
      <c r="B84" s="22" t="s">
        <v>15368</v>
      </c>
      <c r="C84" s="22" t="s">
        <v>16486</v>
      </c>
      <c r="D84" s="23">
        <v>174857</v>
      </c>
      <c r="E84" s="24">
        <v>1988</v>
      </c>
      <c r="F84" s="22" t="s">
        <v>16493</v>
      </c>
      <c r="G84" s="23" t="s">
        <v>16494</v>
      </c>
      <c r="H84" s="25" t="s">
        <v>15373</v>
      </c>
      <c r="I84" s="22" t="s">
        <v>15374</v>
      </c>
      <c r="J84" s="22">
        <v>3508</v>
      </c>
      <c r="K84" s="26">
        <f t="shared" si="1"/>
        <v>900</v>
      </c>
      <c r="L84" s="26">
        <v>900</v>
      </c>
      <c r="O84" s="22" t="s">
        <v>16489</v>
      </c>
      <c r="P84" s="22" t="s">
        <v>16490</v>
      </c>
      <c r="Q84" s="22">
        <v>92401</v>
      </c>
      <c r="R84" s="22" t="s">
        <v>16491</v>
      </c>
      <c r="S84" s="22" t="s">
        <v>16492</v>
      </c>
      <c r="T84" s="22">
        <v>8.17</v>
      </c>
      <c r="U84" s="22">
        <v>0.38</v>
      </c>
      <c r="X84" s="26"/>
      <c r="Y84" s="26"/>
    </row>
    <row r="85" spans="1:25" ht="25" x14ac:dyDescent="0.25">
      <c r="A85" s="21">
        <v>122</v>
      </c>
      <c r="B85" s="22" t="s">
        <v>15368</v>
      </c>
      <c r="C85" s="22" t="s">
        <v>16486</v>
      </c>
      <c r="D85" s="23">
        <v>174858</v>
      </c>
      <c r="E85" s="24">
        <v>1988</v>
      </c>
      <c r="F85" s="22" t="s">
        <v>16495</v>
      </c>
      <c r="G85" s="23" t="s">
        <v>16494</v>
      </c>
      <c r="H85" s="25" t="s">
        <v>15373</v>
      </c>
      <c r="I85" s="22" t="s">
        <v>15374</v>
      </c>
      <c r="J85" s="22">
        <v>3508</v>
      </c>
      <c r="K85" s="26">
        <f t="shared" si="1"/>
        <v>900</v>
      </c>
      <c r="L85" s="26">
        <v>900</v>
      </c>
      <c r="O85" s="22" t="s">
        <v>16489</v>
      </c>
      <c r="P85" s="22" t="s">
        <v>16490</v>
      </c>
      <c r="Q85" s="22">
        <v>92401</v>
      </c>
      <c r="R85" s="22" t="s">
        <v>16491</v>
      </c>
      <c r="S85" s="22" t="s">
        <v>16492</v>
      </c>
      <c r="T85" s="22">
        <v>8.17</v>
      </c>
      <c r="U85" s="22">
        <v>0.38</v>
      </c>
      <c r="X85" s="26"/>
      <c r="Y85" s="26"/>
    </row>
    <row r="86" spans="1:25" ht="25" x14ac:dyDescent="0.25">
      <c r="A86" s="21">
        <v>123</v>
      </c>
      <c r="B86" s="22" t="s">
        <v>15368</v>
      </c>
      <c r="C86" s="22" t="s">
        <v>16486</v>
      </c>
      <c r="D86" s="23">
        <v>174859</v>
      </c>
      <c r="E86" s="24">
        <v>1988</v>
      </c>
      <c r="F86" s="22" t="s">
        <v>16496</v>
      </c>
      <c r="G86" s="23" t="s">
        <v>16494</v>
      </c>
      <c r="H86" s="25" t="s">
        <v>15373</v>
      </c>
      <c r="I86" s="22" t="s">
        <v>15374</v>
      </c>
      <c r="J86" s="22">
        <v>3508</v>
      </c>
      <c r="K86" s="26">
        <f t="shared" si="1"/>
        <v>900</v>
      </c>
      <c r="L86" s="26">
        <v>900</v>
      </c>
      <c r="O86" s="22" t="s">
        <v>16489</v>
      </c>
      <c r="P86" s="22" t="s">
        <v>16490</v>
      </c>
      <c r="Q86" s="22">
        <v>92401</v>
      </c>
      <c r="R86" s="22" t="s">
        <v>16491</v>
      </c>
      <c r="S86" s="22" t="s">
        <v>16492</v>
      </c>
      <c r="T86" s="22">
        <v>8.17</v>
      </c>
      <c r="U86" s="22">
        <v>0.38</v>
      </c>
      <c r="X86" s="26"/>
      <c r="Y86" s="26"/>
    </row>
    <row r="87" spans="1:25" ht="25" x14ac:dyDescent="0.25">
      <c r="A87" s="21">
        <v>124</v>
      </c>
      <c r="B87" s="22" t="s">
        <v>15368</v>
      </c>
      <c r="C87" s="22" t="s">
        <v>16781</v>
      </c>
      <c r="D87" s="23">
        <v>363510</v>
      </c>
      <c r="E87" s="24">
        <v>1999</v>
      </c>
      <c r="F87" s="22" t="s">
        <v>16497</v>
      </c>
      <c r="G87" s="23" t="s">
        <v>16498</v>
      </c>
      <c r="H87" s="25" t="s">
        <v>15373</v>
      </c>
      <c r="I87" s="22" t="s">
        <v>15382</v>
      </c>
      <c r="J87" s="22" t="s">
        <v>16784</v>
      </c>
      <c r="K87" s="26">
        <f t="shared" si="1"/>
        <v>503.33333333333331</v>
      </c>
      <c r="N87" s="26">
        <v>755</v>
      </c>
      <c r="O87" s="22" t="s">
        <v>16499</v>
      </c>
      <c r="P87" s="22" t="s">
        <v>16500</v>
      </c>
      <c r="Q87" s="22">
        <v>90247</v>
      </c>
      <c r="R87" s="22" t="s">
        <v>15950</v>
      </c>
      <c r="S87" s="22" t="s">
        <v>15951</v>
      </c>
      <c r="T87" s="22">
        <v>8.17</v>
      </c>
      <c r="U87" s="22">
        <v>0.38</v>
      </c>
      <c r="X87" s="26"/>
      <c r="Y87" s="26"/>
    </row>
    <row r="88" spans="1:25" ht="25" x14ac:dyDescent="0.25">
      <c r="A88" s="21">
        <v>125</v>
      </c>
      <c r="B88" s="22" t="s">
        <v>15368</v>
      </c>
      <c r="C88" s="22" t="s">
        <v>15952</v>
      </c>
      <c r="D88" s="23">
        <v>363513</v>
      </c>
      <c r="E88" s="24">
        <v>1999</v>
      </c>
      <c r="F88" s="22" t="s">
        <v>15953</v>
      </c>
      <c r="G88" s="23" t="s">
        <v>15954</v>
      </c>
      <c r="H88" s="25" t="s">
        <v>15373</v>
      </c>
      <c r="I88" s="22" t="s">
        <v>15382</v>
      </c>
      <c r="J88" s="22" t="s">
        <v>15955</v>
      </c>
      <c r="K88" s="26">
        <f t="shared" si="1"/>
        <v>750</v>
      </c>
      <c r="L88" s="26">
        <v>750</v>
      </c>
      <c r="O88" s="22" t="s">
        <v>15956</v>
      </c>
      <c r="P88" s="22" t="s">
        <v>15957</v>
      </c>
      <c r="Q88" s="22">
        <v>90040</v>
      </c>
      <c r="R88" s="22" t="s">
        <v>15958</v>
      </c>
      <c r="S88" s="22" t="s">
        <v>15959</v>
      </c>
      <c r="T88" s="22">
        <v>8.17</v>
      </c>
      <c r="U88" s="22">
        <v>0.38</v>
      </c>
      <c r="X88" s="26"/>
      <c r="Y88" s="26"/>
    </row>
    <row r="89" spans="1:25" ht="25" x14ac:dyDescent="0.25">
      <c r="A89" s="21">
        <v>126</v>
      </c>
      <c r="B89" s="22" t="s">
        <v>15368</v>
      </c>
      <c r="C89" s="22" t="s">
        <v>15960</v>
      </c>
      <c r="D89" s="23">
        <v>316368</v>
      </c>
      <c r="E89" s="24">
        <v>1996</v>
      </c>
      <c r="F89" s="22" t="s">
        <v>15961</v>
      </c>
      <c r="G89" s="23" t="s">
        <v>15962</v>
      </c>
      <c r="H89" s="25" t="s">
        <v>15373</v>
      </c>
      <c r="I89" s="22" t="s">
        <v>15374</v>
      </c>
      <c r="J89" s="22" t="s">
        <v>15420</v>
      </c>
      <c r="K89" s="26">
        <f t="shared" si="1"/>
        <v>1250</v>
      </c>
      <c r="L89" s="26">
        <v>1250</v>
      </c>
      <c r="O89" s="22" t="s">
        <v>15963</v>
      </c>
      <c r="P89" s="22" t="s">
        <v>15964</v>
      </c>
      <c r="Q89" s="22">
        <v>91105</v>
      </c>
      <c r="R89" s="22" t="s">
        <v>15965</v>
      </c>
      <c r="S89" s="22" t="s">
        <v>15966</v>
      </c>
      <c r="T89" s="22">
        <v>8.17</v>
      </c>
      <c r="U89" s="22">
        <v>0.38</v>
      </c>
      <c r="X89" s="26"/>
      <c r="Y89" s="26"/>
    </row>
    <row r="90" spans="1:25" ht="25" x14ac:dyDescent="0.25">
      <c r="A90" s="21">
        <v>127</v>
      </c>
      <c r="B90" s="22" t="s">
        <v>15368</v>
      </c>
      <c r="C90" s="22" t="s">
        <v>15967</v>
      </c>
      <c r="D90" s="23">
        <v>371398</v>
      </c>
      <c r="E90" s="24">
        <v>2000</v>
      </c>
      <c r="F90" s="22" t="s">
        <v>15968</v>
      </c>
      <c r="G90" s="23" t="s">
        <v>15969</v>
      </c>
      <c r="H90" s="25" t="s">
        <v>15373</v>
      </c>
      <c r="I90" s="22" t="s">
        <v>15374</v>
      </c>
      <c r="J90" s="22" t="s">
        <v>16869</v>
      </c>
      <c r="K90" s="26">
        <f t="shared" si="1"/>
        <v>1250</v>
      </c>
      <c r="L90" s="26">
        <v>1250</v>
      </c>
      <c r="O90" s="22" t="s">
        <v>15970</v>
      </c>
      <c r="P90" s="22" t="s">
        <v>15971</v>
      </c>
      <c r="Q90" s="22" t="s">
        <v>15972</v>
      </c>
      <c r="R90" s="22" t="s">
        <v>15973</v>
      </c>
      <c r="S90" s="22" t="s">
        <v>15974</v>
      </c>
      <c r="T90" s="22">
        <v>6.9</v>
      </c>
      <c r="U90" s="22">
        <v>0.4</v>
      </c>
      <c r="X90" s="26"/>
      <c r="Y90" s="26"/>
    </row>
    <row r="91" spans="1:25" ht="25" x14ac:dyDescent="0.25">
      <c r="A91" s="21">
        <v>128</v>
      </c>
      <c r="B91" s="22" t="s">
        <v>15368</v>
      </c>
      <c r="C91" s="22" t="s">
        <v>15967</v>
      </c>
      <c r="D91" s="23">
        <v>371829</v>
      </c>
      <c r="E91" s="24">
        <v>2000</v>
      </c>
      <c r="F91" s="22" t="s">
        <v>15975</v>
      </c>
      <c r="G91" s="23" t="s">
        <v>14634</v>
      </c>
      <c r="H91" s="25" t="s">
        <v>15373</v>
      </c>
      <c r="I91" s="22" t="s">
        <v>15374</v>
      </c>
      <c r="J91" s="22" t="s">
        <v>15400</v>
      </c>
      <c r="K91" s="26">
        <f t="shared" si="1"/>
        <v>1250</v>
      </c>
      <c r="L91" s="26">
        <v>1250</v>
      </c>
      <c r="O91" s="22" t="s">
        <v>15970</v>
      </c>
      <c r="P91" s="22" t="s">
        <v>15971</v>
      </c>
      <c r="Q91" s="22" t="s">
        <v>15972</v>
      </c>
      <c r="R91" s="22" t="s">
        <v>15973</v>
      </c>
      <c r="S91" s="22" t="s">
        <v>15974</v>
      </c>
      <c r="T91" s="22">
        <v>6.9</v>
      </c>
      <c r="U91" s="22">
        <v>0.4</v>
      </c>
      <c r="X91" s="26"/>
      <c r="Y91" s="26"/>
    </row>
    <row r="92" spans="1:25" ht="25" x14ac:dyDescent="0.25">
      <c r="A92" s="21">
        <v>129</v>
      </c>
      <c r="B92" s="22" t="s">
        <v>15368</v>
      </c>
      <c r="C92" s="22" t="s">
        <v>14635</v>
      </c>
      <c r="D92" s="23">
        <v>230432</v>
      </c>
      <c r="E92" s="24">
        <v>1990</v>
      </c>
      <c r="F92" s="22" t="s">
        <v>14636</v>
      </c>
      <c r="G92" s="23" t="s">
        <v>14637</v>
      </c>
      <c r="H92" s="25" t="s">
        <v>15373</v>
      </c>
      <c r="I92" s="22" t="s">
        <v>15374</v>
      </c>
      <c r="J92" s="22" t="s">
        <v>16856</v>
      </c>
      <c r="K92" s="26">
        <f t="shared" si="1"/>
        <v>733.33333333333326</v>
      </c>
      <c r="N92" s="26">
        <v>1100</v>
      </c>
      <c r="O92" s="22" t="s">
        <v>14638</v>
      </c>
      <c r="P92" s="22" t="s">
        <v>14639</v>
      </c>
      <c r="Q92" s="22">
        <v>90265</v>
      </c>
      <c r="R92" s="22" t="s">
        <v>14640</v>
      </c>
      <c r="S92" s="22" t="s">
        <v>14641</v>
      </c>
      <c r="T92" s="22">
        <v>8.17</v>
      </c>
      <c r="U92" s="22">
        <v>0.38</v>
      </c>
      <c r="X92" s="26"/>
      <c r="Y92" s="26"/>
    </row>
    <row r="93" spans="1:25" ht="37.5" x14ac:dyDescent="0.25">
      <c r="A93" s="21">
        <v>132</v>
      </c>
      <c r="B93" s="22" t="s">
        <v>15368</v>
      </c>
      <c r="C93" s="22" t="s">
        <v>14643</v>
      </c>
      <c r="D93" s="23">
        <v>371223</v>
      </c>
      <c r="E93" s="24">
        <v>2000</v>
      </c>
      <c r="F93" s="22" t="s">
        <v>14644</v>
      </c>
      <c r="G93" s="23" t="s">
        <v>14645</v>
      </c>
      <c r="H93" s="25" t="s">
        <v>15373</v>
      </c>
      <c r="I93" s="22" t="s">
        <v>15374</v>
      </c>
      <c r="J93" s="22" t="s">
        <v>15400</v>
      </c>
      <c r="K93" s="26">
        <f t="shared" si="1"/>
        <v>1204.6666666666665</v>
      </c>
      <c r="N93" s="26">
        <v>1807</v>
      </c>
      <c r="O93" s="22" t="s">
        <v>15963</v>
      </c>
      <c r="P93" s="22" t="s">
        <v>15964</v>
      </c>
      <c r="Q93" s="22" t="s">
        <v>14646</v>
      </c>
      <c r="R93" s="22" t="s">
        <v>14647</v>
      </c>
      <c r="S93" s="22" t="s">
        <v>14648</v>
      </c>
      <c r="T93" s="22">
        <v>6.9</v>
      </c>
      <c r="U93" s="22">
        <v>0.4</v>
      </c>
      <c r="X93" s="26"/>
      <c r="Y93" s="26"/>
    </row>
    <row r="94" spans="1:25" ht="25" x14ac:dyDescent="0.25">
      <c r="A94" s="21">
        <v>133</v>
      </c>
      <c r="B94" s="22" t="s">
        <v>15368</v>
      </c>
      <c r="C94" s="22" t="s">
        <v>14649</v>
      </c>
      <c r="D94" s="23">
        <v>233916</v>
      </c>
      <c r="E94" s="24">
        <v>1990</v>
      </c>
      <c r="F94" s="22" t="s">
        <v>14650</v>
      </c>
      <c r="G94" s="23" t="s">
        <v>14651</v>
      </c>
      <c r="H94" s="25" t="s">
        <v>15373</v>
      </c>
      <c r="I94" s="22" t="s">
        <v>15374</v>
      </c>
      <c r="J94" s="22">
        <v>3512</v>
      </c>
      <c r="K94" s="26">
        <f t="shared" si="1"/>
        <v>1445.3333333333333</v>
      </c>
      <c r="N94" s="26">
        <v>2168</v>
      </c>
      <c r="O94" s="22" t="s">
        <v>14652</v>
      </c>
      <c r="P94" s="22" t="s">
        <v>14653</v>
      </c>
      <c r="Q94" s="22">
        <v>91773</v>
      </c>
      <c r="R94" s="22" t="s">
        <v>14654</v>
      </c>
      <c r="S94" s="22" t="s">
        <v>14655</v>
      </c>
      <c r="T94" s="22">
        <v>8.17</v>
      </c>
      <c r="U94" s="22">
        <v>0.38</v>
      </c>
      <c r="X94" s="26"/>
      <c r="Y94" s="26"/>
    </row>
    <row r="95" spans="1:25" ht="25" x14ac:dyDescent="0.25">
      <c r="A95" s="21">
        <v>136</v>
      </c>
      <c r="B95" s="22" t="s">
        <v>15368</v>
      </c>
      <c r="C95" s="22" t="s">
        <v>14656</v>
      </c>
      <c r="D95" s="23">
        <v>345032</v>
      </c>
      <c r="E95" s="24">
        <v>1998</v>
      </c>
      <c r="F95" s="22" t="s">
        <v>14657</v>
      </c>
      <c r="G95" s="23" t="s">
        <v>14658</v>
      </c>
      <c r="H95" s="25" t="s">
        <v>15373</v>
      </c>
      <c r="I95" s="22" t="s">
        <v>15382</v>
      </c>
      <c r="J95" s="22" t="s">
        <v>14659</v>
      </c>
      <c r="K95" s="26">
        <f t="shared" si="1"/>
        <v>500</v>
      </c>
      <c r="N95" s="26">
        <v>750</v>
      </c>
      <c r="O95" s="22" t="s">
        <v>14660</v>
      </c>
      <c r="P95" s="22" t="s">
        <v>16853</v>
      </c>
      <c r="Q95" s="22" t="s">
        <v>14661</v>
      </c>
      <c r="R95" s="22" t="s">
        <v>14662</v>
      </c>
      <c r="S95" s="22" t="s">
        <v>14663</v>
      </c>
      <c r="T95" s="22">
        <v>6.9</v>
      </c>
      <c r="U95" s="22">
        <v>0.4</v>
      </c>
      <c r="X95" s="26"/>
      <c r="Y95" s="26"/>
    </row>
    <row r="96" spans="1:25" ht="25" x14ac:dyDescent="0.25">
      <c r="A96" s="21">
        <v>137</v>
      </c>
      <c r="B96" s="22" t="s">
        <v>15368</v>
      </c>
      <c r="C96" s="22" t="s">
        <v>14664</v>
      </c>
      <c r="D96" s="23">
        <v>343601</v>
      </c>
      <c r="E96" s="24">
        <v>1998</v>
      </c>
      <c r="F96" s="22" t="s">
        <v>14665</v>
      </c>
      <c r="G96" s="23" t="s">
        <v>14666</v>
      </c>
      <c r="H96" s="25" t="s">
        <v>15373</v>
      </c>
      <c r="I96" s="22" t="s">
        <v>15374</v>
      </c>
      <c r="J96" s="22">
        <v>3412</v>
      </c>
      <c r="K96" s="26">
        <f t="shared" si="1"/>
        <v>593.33333333333326</v>
      </c>
      <c r="N96" s="26">
        <v>890</v>
      </c>
      <c r="O96" s="22" t="s">
        <v>14667</v>
      </c>
      <c r="P96" s="22" t="s">
        <v>15376</v>
      </c>
      <c r="Q96" s="22" t="s">
        <v>14668</v>
      </c>
      <c r="R96" s="22" t="s">
        <v>14669</v>
      </c>
      <c r="S96" s="22" t="s">
        <v>14670</v>
      </c>
      <c r="T96" s="22">
        <v>8.17</v>
      </c>
      <c r="U96" s="22">
        <v>0.38</v>
      </c>
      <c r="X96" s="26"/>
      <c r="Y96" s="26"/>
    </row>
    <row r="97" spans="1:25" ht="25" x14ac:dyDescent="0.25">
      <c r="A97" s="21">
        <v>138</v>
      </c>
      <c r="B97" s="22" t="s">
        <v>15368</v>
      </c>
      <c r="C97" s="22" t="s">
        <v>14664</v>
      </c>
      <c r="D97" s="23">
        <v>343602</v>
      </c>
      <c r="E97" s="24">
        <v>1998</v>
      </c>
      <c r="F97" s="22" t="s">
        <v>14671</v>
      </c>
      <c r="G97" s="23" t="s">
        <v>14672</v>
      </c>
      <c r="H97" s="25" t="s">
        <v>15373</v>
      </c>
      <c r="I97" s="22" t="s">
        <v>15374</v>
      </c>
      <c r="J97" s="22">
        <v>3412</v>
      </c>
      <c r="K97" s="26">
        <f t="shared" si="1"/>
        <v>593.33333333333326</v>
      </c>
      <c r="N97" s="26">
        <v>890</v>
      </c>
      <c r="O97" s="22" t="s">
        <v>14667</v>
      </c>
      <c r="P97" s="22" t="s">
        <v>15376</v>
      </c>
      <c r="Q97" s="22">
        <v>90017</v>
      </c>
      <c r="R97" s="22" t="s">
        <v>14669</v>
      </c>
      <c r="S97" s="22" t="s">
        <v>14670</v>
      </c>
      <c r="T97" s="22">
        <v>8.17</v>
      </c>
      <c r="U97" s="22">
        <v>0.38</v>
      </c>
      <c r="X97" s="26"/>
      <c r="Y97" s="26"/>
    </row>
    <row r="98" spans="1:25" ht="25" x14ac:dyDescent="0.25">
      <c r="A98" s="21">
        <v>139</v>
      </c>
      <c r="B98" s="22" t="s">
        <v>15368</v>
      </c>
      <c r="C98" s="22" t="s">
        <v>14664</v>
      </c>
      <c r="D98" s="23">
        <v>343603</v>
      </c>
      <c r="E98" s="24">
        <v>1998</v>
      </c>
      <c r="F98" s="22" t="s">
        <v>14673</v>
      </c>
      <c r="G98" s="23" t="s">
        <v>14674</v>
      </c>
      <c r="H98" s="25" t="s">
        <v>15373</v>
      </c>
      <c r="I98" s="22" t="s">
        <v>15382</v>
      </c>
      <c r="J98" s="22" t="s">
        <v>15829</v>
      </c>
      <c r="K98" s="26">
        <f t="shared" si="1"/>
        <v>993.33333333333326</v>
      </c>
      <c r="N98" s="26">
        <v>1490</v>
      </c>
      <c r="O98" s="22" t="s">
        <v>14667</v>
      </c>
      <c r="P98" s="22" t="s">
        <v>15376</v>
      </c>
      <c r="Q98" s="22">
        <v>90017</v>
      </c>
      <c r="R98" s="22" t="s">
        <v>14669</v>
      </c>
      <c r="S98" s="22" t="s">
        <v>14670</v>
      </c>
      <c r="T98" s="22">
        <v>8.17</v>
      </c>
      <c r="U98" s="22">
        <v>0.38</v>
      </c>
      <c r="X98" s="26"/>
      <c r="Y98" s="26"/>
    </row>
    <row r="99" spans="1:25" ht="25" x14ac:dyDescent="0.25">
      <c r="A99" s="21">
        <v>140</v>
      </c>
      <c r="B99" s="22" t="s">
        <v>15368</v>
      </c>
      <c r="C99" s="22" t="s">
        <v>14675</v>
      </c>
      <c r="D99" s="23">
        <v>166329</v>
      </c>
      <c r="E99" s="24">
        <v>1988</v>
      </c>
      <c r="F99" s="22" t="s">
        <v>14676</v>
      </c>
      <c r="G99" s="23" t="s">
        <v>14677</v>
      </c>
      <c r="H99" s="25" t="s">
        <v>15373</v>
      </c>
      <c r="I99" s="22" t="s">
        <v>15411</v>
      </c>
      <c r="J99" s="22" t="s">
        <v>14678</v>
      </c>
      <c r="K99" s="26">
        <f t="shared" si="1"/>
        <v>900</v>
      </c>
      <c r="N99" s="26">
        <v>1350</v>
      </c>
      <c r="O99" s="22" t="s">
        <v>14679</v>
      </c>
      <c r="P99" s="22" t="s">
        <v>15414</v>
      </c>
      <c r="Q99" s="22">
        <v>91203</v>
      </c>
      <c r="R99" s="22" t="s">
        <v>14680</v>
      </c>
      <c r="S99" s="22" t="s">
        <v>14681</v>
      </c>
      <c r="T99" s="22">
        <v>8.17</v>
      </c>
      <c r="U99" s="22">
        <v>0.38</v>
      </c>
      <c r="X99" s="26"/>
      <c r="Y99" s="26"/>
    </row>
    <row r="100" spans="1:25" ht="25" x14ac:dyDescent="0.25">
      <c r="A100" s="21">
        <v>141</v>
      </c>
      <c r="B100" s="22" t="s">
        <v>15368</v>
      </c>
      <c r="C100" s="22" t="s">
        <v>14675</v>
      </c>
      <c r="D100" s="23">
        <v>166330</v>
      </c>
      <c r="E100" s="24">
        <v>1988</v>
      </c>
      <c r="F100" s="22" t="s">
        <v>14682</v>
      </c>
      <c r="G100" s="23" t="s">
        <v>14683</v>
      </c>
      <c r="H100" s="25" t="s">
        <v>15373</v>
      </c>
      <c r="I100" s="22" t="s">
        <v>15411</v>
      </c>
      <c r="J100" s="22" t="s">
        <v>14684</v>
      </c>
      <c r="K100" s="26">
        <f t="shared" si="1"/>
        <v>900</v>
      </c>
      <c r="N100" s="26">
        <v>1350</v>
      </c>
      <c r="O100" s="22" t="s">
        <v>14679</v>
      </c>
      <c r="P100" s="22" t="s">
        <v>15414</v>
      </c>
      <c r="Q100" s="22">
        <v>91203</v>
      </c>
      <c r="R100" s="22" t="s">
        <v>14680</v>
      </c>
      <c r="S100" s="22" t="s">
        <v>14681</v>
      </c>
      <c r="T100" s="22">
        <v>8.17</v>
      </c>
      <c r="U100" s="22">
        <v>0.38</v>
      </c>
      <c r="X100" s="26"/>
      <c r="Y100" s="26"/>
    </row>
    <row r="101" spans="1:25" ht="25" x14ac:dyDescent="0.25">
      <c r="A101" s="21">
        <v>144</v>
      </c>
      <c r="B101" s="22" t="s">
        <v>15368</v>
      </c>
      <c r="C101" s="22" t="s">
        <v>14685</v>
      </c>
      <c r="D101" s="23">
        <v>259786</v>
      </c>
      <c r="E101" s="24">
        <v>1991</v>
      </c>
      <c r="F101" s="22" t="s">
        <v>14686</v>
      </c>
      <c r="G101" s="23" t="s">
        <v>14687</v>
      </c>
      <c r="H101" s="25" t="s">
        <v>15373</v>
      </c>
      <c r="I101" s="22" t="s">
        <v>15411</v>
      </c>
      <c r="J101" s="22" t="s">
        <v>16331</v>
      </c>
      <c r="K101" s="26">
        <f t="shared" si="1"/>
        <v>730</v>
      </c>
      <c r="N101" s="26">
        <v>1095</v>
      </c>
      <c r="O101" s="22" t="s">
        <v>14688</v>
      </c>
      <c r="P101" s="22" t="s">
        <v>16819</v>
      </c>
      <c r="Q101" s="22">
        <v>91101</v>
      </c>
      <c r="R101" s="22" t="s">
        <v>14689</v>
      </c>
      <c r="S101" s="22" t="s">
        <v>14690</v>
      </c>
      <c r="T101" s="22">
        <v>8.17</v>
      </c>
      <c r="U101" s="22">
        <v>0.38</v>
      </c>
      <c r="X101" s="26"/>
      <c r="Y101" s="26"/>
    </row>
    <row r="102" spans="1:25" ht="25" x14ac:dyDescent="0.25">
      <c r="A102" s="21">
        <v>145</v>
      </c>
      <c r="B102" s="22" t="s">
        <v>15368</v>
      </c>
      <c r="C102" s="22" t="s">
        <v>14691</v>
      </c>
      <c r="D102" s="23">
        <v>335942</v>
      </c>
      <c r="E102" s="24">
        <v>1998</v>
      </c>
      <c r="F102" s="22" t="s">
        <v>14692</v>
      </c>
      <c r="G102" s="23" t="s">
        <v>14693</v>
      </c>
      <c r="H102" s="25" t="s">
        <v>15373</v>
      </c>
      <c r="I102" s="22" t="s">
        <v>15382</v>
      </c>
      <c r="J102" s="22" t="s">
        <v>16784</v>
      </c>
      <c r="K102" s="26">
        <f t="shared" si="1"/>
        <v>503.33333333333331</v>
      </c>
      <c r="N102" s="26">
        <v>755</v>
      </c>
      <c r="O102" s="22" t="s">
        <v>14694</v>
      </c>
      <c r="P102" s="22" t="s">
        <v>15376</v>
      </c>
      <c r="Q102" s="22" t="s">
        <v>14695</v>
      </c>
      <c r="R102" s="22" t="s">
        <v>14696</v>
      </c>
      <c r="S102" s="22" t="s">
        <v>14697</v>
      </c>
      <c r="T102" s="22">
        <v>8.17</v>
      </c>
      <c r="U102" s="22">
        <v>0.38</v>
      </c>
      <c r="X102" s="26"/>
      <c r="Y102" s="26"/>
    </row>
    <row r="103" spans="1:25" ht="25" x14ac:dyDescent="0.25">
      <c r="A103" s="21">
        <v>146</v>
      </c>
      <c r="B103" s="22" t="s">
        <v>15368</v>
      </c>
      <c r="C103" s="22" t="s">
        <v>14691</v>
      </c>
      <c r="D103" s="23">
        <v>335943</v>
      </c>
      <c r="E103" s="24">
        <v>1998</v>
      </c>
      <c r="F103" s="22" t="s">
        <v>14698</v>
      </c>
      <c r="G103" s="23" t="s">
        <v>14699</v>
      </c>
      <c r="H103" s="25" t="s">
        <v>15373</v>
      </c>
      <c r="I103" s="22" t="s">
        <v>15382</v>
      </c>
      <c r="J103" s="22" t="s">
        <v>16784</v>
      </c>
      <c r="K103" s="26">
        <f t="shared" si="1"/>
        <v>503.33333333333331</v>
      </c>
      <c r="N103" s="26">
        <v>755</v>
      </c>
      <c r="O103" s="22" t="s">
        <v>14694</v>
      </c>
      <c r="P103" s="22" t="s">
        <v>15376</v>
      </c>
      <c r="Q103" s="22" t="s">
        <v>14695</v>
      </c>
      <c r="R103" s="22" t="s">
        <v>14696</v>
      </c>
      <c r="S103" s="22" t="s">
        <v>14697</v>
      </c>
      <c r="T103" s="22">
        <v>8.17</v>
      </c>
      <c r="U103" s="22">
        <v>0.38</v>
      </c>
      <c r="X103" s="26"/>
      <c r="Y103" s="26"/>
    </row>
    <row r="104" spans="1:25" ht="37.5" x14ac:dyDescent="0.25">
      <c r="A104" s="21">
        <v>147</v>
      </c>
      <c r="B104" s="22" t="s">
        <v>15368</v>
      </c>
      <c r="C104" s="22" t="s">
        <v>14700</v>
      </c>
      <c r="D104" s="23">
        <v>118961</v>
      </c>
      <c r="E104" s="24">
        <v>1984</v>
      </c>
      <c r="F104" s="22" t="s">
        <v>14701</v>
      </c>
      <c r="G104" s="23" t="s">
        <v>14702</v>
      </c>
      <c r="H104" s="25" t="s">
        <v>15373</v>
      </c>
      <c r="I104" s="22" t="s">
        <v>15382</v>
      </c>
      <c r="J104" s="22" t="s">
        <v>14703</v>
      </c>
      <c r="K104" s="26">
        <f t="shared" si="1"/>
        <v>415</v>
      </c>
      <c r="L104" s="26">
        <v>415</v>
      </c>
      <c r="O104" s="22" t="s">
        <v>14704</v>
      </c>
      <c r="P104" s="22" t="s">
        <v>15376</v>
      </c>
      <c r="Q104" s="22">
        <v>90039</v>
      </c>
      <c r="R104" s="22" t="s">
        <v>14705</v>
      </c>
      <c r="S104" s="22" t="s">
        <v>14706</v>
      </c>
      <c r="T104" s="22">
        <v>11</v>
      </c>
      <c r="U104" s="22">
        <v>0.53</v>
      </c>
      <c r="X104" s="26"/>
      <c r="Y104" s="26"/>
    </row>
    <row r="105" spans="1:25" ht="37.5" x14ac:dyDescent="0.25">
      <c r="A105" s="21">
        <v>148</v>
      </c>
      <c r="B105" s="22" t="s">
        <v>15368</v>
      </c>
      <c r="C105" s="22" t="s">
        <v>14700</v>
      </c>
      <c r="D105" s="23">
        <v>341055</v>
      </c>
      <c r="E105" s="24">
        <v>1998</v>
      </c>
      <c r="F105" s="22" t="s">
        <v>14707</v>
      </c>
      <c r="G105" s="23" t="s">
        <v>14708</v>
      </c>
      <c r="H105" s="25" t="s">
        <v>15373</v>
      </c>
      <c r="I105" s="22" t="s">
        <v>15374</v>
      </c>
      <c r="J105" s="22" t="s">
        <v>14709</v>
      </c>
      <c r="K105" s="26">
        <f t="shared" si="1"/>
        <v>500</v>
      </c>
      <c r="L105" s="26">
        <v>500</v>
      </c>
      <c r="O105" s="22" t="s">
        <v>14710</v>
      </c>
      <c r="P105" s="22" t="s">
        <v>14711</v>
      </c>
      <c r="Q105" s="22">
        <v>91406</v>
      </c>
      <c r="R105" s="22" t="s">
        <v>14705</v>
      </c>
      <c r="S105" s="22" t="s">
        <v>14706</v>
      </c>
      <c r="T105" s="22">
        <v>6.9</v>
      </c>
      <c r="U105" s="22">
        <v>0.4</v>
      </c>
      <c r="X105" s="26"/>
      <c r="Y105" s="26"/>
    </row>
    <row r="106" spans="1:25" ht="25" x14ac:dyDescent="0.25">
      <c r="A106" s="21">
        <v>150</v>
      </c>
      <c r="B106" s="22" t="s">
        <v>15368</v>
      </c>
      <c r="C106" s="22" t="s">
        <v>14713</v>
      </c>
      <c r="D106" s="23">
        <v>379765</v>
      </c>
      <c r="E106" s="24">
        <v>2001</v>
      </c>
      <c r="F106" s="22" t="s">
        <v>14714</v>
      </c>
      <c r="G106" s="23" t="s">
        <v>14715</v>
      </c>
      <c r="H106" s="25" t="s">
        <v>15373</v>
      </c>
      <c r="I106" s="22" t="s">
        <v>15382</v>
      </c>
      <c r="J106" s="22" t="s">
        <v>14716</v>
      </c>
      <c r="K106" s="26">
        <f t="shared" si="1"/>
        <v>600</v>
      </c>
      <c r="N106" s="26">
        <v>900</v>
      </c>
      <c r="O106" s="22" t="s">
        <v>14717</v>
      </c>
      <c r="P106" s="22" t="s">
        <v>16853</v>
      </c>
      <c r="Q106" s="22">
        <v>92606</v>
      </c>
      <c r="R106" s="22" t="s">
        <v>14718</v>
      </c>
      <c r="S106" s="22" t="s">
        <v>14719</v>
      </c>
      <c r="T106" s="22">
        <v>6.9</v>
      </c>
      <c r="U106" s="22">
        <v>0.4</v>
      </c>
      <c r="X106" s="26"/>
      <c r="Y106" s="26"/>
    </row>
    <row r="107" spans="1:25" ht="37.5" x14ac:dyDescent="0.25">
      <c r="A107" s="21">
        <v>151</v>
      </c>
      <c r="B107" s="22" t="s">
        <v>15368</v>
      </c>
      <c r="C107" s="22" t="s">
        <v>14720</v>
      </c>
      <c r="D107" s="23">
        <v>314420</v>
      </c>
      <c r="E107" s="24">
        <v>1996</v>
      </c>
      <c r="F107" s="22" t="s">
        <v>14721</v>
      </c>
      <c r="G107" s="23" t="s">
        <v>14722</v>
      </c>
      <c r="H107" s="25" t="s">
        <v>15373</v>
      </c>
      <c r="I107" s="22" t="s">
        <v>15382</v>
      </c>
      <c r="J107" s="22" t="s">
        <v>14723</v>
      </c>
      <c r="K107" s="26">
        <f t="shared" si="1"/>
        <v>466.66666666666663</v>
      </c>
      <c r="N107" s="26">
        <v>700</v>
      </c>
      <c r="O107" s="22" t="s">
        <v>14724</v>
      </c>
      <c r="P107" s="22" t="s">
        <v>14725</v>
      </c>
      <c r="Q107" s="22" t="s">
        <v>14726</v>
      </c>
      <c r="R107" s="22" t="s">
        <v>14727</v>
      </c>
      <c r="S107" s="22" t="s">
        <v>14728</v>
      </c>
      <c r="T107" s="22">
        <v>6.9</v>
      </c>
      <c r="U107" s="22">
        <v>0.4</v>
      </c>
      <c r="X107" s="26"/>
      <c r="Y107" s="26"/>
    </row>
    <row r="108" spans="1:25" ht="25" x14ac:dyDescent="0.25">
      <c r="A108" s="21">
        <v>152</v>
      </c>
      <c r="B108" s="22" t="s">
        <v>15368</v>
      </c>
      <c r="C108" s="22" t="s">
        <v>14729</v>
      </c>
      <c r="D108" s="23">
        <v>361902</v>
      </c>
      <c r="E108" s="24">
        <v>1999</v>
      </c>
      <c r="F108" s="22" t="s">
        <v>14730</v>
      </c>
      <c r="G108" s="23" t="s">
        <v>14731</v>
      </c>
      <c r="H108" s="25" t="s">
        <v>15373</v>
      </c>
      <c r="I108" s="22" t="s">
        <v>15382</v>
      </c>
      <c r="J108" s="22" t="s">
        <v>15383</v>
      </c>
      <c r="K108" s="26">
        <f t="shared" si="1"/>
        <v>800</v>
      </c>
      <c r="L108" s="26">
        <v>800</v>
      </c>
      <c r="O108" s="22" t="s">
        <v>14732</v>
      </c>
      <c r="P108" s="22" t="s">
        <v>14733</v>
      </c>
      <c r="Q108" s="22">
        <v>92821</v>
      </c>
      <c r="R108" s="22" t="s">
        <v>14734</v>
      </c>
      <c r="S108" s="22" t="s">
        <v>14735</v>
      </c>
      <c r="T108" s="22">
        <v>8.17</v>
      </c>
      <c r="U108" s="22">
        <v>0.38</v>
      </c>
      <c r="X108" s="26"/>
      <c r="Y108" s="26"/>
    </row>
    <row r="109" spans="1:25" ht="25" x14ac:dyDescent="0.25">
      <c r="A109" s="21">
        <v>154</v>
      </c>
      <c r="B109" s="22" t="s">
        <v>15368</v>
      </c>
      <c r="C109" s="22" t="s">
        <v>14736</v>
      </c>
      <c r="D109" s="23">
        <v>246236</v>
      </c>
      <c r="E109" s="24">
        <v>1991</v>
      </c>
      <c r="F109" s="22" t="s">
        <v>14737</v>
      </c>
      <c r="G109" s="23" t="s">
        <v>14738</v>
      </c>
      <c r="H109" s="25" t="s">
        <v>15373</v>
      </c>
      <c r="I109" s="22" t="s">
        <v>15411</v>
      </c>
      <c r="J109" s="22" t="s">
        <v>15412</v>
      </c>
      <c r="K109" s="26">
        <f t="shared" si="1"/>
        <v>631.33333333333326</v>
      </c>
      <c r="N109" s="26">
        <v>947</v>
      </c>
      <c r="O109" s="22" t="s">
        <v>14739</v>
      </c>
      <c r="P109" s="22" t="s">
        <v>15683</v>
      </c>
      <c r="Q109" s="22">
        <v>91355</v>
      </c>
      <c r="R109" s="22" t="s">
        <v>14740</v>
      </c>
      <c r="S109" s="22" t="s">
        <v>14741</v>
      </c>
      <c r="T109" s="22">
        <v>8.17</v>
      </c>
      <c r="U109" s="22">
        <v>0.38</v>
      </c>
      <c r="X109" s="26"/>
      <c r="Y109" s="26"/>
    </row>
    <row r="110" spans="1:25" ht="25" x14ac:dyDescent="0.25">
      <c r="A110" s="21">
        <v>155</v>
      </c>
      <c r="B110" s="22" t="s">
        <v>15368</v>
      </c>
      <c r="C110" s="22" t="s">
        <v>14742</v>
      </c>
      <c r="D110" s="23">
        <v>204755</v>
      </c>
      <c r="E110" s="24">
        <v>1989</v>
      </c>
      <c r="F110" s="22" t="s">
        <v>14743</v>
      </c>
      <c r="G110" s="23" t="s">
        <v>14744</v>
      </c>
      <c r="H110" s="25" t="s">
        <v>15373</v>
      </c>
      <c r="I110" s="22" t="s">
        <v>15374</v>
      </c>
      <c r="J110" s="22" t="s">
        <v>16899</v>
      </c>
      <c r="K110" s="26">
        <f t="shared" si="1"/>
        <v>737.33333333333326</v>
      </c>
      <c r="N110" s="26">
        <v>1106</v>
      </c>
      <c r="O110" s="22" t="s">
        <v>14745</v>
      </c>
      <c r="P110" s="22" t="s">
        <v>14746</v>
      </c>
      <c r="Q110" s="22">
        <v>91719</v>
      </c>
      <c r="R110" s="22" t="s">
        <v>14747</v>
      </c>
      <c r="S110" s="22" t="s">
        <v>14748</v>
      </c>
      <c r="T110" s="22">
        <v>8.17</v>
      </c>
      <c r="U110" s="22">
        <v>0.38</v>
      </c>
      <c r="X110" s="26"/>
      <c r="Y110" s="26"/>
    </row>
    <row r="111" spans="1:25" ht="25" x14ac:dyDescent="0.25">
      <c r="A111" s="21">
        <v>156</v>
      </c>
      <c r="B111" s="22" t="s">
        <v>15368</v>
      </c>
      <c r="C111" s="22" t="s">
        <v>14749</v>
      </c>
      <c r="D111" s="23">
        <v>232183</v>
      </c>
      <c r="E111" s="24">
        <v>1990</v>
      </c>
      <c r="F111" s="22" t="s">
        <v>14750</v>
      </c>
      <c r="G111" s="23" t="s">
        <v>14751</v>
      </c>
      <c r="H111" s="25" t="s">
        <v>15373</v>
      </c>
      <c r="I111" s="22" t="s">
        <v>15374</v>
      </c>
      <c r="J111" s="22">
        <v>3508</v>
      </c>
      <c r="K111" s="26">
        <f t="shared" si="1"/>
        <v>737.33333333333326</v>
      </c>
      <c r="N111" s="26">
        <v>1106</v>
      </c>
      <c r="O111" s="22" t="s">
        <v>16109</v>
      </c>
      <c r="P111" s="22" t="s">
        <v>16813</v>
      </c>
      <c r="Q111" s="22" t="s">
        <v>16110</v>
      </c>
      <c r="R111" s="22" t="s">
        <v>16111</v>
      </c>
      <c r="S111" s="22" t="s">
        <v>16112</v>
      </c>
      <c r="T111" s="22">
        <v>8.17</v>
      </c>
      <c r="U111" s="22">
        <v>0.38</v>
      </c>
      <c r="X111" s="26"/>
      <c r="Y111" s="26"/>
    </row>
    <row r="112" spans="1:25" ht="25" x14ac:dyDescent="0.25">
      <c r="A112" s="21">
        <v>157</v>
      </c>
      <c r="B112" s="22" t="s">
        <v>15368</v>
      </c>
      <c r="C112" s="22" t="s">
        <v>14749</v>
      </c>
      <c r="D112" s="23">
        <v>232184</v>
      </c>
      <c r="E112" s="24">
        <v>1990</v>
      </c>
      <c r="F112" s="22" t="s">
        <v>16113</v>
      </c>
      <c r="G112" s="23" t="s">
        <v>16114</v>
      </c>
      <c r="H112" s="25" t="s">
        <v>15373</v>
      </c>
      <c r="I112" s="22" t="s">
        <v>15374</v>
      </c>
      <c r="J112" s="22">
        <v>3412</v>
      </c>
      <c r="K112" s="26">
        <f t="shared" si="1"/>
        <v>593.33333333333326</v>
      </c>
      <c r="N112" s="26">
        <v>890</v>
      </c>
      <c r="O112" s="22" t="s">
        <v>16109</v>
      </c>
      <c r="P112" s="22" t="s">
        <v>16813</v>
      </c>
      <c r="Q112" s="22" t="s">
        <v>16110</v>
      </c>
      <c r="R112" s="22" t="s">
        <v>16111</v>
      </c>
      <c r="S112" s="22" t="s">
        <v>16112</v>
      </c>
      <c r="T112" s="22">
        <v>8.17</v>
      </c>
      <c r="U112" s="22">
        <v>0.38</v>
      </c>
      <c r="X112" s="26"/>
      <c r="Y112" s="26"/>
    </row>
    <row r="113" spans="1:25" ht="25" x14ac:dyDescent="0.25">
      <c r="A113" s="21">
        <v>158</v>
      </c>
      <c r="B113" s="22" t="s">
        <v>15368</v>
      </c>
      <c r="C113" s="22" t="s">
        <v>16115</v>
      </c>
      <c r="D113" s="23">
        <v>373616</v>
      </c>
      <c r="E113" s="24">
        <v>2000</v>
      </c>
      <c r="F113" s="22" t="s">
        <v>16116</v>
      </c>
      <c r="G113" s="23" t="s">
        <v>16117</v>
      </c>
      <c r="H113" s="25" t="s">
        <v>15373</v>
      </c>
      <c r="I113" s="22" t="s">
        <v>15374</v>
      </c>
      <c r="J113" s="22" t="s">
        <v>14709</v>
      </c>
      <c r="K113" s="26">
        <f t="shared" si="1"/>
        <v>600</v>
      </c>
      <c r="L113" s="26">
        <v>600</v>
      </c>
      <c r="O113" s="22" t="s">
        <v>16118</v>
      </c>
      <c r="P113" s="22" t="s">
        <v>16813</v>
      </c>
      <c r="Q113" s="22" t="s">
        <v>16110</v>
      </c>
      <c r="R113" s="22" t="s">
        <v>16119</v>
      </c>
      <c r="S113" s="22" t="s">
        <v>16120</v>
      </c>
      <c r="T113" s="22">
        <v>6.9</v>
      </c>
      <c r="U113" s="22">
        <v>0.4</v>
      </c>
      <c r="X113" s="26"/>
      <c r="Y113" s="26"/>
    </row>
    <row r="114" spans="1:25" ht="37.5" x14ac:dyDescent="0.25">
      <c r="A114" s="21">
        <v>160</v>
      </c>
      <c r="B114" s="22" t="s">
        <v>15368</v>
      </c>
      <c r="C114" s="22" t="s">
        <v>16123</v>
      </c>
      <c r="D114" s="23">
        <v>356202</v>
      </c>
      <c r="E114" s="24">
        <v>1999</v>
      </c>
      <c r="F114" s="22" t="s">
        <v>16124</v>
      </c>
      <c r="G114" s="23" t="s">
        <v>16125</v>
      </c>
      <c r="H114" s="25" t="s">
        <v>15373</v>
      </c>
      <c r="I114" s="22" t="s">
        <v>15374</v>
      </c>
      <c r="J114" s="22">
        <v>3508</v>
      </c>
      <c r="K114" s="26">
        <f t="shared" si="1"/>
        <v>797.33333333333326</v>
      </c>
      <c r="N114" s="26">
        <v>1196</v>
      </c>
      <c r="O114" s="22" t="s">
        <v>16126</v>
      </c>
      <c r="P114" s="22" t="s">
        <v>15376</v>
      </c>
      <c r="Q114" s="22">
        <v>90017</v>
      </c>
      <c r="R114" s="22" t="s">
        <v>16127</v>
      </c>
      <c r="S114" s="22" t="s">
        <v>16128</v>
      </c>
      <c r="T114" s="22">
        <v>8.17</v>
      </c>
      <c r="U114" s="22">
        <v>0.38</v>
      </c>
      <c r="X114" s="26"/>
      <c r="Y114" s="26"/>
    </row>
    <row r="115" spans="1:25" ht="25" x14ac:dyDescent="0.25">
      <c r="A115" s="21">
        <v>161</v>
      </c>
      <c r="B115" s="22" t="s">
        <v>15368</v>
      </c>
      <c r="C115" s="22" t="s">
        <v>16129</v>
      </c>
      <c r="D115" s="23">
        <v>125017</v>
      </c>
      <c r="E115" s="24">
        <v>1984</v>
      </c>
      <c r="F115" s="22" t="s">
        <v>16130</v>
      </c>
      <c r="G115" s="23" t="s">
        <v>16131</v>
      </c>
      <c r="H115" s="25" t="s">
        <v>15373</v>
      </c>
      <c r="I115" s="22" t="s">
        <v>15374</v>
      </c>
      <c r="J115" s="22">
        <v>3408</v>
      </c>
      <c r="K115" s="26">
        <f t="shared" si="1"/>
        <v>550</v>
      </c>
      <c r="L115" s="26">
        <v>550</v>
      </c>
      <c r="O115" s="22" t="s">
        <v>16132</v>
      </c>
      <c r="P115" s="22" t="s">
        <v>16133</v>
      </c>
      <c r="Q115" s="22">
        <v>92314</v>
      </c>
      <c r="R115" s="22" t="s">
        <v>16134</v>
      </c>
      <c r="S115" s="22" t="s">
        <v>16135</v>
      </c>
      <c r="T115" s="22">
        <v>11</v>
      </c>
      <c r="U115" s="22">
        <v>0.53</v>
      </c>
      <c r="X115" s="26"/>
      <c r="Y115" s="26"/>
    </row>
    <row r="116" spans="1:25" ht="25" x14ac:dyDescent="0.25">
      <c r="A116" s="21">
        <v>162</v>
      </c>
      <c r="B116" s="22" t="s">
        <v>15368</v>
      </c>
      <c r="C116" s="22" t="s">
        <v>16136</v>
      </c>
      <c r="D116" s="23">
        <v>353272</v>
      </c>
      <c r="E116" s="24">
        <v>1999</v>
      </c>
      <c r="F116" s="22" t="s">
        <v>16137</v>
      </c>
      <c r="G116" s="23" t="s">
        <v>16138</v>
      </c>
      <c r="H116" s="25" t="s">
        <v>15373</v>
      </c>
      <c r="I116" s="22" t="s">
        <v>15382</v>
      </c>
      <c r="J116" s="22" t="s">
        <v>15955</v>
      </c>
      <c r="K116" s="26">
        <f t="shared" si="1"/>
        <v>750</v>
      </c>
      <c r="L116" s="26">
        <v>750</v>
      </c>
      <c r="O116" s="22" t="s">
        <v>16139</v>
      </c>
      <c r="P116" s="22" t="s">
        <v>16853</v>
      </c>
      <c r="Q116" s="22" t="s">
        <v>16140</v>
      </c>
      <c r="R116" s="22" t="s">
        <v>16141</v>
      </c>
      <c r="S116" s="22" t="s">
        <v>16142</v>
      </c>
      <c r="T116" s="22">
        <v>8.17</v>
      </c>
      <c r="U116" s="22">
        <v>0.38</v>
      </c>
      <c r="X116" s="26"/>
      <c r="Y116" s="26"/>
    </row>
    <row r="117" spans="1:25" ht="25" x14ac:dyDescent="0.25">
      <c r="A117" s="21">
        <v>163</v>
      </c>
      <c r="B117" s="22" t="s">
        <v>15368</v>
      </c>
      <c r="C117" s="22" t="s">
        <v>16143</v>
      </c>
      <c r="D117" s="23">
        <v>291635</v>
      </c>
      <c r="E117" s="24">
        <v>1994</v>
      </c>
      <c r="F117" s="22" t="s">
        <v>16144</v>
      </c>
      <c r="G117" s="23" t="s">
        <v>16145</v>
      </c>
      <c r="H117" s="25" t="s">
        <v>15373</v>
      </c>
      <c r="I117" s="22" t="s">
        <v>15374</v>
      </c>
      <c r="J117" s="22" t="s">
        <v>14709</v>
      </c>
      <c r="K117" s="26">
        <f t="shared" si="1"/>
        <v>366.66666666666663</v>
      </c>
      <c r="N117" s="26">
        <v>550</v>
      </c>
      <c r="O117" s="22" t="s">
        <v>16146</v>
      </c>
      <c r="P117" s="22" t="s">
        <v>16147</v>
      </c>
      <c r="Q117" s="22">
        <v>91792</v>
      </c>
      <c r="R117" s="22" t="s">
        <v>16148</v>
      </c>
      <c r="S117" s="22" t="s">
        <v>16149</v>
      </c>
      <c r="T117" s="22">
        <v>8.17</v>
      </c>
      <c r="U117" s="22">
        <v>0.38</v>
      </c>
      <c r="X117" s="26"/>
      <c r="Y117" s="26"/>
    </row>
    <row r="118" spans="1:25" ht="25" x14ac:dyDescent="0.25">
      <c r="A118" s="21">
        <v>164</v>
      </c>
      <c r="B118" s="22" t="s">
        <v>15368</v>
      </c>
      <c r="C118" s="22" t="s">
        <v>16150</v>
      </c>
      <c r="D118" s="23">
        <v>281916</v>
      </c>
      <c r="E118" s="24">
        <v>1993</v>
      </c>
      <c r="F118" s="22" t="s">
        <v>16151</v>
      </c>
      <c r="G118" s="23" t="s">
        <v>16152</v>
      </c>
      <c r="H118" s="25" t="s">
        <v>15373</v>
      </c>
      <c r="I118" s="22" t="s">
        <v>15374</v>
      </c>
      <c r="J118" s="22">
        <v>3512</v>
      </c>
      <c r="K118" s="26">
        <f t="shared" si="1"/>
        <v>1050</v>
      </c>
      <c r="N118" s="26">
        <v>1575</v>
      </c>
      <c r="O118" s="22" t="s">
        <v>16153</v>
      </c>
      <c r="P118" s="22" t="s">
        <v>16813</v>
      </c>
      <c r="Q118" s="22">
        <v>90212</v>
      </c>
      <c r="R118" s="22" t="s">
        <v>16154</v>
      </c>
      <c r="S118" s="22" t="s">
        <v>16155</v>
      </c>
      <c r="T118" s="22">
        <v>8.17</v>
      </c>
      <c r="U118" s="22">
        <v>0.38</v>
      </c>
      <c r="X118" s="26"/>
      <c r="Y118" s="26"/>
    </row>
    <row r="119" spans="1:25" ht="37.5" x14ac:dyDescent="0.25">
      <c r="A119" s="21">
        <v>165</v>
      </c>
      <c r="B119" s="22" t="s">
        <v>15368</v>
      </c>
      <c r="C119" s="22" t="s">
        <v>16156</v>
      </c>
      <c r="D119" s="23">
        <v>339380</v>
      </c>
      <c r="E119" s="24">
        <v>1998</v>
      </c>
      <c r="F119" s="22" t="s">
        <v>16157</v>
      </c>
      <c r="G119" s="23" t="s">
        <v>16158</v>
      </c>
      <c r="H119" s="25" t="s">
        <v>16159</v>
      </c>
      <c r="I119" s="22" t="s">
        <v>16160</v>
      </c>
      <c r="J119" s="22" t="s">
        <v>16161</v>
      </c>
      <c r="K119" s="26">
        <f t="shared" si="1"/>
        <v>515.33333333333326</v>
      </c>
      <c r="N119" s="26">
        <v>773</v>
      </c>
      <c r="O119" s="22" t="s">
        <v>16162</v>
      </c>
      <c r="P119" s="22" t="s">
        <v>15703</v>
      </c>
      <c r="Q119" s="22">
        <v>90245</v>
      </c>
      <c r="R119" s="22" t="s">
        <v>16163</v>
      </c>
      <c r="S119" s="22" t="s">
        <v>16164</v>
      </c>
      <c r="X119" s="26"/>
      <c r="Y119" s="26"/>
    </row>
    <row r="120" spans="1:25" ht="37.5" x14ac:dyDescent="0.25">
      <c r="A120" s="21">
        <v>166</v>
      </c>
      <c r="B120" s="22" t="s">
        <v>15368</v>
      </c>
      <c r="C120" s="22" t="s">
        <v>16156</v>
      </c>
      <c r="D120" s="23">
        <v>339381</v>
      </c>
      <c r="E120" s="24">
        <v>1998</v>
      </c>
      <c r="F120" s="22" t="s">
        <v>16165</v>
      </c>
      <c r="G120" s="23" t="s">
        <v>16158</v>
      </c>
      <c r="H120" s="25" t="s">
        <v>16159</v>
      </c>
      <c r="I120" s="22" t="s">
        <v>16160</v>
      </c>
      <c r="J120" s="22" t="s">
        <v>16161</v>
      </c>
      <c r="K120" s="26">
        <f t="shared" si="1"/>
        <v>515.33333333333326</v>
      </c>
      <c r="N120" s="26">
        <v>773</v>
      </c>
      <c r="O120" s="22" t="s">
        <v>16162</v>
      </c>
      <c r="P120" s="22" t="s">
        <v>15703</v>
      </c>
      <c r="Q120" s="22">
        <v>90245</v>
      </c>
      <c r="R120" s="22" t="s">
        <v>16163</v>
      </c>
      <c r="S120" s="22" t="s">
        <v>16164</v>
      </c>
      <c r="X120" s="26"/>
      <c r="Y120" s="26"/>
    </row>
    <row r="121" spans="1:25" ht="37.5" x14ac:dyDescent="0.25">
      <c r="A121" s="21">
        <v>167</v>
      </c>
      <c r="B121" s="22" t="s">
        <v>15368</v>
      </c>
      <c r="C121" s="22" t="s">
        <v>16156</v>
      </c>
      <c r="D121" s="23">
        <v>342386</v>
      </c>
      <c r="E121" s="24">
        <v>1998</v>
      </c>
      <c r="F121" s="22" t="s">
        <v>16166</v>
      </c>
      <c r="G121" s="23" t="s">
        <v>16167</v>
      </c>
      <c r="H121" s="25" t="s">
        <v>15373</v>
      </c>
      <c r="I121" s="22" t="s">
        <v>15374</v>
      </c>
      <c r="J121" s="22" t="s">
        <v>14709</v>
      </c>
      <c r="K121" s="26">
        <f t="shared" si="1"/>
        <v>500</v>
      </c>
      <c r="L121" s="26">
        <v>500</v>
      </c>
      <c r="O121" s="22" t="s">
        <v>16162</v>
      </c>
      <c r="P121" s="22" t="s">
        <v>15703</v>
      </c>
      <c r="Q121" s="22">
        <v>90245</v>
      </c>
      <c r="R121" s="22" t="s">
        <v>16163</v>
      </c>
      <c r="S121" s="22" t="s">
        <v>16164</v>
      </c>
      <c r="T121" s="22">
        <v>6.9</v>
      </c>
      <c r="U121" s="22">
        <v>0.4</v>
      </c>
      <c r="X121" s="26"/>
      <c r="Y121" s="26"/>
    </row>
    <row r="122" spans="1:25" ht="37.5" x14ac:dyDescent="0.25">
      <c r="A122" s="21">
        <v>168</v>
      </c>
      <c r="B122" s="22" t="s">
        <v>15368</v>
      </c>
      <c r="C122" s="22" t="s">
        <v>16156</v>
      </c>
      <c r="D122" s="23">
        <v>380779</v>
      </c>
      <c r="E122" s="24">
        <v>1998</v>
      </c>
      <c r="F122" s="22" t="s">
        <v>16168</v>
      </c>
      <c r="G122" s="23" t="s">
        <v>16169</v>
      </c>
      <c r="H122" s="25" t="s">
        <v>16310</v>
      </c>
      <c r="I122" s="22" t="s">
        <v>15382</v>
      </c>
      <c r="J122" s="22" t="s">
        <v>16170</v>
      </c>
      <c r="K122" s="26">
        <f t="shared" si="1"/>
        <v>513.33333333333326</v>
      </c>
      <c r="M122" s="26">
        <v>770</v>
      </c>
      <c r="O122" s="22" t="s">
        <v>16162</v>
      </c>
      <c r="P122" s="22" t="s">
        <v>15703</v>
      </c>
      <c r="Q122" s="22">
        <v>90245</v>
      </c>
      <c r="R122" s="22" t="s">
        <v>16163</v>
      </c>
      <c r="S122" s="22" t="s">
        <v>16164</v>
      </c>
      <c r="X122" s="26"/>
      <c r="Y122" s="26"/>
    </row>
    <row r="123" spans="1:25" ht="25" x14ac:dyDescent="0.25">
      <c r="A123" s="21">
        <v>169</v>
      </c>
      <c r="B123" s="22" t="s">
        <v>15368</v>
      </c>
      <c r="C123" s="22" t="s">
        <v>16156</v>
      </c>
      <c r="D123" s="23">
        <v>380789</v>
      </c>
      <c r="E123" s="24">
        <v>1998</v>
      </c>
      <c r="F123" s="22" t="s">
        <v>16171</v>
      </c>
      <c r="G123" s="23" t="s">
        <v>16172</v>
      </c>
      <c r="H123" s="25" t="s">
        <v>16310</v>
      </c>
      <c r="I123" s="22" t="s">
        <v>15382</v>
      </c>
      <c r="J123" s="22" t="s">
        <v>16170</v>
      </c>
      <c r="K123" s="26">
        <f t="shared" si="1"/>
        <v>513.33333333333326</v>
      </c>
      <c r="M123" s="26">
        <v>770</v>
      </c>
      <c r="O123" s="22" t="s">
        <v>16162</v>
      </c>
      <c r="P123" s="22" t="s">
        <v>15703</v>
      </c>
      <c r="Q123" s="22">
        <v>90245</v>
      </c>
      <c r="R123" s="22" t="s">
        <v>16163</v>
      </c>
      <c r="S123" s="22" t="s">
        <v>16164</v>
      </c>
      <c r="X123" s="26"/>
      <c r="Y123" s="26"/>
    </row>
    <row r="124" spans="1:25" ht="37.5" x14ac:dyDescent="0.25">
      <c r="A124" s="21">
        <v>170</v>
      </c>
      <c r="B124" s="22" t="s">
        <v>15368</v>
      </c>
      <c r="C124" s="22" t="s">
        <v>16156</v>
      </c>
      <c r="D124" s="23">
        <v>380797</v>
      </c>
      <c r="E124" s="24">
        <v>1998</v>
      </c>
      <c r="F124" s="22" t="s">
        <v>16173</v>
      </c>
      <c r="G124" s="23" t="s">
        <v>16169</v>
      </c>
      <c r="H124" s="25" t="s">
        <v>16310</v>
      </c>
      <c r="I124" s="22" t="s">
        <v>15382</v>
      </c>
      <c r="J124" s="22" t="s">
        <v>16170</v>
      </c>
      <c r="K124" s="26">
        <f t="shared" si="1"/>
        <v>513.33333333333326</v>
      </c>
      <c r="M124" s="26">
        <v>770</v>
      </c>
      <c r="O124" s="22" t="s">
        <v>16174</v>
      </c>
      <c r="P124" s="22" t="s">
        <v>15703</v>
      </c>
      <c r="Q124" s="22">
        <v>90245</v>
      </c>
      <c r="R124" s="22" t="s">
        <v>16163</v>
      </c>
      <c r="S124" s="22" t="s">
        <v>16164</v>
      </c>
      <c r="X124" s="26"/>
      <c r="Y124" s="26"/>
    </row>
    <row r="125" spans="1:25" ht="37.5" x14ac:dyDescent="0.25">
      <c r="A125" s="21">
        <v>173</v>
      </c>
      <c r="B125" s="22" t="s">
        <v>15368</v>
      </c>
      <c r="C125" s="22" t="s">
        <v>16175</v>
      </c>
      <c r="D125" s="23">
        <v>278366</v>
      </c>
      <c r="E125" s="24">
        <v>1993</v>
      </c>
      <c r="F125" s="22" t="s">
        <v>16176</v>
      </c>
      <c r="G125" s="23" t="s">
        <v>16177</v>
      </c>
      <c r="H125" s="25" t="s">
        <v>15373</v>
      </c>
      <c r="I125" s="22" t="s">
        <v>15411</v>
      </c>
      <c r="J125" s="22" t="s">
        <v>16331</v>
      </c>
      <c r="K125" s="26">
        <f t="shared" si="1"/>
        <v>730</v>
      </c>
      <c r="N125" s="26">
        <v>1095</v>
      </c>
      <c r="O125" s="22" t="s">
        <v>16178</v>
      </c>
      <c r="P125" s="22" t="s">
        <v>14733</v>
      </c>
      <c r="Q125" s="22" t="s">
        <v>16179</v>
      </c>
      <c r="R125" s="22" t="s">
        <v>16180</v>
      </c>
      <c r="S125" s="22" t="s">
        <v>16181</v>
      </c>
      <c r="T125" s="22">
        <v>8.17</v>
      </c>
      <c r="U125" s="22">
        <v>0.38</v>
      </c>
      <c r="X125" s="26"/>
      <c r="Y125" s="26"/>
    </row>
    <row r="126" spans="1:25" ht="37.5" x14ac:dyDescent="0.25">
      <c r="A126" s="21">
        <v>174</v>
      </c>
      <c r="B126" s="22" t="s">
        <v>15368</v>
      </c>
      <c r="C126" s="22" t="s">
        <v>16182</v>
      </c>
      <c r="D126" s="23">
        <v>357532</v>
      </c>
      <c r="E126" s="24">
        <v>1999</v>
      </c>
      <c r="F126" s="22" t="s">
        <v>16183</v>
      </c>
      <c r="G126" s="23" t="s">
        <v>16184</v>
      </c>
      <c r="H126" s="25" t="s">
        <v>15373</v>
      </c>
      <c r="I126" s="22" t="s">
        <v>15374</v>
      </c>
      <c r="J126" s="22">
        <v>3412</v>
      </c>
      <c r="K126" s="26">
        <f t="shared" si="1"/>
        <v>533.33333333333326</v>
      </c>
      <c r="N126" s="26">
        <v>800</v>
      </c>
      <c r="O126" s="22" t="s">
        <v>16185</v>
      </c>
      <c r="P126" s="22" t="s">
        <v>14733</v>
      </c>
      <c r="Q126" s="22">
        <v>92823</v>
      </c>
      <c r="R126" s="22" t="s">
        <v>16186</v>
      </c>
      <c r="S126" s="22" t="s">
        <v>16187</v>
      </c>
      <c r="T126" s="22">
        <v>8.17</v>
      </c>
      <c r="U126" s="22">
        <v>0.38</v>
      </c>
      <c r="X126" s="26"/>
      <c r="Y126" s="26"/>
    </row>
    <row r="127" spans="1:25" ht="37.5" x14ac:dyDescent="0.25">
      <c r="A127" s="21">
        <v>176</v>
      </c>
      <c r="B127" s="22" t="s">
        <v>15368</v>
      </c>
      <c r="C127" s="22" t="s">
        <v>16188</v>
      </c>
      <c r="D127" s="23">
        <v>228837</v>
      </c>
      <c r="E127" s="24">
        <v>1990</v>
      </c>
      <c r="F127" s="22" t="s">
        <v>16189</v>
      </c>
      <c r="G127" s="23" t="s">
        <v>16190</v>
      </c>
      <c r="H127" s="25" t="s">
        <v>15373</v>
      </c>
      <c r="I127" s="22" t="s">
        <v>15411</v>
      </c>
      <c r="J127" s="22" t="s">
        <v>16306</v>
      </c>
      <c r="K127" s="26">
        <f t="shared" si="1"/>
        <v>360</v>
      </c>
      <c r="N127" s="26">
        <v>540</v>
      </c>
      <c r="O127" s="22" t="s">
        <v>16191</v>
      </c>
      <c r="P127" s="22" t="s">
        <v>16192</v>
      </c>
      <c r="Q127" s="22">
        <v>90621</v>
      </c>
      <c r="R127" s="22" t="s">
        <v>16193</v>
      </c>
      <c r="S127" s="22" t="s">
        <v>16194</v>
      </c>
      <c r="T127" s="22">
        <v>8.17</v>
      </c>
      <c r="U127" s="22">
        <v>0.38</v>
      </c>
      <c r="X127" s="26"/>
      <c r="Y127" s="26"/>
    </row>
    <row r="128" spans="1:25" ht="37.5" x14ac:dyDescent="0.25">
      <c r="A128" s="21">
        <v>177</v>
      </c>
      <c r="B128" s="22" t="s">
        <v>15368</v>
      </c>
      <c r="C128" s="22" t="s">
        <v>16188</v>
      </c>
      <c r="D128" s="23">
        <v>228852</v>
      </c>
      <c r="E128" s="24">
        <v>1990</v>
      </c>
      <c r="F128" s="22" t="s">
        <v>16195</v>
      </c>
      <c r="G128" s="23" t="s">
        <v>16196</v>
      </c>
      <c r="H128" s="25" t="s">
        <v>15373</v>
      </c>
      <c r="I128" s="22" t="s">
        <v>15411</v>
      </c>
      <c r="J128" s="22" t="s">
        <v>16197</v>
      </c>
      <c r="K128" s="26">
        <f t="shared" si="1"/>
        <v>360</v>
      </c>
      <c r="N128" s="26">
        <v>540</v>
      </c>
      <c r="O128" s="22" t="s">
        <v>16198</v>
      </c>
      <c r="P128" s="22" t="s">
        <v>16192</v>
      </c>
      <c r="Q128" s="22">
        <v>90620</v>
      </c>
      <c r="R128" s="22" t="s">
        <v>16193</v>
      </c>
      <c r="S128" s="22" t="s">
        <v>16194</v>
      </c>
      <c r="T128" s="22">
        <v>8.17</v>
      </c>
      <c r="U128" s="22">
        <v>0.38</v>
      </c>
      <c r="X128" s="26"/>
      <c r="Y128" s="26"/>
    </row>
    <row r="129" spans="1:25" ht="25" x14ac:dyDescent="0.25">
      <c r="A129" s="21">
        <v>178</v>
      </c>
      <c r="B129" s="22" t="s">
        <v>15368</v>
      </c>
      <c r="C129" s="22" t="s">
        <v>16199</v>
      </c>
      <c r="D129" s="23">
        <v>228841</v>
      </c>
      <c r="E129" s="24">
        <v>1990</v>
      </c>
      <c r="F129" s="22" t="s">
        <v>16200</v>
      </c>
      <c r="G129" s="23" t="s">
        <v>16201</v>
      </c>
      <c r="H129" s="25" t="s">
        <v>15373</v>
      </c>
      <c r="I129" s="22" t="s">
        <v>15411</v>
      </c>
      <c r="J129" s="22" t="s">
        <v>16197</v>
      </c>
      <c r="K129" s="26">
        <f t="shared" si="1"/>
        <v>360</v>
      </c>
      <c r="N129" s="26">
        <v>540</v>
      </c>
      <c r="O129" s="22" t="s">
        <v>16202</v>
      </c>
      <c r="P129" s="22" t="s">
        <v>16192</v>
      </c>
      <c r="Q129" s="22">
        <v>90620</v>
      </c>
      <c r="R129" s="22" t="s">
        <v>16193</v>
      </c>
      <c r="S129" s="22" t="s">
        <v>16194</v>
      </c>
      <c r="T129" s="22">
        <v>8.17</v>
      </c>
      <c r="U129" s="22">
        <v>0.38</v>
      </c>
      <c r="X129" s="26"/>
      <c r="Y129" s="26"/>
    </row>
    <row r="130" spans="1:25" ht="25" x14ac:dyDescent="0.25">
      <c r="A130" s="21">
        <v>179</v>
      </c>
      <c r="B130" s="22" t="s">
        <v>15368</v>
      </c>
      <c r="C130" s="22" t="s">
        <v>16203</v>
      </c>
      <c r="D130" s="23">
        <v>348441</v>
      </c>
      <c r="E130" s="24">
        <v>1998</v>
      </c>
      <c r="F130" s="22" t="s">
        <v>16204</v>
      </c>
      <c r="G130" s="23" t="s">
        <v>16205</v>
      </c>
      <c r="H130" s="25" t="s">
        <v>15373</v>
      </c>
      <c r="I130" s="22" t="s">
        <v>15374</v>
      </c>
      <c r="J130" s="22" t="s">
        <v>16206</v>
      </c>
      <c r="K130" s="26">
        <f t="shared" ref="K130:K193" si="2">L130+M130*(2/3)+N130*(2/3)</f>
        <v>400</v>
      </c>
      <c r="L130" s="26">
        <v>400</v>
      </c>
      <c r="O130" s="22" t="s">
        <v>16207</v>
      </c>
      <c r="P130" s="22" t="s">
        <v>16192</v>
      </c>
      <c r="Q130" s="22">
        <v>90620</v>
      </c>
      <c r="R130" s="22" t="s">
        <v>16208</v>
      </c>
      <c r="S130" s="22" t="s">
        <v>16209</v>
      </c>
      <c r="T130" s="22">
        <v>6.9</v>
      </c>
      <c r="U130" s="22">
        <v>0.4</v>
      </c>
      <c r="X130" s="26"/>
      <c r="Y130" s="26"/>
    </row>
    <row r="131" spans="1:25" ht="37.5" x14ac:dyDescent="0.25">
      <c r="A131" s="21">
        <v>181</v>
      </c>
      <c r="B131" s="22" t="s">
        <v>15368</v>
      </c>
      <c r="C131" s="22" t="s">
        <v>16210</v>
      </c>
      <c r="D131" s="23">
        <v>207215</v>
      </c>
      <c r="E131" s="24">
        <v>1989</v>
      </c>
      <c r="F131" s="22" t="s">
        <v>16211</v>
      </c>
      <c r="G131" s="23" t="s">
        <v>16212</v>
      </c>
      <c r="H131" s="25" t="s">
        <v>15373</v>
      </c>
      <c r="I131" s="22" t="s">
        <v>15411</v>
      </c>
      <c r="J131" s="22" t="s">
        <v>15451</v>
      </c>
      <c r="K131" s="26">
        <f t="shared" si="2"/>
        <v>553.33333333333326</v>
      </c>
      <c r="N131" s="26">
        <v>830</v>
      </c>
      <c r="O131" s="22" t="s">
        <v>16213</v>
      </c>
      <c r="P131" s="22" t="s">
        <v>15376</v>
      </c>
      <c r="Q131" s="22">
        <v>90048</v>
      </c>
      <c r="R131" s="22" t="s">
        <v>16214</v>
      </c>
      <c r="S131" s="22" t="s">
        <v>16215</v>
      </c>
      <c r="T131" s="22">
        <v>8.17</v>
      </c>
      <c r="U131" s="22">
        <v>0.38</v>
      </c>
      <c r="X131" s="26"/>
      <c r="Y131" s="26"/>
    </row>
    <row r="132" spans="1:25" ht="25" x14ac:dyDescent="0.25">
      <c r="A132" s="21">
        <v>182</v>
      </c>
      <c r="B132" s="22" t="s">
        <v>15368</v>
      </c>
      <c r="C132" s="22" t="s">
        <v>16216</v>
      </c>
      <c r="D132" s="23">
        <v>363660</v>
      </c>
      <c r="E132" s="24">
        <v>1999</v>
      </c>
      <c r="F132" s="22" t="s">
        <v>16217</v>
      </c>
      <c r="G132" s="23" t="s">
        <v>16218</v>
      </c>
      <c r="H132" s="25" t="s">
        <v>15373</v>
      </c>
      <c r="I132" s="22" t="s">
        <v>15374</v>
      </c>
      <c r="J132" s="22" t="s">
        <v>15701</v>
      </c>
      <c r="K132" s="26">
        <f t="shared" si="2"/>
        <v>400</v>
      </c>
      <c r="L132" s="26">
        <v>400</v>
      </c>
      <c r="O132" s="22" t="s">
        <v>16219</v>
      </c>
      <c r="P132" s="22" t="s">
        <v>16220</v>
      </c>
      <c r="Q132" s="22">
        <v>92656</v>
      </c>
      <c r="R132" s="22" t="s">
        <v>16221</v>
      </c>
      <c r="S132" s="22" t="s">
        <v>16222</v>
      </c>
      <c r="T132" s="22">
        <v>6.9</v>
      </c>
      <c r="U132" s="22">
        <v>0.4</v>
      </c>
      <c r="X132" s="26"/>
      <c r="Y132" s="26"/>
    </row>
    <row r="133" spans="1:25" ht="25" x14ac:dyDescent="0.25">
      <c r="A133" s="21">
        <v>183</v>
      </c>
      <c r="B133" s="22" t="s">
        <v>15368</v>
      </c>
      <c r="C133" s="22" t="s">
        <v>16223</v>
      </c>
      <c r="D133" s="23">
        <v>361872</v>
      </c>
      <c r="E133" s="24">
        <v>1999</v>
      </c>
      <c r="F133" s="22" t="s">
        <v>16224</v>
      </c>
      <c r="G133" s="23" t="s">
        <v>16225</v>
      </c>
      <c r="H133" s="25" t="s">
        <v>15373</v>
      </c>
      <c r="I133" s="22" t="s">
        <v>15411</v>
      </c>
      <c r="J133" s="22" t="s">
        <v>16226</v>
      </c>
      <c r="K133" s="26">
        <f t="shared" si="2"/>
        <v>571</v>
      </c>
      <c r="L133" s="26">
        <v>571</v>
      </c>
      <c r="O133" s="22" t="s">
        <v>16227</v>
      </c>
      <c r="P133" s="22" t="s">
        <v>16228</v>
      </c>
      <c r="Q133" s="22">
        <v>91744</v>
      </c>
      <c r="R133" s="22" t="s">
        <v>16230</v>
      </c>
      <c r="S133" s="22" t="s">
        <v>16231</v>
      </c>
      <c r="T133" s="22">
        <v>8.17</v>
      </c>
      <c r="U133" s="22">
        <v>0.38</v>
      </c>
      <c r="X133" s="26"/>
      <c r="Y133" s="26"/>
    </row>
    <row r="134" spans="1:25" ht="25" x14ac:dyDescent="0.25">
      <c r="A134" s="21">
        <v>184</v>
      </c>
      <c r="B134" s="22" t="s">
        <v>15368</v>
      </c>
      <c r="C134" s="22" t="s">
        <v>16232</v>
      </c>
      <c r="D134" s="23">
        <v>196096</v>
      </c>
      <c r="E134" s="24">
        <v>1989</v>
      </c>
      <c r="F134" s="22" t="s">
        <v>16233</v>
      </c>
      <c r="G134" s="23" t="s">
        <v>16234</v>
      </c>
      <c r="H134" s="25" t="s">
        <v>15373</v>
      </c>
      <c r="I134" s="22" t="s">
        <v>15374</v>
      </c>
      <c r="J134" s="22" t="s">
        <v>16235</v>
      </c>
      <c r="K134" s="26">
        <f t="shared" si="2"/>
        <v>503.33333333333331</v>
      </c>
      <c r="N134" s="26">
        <v>755</v>
      </c>
      <c r="O134" s="22" t="s">
        <v>16236</v>
      </c>
      <c r="P134" s="22" t="s">
        <v>15414</v>
      </c>
      <c r="Q134" s="22">
        <v>91203</v>
      </c>
      <c r="R134" s="22" t="s">
        <v>16237</v>
      </c>
      <c r="S134" s="22" t="s">
        <v>15966</v>
      </c>
      <c r="T134" s="22">
        <v>8.17</v>
      </c>
      <c r="U134" s="22">
        <v>0.38</v>
      </c>
      <c r="X134" s="26"/>
      <c r="Y134" s="26"/>
    </row>
    <row r="135" spans="1:25" ht="25" x14ac:dyDescent="0.25">
      <c r="A135" s="21">
        <v>185</v>
      </c>
      <c r="B135" s="22" t="s">
        <v>15368</v>
      </c>
      <c r="C135" s="22" t="s">
        <v>16238</v>
      </c>
      <c r="D135" s="23">
        <v>263736</v>
      </c>
      <c r="E135" s="24">
        <v>1992</v>
      </c>
      <c r="F135" s="22" t="s">
        <v>16239</v>
      </c>
      <c r="G135" s="23" t="s">
        <v>16240</v>
      </c>
      <c r="H135" s="25" t="s">
        <v>15373</v>
      </c>
      <c r="I135" s="22" t="s">
        <v>15374</v>
      </c>
      <c r="J135" s="22" t="s">
        <v>15731</v>
      </c>
      <c r="K135" s="26">
        <f t="shared" si="2"/>
        <v>1200</v>
      </c>
      <c r="N135" s="26">
        <v>1800</v>
      </c>
      <c r="O135" s="22" t="s">
        <v>16241</v>
      </c>
      <c r="P135" s="22" t="s">
        <v>16242</v>
      </c>
      <c r="Q135" s="22">
        <v>91720</v>
      </c>
      <c r="R135" s="22" t="s">
        <v>16243</v>
      </c>
      <c r="S135" s="22" t="s">
        <v>16244</v>
      </c>
      <c r="T135" s="22">
        <v>8.17</v>
      </c>
      <c r="U135" s="22">
        <v>0.38</v>
      </c>
      <c r="X135" s="26"/>
      <c r="Y135" s="26"/>
    </row>
    <row r="136" spans="1:25" ht="25" x14ac:dyDescent="0.25">
      <c r="A136" s="21">
        <v>186</v>
      </c>
      <c r="B136" s="22" t="s">
        <v>15368</v>
      </c>
      <c r="C136" s="22" t="s">
        <v>16245</v>
      </c>
      <c r="D136" s="23">
        <v>239197</v>
      </c>
      <c r="E136" s="24">
        <v>1990</v>
      </c>
      <c r="F136" s="22" t="s">
        <v>16246</v>
      </c>
      <c r="G136" s="23" t="s">
        <v>16247</v>
      </c>
      <c r="H136" s="25" t="s">
        <v>15373</v>
      </c>
      <c r="I136" s="22" t="s">
        <v>15374</v>
      </c>
      <c r="J136" s="22" t="s">
        <v>15731</v>
      </c>
      <c r="K136" s="26">
        <f t="shared" si="2"/>
        <v>1190.6666666666665</v>
      </c>
      <c r="N136" s="26">
        <v>1786</v>
      </c>
      <c r="O136" s="22" t="s">
        <v>16248</v>
      </c>
      <c r="P136" s="22" t="s">
        <v>16249</v>
      </c>
      <c r="Q136" s="22">
        <v>91768</v>
      </c>
      <c r="R136" s="22" t="s">
        <v>16250</v>
      </c>
      <c r="S136" s="22" t="s">
        <v>16251</v>
      </c>
      <c r="T136" s="22">
        <v>8.17</v>
      </c>
      <c r="U136" s="22">
        <v>0.38</v>
      </c>
      <c r="X136" s="26"/>
      <c r="Y136" s="26"/>
    </row>
    <row r="137" spans="1:25" ht="25" x14ac:dyDescent="0.25">
      <c r="A137" s="21">
        <v>187</v>
      </c>
      <c r="B137" s="22" t="s">
        <v>15368</v>
      </c>
      <c r="C137" s="22" t="s">
        <v>16245</v>
      </c>
      <c r="D137" s="23">
        <v>369391</v>
      </c>
      <c r="E137" s="24">
        <v>2000</v>
      </c>
      <c r="F137" s="22" t="s">
        <v>16252</v>
      </c>
      <c r="G137" s="23" t="s">
        <v>16253</v>
      </c>
      <c r="H137" s="25" t="s">
        <v>15373</v>
      </c>
      <c r="I137" s="22" t="s">
        <v>15411</v>
      </c>
      <c r="J137" s="22" t="s">
        <v>16254</v>
      </c>
      <c r="K137" s="26">
        <f t="shared" si="2"/>
        <v>506.66666666666663</v>
      </c>
      <c r="N137" s="26">
        <v>760</v>
      </c>
      <c r="O137" s="22" t="s">
        <v>16248</v>
      </c>
      <c r="P137" s="22" t="s">
        <v>16249</v>
      </c>
      <c r="Q137" s="22">
        <v>91768</v>
      </c>
      <c r="R137" s="22" t="s">
        <v>16250</v>
      </c>
      <c r="S137" s="22" t="s">
        <v>16251</v>
      </c>
      <c r="T137" s="22">
        <v>6.9</v>
      </c>
      <c r="U137" s="22">
        <v>0.4</v>
      </c>
      <c r="X137" s="26"/>
      <c r="Y137" s="26"/>
    </row>
    <row r="138" spans="1:25" ht="25" x14ac:dyDescent="0.25">
      <c r="A138" s="21">
        <v>188</v>
      </c>
      <c r="B138" s="22" t="s">
        <v>15368</v>
      </c>
      <c r="C138" s="22" t="s">
        <v>16255</v>
      </c>
      <c r="D138" s="23">
        <v>296668</v>
      </c>
      <c r="E138" s="24">
        <v>1994</v>
      </c>
      <c r="F138" s="22" t="s">
        <v>16256</v>
      </c>
      <c r="G138" s="23" t="s">
        <v>16257</v>
      </c>
      <c r="H138" s="25" t="s">
        <v>15373</v>
      </c>
      <c r="I138" s="22" t="s">
        <v>15374</v>
      </c>
      <c r="J138" s="22" t="s">
        <v>14709</v>
      </c>
      <c r="K138" s="26">
        <f t="shared" si="2"/>
        <v>600</v>
      </c>
      <c r="L138" s="26">
        <v>600</v>
      </c>
      <c r="O138" s="22" t="s">
        <v>16258</v>
      </c>
      <c r="P138" s="22" t="s">
        <v>16259</v>
      </c>
      <c r="Q138" s="22" t="s">
        <v>16260</v>
      </c>
      <c r="R138" s="22" t="s">
        <v>16261</v>
      </c>
      <c r="S138" s="22" t="s">
        <v>16262</v>
      </c>
      <c r="T138" s="22">
        <v>8.17</v>
      </c>
      <c r="U138" s="22">
        <v>0.38</v>
      </c>
      <c r="X138" s="26"/>
      <c r="Y138" s="26"/>
    </row>
    <row r="139" spans="1:25" ht="37.5" x14ac:dyDescent="0.25">
      <c r="A139" s="21">
        <v>189</v>
      </c>
      <c r="B139" s="22" t="s">
        <v>15368</v>
      </c>
      <c r="C139" s="22" t="s">
        <v>16263</v>
      </c>
      <c r="D139" s="23">
        <v>203119</v>
      </c>
      <c r="E139" s="24">
        <v>1989</v>
      </c>
      <c r="F139" s="22" t="s">
        <v>16264</v>
      </c>
      <c r="G139" s="23" t="s">
        <v>16265</v>
      </c>
      <c r="H139" s="25" t="s">
        <v>15373</v>
      </c>
      <c r="I139" s="22" t="s">
        <v>15374</v>
      </c>
      <c r="J139" s="22" t="s">
        <v>16266</v>
      </c>
      <c r="K139" s="26">
        <f t="shared" si="2"/>
        <v>356</v>
      </c>
      <c r="N139" s="26">
        <v>534</v>
      </c>
      <c r="O139" s="22" t="s">
        <v>16267</v>
      </c>
      <c r="P139" s="22" t="s">
        <v>16268</v>
      </c>
      <c r="Q139" s="22">
        <v>91710</v>
      </c>
      <c r="R139" s="22" t="s">
        <v>16269</v>
      </c>
      <c r="S139" s="22" t="s">
        <v>16270</v>
      </c>
      <c r="T139" s="22">
        <v>8.17</v>
      </c>
      <c r="U139" s="22">
        <v>0.38</v>
      </c>
      <c r="X139" s="26"/>
      <c r="Y139" s="26"/>
    </row>
    <row r="140" spans="1:25" ht="37.5" x14ac:dyDescent="0.25">
      <c r="A140" s="21">
        <v>190</v>
      </c>
      <c r="B140" s="22" t="s">
        <v>15368</v>
      </c>
      <c r="C140" s="22" t="s">
        <v>16263</v>
      </c>
      <c r="D140" s="23">
        <v>203120</v>
      </c>
      <c r="E140" s="24">
        <v>1989</v>
      </c>
      <c r="F140" s="22" t="s">
        <v>16271</v>
      </c>
      <c r="G140" s="23" t="s">
        <v>16272</v>
      </c>
      <c r="H140" s="25" t="s">
        <v>15373</v>
      </c>
      <c r="I140" s="22" t="s">
        <v>15374</v>
      </c>
      <c r="J140" s="22" t="s">
        <v>16266</v>
      </c>
      <c r="K140" s="26">
        <f t="shared" si="2"/>
        <v>356</v>
      </c>
      <c r="N140" s="26">
        <v>534</v>
      </c>
      <c r="O140" s="22" t="s">
        <v>16267</v>
      </c>
      <c r="P140" s="22" t="s">
        <v>16268</v>
      </c>
      <c r="Q140" s="22">
        <v>91710</v>
      </c>
      <c r="R140" s="22" t="s">
        <v>16269</v>
      </c>
      <c r="S140" s="22" t="s">
        <v>16270</v>
      </c>
      <c r="T140" s="22">
        <v>8.17</v>
      </c>
      <c r="U140" s="22">
        <v>0.38</v>
      </c>
      <c r="X140" s="26"/>
      <c r="Y140" s="26"/>
    </row>
    <row r="141" spans="1:25" ht="37.5" x14ac:dyDescent="0.25">
      <c r="A141" s="21">
        <v>191</v>
      </c>
      <c r="B141" s="22" t="s">
        <v>15368</v>
      </c>
      <c r="C141" s="22" t="s">
        <v>16273</v>
      </c>
      <c r="D141" s="23">
        <v>373909</v>
      </c>
      <c r="E141" s="24">
        <v>2000</v>
      </c>
      <c r="F141" s="22" t="s">
        <v>16274</v>
      </c>
      <c r="G141" s="23" t="s">
        <v>16275</v>
      </c>
      <c r="H141" s="25" t="s">
        <v>15373</v>
      </c>
      <c r="I141" s="22" t="s">
        <v>15411</v>
      </c>
      <c r="J141" s="22" t="s">
        <v>16276</v>
      </c>
      <c r="K141" s="26">
        <f t="shared" si="2"/>
        <v>360</v>
      </c>
      <c r="N141" s="26">
        <v>540</v>
      </c>
      <c r="O141" s="22" t="s">
        <v>16277</v>
      </c>
      <c r="P141" s="22" t="s">
        <v>16278</v>
      </c>
      <c r="Q141" s="22" t="s">
        <v>16279</v>
      </c>
      <c r="R141" s="22" t="s">
        <v>16280</v>
      </c>
      <c r="S141" s="22" t="s">
        <v>16281</v>
      </c>
      <c r="T141" s="22">
        <v>6.9</v>
      </c>
      <c r="U141" s="22">
        <v>0.4</v>
      </c>
      <c r="X141" s="26"/>
      <c r="Y141" s="26"/>
    </row>
    <row r="142" spans="1:25" ht="37.5" x14ac:dyDescent="0.25">
      <c r="A142" s="21">
        <v>192</v>
      </c>
      <c r="B142" s="22" t="s">
        <v>15368</v>
      </c>
      <c r="C142" s="22" t="s">
        <v>16273</v>
      </c>
      <c r="D142" s="23">
        <v>373910</v>
      </c>
      <c r="E142" s="24">
        <v>2000</v>
      </c>
      <c r="F142" s="22" t="s">
        <v>16282</v>
      </c>
      <c r="G142" s="23" t="s">
        <v>16283</v>
      </c>
      <c r="H142" s="25" t="s">
        <v>15373</v>
      </c>
      <c r="I142" s="22" t="s">
        <v>15411</v>
      </c>
      <c r="J142" s="22" t="s">
        <v>16276</v>
      </c>
      <c r="K142" s="26">
        <f t="shared" si="2"/>
        <v>360</v>
      </c>
      <c r="N142" s="26">
        <v>540</v>
      </c>
      <c r="O142" s="22" t="s">
        <v>16277</v>
      </c>
      <c r="P142" s="22" t="s">
        <v>16278</v>
      </c>
      <c r="Q142" s="22" t="s">
        <v>16279</v>
      </c>
      <c r="R142" s="22" t="s">
        <v>16280</v>
      </c>
      <c r="S142" s="22" t="s">
        <v>16281</v>
      </c>
      <c r="T142" s="22">
        <v>6.9</v>
      </c>
      <c r="U142" s="22">
        <v>0.4</v>
      </c>
      <c r="X142" s="26"/>
      <c r="Y142" s="26"/>
    </row>
    <row r="143" spans="1:25" ht="37.5" x14ac:dyDescent="0.25">
      <c r="A143" s="21">
        <v>193</v>
      </c>
      <c r="B143" s="22" t="s">
        <v>15368</v>
      </c>
      <c r="C143" s="22" t="s">
        <v>16273</v>
      </c>
      <c r="D143" s="23">
        <v>373911</v>
      </c>
      <c r="E143" s="24">
        <v>2000</v>
      </c>
      <c r="F143" s="22" t="s">
        <v>16284</v>
      </c>
      <c r="G143" s="23" t="s">
        <v>16285</v>
      </c>
      <c r="H143" s="25" t="s">
        <v>15373</v>
      </c>
      <c r="I143" s="22" t="s">
        <v>15411</v>
      </c>
      <c r="J143" s="22" t="s">
        <v>16276</v>
      </c>
      <c r="K143" s="26">
        <f t="shared" si="2"/>
        <v>360</v>
      </c>
      <c r="N143" s="26">
        <v>540</v>
      </c>
      <c r="O143" s="22" t="s">
        <v>16277</v>
      </c>
      <c r="P143" s="22" t="s">
        <v>16278</v>
      </c>
      <c r="Q143" s="22" t="s">
        <v>16279</v>
      </c>
      <c r="R143" s="22" t="s">
        <v>16280</v>
      </c>
      <c r="S143" s="22" t="s">
        <v>16281</v>
      </c>
      <c r="T143" s="22">
        <v>6.9</v>
      </c>
      <c r="U143" s="22">
        <v>0.4</v>
      </c>
      <c r="X143" s="26"/>
      <c r="Y143" s="26"/>
    </row>
    <row r="144" spans="1:25" ht="25" x14ac:dyDescent="0.25">
      <c r="A144" s="21">
        <v>194</v>
      </c>
      <c r="B144" s="22" t="s">
        <v>15368</v>
      </c>
      <c r="C144" s="22" t="s">
        <v>16286</v>
      </c>
      <c r="D144" s="23">
        <v>316871</v>
      </c>
      <c r="E144" s="24">
        <v>1996</v>
      </c>
      <c r="F144" s="22" t="s">
        <v>16287</v>
      </c>
      <c r="G144" s="23" t="s">
        <v>16288</v>
      </c>
      <c r="H144" s="25" t="s">
        <v>15373</v>
      </c>
      <c r="I144" s="22" t="s">
        <v>15374</v>
      </c>
      <c r="J144" s="22">
        <v>3408</v>
      </c>
      <c r="K144" s="26">
        <f t="shared" si="2"/>
        <v>335.33333333333331</v>
      </c>
      <c r="N144" s="26">
        <v>503</v>
      </c>
      <c r="O144" s="22" t="s">
        <v>16289</v>
      </c>
      <c r="P144" s="22" t="s">
        <v>16290</v>
      </c>
      <c r="Q144" s="22">
        <v>92316</v>
      </c>
      <c r="R144" s="22" t="s">
        <v>16291</v>
      </c>
      <c r="S144" s="22" t="s">
        <v>16292</v>
      </c>
      <c r="T144" s="22">
        <v>6.9</v>
      </c>
      <c r="U144" s="22">
        <v>0.4</v>
      </c>
      <c r="X144" s="26"/>
      <c r="Y144" s="26"/>
    </row>
    <row r="145" spans="1:25" ht="25" x14ac:dyDescent="0.25">
      <c r="A145" s="21">
        <v>195</v>
      </c>
      <c r="B145" s="22" t="s">
        <v>15368</v>
      </c>
      <c r="C145" s="22" t="s">
        <v>16293</v>
      </c>
      <c r="D145" s="23">
        <v>250335</v>
      </c>
      <c r="E145" s="24">
        <v>1991</v>
      </c>
      <c r="F145" s="22" t="s">
        <v>16294</v>
      </c>
      <c r="G145" s="23" t="s">
        <v>15030</v>
      </c>
      <c r="H145" s="25" t="s">
        <v>15373</v>
      </c>
      <c r="I145" s="22" t="s">
        <v>15382</v>
      </c>
      <c r="J145" s="22" t="s">
        <v>15031</v>
      </c>
      <c r="K145" s="26">
        <f t="shared" si="2"/>
        <v>993.33333333333326</v>
      </c>
      <c r="N145" s="26">
        <v>1490</v>
      </c>
      <c r="O145" s="22" t="s">
        <v>15032</v>
      </c>
      <c r="P145" s="22" t="s">
        <v>15957</v>
      </c>
      <c r="Q145" s="22" t="s">
        <v>15033</v>
      </c>
      <c r="R145" s="22" t="s">
        <v>15034</v>
      </c>
      <c r="S145" s="22" t="s">
        <v>15035</v>
      </c>
      <c r="T145" s="22">
        <v>8.17</v>
      </c>
      <c r="U145" s="22">
        <v>0.38</v>
      </c>
      <c r="X145" s="26"/>
      <c r="Y145" s="26"/>
    </row>
    <row r="146" spans="1:25" ht="37.5" x14ac:dyDescent="0.25">
      <c r="A146" s="21">
        <v>196</v>
      </c>
      <c r="B146" s="22" t="s">
        <v>15368</v>
      </c>
      <c r="C146" s="22" t="s">
        <v>16293</v>
      </c>
      <c r="D146" s="23">
        <v>322137</v>
      </c>
      <c r="E146" s="24">
        <v>1996</v>
      </c>
      <c r="F146" s="22" t="s">
        <v>15036</v>
      </c>
      <c r="G146" s="23" t="s">
        <v>15037</v>
      </c>
      <c r="H146" s="25" t="s">
        <v>15373</v>
      </c>
      <c r="I146" s="22" t="s">
        <v>15411</v>
      </c>
      <c r="J146" s="22" t="s">
        <v>15038</v>
      </c>
      <c r="K146" s="26">
        <f t="shared" si="2"/>
        <v>1033.3333333333333</v>
      </c>
      <c r="N146" s="26">
        <v>1550</v>
      </c>
      <c r="O146" s="22" t="s">
        <v>15032</v>
      </c>
      <c r="P146" s="22" t="s">
        <v>15957</v>
      </c>
      <c r="Q146" s="22" t="s">
        <v>15033</v>
      </c>
      <c r="R146" s="22" t="s">
        <v>15034</v>
      </c>
      <c r="S146" s="22" t="s">
        <v>15035</v>
      </c>
      <c r="T146" s="22">
        <v>8.17</v>
      </c>
      <c r="U146" s="22">
        <v>0.38</v>
      </c>
      <c r="X146" s="26"/>
      <c r="Y146" s="26"/>
    </row>
    <row r="147" spans="1:25" ht="37.5" x14ac:dyDescent="0.25">
      <c r="A147" s="21">
        <v>197</v>
      </c>
      <c r="B147" s="22" t="s">
        <v>15368</v>
      </c>
      <c r="C147" s="22" t="s">
        <v>16293</v>
      </c>
      <c r="D147" s="23">
        <v>359042</v>
      </c>
      <c r="E147" s="24">
        <v>1999</v>
      </c>
      <c r="F147" s="22" t="s">
        <v>15039</v>
      </c>
      <c r="G147" s="23" t="s">
        <v>15040</v>
      </c>
      <c r="H147" s="25" t="s">
        <v>15373</v>
      </c>
      <c r="I147" s="22" t="s">
        <v>15411</v>
      </c>
      <c r="J147" s="22" t="s">
        <v>15041</v>
      </c>
      <c r="K147" s="26">
        <f t="shared" si="2"/>
        <v>1007</v>
      </c>
      <c r="L147" s="26">
        <v>1007</v>
      </c>
      <c r="O147" s="22" t="s">
        <v>15032</v>
      </c>
      <c r="P147" s="22" t="s">
        <v>15957</v>
      </c>
      <c r="Q147" s="22" t="s">
        <v>15033</v>
      </c>
      <c r="R147" s="22" t="s">
        <v>15034</v>
      </c>
      <c r="S147" s="22" t="s">
        <v>15035</v>
      </c>
      <c r="T147" s="22">
        <v>8.17</v>
      </c>
      <c r="U147" s="22">
        <v>0.38</v>
      </c>
      <c r="X147" s="26"/>
      <c r="Y147" s="26"/>
    </row>
    <row r="148" spans="1:25" ht="37.5" x14ac:dyDescent="0.25">
      <c r="A148" s="21">
        <v>201</v>
      </c>
      <c r="B148" s="22" t="s">
        <v>15368</v>
      </c>
      <c r="C148" s="22" t="s">
        <v>15043</v>
      </c>
      <c r="D148" s="23">
        <v>332084</v>
      </c>
      <c r="E148" s="24">
        <v>1997</v>
      </c>
      <c r="F148" s="22" t="s">
        <v>15044</v>
      </c>
      <c r="G148" s="23" t="s">
        <v>15045</v>
      </c>
      <c r="H148" s="25" t="s">
        <v>15373</v>
      </c>
      <c r="I148" s="22" t="s">
        <v>15382</v>
      </c>
      <c r="J148" s="22" t="s">
        <v>15046</v>
      </c>
      <c r="K148" s="26">
        <f t="shared" si="2"/>
        <v>893.33333333333326</v>
      </c>
      <c r="N148" s="26">
        <v>1340</v>
      </c>
      <c r="O148" s="22" t="s">
        <v>15047</v>
      </c>
      <c r="P148" s="22" t="s">
        <v>15048</v>
      </c>
      <c r="Q148" s="22" t="s">
        <v>15049</v>
      </c>
      <c r="R148" s="22" t="s">
        <v>15050</v>
      </c>
      <c r="S148" s="22" t="s">
        <v>15051</v>
      </c>
      <c r="T148" s="22">
        <v>8.17</v>
      </c>
      <c r="U148" s="22">
        <v>0.38</v>
      </c>
      <c r="X148" s="26"/>
      <c r="Y148" s="26"/>
    </row>
    <row r="149" spans="1:25" ht="25" x14ac:dyDescent="0.25">
      <c r="A149" s="21">
        <v>202</v>
      </c>
      <c r="B149" s="22" t="s">
        <v>15368</v>
      </c>
      <c r="C149" s="22" t="s">
        <v>15052</v>
      </c>
      <c r="D149" s="23">
        <v>373031</v>
      </c>
      <c r="E149" s="24">
        <v>2000</v>
      </c>
      <c r="F149" s="22" t="s">
        <v>15053</v>
      </c>
      <c r="G149" s="23" t="s">
        <v>15054</v>
      </c>
      <c r="H149" s="25" t="s">
        <v>16310</v>
      </c>
      <c r="I149" s="22" t="s">
        <v>15374</v>
      </c>
      <c r="J149" s="22" t="s">
        <v>15055</v>
      </c>
      <c r="K149" s="26">
        <f t="shared" si="2"/>
        <v>450</v>
      </c>
      <c r="M149" s="26">
        <v>675</v>
      </c>
      <c r="O149" s="22" t="s">
        <v>15056</v>
      </c>
      <c r="P149" s="22" t="s">
        <v>16471</v>
      </c>
      <c r="Q149" s="22">
        <v>92324</v>
      </c>
      <c r="R149" s="22" t="s">
        <v>15057</v>
      </c>
      <c r="S149" s="22" t="s">
        <v>15058</v>
      </c>
      <c r="X149" s="26"/>
      <c r="Y149" s="26"/>
    </row>
    <row r="150" spans="1:25" ht="25" x14ac:dyDescent="0.25">
      <c r="A150" s="21">
        <v>204</v>
      </c>
      <c r="B150" s="22" t="s">
        <v>15368</v>
      </c>
      <c r="C150" s="22" t="s">
        <v>15059</v>
      </c>
      <c r="D150" s="23">
        <v>273128</v>
      </c>
      <c r="E150" s="24">
        <v>1992</v>
      </c>
      <c r="F150" s="22" t="s">
        <v>15060</v>
      </c>
      <c r="G150" s="23" t="s">
        <v>15061</v>
      </c>
      <c r="H150" s="25" t="s">
        <v>15373</v>
      </c>
      <c r="I150" s="22" t="s">
        <v>15374</v>
      </c>
      <c r="J150" s="22" t="s">
        <v>15062</v>
      </c>
      <c r="K150" s="26">
        <f t="shared" si="2"/>
        <v>350</v>
      </c>
      <c r="L150" s="26">
        <v>350</v>
      </c>
      <c r="O150" s="22" t="s">
        <v>15063</v>
      </c>
      <c r="P150" s="22" t="s">
        <v>16295</v>
      </c>
      <c r="Q150" s="22">
        <v>92834</v>
      </c>
      <c r="R150" s="22" t="s">
        <v>15064</v>
      </c>
      <c r="S150" s="22" t="s">
        <v>15065</v>
      </c>
      <c r="T150" s="22">
        <v>8.17</v>
      </c>
      <c r="U150" s="22">
        <v>0.38</v>
      </c>
      <c r="X150" s="26"/>
      <c r="Y150" s="26"/>
    </row>
    <row r="151" spans="1:25" ht="25" x14ac:dyDescent="0.25">
      <c r="A151" s="21">
        <v>205</v>
      </c>
      <c r="B151" s="22" t="s">
        <v>15368</v>
      </c>
      <c r="C151" s="22" t="s">
        <v>15059</v>
      </c>
      <c r="D151" s="23">
        <v>302650</v>
      </c>
      <c r="E151" s="24">
        <v>1995</v>
      </c>
      <c r="F151" s="22" t="s">
        <v>15066</v>
      </c>
      <c r="G151" s="23" t="s">
        <v>15067</v>
      </c>
      <c r="H151" s="25" t="s">
        <v>15373</v>
      </c>
      <c r="I151" s="22" t="s">
        <v>15411</v>
      </c>
      <c r="J151" s="22" t="s">
        <v>15068</v>
      </c>
      <c r="K151" s="26">
        <f t="shared" si="2"/>
        <v>730</v>
      </c>
      <c r="N151" s="26">
        <v>1095</v>
      </c>
      <c r="O151" s="22" t="s">
        <v>15063</v>
      </c>
      <c r="P151" s="22" t="s">
        <v>16295</v>
      </c>
      <c r="Q151" s="22">
        <v>92834</v>
      </c>
      <c r="R151" s="22" t="s">
        <v>15064</v>
      </c>
      <c r="S151" s="22" t="s">
        <v>15065</v>
      </c>
      <c r="T151" s="22">
        <v>8.17</v>
      </c>
      <c r="U151" s="22">
        <v>0.38</v>
      </c>
      <c r="X151" s="26"/>
      <c r="Y151" s="26"/>
    </row>
    <row r="152" spans="1:25" ht="25" x14ac:dyDescent="0.25">
      <c r="A152" s="21">
        <v>206</v>
      </c>
      <c r="B152" s="22" t="s">
        <v>15368</v>
      </c>
      <c r="C152" s="22" t="s">
        <v>15069</v>
      </c>
      <c r="D152" s="23">
        <v>341260</v>
      </c>
      <c r="E152" s="24">
        <v>1998</v>
      </c>
      <c r="F152" s="22" t="s">
        <v>15070</v>
      </c>
      <c r="G152" s="23" t="s">
        <v>15071</v>
      </c>
      <c r="H152" s="25" t="s">
        <v>15373</v>
      </c>
      <c r="I152" s="22" t="s">
        <v>15374</v>
      </c>
      <c r="J152" s="22" t="s">
        <v>14709</v>
      </c>
      <c r="K152" s="26">
        <f t="shared" si="2"/>
        <v>600</v>
      </c>
      <c r="L152" s="26">
        <v>600</v>
      </c>
      <c r="O152" s="22" t="s">
        <v>15072</v>
      </c>
      <c r="P152" s="22" t="s">
        <v>15376</v>
      </c>
      <c r="Q152" s="22" t="s">
        <v>15073</v>
      </c>
      <c r="R152" s="22" t="s">
        <v>15074</v>
      </c>
      <c r="S152" s="22" t="s">
        <v>15075</v>
      </c>
      <c r="T152" s="22">
        <v>8.17</v>
      </c>
      <c r="U152" s="22">
        <v>0.38</v>
      </c>
      <c r="X152" s="26"/>
      <c r="Y152" s="26"/>
    </row>
    <row r="153" spans="1:25" ht="25" x14ac:dyDescent="0.25">
      <c r="A153" s="21">
        <v>207</v>
      </c>
      <c r="B153" s="22" t="s">
        <v>15368</v>
      </c>
      <c r="C153" s="22" t="s">
        <v>15076</v>
      </c>
      <c r="D153" s="23">
        <v>372098</v>
      </c>
      <c r="E153" s="24">
        <v>2000</v>
      </c>
      <c r="F153" s="22" t="s">
        <v>15077</v>
      </c>
      <c r="G153" s="23" t="s">
        <v>15078</v>
      </c>
      <c r="H153" s="25" t="s">
        <v>15373</v>
      </c>
      <c r="I153" s="22" t="s">
        <v>15709</v>
      </c>
      <c r="J153" s="22" t="s">
        <v>15079</v>
      </c>
      <c r="K153" s="26">
        <f t="shared" si="2"/>
        <v>539.33333333333326</v>
      </c>
      <c r="N153" s="26">
        <v>809</v>
      </c>
      <c r="O153" s="22" t="s">
        <v>15080</v>
      </c>
      <c r="P153" s="22" t="s">
        <v>15081</v>
      </c>
      <c r="Q153" s="22">
        <v>90809</v>
      </c>
      <c r="R153" s="22" t="s">
        <v>15082</v>
      </c>
      <c r="S153" s="22" t="s">
        <v>15083</v>
      </c>
      <c r="T153" s="22">
        <v>6.9</v>
      </c>
      <c r="U153" s="22">
        <v>0.4</v>
      </c>
      <c r="X153" s="26"/>
      <c r="Y153" s="26"/>
    </row>
    <row r="154" spans="1:25" ht="37.5" x14ac:dyDescent="0.25">
      <c r="A154" s="21">
        <v>209</v>
      </c>
      <c r="B154" s="22" t="s">
        <v>15368</v>
      </c>
      <c r="C154" s="22" t="s">
        <v>16352</v>
      </c>
      <c r="D154" s="23">
        <v>342777</v>
      </c>
      <c r="E154" s="24">
        <v>1998</v>
      </c>
      <c r="F154" s="22" t="s">
        <v>16353</v>
      </c>
      <c r="G154" s="23" t="s">
        <v>16354</v>
      </c>
      <c r="H154" s="25" t="s">
        <v>15373</v>
      </c>
      <c r="I154" s="22" t="s">
        <v>15374</v>
      </c>
      <c r="J154" s="22" t="s">
        <v>15441</v>
      </c>
      <c r="K154" s="26">
        <f t="shared" si="2"/>
        <v>433.33333333333331</v>
      </c>
      <c r="N154" s="26">
        <v>650</v>
      </c>
      <c r="O154" s="22" t="s">
        <v>16832</v>
      </c>
      <c r="P154" s="22" t="s">
        <v>15683</v>
      </c>
      <c r="Q154" s="22">
        <v>91355</v>
      </c>
      <c r="R154" s="22" t="s">
        <v>16355</v>
      </c>
      <c r="S154" s="22" t="s">
        <v>16356</v>
      </c>
      <c r="T154" s="22">
        <v>6.9</v>
      </c>
      <c r="U154" s="22">
        <v>0.4</v>
      </c>
      <c r="X154" s="26"/>
      <c r="Y154" s="26"/>
    </row>
    <row r="155" spans="1:25" ht="25" x14ac:dyDescent="0.25">
      <c r="A155" s="21">
        <v>210</v>
      </c>
      <c r="B155" s="22" t="s">
        <v>15368</v>
      </c>
      <c r="C155" s="22" t="s">
        <v>16357</v>
      </c>
      <c r="D155" s="23">
        <v>231877</v>
      </c>
      <c r="E155" s="24">
        <v>1990</v>
      </c>
      <c r="F155" s="22" t="s">
        <v>16358</v>
      </c>
      <c r="G155" s="23" t="s">
        <v>16359</v>
      </c>
      <c r="H155" s="25" t="s">
        <v>15373</v>
      </c>
      <c r="I155" s="22" t="s">
        <v>15374</v>
      </c>
      <c r="J155" s="22" t="s">
        <v>16360</v>
      </c>
      <c r="K155" s="26">
        <f t="shared" si="2"/>
        <v>533.33333333333326</v>
      </c>
      <c r="N155" s="26">
        <v>800</v>
      </c>
      <c r="O155" s="22" t="s">
        <v>16361</v>
      </c>
      <c r="P155" s="22" t="s">
        <v>15376</v>
      </c>
      <c r="Q155" s="22">
        <v>90051</v>
      </c>
      <c r="R155" s="22" t="s">
        <v>16362</v>
      </c>
      <c r="S155" s="22" t="s">
        <v>16363</v>
      </c>
      <c r="T155" s="22">
        <v>8.17</v>
      </c>
      <c r="U155" s="22">
        <v>0.38</v>
      </c>
      <c r="X155" s="26"/>
      <c r="Y155" s="26"/>
    </row>
    <row r="156" spans="1:25" ht="25" x14ac:dyDescent="0.25">
      <c r="A156" s="21">
        <v>211</v>
      </c>
      <c r="B156" s="22" t="s">
        <v>15368</v>
      </c>
      <c r="C156" s="22" t="s">
        <v>16357</v>
      </c>
      <c r="D156" s="23">
        <v>289694</v>
      </c>
      <c r="E156" s="24">
        <v>1994</v>
      </c>
      <c r="F156" s="22" t="s">
        <v>16364</v>
      </c>
      <c r="G156" s="23" t="s">
        <v>16365</v>
      </c>
      <c r="H156" s="25" t="s">
        <v>15373</v>
      </c>
      <c r="I156" s="22" t="s">
        <v>15374</v>
      </c>
      <c r="J156" s="22" t="s">
        <v>16366</v>
      </c>
      <c r="K156" s="26">
        <f t="shared" si="2"/>
        <v>568.66666666666663</v>
      </c>
      <c r="N156" s="26">
        <v>853</v>
      </c>
      <c r="O156" s="22" t="s">
        <v>16361</v>
      </c>
      <c r="P156" s="22" t="s">
        <v>15376</v>
      </c>
      <c r="Q156" s="22" t="s">
        <v>16367</v>
      </c>
      <c r="R156" s="22" t="s">
        <v>16362</v>
      </c>
      <c r="S156" s="22" t="s">
        <v>16363</v>
      </c>
      <c r="T156" s="22">
        <v>8.17</v>
      </c>
      <c r="U156" s="22">
        <v>0.38</v>
      </c>
      <c r="X156" s="26"/>
      <c r="Y156" s="26"/>
    </row>
    <row r="157" spans="1:25" ht="25" x14ac:dyDescent="0.25">
      <c r="A157" s="21">
        <v>212</v>
      </c>
      <c r="B157" s="22" t="s">
        <v>15368</v>
      </c>
      <c r="C157" s="22" t="s">
        <v>16368</v>
      </c>
      <c r="D157" s="23">
        <v>357542</v>
      </c>
      <c r="E157" s="24">
        <v>1999</v>
      </c>
      <c r="F157" s="22" t="s">
        <v>16369</v>
      </c>
      <c r="G157" s="23" t="s">
        <v>16370</v>
      </c>
      <c r="H157" s="25" t="s">
        <v>15373</v>
      </c>
      <c r="I157" s="22" t="s">
        <v>15374</v>
      </c>
      <c r="J157" s="22" t="s">
        <v>15701</v>
      </c>
      <c r="K157" s="26">
        <f t="shared" si="2"/>
        <v>400</v>
      </c>
      <c r="L157" s="26">
        <v>400</v>
      </c>
      <c r="O157" s="22" t="s">
        <v>16371</v>
      </c>
      <c r="P157" s="22" t="s">
        <v>15703</v>
      </c>
      <c r="Q157" s="22">
        <v>90245</v>
      </c>
      <c r="R157" s="22" t="s">
        <v>16372</v>
      </c>
      <c r="S157" s="22" t="s">
        <v>16373</v>
      </c>
      <c r="T157" s="22">
        <v>6.9</v>
      </c>
      <c r="U157" s="22">
        <v>0.4</v>
      </c>
      <c r="X157" s="26"/>
      <c r="Y157" s="26"/>
    </row>
    <row r="158" spans="1:25" ht="25" x14ac:dyDescent="0.25">
      <c r="A158" s="21">
        <v>213</v>
      </c>
      <c r="B158" s="22" t="s">
        <v>15368</v>
      </c>
      <c r="C158" s="22" t="s">
        <v>16374</v>
      </c>
      <c r="D158" s="23">
        <v>203321</v>
      </c>
      <c r="E158" s="24">
        <v>1989</v>
      </c>
      <c r="F158" s="22" t="s">
        <v>16375</v>
      </c>
      <c r="G158" s="23" t="s">
        <v>16376</v>
      </c>
      <c r="H158" s="25" t="s">
        <v>15373</v>
      </c>
      <c r="I158" s="22" t="s">
        <v>15374</v>
      </c>
      <c r="J158" s="22" t="s">
        <v>16377</v>
      </c>
      <c r="K158" s="26">
        <f t="shared" si="2"/>
        <v>346</v>
      </c>
      <c r="N158" s="26">
        <v>519</v>
      </c>
      <c r="O158" s="22" t="s">
        <v>16378</v>
      </c>
      <c r="P158" s="22" t="s">
        <v>15376</v>
      </c>
      <c r="Q158" s="22">
        <v>90017</v>
      </c>
      <c r="R158" s="22" t="s">
        <v>16379</v>
      </c>
      <c r="S158" s="22" t="s">
        <v>16380</v>
      </c>
      <c r="T158" s="22">
        <v>8.17</v>
      </c>
      <c r="U158" s="22">
        <v>0.38</v>
      </c>
      <c r="X158" s="26"/>
      <c r="Y158" s="26"/>
    </row>
    <row r="159" spans="1:25" ht="25" x14ac:dyDescent="0.25">
      <c r="A159" s="21">
        <v>214</v>
      </c>
      <c r="B159" s="22" t="s">
        <v>15368</v>
      </c>
      <c r="C159" s="22" t="s">
        <v>16381</v>
      </c>
      <c r="D159" s="23">
        <v>363934</v>
      </c>
      <c r="E159" s="24">
        <v>1999</v>
      </c>
      <c r="F159" s="22" t="s">
        <v>16382</v>
      </c>
      <c r="G159" s="23" t="s">
        <v>16383</v>
      </c>
      <c r="H159" s="25" t="s">
        <v>15373</v>
      </c>
      <c r="I159" s="22" t="s">
        <v>15374</v>
      </c>
      <c r="J159" s="22" t="s">
        <v>14709</v>
      </c>
      <c r="K159" s="26">
        <f t="shared" si="2"/>
        <v>600</v>
      </c>
      <c r="L159" s="26">
        <v>600</v>
      </c>
      <c r="O159" s="22" t="s">
        <v>16384</v>
      </c>
      <c r="P159" s="22" t="s">
        <v>14733</v>
      </c>
      <c r="Q159" s="22">
        <v>92621</v>
      </c>
      <c r="R159" s="22" t="s">
        <v>16385</v>
      </c>
      <c r="S159" s="22" t="s">
        <v>16386</v>
      </c>
      <c r="T159" s="22">
        <v>8.17</v>
      </c>
      <c r="U159" s="22">
        <v>0.38</v>
      </c>
      <c r="X159" s="26"/>
      <c r="Y159" s="26"/>
    </row>
    <row r="160" spans="1:25" ht="37.5" x14ac:dyDescent="0.25">
      <c r="A160" s="21">
        <v>216</v>
      </c>
      <c r="B160" s="22" t="s">
        <v>15368</v>
      </c>
      <c r="C160" s="22" t="s">
        <v>16387</v>
      </c>
      <c r="D160" s="23">
        <v>360717</v>
      </c>
      <c r="E160" s="24">
        <v>1999</v>
      </c>
      <c r="F160" s="22" t="s">
        <v>16388</v>
      </c>
      <c r="G160" s="23" t="s">
        <v>16383</v>
      </c>
      <c r="H160" s="25" t="s">
        <v>15373</v>
      </c>
      <c r="I160" s="22" t="s">
        <v>15374</v>
      </c>
      <c r="J160" s="22" t="s">
        <v>14709</v>
      </c>
      <c r="K160" s="26">
        <f t="shared" si="2"/>
        <v>600</v>
      </c>
      <c r="L160" s="26">
        <v>600</v>
      </c>
      <c r="O160" s="22" t="s">
        <v>16389</v>
      </c>
      <c r="P160" s="22" t="s">
        <v>16390</v>
      </c>
      <c r="Q160" s="22">
        <v>92374</v>
      </c>
      <c r="R160" s="22" t="s">
        <v>16391</v>
      </c>
      <c r="S160" s="22" t="s">
        <v>16392</v>
      </c>
      <c r="T160" s="22">
        <v>8.17</v>
      </c>
      <c r="U160" s="22">
        <v>0.38</v>
      </c>
      <c r="X160" s="26"/>
      <c r="Y160" s="26"/>
    </row>
    <row r="161" spans="1:25" ht="25" x14ac:dyDescent="0.25">
      <c r="A161" s="21">
        <v>217</v>
      </c>
      <c r="B161" s="22" t="s">
        <v>15368</v>
      </c>
      <c r="C161" s="22" t="s">
        <v>16393</v>
      </c>
      <c r="D161" s="23">
        <v>351758</v>
      </c>
      <c r="E161" s="24">
        <v>1999</v>
      </c>
      <c r="F161" s="22" t="s">
        <v>16394</v>
      </c>
      <c r="G161" s="23" t="s">
        <v>16395</v>
      </c>
      <c r="H161" s="25" t="s">
        <v>15373</v>
      </c>
      <c r="I161" s="22" t="s">
        <v>15382</v>
      </c>
      <c r="J161" s="22" t="s">
        <v>16396</v>
      </c>
      <c r="K161" s="26">
        <f t="shared" si="2"/>
        <v>686.66666666666663</v>
      </c>
      <c r="N161" s="26">
        <v>1030</v>
      </c>
      <c r="O161" s="22" t="s">
        <v>16397</v>
      </c>
      <c r="P161" s="22" t="s">
        <v>15376</v>
      </c>
      <c r="Q161" s="22">
        <v>90045</v>
      </c>
      <c r="R161" s="22" t="s">
        <v>16398</v>
      </c>
      <c r="S161" s="22" t="s">
        <v>16399</v>
      </c>
      <c r="T161" s="22">
        <v>8.17</v>
      </c>
      <c r="U161" s="22">
        <v>0.38</v>
      </c>
      <c r="X161" s="26"/>
      <c r="Y161" s="26"/>
    </row>
    <row r="162" spans="1:25" ht="25" x14ac:dyDescent="0.25">
      <c r="A162" s="21">
        <v>218</v>
      </c>
      <c r="B162" s="22" t="s">
        <v>15368</v>
      </c>
      <c r="C162" s="22" t="s">
        <v>16393</v>
      </c>
      <c r="D162" s="23">
        <v>351760</v>
      </c>
      <c r="E162" s="24">
        <v>1999</v>
      </c>
      <c r="F162" s="22" t="s">
        <v>16400</v>
      </c>
      <c r="G162" s="23" t="s">
        <v>16395</v>
      </c>
      <c r="H162" s="25" t="s">
        <v>15373</v>
      </c>
      <c r="I162" s="22" t="s">
        <v>15382</v>
      </c>
      <c r="J162" s="22" t="s">
        <v>16396</v>
      </c>
      <c r="K162" s="26">
        <f t="shared" si="2"/>
        <v>686.66666666666663</v>
      </c>
      <c r="N162" s="26">
        <v>1030</v>
      </c>
      <c r="O162" s="22" t="s">
        <v>16397</v>
      </c>
      <c r="P162" s="22" t="s">
        <v>15376</v>
      </c>
      <c r="Q162" s="22">
        <v>90045</v>
      </c>
      <c r="R162" s="22" t="s">
        <v>16398</v>
      </c>
      <c r="S162" s="22" t="s">
        <v>16399</v>
      </c>
      <c r="T162" s="22">
        <v>8.17</v>
      </c>
      <c r="U162" s="22">
        <v>0.38</v>
      </c>
      <c r="X162" s="26"/>
      <c r="Y162" s="26"/>
    </row>
    <row r="163" spans="1:25" ht="25" x14ac:dyDescent="0.25">
      <c r="A163" s="21">
        <v>219</v>
      </c>
      <c r="B163" s="22" t="s">
        <v>15368</v>
      </c>
      <c r="C163" s="22" t="s">
        <v>16401</v>
      </c>
      <c r="D163" s="23">
        <v>337943</v>
      </c>
      <c r="E163" s="24">
        <v>1998</v>
      </c>
      <c r="F163" s="22" t="s">
        <v>16402</v>
      </c>
      <c r="G163" s="23" t="s">
        <v>16403</v>
      </c>
      <c r="H163" s="25" t="s">
        <v>15373</v>
      </c>
      <c r="I163" s="22" t="s">
        <v>15374</v>
      </c>
      <c r="J163" s="22" t="s">
        <v>16404</v>
      </c>
      <c r="K163" s="26">
        <f t="shared" si="2"/>
        <v>401.33333333333331</v>
      </c>
      <c r="N163" s="26">
        <v>602</v>
      </c>
      <c r="O163" s="22" t="s">
        <v>16405</v>
      </c>
      <c r="P163" s="22" t="s">
        <v>15435</v>
      </c>
      <c r="Q163" s="22">
        <v>92626</v>
      </c>
      <c r="R163" s="22" t="s">
        <v>16406</v>
      </c>
      <c r="S163" s="22" t="s">
        <v>16407</v>
      </c>
      <c r="T163" s="22">
        <v>6.9</v>
      </c>
      <c r="U163" s="22">
        <v>0.4</v>
      </c>
      <c r="X163" s="26"/>
      <c r="Y163" s="26"/>
    </row>
    <row r="164" spans="1:25" ht="25" x14ac:dyDescent="0.25">
      <c r="A164" s="21">
        <v>220</v>
      </c>
      <c r="B164" s="22" t="s">
        <v>15368</v>
      </c>
      <c r="C164" s="22" t="s">
        <v>16408</v>
      </c>
      <c r="D164" s="23">
        <v>235839</v>
      </c>
      <c r="E164" s="24">
        <v>1990</v>
      </c>
      <c r="F164" s="22" t="s">
        <v>16409</v>
      </c>
      <c r="G164" s="23" t="s">
        <v>16410</v>
      </c>
      <c r="H164" s="25" t="s">
        <v>16411</v>
      </c>
      <c r="I164" s="22" t="s">
        <v>16160</v>
      </c>
      <c r="J164" s="22" t="s">
        <v>16412</v>
      </c>
      <c r="K164" s="26">
        <f t="shared" si="2"/>
        <v>350.66666666666663</v>
      </c>
      <c r="N164" s="26">
        <v>526</v>
      </c>
      <c r="O164" s="22" t="s">
        <v>16413</v>
      </c>
      <c r="P164" s="22" t="s">
        <v>16414</v>
      </c>
      <c r="Q164" s="22">
        <v>91380</v>
      </c>
      <c r="R164" s="22" t="s">
        <v>16415</v>
      </c>
      <c r="S164" s="22" t="s">
        <v>16416</v>
      </c>
      <c r="X164" s="26"/>
      <c r="Y164" s="26"/>
    </row>
    <row r="165" spans="1:25" ht="25" x14ac:dyDescent="0.25">
      <c r="A165" s="21">
        <v>223</v>
      </c>
      <c r="B165" s="22" t="s">
        <v>15368</v>
      </c>
      <c r="C165" s="22" t="s">
        <v>16417</v>
      </c>
      <c r="D165" s="23">
        <v>365633</v>
      </c>
      <c r="E165" s="24">
        <v>2000</v>
      </c>
      <c r="F165" s="22" t="s">
        <v>16418</v>
      </c>
      <c r="G165" s="23" t="s">
        <v>16419</v>
      </c>
      <c r="H165" s="25" t="s">
        <v>16420</v>
      </c>
      <c r="I165" s="22" t="s">
        <v>16421</v>
      </c>
      <c r="J165" s="22" t="s">
        <v>16422</v>
      </c>
      <c r="K165" s="26">
        <f t="shared" si="2"/>
        <v>400</v>
      </c>
      <c r="L165" s="26">
        <v>400</v>
      </c>
      <c r="O165" s="22" t="s">
        <v>16423</v>
      </c>
      <c r="P165" s="22" t="s">
        <v>15376</v>
      </c>
      <c r="Q165" s="22">
        <v>90048</v>
      </c>
      <c r="R165" s="22" t="s">
        <v>16424</v>
      </c>
      <c r="S165" s="22" t="s">
        <v>16425</v>
      </c>
      <c r="X165" s="26"/>
      <c r="Y165" s="26"/>
    </row>
    <row r="166" spans="1:25" ht="37.5" x14ac:dyDescent="0.25">
      <c r="A166" s="21">
        <v>224</v>
      </c>
      <c r="B166" s="22" t="s">
        <v>15368</v>
      </c>
      <c r="C166" s="22" t="s">
        <v>16417</v>
      </c>
      <c r="D166" s="23">
        <v>365635</v>
      </c>
      <c r="E166" s="24">
        <v>2000</v>
      </c>
      <c r="F166" s="22" t="s">
        <v>16426</v>
      </c>
      <c r="G166" s="23" t="s">
        <v>16427</v>
      </c>
      <c r="H166" s="25" t="s">
        <v>15373</v>
      </c>
      <c r="I166" s="22" t="s">
        <v>15382</v>
      </c>
      <c r="J166" s="22" t="s">
        <v>16861</v>
      </c>
      <c r="K166" s="26">
        <f t="shared" si="2"/>
        <v>400</v>
      </c>
      <c r="N166" s="26">
        <v>600</v>
      </c>
      <c r="O166" s="22" t="s">
        <v>16423</v>
      </c>
      <c r="P166" s="22" t="s">
        <v>15376</v>
      </c>
      <c r="Q166" s="22">
        <v>90048</v>
      </c>
      <c r="R166" s="22" t="s">
        <v>16424</v>
      </c>
      <c r="S166" s="22" t="s">
        <v>16425</v>
      </c>
      <c r="T166" s="22">
        <v>6.9</v>
      </c>
      <c r="U166" s="22">
        <v>0.4</v>
      </c>
      <c r="X166" s="26"/>
      <c r="Y166" s="26"/>
    </row>
    <row r="167" spans="1:25" ht="25" x14ac:dyDescent="0.25">
      <c r="A167" s="21">
        <v>225</v>
      </c>
      <c r="B167" s="22" t="s">
        <v>15368</v>
      </c>
      <c r="C167" s="22" t="s">
        <v>16428</v>
      </c>
      <c r="D167" s="23">
        <v>171614</v>
      </c>
      <c r="E167" s="24">
        <v>1988</v>
      </c>
      <c r="F167" s="22" t="s">
        <v>16429</v>
      </c>
      <c r="G167" s="23" t="s">
        <v>16430</v>
      </c>
      <c r="H167" s="25" t="s">
        <v>15373</v>
      </c>
      <c r="I167" s="22" t="s">
        <v>15374</v>
      </c>
      <c r="J167" s="22">
        <v>3412</v>
      </c>
      <c r="K167" s="26">
        <f t="shared" si="2"/>
        <v>593.33333333333326</v>
      </c>
      <c r="N167" s="26">
        <v>890</v>
      </c>
      <c r="O167" s="22" t="s">
        <v>16431</v>
      </c>
      <c r="P167" s="22" t="s">
        <v>15376</v>
      </c>
      <c r="Q167" s="22">
        <v>90048</v>
      </c>
      <c r="R167" s="22" t="s">
        <v>16432</v>
      </c>
      <c r="S167" s="22" t="s">
        <v>16433</v>
      </c>
      <c r="T167" s="22">
        <v>8.17</v>
      </c>
      <c r="U167" s="22">
        <v>0.38</v>
      </c>
      <c r="X167" s="26"/>
      <c r="Y167" s="26"/>
    </row>
    <row r="168" spans="1:25" ht="25" x14ac:dyDescent="0.25">
      <c r="A168" s="21">
        <v>226</v>
      </c>
      <c r="B168" s="22" t="s">
        <v>15368</v>
      </c>
      <c r="C168" s="22" t="s">
        <v>16434</v>
      </c>
      <c r="D168" s="23">
        <v>249844</v>
      </c>
      <c r="E168" s="24">
        <v>1991</v>
      </c>
      <c r="F168" s="22" t="s">
        <v>16435</v>
      </c>
      <c r="G168" s="23" t="s">
        <v>16436</v>
      </c>
      <c r="H168" s="25" t="s">
        <v>15373</v>
      </c>
      <c r="I168" s="22" t="s">
        <v>15411</v>
      </c>
      <c r="J168" s="22" t="s">
        <v>16437</v>
      </c>
      <c r="K168" s="26">
        <f t="shared" si="2"/>
        <v>1163.3333333333333</v>
      </c>
      <c r="N168" s="26">
        <v>1745</v>
      </c>
      <c r="O168" s="22" t="s">
        <v>16438</v>
      </c>
      <c r="P168" s="22" t="s">
        <v>15376</v>
      </c>
      <c r="Q168" s="22">
        <v>90048</v>
      </c>
      <c r="R168" s="22" t="s">
        <v>16439</v>
      </c>
      <c r="S168" s="22" t="s">
        <v>16440</v>
      </c>
      <c r="T168" s="22">
        <v>8.17</v>
      </c>
      <c r="U168" s="22">
        <v>0.38</v>
      </c>
      <c r="X168" s="26"/>
      <c r="Y168" s="26"/>
    </row>
    <row r="169" spans="1:25" ht="25" x14ac:dyDescent="0.25">
      <c r="A169" s="21">
        <v>227</v>
      </c>
      <c r="B169" s="22" t="s">
        <v>15368</v>
      </c>
      <c r="C169" s="22" t="s">
        <v>16434</v>
      </c>
      <c r="D169" s="23">
        <v>249845</v>
      </c>
      <c r="E169" s="24">
        <v>1991</v>
      </c>
      <c r="F169" s="22" t="s">
        <v>15151</v>
      </c>
      <c r="G169" s="23" t="s">
        <v>16436</v>
      </c>
      <c r="H169" s="25" t="s">
        <v>15373</v>
      </c>
      <c r="I169" s="22" t="s">
        <v>15411</v>
      </c>
      <c r="J169" s="22" t="s">
        <v>16437</v>
      </c>
      <c r="K169" s="26">
        <f t="shared" si="2"/>
        <v>1163.3333333333333</v>
      </c>
      <c r="N169" s="26">
        <v>1745</v>
      </c>
      <c r="O169" s="22" t="s">
        <v>16438</v>
      </c>
      <c r="P169" s="22" t="s">
        <v>15376</v>
      </c>
      <c r="Q169" s="22">
        <v>90048</v>
      </c>
      <c r="R169" s="22" t="s">
        <v>16439</v>
      </c>
      <c r="S169" s="22" t="s">
        <v>16440</v>
      </c>
      <c r="T169" s="22">
        <v>8.17</v>
      </c>
      <c r="U169" s="22">
        <v>0.38</v>
      </c>
      <c r="X169" s="26"/>
      <c r="Y169" s="26"/>
    </row>
    <row r="170" spans="1:25" ht="25" x14ac:dyDescent="0.25">
      <c r="A170" s="21">
        <v>228</v>
      </c>
      <c r="B170" s="22" t="s">
        <v>15368</v>
      </c>
      <c r="C170" s="22" t="s">
        <v>16434</v>
      </c>
      <c r="D170" s="23">
        <v>378130</v>
      </c>
      <c r="E170" s="24">
        <v>2000</v>
      </c>
      <c r="F170" s="22" t="s">
        <v>15152</v>
      </c>
      <c r="G170" s="23" t="s">
        <v>15153</v>
      </c>
      <c r="H170" s="25" t="s">
        <v>15373</v>
      </c>
      <c r="I170" s="22" t="s">
        <v>15374</v>
      </c>
      <c r="J170" s="22">
        <v>3508</v>
      </c>
      <c r="K170" s="26">
        <f t="shared" si="2"/>
        <v>990.66666666666663</v>
      </c>
      <c r="N170" s="26">
        <v>1486</v>
      </c>
      <c r="O170" s="22" t="s">
        <v>16438</v>
      </c>
      <c r="P170" s="22" t="s">
        <v>15376</v>
      </c>
      <c r="Q170" s="22">
        <v>90048</v>
      </c>
      <c r="R170" s="22" t="s">
        <v>16439</v>
      </c>
      <c r="S170" s="22" t="s">
        <v>16440</v>
      </c>
      <c r="T170" s="22">
        <v>6.9</v>
      </c>
      <c r="U170" s="22">
        <v>0.4</v>
      </c>
      <c r="X170" s="26"/>
      <c r="Y170" s="26"/>
    </row>
    <row r="171" spans="1:25" ht="25" x14ac:dyDescent="0.25">
      <c r="A171" s="21">
        <v>229</v>
      </c>
      <c r="B171" s="22" t="s">
        <v>15368</v>
      </c>
      <c r="C171" s="22" t="s">
        <v>16434</v>
      </c>
      <c r="D171" s="23" t="s">
        <v>15154</v>
      </c>
      <c r="E171" s="24">
        <v>1990</v>
      </c>
      <c r="F171" s="22" t="s">
        <v>15155</v>
      </c>
      <c r="G171" s="23" t="s">
        <v>15156</v>
      </c>
      <c r="H171" s="25" t="s">
        <v>15373</v>
      </c>
      <c r="I171" s="22" t="s">
        <v>15411</v>
      </c>
      <c r="J171" s="22" t="s">
        <v>14684</v>
      </c>
      <c r="K171" s="26">
        <f t="shared" si="2"/>
        <v>1100</v>
      </c>
      <c r="L171" s="26">
        <v>1100</v>
      </c>
      <c r="O171" s="22" t="s">
        <v>16438</v>
      </c>
      <c r="P171" s="22" t="s">
        <v>15376</v>
      </c>
      <c r="Q171" s="22">
        <v>90048</v>
      </c>
      <c r="R171" s="22" t="s">
        <v>16439</v>
      </c>
      <c r="S171" s="22" t="s">
        <v>16440</v>
      </c>
      <c r="T171" s="22">
        <v>8.17</v>
      </c>
      <c r="U171" s="22">
        <v>0.38</v>
      </c>
      <c r="X171" s="26"/>
      <c r="Y171" s="26"/>
    </row>
    <row r="172" spans="1:25" ht="25" x14ac:dyDescent="0.25">
      <c r="A172" s="21">
        <v>230</v>
      </c>
      <c r="B172" s="22" t="s">
        <v>15368</v>
      </c>
      <c r="C172" s="22" t="s">
        <v>16434</v>
      </c>
      <c r="D172" s="23" t="s">
        <v>15157</v>
      </c>
      <c r="E172" s="24">
        <v>1990</v>
      </c>
      <c r="F172" s="22" t="s">
        <v>15158</v>
      </c>
      <c r="G172" s="23" t="s">
        <v>15159</v>
      </c>
      <c r="H172" s="25" t="s">
        <v>15373</v>
      </c>
      <c r="I172" s="22" t="s">
        <v>15411</v>
      </c>
      <c r="J172" s="22" t="s">
        <v>14684</v>
      </c>
      <c r="K172" s="26">
        <f t="shared" si="2"/>
        <v>1100</v>
      </c>
      <c r="L172" s="26">
        <v>1100</v>
      </c>
      <c r="O172" s="22" t="s">
        <v>16438</v>
      </c>
      <c r="P172" s="22" t="s">
        <v>15376</v>
      </c>
      <c r="Q172" s="22">
        <v>90048</v>
      </c>
      <c r="R172" s="22" t="s">
        <v>16439</v>
      </c>
      <c r="S172" s="22" t="s">
        <v>16440</v>
      </c>
      <c r="T172" s="22">
        <v>8.17</v>
      </c>
      <c r="U172" s="22">
        <v>0.38</v>
      </c>
      <c r="X172" s="26"/>
      <c r="Y172" s="26"/>
    </row>
    <row r="173" spans="1:25" ht="25" x14ac:dyDescent="0.25">
      <c r="A173" s="21">
        <v>231</v>
      </c>
      <c r="B173" s="22" t="s">
        <v>15368</v>
      </c>
      <c r="C173" s="22" t="s">
        <v>16434</v>
      </c>
      <c r="D173" s="23" t="s">
        <v>15160</v>
      </c>
      <c r="E173" s="24">
        <v>1990</v>
      </c>
      <c r="F173" s="22" t="s">
        <v>15161</v>
      </c>
      <c r="G173" s="23" t="s">
        <v>15162</v>
      </c>
      <c r="H173" s="25" t="s">
        <v>15373</v>
      </c>
      <c r="I173" s="22" t="s">
        <v>15411</v>
      </c>
      <c r="J173" s="22" t="s">
        <v>14684</v>
      </c>
      <c r="K173" s="26">
        <f t="shared" si="2"/>
        <v>1100</v>
      </c>
      <c r="L173" s="26">
        <v>1100</v>
      </c>
      <c r="O173" s="22" t="s">
        <v>16438</v>
      </c>
      <c r="P173" s="22" t="s">
        <v>15376</v>
      </c>
      <c r="Q173" s="22">
        <v>90048</v>
      </c>
      <c r="R173" s="22" t="s">
        <v>16439</v>
      </c>
      <c r="S173" s="22" t="s">
        <v>16440</v>
      </c>
      <c r="T173" s="22">
        <v>8.17</v>
      </c>
      <c r="U173" s="22">
        <v>0.38</v>
      </c>
      <c r="X173" s="26"/>
      <c r="Y173" s="26"/>
    </row>
    <row r="174" spans="1:25" ht="25" x14ac:dyDescent="0.25">
      <c r="A174" s="21">
        <v>232</v>
      </c>
      <c r="B174" s="22" t="s">
        <v>15368</v>
      </c>
      <c r="C174" s="22" t="s">
        <v>16434</v>
      </c>
      <c r="D174" s="23" t="s">
        <v>15163</v>
      </c>
      <c r="E174" s="24">
        <v>1990</v>
      </c>
      <c r="F174" s="22" t="s">
        <v>15164</v>
      </c>
      <c r="G174" s="23" t="s">
        <v>15165</v>
      </c>
      <c r="H174" s="25" t="s">
        <v>15373</v>
      </c>
      <c r="I174" s="22" t="s">
        <v>15411</v>
      </c>
      <c r="J174" s="22" t="s">
        <v>14684</v>
      </c>
      <c r="K174" s="26">
        <f t="shared" si="2"/>
        <v>1100</v>
      </c>
      <c r="L174" s="26">
        <v>1100</v>
      </c>
      <c r="O174" s="22" t="s">
        <v>16438</v>
      </c>
      <c r="P174" s="22" t="s">
        <v>15376</v>
      </c>
      <c r="Q174" s="22">
        <v>90048</v>
      </c>
      <c r="R174" s="22" t="s">
        <v>16439</v>
      </c>
      <c r="S174" s="22" t="s">
        <v>16440</v>
      </c>
      <c r="T174" s="22">
        <v>8.17</v>
      </c>
      <c r="U174" s="22">
        <v>0.38</v>
      </c>
      <c r="X174" s="26"/>
      <c r="Y174" s="26"/>
    </row>
    <row r="175" spans="1:25" ht="25" x14ac:dyDescent="0.25">
      <c r="A175" s="21">
        <v>233</v>
      </c>
      <c r="B175" s="22" t="s">
        <v>15368</v>
      </c>
      <c r="C175" s="22" t="s">
        <v>16434</v>
      </c>
      <c r="D175" s="23" t="s">
        <v>15166</v>
      </c>
      <c r="E175" s="24">
        <v>1990</v>
      </c>
      <c r="F175" s="22" t="s">
        <v>15167</v>
      </c>
      <c r="G175" s="23" t="s">
        <v>15168</v>
      </c>
      <c r="H175" s="25" t="s">
        <v>15373</v>
      </c>
      <c r="I175" s="22" t="s">
        <v>15382</v>
      </c>
      <c r="J175" s="22" t="s">
        <v>15169</v>
      </c>
      <c r="K175" s="26">
        <f t="shared" si="2"/>
        <v>350</v>
      </c>
      <c r="L175" s="26">
        <v>350</v>
      </c>
      <c r="O175" s="22" t="s">
        <v>16438</v>
      </c>
      <c r="P175" s="22" t="s">
        <v>15376</v>
      </c>
      <c r="Q175" s="22">
        <v>90048</v>
      </c>
      <c r="R175" s="22" t="s">
        <v>16439</v>
      </c>
      <c r="S175" s="22" t="s">
        <v>16440</v>
      </c>
      <c r="T175" s="22">
        <v>8.17</v>
      </c>
      <c r="U175" s="22">
        <v>0.38</v>
      </c>
      <c r="X175" s="26"/>
      <c r="Y175" s="26"/>
    </row>
    <row r="176" spans="1:25" ht="37.5" x14ac:dyDescent="0.25">
      <c r="A176" s="21">
        <v>234</v>
      </c>
      <c r="B176" s="22" t="s">
        <v>15368</v>
      </c>
      <c r="C176" s="22" t="s">
        <v>15170</v>
      </c>
      <c r="D176" s="23">
        <v>250341</v>
      </c>
      <c r="E176" s="24">
        <v>1991</v>
      </c>
      <c r="F176" s="22" t="s">
        <v>15171</v>
      </c>
      <c r="G176" s="23" t="s">
        <v>15172</v>
      </c>
      <c r="H176" s="25" t="s">
        <v>15373</v>
      </c>
      <c r="I176" s="22" t="s">
        <v>15382</v>
      </c>
      <c r="J176" s="22" t="s">
        <v>16811</v>
      </c>
      <c r="K176" s="26">
        <f t="shared" si="2"/>
        <v>356.66666666666663</v>
      </c>
      <c r="N176" s="26">
        <v>535</v>
      </c>
      <c r="O176" s="22" t="s">
        <v>15173</v>
      </c>
      <c r="P176" s="22" t="s">
        <v>15422</v>
      </c>
      <c r="Q176" s="22">
        <v>91501</v>
      </c>
      <c r="R176" s="22" t="s">
        <v>15174</v>
      </c>
      <c r="S176" s="22" t="s">
        <v>15175</v>
      </c>
      <c r="T176" s="22">
        <v>8.17</v>
      </c>
      <c r="U176" s="22">
        <v>0.38</v>
      </c>
      <c r="X176" s="26"/>
      <c r="Y176" s="26"/>
    </row>
    <row r="177" spans="1:25" ht="25" x14ac:dyDescent="0.25">
      <c r="A177" s="21">
        <v>235</v>
      </c>
      <c r="B177" s="22" t="s">
        <v>15368</v>
      </c>
      <c r="C177" s="22" t="s">
        <v>15176</v>
      </c>
      <c r="D177" s="23">
        <v>240960</v>
      </c>
      <c r="E177" s="24">
        <v>1990</v>
      </c>
      <c r="F177" s="22" t="s">
        <v>15177</v>
      </c>
      <c r="G177" s="23" t="s">
        <v>15178</v>
      </c>
      <c r="H177" s="25" t="s">
        <v>15373</v>
      </c>
      <c r="I177" s="22" t="s">
        <v>15374</v>
      </c>
      <c r="J177" s="22">
        <v>3508</v>
      </c>
      <c r="K177" s="26">
        <f t="shared" si="2"/>
        <v>682</v>
      </c>
      <c r="N177" s="26">
        <v>1023</v>
      </c>
      <c r="O177" s="22" t="s">
        <v>15179</v>
      </c>
      <c r="P177" s="22" t="s">
        <v>15376</v>
      </c>
      <c r="Q177" s="22">
        <v>90024</v>
      </c>
      <c r="R177" s="22" t="s">
        <v>15180</v>
      </c>
      <c r="S177" s="22" t="s">
        <v>15181</v>
      </c>
      <c r="T177" s="22">
        <v>8.17</v>
      </c>
      <c r="U177" s="22">
        <v>0.38</v>
      </c>
      <c r="X177" s="26"/>
      <c r="Y177" s="26"/>
    </row>
    <row r="178" spans="1:25" ht="25" x14ac:dyDescent="0.25">
      <c r="A178" s="21">
        <v>236</v>
      </c>
      <c r="B178" s="22" t="s">
        <v>15368</v>
      </c>
      <c r="C178" s="22" t="s">
        <v>15182</v>
      </c>
      <c r="D178" s="23">
        <v>359828</v>
      </c>
      <c r="E178" s="24">
        <v>1999</v>
      </c>
      <c r="F178" s="22" t="s">
        <v>15183</v>
      </c>
      <c r="G178" s="23" t="s">
        <v>15184</v>
      </c>
      <c r="H178" s="25" t="s">
        <v>15373</v>
      </c>
      <c r="I178" s="22" t="s">
        <v>15374</v>
      </c>
      <c r="J178" s="22" t="s">
        <v>15420</v>
      </c>
      <c r="K178" s="26">
        <f t="shared" si="2"/>
        <v>1250</v>
      </c>
      <c r="L178" s="26">
        <v>1250</v>
      </c>
      <c r="O178" s="22" t="s">
        <v>15185</v>
      </c>
      <c r="P178" s="22" t="s">
        <v>15414</v>
      </c>
      <c r="Q178" s="22">
        <v>91201</v>
      </c>
      <c r="R178" s="22" t="s">
        <v>15186</v>
      </c>
      <c r="S178" s="22" t="s">
        <v>15187</v>
      </c>
      <c r="T178" s="22">
        <v>8.17</v>
      </c>
      <c r="U178" s="22">
        <v>0.38</v>
      </c>
      <c r="X178" s="26"/>
      <c r="Y178" s="26"/>
    </row>
    <row r="179" spans="1:25" ht="25" x14ac:dyDescent="0.25">
      <c r="A179" s="21">
        <v>237</v>
      </c>
      <c r="B179" s="22" t="s">
        <v>15368</v>
      </c>
      <c r="C179" s="22" t="s">
        <v>15188</v>
      </c>
      <c r="D179" s="23">
        <v>366921</v>
      </c>
      <c r="E179" s="24">
        <v>2000</v>
      </c>
      <c r="F179" s="22" t="s">
        <v>15189</v>
      </c>
      <c r="G179" s="23" t="s">
        <v>15190</v>
      </c>
      <c r="H179" s="25" t="s">
        <v>15373</v>
      </c>
      <c r="I179" s="22" t="s">
        <v>15374</v>
      </c>
      <c r="J179" s="22" t="s">
        <v>15191</v>
      </c>
      <c r="K179" s="26">
        <f t="shared" si="2"/>
        <v>990.66666666666663</v>
      </c>
      <c r="N179" s="26">
        <v>1486</v>
      </c>
      <c r="O179" s="22" t="s">
        <v>15192</v>
      </c>
      <c r="P179" s="22" t="s">
        <v>15376</v>
      </c>
      <c r="Q179" s="22">
        <v>90010</v>
      </c>
      <c r="R179" s="22" t="s">
        <v>15193</v>
      </c>
      <c r="S179" s="22" t="s">
        <v>15194</v>
      </c>
      <c r="T179" s="22">
        <v>6.9</v>
      </c>
      <c r="U179" s="22">
        <v>0.4</v>
      </c>
      <c r="X179" s="26"/>
      <c r="Y179" s="26"/>
    </row>
    <row r="180" spans="1:25" ht="25" x14ac:dyDescent="0.25">
      <c r="A180" s="21">
        <v>238</v>
      </c>
      <c r="B180" s="22" t="s">
        <v>15368</v>
      </c>
      <c r="C180" s="22" t="s">
        <v>15195</v>
      </c>
      <c r="D180" s="23">
        <v>371317</v>
      </c>
      <c r="E180" s="24">
        <v>2000</v>
      </c>
      <c r="F180" s="22" t="s">
        <v>15196</v>
      </c>
      <c r="G180" s="23" t="s">
        <v>15197</v>
      </c>
      <c r="H180" s="25" t="s">
        <v>15373</v>
      </c>
      <c r="I180" s="22" t="s">
        <v>15374</v>
      </c>
      <c r="J180" s="22">
        <v>3406</v>
      </c>
      <c r="K180" s="26">
        <f t="shared" si="2"/>
        <v>346</v>
      </c>
      <c r="N180" s="26">
        <v>519</v>
      </c>
      <c r="O180" s="22" t="s">
        <v>15198</v>
      </c>
      <c r="P180" s="22" t="s">
        <v>15376</v>
      </c>
      <c r="Q180" s="22">
        <v>90067</v>
      </c>
      <c r="R180" s="22" t="s">
        <v>15199</v>
      </c>
      <c r="S180" s="22" t="s">
        <v>15200</v>
      </c>
      <c r="T180" s="22">
        <v>6.9</v>
      </c>
      <c r="U180" s="22">
        <v>0.4</v>
      </c>
      <c r="X180" s="26"/>
      <c r="Y180" s="26"/>
    </row>
    <row r="181" spans="1:25" ht="25" x14ac:dyDescent="0.25">
      <c r="A181" s="21">
        <v>239</v>
      </c>
      <c r="B181" s="22" t="s">
        <v>15368</v>
      </c>
      <c r="C181" s="22" t="s">
        <v>15201</v>
      </c>
      <c r="D181" s="23">
        <v>351958</v>
      </c>
      <c r="E181" s="24">
        <v>1999</v>
      </c>
      <c r="F181" s="22" t="s">
        <v>15202</v>
      </c>
      <c r="G181" s="23" t="s">
        <v>15203</v>
      </c>
      <c r="H181" s="25" t="s">
        <v>15373</v>
      </c>
      <c r="I181" s="22" t="s">
        <v>15374</v>
      </c>
      <c r="J181" s="22" t="s">
        <v>15701</v>
      </c>
      <c r="K181" s="26">
        <f t="shared" si="2"/>
        <v>400</v>
      </c>
      <c r="L181" s="26">
        <v>400</v>
      </c>
      <c r="O181" s="22" t="s">
        <v>15204</v>
      </c>
      <c r="P181" s="22" t="s">
        <v>15205</v>
      </c>
      <c r="Q181" s="22">
        <v>92708</v>
      </c>
      <c r="R181" s="22" t="s">
        <v>15206</v>
      </c>
      <c r="S181" s="22" t="s">
        <v>15207</v>
      </c>
      <c r="T181" s="22">
        <v>6.9</v>
      </c>
      <c r="U181" s="22">
        <v>0.4</v>
      </c>
      <c r="X181" s="26"/>
      <c r="Y181" s="26"/>
    </row>
    <row r="182" spans="1:25" ht="25" x14ac:dyDescent="0.25">
      <c r="A182" s="21">
        <v>240</v>
      </c>
      <c r="B182" s="22" t="s">
        <v>15368</v>
      </c>
      <c r="C182" s="22" t="s">
        <v>15208</v>
      </c>
      <c r="D182" s="23">
        <v>299020</v>
      </c>
      <c r="E182" s="24">
        <v>1994</v>
      </c>
      <c r="F182" s="22" t="s">
        <v>15209</v>
      </c>
      <c r="G182" s="23" t="s">
        <v>15210</v>
      </c>
      <c r="H182" s="25" t="s">
        <v>15373</v>
      </c>
      <c r="I182" s="22" t="s">
        <v>15411</v>
      </c>
      <c r="J182" s="22" t="s">
        <v>16306</v>
      </c>
      <c r="K182" s="26">
        <f t="shared" si="2"/>
        <v>378.66666666666663</v>
      </c>
      <c r="N182" s="26">
        <v>568</v>
      </c>
      <c r="O182" s="22" t="s">
        <v>15211</v>
      </c>
      <c r="P182" s="22" t="s">
        <v>15212</v>
      </c>
      <c r="Q182" s="22" t="s">
        <v>15213</v>
      </c>
      <c r="R182" s="22" t="s">
        <v>15214</v>
      </c>
      <c r="S182" s="22" t="s">
        <v>15215</v>
      </c>
      <c r="T182" s="22">
        <v>8.17</v>
      </c>
      <c r="U182" s="22">
        <v>0.38</v>
      </c>
      <c r="X182" s="26"/>
      <c r="Y182" s="26"/>
    </row>
    <row r="183" spans="1:25" ht="25" x14ac:dyDescent="0.25">
      <c r="A183" s="21">
        <v>245</v>
      </c>
      <c r="B183" s="22" t="s">
        <v>15368</v>
      </c>
      <c r="C183" s="22" t="s">
        <v>15216</v>
      </c>
      <c r="D183" s="23">
        <v>242585</v>
      </c>
      <c r="E183" s="24">
        <v>1991</v>
      </c>
      <c r="F183" s="22" t="s">
        <v>15217</v>
      </c>
      <c r="G183" s="23" t="s">
        <v>15218</v>
      </c>
      <c r="H183" s="25" t="s">
        <v>15373</v>
      </c>
      <c r="I183" s="22" t="s">
        <v>15411</v>
      </c>
      <c r="J183" s="22" t="s">
        <v>15681</v>
      </c>
      <c r="K183" s="26">
        <f t="shared" si="2"/>
        <v>553.33333333333326</v>
      </c>
      <c r="N183" s="26">
        <v>830</v>
      </c>
      <c r="O183" s="22" t="s">
        <v>15219</v>
      </c>
      <c r="P183" s="22" t="s">
        <v>15376</v>
      </c>
      <c r="Q183" s="22" t="s">
        <v>15220</v>
      </c>
      <c r="R183" s="22" t="s">
        <v>15221</v>
      </c>
      <c r="S183" s="22" t="s">
        <v>15222</v>
      </c>
      <c r="T183" s="22">
        <v>8.17</v>
      </c>
      <c r="U183" s="22">
        <v>0.38</v>
      </c>
      <c r="X183" s="26"/>
      <c r="Y183" s="26"/>
    </row>
    <row r="184" spans="1:25" ht="25" x14ac:dyDescent="0.25">
      <c r="A184" s="21">
        <v>246</v>
      </c>
      <c r="B184" s="22" t="s">
        <v>15368</v>
      </c>
      <c r="C184" s="22" t="s">
        <v>15216</v>
      </c>
      <c r="D184" s="23">
        <v>360267</v>
      </c>
      <c r="E184" s="24">
        <v>1999</v>
      </c>
      <c r="F184" s="22" t="s">
        <v>15223</v>
      </c>
      <c r="G184" s="23" t="s">
        <v>15224</v>
      </c>
      <c r="H184" s="25" t="s">
        <v>15373</v>
      </c>
      <c r="I184" s="22" t="s">
        <v>15374</v>
      </c>
      <c r="J184" s="22" t="s">
        <v>15420</v>
      </c>
      <c r="K184" s="26">
        <f t="shared" si="2"/>
        <v>1250</v>
      </c>
      <c r="L184" s="26">
        <v>1250</v>
      </c>
      <c r="O184" s="22" t="s">
        <v>15219</v>
      </c>
      <c r="P184" s="22" t="s">
        <v>15376</v>
      </c>
      <c r="Q184" s="22" t="s">
        <v>15220</v>
      </c>
      <c r="R184" s="22" t="s">
        <v>15221</v>
      </c>
      <c r="S184" s="22" t="s">
        <v>15222</v>
      </c>
      <c r="T184" s="22">
        <v>8.17</v>
      </c>
      <c r="U184" s="22">
        <v>0.38</v>
      </c>
      <c r="X184" s="26"/>
      <c r="Y184" s="26"/>
    </row>
    <row r="185" spans="1:25" ht="25" x14ac:dyDescent="0.25">
      <c r="A185" s="21">
        <v>247</v>
      </c>
      <c r="B185" s="22" t="s">
        <v>15368</v>
      </c>
      <c r="C185" s="22" t="s">
        <v>15216</v>
      </c>
      <c r="D185" s="23">
        <v>365284</v>
      </c>
      <c r="E185" s="24">
        <v>2000</v>
      </c>
      <c r="F185" s="22" t="s">
        <v>15225</v>
      </c>
      <c r="G185" s="23" t="s">
        <v>15224</v>
      </c>
      <c r="H185" s="25" t="s">
        <v>15373</v>
      </c>
      <c r="I185" s="22" t="s">
        <v>15374</v>
      </c>
      <c r="J185" s="22" t="s">
        <v>15420</v>
      </c>
      <c r="K185" s="26">
        <f t="shared" si="2"/>
        <v>1250</v>
      </c>
      <c r="L185" s="26">
        <v>1250</v>
      </c>
      <c r="O185" s="22" t="s">
        <v>15219</v>
      </c>
      <c r="P185" s="22" t="s">
        <v>15376</v>
      </c>
      <c r="Q185" s="22" t="s">
        <v>15220</v>
      </c>
      <c r="R185" s="22" t="s">
        <v>15221</v>
      </c>
      <c r="S185" s="22" t="s">
        <v>15222</v>
      </c>
      <c r="T185" s="22">
        <v>6.9</v>
      </c>
      <c r="U185" s="22">
        <v>0.4</v>
      </c>
      <c r="X185" s="26"/>
      <c r="Y185" s="26"/>
    </row>
    <row r="186" spans="1:25" ht="25" x14ac:dyDescent="0.25">
      <c r="A186" s="21">
        <v>248</v>
      </c>
      <c r="B186" s="22" t="s">
        <v>15368</v>
      </c>
      <c r="C186" s="22" t="s">
        <v>15216</v>
      </c>
      <c r="D186" s="23">
        <v>365285</v>
      </c>
      <c r="E186" s="24">
        <v>2000</v>
      </c>
      <c r="F186" s="22" t="s">
        <v>15226</v>
      </c>
      <c r="G186" s="23" t="s">
        <v>15224</v>
      </c>
      <c r="H186" s="25" t="s">
        <v>15373</v>
      </c>
      <c r="I186" s="22" t="s">
        <v>15374</v>
      </c>
      <c r="J186" s="22" t="s">
        <v>15420</v>
      </c>
      <c r="K186" s="26">
        <f t="shared" si="2"/>
        <v>1250</v>
      </c>
      <c r="L186" s="26">
        <v>1250</v>
      </c>
      <c r="O186" s="22" t="s">
        <v>15219</v>
      </c>
      <c r="P186" s="22" t="s">
        <v>15376</v>
      </c>
      <c r="Q186" s="22" t="s">
        <v>15220</v>
      </c>
      <c r="R186" s="22" t="s">
        <v>15221</v>
      </c>
      <c r="S186" s="22" t="s">
        <v>15222</v>
      </c>
      <c r="T186" s="22">
        <v>6.9</v>
      </c>
      <c r="U186" s="22">
        <v>0.4</v>
      </c>
      <c r="X186" s="26"/>
      <c r="Y186" s="26"/>
    </row>
    <row r="187" spans="1:25" ht="25" x14ac:dyDescent="0.25">
      <c r="A187" s="21">
        <v>249</v>
      </c>
      <c r="B187" s="22" t="s">
        <v>15368</v>
      </c>
      <c r="C187" s="22" t="s">
        <v>15216</v>
      </c>
      <c r="D187" s="23">
        <v>365287</v>
      </c>
      <c r="E187" s="24">
        <v>2000</v>
      </c>
      <c r="F187" s="22" t="s">
        <v>15227</v>
      </c>
      <c r="G187" s="23" t="s">
        <v>15224</v>
      </c>
      <c r="H187" s="25" t="s">
        <v>15373</v>
      </c>
      <c r="I187" s="22" t="s">
        <v>15374</v>
      </c>
      <c r="J187" s="22" t="s">
        <v>15420</v>
      </c>
      <c r="K187" s="26">
        <f t="shared" si="2"/>
        <v>1250</v>
      </c>
      <c r="L187" s="26">
        <v>1250</v>
      </c>
      <c r="O187" s="22" t="s">
        <v>15219</v>
      </c>
      <c r="P187" s="22" t="s">
        <v>15376</v>
      </c>
      <c r="Q187" s="22" t="s">
        <v>15220</v>
      </c>
      <c r="R187" s="22" t="s">
        <v>15221</v>
      </c>
      <c r="S187" s="22" t="s">
        <v>15222</v>
      </c>
      <c r="T187" s="22">
        <v>6.9</v>
      </c>
      <c r="U187" s="22">
        <v>0.4</v>
      </c>
      <c r="X187" s="26"/>
      <c r="Y187" s="26"/>
    </row>
    <row r="188" spans="1:25" ht="37.5" x14ac:dyDescent="0.25">
      <c r="A188" s="21">
        <v>250</v>
      </c>
      <c r="B188" s="22" t="s">
        <v>15368</v>
      </c>
      <c r="C188" s="22" t="s">
        <v>15228</v>
      </c>
      <c r="D188" s="23">
        <v>211684</v>
      </c>
      <c r="E188" s="24">
        <v>1989</v>
      </c>
      <c r="F188" s="22" t="s">
        <v>15229</v>
      </c>
      <c r="G188" s="23" t="s">
        <v>15230</v>
      </c>
      <c r="H188" s="25" t="s">
        <v>15373</v>
      </c>
      <c r="I188" s="22" t="s">
        <v>15374</v>
      </c>
      <c r="J188" s="22" t="s">
        <v>16899</v>
      </c>
      <c r="K188" s="26">
        <f t="shared" si="2"/>
        <v>593.33333333333326</v>
      </c>
      <c r="N188" s="26">
        <v>890</v>
      </c>
      <c r="O188" s="22" t="s">
        <v>15231</v>
      </c>
      <c r="P188" s="22" t="s">
        <v>15212</v>
      </c>
      <c r="Q188" s="22">
        <v>92668</v>
      </c>
      <c r="R188" s="22" t="s">
        <v>15232</v>
      </c>
      <c r="S188" s="22" t="s">
        <v>15233</v>
      </c>
      <c r="T188" s="22">
        <v>8.17</v>
      </c>
      <c r="U188" s="22">
        <v>0.38</v>
      </c>
      <c r="X188" s="26"/>
      <c r="Y188" s="26"/>
    </row>
    <row r="189" spans="1:25" ht="37.5" x14ac:dyDescent="0.25">
      <c r="A189" s="21">
        <v>251</v>
      </c>
      <c r="B189" s="22" t="s">
        <v>15368</v>
      </c>
      <c r="C189" s="22" t="s">
        <v>15228</v>
      </c>
      <c r="D189" s="23">
        <v>211685</v>
      </c>
      <c r="E189" s="24">
        <v>1989</v>
      </c>
      <c r="F189" s="22" t="s">
        <v>15234</v>
      </c>
      <c r="G189" s="23" t="s">
        <v>15230</v>
      </c>
      <c r="H189" s="25" t="s">
        <v>15373</v>
      </c>
      <c r="I189" s="22" t="s">
        <v>15374</v>
      </c>
      <c r="J189" s="22" t="s">
        <v>16899</v>
      </c>
      <c r="K189" s="26">
        <f t="shared" si="2"/>
        <v>593.33333333333326</v>
      </c>
      <c r="N189" s="26">
        <v>890</v>
      </c>
      <c r="O189" s="22" t="s">
        <v>15231</v>
      </c>
      <c r="P189" s="22" t="s">
        <v>15212</v>
      </c>
      <c r="Q189" s="22">
        <v>92668</v>
      </c>
      <c r="R189" s="22" t="s">
        <v>15232</v>
      </c>
      <c r="S189" s="22" t="s">
        <v>15233</v>
      </c>
      <c r="T189" s="22">
        <v>8.17</v>
      </c>
      <c r="U189" s="22">
        <v>0.38</v>
      </c>
      <c r="X189" s="26"/>
      <c r="Y189" s="26"/>
    </row>
    <row r="190" spans="1:25" ht="37.5" x14ac:dyDescent="0.25">
      <c r="A190" s="21">
        <v>252</v>
      </c>
      <c r="B190" s="22" t="s">
        <v>15368</v>
      </c>
      <c r="C190" s="22" t="s">
        <v>15228</v>
      </c>
      <c r="D190" s="23">
        <v>211686</v>
      </c>
      <c r="E190" s="24">
        <v>1989</v>
      </c>
      <c r="F190" s="22" t="s">
        <v>15235</v>
      </c>
      <c r="G190" s="23" t="s">
        <v>15230</v>
      </c>
      <c r="H190" s="25" t="s">
        <v>15373</v>
      </c>
      <c r="I190" s="22" t="s">
        <v>15374</v>
      </c>
      <c r="J190" s="22" t="s">
        <v>16899</v>
      </c>
      <c r="K190" s="26">
        <f t="shared" si="2"/>
        <v>593.33333333333326</v>
      </c>
      <c r="N190" s="26">
        <v>890</v>
      </c>
      <c r="O190" s="22" t="s">
        <v>15231</v>
      </c>
      <c r="P190" s="22" t="s">
        <v>15212</v>
      </c>
      <c r="Q190" s="22">
        <v>92668</v>
      </c>
      <c r="R190" s="22" t="s">
        <v>15232</v>
      </c>
      <c r="S190" s="22" t="s">
        <v>15233</v>
      </c>
      <c r="T190" s="22">
        <v>8.17</v>
      </c>
      <c r="U190" s="22">
        <v>0.38</v>
      </c>
      <c r="X190" s="26"/>
      <c r="Y190" s="26"/>
    </row>
    <row r="191" spans="1:25" ht="25" x14ac:dyDescent="0.25">
      <c r="A191" s="21">
        <v>254</v>
      </c>
      <c r="B191" s="22" t="s">
        <v>15368</v>
      </c>
      <c r="C191" s="22" t="s">
        <v>15236</v>
      </c>
      <c r="D191" s="23">
        <v>290323</v>
      </c>
      <c r="E191" s="24">
        <v>1994</v>
      </c>
      <c r="F191" s="22" t="s">
        <v>15237</v>
      </c>
      <c r="G191" s="23" t="s">
        <v>15238</v>
      </c>
      <c r="H191" s="25" t="s">
        <v>15373</v>
      </c>
      <c r="I191" s="22" t="s">
        <v>15374</v>
      </c>
      <c r="J191" s="22" t="s">
        <v>15191</v>
      </c>
      <c r="K191" s="26">
        <f t="shared" si="2"/>
        <v>750</v>
      </c>
      <c r="L191" s="26">
        <v>750</v>
      </c>
      <c r="O191" s="22" t="s">
        <v>15239</v>
      </c>
      <c r="P191" s="22" t="s">
        <v>16794</v>
      </c>
      <c r="Q191" s="22">
        <v>92501</v>
      </c>
      <c r="R191" s="22" t="s">
        <v>15240</v>
      </c>
      <c r="S191" s="22" t="s">
        <v>15241</v>
      </c>
      <c r="T191" s="22">
        <v>8.17</v>
      </c>
      <c r="U191" s="22">
        <v>0.38</v>
      </c>
      <c r="X191" s="26"/>
      <c r="Y191" s="26"/>
    </row>
    <row r="192" spans="1:25" ht="25" x14ac:dyDescent="0.25">
      <c r="A192" s="21">
        <v>255</v>
      </c>
      <c r="B192" s="22" t="s">
        <v>15368</v>
      </c>
      <c r="C192" s="22" t="s">
        <v>15242</v>
      </c>
      <c r="D192" s="23">
        <v>365848</v>
      </c>
      <c r="E192" s="24">
        <v>1999</v>
      </c>
      <c r="F192" s="22" t="s">
        <v>15243</v>
      </c>
      <c r="G192" s="23" t="s">
        <v>16501</v>
      </c>
      <c r="H192" s="25" t="s">
        <v>15373</v>
      </c>
      <c r="I192" s="22" t="s">
        <v>15374</v>
      </c>
      <c r="J192" s="22" t="s">
        <v>16502</v>
      </c>
      <c r="K192" s="26">
        <f t="shared" si="2"/>
        <v>980.66666666666663</v>
      </c>
      <c r="N192" s="26">
        <v>1471</v>
      </c>
      <c r="O192" s="22" t="s">
        <v>16503</v>
      </c>
      <c r="P192" s="22" t="s">
        <v>16504</v>
      </c>
      <c r="Q192" s="22">
        <v>90301</v>
      </c>
      <c r="R192" s="22" t="s">
        <v>16505</v>
      </c>
      <c r="S192" s="22" t="s">
        <v>16506</v>
      </c>
      <c r="T192" s="22">
        <v>8.17</v>
      </c>
      <c r="U192" s="22">
        <v>0.38</v>
      </c>
      <c r="X192" s="26"/>
      <c r="Y192" s="26"/>
    </row>
    <row r="193" spans="1:25" ht="25" x14ac:dyDescent="0.25">
      <c r="A193" s="21">
        <v>256</v>
      </c>
      <c r="B193" s="22" t="s">
        <v>15368</v>
      </c>
      <c r="C193" s="22" t="s">
        <v>16507</v>
      </c>
      <c r="D193" s="23">
        <v>236723</v>
      </c>
      <c r="E193" s="24">
        <v>1990</v>
      </c>
      <c r="F193" s="22" t="s">
        <v>16508</v>
      </c>
      <c r="G193" s="23" t="s">
        <v>16509</v>
      </c>
      <c r="H193" s="25" t="s">
        <v>15373</v>
      </c>
      <c r="I193" s="22" t="s">
        <v>15411</v>
      </c>
      <c r="J193" s="22" t="s">
        <v>16510</v>
      </c>
      <c r="K193" s="26">
        <f t="shared" si="2"/>
        <v>1346.6666666666665</v>
      </c>
      <c r="N193" s="26">
        <v>2020</v>
      </c>
      <c r="O193" s="22" t="s">
        <v>16511</v>
      </c>
      <c r="P193" s="22" t="s">
        <v>16786</v>
      </c>
      <c r="Q193" s="22">
        <v>92806</v>
      </c>
      <c r="R193" s="22" t="s">
        <v>16512</v>
      </c>
      <c r="S193" s="22" t="s">
        <v>16513</v>
      </c>
      <c r="T193" s="22">
        <v>8.17</v>
      </c>
      <c r="U193" s="22">
        <v>0.38</v>
      </c>
      <c r="X193" s="26"/>
      <c r="Y193" s="26"/>
    </row>
    <row r="194" spans="1:25" ht="37.5" x14ac:dyDescent="0.25">
      <c r="A194" s="21">
        <v>257</v>
      </c>
      <c r="B194" s="22" t="s">
        <v>15368</v>
      </c>
      <c r="C194" s="22" t="s">
        <v>16514</v>
      </c>
      <c r="D194" s="23">
        <v>366217</v>
      </c>
      <c r="E194" s="24">
        <v>2000</v>
      </c>
      <c r="F194" s="22" t="s">
        <v>16515</v>
      </c>
      <c r="G194" s="23" t="s">
        <v>16516</v>
      </c>
      <c r="H194" s="25" t="s">
        <v>15373</v>
      </c>
      <c r="I194" s="22" t="s">
        <v>15411</v>
      </c>
      <c r="J194" s="22" t="s">
        <v>16517</v>
      </c>
      <c r="K194" s="26">
        <f t="shared" ref="K194:K257" si="3">L194+M194*(2/3)+N194*(2/3)</f>
        <v>310</v>
      </c>
      <c r="L194" s="26">
        <v>310</v>
      </c>
      <c r="O194" s="22" t="s">
        <v>16518</v>
      </c>
      <c r="P194" s="22" t="s">
        <v>15879</v>
      </c>
      <c r="Q194" s="22" t="s">
        <v>16519</v>
      </c>
      <c r="R194" s="22" t="s">
        <v>16520</v>
      </c>
      <c r="S194" s="22" t="s">
        <v>16521</v>
      </c>
      <c r="T194" s="22">
        <v>6.9</v>
      </c>
      <c r="U194" s="22">
        <v>0.4</v>
      </c>
      <c r="X194" s="26"/>
      <c r="Y194" s="26"/>
    </row>
    <row r="195" spans="1:25" ht="25" x14ac:dyDescent="0.25">
      <c r="A195" s="21">
        <v>258</v>
      </c>
      <c r="B195" s="22" t="s">
        <v>15368</v>
      </c>
      <c r="C195" s="22" t="s">
        <v>16522</v>
      </c>
      <c r="D195" s="23">
        <v>362344</v>
      </c>
      <c r="E195" s="24">
        <v>1999</v>
      </c>
      <c r="F195" s="22" t="s">
        <v>16523</v>
      </c>
      <c r="G195" s="23" t="s">
        <v>16524</v>
      </c>
      <c r="H195" s="25" t="s">
        <v>15373</v>
      </c>
      <c r="I195" s="22" t="s">
        <v>15374</v>
      </c>
      <c r="J195" s="22" t="s">
        <v>15701</v>
      </c>
      <c r="K195" s="26">
        <f t="shared" si="3"/>
        <v>350</v>
      </c>
      <c r="L195" s="26">
        <v>350</v>
      </c>
      <c r="O195" s="22" t="s">
        <v>16525</v>
      </c>
      <c r="P195" s="22" t="s">
        <v>16526</v>
      </c>
      <c r="Q195" s="22">
        <v>91024</v>
      </c>
      <c r="R195" s="22" t="s">
        <v>16527</v>
      </c>
      <c r="S195" s="22" t="s">
        <v>16528</v>
      </c>
      <c r="T195" s="22">
        <v>6.9</v>
      </c>
      <c r="U195" s="22">
        <v>0.4</v>
      </c>
      <c r="X195" s="26"/>
      <c r="Y195" s="26"/>
    </row>
    <row r="196" spans="1:25" ht="25" x14ac:dyDescent="0.25">
      <c r="A196" s="21">
        <v>259</v>
      </c>
      <c r="B196" s="22" t="s">
        <v>15368</v>
      </c>
      <c r="C196" s="22" t="s">
        <v>16529</v>
      </c>
      <c r="D196" s="23">
        <v>373622</v>
      </c>
      <c r="E196" s="24">
        <v>2000</v>
      </c>
      <c r="F196" s="22" t="s">
        <v>16530</v>
      </c>
      <c r="G196" s="23" t="s">
        <v>16531</v>
      </c>
      <c r="H196" s="25" t="s">
        <v>15373</v>
      </c>
      <c r="I196" s="22" t="s">
        <v>15374</v>
      </c>
      <c r="J196" s="22">
        <v>3412</v>
      </c>
      <c r="K196" s="26">
        <f t="shared" si="3"/>
        <v>500</v>
      </c>
      <c r="N196" s="26">
        <v>750</v>
      </c>
      <c r="O196" s="22" t="s">
        <v>16532</v>
      </c>
      <c r="P196" s="22" t="s">
        <v>16813</v>
      </c>
      <c r="Q196" s="22" t="s">
        <v>16533</v>
      </c>
      <c r="R196" s="22" t="s">
        <v>16119</v>
      </c>
      <c r="S196" s="22" t="s">
        <v>16120</v>
      </c>
      <c r="T196" s="22">
        <v>6.9</v>
      </c>
      <c r="U196" s="22">
        <v>0.4</v>
      </c>
      <c r="X196" s="26"/>
      <c r="Y196" s="26"/>
    </row>
    <row r="197" spans="1:25" ht="25" x14ac:dyDescent="0.25">
      <c r="A197" s="21">
        <v>260</v>
      </c>
      <c r="B197" s="22" t="s">
        <v>15368</v>
      </c>
      <c r="C197" s="22" t="s">
        <v>16534</v>
      </c>
      <c r="D197" s="23">
        <v>348442</v>
      </c>
      <c r="E197" s="24">
        <v>1998</v>
      </c>
      <c r="F197" s="22" t="s">
        <v>16535</v>
      </c>
      <c r="G197" s="23" t="s">
        <v>16536</v>
      </c>
      <c r="H197" s="25" t="s">
        <v>15373</v>
      </c>
      <c r="I197" s="22" t="s">
        <v>15374</v>
      </c>
      <c r="J197" s="22" t="s">
        <v>15701</v>
      </c>
      <c r="K197" s="26">
        <f t="shared" si="3"/>
        <v>400</v>
      </c>
      <c r="L197" s="26">
        <v>400</v>
      </c>
      <c r="O197" s="22" t="s">
        <v>16537</v>
      </c>
      <c r="P197" s="22" t="s">
        <v>16192</v>
      </c>
      <c r="Q197" s="22">
        <v>90620</v>
      </c>
      <c r="R197" s="22" t="s">
        <v>16208</v>
      </c>
      <c r="S197" s="22" t="s">
        <v>16538</v>
      </c>
      <c r="T197" s="22">
        <v>6.9</v>
      </c>
      <c r="U197" s="22">
        <v>0.4</v>
      </c>
      <c r="X197" s="26"/>
      <c r="Y197" s="26"/>
    </row>
    <row r="198" spans="1:25" ht="25" x14ac:dyDescent="0.25">
      <c r="A198" s="21">
        <v>261</v>
      </c>
      <c r="B198" s="22" t="s">
        <v>15368</v>
      </c>
      <c r="C198" s="22" t="s">
        <v>16539</v>
      </c>
      <c r="D198" s="23">
        <v>330600</v>
      </c>
      <c r="E198" s="24">
        <v>1997</v>
      </c>
      <c r="F198" s="22" t="s">
        <v>16540</v>
      </c>
      <c r="G198" s="23" t="s">
        <v>16541</v>
      </c>
      <c r="H198" s="25" t="s">
        <v>15373</v>
      </c>
      <c r="I198" s="22" t="s">
        <v>15382</v>
      </c>
      <c r="J198" s="22" t="s">
        <v>15383</v>
      </c>
      <c r="K198" s="26">
        <f t="shared" si="3"/>
        <v>800</v>
      </c>
      <c r="L198" s="26">
        <v>800</v>
      </c>
      <c r="O198" s="22" t="s">
        <v>16542</v>
      </c>
      <c r="P198" s="22" t="s">
        <v>15422</v>
      </c>
      <c r="Q198" s="22">
        <v>91502</v>
      </c>
      <c r="R198" s="22" t="s">
        <v>16543</v>
      </c>
      <c r="S198" s="22" t="s">
        <v>16544</v>
      </c>
      <c r="T198" s="22">
        <v>8.17</v>
      </c>
      <c r="U198" s="22">
        <v>0.38</v>
      </c>
      <c r="X198" s="26"/>
      <c r="Y198" s="26"/>
    </row>
    <row r="199" spans="1:25" ht="25" x14ac:dyDescent="0.25">
      <c r="A199" s="21">
        <v>262</v>
      </c>
      <c r="B199" s="22" t="s">
        <v>15368</v>
      </c>
      <c r="C199" s="22" t="s">
        <v>16545</v>
      </c>
      <c r="D199" s="23">
        <v>306672</v>
      </c>
      <c r="E199" s="24">
        <v>1995</v>
      </c>
      <c r="F199" s="22" t="s">
        <v>16546</v>
      </c>
      <c r="G199" s="23" t="s">
        <v>16547</v>
      </c>
      <c r="H199" s="25" t="s">
        <v>15373</v>
      </c>
      <c r="I199" s="22" t="s">
        <v>15411</v>
      </c>
      <c r="J199" s="22" t="s">
        <v>15877</v>
      </c>
      <c r="K199" s="26">
        <f t="shared" si="3"/>
        <v>428.66666666666663</v>
      </c>
      <c r="N199" s="26">
        <v>643</v>
      </c>
      <c r="O199" s="22" t="s">
        <v>16548</v>
      </c>
      <c r="P199" s="22" t="s">
        <v>16549</v>
      </c>
      <c r="Q199" s="22">
        <v>90703</v>
      </c>
      <c r="R199" s="22" t="s">
        <v>16550</v>
      </c>
      <c r="S199" s="22" t="s">
        <v>16551</v>
      </c>
      <c r="T199" s="22">
        <v>8.17</v>
      </c>
      <c r="U199" s="22">
        <v>0.38</v>
      </c>
      <c r="X199" s="26"/>
      <c r="Y199" s="26"/>
    </row>
    <row r="200" spans="1:25" ht="25" x14ac:dyDescent="0.25">
      <c r="A200" s="21">
        <v>263</v>
      </c>
      <c r="B200" s="22" t="s">
        <v>15368</v>
      </c>
      <c r="C200" s="22" t="s">
        <v>16552</v>
      </c>
      <c r="D200" s="23">
        <v>365070</v>
      </c>
      <c r="E200" s="24">
        <v>1999</v>
      </c>
      <c r="F200" s="22" t="s">
        <v>16553</v>
      </c>
      <c r="G200" s="23" t="s">
        <v>16554</v>
      </c>
      <c r="H200" s="25" t="s">
        <v>15373</v>
      </c>
      <c r="I200" s="22" t="s">
        <v>15374</v>
      </c>
      <c r="J200" s="22" t="s">
        <v>14709</v>
      </c>
      <c r="K200" s="26">
        <f t="shared" si="3"/>
        <v>497.33333333333331</v>
      </c>
      <c r="N200" s="26">
        <v>746</v>
      </c>
      <c r="O200" s="22" t="s">
        <v>16555</v>
      </c>
      <c r="P200" s="22" t="s">
        <v>14746</v>
      </c>
      <c r="Q200" s="22">
        <v>91720</v>
      </c>
      <c r="R200" s="22" t="s">
        <v>16556</v>
      </c>
      <c r="S200" s="22" t="s">
        <v>16557</v>
      </c>
      <c r="T200" s="22">
        <v>6.9</v>
      </c>
      <c r="U200" s="22">
        <v>0.4</v>
      </c>
      <c r="X200" s="26"/>
      <c r="Y200" s="26"/>
    </row>
    <row r="201" spans="1:25" ht="25" x14ac:dyDescent="0.25">
      <c r="A201" s="21">
        <v>264</v>
      </c>
      <c r="B201" s="22" t="s">
        <v>15368</v>
      </c>
      <c r="C201" s="22" t="s">
        <v>16558</v>
      </c>
      <c r="D201" s="23">
        <v>296096</v>
      </c>
      <c r="E201" s="24">
        <v>1994</v>
      </c>
      <c r="F201" s="22" t="s">
        <v>16559</v>
      </c>
      <c r="G201" s="23" t="s">
        <v>16560</v>
      </c>
      <c r="H201" s="25" t="s">
        <v>15373</v>
      </c>
      <c r="I201" s="22" t="s">
        <v>15374</v>
      </c>
      <c r="J201" s="22" t="s">
        <v>16561</v>
      </c>
      <c r="K201" s="26">
        <f t="shared" si="3"/>
        <v>390</v>
      </c>
      <c r="N201" s="26">
        <v>585</v>
      </c>
      <c r="O201" s="22" t="s">
        <v>16562</v>
      </c>
      <c r="P201" s="22" t="s">
        <v>16563</v>
      </c>
      <c r="Q201" s="22">
        <v>90242</v>
      </c>
      <c r="R201" s="22" t="s">
        <v>16564</v>
      </c>
      <c r="S201" s="22" t="s">
        <v>16565</v>
      </c>
      <c r="T201" s="22">
        <v>8.17</v>
      </c>
      <c r="U201" s="22">
        <v>0.38</v>
      </c>
      <c r="X201" s="26"/>
      <c r="Y201" s="26"/>
    </row>
    <row r="202" spans="1:25" ht="37.5" x14ac:dyDescent="0.25">
      <c r="A202" s="21">
        <v>265</v>
      </c>
      <c r="B202" s="22" t="s">
        <v>15368</v>
      </c>
      <c r="C202" s="22" t="s">
        <v>16566</v>
      </c>
      <c r="D202" s="23">
        <v>357448</v>
      </c>
      <c r="E202" s="24">
        <v>1999</v>
      </c>
      <c r="F202" s="22" t="s">
        <v>16567</v>
      </c>
      <c r="G202" s="23" t="s">
        <v>16568</v>
      </c>
      <c r="H202" s="25" t="s">
        <v>15373</v>
      </c>
      <c r="I202" s="22" t="s">
        <v>15382</v>
      </c>
      <c r="J202" s="22" t="s">
        <v>16569</v>
      </c>
      <c r="K202" s="26">
        <f t="shared" si="3"/>
        <v>403.33333333333331</v>
      </c>
      <c r="N202" s="26">
        <v>605</v>
      </c>
      <c r="O202" s="22" t="s">
        <v>16570</v>
      </c>
      <c r="P202" s="22" t="s">
        <v>15703</v>
      </c>
      <c r="Q202" s="22">
        <v>90245</v>
      </c>
      <c r="R202" s="22" t="s">
        <v>16571</v>
      </c>
      <c r="S202" s="22" t="s">
        <v>16572</v>
      </c>
      <c r="T202" s="22">
        <v>6.9</v>
      </c>
      <c r="U202" s="22">
        <v>0.4</v>
      </c>
      <c r="X202" s="26"/>
      <c r="Y202" s="26"/>
    </row>
    <row r="203" spans="1:25" ht="25" x14ac:dyDescent="0.25">
      <c r="A203" s="21">
        <v>266</v>
      </c>
      <c r="B203" s="22" t="s">
        <v>15368</v>
      </c>
      <c r="C203" s="22" t="s">
        <v>16573</v>
      </c>
      <c r="D203" s="23">
        <v>269895</v>
      </c>
      <c r="E203" s="24">
        <v>1992</v>
      </c>
      <c r="F203" s="22" t="s">
        <v>16574</v>
      </c>
      <c r="G203" s="23" t="s">
        <v>16575</v>
      </c>
      <c r="H203" s="25" t="s">
        <v>15373</v>
      </c>
      <c r="I203" s="22" t="s">
        <v>15374</v>
      </c>
      <c r="J203" s="22">
        <v>3516</v>
      </c>
      <c r="K203" s="26">
        <f t="shared" si="3"/>
        <v>1500</v>
      </c>
      <c r="L203" s="26">
        <v>1500</v>
      </c>
      <c r="O203" s="22" t="s">
        <v>16576</v>
      </c>
      <c r="P203" s="22" t="s">
        <v>14712</v>
      </c>
      <c r="Q203" s="22" t="s">
        <v>16577</v>
      </c>
      <c r="R203" s="22" t="s">
        <v>16578</v>
      </c>
      <c r="S203" s="22" t="s">
        <v>16579</v>
      </c>
      <c r="T203" s="22">
        <v>8.17</v>
      </c>
      <c r="U203" s="22">
        <v>0.38</v>
      </c>
      <c r="X203" s="26"/>
      <c r="Y203" s="26"/>
    </row>
    <row r="204" spans="1:25" ht="25" x14ac:dyDescent="0.25">
      <c r="A204" s="21">
        <v>267</v>
      </c>
      <c r="B204" s="22" t="s">
        <v>15368</v>
      </c>
      <c r="C204" s="22" t="s">
        <v>16573</v>
      </c>
      <c r="D204" s="23">
        <v>269896</v>
      </c>
      <c r="E204" s="24">
        <v>1992</v>
      </c>
      <c r="F204" s="22" t="s">
        <v>16580</v>
      </c>
      <c r="G204" s="23" t="s">
        <v>16581</v>
      </c>
      <c r="H204" s="25" t="s">
        <v>15373</v>
      </c>
      <c r="I204" s="22" t="s">
        <v>15374</v>
      </c>
      <c r="J204" s="22">
        <v>3516</v>
      </c>
      <c r="K204" s="26">
        <f t="shared" si="3"/>
        <v>1500</v>
      </c>
      <c r="L204" s="26">
        <v>1500</v>
      </c>
      <c r="O204" s="22" t="s">
        <v>16576</v>
      </c>
      <c r="P204" s="22" t="s">
        <v>14712</v>
      </c>
      <c r="Q204" s="22" t="s">
        <v>16577</v>
      </c>
      <c r="R204" s="22" t="s">
        <v>16578</v>
      </c>
      <c r="S204" s="22" t="s">
        <v>16579</v>
      </c>
      <c r="T204" s="22">
        <v>8.17</v>
      </c>
      <c r="U204" s="22">
        <v>0.38</v>
      </c>
      <c r="X204" s="26"/>
      <c r="Y204" s="26"/>
    </row>
    <row r="205" spans="1:25" ht="25" x14ac:dyDescent="0.25">
      <c r="A205" s="21">
        <v>268</v>
      </c>
      <c r="B205" s="22" t="s">
        <v>15368</v>
      </c>
      <c r="C205" s="22" t="s">
        <v>16573</v>
      </c>
      <c r="D205" s="23">
        <v>269898</v>
      </c>
      <c r="E205" s="24">
        <v>1992</v>
      </c>
      <c r="F205" s="22" t="s">
        <v>16582</v>
      </c>
      <c r="G205" s="23" t="s">
        <v>13995</v>
      </c>
      <c r="H205" s="25" t="s">
        <v>15373</v>
      </c>
      <c r="I205" s="22" t="s">
        <v>15374</v>
      </c>
      <c r="J205" s="22">
        <v>3516</v>
      </c>
      <c r="K205" s="26">
        <f t="shared" si="3"/>
        <v>1500</v>
      </c>
      <c r="L205" s="26">
        <v>1500</v>
      </c>
      <c r="O205" s="22" t="s">
        <v>16576</v>
      </c>
      <c r="P205" s="22" t="s">
        <v>14712</v>
      </c>
      <c r="Q205" s="22" t="s">
        <v>16577</v>
      </c>
      <c r="R205" s="22" t="s">
        <v>16578</v>
      </c>
      <c r="S205" s="22" t="s">
        <v>16579</v>
      </c>
      <c r="T205" s="22">
        <v>8.17</v>
      </c>
      <c r="U205" s="22">
        <v>0.38</v>
      </c>
      <c r="X205" s="26"/>
      <c r="Y205" s="26"/>
    </row>
    <row r="206" spans="1:25" ht="25" x14ac:dyDescent="0.25">
      <c r="A206" s="21">
        <v>269</v>
      </c>
      <c r="B206" s="22" t="s">
        <v>15368</v>
      </c>
      <c r="C206" s="22" t="s">
        <v>16573</v>
      </c>
      <c r="D206" s="23">
        <v>314936</v>
      </c>
      <c r="E206" s="24">
        <v>1996</v>
      </c>
      <c r="F206" s="22" t="s">
        <v>13996</v>
      </c>
      <c r="G206" s="23" t="s">
        <v>13997</v>
      </c>
      <c r="H206" s="25" t="s">
        <v>15373</v>
      </c>
      <c r="I206" s="22" t="s">
        <v>15374</v>
      </c>
      <c r="J206" s="22" t="s">
        <v>15677</v>
      </c>
      <c r="K206" s="26">
        <f t="shared" si="3"/>
        <v>2000</v>
      </c>
      <c r="L206" s="26">
        <v>2000</v>
      </c>
      <c r="O206" s="22" t="s">
        <v>16576</v>
      </c>
      <c r="P206" s="22" t="s">
        <v>14712</v>
      </c>
      <c r="Q206" s="22" t="s">
        <v>16577</v>
      </c>
      <c r="R206" s="22" t="s">
        <v>16578</v>
      </c>
      <c r="S206" s="22" t="s">
        <v>16579</v>
      </c>
      <c r="T206" s="22">
        <v>8.17</v>
      </c>
      <c r="U206" s="22">
        <v>0.38</v>
      </c>
      <c r="X206" s="26"/>
      <c r="Y206" s="26"/>
    </row>
    <row r="207" spans="1:25" ht="25" x14ac:dyDescent="0.25">
      <c r="A207" s="21">
        <v>270</v>
      </c>
      <c r="B207" s="22" t="s">
        <v>15368</v>
      </c>
      <c r="C207" s="22" t="s">
        <v>16573</v>
      </c>
      <c r="D207" s="23">
        <v>314937</v>
      </c>
      <c r="E207" s="24">
        <v>1996</v>
      </c>
      <c r="F207" s="22" t="s">
        <v>13998</v>
      </c>
      <c r="G207" s="23" t="s">
        <v>13999</v>
      </c>
      <c r="H207" s="25" t="s">
        <v>15373</v>
      </c>
      <c r="I207" s="22" t="s">
        <v>15374</v>
      </c>
      <c r="J207" s="22" t="s">
        <v>15677</v>
      </c>
      <c r="K207" s="26">
        <f t="shared" si="3"/>
        <v>2000</v>
      </c>
      <c r="L207" s="26">
        <v>2000</v>
      </c>
      <c r="O207" s="22" t="s">
        <v>16576</v>
      </c>
      <c r="P207" s="22" t="s">
        <v>14712</v>
      </c>
      <c r="Q207" s="22" t="s">
        <v>16577</v>
      </c>
      <c r="R207" s="22" t="s">
        <v>16578</v>
      </c>
      <c r="S207" s="22" t="s">
        <v>16579</v>
      </c>
      <c r="T207" s="22">
        <v>8.17</v>
      </c>
      <c r="U207" s="22">
        <v>0.38</v>
      </c>
      <c r="X207" s="26"/>
      <c r="Y207" s="26"/>
    </row>
    <row r="208" spans="1:25" ht="25" x14ac:dyDescent="0.25">
      <c r="A208" s="21">
        <v>271</v>
      </c>
      <c r="B208" s="22" t="s">
        <v>15368</v>
      </c>
      <c r="C208" s="22" t="s">
        <v>16573</v>
      </c>
      <c r="D208" s="23">
        <v>314938</v>
      </c>
      <c r="E208" s="24">
        <v>1996</v>
      </c>
      <c r="F208" s="22" t="s">
        <v>14000</v>
      </c>
      <c r="G208" s="23" t="s">
        <v>14001</v>
      </c>
      <c r="H208" s="25" t="s">
        <v>15373</v>
      </c>
      <c r="I208" s="22" t="s">
        <v>15374</v>
      </c>
      <c r="J208" s="22" t="s">
        <v>15677</v>
      </c>
      <c r="K208" s="26">
        <f t="shared" si="3"/>
        <v>2000</v>
      </c>
      <c r="L208" s="26">
        <v>2000</v>
      </c>
      <c r="O208" s="22" t="s">
        <v>16576</v>
      </c>
      <c r="P208" s="22" t="s">
        <v>14712</v>
      </c>
      <c r="Q208" s="22" t="s">
        <v>16577</v>
      </c>
      <c r="R208" s="22" t="s">
        <v>16578</v>
      </c>
      <c r="S208" s="22" t="s">
        <v>16579</v>
      </c>
      <c r="T208" s="22">
        <v>8.17</v>
      </c>
      <c r="U208" s="22">
        <v>0.38</v>
      </c>
      <c r="X208" s="26"/>
      <c r="Y208" s="26"/>
    </row>
    <row r="209" spans="1:25" ht="25" x14ac:dyDescent="0.25">
      <c r="A209" s="21">
        <v>272</v>
      </c>
      <c r="B209" s="22" t="s">
        <v>15368</v>
      </c>
      <c r="C209" s="22" t="s">
        <v>16573</v>
      </c>
      <c r="D209" s="23">
        <v>314939</v>
      </c>
      <c r="E209" s="24">
        <v>1996</v>
      </c>
      <c r="F209" s="22" t="s">
        <v>14002</v>
      </c>
      <c r="G209" s="23" t="s">
        <v>13997</v>
      </c>
      <c r="H209" s="25" t="s">
        <v>15373</v>
      </c>
      <c r="I209" s="22" t="s">
        <v>15374</v>
      </c>
      <c r="J209" s="22" t="s">
        <v>15677</v>
      </c>
      <c r="K209" s="26">
        <f t="shared" si="3"/>
        <v>2000</v>
      </c>
      <c r="L209" s="26">
        <v>2000</v>
      </c>
      <c r="O209" s="22" t="s">
        <v>16576</v>
      </c>
      <c r="P209" s="22" t="s">
        <v>14712</v>
      </c>
      <c r="Q209" s="22" t="s">
        <v>16577</v>
      </c>
      <c r="R209" s="22" t="s">
        <v>16578</v>
      </c>
      <c r="S209" s="22" t="s">
        <v>16579</v>
      </c>
      <c r="T209" s="22">
        <v>8.17</v>
      </c>
      <c r="U209" s="22">
        <v>0.38</v>
      </c>
      <c r="X209" s="26"/>
      <c r="Y209" s="26"/>
    </row>
    <row r="210" spans="1:25" ht="25" x14ac:dyDescent="0.25">
      <c r="A210" s="21">
        <v>273</v>
      </c>
      <c r="B210" s="22" t="s">
        <v>15368</v>
      </c>
      <c r="C210" s="22" t="s">
        <v>16573</v>
      </c>
      <c r="D210" s="23" t="s">
        <v>14003</v>
      </c>
      <c r="E210" s="24">
        <v>1990</v>
      </c>
      <c r="F210" s="22" t="s">
        <v>14004</v>
      </c>
      <c r="G210" s="23" t="s">
        <v>14005</v>
      </c>
      <c r="H210" s="25" t="s">
        <v>15373</v>
      </c>
      <c r="I210" s="22" t="s">
        <v>15382</v>
      </c>
      <c r="J210" s="22" t="s">
        <v>14006</v>
      </c>
      <c r="K210" s="26">
        <f t="shared" si="3"/>
        <v>400</v>
      </c>
      <c r="L210" s="26">
        <v>400</v>
      </c>
      <c r="O210" s="22" t="s">
        <v>16576</v>
      </c>
      <c r="P210" s="22" t="s">
        <v>14712</v>
      </c>
      <c r="Q210" s="22" t="s">
        <v>16577</v>
      </c>
      <c r="R210" s="22" t="s">
        <v>16578</v>
      </c>
      <c r="S210" s="22" t="s">
        <v>16579</v>
      </c>
      <c r="T210" s="22">
        <v>8.17</v>
      </c>
      <c r="U210" s="22">
        <v>0.38</v>
      </c>
      <c r="X210" s="26"/>
      <c r="Y210" s="26"/>
    </row>
    <row r="211" spans="1:25" ht="37.5" x14ac:dyDescent="0.25">
      <c r="A211" s="21">
        <v>274</v>
      </c>
      <c r="B211" s="22" t="s">
        <v>15368</v>
      </c>
      <c r="C211" s="22" t="s">
        <v>14007</v>
      </c>
      <c r="D211" s="23">
        <v>349907</v>
      </c>
      <c r="E211" s="24">
        <v>1999</v>
      </c>
      <c r="F211" s="22" t="s">
        <v>14008</v>
      </c>
      <c r="G211" s="23" t="s">
        <v>14009</v>
      </c>
      <c r="H211" s="25" t="s">
        <v>15373</v>
      </c>
      <c r="I211" s="22" t="s">
        <v>15382</v>
      </c>
      <c r="J211" s="22" t="s">
        <v>16811</v>
      </c>
      <c r="K211" s="26">
        <f t="shared" si="3"/>
        <v>356.66666666666663</v>
      </c>
      <c r="N211" s="26">
        <v>535</v>
      </c>
      <c r="O211" s="22" t="s">
        <v>14010</v>
      </c>
      <c r="P211" s="22" t="s">
        <v>14011</v>
      </c>
      <c r="Q211" s="22">
        <v>90266</v>
      </c>
      <c r="R211" s="22" t="s">
        <v>14012</v>
      </c>
      <c r="S211" s="22" t="s">
        <v>14013</v>
      </c>
      <c r="T211" s="22">
        <v>6.9</v>
      </c>
      <c r="U211" s="22">
        <v>0.4</v>
      </c>
      <c r="X211" s="26"/>
      <c r="Y211" s="26"/>
    </row>
    <row r="212" spans="1:25" ht="37.5" x14ac:dyDescent="0.25">
      <c r="A212" s="21">
        <v>275</v>
      </c>
      <c r="B212" s="22" t="s">
        <v>15368</v>
      </c>
      <c r="C212" s="22" t="s">
        <v>14007</v>
      </c>
      <c r="D212" s="23">
        <v>349909</v>
      </c>
      <c r="E212" s="24">
        <v>1999</v>
      </c>
      <c r="F212" s="22" t="s">
        <v>14014</v>
      </c>
      <c r="G212" s="23" t="s">
        <v>14009</v>
      </c>
      <c r="H212" s="25" t="s">
        <v>15373</v>
      </c>
      <c r="I212" s="22" t="s">
        <v>15382</v>
      </c>
      <c r="J212" s="22" t="s">
        <v>16811</v>
      </c>
      <c r="K212" s="26">
        <f t="shared" si="3"/>
        <v>356.66666666666663</v>
      </c>
      <c r="N212" s="26">
        <v>535</v>
      </c>
      <c r="O212" s="22" t="s">
        <v>14015</v>
      </c>
      <c r="P212" s="22" t="s">
        <v>14011</v>
      </c>
      <c r="Q212" s="22">
        <v>90266</v>
      </c>
      <c r="R212" s="22" t="s">
        <v>14012</v>
      </c>
      <c r="S212" s="22" t="s">
        <v>14013</v>
      </c>
      <c r="T212" s="22">
        <v>6.9</v>
      </c>
      <c r="U212" s="22">
        <v>0.4</v>
      </c>
      <c r="X212" s="26"/>
      <c r="Y212" s="26"/>
    </row>
    <row r="213" spans="1:25" ht="25" x14ac:dyDescent="0.25">
      <c r="A213" s="21">
        <v>276</v>
      </c>
      <c r="B213" s="22" t="s">
        <v>15368</v>
      </c>
      <c r="C213" s="22" t="s">
        <v>14016</v>
      </c>
      <c r="D213" s="23">
        <v>335393</v>
      </c>
      <c r="E213" s="24">
        <v>1997</v>
      </c>
      <c r="F213" s="22" t="s">
        <v>14017</v>
      </c>
      <c r="G213" s="23" t="s">
        <v>14018</v>
      </c>
      <c r="H213" s="25" t="s">
        <v>15373</v>
      </c>
      <c r="I213" s="22" t="s">
        <v>15374</v>
      </c>
      <c r="J213" s="22" t="s">
        <v>15420</v>
      </c>
      <c r="K213" s="26">
        <f t="shared" si="3"/>
        <v>1250</v>
      </c>
      <c r="L213" s="26">
        <v>1250</v>
      </c>
      <c r="O213" s="22" t="s">
        <v>14019</v>
      </c>
      <c r="P213" s="22" t="s">
        <v>14020</v>
      </c>
      <c r="Q213" s="22">
        <v>92702</v>
      </c>
      <c r="R213" s="22" t="s">
        <v>14021</v>
      </c>
      <c r="S213" s="22" t="s">
        <v>14022</v>
      </c>
      <c r="T213" s="22">
        <v>8.17</v>
      </c>
      <c r="U213" s="22">
        <v>0.38</v>
      </c>
      <c r="X213" s="26"/>
      <c r="Y213" s="26"/>
    </row>
    <row r="214" spans="1:25" ht="25" x14ac:dyDescent="0.25">
      <c r="A214" s="21">
        <v>277</v>
      </c>
      <c r="B214" s="22" t="s">
        <v>15368</v>
      </c>
      <c r="C214" s="22" t="s">
        <v>14016</v>
      </c>
      <c r="D214" s="23">
        <v>335395</v>
      </c>
      <c r="E214" s="24">
        <v>1997</v>
      </c>
      <c r="F214" s="22" t="s">
        <v>14023</v>
      </c>
      <c r="G214" s="23" t="s">
        <v>14024</v>
      </c>
      <c r="H214" s="25" t="s">
        <v>15373</v>
      </c>
      <c r="I214" s="22" t="s">
        <v>15374</v>
      </c>
      <c r="J214" s="22" t="s">
        <v>15420</v>
      </c>
      <c r="K214" s="26">
        <f t="shared" si="3"/>
        <v>1250</v>
      </c>
      <c r="L214" s="26">
        <v>1250</v>
      </c>
      <c r="O214" s="22" t="s">
        <v>14019</v>
      </c>
      <c r="P214" s="22" t="s">
        <v>14020</v>
      </c>
      <c r="Q214" s="22">
        <v>92702</v>
      </c>
      <c r="R214" s="22" t="s">
        <v>14021</v>
      </c>
      <c r="S214" s="22" t="s">
        <v>14022</v>
      </c>
      <c r="T214" s="22">
        <v>8.17</v>
      </c>
      <c r="U214" s="22">
        <v>0.38</v>
      </c>
      <c r="X214" s="26"/>
      <c r="Y214" s="26"/>
    </row>
    <row r="215" spans="1:25" ht="25" x14ac:dyDescent="0.25">
      <c r="A215" s="21">
        <v>278</v>
      </c>
      <c r="B215" s="22" t="s">
        <v>15368</v>
      </c>
      <c r="C215" s="22" t="s">
        <v>14025</v>
      </c>
      <c r="D215" s="23">
        <v>330414</v>
      </c>
      <c r="E215" s="24">
        <v>1997</v>
      </c>
      <c r="F215" s="22" t="s">
        <v>14026</v>
      </c>
      <c r="G215" s="23" t="s">
        <v>14027</v>
      </c>
      <c r="H215" s="25" t="s">
        <v>15373</v>
      </c>
      <c r="I215" s="22" t="s">
        <v>15374</v>
      </c>
      <c r="J215" s="22" t="s">
        <v>14709</v>
      </c>
      <c r="K215" s="26">
        <f t="shared" si="3"/>
        <v>500</v>
      </c>
      <c r="L215" s="26">
        <v>500</v>
      </c>
      <c r="O215" s="22" t="s">
        <v>14028</v>
      </c>
      <c r="P215" s="22" t="s">
        <v>14029</v>
      </c>
      <c r="Q215" s="22">
        <v>90806</v>
      </c>
      <c r="R215" s="22" t="s">
        <v>14030</v>
      </c>
      <c r="S215" s="22" t="s">
        <v>14031</v>
      </c>
      <c r="T215" s="22">
        <v>6.9</v>
      </c>
      <c r="U215" s="22">
        <v>0.4</v>
      </c>
      <c r="X215" s="26"/>
      <c r="Y215" s="26"/>
    </row>
    <row r="216" spans="1:25" ht="25" x14ac:dyDescent="0.25">
      <c r="A216" s="21">
        <v>279</v>
      </c>
      <c r="B216" s="22" t="s">
        <v>15368</v>
      </c>
      <c r="C216" s="22" t="s">
        <v>14032</v>
      </c>
      <c r="D216" s="23">
        <v>332207</v>
      </c>
      <c r="E216" s="24">
        <v>1997</v>
      </c>
      <c r="F216" s="22" t="s">
        <v>14033</v>
      </c>
      <c r="G216" s="23" t="s">
        <v>14034</v>
      </c>
      <c r="H216" s="25" t="s">
        <v>15373</v>
      </c>
      <c r="I216" s="22" t="s">
        <v>15374</v>
      </c>
      <c r="J216" s="22">
        <v>3508</v>
      </c>
      <c r="K216" s="26">
        <f t="shared" si="3"/>
        <v>970.66666666666663</v>
      </c>
      <c r="N216" s="26">
        <v>1456</v>
      </c>
      <c r="O216" s="22" t="s">
        <v>14035</v>
      </c>
      <c r="P216" s="22" t="s">
        <v>14036</v>
      </c>
      <c r="Q216" s="22">
        <v>90280</v>
      </c>
      <c r="R216" s="22" t="s">
        <v>14037</v>
      </c>
      <c r="S216" s="22" t="s">
        <v>14038</v>
      </c>
      <c r="T216" s="22">
        <v>8.17</v>
      </c>
      <c r="U216" s="22">
        <v>0.38</v>
      </c>
      <c r="X216" s="26"/>
      <c r="Y216" s="26"/>
    </row>
    <row r="217" spans="1:25" ht="25" x14ac:dyDescent="0.25">
      <c r="A217" s="21">
        <v>280</v>
      </c>
      <c r="B217" s="22" t="s">
        <v>15368</v>
      </c>
      <c r="C217" s="22" t="s">
        <v>14039</v>
      </c>
      <c r="D217" s="23">
        <v>324032</v>
      </c>
      <c r="E217" s="24">
        <v>1997</v>
      </c>
      <c r="F217" s="22" t="s">
        <v>14040</v>
      </c>
      <c r="G217" s="23" t="s">
        <v>14041</v>
      </c>
      <c r="H217" s="25" t="s">
        <v>15373</v>
      </c>
      <c r="I217" s="22" t="s">
        <v>15382</v>
      </c>
      <c r="J217" s="22" t="s">
        <v>16784</v>
      </c>
      <c r="K217" s="26">
        <f t="shared" si="3"/>
        <v>503.33333333333331</v>
      </c>
      <c r="N217" s="26">
        <v>755</v>
      </c>
      <c r="O217" s="22" t="s">
        <v>14042</v>
      </c>
      <c r="P217" s="22" t="s">
        <v>15712</v>
      </c>
      <c r="Q217" s="22">
        <v>90505</v>
      </c>
      <c r="R217" s="22" t="s">
        <v>14043</v>
      </c>
      <c r="S217" s="22" t="s">
        <v>14044</v>
      </c>
      <c r="T217" s="22">
        <v>8.17</v>
      </c>
      <c r="U217" s="22">
        <v>0.38</v>
      </c>
      <c r="X217" s="26"/>
      <c r="Y217" s="26"/>
    </row>
    <row r="218" spans="1:25" ht="37.5" x14ac:dyDescent="0.25">
      <c r="A218" s="21">
        <v>282</v>
      </c>
      <c r="B218" s="22" t="s">
        <v>15368</v>
      </c>
      <c r="C218" s="22" t="s">
        <v>14045</v>
      </c>
      <c r="D218" s="23">
        <v>185799</v>
      </c>
      <c r="E218" s="24">
        <v>1989</v>
      </c>
      <c r="F218" s="22" t="s">
        <v>14046</v>
      </c>
      <c r="G218" s="23" t="s">
        <v>14047</v>
      </c>
      <c r="H218" s="25" t="s">
        <v>15373</v>
      </c>
      <c r="I218" s="22" t="s">
        <v>15374</v>
      </c>
      <c r="J218" s="22">
        <v>3412</v>
      </c>
      <c r="K218" s="26">
        <f t="shared" si="3"/>
        <v>500</v>
      </c>
      <c r="L218" s="26">
        <v>500</v>
      </c>
      <c r="O218" s="22" t="s">
        <v>14048</v>
      </c>
      <c r="P218" s="22" t="s">
        <v>16347</v>
      </c>
      <c r="Q218" s="22">
        <v>91730</v>
      </c>
      <c r="R218" s="22" t="s">
        <v>14049</v>
      </c>
      <c r="S218" s="22" t="s">
        <v>14050</v>
      </c>
      <c r="T218" s="22">
        <v>8.17</v>
      </c>
      <c r="U218" s="22">
        <v>0.38</v>
      </c>
      <c r="X218" s="26"/>
      <c r="Y218" s="26"/>
    </row>
    <row r="219" spans="1:25" ht="25" x14ac:dyDescent="0.25">
      <c r="A219" s="21">
        <v>283</v>
      </c>
      <c r="B219" s="22" t="s">
        <v>15368</v>
      </c>
      <c r="C219" s="22" t="s">
        <v>14051</v>
      </c>
      <c r="D219" s="23">
        <v>185695</v>
      </c>
      <c r="E219" s="24">
        <v>1989</v>
      </c>
      <c r="F219" s="22" t="s">
        <v>14052</v>
      </c>
      <c r="G219" s="23" t="s">
        <v>14053</v>
      </c>
      <c r="H219" s="25" t="s">
        <v>15373</v>
      </c>
      <c r="I219" s="22" t="s">
        <v>15374</v>
      </c>
      <c r="J219" s="22">
        <v>3512</v>
      </c>
      <c r="K219" s="26">
        <f t="shared" si="3"/>
        <v>1206</v>
      </c>
      <c r="N219" s="26">
        <v>1809</v>
      </c>
      <c r="O219" s="22" t="s">
        <v>14054</v>
      </c>
      <c r="P219" s="22" t="s">
        <v>16490</v>
      </c>
      <c r="Q219" s="22">
        <v>92404</v>
      </c>
      <c r="R219" s="22" t="s">
        <v>14055</v>
      </c>
      <c r="S219" s="22" t="s">
        <v>14056</v>
      </c>
      <c r="T219" s="22">
        <v>8.17</v>
      </c>
      <c r="U219" s="22">
        <v>0.38</v>
      </c>
      <c r="X219" s="26"/>
      <c r="Y219" s="26"/>
    </row>
    <row r="220" spans="1:25" ht="25" x14ac:dyDescent="0.25">
      <c r="A220" s="21">
        <v>285</v>
      </c>
      <c r="B220" s="22" t="s">
        <v>15368</v>
      </c>
      <c r="C220" s="22" t="s">
        <v>14057</v>
      </c>
      <c r="D220" s="23">
        <v>283983</v>
      </c>
      <c r="E220" s="24">
        <v>1993</v>
      </c>
      <c r="F220" s="22" t="s">
        <v>14058</v>
      </c>
      <c r="G220" s="23" t="s">
        <v>14059</v>
      </c>
      <c r="H220" s="25" t="s">
        <v>15373</v>
      </c>
      <c r="I220" s="22" t="s">
        <v>15374</v>
      </c>
      <c r="J220" s="22" t="s">
        <v>16561</v>
      </c>
      <c r="K220" s="26">
        <f t="shared" si="3"/>
        <v>391.33333333333331</v>
      </c>
      <c r="N220" s="26">
        <v>587</v>
      </c>
      <c r="O220" s="22" t="s">
        <v>16832</v>
      </c>
      <c r="P220" s="22" t="s">
        <v>14060</v>
      </c>
      <c r="Q220" s="22">
        <v>92236</v>
      </c>
      <c r="R220" s="22" t="s">
        <v>14061</v>
      </c>
      <c r="S220" s="22" t="s">
        <v>14062</v>
      </c>
      <c r="T220" s="22">
        <v>8.17</v>
      </c>
      <c r="U220" s="22">
        <v>0.38</v>
      </c>
      <c r="X220" s="26"/>
      <c r="Y220" s="26"/>
    </row>
    <row r="221" spans="1:25" ht="25" x14ac:dyDescent="0.25">
      <c r="A221" s="21">
        <v>286</v>
      </c>
      <c r="B221" s="22" t="s">
        <v>15368</v>
      </c>
      <c r="C221" s="22" t="s">
        <v>14063</v>
      </c>
      <c r="D221" s="23">
        <v>169825</v>
      </c>
      <c r="E221" s="24">
        <v>1988</v>
      </c>
      <c r="F221" s="22" t="s">
        <v>14064</v>
      </c>
      <c r="G221" s="23" t="s">
        <v>14065</v>
      </c>
      <c r="H221" s="25" t="s">
        <v>15373</v>
      </c>
      <c r="I221" s="22" t="s">
        <v>15374</v>
      </c>
      <c r="J221" s="22" t="s">
        <v>16899</v>
      </c>
      <c r="K221" s="26">
        <f t="shared" si="3"/>
        <v>500</v>
      </c>
      <c r="L221" s="26">
        <v>500</v>
      </c>
      <c r="O221" s="22" t="s">
        <v>14066</v>
      </c>
      <c r="P221" s="22" t="s">
        <v>14060</v>
      </c>
      <c r="Q221" s="22">
        <v>92236</v>
      </c>
      <c r="R221" s="22" t="s">
        <v>14067</v>
      </c>
      <c r="S221" s="22" t="s">
        <v>14068</v>
      </c>
      <c r="T221" s="22">
        <v>8.17</v>
      </c>
      <c r="U221" s="22">
        <v>0.38</v>
      </c>
      <c r="X221" s="26"/>
      <c r="Y221" s="26"/>
    </row>
    <row r="222" spans="1:25" ht="25" x14ac:dyDescent="0.25">
      <c r="A222" s="21">
        <v>287</v>
      </c>
      <c r="B222" s="22" t="s">
        <v>15368</v>
      </c>
      <c r="C222" s="22" t="s">
        <v>14063</v>
      </c>
      <c r="D222" s="23">
        <v>169826</v>
      </c>
      <c r="E222" s="24">
        <v>1988</v>
      </c>
      <c r="F222" s="22" t="s">
        <v>14069</v>
      </c>
      <c r="G222" s="23" t="s">
        <v>14065</v>
      </c>
      <c r="H222" s="25" t="s">
        <v>15373</v>
      </c>
      <c r="I222" s="22" t="s">
        <v>15374</v>
      </c>
      <c r="J222" s="22" t="s">
        <v>16899</v>
      </c>
      <c r="K222" s="26">
        <f t="shared" si="3"/>
        <v>500</v>
      </c>
      <c r="L222" s="26">
        <v>500</v>
      </c>
      <c r="O222" s="22" t="s">
        <v>14066</v>
      </c>
      <c r="P222" s="22" t="s">
        <v>14060</v>
      </c>
      <c r="Q222" s="22">
        <v>92236</v>
      </c>
      <c r="R222" s="22" t="s">
        <v>14067</v>
      </c>
      <c r="S222" s="22" t="s">
        <v>14068</v>
      </c>
      <c r="T222" s="22">
        <v>8.17</v>
      </c>
      <c r="U222" s="22">
        <v>0.38</v>
      </c>
      <c r="X222" s="26"/>
      <c r="Y222" s="26"/>
    </row>
    <row r="223" spans="1:25" ht="25" x14ac:dyDescent="0.25">
      <c r="A223" s="21">
        <v>288</v>
      </c>
      <c r="B223" s="22" t="s">
        <v>15368</v>
      </c>
      <c r="C223" s="22" t="s">
        <v>14063</v>
      </c>
      <c r="D223" s="23">
        <v>169827</v>
      </c>
      <c r="E223" s="24">
        <v>1988</v>
      </c>
      <c r="F223" s="22" t="s">
        <v>14070</v>
      </c>
      <c r="G223" s="23" t="s">
        <v>14071</v>
      </c>
      <c r="H223" s="25" t="s">
        <v>15373</v>
      </c>
      <c r="I223" s="22" t="s">
        <v>15374</v>
      </c>
      <c r="J223" s="22" t="s">
        <v>16899</v>
      </c>
      <c r="K223" s="26">
        <f t="shared" si="3"/>
        <v>450</v>
      </c>
      <c r="L223" s="26">
        <v>450</v>
      </c>
      <c r="O223" s="22" t="s">
        <v>14066</v>
      </c>
      <c r="P223" s="22" t="s">
        <v>14060</v>
      </c>
      <c r="Q223" s="22">
        <v>92236</v>
      </c>
      <c r="R223" s="22" t="s">
        <v>14067</v>
      </c>
      <c r="S223" s="22" t="s">
        <v>14068</v>
      </c>
      <c r="T223" s="22">
        <v>8.17</v>
      </c>
      <c r="U223" s="22">
        <v>0.38</v>
      </c>
      <c r="X223" s="26"/>
      <c r="Y223" s="26"/>
    </row>
    <row r="224" spans="1:25" ht="25" x14ac:dyDescent="0.25">
      <c r="A224" s="21">
        <v>289</v>
      </c>
      <c r="B224" s="22" t="s">
        <v>15368</v>
      </c>
      <c r="C224" s="22" t="s">
        <v>14063</v>
      </c>
      <c r="D224" s="23">
        <v>169828</v>
      </c>
      <c r="E224" s="24">
        <v>1988</v>
      </c>
      <c r="F224" s="22" t="s">
        <v>14072</v>
      </c>
      <c r="G224" s="23" t="s">
        <v>14073</v>
      </c>
      <c r="H224" s="25" t="s">
        <v>15373</v>
      </c>
      <c r="I224" s="22" t="s">
        <v>15374</v>
      </c>
      <c r="J224" s="22" t="s">
        <v>16899</v>
      </c>
      <c r="K224" s="26">
        <f t="shared" si="3"/>
        <v>450</v>
      </c>
      <c r="L224" s="26">
        <v>450</v>
      </c>
      <c r="O224" s="22" t="s">
        <v>14066</v>
      </c>
      <c r="P224" s="22" t="s">
        <v>14060</v>
      </c>
      <c r="Q224" s="22">
        <v>92236</v>
      </c>
      <c r="R224" s="22" t="s">
        <v>14067</v>
      </c>
      <c r="S224" s="22" t="s">
        <v>14068</v>
      </c>
      <c r="T224" s="22">
        <v>8.17</v>
      </c>
      <c r="U224" s="22">
        <v>0.38</v>
      </c>
      <c r="X224" s="26"/>
      <c r="Y224" s="26"/>
    </row>
    <row r="225" spans="1:25" ht="25" x14ac:dyDescent="0.25">
      <c r="A225" s="21">
        <v>290</v>
      </c>
      <c r="B225" s="22" t="s">
        <v>15368</v>
      </c>
      <c r="C225" s="22" t="s">
        <v>14063</v>
      </c>
      <c r="D225" s="23">
        <v>217293</v>
      </c>
      <c r="E225" s="24">
        <v>1989</v>
      </c>
      <c r="F225" s="22" t="s">
        <v>14074</v>
      </c>
      <c r="G225" s="23" t="s">
        <v>14075</v>
      </c>
      <c r="H225" s="25" t="s">
        <v>15373</v>
      </c>
      <c r="I225" s="22" t="s">
        <v>15374</v>
      </c>
      <c r="J225" s="22" t="s">
        <v>14076</v>
      </c>
      <c r="K225" s="26">
        <f t="shared" si="3"/>
        <v>450</v>
      </c>
      <c r="L225" s="26">
        <v>450</v>
      </c>
      <c r="O225" s="22" t="s">
        <v>14066</v>
      </c>
      <c r="P225" s="22" t="s">
        <v>14060</v>
      </c>
      <c r="Q225" s="22">
        <v>92236</v>
      </c>
      <c r="R225" s="22" t="s">
        <v>14067</v>
      </c>
      <c r="S225" s="22" t="s">
        <v>14068</v>
      </c>
      <c r="T225" s="22">
        <v>8.17</v>
      </c>
      <c r="U225" s="22">
        <v>0.38</v>
      </c>
      <c r="X225" s="26"/>
      <c r="Y225" s="26"/>
    </row>
    <row r="226" spans="1:25" ht="25" x14ac:dyDescent="0.25">
      <c r="A226" s="21">
        <v>291</v>
      </c>
      <c r="B226" s="22" t="s">
        <v>15368</v>
      </c>
      <c r="C226" s="22" t="s">
        <v>14063</v>
      </c>
      <c r="D226" s="23">
        <v>243553</v>
      </c>
      <c r="E226" s="24">
        <v>1991</v>
      </c>
      <c r="F226" s="22" t="s">
        <v>14077</v>
      </c>
      <c r="G226" s="23" t="s">
        <v>14078</v>
      </c>
      <c r="H226" s="25" t="s">
        <v>15373</v>
      </c>
      <c r="I226" s="22" t="s">
        <v>15374</v>
      </c>
      <c r="J226" s="22" t="s">
        <v>15191</v>
      </c>
      <c r="K226" s="26">
        <f t="shared" si="3"/>
        <v>1000</v>
      </c>
      <c r="L226" s="26">
        <v>1000</v>
      </c>
      <c r="O226" s="22" t="s">
        <v>14079</v>
      </c>
      <c r="P226" s="22" t="s">
        <v>14080</v>
      </c>
      <c r="Q226" s="22">
        <v>92260</v>
      </c>
      <c r="R226" s="22" t="s">
        <v>14081</v>
      </c>
      <c r="S226" s="22" t="s">
        <v>14082</v>
      </c>
      <c r="T226" s="22">
        <v>8.17</v>
      </c>
      <c r="U226" s="22">
        <v>0.38</v>
      </c>
      <c r="X226" s="26"/>
      <c r="Y226" s="26"/>
    </row>
    <row r="227" spans="1:25" ht="25" x14ac:dyDescent="0.25">
      <c r="A227" s="21">
        <v>292</v>
      </c>
      <c r="B227" s="22" t="s">
        <v>15368</v>
      </c>
      <c r="C227" s="22" t="s">
        <v>14063</v>
      </c>
      <c r="D227" s="23">
        <v>284494</v>
      </c>
      <c r="E227" s="24">
        <v>1993</v>
      </c>
      <c r="F227" s="22" t="s">
        <v>14083</v>
      </c>
      <c r="G227" s="23" t="s">
        <v>14084</v>
      </c>
      <c r="H227" s="25" t="s">
        <v>15373</v>
      </c>
      <c r="I227" s="22" t="s">
        <v>15374</v>
      </c>
      <c r="J227" s="22" t="s">
        <v>15731</v>
      </c>
      <c r="K227" s="26">
        <f t="shared" si="3"/>
        <v>1100</v>
      </c>
      <c r="L227" s="26">
        <v>1100</v>
      </c>
      <c r="O227" s="22" t="s">
        <v>14085</v>
      </c>
      <c r="P227" s="22" t="s">
        <v>14086</v>
      </c>
      <c r="Q227" s="22">
        <v>92236</v>
      </c>
      <c r="R227" s="22" t="s">
        <v>14087</v>
      </c>
      <c r="S227" s="22" t="s">
        <v>14082</v>
      </c>
      <c r="T227" s="22">
        <v>8.17</v>
      </c>
      <c r="U227" s="22">
        <v>0.38</v>
      </c>
      <c r="X227" s="26"/>
      <c r="Y227" s="26"/>
    </row>
    <row r="228" spans="1:25" ht="25" x14ac:dyDescent="0.25">
      <c r="A228" s="21">
        <v>293</v>
      </c>
      <c r="B228" s="22" t="s">
        <v>15368</v>
      </c>
      <c r="C228" s="22" t="s">
        <v>14063</v>
      </c>
      <c r="D228" s="23">
        <v>304808</v>
      </c>
      <c r="E228" s="24">
        <v>1995</v>
      </c>
      <c r="F228" s="22" t="s">
        <v>14088</v>
      </c>
      <c r="G228" s="23" t="s">
        <v>14089</v>
      </c>
      <c r="H228" s="25" t="s">
        <v>15373</v>
      </c>
      <c r="I228" s="22" t="s">
        <v>15374</v>
      </c>
      <c r="J228" s="22" t="s">
        <v>14090</v>
      </c>
      <c r="K228" s="26">
        <f t="shared" si="3"/>
        <v>1250</v>
      </c>
      <c r="L228" s="26">
        <v>1250</v>
      </c>
      <c r="O228" s="22" t="s">
        <v>14079</v>
      </c>
      <c r="P228" s="22" t="s">
        <v>14080</v>
      </c>
      <c r="Q228" s="22">
        <v>92260</v>
      </c>
      <c r="R228" s="22" t="s">
        <v>14081</v>
      </c>
      <c r="S228" s="22" t="s">
        <v>14082</v>
      </c>
      <c r="T228" s="22">
        <v>8.17</v>
      </c>
      <c r="U228" s="22">
        <v>0.38</v>
      </c>
      <c r="X228" s="26"/>
      <c r="Y228" s="26"/>
    </row>
    <row r="229" spans="1:25" ht="25" x14ac:dyDescent="0.25">
      <c r="A229" s="21">
        <v>294</v>
      </c>
      <c r="B229" s="22" t="s">
        <v>15368</v>
      </c>
      <c r="C229" s="22" t="s">
        <v>14063</v>
      </c>
      <c r="D229" s="23">
        <v>336899</v>
      </c>
      <c r="E229" s="24">
        <v>1998</v>
      </c>
      <c r="F229" s="22" t="s">
        <v>14091</v>
      </c>
      <c r="G229" s="23" t="s">
        <v>15452</v>
      </c>
      <c r="H229" s="25" t="s">
        <v>15373</v>
      </c>
      <c r="I229" s="22" t="s">
        <v>15374</v>
      </c>
      <c r="J229" s="22" t="s">
        <v>15701</v>
      </c>
      <c r="K229" s="26">
        <f t="shared" si="3"/>
        <v>400</v>
      </c>
      <c r="L229" s="26">
        <v>400</v>
      </c>
      <c r="O229" s="22" t="s">
        <v>15453</v>
      </c>
      <c r="P229" s="22" t="s">
        <v>14060</v>
      </c>
      <c r="Q229" s="22">
        <v>92236</v>
      </c>
      <c r="R229" s="22" t="s">
        <v>15454</v>
      </c>
      <c r="S229" s="22" t="s">
        <v>14082</v>
      </c>
      <c r="T229" s="22">
        <v>6.9</v>
      </c>
      <c r="U229" s="22">
        <v>0.4</v>
      </c>
      <c r="X229" s="26"/>
      <c r="Y229" s="26"/>
    </row>
    <row r="230" spans="1:25" ht="25" x14ac:dyDescent="0.25">
      <c r="A230" s="21">
        <v>295</v>
      </c>
      <c r="B230" s="22" t="s">
        <v>15368</v>
      </c>
      <c r="C230" s="22" t="s">
        <v>14063</v>
      </c>
      <c r="D230" s="23">
        <v>345217</v>
      </c>
      <c r="E230" s="24">
        <v>1998</v>
      </c>
      <c r="F230" s="22" t="s">
        <v>15455</v>
      </c>
      <c r="G230" s="23" t="s">
        <v>15456</v>
      </c>
      <c r="H230" s="25" t="s">
        <v>15373</v>
      </c>
      <c r="I230" s="22" t="s">
        <v>15374</v>
      </c>
      <c r="J230" s="22" t="s">
        <v>15420</v>
      </c>
      <c r="K230" s="26">
        <f t="shared" si="3"/>
        <v>1250</v>
      </c>
      <c r="L230" s="26">
        <v>1250</v>
      </c>
      <c r="O230" s="22" t="s">
        <v>14079</v>
      </c>
      <c r="P230" s="22" t="s">
        <v>14080</v>
      </c>
      <c r="Q230" s="22">
        <v>92260</v>
      </c>
      <c r="R230" s="22" t="s">
        <v>14081</v>
      </c>
      <c r="S230" s="22" t="s">
        <v>14082</v>
      </c>
      <c r="T230" s="22">
        <v>8.17</v>
      </c>
      <c r="U230" s="22">
        <v>0.38</v>
      </c>
      <c r="X230" s="26"/>
      <c r="Y230" s="26"/>
    </row>
    <row r="231" spans="1:25" ht="25" x14ac:dyDescent="0.25">
      <c r="A231" s="21">
        <v>296</v>
      </c>
      <c r="B231" s="22" t="s">
        <v>15368</v>
      </c>
      <c r="C231" s="22" t="s">
        <v>14063</v>
      </c>
      <c r="D231" s="23" t="s">
        <v>15457</v>
      </c>
      <c r="E231" s="24">
        <v>1990</v>
      </c>
      <c r="F231" s="22" t="s">
        <v>15458</v>
      </c>
      <c r="G231" s="23" t="s">
        <v>15459</v>
      </c>
      <c r="H231" s="25" t="s">
        <v>15373</v>
      </c>
      <c r="I231" s="22" t="s">
        <v>15374</v>
      </c>
      <c r="J231" s="22" t="s">
        <v>15460</v>
      </c>
      <c r="K231" s="26">
        <f t="shared" si="3"/>
        <v>900</v>
      </c>
      <c r="L231" s="26">
        <v>900</v>
      </c>
      <c r="O231" s="22" t="s">
        <v>14079</v>
      </c>
      <c r="P231" s="22" t="s">
        <v>14080</v>
      </c>
      <c r="Q231" s="22">
        <v>92260</v>
      </c>
      <c r="R231" s="22" t="s">
        <v>14081</v>
      </c>
      <c r="S231" s="22" t="s">
        <v>15461</v>
      </c>
      <c r="T231" s="22">
        <v>8.17</v>
      </c>
      <c r="U231" s="22">
        <v>0.38</v>
      </c>
      <c r="X231" s="26"/>
      <c r="Y231" s="26"/>
    </row>
    <row r="232" spans="1:25" ht="25" x14ac:dyDescent="0.25">
      <c r="A232" s="21">
        <v>297</v>
      </c>
      <c r="B232" s="22" t="s">
        <v>15368</v>
      </c>
      <c r="C232" s="22" t="s">
        <v>15462</v>
      </c>
      <c r="D232" s="23">
        <v>348189</v>
      </c>
      <c r="E232" s="24">
        <v>1998</v>
      </c>
      <c r="F232" s="22" t="s">
        <v>15463</v>
      </c>
      <c r="G232" s="23" t="s">
        <v>15464</v>
      </c>
      <c r="H232" s="25" t="s">
        <v>15373</v>
      </c>
      <c r="I232" s="22" t="s">
        <v>15374</v>
      </c>
      <c r="J232" s="22" t="s">
        <v>16869</v>
      </c>
      <c r="K232" s="26">
        <f t="shared" si="3"/>
        <v>500</v>
      </c>
      <c r="L232" s="26">
        <v>500</v>
      </c>
      <c r="O232" s="22" t="s">
        <v>15465</v>
      </c>
      <c r="P232" s="22" t="s">
        <v>14080</v>
      </c>
      <c r="Q232" s="22">
        <v>92260</v>
      </c>
      <c r="R232" s="22" t="s">
        <v>15466</v>
      </c>
      <c r="S232" s="22" t="s">
        <v>14082</v>
      </c>
      <c r="T232" s="22">
        <v>6.9</v>
      </c>
      <c r="U232" s="22">
        <v>0.4</v>
      </c>
      <c r="X232" s="26"/>
      <c r="Y232" s="26"/>
    </row>
    <row r="233" spans="1:25" ht="37.5" x14ac:dyDescent="0.25">
      <c r="A233" s="21">
        <v>298</v>
      </c>
      <c r="B233" s="22" t="s">
        <v>15368</v>
      </c>
      <c r="C233" s="22" t="s">
        <v>15467</v>
      </c>
      <c r="D233" s="23">
        <v>248360</v>
      </c>
      <c r="E233" s="24">
        <v>1991</v>
      </c>
      <c r="F233" s="22" t="s">
        <v>15468</v>
      </c>
      <c r="G233" s="23" t="s">
        <v>15469</v>
      </c>
      <c r="H233" s="25" t="s">
        <v>15373</v>
      </c>
      <c r="I233" s="22" t="s">
        <v>15374</v>
      </c>
      <c r="J233" s="22" t="s">
        <v>15470</v>
      </c>
      <c r="K233" s="26">
        <f t="shared" si="3"/>
        <v>400</v>
      </c>
      <c r="L233" s="26">
        <v>400</v>
      </c>
      <c r="O233" s="22" t="s">
        <v>15471</v>
      </c>
      <c r="P233" s="22" t="s">
        <v>15472</v>
      </c>
      <c r="Q233" s="22">
        <v>92201</v>
      </c>
      <c r="R233" s="22" t="s">
        <v>15473</v>
      </c>
      <c r="S233" s="22" t="s">
        <v>15474</v>
      </c>
      <c r="T233" s="22">
        <v>8.17</v>
      </c>
      <c r="U233" s="22">
        <v>0.38</v>
      </c>
      <c r="X233" s="26"/>
      <c r="Y233" s="26"/>
    </row>
    <row r="234" spans="1:25" ht="25" x14ac:dyDescent="0.25">
      <c r="A234" s="21">
        <v>299</v>
      </c>
      <c r="B234" s="22" t="s">
        <v>15368</v>
      </c>
      <c r="C234" s="22" t="s">
        <v>15467</v>
      </c>
      <c r="D234" s="23">
        <v>304809</v>
      </c>
      <c r="E234" s="24">
        <v>1995</v>
      </c>
      <c r="F234" s="22" t="s">
        <v>15475</v>
      </c>
      <c r="G234" s="23" t="s">
        <v>15476</v>
      </c>
      <c r="H234" s="25" t="s">
        <v>15373</v>
      </c>
      <c r="I234" s="22" t="s">
        <v>15374</v>
      </c>
      <c r="J234" s="22" t="s">
        <v>16869</v>
      </c>
      <c r="K234" s="26">
        <f t="shared" si="3"/>
        <v>700</v>
      </c>
      <c r="L234" s="26">
        <v>700</v>
      </c>
      <c r="O234" s="22" t="s">
        <v>15477</v>
      </c>
      <c r="P234" s="22" t="s">
        <v>15472</v>
      </c>
      <c r="Q234" s="22">
        <v>92201</v>
      </c>
      <c r="R234" s="22" t="s">
        <v>15454</v>
      </c>
      <c r="S234" s="22" t="s">
        <v>15474</v>
      </c>
      <c r="T234" s="22">
        <v>8.17</v>
      </c>
      <c r="U234" s="22">
        <v>0.38</v>
      </c>
      <c r="X234" s="26"/>
      <c r="Y234" s="26"/>
    </row>
    <row r="235" spans="1:25" ht="25" x14ac:dyDescent="0.25">
      <c r="A235" s="21">
        <v>300</v>
      </c>
      <c r="B235" s="22" t="s">
        <v>15368</v>
      </c>
      <c r="C235" s="22" t="s">
        <v>15467</v>
      </c>
      <c r="D235" s="23">
        <v>333311</v>
      </c>
      <c r="E235" s="24">
        <v>1997</v>
      </c>
      <c r="F235" s="22" t="s">
        <v>15478</v>
      </c>
      <c r="G235" s="23" t="s">
        <v>15479</v>
      </c>
      <c r="H235" s="25" t="s">
        <v>15373</v>
      </c>
      <c r="I235" s="22" t="s">
        <v>15374</v>
      </c>
      <c r="J235" s="22" t="s">
        <v>15701</v>
      </c>
      <c r="K235" s="26">
        <f t="shared" si="3"/>
        <v>400</v>
      </c>
      <c r="L235" s="26">
        <v>400</v>
      </c>
      <c r="O235" s="22" t="s">
        <v>15480</v>
      </c>
      <c r="P235" s="22" t="s">
        <v>15481</v>
      </c>
      <c r="Q235" s="22">
        <v>92253</v>
      </c>
      <c r="R235" s="22" t="s">
        <v>15454</v>
      </c>
      <c r="S235" s="22" t="s">
        <v>14082</v>
      </c>
      <c r="T235" s="22">
        <v>6.9</v>
      </c>
      <c r="U235" s="22">
        <v>0.4</v>
      </c>
      <c r="X235" s="26"/>
      <c r="Y235" s="26"/>
    </row>
    <row r="236" spans="1:25" ht="37.5" x14ac:dyDescent="0.25">
      <c r="A236" s="21">
        <v>301</v>
      </c>
      <c r="B236" s="22" t="s">
        <v>15368</v>
      </c>
      <c r="C236" s="22" t="s">
        <v>15482</v>
      </c>
      <c r="D236" s="23">
        <v>159929</v>
      </c>
      <c r="E236" s="24">
        <v>1987</v>
      </c>
      <c r="F236" s="22" t="s">
        <v>15483</v>
      </c>
      <c r="G236" s="23" t="s">
        <v>15484</v>
      </c>
      <c r="H236" s="25" t="s">
        <v>15373</v>
      </c>
      <c r="I236" s="22" t="s">
        <v>15374</v>
      </c>
      <c r="J236" s="22">
        <v>3412</v>
      </c>
      <c r="K236" s="26">
        <f t="shared" si="3"/>
        <v>475</v>
      </c>
      <c r="L236" s="26" t="s">
        <v>15485</v>
      </c>
      <c r="O236" s="22" t="s">
        <v>15486</v>
      </c>
      <c r="P236" s="22" t="s">
        <v>15487</v>
      </c>
      <c r="Q236" s="22">
        <v>92274</v>
      </c>
      <c r="R236" s="22" t="s">
        <v>15466</v>
      </c>
      <c r="S236" s="22" t="s">
        <v>14082</v>
      </c>
      <c r="T236" s="22">
        <v>11</v>
      </c>
      <c r="U236" s="22">
        <v>0.53</v>
      </c>
      <c r="X236" s="26"/>
      <c r="Y236" s="26"/>
    </row>
    <row r="237" spans="1:25" ht="37.5" x14ac:dyDescent="0.25">
      <c r="A237" s="21">
        <v>302</v>
      </c>
      <c r="B237" s="22" t="s">
        <v>15368</v>
      </c>
      <c r="C237" s="22" t="s">
        <v>15482</v>
      </c>
      <c r="D237" s="23">
        <v>251070</v>
      </c>
      <c r="E237" s="24">
        <v>1991</v>
      </c>
      <c r="F237" s="22" t="s">
        <v>15488</v>
      </c>
      <c r="G237" s="23" t="s">
        <v>15489</v>
      </c>
      <c r="H237" s="25" t="s">
        <v>15373</v>
      </c>
      <c r="I237" s="22" t="s">
        <v>15374</v>
      </c>
      <c r="J237" s="22" t="s">
        <v>16899</v>
      </c>
      <c r="K237" s="26">
        <f t="shared" si="3"/>
        <v>600</v>
      </c>
      <c r="L237" s="26">
        <v>600</v>
      </c>
      <c r="O237" s="22" t="s">
        <v>15486</v>
      </c>
      <c r="P237" s="22" t="s">
        <v>15487</v>
      </c>
      <c r="Q237" s="22">
        <v>92274</v>
      </c>
      <c r="R237" s="22" t="s">
        <v>15466</v>
      </c>
      <c r="S237" s="22" t="s">
        <v>14082</v>
      </c>
      <c r="T237" s="22">
        <v>8.17</v>
      </c>
      <c r="U237" s="22">
        <v>0.38</v>
      </c>
      <c r="X237" s="26"/>
      <c r="Y237" s="26"/>
    </row>
    <row r="238" spans="1:25" ht="37.5" x14ac:dyDescent="0.25">
      <c r="A238" s="21">
        <v>303</v>
      </c>
      <c r="B238" s="22" t="s">
        <v>15368</v>
      </c>
      <c r="C238" s="22" t="s">
        <v>15482</v>
      </c>
      <c r="D238" s="23">
        <v>348964</v>
      </c>
      <c r="E238" s="24">
        <v>1998</v>
      </c>
      <c r="F238" s="22" t="s">
        <v>15490</v>
      </c>
      <c r="G238" s="23" t="s">
        <v>15491</v>
      </c>
      <c r="H238" s="25" t="s">
        <v>15373</v>
      </c>
      <c r="I238" s="22" t="s">
        <v>15374</v>
      </c>
      <c r="J238" s="22" t="s">
        <v>15701</v>
      </c>
      <c r="K238" s="26">
        <f t="shared" si="3"/>
        <v>400</v>
      </c>
      <c r="L238" s="26" t="s">
        <v>15492</v>
      </c>
      <c r="O238" s="22" t="s">
        <v>15486</v>
      </c>
      <c r="P238" s="22" t="s">
        <v>15487</v>
      </c>
      <c r="Q238" s="22">
        <v>92274</v>
      </c>
      <c r="R238" s="22" t="s">
        <v>15466</v>
      </c>
      <c r="S238" s="22" t="s">
        <v>14082</v>
      </c>
      <c r="T238" s="22">
        <v>6.9</v>
      </c>
      <c r="U238" s="22">
        <v>0.4</v>
      </c>
      <c r="X238" s="26"/>
      <c r="Y238" s="26"/>
    </row>
    <row r="239" spans="1:25" ht="25" x14ac:dyDescent="0.25">
      <c r="A239" s="21">
        <v>304</v>
      </c>
      <c r="B239" s="22" t="s">
        <v>15368</v>
      </c>
      <c r="C239" s="22" t="s">
        <v>15493</v>
      </c>
      <c r="D239" s="23">
        <v>282913</v>
      </c>
      <c r="E239" s="24">
        <v>1993</v>
      </c>
      <c r="F239" s="22" t="s">
        <v>15494</v>
      </c>
      <c r="G239" s="23" t="s">
        <v>15495</v>
      </c>
      <c r="H239" s="25" t="s">
        <v>15373</v>
      </c>
      <c r="I239" s="22" t="s">
        <v>15374</v>
      </c>
      <c r="J239" s="22" t="s">
        <v>15191</v>
      </c>
      <c r="K239" s="26">
        <f t="shared" si="3"/>
        <v>900</v>
      </c>
      <c r="L239" s="26">
        <v>900</v>
      </c>
      <c r="O239" s="22" t="s">
        <v>15496</v>
      </c>
      <c r="P239" s="22" t="s">
        <v>16471</v>
      </c>
      <c r="Q239" s="22">
        <v>92324</v>
      </c>
      <c r="R239" s="22" t="s">
        <v>15497</v>
      </c>
      <c r="S239" s="22" t="s">
        <v>15498</v>
      </c>
      <c r="T239" s="22">
        <v>8.17</v>
      </c>
      <c r="U239" s="22">
        <v>0.38</v>
      </c>
      <c r="X239" s="26"/>
      <c r="Y239" s="26"/>
    </row>
    <row r="240" spans="1:25" ht="25" x14ac:dyDescent="0.25">
      <c r="A240" s="21">
        <v>305</v>
      </c>
      <c r="B240" s="22" t="s">
        <v>15368</v>
      </c>
      <c r="C240" s="22" t="s">
        <v>15499</v>
      </c>
      <c r="D240" s="23">
        <v>108655</v>
      </c>
      <c r="E240" s="24">
        <v>1983</v>
      </c>
      <c r="F240" s="22" t="s">
        <v>15500</v>
      </c>
      <c r="G240" s="23" t="s">
        <v>15501</v>
      </c>
      <c r="H240" s="25" t="s">
        <v>15373</v>
      </c>
      <c r="I240" s="22" t="s">
        <v>15411</v>
      </c>
      <c r="J240" s="22" t="s">
        <v>15502</v>
      </c>
      <c r="K240" s="26">
        <f t="shared" si="3"/>
        <v>755</v>
      </c>
      <c r="L240" s="26">
        <v>755</v>
      </c>
      <c r="O240" s="22" t="s">
        <v>15503</v>
      </c>
      <c r="P240" s="22" t="s">
        <v>15504</v>
      </c>
      <c r="Q240" s="22">
        <v>91307</v>
      </c>
      <c r="R240" s="22" t="s">
        <v>15505</v>
      </c>
      <c r="S240" s="22" t="s">
        <v>15506</v>
      </c>
      <c r="T240" s="22">
        <v>12</v>
      </c>
      <c r="U240" s="22">
        <v>0.53</v>
      </c>
      <c r="X240" s="26"/>
      <c r="Y240" s="26"/>
    </row>
    <row r="241" spans="1:25" ht="37.5" x14ac:dyDescent="0.25">
      <c r="A241" s="21">
        <v>306</v>
      </c>
      <c r="B241" s="22" t="s">
        <v>15368</v>
      </c>
      <c r="C241" s="22" t="s">
        <v>15507</v>
      </c>
      <c r="D241" s="23">
        <v>373376</v>
      </c>
      <c r="E241" s="24">
        <v>2000</v>
      </c>
      <c r="F241" s="22" t="s">
        <v>15508</v>
      </c>
      <c r="G241" s="23" t="s">
        <v>15509</v>
      </c>
      <c r="H241" s="25" t="s">
        <v>15373</v>
      </c>
      <c r="I241" s="22" t="s">
        <v>15382</v>
      </c>
      <c r="J241" s="22" t="s">
        <v>14716</v>
      </c>
      <c r="K241" s="26">
        <f t="shared" si="3"/>
        <v>384</v>
      </c>
      <c r="N241" s="26">
        <v>576</v>
      </c>
      <c r="O241" s="22" t="s">
        <v>15510</v>
      </c>
      <c r="P241" s="22" t="s">
        <v>15435</v>
      </c>
      <c r="Q241" s="22">
        <v>92626</v>
      </c>
      <c r="R241" s="22" t="s">
        <v>15511</v>
      </c>
      <c r="S241" s="22" t="s">
        <v>15512</v>
      </c>
      <c r="T241" s="22">
        <v>6.9</v>
      </c>
      <c r="U241" s="22">
        <v>0.4</v>
      </c>
      <c r="X241" s="26"/>
      <c r="Y241" s="26"/>
    </row>
    <row r="242" spans="1:25" ht="25" x14ac:dyDescent="0.25">
      <c r="A242" s="21">
        <v>307</v>
      </c>
      <c r="B242" s="22" t="s">
        <v>15368</v>
      </c>
      <c r="C242" s="22" t="s">
        <v>15513</v>
      </c>
      <c r="D242" s="23">
        <v>350051</v>
      </c>
      <c r="E242" s="24">
        <v>1999</v>
      </c>
      <c r="F242" s="22" t="s">
        <v>15514</v>
      </c>
      <c r="G242" s="23" t="s">
        <v>15515</v>
      </c>
      <c r="H242" s="25" t="s">
        <v>15373</v>
      </c>
      <c r="I242" s="22" t="s">
        <v>15374</v>
      </c>
      <c r="J242" s="22" t="s">
        <v>15516</v>
      </c>
      <c r="K242" s="26">
        <f t="shared" si="3"/>
        <v>750</v>
      </c>
      <c r="L242" s="26">
        <v>750</v>
      </c>
      <c r="O242" s="22" t="s">
        <v>15517</v>
      </c>
      <c r="P242" s="22" t="s">
        <v>16549</v>
      </c>
      <c r="Q242" s="22">
        <v>90703</v>
      </c>
      <c r="R242" s="22" t="s">
        <v>15518</v>
      </c>
      <c r="S242" s="22" t="s">
        <v>15519</v>
      </c>
      <c r="T242" s="22">
        <v>8.17</v>
      </c>
      <c r="U242" s="22">
        <v>0.38</v>
      </c>
      <c r="X242" s="26"/>
      <c r="Y242" s="26"/>
    </row>
    <row r="243" spans="1:25" ht="25" x14ac:dyDescent="0.25">
      <c r="A243" s="21">
        <v>308</v>
      </c>
      <c r="B243" s="22" t="s">
        <v>15368</v>
      </c>
      <c r="C243" s="22" t="s">
        <v>15520</v>
      </c>
      <c r="D243" s="23">
        <v>168536</v>
      </c>
      <c r="E243" s="24">
        <v>1988</v>
      </c>
      <c r="F243" s="22" t="s">
        <v>15521</v>
      </c>
      <c r="G243" s="23" t="s">
        <v>15522</v>
      </c>
      <c r="H243" s="25" t="s">
        <v>15373</v>
      </c>
      <c r="I243" s="22" t="s">
        <v>15374</v>
      </c>
      <c r="J243" s="22" t="s">
        <v>15523</v>
      </c>
      <c r="K243" s="26">
        <f t="shared" si="3"/>
        <v>1000</v>
      </c>
      <c r="L243" s="26">
        <v>1000</v>
      </c>
      <c r="O243" s="22" t="s">
        <v>15524</v>
      </c>
      <c r="P243" s="22" t="s">
        <v>16490</v>
      </c>
      <c r="Q243" s="22">
        <v>92411</v>
      </c>
      <c r="R243" s="22" t="s">
        <v>15525</v>
      </c>
      <c r="S243" s="22" t="s">
        <v>15526</v>
      </c>
      <c r="T243" s="22">
        <v>8.17</v>
      </c>
      <c r="U243" s="22">
        <v>0.38</v>
      </c>
      <c r="X243" s="26"/>
      <c r="Y243" s="26"/>
    </row>
    <row r="244" spans="1:25" ht="25" x14ac:dyDescent="0.25">
      <c r="A244" s="21">
        <v>309</v>
      </c>
      <c r="B244" s="22" t="s">
        <v>15368</v>
      </c>
      <c r="C244" s="22" t="s">
        <v>15520</v>
      </c>
      <c r="D244" s="23">
        <v>339044</v>
      </c>
      <c r="E244" s="24">
        <v>1998</v>
      </c>
      <c r="F244" s="22" t="s">
        <v>15527</v>
      </c>
      <c r="G244" s="23" t="s">
        <v>15528</v>
      </c>
      <c r="H244" s="25" t="s">
        <v>15373</v>
      </c>
      <c r="I244" s="22" t="s">
        <v>15374</v>
      </c>
      <c r="J244" s="22" t="s">
        <v>14709</v>
      </c>
      <c r="K244" s="26">
        <f t="shared" si="3"/>
        <v>497.33333333333331</v>
      </c>
      <c r="N244" s="26">
        <v>746</v>
      </c>
      <c r="O244" s="22" t="s">
        <v>15524</v>
      </c>
      <c r="P244" s="22" t="s">
        <v>16490</v>
      </c>
      <c r="Q244" s="22" t="s">
        <v>15529</v>
      </c>
      <c r="R244" s="22" t="s">
        <v>15525</v>
      </c>
      <c r="S244" s="22" t="s">
        <v>15526</v>
      </c>
      <c r="T244" s="22">
        <v>6.9</v>
      </c>
      <c r="U244" s="22">
        <v>0.4</v>
      </c>
      <c r="X244" s="26"/>
      <c r="Y244" s="26"/>
    </row>
    <row r="245" spans="1:25" ht="37.5" x14ac:dyDescent="0.25">
      <c r="A245" s="21">
        <v>310</v>
      </c>
      <c r="B245" s="22" t="s">
        <v>15368</v>
      </c>
      <c r="C245" s="22" t="s">
        <v>15530</v>
      </c>
      <c r="D245" s="23">
        <v>287690</v>
      </c>
      <c r="E245" s="24">
        <v>1993</v>
      </c>
      <c r="F245" s="22" t="s">
        <v>15531</v>
      </c>
      <c r="G245" s="23" t="s">
        <v>15532</v>
      </c>
      <c r="H245" s="25" t="s">
        <v>15373</v>
      </c>
      <c r="I245" s="22" t="s">
        <v>15374</v>
      </c>
      <c r="J245" s="22" t="s">
        <v>16869</v>
      </c>
      <c r="K245" s="26">
        <f t="shared" si="3"/>
        <v>533.33333333333326</v>
      </c>
      <c r="N245" s="26">
        <v>800</v>
      </c>
      <c r="O245" s="22" t="s">
        <v>16832</v>
      </c>
      <c r="R245" s="22" t="s">
        <v>15533</v>
      </c>
      <c r="S245" s="22" t="s">
        <v>15534</v>
      </c>
      <c r="T245" s="22">
        <v>8.17</v>
      </c>
      <c r="U245" s="22">
        <v>0.38</v>
      </c>
      <c r="X245" s="26"/>
      <c r="Y245" s="26"/>
    </row>
    <row r="246" spans="1:25" ht="37.5" x14ac:dyDescent="0.25">
      <c r="A246" s="21">
        <v>314</v>
      </c>
      <c r="B246" s="22" t="s">
        <v>15368</v>
      </c>
      <c r="C246" s="22" t="s">
        <v>15535</v>
      </c>
      <c r="D246" s="23">
        <v>328940</v>
      </c>
      <c r="E246" s="24">
        <v>1997</v>
      </c>
      <c r="F246" s="22" t="s">
        <v>15540</v>
      </c>
      <c r="G246" s="23" t="s">
        <v>15541</v>
      </c>
      <c r="H246" s="25" t="s">
        <v>15373</v>
      </c>
      <c r="I246" s="22" t="s">
        <v>15411</v>
      </c>
      <c r="J246" s="22" t="s">
        <v>15542</v>
      </c>
      <c r="K246" s="26">
        <f t="shared" si="3"/>
        <v>631.33333333333326</v>
      </c>
      <c r="N246" s="26" t="s">
        <v>15543</v>
      </c>
      <c r="O246" s="22" t="s">
        <v>15536</v>
      </c>
      <c r="P246" s="22" t="s">
        <v>15537</v>
      </c>
      <c r="Q246" s="22">
        <v>92660</v>
      </c>
      <c r="R246" s="22" t="s">
        <v>15538</v>
      </c>
      <c r="S246" s="22" t="s">
        <v>15539</v>
      </c>
      <c r="T246" s="22">
        <v>8.17</v>
      </c>
      <c r="U246" s="22">
        <v>0.38</v>
      </c>
      <c r="X246" s="26"/>
      <c r="Y246" s="26"/>
    </row>
    <row r="247" spans="1:25" ht="37.5" x14ac:dyDescent="0.25">
      <c r="A247" s="21">
        <v>315</v>
      </c>
      <c r="B247" s="22" t="s">
        <v>15368</v>
      </c>
      <c r="C247" s="22" t="s">
        <v>15535</v>
      </c>
      <c r="D247" s="23">
        <v>345499</v>
      </c>
      <c r="E247" s="24">
        <v>1998</v>
      </c>
      <c r="F247" s="22" t="s">
        <v>15544</v>
      </c>
      <c r="G247" s="23" t="s">
        <v>15545</v>
      </c>
      <c r="H247" s="25" t="s">
        <v>15373</v>
      </c>
      <c r="I247" s="22" t="s">
        <v>15374</v>
      </c>
      <c r="J247" s="22">
        <v>3412</v>
      </c>
      <c r="K247" s="26">
        <f t="shared" si="3"/>
        <v>413.33333333333331</v>
      </c>
      <c r="N247" s="26">
        <v>620</v>
      </c>
      <c r="O247" s="22" t="s">
        <v>15546</v>
      </c>
      <c r="P247" s="22" t="s">
        <v>15537</v>
      </c>
      <c r="Q247" s="22">
        <v>92660</v>
      </c>
      <c r="R247" s="22" t="s">
        <v>15538</v>
      </c>
      <c r="S247" s="22" t="s">
        <v>15547</v>
      </c>
      <c r="T247" s="22">
        <v>6.9</v>
      </c>
      <c r="U247" s="22">
        <v>0.4</v>
      </c>
      <c r="X247" s="26"/>
      <c r="Y247" s="26"/>
    </row>
    <row r="248" spans="1:25" ht="37.5" x14ac:dyDescent="0.25">
      <c r="A248" s="21">
        <v>316</v>
      </c>
      <c r="B248" s="22" t="s">
        <v>15368</v>
      </c>
      <c r="C248" s="22" t="s">
        <v>15535</v>
      </c>
      <c r="D248" s="23">
        <v>345501</v>
      </c>
      <c r="E248" s="24">
        <v>1998</v>
      </c>
      <c r="F248" s="22" t="s">
        <v>15548</v>
      </c>
      <c r="G248" s="23" t="s">
        <v>15549</v>
      </c>
      <c r="H248" s="25" t="s">
        <v>15373</v>
      </c>
      <c r="I248" s="22" t="s">
        <v>15374</v>
      </c>
      <c r="J248" s="22">
        <v>3412</v>
      </c>
      <c r="K248" s="26">
        <f t="shared" si="3"/>
        <v>413.33333333333331</v>
      </c>
      <c r="N248" s="26">
        <v>620</v>
      </c>
      <c r="O248" s="22" t="s">
        <v>15546</v>
      </c>
      <c r="P248" s="22" t="s">
        <v>15537</v>
      </c>
      <c r="Q248" s="22">
        <v>92660</v>
      </c>
      <c r="R248" s="22" t="s">
        <v>15538</v>
      </c>
      <c r="S248" s="22" t="s">
        <v>15547</v>
      </c>
      <c r="T248" s="22">
        <v>6.9</v>
      </c>
      <c r="U248" s="22">
        <v>0.4</v>
      </c>
      <c r="X248" s="26"/>
      <c r="Y248" s="26"/>
    </row>
    <row r="249" spans="1:25" ht="25" x14ac:dyDescent="0.25">
      <c r="A249" s="21">
        <v>317</v>
      </c>
      <c r="B249" s="22" t="s">
        <v>15368</v>
      </c>
      <c r="C249" s="22" t="s">
        <v>15550</v>
      </c>
      <c r="D249" s="23">
        <v>213174</v>
      </c>
      <c r="E249" s="24">
        <v>1989</v>
      </c>
      <c r="F249" s="22" t="s">
        <v>15551</v>
      </c>
      <c r="G249" s="23" t="s">
        <v>15552</v>
      </c>
      <c r="H249" s="25" t="s">
        <v>15373</v>
      </c>
      <c r="I249" s="22" t="s">
        <v>15374</v>
      </c>
      <c r="J249" s="22">
        <v>3512</v>
      </c>
      <c r="K249" s="26">
        <f t="shared" si="3"/>
        <v>1186</v>
      </c>
      <c r="N249" s="26">
        <v>1779</v>
      </c>
      <c r="O249" s="22" t="s">
        <v>15553</v>
      </c>
      <c r="P249" s="22" t="s">
        <v>15376</v>
      </c>
      <c r="Q249" s="22">
        <v>90067</v>
      </c>
      <c r="R249" s="22" t="s">
        <v>15554</v>
      </c>
      <c r="S249" s="22" t="s">
        <v>15555</v>
      </c>
      <c r="T249" s="22">
        <v>8.17</v>
      </c>
      <c r="U249" s="22">
        <v>0.38</v>
      </c>
      <c r="X249" s="26"/>
      <c r="Y249" s="26"/>
    </row>
    <row r="250" spans="1:25" ht="25" x14ac:dyDescent="0.25">
      <c r="A250" s="21">
        <v>319</v>
      </c>
      <c r="B250" s="22" t="s">
        <v>15368</v>
      </c>
      <c r="C250" s="22" t="s">
        <v>15556</v>
      </c>
      <c r="D250" s="23">
        <v>255347</v>
      </c>
      <c r="E250" s="24">
        <v>1991</v>
      </c>
      <c r="F250" s="22" t="s">
        <v>15557</v>
      </c>
      <c r="G250" s="23" t="s">
        <v>15558</v>
      </c>
      <c r="H250" s="25" t="s">
        <v>15373</v>
      </c>
      <c r="I250" s="22" t="s">
        <v>15411</v>
      </c>
      <c r="J250" s="22" t="s">
        <v>15559</v>
      </c>
      <c r="K250" s="26">
        <f t="shared" si="3"/>
        <v>653.33333333333326</v>
      </c>
      <c r="N250" s="26">
        <v>980</v>
      </c>
      <c r="O250" s="22" t="s">
        <v>15560</v>
      </c>
      <c r="P250" s="22" t="s">
        <v>14746</v>
      </c>
      <c r="Q250" s="22">
        <v>91720</v>
      </c>
      <c r="R250" s="22" t="s">
        <v>15561</v>
      </c>
      <c r="S250" s="22" t="s">
        <v>15562</v>
      </c>
      <c r="T250" s="22">
        <v>8.17</v>
      </c>
      <c r="U250" s="22">
        <v>0.38</v>
      </c>
      <c r="X250" s="26"/>
      <c r="Y250" s="26"/>
    </row>
    <row r="251" spans="1:25" ht="25" x14ac:dyDescent="0.25">
      <c r="A251" s="21">
        <v>320</v>
      </c>
      <c r="B251" s="22" t="s">
        <v>15368</v>
      </c>
      <c r="C251" s="22" t="s">
        <v>15563</v>
      </c>
      <c r="D251" s="23">
        <v>366027</v>
      </c>
      <c r="E251" s="24">
        <v>2000</v>
      </c>
      <c r="F251" s="22" t="s">
        <v>15564</v>
      </c>
      <c r="G251" s="23" t="s">
        <v>15565</v>
      </c>
      <c r="H251" s="25" t="s">
        <v>15373</v>
      </c>
      <c r="I251" s="22" t="s">
        <v>15411</v>
      </c>
      <c r="J251" s="22" t="s">
        <v>15566</v>
      </c>
      <c r="K251" s="26">
        <f t="shared" si="3"/>
        <v>730</v>
      </c>
      <c r="N251" s="26">
        <v>1095</v>
      </c>
      <c r="O251" s="22" t="s">
        <v>15567</v>
      </c>
      <c r="P251" s="22" t="s">
        <v>14746</v>
      </c>
      <c r="Q251" s="22">
        <v>91720</v>
      </c>
      <c r="R251" s="22" t="s">
        <v>15568</v>
      </c>
      <c r="S251" s="22" t="s">
        <v>15569</v>
      </c>
      <c r="T251" s="22">
        <v>6.9</v>
      </c>
      <c r="U251" s="22">
        <v>0.4</v>
      </c>
      <c r="X251" s="26"/>
      <c r="Y251" s="26"/>
    </row>
    <row r="252" spans="1:25" ht="37.5" x14ac:dyDescent="0.25">
      <c r="A252" s="21">
        <v>323</v>
      </c>
      <c r="B252" s="22" t="s">
        <v>15368</v>
      </c>
      <c r="C252" s="22" t="s">
        <v>15570</v>
      </c>
      <c r="D252" s="23">
        <v>363589</v>
      </c>
      <c r="E252" s="24">
        <v>1999</v>
      </c>
      <c r="F252" s="22" t="s">
        <v>15571</v>
      </c>
      <c r="G252" s="23" t="s">
        <v>15572</v>
      </c>
      <c r="H252" s="25" t="s">
        <v>15373</v>
      </c>
      <c r="I252" s="22" t="s">
        <v>15374</v>
      </c>
      <c r="J252" s="22" t="s">
        <v>15573</v>
      </c>
      <c r="K252" s="26">
        <f t="shared" si="3"/>
        <v>1436.6666666666665</v>
      </c>
      <c r="N252" s="26">
        <v>2155</v>
      </c>
      <c r="O252" s="22" t="s">
        <v>15574</v>
      </c>
      <c r="P252" s="22" t="s">
        <v>14746</v>
      </c>
      <c r="Q252" s="22">
        <v>91720</v>
      </c>
      <c r="R252" s="22" t="s">
        <v>16556</v>
      </c>
      <c r="S252" s="22" t="s">
        <v>15575</v>
      </c>
      <c r="T252" s="22">
        <v>8.17</v>
      </c>
      <c r="U252" s="22">
        <v>0.38</v>
      </c>
      <c r="X252" s="26"/>
      <c r="Y252" s="26"/>
    </row>
    <row r="253" spans="1:25" ht="37.5" x14ac:dyDescent="0.25">
      <c r="A253" s="21">
        <v>324</v>
      </c>
      <c r="B253" s="22" t="s">
        <v>15368</v>
      </c>
      <c r="C253" s="22" t="s">
        <v>15570</v>
      </c>
      <c r="D253" s="23">
        <v>363590</v>
      </c>
      <c r="E253" s="24">
        <v>1999</v>
      </c>
      <c r="F253" s="22" t="s">
        <v>15576</v>
      </c>
      <c r="G253" s="23" t="s">
        <v>15577</v>
      </c>
      <c r="H253" s="25" t="s">
        <v>15373</v>
      </c>
      <c r="I253" s="22" t="s">
        <v>15374</v>
      </c>
      <c r="J253" s="22" t="s">
        <v>15420</v>
      </c>
      <c r="K253" s="26">
        <f t="shared" si="3"/>
        <v>1250</v>
      </c>
      <c r="L253" s="26">
        <v>1250</v>
      </c>
      <c r="O253" s="22" t="s">
        <v>15574</v>
      </c>
      <c r="P253" s="22" t="s">
        <v>14746</v>
      </c>
      <c r="Q253" s="22">
        <v>91720</v>
      </c>
      <c r="R253" s="22" t="s">
        <v>16556</v>
      </c>
      <c r="S253" s="22" t="s">
        <v>15575</v>
      </c>
      <c r="T253" s="22">
        <v>8.17</v>
      </c>
      <c r="U253" s="22">
        <v>0.38</v>
      </c>
      <c r="X253" s="26"/>
      <c r="Y253" s="26"/>
    </row>
    <row r="254" spans="1:25" ht="37.5" x14ac:dyDescent="0.25">
      <c r="A254" s="21">
        <v>330</v>
      </c>
      <c r="B254" s="22" t="s">
        <v>15368</v>
      </c>
      <c r="C254" s="22" t="s">
        <v>15578</v>
      </c>
      <c r="D254" s="23">
        <v>352636</v>
      </c>
      <c r="E254" s="24">
        <v>1999</v>
      </c>
      <c r="F254" s="22" t="s">
        <v>15579</v>
      </c>
      <c r="G254" s="23" t="s">
        <v>15580</v>
      </c>
      <c r="H254" s="25" t="s">
        <v>15373</v>
      </c>
      <c r="I254" s="22" t="s">
        <v>15374</v>
      </c>
      <c r="J254" s="22" t="s">
        <v>15516</v>
      </c>
      <c r="K254" s="26">
        <f t="shared" si="3"/>
        <v>750</v>
      </c>
      <c r="L254" s="26">
        <v>750</v>
      </c>
      <c r="O254" s="22" t="s">
        <v>15581</v>
      </c>
      <c r="P254" s="22" t="s">
        <v>15582</v>
      </c>
      <c r="Q254" s="22">
        <v>92688</v>
      </c>
      <c r="R254" s="22" t="s">
        <v>15583</v>
      </c>
      <c r="S254" s="22" t="s">
        <v>15584</v>
      </c>
      <c r="T254" s="22">
        <v>8.17</v>
      </c>
      <c r="U254" s="22">
        <v>0.38</v>
      </c>
      <c r="X254" s="26"/>
      <c r="Y254" s="26"/>
    </row>
    <row r="255" spans="1:25" ht="25" x14ac:dyDescent="0.25">
      <c r="A255" s="21">
        <v>331</v>
      </c>
      <c r="B255" s="22" t="s">
        <v>15368</v>
      </c>
      <c r="C255" s="22" t="s">
        <v>15585</v>
      </c>
      <c r="D255" s="23">
        <v>323981</v>
      </c>
      <c r="E255" s="24">
        <v>1997</v>
      </c>
      <c r="F255" s="22" t="s">
        <v>15586</v>
      </c>
      <c r="G255" s="23" t="s">
        <v>15587</v>
      </c>
      <c r="H255" s="25" t="s">
        <v>15373</v>
      </c>
      <c r="I255" s="22" t="s">
        <v>15374</v>
      </c>
      <c r="J255" s="22" t="s">
        <v>14709</v>
      </c>
      <c r="K255" s="26">
        <f t="shared" si="3"/>
        <v>600</v>
      </c>
      <c r="L255" s="26">
        <v>600</v>
      </c>
      <c r="O255" s="22" t="s">
        <v>15588</v>
      </c>
      <c r="P255" s="22" t="s">
        <v>16220</v>
      </c>
      <c r="Q255" s="22">
        <v>92656</v>
      </c>
      <c r="R255" s="22" t="s">
        <v>15589</v>
      </c>
      <c r="S255" s="22" t="s">
        <v>15590</v>
      </c>
      <c r="T255" s="22">
        <v>8.17</v>
      </c>
      <c r="U255" s="22">
        <v>0.38</v>
      </c>
      <c r="X255" s="26"/>
      <c r="Y255" s="26"/>
    </row>
    <row r="256" spans="1:25" ht="25" x14ac:dyDescent="0.25">
      <c r="A256" s="21">
        <v>332</v>
      </c>
      <c r="B256" s="22" t="s">
        <v>15368</v>
      </c>
      <c r="C256" s="22" t="s">
        <v>15585</v>
      </c>
      <c r="D256" s="23">
        <v>323982</v>
      </c>
      <c r="E256" s="24">
        <v>1997</v>
      </c>
      <c r="F256" s="22" t="s">
        <v>15591</v>
      </c>
      <c r="G256" s="23" t="s">
        <v>15592</v>
      </c>
      <c r="H256" s="25" t="s">
        <v>15373</v>
      </c>
      <c r="I256" s="22" t="s">
        <v>15374</v>
      </c>
      <c r="J256" s="22" t="s">
        <v>14709</v>
      </c>
      <c r="K256" s="26">
        <f t="shared" si="3"/>
        <v>600</v>
      </c>
      <c r="L256" s="26">
        <v>600</v>
      </c>
      <c r="O256" s="22" t="s">
        <v>15588</v>
      </c>
      <c r="P256" s="22" t="s">
        <v>16220</v>
      </c>
      <c r="Q256" s="22">
        <v>92656</v>
      </c>
      <c r="R256" s="22" t="s">
        <v>15589</v>
      </c>
      <c r="S256" s="22" t="s">
        <v>15590</v>
      </c>
      <c r="T256" s="22">
        <v>8.17</v>
      </c>
      <c r="U256" s="22">
        <v>0.38</v>
      </c>
      <c r="X256" s="26"/>
      <c r="Y256" s="26"/>
    </row>
    <row r="257" spans="1:25" ht="25" x14ac:dyDescent="0.25">
      <c r="A257" s="21">
        <v>334</v>
      </c>
      <c r="B257" s="22" t="s">
        <v>15368</v>
      </c>
      <c r="C257" s="22" t="s">
        <v>15593</v>
      </c>
      <c r="D257" s="23">
        <v>337426</v>
      </c>
      <c r="E257" s="24">
        <v>1998</v>
      </c>
      <c r="F257" s="22" t="s">
        <v>15594</v>
      </c>
      <c r="G257" s="23" t="s">
        <v>15595</v>
      </c>
      <c r="H257" s="25" t="s">
        <v>15373</v>
      </c>
      <c r="I257" s="22" t="s">
        <v>15374</v>
      </c>
      <c r="J257" s="22" t="s">
        <v>15516</v>
      </c>
      <c r="K257" s="26">
        <f t="shared" si="3"/>
        <v>750</v>
      </c>
      <c r="L257" s="26">
        <v>750</v>
      </c>
      <c r="O257" s="22" t="s">
        <v>15596</v>
      </c>
      <c r="P257" s="22" t="s">
        <v>16901</v>
      </c>
      <c r="Q257" s="22">
        <v>91761</v>
      </c>
      <c r="R257" s="22" t="s">
        <v>15597</v>
      </c>
      <c r="S257" s="22" t="s">
        <v>15598</v>
      </c>
      <c r="T257" s="22">
        <v>8.17</v>
      </c>
      <c r="U257" s="22">
        <v>0.38</v>
      </c>
      <c r="X257" s="26"/>
      <c r="Y257" s="26"/>
    </row>
    <row r="258" spans="1:25" ht="25" x14ac:dyDescent="0.25">
      <c r="A258" s="21">
        <v>335</v>
      </c>
      <c r="B258" s="22" t="s">
        <v>15368</v>
      </c>
      <c r="C258" s="22" t="s">
        <v>15599</v>
      </c>
      <c r="D258" s="23">
        <v>336264</v>
      </c>
      <c r="E258" s="24">
        <v>1998</v>
      </c>
      <c r="F258" s="22" t="s">
        <v>15600</v>
      </c>
      <c r="G258" s="23" t="s">
        <v>15601</v>
      </c>
      <c r="H258" s="25" t="s">
        <v>15373</v>
      </c>
      <c r="I258" s="22" t="s">
        <v>15374</v>
      </c>
      <c r="J258" s="22" t="s">
        <v>15701</v>
      </c>
      <c r="K258" s="26">
        <f t="shared" ref="K258:K321" si="4">L258+M258*(2/3)+N258*(2/3)</f>
        <v>400</v>
      </c>
      <c r="L258" s="26">
        <v>400</v>
      </c>
      <c r="O258" s="22" t="s">
        <v>15602</v>
      </c>
      <c r="P258" s="22" t="s">
        <v>15603</v>
      </c>
      <c r="Q258" s="22">
        <v>90038</v>
      </c>
      <c r="R258" s="22" t="s">
        <v>15604</v>
      </c>
      <c r="S258" s="22" t="s">
        <v>15605</v>
      </c>
      <c r="T258" s="22">
        <v>6.9</v>
      </c>
      <c r="U258" s="22">
        <v>0.4</v>
      </c>
      <c r="X258" s="26"/>
      <c r="Y258" s="26"/>
    </row>
    <row r="259" spans="1:25" ht="25" x14ac:dyDescent="0.25">
      <c r="A259" s="21">
        <v>337</v>
      </c>
      <c r="B259" s="22" t="s">
        <v>15368</v>
      </c>
      <c r="C259" s="22" t="s">
        <v>15606</v>
      </c>
      <c r="D259" s="23">
        <v>216290</v>
      </c>
      <c r="E259" s="24">
        <v>1989</v>
      </c>
      <c r="F259" s="22" t="s">
        <v>15607</v>
      </c>
      <c r="G259" s="23" t="s">
        <v>15608</v>
      </c>
      <c r="H259" s="25" t="s">
        <v>15373</v>
      </c>
      <c r="I259" s="22" t="s">
        <v>15382</v>
      </c>
      <c r="J259" s="22" t="s">
        <v>15609</v>
      </c>
      <c r="K259" s="26">
        <f t="shared" si="4"/>
        <v>400</v>
      </c>
      <c r="N259" s="26">
        <v>600</v>
      </c>
      <c r="O259" s="22" t="s">
        <v>15610</v>
      </c>
      <c r="P259" s="22" t="s">
        <v>15611</v>
      </c>
      <c r="Q259" s="22">
        <v>92640</v>
      </c>
      <c r="R259" s="22" t="s">
        <v>15612</v>
      </c>
      <c r="S259" s="22" t="s">
        <v>15613</v>
      </c>
      <c r="T259" s="22">
        <v>8.17</v>
      </c>
      <c r="U259" s="22">
        <v>0.38</v>
      </c>
      <c r="X259" s="26"/>
      <c r="Y259" s="26"/>
    </row>
    <row r="260" spans="1:25" ht="37.5" x14ac:dyDescent="0.25">
      <c r="A260" s="21">
        <v>338</v>
      </c>
      <c r="B260" s="22" t="s">
        <v>15368</v>
      </c>
      <c r="C260" s="22" t="s">
        <v>15614</v>
      </c>
      <c r="D260" s="23">
        <v>177238</v>
      </c>
      <c r="E260" s="24">
        <v>1988</v>
      </c>
      <c r="F260" s="22" t="s">
        <v>15615</v>
      </c>
      <c r="G260" s="23" t="s">
        <v>15616</v>
      </c>
      <c r="H260" s="25" t="s">
        <v>15373</v>
      </c>
      <c r="I260" s="22" t="s">
        <v>15374</v>
      </c>
      <c r="J260" s="22">
        <v>3412</v>
      </c>
      <c r="K260" s="26">
        <f t="shared" si="4"/>
        <v>600</v>
      </c>
      <c r="L260" s="26">
        <v>600</v>
      </c>
      <c r="O260" s="22" t="s">
        <v>15617</v>
      </c>
      <c r="P260" s="22" t="s">
        <v>16347</v>
      </c>
      <c r="Q260" s="22">
        <v>91739</v>
      </c>
      <c r="R260" s="22" t="s">
        <v>15618</v>
      </c>
      <c r="S260" s="22" t="s">
        <v>15619</v>
      </c>
      <c r="T260" s="22">
        <v>8.17</v>
      </c>
      <c r="U260" s="22">
        <v>0.38</v>
      </c>
      <c r="X260" s="26"/>
      <c r="Y260" s="26"/>
    </row>
    <row r="261" spans="1:25" ht="37.5" x14ac:dyDescent="0.25">
      <c r="A261" s="21">
        <v>341</v>
      </c>
      <c r="B261" s="22" t="s">
        <v>15368</v>
      </c>
      <c r="C261" s="22" t="s">
        <v>15614</v>
      </c>
      <c r="D261" s="23">
        <v>365782</v>
      </c>
      <c r="E261" s="24">
        <v>2000</v>
      </c>
      <c r="F261" s="22" t="s">
        <v>15620</v>
      </c>
      <c r="G261" s="23" t="s">
        <v>15621</v>
      </c>
      <c r="H261" s="25" t="s">
        <v>15373</v>
      </c>
      <c r="I261" s="22" t="s">
        <v>15374</v>
      </c>
      <c r="J261" s="22" t="s">
        <v>14709</v>
      </c>
      <c r="K261" s="26">
        <f t="shared" si="4"/>
        <v>593.33333333333326</v>
      </c>
      <c r="N261" s="26">
        <v>890</v>
      </c>
      <c r="O261" s="22" t="s">
        <v>16832</v>
      </c>
      <c r="P261" s="22" t="s">
        <v>16347</v>
      </c>
      <c r="Q261" s="22">
        <v>91729</v>
      </c>
      <c r="R261" s="22" t="s">
        <v>15618</v>
      </c>
      <c r="S261" s="22" t="s">
        <v>15622</v>
      </c>
      <c r="T261" s="22">
        <v>6.9</v>
      </c>
      <c r="U261" s="22">
        <v>0.4</v>
      </c>
      <c r="X261" s="26"/>
      <c r="Y261" s="26"/>
    </row>
    <row r="262" spans="1:25" ht="37.5" x14ac:dyDescent="0.25">
      <c r="A262" s="21">
        <v>342</v>
      </c>
      <c r="B262" s="22" t="s">
        <v>15368</v>
      </c>
      <c r="C262" s="22" t="s">
        <v>15614</v>
      </c>
      <c r="D262" s="23">
        <v>365785</v>
      </c>
      <c r="E262" s="24">
        <v>2000</v>
      </c>
      <c r="F262" s="22" t="s">
        <v>15623</v>
      </c>
      <c r="G262" s="23" t="s">
        <v>15624</v>
      </c>
      <c r="H262" s="25" t="s">
        <v>15373</v>
      </c>
      <c r="I262" s="22" t="s">
        <v>15374</v>
      </c>
      <c r="J262" s="22" t="s">
        <v>14709</v>
      </c>
      <c r="K262" s="26">
        <f t="shared" si="4"/>
        <v>593.33333333333326</v>
      </c>
      <c r="N262" s="26">
        <v>890</v>
      </c>
      <c r="O262" s="22" t="s">
        <v>16832</v>
      </c>
      <c r="P262" s="22" t="s">
        <v>16347</v>
      </c>
      <c r="Q262" s="22">
        <v>91729</v>
      </c>
      <c r="R262" s="22" t="s">
        <v>15618</v>
      </c>
      <c r="S262" s="22" t="s">
        <v>15622</v>
      </c>
      <c r="T262" s="22">
        <v>6.9</v>
      </c>
      <c r="U262" s="22">
        <v>0.4</v>
      </c>
      <c r="X262" s="26"/>
      <c r="Y262" s="26"/>
    </row>
    <row r="263" spans="1:25" ht="25" x14ac:dyDescent="0.25">
      <c r="A263" s="21">
        <v>343</v>
      </c>
      <c r="B263" s="22" t="s">
        <v>15368</v>
      </c>
      <c r="C263" s="22" t="s">
        <v>15625</v>
      </c>
      <c r="D263" s="23">
        <v>298682</v>
      </c>
      <c r="E263" s="24">
        <v>1994</v>
      </c>
      <c r="F263" s="22" t="s">
        <v>15626</v>
      </c>
      <c r="G263" s="23" t="s">
        <v>15627</v>
      </c>
      <c r="H263" s="25" t="s">
        <v>15373</v>
      </c>
      <c r="I263" s="22" t="s">
        <v>15411</v>
      </c>
      <c r="J263" s="22" t="s">
        <v>15542</v>
      </c>
      <c r="K263" s="26">
        <f t="shared" si="4"/>
        <v>631.33333333333326</v>
      </c>
      <c r="N263" s="26">
        <v>947</v>
      </c>
      <c r="O263" s="22" t="s">
        <v>15628</v>
      </c>
      <c r="P263" s="22" t="s">
        <v>15629</v>
      </c>
      <c r="Q263" s="22">
        <v>90230</v>
      </c>
      <c r="R263" s="22" t="s">
        <v>15630</v>
      </c>
      <c r="S263" s="22" t="s">
        <v>15631</v>
      </c>
      <c r="T263" s="22">
        <v>8.17</v>
      </c>
      <c r="U263" s="22">
        <v>0.38</v>
      </c>
      <c r="X263" s="26"/>
      <c r="Y263" s="26"/>
    </row>
    <row r="264" spans="1:25" ht="25" x14ac:dyDescent="0.25">
      <c r="A264" s="21">
        <v>344</v>
      </c>
      <c r="B264" s="22" t="s">
        <v>15368</v>
      </c>
      <c r="C264" s="22" t="s">
        <v>15632</v>
      </c>
      <c r="D264" s="23">
        <v>340125</v>
      </c>
      <c r="E264" s="24">
        <v>1998</v>
      </c>
      <c r="F264" s="22" t="s">
        <v>15633</v>
      </c>
      <c r="G264" s="23" t="s">
        <v>15634</v>
      </c>
      <c r="H264" s="25" t="s">
        <v>15373</v>
      </c>
      <c r="I264" s="22" t="s">
        <v>15635</v>
      </c>
      <c r="J264" s="22" t="s">
        <v>15636</v>
      </c>
      <c r="K264" s="26">
        <f t="shared" si="4"/>
        <v>588.66666666666663</v>
      </c>
      <c r="N264" s="26">
        <v>883</v>
      </c>
      <c r="O264" s="22" t="s">
        <v>15637</v>
      </c>
      <c r="P264" s="22" t="s">
        <v>15629</v>
      </c>
      <c r="Q264" s="22">
        <v>90232</v>
      </c>
      <c r="R264" s="22" t="s">
        <v>15638</v>
      </c>
      <c r="S264" s="22" t="s">
        <v>15639</v>
      </c>
      <c r="T264" s="22">
        <v>8.17</v>
      </c>
      <c r="U264" s="22">
        <v>0.38</v>
      </c>
      <c r="X264" s="26"/>
      <c r="Y264" s="26"/>
    </row>
    <row r="265" spans="1:25" ht="25" x14ac:dyDescent="0.25">
      <c r="A265" s="21">
        <v>362</v>
      </c>
      <c r="B265" s="22" t="s">
        <v>15368</v>
      </c>
      <c r="C265" s="22" t="s">
        <v>15641</v>
      </c>
      <c r="D265" s="23">
        <v>363952</v>
      </c>
      <c r="E265" s="24">
        <v>2000</v>
      </c>
      <c r="F265" s="22" t="s">
        <v>15642</v>
      </c>
      <c r="G265" s="23" t="s">
        <v>15643</v>
      </c>
      <c r="H265" s="25" t="s">
        <v>15373</v>
      </c>
      <c r="I265" s="22" t="s">
        <v>15374</v>
      </c>
      <c r="J265" s="22" t="s">
        <v>15701</v>
      </c>
      <c r="K265" s="26">
        <f t="shared" si="4"/>
        <v>400</v>
      </c>
      <c r="L265" s="26">
        <v>400</v>
      </c>
      <c r="O265" s="22" t="s">
        <v>15644</v>
      </c>
      <c r="P265" s="22" t="s">
        <v>15212</v>
      </c>
      <c r="Q265" s="22">
        <v>92867</v>
      </c>
      <c r="R265" s="22" t="s">
        <v>15645</v>
      </c>
      <c r="S265" s="22" t="s">
        <v>15646</v>
      </c>
      <c r="T265" s="22">
        <v>6.9</v>
      </c>
      <c r="U265" s="22">
        <v>0.4</v>
      </c>
      <c r="X265" s="26"/>
      <c r="Y265" s="26"/>
    </row>
    <row r="266" spans="1:25" ht="25" x14ac:dyDescent="0.25">
      <c r="A266" s="21">
        <v>363</v>
      </c>
      <c r="B266" s="22" t="s">
        <v>15368</v>
      </c>
      <c r="C266" s="22" t="s">
        <v>15647</v>
      </c>
      <c r="D266" s="23">
        <v>343323</v>
      </c>
      <c r="E266" s="24">
        <v>1998</v>
      </c>
      <c r="F266" s="22" t="s">
        <v>15648</v>
      </c>
      <c r="G266" s="23" t="s">
        <v>15649</v>
      </c>
      <c r="H266" s="25" t="s">
        <v>15373</v>
      </c>
      <c r="I266" s="22" t="s">
        <v>15374</v>
      </c>
      <c r="J266" s="22" t="s">
        <v>15191</v>
      </c>
      <c r="K266" s="26">
        <f t="shared" si="4"/>
        <v>990.66666666666663</v>
      </c>
      <c r="N266" s="26">
        <v>1486</v>
      </c>
      <c r="O266" s="22" t="s">
        <v>15650</v>
      </c>
      <c r="P266" s="22" t="s">
        <v>15376</v>
      </c>
      <c r="Q266" s="22">
        <v>90017</v>
      </c>
      <c r="R266" s="22" t="s">
        <v>15651</v>
      </c>
      <c r="S266" s="22" t="s">
        <v>15652</v>
      </c>
      <c r="T266" s="22">
        <v>8.17</v>
      </c>
      <c r="U266" s="22">
        <v>0.38</v>
      </c>
      <c r="X266" s="26"/>
      <c r="Y266" s="26"/>
    </row>
    <row r="267" spans="1:25" ht="25" x14ac:dyDescent="0.25">
      <c r="A267" s="21">
        <v>364</v>
      </c>
      <c r="B267" s="22" t="s">
        <v>15368</v>
      </c>
      <c r="C267" s="22" t="s">
        <v>15653</v>
      </c>
      <c r="D267" s="23">
        <v>199248</v>
      </c>
      <c r="E267" s="24">
        <v>1989</v>
      </c>
      <c r="F267" s="22" t="s">
        <v>15654</v>
      </c>
      <c r="G267" s="23" t="s">
        <v>15655</v>
      </c>
      <c r="H267" s="25" t="s">
        <v>15373</v>
      </c>
      <c r="I267" s="22" t="s">
        <v>15374</v>
      </c>
      <c r="J267" s="22" t="s">
        <v>15656</v>
      </c>
      <c r="K267" s="26">
        <f t="shared" si="4"/>
        <v>380</v>
      </c>
      <c r="N267" s="26">
        <v>570</v>
      </c>
      <c r="O267" s="22" t="s">
        <v>15657</v>
      </c>
      <c r="P267" s="22" t="s">
        <v>15376</v>
      </c>
      <c r="Q267" s="22">
        <v>90017</v>
      </c>
      <c r="R267" s="22" t="s">
        <v>15658</v>
      </c>
      <c r="S267" s="22" t="s">
        <v>15659</v>
      </c>
      <c r="T267" s="22">
        <v>8.17</v>
      </c>
      <c r="U267" s="22">
        <v>0.38</v>
      </c>
      <c r="X267" s="26"/>
      <c r="Y267" s="26"/>
    </row>
    <row r="268" spans="1:25" ht="25" x14ac:dyDescent="0.25">
      <c r="A268" s="21">
        <v>365</v>
      </c>
      <c r="B268" s="22" t="s">
        <v>15368</v>
      </c>
      <c r="C268" s="22" t="s">
        <v>15660</v>
      </c>
      <c r="D268" s="23">
        <v>321561</v>
      </c>
      <c r="E268" s="24">
        <v>1996</v>
      </c>
      <c r="F268" s="22" t="s">
        <v>15661</v>
      </c>
      <c r="G268" s="23" t="s">
        <v>15662</v>
      </c>
      <c r="H268" s="25" t="s">
        <v>15373</v>
      </c>
      <c r="I268" s="22" t="s">
        <v>15411</v>
      </c>
      <c r="J268" s="22" t="s">
        <v>15412</v>
      </c>
      <c r="K268" s="26">
        <f t="shared" si="4"/>
        <v>730</v>
      </c>
      <c r="N268" s="26">
        <v>1095</v>
      </c>
      <c r="O268" s="22" t="s">
        <v>15663</v>
      </c>
      <c r="P268" s="22" t="s">
        <v>16504</v>
      </c>
      <c r="Q268" s="22">
        <v>90307</v>
      </c>
      <c r="R268" s="22" t="s">
        <v>15664</v>
      </c>
      <c r="S268" s="22" t="s">
        <v>15665</v>
      </c>
      <c r="T268" s="22">
        <v>8.17</v>
      </c>
      <c r="U268" s="22">
        <v>0.38</v>
      </c>
      <c r="X268" s="26"/>
      <c r="Y268" s="26"/>
    </row>
    <row r="269" spans="1:25" ht="25" x14ac:dyDescent="0.25">
      <c r="A269" s="21">
        <v>366</v>
      </c>
      <c r="B269" s="22" t="s">
        <v>15368</v>
      </c>
      <c r="C269" s="22" t="s">
        <v>15660</v>
      </c>
      <c r="D269" s="23">
        <v>321568</v>
      </c>
      <c r="E269" s="24">
        <v>1996</v>
      </c>
      <c r="F269" s="22" t="s">
        <v>15666</v>
      </c>
      <c r="G269" s="23" t="s">
        <v>15667</v>
      </c>
      <c r="H269" s="25" t="s">
        <v>15373</v>
      </c>
      <c r="I269" s="22" t="s">
        <v>15668</v>
      </c>
      <c r="J269" s="22" t="s">
        <v>15669</v>
      </c>
      <c r="K269" s="26">
        <f t="shared" si="4"/>
        <v>366.66666666666663</v>
      </c>
      <c r="N269" s="26">
        <v>550</v>
      </c>
      <c r="O269" s="22" t="s">
        <v>15663</v>
      </c>
      <c r="P269" s="22" t="s">
        <v>16504</v>
      </c>
      <c r="Q269" s="22">
        <v>90307</v>
      </c>
      <c r="R269" s="22" t="s">
        <v>15664</v>
      </c>
      <c r="S269" s="22" t="s">
        <v>15665</v>
      </c>
      <c r="T269" s="22">
        <v>6.9</v>
      </c>
      <c r="U269" s="22">
        <v>0.4</v>
      </c>
      <c r="X269" s="26"/>
      <c r="Y269" s="26"/>
    </row>
    <row r="270" spans="1:25" ht="25" x14ac:dyDescent="0.25">
      <c r="A270" s="21">
        <v>367</v>
      </c>
      <c r="B270" s="22" t="s">
        <v>15368</v>
      </c>
      <c r="C270" s="22" t="s">
        <v>15670</v>
      </c>
      <c r="D270" s="23">
        <v>361513</v>
      </c>
      <c r="E270" s="24">
        <v>1999</v>
      </c>
      <c r="F270" s="22" t="s">
        <v>15671</v>
      </c>
      <c r="G270" s="23" t="s">
        <v>14374</v>
      </c>
      <c r="H270" s="25" t="s">
        <v>15373</v>
      </c>
      <c r="I270" s="22" t="s">
        <v>15374</v>
      </c>
      <c r="J270" s="22" t="s">
        <v>15701</v>
      </c>
      <c r="K270" s="26">
        <f t="shared" si="4"/>
        <v>400</v>
      </c>
      <c r="L270" s="26">
        <v>400</v>
      </c>
      <c r="O270" s="22" t="s">
        <v>14375</v>
      </c>
      <c r="P270" s="22" t="s">
        <v>14376</v>
      </c>
      <c r="Q270" s="22">
        <v>90401</v>
      </c>
      <c r="R270" s="22" t="s">
        <v>14377</v>
      </c>
      <c r="S270" s="22" t="s">
        <v>14378</v>
      </c>
      <c r="T270" s="22">
        <v>6.9</v>
      </c>
      <c r="U270" s="22">
        <v>0.4</v>
      </c>
      <c r="X270" s="26"/>
      <c r="Y270" s="26"/>
    </row>
    <row r="271" spans="1:25" ht="25" x14ac:dyDescent="0.25">
      <c r="A271" s="21">
        <v>374</v>
      </c>
      <c r="B271" s="22" t="s">
        <v>15368</v>
      </c>
      <c r="C271" s="22" t="s">
        <v>14379</v>
      </c>
      <c r="D271" s="23">
        <v>359094</v>
      </c>
      <c r="E271" s="24">
        <v>1999</v>
      </c>
      <c r="F271" s="22" t="s">
        <v>14380</v>
      </c>
      <c r="G271" s="23" t="s">
        <v>14381</v>
      </c>
      <c r="H271" s="25" t="s">
        <v>15373</v>
      </c>
      <c r="I271" s="22" t="s">
        <v>15411</v>
      </c>
      <c r="J271" s="22" t="s">
        <v>16517</v>
      </c>
      <c r="K271" s="26">
        <f t="shared" si="4"/>
        <v>365</v>
      </c>
      <c r="L271" s="26">
        <v>365</v>
      </c>
      <c r="O271" s="22" t="s">
        <v>14382</v>
      </c>
      <c r="P271" s="22" t="s">
        <v>15376</v>
      </c>
      <c r="Q271" s="22">
        <v>90009</v>
      </c>
      <c r="R271" s="22" t="s">
        <v>14383</v>
      </c>
      <c r="S271" s="22" t="s">
        <v>14384</v>
      </c>
      <c r="T271" s="22">
        <v>6.9</v>
      </c>
      <c r="U271" s="22">
        <v>0.4</v>
      </c>
      <c r="X271" s="26"/>
      <c r="Y271" s="26"/>
    </row>
    <row r="272" spans="1:25" ht="25" x14ac:dyDescent="0.25">
      <c r="A272" s="21">
        <v>376</v>
      </c>
      <c r="B272" s="22" t="s">
        <v>15368</v>
      </c>
      <c r="C272" s="22" t="s">
        <v>14385</v>
      </c>
      <c r="D272" s="23">
        <v>270240</v>
      </c>
      <c r="E272" s="24">
        <v>1992</v>
      </c>
      <c r="F272" s="22" t="s">
        <v>14386</v>
      </c>
      <c r="G272" s="23" t="s">
        <v>14387</v>
      </c>
      <c r="H272" s="25" t="s">
        <v>15373</v>
      </c>
      <c r="I272" s="22" t="s">
        <v>15411</v>
      </c>
      <c r="J272" s="22" t="s">
        <v>14388</v>
      </c>
      <c r="K272" s="26">
        <f t="shared" si="4"/>
        <v>1010</v>
      </c>
      <c r="N272" s="26">
        <v>1515</v>
      </c>
      <c r="O272" s="22" t="s">
        <v>14389</v>
      </c>
      <c r="P272" s="22" t="s">
        <v>15376</v>
      </c>
      <c r="Q272" s="22">
        <v>90012</v>
      </c>
      <c r="R272" s="22" t="s">
        <v>14390</v>
      </c>
      <c r="S272" s="22" t="s">
        <v>14391</v>
      </c>
      <c r="T272" s="22">
        <v>8.17</v>
      </c>
      <c r="U272" s="22">
        <v>0.38</v>
      </c>
      <c r="X272" s="26"/>
      <c r="Y272" s="26"/>
    </row>
    <row r="273" spans="1:25" ht="25" x14ac:dyDescent="0.25">
      <c r="A273" s="21">
        <v>377</v>
      </c>
      <c r="B273" s="22" t="s">
        <v>15368</v>
      </c>
      <c r="C273" s="22" t="s">
        <v>14392</v>
      </c>
      <c r="D273" s="23">
        <v>329383</v>
      </c>
      <c r="E273" s="24">
        <v>1997</v>
      </c>
      <c r="F273" s="22" t="s">
        <v>14393</v>
      </c>
      <c r="G273" s="23" t="s">
        <v>14394</v>
      </c>
      <c r="H273" s="25" t="s">
        <v>15373</v>
      </c>
      <c r="I273" s="22" t="s">
        <v>16160</v>
      </c>
      <c r="J273" s="22" t="s">
        <v>14395</v>
      </c>
      <c r="K273" s="26">
        <f t="shared" si="4"/>
        <v>935.33333333333326</v>
      </c>
      <c r="M273" s="26">
        <v>1403</v>
      </c>
      <c r="O273" s="22" t="s">
        <v>14396</v>
      </c>
      <c r="P273" s="22" t="s">
        <v>14397</v>
      </c>
      <c r="Q273" s="22">
        <v>92262</v>
      </c>
      <c r="R273" s="22" t="s">
        <v>14398</v>
      </c>
      <c r="S273" s="22" t="s">
        <v>14399</v>
      </c>
      <c r="T273" s="22">
        <v>8.17</v>
      </c>
      <c r="U273" s="22">
        <v>0.38</v>
      </c>
      <c r="X273" s="26"/>
      <c r="Y273" s="26"/>
    </row>
    <row r="274" spans="1:25" ht="25" x14ac:dyDescent="0.25">
      <c r="A274" s="21">
        <v>378</v>
      </c>
      <c r="B274" s="22" t="s">
        <v>15368</v>
      </c>
      <c r="C274" s="22" t="s">
        <v>14392</v>
      </c>
      <c r="D274" s="23">
        <v>329385</v>
      </c>
      <c r="E274" s="24">
        <v>1997</v>
      </c>
      <c r="F274" s="22" t="s">
        <v>14400</v>
      </c>
      <c r="G274" s="23" t="s">
        <v>14401</v>
      </c>
      <c r="H274" s="25" t="s">
        <v>15373</v>
      </c>
      <c r="I274" s="22" t="s">
        <v>16160</v>
      </c>
      <c r="J274" s="22" t="s">
        <v>14395</v>
      </c>
      <c r="K274" s="26">
        <f t="shared" si="4"/>
        <v>935.33333333333326</v>
      </c>
      <c r="M274" s="26">
        <v>1403</v>
      </c>
      <c r="O274" s="22" t="s">
        <v>14396</v>
      </c>
      <c r="P274" s="22" t="s">
        <v>14397</v>
      </c>
      <c r="Q274" s="22">
        <v>92262</v>
      </c>
      <c r="R274" s="22" t="s">
        <v>14398</v>
      </c>
      <c r="S274" s="22" t="s">
        <v>14399</v>
      </c>
      <c r="T274" s="22">
        <v>8.17</v>
      </c>
      <c r="U274" s="22">
        <v>0.38</v>
      </c>
      <c r="X274" s="26"/>
      <c r="Y274" s="26"/>
    </row>
    <row r="275" spans="1:25" ht="37.5" x14ac:dyDescent="0.25">
      <c r="A275" s="21">
        <v>379</v>
      </c>
      <c r="B275" s="22" t="s">
        <v>15368</v>
      </c>
      <c r="C275" s="22" t="s">
        <v>14392</v>
      </c>
      <c r="D275" s="23">
        <v>329390</v>
      </c>
      <c r="E275" s="24">
        <v>1997</v>
      </c>
      <c r="F275" s="22" t="s">
        <v>14402</v>
      </c>
      <c r="G275" s="23" t="s">
        <v>14403</v>
      </c>
      <c r="H275" s="25" t="s">
        <v>15373</v>
      </c>
      <c r="I275" s="22" t="s">
        <v>15411</v>
      </c>
      <c r="J275" s="22" t="s">
        <v>14404</v>
      </c>
      <c r="K275" s="26">
        <f t="shared" si="4"/>
        <v>1500</v>
      </c>
      <c r="L275" s="26">
        <v>1500</v>
      </c>
      <c r="O275" s="22" t="s">
        <v>14396</v>
      </c>
      <c r="P275" s="22" t="s">
        <v>14397</v>
      </c>
      <c r="Q275" s="22">
        <v>92262</v>
      </c>
      <c r="R275" s="22" t="s">
        <v>14398</v>
      </c>
      <c r="S275" s="22" t="s">
        <v>14399</v>
      </c>
      <c r="T275" s="22">
        <v>8.17</v>
      </c>
      <c r="U275" s="22">
        <v>0.38</v>
      </c>
      <c r="X275" s="26"/>
      <c r="Y275" s="26"/>
    </row>
    <row r="276" spans="1:25" ht="25" x14ac:dyDescent="0.25">
      <c r="A276" s="21">
        <v>380</v>
      </c>
      <c r="B276" s="22" t="s">
        <v>15368</v>
      </c>
      <c r="C276" s="22" t="s">
        <v>14405</v>
      </c>
      <c r="D276" s="23">
        <v>352776</v>
      </c>
      <c r="E276" s="24">
        <v>1999</v>
      </c>
      <c r="F276" s="22" t="s">
        <v>14406</v>
      </c>
      <c r="G276" s="23" t="s">
        <v>14407</v>
      </c>
      <c r="H276" s="25" t="s">
        <v>15373</v>
      </c>
      <c r="I276" s="22" t="s">
        <v>15374</v>
      </c>
      <c r="J276" s="22">
        <v>3412</v>
      </c>
      <c r="K276" s="26">
        <f t="shared" si="4"/>
        <v>692.66666666666663</v>
      </c>
      <c r="N276" s="26">
        <v>1039</v>
      </c>
      <c r="O276" s="22" t="s">
        <v>14408</v>
      </c>
      <c r="P276" s="22" t="s">
        <v>15481</v>
      </c>
      <c r="Q276" s="22">
        <v>92253</v>
      </c>
      <c r="R276" s="22" t="s">
        <v>14409</v>
      </c>
      <c r="S276" s="22" t="s">
        <v>14410</v>
      </c>
      <c r="T276" s="22">
        <v>8.17</v>
      </c>
      <c r="U276" s="22">
        <v>0.38</v>
      </c>
      <c r="X276" s="26"/>
      <c r="Y276" s="26"/>
    </row>
    <row r="277" spans="1:25" ht="25" x14ac:dyDescent="0.25">
      <c r="A277" s="21">
        <v>381</v>
      </c>
      <c r="B277" s="22" t="s">
        <v>15368</v>
      </c>
      <c r="C277" s="22" t="s">
        <v>14405</v>
      </c>
      <c r="D277" s="23">
        <v>352777</v>
      </c>
      <c r="E277" s="24">
        <v>1999</v>
      </c>
      <c r="F277" s="22" t="s">
        <v>14411</v>
      </c>
      <c r="G277" s="23" t="s">
        <v>14412</v>
      </c>
      <c r="H277" s="25" t="s">
        <v>15373</v>
      </c>
      <c r="I277" s="22" t="s">
        <v>15374</v>
      </c>
      <c r="J277" s="22">
        <v>3412</v>
      </c>
      <c r="K277" s="26">
        <f t="shared" si="4"/>
        <v>692.66666666666663</v>
      </c>
      <c r="N277" s="26">
        <v>1039</v>
      </c>
      <c r="O277" s="22" t="s">
        <v>14408</v>
      </c>
      <c r="P277" s="22" t="s">
        <v>15481</v>
      </c>
      <c r="Q277" s="22">
        <v>92253</v>
      </c>
      <c r="R277" s="22" t="s">
        <v>14409</v>
      </c>
      <c r="S277" s="22" t="s">
        <v>14410</v>
      </c>
      <c r="T277" s="22">
        <v>8.17</v>
      </c>
      <c r="U277" s="22">
        <v>0.38</v>
      </c>
      <c r="X277" s="26"/>
      <c r="Y277" s="26"/>
    </row>
    <row r="278" spans="1:25" ht="25" x14ac:dyDescent="0.25">
      <c r="A278" s="21">
        <v>382</v>
      </c>
      <c r="B278" s="22" t="s">
        <v>15368</v>
      </c>
      <c r="C278" s="22" t="s">
        <v>14413</v>
      </c>
      <c r="D278" s="23">
        <v>287926</v>
      </c>
      <c r="E278" s="24">
        <v>1993</v>
      </c>
      <c r="F278" s="22" t="s">
        <v>14414</v>
      </c>
      <c r="G278" s="23" t="s">
        <v>14415</v>
      </c>
      <c r="H278" s="25" t="s">
        <v>15373</v>
      </c>
      <c r="I278" s="22" t="s">
        <v>15374</v>
      </c>
      <c r="J278" s="22" t="s">
        <v>15701</v>
      </c>
      <c r="K278" s="26">
        <f t="shared" si="4"/>
        <v>400</v>
      </c>
      <c r="L278" s="26">
        <v>400</v>
      </c>
      <c r="O278" s="22" t="s">
        <v>14416</v>
      </c>
      <c r="P278" s="22" t="s">
        <v>16819</v>
      </c>
      <c r="Q278" s="22">
        <v>91106</v>
      </c>
      <c r="R278" s="22" t="s">
        <v>14417</v>
      </c>
      <c r="S278" s="22" t="s">
        <v>14418</v>
      </c>
      <c r="T278" s="22">
        <v>8.17</v>
      </c>
      <c r="U278" s="22">
        <v>0.38</v>
      </c>
      <c r="X278" s="26"/>
      <c r="Y278" s="26"/>
    </row>
    <row r="279" spans="1:25" ht="25" x14ac:dyDescent="0.25">
      <c r="A279" s="21">
        <v>383</v>
      </c>
      <c r="B279" s="22" t="s">
        <v>15368</v>
      </c>
      <c r="C279" s="22" t="s">
        <v>14419</v>
      </c>
      <c r="D279" s="23">
        <v>300683</v>
      </c>
      <c r="E279" s="24">
        <v>1995</v>
      </c>
      <c r="F279" s="22" t="s">
        <v>14420</v>
      </c>
      <c r="G279" s="23" t="s">
        <v>14421</v>
      </c>
      <c r="H279" s="25" t="s">
        <v>15373</v>
      </c>
      <c r="I279" s="22" t="s">
        <v>15374</v>
      </c>
      <c r="J279" s="22">
        <v>3412</v>
      </c>
      <c r="K279" s="26">
        <f t="shared" si="4"/>
        <v>482.66666666666663</v>
      </c>
      <c r="N279" s="26">
        <v>724</v>
      </c>
      <c r="O279" s="22" t="s">
        <v>14422</v>
      </c>
      <c r="P279" s="22" t="s">
        <v>15376</v>
      </c>
      <c r="Q279" s="22">
        <v>90046</v>
      </c>
      <c r="R279" s="22" t="s">
        <v>14423</v>
      </c>
      <c r="S279" s="22" t="s">
        <v>14424</v>
      </c>
      <c r="T279" s="22">
        <v>8.17</v>
      </c>
      <c r="U279" s="22">
        <v>0.38</v>
      </c>
      <c r="X279" s="26"/>
      <c r="Y279" s="26"/>
    </row>
    <row r="280" spans="1:25" ht="25" x14ac:dyDescent="0.25">
      <c r="A280" s="21">
        <v>384</v>
      </c>
      <c r="B280" s="22" t="s">
        <v>15368</v>
      </c>
      <c r="C280" s="22" t="s">
        <v>14425</v>
      </c>
      <c r="D280" s="23">
        <v>339292</v>
      </c>
      <c r="E280" s="24">
        <v>1998</v>
      </c>
      <c r="F280" s="22" t="s">
        <v>14426</v>
      </c>
      <c r="G280" s="23" t="s">
        <v>14427</v>
      </c>
      <c r="H280" s="25" t="s">
        <v>15373</v>
      </c>
      <c r="I280" s="22" t="s">
        <v>15382</v>
      </c>
      <c r="J280" s="22" t="s">
        <v>15723</v>
      </c>
      <c r="K280" s="26">
        <f t="shared" si="4"/>
        <v>1233.3333333333333</v>
      </c>
      <c r="N280" s="26">
        <v>1850</v>
      </c>
      <c r="O280" s="22" t="s">
        <v>14428</v>
      </c>
      <c r="P280" s="22" t="s">
        <v>15376</v>
      </c>
      <c r="Q280" s="22">
        <v>90066</v>
      </c>
      <c r="R280" s="22" t="s">
        <v>14429</v>
      </c>
      <c r="S280" s="22" t="s">
        <v>14430</v>
      </c>
      <c r="T280" s="22">
        <v>8.17</v>
      </c>
      <c r="U280" s="22">
        <v>0.38</v>
      </c>
      <c r="X280" s="26"/>
      <c r="Y280" s="26"/>
    </row>
    <row r="281" spans="1:25" ht="25" x14ac:dyDescent="0.25">
      <c r="A281" s="21">
        <v>385</v>
      </c>
      <c r="B281" s="22" t="s">
        <v>15368</v>
      </c>
      <c r="C281" s="22" t="s">
        <v>14425</v>
      </c>
      <c r="D281" s="23">
        <v>339293</v>
      </c>
      <c r="E281" s="24">
        <v>1998</v>
      </c>
      <c r="F281" s="22" t="s">
        <v>14431</v>
      </c>
      <c r="G281" s="23" t="s">
        <v>14427</v>
      </c>
      <c r="H281" s="25" t="s">
        <v>15373</v>
      </c>
      <c r="I281" s="22" t="s">
        <v>15382</v>
      </c>
      <c r="J281" s="22" t="s">
        <v>15723</v>
      </c>
      <c r="K281" s="26">
        <f t="shared" si="4"/>
        <v>1233.3333333333333</v>
      </c>
      <c r="N281" s="26">
        <v>1850</v>
      </c>
      <c r="O281" s="22" t="s">
        <v>14428</v>
      </c>
      <c r="P281" s="22" t="s">
        <v>15376</v>
      </c>
      <c r="Q281" s="22">
        <v>90066</v>
      </c>
      <c r="R281" s="22" t="s">
        <v>14429</v>
      </c>
      <c r="S281" s="22" t="s">
        <v>14430</v>
      </c>
      <c r="T281" s="22">
        <v>8.17</v>
      </c>
      <c r="U281" s="22">
        <v>0.38</v>
      </c>
      <c r="X281" s="26"/>
      <c r="Y281" s="26"/>
    </row>
    <row r="282" spans="1:25" ht="25" x14ac:dyDescent="0.25">
      <c r="A282" s="21">
        <v>386</v>
      </c>
      <c r="B282" s="22" t="s">
        <v>15368</v>
      </c>
      <c r="C282" s="22" t="s">
        <v>14425</v>
      </c>
      <c r="D282" s="23">
        <v>339294</v>
      </c>
      <c r="E282" s="24">
        <v>1998</v>
      </c>
      <c r="F282" s="22" t="s">
        <v>14432</v>
      </c>
      <c r="G282" s="23" t="s">
        <v>14427</v>
      </c>
      <c r="H282" s="25" t="s">
        <v>15373</v>
      </c>
      <c r="I282" s="22" t="s">
        <v>15382</v>
      </c>
      <c r="J282" s="22" t="s">
        <v>15723</v>
      </c>
      <c r="K282" s="26">
        <f t="shared" si="4"/>
        <v>1233.3333333333333</v>
      </c>
      <c r="N282" s="26">
        <v>1850</v>
      </c>
      <c r="O282" s="22" t="s">
        <v>14428</v>
      </c>
      <c r="P282" s="22" t="s">
        <v>15376</v>
      </c>
      <c r="Q282" s="22">
        <v>90066</v>
      </c>
      <c r="R282" s="22" t="s">
        <v>14429</v>
      </c>
      <c r="S282" s="22" t="s">
        <v>14430</v>
      </c>
      <c r="T282" s="22">
        <v>8.17</v>
      </c>
      <c r="U282" s="22">
        <v>0.38</v>
      </c>
      <c r="X282" s="26"/>
      <c r="Y282" s="26"/>
    </row>
    <row r="283" spans="1:25" ht="25" x14ac:dyDescent="0.25">
      <c r="A283" s="21">
        <v>387</v>
      </c>
      <c r="B283" s="22" t="s">
        <v>15368</v>
      </c>
      <c r="C283" s="22" t="s">
        <v>14425</v>
      </c>
      <c r="D283" s="23">
        <v>341876</v>
      </c>
      <c r="E283" s="24">
        <v>1998</v>
      </c>
      <c r="F283" s="22" t="s">
        <v>14433</v>
      </c>
      <c r="G283" s="23" t="s">
        <v>14427</v>
      </c>
      <c r="H283" s="25" t="s">
        <v>15373</v>
      </c>
      <c r="I283" s="22" t="s">
        <v>15382</v>
      </c>
      <c r="J283" s="22" t="s">
        <v>15723</v>
      </c>
      <c r="K283" s="26">
        <f t="shared" si="4"/>
        <v>1233.3333333333333</v>
      </c>
      <c r="N283" s="26">
        <v>1850</v>
      </c>
      <c r="O283" s="22" t="s">
        <v>14434</v>
      </c>
      <c r="P283" s="22" t="s">
        <v>15703</v>
      </c>
      <c r="Q283" s="22">
        <v>90245</v>
      </c>
      <c r="R283" s="22" t="s">
        <v>14435</v>
      </c>
      <c r="S283" s="22" t="s">
        <v>15733</v>
      </c>
      <c r="T283" s="22">
        <v>8.17</v>
      </c>
      <c r="U283" s="22">
        <v>0.38</v>
      </c>
      <c r="X283" s="26"/>
      <c r="Y283" s="26"/>
    </row>
    <row r="284" spans="1:25" ht="25" x14ac:dyDescent="0.25">
      <c r="A284" s="21">
        <v>388</v>
      </c>
      <c r="B284" s="22" t="s">
        <v>15368</v>
      </c>
      <c r="C284" s="22" t="s">
        <v>14425</v>
      </c>
      <c r="D284" s="23">
        <v>341878</v>
      </c>
      <c r="E284" s="24">
        <v>1998</v>
      </c>
      <c r="F284" s="22" t="s">
        <v>15734</v>
      </c>
      <c r="G284" s="23" t="s">
        <v>15735</v>
      </c>
      <c r="H284" s="25" t="s">
        <v>15373</v>
      </c>
      <c r="I284" s="22" t="s">
        <v>15374</v>
      </c>
      <c r="J284" s="22" t="s">
        <v>15516</v>
      </c>
      <c r="K284" s="26">
        <f t="shared" si="4"/>
        <v>750</v>
      </c>
      <c r="L284" s="26">
        <v>750</v>
      </c>
      <c r="O284" s="22" t="s">
        <v>14428</v>
      </c>
      <c r="P284" s="22" t="s">
        <v>15376</v>
      </c>
      <c r="Q284" s="22">
        <v>90066</v>
      </c>
      <c r="R284" s="22" t="s">
        <v>14429</v>
      </c>
      <c r="S284" s="22" t="s">
        <v>14430</v>
      </c>
      <c r="T284" s="22">
        <v>8.17</v>
      </c>
      <c r="U284" s="22">
        <v>0.38</v>
      </c>
      <c r="X284" s="26"/>
      <c r="Y284" s="26"/>
    </row>
    <row r="285" spans="1:25" ht="25" x14ac:dyDescent="0.25">
      <c r="A285" s="21">
        <v>389</v>
      </c>
      <c r="B285" s="22" t="s">
        <v>15368</v>
      </c>
      <c r="C285" s="22" t="s">
        <v>15736</v>
      </c>
      <c r="D285" s="23">
        <v>338444</v>
      </c>
      <c r="E285" s="24">
        <v>1998</v>
      </c>
      <c r="F285" s="22" t="s">
        <v>15737</v>
      </c>
      <c r="G285" s="23" t="s">
        <v>15738</v>
      </c>
      <c r="H285" s="25" t="s">
        <v>15373</v>
      </c>
      <c r="I285" s="22" t="s">
        <v>15382</v>
      </c>
      <c r="J285" s="22" t="s">
        <v>15640</v>
      </c>
      <c r="K285" s="26">
        <f t="shared" si="4"/>
        <v>993.33333333333326</v>
      </c>
      <c r="N285" s="26">
        <v>1490</v>
      </c>
      <c r="O285" s="22" t="s">
        <v>15739</v>
      </c>
      <c r="P285" s="22" t="s">
        <v>15740</v>
      </c>
      <c r="Q285" s="22">
        <v>90810</v>
      </c>
      <c r="R285" s="22" t="s">
        <v>15741</v>
      </c>
      <c r="S285" s="22" t="s">
        <v>15742</v>
      </c>
      <c r="T285" s="22">
        <v>8.17</v>
      </c>
      <c r="U285" s="22">
        <v>0.38</v>
      </c>
      <c r="X285" s="26"/>
      <c r="Y285" s="26"/>
    </row>
    <row r="286" spans="1:25" ht="25" x14ac:dyDescent="0.25">
      <c r="A286" s="21">
        <v>390</v>
      </c>
      <c r="B286" s="22" t="s">
        <v>15368</v>
      </c>
      <c r="C286" s="22" t="s">
        <v>15736</v>
      </c>
      <c r="D286" s="23">
        <v>338445</v>
      </c>
      <c r="E286" s="24">
        <v>1998</v>
      </c>
      <c r="F286" s="22" t="s">
        <v>15743</v>
      </c>
      <c r="G286" s="23" t="s">
        <v>15738</v>
      </c>
      <c r="H286" s="25" t="s">
        <v>15373</v>
      </c>
      <c r="I286" s="22" t="s">
        <v>15382</v>
      </c>
      <c r="J286" s="22" t="s">
        <v>15640</v>
      </c>
      <c r="K286" s="26">
        <f t="shared" si="4"/>
        <v>993.33333333333326</v>
      </c>
      <c r="N286" s="26">
        <v>1490</v>
      </c>
      <c r="O286" s="22" t="s">
        <v>15739</v>
      </c>
      <c r="P286" s="22" t="s">
        <v>15740</v>
      </c>
      <c r="Q286" s="22">
        <v>90810</v>
      </c>
      <c r="R286" s="22" t="s">
        <v>15741</v>
      </c>
      <c r="S286" s="22" t="s">
        <v>15742</v>
      </c>
      <c r="T286" s="22">
        <v>8.17</v>
      </c>
      <c r="U286" s="22">
        <v>0.38</v>
      </c>
      <c r="X286" s="26"/>
      <c r="Y286" s="26"/>
    </row>
    <row r="287" spans="1:25" ht="25" x14ac:dyDescent="0.25">
      <c r="A287" s="21">
        <v>392</v>
      </c>
      <c r="B287" s="22" t="s">
        <v>15368</v>
      </c>
      <c r="C287" s="22" t="s">
        <v>15745</v>
      </c>
      <c r="D287" s="23">
        <v>353327</v>
      </c>
      <c r="E287" s="24">
        <v>1999</v>
      </c>
      <c r="F287" s="22" t="s">
        <v>15746</v>
      </c>
      <c r="G287" s="23" t="s">
        <v>15747</v>
      </c>
      <c r="H287" s="25" t="s">
        <v>15373</v>
      </c>
      <c r="I287" s="22" t="s">
        <v>15374</v>
      </c>
      <c r="J287" s="22" t="s">
        <v>14709</v>
      </c>
      <c r="K287" s="26">
        <f t="shared" si="4"/>
        <v>500</v>
      </c>
      <c r="L287" s="26">
        <v>500</v>
      </c>
      <c r="O287" s="22" t="s">
        <v>15748</v>
      </c>
      <c r="P287" s="22" t="s">
        <v>15749</v>
      </c>
      <c r="Q287" s="22">
        <v>91361</v>
      </c>
      <c r="R287" s="22" t="s">
        <v>15750</v>
      </c>
      <c r="S287" s="22" t="s">
        <v>15751</v>
      </c>
      <c r="T287" s="22">
        <v>6.9</v>
      </c>
      <c r="U287" s="22">
        <v>0.4</v>
      </c>
      <c r="X287" s="26"/>
      <c r="Y287" s="26"/>
    </row>
    <row r="288" spans="1:25" ht="25" x14ac:dyDescent="0.25">
      <c r="A288" s="21">
        <v>393</v>
      </c>
      <c r="B288" s="22" t="s">
        <v>15368</v>
      </c>
      <c r="C288" s="22" t="s">
        <v>15752</v>
      </c>
      <c r="D288" s="23">
        <v>362950</v>
      </c>
      <c r="E288" s="24">
        <v>1999</v>
      </c>
      <c r="F288" s="22" t="s">
        <v>15753</v>
      </c>
      <c r="G288" s="23" t="s">
        <v>15754</v>
      </c>
      <c r="H288" s="25" t="s">
        <v>15373</v>
      </c>
      <c r="I288" s="22" t="s">
        <v>15382</v>
      </c>
      <c r="J288" s="22" t="s">
        <v>16784</v>
      </c>
      <c r="K288" s="26">
        <f t="shared" si="4"/>
        <v>503.33333333333331</v>
      </c>
      <c r="N288" s="26">
        <v>755</v>
      </c>
      <c r="O288" s="22" t="s">
        <v>15755</v>
      </c>
      <c r="P288" s="22" t="s">
        <v>16901</v>
      </c>
      <c r="Q288" s="22">
        <v>91761</v>
      </c>
      <c r="R288" s="22" t="s">
        <v>15756</v>
      </c>
      <c r="S288" s="22" t="s">
        <v>15757</v>
      </c>
      <c r="T288" s="22">
        <v>8.17</v>
      </c>
      <c r="U288" s="22">
        <v>0.38</v>
      </c>
      <c r="X288" s="26"/>
      <c r="Y288" s="26"/>
    </row>
    <row r="289" spans="1:25" ht="25" x14ac:dyDescent="0.25">
      <c r="A289" s="21">
        <v>394</v>
      </c>
      <c r="B289" s="22" t="s">
        <v>15368</v>
      </c>
      <c r="C289" s="22" t="s">
        <v>15758</v>
      </c>
      <c r="D289" s="23">
        <v>333675</v>
      </c>
      <c r="E289" s="24">
        <v>1997</v>
      </c>
      <c r="F289" s="22" t="s">
        <v>15759</v>
      </c>
      <c r="G289" s="23" t="s">
        <v>15760</v>
      </c>
      <c r="H289" s="25" t="s">
        <v>15373</v>
      </c>
      <c r="I289" s="22" t="s">
        <v>15374</v>
      </c>
      <c r="J289" s="22">
        <v>3412</v>
      </c>
      <c r="K289" s="26">
        <f t="shared" si="4"/>
        <v>443.33333333333331</v>
      </c>
      <c r="N289" s="26">
        <v>665</v>
      </c>
      <c r="O289" s="22" t="s">
        <v>15761</v>
      </c>
      <c r="P289" s="22" t="s">
        <v>15212</v>
      </c>
      <c r="Q289" s="22">
        <v>92868</v>
      </c>
      <c r="R289" s="22" t="s">
        <v>15762</v>
      </c>
      <c r="S289" s="22" t="s">
        <v>15763</v>
      </c>
      <c r="T289" s="22">
        <v>6.9</v>
      </c>
      <c r="U289" s="22">
        <v>0.4</v>
      </c>
      <c r="X289" s="26"/>
      <c r="Y289" s="26"/>
    </row>
    <row r="290" spans="1:25" ht="37.5" x14ac:dyDescent="0.25">
      <c r="A290" s="21">
        <v>395</v>
      </c>
      <c r="B290" s="22" t="s">
        <v>15368</v>
      </c>
      <c r="C290" s="22" t="s">
        <v>15764</v>
      </c>
      <c r="D290" s="23">
        <v>327504</v>
      </c>
      <c r="E290" s="24">
        <v>1997</v>
      </c>
      <c r="F290" s="22" t="s">
        <v>15765</v>
      </c>
      <c r="G290" s="23" t="s">
        <v>15766</v>
      </c>
      <c r="H290" s="25" t="s">
        <v>15373</v>
      </c>
      <c r="I290" s="22" t="s">
        <v>15374</v>
      </c>
      <c r="J290" s="22" t="s">
        <v>16899</v>
      </c>
      <c r="K290" s="26">
        <f t="shared" si="4"/>
        <v>593.33333333333326</v>
      </c>
      <c r="N290" s="26">
        <v>890</v>
      </c>
      <c r="O290" s="22" t="s">
        <v>15767</v>
      </c>
      <c r="P290" s="22" t="s">
        <v>15376</v>
      </c>
      <c r="Q290" s="22">
        <v>90064</v>
      </c>
      <c r="R290" s="22" t="s">
        <v>15768</v>
      </c>
      <c r="S290" s="22" t="s">
        <v>15769</v>
      </c>
      <c r="T290" s="22">
        <v>8.17</v>
      </c>
      <c r="U290" s="22">
        <v>0.38</v>
      </c>
      <c r="X290" s="26"/>
      <c r="Y290" s="26"/>
    </row>
    <row r="291" spans="1:25" ht="37.5" x14ac:dyDescent="0.25">
      <c r="A291" s="21">
        <v>396</v>
      </c>
      <c r="B291" s="22" t="s">
        <v>15368</v>
      </c>
      <c r="C291" s="22" t="s">
        <v>15770</v>
      </c>
      <c r="D291" s="23">
        <v>348466</v>
      </c>
      <c r="E291" s="24">
        <v>1998</v>
      </c>
      <c r="F291" s="22" t="s">
        <v>15771</v>
      </c>
      <c r="G291" s="23" t="s">
        <v>15772</v>
      </c>
      <c r="H291" s="25" t="s">
        <v>15373</v>
      </c>
      <c r="I291" s="22" t="s">
        <v>15374</v>
      </c>
      <c r="J291" s="22">
        <v>3412</v>
      </c>
      <c r="K291" s="26">
        <f t="shared" si="4"/>
        <v>500</v>
      </c>
      <c r="N291" s="26">
        <v>750</v>
      </c>
      <c r="O291" s="22" t="s">
        <v>15773</v>
      </c>
      <c r="P291" s="22" t="s">
        <v>15376</v>
      </c>
      <c r="Q291" s="22">
        <v>90064</v>
      </c>
      <c r="R291" s="22" t="s">
        <v>15774</v>
      </c>
      <c r="S291" s="22" t="s">
        <v>15775</v>
      </c>
      <c r="T291" s="22">
        <v>6.9</v>
      </c>
      <c r="U291" s="22">
        <v>0.4</v>
      </c>
      <c r="X291" s="26"/>
      <c r="Y291" s="26"/>
    </row>
    <row r="292" spans="1:25" ht="25" x14ac:dyDescent="0.25">
      <c r="A292" s="21">
        <v>397</v>
      </c>
      <c r="B292" s="22" t="s">
        <v>15368</v>
      </c>
      <c r="C292" s="22" t="s">
        <v>15776</v>
      </c>
      <c r="D292" s="23">
        <v>279569</v>
      </c>
      <c r="E292" s="24">
        <v>1993</v>
      </c>
      <c r="F292" s="22" t="s">
        <v>15777</v>
      </c>
      <c r="G292" s="23" t="s">
        <v>15778</v>
      </c>
      <c r="H292" s="25" t="s">
        <v>15373</v>
      </c>
      <c r="I292" s="22" t="s">
        <v>15382</v>
      </c>
      <c r="J292" s="22" t="s">
        <v>15779</v>
      </c>
      <c r="K292" s="26">
        <f t="shared" si="4"/>
        <v>373.33333333333331</v>
      </c>
      <c r="N292" s="26">
        <v>560</v>
      </c>
      <c r="O292" s="22" t="s">
        <v>15780</v>
      </c>
      <c r="P292" s="22" t="s">
        <v>15740</v>
      </c>
      <c r="Q292" s="22" t="s">
        <v>15781</v>
      </c>
      <c r="R292" s="22" t="s">
        <v>15782</v>
      </c>
      <c r="S292" s="22" t="s">
        <v>15783</v>
      </c>
      <c r="T292" s="22">
        <v>8.17</v>
      </c>
      <c r="U292" s="22">
        <v>0.38</v>
      </c>
      <c r="X292" s="26"/>
      <c r="Y292" s="26"/>
    </row>
    <row r="293" spans="1:25" ht="37.5" x14ac:dyDescent="0.25">
      <c r="A293" s="21">
        <v>399</v>
      </c>
      <c r="B293" s="22" t="s">
        <v>15368</v>
      </c>
      <c r="C293" s="22" t="s">
        <v>15776</v>
      </c>
      <c r="D293" s="23">
        <v>302975</v>
      </c>
      <c r="E293" s="24">
        <v>1995</v>
      </c>
      <c r="F293" s="22" t="s">
        <v>15784</v>
      </c>
      <c r="G293" s="23" t="s">
        <v>15785</v>
      </c>
      <c r="H293" s="25" t="s">
        <v>15373</v>
      </c>
      <c r="I293" s="22" t="s">
        <v>15374</v>
      </c>
      <c r="J293" s="22" t="s">
        <v>16899</v>
      </c>
      <c r="K293" s="26">
        <f t="shared" si="4"/>
        <v>496.66666666666663</v>
      </c>
      <c r="N293" s="26">
        <v>745</v>
      </c>
      <c r="O293" s="22" t="s">
        <v>15780</v>
      </c>
      <c r="P293" s="22" t="s">
        <v>15740</v>
      </c>
      <c r="Q293" s="22" t="s">
        <v>15781</v>
      </c>
      <c r="R293" s="22" t="s">
        <v>15782</v>
      </c>
      <c r="S293" s="22" t="s">
        <v>15783</v>
      </c>
      <c r="T293" s="22">
        <v>8.17</v>
      </c>
      <c r="U293" s="22">
        <v>0.38</v>
      </c>
      <c r="X293" s="26"/>
      <c r="Y293" s="26"/>
    </row>
    <row r="294" spans="1:25" ht="25" x14ac:dyDescent="0.25">
      <c r="A294" s="21">
        <v>400</v>
      </c>
      <c r="B294" s="22" t="s">
        <v>15368</v>
      </c>
      <c r="C294" s="22" t="s">
        <v>15776</v>
      </c>
      <c r="D294" s="23" t="s">
        <v>15786</v>
      </c>
      <c r="E294" s="24">
        <v>1996</v>
      </c>
      <c r="F294" s="22" t="s">
        <v>15787</v>
      </c>
      <c r="G294" s="23" t="s">
        <v>15788</v>
      </c>
      <c r="H294" s="25" t="s">
        <v>15373</v>
      </c>
      <c r="I294" s="22" t="s">
        <v>15382</v>
      </c>
      <c r="J294" s="22" t="s">
        <v>14642</v>
      </c>
      <c r="K294" s="26">
        <f t="shared" si="4"/>
        <v>756.66666666666663</v>
      </c>
      <c r="N294" s="26">
        <v>1135</v>
      </c>
      <c r="O294" s="22" t="s">
        <v>15780</v>
      </c>
      <c r="P294" s="22" t="s">
        <v>15740</v>
      </c>
      <c r="Q294" s="22" t="s">
        <v>15781</v>
      </c>
      <c r="R294" s="22" t="s">
        <v>15782</v>
      </c>
      <c r="S294" s="22" t="s">
        <v>15783</v>
      </c>
      <c r="T294" s="22">
        <v>8.17</v>
      </c>
      <c r="U294" s="22">
        <v>0.38</v>
      </c>
      <c r="X294" s="26"/>
      <c r="Y294" s="26"/>
    </row>
    <row r="295" spans="1:25" ht="25" x14ac:dyDescent="0.25">
      <c r="A295" s="21">
        <v>401</v>
      </c>
      <c r="B295" s="22" t="s">
        <v>15368</v>
      </c>
      <c r="C295" s="22" t="s">
        <v>15776</v>
      </c>
      <c r="D295" s="23">
        <v>376123</v>
      </c>
      <c r="E295" s="24">
        <v>2000</v>
      </c>
      <c r="F295" s="22" t="s">
        <v>15789</v>
      </c>
      <c r="G295" s="23" t="s">
        <v>15790</v>
      </c>
      <c r="H295" s="25" t="s">
        <v>15373</v>
      </c>
      <c r="I295" s="22" t="s">
        <v>15382</v>
      </c>
      <c r="J295" s="22" t="s">
        <v>16792</v>
      </c>
      <c r="K295" s="26">
        <f t="shared" si="4"/>
        <v>356.66666666666663</v>
      </c>
      <c r="N295" s="26">
        <v>535</v>
      </c>
      <c r="O295" s="22" t="s">
        <v>15780</v>
      </c>
      <c r="P295" s="22" t="s">
        <v>15740</v>
      </c>
      <c r="Q295" s="22" t="s">
        <v>15781</v>
      </c>
      <c r="R295" s="22" t="s">
        <v>15782</v>
      </c>
      <c r="S295" s="22" t="s">
        <v>15783</v>
      </c>
      <c r="T295" s="22">
        <v>6.9</v>
      </c>
      <c r="U295" s="22">
        <v>0.4</v>
      </c>
      <c r="X295" s="26"/>
      <c r="Y295" s="26"/>
    </row>
    <row r="296" spans="1:25" ht="25" x14ac:dyDescent="0.25">
      <c r="A296" s="21">
        <v>402</v>
      </c>
      <c r="B296" s="22" t="s">
        <v>15368</v>
      </c>
      <c r="C296" s="22" t="s">
        <v>15791</v>
      </c>
      <c r="D296" s="23">
        <v>363380</v>
      </c>
      <c r="E296" s="24">
        <v>1999</v>
      </c>
      <c r="F296" s="22" t="s">
        <v>15792</v>
      </c>
      <c r="G296" s="23" t="s">
        <v>15793</v>
      </c>
      <c r="H296" s="25" t="s">
        <v>15373</v>
      </c>
      <c r="I296" s="22" t="s">
        <v>15374</v>
      </c>
      <c r="J296" s="22" t="s">
        <v>14709</v>
      </c>
      <c r="K296" s="26">
        <f t="shared" si="4"/>
        <v>600</v>
      </c>
      <c r="L296" s="26">
        <v>600</v>
      </c>
      <c r="O296" s="22" t="s">
        <v>15794</v>
      </c>
      <c r="P296" s="22" t="s">
        <v>15795</v>
      </c>
      <c r="Q296" s="22">
        <v>91401</v>
      </c>
      <c r="R296" s="22" t="s">
        <v>15796</v>
      </c>
      <c r="S296" s="22" t="s">
        <v>15797</v>
      </c>
      <c r="T296" s="22">
        <v>8.17</v>
      </c>
      <c r="U296" s="22">
        <v>0.38</v>
      </c>
      <c r="X296" s="26"/>
      <c r="Y296" s="26"/>
    </row>
    <row r="297" spans="1:25" ht="25" x14ac:dyDescent="0.25">
      <c r="A297" s="21">
        <v>403</v>
      </c>
      <c r="B297" s="22" t="s">
        <v>15368</v>
      </c>
      <c r="C297" s="22" t="s">
        <v>15798</v>
      </c>
      <c r="D297" s="23">
        <v>320540</v>
      </c>
      <c r="E297" s="24">
        <v>1996</v>
      </c>
      <c r="F297" s="22" t="s">
        <v>15799</v>
      </c>
      <c r="G297" s="23" t="s">
        <v>15800</v>
      </c>
      <c r="H297" s="25" t="s">
        <v>15373</v>
      </c>
      <c r="I297" s="22" t="s">
        <v>15374</v>
      </c>
      <c r="J297" s="22">
        <v>3412</v>
      </c>
      <c r="K297" s="26">
        <f t="shared" si="4"/>
        <v>366.66666666666663</v>
      </c>
      <c r="N297" s="26">
        <v>550</v>
      </c>
      <c r="O297" s="22" t="s">
        <v>15801</v>
      </c>
      <c r="P297" s="22" t="s">
        <v>14376</v>
      </c>
      <c r="Q297" s="22">
        <v>90401</v>
      </c>
      <c r="R297" s="22" t="s">
        <v>15802</v>
      </c>
      <c r="S297" s="22" t="s">
        <v>15803</v>
      </c>
      <c r="T297" s="22">
        <v>6.9</v>
      </c>
      <c r="U297" s="22">
        <v>0.4</v>
      </c>
      <c r="X297" s="26"/>
      <c r="Y297" s="26"/>
    </row>
    <row r="298" spans="1:25" ht="25" x14ac:dyDescent="0.25">
      <c r="A298" s="21">
        <v>404</v>
      </c>
      <c r="B298" s="22" t="s">
        <v>15368</v>
      </c>
      <c r="C298" s="22" t="s">
        <v>15804</v>
      </c>
      <c r="D298" s="23">
        <v>180893</v>
      </c>
      <c r="E298" s="24">
        <v>1988</v>
      </c>
      <c r="F298" s="22" t="s">
        <v>15805</v>
      </c>
      <c r="G298" s="23" t="s">
        <v>15806</v>
      </c>
      <c r="H298" s="25" t="s">
        <v>15373</v>
      </c>
      <c r="I298" s="22" t="s">
        <v>15411</v>
      </c>
      <c r="J298" s="22" t="s">
        <v>15807</v>
      </c>
      <c r="K298" s="26">
        <f t="shared" si="4"/>
        <v>361.33333333333331</v>
      </c>
      <c r="N298" s="26">
        <v>542</v>
      </c>
      <c r="O298" s="22" t="s">
        <v>15808</v>
      </c>
      <c r="P298" s="22" t="s">
        <v>15712</v>
      </c>
      <c r="Q298" s="22">
        <v>90503</v>
      </c>
      <c r="R298" s="22" t="s">
        <v>15809</v>
      </c>
      <c r="S298" s="22" t="s">
        <v>14511</v>
      </c>
      <c r="T298" s="22">
        <v>8.17</v>
      </c>
      <c r="U298" s="22">
        <v>0.38</v>
      </c>
      <c r="X298" s="26"/>
      <c r="Y298" s="26"/>
    </row>
    <row r="299" spans="1:25" ht="25" x14ac:dyDescent="0.25">
      <c r="A299" s="21">
        <v>405</v>
      </c>
      <c r="B299" s="22" t="s">
        <v>15368</v>
      </c>
      <c r="C299" s="22" t="s">
        <v>15804</v>
      </c>
      <c r="D299" s="23">
        <v>180894</v>
      </c>
      <c r="E299" s="24">
        <v>1988</v>
      </c>
      <c r="F299" s="22" t="s">
        <v>14512</v>
      </c>
      <c r="G299" s="23" t="s">
        <v>15806</v>
      </c>
      <c r="H299" s="25" t="s">
        <v>15373</v>
      </c>
      <c r="I299" s="22" t="s">
        <v>15411</v>
      </c>
      <c r="J299" s="22" t="s">
        <v>15807</v>
      </c>
      <c r="K299" s="26">
        <f t="shared" si="4"/>
        <v>361.33333333333331</v>
      </c>
      <c r="N299" s="26">
        <v>542</v>
      </c>
      <c r="O299" s="22" t="s">
        <v>15808</v>
      </c>
      <c r="P299" s="22" t="s">
        <v>15712</v>
      </c>
      <c r="Q299" s="22">
        <v>90503</v>
      </c>
      <c r="R299" s="22" t="s">
        <v>15809</v>
      </c>
      <c r="S299" s="22" t="s">
        <v>14511</v>
      </c>
      <c r="T299" s="22">
        <v>8.17</v>
      </c>
      <c r="U299" s="22">
        <v>0.38</v>
      </c>
      <c r="X299" s="26"/>
      <c r="Y299" s="26"/>
    </row>
    <row r="300" spans="1:25" ht="25" x14ac:dyDescent="0.25">
      <c r="A300" s="21">
        <v>406</v>
      </c>
      <c r="B300" s="22" t="s">
        <v>15368</v>
      </c>
      <c r="C300" s="22" t="s">
        <v>14513</v>
      </c>
      <c r="D300" s="23">
        <v>349296</v>
      </c>
      <c r="E300" s="24">
        <v>1999</v>
      </c>
      <c r="F300" s="22" t="s">
        <v>14514</v>
      </c>
      <c r="G300" s="23" t="s">
        <v>14515</v>
      </c>
      <c r="H300" s="25" t="s">
        <v>15373</v>
      </c>
      <c r="I300" s="22" t="s">
        <v>15374</v>
      </c>
      <c r="J300" s="22" t="s">
        <v>15441</v>
      </c>
      <c r="K300" s="26">
        <f t="shared" si="4"/>
        <v>412</v>
      </c>
      <c r="N300" s="26">
        <v>618</v>
      </c>
      <c r="O300" s="22" t="s">
        <v>14516</v>
      </c>
      <c r="P300" s="22" t="s">
        <v>16794</v>
      </c>
      <c r="Q300" s="22" t="s">
        <v>14517</v>
      </c>
      <c r="R300" s="22" t="s">
        <v>14518</v>
      </c>
      <c r="S300" s="22" t="s">
        <v>14519</v>
      </c>
      <c r="T300" s="22">
        <v>6.9</v>
      </c>
      <c r="U300" s="22">
        <v>0.4</v>
      </c>
      <c r="X300" s="26"/>
      <c r="Y300" s="26"/>
    </row>
    <row r="301" spans="1:25" ht="25" x14ac:dyDescent="0.25">
      <c r="A301" s="21">
        <v>407</v>
      </c>
      <c r="B301" s="22" t="s">
        <v>15368</v>
      </c>
      <c r="C301" s="22" t="s">
        <v>14520</v>
      </c>
      <c r="D301" s="23">
        <v>204687</v>
      </c>
      <c r="E301" s="24">
        <v>1989</v>
      </c>
      <c r="F301" s="22" t="s">
        <v>14521</v>
      </c>
      <c r="G301" s="23" t="s">
        <v>14522</v>
      </c>
      <c r="H301" s="25" t="s">
        <v>15373</v>
      </c>
      <c r="I301" s="22" t="s">
        <v>15411</v>
      </c>
      <c r="J301" s="22" t="s">
        <v>14523</v>
      </c>
      <c r="K301" s="26">
        <f t="shared" si="4"/>
        <v>573.33333333333326</v>
      </c>
      <c r="N301" s="26">
        <v>860</v>
      </c>
      <c r="O301" s="22" t="s">
        <v>14524</v>
      </c>
      <c r="P301" s="22" t="s">
        <v>16563</v>
      </c>
      <c r="Q301" s="22">
        <v>90241</v>
      </c>
      <c r="R301" s="22" t="s">
        <v>14525</v>
      </c>
      <c r="S301" s="22" t="s">
        <v>14526</v>
      </c>
      <c r="T301" s="22">
        <v>8.17</v>
      </c>
      <c r="U301" s="22">
        <v>0.38</v>
      </c>
      <c r="X301" s="26"/>
      <c r="Y301" s="26"/>
    </row>
    <row r="302" spans="1:25" ht="25" x14ac:dyDescent="0.25">
      <c r="A302" s="21">
        <v>408</v>
      </c>
      <c r="B302" s="22" t="s">
        <v>15368</v>
      </c>
      <c r="C302" s="22" t="s">
        <v>14520</v>
      </c>
      <c r="D302" s="23">
        <v>331713</v>
      </c>
      <c r="E302" s="24">
        <v>1997</v>
      </c>
      <c r="F302" s="22" t="s">
        <v>14527</v>
      </c>
      <c r="G302" s="23" t="s">
        <v>14528</v>
      </c>
      <c r="H302" s="25" t="s">
        <v>15373</v>
      </c>
      <c r="I302" s="22" t="s">
        <v>15374</v>
      </c>
      <c r="J302" s="22" t="s">
        <v>15701</v>
      </c>
      <c r="K302" s="26">
        <f t="shared" si="4"/>
        <v>300</v>
      </c>
      <c r="L302" s="26">
        <v>300</v>
      </c>
      <c r="O302" s="22" t="s">
        <v>14524</v>
      </c>
      <c r="P302" s="22" t="s">
        <v>16563</v>
      </c>
      <c r="Q302" s="22" t="s">
        <v>14529</v>
      </c>
      <c r="R302" s="22" t="s">
        <v>14525</v>
      </c>
      <c r="S302" s="22" t="s">
        <v>14526</v>
      </c>
      <c r="T302" s="22">
        <v>6.9</v>
      </c>
      <c r="U302" s="22">
        <v>0.4</v>
      </c>
      <c r="X302" s="26"/>
      <c r="Y302" s="26"/>
    </row>
    <row r="303" spans="1:25" ht="25" x14ac:dyDescent="0.25">
      <c r="A303" s="21">
        <v>409</v>
      </c>
      <c r="B303" s="22" t="s">
        <v>15368</v>
      </c>
      <c r="C303" s="22" t="s">
        <v>14530</v>
      </c>
      <c r="D303" s="23">
        <v>352747</v>
      </c>
      <c r="E303" s="24">
        <v>1999</v>
      </c>
      <c r="F303" s="22" t="s">
        <v>14531</v>
      </c>
      <c r="G303" s="23" t="s">
        <v>14532</v>
      </c>
      <c r="H303" s="25" t="s">
        <v>15373</v>
      </c>
      <c r="I303" s="22" t="s">
        <v>15374</v>
      </c>
      <c r="J303" s="22" t="s">
        <v>15677</v>
      </c>
      <c r="K303" s="26">
        <f t="shared" si="4"/>
        <v>2000</v>
      </c>
      <c r="L303" s="26">
        <v>2000</v>
      </c>
      <c r="O303" s="22" t="s">
        <v>14533</v>
      </c>
      <c r="P303" s="22" t="s">
        <v>15376</v>
      </c>
      <c r="Q303" s="22">
        <v>90017</v>
      </c>
      <c r="R303" s="22" t="s">
        <v>14534</v>
      </c>
      <c r="S303" s="22" t="s">
        <v>14535</v>
      </c>
      <c r="T303" s="22">
        <v>8.17</v>
      </c>
      <c r="U303" s="22">
        <v>0.38</v>
      </c>
      <c r="X303" s="26"/>
      <c r="Y303" s="26"/>
    </row>
    <row r="304" spans="1:25" ht="25" x14ac:dyDescent="0.25">
      <c r="A304" s="21">
        <v>410</v>
      </c>
      <c r="B304" s="22" t="s">
        <v>15368</v>
      </c>
      <c r="C304" s="22" t="s">
        <v>14536</v>
      </c>
      <c r="D304" s="23">
        <v>327673</v>
      </c>
      <c r="E304" s="24">
        <v>1997</v>
      </c>
      <c r="F304" s="22" t="s">
        <v>14537</v>
      </c>
      <c r="G304" s="23" t="s">
        <v>14532</v>
      </c>
      <c r="H304" s="25" t="s">
        <v>15373</v>
      </c>
      <c r="I304" s="22" t="s">
        <v>15374</v>
      </c>
      <c r="J304" s="22" t="s">
        <v>15677</v>
      </c>
      <c r="K304" s="26">
        <f t="shared" si="4"/>
        <v>2000</v>
      </c>
      <c r="L304" s="26">
        <v>2000</v>
      </c>
      <c r="O304" s="22" t="s">
        <v>14538</v>
      </c>
      <c r="P304" s="22" t="s">
        <v>15376</v>
      </c>
      <c r="Q304" s="22">
        <v>90017</v>
      </c>
      <c r="R304" s="22" t="s">
        <v>14534</v>
      </c>
      <c r="S304" s="22" t="s">
        <v>14539</v>
      </c>
      <c r="T304" s="22">
        <v>8.17</v>
      </c>
      <c r="U304" s="22">
        <v>0.38</v>
      </c>
      <c r="X304" s="26"/>
      <c r="Y304" s="26"/>
    </row>
    <row r="305" spans="1:25" ht="25" x14ac:dyDescent="0.25">
      <c r="A305" s="21">
        <v>411</v>
      </c>
      <c r="B305" s="22" t="s">
        <v>15368</v>
      </c>
      <c r="C305" s="22" t="s">
        <v>14540</v>
      </c>
      <c r="D305" s="23">
        <v>361575</v>
      </c>
      <c r="E305" s="24">
        <v>1999</v>
      </c>
      <c r="F305" s="22" t="s">
        <v>14541</v>
      </c>
      <c r="G305" s="23" t="s">
        <v>14542</v>
      </c>
      <c r="H305" s="25" t="s">
        <v>15373</v>
      </c>
      <c r="I305" s="22" t="s">
        <v>15374</v>
      </c>
      <c r="J305" s="22" t="s">
        <v>15701</v>
      </c>
      <c r="K305" s="26">
        <f t="shared" si="4"/>
        <v>350</v>
      </c>
      <c r="L305" s="26">
        <v>350</v>
      </c>
      <c r="O305" s="22" t="s">
        <v>14543</v>
      </c>
      <c r="P305" s="22" t="s">
        <v>16853</v>
      </c>
      <c r="Q305" s="22">
        <v>92618</v>
      </c>
      <c r="R305" s="22" t="s">
        <v>14544</v>
      </c>
      <c r="S305" s="22" t="s">
        <v>14545</v>
      </c>
      <c r="T305" s="22">
        <v>6.9</v>
      </c>
      <c r="U305" s="22">
        <v>0.4</v>
      </c>
      <c r="X305" s="26"/>
      <c r="Y305" s="26"/>
    </row>
    <row r="306" spans="1:25" ht="25" x14ac:dyDescent="0.25">
      <c r="A306" s="21">
        <v>412</v>
      </c>
      <c r="B306" s="22" t="s">
        <v>15368</v>
      </c>
      <c r="C306" s="22" t="s">
        <v>14546</v>
      </c>
      <c r="D306" s="23">
        <v>373421</v>
      </c>
      <c r="E306" s="24">
        <v>2000</v>
      </c>
      <c r="F306" s="22" t="s">
        <v>14547</v>
      </c>
      <c r="G306" s="23" t="s">
        <v>14548</v>
      </c>
      <c r="H306" s="25" t="s">
        <v>15373</v>
      </c>
      <c r="I306" s="22" t="s">
        <v>15374</v>
      </c>
      <c r="J306" s="22" t="s">
        <v>16869</v>
      </c>
      <c r="K306" s="26">
        <f t="shared" si="4"/>
        <v>500</v>
      </c>
      <c r="L306" s="26">
        <v>500</v>
      </c>
      <c r="O306" s="22" t="s">
        <v>14549</v>
      </c>
      <c r="P306" s="22" t="s">
        <v>15376</v>
      </c>
      <c r="Q306" s="22">
        <v>90048</v>
      </c>
      <c r="R306" s="22" t="s">
        <v>14550</v>
      </c>
      <c r="S306" s="22" t="s">
        <v>14551</v>
      </c>
      <c r="T306" s="22">
        <v>6.9</v>
      </c>
      <c r="U306" s="22">
        <v>0.4</v>
      </c>
      <c r="X306" s="26"/>
      <c r="Y306" s="26"/>
    </row>
    <row r="307" spans="1:25" ht="25" x14ac:dyDescent="0.25">
      <c r="A307" s="21">
        <v>413</v>
      </c>
      <c r="B307" s="22" t="s">
        <v>15368</v>
      </c>
      <c r="C307" s="22" t="s">
        <v>14552</v>
      </c>
      <c r="D307" s="23">
        <v>309900</v>
      </c>
      <c r="E307" s="24">
        <v>1995</v>
      </c>
      <c r="F307" s="22" t="s">
        <v>14553</v>
      </c>
      <c r="G307" s="23" t="s">
        <v>14554</v>
      </c>
      <c r="H307" s="25" t="s">
        <v>15373</v>
      </c>
      <c r="I307" s="22" t="s">
        <v>15374</v>
      </c>
      <c r="J307" s="22" t="s">
        <v>14555</v>
      </c>
      <c r="K307" s="26">
        <f t="shared" si="4"/>
        <v>350</v>
      </c>
      <c r="L307" s="26">
        <v>350</v>
      </c>
      <c r="O307" s="22" t="s">
        <v>16832</v>
      </c>
      <c r="P307" s="22" t="s">
        <v>15740</v>
      </c>
      <c r="Q307" s="22">
        <v>90805</v>
      </c>
      <c r="R307" s="22" t="s">
        <v>14556</v>
      </c>
      <c r="S307" s="22" t="s">
        <v>14557</v>
      </c>
      <c r="T307" s="22">
        <v>8.17</v>
      </c>
      <c r="U307" s="22">
        <v>0.38</v>
      </c>
      <c r="X307" s="26"/>
      <c r="Y307" s="26"/>
    </row>
    <row r="308" spans="1:25" ht="25" x14ac:dyDescent="0.25">
      <c r="A308" s="21">
        <v>414</v>
      </c>
      <c r="B308" s="22" t="s">
        <v>15368</v>
      </c>
      <c r="C308" s="22" t="s">
        <v>14552</v>
      </c>
      <c r="D308" s="23">
        <v>309962</v>
      </c>
      <c r="E308" s="24">
        <v>1995</v>
      </c>
      <c r="F308" s="22" t="s">
        <v>14558</v>
      </c>
      <c r="G308" s="23" t="s">
        <v>14559</v>
      </c>
      <c r="H308" s="25" t="s">
        <v>15373</v>
      </c>
      <c r="I308" s="22" t="s">
        <v>15374</v>
      </c>
      <c r="J308" s="22" t="s">
        <v>14555</v>
      </c>
      <c r="K308" s="26">
        <f t="shared" si="4"/>
        <v>350</v>
      </c>
      <c r="L308" s="26">
        <v>350</v>
      </c>
      <c r="O308" s="22" t="s">
        <v>16832</v>
      </c>
      <c r="P308" s="22" t="s">
        <v>15740</v>
      </c>
      <c r="Q308" s="22">
        <v>90805</v>
      </c>
      <c r="R308" s="22" t="s">
        <v>14556</v>
      </c>
      <c r="S308" s="22" t="s">
        <v>14557</v>
      </c>
      <c r="T308" s="22">
        <v>8.17</v>
      </c>
      <c r="U308" s="22">
        <v>0.38</v>
      </c>
      <c r="X308" s="26"/>
      <c r="Y308" s="26"/>
    </row>
    <row r="309" spans="1:25" ht="25" x14ac:dyDescent="0.25">
      <c r="A309" s="21">
        <v>415</v>
      </c>
      <c r="B309" s="22" t="s">
        <v>15368</v>
      </c>
      <c r="C309" s="22" t="s">
        <v>14552</v>
      </c>
      <c r="D309" s="23">
        <v>310685</v>
      </c>
      <c r="E309" s="24">
        <v>1996</v>
      </c>
      <c r="F309" s="22" t="s">
        <v>14560</v>
      </c>
      <c r="G309" s="23" t="s">
        <v>14561</v>
      </c>
      <c r="H309" s="25" t="s">
        <v>15373</v>
      </c>
      <c r="I309" s="22" t="s">
        <v>15382</v>
      </c>
      <c r="J309" s="22" t="s">
        <v>14562</v>
      </c>
      <c r="K309" s="26">
        <f t="shared" si="4"/>
        <v>600</v>
      </c>
      <c r="N309" s="26">
        <v>900</v>
      </c>
      <c r="O309" s="22" t="s">
        <v>16832</v>
      </c>
      <c r="P309" s="22" t="s">
        <v>15740</v>
      </c>
      <c r="Q309" s="22">
        <v>90805</v>
      </c>
      <c r="R309" s="22" t="s">
        <v>14556</v>
      </c>
      <c r="S309" s="22" t="s">
        <v>14557</v>
      </c>
      <c r="T309" s="22">
        <v>8.17</v>
      </c>
      <c r="U309" s="22">
        <v>0.38</v>
      </c>
      <c r="X309" s="26"/>
      <c r="Y309" s="26"/>
    </row>
    <row r="310" spans="1:25" ht="37.5" x14ac:dyDescent="0.25">
      <c r="A310" s="21">
        <v>416</v>
      </c>
      <c r="B310" s="22" t="s">
        <v>15368</v>
      </c>
      <c r="C310" s="22" t="s">
        <v>14552</v>
      </c>
      <c r="D310" s="23">
        <v>336298</v>
      </c>
      <c r="E310" s="24">
        <v>1998</v>
      </c>
      <c r="F310" s="22" t="s">
        <v>14563</v>
      </c>
      <c r="G310" s="23" t="s">
        <v>14564</v>
      </c>
      <c r="H310" s="25" t="s">
        <v>15373</v>
      </c>
      <c r="I310" s="22" t="s">
        <v>15382</v>
      </c>
      <c r="J310" s="22" t="s">
        <v>14562</v>
      </c>
      <c r="K310" s="26">
        <f t="shared" si="4"/>
        <v>600</v>
      </c>
      <c r="N310" s="26">
        <v>900</v>
      </c>
      <c r="O310" s="22" t="s">
        <v>16832</v>
      </c>
      <c r="P310" s="22" t="s">
        <v>15740</v>
      </c>
      <c r="Q310" s="22">
        <v>90805</v>
      </c>
      <c r="R310" s="22" t="s">
        <v>14556</v>
      </c>
      <c r="S310" s="22" t="s">
        <v>14557</v>
      </c>
      <c r="T310" s="22">
        <v>8.17</v>
      </c>
      <c r="U310" s="22">
        <v>0.38</v>
      </c>
      <c r="X310" s="26"/>
      <c r="Y310" s="26"/>
    </row>
    <row r="311" spans="1:25" ht="25" x14ac:dyDescent="0.25">
      <c r="A311" s="21">
        <v>418</v>
      </c>
      <c r="B311" s="22" t="s">
        <v>15368</v>
      </c>
      <c r="C311" s="22" t="s">
        <v>14565</v>
      </c>
      <c r="D311" s="23">
        <v>305316</v>
      </c>
      <c r="E311" s="24">
        <v>1995</v>
      </c>
      <c r="F311" s="22" t="s">
        <v>14566</v>
      </c>
      <c r="G311" s="23" t="s">
        <v>14567</v>
      </c>
      <c r="H311" s="25" t="s">
        <v>15373</v>
      </c>
      <c r="I311" s="22" t="s">
        <v>15411</v>
      </c>
      <c r="J311" s="22" t="s">
        <v>16884</v>
      </c>
      <c r="K311" s="26">
        <f t="shared" si="4"/>
        <v>420</v>
      </c>
      <c r="N311" s="26">
        <v>630</v>
      </c>
      <c r="O311" s="22" t="s">
        <v>14568</v>
      </c>
      <c r="P311" s="22" t="s">
        <v>16390</v>
      </c>
      <c r="Q311" s="22">
        <v>92373</v>
      </c>
      <c r="R311" s="22" t="s">
        <v>14569</v>
      </c>
      <c r="S311" s="22" t="s">
        <v>15966</v>
      </c>
      <c r="T311" s="22">
        <v>8.17</v>
      </c>
      <c r="U311" s="22">
        <v>0.38</v>
      </c>
      <c r="X311" s="26"/>
      <c r="Y311" s="26"/>
    </row>
    <row r="312" spans="1:25" ht="25" x14ac:dyDescent="0.25">
      <c r="A312" s="21">
        <v>419</v>
      </c>
      <c r="B312" s="22" t="s">
        <v>15368</v>
      </c>
      <c r="C312" s="22" t="s">
        <v>14570</v>
      </c>
      <c r="D312" s="23">
        <v>262548</v>
      </c>
      <c r="E312" s="24">
        <v>1992</v>
      </c>
      <c r="F312" s="22" t="s">
        <v>14571</v>
      </c>
      <c r="G312" s="23" t="s">
        <v>14572</v>
      </c>
      <c r="H312" s="25" t="s">
        <v>15373</v>
      </c>
      <c r="I312" s="22" t="s">
        <v>15374</v>
      </c>
      <c r="J312" s="22">
        <v>3508</v>
      </c>
      <c r="K312" s="26">
        <f t="shared" si="4"/>
        <v>891.33333333333326</v>
      </c>
      <c r="N312" s="26">
        <v>1337</v>
      </c>
      <c r="O312" s="22" t="s">
        <v>14573</v>
      </c>
      <c r="P312" s="22" t="s">
        <v>14574</v>
      </c>
      <c r="Q312" s="22">
        <v>92582</v>
      </c>
      <c r="R312" s="22" t="s">
        <v>14575</v>
      </c>
      <c r="S312" s="22" t="s">
        <v>14576</v>
      </c>
      <c r="T312" s="22">
        <v>8.17</v>
      </c>
      <c r="U312" s="22">
        <v>0.38</v>
      </c>
      <c r="X312" s="26"/>
      <c r="Y312" s="26"/>
    </row>
    <row r="313" spans="1:25" ht="25" x14ac:dyDescent="0.25">
      <c r="A313" s="21">
        <v>420</v>
      </c>
      <c r="B313" s="22" t="s">
        <v>15368</v>
      </c>
      <c r="C313" s="22" t="s">
        <v>14570</v>
      </c>
      <c r="D313" s="23">
        <v>283998</v>
      </c>
      <c r="E313" s="24">
        <v>1993</v>
      </c>
      <c r="F313" s="22" t="s">
        <v>14577</v>
      </c>
      <c r="G313" s="23" t="s">
        <v>14578</v>
      </c>
      <c r="H313" s="25" t="s">
        <v>15373</v>
      </c>
      <c r="I313" s="22" t="s">
        <v>15374</v>
      </c>
      <c r="J313" s="22" t="s">
        <v>15731</v>
      </c>
      <c r="K313" s="26">
        <f t="shared" si="4"/>
        <v>1200.6666666666665</v>
      </c>
      <c r="N313" s="26">
        <v>1801</v>
      </c>
      <c r="O313" s="22" t="s">
        <v>16832</v>
      </c>
      <c r="P313" s="22" t="s">
        <v>14574</v>
      </c>
      <c r="Q313" s="22">
        <v>92583</v>
      </c>
      <c r="R313" s="22" t="s">
        <v>14579</v>
      </c>
      <c r="S313" s="22" t="s">
        <v>14580</v>
      </c>
      <c r="T313" s="22">
        <v>8.17</v>
      </c>
      <c r="U313" s="22">
        <v>0.38</v>
      </c>
      <c r="X313" s="26"/>
      <c r="Y313" s="26"/>
    </row>
    <row r="314" spans="1:25" ht="25" x14ac:dyDescent="0.25">
      <c r="A314" s="21">
        <v>421</v>
      </c>
      <c r="B314" s="22" t="s">
        <v>15368</v>
      </c>
      <c r="C314" s="22" t="s">
        <v>14581</v>
      </c>
      <c r="D314" s="23">
        <v>353722</v>
      </c>
      <c r="E314" s="24">
        <v>1999</v>
      </c>
      <c r="F314" s="22" t="s">
        <v>14582</v>
      </c>
      <c r="G314" s="23" t="s">
        <v>14583</v>
      </c>
      <c r="H314" s="25" t="s">
        <v>15373</v>
      </c>
      <c r="I314" s="22" t="s">
        <v>15374</v>
      </c>
      <c r="J314" s="22" t="s">
        <v>14709</v>
      </c>
      <c r="K314" s="26">
        <f t="shared" si="4"/>
        <v>600</v>
      </c>
      <c r="L314" s="26">
        <v>600</v>
      </c>
      <c r="O314" s="22" t="s">
        <v>14584</v>
      </c>
      <c r="P314" s="22" t="s">
        <v>14585</v>
      </c>
      <c r="Q314" s="22">
        <v>92596</v>
      </c>
      <c r="R314" s="22" t="s">
        <v>14586</v>
      </c>
      <c r="S314" s="22" t="s">
        <v>14580</v>
      </c>
      <c r="T314" s="22">
        <v>8.17</v>
      </c>
      <c r="U314" s="22">
        <v>0.38</v>
      </c>
      <c r="X314" s="26"/>
      <c r="Y314" s="26"/>
    </row>
    <row r="315" spans="1:25" ht="37.5" x14ac:dyDescent="0.25">
      <c r="A315" s="21">
        <v>424</v>
      </c>
      <c r="B315" s="22" t="s">
        <v>15368</v>
      </c>
      <c r="C315" s="22" t="s">
        <v>14587</v>
      </c>
      <c r="D315" s="23">
        <v>317187</v>
      </c>
      <c r="E315" s="24">
        <v>1996</v>
      </c>
      <c r="F315" s="22" t="s">
        <v>14588</v>
      </c>
      <c r="G315" s="23" t="s">
        <v>15888</v>
      </c>
      <c r="H315" s="25" t="s">
        <v>15373</v>
      </c>
      <c r="I315" s="22" t="s">
        <v>15382</v>
      </c>
      <c r="J315" s="22" t="s">
        <v>15723</v>
      </c>
      <c r="K315" s="26">
        <f t="shared" si="4"/>
        <v>1233.3333333333333</v>
      </c>
      <c r="N315" s="26">
        <v>1850</v>
      </c>
      <c r="O315" s="22" t="s">
        <v>16832</v>
      </c>
      <c r="P315" s="22" t="s">
        <v>14574</v>
      </c>
      <c r="Q315" s="22">
        <v>92581</v>
      </c>
      <c r="R315" s="22" t="s">
        <v>15889</v>
      </c>
      <c r="S315" s="22" t="s">
        <v>14580</v>
      </c>
      <c r="T315" s="22">
        <v>8.17</v>
      </c>
      <c r="U315" s="22">
        <v>0.38</v>
      </c>
      <c r="X315" s="26"/>
      <c r="Y315" s="26"/>
    </row>
    <row r="316" spans="1:25" ht="37.5" x14ac:dyDescent="0.25">
      <c r="A316" s="21">
        <v>425</v>
      </c>
      <c r="B316" s="22" t="s">
        <v>15368</v>
      </c>
      <c r="C316" s="22" t="s">
        <v>14587</v>
      </c>
      <c r="D316" s="23">
        <v>351269</v>
      </c>
      <c r="E316" s="24">
        <v>1999</v>
      </c>
      <c r="F316" s="22" t="s">
        <v>15890</v>
      </c>
      <c r="G316" s="23" t="s">
        <v>15891</v>
      </c>
      <c r="H316" s="25" t="s">
        <v>15373</v>
      </c>
      <c r="I316" s="22" t="s">
        <v>15374</v>
      </c>
      <c r="J316" s="22" t="s">
        <v>14709</v>
      </c>
      <c r="K316" s="26">
        <f t="shared" si="4"/>
        <v>600</v>
      </c>
      <c r="L316" s="26">
        <v>600</v>
      </c>
      <c r="O316" s="22" t="s">
        <v>15892</v>
      </c>
      <c r="P316" s="22" t="s">
        <v>15893</v>
      </c>
      <c r="Q316" s="22">
        <v>92590</v>
      </c>
      <c r="R316" s="22" t="s">
        <v>14586</v>
      </c>
      <c r="S316" s="22" t="s">
        <v>14580</v>
      </c>
      <c r="T316" s="22">
        <v>8.17</v>
      </c>
      <c r="U316" s="22">
        <v>0.38</v>
      </c>
      <c r="X316" s="26"/>
      <c r="Y316" s="26"/>
    </row>
    <row r="317" spans="1:25" ht="25" x14ac:dyDescent="0.25">
      <c r="A317" s="21">
        <v>426</v>
      </c>
      <c r="B317" s="22" t="s">
        <v>15368</v>
      </c>
      <c r="C317" s="22" t="s">
        <v>15894</v>
      </c>
      <c r="D317" s="23">
        <v>150196</v>
      </c>
      <c r="E317" s="24">
        <v>1986</v>
      </c>
      <c r="F317" s="22" t="s">
        <v>15895</v>
      </c>
      <c r="G317" s="23" t="s">
        <v>15896</v>
      </c>
      <c r="H317" s="25" t="s">
        <v>15373</v>
      </c>
      <c r="I317" s="22" t="s">
        <v>15411</v>
      </c>
      <c r="J317" s="22" t="s">
        <v>16331</v>
      </c>
      <c r="K317" s="26">
        <f t="shared" si="4"/>
        <v>750</v>
      </c>
      <c r="L317" s="26">
        <v>750</v>
      </c>
      <c r="O317" s="22" t="s">
        <v>15897</v>
      </c>
      <c r="P317" s="22" t="s">
        <v>15898</v>
      </c>
      <c r="Q317" s="22">
        <v>92586</v>
      </c>
      <c r="R317" s="22" t="s">
        <v>14575</v>
      </c>
      <c r="S317" s="22" t="s">
        <v>14580</v>
      </c>
      <c r="T317" s="22">
        <v>11</v>
      </c>
      <c r="U317" s="22">
        <v>0.53</v>
      </c>
      <c r="X317" s="26"/>
      <c r="Y317" s="26"/>
    </row>
    <row r="318" spans="1:25" ht="25" x14ac:dyDescent="0.25">
      <c r="A318" s="21">
        <v>427</v>
      </c>
      <c r="B318" s="22" t="s">
        <v>15368</v>
      </c>
      <c r="C318" s="22" t="s">
        <v>15894</v>
      </c>
      <c r="D318" s="23">
        <v>186161</v>
      </c>
      <c r="E318" s="24">
        <v>1989</v>
      </c>
      <c r="F318" s="22" t="s">
        <v>15899</v>
      </c>
      <c r="G318" s="23" t="s">
        <v>15900</v>
      </c>
      <c r="H318" s="25" t="s">
        <v>15373</v>
      </c>
      <c r="I318" s="22" t="s">
        <v>15382</v>
      </c>
      <c r="J318" s="22" t="s">
        <v>15901</v>
      </c>
      <c r="K318" s="26">
        <f t="shared" si="4"/>
        <v>600</v>
      </c>
      <c r="L318" s="26">
        <v>600</v>
      </c>
      <c r="O318" s="22" t="s">
        <v>15902</v>
      </c>
      <c r="P318" s="22" t="s">
        <v>15893</v>
      </c>
      <c r="Q318" s="22">
        <v>92590</v>
      </c>
      <c r="R318" s="22" t="s">
        <v>15903</v>
      </c>
      <c r="S318" s="22" t="s">
        <v>15904</v>
      </c>
      <c r="T318" s="22">
        <v>8.17</v>
      </c>
      <c r="U318" s="22">
        <v>0.38</v>
      </c>
      <c r="X318" s="26"/>
      <c r="Y318" s="26"/>
    </row>
    <row r="319" spans="1:25" ht="37.5" x14ac:dyDescent="0.25">
      <c r="A319" s="21">
        <v>428</v>
      </c>
      <c r="B319" s="22" t="s">
        <v>15368</v>
      </c>
      <c r="C319" s="22" t="s">
        <v>15894</v>
      </c>
      <c r="D319" s="23">
        <v>262549</v>
      </c>
      <c r="E319" s="24">
        <v>1992</v>
      </c>
      <c r="F319" s="22" t="s">
        <v>15905</v>
      </c>
      <c r="G319" s="23" t="s">
        <v>15906</v>
      </c>
      <c r="H319" s="25" t="s">
        <v>15373</v>
      </c>
      <c r="I319" s="22" t="s">
        <v>15374</v>
      </c>
      <c r="J319" s="22">
        <v>3508</v>
      </c>
      <c r="K319" s="26">
        <f t="shared" si="4"/>
        <v>891.33333333333326</v>
      </c>
      <c r="N319" s="26">
        <v>1337</v>
      </c>
      <c r="O319" s="22" t="s">
        <v>15907</v>
      </c>
      <c r="P319" s="22" t="s">
        <v>15908</v>
      </c>
      <c r="Q319" s="22">
        <v>92571</v>
      </c>
      <c r="R319" s="22" t="s">
        <v>15909</v>
      </c>
      <c r="S319" s="22" t="s">
        <v>14580</v>
      </c>
      <c r="T319" s="22">
        <v>8.17</v>
      </c>
      <c r="U319" s="22">
        <v>0.38</v>
      </c>
      <c r="X319" s="26"/>
      <c r="Y319" s="26"/>
    </row>
    <row r="320" spans="1:25" ht="37.5" x14ac:dyDescent="0.25">
      <c r="A320" s="21">
        <v>430</v>
      </c>
      <c r="B320" s="22" t="s">
        <v>15368</v>
      </c>
      <c r="C320" s="22" t="s">
        <v>15894</v>
      </c>
      <c r="D320" s="23">
        <v>331502</v>
      </c>
      <c r="E320" s="24">
        <v>1997</v>
      </c>
      <c r="F320" s="22" t="s">
        <v>15911</v>
      </c>
      <c r="G320" s="23" t="s">
        <v>15912</v>
      </c>
      <c r="H320" s="25" t="s">
        <v>15913</v>
      </c>
      <c r="I320" s="22" t="s">
        <v>15374</v>
      </c>
      <c r="J320" s="22" t="s">
        <v>15914</v>
      </c>
      <c r="K320" s="26">
        <f t="shared" si="4"/>
        <v>620</v>
      </c>
      <c r="N320" s="26">
        <v>930</v>
      </c>
      <c r="O320" s="22" t="s">
        <v>15915</v>
      </c>
      <c r="P320" s="22" t="s">
        <v>15893</v>
      </c>
      <c r="Q320" s="22">
        <v>92590</v>
      </c>
      <c r="R320" s="22" t="s">
        <v>14575</v>
      </c>
      <c r="S320" s="22" t="s">
        <v>14580</v>
      </c>
      <c r="X320" s="26"/>
      <c r="Y320" s="26"/>
    </row>
    <row r="321" spans="1:25" ht="37.5" x14ac:dyDescent="0.25">
      <c r="A321" s="21">
        <v>431</v>
      </c>
      <c r="B321" s="22" t="s">
        <v>15368</v>
      </c>
      <c r="C321" s="22" t="s">
        <v>15894</v>
      </c>
      <c r="D321" s="23">
        <v>351273</v>
      </c>
      <c r="E321" s="24">
        <v>1999</v>
      </c>
      <c r="F321" s="22" t="s">
        <v>15916</v>
      </c>
      <c r="G321" s="23" t="s">
        <v>15917</v>
      </c>
      <c r="H321" s="25" t="s">
        <v>15373</v>
      </c>
      <c r="I321" s="22" t="s">
        <v>15374</v>
      </c>
      <c r="J321" s="22" t="s">
        <v>15918</v>
      </c>
      <c r="K321" s="26">
        <f t="shared" si="4"/>
        <v>800</v>
      </c>
      <c r="L321" s="26">
        <v>800</v>
      </c>
      <c r="O321" s="22" t="s">
        <v>15919</v>
      </c>
      <c r="P321" s="22" t="s">
        <v>15908</v>
      </c>
      <c r="Q321" s="22">
        <v>92570</v>
      </c>
      <c r="R321" s="22" t="s">
        <v>15920</v>
      </c>
      <c r="S321" s="22" t="s">
        <v>14580</v>
      </c>
      <c r="T321" s="22">
        <v>8.17</v>
      </c>
      <c r="U321" s="22">
        <v>0.38</v>
      </c>
      <c r="X321" s="26"/>
      <c r="Y321" s="26"/>
    </row>
    <row r="322" spans="1:25" ht="37.5" x14ac:dyDescent="0.25">
      <c r="A322" s="21">
        <v>432</v>
      </c>
      <c r="B322" s="22" t="s">
        <v>15368</v>
      </c>
      <c r="C322" s="22" t="s">
        <v>15894</v>
      </c>
      <c r="D322" s="23">
        <v>367599</v>
      </c>
      <c r="E322" s="24">
        <v>2000</v>
      </c>
      <c r="F322" s="22" t="s">
        <v>15921</v>
      </c>
      <c r="G322" s="23" t="s">
        <v>15922</v>
      </c>
      <c r="H322" s="25" t="s">
        <v>15373</v>
      </c>
      <c r="I322" s="22" t="s">
        <v>15374</v>
      </c>
      <c r="J322" s="22" t="s">
        <v>14709</v>
      </c>
      <c r="K322" s="26">
        <f t="shared" ref="K322:K385" si="5">L322+M322*(2/3)+N322*(2/3)</f>
        <v>600</v>
      </c>
      <c r="L322" s="26">
        <v>600</v>
      </c>
      <c r="O322" s="22" t="s">
        <v>15923</v>
      </c>
      <c r="P322" s="22" t="s">
        <v>14574</v>
      </c>
      <c r="Q322" s="22">
        <v>92583</v>
      </c>
      <c r="R322" s="22" t="s">
        <v>14586</v>
      </c>
      <c r="S322" s="22" t="s">
        <v>14580</v>
      </c>
      <c r="T322" s="22">
        <v>6.9</v>
      </c>
      <c r="U322" s="22">
        <v>0.4</v>
      </c>
      <c r="X322" s="26"/>
      <c r="Y322" s="26"/>
    </row>
    <row r="323" spans="1:25" ht="25" x14ac:dyDescent="0.25">
      <c r="A323" s="21">
        <v>433</v>
      </c>
      <c r="B323" s="22" t="s">
        <v>15368</v>
      </c>
      <c r="C323" s="22" t="s">
        <v>15924</v>
      </c>
      <c r="D323" s="23">
        <v>197632</v>
      </c>
      <c r="E323" s="24">
        <v>1989</v>
      </c>
      <c r="F323" s="22" t="s">
        <v>15925</v>
      </c>
      <c r="G323" s="23" t="s">
        <v>15926</v>
      </c>
      <c r="H323" s="25" t="s">
        <v>15373</v>
      </c>
      <c r="I323" s="22" t="s">
        <v>15382</v>
      </c>
      <c r="J323" s="22" t="s">
        <v>14562</v>
      </c>
      <c r="K323" s="26">
        <f t="shared" si="5"/>
        <v>600</v>
      </c>
      <c r="N323" s="26">
        <v>900</v>
      </c>
      <c r="O323" s="22" t="s">
        <v>15927</v>
      </c>
      <c r="P323" s="22" t="s">
        <v>16147</v>
      </c>
      <c r="Q323" s="22">
        <v>91791</v>
      </c>
      <c r="R323" s="22" t="s">
        <v>15928</v>
      </c>
      <c r="S323" s="22" t="s">
        <v>15929</v>
      </c>
      <c r="T323" s="22">
        <v>8.17</v>
      </c>
      <c r="U323" s="22">
        <v>0.38</v>
      </c>
      <c r="X323" s="26"/>
      <c r="Y323" s="26"/>
    </row>
    <row r="324" spans="1:25" ht="37.5" x14ac:dyDescent="0.25">
      <c r="A324" s="21">
        <v>434</v>
      </c>
      <c r="B324" s="22" t="s">
        <v>15368</v>
      </c>
      <c r="C324" s="22" t="s">
        <v>15930</v>
      </c>
      <c r="D324" s="23">
        <v>144657</v>
      </c>
      <c r="E324" s="24">
        <v>1986</v>
      </c>
      <c r="F324" s="22" t="s">
        <v>15931</v>
      </c>
      <c r="G324" s="23" t="s">
        <v>15932</v>
      </c>
      <c r="H324" s="25" t="s">
        <v>15373</v>
      </c>
      <c r="I324" s="22" t="s">
        <v>15374</v>
      </c>
      <c r="J324" s="22">
        <v>3512</v>
      </c>
      <c r="K324" s="26">
        <f t="shared" si="5"/>
        <v>1250</v>
      </c>
      <c r="L324" s="26">
        <v>1250</v>
      </c>
      <c r="O324" s="22" t="s">
        <v>15933</v>
      </c>
      <c r="P324" s="22" t="s">
        <v>15934</v>
      </c>
      <c r="Q324" s="22">
        <v>92270</v>
      </c>
      <c r="R324" s="22" t="s">
        <v>15935</v>
      </c>
      <c r="S324" s="22" t="s">
        <v>15936</v>
      </c>
      <c r="T324" s="22">
        <v>11</v>
      </c>
      <c r="U324" s="22">
        <v>0.53</v>
      </c>
      <c r="X324" s="26"/>
      <c r="Y324" s="26"/>
    </row>
    <row r="325" spans="1:25" ht="37.5" x14ac:dyDescent="0.25">
      <c r="A325" s="21">
        <v>435</v>
      </c>
      <c r="B325" s="22" t="s">
        <v>15368</v>
      </c>
      <c r="C325" s="22" t="s">
        <v>15930</v>
      </c>
      <c r="D325" s="23">
        <v>275137</v>
      </c>
      <c r="E325" s="24">
        <v>1992</v>
      </c>
      <c r="F325" s="22" t="s">
        <v>15937</v>
      </c>
      <c r="G325" s="23" t="s">
        <v>15938</v>
      </c>
      <c r="H325" s="25" t="s">
        <v>15373</v>
      </c>
      <c r="I325" s="22" t="s">
        <v>15374</v>
      </c>
      <c r="J325" s="22">
        <v>3512</v>
      </c>
      <c r="K325" s="26">
        <f t="shared" si="5"/>
        <v>1190.6666666666665</v>
      </c>
      <c r="N325" s="26">
        <v>1786</v>
      </c>
      <c r="O325" s="22" t="s">
        <v>15933</v>
      </c>
      <c r="P325" s="22" t="s">
        <v>15934</v>
      </c>
      <c r="Q325" s="22" t="s">
        <v>15939</v>
      </c>
      <c r="R325" s="22" t="s">
        <v>15935</v>
      </c>
      <c r="S325" s="22" t="s">
        <v>15936</v>
      </c>
      <c r="T325" s="22">
        <v>8.17</v>
      </c>
      <c r="U325" s="22">
        <v>0.38</v>
      </c>
      <c r="X325" s="26"/>
      <c r="Y325" s="26"/>
    </row>
    <row r="326" spans="1:25" ht="37.5" x14ac:dyDescent="0.25">
      <c r="A326" s="21">
        <v>436</v>
      </c>
      <c r="B326" s="22" t="s">
        <v>15368</v>
      </c>
      <c r="C326" s="22" t="s">
        <v>15930</v>
      </c>
      <c r="D326" s="23">
        <v>275138</v>
      </c>
      <c r="E326" s="24">
        <v>1992</v>
      </c>
      <c r="F326" s="22" t="s">
        <v>15940</v>
      </c>
      <c r="G326" s="23" t="s">
        <v>15941</v>
      </c>
      <c r="H326" s="25" t="s">
        <v>15373</v>
      </c>
      <c r="I326" s="22" t="s">
        <v>15374</v>
      </c>
      <c r="J326" s="22">
        <v>3512</v>
      </c>
      <c r="K326" s="26">
        <f t="shared" si="5"/>
        <v>1190.6666666666665</v>
      </c>
      <c r="N326" s="26">
        <v>1786</v>
      </c>
      <c r="O326" s="22" t="s">
        <v>15933</v>
      </c>
      <c r="P326" s="22" t="s">
        <v>15934</v>
      </c>
      <c r="Q326" s="22" t="s">
        <v>15939</v>
      </c>
      <c r="R326" s="22" t="s">
        <v>15935</v>
      </c>
      <c r="S326" s="22" t="s">
        <v>15936</v>
      </c>
      <c r="T326" s="22">
        <v>8.17</v>
      </c>
      <c r="U326" s="22">
        <v>0.38</v>
      </c>
      <c r="X326" s="26"/>
      <c r="Y326" s="26"/>
    </row>
    <row r="327" spans="1:25" ht="37.5" x14ac:dyDescent="0.25">
      <c r="A327" s="21">
        <v>437</v>
      </c>
      <c r="B327" s="22" t="s">
        <v>15368</v>
      </c>
      <c r="C327" s="22" t="s">
        <v>15930</v>
      </c>
      <c r="D327" s="23">
        <v>361082</v>
      </c>
      <c r="E327" s="24">
        <v>1999</v>
      </c>
      <c r="F327" s="22" t="s">
        <v>15942</v>
      </c>
      <c r="G327" s="23" t="s">
        <v>15943</v>
      </c>
      <c r="H327" s="25" t="s">
        <v>15373</v>
      </c>
      <c r="I327" s="22" t="s">
        <v>15374</v>
      </c>
      <c r="J327" s="22">
        <v>3516</v>
      </c>
      <c r="K327" s="26">
        <f t="shared" si="5"/>
        <v>2000</v>
      </c>
      <c r="L327" s="26">
        <v>2000</v>
      </c>
      <c r="O327" s="22" t="s">
        <v>15933</v>
      </c>
      <c r="P327" s="22" t="s">
        <v>15934</v>
      </c>
      <c r="Q327" s="22" t="s">
        <v>15939</v>
      </c>
      <c r="R327" s="22" t="s">
        <v>15935</v>
      </c>
      <c r="S327" s="22" t="s">
        <v>15936</v>
      </c>
      <c r="T327" s="22">
        <v>8.17</v>
      </c>
      <c r="U327" s="22">
        <v>0.38</v>
      </c>
      <c r="X327" s="26"/>
      <c r="Y327" s="26"/>
    </row>
    <row r="328" spans="1:25" ht="37.5" x14ac:dyDescent="0.25">
      <c r="A328" s="21">
        <v>438</v>
      </c>
      <c r="B328" s="22" t="s">
        <v>15368</v>
      </c>
      <c r="C328" s="22" t="s">
        <v>15930</v>
      </c>
      <c r="D328" s="23">
        <v>363657</v>
      </c>
      <c r="E328" s="24">
        <v>1999</v>
      </c>
      <c r="F328" s="22" t="s">
        <v>15944</v>
      </c>
      <c r="G328" s="23" t="s">
        <v>15943</v>
      </c>
      <c r="H328" s="25" t="s">
        <v>15373</v>
      </c>
      <c r="I328" s="22" t="s">
        <v>15374</v>
      </c>
      <c r="J328" s="22" t="s">
        <v>15677</v>
      </c>
      <c r="K328" s="26">
        <f t="shared" si="5"/>
        <v>2000</v>
      </c>
      <c r="L328" s="26">
        <v>2000</v>
      </c>
      <c r="O328" s="22" t="s">
        <v>15933</v>
      </c>
      <c r="P328" s="22" t="s">
        <v>15934</v>
      </c>
      <c r="Q328" s="22" t="s">
        <v>15939</v>
      </c>
      <c r="R328" s="22" t="s">
        <v>15935</v>
      </c>
      <c r="S328" s="22" t="s">
        <v>15936</v>
      </c>
      <c r="T328" s="22">
        <v>8.17</v>
      </c>
      <c r="U328" s="22">
        <v>0.38</v>
      </c>
      <c r="X328" s="26"/>
      <c r="Y328" s="26"/>
    </row>
    <row r="329" spans="1:25" ht="25" x14ac:dyDescent="0.25">
      <c r="A329" s="21">
        <v>439</v>
      </c>
      <c r="B329" s="22" t="s">
        <v>15368</v>
      </c>
      <c r="C329" s="22" t="s">
        <v>15930</v>
      </c>
      <c r="D329" s="23" t="s">
        <v>15945</v>
      </c>
      <c r="E329" s="24">
        <v>1990</v>
      </c>
      <c r="F329" s="22" t="s">
        <v>15946</v>
      </c>
      <c r="G329" s="23" t="s">
        <v>15947</v>
      </c>
      <c r="H329" s="25" t="s">
        <v>15373</v>
      </c>
      <c r="I329" s="22" t="s">
        <v>16160</v>
      </c>
      <c r="J329" s="22" t="s">
        <v>14395</v>
      </c>
      <c r="K329" s="26">
        <f t="shared" si="5"/>
        <v>950</v>
      </c>
      <c r="L329" s="26">
        <v>950</v>
      </c>
      <c r="O329" s="22" t="s">
        <v>15933</v>
      </c>
      <c r="P329" s="22" t="s">
        <v>15934</v>
      </c>
      <c r="Q329" s="22" t="s">
        <v>15939</v>
      </c>
      <c r="R329" s="22" t="s">
        <v>15935</v>
      </c>
      <c r="S329" s="22" t="s">
        <v>15936</v>
      </c>
      <c r="T329" s="22">
        <v>8.17</v>
      </c>
      <c r="U329" s="22">
        <v>0.38</v>
      </c>
      <c r="X329" s="26"/>
      <c r="Y329" s="26"/>
    </row>
    <row r="330" spans="1:25" ht="25" x14ac:dyDescent="0.25">
      <c r="A330" s="21">
        <v>440</v>
      </c>
      <c r="B330" s="22" t="s">
        <v>15368</v>
      </c>
      <c r="C330" s="22" t="s">
        <v>15930</v>
      </c>
      <c r="D330" s="23" t="s">
        <v>15948</v>
      </c>
      <c r="E330" s="24">
        <v>1982</v>
      </c>
      <c r="F330" s="22" t="s">
        <v>15949</v>
      </c>
      <c r="G330" s="23" t="s">
        <v>13396</v>
      </c>
      <c r="H330" s="25" t="s">
        <v>15373</v>
      </c>
      <c r="I330" s="22" t="s">
        <v>15411</v>
      </c>
      <c r="J330" s="22" t="s">
        <v>14684</v>
      </c>
      <c r="K330" s="26">
        <f t="shared" si="5"/>
        <v>1150</v>
      </c>
      <c r="L330" s="26">
        <v>1150</v>
      </c>
      <c r="O330" s="22" t="s">
        <v>15933</v>
      </c>
      <c r="P330" s="22" t="s">
        <v>15934</v>
      </c>
      <c r="Q330" s="22" t="s">
        <v>15939</v>
      </c>
      <c r="R330" s="22" t="s">
        <v>15935</v>
      </c>
      <c r="S330" s="22" t="s">
        <v>15936</v>
      </c>
      <c r="T330" s="22">
        <v>12</v>
      </c>
      <c r="U330" s="22">
        <v>0.53</v>
      </c>
      <c r="X330" s="26"/>
      <c r="Y330" s="26"/>
    </row>
    <row r="331" spans="1:25" ht="25" x14ac:dyDescent="0.25">
      <c r="A331" s="21">
        <v>441</v>
      </c>
      <c r="B331" s="22" t="s">
        <v>15368</v>
      </c>
      <c r="C331" s="22" t="s">
        <v>13397</v>
      </c>
      <c r="D331" s="23">
        <v>329806</v>
      </c>
      <c r="E331" s="24">
        <v>1997</v>
      </c>
      <c r="F331" s="22" t="s">
        <v>13398</v>
      </c>
      <c r="G331" s="23" t="s">
        <v>13399</v>
      </c>
      <c r="H331" s="25" t="s">
        <v>15373</v>
      </c>
      <c r="I331" s="22" t="s">
        <v>15374</v>
      </c>
      <c r="J331" s="22" t="s">
        <v>15731</v>
      </c>
      <c r="K331" s="26">
        <f t="shared" si="5"/>
        <v>1100</v>
      </c>
      <c r="L331" s="26">
        <v>1100</v>
      </c>
      <c r="O331" s="22" t="s">
        <v>13400</v>
      </c>
      <c r="P331" s="22" t="s">
        <v>14397</v>
      </c>
      <c r="Q331" s="22">
        <v>92262</v>
      </c>
      <c r="R331" s="22" t="s">
        <v>14398</v>
      </c>
      <c r="S331" s="22" t="s">
        <v>14399</v>
      </c>
      <c r="T331" s="22">
        <v>8.17</v>
      </c>
      <c r="U331" s="22">
        <v>0.38</v>
      </c>
      <c r="X331" s="26"/>
      <c r="Y331" s="26"/>
    </row>
    <row r="332" spans="1:25" ht="25" x14ac:dyDescent="0.25">
      <c r="A332" s="21">
        <v>442</v>
      </c>
      <c r="B332" s="22" t="s">
        <v>15368</v>
      </c>
      <c r="C332" s="22" t="s">
        <v>13401</v>
      </c>
      <c r="D332" s="23">
        <v>175996</v>
      </c>
      <c r="E332" s="24">
        <v>1988</v>
      </c>
      <c r="F332" s="22" t="s">
        <v>13402</v>
      </c>
      <c r="G332" s="23" t="s">
        <v>13403</v>
      </c>
      <c r="H332" s="25" t="s">
        <v>15373</v>
      </c>
      <c r="I332" s="22" t="s">
        <v>15374</v>
      </c>
      <c r="J332" s="22">
        <v>3412</v>
      </c>
      <c r="K332" s="26">
        <f t="shared" si="5"/>
        <v>491.33333333333331</v>
      </c>
      <c r="N332" s="26">
        <v>737</v>
      </c>
      <c r="O332" s="22" t="s">
        <v>13404</v>
      </c>
      <c r="P332" s="22" t="s">
        <v>13405</v>
      </c>
      <c r="Q332" s="22">
        <v>92653</v>
      </c>
      <c r="R332" s="22" t="s">
        <v>13406</v>
      </c>
      <c r="S332" s="22" t="s">
        <v>13407</v>
      </c>
      <c r="T332" s="22">
        <v>8.17</v>
      </c>
      <c r="U332" s="22">
        <v>0.38</v>
      </c>
      <c r="X332" s="26"/>
      <c r="Y332" s="26"/>
    </row>
    <row r="333" spans="1:25" ht="25" x14ac:dyDescent="0.25">
      <c r="A333" s="21">
        <v>443</v>
      </c>
      <c r="B333" s="22" t="s">
        <v>15368</v>
      </c>
      <c r="C333" s="22" t="s">
        <v>13401</v>
      </c>
      <c r="D333" s="23">
        <v>347920</v>
      </c>
      <c r="E333" s="24">
        <v>1998</v>
      </c>
      <c r="F333" s="22" t="s">
        <v>13408</v>
      </c>
      <c r="G333" s="23" t="s">
        <v>13409</v>
      </c>
      <c r="H333" s="25" t="s">
        <v>15373</v>
      </c>
      <c r="I333" s="22" t="s">
        <v>15374</v>
      </c>
      <c r="J333" s="22" t="s">
        <v>15677</v>
      </c>
      <c r="K333" s="26">
        <f t="shared" si="5"/>
        <v>1400</v>
      </c>
      <c r="L333" s="26">
        <v>1400</v>
      </c>
      <c r="O333" s="22" t="s">
        <v>13404</v>
      </c>
      <c r="P333" s="22" t="s">
        <v>13405</v>
      </c>
      <c r="Q333" s="22" t="s">
        <v>13410</v>
      </c>
      <c r="R333" s="22" t="s">
        <v>13406</v>
      </c>
      <c r="S333" s="22" t="s">
        <v>13407</v>
      </c>
      <c r="T333" s="22">
        <v>8.17</v>
      </c>
      <c r="U333" s="22">
        <v>0.38</v>
      </c>
      <c r="X333" s="26"/>
      <c r="Y333" s="26"/>
    </row>
    <row r="334" spans="1:25" ht="25" x14ac:dyDescent="0.25">
      <c r="A334" s="21">
        <v>444</v>
      </c>
      <c r="B334" s="22" t="s">
        <v>15368</v>
      </c>
      <c r="C334" s="22" t="s">
        <v>13411</v>
      </c>
      <c r="D334" s="23">
        <v>267074</v>
      </c>
      <c r="E334" s="24">
        <v>1992</v>
      </c>
      <c r="F334" s="22" t="s">
        <v>13412</v>
      </c>
      <c r="G334" s="23" t="s">
        <v>13413</v>
      </c>
      <c r="H334" s="25" t="s">
        <v>15373</v>
      </c>
      <c r="I334" s="22" t="s">
        <v>15374</v>
      </c>
      <c r="J334" s="22" t="s">
        <v>16899</v>
      </c>
      <c r="K334" s="26">
        <f t="shared" si="5"/>
        <v>573.33333333333326</v>
      </c>
      <c r="N334" s="26">
        <v>860</v>
      </c>
      <c r="O334" s="22" t="s">
        <v>13414</v>
      </c>
      <c r="P334" s="22" t="s">
        <v>13405</v>
      </c>
      <c r="Q334" s="22" t="s">
        <v>13410</v>
      </c>
      <c r="R334" s="22" t="s">
        <v>13415</v>
      </c>
      <c r="S334" s="22" t="s">
        <v>13416</v>
      </c>
      <c r="T334" s="22">
        <v>8.17</v>
      </c>
      <c r="U334" s="22">
        <v>0.38</v>
      </c>
      <c r="X334" s="26"/>
      <c r="Y334" s="26"/>
    </row>
    <row r="335" spans="1:25" ht="25" x14ac:dyDescent="0.25">
      <c r="A335" s="21">
        <v>445</v>
      </c>
      <c r="B335" s="22" t="s">
        <v>15368</v>
      </c>
      <c r="C335" s="22" t="s">
        <v>13417</v>
      </c>
      <c r="D335" s="23">
        <v>127177</v>
      </c>
      <c r="E335" s="24">
        <v>1984</v>
      </c>
      <c r="F335" s="22" t="s">
        <v>13418</v>
      </c>
      <c r="G335" s="23" t="s">
        <v>13419</v>
      </c>
      <c r="H335" s="25" t="s">
        <v>15373</v>
      </c>
      <c r="I335" s="22" t="s">
        <v>15411</v>
      </c>
      <c r="J335" s="22" t="s">
        <v>16884</v>
      </c>
      <c r="K335" s="26">
        <f t="shared" si="5"/>
        <v>400</v>
      </c>
      <c r="L335" s="26">
        <v>400</v>
      </c>
      <c r="O335" s="22" t="s">
        <v>13420</v>
      </c>
      <c r="P335" s="22" t="s">
        <v>13421</v>
      </c>
      <c r="Q335" s="22">
        <v>92531</v>
      </c>
      <c r="R335" s="22" t="s">
        <v>13422</v>
      </c>
      <c r="S335" s="22" t="s">
        <v>13423</v>
      </c>
      <c r="T335" s="22">
        <v>11</v>
      </c>
      <c r="U335" s="22">
        <v>0.53</v>
      </c>
      <c r="X335" s="26"/>
      <c r="Y335" s="26"/>
    </row>
    <row r="336" spans="1:25" ht="37.5" x14ac:dyDescent="0.25">
      <c r="A336" s="21">
        <v>446</v>
      </c>
      <c r="B336" s="22" t="s">
        <v>15368</v>
      </c>
      <c r="C336" s="22" t="s">
        <v>13417</v>
      </c>
      <c r="D336" s="23">
        <v>191452</v>
      </c>
      <c r="E336" s="24">
        <v>1989</v>
      </c>
      <c r="F336" s="22" t="s">
        <v>13424</v>
      </c>
      <c r="G336" s="23" t="s">
        <v>13425</v>
      </c>
      <c r="H336" s="25" t="s">
        <v>15373</v>
      </c>
      <c r="I336" s="22" t="s">
        <v>15374</v>
      </c>
      <c r="J336" s="22" t="s">
        <v>16899</v>
      </c>
      <c r="K336" s="26">
        <f t="shared" si="5"/>
        <v>600</v>
      </c>
      <c r="L336" s="26">
        <v>600</v>
      </c>
      <c r="O336" s="22" t="s">
        <v>13426</v>
      </c>
      <c r="P336" s="22" t="s">
        <v>13421</v>
      </c>
      <c r="Q336" s="22">
        <v>92530</v>
      </c>
      <c r="R336" s="22" t="s">
        <v>13427</v>
      </c>
      <c r="S336" s="22" t="s">
        <v>13423</v>
      </c>
      <c r="T336" s="22">
        <v>8.17</v>
      </c>
      <c r="U336" s="22">
        <v>0.38</v>
      </c>
      <c r="X336" s="26"/>
      <c r="Y336" s="26"/>
    </row>
    <row r="337" spans="1:25" ht="37.5" x14ac:dyDescent="0.25">
      <c r="A337" s="21">
        <v>447</v>
      </c>
      <c r="B337" s="22" t="s">
        <v>15368</v>
      </c>
      <c r="C337" s="22" t="s">
        <v>13428</v>
      </c>
      <c r="D337" s="23">
        <v>255200</v>
      </c>
      <c r="E337" s="24">
        <v>1991</v>
      </c>
      <c r="F337" s="22" t="s">
        <v>13429</v>
      </c>
      <c r="G337" s="23" t="s">
        <v>13430</v>
      </c>
      <c r="H337" s="25" t="s">
        <v>15373</v>
      </c>
      <c r="I337" s="22" t="s">
        <v>15374</v>
      </c>
      <c r="J337" s="22" t="s">
        <v>16404</v>
      </c>
      <c r="K337" s="26">
        <f t="shared" si="5"/>
        <v>384</v>
      </c>
      <c r="N337" s="26">
        <v>576</v>
      </c>
      <c r="O337" s="22" t="s">
        <v>13431</v>
      </c>
      <c r="P337" s="22" t="s">
        <v>13421</v>
      </c>
      <c r="Q337" s="22">
        <v>92330</v>
      </c>
      <c r="R337" s="22" t="s">
        <v>13432</v>
      </c>
      <c r="S337" s="22" t="s">
        <v>13433</v>
      </c>
      <c r="T337" s="22">
        <v>8.17</v>
      </c>
      <c r="U337" s="22">
        <v>0.38</v>
      </c>
      <c r="X337" s="26"/>
      <c r="Y337" s="26"/>
    </row>
    <row r="338" spans="1:25" ht="37.5" x14ac:dyDescent="0.25">
      <c r="A338" s="21">
        <v>448</v>
      </c>
      <c r="B338" s="22" t="s">
        <v>15368</v>
      </c>
      <c r="C338" s="22" t="s">
        <v>13428</v>
      </c>
      <c r="D338" s="23">
        <v>275476</v>
      </c>
      <c r="E338" s="24">
        <v>1992</v>
      </c>
      <c r="F338" s="22" t="s">
        <v>13434</v>
      </c>
      <c r="G338" s="23" t="s">
        <v>13435</v>
      </c>
      <c r="H338" s="25" t="s">
        <v>15373</v>
      </c>
      <c r="I338" s="22" t="s">
        <v>15374</v>
      </c>
      <c r="J338" s="22">
        <v>3406</v>
      </c>
      <c r="K338" s="26">
        <f t="shared" si="5"/>
        <v>346</v>
      </c>
      <c r="N338" s="26">
        <v>519</v>
      </c>
      <c r="O338" s="22" t="s">
        <v>13436</v>
      </c>
      <c r="P338" s="22" t="s">
        <v>13421</v>
      </c>
      <c r="Q338" s="22">
        <v>92530</v>
      </c>
      <c r="R338" s="22" t="s">
        <v>13422</v>
      </c>
      <c r="S338" s="22" t="s">
        <v>13423</v>
      </c>
      <c r="T338" s="22">
        <v>8.17</v>
      </c>
      <c r="U338" s="22">
        <v>0.38</v>
      </c>
      <c r="X338" s="26"/>
      <c r="Y338" s="26"/>
    </row>
    <row r="339" spans="1:25" ht="37.5" x14ac:dyDescent="0.25">
      <c r="A339" s="21">
        <v>449</v>
      </c>
      <c r="B339" s="22" t="s">
        <v>15368</v>
      </c>
      <c r="C339" s="22" t="s">
        <v>13428</v>
      </c>
      <c r="D339" s="23">
        <v>276129</v>
      </c>
      <c r="E339" s="24">
        <v>1992</v>
      </c>
      <c r="F339" s="22" t="s">
        <v>13437</v>
      </c>
      <c r="G339" s="23" t="s">
        <v>13438</v>
      </c>
      <c r="H339" s="25" t="s">
        <v>15373</v>
      </c>
      <c r="I339" s="22" t="s">
        <v>15374</v>
      </c>
      <c r="J339" s="22" t="s">
        <v>16377</v>
      </c>
      <c r="K339" s="26">
        <f t="shared" si="5"/>
        <v>380</v>
      </c>
      <c r="N339" s="26">
        <v>570</v>
      </c>
      <c r="O339" s="22" t="s">
        <v>13439</v>
      </c>
      <c r="P339" s="22" t="s">
        <v>13421</v>
      </c>
      <c r="Q339" s="22">
        <v>92331</v>
      </c>
      <c r="R339" s="22" t="s">
        <v>13427</v>
      </c>
      <c r="S339" s="22" t="s">
        <v>13433</v>
      </c>
      <c r="T339" s="22">
        <v>8.17</v>
      </c>
      <c r="U339" s="22">
        <v>0.38</v>
      </c>
      <c r="X339" s="26"/>
      <c r="Y339" s="26"/>
    </row>
    <row r="340" spans="1:25" ht="37.5" x14ac:dyDescent="0.25">
      <c r="A340" s="21">
        <v>450</v>
      </c>
      <c r="B340" s="22" t="s">
        <v>15368</v>
      </c>
      <c r="C340" s="22" t="s">
        <v>13428</v>
      </c>
      <c r="D340" s="23">
        <v>323623</v>
      </c>
      <c r="E340" s="24">
        <v>1997</v>
      </c>
      <c r="F340" s="22" t="s">
        <v>13440</v>
      </c>
      <c r="G340" s="23" t="s">
        <v>13441</v>
      </c>
      <c r="H340" s="25" t="s">
        <v>15373</v>
      </c>
      <c r="I340" s="22" t="s">
        <v>15374</v>
      </c>
      <c r="J340" s="22" t="s">
        <v>15701</v>
      </c>
      <c r="K340" s="26">
        <f t="shared" si="5"/>
        <v>350</v>
      </c>
      <c r="L340" s="26">
        <v>350</v>
      </c>
      <c r="O340" s="22" t="s">
        <v>13436</v>
      </c>
      <c r="P340" s="22" t="s">
        <v>13421</v>
      </c>
      <c r="Q340" s="22">
        <v>92530</v>
      </c>
      <c r="R340" s="22" t="s">
        <v>13422</v>
      </c>
      <c r="S340" s="22" t="s">
        <v>13423</v>
      </c>
      <c r="T340" s="22">
        <v>6.9</v>
      </c>
      <c r="U340" s="22">
        <v>0.4</v>
      </c>
      <c r="X340" s="26"/>
      <c r="Y340" s="26"/>
    </row>
    <row r="341" spans="1:25" ht="37.5" x14ac:dyDescent="0.25">
      <c r="A341" s="21">
        <v>453</v>
      </c>
      <c r="B341" s="22" t="s">
        <v>15368</v>
      </c>
      <c r="C341" s="22" t="s">
        <v>13428</v>
      </c>
      <c r="D341" s="23">
        <v>366358</v>
      </c>
      <c r="E341" s="24">
        <v>1999</v>
      </c>
      <c r="F341" s="22" t="s">
        <v>13442</v>
      </c>
      <c r="G341" s="23" t="s">
        <v>13443</v>
      </c>
      <c r="H341" s="25" t="s">
        <v>15373</v>
      </c>
      <c r="I341" s="22" t="s">
        <v>15374</v>
      </c>
      <c r="J341" s="22" t="s">
        <v>15701</v>
      </c>
      <c r="K341" s="26">
        <f t="shared" si="5"/>
        <v>350</v>
      </c>
      <c r="L341" s="26">
        <v>350</v>
      </c>
      <c r="O341" s="22" t="s">
        <v>13444</v>
      </c>
      <c r="P341" s="22" t="s">
        <v>13421</v>
      </c>
      <c r="Q341" s="22" t="s">
        <v>13445</v>
      </c>
      <c r="R341" s="22" t="s">
        <v>13446</v>
      </c>
      <c r="S341" s="22" t="s">
        <v>13423</v>
      </c>
      <c r="T341" s="22">
        <v>6.9</v>
      </c>
      <c r="U341" s="22">
        <v>0.4</v>
      </c>
      <c r="X341" s="26"/>
      <c r="Y341" s="26"/>
    </row>
    <row r="342" spans="1:25" ht="25" x14ac:dyDescent="0.25">
      <c r="A342" s="21">
        <v>454</v>
      </c>
      <c r="B342" s="22" t="s">
        <v>15368</v>
      </c>
      <c r="C342" s="22" t="s">
        <v>13447</v>
      </c>
      <c r="D342" s="23">
        <v>352691</v>
      </c>
      <c r="E342" s="24">
        <v>1999</v>
      </c>
      <c r="F342" s="22" t="s">
        <v>13448</v>
      </c>
      <c r="G342" s="23" t="s">
        <v>13449</v>
      </c>
      <c r="H342" s="25" t="s">
        <v>15373</v>
      </c>
      <c r="I342" s="22" t="s">
        <v>15374</v>
      </c>
      <c r="J342" s="22">
        <v>3508</v>
      </c>
      <c r="K342" s="26">
        <f t="shared" si="5"/>
        <v>891.33333333333326</v>
      </c>
      <c r="N342" s="26">
        <v>1337</v>
      </c>
      <c r="O342" s="22" t="s">
        <v>13450</v>
      </c>
      <c r="P342" s="22" t="s">
        <v>15376</v>
      </c>
      <c r="Q342" s="22">
        <v>90024</v>
      </c>
      <c r="R342" s="22" t="s">
        <v>13451</v>
      </c>
      <c r="S342" s="22" t="s">
        <v>13452</v>
      </c>
      <c r="T342" s="22">
        <v>8.17</v>
      </c>
      <c r="U342" s="22">
        <v>0.38</v>
      </c>
      <c r="X342" s="26"/>
      <c r="Y342" s="26"/>
    </row>
    <row r="343" spans="1:25" ht="25" x14ac:dyDescent="0.25">
      <c r="A343" s="21">
        <v>455</v>
      </c>
      <c r="B343" s="22" t="s">
        <v>15368</v>
      </c>
      <c r="C343" s="22" t="s">
        <v>13447</v>
      </c>
      <c r="D343" s="23">
        <v>352692</v>
      </c>
      <c r="E343" s="24">
        <v>1999</v>
      </c>
      <c r="F343" s="22" t="s">
        <v>13453</v>
      </c>
      <c r="G343" s="23" t="s">
        <v>13454</v>
      </c>
      <c r="H343" s="25" t="s">
        <v>16310</v>
      </c>
      <c r="I343" s="22" t="s">
        <v>16160</v>
      </c>
      <c r="J343" s="22" t="s">
        <v>13455</v>
      </c>
      <c r="K343" s="26">
        <f t="shared" si="5"/>
        <v>605.33333333333326</v>
      </c>
      <c r="N343" s="26">
        <v>908</v>
      </c>
      <c r="O343" s="22" t="s">
        <v>13450</v>
      </c>
      <c r="P343" s="22" t="s">
        <v>15376</v>
      </c>
      <c r="Q343" s="22">
        <v>90024</v>
      </c>
      <c r="R343" s="22" t="s">
        <v>13451</v>
      </c>
      <c r="S343" s="22" t="s">
        <v>13452</v>
      </c>
      <c r="X343" s="26"/>
      <c r="Y343" s="26"/>
    </row>
    <row r="344" spans="1:25" ht="25" x14ac:dyDescent="0.25">
      <c r="A344" s="21">
        <v>456</v>
      </c>
      <c r="B344" s="22" t="s">
        <v>15368</v>
      </c>
      <c r="C344" s="22" t="s">
        <v>13447</v>
      </c>
      <c r="D344" s="23">
        <v>352693</v>
      </c>
      <c r="E344" s="24">
        <v>1999</v>
      </c>
      <c r="F344" s="22" t="s">
        <v>13456</v>
      </c>
      <c r="G344" s="23" t="s">
        <v>13454</v>
      </c>
      <c r="H344" s="25" t="s">
        <v>16310</v>
      </c>
      <c r="I344" s="22" t="s">
        <v>16160</v>
      </c>
      <c r="J344" s="22" t="s">
        <v>13455</v>
      </c>
      <c r="K344" s="26">
        <f t="shared" si="5"/>
        <v>605.33333333333326</v>
      </c>
      <c r="N344" s="26">
        <v>908</v>
      </c>
      <c r="O344" s="22" t="s">
        <v>13450</v>
      </c>
      <c r="P344" s="22" t="s">
        <v>15376</v>
      </c>
      <c r="Q344" s="22">
        <v>90024</v>
      </c>
      <c r="R344" s="22" t="s">
        <v>13451</v>
      </c>
      <c r="S344" s="22" t="s">
        <v>13452</v>
      </c>
      <c r="X344" s="26"/>
      <c r="Y344" s="26"/>
    </row>
    <row r="345" spans="1:25" ht="25" x14ac:dyDescent="0.25">
      <c r="A345" s="21">
        <v>457</v>
      </c>
      <c r="B345" s="22" t="s">
        <v>15368</v>
      </c>
      <c r="C345" s="22" t="s">
        <v>13457</v>
      </c>
      <c r="D345" s="23">
        <v>352685</v>
      </c>
      <c r="E345" s="24">
        <v>1999</v>
      </c>
      <c r="F345" s="22" t="s">
        <v>14752</v>
      </c>
      <c r="G345" s="23" t="s">
        <v>14753</v>
      </c>
      <c r="H345" s="25" t="s">
        <v>15373</v>
      </c>
      <c r="I345" s="22" t="s">
        <v>15411</v>
      </c>
      <c r="J345" s="22" t="s">
        <v>14754</v>
      </c>
      <c r="K345" s="26">
        <f t="shared" si="5"/>
        <v>730</v>
      </c>
      <c r="N345" s="26">
        <v>1095</v>
      </c>
      <c r="O345" s="22" t="s">
        <v>14755</v>
      </c>
      <c r="P345" s="22" t="s">
        <v>15376</v>
      </c>
      <c r="Q345" s="22">
        <v>90071</v>
      </c>
      <c r="R345" s="22" t="s">
        <v>14756</v>
      </c>
      <c r="S345" s="22" t="s">
        <v>14757</v>
      </c>
      <c r="T345" s="22">
        <v>8.17</v>
      </c>
      <c r="U345" s="22">
        <v>0.38</v>
      </c>
      <c r="X345" s="26"/>
      <c r="Y345" s="26"/>
    </row>
    <row r="346" spans="1:25" ht="25" x14ac:dyDescent="0.25">
      <c r="A346" s="21">
        <v>459</v>
      </c>
      <c r="B346" s="22" t="s">
        <v>15368</v>
      </c>
      <c r="C346" s="22" t="s">
        <v>14758</v>
      </c>
      <c r="D346" s="23">
        <v>329601</v>
      </c>
      <c r="E346" s="24">
        <v>1997</v>
      </c>
      <c r="F346" s="22" t="s">
        <v>14759</v>
      </c>
      <c r="G346" s="23" t="s">
        <v>14760</v>
      </c>
      <c r="H346" s="25" t="s">
        <v>15373</v>
      </c>
      <c r="I346" s="22" t="s">
        <v>15411</v>
      </c>
      <c r="J346" s="22" t="s">
        <v>14761</v>
      </c>
      <c r="K346" s="26">
        <f t="shared" si="5"/>
        <v>730</v>
      </c>
      <c r="N346" s="26">
        <v>1095</v>
      </c>
      <c r="O346" s="22" t="s">
        <v>14762</v>
      </c>
      <c r="P346" s="22" t="s">
        <v>16819</v>
      </c>
      <c r="Q346" s="22">
        <v>91101</v>
      </c>
      <c r="R346" s="22" t="s">
        <v>14763</v>
      </c>
      <c r="S346" s="22" t="s">
        <v>14764</v>
      </c>
      <c r="T346" s="22">
        <v>8.17</v>
      </c>
      <c r="U346" s="22">
        <v>0.38</v>
      </c>
      <c r="X346" s="26"/>
      <c r="Y346" s="26"/>
    </row>
    <row r="347" spans="1:25" ht="25" x14ac:dyDescent="0.25">
      <c r="A347" s="21">
        <v>460</v>
      </c>
      <c r="B347" s="22" t="s">
        <v>15368</v>
      </c>
      <c r="C347" s="22" t="s">
        <v>14765</v>
      </c>
      <c r="D347" s="23">
        <v>329602</v>
      </c>
      <c r="E347" s="24">
        <v>1997</v>
      </c>
      <c r="F347" s="22" t="s">
        <v>14766</v>
      </c>
      <c r="G347" s="23" t="s">
        <v>14767</v>
      </c>
      <c r="H347" s="25" t="s">
        <v>15373</v>
      </c>
      <c r="I347" s="22" t="s">
        <v>15374</v>
      </c>
      <c r="J347" s="22" t="s">
        <v>15191</v>
      </c>
      <c r="K347" s="26">
        <f t="shared" si="5"/>
        <v>678</v>
      </c>
      <c r="N347" s="26">
        <v>1017</v>
      </c>
      <c r="O347" s="22" t="s">
        <v>14768</v>
      </c>
      <c r="P347" s="22" t="s">
        <v>16819</v>
      </c>
      <c r="Q347" s="22">
        <v>91101</v>
      </c>
      <c r="R347" s="22" t="s">
        <v>14763</v>
      </c>
      <c r="S347" s="22" t="s">
        <v>14764</v>
      </c>
      <c r="T347" s="22">
        <v>8.17</v>
      </c>
      <c r="U347" s="22">
        <v>0.38</v>
      </c>
      <c r="X347" s="26"/>
      <c r="Y347" s="26"/>
    </row>
    <row r="348" spans="1:25" ht="25" x14ac:dyDescent="0.25">
      <c r="A348" s="21">
        <v>489</v>
      </c>
      <c r="B348" s="22" t="s">
        <v>15368</v>
      </c>
      <c r="C348" s="22" t="s">
        <v>14769</v>
      </c>
      <c r="D348" s="23" t="s">
        <v>14770</v>
      </c>
      <c r="E348" s="24">
        <v>1978</v>
      </c>
      <c r="F348" s="22" t="s">
        <v>14771</v>
      </c>
      <c r="G348" s="23" t="s">
        <v>14772</v>
      </c>
      <c r="H348" s="25" t="s">
        <v>15373</v>
      </c>
      <c r="I348" s="22" t="s">
        <v>15411</v>
      </c>
      <c r="J348" s="22" t="s">
        <v>14773</v>
      </c>
      <c r="K348" s="26">
        <f t="shared" si="5"/>
        <v>800</v>
      </c>
      <c r="L348" s="26">
        <v>800</v>
      </c>
      <c r="O348" s="22" t="s">
        <v>14774</v>
      </c>
      <c r="P348" s="22" t="s">
        <v>15435</v>
      </c>
      <c r="Q348" s="22">
        <v>92626</v>
      </c>
      <c r="R348" s="22" t="s">
        <v>14775</v>
      </c>
      <c r="S348" s="22" t="s">
        <v>14776</v>
      </c>
      <c r="T348" s="22">
        <v>12</v>
      </c>
      <c r="U348" s="22">
        <v>0.53</v>
      </c>
      <c r="X348" s="26"/>
      <c r="Y348" s="26"/>
    </row>
    <row r="349" spans="1:25" ht="37.5" x14ac:dyDescent="0.25">
      <c r="A349" s="21">
        <v>490</v>
      </c>
      <c r="B349" s="22" t="s">
        <v>15368</v>
      </c>
      <c r="C349" s="22" t="s">
        <v>14769</v>
      </c>
      <c r="D349" s="23" t="s">
        <v>14777</v>
      </c>
      <c r="E349" s="24">
        <v>1981</v>
      </c>
      <c r="F349" s="22" t="s">
        <v>14778</v>
      </c>
      <c r="G349" s="23" t="s">
        <v>14779</v>
      </c>
      <c r="H349" s="25" t="s">
        <v>15373</v>
      </c>
      <c r="I349" s="22" t="s">
        <v>15411</v>
      </c>
      <c r="J349" s="22" t="s">
        <v>16462</v>
      </c>
      <c r="K349" s="26">
        <f t="shared" si="5"/>
        <v>800</v>
      </c>
      <c r="L349" s="26">
        <v>800</v>
      </c>
      <c r="O349" s="22" t="s">
        <v>14774</v>
      </c>
      <c r="P349" s="22" t="s">
        <v>15435</v>
      </c>
      <c r="Q349" s="22">
        <v>92626</v>
      </c>
      <c r="R349" s="22" t="s">
        <v>14775</v>
      </c>
      <c r="S349" s="22" t="s">
        <v>14776</v>
      </c>
      <c r="T349" s="22">
        <v>12</v>
      </c>
      <c r="U349" s="22">
        <v>0.53</v>
      </c>
      <c r="X349" s="26"/>
      <c r="Y349" s="26"/>
    </row>
    <row r="350" spans="1:25" ht="25" x14ac:dyDescent="0.25">
      <c r="A350" s="21">
        <v>491</v>
      </c>
      <c r="B350" s="22" t="s">
        <v>15368</v>
      </c>
      <c r="C350" s="22" t="s">
        <v>14769</v>
      </c>
      <c r="D350" s="23" t="s">
        <v>14780</v>
      </c>
      <c r="E350" s="24">
        <v>1981</v>
      </c>
      <c r="F350" s="22" t="s">
        <v>14781</v>
      </c>
      <c r="G350" s="23" t="s">
        <v>14782</v>
      </c>
      <c r="H350" s="25" t="s">
        <v>15373</v>
      </c>
      <c r="I350" s="22" t="s">
        <v>15411</v>
      </c>
      <c r="J350" s="22" t="s">
        <v>16462</v>
      </c>
      <c r="K350" s="26">
        <f t="shared" si="5"/>
        <v>800</v>
      </c>
      <c r="L350" s="26">
        <v>800</v>
      </c>
      <c r="O350" s="22" t="s">
        <v>14774</v>
      </c>
      <c r="P350" s="22" t="s">
        <v>15435</v>
      </c>
      <c r="Q350" s="22">
        <v>92626</v>
      </c>
      <c r="R350" s="22" t="s">
        <v>14775</v>
      </c>
      <c r="S350" s="22" t="s">
        <v>14776</v>
      </c>
      <c r="T350" s="22">
        <v>12</v>
      </c>
      <c r="U350" s="22">
        <v>0.53</v>
      </c>
      <c r="X350" s="26"/>
      <c r="Y350" s="26"/>
    </row>
    <row r="351" spans="1:25" ht="25" x14ac:dyDescent="0.25">
      <c r="A351" s="21">
        <v>492</v>
      </c>
      <c r="B351" s="22" t="s">
        <v>15368</v>
      </c>
      <c r="C351" s="22" t="s">
        <v>14783</v>
      </c>
      <c r="D351" s="23">
        <v>154446</v>
      </c>
      <c r="E351" s="24">
        <v>1987</v>
      </c>
      <c r="F351" s="22" t="s">
        <v>14784</v>
      </c>
      <c r="G351" s="23" t="s">
        <v>14785</v>
      </c>
      <c r="H351" s="25" t="s">
        <v>15373</v>
      </c>
      <c r="I351" s="22" t="s">
        <v>15374</v>
      </c>
      <c r="J351" s="22" t="s">
        <v>15191</v>
      </c>
      <c r="K351" s="26">
        <f t="shared" si="5"/>
        <v>891.33333333333326</v>
      </c>
      <c r="N351" s="26">
        <v>1337</v>
      </c>
      <c r="O351" s="22" t="s">
        <v>14786</v>
      </c>
      <c r="P351" s="22" t="s">
        <v>15376</v>
      </c>
      <c r="Q351" s="22">
        <v>90005</v>
      </c>
      <c r="R351" s="22" t="s">
        <v>14787</v>
      </c>
      <c r="S351" s="22" t="s">
        <v>14788</v>
      </c>
      <c r="T351" s="22">
        <v>11</v>
      </c>
      <c r="U351" s="22">
        <v>0.53</v>
      </c>
      <c r="X351" s="26"/>
      <c r="Y351" s="26"/>
    </row>
    <row r="352" spans="1:25" ht="25" x14ac:dyDescent="0.25">
      <c r="A352" s="21">
        <v>493</v>
      </c>
      <c r="B352" s="22" t="s">
        <v>15368</v>
      </c>
      <c r="C352" s="22" t="s">
        <v>14783</v>
      </c>
      <c r="D352" s="23">
        <v>154447</v>
      </c>
      <c r="E352" s="24">
        <v>1987</v>
      </c>
      <c r="F352" s="22" t="s">
        <v>14789</v>
      </c>
      <c r="G352" s="23" t="s">
        <v>14785</v>
      </c>
      <c r="H352" s="25" t="s">
        <v>15373</v>
      </c>
      <c r="I352" s="22" t="s">
        <v>15374</v>
      </c>
      <c r="J352" s="22" t="s">
        <v>15191</v>
      </c>
      <c r="K352" s="26">
        <f t="shared" si="5"/>
        <v>891.33333333333326</v>
      </c>
      <c r="N352" s="26">
        <v>1337</v>
      </c>
      <c r="O352" s="22" t="s">
        <v>14786</v>
      </c>
      <c r="P352" s="22" t="s">
        <v>15376</v>
      </c>
      <c r="Q352" s="22">
        <v>90005</v>
      </c>
      <c r="R352" s="22" t="s">
        <v>14787</v>
      </c>
      <c r="S352" s="22" t="s">
        <v>14788</v>
      </c>
      <c r="T352" s="22">
        <v>11</v>
      </c>
      <c r="U352" s="22">
        <v>0.53</v>
      </c>
      <c r="X352" s="26"/>
      <c r="Y352" s="26"/>
    </row>
    <row r="353" spans="1:25" ht="25" x14ac:dyDescent="0.25">
      <c r="A353" s="21">
        <v>494</v>
      </c>
      <c r="B353" s="22" t="s">
        <v>15368</v>
      </c>
      <c r="C353" s="22" t="s">
        <v>14783</v>
      </c>
      <c r="D353" s="23">
        <v>154448</v>
      </c>
      <c r="E353" s="24">
        <v>1987</v>
      </c>
      <c r="F353" s="22" t="s">
        <v>14790</v>
      </c>
      <c r="G353" s="23" t="s">
        <v>14791</v>
      </c>
      <c r="H353" s="25" t="s">
        <v>15373</v>
      </c>
      <c r="I353" s="22" t="s">
        <v>15374</v>
      </c>
      <c r="J353" s="22" t="s">
        <v>15191</v>
      </c>
      <c r="K353" s="26">
        <f t="shared" si="5"/>
        <v>891.33333333333326</v>
      </c>
      <c r="N353" s="26">
        <v>1337</v>
      </c>
      <c r="O353" s="22" t="s">
        <v>14786</v>
      </c>
      <c r="P353" s="22" t="s">
        <v>15376</v>
      </c>
      <c r="Q353" s="22">
        <v>90005</v>
      </c>
      <c r="R353" s="22" t="s">
        <v>14787</v>
      </c>
      <c r="S353" s="22" t="s">
        <v>14788</v>
      </c>
      <c r="T353" s="22">
        <v>11</v>
      </c>
      <c r="U353" s="22">
        <v>0.53</v>
      </c>
      <c r="X353" s="26"/>
      <c r="Y353" s="26"/>
    </row>
    <row r="354" spans="1:25" ht="25" x14ac:dyDescent="0.25">
      <c r="A354" s="21">
        <v>495</v>
      </c>
      <c r="B354" s="22" t="s">
        <v>15368</v>
      </c>
      <c r="C354" s="22" t="s">
        <v>14792</v>
      </c>
      <c r="D354" s="23">
        <v>378810</v>
      </c>
      <c r="E354" s="24">
        <v>2000</v>
      </c>
      <c r="F354" s="22" t="s">
        <v>14793</v>
      </c>
      <c r="G354" s="23" t="s">
        <v>14794</v>
      </c>
      <c r="H354" s="25" t="s">
        <v>15373</v>
      </c>
      <c r="I354" s="22" t="s">
        <v>15382</v>
      </c>
      <c r="J354" s="22" t="s">
        <v>16450</v>
      </c>
      <c r="K354" s="26">
        <f t="shared" si="5"/>
        <v>993.33333333333326</v>
      </c>
      <c r="N354" s="26">
        <v>1490</v>
      </c>
      <c r="O354" s="22" t="s">
        <v>14795</v>
      </c>
      <c r="P354" s="22" t="s">
        <v>16249</v>
      </c>
      <c r="Q354" s="22">
        <v>91766</v>
      </c>
      <c r="R354" s="22" t="s">
        <v>14796</v>
      </c>
      <c r="S354" s="22" t="s">
        <v>14797</v>
      </c>
      <c r="T354" s="22">
        <v>6.9</v>
      </c>
      <c r="U354" s="22">
        <v>0.4</v>
      </c>
      <c r="X354" s="26"/>
      <c r="Y354" s="26"/>
    </row>
    <row r="355" spans="1:25" ht="25" x14ac:dyDescent="0.25">
      <c r="A355" s="21">
        <v>496</v>
      </c>
      <c r="B355" s="22" t="s">
        <v>15368</v>
      </c>
      <c r="C355" s="22" t="s">
        <v>14798</v>
      </c>
      <c r="D355" s="23">
        <v>345212</v>
      </c>
      <c r="E355" s="24">
        <v>1998</v>
      </c>
      <c r="F355" s="22" t="s">
        <v>14799</v>
      </c>
      <c r="G355" s="23" t="s">
        <v>14800</v>
      </c>
      <c r="H355" s="25" t="s">
        <v>15373</v>
      </c>
      <c r="I355" s="22" t="s">
        <v>15374</v>
      </c>
      <c r="J355" s="22" t="s">
        <v>14709</v>
      </c>
      <c r="K355" s="26">
        <f t="shared" si="5"/>
        <v>500</v>
      </c>
      <c r="L355" s="26">
        <v>500</v>
      </c>
      <c r="O355" s="22" t="s">
        <v>14801</v>
      </c>
      <c r="P355" s="22" t="s">
        <v>16853</v>
      </c>
      <c r="Q355" s="22">
        <v>92728</v>
      </c>
      <c r="R355" s="22" t="s">
        <v>14802</v>
      </c>
      <c r="S355" s="22" t="s">
        <v>14803</v>
      </c>
      <c r="T355" s="22">
        <v>6.9</v>
      </c>
      <c r="U355" s="22">
        <v>0.4</v>
      </c>
      <c r="X355" s="26"/>
      <c r="Y355" s="26"/>
    </row>
    <row r="356" spans="1:25" ht="25" x14ac:dyDescent="0.25">
      <c r="A356" s="21">
        <v>497</v>
      </c>
      <c r="B356" s="22" t="s">
        <v>15368</v>
      </c>
      <c r="C356" s="22" t="s">
        <v>14804</v>
      </c>
      <c r="D356" s="23">
        <v>201719</v>
      </c>
      <c r="E356" s="24">
        <v>1989</v>
      </c>
      <c r="F356" s="22" t="s">
        <v>14805</v>
      </c>
      <c r="G356" s="23" t="s">
        <v>14806</v>
      </c>
      <c r="H356" s="25" t="s">
        <v>15373</v>
      </c>
      <c r="I356" s="22" t="s">
        <v>15382</v>
      </c>
      <c r="J356" s="22" t="s">
        <v>14807</v>
      </c>
      <c r="K356" s="26">
        <f t="shared" si="5"/>
        <v>373.33333333333331</v>
      </c>
      <c r="N356" s="26">
        <v>560</v>
      </c>
      <c r="O356" s="22" t="s">
        <v>14808</v>
      </c>
      <c r="P356" s="22" t="s">
        <v>15376</v>
      </c>
      <c r="Q356" s="22">
        <v>90039</v>
      </c>
      <c r="R356" s="22" t="s">
        <v>14809</v>
      </c>
      <c r="S356" s="22" t="s">
        <v>15966</v>
      </c>
      <c r="T356" s="22">
        <v>8.17</v>
      </c>
      <c r="U356" s="22">
        <v>0.38</v>
      </c>
      <c r="X356" s="26"/>
      <c r="Y356" s="26"/>
    </row>
    <row r="357" spans="1:25" ht="37.5" x14ac:dyDescent="0.25">
      <c r="A357" s="21">
        <v>498</v>
      </c>
      <c r="B357" s="22" t="s">
        <v>15368</v>
      </c>
      <c r="C357" s="22" t="s">
        <v>14810</v>
      </c>
      <c r="D357" s="23">
        <v>365970</v>
      </c>
      <c r="E357" s="24">
        <v>2000</v>
      </c>
      <c r="F357" s="22" t="s">
        <v>14811</v>
      </c>
      <c r="G357" s="23" t="s">
        <v>14812</v>
      </c>
      <c r="H357" s="25" t="s">
        <v>15373</v>
      </c>
      <c r="I357" s="22" t="s">
        <v>15374</v>
      </c>
      <c r="J357" s="22">
        <v>3512</v>
      </c>
      <c r="K357" s="26">
        <f t="shared" si="5"/>
        <v>1186</v>
      </c>
      <c r="N357" s="26">
        <v>1779</v>
      </c>
      <c r="O357" s="22" t="s">
        <v>14813</v>
      </c>
      <c r="P357" s="22" t="s">
        <v>15376</v>
      </c>
      <c r="Q357" s="22">
        <v>90017</v>
      </c>
      <c r="R357" s="22" t="s">
        <v>14814</v>
      </c>
      <c r="S357" s="22" t="s">
        <v>14815</v>
      </c>
      <c r="T357" s="22">
        <v>6.9</v>
      </c>
      <c r="U357" s="22">
        <v>0.4</v>
      </c>
      <c r="X357" s="26"/>
      <c r="Y357" s="26"/>
    </row>
    <row r="358" spans="1:25" ht="37.5" x14ac:dyDescent="0.25">
      <c r="A358" s="21">
        <v>499</v>
      </c>
      <c r="B358" s="22" t="s">
        <v>15368</v>
      </c>
      <c r="C358" s="22" t="s">
        <v>14810</v>
      </c>
      <c r="D358" s="23">
        <v>366439</v>
      </c>
      <c r="E358" s="24">
        <v>2000</v>
      </c>
      <c r="F358" s="22" t="s">
        <v>14816</v>
      </c>
      <c r="G358" s="23" t="s">
        <v>14817</v>
      </c>
      <c r="H358" s="25" t="s">
        <v>15373</v>
      </c>
      <c r="I358" s="22" t="s">
        <v>15374</v>
      </c>
      <c r="J358" s="22">
        <v>3512</v>
      </c>
      <c r="K358" s="26">
        <f t="shared" si="5"/>
        <v>1186</v>
      </c>
      <c r="N358" s="26">
        <v>1779</v>
      </c>
      <c r="O358" s="22" t="s">
        <v>14813</v>
      </c>
      <c r="P358" s="22" t="s">
        <v>15376</v>
      </c>
      <c r="Q358" s="22">
        <v>90017</v>
      </c>
      <c r="R358" s="22" t="s">
        <v>14814</v>
      </c>
      <c r="S358" s="22" t="s">
        <v>14815</v>
      </c>
      <c r="T358" s="22">
        <v>6.9</v>
      </c>
      <c r="U358" s="22">
        <v>0.4</v>
      </c>
      <c r="X358" s="26"/>
      <c r="Y358" s="26"/>
    </row>
    <row r="359" spans="1:25" ht="25" x14ac:dyDescent="0.25">
      <c r="A359" s="21">
        <v>500</v>
      </c>
      <c r="B359" s="22" t="s">
        <v>15368</v>
      </c>
      <c r="C359" s="22" t="s">
        <v>14818</v>
      </c>
      <c r="D359" s="23">
        <v>360308</v>
      </c>
      <c r="E359" s="24">
        <v>1999</v>
      </c>
      <c r="F359" s="22" t="s">
        <v>14819</v>
      </c>
      <c r="G359" s="23" t="s">
        <v>14820</v>
      </c>
      <c r="H359" s="25" t="s">
        <v>15373</v>
      </c>
      <c r="I359" s="22" t="s">
        <v>15374</v>
      </c>
      <c r="J359" s="22">
        <v>3406</v>
      </c>
      <c r="K359" s="26">
        <f t="shared" si="5"/>
        <v>400</v>
      </c>
      <c r="L359" s="26">
        <v>400</v>
      </c>
      <c r="O359" s="22" t="s">
        <v>14821</v>
      </c>
      <c r="P359" s="22" t="s">
        <v>15435</v>
      </c>
      <c r="Q359" s="22">
        <v>92626</v>
      </c>
      <c r="R359" s="22" t="s">
        <v>14822</v>
      </c>
      <c r="S359" s="22" t="s">
        <v>14823</v>
      </c>
      <c r="T359" s="22">
        <v>6.9</v>
      </c>
      <c r="U359" s="22">
        <v>0.4</v>
      </c>
      <c r="X359" s="26"/>
      <c r="Y359" s="26"/>
    </row>
    <row r="360" spans="1:25" ht="25" x14ac:dyDescent="0.25">
      <c r="A360" s="21">
        <v>501</v>
      </c>
      <c r="B360" s="22" t="s">
        <v>15368</v>
      </c>
      <c r="C360" s="22" t="s">
        <v>14824</v>
      </c>
      <c r="D360" s="23">
        <v>349158</v>
      </c>
      <c r="E360" s="24">
        <v>1999</v>
      </c>
      <c r="F360" s="22" t="s">
        <v>14825</v>
      </c>
      <c r="G360" s="23" t="s">
        <v>15738</v>
      </c>
      <c r="H360" s="25" t="s">
        <v>15373</v>
      </c>
      <c r="I360" s="22" t="s">
        <v>15382</v>
      </c>
      <c r="J360" s="22" t="s">
        <v>15640</v>
      </c>
      <c r="K360" s="26">
        <f t="shared" si="5"/>
        <v>993.33333333333326</v>
      </c>
      <c r="N360" s="26">
        <v>1490</v>
      </c>
      <c r="O360" s="22" t="s">
        <v>14826</v>
      </c>
      <c r="P360" s="22" t="s">
        <v>15376</v>
      </c>
      <c r="Q360" s="22" t="s">
        <v>14827</v>
      </c>
      <c r="R360" s="22" t="s">
        <v>14828</v>
      </c>
      <c r="S360" s="22" t="s">
        <v>14829</v>
      </c>
      <c r="T360" s="22">
        <v>8.17</v>
      </c>
      <c r="U360" s="22">
        <v>0.38</v>
      </c>
      <c r="X360" s="26"/>
      <c r="Y360" s="26"/>
    </row>
    <row r="361" spans="1:25" ht="25" x14ac:dyDescent="0.25">
      <c r="A361" s="21">
        <v>502</v>
      </c>
      <c r="B361" s="22" t="s">
        <v>15368</v>
      </c>
      <c r="C361" s="22" t="s">
        <v>14824</v>
      </c>
      <c r="D361" s="23" t="s">
        <v>14830</v>
      </c>
      <c r="E361" s="24">
        <v>1982</v>
      </c>
      <c r="F361" s="22" t="s">
        <v>14831</v>
      </c>
      <c r="G361" s="23" t="s">
        <v>14832</v>
      </c>
      <c r="H361" s="25" t="s">
        <v>15373</v>
      </c>
      <c r="I361" s="22" t="s">
        <v>15374</v>
      </c>
      <c r="J361" s="22" t="s">
        <v>14833</v>
      </c>
      <c r="K361" s="26">
        <f t="shared" si="5"/>
        <v>600</v>
      </c>
      <c r="L361" s="26">
        <v>600</v>
      </c>
      <c r="O361" s="22" t="s">
        <v>14826</v>
      </c>
      <c r="P361" s="22" t="s">
        <v>15376</v>
      </c>
      <c r="Q361" s="22" t="s">
        <v>14827</v>
      </c>
      <c r="R361" s="22" t="s">
        <v>14828</v>
      </c>
      <c r="S361" s="22" t="s">
        <v>14829</v>
      </c>
      <c r="T361" s="22">
        <v>12</v>
      </c>
      <c r="U361" s="22">
        <v>0.53</v>
      </c>
      <c r="X361" s="26"/>
      <c r="Y361" s="26"/>
    </row>
    <row r="362" spans="1:25" ht="25" x14ac:dyDescent="0.25">
      <c r="A362" s="21">
        <v>504</v>
      </c>
      <c r="B362" s="22" t="s">
        <v>15368</v>
      </c>
      <c r="C362" s="22" t="s">
        <v>14834</v>
      </c>
      <c r="D362" s="23">
        <v>320074</v>
      </c>
      <c r="E362" s="24">
        <v>1996</v>
      </c>
      <c r="F362" s="22" t="s">
        <v>14835</v>
      </c>
      <c r="G362" s="23" t="s">
        <v>14836</v>
      </c>
      <c r="H362" s="25" t="s">
        <v>15373</v>
      </c>
      <c r="I362" s="22" t="s">
        <v>15382</v>
      </c>
      <c r="J362" s="22" t="s">
        <v>14837</v>
      </c>
      <c r="K362" s="26">
        <f t="shared" si="5"/>
        <v>456.66666666666663</v>
      </c>
      <c r="N362" s="26">
        <v>685</v>
      </c>
      <c r="O362" s="22" t="s">
        <v>14838</v>
      </c>
      <c r="P362" s="22" t="s">
        <v>14711</v>
      </c>
      <c r="Q362" s="22">
        <v>91411</v>
      </c>
      <c r="R362" s="22" t="s">
        <v>14839</v>
      </c>
      <c r="S362" s="22" t="s">
        <v>14840</v>
      </c>
      <c r="T362" s="22">
        <v>6.9</v>
      </c>
      <c r="U362" s="22">
        <v>0.4</v>
      </c>
      <c r="X362" s="26"/>
      <c r="Y362" s="26"/>
    </row>
    <row r="363" spans="1:25" ht="25" x14ac:dyDescent="0.25">
      <c r="A363" s="21">
        <v>505</v>
      </c>
      <c r="B363" s="22" t="s">
        <v>15368</v>
      </c>
      <c r="C363" s="22" t="s">
        <v>14841</v>
      </c>
      <c r="D363" s="23">
        <v>345678</v>
      </c>
      <c r="E363" s="24">
        <v>1998</v>
      </c>
      <c r="F363" s="22" t="s">
        <v>14842</v>
      </c>
      <c r="G363" s="23" t="s">
        <v>14843</v>
      </c>
      <c r="H363" s="25" t="s">
        <v>15373</v>
      </c>
      <c r="I363" s="22" t="s">
        <v>15411</v>
      </c>
      <c r="J363" s="22" t="s">
        <v>15068</v>
      </c>
      <c r="K363" s="26">
        <f t="shared" si="5"/>
        <v>780</v>
      </c>
      <c r="N363" s="26">
        <v>1170</v>
      </c>
      <c r="O363" s="22" t="s">
        <v>14844</v>
      </c>
      <c r="P363" s="22" t="s">
        <v>16220</v>
      </c>
      <c r="Q363" s="22">
        <v>92656</v>
      </c>
      <c r="R363" s="22" t="s">
        <v>14845</v>
      </c>
      <c r="S363" s="22" t="s">
        <v>14846</v>
      </c>
      <c r="T363" s="22">
        <v>8.17</v>
      </c>
      <c r="U363" s="22">
        <v>0.38</v>
      </c>
      <c r="X363" s="26"/>
      <c r="Y363" s="26"/>
    </row>
    <row r="364" spans="1:25" ht="25" x14ac:dyDescent="0.25">
      <c r="A364" s="21">
        <v>506</v>
      </c>
      <c r="B364" s="22" t="s">
        <v>15368</v>
      </c>
      <c r="C364" s="22" t="s">
        <v>14847</v>
      </c>
      <c r="D364" s="23">
        <v>216213</v>
      </c>
      <c r="E364" s="24">
        <v>1989</v>
      </c>
      <c r="F364" s="22" t="s">
        <v>14848</v>
      </c>
      <c r="G364" s="23" t="s">
        <v>14849</v>
      </c>
      <c r="H364" s="25" t="s">
        <v>15373</v>
      </c>
      <c r="I364" s="22" t="s">
        <v>15382</v>
      </c>
      <c r="J364" s="22" t="s">
        <v>14850</v>
      </c>
      <c r="K364" s="26">
        <f t="shared" si="5"/>
        <v>356.66666666666663</v>
      </c>
      <c r="N364" s="26">
        <v>535</v>
      </c>
      <c r="O364" s="22" t="s">
        <v>14851</v>
      </c>
      <c r="P364" s="22" t="s">
        <v>15864</v>
      </c>
      <c r="Q364" s="22">
        <v>92335</v>
      </c>
      <c r="R364" s="22" t="s">
        <v>14852</v>
      </c>
      <c r="S364" s="22" t="s">
        <v>14853</v>
      </c>
      <c r="T364" s="22">
        <v>8.17</v>
      </c>
      <c r="U364" s="22">
        <v>0.38</v>
      </c>
      <c r="X364" s="26"/>
      <c r="Y364" s="26"/>
    </row>
    <row r="365" spans="1:25" ht="25" x14ac:dyDescent="0.25">
      <c r="A365" s="21">
        <v>507</v>
      </c>
      <c r="B365" s="22" t="s">
        <v>15368</v>
      </c>
      <c r="C365" s="22" t="s">
        <v>14854</v>
      </c>
      <c r="D365" s="23">
        <v>303238</v>
      </c>
      <c r="E365" s="24">
        <v>1995</v>
      </c>
      <c r="F365" s="22" t="s">
        <v>14855</v>
      </c>
      <c r="G365" s="23" t="s">
        <v>14856</v>
      </c>
      <c r="H365" s="25" t="s">
        <v>15373</v>
      </c>
      <c r="I365" s="22" t="s">
        <v>15382</v>
      </c>
      <c r="J365" s="22" t="s">
        <v>16811</v>
      </c>
      <c r="K365" s="26">
        <f t="shared" si="5"/>
        <v>356.66666666666663</v>
      </c>
      <c r="N365" s="26">
        <v>535</v>
      </c>
      <c r="O365" s="22" t="s">
        <v>16832</v>
      </c>
      <c r="R365" s="22" t="s">
        <v>14857</v>
      </c>
      <c r="S365" s="22" t="s">
        <v>14858</v>
      </c>
      <c r="T365" s="22">
        <v>8.17</v>
      </c>
      <c r="U365" s="22">
        <v>0.38</v>
      </c>
      <c r="X365" s="26"/>
      <c r="Y365" s="26"/>
    </row>
    <row r="366" spans="1:25" ht="37.5" x14ac:dyDescent="0.25">
      <c r="A366" s="21">
        <v>508</v>
      </c>
      <c r="B366" s="22" t="s">
        <v>15368</v>
      </c>
      <c r="C366" s="22" t="s">
        <v>14854</v>
      </c>
      <c r="D366" s="23">
        <v>331118</v>
      </c>
      <c r="E366" s="24">
        <v>1997</v>
      </c>
      <c r="F366" s="22" t="s">
        <v>14859</v>
      </c>
      <c r="G366" s="23" t="s">
        <v>14860</v>
      </c>
      <c r="H366" s="25" t="s">
        <v>15373</v>
      </c>
      <c r="I366" s="22" t="s">
        <v>15382</v>
      </c>
      <c r="J366" s="22" t="s">
        <v>14861</v>
      </c>
      <c r="K366" s="26">
        <f t="shared" si="5"/>
        <v>500</v>
      </c>
      <c r="N366" s="26">
        <v>750</v>
      </c>
      <c r="O366" s="22" t="s">
        <v>16832</v>
      </c>
      <c r="R366" s="22" t="s">
        <v>14857</v>
      </c>
      <c r="S366" s="22" t="s">
        <v>14858</v>
      </c>
      <c r="T366" s="22">
        <v>6.9</v>
      </c>
      <c r="U366" s="22">
        <v>0.4</v>
      </c>
      <c r="X366" s="26"/>
      <c r="Y366" s="26"/>
    </row>
    <row r="367" spans="1:25" ht="37.5" x14ac:dyDescent="0.25">
      <c r="A367" s="21">
        <v>509</v>
      </c>
      <c r="B367" s="22" t="s">
        <v>15368</v>
      </c>
      <c r="C367" s="22" t="s">
        <v>14854</v>
      </c>
      <c r="D367" s="23">
        <v>331119</v>
      </c>
      <c r="E367" s="24">
        <v>1997</v>
      </c>
      <c r="F367" s="22" t="s">
        <v>14862</v>
      </c>
      <c r="G367" s="23" t="s">
        <v>14863</v>
      </c>
      <c r="H367" s="25" t="s">
        <v>15373</v>
      </c>
      <c r="I367" s="22" t="s">
        <v>15382</v>
      </c>
      <c r="J367" s="22" t="s">
        <v>14861</v>
      </c>
      <c r="K367" s="26">
        <f t="shared" si="5"/>
        <v>500</v>
      </c>
      <c r="N367" s="26">
        <v>750</v>
      </c>
      <c r="O367" s="22" t="s">
        <v>16832</v>
      </c>
      <c r="R367" s="22" t="s">
        <v>14857</v>
      </c>
      <c r="S367" s="22" t="s">
        <v>14858</v>
      </c>
      <c r="T367" s="22">
        <v>6.9</v>
      </c>
      <c r="U367" s="22">
        <v>0.4</v>
      </c>
      <c r="X367" s="26"/>
      <c r="Y367" s="26"/>
    </row>
    <row r="368" spans="1:25" ht="25" x14ac:dyDescent="0.25">
      <c r="A368" s="21">
        <v>510</v>
      </c>
      <c r="B368" s="22" t="s">
        <v>15368</v>
      </c>
      <c r="C368" s="22" t="s">
        <v>14864</v>
      </c>
      <c r="D368" s="23">
        <v>295835</v>
      </c>
      <c r="E368" s="24">
        <v>1994</v>
      </c>
      <c r="F368" s="22" t="s">
        <v>14865</v>
      </c>
      <c r="G368" s="23" t="s">
        <v>14866</v>
      </c>
      <c r="H368" s="25" t="s">
        <v>15373</v>
      </c>
      <c r="I368" s="22" t="s">
        <v>15374</v>
      </c>
      <c r="J368" s="22">
        <v>3508</v>
      </c>
      <c r="K368" s="26">
        <f t="shared" si="5"/>
        <v>730.66666666666663</v>
      </c>
      <c r="N368" s="26">
        <v>1096</v>
      </c>
      <c r="O368" s="22" t="s">
        <v>14867</v>
      </c>
      <c r="P368" s="22" t="s">
        <v>15376</v>
      </c>
      <c r="Q368" s="22">
        <v>90017</v>
      </c>
      <c r="R368" s="22" t="s">
        <v>14868</v>
      </c>
      <c r="S368" s="22" t="s">
        <v>14869</v>
      </c>
      <c r="T368" s="22">
        <v>8.17</v>
      </c>
      <c r="U368" s="22">
        <v>0.38</v>
      </c>
      <c r="X368" s="26"/>
      <c r="Y368" s="26"/>
    </row>
    <row r="369" spans="1:25" ht="25" x14ac:dyDescent="0.25">
      <c r="A369" s="21">
        <v>511</v>
      </c>
      <c r="B369" s="22" t="s">
        <v>15368</v>
      </c>
      <c r="C369" s="22" t="s">
        <v>14870</v>
      </c>
      <c r="D369" s="23">
        <v>162935</v>
      </c>
      <c r="E369" s="24">
        <v>1987</v>
      </c>
      <c r="F369" s="22" t="s">
        <v>14871</v>
      </c>
      <c r="G369" s="23" t="s">
        <v>14866</v>
      </c>
      <c r="H369" s="25" t="s">
        <v>15373</v>
      </c>
      <c r="I369" s="22" t="s">
        <v>15374</v>
      </c>
      <c r="J369" s="22">
        <v>3508</v>
      </c>
      <c r="K369" s="26">
        <f t="shared" si="5"/>
        <v>730.66666666666663</v>
      </c>
      <c r="N369" s="26">
        <v>1096</v>
      </c>
      <c r="O369" s="22" t="s">
        <v>14872</v>
      </c>
      <c r="P369" s="22" t="s">
        <v>15537</v>
      </c>
      <c r="Q369" s="22">
        <v>92660</v>
      </c>
      <c r="R369" s="22" t="s">
        <v>14873</v>
      </c>
      <c r="S369" s="22" t="s">
        <v>16229</v>
      </c>
      <c r="T369" s="22">
        <v>11</v>
      </c>
      <c r="U369" s="22">
        <v>0.53</v>
      </c>
      <c r="X369" s="26"/>
      <c r="Y369" s="26"/>
    </row>
    <row r="370" spans="1:25" ht="25" x14ac:dyDescent="0.25">
      <c r="A370" s="21">
        <v>512</v>
      </c>
      <c r="B370" s="22" t="s">
        <v>15368</v>
      </c>
      <c r="C370" s="22" t="s">
        <v>14874</v>
      </c>
      <c r="D370" s="23">
        <v>369655</v>
      </c>
      <c r="E370" s="24">
        <v>2000</v>
      </c>
      <c r="F370" s="22" t="s">
        <v>14875</v>
      </c>
      <c r="G370" s="23" t="s">
        <v>14876</v>
      </c>
      <c r="H370" s="25" t="s">
        <v>15373</v>
      </c>
      <c r="I370" s="22" t="s">
        <v>15374</v>
      </c>
      <c r="J370" s="22" t="s">
        <v>14709</v>
      </c>
      <c r="K370" s="26">
        <f t="shared" si="5"/>
        <v>600</v>
      </c>
      <c r="L370" s="26">
        <v>600</v>
      </c>
      <c r="O370" s="22" t="s">
        <v>14877</v>
      </c>
      <c r="P370" s="22" t="s">
        <v>15376</v>
      </c>
      <c r="Q370" s="22">
        <v>90035</v>
      </c>
      <c r="R370" s="22" t="s">
        <v>14878</v>
      </c>
      <c r="S370" s="22" t="s">
        <v>14879</v>
      </c>
      <c r="T370" s="22">
        <v>6.9</v>
      </c>
      <c r="U370" s="22">
        <v>0.4</v>
      </c>
      <c r="X370" s="26"/>
      <c r="Y370" s="26"/>
    </row>
    <row r="371" spans="1:25" ht="25" x14ac:dyDescent="0.25">
      <c r="A371" s="21">
        <v>514</v>
      </c>
      <c r="B371" s="22" t="s">
        <v>15368</v>
      </c>
      <c r="C371" s="22" t="s">
        <v>14880</v>
      </c>
      <c r="D371" s="23">
        <v>372148</v>
      </c>
      <c r="E371" s="24">
        <v>2000</v>
      </c>
      <c r="F371" s="22" t="s">
        <v>14881</v>
      </c>
      <c r="G371" s="23" t="s">
        <v>14882</v>
      </c>
      <c r="H371" s="25" t="s">
        <v>15373</v>
      </c>
      <c r="I371" s="22" t="s">
        <v>15374</v>
      </c>
      <c r="J371" s="22" t="s">
        <v>15731</v>
      </c>
      <c r="K371" s="26">
        <f t="shared" si="5"/>
        <v>1435.3333333333333</v>
      </c>
      <c r="N371" s="26">
        <v>2153</v>
      </c>
      <c r="O371" s="22" t="s">
        <v>14883</v>
      </c>
      <c r="P371" s="22" t="s">
        <v>15376</v>
      </c>
      <c r="Q371" s="22">
        <v>90035</v>
      </c>
      <c r="R371" s="22" t="s">
        <v>14884</v>
      </c>
      <c r="S371" s="22" t="s">
        <v>14885</v>
      </c>
      <c r="T371" s="22">
        <v>6.9</v>
      </c>
      <c r="U371" s="22">
        <v>0.4</v>
      </c>
      <c r="X371" s="26"/>
      <c r="Y371" s="26"/>
    </row>
    <row r="372" spans="1:25" ht="25" x14ac:dyDescent="0.25">
      <c r="A372" s="21">
        <v>515</v>
      </c>
      <c r="B372" s="22" t="s">
        <v>15368</v>
      </c>
      <c r="C372" s="22" t="s">
        <v>14886</v>
      </c>
      <c r="D372" s="23">
        <v>215097</v>
      </c>
      <c r="E372" s="24">
        <v>1989</v>
      </c>
      <c r="F372" s="22" t="s">
        <v>14887</v>
      </c>
      <c r="G372" s="23" t="s">
        <v>14888</v>
      </c>
      <c r="H372" s="25" t="s">
        <v>15373</v>
      </c>
      <c r="I372" s="22" t="s">
        <v>15374</v>
      </c>
      <c r="J372" s="22" t="s">
        <v>15191</v>
      </c>
      <c r="K372" s="26">
        <f t="shared" si="5"/>
        <v>737.33333333333326</v>
      </c>
      <c r="N372" s="26">
        <v>1106</v>
      </c>
      <c r="O372" s="22" t="s">
        <v>14889</v>
      </c>
      <c r="P372" s="22" t="s">
        <v>14890</v>
      </c>
      <c r="Q372" s="22">
        <v>90601</v>
      </c>
      <c r="R372" s="22" t="s">
        <v>14891</v>
      </c>
      <c r="S372" s="22" t="s">
        <v>14892</v>
      </c>
      <c r="T372" s="22">
        <v>8.17</v>
      </c>
      <c r="U372" s="22">
        <v>0.38</v>
      </c>
      <c r="X372" s="26"/>
      <c r="Y372" s="26"/>
    </row>
    <row r="373" spans="1:25" ht="25" x14ac:dyDescent="0.25">
      <c r="A373" s="21">
        <v>516</v>
      </c>
      <c r="B373" s="22" t="s">
        <v>15368</v>
      </c>
      <c r="C373" s="22" t="s">
        <v>14893</v>
      </c>
      <c r="D373" s="23">
        <v>366491</v>
      </c>
      <c r="E373" s="24">
        <v>2000</v>
      </c>
      <c r="F373" s="22" t="s">
        <v>14894</v>
      </c>
      <c r="G373" s="23" t="s">
        <v>14895</v>
      </c>
      <c r="H373" s="25" t="s">
        <v>15373</v>
      </c>
      <c r="I373" s="22" t="s">
        <v>15374</v>
      </c>
      <c r="J373" s="22" t="s">
        <v>15677</v>
      </c>
      <c r="K373" s="26">
        <f t="shared" si="5"/>
        <v>2000</v>
      </c>
      <c r="L373" s="26">
        <v>2000</v>
      </c>
      <c r="O373" s="22" t="s">
        <v>14896</v>
      </c>
      <c r="P373" s="22" t="s">
        <v>16786</v>
      </c>
      <c r="Q373" s="22">
        <v>92801</v>
      </c>
      <c r="R373" s="22" t="s">
        <v>14897</v>
      </c>
      <c r="S373" s="22" t="s">
        <v>14898</v>
      </c>
      <c r="T373" s="22">
        <v>6.9</v>
      </c>
      <c r="U373" s="22">
        <v>0.4</v>
      </c>
      <c r="X373" s="26"/>
      <c r="Y373" s="26"/>
    </row>
    <row r="374" spans="1:25" ht="25" x14ac:dyDescent="0.25">
      <c r="A374" s="21">
        <v>517</v>
      </c>
      <c r="B374" s="22" t="s">
        <v>15368</v>
      </c>
      <c r="C374" s="22" t="s">
        <v>14893</v>
      </c>
      <c r="D374" s="23">
        <v>366493</v>
      </c>
      <c r="E374" s="24">
        <v>2000</v>
      </c>
      <c r="F374" s="22" t="s">
        <v>14899</v>
      </c>
      <c r="G374" s="23" t="s">
        <v>14900</v>
      </c>
      <c r="H374" s="25" t="s">
        <v>15373</v>
      </c>
      <c r="I374" s="22" t="s">
        <v>15374</v>
      </c>
      <c r="J374" s="22" t="s">
        <v>15677</v>
      </c>
      <c r="K374" s="26">
        <f t="shared" si="5"/>
        <v>2000</v>
      </c>
      <c r="L374" s="26">
        <v>2000</v>
      </c>
      <c r="O374" s="22" t="s">
        <v>14896</v>
      </c>
      <c r="P374" s="22" t="s">
        <v>16786</v>
      </c>
      <c r="Q374" s="22">
        <v>92801</v>
      </c>
      <c r="R374" s="22" t="s">
        <v>14897</v>
      </c>
      <c r="S374" s="22" t="s">
        <v>14898</v>
      </c>
      <c r="T374" s="22">
        <v>6.9</v>
      </c>
      <c r="U374" s="22">
        <v>0.4</v>
      </c>
      <c r="X374" s="26"/>
      <c r="Y374" s="26"/>
    </row>
    <row r="375" spans="1:25" ht="25" x14ac:dyDescent="0.25">
      <c r="A375" s="21">
        <v>518</v>
      </c>
      <c r="B375" s="22" t="s">
        <v>15368</v>
      </c>
      <c r="C375" s="22" t="s">
        <v>14893</v>
      </c>
      <c r="D375" s="23">
        <v>366494</v>
      </c>
      <c r="E375" s="24">
        <v>2000</v>
      </c>
      <c r="F375" s="22" t="s">
        <v>14901</v>
      </c>
      <c r="G375" s="23" t="s">
        <v>14902</v>
      </c>
      <c r="H375" s="25" t="s">
        <v>15373</v>
      </c>
      <c r="I375" s="22" t="s">
        <v>15374</v>
      </c>
      <c r="J375" s="22" t="s">
        <v>15677</v>
      </c>
      <c r="K375" s="26">
        <f t="shared" si="5"/>
        <v>2000</v>
      </c>
      <c r="L375" s="26">
        <v>2000</v>
      </c>
      <c r="O375" s="22" t="s">
        <v>14896</v>
      </c>
      <c r="P375" s="22" t="s">
        <v>16786</v>
      </c>
      <c r="Q375" s="22">
        <v>92801</v>
      </c>
      <c r="R375" s="22" t="s">
        <v>14897</v>
      </c>
      <c r="S375" s="22" t="s">
        <v>14898</v>
      </c>
      <c r="T375" s="22">
        <v>6.9</v>
      </c>
      <c r="U375" s="22">
        <v>0.4</v>
      </c>
      <c r="X375" s="26"/>
      <c r="Y375" s="26"/>
    </row>
    <row r="376" spans="1:25" ht="25" x14ac:dyDescent="0.25">
      <c r="A376" s="21">
        <v>519</v>
      </c>
      <c r="B376" s="22" t="s">
        <v>15368</v>
      </c>
      <c r="C376" s="22" t="s">
        <v>14893</v>
      </c>
      <c r="D376" s="23">
        <v>366495</v>
      </c>
      <c r="E376" s="24">
        <v>2000</v>
      </c>
      <c r="F376" s="22" t="s">
        <v>14903</v>
      </c>
      <c r="G376" s="23" t="s">
        <v>14904</v>
      </c>
      <c r="H376" s="25" t="s">
        <v>15373</v>
      </c>
      <c r="I376" s="22" t="s">
        <v>15374</v>
      </c>
      <c r="J376" s="22" t="s">
        <v>15677</v>
      </c>
      <c r="K376" s="26">
        <f t="shared" si="5"/>
        <v>2000</v>
      </c>
      <c r="L376" s="26">
        <v>2000</v>
      </c>
      <c r="O376" s="22" t="s">
        <v>14896</v>
      </c>
      <c r="P376" s="22" t="s">
        <v>16786</v>
      </c>
      <c r="Q376" s="22">
        <v>92801</v>
      </c>
      <c r="R376" s="22" t="s">
        <v>14897</v>
      </c>
      <c r="S376" s="22" t="s">
        <v>14898</v>
      </c>
      <c r="T376" s="22">
        <v>6.9</v>
      </c>
      <c r="U376" s="22">
        <v>0.4</v>
      </c>
      <c r="X376" s="26"/>
      <c r="Y376" s="26"/>
    </row>
    <row r="377" spans="1:25" ht="25" x14ac:dyDescent="0.25">
      <c r="A377" s="21">
        <v>520</v>
      </c>
      <c r="B377" s="22" t="s">
        <v>15368</v>
      </c>
      <c r="C377" s="22" t="s">
        <v>14905</v>
      </c>
      <c r="D377" s="23">
        <v>369309</v>
      </c>
      <c r="E377" s="24">
        <v>2000</v>
      </c>
      <c r="F377" s="22" t="s">
        <v>14906</v>
      </c>
      <c r="G377" s="23" t="s">
        <v>14907</v>
      </c>
      <c r="H377" s="25" t="s">
        <v>15373</v>
      </c>
      <c r="I377" s="22" t="s">
        <v>15374</v>
      </c>
      <c r="J377" s="22" t="s">
        <v>15516</v>
      </c>
      <c r="K377" s="26">
        <f t="shared" si="5"/>
        <v>742.66666666666663</v>
      </c>
      <c r="N377" s="26">
        <v>1114</v>
      </c>
      <c r="O377" s="22" t="s">
        <v>14908</v>
      </c>
      <c r="P377" s="22" t="s">
        <v>16833</v>
      </c>
      <c r="Q377" s="22">
        <v>90650</v>
      </c>
      <c r="R377" s="22" t="s">
        <v>14909</v>
      </c>
      <c r="S377" s="22" t="s">
        <v>14910</v>
      </c>
      <c r="T377" s="22">
        <v>6.9</v>
      </c>
      <c r="U377" s="22">
        <v>0.4</v>
      </c>
      <c r="X377" s="26"/>
      <c r="Y377" s="26"/>
    </row>
    <row r="378" spans="1:25" ht="25" x14ac:dyDescent="0.25">
      <c r="A378" s="21">
        <v>521</v>
      </c>
      <c r="B378" s="22" t="s">
        <v>15368</v>
      </c>
      <c r="C378" s="22" t="s">
        <v>14911</v>
      </c>
      <c r="D378" s="23">
        <v>212807</v>
      </c>
      <c r="E378" s="24">
        <v>1989</v>
      </c>
      <c r="F378" s="22" t="s">
        <v>14912</v>
      </c>
      <c r="G378" s="23" t="s">
        <v>14913</v>
      </c>
      <c r="H378" s="25" t="s">
        <v>15373</v>
      </c>
      <c r="I378" s="22" t="s">
        <v>15382</v>
      </c>
      <c r="J378" s="22" t="s">
        <v>14914</v>
      </c>
      <c r="K378" s="26">
        <f t="shared" si="5"/>
        <v>356.66666666666663</v>
      </c>
      <c r="N378" s="26">
        <v>535</v>
      </c>
      <c r="O378" s="22" t="s">
        <v>14915</v>
      </c>
      <c r="P378" s="22" t="s">
        <v>16295</v>
      </c>
      <c r="Q378" s="22">
        <v>92631</v>
      </c>
      <c r="R378" s="22" t="s">
        <v>14916</v>
      </c>
      <c r="S378" s="22" t="s">
        <v>14917</v>
      </c>
      <c r="T378" s="22">
        <v>8.17</v>
      </c>
      <c r="U378" s="22">
        <v>0.38</v>
      </c>
      <c r="X378" s="26"/>
      <c r="Y378" s="26"/>
    </row>
    <row r="379" spans="1:25" ht="25" x14ac:dyDescent="0.25">
      <c r="A379" s="21">
        <v>522</v>
      </c>
      <c r="B379" s="22" t="s">
        <v>15368</v>
      </c>
      <c r="C379" s="22" t="s">
        <v>14918</v>
      </c>
      <c r="D379" s="23">
        <v>320510</v>
      </c>
      <c r="E379" s="24">
        <v>1996</v>
      </c>
      <c r="F379" s="22" t="s">
        <v>14919</v>
      </c>
      <c r="G379" s="23" t="s">
        <v>14920</v>
      </c>
      <c r="H379" s="25" t="s">
        <v>15373</v>
      </c>
      <c r="I379" s="22" t="s">
        <v>15374</v>
      </c>
      <c r="J379" s="22" t="s">
        <v>15516</v>
      </c>
      <c r="K379" s="26">
        <f t="shared" si="5"/>
        <v>750</v>
      </c>
      <c r="L379" s="26">
        <v>750</v>
      </c>
      <c r="O379" s="22" t="s">
        <v>14921</v>
      </c>
      <c r="P379" s="22" t="s">
        <v>15611</v>
      </c>
      <c r="Q379" s="22">
        <v>92840</v>
      </c>
      <c r="R379" s="22" t="s">
        <v>14922</v>
      </c>
      <c r="S379" s="22" t="s">
        <v>14923</v>
      </c>
      <c r="T379" s="22">
        <v>8.17</v>
      </c>
      <c r="U379" s="22">
        <v>0.38</v>
      </c>
      <c r="X379" s="26"/>
      <c r="Y379" s="26"/>
    </row>
    <row r="380" spans="1:25" ht="25" x14ac:dyDescent="0.25">
      <c r="A380" s="21">
        <v>523</v>
      </c>
      <c r="B380" s="22" t="s">
        <v>15368</v>
      </c>
      <c r="C380" s="22" t="s">
        <v>14924</v>
      </c>
      <c r="D380" s="23">
        <v>312478</v>
      </c>
      <c r="E380" s="24">
        <v>1996</v>
      </c>
      <c r="F380" s="22" t="s">
        <v>14925</v>
      </c>
      <c r="G380" s="23" t="s">
        <v>14926</v>
      </c>
      <c r="H380" s="25" t="s">
        <v>16310</v>
      </c>
      <c r="I380" s="22" t="s">
        <v>16160</v>
      </c>
      <c r="J380" s="22" t="s">
        <v>14927</v>
      </c>
      <c r="K380" s="26">
        <f t="shared" si="5"/>
        <v>341.33333333333331</v>
      </c>
      <c r="N380" s="26">
        <v>512</v>
      </c>
      <c r="O380" s="22" t="s">
        <v>14928</v>
      </c>
      <c r="P380" s="22" t="s">
        <v>15611</v>
      </c>
      <c r="Q380" s="22">
        <v>92840</v>
      </c>
      <c r="R380" s="22" t="s">
        <v>14929</v>
      </c>
      <c r="S380" s="22" t="s">
        <v>14930</v>
      </c>
      <c r="X380" s="26"/>
      <c r="Y380" s="26"/>
    </row>
    <row r="381" spans="1:25" ht="25" x14ac:dyDescent="0.25">
      <c r="A381" s="21">
        <v>524</v>
      </c>
      <c r="B381" s="22" t="s">
        <v>15368</v>
      </c>
      <c r="C381" s="22" t="s">
        <v>14931</v>
      </c>
      <c r="D381" s="23">
        <v>362348</v>
      </c>
      <c r="E381" s="24">
        <v>1999</v>
      </c>
      <c r="F381" s="22" t="s">
        <v>14932</v>
      </c>
      <c r="G381" s="23" t="s">
        <v>14933</v>
      </c>
      <c r="H381" s="25" t="s">
        <v>15373</v>
      </c>
      <c r="I381" s="22" t="s">
        <v>15411</v>
      </c>
      <c r="J381" s="22" t="s">
        <v>16226</v>
      </c>
      <c r="K381" s="26">
        <f t="shared" si="5"/>
        <v>510</v>
      </c>
      <c r="N381" s="26">
        <v>765</v>
      </c>
      <c r="O381" s="22" t="s">
        <v>14934</v>
      </c>
      <c r="P381" s="22" t="s">
        <v>14935</v>
      </c>
      <c r="Q381" s="22">
        <v>92210</v>
      </c>
      <c r="R381" s="22" t="s">
        <v>14936</v>
      </c>
      <c r="S381" s="22" t="s">
        <v>14937</v>
      </c>
      <c r="T381" s="22">
        <v>8.17</v>
      </c>
      <c r="U381" s="22">
        <v>0.38</v>
      </c>
      <c r="X381" s="26"/>
      <c r="Y381" s="26"/>
    </row>
    <row r="382" spans="1:25" ht="37.5" x14ac:dyDescent="0.25">
      <c r="A382" s="21">
        <v>525</v>
      </c>
      <c r="B382" s="22" t="s">
        <v>15368</v>
      </c>
      <c r="C382" s="22" t="s">
        <v>14938</v>
      </c>
      <c r="D382" s="23">
        <v>369382</v>
      </c>
      <c r="E382" s="24">
        <v>2000</v>
      </c>
      <c r="F382" s="22" t="s">
        <v>14939</v>
      </c>
      <c r="G382" s="23" t="s">
        <v>14940</v>
      </c>
      <c r="H382" s="25" t="s">
        <v>15373</v>
      </c>
      <c r="I382" s="22" t="s">
        <v>15411</v>
      </c>
      <c r="J382" s="22" t="s">
        <v>15041</v>
      </c>
      <c r="K382" s="26">
        <f t="shared" si="5"/>
        <v>996.66666666666663</v>
      </c>
      <c r="N382" s="26">
        <v>1495</v>
      </c>
      <c r="O382" s="22" t="s">
        <v>14941</v>
      </c>
      <c r="P382" s="22" t="s">
        <v>14942</v>
      </c>
      <c r="Q382" s="22">
        <v>92630</v>
      </c>
      <c r="R382" s="22" t="s">
        <v>14943</v>
      </c>
      <c r="S382" s="22" t="s">
        <v>14944</v>
      </c>
      <c r="T382" s="22">
        <v>6.9</v>
      </c>
      <c r="U382" s="22">
        <v>0.4</v>
      </c>
      <c r="X382" s="26"/>
      <c r="Y382" s="26"/>
    </row>
    <row r="383" spans="1:25" ht="37.5" x14ac:dyDescent="0.25">
      <c r="A383" s="21">
        <v>526</v>
      </c>
      <c r="B383" s="22" t="s">
        <v>15368</v>
      </c>
      <c r="C383" s="22" t="s">
        <v>14938</v>
      </c>
      <c r="D383" s="23">
        <v>369385</v>
      </c>
      <c r="E383" s="24">
        <v>2000</v>
      </c>
      <c r="F383" s="22" t="s">
        <v>14945</v>
      </c>
      <c r="G383" s="23" t="s">
        <v>14946</v>
      </c>
      <c r="H383" s="25" t="s">
        <v>15373</v>
      </c>
      <c r="I383" s="22" t="s">
        <v>15411</v>
      </c>
      <c r="J383" s="22" t="s">
        <v>16803</v>
      </c>
      <c r="K383" s="26">
        <f t="shared" si="5"/>
        <v>1480</v>
      </c>
      <c r="N383" s="26">
        <v>2220</v>
      </c>
      <c r="O383" s="22" t="s">
        <v>14941</v>
      </c>
      <c r="P383" s="22" t="s">
        <v>14942</v>
      </c>
      <c r="Q383" s="22">
        <v>92630</v>
      </c>
      <c r="R383" s="22" t="s">
        <v>14943</v>
      </c>
      <c r="S383" s="22" t="s">
        <v>14944</v>
      </c>
      <c r="T383" s="22">
        <v>6.9</v>
      </c>
      <c r="U383" s="22">
        <v>0.4</v>
      </c>
      <c r="X383" s="26"/>
      <c r="Y383" s="26"/>
    </row>
    <row r="384" spans="1:25" ht="25" x14ac:dyDescent="0.25">
      <c r="A384" s="21">
        <v>528</v>
      </c>
      <c r="B384" s="22" t="s">
        <v>15368</v>
      </c>
      <c r="C384" s="22" t="s">
        <v>14947</v>
      </c>
      <c r="D384" s="23">
        <v>352737</v>
      </c>
      <c r="E384" s="24">
        <v>1999</v>
      </c>
      <c r="F384" s="22" t="s">
        <v>14948</v>
      </c>
      <c r="G384" s="23" t="s">
        <v>14949</v>
      </c>
      <c r="H384" s="25" t="s">
        <v>15373</v>
      </c>
      <c r="I384" s="22" t="s">
        <v>15374</v>
      </c>
      <c r="J384" s="22" t="s">
        <v>14950</v>
      </c>
      <c r="K384" s="26">
        <f t="shared" si="5"/>
        <v>1001.3333333333333</v>
      </c>
      <c r="N384" s="26">
        <v>1502</v>
      </c>
      <c r="O384" s="22" t="s">
        <v>14951</v>
      </c>
      <c r="P384" s="22" t="s">
        <v>16490</v>
      </c>
      <c r="Q384" s="22">
        <v>92407</v>
      </c>
      <c r="R384" s="22" t="s">
        <v>14952</v>
      </c>
      <c r="S384" s="22" t="s">
        <v>14953</v>
      </c>
      <c r="T384" s="22">
        <v>8.17</v>
      </c>
      <c r="U384" s="22">
        <v>0.38</v>
      </c>
      <c r="X384" s="26"/>
      <c r="Y384" s="26"/>
    </row>
    <row r="385" spans="1:25" ht="25" x14ac:dyDescent="0.25">
      <c r="A385" s="21">
        <v>529</v>
      </c>
      <c r="B385" s="22" t="s">
        <v>15368</v>
      </c>
      <c r="C385" s="22" t="s">
        <v>14954</v>
      </c>
      <c r="D385" s="23">
        <v>289721</v>
      </c>
      <c r="E385" s="24">
        <v>1994</v>
      </c>
      <c r="F385" s="22" t="s">
        <v>14955</v>
      </c>
      <c r="G385" s="23" t="s">
        <v>14956</v>
      </c>
      <c r="H385" s="25" t="s">
        <v>15373</v>
      </c>
      <c r="I385" s="22" t="s">
        <v>15411</v>
      </c>
      <c r="J385" s="22" t="s">
        <v>16331</v>
      </c>
      <c r="K385" s="26">
        <f t="shared" si="5"/>
        <v>730</v>
      </c>
      <c r="N385" s="26">
        <v>1095</v>
      </c>
      <c r="O385" s="22" t="s">
        <v>14957</v>
      </c>
      <c r="P385" s="22" t="s">
        <v>15376</v>
      </c>
      <c r="Q385" s="22">
        <v>90027</v>
      </c>
      <c r="R385" s="22" t="s">
        <v>14958</v>
      </c>
      <c r="S385" s="22" t="s">
        <v>14959</v>
      </c>
      <c r="T385" s="22">
        <v>8.17</v>
      </c>
      <c r="U385" s="22">
        <v>0.38</v>
      </c>
      <c r="X385" s="26"/>
      <c r="Y385" s="26"/>
    </row>
    <row r="386" spans="1:25" ht="25" x14ac:dyDescent="0.25">
      <c r="A386" s="21">
        <v>530</v>
      </c>
      <c r="B386" s="22" t="s">
        <v>15368</v>
      </c>
      <c r="C386" s="22" t="s">
        <v>14960</v>
      </c>
      <c r="D386" s="23">
        <v>142057</v>
      </c>
      <c r="E386" s="24">
        <v>1986</v>
      </c>
      <c r="F386" s="22" t="s">
        <v>14961</v>
      </c>
      <c r="G386" s="23" t="s">
        <v>14962</v>
      </c>
      <c r="H386" s="25" t="s">
        <v>15373</v>
      </c>
      <c r="I386" s="22" t="s">
        <v>15382</v>
      </c>
      <c r="J386" s="22" t="s">
        <v>14963</v>
      </c>
      <c r="K386" s="26">
        <f t="shared" ref="K386:K449" si="6">L386+M386*(2/3)+N386*(2/3)</f>
        <v>700</v>
      </c>
      <c r="N386" s="26">
        <v>1050</v>
      </c>
      <c r="O386" s="22" t="s">
        <v>14964</v>
      </c>
      <c r="P386" s="22" t="s">
        <v>16853</v>
      </c>
      <c r="Q386" s="22">
        <v>92814</v>
      </c>
      <c r="R386" s="22" t="s">
        <v>14965</v>
      </c>
      <c r="S386" s="22" t="s">
        <v>14966</v>
      </c>
      <c r="T386" s="22">
        <v>11</v>
      </c>
      <c r="U386" s="22">
        <v>0.53</v>
      </c>
      <c r="X386" s="26"/>
      <c r="Y386" s="26"/>
    </row>
    <row r="387" spans="1:25" ht="25" x14ac:dyDescent="0.25">
      <c r="A387" s="21">
        <v>531</v>
      </c>
      <c r="B387" s="22" t="s">
        <v>15368</v>
      </c>
      <c r="C387" s="22" t="s">
        <v>14967</v>
      </c>
      <c r="D387" s="23">
        <v>238433</v>
      </c>
      <c r="E387" s="24">
        <v>1990</v>
      </c>
      <c r="F387" s="22" t="s">
        <v>14968</v>
      </c>
      <c r="G387" s="23" t="s">
        <v>14969</v>
      </c>
      <c r="H387" s="25" t="s">
        <v>15373</v>
      </c>
      <c r="I387" s="22" t="s">
        <v>15411</v>
      </c>
      <c r="J387" s="22" t="s">
        <v>15838</v>
      </c>
      <c r="K387" s="26">
        <f t="shared" si="6"/>
        <v>398.66666666666663</v>
      </c>
      <c r="N387" s="26">
        <v>598</v>
      </c>
      <c r="O387" s="22" t="s">
        <v>14970</v>
      </c>
      <c r="P387" s="22" t="s">
        <v>15414</v>
      </c>
      <c r="Q387" s="22">
        <v>91206</v>
      </c>
      <c r="R387" s="22" t="s">
        <v>14971</v>
      </c>
      <c r="S387" s="22" t="s">
        <v>14972</v>
      </c>
      <c r="T387" s="22">
        <v>8.17</v>
      </c>
      <c r="U387" s="22">
        <v>0.38</v>
      </c>
      <c r="X387" s="26"/>
      <c r="Y387" s="26"/>
    </row>
    <row r="388" spans="1:25" ht="37.5" x14ac:dyDescent="0.25">
      <c r="A388" s="21">
        <v>532</v>
      </c>
      <c r="B388" s="22" t="s">
        <v>15368</v>
      </c>
      <c r="C388" s="22" t="s">
        <v>14967</v>
      </c>
      <c r="D388" s="23">
        <v>266717</v>
      </c>
      <c r="E388" s="24">
        <v>1992</v>
      </c>
      <c r="F388" s="22" t="s">
        <v>14973</v>
      </c>
      <c r="G388" s="23" t="s">
        <v>14974</v>
      </c>
      <c r="H388" s="25" t="s">
        <v>15373</v>
      </c>
      <c r="I388" s="22" t="s">
        <v>15411</v>
      </c>
      <c r="J388" s="22" t="s">
        <v>15877</v>
      </c>
      <c r="K388" s="26">
        <f t="shared" si="6"/>
        <v>407.33333333333331</v>
      </c>
      <c r="N388" s="26">
        <v>611</v>
      </c>
      <c r="O388" s="22" t="s">
        <v>14970</v>
      </c>
      <c r="P388" s="22" t="s">
        <v>15414</v>
      </c>
      <c r="Q388" s="22" t="s">
        <v>14975</v>
      </c>
      <c r="R388" s="22" t="s">
        <v>14971</v>
      </c>
      <c r="S388" s="22" t="s">
        <v>14972</v>
      </c>
      <c r="T388" s="22">
        <v>8.17</v>
      </c>
      <c r="U388" s="22">
        <v>0.38</v>
      </c>
      <c r="X388" s="26"/>
      <c r="Y388" s="26"/>
    </row>
    <row r="389" spans="1:25" ht="25" x14ac:dyDescent="0.25">
      <c r="A389" s="21">
        <v>534</v>
      </c>
      <c r="B389" s="22" t="s">
        <v>15368</v>
      </c>
      <c r="C389" s="22" t="s">
        <v>14967</v>
      </c>
      <c r="D389" s="23" t="s">
        <v>14976</v>
      </c>
      <c r="E389" s="24">
        <v>1982</v>
      </c>
      <c r="F389" s="22" t="s">
        <v>14977</v>
      </c>
      <c r="G389" s="23" t="s">
        <v>14978</v>
      </c>
      <c r="H389" s="25" t="s">
        <v>15373</v>
      </c>
      <c r="I389" s="22" t="s">
        <v>15411</v>
      </c>
      <c r="J389" s="22" t="s">
        <v>14979</v>
      </c>
      <c r="K389" s="26">
        <f t="shared" si="6"/>
        <v>500</v>
      </c>
      <c r="L389" s="26">
        <v>500</v>
      </c>
      <c r="O389" s="22" t="s">
        <v>14970</v>
      </c>
      <c r="P389" s="22" t="s">
        <v>15414</v>
      </c>
      <c r="Q389" s="22">
        <v>91206</v>
      </c>
      <c r="R389" s="22" t="s">
        <v>14971</v>
      </c>
      <c r="S389" s="22" t="s">
        <v>14972</v>
      </c>
      <c r="T389" s="22">
        <v>12</v>
      </c>
      <c r="U389" s="22">
        <v>0.53</v>
      </c>
      <c r="X389" s="26"/>
      <c r="Y389" s="26"/>
    </row>
    <row r="390" spans="1:25" ht="25" x14ac:dyDescent="0.25">
      <c r="A390" s="21">
        <v>535</v>
      </c>
      <c r="B390" s="22" t="s">
        <v>15368</v>
      </c>
      <c r="C390" s="22" t="s">
        <v>14980</v>
      </c>
      <c r="D390" s="23">
        <v>229089</v>
      </c>
      <c r="E390" s="24">
        <v>1990</v>
      </c>
      <c r="F390" s="22" t="s">
        <v>14981</v>
      </c>
      <c r="G390" s="23" t="s">
        <v>14982</v>
      </c>
      <c r="H390" s="25" t="s">
        <v>15373</v>
      </c>
      <c r="I390" s="22" t="s">
        <v>15382</v>
      </c>
      <c r="J390" s="22" t="s">
        <v>14983</v>
      </c>
      <c r="K390" s="26">
        <f t="shared" si="6"/>
        <v>456.66666666666663</v>
      </c>
      <c r="N390" s="26">
        <v>685</v>
      </c>
      <c r="O390" s="22" t="s">
        <v>14984</v>
      </c>
      <c r="P390" s="22" t="s">
        <v>15414</v>
      </c>
      <c r="Q390" s="22">
        <v>91206</v>
      </c>
      <c r="R390" s="22" t="s">
        <v>14985</v>
      </c>
      <c r="S390" s="22" t="s">
        <v>14986</v>
      </c>
      <c r="T390" s="22">
        <v>8.17</v>
      </c>
      <c r="U390" s="22">
        <v>0.38</v>
      </c>
      <c r="X390" s="26"/>
      <c r="Y390" s="26"/>
    </row>
    <row r="391" spans="1:25" ht="25" x14ac:dyDescent="0.25">
      <c r="A391" s="21">
        <v>536</v>
      </c>
      <c r="B391" s="22" t="s">
        <v>15368</v>
      </c>
      <c r="C391" s="22" t="s">
        <v>14987</v>
      </c>
      <c r="D391" s="23">
        <v>304303</v>
      </c>
      <c r="E391" s="24">
        <v>1995</v>
      </c>
      <c r="F391" s="22" t="s">
        <v>14988</v>
      </c>
      <c r="G391" s="23" t="s">
        <v>14989</v>
      </c>
      <c r="H391" s="25" t="s">
        <v>15373</v>
      </c>
      <c r="I391" s="22" t="s">
        <v>15382</v>
      </c>
      <c r="J391" s="22" t="s">
        <v>14983</v>
      </c>
      <c r="K391" s="26">
        <f t="shared" si="6"/>
        <v>356.66666666666663</v>
      </c>
      <c r="N391" s="26">
        <v>535</v>
      </c>
      <c r="O391" s="22" t="s">
        <v>14990</v>
      </c>
      <c r="P391" s="22" t="s">
        <v>15414</v>
      </c>
      <c r="Q391" s="22" t="s">
        <v>14991</v>
      </c>
      <c r="R391" s="22" t="s">
        <v>14992</v>
      </c>
      <c r="S391" s="22" t="s">
        <v>14993</v>
      </c>
      <c r="T391" s="22">
        <v>8.17</v>
      </c>
      <c r="U391" s="22">
        <v>0.38</v>
      </c>
      <c r="X391" s="26"/>
      <c r="Y391" s="26"/>
    </row>
    <row r="392" spans="1:25" ht="25" x14ac:dyDescent="0.25">
      <c r="A392" s="21">
        <v>537</v>
      </c>
      <c r="B392" s="22" t="s">
        <v>15368</v>
      </c>
      <c r="C392" s="22" t="s">
        <v>14994</v>
      </c>
      <c r="D392" s="23">
        <v>237860</v>
      </c>
      <c r="E392" s="24">
        <v>1990</v>
      </c>
      <c r="F392" s="22" t="s">
        <v>14995</v>
      </c>
      <c r="G392" s="23" t="s">
        <v>14996</v>
      </c>
      <c r="H392" s="25" t="s">
        <v>15373</v>
      </c>
      <c r="I392" s="22" t="s">
        <v>15382</v>
      </c>
      <c r="J392" s="22" t="s">
        <v>14983</v>
      </c>
      <c r="K392" s="26">
        <f t="shared" si="6"/>
        <v>373.33333333333331</v>
      </c>
      <c r="N392" s="26">
        <v>560</v>
      </c>
      <c r="O392" s="22" t="s">
        <v>14997</v>
      </c>
      <c r="P392" s="22" t="s">
        <v>15414</v>
      </c>
      <c r="Q392" s="22">
        <v>91204</v>
      </c>
      <c r="R392" s="22" t="s">
        <v>14998</v>
      </c>
      <c r="S392" s="22" t="s">
        <v>14999</v>
      </c>
      <c r="T392" s="22">
        <v>8.17</v>
      </c>
      <c r="U392" s="22">
        <v>0.38</v>
      </c>
      <c r="X392" s="26"/>
      <c r="Y392" s="26"/>
    </row>
    <row r="393" spans="1:25" ht="25" x14ac:dyDescent="0.25">
      <c r="A393" s="21">
        <v>539</v>
      </c>
      <c r="B393" s="22" t="s">
        <v>15368</v>
      </c>
      <c r="C393" s="22" t="s">
        <v>15000</v>
      </c>
      <c r="D393" s="23">
        <v>352033</v>
      </c>
      <c r="E393" s="24">
        <v>1999</v>
      </c>
      <c r="F393" s="22" t="s">
        <v>15001</v>
      </c>
      <c r="G393" s="23" t="s">
        <v>15002</v>
      </c>
      <c r="H393" s="25" t="s">
        <v>15373</v>
      </c>
      <c r="I393" s="22" t="s">
        <v>15374</v>
      </c>
      <c r="J393" s="22" t="s">
        <v>15191</v>
      </c>
      <c r="K393" s="26">
        <f t="shared" si="6"/>
        <v>737.33333333333326</v>
      </c>
      <c r="N393" s="26">
        <v>1106</v>
      </c>
      <c r="O393" s="22" t="s">
        <v>15003</v>
      </c>
      <c r="P393" s="22" t="s">
        <v>15414</v>
      </c>
      <c r="Q393" s="22">
        <v>91204</v>
      </c>
      <c r="R393" s="22" t="s">
        <v>15004</v>
      </c>
      <c r="S393" s="22" t="s">
        <v>15005</v>
      </c>
      <c r="T393" s="22">
        <v>8.17</v>
      </c>
      <c r="U393" s="22">
        <v>0.38</v>
      </c>
      <c r="X393" s="26"/>
      <c r="Y393" s="26"/>
    </row>
    <row r="394" spans="1:25" ht="25" x14ac:dyDescent="0.25">
      <c r="A394" s="21">
        <v>540</v>
      </c>
      <c r="B394" s="22" t="s">
        <v>15368</v>
      </c>
      <c r="C394" s="22" t="s">
        <v>15000</v>
      </c>
      <c r="D394" s="23">
        <v>352034</v>
      </c>
      <c r="E394" s="24">
        <v>1999</v>
      </c>
      <c r="F394" s="22" t="s">
        <v>15006</v>
      </c>
      <c r="G394" s="23" t="s">
        <v>15002</v>
      </c>
      <c r="H394" s="25" t="s">
        <v>15373</v>
      </c>
      <c r="I394" s="22" t="s">
        <v>15374</v>
      </c>
      <c r="J394" s="22" t="s">
        <v>15191</v>
      </c>
      <c r="K394" s="26">
        <f t="shared" si="6"/>
        <v>737.33333333333326</v>
      </c>
      <c r="N394" s="26">
        <v>1106</v>
      </c>
      <c r="O394" s="22" t="s">
        <v>15003</v>
      </c>
      <c r="P394" s="22" t="s">
        <v>15414</v>
      </c>
      <c r="Q394" s="22">
        <v>91204</v>
      </c>
      <c r="R394" s="22" t="s">
        <v>15004</v>
      </c>
      <c r="S394" s="22" t="s">
        <v>15005</v>
      </c>
      <c r="T394" s="22">
        <v>8.17</v>
      </c>
      <c r="U394" s="22">
        <v>0.38</v>
      </c>
      <c r="X394" s="26"/>
      <c r="Y394" s="26"/>
    </row>
    <row r="395" spans="1:25" ht="25" x14ac:dyDescent="0.25">
      <c r="A395" s="21">
        <v>541</v>
      </c>
      <c r="B395" s="22" t="s">
        <v>15368</v>
      </c>
      <c r="C395" s="22" t="s">
        <v>15007</v>
      </c>
      <c r="D395" s="23">
        <v>298841</v>
      </c>
      <c r="E395" s="24">
        <v>1994</v>
      </c>
      <c r="F395" s="22" t="s">
        <v>15008</v>
      </c>
      <c r="G395" s="23" t="s">
        <v>15009</v>
      </c>
      <c r="H395" s="25" t="s">
        <v>15373</v>
      </c>
      <c r="I395" s="22" t="s">
        <v>15411</v>
      </c>
      <c r="J395" s="22" t="s">
        <v>15451</v>
      </c>
      <c r="K395" s="26">
        <f t="shared" si="6"/>
        <v>553.33333333333326</v>
      </c>
      <c r="N395" s="26">
        <v>830</v>
      </c>
      <c r="O395" s="22" t="s">
        <v>15010</v>
      </c>
      <c r="P395" s="22" t="s">
        <v>15414</v>
      </c>
      <c r="Q395" s="22">
        <v>91204</v>
      </c>
      <c r="R395" s="22" t="s">
        <v>14998</v>
      </c>
      <c r="S395" s="22" t="s">
        <v>15011</v>
      </c>
      <c r="T395" s="22">
        <v>8.17</v>
      </c>
      <c r="U395" s="22">
        <v>0.38</v>
      </c>
      <c r="X395" s="26"/>
      <c r="Y395" s="26"/>
    </row>
    <row r="396" spans="1:25" ht="25" x14ac:dyDescent="0.25">
      <c r="A396" s="21">
        <v>542</v>
      </c>
      <c r="B396" s="22" t="s">
        <v>15368</v>
      </c>
      <c r="C396" s="22" t="s">
        <v>15012</v>
      </c>
      <c r="D396" s="23">
        <v>363842</v>
      </c>
      <c r="E396" s="24">
        <v>1999</v>
      </c>
      <c r="F396" s="22" t="s">
        <v>15013</v>
      </c>
      <c r="G396" s="23" t="s">
        <v>15014</v>
      </c>
      <c r="H396" s="25" t="s">
        <v>15373</v>
      </c>
      <c r="I396" s="22" t="s">
        <v>15374</v>
      </c>
      <c r="J396" s="22" t="s">
        <v>15420</v>
      </c>
      <c r="K396" s="26">
        <f t="shared" si="6"/>
        <v>1057.3333333333333</v>
      </c>
      <c r="N396" s="26">
        <v>1586</v>
      </c>
      <c r="O396" s="22" t="s">
        <v>15015</v>
      </c>
      <c r="P396" s="22" t="s">
        <v>15629</v>
      </c>
      <c r="Q396" s="22">
        <v>90232</v>
      </c>
      <c r="R396" s="22" t="s">
        <v>15016</v>
      </c>
      <c r="S396" s="22" t="s">
        <v>15017</v>
      </c>
      <c r="T396" s="22">
        <v>8.17</v>
      </c>
      <c r="U396" s="22">
        <v>0.38</v>
      </c>
      <c r="X396" s="26"/>
      <c r="Y396" s="26"/>
    </row>
    <row r="397" spans="1:25" ht="25" x14ac:dyDescent="0.25">
      <c r="A397" s="21">
        <v>543</v>
      </c>
      <c r="B397" s="22" t="s">
        <v>15368</v>
      </c>
      <c r="C397" s="22" t="s">
        <v>15018</v>
      </c>
      <c r="D397" s="23">
        <v>336775</v>
      </c>
      <c r="E397" s="24">
        <v>1998</v>
      </c>
      <c r="F397" s="22" t="s">
        <v>15019</v>
      </c>
      <c r="G397" s="23" t="s">
        <v>15020</v>
      </c>
      <c r="H397" s="25" t="s">
        <v>15373</v>
      </c>
      <c r="I397" s="22" t="s">
        <v>15374</v>
      </c>
      <c r="J397" s="22" t="s">
        <v>15701</v>
      </c>
      <c r="K397" s="26">
        <f t="shared" si="6"/>
        <v>400</v>
      </c>
      <c r="L397" s="26">
        <v>400</v>
      </c>
      <c r="O397" s="22" t="s">
        <v>15021</v>
      </c>
      <c r="P397" s="22" t="s">
        <v>16249</v>
      </c>
      <c r="Q397" s="22">
        <v>91766</v>
      </c>
      <c r="R397" s="22" t="s">
        <v>15022</v>
      </c>
      <c r="S397" s="22" t="s">
        <v>15023</v>
      </c>
      <c r="T397" s="22">
        <v>6.9</v>
      </c>
      <c r="U397" s="22">
        <v>0.4</v>
      </c>
      <c r="X397" s="26"/>
      <c r="Y397" s="26"/>
    </row>
    <row r="398" spans="1:25" ht="25" x14ac:dyDescent="0.25">
      <c r="A398" s="21">
        <v>544</v>
      </c>
      <c r="B398" s="22" t="s">
        <v>15368</v>
      </c>
      <c r="C398" s="22" t="s">
        <v>15024</v>
      </c>
      <c r="D398" s="23">
        <v>282572</v>
      </c>
      <c r="E398" s="24">
        <v>1993</v>
      </c>
      <c r="F398" s="22" t="s">
        <v>15025</v>
      </c>
      <c r="G398" s="23" t="s">
        <v>15026</v>
      </c>
      <c r="H398" s="25" t="s">
        <v>15373</v>
      </c>
      <c r="I398" s="22" t="s">
        <v>15374</v>
      </c>
      <c r="J398" s="22">
        <v>3512</v>
      </c>
      <c r="K398" s="26">
        <f t="shared" si="6"/>
        <v>964.66666666666663</v>
      </c>
      <c r="N398" s="26">
        <v>1447</v>
      </c>
      <c r="O398" s="22" t="s">
        <v>15027</v>
      </c>
      <c r="P398" s="22" t="s">
        <v>15028</v>
      </c>
      <c r="Q398" s="22">
        <v>92583</v>
      </c>
      <c r="R398" s="22" t="s">
        <v>15029</v>
      </c>
      <c r="S398" s="22" t="s">
        <v>13805</v>
      </c>
      <c r="T398" s="22">
        <v>8.17</v>
      </c>
      <c r="U398" s="22">
        <v>0.38</v>
      </c>
      <c r="X398" s="26"/>
      <c r="Y398" s="26"/>
    </row>
    <row r="399" spans="1:25" ht="37.5" x14ac:dyDescent="0.25">
      <c r="A399" s="21">
        <v>547</v>
      </c>
      <c r="B399" s="22" t="s">
        <v>15368</v>
      </c>
      <c r="C399" s="22" t="s">
        <v>13807</v>
      </c>
      <c r="D399" s="23">
        <v>317616</v>
      </c>
      <c r="E399" s="24">
        <v>1996</v>
      </c>
      <c r="F399" s="22" t="s">
        <v>13808</v>
      </c>
      <c r="G399" s="23" t="s">
        <v>13809</v>
      </c>
      <c r="H399" s="25" t="s">
        <v>15373</v>
      </c>
      <c r="I399" s="22" t="s">
        <v>15374</v>
      </c>
      <c r="J399" s="22" t="s">
        <v>15731</v>
      </c>
      <c r="K399" s="26">
        <f t="shared" si="6"/>
        <v>1045.3333333333333</v>
      </c>
      <c r="N399" s="26">
        <v>1568</v>
      </c>
      <c r="O399" s="22" t="s">
        <v>13810</v>
      </c>
      <c r="P399" s="22" t="s">
        <v>15893</v>
      </c>
      <c r="Q399" s="22">
        <v>92591</v>
      </c>
      <c r="R399" s="22" t="s">
        <v>13811</v>
      </c>
      <c r="S399" s="22" t="s">
        <v>13812</v>
      </c>
      <c r="T399" s="22">
        <v>8.17</v>
      </c>
      <c r="U399" s="22">
        <v>0.38</v>
      </c>
      <c r="X399" s="26"/>
      <c r="Y399" s="26"/>
    </row>
    <row r="400" spans="1:25" ht="37.5" x14ac:dyDescent="0.25">
      <c r="A400" s="21">
        <v>548</v>
      </c>
      <c r="B400" s="22" t="s">
        <v>15368</v>
      </c>
      <c r="C400" s="22" t="s">
        <v>13807</v>
      </c>
      <c r="D400" s="23">
        <v>358501</v>
      </c>
      <c r="E400" s="24">
        <v>1999</v>
      </c>
      <c r="F400" s="22" t="s">
        <v>13813</v>
      </c>
      <c r="G400" s="23" t="s">
        <v>13814</v>
      </c>
      <c r="H400" s="25" t="s">
        <v>15373</v>
      </c>
      <c r="I400" s="22" t="s">
        <v>15374</v>
      </c>
      <c r="J400" s="22" t="s">
        <v>15677</v>
      </c>
      <c r="K400" s="26">
        <f t="shared" si="6"/>
        <v>1750</v>
      </c>
      <c r="L400" s="26">
        <v>1750</v>
      </c>
      <c r="O400" s="22" t="s">
        <v>13810</v>
      </c>
      <c r="P400" s="22" t="s">
        <v>15893</v>
      </c>
      <c r="Q400" s="22">
        <v>92591</v>
      </c>
      <c r="R400" s="22" t="s">
        <v>13811</v>
      </c>
      <c r="S400" s="22" t="s">
        <v>13812</v>
      </c>
      <c r="T400" s="22">
        <v>8.17</v>
      </c>
      <c r="U400" s="22">
        <v>0.38</v>
      </c>
      <c r="X400" s="26"/>
      <c r="Y400" s="26"/>
    </row>
    <row r="401" spans="1:25" ht="25" x14ac:dyDescent="0.25">
      <c r="A401" s="21">
        <v>550</v>
      </c>
      <c r="B401" s="22" t="s">
        <v>15368</v>
      </c>
      <c r="C401" s="22" t="s">
        <v>13815</v>
      </c>
      <c r="D401" s="23">
        <v>218774</v>
      </c>
      <c r="E401" s="24">
        <v>1989</v>
      </c>
      <c r="F401" s="22" t="s">
        <v>13816</v>
      </c>
      <c r="G401" s="23" t="s">
        <v>13817</v>
      </c>
      <c r="H401" s="25" t="s">
        <v>15373</v>
      </c>
      <c r="I401" s="22" t="s">
        <v>15374</v>
      </c>
      <c r="J401" s="22" t="s">
        <v>15191</v>
      </c>
      <c r="K401" s="26">
        <f t="shared" si="6"/>
        <v>730.66666666666663</v>
      </c>
      <c r="N401" s="26">
        <v>1096</v>
      </c>
      <c r="O401" s="22" t="s">
        <v>13818</v>
      </c>
      <c r="P401" s="22" t="s">
        <v>15376</v>
      </c>
      <c r="Q401" s="22">
        <v>90017</v>
      </c>
      <c r="R401" s="22" t="s">
        <v>13819</v>
      </c>
      <c r="S401" s="22" t="s">
        <v>13820</v>
      </c>
      <c r="T401" s="22">
        <v>8.17</v>
      </c>
      <c r="U401" s="22">
        <v>0.38</v>
      </c>
      <c r="X401" s="26"/>
      <c r="Y401" s="26"/>
    </row>
    <row r="402" spans="1:25" ht="25" x14ac:dyDescent="0.25">
      <c r="A402" s="21">
        <v>551</v>
      </c>
      <c r="B402" s="22" t="s">
        <v>15368</v>
      </c>
      <c r="C402" s="22" t="s">
        <v>13821</v>
      </c>
      <c r="D402" s="23">
        <v>250482</v>
      </c>
      <c r="E402" s="24">
        <v>1991</v>
      </c>
      <c r="F402" s="22" t="s">
        <v>13822</v>
      </c>
      <c r="G402" s="23" t="s">
        <v>13823</v>
      </c>
      <c r="H402" s="25" t="s">
        <v>15373</v>
      </c>
      <c r="I402" s="22" t="s">
        <v>15374</v>
      </c>
      <c r="J402" s="22">
        <v>3406</v>
      </c>
      <c r="K402" s="26">
        <f t="shared" si="6"/>
        <v>340</v>
      </c>
      <c r="N402" s="26">
        <v>510</v>
      </c>
      <c r="O402" s="22" t="s">
        <v>13824</v>
      </c>
      <c r="P402" s="22" t="s">
        <v>15740</v>
      </c>
      <c r="Q402" s="22">
        <v>90802</v>
      </c>
      <c r="R402" s="22" t="s">
        <v>13825</v>
      </c>
      <c r="S402" s="22" t="s">
        <v>13826</v>
      </c>
      <c r="T402" s="22">
        <v>8.17</v>
      </c>
      <c r="U402" s="22">
        <v>0.38</v>
      </c>
      <c r="X402" s="26"/>
      <c r="Y402" s="26"/>
    </row>
    <row r="403" spans="1:25" ht="37.5" x14ac:dyDescent="0.25">
      <c r="A403" s="21">
        <v>561</v>
      </c>
      <c r="B403" s="22" t="s">
        <v>15368</v>
      </c>
      <c r="C403" s="22" t="s">
        <v>13828</v>
      </c>
      <c r="D403" s="23">
        <v>235208</v>
      </c>
      <c r="E403" s="24">
        <v>1990</v>
      </c>
      <c r="F403" s="22" t="s">
        <v>13829</v>
      </c>
      <c r="G403" s="23" t="s">
        <v>15084</v>
      </c>
      <c r="H403" s="25" t="s">
        <v>15373</v>
      </c>
      <c r="I403" s="22" t="s">
        <v>15411</v>
      </c>
      <c r="J403" s="22" t="s">
        <v>16331</v>
      </c>
      <c r="K403" s="26">
        <f t="shared" si="6"/>
        <v>750</v>
      </c>
      <c r="L403" s="26">
        <v>750</v>
      </c>
      <c r="O403" s="22" t="s">
        <v>15085</v>
      </c>
      <c r="P403" s="22" t="s">
        <v>15910</v>
      </c>
      <c r="Q403" s="22">
        <v>92360</v>
      </c>
      <c r="R403" s="22" t="s">
        <v>15086</v>
      </c>
      <c r="S403" s="22" t="s">
        <v>15087</v>
      </c>
      <c r="T403" s="22">
        <v>8.17</v>
      </c>
      <c r="U403" s="22">
        <v>0.38</v>
      </c>
      <c r="X403" s="26"/>
      <c r="Y403" s="26"/>
    </row>
    <row r="404" spans="1:25" ht="25" x14ac:dyDescent="0.25">
      <c r="A404" s="21">
        <v>562</v>
      </c>
      <c r="B404" s="22" t="s">
        <v>15368</v>
      </c>
      <c r="C404" s="22" t="s">
        <v>15088</v>
      </c>
      <c r="D404" s="23">
        <v>141294</v>
      </c>
      <c r="E404" s="24">
        <v>1986</v>
      </c>
      <c r="F404" s="22" t="s">
        <v>15089</v>
      </c>
      <c r="G404" s="23" t="s">
        <v>15090</v>
      </c>
      <c r="H404" s="25" t="s">
        <v>15373</v>
      </c>
      <c r="I404" s="22" t="s">
        <v>15709</v>
      </c>
      <c r="J404" s="22" t="s">
        <v>15091</v>
      </c>
      <c r="K404" s="26">
        <f t="shared" si="6"/>
        <v>650</v>
      </c>
      <c r="L404" s="26">
        <v>650</v>
      </c>
      <c r="O404" s="22" t="s">
        <v>15092</v>
      </c>
      <c r="P404" s="22" t="s">
        <v>15683</v>
      </c>
      <c r="Q404" s="22">
        <v>91355</v>
      </c>
      <c r="R404" s="22" t="s">
        <v>15093</v>
      </c>
      <c r="S404" s="22" t="s">
        <v>15094</v>
      </c>
      <c r="T404" s="22">
        <v>11</v>
      </c>
      <c r="U404" s="22">
        <v>0.53</v>
      </c>
      <c r="X404" s="26"/>
      <c r="Y404" s="26"/>
    </row>
    <row r="405" spans="1:25" ht="25" x14ac:dyDescent="0.25">
      <c r="A405" s="21">
        <v>563</v>
      </c>
      <c r="B405" s="22" t="s">
        <v>15368</v>
      </c>
      <c r="C405" s="22" t="s">
        <v>15095</v>
      </c>
      <c r="D405" s="23">
        <v>227562</v>
      </c>
      <c r="E405" s="24">
        <v>1990</v>
      </c>
      <c r="F405" s="22" t="s">
        <v>15096</v>
      </c>
      <c r="G405" s="23" t="s">
        <v>15097</v>
      </c>
      <c r="H405" s="25" t="s">
        <v>15373</v>
      </c>
      <c r="I405" s="22" t="s">
        <v>15382</v>
      </c>
      <c r="J405" s="22" t="s">
        <v>16302</v>
      </c>
      <c r="K405" s="26">
        <f t="shared" si="6"/>
        <v>506.66666666666663</v>
      </c>
      <c r="N405" s="26">
        <v>760</v>
      </c>
      <c r="O405" s="22" t="s">
        <v>15098</v>
      </c>
      <c r="P405" s="22" t="s">
        <v>15212</v>
      </c>
      <c r="Q405" s="22">
        <v>92668</v>
      </c>
      <c r="R405" s="22" t="s">
        <v>15099</v>
      </c>
      <c r="S405" s="22" t="s">
        <v>15100</v>
      </c>
      <c r="T405" s="22">
        <v>8.17</v>
      </c>
      <c r="U405" s="22">
        <v>0.38</v>
      </c>
      <c r="X405" s="26"/>
      <c r="Y405" s="26"/>
    </row>
    <row r="406" spans="1:25" ht="37.5" x14ac:dyDescent="0.25">
      <c r="A406" s="21">
        <v>564</v>
      </c>
      <c r="B406" s="22" t="s">
        <v>15368</v>
      </c>
      <c r="C406" s="22" t="s">
        <v>15101</v>
      </c>
      <c r="D406" s="23">
        <v>178578</v>
      </c>
      <c r="E406" s="24">
        <v>1988</v>
      </c>
      <c r="F406" s="22" t="s">
        <v>15102</v>
      </c>
      <c r="G406" s="23" t="s">
        <v>15103</v>
      </c>
      <c r="H406" s="25" t="s">
        <v>15373</v>
      </c>
      <c r="I406" s="22" t="s">
        <v>15382</v>
      </c>
      <c r="J406" s="22" t="s">
        <v>15104</v>
      </c>
      <c r="K406" s="26">
        <f t="shared" si="6"/>
        <v>456.66666666666663</v>
      </c>
      <c r="N406" s="26">
        <v>685</v>
      </c>
      <c r="O406" s="22" t="s">
        <v>15105</v>
      </c>
      <c r="P406" s="22" t="s">
        <v>16853</v>
      </c>
      <c r="Q406" s="22">
        <v>92612</v>
      </c>
      <c r="R406" s="22" t="s">
        <v>15106</v>
      </c>
      <c r="S406" s="22" t="s">
        <v>15107</v>
      </c>
      <c r="T406" s="22">
        <v>8.17</v>
      </c>
      <c r="U406" s="22">
        <v>0.38</v>
      </c>
      <c r="X406" s="26"/>
      <c r="Y406" s="26"/>
    </row>
    <row r="407" spans="1:25" ht="25" x14ac:dyDescent="0.25">
      <c r="A407" s="21">
        <v>570</v>
      </c>
      <c r="B407" s="22" t="s">
        <v>15368</v>
      </c>
      <c r="C407" s="22" t="s">
        <v>15108</v>
      </c>
      <c r="D407" s="23">
        <v>190471</v>
      </c>
      <c r="E407" s="24">
        <v>1989</v>
      </c>
      <c r="F407" s="22" t="s">
        <v>15109</v>
      </c>
      <c r="G407" s="23" t="s">
        <v>15110</v>
      </c>
      <c r="H407" s="25" t="s">
        <v>15373</v>
      </c>
      <c r="I407" s="22" t="s">
        <v>15374</v>
      </c>
      <c r="J407" s="22" t="s">
        <v>16561</v>
      </c>
      <c r="K407" s="26">
        <f t="shared" si="6"/>
        <v>356</v>
      </c>
      <c r="N407" s="26">
        <v>534</v>
      </c>
      <c r="O407" s="22" t="s">
        <v>15111</v>
      </c>
      <c r="P407" s="22" t="s">
        <v>15712</v>
      </c>
      <c r="Q407" s="22">
        <v>90502</v>
      </c>
      <c r="R407" s="22" t="s">
        <v>15112</v>
      </c>
      <c r="S407" s="22" t="s">
        <v>15113</v>
      </c>
      <c r="T407" s="22">
        <v>8.17</v>
      </c>
      <c r="U407" s="22">
        <v>0.38</v>
      </c>
      <c r="X407" s="26"/>
      <c r="Y407" s="26"/>
    </row>
    <row r="408" spans="1:25" ht="25" x14ac:dyDescent="0.25">
      <c r="A408" s="21">
        <v>576</v>
      </c>
      <c r="B408" s="22" t="s">
        <v>15368</v>
      </c>
      <c r="C408" s="22" t="s">
        <v>15114</v>
      </c>
      <c r="D408" s="23">
        <v>322399</v>
      </c>
      <c r="E408" s="24">
        <v>1996</v>
      </c>
      <c r="F408" s="22" t="s">
        <v>15115</v>
      </c>
      <c r="G408" s="23" t="s">
        <v>15116</v>
      </c>
      <c r="H408" s="25" t="s">
        <v>15373</v>
      </c>
      <c r="I408" s="22" t="s">
        <v>15374</v>
      </c>
      <c r="J408" s="22" t="s">
        <v>15701</v>
      </c>
      <c r="K408" s="26">
        <f t="shared" si="6"/>
        <v>400</v>
      </c>
      <c r="L408" s="26">
        <v>400</v>
      </c>
      <c r="O408" s="22" t="s">
        <v>15117</v>
      </c>
      <c r="P408" s="22" t="s">
        <v>15118</v>
      </c>
      <c r="Q408" s="22">
        <v>92399</v>
      </c>
      <c r="R408" s="22" t="s">
        <v>15119</v>
      </c>
      <c r="S408" s="22" t="s">
        <v>15120</v>
      </c>
      <c r="T408" s="22">
        <v>6.9</v>
      </c>
      <c r="U408" s="22">
        <v>0.4</v>
      </c>
      <c r="X408" s="26"/>
      <c r="Y408" s="26"/>
    </row>
    <row r="409" spans="1:25" ht="25" x14ac:dyDescent="0.25">
      <c r="A409" s="21">
        <v>577</v>
      </c>
      <c r="B409" s="22" t="s">
        <v>15368</v>
      </c>
      <c r="C409" s="22" t="s">
        <v>15121</v>
      </c>
      <c r="D409" s="23">
        <v>180089</v>
      </c>
      <c r="E409" s="24">
        <v>1988</v>
      </c>
      <c r="F409" s="22" t="s">
        <v>15122</v>
      </c>
      <c r="G409" s="23" t="s">
        <v>15123</v>
      </c>
      <c r="H409" s="25" t="s">
        <v>15373</v>
      </c>
      <c r="I409" s="22" t="s">
        <v>15411</v>
      </c>
      <c r="J409" s="22" t="s">
        <v>15124</v>
      </c>
      <c r="K409" s="26">
        <f t="shared" si="6"/>
        <v>780</v>
      </c>
      <c r="N409" s="26">
        <v>1170</v>
      </c>
      <c r="O409" s="22" t="s">
        <v>15125</v>
      </c>
      <c r="P409" s="22" t="s">
        <v>15376</v>
      </c>
      <c r="Q409" s="22">
        <v>90017</v>
      </c>
      <c r="R409" s="22" t="s">
        <v>15126</v>
      </c>
      <c r="S409" s="22" t="s">
        <v>15966</v>
      </c>
      <c r="T409" s="22">
        <v>8.17</v>
      </c>
      <c r="U409" s="22">
        <v>0.38</v>
      </c>
      <c r="X409" s="26"/>
      <c r="Y409" s="26"/>
    </row>
    <row r="410" spans="1:25" ht="25" x14ac:dyDescent="0.25">
      <c r="A410" s="21">
        <v>578</v>
      </c>
      <c r="B410" s="22" t="s">
        <v>15368</v>
      </c>
      <c r="C410" s="22" t="s">
        <v>15127</v>
      </c>
      <c r="D410" s="23">
        <v>164018</v>
      </c>
      <c r="E410" s="24">
        <v>1987</v>
      </c>
      <c r="F410" s="22" t="s">
        <v>15128</v>
      </c>
      <c r="G410" s="23" t="s">
        <v>15129</v>
      </c>
      <c r="H410" s="25" t="s">
        <v>15373</v>
      </c>
      <c r="I410" s="22" t="s">
        <v>15382</v>
      </c>
      <c r="J410" s="22" t="s">
        <v>15130</v>
      </c>
      <c r="K410" s="26">
        <f t="shared" si="6"/>
        <v>500</v>
      </c>
      <c r="N410" s="26">
        <v>750</v>
      </c>
      <c r="O410" s="22" t="s">
        <v>15131</v>
      </c>
      <c r="P410" s="22" t="s">
        <v>15376</v>
      </c>
      <c r="Q410" s="22">
        <v>90017</v>
      </c>
      <c r="R410" s="22" t="s">
        <v>15132</v>
      </c>
      <c r="S410" s="22" t="s">
        <v>15133</v>
      </c>
      <c r="T410" s="22">
        <v>11</v>
      </c>
      <c r="U410" s="22">
        <v>0.53</v>
      </c>
      <c r="X410" s="26"/>
      <c r="Y410" s="26"/>
    </row>
    <row r="411" spans="1:25" ht="25" x14ac:dyDescent="0.25">
      <c r="A411" s="21">
        <v>579</v>
      </c>
      <c r="B411" s="22" t="s">
        <v>15368</v>
      </c>
      <c r="C411" s="22" t="s">
        <v>15127</v>
      </c>
      <c r="D411" s="23">
        <v>164019</v>
      </c>
      <c r="E411" s="24">
        <v>1987</v>
      </c>
      <c r="F411" s="22" t="s">
        <v>15134</v>
      </c>
      <c r="G411" s="23" t="s">
        <v>15135</v>
      </c>
      <c r="H411" s="25" t="s">
        <v>15373</v>
      </c>
      <c r="I411" s="22" t="s">
        <v>15411</v>
      </c>
      <c r="J411" s="22" t="s">
        <v>16462</v>
      </c>
      <c r="K411" s="26">
        <f t="shared" si="6"/>
        <v>1000</v>
      </c>
      <c r="N411" s="26">
        <v>1500</v>
      </c>
      <c r="O411" s="22" t="s">
        <v>15131</v>
      </c>
      <c r="P411" s="22" t="s">
        <v>15376</v>
      </c>
      <c r="Q411" s="22">
        <v>90017</v>
      </c>
      <c r="R411" s="22" t="s">
        <v>15132</v>
      </c>
      <c r="S411" s="22" t="s">
        <v>15133</v>
      </c>
      <c r="T411" s="22">
        <v>11</v>
      </c>
      <c r="U411" s="22">
        <v>0.53</v>
      </c>
      <c r="X411" s="26"/>
      <c r="Y411" s="26"/>
    </row>
    <row r="412" spans="1:25" ht="25" x14ac:dyDescent="0.25">
      <c r="A412" s="21">
        <v>580</v>
      </c>
      <c r="B412" s="22" t="s">
        <v>15368</v>
      </c>
      <c r="C412" s="22" t="s">
        <v>15127</v>
      </c>
      <c r="D412" s="23">
        <v>164020</v>
      </c>
      <c r="E412" s="24">
        <v>1987</v>
      </c>
      <c r="F412" s="22" t="s">
        <v>15136</v>
      </c>
      <c r="G412" s="23" t="s">
        <v>15129</v>
      </c>
      <c r="H412" s="25" t="s">
        <v>15373</v>
      </c>
      <c r="I412" s="22" t="s">
        <v>15382</v>
      </c>
      <c r="J412" s="22" t="s">
        <v>15130</v>
      </c>
      <c r="K412" s="26">
        <f t="shared" si="6"/>
        <v>500</v>
      </c>
      <c r="N412" s="26">
        <v>750</v>
      </c>
      <c r="O412" s="22" t="s">
        <v>15131</v>
      </c>
      <c r="P412" s="22" t="s">
        <v>15376</v>
      </c>
      <c r="Q412" s="22">
        <v>90017</v>
      </c>
      <c r="R412" s="22" t="s">
        <v>15132</v>
      </c>
      <c r="S412" s="22" t="s">
        <v>15133</v>
      </c>
      <c r="T412" s="22">
        <v>11</v>
      </c>
      <c r="U412" s="22">
        <v>0.53</v>
      </c>
      <c r="X412" s="26"/>
      <c r="Y412" s="26"/>
    </row>
    <row r="413" spans="1:25" ht="25" x14ac:dyDescent="0.25">
      <c r="A413" s="21">
        <v>581</v>
      </c>
      <c r="B413" s="22" t="s">
        <v>15368</v>
      </c>
      <c r="C413" s="22" t="s">
        <v>15127</v>
      </c>
      <c r="D413" s="23">
        <v>164021</v>
      </c>
      <c r="E413" s="24">
        <v>1987</v>
      </c>
      <c r="F413" s="22" t="s">
        <v>15137</v>
      </c>
      <c r="G413" s="23" t="s">
        <v>15129</v>
      </c>
      <c r="H413" s="25" t="s">
        <v>15373</v>
      </c>
      <c r="I413" s="22" t="s">
        <v>15382</v>
      </c>
      <c r="J413" s="22" t="s">
        <v>15130</v>
      </c>
      <c r="K413" s="26">
        <f t="shared" si="6"/>
        <v>500</v>
      </c>
      <c r="N413" s="26">
        <v>750</v>
      </c>
      <c r="O413" s="22" t="s">
        <v>15131</v>
      </c>
      <c r="P413" s="22" t="s">
        <v>15376</v>
      </c>
      <c r="Q413" s="22">
        <v>90017</v>
      </c>
      <c r="R413" s="22" t="s">
        <v>15132</v>
      </c>
      <c r="S413" s="22" t="s">
        <v>15133</v>
      </c>
      <c r="T413" s="22">
        <v>11</v>
      </c>
      <c r="U413" s="22">
        <v>0.53</v>
      </c>
      <c r="X413" s="26"/>
      <c r="Y413" s="26"/>
    </row>
    <row r="414" spans="1:25" ht="25" x14ac:dyDescent="0.25">
      <c r="A414" s="21">
        <v>582</v>
      </c>
      <c r="B414" s="22" t="s">
        <v>15368</v>
      </c>
      <c r="C414" s="22" t="s">
        <v>15138</v>
      </c>
      <c r="D414" s="23">
        <v>205603</v>
      </c>
      <c r="E414" s="24">
        <v>1989</v>
      </c>
      <c r="F414" s="22" t="s">
        <v>15139</v>
      </c>
      <c r="G414" s="23" t="s">
        <v>15140</v>
      </c>
      <c r="H414" s="25" t="s">
        <v>15373</v>
      </c>
      <c r="I414" s="22" t="s">
        <v>15374</v>
      </c>
      <c r="J414" s="22">
        <v>3512</v>
      </c>
      <c r="K414" s="26">
        <f t="shared" si="6"/>
        <v>1452</v>
      </c>
      <c r="N414" s="26">
        <v>2178</v>
      </c>
      <c r="O414" s="22" t="s">
        <v>15141</v>
      </c>
      <c r="P414" s="22" t="s">
        <v>16249</v>
      </c>
      <c r="Q414" s="22">
        <v>91769</v>
      </c>
      <c r="R414" s="22" t="s">
        <v>15142</v>
      </c>
      <c r="S414" s="22" t="s">
        <v>15143</v>
      </c>
      <c r="T414" s="22">
        <v>8.17</v>
      </c>
      <c r="U414" s="22">
        <v>0.38</v>
      </c>
      <c r="X414" s="26"/>
      <c r="Y414" s="26"/>
    </row>
    <row r="415" spans="1:25" ht="25" x14ac:dyDescent="0.25">
      <c r="A415" s="21">
        <v>583</v>
      </c>
      <c r="B415" s="22" t="s">
        <v>15368</v>
      </c>
      <c r="C415" s="22" t="s">
        <v>15144</v>
      </c>
      <c r="D415" s="23">
        <v>381020</v>
      </c>
      <c r="E415" s="24">
        <v>2001</v>
      </c>
      <c r="F415" s="22" t="s">
        <v>15145</v>
      </c>
      <c r="G415" s="23" t="s">
        <v>15146</v>
      </c>
      <c r="H415" s="25" t="s">
        <v>15373</v>
      </c>
      <c r="I415" s="22" t="s">
        <v>15382</v>
      </c>
      <c r="J415" s="22" t="s">
        <v>15391</v>
      </c>
      <c r="K415" s="26">
        <f t="shared" si="6"/>
        <v>1500</v>
      </c>
      <c r="L415" s="26">
        <v>1500</v>
      </c>
      <c r="O415" s="22" t="s">
        <v>15147</v>
      </c>
      <c r="P415" s="22" t="s">
        <v>15376</v>
      </c>
      <c r="Q415" s="22">
        <v>90045</v>
      </c>
      <c r="R415" s="22" t="s">
        <v>15148</v>
      </c>
      <c r="S415" s="22" t="s">
        <v>16446</v>
      </c>
      <c r="T415" s="22">
        <v>6.9</v>
      </c>
      <c r="U415" s="22">
        <v>0.4</v>
      </c>
      <c r="X415" s="26"/>
      <c r="Y415" s="26"/>
    </row>
    <row r="416" spans="1:25" ht="25" x14ac:dyDescent="0.25">
      <c r="A416" s="21">
        <v>586</v>
      </c>
      <c r="B416" s="22" t="s">
        <v>15368</v>
      </c>
      <c r="C416" s="22" t="s">
        <v>15149</v>
      </c>
      <c r="D416" s="23">
        <v>318018</v>
      </c>
      <c r="E416" s="24">
        <v>1996</v>
      </c>
      <c r="F416" s="22" t="s">
        <v>15150</v>
      </c>
      <c r="G416" s="23" t="s">
        <v>13892</v>
      </c>
      <c r="H416" s="25" t="s">
        <v>15373</v>
      </c>
      <c r="I416" s="22" t="s">
        <v>15374</v>
      </c>
      <c r="J416" s="22" t="s">
        <v>15918</v>
      </c>
      <c r="K416" s="26">
        <f t="shared" si="6"/>
        <v>900</v>
      </c>
      <c r="L416" s="26">
        <v>900</v>
      </c>
      <c r="O416" s="22" t="s">
        <v>13893</v>
      </c>
      <c r="P416" s="22" t="s">
        <v>15376</v>
      </c>
      <c r="Q416" s="22" t="s">
        <v>13894</v>
      </c>
      <c r="R416" s="22" t="s">
        <v>16887</v>
      </c>
      <c r="S416" s="22" t="s">
        <v>16888</v>
      </c>
      <c r="T416" s="22">
        <v>8.17</v>
      </c>
      <c r="U416" s="22">
        <v>0.38</v>
      </c>
      <c r="X416" s="26"/>
      <c r="Y416" s="26"/>
    </row>
    <row r="417" spans="1:25" ht="25" x14ac:dyDescent="0.25">
      <c r="A417" s="21">
        <v>587</v>
      </c>
      <c r="B417" s="22" t="s">
        <v>15368</v>
      </c>
      <c r="C417" s="22" t="s">
        <v>13895</v>
      </c>
      <c r="D417" s="23">
        <v>132253</v>
      </c>
      <c r="E417" s="24">
        <v>1985</v>
      </c>
      <c r="F417" s="22" t="s">
        <v>13896</v>
      </c>
      <c r="G417" s="23" t="s">
        <v>13897</v>
      </c>
      <c r="H417" s="25" t="s">
        <v>15373</v>
      </c>
      <c r="I417" s="22" t="s">
        <v>15411</v>
      </c>
      <c r="J417" s="22" t="s">
        <v>16884</v>
      </c>
      <c r="K417" s="26">
        <f t="shared" si="6"/>
        <v>425</v>
      </c>
      <c r="L417" s="26">
        <v>425</v>
      </c>
      <c r="O417" s="22" t="s">
        <v>13898</v>
      </c>
      <c r="P417" s="22" t="s">
        <v>15703</v>
      </c>
      <c r="Q417" s="22">
        <v>90245</v>
      </c>
      <c r="R417" s="22" t="s">
        <v>13899</v>
      </c>
      <c r="S417" s="22" t="s">
        <v>13900</v>
      </c>
      <c r="T417" s="22">
        <v>11</v>
      </c>
      <c r="U417" s="22">
        <v>0.53</v>
      </c>
      <c r="X417" s="26"/>
      <c r="Y417" s="26"/>
    </row>
    <row r="418" spans="1:25" ht="25" x14ac:dyDescent="0.25">
      <c r="A418" s="21">
        <v>588</v>
      </c>
      <c r="B418" s="22" t="s">
        <v>15368</v>
      </c>
      <c r="C418" s="22" t="s">
        <v>13895</v>
      </c>
      <c r="D418" s="23">
        <v>132254</v>
      </c>
      <c r="E418" s="24">
        <v>1985</v>
      </c>
      <c r="F418" s="22" t="s">
        <v>13901</v>
      </c>
      <c r="G418" s="23" t="s">
        <v>13902</v>
      </c>
      <c r="H418" s="25" t="s">
        <v>15373</v>
      </c>
      <c r="I418" s="22" t="s">
        <v>15411</v>
      </c>
      <c r="J418" s="22" t="s">
        <v>14684</v>
      </c>
      <c r="K418" s="26">
        <f t="shared" si="6"/>
        <v>1000</v>
      </c>
      <c r="L418" s="26">
        <v>1000</v>
      </c>
      <c r="O418" s="22" t="s">
        <v>13898</v>
      </c>
      <c r="P418" s="22" t="s">
        <v>15703</v>
      </c>
      <c r="Q418" s="22">
        <v>90245</v>
      </c>
      <c r="R418" s="22" t="s">
        <v>13899</v>
      </c>
      <c r="S418" s="22" t="s">
        <v>13900</v>
      </c>
      <c r="T418" s="22">
        <v>11</v>
      </c>
      <c r="U418" s="22">
        <v>0.53</v>
      </c>
      <c r="X418" s="26"/>
      <c r="Y418" s="26"/>
    </row>
    <row r="419" spans="1:25" ht="25" x14ac:dyDescent="0.25">
      <c r="A419" s="21">
        <v>589</v>
      </c>
      <c r="B419" s="22" t="s">
        <v>15368</v>
      </c>
      <c r="C419" s="22" t="s">
        <v>13895</v>
      </c>
      <c r="D419" s="23">
        <v>132255</v>
      </c>
      <c r="E419" s="24">
        <v>1985</v>
      </c>
      <c r="F419" s="22" t="s">
        <v>13903</v>
      </c>
      <c r="G419" s="23" t="s">
        <v>13902</v>
      </c>
      <c r="H419" s="25" t="s">
        <v>15373</v>
      </c>
      <c r="I419" s="22" t="s">
        <v>15411</v>
      </c>
      <c r="J419" s="22" t="s">
        <v>14684</v>
      </c>
      <c r="K419" s="26">
        <f t="shared" si="6"/>
        <v>1000</v>
      </c>
      <c r="L419" s="26">
        <v>1000</v>
      </c>
      <c r="O419" s="22" t="s">
        <v>13898</v>
      </c>
      <c r="P419" s="22" t="s">
        <v>15703</v>
      </c>
      <c r="Q419" s="22">
        <v>90245</v>
      </c>
      <c r="R419" s="22" t="s">
        <v>13899</v>
      </c>
      <c r="S419" s="22" t="s">
        <v>13900</v>
      </c>
      <c r="T419" s="22">
        <v>11</v>
      </c>
      <c r="U419" s="22">
        <v>0.53</v>
      </c>
      <c r="X419" s="26"/>
      <c r="Y419" s="26"/>
    </row>
    <row r="420" spans="1:25" ht="25" x14ac:dyDescent="0.25">
      <c r="A420" s="21">
        <v>590</v>
      </c>
      <c r="B420" s="22" t="s">
        <v>15368</v>
      </c>
      <c r="C420" s="22" t="s">
        <v>13904</v>
      </c>
      <c r="D420" s="23">
        <v>359866</v>
      </c>
      <c r="E420" s="24">
        <v>1999</v>
      </c>
      <c r="F420" s="22" t="s">
        <v>13905</v>
      </c>
      <c r="G420" s="23" t="s">
        <v>13906</v>
      </c>
      <c r="H420" s="25" t="s">
        <v>15373</v>
      </c>
      <c r="I420" s="22" t="s">
        <v>15382</v>
      </c>
      <c r="J420" s="22" t="s">
        <v>13907</v>
      </c>
      <c r="K420" s="26">
        <f t="shared" si="6"/>
        <v>400</v>
      </c>
      <c r="M420" s="26">
        <v>600</v>
      </c>
      <c r="O420" s="22" t="s">
        <v>13908</v>
      </c>
      <c r="P420" s="22" t="s">
        <v>13909</v>
      </c>
      <c r="Q420" s="22">
        <v>92647</v>
      </c>
      <c r="R420" s="22" t="s">
        <v>13910</v>
      </c>
      <c r="S420" s="22" t="s">
        <v>13911</v>
      </c>
      <c r="T420" s="22">
        <v>6.9</v>
      </c>
      <c r="U420" s="22">
        <v>0.4</v>
      </c>
      <c r="X420" s="26"/>
      <c r="Y420" s="26"/>
    </row>
    <row r="421" spans="1:25" ht="37.5" x14ac:dyDescent="0.25">
      <c r="A421" s="21">
        <v>591</v>
      </c>
      <c r="B421" s="22" t="s">
        <v>15368</v>
      </c>
      <c r="C421" s="22" t="s">
        <v>13912</v>
      </c>
      <c r="D421" s="23">
        <v>352775</v>
      </c>
      <c r="E421" s="24">
        <v>1999</v>
      </c>
      <c r="F421" s="22" t="s">
        <v>13913</v>
      </c>
      <c r="G421" s="23" t="s">
        <v>13914</v>
      </c>
      <c r="H421" s="25" t="s">
        <v>15373</v>
      </c>
      <c r="I421" s="22" t="s">
        <v>15374</v>
      </c>
      <c r="J421" s="22" t="s">
        <v>14709</v>
      </c>
      <c r="K421" s="26">
        <f t="shared" si="6"/>
        <v>500</v>
      </c>
      <c r="L421" s="26">
        <v>500</v>
      </c>
      <c r="O421" s="22" t="s">
        <v>13915</v>
      </c>
      <c r="P421" s="22" t="s">
        <v>13916</v>
      </c>
      <c r="Q421" s="22">
        <v>91108</v>
      </c>
      <c r="R421" s="22" t="s">
        <v>13917</v>
      </c>
      <c r="S421" s="22" t="s">
        <v>13918</v>
      </c>
      <c r="T421" s="22">
        <v>6.9</v>
      </c>
      <c r="U421" s="22">
        <v>0.4</v>
      </c>
      <c r="X421" s="26"/>
      <c r="Y421" s="26"/>
    </row>
    <row r="422" spans="1:25" ht="37.5" x14ac:dyDescent="0.25">
      <c r="A422" s="21">
        <v>592</v>
      </c>
      <c r="B422" s="22" t="s">
        <v>15368</v>
      </c>
      <c r="C422" s="22" t="s">
        <v>13919</v>
      </c>
      <c r="D422" s="23">
        <v>334778</v>
      </c>
      <c r="E422" s="24">
        <v>1997</v>
      </c>
      <c r="F422" s="22" t="s">
        <v>13920</v>
      </c>
      <c r="G422" s="23" t="s">
        <v>13921</v>
      </c>
      <c r="H422" s="25" t="s">
        <v>15373</v>
      </c>
      <c r="I422" s="22" t="s">
        <v>15411</v>
      </c>
      <c r="J422" s="22" t="s">
        <v>13922</v>
      </c>
      <c r="K422" s="26">
        <f t="shared" si="6"/>
        <v>1633.3333333333333</v>
      </c>
      <c r="N422" s="26">
        <v>2450</v>
      </c>
      <c r="O422" s="22" t="s">
        <v>13923</v>
      </c>
      <c r="P422" s="22" t="s">
        <v>16819</v>
      </c>
      <c r="Q422" s="22" t="s">
        <v>13924</v>
      </c>
      <c r="R422" s="22" t="s">
        <v>13925</v>
      </c>
      <c r="S422" s="22" t="s">
        <v>13926</v>
      </c>
      <c r="T422" s="22">
        <v>8.17</v>
      </c>
      <c r="U422" s="22">
        <v>0.38</v>
      </c>
      <c r="X422" s="26"/>
      <c r="Y422" s="26"/>
    </row>
    <row r="423" spans="1:25" ht="25" x14ac:dyDescent="0.25">
      <c r="A423" s="21">
        <v>593</v>
      </c>
      <c r="B423" s="22" t="s">
        <v>15368</v>
      </c>
      <c r="C423" s="22" t="s">
        <v>13919</v>
      </c>
      <c r="D423" s="23">
        <v>334779</v>
      </c>
      <c r="E423" s="24">
        <v>1997</v>
      </c>
      <c r="F423" s="22" t="s">
        <v>13927</v>
      </c>
      <c r="G423" s="23" t="s">
        <v>13928</v>
      </c>
      <c r="H423" s="25" t="s">
        <v>15373</v>
      </c>
      <c r="I423" s="22" t="s">
        <v>15411</v>
      </c>
      <c r="J423" s="22" t="s">
        <v>13922</v>
      </c>
      <c r="K423" s="26">
        <f t="shared" si="6"/>
        <v>1633.3333333333333</v>
      </c>
      <c r="N423" s="26">
        <v>2450</v>
      </c>
      <c r="O423" s="22" t="s">
        <v>13923</v>
      </c>
      <c r="P423" s="22" t="s">
        <v>16819</v>
      </c>
      <c r="Q423" s="22" t="s">
        <v>13924</v>
      </c>
      <c r="R423" s="22" t="s">
        <v>13925</v>
      </c>
      <c r="S423" s="22" t="s">
        <v>13926</v>
      </c>
      <c r="T423" s="22">
        <v>8.17</v>
      </c>
      <c r="U423" s="22">
        <v>0.38</v>
      </c>
      <c r="X423" s="26"/>
      <c r="Y423" s="26"/>
    </row>
    <row r="424" spans="1:25" ht="37.5" x14ac:dyDescent="0.25">
      <c r="A424" s="21">
        <v>594</v>
      </c>
      <c r="B424" s="22" t="s">
        <v>15368</v>
      </c>
      <c r="C424" s="22" t="s">
        <v>13919</v>
      </c>
      <c r="D424" s="23">
        <v>334780</v>
      </c>
      <c r="E424" s="24">
        <v>1997</v>
      </c>
      <c r="F424" s="22" t="s">
        <v>13929</v>
      </c>
      <c r="G424" s="23" t="s">
        <v>13921</v>
      </c>
      <c r="H424" s="25" t="s">
        <v>15373</v>
      </c>
      <c r="I424" s="22" t="s">
        <v>15411</v>
      </c>
      <c r="J424" s="22" t="s">
        <v>13922</v>
      </c>
      <c r="K424" s="26">
        <f t="shared" si="6"/>
        <v>1633.3333333333333</v>
      </c>
      <c r="N424" s="26">
        <v>2450</v>
      </c>
      <c r="O424" s="22" t="s">
        <v>13923</v>
      </c>
      <c r="P424" s="22" t="s">
        <v>16819</v>
      </c>
      <c r="Q424" s="22" t="s">
        <v>13924</v>
      </c>
      <c r="R424" s="22" t="s">
        <v>13925</v>
      </c>
      <c r="S424" s="22" t="s">
        <v>13926</v>
      </c>
      <c r="T424" s="22">
        <v>8.17</v>
      </c>
      <c r="U424" s="22">
        <v>0.38</v>
      </c>
      <c r="X424" s="26"/>
      <c r="Y424" s="26"/>
    </row>
    <row r="425" spans="1:25" ht="37.5" x14ac:dyDescent="0.25">
      <c r="A425" s="21">
        <v>600</v>
      </c>
      <c r="B425" s="22" t="s">
        <v>15368</v>
      </c>
      <c r="C425" s="22" t="s">
        <v>13930</v>
      </c>
      <c r="D425" s="23">
        <v>204892</v>
      </c>
      <c r="E425" s="24">
        <v>1989</v>
      </c>
      <c r="F425" s="22" t="s">
        <v>13931</v>
      </c>
      <c r="G425" s="23" t="s">
        <v>13932</v>
      </c>
      <c r="H425" s="25" t="s">
        <v>15373</v>
      </c>
      <c r="I425" s="22" t="s">
        <v>15374</v>
      </c>
      <c r="J425" s="22">
        <v>3412</v>
      </c>
      <c r="K425" s="26">
        <f t="shared" si="6"/>
        <v>503.33333333333331</v>
      </c>
      <c r="N425" s="26">
        <v>755</v>
      </c>
      <c r="O425" s="22" t="s">
        <v>13933</v>
      </c>
      <c r="P425" s="22" t="s">
        <v>15611</v>
      </c>
      <c r="Q425" s="22">
        <v>92640</v>
      </c>
      <c r="R425" s="22" t="s">
        <v>13934</v>
      </c>
      <c r="S425" s="22" t="s">
        <v>13935</v>
      </c>
      <c r="T425" s="22">
        <v>8.17</v>
      </c>
      <c r="U425" s="22">
        <v>0.38</v>
      </c>
      <c r="X425" s="26"/>
      <c r="Y425" s="26"/>
    </row>
    <row r="426" spans="1:25" ht="37.5" x14ac:dyDescent="0.25">
      <c r="A426" s="21">
        <v>601</v>
      </c>
      <c r="B426" s="22" t="s">
        <v>15368</v>
      </c>
      <c r="C426" s="22" t="s">
        <v>13930</v>
      </c>
      <c r="D426" s="23">
        <v>204893</v>
      </c>
      <c r="E426" s="24">
        <v>1989</v>
      </c>
      <c r="F426" s="22" t="s">
        <v>13936</v>
      </c>
      <c r="G426" s="23" t="s">
        <v>13937</v>
      </c>
      <c r="H426" s="25" t="s">
        <v>15373</v>
      </c>
      <c r="I426" s="22" t="s">
        <v>15374</v>
      </c>
      <c r="J426" s="22">
        <v>3408</v>
      </c>
      <c r="K426" s="26">
        <f t="shared" si="6"/>
        <v>398.66666666666663</v>
      </c>
      <c r="N426" s="26">
        <v>598</v>
      </c>
      <c r="O426" s="22" t="s">
        <v>13933</v>
      </c>
      <c r="P426" s="22" t="s">
        <v>15611</v>
      </c>
      <c r="Q426" s="22">
        <v>92640</v>
      </c>
      <c r="R426" s="22" t="s">
        <v>13934</v>
      </c>
      <c r="S426" s="22" t="s">
        <v>13935</v>
      </c>
      <c r="T426" s="22">
        <v>8.17</v>
      </c>
      <c r="U426" s="22">
        <v>0.38</v>
      </c>
      <c r="X426" s="26"/>
      <c r="Y426" s="26"/>
    </row>
    <row r="427" spans="1:25" ht="25" x14ac:dyDescent="0.25">
      <c r="A427" s="21">
        <v>605</v>
      </c>
      <c r="B427" s="22" t="s">
        <v>15368</v>
      </c>
      <c r="C427" s="22" t="s">
        <v>13938</v>
      </c>
      <c r="D427" s="23">
        <v>356622</v>
      </c>
      <c r="E427" s="24">
        <v>1999</v>
      </c>
      <c r="F427" s="22" t="s">
        <v>13939</v>
      </c>
      <c r="G427" s="23" t="s">
        <v>13940</v>
      </c>
      <c r="H427" s="25" t="s">
        <v>15373</v>
      </c>
      <c r="I427" s="22" t="s">
        <v>15411</v>
      </c>
      <c r="J427" s="22" t="s">
        <v>13941</v>
      </c>
      <c r="K427" s="26">
        <f t="shared" si="6"/>
        <v>895</v>
      </c>
      <c r="L427" s="26">
        <v>895</v>
      </c>
      <c r="O427" s="22" t="s">
        <v>13942</v>
      </c>
      <c r="P427" s="22" t="s">
        <v>15703</v>
      </c>
      <c r="Q427" s="22">
        <v>90245</v>
      </c>
      <c r="R427" s="22" t="s">
        <v>13943</v>
      </c>
      <c r="S427" s="22" t="s">
        <v>13944</v>
      </c>
      <c r="T427" s="22">
        <v>8.17</v>
      </c>
      <c r="U427" s="22">
        <v>0.38</v>
      </c>
      <c r="X427" s="26"/>
      <c r="Y427" s="26"/>
    </row>
    <row r="428" spans="1:25" ht="25" x14ac:dyDescent="0.25">
      <c r="A428" s="21">
        <v>611</v>
      </c>
      <c r="B428" s="22" t="s">
        <v>15368</v>
      </c>
      <c r="C428" s="22" t="s">
        <v>13945</v>
      </c>
      <c r="D428" s="23">
        <v>357037</v>
      </c>
      <c r="E428" s="24">
        <v>1999</v>
      </c>
      <c r="F428" s="22" t="s">
        <v>13946</v>
      </c>
      <c r="G428" s="23" t="s">
        <v>13947</v>
      </c>
      <c r="H428" s="25" t="s">
        <v>15373</v>
      </c>
      <c r="I428" s="22" t="s">
        <v>15374</v>
      </c>
      <c r="J428" s="22" t="s">
        <v>15677</v>
      </c>
      <c r="K428" s="26">
        <f t="shared" si="6"/>
        <v>1500</v>
      </c>
      <c r="L428" s="26">
        <v>1500</v>
      </c>
      <c r="O428" s="22" t="s">
        <v>13948</v>
      </c>
      <c r="P428" s="22" t="s">
        <v>16268</v>
      </c>
      <c r="Q428" s="22">
        <v>91710</v>
      </c>
      <c r="R428" s="22" t="s">
        <v>13949</v>
      </c>
      <c r="S428" s="22" t="s">
        <v>13950</v>
      </c>
      <c r="T428" s="22">
        <v>8.17</v>
      </c>
      <c r="U428" s="22">
        <v>0.38</v>
      </c>
      <c r="X428" s="26"/>
      <c r="Y428" s="26"/>
    </row>
    <row r="429" spans="1:25" ht="25" x14ac:dyDescent="0.25">
      <c r="A429" s="21">
        <v>612</v>
      </c>
      <c r="B429" s="22" t="s">
        <v>15368</v>
      </c>
      <c r="C429" s="22" t="s">
        <v>13945</v>
      </c>
      <c r="D429" s="23">
        <v>357038</v>
      </c>
      <c r="E429" s="24">
        <v>1999</v>
      </c>
      <c r="F429" s="22" t="s">
        <v>13951</v>
      </c>
      <c r="G429" s="23" t="s">
        <v>13947</v>
      </c>
      <c r="H429" s="25" t="s">
        <v>15373</v>
      </c>
      <c r="I429" s="22" t="s">
        <v>15374</v>
      </c>
      <c r="J429" s="22" t="s">
        <v>15677</v>
      </c>
      <c r="K429" s="26">
        <f t="shared" si="6"/>
        <v>1500</v>
      </c>
      <c r="L429" s="26">
        <v>1500</v>
      </c>
      <c r="O429" s="22" t="s">
        <v>13948</v>
      </c>
      <c r="P429" s="22" t="s">
        <v>16268</v>
      </c>
      <c r="Q429" s="22">
        <v>91710</v>
      </c>
      <c r="R429" s="22" t="s">
        <v>13949</v>
      </c>
      <c r="S429" s="22" t="s">
        <v>13950</v>
      </c>
      <c r="T429" s="22">
        <v>8.17</v>
      </c>
      <c r="U429" s="22">
        <v>0.38</v>
      </c>
      <c r="X429" s="26"/>
      <c r="Y429" s="26"/>
    </row>
    <row r="430" spans="1:25" ht="25" x14ac:dyDescent="0.25">
      <c r="A430" s="21">
        <v>613</v>
      </c>
      <c r="B430" s="22" t="s">
        <v>15368</v>
      </c>
      <c r="C430" s="22" t="s">
        <v>13945</v>
      </c>
      <c r="D430" s="23">
        <v>377973</v>
      </c>
      <c r="E430" s="24">
        <v>2000</v>
      </c>
      <c r="F430" s="22" t="s">
        <v>13952</v>
      </c>
      <c r="G430" s="23" t="s">
        <v>13953</v>
      </c>
      <c r="H430" s="25" t="s">
        <v>15373</v>
      </c>
      <c r="I430" s="22" t="s">
        <v>15374</v>
      </c>
      <c r="J430" s="22" t="s">
        <v>15677</v>
      </c>
      <c r="K430" s="26">
        <f t="shared" si="6"/>
        <v>2000</v>
      </c>
      <c r="L430" s="26">
        <v>2000</v>
      </c>
      <c r="O430" s="22" t="s">
        <v>13948</v>
      </c>
      <c r="P430" s="22" t="s">
        <v>16268</v>
      </c>
      <c r="Q430" s="22">
        <v>91710</v>
      </c>
      <c r="R430" s="22" t="s">
        <v>13949</v>
      </c>
      <c r="S430" s="22" t="s">
        <v>13950</v>
      </c>
      <c r="T430" s="22">
        <v>6.9</v>
      </c>
      <c r="U430" s="22">
        <v>0.4</v>
      </c>
      <c r="X430" s="26"/>
      <c r="Y430" s="26"/>
    </row>
    <row r="431" spans="1:25" ht="25" x14ac:dyDescent="0.25">
      <c r="A431" s="21">
        <v>614</v>
      </c>
      <c r="B431" s="22" t="s">
        <v>15368</v>
      </c>
      <c r="C431" s="22" t="s">
        <v>13954</v>
      </c>
      <c r="D431" s="23">
        <v>235084</v>
      </c>
      <c r="E431" s="24">
        <v>1990</v>
      </c>
      <c r="F431" s="22" t="s">
        <v>13955</v>
      </c>
      <c r="G431" s="23" t="s">
        <v>13956</v>
      </c>
      <c r="H431" s="25" t="s">
        <v>15373</v>
      </c>
      <c r="I431" s="22" t="s">
        <v>15374</v>
      </c>
      <c r="J431" s="22" t="s">
        <v>16899</v>
      </c>
      <c r="K431" s="26">
        <f t="shared" si="6"/>
        <v>596.66666666666663</v>
      </c>
      <c r="N431" s="26">
        <v>895</v>
      </c>
      <c r="O431" s="22" t="s">
        <v>13957</v>
      </c>
      <c r="P431" s="22" t="s">
        <v>16901</v>
      </c>
      <c r="Q431" s="22">
        <v>91761</v>
      </c>
      <c r="R431" s="22" t="s">
        <v>13958</v>
      </c>
      <c r="S431" s="22" t="s">
        <v>13959</v>
      </c>
      <c r="T431" s="22">
        <v>8.17</v>
      </c>
      <c r="U431" s="22">
        <v>0.38</v>
      </c>
      <c r="X431" s="26"/>
      <c r="Y431" s="26"/>
    </row>
    <row r="432" spans="1:25" ht="25" x14ac:dyDescent="0.25">
      <c r="A432" s="21">
        <v>615</v>
      </c>
      <c r="B432" s="22" t="s">
        <v>15368</v>
      </c>
      <c r="C432" s="22" t="s">
        <v>13954</v>
      </c>
      <c r="D432" s="23">
        <v>299058</v>
      </c>
      <c r="E432" s="24">
        <v>1994</v>
      </c>
      <c r="F432" s="22" t="s">
        <v>13960</v>
      </c>
      <c r="G432" s="23" t="s">
        <v>13961</v>
      </c>
      <c r="H432" s="25" t="s">
        <v>15373</v>
      </c>
      <c r="I432" s="22" t="s">
        <v>15374</v>
      </c>
      <c r="J432" s="22" t="s">
        <v>15420</v>
      </c>
      <c r="K432" s="26">
        <f t="shared" si="6"/>
        <v>1250</v>
      </c>
      <c r="L432" s="26">
        <v>1250</v>
      </c>
      <c r="O432" s="22" t="s">
        <v>13957</v>
      </c>
      <c r="P432" s="22" t="s">
        <v>16901</v>
      </c>
      <c r="Q432" s="22">
        <v>91761</v>
      </c>
      <c r="R432" s="22" t="s">
        <v>13958</v>
      </c>
      <c r="S432" s="22" t="s">
        <v>13959</v>
      </c>
      <c r="T432" s="22">
        <v>8.17</v>
      </c>
      <c r="U432" s="22">
        <v>0.38</v>
      </c>
      <c r="X432" s="26"/>
      <c r="Y432" s="26"/>
    </row>
    <row r="433" spans="1:25" ht="25" x14ac:dyDescent="0.25">
      <c r="A433" s="21">
        <v>616</v>
      </c>
      <c r="B433" s="22" t="s">
        <v>15368</v>
      </c>
      <c r="C433" s="22" t="s">
        <v>13954</v>
      </c>
      <c r="D433" s="23">
        <v>299059</v>
      </c>
      <c r="E433" s="24">
        <v>1994</v>
      </c>
      <c r="F433" s="22" t="s">
        <v>13962</v>
      </c>
      <c r="G433" s="23" t="s">
        <v>13961</v>
      </c>
      <c r="H433" s="25" t="s">
        <v>15373</v>
      </c>
      <c r="I433" s="22" t="s">
        <v>15374</v>
      </c>
      <c r="J433" s="22" t="s">
        <v>15420</v>
      </c>
      <c r="K433" s="26">
        <f t="shared" si="6"/>
        <v>1250</v>
      </c>
      <c r="L433" s="26">
        <v>1250</v>
      </c>
      <c r="O433" s="22" t="s">
        <v>13957</v>
      </c>
      <c r="P433" s="22" t="s">
        <v>16901</v>
      </c>
      <c r="Q433" s="22">
        <v>91761</v>
      </c>
      <c r="R433" s="22" t="s">
        <v>13958</v>
      </c>
      <c r="S433" s="22" t="s">
        <v>13959</v>
      </c>
      <c r="T433" s="22">
        <v>8.17</v>
      </c>
      <c r="U433" s="22">
        <v>0.38</v>
      </c>
      <c r="X433" s="26"/>
      <c r="Y433" s="26"/>
    </row>
    <row r="434" spans="1:25" ht="25" x14ac:dyDescent="0.25">
      <c r="A434" s="21">
        <v>617</v>
      </c>
      <c r="B434" s="22" t="s">
        <v>15368</v>
      </c>
      <c r="C434" s="22" t="s">
        <v>13954</v>
      </c>
      <c r="D434" s="23">
        <v>299060</v>
      </c>
      <c r="E434" s="24">
        <v>1994</v>
      </c>
      <c r="F434" s="22" t="s">
        <v>13963</v>
      </c>
      <c r="G434" s="23" t="s">
        <v>13964</v>
      </c>
      <c r="H434" s="25" t="s">
        <v>15373</v>
      </c>
      <c r="I434" s="22" t="s">
        <v>15374</v>
      </c>
      <c r="J434" s="22" t="s">
        <v>15420</v>
      </c>
      <c r="K434" s="26">
        <f t="shared" si="6"/>
        <v>1000</v>
      </c>
      <c r="L434" s="26">
        <v>1000</v>
      </c>
      <c r="O434" s="22" t="s">
        <v>13957</v>
      </c>
      <c r="P434" s="22" t="s">
        <v>16901</v>
      </c>
      <c r="Q434" s="22">
        <v>91761</v>
      </c>
      <c r="R434" s="22" t="s">
        <v>13958</v>
      </c>
      <c r="S434" s="22" t="s">
        <v>13959</v>
      </c>
      <c r="T434" s="22">
        <v>8.17</v>
      </c>
      <c r="U434" s="22">
        <v>0.38</v>
      </c>
      <c r="X434" s="26"/>
      <c r="Y434" s="26"/>
    </row>
    <row r="435" spans="1:25" ht="37.5" x14ac:dyDescent="0.25">
      <c r="A435" s="21">
        <v>618</v>
      </c>
      <c r="B435" s="22" t="s">
        <v>15368</v>
      </c>
      <c r="C435" s="22" t="s">
        <v>15244</v>
      </c>
      <c r="D435" s="23">
        <v>184631</v>
      </c>
      <c r="E435" s="24">
        <v>1989</v>
      </c>
      <c r="F435" s="22" t="s">
        <v>15245</v>
      </c>
      <c r="G435" s="23" t="s">
        <v>15246</v>
      </c>
      <c r="H435" s="25" t="s">
        <v>16310</v>
      </c>
      <c r="I435" s="22" t="s">
        <v>16160</v>
      </c>
      <c r="J435" s="22" t="s">
        <v>15247</v>
      </c>
      <c r="K435" s="26">
        <f t="shared" si="6"/>
        <v>607.33333333333326</v>
      </c>
      <c r="N435" s="26">
        <v>911</v>
      </c>
      <c r="O435" s="22" t="s">
        <v>15248</v>
      </c>
      <c r="P435" s="22" t="s">
        <v>16268</v>
      </c>
      <c r="Q435" s="22">
        <v>91710</v>
      </c>
      <c r="R435" s="22" t="s">
        <v>13958</v>
      </c>
      <c r="S435" s="22" t="s">
        <v>13959</v>
      </c>
      <c r="X435" s="26"/>
      <c r="Y435" s="26"/>
    </row>
    <row r="436" spans="1:25" ht="25" x14ac:dyDescent="0.25">
      <c r="A436" s="21">
        <v>619</v>
      </c>
      <c r="B436" s="22" t="s">
        <v>15368</v>
      </c>
      <c r="C436" s="22" t="s">
        <v>15249</v>
      </c>
      <c r="D436" s="23">
        <v>193012</v>
      </c>
      <c r="E436" s="24">
        <v>1989</v>
      </c>
      <c r="F436" s="22" t="s">
        <v>15250</v>
      </c>
      <c r="G436" s="23" t="s">
        <v>15251</v>
      </c>
      <c r="H436" s="25" t="s">
        <v>15373</v>
      </c>
      <c r="I436" s="22" t="s">
        <v>15374</v>
      </c>
      <c r="J436" s="22" t="s">
        <v>15420</v>
      </c>
      <c r="K436" s="26">
        <f t="shared" si="6"/>
        <v>1500</v>
      </c>
      <c r="L436" s="26">
        <v>1500</v>
      </c>
      <c r="O436" s="22" t="s">
        <v>15252</v>
      </c>
      <c r="P436" s="22" t="s">
        <v>16268</v>
      </c>
      <c r="Q436" s="22" t="s">
        <v>15253</v>
      </c>
      <c r="R436" s="22" t="s">
        <v>13958</v>
      </c>
      <c r="S436" s="22" t="s">
        <v>13959</v>
      </c>
      <c r="T436" s="22">
        <v>8.17</v>
      </c>
      <c r="U436" s="22">
        <v>0.38</v>
      </c>
      <c r="X436" s="26"/>
      <c r="Y436" s="26"/>
    </row>
    <row r="437" spans="1:25" ht="25" x14ac:dyDescent="0.25">
      <c r="A437" s="21">
        <v>620</v>
      </c>
      <c r="B437" s="22" t="s">
        <v>15368</v>
      </c>
      <c r="C437" s="22" t="s">
        <v>15249</v>
      </c>
      <c r="D437" s="23">
        <v>321867</v>
      </c>
      <c r="E437" s="24">
        <v>1996</v>
      </c>
      <c r="F437" s="22" t="s">
        <v>15254</v>
      </c>
      <c r="G437" s="23" t="s">
        <v>15255</v>
      </c>
      <c r="H437" s="25" t="s">
        <v>15373</v>
      </c>
      <c r="I437" s="22" t="s">
        <v>15374</v>
      </c>
      <c r="J437" s="22" t="s">
        <v>15677</v>
      </c>
      <c r="K437" s="26">
        <f t="shared" si="6"/>
        <v>2000</v>
      </c>
      <c r="L437" s="26">
        <v>2000</v>
      </c>
      <c r="O437" s="22" t="s">
        <v>15256</v>
      </c>
      <c r="P437" s="22" t="s">
        <v>16347</v>
      </c>
      <c r="Q437" s="22">
        <v>91730</v>
      </c>
      <c r="R437" s="22" t="s">
        <v>15257</v>
      </c>
      <c r="S437" s="22" t="s">
        <v>13959</v>
      </c>
      <c r="T437" s="22">
        <v>8.17</v>
      </c>
      <c r="U437" s="22">
        <v>0.38</v>
      </c>
      <c r="X437" s="26"/>
      <c r="Y437" s="26"/>
    </row>
    <row r="438" spans="1:25" ht="37.5" x14ac:dyDescent="0.25">
      <c r="A438" s="21">
        <v>621</v>
      </c>
      <c r="B438" s="22" t="s">
        <v>15368</v>
      </c>
      <c r="C438" s="22" t="s">
        <v>15258</v>
      </c>
      <c r="D438" s="23">
        <v>371279</v>
      </c>
      <c r="E438" s="24">
        <v>2000</v>
      </c>
      <c r="F438" s="22" t="s">
        <v>15259</v>
      </c>
      <c r="G438" s="23" t="s">
        <v>15260</v>
      </c>
      <c r="H438" s="25" t="s">
        <v>15373</v>
      </c>
      <c r="I438" s="22" t="s">
        <v>15374</v>
      </c>
      <c r="J438" s="22" t="s">
        <v>15261</v>
      </c>
      <c r="K438" s="26">
        <f t="shared" si="6"/>
        <v>786.66666666666663</v>
      </c>
      <c r="N438" s="26">
        <v>1180</v>
      </c>
      <c r="O438" s="22" t="s">
        <v>15262</v>
      </c>
      <c r="P438" s="22" t="s">
        <v>16901</v>
      </c>
      <c r="Q438" s="22">
        <v>91761</v>
      </c>
      <c r="R438" s="22" t="s">
        <v>15263</v>
      </c>
      <c r="S438" s="22" t="s">
        <v>15264</v>
      </c>
      <c r="T438" s="22">
        <v>6.9</v>
      </c>
      <c r="U438" s="22">
        <v>0.4</v>
      </c>
      <c r="X438" s="26"/>
      <c r="Y438" s="26"/>
    </row>
    <row r="439" spans="1:25" ht="37.5" x14ac:dyDescent="0.25">
      <c r="A439" s="21">
        <v>622</v>
      </c>
      <c r="B439" s="22" t="s">
        <v>15368</v>
      </c>
      <c r="C439" s="22" t="s">
        <v>15265</v>
      </c>
      <c r="D439" s="23">
        <v>178640</v>
      </c>
      <c r="E439" s="24">
        <v>1988</v>
      </c>
      <c r="F439" s="22" t="s">
        <v>15266</v>
      </c>
      <c r="G439" s="23" t="s">
        <v>15267</v>
      </c>
      <c r="H439" s="25" t="s">
        <v>15373</v>
      </c>
      <c r="I439" s="22" t="s">
        <v>15382</v>
      </c>
      <c r="J439" s="22" t="s">
        <v>16311</v>
      </c>
      <c r="K439" s="26">
        <f t="shared" si="6"/>
        <v>400</v>
      </c>
      <c r="N439" s="26">
        <v>600</v>
      </c>
      <c r="O439" s="22" t="s">
        <v>15268</v>
      </c>
      <c r="P439" s="22" t="s">
        <v>15269</v>
      </c>
      <c r="Q439" s="22">
        <v>92595</v>
      </c>
      <c r="R439" s="22" t="s">
        <v>15270</v>
      </c>
      <c r="S439" s="22" t="s">
        <v>15271</v>
      </c>
      <c r="T439" s="22">
        <v>8.17</v>
      </c>
      <c r="U439" s="22">
        <v>0.38</v>
      </c>
      <c r="X439" s="26"/>
      <c r="Y439" s="26"/>
    </row>
    <row r="440" spans="1:25" ht="25" x14ac:dyDescent="0.25">
      <c r="A440" s="21">
        <v>624</v>
      </c>
      <c r="B440" s="22" t="s">
        <v>15368</v>
      </c>
      <c r="C440" s="22" t="s">
        <v>15272</v>
      </c>
      <c r="D440" s="23">
        <v>193090</v>
      </c>
      <c r="E440" s="24">
        <v>1989</v>
      </c>
      <c r="F440" s="22" t="s">
        <v>15273</v>
      </c>
      <c r="G440" s="23" t="s">
        <v>15274</v>
      </c>
      <c r="H440" s="25" t="s">
        <v>15373</v>
      </c>
      <c r="I440" s="22" t="s">
        <v>15411</v>
      </c>
      <c r="J440" s="22" t="s">
        <v>16462</v>
      </c>
      <c r="K440" s="26">
        <f t="shared" si="6"/>
        <v>1010</v>
      </c>
      <c r="N440" s="26">
        <v>1515</v>
      </c>
      <c r="O440" s="22" t="s">
        <v>15275</v>
      </c>
      <c r="P440" s="22" t="s">
        <v>15276</v>
      </c>
      <c r="Q440" s="22">
        <v>91723</v>
      </c>
      <c r="R440" s="22" t="s">
        <v>15277</v>
      </c>
      <c r="S440" s="22" t="s">
        <v>15278</v>
      </c>
      <c r="T440" s="22">
        <v>8.17</v>
      </c>
      <c r="U440" s="22">
        <v>0.38</v>
      </c>
      <c r="X440" s="26"/>
      <c r="Y440" s="26"/>
    </row>
    <row r="441" spans="1:25" ht="37.5" x14ac:dyDescent="0.25">
      <c r="A441" s="21">
        <v>625</v>
      </c>
      <c r="B441" s="22" t="s">
        <v>15368</v>
      </c>
      <c r="C441" s="22" t="s">
        <v>15279</v>
      </c>
      <c r="D441" s="23">
        <v>281933</v>
      </c>
      <c r="E441" s="24">
        <v>1993</v>
      </c>
      <c r="F441" s="22" t="s">
        <v>15280</v>
      </c>
      <c r="G441" s="23" t="s">
        <v>15281</v>
      </c>
      <c r="H441" s="25" t="s">
        <v>15373</v>
      </c>
      <c r="I441" s="22" t="s">
        <v>15374</v>
      </c>
      <c r="J441" s="22" t="s">
        <v>16869</v>
      </c>
      <c r="K441" s="26">
        <f t="shared" si="6"/>
        <v>593.33333333333326</v>
      </c>
      <c r="N441" s="26">
        <v>890</v>
      </c>
      <c r="O441" s="22" t="s">
        <v>15282</v>
      </c>
      <c r="P441" s="22" t="s">
        <v>15283</v>
      </c>
      <c r="Q441" s="22" t="s">
        <v>15284</v>
      </c>
      <c r="R441" s="22" t="s">
        <v>15285</v>
      </c>
      <c r="S441" s="22" t="s">
        <v>15286</v>
      </c>
      <c r="T441" s="22">
        <v>8.17</v>
      </c>
      <c r="U441" s="22">
        <v>0.38</v>
      </c>
      <c r="X441" s="26"/>
      <c r="Y441" s="26"/>
    </row>
    <row r="442" spans="1:25" ht="37.5" x14ac:dyDescent="0.25">
      <c r="A442" s="21">
        <v>626</v>
      </c>
      <c r="B442" s="22" t="s">
        <v>15368</v>
      </c>
      <c r="C442" s="22" t="s">
        <v>15287</v>
      </c>
      <c r="D442" s="23">
        <v>134701</v>
      </c>
      <c r="E442" s="24">
        <v>1985</v>
      </c>
      <c r="F442" s="22" t="s">
        <v>15288</v>
      </c>
      <c r="G442" s="23" t="s">
        <v>15289</v>
      </c>
      <c r="H442" s="25" t="s">
        <v>15373</v>
      </c>
      <c r="I442" s="22" t="s">
        <v>15709</v>
      </c>
      <c r="J442" s="22" t="s">
        <v>15710</v>
      </c>
      <c r="K442" s="26">
        <f t="shared" si="6"/>
        <v>1000</v>
      </c>
      <c r="L442" s="26">
        <v>1000</v>
      </c>
      <c r="O442" s="22" t="s">
        <v>15290</v>
      </c>
      <c r="P442" s="22" t="s">
        <v>15893</v>
      </c>
      <c r="Q442" s="22">
        <v>92590</v>
      </c>
      <c r="R442" s="22" t="s">
        <v>15291</v>
      </c>
      <c r="S442" s="22" t="s">
        <v>15292</v>
      </c>
      <c r="T442" s="22">
        <v>11</v>
      </c>
      <c r="U442" s="22">
        <v>0.53</v>
      </c>
      <c r="X442" s="26"/>
      <c r="Y442" s="26"/>
    </row>
    <row r="443" spans="1:25" ht="37.5" x14ac:dyDescent="0.25">
      <c r="A443" s="21">
        <v>627</v>
      </c>
      <c r="B443" s="22" t="s">
        <v>15368</v>
      </c>
      <c r="C443" s="22" t="s">
        <v>15293</v>
      </c>
      <c r="D443" s="23">
        <v>358448</v>
      </c>
      <c r="E443" s="24">
        <v>1999</v>
      </c>
      <c r="F443" s="22" t="s">
        <v>15294</v>
      </c>
      <c r="G443" s="23" t="s">
        <v>15295</v>
      </c>
      <c r="H443" s="25" t="s">
        <v>15373</v>
      </c>
      <c r="I443" s="22" t="s">
        <v>15374</v>
      </c>
      <c r="J443" s="22" t="s">
        <v>16869</v>
      </c>
      <c r="K443" s="26">
        <f t="shared" si="6"/>
        <v>500</v>
      </c>
      <c r="L443" s="26">
        <v>500</v>
      </c>
      <c r="O443" s="22" t="s">
        <v>15296</v>
      </c>
      <c r="P443" s="22" t="s">
        <v>16853</v>
      </c>
      <c r="Q443" s="22">
        <v>92814</v>
      </c>
      <c r="R443" s="22" t="s">
        <v>15297</v>
      </c>
      <c r="S443" s="22" t="s">
        <v>15298</v>
      </c>
      <c r="T443" s="22">
        <v>6.9</v>
      </c>
      <c r="U443" s="22">
        <v>0.4</v>
      </c>
      <c r="X443" s="26"/>
      <c r="Y443" s="26"/>
    </row>
    <row r="444" spans="1:25" ht="37.5" x14ac:dyDescent="0.25">
      <c r="A444" s="21">
        <v>628</v>
      </c>
      <c r="B444" s="22" t="s">
        <v>15368</v>
      </c>
      <c r="C444" s="22" t="s">
        <v>15299</v>
      </c>
      <c r="D444" s="23">
        <v>223964</v>
      </c>
      <c r="E444" s="24">
        <v>1990</v>
      </c>
      <c r="F444" s="22" t="s">
        <v>15300</v>
      </c>
      <c r="G444" s="23" t="s">
        <v>15301</v>
      </c>
      <c r="H444" s="25" t="s">
        <v>15373</v>
      </c>
      <c r="I444" s="22" t="s">
        <v>15411</v>
      </c>
      <c r="J444" s="22" t="s">
        <v>16331</v>
      </c>
      <c r="K444" s="26">
        <f t="shared" si="6"/>
        <v>730</v>
      </c>
      <c r="N444" s="26">
        <v>1095</v>
      </c>
      <c r="O444" s="22" t="s">
        <v>13976</v>
      </c>
      <c r="P444" s="22" t="s">
        <v>16853</v>
      </c>
      <c r="Q444" s="22">
        <v>92713</v>
      </c>
      <c r="R444" s="22" t="s">
        <v>13977</v>
      </c>
      <c r="S444" s="22" t="s">
        <v>13978</v>
      </c>
      <c r="T444" s="22">
        <v>8.17</v>
      </c>
      <c r="U444" s="22">
        <v>0.38</v>
      </c>
      <c r="X444" s="26"/>
      <c r="Y444" s="26"/>
    </row>
    <row r="445" spans="1:25" ht="25" x14ac:dyDescent="0.25">
      <c r="A445" s="21">
        <v>629</v>
      </c>
      <c r="B445" s="22" t="s">
        <v>15368</v>
      </c>
      <c r="C445" s="22" t="s">
        <v>13979</v>
      </c>
      <c r="D445" s="23">
        <v>198306</v>
      </c>
      <c r="E445" s="24">
        <v>1989</v>
      </c>
      <c r="F445" s="22" t="s">
        <v>13980</v>
      </c>
      <c r="G445" s="23" t="s">
        <v>13981</v>
      </c>
      <c r="H445" s="25" t="s">
        <v>15373</v>
      </c>
      <c r="I445" s="22" t="s">
        <v>15382</v>
      </c>
      <c r="J445" s="22" t="s">
        <v>13982</v>
      </c>
      <c r="K445" s="26">
        <f t="shared" si="6"/>
        <v>423.33333333333331</v>
      </c>
      <c r="N445" s="26">
        <v>635</v>
      </c>
      <c r="O445" s="22" t="s">
        <v>13983</v>
      </c>
      <c r="P445" s="22" t="s">
        <v>15537</v>
      </c>
      <c r="Q445" s="22">
        <v>92660</v>
      </c>
      <c r="R445" s="22" t="s">
        <v>13984</v>
      </c>
      <c r="S445" s="22" t="s">
        <v>13985</v>
      </c>
      <c r="T445" s="22">
        <v>8.17</v>
      </c>
      <c r="U445" s="22">
        <v>0.38</v>
      </c>
      <c r="X445" s="26"/>
      <c r="Y445" s="26"/>
    </row>
    <row r="446" spans="1:25" ht="37.5" x14ac:dyDescent="0.25">
      <c r="A446" s="21">
        <v>630</v>
      </c>
      <c r="B446" s="22" t="s">
        <v>15368</v>
      </c>
      <c r="C446" s="22" t="s">
        <v>13986</v>
      </c>
      <c r="D446" s="23">
        <v>238395</v>
      </c>
      <c r="E446" s="24">
        <v>1990</v>
      </c>
      <c r="F446" s="22" t="s">
        <v>13987</v>
      </c>
      <c r="G446" s="23" t="s">
        <v>13988</v>
      </c>
      <c r="H446" s="25" t="s">
        <v>15373</v>
      </c>
      <c r="I446" s="22" t="s">
        <v>15374</v>
      </c>
      <c r="J446" s="22">
        <v>3412</v>
      </c>
      <c r="K446" s="26">
        <f t="shared" si="6"/>
        <v>593.33333333333326</v>
      </c>
      <c r="N446" s="26" t="s">
        <v>13989</v>
      </c>
      <c r="O446" s="22" t="s">
        <v>14964</v>
      </c>
      <c r="P446" s="22" t="s">
        <v>16853</v>
      </c>
      <c r="Q446" s="22">
        <v>92619</v>
      </c>
      <c r="R446" s="22" t="s">
        <v>13990</v>
      </c>
      <c r="S446" s="22" t="s">
        <v>13991</v>
      </c>
      <c r="T446" s="22">
        <v>8.17</v>
      </c>
      <c r="U446" s="22">
        <v>0.38</v>
      </c>
      <c r="X446" s="26"/>
      <c r="Y446" s="26"/>
    </row>
    <row r="447" spans="1:25" ht="37.5" x14ac:dyDescent="0.25">
      <c r="A447" s="21">
        <v>631</v>
      </c>
      <c r="B447" s="22" t="s">
        <v>15368</v>
      </c>
      <c r="C447" s="22" t="s">
        <v>13986</v>
      </c>
      <c r="D447" s="23">
        <v>238396</v>
      </c>
      <c r="E447" s="24">
        <v>1990</v>
      </c>
      <c r="F447" s="22" t="s">
        <v>13992</v>
      </c>
      <c r="G447" s="23" t="s">
        <v>13993</v>
      </c>
      <c r="H447" s="25" t="s">
        <v>15373</v>
      </c>
      <c r="I447" s="22" t="s">
        <v>15374</v>
      </c>
      <c r="J447" s="22">
        <v>3412</v>
      </c>
      <c r="K447" s="26">
        <f t="shared" si="6"/>
        <v>593.33333333333326</v>
      </c>
      <c r="N447" s="26">
        <v>890</v>
      </c>
      <c r="O447" s="22" t="s">
        <v>14964</v>
      </c>
      <c r="P447" s="22" t="s">
        <v>16853</v>
      </c>
      <c r="Q447" s="22">
        <v>92619</v>
      </c>
      <c r="R447" s="22" t="s">
        <v>13990</v>
      </c>
      <c r="S447" s="22" t="s">
        <v>13991</v>
      </c>
      <c r="T447" s="22">
        <v>8.17</v>
      </c>
      <c r="U447" s="22">
        <v>0.38</v>
      </c>
      <c r="X447" s="26"/>
      <c r="Y447" s="26"/>
    </row>
    <row r="448" spans="1:25" ht="25" x14ac:dyDescent="0.25">
      <c r="A448" s="21">
        <v>633</v>
      </c>
      <c r="B448" s="22" t="s">
        <v>15368</v>
      </c>
      <c r="C448" s="22" t="s">
        <v>13986</v>
      </c>
      <c r="D448" s="23">
        <v>320668</v>
      </c>
      <c r="E448" s="24">
        <v>1996</v>
      </c>
      <c r="F448" s="22" t="s">
        <v>13994</v>
      </c>
      <c r="G448" s="23" t="s">
        <v>12847</v>
      </c>
      <c r="H448" s="25" t="s">
        <v>15373</v>
      </c>
      <c r="I448" s="22" t="s">
        <v>15374</v>
      </c>
      <c r="J448" s="22">
        <v>3508</v>
      </c>
      <c r="K448" s="26">
        <f t="shared" si="6"/>
        <v>888</v>
      </c>
      <c r="N448" s="26">
        <v>1332</v>
      </c>
      <c r="O448" s="22" t="s">
        <v>14964</v>
      </c>
      <c r="P448" s="22" t="s">
        <v>16853</v>
      </c>
      <c r="Q448" s="22">
        <v>92619</v>
      </c>
      <c r="R448" s="22" t="s">
        <v>13990</v>
      </c>
      <c r="S448" s="22" t="s">
        <v>13991</v>
      </c>
      <c r="T448" s="22">
        <v>8.17</v>
      </c>
      <c r="U448" s="22">
        <v>0.38</v>
      </c>
      <c r="X448" s="26"/>
      <c r="Y448" s="26"/>
    </row>
    <row r="449" spans="1:25" ht="25" x14ac:dyDescent="0.25">
      <c r="A449" s="21">
        <v>634</v>
      </c>
      <c r="B449" s="22" t="s">
        <v>15368</v>
      </c>
      <c r="C449" s="22" t="s">
        <v>13986</v>
      </c>
      <c r="D449" s="23">
        <v>322238</v>
      </c>
      <c r="E449" s="24">
        <v>1996</v>
      </c>
      <c r="F449" s="22" t="s">
        <v>12848</v>
      </c>
      <c r="G449" s="23" t="s">
        <v>12849</v>
      </c>
      <c r="H449" s="25" t="s">
        <v>15373</v>
      </c>
      <c r="I449" s="22" t="s">
        <v>12850</v>
      </c>
      <c r="J449" s="22" t="s">
        <v>12851</v>
      </c>
      <c r="K449" s="26">
        <f t="shared" si="6"/>
        <v>456</v>
      </c>
      <c r="N449" s="26">
        <v>684</v>
      </c>
      <c r="O449" s="22" t="s">
        <v>14964</v>
      </c>
      <c r="P449" s="22" t="s">
        <v>16853</v>
      </c>
      <c r="Q449" s="22">
        <v>92619</v>
      </c>
      <c r="R449" s="22" t="s">
        <v>13990</v>
      </c>
      <c r="S449" s="22" t="s">
        <v>13991</v>
      </c>
      <c r="T449" s="22">
        <v>6.9</v>
      </c>
      <c r="U449" s="22">
        <v>0.4</v>
      </c>
      <c r="X449" s="26"/>
      <c r="Y449" s="26"/>
    </row>
    <row r="450" spans="1:25" ht="25" x14ac:dyDescent="0.25">
      <c r="A450" s="21">
        <v>635</v>
      </c>
      <c r="B450" s="22" t="s">
        <v>15368</v>
      </c>
      <c r="C450" s="22" t="s">
        <v>12852</v>
      </c>
      <c r="D450" s="23">
        <v>367966</v>
      </c>
      <c r="E450" s="24">
        <v>2000</v>
      </c>
      <c r="F450" s="22" t="s">
        <v>12853</v>
      </c>
      <c r="G450" s="23" t="s">
        <v>12854</v>
      </c>
      <c r="H450" s="25" t="s">
        <v>15373</v>
      </c>
      <c r="I450" s="22" t="s">
        <v>15382</v>
      </c>
      <c r="J450" s="22" t="s">
        <v>15955</v>
      </c>
      <c r="K450" s="26">
        <f t="shared" ref="K450:K513" si="7">L450+M450*(2/3)+N450*(2/3)</f>
        <v>756.66666666666663</v>
      </c>
      <c r="N450" s="26">
        <v>1135</v>
      </c>
      <c r="O450" s="22" t="s">
        <v>12855</v>
      </c>
      <c r="P450" s="22" t="s">
        <v>12856</v>
      </c>
      <c r="Q450" s="22">
        <v>92610</v>
      </c>
      <c r="R450" s="22" t="s">
        <v>13990</v>
      </c>
      <c r="S450" s="22" t="s">
        <v>13991</v>
      </c>
      <c r="T450" s="22">
        <v>6.9</v>
      </c>
      <c r="U450" s="22">
        <v>0.4</v>
      </c>
      <c r="X450" s="26"/>
      <c r="Y450" s="26"/>
    </row>
    <row r="451" spans="1:25" ht="37.5" x14ac:dyDescent="0.25">
      <c r="A451" s="21">
        <v>636</v>
      </c>
      <c r="B451" s="22" t="s">
        <v>15368</v>
      </c>
      <c r="C451" s="22" t="s">
        <v>12857</v>
      </c>
      <c r="D451" s="23">
        <v>363454</v>
      </c>
      <c r="E451" s="24">
        <v>1999</v>
      </c>
      <c r="F451" s="22" t="s">
        <v>12858</v>
      </c>
      <c r="G451" s="23" t="s">
        <v>12859</v>
      </c>
      <c r="H451" s="25" t="s">
        <v>15373</v>
      </c>
      <c r="I451" s="22" t="s">
        <v>15374</v>
      </c>
      <c r="J451" s="22" t="s">
        <v>15441</v>
      </c>
      <c r="K451" s="26">
        <f t="shared" si="7"/>
        <v>500</v>
      </c>
      <c r="N451" s="26">
        <v>750</v>
      </c>
      <c r="O451" s="22" t="s">
        <v>12860</v>
      </c>
      <c r="P451" s="22" t="s">
        <v>16853</v>
      </c>
      <c r="Q451" s="22">
        <v>92618</v>
      </c>
      <c r="R451" s="22" t="s">
        <v>12861</v>
      </c>
      <c r="S451" s="22" t="s">
        <v>12862</v>
      </c>
      <c r="T451" s="22">
        <v>6.9</v>
      </c>
      <c r="U451" s="22">
        <v>0.4</v>
      </c>
      <c r="X451" s="26"/>
      <c r="Y451" s="26"/>
    </row>
    <row r="452" spans="1:25" ht="25" x14ac:dyDescent="0.25">
      <c r="A452" s="21">
        <v>637</v>
      </c>
      <c r="B452" s="22" t="s">
        <v>15368</v>
      </c>
      <c r="C452" s="22" t="s">
        <v>12863</v>
      </c>
      <c r="D452" s="23">
        <v>357545</v>
      </c>
      <c r="E452" s="24">
        <v>1999</v>
      </c>
      <c r="F452" s="22" t="s">
        <v>12864</v>
      </c>
      <c r="G452" s="23" t="s">
        <v>12865</v>
      </c>
      <c r="H452" s="25" t="s">
        <v>15373</v>
      </c>
      <c r="I452" s="22" t="s">
        <v>15374</v>
      </c>
      <c r="J452" s="22">
        <v>3512</v>
      </c>
      <c r="K452" s="26">
        <f t="shared" si="7"/>
        <v>1190.6666666666665</v>
      </c>
      <c r="N452" s="26">
        <v>1786</v>
      </c>
      <c r="O452" s="22" t="s">
        <v>12866</v>
      </c>
      <c r="P452" s="22" t="s">
        <v>16192</v>
      </c>
      <c r="Q452" s="22">
        <v>90621</v>
      </c>
      <c r="R452" s="22" t="s">
        <v>12867</v>
      </c>
      <c r="S452" s="22" t="s">
        <v>12868</v>
      </c>
      <c r="T452" s="22">
        <v>8.17</v>
      </c>
      <c r="U452" s="22">
        <v>0.38</v>
      </c>
      <c r="X452" s="26"/>
      <c r="Y452" s="26"/>
    </row>
    <row r="453" spans="1:25" ht="37.5" x14ac:dyDescent="0.25">
      <c r="A453" s="21">
        <v>639</v>
      </c>
      <c r="B453" s="22" t="s">
        <v>15368</v>
      </c>
      <c r="C453" s="22" t="s">
        <v>12869</v>
      </c>
      <c r="D453" s="23">
        <v>302332</v>
      </c>
      <c r="E453" s="24">
        <v>1995</v>
      </c>
      <c r="F453" s="22" t="s">
        <v>12870</v>
      </c>
      <c r="G453" s="23" t="s">
        <v>12871</v>
      </c>
      <c r="H453" s="25" t="s">
        <v>15373</v>
      </c>
      <c r="I453" s="22" t="s">
        <v>15411</v>
      </c>
      <c r="J453" s="22" t="s">
        <v>14979</v>
      </c>
      <c r="K453" s="26">
        <f t="shared" si="7"/>
        <v>446.66666666666663</v>
      </c>
      <c r="N453" s="26">
        <v>670</v>
      </c>
      <c r="O453" s="22" t="s">
        <v>12872</v>
      </c>
      <c r="P453" s="22" t="s">
        <v>15376</v>
      </c>
      <c r="Q453" s="22">
        <v>90036</v>
      </c>
      <c r="R453" s="22" t="s">
        <v>12873</v>
      </c>
      <c r="S453" s="22" t="s">
        <v>12874</v>
      </c>
      <c r="T453" s="22">
        <v>8.17</v>
      </c>
      <c r="U453" s="22">
        <v>0.38</v>
      </c>
      <c r="X453" s="26"/>
      <c r="Y453" s="26"/>
    </row>
    <row r="454" spans="1:25" ht="25" x14ac:dyDescent="0.25">
      <c r="A454" s="21">
        <v>641</v>
      </c>
      <c r="B454" s="22" t="s">
        <v>15368</v>
      </c>
      <c r="C454" s="22" t="s">
        <v>12875</v>
      </c>
      <c r="D454" s="23">
        <v>352427</v>
      </c>
      <c r="E454" s="24">
        <v>1999</v>
      </c>
      <c r="F454" s="22" t="s">
        <v>12876</v>
      </c>
      <c r="G454" s="23" t="s">
        <v>12877</v>
      </c>
      <c r="H454" s="25" t="s">
        <v>15373</v>
      </c>
      <c r="I454" s="22" t="s">
        <v>15374</v>
      </c>
      <c r="J454" s="22" t="s">
        <v>15701</v>
      </c>
      <c r="K454" s="26">
        <f t="shared" si="7"/>
        <v>346.66666666666663</v>
      </c>
      <c r="N454" s="26">
        <v>520</v>
      </c>
      <c r="O454" s="22" t="s">
        <v>12878</v>
      </c>
      <c r="P454" s="22" t="s">
        <v>15864</v>
      </c>
      <c r="Q454" s="22">
        <v>92377</v>
      </c>
      <c r="R454" s="22" t="s">
        <v>12879</v>
      </c>
      <c r="S454" s="22" t="s">
        <v>12880</v>
      </c>
      <c r="T454" s="22">
        <v>6.9</v>
      </c>
      <c r="U454" s="22">
        <v>0.4</v>
      </c>
      <c r="X454" s="26"/>
      <c r="Y454" s="26"/>
    </row>
    <row r="455" spans="1:25" ht="25" x14ac:dyDescent="0.25">
      <c r="A455" s="21">
        <v>642</v>
      </c>
      <c r="B455" s="22" t="s">
        <v>15368</v>
      </c>
      <c r="C455" s="22" t="s">
        <v>12881</v>
      </c>
      <c r="D455" s="23">
        <v>324667</v>
      </c>
      <c r="E455" s="24">
        <v>1997</v>
      </c>
      <c r="F455" s="22" t="s">
        <v>12882</v>
      </c>
      <c r="G455" s="23" t="s">
        <v>12883</v>
      </c>
      <c r="H455" s="25" t="s">
        <v>15373</v>
      </c>
      <c r="I455" s="22" t="s">
        <v>15411</v>
      </c>
      <c r="J455" s="22" t="s">
        <v>15542</v>
      </c>
      <c r="K455" s="26">
        <f t="shared" si="7"/>
        <v>626.66666666666663</v>
      </c>
      <c r="N455" s="26">
        <v>940</v>
      </c>
      <c r="O455" s="22" t="s">
        <v>12884</v>
      </c>
      <c r="P455" s="22" t="s">
        <v>12885</v>
      </c>
      <c r="Q455" s="22" t="s">
        <v>12886</v>
      </c>
      <c r="R455" s="22" t="s">
        <v>12887</v>
      </c>
      <c r="S455" s="22" t="s">
        <v>12888</v>
      </c>
      <c r="T455" s="22">
        <v>8.17</v>
      </c>
      <c r="U455" s="22">
        <v>0.38</v>
      </c>
      <c r="X455" s="26"/>
      <c r="Y455" s="26"/>
    </row>
    <row r="456" spans="1:25" ht="25" x14ac:dyDescent="0.25">
      <c r="A456" s="21">
        <v>646</v>
      </c>
      <c r="B456" s="22" t="s">
        <v>15368</v>
      </c>
      <c r="C456" s="22" t="s">
        <v>12889</v>
      </c>
      <c r="D456" s="23" t="s">
        <v>12890</v>
      </c>
      <c r="E456" s="24">
        <v>1990</v>
      </c>
      <c r="F456" s="22" t="s">
        <v>12891</v>
      </c>
      <c r="G456" s="23" t="s">
        <v>14092</v>
      </c>
      <c r="H456" s="25" t="s">
        <v>15373</v>
      </c>
      <c r="I456" s="22" t="s">
        <v>15382</v>
      </c>
      <c r="J456" s="22" t="s">
        <v>14093</v>
      </c>
      <c r="K456" s="26">
        <f t="shared" si="7"/>
        <v>400</v>
      </c>
      <c r="L456" s="26">
        <v>400</v>
      </c>
      <c r="O456" s="22" t="s">
        <v>14094</v>
      </c>
      <c r="P456" s="22" t="s">
        <v>16794</v>
      </c>
      <c r="Q456" s="22">
        <v>92509</v>
      </c>
      <c r="R456" s="22" t="s">
        <v>14095</v>
      </c>
      <c r="S456" s="22" t="s">
        <v>14096</v>
      </c>
      <c r="T456" s="22">
        <v>8.17</v>
      </c>
      <c r="U456" s="22">
        <v>0.38</v>
      </c>
      <c r="X456" s="26"/>
      <c r="Y456" s="26"/>
    </row>
    <row r="457" spans="1:25" ht="25" x14ac:dyDescent="0.25">
      <c r="A457" s="21">
        <v>647</v>
      </c>
      <c r="B457" s="22" t="s">
        <v>15368</v>
      </c>
      <c r="C457" s="22" t="s">
        <v>14097</v>
      </c>
      <c r="D457" s="23">
        <v>240447</v>
      </c>
      <c r="E457" s="24">
        <v>1990</v>
      </c>
      <c r="F457" s="22" t="s">
        <v>14098</v>
      </c>
      <c r="G457" s="23" t="s">
        <v>14099</v>
      </c>
      <c r="H457" s="25" t="s">
        <v>15373</v>
      </c>
      <c r="I457" s="22" t="s">
        <v>15374</v>
      </c>
      <c r="J457" s="22">
        <v>3412</v>
      </c>
      <c r="K457" s="26">
        <f t="shared" si="7"/>
        <v>499.33333333333331</v>
      </c>
      <c r="N457" s="26">
        <v>749</v>
      </c>
      <c r="O457" s="22" t="s">
        <v>14100</v>
      </c>
      <c r="P457" s="22" t="s">
        <v>16563</v>
      </c>
      <c r="Q457" s="22">
        <v>90242</v>
      </c>
      <c r="R457" s="22" t="s">
        <v>14101</v>
      </c>
      <c r="S457" s="22" t="s">
        <v>14102</v>
      </c>
      <c r="T457" s="22">
        <v>8.17</v>
      </c>
      <c r="U457" s="22">
        <v>0.38</v>
      </c>
      <c r="X457" s="26"/>
      <c r="Y457" s="26"/>
    </row>
    <row r="458" spans="1:25" ht="37.5" x14ac:dyDescent="0.25">
      <c r="A458" s="21">
        <v>648</v>
      </c>
      <c r="B458" s="22" t="s">
        <v>15368</v>
      </c>
      <c r="C458" s="22" t="s">
        <v>14103</v>
      </c>
      <c r="D458" s="23">
        <v>331631</v>
      </c>
      <c r="E458" s="24">
        <v>1997</v>
      </c>
      <c r="F458" s="22" t="s">
        <v>14104</v>
      </c>
      <c r="G458" s="23" t="s">
        <v>14105</v>
      </c>
      <c r="H458" s="25" t="s">
        <v>15373</v>
      </c>
      <c r="I458" s="22" t="s">
        <v>15374</v>
      </c>
      <c r="J458" s="22" t="s">
        <v>14106</v>
      </c>
      <c r="K458" s="26">
        <f t="shared" si="7"/>
        <v>783.33333333333326</v>
      </c>
      <c r="N458" s="26">
        <v>1175</v>
      </c>
      <c r="O458" s="22" t="s">
        <v>14107</v>
      </c>
      <c r="P458" s="22" t="s">
        <v>14108</v>
      </c>
      <c r="Q458" s="22" t="s">
        <v>14109</v>
      </c>
      <c r="R458" s="22" t="s">
        <v>14110</v>
      </c>
      <c r="S458" s="22" t="s">
        <v>14111</v>
      </c>
      <c r="T458" s="22">
        <v>8.17</v>
      </c>
      <c r="U458" s="22">
        <v>0.38</v>
      </c>
      <c r="X458" s="26"/>
      <c r="Y458" s="26"/>
    </row>
    <row r="459" spans="1:25" ht="37.5" x14ac:dyDescent="0.25">
      <c r="A459" s="21">
        <v>649</v>
      </c>
      <c r="B459" s="22" t="s">
        <v>15368</v>
      </c>
      <c r="C459" s="22" t="s">
        <v>14103</v>
      </c>
      <c r="D459" s="23">
        <v>331632</v>
      </c>
      <c r="E459" s="24">
        <v>1997</v>
      </c>
      <c r="F459" s="22" t="s">
        <v>14112</v>
      </c>
      <c r="G459" s="23" t="s">
        <v>14113</v>
      </c>
      <c r="H459" s="25" t="s">
        <v>15373</v>
      </c>
      <c r="I459" s="22" t="s">
        <v>15374</v>
      </c>
      <c r="J459" s="22">
        <v>3512</v>
      </c>
      <c r="K459" s="26">
        <f t="shared" si="7"/>
        <v>1190.6666666666665</v>
      </c>
      <c r="N459" s="26">
        <v>1786</v>
      </c>
      <c r="O459" s="22" t="s">
        <v>14107</v>
      </c>
      <c r="P459" s="22" t="s">
        <v>14108</v>
      </c>
      <c r="Q459" s="22" t="s">
        <v>14109</v>
      </c>
      <c r="R459" s="22" t="s">
        <v>14110</v>
      </c>
      <c r="S459" s="22" t="s">
        <v>14111</v>
      </c>
      <c r="T459" s="22">
        <v>8.17</v>
      </c>
      <c r="U459" s="22">
        <v>0.38</v>
      </c>
      <c r="X459" s="26"/>
      <c r="Y459" s="26"/>
    </row>
    <row r="460" spans="1:25" ht="37.5" x14ac:dyDescent="0.25">
      <c r="A460" s="21">
        <v>650</v>
      </c>
      <c r="B460" s="22" t="s">
        <v>15368</v>
      </c>
      <c r="C460" s="22" t="s">
        <v>14114</v>
      </c>
      <c r="D460" s="23">
        <v>113352</v>
      </c>
      <c r="E460" s="24">
        <v>1983</v>
      </c>
      <c r="F460" s="22" t="s">
        <v>14115</v>
      </c>
      <c r="G460" s="23" t="s">
        <v>14116</v>
      </c>
      <c r="H460" s="25" t="s">
        <v>15373</v>
      </c>
      <c r="I460" s="22" t="s">
        <v>15374</v>
      </c>
      <c r="J460" s="22" t="s">
        <v>14117</v>
      </c>
      <c r="K460" s="26">
        <f t="shared" si="7"/>
        <v>500</v>
      </c>
      <c r="L460" s="26">
        <v>500</v>
      </c>
      <c r="O460" s="22" t="s">
        <v>14118</v>
      </c>
      <c r="P460" s="22" t="s">
        <v>14119</v>
      </c>
      <c r="Q460" s="22">
        <v>90706</v>
      </c>
      <c r="R460" s="22" t="s">
        <v>14120</v>
      </c>
      <c r="S460" s="22" t="s">
        <v>14121</v>
      </c>
      <c r="T460" s="22">
        <v>12</v>
      </c>
      <c r="U460" s="22">
        <v>0.53</v>
      </c>
      <c r="X460" s="26"/>
      <c r="Y460" s="26"/>
    </row>
    <row r="461" spans="1:25" ht="37.5" x14ac:dyDescent="0.25">
      <c r="A461" s="21">
        <v>651</v>
      </c>
      <c r="B461" s="22" t="s">
        <v>15368</v>
      </c>
      <c r="C461" s="22" t="s">
        <v>14114</v>
      </c>
      <c r="D461" s="23">
        <v>113353</v>
      </c>
      <c r="E461" s="24">
        <v>1983</v>
      </c>
      <c r="F461" s="22" t="s">
        <v>14122</v>
      </c>
      <c r="G461" s="23" t="s">
        <v>14116</v>
      </c>
      <c r="H461" s="25" t="s">
        <v>15373</v>
      </c>
      <c r="I461" s="22" t="s">
        <v>15374</v>
      </c>
      <c r="J461" s="22" t="s">
        <v>14117</v>
      </c>
      <c r="K461" s="26">
        <f t="shared" si="7"/>
        <v>500</v>
      </c>
      <c r="L461" s="26">
        <v>500</v>
      </c>
      <c r="O461" s="22" t="s">
        <v>14118</v>
      </c>
      <c r="P461" s="22" t="s">
        <v>14119</v>
      </c>
      <c r="Q461" s="22">
        <v>90706</v>
      </c>
      <c r="R461" s="22" t="s">
        <v>14120</v>
      </c>
      <c r="S461" s="22" t="s">
        <v>14121</v>
      </c>
      <c r="T461" s="22">
        <v>12</v>
      </c>
      <c r="U461" s="22">
        <v>0.53</v>
      </c>
      <c r="X461" s="26"/>
      <c r="Y461" s="26"/>
    </row>
    <row r="462" spans="1:25" ht="37.5" x14ac:dyDescent="0.25">
      <c r="A462" s="21">
        <v>652</v>
      </c>
      <c r="B462" s="22" t="s">
        <v>15368</v>
      </c>
      <c r="C462" s="22" t="s">
        <v>14114</v>
      </c>
      <c r="D462" s="23">
        <v>113354</v>
      </c>
      <c r="E462" s="24">
        <v>1983</v>
      </c>
      <c r="F462" s="22" t="s">
        <v>14123</v>
      </c>
      <c r="G462" s="23" t="s">
        <v>14124</v>
      </c>
      <c r="H462" s="25" t="s">
        <v>15373</v>
      </c>
      <c r="I462" s="22" t="s">
        <v>15411</v>
      </c>
      <c r="J462" s="22" t="s">
        <v>15838</v>
      </c>
      <c r="K462" s="26">
        <f t="shared" si="7"/>
        <v>400</v>
      </c>
      <c r="L462" s="26">
        <v>400</v>
      </c>
      <c r="O462" s="22" t="s">
        <v>14118</v>
      </c>
      <c r="P462" s="22" t="s">
        <v>14119</v>
      </c>
      <c r="Q462" s="22">
        <v>90706</v>
      </c>
      <c r="R462" s="22" t="s">
        <v>14120</v>
      </c>
      <c r="S462" s="22" t="s">
        <v>14121</v>
      </c>
      <c r="T462" s="22">
        <v>12</v>
      </c>
      <c r="U462" s="22">
        <v>0.53</v>
      </c>
      <c r="X462" s="26"/>
      <c r="Y462" s="26"/>
    </row>
    <row r="463" spans="1:25" ht="37.5" x14ac:dyDescent="0.25">
      <c r="A463" s="21">
        <v>653</v>
      </c>
      <c r="B463" s="22" t="s">
        <v>15368</v>
      </c>
      <c r="C463" s="22" t="s">
        <v>14114</v>
      </c>
      <c r="D463" s="23">
        <v>113355</v>
      </c>
      <c r="E463" s="24">
        <v>1983</v>
      </c>
      <c r="F463" s="22" t="s">
        <v>14125</v>
      </c>
      <c r="G463" s="23" t="s">
        <v>14124</v>
      </c>
      <c r="H463" s="25" t="s">
        <v>15373</v>
      </c>
      <c r="I463" s="22" t="s">
        <v>15411</v>
      </c>
      <c r="J463" s="22" t="s">
        <v>15838</v>
      </c>
      <c r="K463" s="26">
        <f t="shared" si="7"/>
        <v>400</v>
      </c>
      <c r="L463" s="26">
        <v>400</v>
      </c>
      <c r="O463" s="22" t="s">
        <v>14118</v>
      </c>
      <c r="P463" s="22" t="s">
        <v>14119</v>
      </c>
      <c r="Q463" s="22">
        <v>90706</v>
      </c>
      <c r="R463" s="22" t="s">
        <v>14120</v>
      </c>
      <c r="S463" s="22" t="s">
        <v>14121</v>
      </c>
      <c r="T463" s="22">
        <v>12</v>
      </c>
      <c r="U463" s="22">
        <v>0.53</v>
      </c>
      <c r="X463" s="26"/>
      <c r="Y463" s="26"/>
    </row>
    <row r="464" spans="1:25" ht="37.5" x14ac:dyDescent="0.25">
      <c r="A464" s="21">
        <v>654</v>
      </c>
      <c r="B464" s="22" t="s">
        <v>15368</v>
      </c>
      <c r="C464" s="22" t="s">
        <v>14114</v>
      </c>
      <c r="D464" s="23">
        <v>327446</v>
      </c>
      <c r="E464" s="24">
        <v>1997</v>
      </c>
      <c r="F464" s="22" t="s">
        <v>14126</v>
      </c>
      <c r="G464" s="23" t="s">
        <v>14127</v>
      </c>
      <c r="H464" s="25" t="s">
        <v>15373</v>
      </c>
      <c r="I464" s="22" t="s">
        <v>15411</v>
      </c>
      <c r="J464" s="22" t="s">
        <v>15542</v>
      </c>
      <c r="K464" s="26">
        <f t="shared" si="7"/>
        <v>631.33333333333326</v>
      </c>
      <c r="N464" s="26">
        <v>947</v>
      </c>
      <c r="O464" s="22" t="s">
        <v>14128</v>
      </c>
      <c r="P464" s="22" t="s">
        <v>14129</v>
      </c>
      <c r="Q464" s="22" t="s">
        <v>14130</v>
      </c>
      <c r="R464" s="22" t="s">
        <v>16887</v>
      </c>
      <c r="S464" s="22" t="s">
        <v>16888</v>
      </c>
      <c r="T464" s="22">
        <v>8.17</v>
      </c>
      <c r="U464" s="22">
        <v>0.38</v>
      </c>
      <c r="X464" s="26"/>
      <c r="Y464" s="26"/>
    </row>
    <row r="465" spans="1:25" ht="37.5" x14ac:dyDescent="0.25">
      <c r="A465" s="21">
        <v>655</v>
      </c>
      <c r="B465" s="22" t="s">
        <v>15368</v>
      </c>
      <c r="C465" s="22" t="s">
        <v>14114</v>
      </c>
      <c r="D465" s="23">
        <v>327450</v>
      </c>
      <c r="E465" s="24">
        <v>1997</v>
      </c>
      <c r="F465" s="22" t="s">
        <v>14131</v>
      </c>
      <c r="G465" s="23" t="s">
        <v>14132</v>
      </c>
      <c r="H465" s="25" t="s">
        <v>15373</v>
      </c>
      <c r="I465" s="22" t="s">
        <v>15411</v>
      </c>
      <c r="J465" s="22" t="s">
        <v>15542</v>
      </c>
      <c r="K465" s="26">
        <f t="shared" si="7"/>
        <v>631.33333333333326</v>
      </c>
      <c r="N465" s="26">
        <v>947</v>
      </c>
      <c r="O465" s="22" t="s">
        <v>14128</v>
      </c>
      <c r="P465" s="22" t="s">
        <v>14129</v>
      </c>
      <c r="Q465" s="22" t="s">
        <v>14130</v>
      </c>
      <c r="R465" s="22" t="s">
        <v>16887</v>
      </c>
      <c r="S465" s="22" t="s">
        <v>16888</v>
      </c>
      <c r="T465" s="22">
        <v>8.17</v>
      </c>
      <c r="U465" s="22">
        <v>0.38</v>
      </c>
      <c r="X465" s="26"/>
      <c r="Y465" s="26"/>
    </row>
    <row r="466" spans="1:25" ht="37.5" x14ac:dyDescent="0.25">
      <c r="A466" s="21">
        <v>656</v>
      </c>
      <c r="B466" s="22" t="s">
        <v>15368</v>
      </c>
      <c r="C466" s="22" t="s">
        <v>14114</v>
      </c>
      <c r="D466" s="23">
        <v>327455</v>
      </c>
      <c r="E466" s="24">
        <v>1997</v>
      </c>
      <c r="F466" s="22" t="s">
        <v>14133</v>
      </c>
      <c r="G466" s="23" t="s">
        <v>14134</v>
      </c>
      <c r="H466" s="25" t="s">
        <v>15373</v>
      </c>
      <c r="I466" s="22" t="s">
        <v>15411</v>
      </c>
      <c r="J466" s="22" t="s">
        <v>15542</v>
      </c>
      <c r="K466" s="26">
        <f t="shared" si="7"/>
        <v>631.33333333333326</v>
      </c>
      <c r="N466" s="26">
        <v>947</v>
      </c>
      <c r="O466" s="22" t="s">
        <v>14128</v>
      </c>
      <c r="P466" s="22" t="s">
        <v>14129</v>
      </c>
      <c r="Q466" s="22" t="s">
        <v>14130</v>
      </c>
      <c r="R466" s="22" t="s">
        <v>16887</v>
      </c>
      <c r="S466" s="22" t="s">
        <v>16888</v>
      </c>
      <c r="T466" s="22">
        <v>8.17</v>
      </c>
      <c r="U466" s="22">
        <v>0.38</v>
      </c>
      <c r="X466" s="26"/>
      <c r="Y466" s="26"/>
    </row>
    <row r="467" spans="1:25" ht="37.5" x14ac:dyDescent="0.25">
      <c r="A467" s="21">
        <v>657</v>
      </c>
      <c r="B467" s="22" t="s">
        <v>15368</v>
      </c>
      <c r="C467" s="22" t="s">
        <v>14114</v>
      </c>
      <c r="D467" s="23">
        <v>357912</v>
      </c>
      <c r="E467" s="24">
        <v>1999</v>
      </c>
      <c r="F467" s="22" t="s">
        <v>14135</v>
      </c>
      <c r="G467" s="23" t="s">
        <v>14136</v>
      </c>
      <c r="H467" s="25" t="s">
        <v>15373</v>
      </c>
      <c r="I467" s="22" t="s">
        <v>15374</v>
      </c>
      <c r="J467" s="22" t="s">
        <v>15400</v>
      </c>
      <c r="K467" s="26">
        <f t="shared" si="7"/>
        <v>1500</v>
      </c>
      <c r="L467" s="26">
        <v>1500</v>
      </c>
      <c r="O467" s="22" t="s">
        <v>14137</v>
      </c>
      <c r="P467" s="22" t="s">
        <v>15376</v>
      </c>
      <c r="Q467" s="22" t="s">
        <v>14138</v>
      </c>
      <c r="R467" s="22" t="s">
        <v>14139</v>
      </c>
      <c r="S467" s="22" t="s">
        <v>14140</v>
      </c>
      <c r="T467" s="22">
        <v>8.17</v>
      </c>
      <c r="U467" s="22">
        <v>0.38</v>
      </c>
      <c r="X467" s="26"/>
      <c r="Y467" s="26"/>
    </row>
    <row r="468" spans="1:25" ht="37.5" x14ac:dyDescent="0.25">
      <c r="A468" s="21">
        <v>658</v>
      </c>
      <c r="B468" s="22" t="s">
        <v>15368</v>
      </c>
      <c r="C468" s="22" t="s">
        <v>14114</v>
      </c>
      <c r="D468" s="23">
        <v>357913</v>
      </c>
      <c r="E468" s="24">
        <v>1999</v>
      </c>
      <c r="F468" s="22" t="s">
        <v>14141</v>
      </c>
      <c r="G468" s="23" t="s">
        <v>14142</v>
      </c>
      <c r="H468" s="25" t="s">
        <v>15373</v>
      </c>
      <c r="I468" s="22" t="s">
        <v>15374</v>
      </c>
      <c r="J468" s="22" t="s">
        <v>15400</v>
      </c>
      <c r="K468" s="26">
        <f t="shared" si="7"/>
        <v>1500</v>
      </c>
      <c r="L468" s="26">
        <v>1500</v>
      </c>
      <c r="O468" s="22" t="s">
        <v>14137</v>
      </c>
      <c r="P468" s="22" t="s">
        <v>15376</v>
      </c>
      <c r="Q468" s="22" t="s">
        <v>14138</v>
      </c>
      <c r="R468" s="22" t="s">
        <v>14139</v>
      </c>
      <c r="S468" s="22" t="s">
        <v>14140</v>
      </c>
      <c r="T468" s="22">
        <v>8.17</v>
      </c>
      <c r="U468" s="22">
        <v>0.38</v>
      </c>
      <c r="X468" s="26"/>
      <c r="Y468" s="26"/>
    </row>
    <row r="469" spans="1:25" ht="37.5" x14ac:dyDescent="0.25">
      <c r="A469" s="21">
        <v>659</v>
      </c>
      <c r="B469" s="22" t="s">
        <v>15368</v>
      </c>
      <c r="C469" s="22" t="s">
        <v>14114</v>
      </c>
      <c r="D469" s="23">
        <v>357914</v>
      </c>
      <c r="E469" s="24">
        <v>1999</v>
      </c>
      <c r="F469" s="22" t="s">
        <v>14143</v>
      </c>
      <c r="G469" s="23" t="s">
        <v>14144</v>
      </c>
      <c r="H469" s="25" t="s">
        <v>15373</v>
      </c>
      <c r="I469" s="22" t="s">
        <v>15374</v>
      </c>
      <c r="J469" s="22" t="s">
        <v>15400</v>
      </c>
      <c r="K469" s="26">
        <f t="shared" si="7"/>
        <v>1500</v>
      </c>
      <c r="L469" s="26">
        <v>1500</v>
      </c>
      <c r="O469" s="22" t="s">
        <v>14137</v>
      </c>
      <c r="P469" s="22" t="s">
        <v>15376</v>
      </c>
      <c r="Q469" s="22" t="s">
        <v>14138</v>
      </c>
      <c r="R469" s="22" t="s">
        <v>14139</v>
      </c>
      <c r="S469" s="22" t="s">
        <v>14140</v>
      </c>
      <c r="T469" s="22">
        <v>8.17</v>
      </c>
      <c r="U469" s="22">
        <v>0.38</v>
      </c>
      <c r="X469" s="26"/>
      <c r="Y469" s="26"/>
    </row>
    <row r="470" spans="1:25" ht="37.5" x14ac:dyDescent="0.25">
      <c r="A470" s="21">
        <v>660</v>
      </c>
      <c r="B470" s="22" t="s">
        <v>15368</v>
      </c>
      <c r="C470" s="22" t="s">
        <v>14145</v>
      </c>
      <c r="D470" s="23">
        <v>135686</v>
      </c>
      <c r="E470" s="24">
        <v>1985</v>
      </c>
      <c r="F470" s="22" t="s">
        <v>14146</v>
      </c>
      <c r="G470" s="23" t="s">
        <v>14147</v>
      </c>
      <c r="H470" s="25" t="s">
        <v>15373</v>
      </c>
      <c r="I470" s="22" t="s">
        <v>15374</v>
      </c>
      <c r="J470" s="22" t="s">
        <v>15191</v>
      </c>
      <c r="K470" s="26">
        <f t="shared" si="7"/>
        <v>613.33333333333326</v>
      </c>
      <c r="N470" s="26">
        <v>920</v>
      </c>
      <c r="O470" s="22" t="s">
        <v>14148</v>
      </c>
      <c r="P470" s="22" t="s">
        <v>15393</v>
      </c>
      <c r="Q470" s="22">
        <v>91367</v>
      </c>
      <c r="R470" s="22" t="s">
        <v>14149</v>
      </c>
      <c r="S470" s="22" t="s">
        <v>14150</v>
      </c>
      <c r="T470" s="22">
        <v>11</v>
      </c>
      <c r="U470" s="22">
        <v>0.53</v>
      </c>
      <c r="X470" s="26"/>
      <c r="Y470" s="26"/>
    </row>
    <row r="471" spans="1:25" ht="37.5" x14ac:dyDescent="0.25">
      <c r="A471" s="21">
        <v>661</v>
      </c>
      <c r="B471" s="22" t="s">
        <v>15368</v>
      </c>
      <c r="C471" s="22" t="s">
        <v>14145</v>
      </c>
      <c r="D471" s="23">
        <v>135687</v>
      </c>
      <c r="E471" s="24">
        <v>1985</v>
      </c>
      <c r="F471" s="22" t="s">
        <v>14151</v>
      </c>
      <c r="G471" s="23" t="s">
        <v>14152</v>
      </c>
      <c r="H471" s="25" t="s">
        <v>15373</v>
      </c>
      <c r="I471" s="22" t="s">
        <v>15374</v>
      </c>
      <c r="J471" s="22" t="s">
        <v>15191</v>
      </c>
      <c r="K471" s="26">
        <f t="shared" si="7"/>
        <v>613.33333333333326</v>
      </c>
      <c r="N471" s="26">
        <v>920</v>
      </c>
      <c r="O471" s="22" t="s">
        <v>14148</v>
      </c>
      <c r="P471" s="22" t="s">
        <v>15393</v>
      </c>
      <c r="Q471" s="22">
        <v>91367</v>
      </c>
      <c r="R471" s="22" t="s">
        <v>14149</v>
      </c>
      <c r="S471" s="22" t="s">
        <v>14150</v>
      </c>
      <c r="T471" s="22">
        <v>11</v>
      </c>
      <c r="U471" s="22">
        <v>0.53</v>
      </c>
      <c r="X471" s="26"/>
      <c r="Y471" s="26"/>
    </row>
    <row r="472" spans="1:25" ht="37.5" x14ac:dyDescent="0.25">
      <c r="A472" s="21">
        <v>662</v>
      </c>
      <c r="B472" s="22" t="s">
        <v>15368</v>
      </c>
      <c r="C472" s="22" t="s">
        <v>14145</v>
      </c>
      <c r="D472" s="23">
        <v>135688</v>
      </c>
      <c r="E472" s="24">
        <v>1985</v>
      </c>
      <c r="F472" s="22" t="s">
        <v>14153</v>
      </c>
      <c r="G472" s="23" t="s">
        <v>14152</v>
      </c>
      <c r="H472" s="25" t="s">
        <v>15373</v>
      </c>
      <c r="I472" s="22" t="s">
        <v>15374</v>
      </c>
      <c r="J472" s="22" t="s">
        <v>15191</v>
      </c>
      <c r="K472" s="26">
        <f t="shared" si="7"/>
        <v>613.33333333333326</v>
      </c>
      <c r="N472" s="26">
        <v>920</v>
      </c>
      <c r="O472" s="22" t="s">
        <v>14148</v>
      </c>
      <c r="P472" s="22" t="s">
        <v>15393</v>
      </c>
      <c r="Q472" s="22">
        <v>91367</v>
      </c>
      <c r="R472" s="22" t="s">
        <v>14149</v>
      </c>
      <c r="S472" s="22" t="s">
        <v>14150</v>
      </c>
      <c r="T472" s="22">
        <v>11</v>
      </c>
      <c r="U472" s="22">
        <v>0.53</v>
      </c>
      <c r="X472" s="26"/>
      <c r="Y472" s="26"/>
    </row>
    <row r="473" spans="1:25" ht="37.5" x14ac:dyDescent="0.25">
      <c r="A473" s="21">
        <v>663</v>
      </c>
      <c r="B473" s="22" t="s">
        <v>15368</v>
      </c>
      <c r="C473" s="22" t="s">
        <v>14145</v>
      </c>
      <c r="D473" s="23">
        <v>135689</v>
      </c>
      <c r="E473" s="24">
        <v>1985</v>
      </c>
      <c r="F473" s="22" t="s">
        <v>14154</v>
      </c>
      <c r="G473" s="23" t="s">
        <v>14155</v>
      </c>
      <c r="H473" s="25" t="s">
        <v>15373</v>
      </c>
      <c r="I473" s="22" t="s">
        <v>15374</v>
      </c>
      <c r="J473" s="22" t="s">
        <v>15191</v>
      </c>
      <c r="K473" s="26">
        <f t="shared" si="7"/>
        <v>613.33333333333326</v>
      </c>
      <c r="N473" s="26">
        <v>920</v>
      </c>
      <c r="O473" s="22" t="s">
        <v>14148</v>
      </c>
      <c r="P473" s="22" t="s">
        <v>15393</v>
      </c>
      <c r="Q473" s="22">
        <v>91367</v>
      </c>
      <c r="R473" s="22" t="s">
        <v>14149</v>
      </c>
      <c r="S473" s="22" t="s">
        <v>14150</v>
      </c>
      <c r="T473" s="22">
        <v>11</v>
      </c>
      <c r="U473" s="22">
        <v>0.53</v>
      </c>
      <c r="X473" s="26"/>
      <c r="Y473" s="26"/>
    </row>
    <row r="474" spans="1:25" ht="37.5" x14ac:dyDescent="0.25">
      <c r="A474" s="21">
        <v>664</v>
      </c>
      <c r="B474" s="22" t="s">
        <v>15368</v>
      </c>
      <c r="C474" s="22" t="s">
        <v>14145</v>
      </c>
      <c r="D474" s="23">
        <v>163881</v>
      </c>
      <c r="E474" s="24">
        <v>1987</v>
      </c>
      <c r="F474" s="22" t="s">
        <v>14156</v>
      </c>
      <c r="G474" s="23" t="s">
        <v>14157</v>
      </c>
      <c r="H474" s="25" t="s">
        <v>15373</v>
      </c>
      <c r="I474" s="22" t="s">
        <v>15411</v>
      </c>
      <c r="J474" s="22" t="s">
        <v>14158</v>
      </c>
      <c r="K474" s="26">
        <f t="shared" si="7"/>
        <v>640</v>
      </c>
      <c r="N474" s="26">
        <v>960</v>
      </c>
      <c r="O474" s="22" t="s">
        <v>14159</v>
      </c>
      <c r="P474" s="22" t="s">
        <v>14160</v>
      </c>
      <c r="Q474" s="22">
        <v>91402</v>
      </c>
      <c r="R474" s="22" t="s">
        <v>14161</v>
      </c>
      <c r="S474" s="22" t="s">
        <v>14162</v>
      </c>
      <c r="T474" s="22">
        <v>11</v>
      </c>
      <c r="U474" s="22">
        <v>0.53</v>
      </c>
      <c r="X474" s="26"/>
      <c r="Y474" s="26"/>
    </row>
    <row r="475" spans="1:25" ht="37.5" x14ac:dyDescent="0.25">
      <c r="A475" s="21">
        <v>665</v>
      </c>
      <c r="B475" s="22" t="s">
        <v>15368</v>
      </c>
      <c r="C475" s="22" t="s">
        <v>14145</v>
      </c>
      <c r="D475" s="23">
        <v>181698</v>
      </c>
      <c r="E475" s="24">
        <v>1989</v>
      </c>
      <c r="F475" s="22" t="s">
        <v>14163</v>
      </c>
      <c r="G475" s="23" t="s">
        <v>14164</v>
      </c>
      <c r="H475" s="25" t="s">
        <v>15373</v>
      </c>
      <c r="I475" s="22" t="s">
        <v>15374</v>
      </c>
      <c r="J475" s="22" t="s">
        <v>14165</v>
      </c>
      <c r="K475" s="26">
        <f t="shared" si="7"/>
        <v>1435.3333333333333</v>
      </c>
      <c r="N475" s="26" t="s">
        <v>14166</v>
      </c>
      <c r="O475" s="22" t="s">
        <v>14167</v>
      </c>
      <c r="P475" s="22" t="s">
        <v>15376</v>
      </c>
      <c r="Q475" s="22">
        <v>90027</v>
      </c>
      <c r="R475" s="22" t="s">
        <v>14168</v>
      </c>
      <c r="S475" s="22" t="s">
        <v>14169</v>
      </c>
      <c r="T475" s="22">
        <v>8.17</v>
      </c>
      <c r="U475" s="22">
        <v>0.38</v>
      </c>
      <c r="X475" s="26"/>
      <c r="Y475" s="26"/>
    </row>
    <row r="476" spans="1:25" ht="37.5" x14ac:dyDescent="0.25">
      <c r="A476" s="21">
        <v>666</v>
      </c>
      <c r="B476" s="22" t="s">
        <v>15368</v>
      </c>
      <c r="C476" s="22" t="s">
        <v>14145</v>
      </c>
      <c r="D476" s="23">
        <v>181699</v>
      </c>
      <c r="E476" s="24">
        <v>1989</v>
      </c>
      <c r="F476" s="22" t="s">
        <v>14170</v>
      </c>
      <c r="G476" s="23" t="s">
        <v>14171</v>
      </c>
      <c r="H476" s="25" t="s">
        <v>15373</v>
      </c>
      <c r="I476" s="22" t="s">
        <v>15374</v>
      </c>
      <c r="J476" s="22">
        <v>3516</v>
      </c>
      <c r="K476" s="26">
        <f t="shared" si="7"/>
        <v>1435.3333333333333</v>
      </c>
      <c r="N476" s="26" t="s">
        <v>14166</v>
      </c>
      <c r="O476" s="22" t="s">
        <v>14167</v>
      </c>
      <c r="P476" s="22" t="s">
        <v>15376</v>
      </c>
      <c r="Q476" s="22">
        <v>90027</v>
      </c>
      <c r="R476" s="22" t="s">
        <v>14168</v>
      </c>
      <c r="S476" s="22" t="s">
        <v>14169</v>
      </c>
      <c r="T476" s="22">
        <v>8.17</v>
      </c>
      <c r="U476" s="22">
        <v>0.38</v>
      </c>
      <c r="X476" s="26"/>
      <c r="Y476" s="26"/>
    </row>
    <row r="477" spans="1:25" ht="37.5" x14ac:dyDescent="0.25">
      <c r="A477" s="21">
        <v>667</v>
      </c>
      <c r="B477" s="22" t="s">
        <v>15368</v>
      </c>
      <c r="C477" s="22" t="s">
        <v>14145</v>
      </c>
      <c r="D477" s="23">
        <v>181700</v>
      </c>
      <c r="E477" s="24">
        <v>1989</v>
      </c>
      <c r="F477" s="22" t="s">
        <v>14172</v>
      </c>
      <c r="G477" s="23" t="s">
        <v>14173</v>
      </c>
      <c r="H477" s="25" t="s">
        <v>15373</v>
      </c>
      <c r="I477" s="22" t="s">
        <v>15374</v>
      </c>
      <c r="J477" s="22">
        <v>3512</v>
      </c>
      <c r="K477" s="26">
        <f t="shared" si="7"/>
        <v>1058.6666666666665</v>
      </c>
      <c r="N477" s="26" t="s">
        <v>14174</v>
      </c>
      <c r="O477" s="22" t="s">
        <v>14167</v>
      </c>
      <c r="P477" s="22" t="s">
        <v>15376</v>
      </c>
      <c r="Q477" s="22">
        <v>90027</v>
      </c>
      <c r="R477" s="22" t="s">
        <v>14168</v>
      </c>
      <c r="S477" s="22" t="s">
        <v>14169</v>
      </c>
      <c r="T477" s="22">
        <v>8.17</v>
      </c>
      <c r="U477" s="22">
        <v>0.38</v>
      </c>
      <c r="X477" s="26"/>
      <c r="Y477" s="26"/>
    </row>
    <row r="478" spans="1:25" ht="25" x14ac:dyDescent="0.25">
      <c r="A478" s="21">
        <v>668</v>
      </c>
      <c r="B478" s="22" t="s">
        <v>15368</v>
      </c>
      <c r="C478" s="22" t="s">
        <v>14145</v>
      </c>
      <c r="D478" s="23">
        <v>182295</v>
      </c>
      <c r="E478" s="24">
        <v>1989</v>
      </c>
      <c r="F478" s="22" t="s">
        <v>14175</v>
      </c>
      <c r="G478" s="23" t="s">
        <v>14176</v>
      </c>
      <c r="H478" s="25" t="s">
        <v>15373</v>
      </c>
      <c r="I478" s="22" t="s">
        <v>15374</v>
      </c>
      <c r="J478" s="22">
        <v>3508</v>
      </c>
      <c r="K478" s="26">
        <f t="shared" si="7"/>
        <v>650</v>
      </c>
      <c r="L478" s="26">
        <v>650</v>
      </c>
      <c r="O478" s="22" t="s">
        <v>14177</v>
      </c>
      <c r="P478" s="22" t="s">
        <v>16794</v>
      </c>
      <c r="Q478" s="22">
        <v>92505</v>
      </c>
      <c r="R478" s="22" t="s">
        <v>14178</v>
      </c>
      <c r="S478" s="22" t="s">
        <v>14179</v>
      </c>
      <c r="T478" s="22">
        <v>8.17</v>
      </c>
      <c r="U478" s="22">
        <v>0.38</v>
      </c>
      <c r="X478" s="26"/>
      <c r="Y478" s="26"/>
    </row>
    <row r="479" spans="1:25" ht="25" x14ac:dyDescent="0.25">
      <c r="A479" s="21">
        <v>669</v>
      </c>
      <c r="B479" s="22" t="s">
        <v>15368</v>
      </c>
      <c r="C479" s="22" t="s">
        <v>14145</v>
      </c>
      <c r="D479" s="23">
        <v>209084</v>
      </c>
      <c r="E479" s="24">
        <v>1989</v>
      </c>
      <c r="F479" s="22" t="s">
        <v>14180</v>
      </c>
      <c r="G479" s="23" t="s">
        <v>14181</v>
      </c>
      <c r="H479" s="25" t="s">
        <v>15373</v>
      </c>
      <c r="I479" s="22" t="s">
        <v>15374</v>
      </c>
      <c r="J479" s="22">
        <v>3508</v>
      </c>
      <c r="K479" s="26">
        <f t="shared" si="7"/>
        <v>650</v>
      </c>
      <c r="L479" s="26">
        <v>650</v>
      </c>
      <c r="O479" s="22" t="s">
        <v>14177</v>
      </c>
      <c r="P479" s="22" t="s">
        <v>16794</v>
      </c>
      <c r="Q479" s="22">
        <v>92505</v>
      </c>
      <c r="R479" s="22" t="s">
        <v>14178</v>
      </c>
      <c r="S479" s="22" t="s">
        <v>14179</v>
      </c>
      <c r="T479" s="22">
        <v>8.17</v>
      </c>
      <c r="U479" s="22">
        <v>0.38</v>
      </c>
      <c r="X479" s="26"/>
      <c r="Y479" s="26"/>
    </row>
    <row r="480" spans="1:25" ht="25" x14ac:dyDescent="0.25">
      <c r="A480" s="21">
        <v>670</v>
      </c>
      <c r="B480" s="22" t="s">
        <v>15368</v>
      </c>
      <c r="C480" s="22" t="s">
        <v>14145</v>
      </c>
      <c r="D480" s="23">
        <v>209085</v>
      </c>
      <c r="E480" s="24">
        <v>1989</v>
      </c>
      <c r="F480" s="22" t="s">
        <v>14182</v>
      </c>
      <c r="G480" s="23" t="s">
        <v>14181</v>
      </c>
      <c r="H480" s="25" t="s">
        <v>15373</v>
      </c>
      <c r="I480" s="22" t="s">
        <v>15374</v>
      </c>
      <c r="J480" s="22">
        <v>3508</v>
      </c>
      <c r="K480" s="26">
        <f t="shared" si="7"/>
        <v>650</v>
      </c>
      <c r="L480" s="26">
        <v>650</v>
      </c>
      <c r="O480" s="22" t="s">
        <v>14177</v>
      </c>
      <c r="P480" s="22" t="s">
        <v>16794</v>
      </c>
      <c r="Q480" s="22">
        <v>92505</v>
      </c>
      <c r="R480" s="22" t="s">
        <v>14178</v>
      </c>
      <c r="S480" s="22" t="s">
        <v>14179</v>
      </c>
      <c r="T480" s="22">
        <v>8.17</v>
      </c>
      <c r="U480" s="22">
        <v>0.38</v>
      </c>
      <c r="X480" s="26"/>
      <c r="Y480" s="26"/>
    </row>
    <row r="481" spans="1:25" ht="25" x14ac:dyDescent="0.25">
      <c r="A481" s="21">
        <v>671</v>
      </c>
      <c r="B481" s="22" t="s">
        <v>15368</v>
      </c>
      <c r="C481" s="22" t="s">
        <v>14145</v>
      </c>
      <c r="D481" s="23">
        <v>209086</v>
      </c>
      <c r="E481" s="24">
        <v>1989</v>
      </c>
      <c r="F481" s="22" t="s">
        <v>14183</v>
      </c>
      <c r="G481" s="23" t="s">
        <v>14181</v>
      </c>
      <c r="H481" s="25" t="s">
        <v>15373</v>
      </c>
      <c r="I481" s="22" t="s">
        <v>15374</v>
      </c>
      <c r="J481" s="22">
        <v>3508</v>
      </c>
      <c r="K481" s="26">
        <f t="shared" si="7"/>
        <v>650</v>
      </c>
      <c r="L481" s="26">
        <v>650</v>
      </c>
      <c r="O481" s="22" t="s">
        <v>14177</v>
      </c>
      <c r="P481" s="22" t="s">
        <v>16794</v>
      </c>
      <c r="Q481" s="22">
        <v>92505</v>
      </c>
      <c r="R481" s="22" t="s">
        <v>14178</v>
      </c>
      <c r="S481" s="22" t="s">
        <v>14179</v>
      </c>
      <c r="T481" s="22">
        <v>8.17</v>
      </c>
      <c r="U481" s="22">
        <v>0.38</v>
      </c>
      <c r="X481" s="26"/>
      <c r="Y481" s="26"/>
    </row>
    <row r="482" spans="1:25" ht="37.5" x14ac:dyDescent="0.25">
      <c r="A482" s="21">
        <v>672</v>
      </c>
      <c r="B482" s="22" t="s">
        <v>15368</v>
      </c>
      <c r="C482" s="22" t="s">
        <v>14145</v>
      </c>
      <c r="D482" s="23">
        <v>278098</v>
      </c>
      <c r="E482" s="24">
        <v>1993</v>
      </c>
      <c r="F482" s="22" t="s">
        <v>14184</v>
      </c>
      <c r="G482" s="23" t="s">
        <v>14185</v>
      </c>
      <c r="H482" s="25" t="s">
        <v>15373</v>
      </c>
      <c r="I482" s="22" t="s">
        <v>15411</v>
      </c>
      <c r="J482" s="22" t="s">
        <v>14773</v>
      </c>
      <c r="K482" s="26">
        <f t="shared" si="7"/>
        <v>1033.3333333333333</v>
      </c>
      <c r="N482" s="26">
        <v>1550</v>
      </c>
      <c r="O482" s="22" t="s">
        <v>14186</v>
      </c>
      <c r="P482" s="22" t="s">
        <v>14187</v>
      </c>
      <c r="Q482" s="22">
        <v>91706</v>
      </c>
      <c r="R482" s="22" t="s">
        <v>14188</v>
      </c>
      <c r="S482" s="22" t="s">
        <v>14189</v>
      </c>
      <c r="T482" s="22">
        <v>8.17</v>
      </c>
      <c r="U482" s="22">
        <v>0.38</v>
      </c>
      <c r="X482" s="26"/>
      <c r="Y482" s="26"/>
    </row>
    <row r="483" spans="1:25" ht="37.5" x14ac:dyDescent="0.25">
      <c r="A483" s="21">
        <v>673</v>
      </c>
      <c r="B483" s="22" t="s">
        <v>15368</v>
      </c>
      <c r="C483" s="22" t="s">
        <v>14145</v>
      </c>
      <c r="D483" s="23">
        <v>278099</v>
      </c>
      <c r="E483" s="24">
        <v>1993</v>
      </c>
      <c r="F483" s="22" t="s">
        <v>14190</v>
      </c>
      <c r="G483" s="23" t="s">
        <v>14185</v>
      </c>
      <c r="H483" s="25" t="s">
        <v>15373</v>
      </c>
      <c r="I483" s="22" t="s">
        <v>15411</v>
      </c>
      <c r="J483" s="22" t="s">
        <v>14773</v>
      </c>
      <c r="K483" s="26">
        <f t="shared" si="7"/>
        <v>1033.3333333333333</v>
      </c>
      <c r="N483" s="26">
        <v>1550</v>
      </c>
      <c r="O483" s="22" t="s">
        <v>14186</v>
      </c>
      <c r="P483" s="22" t="s">
        <v>14187</v>
      </c>
      <c r="Q483" s="22">
        <v>91706</v>
      </c>
      <c r="R483" s="22" t="s">
        <v>14188</v>
      </c>
      <c r="S483" s="22" t="s">
        <v>14189</v>
      </c>
      <c r="T483" s="22">
        <v>8.17</v>
      </c>
      <c r="U483" s="22">
        <v>0.38</v>
      </c>
      <c r="X483" s="26"/>
      <c r="Y483" s="26"/>
    </row>
    <row r="484" spans="1:25" ht="37.5" x14ac:dyDescent="0.25">
      <c r="A484" s="21">
        <v>674</v>
      </c>
      <c r="B484" s="22" t="s">
        <v>15368</v>
      </c>
      <c r="C484" s="22" t="s">
        <v>14145</v>
      </c>
      <c r="D484" s="23">
        <v>278100</v>
      </c>
      <c r="E484" s="24">
        <v>1993</v>
      </c>
      <c r="F484" s="22" t="s">
        <v>14191</v>
      </c>
      <c r="G484" s="23" t="s">
        <v>14185</v>
      </c>
      <c r="H484" s="25" t="s">
        <v>15373</v>
      </c>
      <c r="I484" s="22" t="s">
        <v>15411</v>
      </c>
      <c r="J484" s="22" t="s">
        <v>14773</v>
      </c>
      <c r="K484" s="26">
        <f t="shared" si="7"/>
        <v>1033.3333333333333</v>
      </c>
      <c r="N484" s="26">
        <v>1550</v>
      </c>
      <c r="O484" s="22" t="s">
        <v>14186</v>
      </c>
      <c r="P484" s="22" t="s">
        <v>14187</v>
      </c>
      <c r="Q484" s="22">
        <v>91706</v>
      </c>
      <c r="R484" s="22" t="s">
        <v>14188</v>
      </c>
      <c r="S484" s="22" t="s">
        <v>14189</v>
      </c>
      <c r="T484" s="22">
        <v>8.17</v>
      </c>
      <c r="U484" s="22">
        <v>0.38</v>
      </c>
      <c r="X484" s="26"/>
      <c r="Y484" s="26"/>
    </row>
    <row r="485" spans="1:25" ht="37.5" x14ac:dyDescent="0.25">
      <c r="A485" s="21">
        <v>675</v>
      </c>
      <c r="B485" s="22" t="s">
        <v>15368</v>
      </c>
      <c r="C485" s="22" t="s">
        <v>14145</v>
      </c>
      <c r="D485" s="23">
        <v>278101</v>
      </c>
      <c r="E485" s="24">
        <v>1993</v>
      </c>
      <c r="F485" s="22" t="s">
        <v>14192</v>
      </c>
      <c r="G485" s="23" t="s">
        <v>14185</v>
      </c>
      <c r="H485" s="25" t="s">
        <v>15373</v>
      </c>
      <c r="I485" s="22" t="s">
        <v>15411</v>
      </c>
      <c r="J485" s="22" t="s">
        <v>14773</v>
      </c>
      <c r="K485" s="26">
        <f t="shared" si="7"/>
        <v>1033.3333333333333</v>
      </c>
      <c r="N485" s="26">
        <v>1550</v>
      </c>
      <c r="O485" s="22" t="s">
        <v>14186</v>
      </c>
      <c r="P485" s="22" t="s">
        <v>14187</v>
      </c>
      <c r="Q485" s="22">
        <v>91706</v>
      </c>
      <c r="R485" s="22" t="s">
        <v>14188</v>
      </c>
      <c r="S485" s="22" t="s">
        <v>14189</v>
      </c>
      <c r="T485" s="22">
        <v>8.17</v>
      </c>
      <c r="U485" s="22">
        <v>0.38</v>
      </c>
      <c r="X485" s="26"/>
      <c r="Y485" s="26"/>
    </row>
    <row r="486" spans="1:25" ht="25" x14ac:dyDescent="0.25">
      <c r="A486" s="21">
        <v>676</v>
      </c>
      <c r="B486" s="22" t="s">
        <v>15368</v>
      </c>
      <c r="C486" s="22" t="s">
        <v>14145</v>
      </c>
      <c r="D486" s="23" t="s">
        <v>14193</v>
      </c>
      <c r="E486" s="24">
        <v>1990</v>
      </c>
      <c r="F486" s="22" t="s">
        <v>14194</v>
      </c>
      <c r="G486" s="23" t="s">
        <v>14195</v>
      </c>
      <c r="H486" s="25" t="s">
        <v>15373</v>
      </c>
      <c r="I486" s="22" t="s">
        <v>16311</v>
      </c>
      <c r="J486" s="22" t="s">
        <v>16311</v>
      </c>
      <c r="K486" s="26">
        <f t="shared" si="7"/>
        <v>533.33333333333326</v>
      </c>
      <c r="N486" s="26">
        <v>800</v>
      </c>
      <c r="O486" s="22" t="s">
        <v>14196</v>
      </c>
      <c r="P486" s="22" t="s">
        <v>15864</v>
      </c>
      <c r="Q486" s="22">
        <v>92335</v>
      </c>
      <c r="R486" s="22" t="s">
        <v>14197</v>
      </c>
      <c r="S486" s="22" t="s">
        <v>14198</v>
      </c>
      <c r="T486" s="22">
        <v>8.17</v>
      </c>
      <c r="U486" s="22">
        <v>0.38</v>
      </c>
      <c r="X486" s="26"/>
      <c r="Y486" s="26"/>
    </row>
    <row r="487" spans="1:25" ht="25" x14ac:dyDescent="0.25">
      <c r="A487" s="21">
        <v>677</v>
      </c>
      <c r="B487" s="22" t="s">
        <v>15368</v>
      </c>
      <c r="C487" s="22" t="s">
        <v>14145</v>
      </c>
      <c r="D487" s="23" t="s">
        <v>14199</v>
      </c>
      <c r="E487" s="24">
        <v>1990</v>
      </c>
      <c r="F487" s="22" t="s">
        <v>14200</v>
      </c>
      <c r="G487" s="23" t="s">
        <v>14201</v>
      </c>
      <c r="H487" s="25" t="s">
        <v>15373</v>
      </c>
      <c r="I487" s="22" t="s">
        <v>16311</v>
      </c>
      <c r="J487" s="22" t="s">
        <v>16311</v>
      </c>
      <c r="K487" s="26">
        <f t="shared" si="7"/>
        <v>533.33333333333326</v>
      </c>
      <c r="N487" s="26">
        <v>800</v>
      </c>
      <c r="O487" s="22" t="s">
        <v>14196</v>
      </c>
      <c r="P487" s="22" t="s">
        <v>15864</v>
      </c>
      <c r="Q487" s="22">
        <v>92335</v>
      </c>
      <c r="R487" s="22" t="s">
        <v>14197</v>
      </c>
      <c r="S487" s="22" t="s">
        <v>14198</v>
      </c>
      <c r="T487" s="22">
        <v>8.17</v>
      </c>
      <c r="U487" s="22">
        <v>0.38</v>
      </c>
      <c r="X487" s="26"/>
      <c r="Y487" s="26"/>
    </row>
    <row r="488" spans="1:25" ht="25" x14ac:dyDescent="0.25">
      <c r="A488" s="21">
        <v>680</v>
      </c>
      <c r="B488" s="22" t="s">
        <v>15368</v>
      </c>
      <c r="C488" s="22" t="s">
        <v>14202</v>
      </c>
      <c r="D488" s="23">
        <v>343200</v>
      </c>
      <c r="E488" s="24">
        <v>1998</v>
      </c>
      <c r="F488" s="22" t="s">
        <v>14203</v>
      </c>
      <c r="G488" s="23" t="s">
        <v>14204</v>
      </c>
      <c r="H488" s="25" t="s">
        <v>15373</v>
      </c>
      <c r="I488" s="22" t="s">
        <v>15374</v>
      </c>
      <c r="J488" s="22" t="s">
        <v>15677</v>
      </c>
      <c r="K488" s="26">
        <f t="shared" si="7"/>
        <v>1678.6666666666665</v>
      </c>
      <c r="N488" s="26">
        <v>2518</v>
      </c>
      <c r="O488" s="22" t="s">
        <v>14205</v>
      </c>
      <c r="P488" s="22" t="s">
        <v>14746</v>
      </c>
      <c r="Q488" s="22">
        <v>91719</v>
      </c>
      <c r="R488" s="22" t="s">
        <v>14206</v>
      </c>
      <c r="S488" s="22" t="s">
        <v>14207</v>
      </c>
      <c r="T488" s="22">
        <v>8.17</v>
      </c>
      <c r="U488" s="22">
        <v>0.38</v>
      </c>
      <c r="X488" s="26"/>
      <c r="Y488" s="26"/>
    </row>
    <row r="489" spans="1:25" ht="25" x14ac:dyDescent="0.25">
      <c r="A489" s="21">
        <v>681</v>
      </c>
      <c r="B489" s="22" t="s">
        <v>15368</v>
      </c>
      <c r="C489" s="22" t="s">
        <v>14202</v>
      </c>
      <c r="D489" s="23">
        <v>343201</v>
      </c>
      <c r="E489" s="24">
        <v>1998</v>
      </c>
      <c r="F489" s="22" t="s">
        <v>14208</v>
      </c>
      <c r="G489" s="23" t="s">
        <v>14204</v>
      </c>
      <c r="H489" s="25" t="s">
        <v>15373</v>
      </c>
      <c r="I489" s="22" t="s">
        <v>15374</v>
      </c>
      <c r="J489" s="22" t="s">
        <v>15677</v>
      </c>
      <c r="K489" s="26">
        <f t="shared" si="7"/>
        <v>1678.6666666666665</v>
      </c>
      <c r="N489" s="26">
        <v>2518</v>
      </c>
      <c r="O489" s="22" t="s">
        <v>14205</v>
      </c>
      <c r="P489" s="22" t="s">
        <v>14746</v>
      </c>
      <c r="Q489" s="22">
        <v>91719</v>
      </c>
      <c r="R489" s="22" t="s">
        <v>14206</v>
      </c>
      <c r="S489" s="22" t="s">
        <v>14207</v>
      </c>
      <c r="T489" s="22">
        <v>8.17</v>
      </c>
      <c r="U489" s="22">
        <v>0.38</v>
      </c>
      <c r="X489" s="26"/>
      <c r="Y489" s="26"/>
    </row>
    <row r="490" spans="1:25" ht="25" x14ac:dyDescent="0.25">
      <c r="A490" s="21">
        <v>682</v>
      </c>
      <c r="B490" s="22" t="s">
        <v>15368</v>
      </c>
      <c r="C490" s="22" t="s">
        <v>14202</v>
      </c>
      <c r="D490" s="23">
        <v>343202</v>
      </c>
      <c r="E490" s="24">
        <v>1998</v>
      </c>
      <c r="F490" s="22" t="s">
        <v>14209</v>
      </c>
      <c r="G490" s="23" t="s">
        <v>14204</v>
      </c>
      <c r="H490" s="25" t="s">
        <v>15373</v>
      </c>
      <c r="I490" s="22" t="s">
        <v>15374</v>
      </c>
      <c r="J490" s="22" t="s">
        <v>15677</v>
      </c>
      <c r="K490" s="26">
        <f t="shared" si="7"/>
        <v>1678.6666666666665</v>
      </c>
      <c r="N490" s="26">
        <v>2518</v>
      </c>
      <c r="O490" s="22" t="s">
        <v>14205</v>
      </c>
      <c r="P490" s="22" t="s">
        <v>14746</v>
      </c>
      <c r="Q490" s="22">
        <v>91719</v>
      </c>
      <c r="R490" s="22" t="s">
        <v>14206</v>
      </c>
      <c r="S490" s="22" t="s">
        <v>14207</v>
      </c>
      <c r="T490" s="22">
        <v>8.17</v>
      </c>
      <c r="U490" s="22">
        <v>0.38</v>
      </c>
      <c r="X490" s="26"/>
      <c r="Y490" s="26"/>
    </row>
    <row r="491" spans="1:25" ht="25" x14ac:dyDescent="0.25">
      <c r="A491" s="21">
        <v>683</v>
      </c>
      <c r="B491" s="22" t="s">
        <v>15368</v>
      </c>
      <c r="C491" s="22" t="s">
        <v>14202</v>
      </c>
      <c r="D491" s="23">
        <v>343203</v>
      </c>
      <c r="E491" s="24">
        <v>1998</v>
      </c>
      <c r="F491" s="22" t="s">
        <v>14210</v>
      </c>
      <c r="G491" s="23" t="s">
        <v>14204</v>
      </c>
      <c r="H491" s="25" t="s">
        <v>15373</v>
      </c>
      <c r="I491" s="22" t="s">
        <v>15374</v>
      </c>
      <c r="J491" s="22" t="s">
        <v>15677</v>
      </c>
      <c r="K491" s="26">
        <f t="shared" si="7"/>
        <v>1678.6666666666665</v>
      </c>
      <c r="N491" s="26">
        <v>2518</v>
      </c>
      <c r="O491" s="22" t="s">
        <v>14205</v>
      </c>
      <c r="P491" s="22" t="s">
        <v>14746</v>
      </c>
      <c r="Q491" s="22">
        <v>91719</v>
      </c>
      <c r="R491" s="22" t="s">
        <v>14206</v>
      </c>
      <c r="S491" s="22" t="s">
        <v>14207</v>
      </c>
      <c r="T491" s="22">
        <v>8.17</v>
      </c>
      <c r="U491" s="22">
        <v>0.38</v>
      </c>
      <c r="X491" s="26"/>
      <c r="Y491" s="26"/>
    </row>
    <row r="492" spans="1:25" ht="25" x14ac:dyDescent="0.25">
      <c r="A492" s="21">
        <v>684</v>
      </c>
      <c r="B492" s="22" t="s">
        <v>15368</v>
      </c>
      <c r="C492" s="22" t="s">
        <v>14202</v>
      </c>
      <c r="D492" s="23">
        <v>343204</v>
      </c>
      <c r="E492" s="24">
        <v>1998</v>
      </c>
      <c r="F492" s="22" t="s">
        <v>14211</v>
      </c>
      <c r="G492" s="23" t="s">
        <v>14204</v>
      </c>
      <c r="H492" s="25" t="s">
        <v>15373</v>
      </c>
      <c r="I492" s="22" t="s">
        <v>15374</v>
      </c>
      <c r="J492" s="22" t="s">
        <v>15677</v>
      </c>
      <c r="K492" s="26">
        <f t="shared" si="7"/>
        <v>1678.6666666666665</v>
      </c>
      <c r="N492" s="26">
        <v>2518</v>
      </c>
      <c r="O492" s="22" t="s">
        <v>14205</v>
      </c>
      <c r="P492" s="22" t="s">
        <v>14746</v>
      </c>
      <c r="Q492" s="22">
        <v>91719</v>
      </c>
      <c r="R492" s="22" t="s">
        <v>14206</v>
      </c>
      <c r="S492" s="22" t="s">
        <v>14207</v>
      </c>
      <c r="T492" s="22">
        <v>8.17</v>
      </c>
      <c r="U492" s="22">
        <v>0.38</v>
      </c>
      <c r="X492" s="26"/>
      <c r="Y492" s="26"/>
    </row>
    <row r="493" spans="1:25" ht="25" x14ac:dyDescent="0.25">
      <c r="A493" s="21">
        <v>685</v>
      </c>
      <c r="B493" s="22" t="s">
        <v>15368</v>
      </c>
      <c r="C493" s="22" t="s">
        <v>14212</v>
      </c>
      <c r="D493" s="23">
        <v>328397</v>
      </c>
      <c r="E493" s="24">
        <v>1997</v>
      </c>
      <c r="F493" s="22" t="s">
        <v>14213</v>
      </c>
      <c r="G493" s="23" t="s">
        <v>14214</v>
      </c>
      <c r="H493" s="25" t="s">
        <v>15373</v>
      </c>
      <c r="I493" s="22" t="s">
        <v>15411</v>
      </c>
      <c r="J493" s="22" t="s">
        <v>15744</v>
      </c>
      <c r="K493" s="26">
        <f t="shared" si="7"/>
        <v>821.33333333333326</v>
      </c>
      <c r="N493" s="26">
        <v>1232</v>
      </c>
      <c r="O493" s="22" t="s">
        <v>14215</v>
      </c>
      <c r="P493" s="22" t="s">
        <v>15376</v>
      </c>
      <c r="Q493" s="22" t="s">
        <v>14216</v>
      </c>
      <c r="R493" s="22" t="s">
        <v>14217</v>
      </c>
      <c r="S493" s="22" t="s">
        <v>14111</v>
      </c>
      <c r="T493" s="22">
        <v>8.17</v>
      </c>
      <c r="U493" s="22">
        <v>0.38</v>
      </c>
      <c r="X493" s="26"/>
      <c r="Y493" s="26"/>
    </row>
    <row r="494" spans="1:25" ht="25" x14ac:dyDescent="0.25">
      <c r="A494" s="21">
        <v>686</v>
      </c>
      <c r="B494" s="22" t="s">
        <v>15368</v>
      </c>
      <c r="C494" s="22" t="s">
        <v>14218</v>
      </c>
      <c r="D494" s="23">
        <v>333926</v>
      </c>
      <c r="E494" s="24">
        <v>1997</v>
      </c>
      <c r="F494" s="22" t="s">
        <v>14219</v>
      </c>
      <c r="G494" s="23" t="s">
        <v>14220</v>
      </c>
      <c r="H494" s="25" t="s">
        <v>15373</v>
      </c>
      <c r="I494" s="22" t="s">
        <v>15411</v>
      </c>
      <c r="J494" s="22" t="s">
        <v>15412</v>
      </c>
      <c r="K494" s="26">
        <f t="shared" si="7"/>
        <v>553.33333333333326</v>
      </c>
      <c r="N494" s="26">
        <v>830</v>
      </c>
      <c r="O494" s="22" t="s">
        <v>14221</v>
      </c>
      <c r="P494" s="22" t="s">
        <v>15376</v>
      </c>
      <c r="Q494" s="22">
        <v>90027</v>
      </c>
      <c r="R494" s="22" t="s">
        <v>14139</v>
      </c>
      <c r="S494" s="22" t="s">
        <v>14222</v>
      </c>
      <c r="T494" s="22">
        <v>8.17</v>
      </c>
      <c r="U494" s="22">
        <v>0.38</v>
      </c>
      <c r="X494" s="26"/>
      <c r="Y494" s="26"/>
    </row>
    <row r="495" spans="1:25" ht="25" x14ac:dyDescent="0.25">
      <c r="A495" s="21">
        <v>687</v>
      </c>
      <c r="B495" s="22" t="s">
        <v>15368</v>
      </c>
      <c r="C495" s="22" t="s">
        <v>14223</v>
      </c>
      <c r="D495" s="23">
        <v>266489</v>
      </c>
      <c r="E495" s="24">
        <v>1992</v>
      </c>
      <c r="F495" s="22" t="s">
        <v>14224</v>
      </c>
      <c r="G495" s="23" t="s">
        <v>14225</v>
      </c>
      <c r="H495" s="25" t="s">
        <v>15373</v>
      </c>
      <c r="I495" s="22" t="s">
        <v>15411</v>
      </c>
      <c r="J495" s="22" t="s">
        <v>16462</v>
      </c>
      <c r="K495" s="26">
        <f t="shared" si="7"/>
        <v>1033.3333333333333</v>
      </c>
      <c r="N495" s="26">
        <v>1550</v>
      </c>
      <c r="O495" s="22" t="s">
        <v>14118</v>
      </c>
      <c r="P495" s="22" t="s">
        <v>14119</v>
      </c>
      <c r="Q495" s="22">
        <v>90242</v>
      </c>
      <c r="R495" s="22" t="s">
        <v>14226</v>
      </c>
      <c r="S495" s="22" t="s">
        <v>14227</v>
      </c>
      <c r="T495" s="22">
        <v>8.17</v>
      </c>
      <c r="U495" s="22">
        <v>0.38</v>
      </c>
      <c r="X495" s="26"/>
      <c r="Y495" s="26"/>
    </row>
    <row r="496" spans="1:25" ht="25" x14ac:dyDescent="0.25">
      <c r="A496" s="21">
        <v>688</v>
      </c>
      <c r="B496" s="22" t="s">
        <v>15368</v>
      </c>
      <c r="C496" s="22" t="s">
        <v>14228</v>
      </c>
      <c r="D496" s="23">
        <v>348515</v>
      </c>
      <c r="E496" s="24">
        <v>1998</v>
      </c>
      <c r="F496" s="22" t="s">
        <v>14229</v>
      </c>
      <c r="G496" s="23" t="s">
        <v>14230</v>
      </c>
      <c r="H496" s="25" t="s">
        <v>15373</v>
      </c>
      <c r="I496" s="22" t="s">
        <v>15374</v>
      </c>
      <c r="J496" s="22">
        <v>3412</v>
      </c>
      <c r="K496" s="26">
        <f t="shared" si="7"/>
        <v>616</v>
      </c>
      <c r="N496" s="26">
        <v>924</v>
      </c>
      <c r="O496" s="22" t="s">
        <v>14231</v>
      </c>
      <c r="P496" s="22" t="s">
        <v>15376</v>
      </c>
      <c r="Q496" s="22">
        <v>90017</v>
      </c>
      <c r="R496" s="22" t="s">
        <v>14232</v>
      </c>
      <c r="S496" s="22" t="s">
        <v>14233</v>
      </c>
      <c r="T496" s="22">
        <v>8.17</v>
      </c>
      <c r="U496" s="22">
        <v>0.38</v>
      </c>
      <c r="X496" s="26"/>
      <c r="Y496" s="26"/>
    </row>
    <row r="497" spans="1:25" ht="25" x14ac:dyDescent="0.25">
      <c r="A497" s="21">
        <v>689</v>
      </c>
      <c r="B497" s="22" t="s">
        <v>15368</v>
      </c>
      <c r="C497" s="22" t="s">
        <v>14234</v>
      </c>
      <c r="D497" s="23">
        <v>296862</v>
      </c>
      <c r="E497" s="24">
        <v>1994</v>
      </c>
      <c r="F497" s="22" t="s">
        <v>14235</v>
      </c>
      <c r="G497" s="23" t="s">
        <v>14236</v>
      </c>
      <c r="H497" s="25" t="s">
        <v>15373</v>
      </c>
      <c r="I497" s="22" t="s">
        <v>15374</v>
      </c>
      <c r="J497" s="22" t="s">
        <v>15420</v>
      </c>
      <c r="K497" s="26">
        <f t="shared" si="7"/>
        <v>1000</v>
      </c>
      <c r="L497" s="26">
        <v>1000</v>
      </c>
      <c r="O497" s="22" t="s">
        <v>14237</v>
      </c>
      <c r="P497" s="22" t="s">
        <v>16122</v>
      </c>
      <c r="Q497" s="22" t="s">
        <v>14238</v>
      </c>
      <c r="R497" s="22" t="s">
        <v>14239</v>
      </c>
      <c r="S497" s="22" t="s">
        <v>14240</v>
      </c>
      <c r="T497" s="22">
        <v>8.17</v>
      </c>
      <c r="U497" s="22">
        <v>0.38</v>
      </c>
      <c r="X497" s="26"/>
      <c r="Y497" s="26"/>
    </row>
    <row r="498" spans="1:25" ht="25" x14ac:dyDescent="0.25">
      <c r="A498" s="21">
        <v>690</v>
      </c>
      <c r="B498" s="22" t="s">
        <v>15368</v>
      </c>
      <c r="C498" s="22" t="s">
        <v>14241</v>
      </c>
      <c r="D498" s="23">
        <v>182259</v>
      </c>
      <c r="E498" s="24">
        <v>1989</v>
      </c>
      <c r="F498" s="22" t="s">
        <v>14242</v>
      </c>
      <c r="G498" s="23" t="s">
        <v>14243</v>
      </c>
      <c r="H498" s="25" t="s">
        <v>15373</v>
      </c>
      <c r="I498" s="22" t="s">
        <v>15374</v>
      </c>
      <c r="J498" s="22">
        <v>3412</v>
      </c>
      <c r="K498" s="26">
        <f t="shared" si="7"/>
        <v>593.33333333333326</v>
      </c>
      <c r="N498" s="26">
        <v>890</v>
      </c>
      <c r="O498" s="22" t="s">
        <v>16162</v>
      </c>
      <c r="P498" s="22" t="s">
        <v>15703</v>
      </c>
      <c r="Q498" s="22">
        <v>90245</v>
      </c>
      <c r="R498" s="22" t="s">
        <v>14244</v>
      </c>
      <c r="S498" s="22" t="s">
        <v>14245</v>
      </c>
      <c r="T498" s="22">
        <v>8.17</v>
      </c>
      <c r="U498" s="22">
        <v>0.38</v>
      </c>
      <c r="X498" s="26"/>
      <c r="Y498" s="26"/>
    </row>
    <row r="499" spans="1:25" ht="37.5" x14ac:dyDescent="0.25">
      <c r="A499" s="21">
        <v>691</v>
      </c>
      <c r="B499" s="22" t="s">
        <v>15368</v>
      </c>
      <c r="C499" s="22" t="s">
        <v>14246</v>
      </c>
      <c r="D499" s="23">
        <v>367875</v>
      </c>
      <c r="E499" s="24">
        <v>2000</v>
      </c>
      <c r="F499" s="22" t="s">
        <v>14247</v>
      </c>
      <c r="G499" s="23" t="s">
        <v>14248</v>
      </c>
      <c r="H499" s="25" t="s">
        <v>15373</v>
      </c>
      <c r="I499" s="22" t="s">
        <v>15374</v>
      </c>
      <c r="J499" s="22" t="s">
        <v>14709</v>
      </c>
      <c r="K499" s="26">
        <f t="shared" si="7"/>
        <v>597.33333333333326</v>
      </c>
      <c r="N499" s="26">
        <v>896</v>
      </c>
      <c r="O499" s="22" t="s">
        <v>14249</v>
      </c>
      <c r="P499" s="22" t="s">
        <v>15740</v>
      </c>
      <c r="Q499" s="22">
        <v>90806</v>
      </c>
      <c r="R499" s="22" t="s">
        <v>14250</v>
      </c>
      <c r="S499" s="22" t="s">
        <v>14251</v>
      </c>
      <c r="T499" s="22">
        <v>6.9</v>
      </c>
      <c r="U499" s="22">
        <v>0.4</v>
      </c>
      <c r="X499" s="26"/>
      <c r="Y499" s="26"/>
    </row>
    <row r="500" spans="1:25" ht="25" x14ac:dyDescent="0.25">
      <c r="A500" s="21">
        <v>692</v>
      </c>
      <c r="B500" s="22" t="s">
        <v>15368</v>
      </c>
      <c r="C500" s="22" t="s">
        <v>14252</v>
      </c>
      <c r="D500" s="23">
        <v>212312</v>
      </c>
      <c r="E500" s="24">
        <v>1989</v>
      </c>
      <c r="F500" s="22" t="s">
        <v>14253</v>
      </c>
      <c r="G500" s="23" t="s">
        <v>14254</v>
      </c>
      <c r="H500" s="25" t="s">
        <v>15373</v>
      </c>
      <c r="I500" s="22" t="s">
        <v>15374</v>
      </c>
      <c r="J500" s="22">
        <v>3408</v>
      </c>
      <c r="K500" s="26">
        <f t="shared" si="7"/>
        <v>358.66666666666663</v>
      </c>
      <c r="N500" s="26">
        <v>538</v>
      </c>
      <c r="O500" s="22" t="s">
        <v>14255</v>
      </c>
      <c r="P500" s="22" t="s">
        <v>14256</v>
      </c>
      <c r="Q500" s="22">
        <v>90045</v>
      </c>
      <c r="R500" s="22" t="s">
        <v>14257</v>
      </c>
      <c r="S500" s="22" t="s">
        <v>14258</v>
      </c>
      <c r="T500" s="22">
        <v>8.17</v>
      </c>
      <c r="U500" s="22">
        <v>0.38</v>
      </c>
      <c r="X500" s="26"/>
      <c r="Y500" s="26"/>
    </row>
    <row r="501" spans="1:25" ht="25" x14ac:dyDescent="0.25">
      <c r="A501" s="21">
        <v>693</v>
      </c>
      <c r="B501" s="22" t="s">
        <v>15368</v>
      </c>
      <c r="C501" s="22" t="s">
        <v>14259</v>
      </c>
      <c r="D501" s="23">
        <v>337787</v>
      </c>
      <c r="E501" s="24">
        <v>1998</v>
      </c>
      <c r="F501" s="22" t="s">
        <v>14260</v>
      </c>
      <c r="G501" s="23" t="s">
        <v>14261</v>
      </c>
      <c r="H501" s="25" t="s">
        <v>15373</v>
      </c>
      <c r="I501" s="22" t="s">
        <v>15374</v>
      </c>
      <c r="J501" s="22" t="s">
        <v>15701</v>
      </c>
      <c r="K501" s="26">
        <f t="shared" si="7"/>
        <v>400</v>
      </c>
      <c r="L501" s="26">
        <v>400</v>
      </c>
      <c r="O501" s="22" t="s">
        <v>14262</v>
      </c>
      <c r="P501" s="22" t="s">
        <v>14256</v>
      </c>
      <c r="Q501" s="22">
        <v>91523</v>
      </c>
      <c r="R501" s="22" t="s">
        <v>14263</v>
      </c>
      <c r="S501" s="22" t="s">
        <v>14264</v>
      </c>
      <c r="T501" s="22">
        <v>6.9</v>
      </c>
      <c r="U501" s="22">
        <v>0.4</v>
      </c>
      <c r="X501" s="26"/>
      <c r="Y501" s="26"/>
    </row>
    <row r="502" spans="1:25" ht="25" x14ac:dyDescent="0.25">
      <c r="A502" s="21">
        <v>696</v>
      </c>
      <c r="B502" s="22" t="s">
        <v>15368</v>
      </c>
      <c r="C502" s="22" t="s">
        <v>14265</v>
      </c>
      <c r="D502" s="23">
        <v>201766</v>
      </c>
      <c r="E502" s="24">
        <v>1989</v>
      </c>
      <c r="F502" s="22" t="s">
        <v>14266</v>
      </c>
      <c r="G502" s="23" t="s">
        <v>14267</v>
      </c>
      <c r="H502" s="25" t="s">
        <v>15373</v>
      </c>
      <c r="I502" s="22" t="s">
        <v>15374</v>
      </c>
      <c r="J502" s="22" t="s">
        <v>14268</v>
      </c>
      <c r="K502" s="26">
        <f t="shared" si="7"/>
        <v>503.33333333333331</v>
      </c>
      <c r="N502" s="26">
        <v>755</v>
      </c>
      <c r="O502" s="22" t="s">
        <v>14269</v>
      </c>
      <c r="P502" s="22" t="s">
        <v>15537</v>
      </c>
      <c r="Q502" s="22">
        <v>92660</v>
      </c>
      <c r="R502" s="22" t="s">
        <v>14270</v>
      </c>
      <c r="S502" s="22" t="s">
        <v>14271</v>
      </c>
      <c r="T502" s="22">
        <v>8.17</v>
      </c>
      <c r="U502" s="22">
        <v>0.38</v>
      </c>
      <c r="X502" s="26"/>
      <c r="Y502" s="26"/>
    </row>
    <row r="503" spans="1:25" ht="37.5" x14ac:dyDescent="0.25">
      <c r="A503" s="21">
        <v>697</v>
      </c>
      <c r="B503" s="22" t="s">
        <v>15368</v>
      </c>
      <c r="C503" s="22" t="s">
        <v>14272</v>
      </c>
      <c r="D503" s="23">
        <v>366014</v>
      </c>
      <c r="E503" s="24">
        <v>2000</v>
      </c>
      <c r="F503" s="22" t="s">
        <v>14273</v>
      </c>
      <c r="G503" s="23" t="s">
        <v>14274</v>
      </c>
      <c r="H503" s="25" t="s">
        <v>15373</v>
      </c>
      <c r="I503" s="22" t="s">
        <v>14275</v>
      </c>
      <c r="J503" s="22" t="s">
        <v>14276</v>
      </c>
      <c r="K503" s="26">
        <f t="shared" si="7"/>
        <v>499.33333333333331</v>
      </c>
      <c r="N503" s="26">
        <v>749</v>
      </c>
      <c r="O503" s="22" t="s">
        <v>14964</v>
      </c>
      <c r="P503" s="22" t="s">
        <v>14108</v>
      </c>
      <c r="Q503" s="22">
        <v>91609</v>
      </c>
      <c r="R503" s="22" t="s">
        <v>14277</v>
      </c>
      <c r="S503" s="22" t="s">
        <v>14278</v>
      </c>
      <c r="T503" s="22">
        <v>6.9</v>
      </c>
      <c r="U503" s="22">
        <v>0.4</v>
      </c>
      <c r="X503" s="26"/>
      <c r="Y503" s="26"/>
    </row>
    <row r="504" spans="1:25" ht="25" x14ac:dyDescent="0.25">
      <c r="A504" s="21">
        <v>698</v>
      </c>
      <c r="B504" s="22" t="s">
        <v>15368</v>
      </c>
      <c r="C504" s="22" t="s">
        <v>14279</v>
      </c>
      <c r="D504" s="23">
        <v>234317</v>
      </c>
      <c r="E504" s="24">
        <v>1990</v>
      </c>
      <c r="F504" s="22" t="s">
        <v>14280</v>
      </c>
      <c r="G504" s="23" t="s">
        <v>14281</v>
      </c>
      <c r="H504" s="25" t="s">
        <v>15373</v>
      </c>
      <c r="I504" s="22" t="s">
        <v>15374</v>
      </c>
      <c r="J504" s="22" t="s">
        <v>14117</v>
      </c>
      <c r="K504" s="26">
        <f t="shared" si="7"/>
        <v>593.33333333333326</v>
      </c>
      <c r="N504" s="26">
        <v>890</v>
      </c>
      <c r="O504" s="22" t="s">
        <v>14282</v>
      </c>
      <c r="P504" s="22" t="s">
        <v>14283</v>
      </c>
      <c r="Q504" s="22">
        <v>91759</v>
      </c>
      <c r="R504" s="22" t="s">
        <v>14284</v>
      </c>
      <c r="S504" s="22" t="s">
        <v>14285</v>
      </c>
      <c r="T504" s="22">
        <v>8.17</v>
      </c>
      <c r="U504" s="22">
        <v>0.38</v>
      </c>
      <c r="X504" s="26"/>
      <c r="Y504" s="26"/>
    </row>
    <row r="505" spans="1:25" ht="25" x14ac:dyDescent="0.25">
      <c r="A505" s="21">
        <v>699</v>
      </c>
      <c r="B505" s="22" t="s">
        <v>15368</v>
      </c>
      <c r="C505" s="22" t="s">
        <v>14286</v>
      </c>
      <c r="D505" s="23">
        <v>316362</v>
      </c>
      <c r="E505" s="24">
        <v>1996</v>
      </c>
      <c r="F505" s="22" t="s">
        <v>14287</v>
      </c>
      <c r="G505" s="23" t="s">
        <v>14288</v>
      </c>
      <c r="H505" s="25" t="s">
        <v>15373</v>
      </c>
      <c r="I505" s="22" t="s">
        <v>15411</v>
      </c>
      <c r="J505" s="22" t="s">
        <v>16884</v>
      </c>
      <c r="K505" s="26">
        <f t="shared" si="7"/>
        <v>420</v>
      </c>
      <c r="N505" s="26">
        <v>630</v>
      </c>
      <c r="O505" s="22" t="s">
        <v>14289</v>
      </c>
      <c r="P505" s="22" t="s">
        <v>14290</v>
      </c>
      <c r="Q505" s="22">
        <v>91711</v>
      </c>
      <c r="R505" s="22" t="s">
        <v>14291</v>
      </c>
      <c r="S505" s="22" t="s">
        <v>14292</v>
      </c>
      <c r="T505" s="22">
        <v>6.9</v>
      </c>
      <c r="U505" s="22">
        <v>0.4</v>
      </c>
      <c r="X505" s="26"/>
      <c r="Y505" s="26"/>
    </row>
    <row r="506" spans="1:25" ht="25" x14ac:dyDescent="0.25">
      <c r="A506" s="21">
        <v>700</v>
      </c>
      <c r="B506" s="22" t="s">
        <v>15368</v>
      </c>
      <c r="C506" s="22" t="s">
        <v>14293</v>
      </c>
      <c r="D506" s="23">
        <v>214963</v>
      </c>
      <c r="E506" s="24">
        <v>1989</v>
      </c>
      <c r="F506" s="22" t="s">
        <v>14294</v>
      </c>
      <c r="G506" s="23" t="s">
        <v>14295</v>
      </c>
      <c r="H506" s="25" t="s">
        <v>15373</v>
      </c>
      <c r="I506" s="22" t="s">
        <v>15411</v>
      </c>
      <c r="J506" s="22" t="s">
        <v>16254</v>
      </c>
      <c r="K506" s="26">
        <f t="shared" si="7"/>
        <v>363.33333333333331</v>
      </c>
      <c r="N506" s="26">
        <v>545</v>
      </c>
      <c r="O506" s="22" t="s">
        <v>14296</v>
      </c>
      <c r="P506" s="22" t="s">
        <v>15376</v>
      </c>
      <c r="Q506" s="22">
        <v>90028</v>
      </c>
      <c r="R506" s="22" t="s">
        <v>14852</v>
      </c>
      <c r="S506" s="22" t="s">
        <v>14297</v>
      </c>
      <c r="T506" s="22">
        <v>8.17</v>
      </c>
      <c r="U506" s="22">
        <v>0.38</v>
      </c>
      <c r="X506" s="26"/>
      <c r="Y506" s="26"/>
    </row>
    <row r="507" spans="1:25" ht="25" x14ac:dyDescent="0.25">
      <c r="A507" s="21">
        <v>701</v>
      </c>
      <c r="B507" s="22" t="s">
        <v>15368</v>
      </c>
      <c r="C507" s="22" t="s">
        <v>14298</v>
      </c>
      <c r="D507" s="23">
        <v>373238</v>
      </c>
      <c r="E507" s="24">
        <v>2000</v>
      </c>
      <c r="F507" s="22" t="s">
        <v>14299</v>
      </c>
      <c r="G507" s="23" t="s">
        <v>14300</v>
      </c>
      <c r="H507" s="25" t="s">
        <v>15373</v>
      </c>
      <c r="I507" s="22" t="s">
        <v>15382</v>
      </c>
      <c r="J507" s="22" t="s">
        <v>16799</v>
      </c>
      <c r="K507" s="26">
        <f t="shared" si="7"/>
        <v>503.33333333333331</v>
      </c>
      <c r="N507" s="26">
        <v>755</v>
      </c>
      <c r="O507" s="22" t="s">
        <v>14301</v>
      </c>
      <c r="P507" s="22" t="s">
        <v>15376</v>
      </c>
      <c r="Q507" s="22">
        <v>90031</v>
      </c>
      <c r="R507" s="22" t="s">
        <v>14302</v>
      </c>
      <c r="S507" s="22" t="s">
        <v>14303</v>
      </c>
      <c r="T507" s="22">
        <v>6.9</v>
      </c>
      <c r="U507" s="22">
        <v>0.4</v>
      </c>
      <c r="X507" s="26"/>
      <c r="Y507" s="26"/>
    </row>
    <row r="508" spans="1:25" ht="25" x14ac:dyDescent="0.25">
      <c r="A508" s="21">
        <v>702</v>
      </c>
      <c r="B508" s="22" t="s">
        <v>15368</v>
      </c>
      <c r="C508" s="22" t="s">
        <v>14304</v>
      </c>
      <c r="D508" s="23">
        <v>118688</v>
      </c>
      <c r="E508" s="24">
        <v>1983</v>
      </c>
      <c r="F508" s="22" t="s">
        <v>14305</v>
      </c>
      <c r="G508" s="23" t="s">
        <v>14832</v>
      </c>
      <c r="H508" s="25" t="s">
        <v>15373</v>
      </c>
      <c r="I508" s="22" t="s">
        <v>15374</v>
      </c>
      <c r="J508" s="22" t="s">
        <v>14306</v>
      </c>
      <c r="K508" s="26">
        <f t="shared" si="7"/>
        <v>600</v>
      </c>
      <c r="L508" s="26">
        <v>600</v>
      </c>
      <c r="O508" s="22" t="s">
        <v>14307</v>
      </c>
      <c r="P508" s="22" t="s">
        <v>15376</v>
      </c>
      <c r="Q508" s="22">
        <v>90045</v>
      </c>
      <c r="R508" s="22" t="s">
        <v>14308</v>
      </c>
      <c r="S508" s="22" t="s">
        <v>14309</v>
      </c>
      <c r="T508" s="22">
        <v>12</v>
      </c>
      <c r="U508" s="22">
        <v>0.53</v>
      </c>
      <c r="X508" s="26"/>
      <c r="Y508" s="26"/>
    </row>
    <row r="509" spans="1:25" ht="25" x14ac:dyDescent="0.25">
      <c r="A509" s="21">
        <v>703</v>
      </c>
      <c r="B509" s="22" t="s">
        <v>15368</v>
      </c>
      <c r="C509" s="22" t="s">
        <v>14310</v>
      </c>
      <c r="D509" s="23">
        <v>241577</v>
      </c>
      <c r="E509" s="24">
        <v>1990</v>
      </c>
      <c r="F509" s="22" t="s">
        <v>14311</v>
      </c>
      <c r="G509" s="23" t="s">
        <v>14312</v>
      </c>
      <c r="H509" s="25" t="s">
        <v>15373</v>
      </c>
      <c r="I509" s="22" t="s">
        <v>15374</v>
      </c>
      <c r="J509" s="22">
        <v>3516</v>
      </c>
      <c r="K509" s="26">
        <f t="shared" si="7"/>
        <v>1898</v>
      </c>
      <c r="N509" s="26">
        <v>2847</v>
      </c>
      <c r="O509" s="22" t="s">
        <v>14313</v>
      </c>
      <c r="P509" s="22" t="s">
        <v>14314</v>
      </c>
      <c r="Q509" s="22">
        <v>91352</v>
      </c>
      <c r="R509" s="22" t="s">
        <v>14315</v>
      </c>
      <c r="S509" s="22" t="s">
        <v>14316</v>
      </c>
      <c r="T509" s="22">
        <v>8.17</v>
      </c>
      <c r="U509" s="22">
        <v>0.38</v>
      </c>
      <c r="X509" s="26"/>
      <c r="Y509" s="26"/>
    </row>
    <row r="510" spans="1:25" ht="25" x14ac:dyDescent="0.25">
      <c r="A510" s="21">
        <v>704</v>
      </c>
      <c r="B510" s="22" t="s">
        <v>15368</v>
      </c>
      <c r="C510" s="22" t="s">
        <v>14310</v>
      </c>
      <c r="D510" s="23">
        <v>241578</v>
      </c>
      <c r="E510" s="24">
        <v>1990</v>
      </c>
      <c r="F510" s="22" t="s">
        <v>14317</v>
      </c>
      <c r="G510" s="23" t="s">
        <v>14312</v>
      </c>
      <c r="H510" s="25" t="s">
        <v>15373</v>
      </c>
      <c r="I510" s="22" t="s">
        <v>15374</v>
      </c>
      <c r="J510" s="22">
        <v>3516</v>
      </c>
      <c r="K510" s="26">
        <f t="shared" si="7"/>
        <v>1898</v>
      </c>
      <c r="N510" s="26">
        <v>2847</v>
      </c>
      <c r="O510" s="22" t="s">
        <v>14313</v>
      </c>
      <c r="P510" s="22" t="s">
        <v>14314</v>
      </c>
      <c r="Q510" s="22">
        <v>91352</v>
      </c>
      <c r="R510" s="22" t="s">
        <v>14315</v>
      </c>
      <c r="S510" s="22" t="s">
        <v>14316</v>
      </c>
      <c r="T510" s="22">
        <v>8.17</v>
      </c>
      <c r="U510" s="22">
        <v>0.38</v>
      </c>
      <c r="X510" s="26"/>
      <c r="Y510" s="26"/>
    </row>
    <row r="511" spans="1:25" ht="25" x14ac:dyDescent="0.25">
      <c r="A511" s="21">
        <v>705</v>
      </c>
      <c r="B511" s="22" t="s">
        <v>15368</v>
      </c>
      <c r="C511" s="22" t="s">
        <v>14310</v>
      </c>
      <c r="D511" s="23">
        <v>312331</v>
      </c>
      <c r="E511" s="24">
        <v>1996</v>
      </c>
      <c r="F511" s="22" t="s">
        <v>14318</v>
      </c>
      <c r="G511" s="23" t="s">
        <v>14319</v>
      </c>
      <c r="H511" s="25" t="s">
        <v>15373</v>
      </c>
      <c r="I511" s="22" t="s">
        <v>15382</v>
      </c>
      <c r="J511" s="22" t="s">
        <v>16861</v>
      </c>
      <c r="K511" s="26">
        <f t="shared" si="7"/>
        <v>400</v>
      </c>
      <c r="N511" s="26">
        <v>600</v>
      </c>
      <c r="O511" s="22" t="s">
        <v>14320</v>
      </c>
      <c r="P511" s="22" t="s">
        <v>14711</v>
      </c>
      <c r="Q511" s="22">
        <v>91405</v>
      </c>
      <c r="R511" s="22" t="s">
        <v>14321</v>
      </c>
      <c r="S511" s="22" t="s">
        <v>14322</v>
      </c>
      <c r="T511" s="22">
        <v>6.9</v>
      </c>
      <c r="U511" s="22">
        <v>0.4</v>
      </c>
      <c r="X511" s="26"/>
      <c r="Y511" s="26"/>
    </row>
    <row r="512" spans="1:25" ht="25" x14ac:dyDescent="0.25">
      <c r="A512" s="21">
        <v>706</v>
      </c>
      <c r="B512" s="22" t="s">
        <v>15368</v>
      </c>
      <c r="C512" s="22" t="s">
        <v>14310</v>
      </c>
      <c r="D512" s="23">
        <v>347835</v>
      </c>
      <c r="E512" s="24">
        <v>1998</v>
      </c>
      <c r="F512" s="22" t="s">
        <v>14323</v>
      </c>
      <c r="G512" s="23" t="s">
        <v>14324</v>
      </c>
      <c r="H512" s="25" t="s">
        <v>15373</v>
      </c>
      <c r="I512" s="22" t="s">
        <v>15382</v>
      </c>
      <c r="J512" s="22" t="s">
        <v>15391</v>
      </c>
      <c r="K512" s="26">
        <f t="shared" si="7"/>
        <v>1500</v>
      </c>
      <c r="L512" s="26">
        <v>1500</v>
      </c>
      <c r="O512" s="22" t="s">
        <v>14325</v>
      </c>
      <c r="P512" s="22" t="s">
        <v>14326</v>
      </c>
      <c r="Q512" s="22">
        <v>91342</v>
      </c>
      <c r="R512" s="22" t="s">
        <v>14327</v>
      </c>
      <c r="S512" s="22" t="s">
        <v>14328</v>
      </c>
      <c r="T512" s="22">
        <v>8.17</v>
      </c>
      <c r="U512" s="22">
        <v>0.38</v>
      </c>
      <c r="X512" s="26"/>
      <c r="Y512" s="26"/>
    </row>
    <row r="513" spans="1:25" ht="25" x14ac:dyDescent="0.25">
      <c r="A513" s="21">
        <v>707</v>
      </c>
      <c r="B513" s="22" t="s">
        <v>15368</v>
      </c>
      <c r="C513" s="22" t="s">
        <v>14329</v>
      </c>
      <c r="D513" s="23">
        <v>189155</v>
      </c>
      <c r="E513" s="24">
        <v>1989</v>
      </c>
      <c r="F513" s="22" t="s">
        <v>14330</v>
      </c>
      <c r="G513" s="23" t="s">
        <v>14331</v>
      </c>
      <c r="H513" s="25" t="s">
        <v>15373</v>
      </c>
      <c r="I513" s="22" t="s">
        <v>15382</v>
      </c>
      <c r="J513" s="22" t="s">
        <v>14332</v>
      </c>
      <c r="K513" s="26">
        <f t="shared" si="7"/>
        <v>466.66666666666663</v>
      </c>
      <c r="N513" s="26">
        <v>700</v>
      </c>
      <c r="O513" s="22" t="s">
        <v>14333</v>
      </c>
      <c r="P513" s="22" t="s">
        <v>14334</v>
      </c>
      <c r="Q513" s="22">
        <v>91311</v>
      </c>
      <c r="R513" s="22" t="s">
        <v>14335</v>
      </c>
      <c r="S513" s="22" t="s">
        <v>14336</v>
      </c>
      <c r="T513" s="22">
        <v>8.17</v>
      </c>
      <c r="U513" s="22">
        <v>0.38</v>
      </c>
      <c r="X513" s="26"/>
      <c r="Y513" s="26"/>
    </row>
    <row r="514" spans="1:25" ht="25" x14ac:dyDescent="0.25">
      <c r="A514" s="21">
        <v>708</v>
      </c>
      <c r="B514" s="22" t="s">
        <v>15368</v>
      </c>
      <c r="C514" s="22" t="s">
        <v>14337</v>
      </c>
      <c r="D514" s="23">
        <v>316127</v>
      </c>
      <c r="E514" s="24">
        <v>1996</v>
      </c>
      <c r="F514" s="22" t="s">
        <v>14338</v>
      </c>
      <c r="G514" s="23" t="s">
        <v>14339</v>
      </c>
      <c r="H514" s="25" t="s">
        <v>15373</v>
      </c>
      <c r="I514" s="22" t="s">
        <v>15374</v>
      </c>
      <c r="J514" s="22">
        <v>3516</v>
      </c>
      <c r="K514" s="26">
        <f t="shared" ref="K514:K577" si="8">L514+M514*(2/3)+N514*(2/3)</f>
        <v>1400</v>
      </c>
      <c r="L514" s="26">
        <v>1400</v>
      </c>
      <c r="O514" s="22" t="s">
        <v>14340</v>
      </c>
      <c r="P514" s="22" t="s">
        <v>15376</v>
      </c>
      <c r="Q514" s="22">
        <v>90012</v>
      </c>
      <c r="R514" s="22" t="s">
        <v>14341</v>
      </c>
      <c r="S514" s="22" t="s">
        <v>14342</v>
      </c>
      <c r="T514" s="22">
        <v>8.17</v>
      </c>
      <c r="U514" s="22">
        <v>0.38</v>
      </c>
      <c r="X514" s="26"/>
      <c r="Y514" s="26"/>
    </row>
    <row r="515" spans="1:25" ht="37.5" x14ac:dyDescent="0.25">
      <c r="A515" s="21">
        <v>709</v>
      </c>
      <c r="B515" s="22" t="s">
        <v>15368</v>
      </c>
      <c r="C515" s="22" t="s">
        <v>14343</v>
      </c>
      <c r="D515" s="23">
        <v>154351</v>
      </c>
      <c r="E515" s="24">
        <v>1987</v>
      </c>
      <c r="F515" s="22" t="s">
        <v>14344</v>
      </c>
      <c r="G515" s="23" t="s">
        <v>14345</v>
      </c>
      <c r="H515" s="25" t="s">
        <v>15373</v>
      </c>
      <c r="I515" s="22" t="s">
        <v>15411</v>
      </c>
      <c r="J515" s="22" t="s">
        <v>15068</v>
      </c>
      <c r="K515" s="26">
        <f t="shared" si="8"/>
        <v>750</v>
      </c>
      <c r="L515" s="26">
        <v>750</v>
      </c>
      <c r="O515" s="22" t="s">
        <v>14346</v>
      </c>
      <c r="P515" s="22" t="s">
        <v>14347</v>
      </c>
      <c r="Q515" s="22">
        <v>90291</v>
      </c>
      <c r="R515" s="22" t="s">
        <v>14348</v>
      </c>
      <c r="S515" s="22" t="s">
        <v>14349</v>
      </c>
      <c r="T515" s="22">
        <v>11</v>
      </c>
      <c r="U515" s="22">
        <v>0.53</v>
      </c>
      <c r="X515" s="26"/>
      <c r="Y515" s="26"/>
    </row>
    <row r="516" spans="1:25" ht="37.5" x14ac:dyDescent="0.25">
      <c r="A516" s="21">
        <v>710</v>
      </c>
      <c r="B516" s="22" t="s">
        <v>15368</v>
      </c>
      <c r="C516" s="22" t="s">
        <v>14343</v>
      </c>
      <c r="D516" s="23">
        <v>155326</v>
      </c>
      <c r="E516" s="24">
        <v>1987</v>
      </c>
      <c r="F516" s="22" t="s">
        <v>14350</v>
      </c>
      <c r="G516" s="23" t="s">
        <v>14351</v>
      </c>
      <c r="H516" s="25" t="s">
        <v>15373</v>
      </c>
      <c r="I516" s="22" t="s">
        <v>15411</v>
      </c>
      <c r="J516" s="22" t="s">
        <v>15068</v>
      </c>
      <c r="K516" s="26">
        <f t="shared" si="8"/>
        <v>750</v>
      </c>
      <c r="L516" s="26">
        <v>750</v>
      </c>
      <c r="O516" s="22" t="s">
        <v>14346</v>
      </c>
      <c r="P516" s="22" t="s">
        <v>14347</v>
      </c>
      <c r="Q516" s="22">
        <v>90291</v>
      </c>
      <c r="R516" s="22" t="s">
        <v>14348</v>
      </c>
      <c r="S516" s="22" t="s">
        <v>14349</v>
      </c>
      <c r="T516" s="22">
        <v>11</v>
      </c>
      <c r="U516" s="22">
        <v>0.53</v>
      </c>
      <c r="X516" s="26"/>
      <c r="Y516" s="26"/>
    </row>
    <row r="517" spans="1:25" ht="25" x14ac:dyDescent="0.25">
      <c r="A517" s="21">
        <v>711</v>
      </c>
      <c r="B517" s="22" t="s">
        <v>15368</v>
      </c>
      <c r="C517" s="22" t="s">
        <v>14343</v>
      </c>
      <c r="D517" s="23">
        <v>172285</v>
      </c>
      <c r="E517" s="24">
        <v>1988</v>
      </c>
      <c r="F517" s="22" t="s">
        <v>14352</v>
      </c>
      <c r="G517" s="23" t="s">
        <v>14353</v>
      </c>
      <c r="H517" s="25" t="s">
        <v>15373</v>
      </c>
      <c r="I517" s="22" t="s">
        <v>15374</v>
      </c>
      <c r="J517" s="22">
        <v>3508</v>
      </c>
      <c r="K517" s="26">
        <f t="shared" si="8"/>
        <v>712.66666666666663</v>
      </c>
      <c r="N517" s="26">
        <v>1069</v>
      </c>
      <c r="O517" s="22" t="s">
        <v>14354</v>
      </c>
      <c r="P517" s="22" t="s">
        <v>14355</v>
      </c>
      <c r="Q517" s="22">
        <v>90731</v>
      </c>
      <c r="R517" s="22" t="s">
        <v>16887</v>
      </c>
      <c r="S517" s="22" t="s">
        <v>16888</v>
      </c>
      <c r="T517" s="22">
        <v>8.17</v>
      </c>
      <c r="U517" s="22">
        <v>0.38</v>
      </c>
      <c r="X517" s="26"/>
      <c r="Y517" s="26"/>
    </row>
    <row r="518" spans="1:25" ht="25" x14ac:dyDescent="0.25">
      <c r="A518" s="21">
        <v>712</v>
      </c>
      <c r="B518" s="22" t="s">
        <v>15368</v>
      </c>
      <c r="C518" s="22" t="s">
        <v>14343</v>
      </c>
      <c r="D518" s="23">
        <v>172286</v>
      </c>
      <c r="E518" s="24">
        <v>1988</v>
      </c>
      <c r="F518" s="22" t="s">
        <v>14356</v>
      </c>
      <c r="G518" s="23" t="s">
        <v>14357</v>
      </c>
      <c r="H518" s="25" t="s">
        <v>15373</v>
      </c>
      <c r="I518" s="22" t="s">
        <v>15374</v>
      </c>
      <c r="J518" s="22" t="s">
        <v>16377</v>
      </c>
      <c r="K518" s="26">
        <f t="shared" si="8"/>
        <v>373.33333333333331</v>
      </c>
      <c r="N518" s="26">
        <v>560</v>
      </c>
      <c r="O518" s="22" t="s">
        <v>14358</v>
      </c>
      <c r="P518" s="22" t="s">
        <v>15376</v>
      </c>
      <c r="Q518" s="22">
        <v>90012</v>
      </c>
      <c r="R518" s="22" t="s">
        <v>16887</v>
      </c>
      <c r="S518" s="22" t="s">
        <v>16888</v>
      </c>
      <c r="T518" s="22">
        <v>8.17</v>
      </c>
      <c r="U518" s="22">
        <v>0.38</v>
      </c>
      <c r="X518" s="26"/>
      <c r="Y518" s="26"/>
    </row>
    <row r="519" spans="1:25" ht="25" x14ac:dyDescent="0.25">
      <c r="A519" s="21">
        <v>713</v>
      </c>
      <c r="B519" s="22" t="s">
        <v>15368</v>
      </c>
      <c r="C519" s="22" t="s">
        <v>14343</v>
      </c>
      <c r="D519" s="23">
        <v>172287</v>
      </c>
      <c r="E519" s="24">
        <v>1988</v>
      </c>
      <c r="F519" s="22" t="s">
        <v>14359</v>
      </c>
      <c r="G519" s="23" t="s">
        <v>14360</v>
      </c>
      <c r="H519" s="25" t="s">
        <v>15373</v>
      </c>
      <c r="I519" s="22" t="s">
        <v>15374</v>
      </c>
      <c r="J519" s="22">
        <v>3406</v>
      </c>
      <c r="K519" s="26">
        <f t="shared" si="8"/>
        <v>373.33333333333331</v>
      </c>
      <c r="N519" s="26">
        <v>560</v>
      </c>
      <c r="O519" s="22" t="s">
        <v>14361</v>
      </c>
      <c r="P519" s="22" t="s">
        <v>14362</v>
      </c>
      <c r="Q519" s="22">
        <v>90744</v>
      </c>
      <c r="R519" s="22" t="s">
        <v>14363</v>
      </c>
      <c r="S519" s="22" t="s">
        <v>14364</v>
      </c>
      <c r="T519" s="22">
        <v>8.17</v>
      </c>
      <c r="U519" s="22">
        <v>0.38</v>
      </c>
      <c r="X519" s="26"/>
      <c r="Y519" s="26"/>
    </row>
    <row r="520" spans="1:25" ht="25" x14ac:dyDescent="0.25">
      <c r="A520" s="21">
        <v>714</v>
      </c>
      <c r="B520" s="22" t="s">
        <v>15368</v>
      </c>
      <c r="C520" s="22" t="s">
        <v>14343</v>
      </c>
      <c r="D520" s="23">
        <v>172288</v>
      </c>
      <c r="E520" s="24">
        <v>1988</v>
      </c>
      <c r="F520" s="22" t="s">
        <v>14365</v>
      </c>
      <c r="G520" s="23" t="s">
        <v>14360</v>
      </c>
      <c r="H520" s="25" t="s">
        <v>15373</v>
      </c>
      <c r="I520" s="22" t="s">
        <v>15374</v>
      </c>
      <c r="J520" s="22">
        <v>3406</v>
      </c>
      <c r="K520" s="26">
        <f t="shared" si="8"/>
        <v>373.33333333333331</v>
      </c>
      <c r="N520" s="26">
        <v>560</v>
      </c>
      <c r="O520" s="22" t="s">
        <v>14366</v>
      </c>
      <c r="P520" s="22" t="s">
        <v>14362</v>
      </c>
      <c r="Q520" s="22">
        <v>90744</v>
      </c>
      <c r="R520" s="22" t="s">
        <v>14363</v>
      </c>
      <c r="S520" s="22" t="s">
        <v>14364</v>
      </c>
      <c r="T520" s="22">
        <v>8.17</v>
      </c>
      <c r="U520" s="22">
        <v>0.38</v>
      </c>
      <c r="X520" s="26"/>
      <c r="Y520" s="26"/>
    </row>
    <row r="521" spans="1:25" ht="25" x14ac:dyDescent="0.25">
      <c r="A521" s="21">
        <v>715</v>
      </c>
      <c r="B521" s="22" t="s">
        <v>15368</v>
      </c>
      <c r="C521" s="22" t="s">
        <v>14343</v>
      </c>
      <c r="D521" s="23">
        <v>220048</v>
      </c>
      <c r="E521" s="24">
        <v>1989</v>
      </c>
      <c r="F521" s="22" t="s">
        <v>14367</v>
      </c>
      <c r="G521" s="23" t="s">
        <v>14368</v>
      </c>
      <c r="H521" s="25" t="s">
        <v>15373</v>
      </c>
      <c r="I521" s="22" t="s">
        <v>15382</v>
      </c>
      <c r="J521" s="22" t="s">
        <v>14369</v>
      </c>
      <c r="K521" s="26">
        <f t="shared" si="8"/>
        <v>800</v>
      </c>
      <c r="N521" s="26">
        <v>1200</v>
      </c>
      <c r="O521" s="22" t="s">
        <v>14370</v>
      </c>
      <c r="P521" s="22" t="s">
        <v>16313</v>
      </c>
      <c r="Q521" s="22">
        <v>90012</v>
      </c>
      <c r="R521" s="22" t="s">
        <v>14371</v>
      </c>
      <c r="S521" s="22" t="s">
        <v>14372</v>
      </c>
      <c r="T521" s="22">
        <v>8.17</v>
      </c>
      <c r="U521" s="22">
        <v>0.38</v>
      </c>
      <c r="X521" s="26"/>
      <c r="Y521" s="26"/>
    </row>
    <row r="522" spans="1:25" ht="37.5" x14ac:dyDescent="0.25">
      <c r="A522" s="21">
        <v>716</v>
      </c>
      <c r="B522" s="22" t="s">
        <v>15368</v>
      </c>
      <c r="C522" s="22" t="s">
        <v>14343</v>
      </c>
      <c r="D522" s="23">
        <v>272895</v>
      </c>
      <c r="E522" s="24">
        <v>1992</v>
      </c>
      <c r="F522" s="22" t="s">
        <v>14373</v>
      </c>
      <c r="G522" s="23" t="s">
        <v>13235</v>
      </c>
      <c r="H522" s="25" t="s">
        <v>15373</v>
      </c>
      <c r="I522" s="22" t="s">
        <v>15382</v>
      </c>
      <c r="J522" s="22" t="s">
        <v>14369</v>
      </c>
      <c r="K522" s="26">
        <f t="shared" si="8"/>
        <v>800</v>
      </c>
      <c r="N522" s="26">
        <v>1200</v>
      </c>
      <c r="O522" s="22" t="s">
        <v>13236</v>
      </c>
      <c r="P522" s="22" t="s">
        <v>15376</v>
      </c>
      <c r="Q522" s="22">
        <v>90230</v>
      </c>
      <c r="R522" s="22" t="s">
        <v>14348</v>
      </c>
      <c r="S522" s="22" t="s">
        <v>13237</v>
      </c>
      <c r="T522" s="22">
        <v>8.17</v>
      </c>
      <c r="U522" s="22">
        <v>0.38</v>
      </c>
      <c r="X522" s="26"/>
      <c r="Y522" s="26"/>
    </row>
    <row r="523" spans="1:25" ht="25" x14ac:dyDescent="0.25">
      <c r="A523" s="21">
        <v>717</v>
      </c>
      <c r="B523" s="22" t="s">
        <v>15368</v>
      </c>
      <c r="C523" s="22" t="s">
        <v>14343</v>
      </c>
      <c r="D523" s="23">
        <v>302124</v>
      </c>
      <c r="E523" s="24">
        <v>1995</v>
      </c>
      <c r="F523" s="22" t="s">
        <v>13238</v>
      </c>
      <c r="G523" s="23" t="s">
        <v>15116</v>
      </c>
      <c r="H523" s="25" t="s">
        <v>15373</v>
      </c>
      <c r="I523" s="22" t="s">
        <v>15374</v>
      </c>
      <c r="J523" s="22" t="s">
        <v>15701</v>
      </c>
      <c r="K523" s="26">
        <f t="shared" si="8"/>
        <v>400</v>
      </c>
      <c r="L523" s="26">
        <v>400</v>
      </c>
      <c r="O523" s="22" t="s">
        <v>13239</v>
      </c>
      <c r="P523" s="22" t="s">
        <v>14711</v>
      </c>
      <c r="Q523" s="22">
        <v>91406</v>
      </c>
      <c r="R523" s="22" t="s">
        <v>13240</v>
      </c>
      <c r="S523" s="22" t="s">
        <v>13241</v>
      </c>
      <c r="T523" s="22">
        <v>8.17</v>
      </c>
      <c r="U523" s="22">
        <v>0.38</v>
      </c>
      <c r="X523" s="26"/>
      <c r="Y523" s="26"/>
    </row>
    <row r="524" spans="1:25" ht="25" x14ac:dyDescent="0.25">
      <c r="A524" s="21">
        <v>718</v>
      </c>
      <c r="B524" s="22" t="s">
        <v>15368</v>
      </c>
      <c r="C524" s="22" t="s">
        <v>14343</v>
      </c>
      <c r="D524" s="23">
        <v>347216</v>
      </c>
      <c r="E524" s="24">
        <v>1998</v>
      </c>
      <c r="F524" s="22" t="s">
        <v>13242</v>
      </c>
      <c r="G524" s="23" t="s">
        <v>13243</v>
      </c>
      <c r="H524" s="25" t="s">
        <v>15373</v>
      </c>
      <c r="I524" s="22" t="s">
        <v>15382</v>
      </c>
      <c r="J524" s="22" t="s">
        <v>15955</v>
      </c>
      <c r="K524" s="26">
        <f t="shared" si="8"/>
        <v>750</v>
      </c>
      <c r="L524" s="26">
        <v>750</v>
      </c>
      <c r="O524" s="22" t="s">
        <v>14358</v>
      </c>
      <c r="P524" s="22" t="s">
        <v>15376</v>
      </c>
      <c r="Q524" s="22">
        <v>90012</v>
      </c>
      <c r="R524" s="22" t="s">
        <v>16887</v>
      </c>
      <c r="S524" s="22" t="s">
        <v>16888</v>
      </c>
      <c r="T524" s="22">
        <v>8.17</v>
      </c>
      <c r="U524" s="22">
        <v>0.38</v>
      </c>
      <c r="X524" s="26"/>
      <c r="Y524" s="26"/>
    </row>
    <row r="525" spans="1:25" ht="37.5" x14ac:dyDescent="0.25">
      <c r="A525" s="21">
        <v>719</v>
      </c>
      <c r="B525" s="22" t="s">
        <v>15368</v>
      </c>
      <c r="C525" s="22" t="s">
        <v>13244</v>
      </c>
      <c r="D525" s="23">
        <v>291859</v>
      </c>
      <c r="E525" s="24">
        <v>1994</v>
      </c>
      <c r="F525" s="22" t="s">
        <v>13245</v>
      </c>
      <c r="G525" s="23" t="s">
        <v>13246</v>
      </c>
      <c r="H525" s="25" t="s">
        <v>15373</v>
      </c>
      <c r="I525" s="22" t="s">
        <v>15374</v>
      </c>
      <c r="J525" s="22" t="s">
        <v>16869</v>
      </c>
      <c r="K525" s="26">
        <f t="shared" si="8"/>
        <v>500</v>
      </c>
      <c r="L525" s="26">
        <v>500</v>
      </c>
      <c r="O525" s="22" t="s">
        <v>13247</v>
      </c>
      <c r="P525" s="22" t="s">
        <v>15376</v>
      </c>
      <c r="Q525" s="22">
        <v>90023</v>
      </c>
      <c r="R525" s="22" t="s">
        <v>13248</v>
      </c>
      <c r="S525" s="22" t="s">
        <v>14349</v>
      </c>
      <c r="T525" s="22">
        <v>8.17</v>
      </c>
      <c r="U525" s="22">
        <v>0.38</v>
      </c>
      <c r="X525" s="26"/>
      <c r="Y525" s="26"/>
    </row>
    <row r="526" spans="1:25" ht="25" x14ac:dyDescent="0.25">
      <c r="A526" s="21">
        <v>720</v>
      </c>
      <c r="B526" s="22" t="s">
        <v>15368</v>
      </c>
      <c r="C526" s="22" t="s">
        <v>13249</v>
      </c>
      <c r="D526" s="23">
        <v>310657</v>
      </c>
      <c r="E526" s="24">
        <v>1996</v>
      </c>
      <c r="F526" s="22" t="s">
        <v>13250</v>
      </c>
      <c r="G526" s="23" t="s">
        <v>13251</v>
      </c>
      <c r="H526" s="25" t="s">
        <v>15373</v>
      </c>
      <c r="I526" s="22" t="s">
        <v>15382</v>
      </c>
      <c r="J526" s="22" t="s">
        <v>13252</v>
      </c>
      <c r="K526" s="26">
        <f t="shared" si="8"/>
        <v>370</v>
      </c>
      <c r="N526" s="26">
        <v>555</v>
      </c>
      <c r="O526" s="22" t="s">
        <v>13253</v>
      </c>
      <c r="P526" s="22" t="s">
        <v>16901</v>
      </c>
      <c r="Q526" s="22" t="s">
        <v>13254</v>
      </c>
      <c r="R526" s="22" t="s">
        <v>13255</v>
      </c>
      <c r="S526" s="22" t="s">
        <v>13256</v>
      </c>
      <c r="T526" s="22">
        <v>6.9</v>
      </c>
      <c r="U526" s="22">
        <v>0.4</v>
      </c>
      <c r="X526" s="26"/>
      <c r="Y526" s="26"/>
    </row>
    <row r="527" spans="1:25" ht="25" x14ac:dyDescent="0.25">
      <c r="A527" s="21">
        <v>721</v>
      </c>
      <c r="B527" s="22" t="s">
        <v>15368</v>
      </c>
      <c r="C527" s="22" t="s">
        <v>13249</v>
      </c>
      <c r="D527" s="23">
        <v>327988</v>
      </c>
      <c r="E527" s="24">
        <v>1997</v>
      </c>
      <c r="F527" s="22" t="s">
        <v>13257</v>
      </c>
      <c r="G527" s="23" t="s">
        <v>13258</v>
      </c>
      <c r="H527" s="25" t="s">
        <v>15373</v>
      </c>
      <c r="I527" s="22" t="s">
        <v>15374</v>
      </c>
      <c r="J527" s="22" t="s">
        <v>15918</v>
      </c>
      <c r="K527" s="26">
        <f t="shared" si="8"/>
        <v>900</v>
      </c>
      <c r="L527" s="26">
        <v>900</v>
      </c>
      <c r="O527" s="22" t="s">
        <v>13253</v>
      </c>
      <c r="P527" s="22" t="s">
        <v>16901</v>
      </c>
      <c r="Q527" s="22" t="s">
        <v>13254</v>
      </c>
      <c r="R527" s="22" t="s">
        <v>13255</v>
      </c>
      <c r="S527" s="22" t="s">
        <v>13256</v>
      </c>
      <c r="T527" s="22">
        <v>8.17</v>
      </c>
      <c r="U527" s="22">
        <v>0.38</v>
      </c>
      <c r="X527" s="26"/>
      <c r="Y527" s="26"/>
    </row>
    <row r="528" spans="1:25" ht="25" x14ac:dyDescent="0.25">
      <c r="A528" s="21">
        <v>722</v>
      </c>
      <c r="B528" s="22" t="s">
        <v>15368</v>
      </c>
      <c r="C528" s="22" t="s">
        <v>13249</v>
      </c>
      <c r="D528" s="23">
        <v>327990</v>
      </c>
      <c r="E528" s="24">
        <v>1997</v>
      </c>
      <c r="F528" s="22" t="s">
        <v>13259</v>
      </c>
      <c r="G528" s="23" t="s">
        <v>13260</v>
      </c>
      <c r="H528" s="25" t="s">
        <v>15373</v>
      </c>
      <c r="I528" s="22" t="s">
        <v>15374</v>
      </c>
      <c r="J528" s="22" t="s">
        <v>15420</v>
      </c>
      <c r="K528" s="26">
        <f t="shared" si="8"/>
        <v>1100</v>
      </c>
      <c r="L528" s="26">
        <v>1100</v>
      </c>
      <c r="O528" s="22" t="s">
        <v>13253</v>
      </c>
      <c r="P528" s="22" t="s">
        <v>16901</v>
      </c>
      <c r="Q528" s="22" t="s">
        <v>13254</v>
      </c>
      <c r="R528" s="22" t="s">
        <v>13255</v>
      </c>
      <c r="S528" s="22" t="s">
        <v>13256</v>
      </c>
      <c r="T528" s="22">
        <v>8.17</v>
      </c>
      <c r="U528" s="22">
        <v>0.38</v>
      </c>
      <c r="X528" s="26"/>
      <c r="Y528" s="26"/>
    </row>
    <row r="529" spans="1:25" ht="25" x14ac:dyDescent="0.25">
      <c r="A529" s="21">
        <v>723</v>
      </c>
      <c r="B529" s="22" t="s">
        <v>15368</v>
      </c>
      <c r="C529" s="22" t="s">
        <v>13249</v>
      </c>
      <c r="D529" s="23">
        <v>327992</v>
      </c>
      <c r="E529" s="24">
        <v>1997</v>
      </c>
      <c r="F529" s="22" t="s">
        <v>13261</v>
      </c>
      <c r="G529" s="23" t="s">
        <v>13262</v>
      </c>
      <c r="H529" s="25" t="s">
        <v>15373</v>
      </c>
      <c r="I529" s="22" t="s">
        <v>15374</v>
      </c>
      <c r="J529" s="22" t="s">
        <v>15918</v>
      </c>
      <c r="K529" s="26">
        <f t="shared" si="8"/>
        <v>900</v>
      </c>
      <c r="L529" s="26">
        <v>900</v>
      </c>
      <c r="O529" s="22" t="s">
        <v>13253</v>
      </c>
      <c r="P529" s="22" t="s">
        <v>16901</v>
      </c>
      <c r="Q529" s="22" t="s">
        <v>13254</v>
      </c>
      <c r="R529" s="22" t="s">
        <v>13255</v>
      </c>
      <c r="S529" s="22" t="s">
        <v>13256</v>
      </c>
      <c r="T529" s="22">
        <v>8.17</v>
      </c>
      <c r="U529" s="22">
        <v>0.38</v>
      </c>
      <c r="X529" s="26"/>
      <c r="Y529" s="26"/>
    </row>
    <row r="530" spans="1:25" ht="25" x14ac:dyDescent="0.25">
      <c r="A530" s="21">
        <v>724</v>
      </c>
      <c r="B530" s="22" t="s">
        <v>15368</v>
      </c>
      <c r="C530" s="22" t="s">
        <v>13249</v>
      </c>
      <c r="D530" s="23">
        <v>327994</v>
      </c>
      <c r="E530" s="24">
        <v>1997</v>
      </c>
      <c r="F530" s="22" t="s">
        <v>13263</v>
      </c>
      <c r="G530" s="23" t="s">
        <v>13264</v>
      </c>
      <c r="H530" s="25" t="s">
        <v>15373</v>
      </c>
      <c r="I530" s="22" t="s">
        <v>15374</v>
      </c>
      <c r="J530" s="22" t="s">
        <v>15420</v>
      </c>
      <c r="K530" s="26">
        <f t="shared" si="8"/>
        <v>1100</v>
      </c>
      <c r="L530" s="26">
        <v>1100</v>
      </c>
      <c r="O530" s="22" t="s">
        <v>13253</v>
      </c>
      <c r="P530" s="22" t="s">
        <v>16901</v>
      </c>
      <c r="Q530" s="22" t="s">
        <v>13254</v>
      </c>
      <c r="R530" s="22" t="s">
        <v>13255</v>
      </c>
      <c r="S530" s="22" t="s">
        <v>13256</v>
      </c>
      <c r="T530" s="22">
        <v>8.17</v>
      </c>
      <c r="U530" s="22">
        <v>0.38</v>
      </c>
      <c r="X530" s="26"/>
      <c r="Y530" s="26"/>
    </row>
    <row r="531" spans="1:25" ht="25" x14ac:dyDescent="0.25">
      <c r="A531" s="21">
        <v>725</v>
      </c>
      <c r="B531" s="22" t="s">
        <v>15368</v>
      </c>
      <c r="C531" s="22" t="s">
        <v>13265</v>
      </c>
      <c r="D531" s="23">
        <v>245876</v>
      </c>
      <c r="E531" s="24">
        <v>1991</v>
      </c>
      <c r="F531" s="22" t="s">
        <v>13266</v>
      </c>
      <c r="G531" s="23" t="s">
        <v>13267</v>
      </c>
      <c r="H531" s="25" t="s">
        <v>15373</v>
      </c>
      <c r="I531" s="22" t="s">
        <v>15374</v>
      </c>
      <c r="J531" s="22" t="s">
        <v>16856</v>
      </c>
      <c r="K531" s="26">
        <f t="shared" si="8"/>
        <v>733.33333333333326</v>
      </c>
      <c r="N531" s="26">
        <v>1100</v>
      </c>
      <c r="O531" s="22" t="s">
        <v>13268</v>
      </c>
      <c r="P531" s="22" t="s">
        <v>15376</v>
      </c>
      <c r="Q531" s="22">
        <v>90045</v>
      </c>
      <c r="R531" s="22" t="s">
        <v>13269</v>
      </c>
      <c r="S531" s="22" t="s">
        <v>13270</v>
      </c>
      <c r="T531" s="22">
        <v>8.17</v>
      </c>
      <c r="U531" s="22">
        <v>0.38</v>
      </c>
      <c r="X531" s="26"/>
      <c r="Y531" s="26"/>
    </row>
    <row r="532" spans="1:25" ht="37.5" x14ac:dyDescent="0.25">
      <c r="A532" s="21">
        <v>730</v>
      </c>
      <c r="B532" s="22" t="s">
        <v>15368</v>
      </c>
      <c r="C532" s="22" t="s">
        <v>13271</v>
      </c>
      <c r="D532" s="23">
        <v>279326</v>
      </c>
      <c r="E532" s="24">
        <v>1993</v>
      </c>
      <c r="F532" s="22" t="s">
        <v>13275</v>
      </c>
      <c r="G532" s="23" t="s">
        <v>13276</v>
      </c>
      <c r="H532" s="25" t="s">
        <v>15373</v>
      </c>
      <c r="I532" s="22" t="s">
        <v>15411</v>
      </c>
      <c r="J532" s="22" t="s">
        <v>13277</v>
      </c>
      <c r="K532" s="26">
        <f t="shared" si="8"/>
        <v>1440.6666666666665</v>
      </c>
      <c r="N532" s="26">
        <v>2161</v>
      </c>
      <c r="O532" s="22" t="s">
        <v>13278</v>
      </c>
      <c r="P532" s="22" t="s">
        <v>15376</v>
      </c>
      <c r="Q532" s="22" t="s">
        <v>13279</v>
      </c>
      <c r="R532" s="22" t="s">
        <v>13280</v>
      </c>
      <c r="S532" s="22" t="s">
        <v>13281</v>
      </c>
      <c r="T532" s="22">
        <v>8.17</v>
      </c>
      <c r="U532" s="22">
        <v>0.38</v>
      </c>
      <c r="X532" s="26"/>
      <c r="Y532" s="26"/>
    </row>
    <row r="533" spans="1:25" ht="37.5" x14ac:dyDescent="0.25">
      <c r="A533" s="21">
        <v>731</v>
      </c>
      <c r="B533" s="22" t="s">
        <v>15368</v>
      </c>
      <c r="C533" s="22" t="s">
        <v>13271</v>
      </c>
      <c r="D533" s="23">
        <v>279327</v>
      </c>
      <c r="E533" s="24">
        <v>1993</v>
      </c>
      <c r="F533" s="22" t="s">
        <v>13282</v>
      </c>
      <c r="G533" s="23" t="s">
        <v>13283</v>
      </c>
      <c r="H533" s="25" t="s">
        <v>15373</v>
      </c>
      <c r="I533" s="22" t="s">
        <v>15411</v>
      </c>
      <c r="J533" s="22" t="s">
        <v>13277</v>
      </c>
      <c r="K533" s="26">
        <f t="shared" si="8"/>
        <v>1440.6666666666665</v>
      </c>
      <c r="N533" s="26">
        <v>2161</v>
      </c>
      <c r="O533" s="22" t="s">
        <v>13278</v>
      </c>
      <c r="P533" s="22" t="s">
        <v>15376</v>
      </c>
      <c r="Q533" s="22" t="s">
        <v>13279</v>
      </c>
      <c r="R533" s="22" t="s">
        <v>13280</v>
      </c>
      <c r="S533" s="22" t="s">
        <v>13281</v>
      </c>
      <c r="T533" s="22">
        <v>8.17</v>
      </c>
      <c r="U533" s="22">
        <v>0.38</v>
      </c>
      <c r="X533" s="26"/>
      <c r="Y533" s="26"/>
    </row>
    <row r="534" spans="1:25" ht="37.5" x14ac:dyDescent="0.25">
      <c r="A534" s="21">
        <v>732</v>
      </c>
      <c r="B534" s="22" t="s">
        <v>15368</v>
      </c>
      <c r="C534" s="22" t="s">
        <v>13271</v>
      </c>
      <c r="D534" s="23">
        <v>279328</v>
      </c>
      <c r="E534" s="24">
        <v>1993</v>
      </c>
      <c r="F534" s="22" t="s">
        <v>13284</v>
      </c>
      <c r="G534" s="23" t="s">
        <v>13285</v>
      </c>
      <c r="H534" s="25" t="s">
        <v>15373</v>
      </c>
      <c r="I534" s="22" t="s">
        <v>15411</v>
      </c>
      <c r="J534" s="22" t="s">
        <v>13277</v>
      </c>
      <c r="K534" s="26">
        <f t="shared" si="8"/>
        <v>1440.6666666666665</v>
      </c>
      <c r="N534" s="26">
        <v>2161</v>
      </c>
      <c r="O534" s="22" t="s">
        <v>13278</v>
      </c>
      <c r="P534" s="22" t="s">
        <v>15376</v>
      </c>
      <c r="Q534" s="22" t="s">
        <v>13279</v>
      </c>
      <c r="R534" s="22" t="s">
        <v>13280</v>
      </c>
      <c r="S534" s="22" t="s">
        <v>13281</v>
      </c>
      <c r="T534" s="22">
        <v>8.17</v>
      </c>
      <c r="U534" s="22">
        <v>0.38</v>
      </c>
      <c r="X534" s="26"/>
      <c r="Y534" s="26"/>
    </row>
    <row r="535" spans="1:25" ht="37.5" x14ac:dyDescent="0.25">
      <c r="A535" s="21">
        <v>734</v>
      </c>
      <c r="B535" s="22" t="s">
        <v>15368</v>
      </c>
      <c r="C535" s="22" t="s">
        <v>13271</v>
      </c>
      <c r="D535" s="23">
        <v>329296</v>
      </c>
      <c r="E535" s="24">
        <v>1997</v>
      </c>
      <c r="F535" s="22" t="s">
        <v>13286</v>
      </c>
      <c r="G535" s="23" t="s">
        <v>13287</v>
      </c>
      <c r="H535" s="25" t="s">
        <v>15373</v>
      </c>
      <c r="I535" s="22" t="s">
        <v>15411</v>
      </c>
      <c r="J535" s="22" t="s">
        <v>15877</v>
      </c>
      <c r="K535" s="26">
        <f t="shared" si="8"/>
        <v>428.66666666666663</v>
      </c>
      <c r="N535" s="26">
        <v>643</v>
      </c>
      <c r="O535" s="22" t="s">
        <v>13288</v>
      </c>
      <c r="P535" s="22" t="s">
        <v>15376</v>
      </c>
      <c r="Q535" s="22">
        <v>90014</v>
      </c>
      <c r="R535" s="22" t="s">
        <v>13289</v>
      </c>
      <c r="S535" s="22" t="s">
        <v>13290</v>
      </c>
      <c r="T535" s="22">
        <v>6.9</v>
      </c>
      <c r="U535" s="22">
        <v>0.4</v>
      </c>
      <c r="X535" s="26"/>
      <c r="Y535" s="26"/>
    </row>
    <row r="536" spans="1:25" ht="37.5" x14ac:dyDescent="0.25">
      <c r="A536" s="21">
        <v>735</v>
      </c>
      <c r="B536" s="22" t="s">
        <v>15368</v>
      </c>
      <c r="C536" s="22" t="s">
        <v>13271</v>
      </c>
      <c r="D536" s="23">
        <v>329297</v>
      </c>
      <c r="E536" s="24">
        <v>1997</v>
      </c>
      <c r="F536" s="22" t="s">
        <v>13291</v>
      </c>
      <c r="G536" s="23" t="s">
        <v>13292</v>
      </c>
      <c r="H536" s="25" t="s">
        <v>15373</v>
      </c>
      <c r="I536" s="22" t="s">
        <v>15411</v>
      </c>
      <c r="J536" s="22" t="s">
        <v>15877</v>
      </c>
      <c r="K536" s="26">
        <f t="shared" si="8"/>
        <v>428.66666666666663</v>
      </c>
      <c r="N536" s="26">
        <v>643</v>
      </c>
      <c r="O536" s="22" t="s">
        <v>13288</v>
      </c>
      <c r="P536" s="22" t="s">
        <v>15376</v>
      </c>
      <c r="Q536" s="22" t="s">
        <v>13293</v>
      </c>
      <c r="R536" s="22" t="s">
        <v>13289</v>
      </c>
      <c r="S536" s="22" t="s">
        <v>13290</v>
      </c>
      <c r="T536" s="22">
        <v>6.9</v>
      </c>
      <c r="U536" s="22">
        <v>0.4</v>
      </c>
      <c r="X536" s="26"/>
      <c r="Y536" s="26"/>
    </row>
    <row r="537" spans="1:25" ht="37.5" x14ac:dyDescent="0.25">
      <c r="A537" s="21">
        <v>736</v>
      </c>
      <c r="B537" s="22" t="s">
        <v>15368</v>
      </c>
      <c r="C537" s="22" t="s">
        <v>13271</v>
      </c>
      <c r="D537" s="23">
        <v>329298</v>
      </c>
      <c r="E537" s="24">
        <v>1997</v>
      </c>
      <c r="F537" s="22" t="s">
        <v>13294</v>
      </c>
      <c r="G537" s="23" t="s">
        <v>14436</v>
      </c>
      <c r="H537" s="25" t="s">
        <v>15373</v>
      </c>
      <c r="I537" s="22" t="s">
        <v>15411</v>
      </c>
      <c r="J537" s="22" t="s">
        <v>15877</v>
      </c>
      <c r="K537" s="26">
        <f t="shared" si="8"/>
        <v>428.66666666666663</v>
      </c>
      <c r="N537" s="26">
        <v>643</v>
      </c>
      <c r="O537" s="22" t="s">
        <v>13288</v>
      </c>
      <c r="P537" s="22" t="s">
        <v>15376</v>
      </c>
      <c r="Q537" s="22" t="s">
        <v>13293</v>
      </c>
      <c r="R537" s="22" t="s">
        <v>13289</v>
      </c>
      <c r="S537" s="22" t="s">
        <v>13290</v>
      </c>
      <c r="T537" s="22">
        <v>6.9</v>
      </c>
      <c r="U537" s="22">
        <v>0.4</v>
      </c>
      <c r="X537" s="26"/>
      <c r="Y537" s="26"/>
    </row>
    <row r="538" spans="1:25" ht="37.5" x14ac:dyDescent="0.25">
      <c r="A538" s="21">
        <v>737</v>
      </c>
      <c r="B538" s="22" t="s">
        <v>15368</v>
      </c>
      <c r="C538" s="22" t="s">
        <v>13271</v>
      </c>
      <c r="D538" s="23">
        <v>330994</v>
      </c>
      <c r="E538" s="24">
        <v>1997</v>
      </c>
      <c r="F538" s="22" t="s">
        <v>14437</v>
      </c>
      <c r="G538" s="23" t="s">
        <v>14438</v>
      </c>
      <c r="H538" s="25" t="s">
        <v>15373</v>
      </c>
      <c r="I538" s="22" t="s">
        <v>15411</v>
      </c>
      <c r="J538" s="22" t="s">
        <v>15877</v>
      </c>
      <c r="K538" s="26">
        <f t="shared" si="8"/>
        <v>428.66666666666663</v>
      </c>
      <c r="N538" s="26">
        <v>643</v>
      </c>
      <c r="O538" s="22" t="s">
        <v>14439</v>
      </c>
      <c r="P538" s="22" t="s">
        <v>15376</v>
      </c>
      <c r="Q538" s="22" t="s">
        <v>14440</v>
      </c>
      <c r="R538" s="22" t="s">
        <v>14441</v>
      </c>
      <c r="S538" s="22" t="s">
        <v>14442</v>
      </c>
      <c r="T538" s="22">
        <v>6.9</v>
      </c>
      <c r="U538" s="22">
        <v>0.4</v>
      </c>
      <c r="X538" s="26"/>
      <c r="Y538" s="26"/>
    </row>
    <row r="539" spans="1:25" ht="25" x14ac:dyDescent="0.25">
      <c r="A539" s="21">
        <v>738</v>
      </c>
      <c r="B539" s="22" t="s">
        <v>15368</v>
      </c>
      <c r="C539" s="22" t="s">
        <v>13271</v>
      </c>
      <c r="D539" s="23">
        <v>346440</v>
      </c>
      <c r="E539" s="24">
        <v>1998</v>
      </c>
      <c r="F539" s="22" t="s">
        <v>14443</v>
      </c>
      <c r="G539" s="23" t="s">
        <v>14444</v>
      </c>
      <c r="H539" s="25" t="s">
        <v>15373</v>
      </c>
      <c r="I539" s="22" t="s">
        <v>15411</v>
      </c>
      <c r="J539" s="22" t="s">
        <v>16276</v>
      </c>
      <c r="K539" s="26">
        <f t="shared" si="8"/>
        <v>378.66666666666663</v>
      </c>
      <c r="N539" s="26">
        <v>568</v>
      </c>
      <c r="O539" s="22" t="s">
        <v>14445</v>
      </c>
      <c r="P539" s="22" t="s">
        <v>15376</v>
      </c>
      <c r="Q539" s="22">
        <v>90066</v>
      </c>
      <c r="R539" s="22" t="s">
        <v>14441</v>
      </c>
      <c r="S539" s="22" t="s">
        <v>14442</v>
      </c>
      <c r="T539" s="22">
        <v>6.9</v>
      </c>
      <c r="U539" s="22">
        <v>0.4</v>
      </c>
      <c r="X539" s="26"/>
      <c r="Y539" s="26"/>
    </row>
    <row r="540" spans="1:25" ht="37.5" x14ac:dyDescent="0.25">
      <c r="A540" s="21">
        <v>739</v>
      </c>
      <c r="B540" s="22" t="s">
        <v>15368</v>
      </c>
      <c r="C540" s="22" t="s">
        <v>13271</v>
      </c>
      <c r="D540" s="23">
        <v>350204</v>
      </c>
      <c r="E540" s="24">
        <v>1998</v>
      </c>
      <c r="F540" s="22" t="s">
        <v>14446</v>
      </c>
      <c r="G540" s="23" t="s">
        <v>14447</v>
      </c>
      <c r="H540" s="25" t="s">
        <v>15373</v>
      </c>
      <c r="I540" s="22" t="s">
        <v>15411</v>
      </c>
      <c r="J540" s="22" t="s">
        <v>15877</v>
      </c>
      <c r="K540" s="26">
        <f t="shared" si="8"/>
        <v>428.66666666666663</v>
      </c>
      <c r="N540" s="26">
        <v>643</v>
      </c>
      <c r="O540" s="22" t="s">
        <v>14448</v>
      </c>
      <c r="P540" s="22" t="s">
        <v>15376</v>
      </c>
      <c r="Q540" s="22" t="s">
        <v>14449</v>
      </c>
      <c r="R540" s="22" t="s">
        <v>14450</v>
      </c>
      <c r="S540" s="22" t="s">
        <v>14442</v>
      </c>
      <c r="T540" s="22">
        <v>6.9</v>
      </c>
      <c r="U540" s="22">
        <v>0.4</v>
      </c>
      <c r="X540" s="26"/>
      <c r="Y540" s="26"/>
    </row>
    <row r="541" spans="1:25" ht="37.5" x14ac:dyDescent="0.25">
      <c r="A541" s="21">
        <v>740</v>
      </c>
      <c r="B541" s="22" t="s">
        <v>15368</v>
      </c>
      <c r="C541" s="22" t="s">
        <v>13271</v>
      </c>
      <c r="D541" s="23">
        <v>359649</v>
      </c>
      <c r="E541" s="24">
        <v>1999</v>
      </c>
      <c r="F541" s="22" t="s">
        <v>14451</v>
      </c>
      <c r="G541" s="23" t="s">
        <v>14452</v>
      </c>
      <c r="H541" s="25" t="s">
        <v>15373</v>
      </c>
      <c r="I541" s="22" t="s">
        <v>15374</v>
      </c>
      <c r="J541" s="22" t="s">
        <v>15420</v>
      </c>
      <c r="K541" s="26">
        <f t="shared" si="8"/>
        <v>1250</v>
      </c>
      <c r="L541" s="26">
        <v>1250</v>
      </c>
      <c r="O541" s="22" t="s">
        <v>13272</v>
      </c>
      <c r="P541" s="22" t="s">
        <v>15376</v>
      </c>
      <c r="Q541" s="22">
        <v>90012</v>
      </c>
      <c r="R541" s="22" t="s">
        <v>13273</v>
      </c>
      <c r="S541" s="22" t="s">
        <v>13274</v>
      </c>
      <c r="T541" s="22">
        <v>8.17</v>
      </c>
      <c r="U541" s="22">
        <v>0.38</v>
      </c>
      <c r="X541" s="26"/>
      <c r="Y541" s="26"/>
    </row>
    <row r="542" spans="1:25" ht="37.5" x14ac:dyDescent="0.25">
      <c r="A542" s="21">
        <v>741</v>
      </c>
      <c r="B542" s="22" t="s">
        <v>15368</v>
      </c>
      <c r="C542" s="22" t="s">
        <v>13271</v>
      </c>
      <c r="D542" s="23">
        <v>362390</v>
      </c>
      <c r="E542" s="24">
        <v>1999</v>
      </c>
      <c r="F542" s="22" t="s">
        <v>14453</v>
      </c>
      <c r="G542" s="23" t="s">
        <v>14454</v>
      </c>
      <c r="H542" s="25" t="s">
        <v>15373</v>
      </c>
      <c r="I542" s="22" t="s">
        <v>15374</v>
      </c>
      <c r="J542" s="22" t="s">
        <v>15677</v>
      </c>
      <c r="K542" s="26">
        <f t="shared" si="8"/>
        <v>2000</v>
      </c>
      <c r="L542" s="26">
        <v>2000</v>
      </c>
      <c r="O542" s="22" t="s">
        <v>14455</v>
      </c>
      <c r="P542" s="22" t="s">
        <v>15376</v>
      </c>
      <c r="Q542" s="22">
        <v>90061</v>
      </c>
      <c r="R542" s="22" t="s">
        <v>14456</v>
      </c>
      <c r="S542" s="22" t="s">
        <v>14457</v>
      </c>
      <c r="T542" s="22">
        <v>8.17</v>
      </c>
      <c r="U542" s="22">
        <v>0.38</v>
      </c>
      <c r="X542" s="26"/>
      <c r="Y542" s="26"/>
    </row>
    <row r="543" spans="1:25" ht="37.5" x14ac:dyDescent="0.25">
      <c r="A543" s="21">
        <v>742</v>
      </c>
      <c r="B543" s="22" t="s">
        <v>15368</v>
      </c>
      <c r="C543" s="22" t="s">
        <v>13271</v>
      </c>
      <c r="D543" s="23">
        <v>362391</v>
      </c>
      <c r="E543" s="24">
        <v>1999</v>
      </c>
      <c r="F543" s="22" t="s">
        <v>14458</v>
      </c>
      <c r="G543" s="23" t="s">
        <v>14454</v>
      </c>
      <c r="H543" s="25" t="s">
        <v>15373</v>
      </c>
      <c r="I543" s="22" t="s">
        <v>15374</v>
      </c>
      <c r="J543" s="22" t="s">
        <v>15677</v>
      </c>
      <c r="K543" s="26">
        <f t="shared" si="8"/>
        <v>2000</v>
      </c>
      <c r="L543" s="26">
        <v>2000</v>
      </c>
      <c r="O543" s="22" t="s">
        <v>14455</v>
      </c>
      <c r="P543" s="22" t="s">
        <v>15376</v>
      </c>
      <c r="Q543" s="22">
        <v>90061</v>
      </c>
      <c r="R543" s="22" t="s">
        <v>14456</v>
      </c>
      <c r="S543" s="22" t="s">
        <v>14457</v>
      </c>
      <c r="T543" s="22">
        <v>8.17</v>
      </c>
      <c r="U543" s="22">
        <v>0.38</v>
      </c>
      <c r="X543" s="26"/>
      <c r="Y543" s="26"/>
    </row>
    <row r="544" spans="1:25" ht="37.5" x14ac:dyDescent="0.25">
      <c r="A544" s="21">
        <v>743</v>
      </c>
      <c r="B544" s="22" t="s">
        <v>15368</v>
      </c>
      <c r="C544" s="22" t="s">
        <v>13271</v>
      </c>
      <c r="D544" s="23">
        <v>362392</v>
      </c>
      <c r="E544" s="24">
        <v>1999</v>
      </c>
      <c r="F544" s="22" t="s">
        <v>14459</v>
      </c>
      <c r="G544" s="23" t="s">
        <v>14454</v>
      </c>
      <c r="H544" s="25" t="s">
        <v>15373</v>
      </c>
      <c r="I544" s="22" t="s">
        <v>15374</v>
      </c>
      <c r="J544" s="22" t="s">
        <v>15677</v>
      </c>
      <c r="K544" s="26">
        <f t="shared" si="8"/>
        <v>2000</v>
      </c>
      <c r="L544" s="26">
        <v>2000</v>
      </c>
      <c r="O544" s="22" t="s">
        <v>14455</v>
      </c>
      <c r="P544" s="22" t="s">
        <v>15376</v>
      </c>
      <c r="Q544" s="22">
        <v>90061</v>
      </c>
      <c r="R544" s="22" t="s">
        <v>14456</v>
      </c>
      <c r="S544" s="22" t="s">
        <v>14457</v>
      </c>
      <c r="T544" s="22">
        <v>8.17</v>
      </c>
      <c r="U544" s="22">
        <v>0.38</v>
      </c>
      <c r="X544" s="26"/>
      <c r="Y544" s="26"/>
    </row>
    <row r="545" spans="1:25" ht="25" x14ac:dyDescent="0.25">
      <c r="A545" s="21">
        <v>745</v>
      </c>
      <c r="B545" s="22" t="s">
        <v>15368</v>
      </c>
      <c r="C545" s="22" t="s">
        <v>14460</v>
      </c>
      <c r="D545" s="23">
        <v>316367</v>
      </c>
      <c r="E545" s="24">
        <v>1996</v>
      </c>
      <c r="F545" s="22" t="s">
        <v>14461</v>
      </c>
      <c r="G545" s="23" t="s">
        <v>14462</v>
      </c>
      <c r="H545" s="25" t="s">
        <v>15373</v>
      </c>
      <c r="I545" s="22" t="s">
        <v>15374</v>
      </c>
      <c r="J545" s="22" t="s">
        <v>15701</v>
      </c>
      <c r="K545" s="26">
        <f t="shared" si="8"/>
        <v>400</v>
      </c>
      <c r="L545" s="26">
        <v>400</v>
      </c>
      <c r="O545" s="22" t="s">
        <v>14463</v>
      </c>
      <c r="P545" s="22" t="s">
        <v>15376</v>
      </c>
      <c r="Q545" s="22">
        <v>90011</v>
      </c>
      <c r="R545" s="22" t="s">
        <v>14441</v>
      </c>
      <c r="S545" s="22" t="s">
        <v>14442</v>
      </c>
      <c r="T545" s="22">
        <v>6.9</v>
      </c>
      <c r="U545" s="22">
        <v>0.4</v>
      </c>
      <c r="X545" s="26"/>
      <c r="Y545" s="26"/>
    </row>
    <row r="546" spans="1:25" ht="25" x14ac:dyDescent="0.25">
      <c r="A546" s="21">
        <v>746</v>
      </c>
      <c r="B546" s="22" t="s">
        <v>15368</v>
      </c>
      <c r="C546" s="22" t="s">
        <v>14464</v>
      </c>
      <c r="D546" s="23">
        <v>322160</v>
      </c>
      <c r="E546" s="24">
        <v>1996</v>
      </c>
      <c r="F546" s="22" t="s">
        <v>14465</v>
      </c>
      <c r="G546" s="23" t="s">
        <v>14466</v>
      </c>
      <c r="H546" s="25" t="s">
        <v>15373</v>
      </c>
      <c r="I546" s="22" t="s">
        <v>15411</v>
      </c>
      <c r="J546" s="22" t="s">
        <v>14467</v>
      </c>
      <c r="K546" s="26">
        <f t="shared" si="8"/>
        <v>1516.6666666666665</v>
      </c>
      <c r="N546" s="26">
        <v>2275</v>
      </c>
      <c r="O546" s="22" t="s">
        <v>14468</v>
      </c>
      <c r="P546" s="22" t="s">
        <v>15376</v>
      </c>
      <c r="Q546" s="22">
        <v>90012</v>
      </c>
      <c r="R546" s="22" t="s">
        <v>14469</v>
      </c>
      <c r="S546" s="22" t="s">
        <v>14470</v>
      </c>
      <c r="T546" s="22">
        <v>8.17</v>
      </c>
      <c r="U546" s="22">
        <v>0.38</v>
      </c>
      <c r="X546" s="26"/>
      <c r="Y546" s="26"/>
    </row>
    <row r="547" spans="1:25" ht="37.5" x14ac:dyDescent="0.25">
      <c r="A547" s="21">
        <v>747</v>
      </c>
      <c r="B547" s="22" t="s">
        <v>15368</v>
      </c>
      <c r="C547" s="22" t="s">
        <v>14471</v>
      </c>
      <c r="D547" s="23">
        <v>134734</v>
      </c>
      <c r="E547" s="24">
        <v>1985</v>
      </c>
      <c r="F547" s="22" t="s">
        <v>14472</v>
      </c>
      <c r="G547" s="23" t="s">
        <v>14473</v>
      </c>
      <c r="H547" s="25" t="s">
        <v>15373</v>
      </c>
      <c r="I547" s="22" t="s">
        <v>15382</v>
      </c>
      <c r="J547" s="22" t="s">
        <v>14474</v>
      </c>
      <c r="K547" s="26">
        <f t="shared" si="8"/>
        <v>466.66666666666663</v>
      </c>
      <c r="N547" s="26">
        <v>700</v>
      </c>
      <c r="O547" s="22" t="s">
        <v>14475</v>
      </c>
      <c r="P547" s="22" t="s">
        <v>14476</v>
      </c>
      <c r="Q547" s="22">
        <v>90293</v>
      </c>
      <c r="R547" s="22" t="s">
        <v>14477</v>
      </c>
      <c r="S547" s="22" t="s">
        <v>14322</v>
      </c>
      <c r="T547" s="22">
        <v>11</v>
      </c>
      <c r="U547" s="22">
        <v>0.53</v>
      </c>
      <c r="X547" s="26"/>
      <c r="Y547" s="26"/>
    </row>
    <row r="548" spans="1:25" ht="37.5" x14ac:dyDescent="0.25">
      <c r="A548" s="21">
        <v>748</v>
      </c>
      <c r="B548" s="22" t="s">
        <v>15368</v>
      </c>
      <c r="C548" s="22" t="s">
        <v>14478</v>
      </c>
      <c r="D548" s="23">
        <v>207187</v>
      </c>
      <c r="E548" s="24">
        <v>1989</v>
      </c>
      <c r="F548" s="22" t="s">
        <v>14479</v>
      </c>
      <c r="G548" s="23" t="s">
        <v>14480</v>
      </c>
      <c r="H548" s="25" t="s">
        <v>15373</v>
      </c>
      <c r="I548" s="22" t="s">
        <v>15374</v>
      </c>
      <c r="J548" s="22">
        <v>3516</v>
      </c>
      <c r="K548" s="26">
        <f t="shared" si="8"/>
        <v>1750</v>
      </c>
      <c r="L548" s="26">
        <v>1750</v>
      </c>
      <c r="O548" s="22" t="s">
        <v>14481</v>
      </c>
      <c r="P548" s="22" t="s">
        <v>14476</v>
      </c>
      <c r="Q548" s="22" t="s">
        <v>14482</v>
      </c>
      <c r="R548" s="22" t="s">
        <v>14483</v>
      </c>
      <c r="S548" s="22" t="s">
        <v>14484</v>
      </c>
      <c r="T548" s="22">
        <v>8.17</v>
      </c>
      <c r="U548" s="22">
        <v>0.38</v>
      </c>
      <c r="X548" s="26"/>
      <c r="Y548" s="26"/>
    </row>
    <row r="549" spans="1:25" ht="37.5" x14ac:dyDescent="0.25">
      <c r="A549" s="21">
        <v>749</v>
      </c>
      <c r="B549" s="22" t="s">
        <v>15368</v>
      </c>
      <c r="C549" s="22" t="s">
        <v>14478</v>
      </c>
      <c r="D549" s="23">
        <v>207188</v>
      </c>
      <c r="E549" s="24">
        <v>1989</v>
      </c>
      <c r="F549" s="22" t="s">
        <v>14485</v>
      </c>
      <c r="G549" s="23" t="s">
        <v>14486</v>
      </c>
      <c r="H549" s="25" t="s">
        <v>15373</v>
      </c>
      <c r="I549" s="22" t="s">
        <v>15374</v>
      </c>
      <c r="J549" s="22">
        <v>3516</v>
      </c>
      <c r="K549" s="26">
        <f t="shared" si="8"/>
        <v>1750</v>
      </c>
      <c r="L549" s="26">
        <v>1750</v>
      </c>
      <c r="O549" s="22" t="s">
        <v>14481</v>
      </c>
      <c r="P549" s="22" t="s">
        <v>14476</v>
      </c>
      <c r="Q549" s="22" t="s">
        <v>14482</v>
      </c>
      <c r="R549" s="22" t="s">
        <v>14483</v>
      </c>
      <c r="S549" s="22" t="s">
        <v>14484</v>
      </c>
      <c r="T549" s="22">
        <v>8.17</v>
      </c>
      <c r="U549" s="22">
        <v>0.38</v>
      </c>
      <c r="X549" s="26"/>
      <c r="Y549" s="26"/>
    </row>
    <row r="550" spans="1:25" ht="25" x14ac:dyDescent="0.25">
      <c r="A550" s="21">
        <v>750</v>
      </c>
      <c r="B550" s="22" t="s">
        <v>15368</v>
      </c>
      <c r="C550" s="22" t="s">
        <v>14478</v>
      </c>
      <c r="D550" s="23">
        <v>330359</v>
      </c>
      <c r="E550" s="24">
        <v>1997</v>
      </c>
      <c r="F550" s="22" t="s">
        <v>14487</v>
      </c>
      <c r="G550" s="23" t="s">
        <v>14488</v>
      </c>
      <c r="H550" s="25" t="s">
        <v>15373</v>
      </c>
      <c r="I550" s="22" t="s">
        <v>15374</v>
      </c>
      <c r="J550" s="22">
        <v>3516</v>
      </c>
      <c r="K550" s="26">
        <f t="shared" si="8"/>
        <v>1434</v>
      </c>
      <c r="N550" s="26">
        <v>2151</v>
      </c>
      <c r="O550" s="22" t="s">
        <v>14481</v>
      </c>
      <c r="P550" s="22" t="s">
        <v>14476</v>
      </c>
      <c r="Q550" s="22" t="s">
        <v>14482</v>
      </c>
      <c r="R550" s="22" t="s">
        <v>14483</v>
      </c>
      <c r="S550" s="22" t="s">
        <v>14484</v>
      </c>
      <c r="T550" s="22">
        <v>8.17</v>
      </c>
      <c r="U550" s="22">
        <v>0.38</v>
      </c>
      <c r="X550" s="26"/>
      <c r="Y550" s="26"/>
    </row>
    <row r="551" spans="1:25" ht="37.5" x14ac:dyDescent="0.25">
      <c r="A551" s="21">
        <v>751</v>
      </c>
      <c r="B551" s="22" t="s">
        <v>15368</v>
      </c>
      <c r="C551" s="22" t="s">
        <v>14489</v>
      </c>
      <c r="D551" s="23">
        <v>377215</v>
      </c>
      <c r="E551" s="24">
        <v>2000</v>
      </c>
      <c r="F551" s="22" t="s">
        <v>14490</v>
      </c>
      <c r="G551" s="23" t="s">
        <v>14491</v>
      </c>
      <c r="H551" s="25" t="s">
        <v>15373</v>
      </c>
      <c r="I551" s="22" t="s">
        <v>15411</v>
      </c>
      <c r="J551" s="22" t="s">
        <v>14492</v>
      </c>
      <c r="K551" s="26">
        <f t="shared" si="8"/>
        <v>895</v>
      </c>
      <c r="L551" s="26">
        <v>895</v>
      </c>
      <c r="O551" s="22" t="s">
        <v>14493</v>
      </c>
      <c r="P551" s="22" t="s">
        <v>15376</v>
      </c>
      <c r="Q551" s="22">
        <v>90012</v>
      </c>
      <c r="R551" s="22" t="s">
        <v>14494</v>
      </c>
      <c r="S551" s="22" t="s">
        <v>14495</v>
      </c>
      <c r="T551" s="22">
        <v>6.9</v>
      </c>
      <c r="U551" s="22">
        <v>0.4</v>
      </c>
      <c r="X551" s="26"/>
      <c r="Y551" s="26"/>
    </row>
    <row r="552" spans="1:25" ht="37.5" x14ac:dyDescent="0.25">
      <c r="A552" s="21">
        <v>752</v>
      </c>
      <c r="B552" s="22" t="s">
        <v>15368</v>
      </c>
      <c r="C552" s="22" t="s">
        <v>14496</v>
      </c>
      <c r="D552" s="23">
        <v>377214</v>
      </c>
      <c r="E552" s="24">
        <v>2000</v>
      </c>
      <c r="F552" s="22" t="s">
        <v>14497</v>
      </c>
      <c r="G552" s="23" t="s">
        <v>14498</v>
      </c>
      <c r="H552" s="25" t="s">
        <v>15373</v>
      </c>
      <c r="I552" s="22" t="s">
        <v>15411</v>
      </c>
      <c r="J552" s="22" t="s">
        <v>14492</v>
      </c>
      <c r="K552" s="26">
        <f t="shared" si="8"/>
        <v>895</v>
      </c>
      <c r="L552" s="26">
        <v>895</v>
      </c>
      <c r="O552" s="22" t="s">
        <v>14499</v>
      </c>
      <c r="P552" s="22" t="s">
        <v>15376</v>
      </c>
      <c r="Q552" s="22">
        <v>91304</v>
      </c>
      <c r="R552" s="22" t="s">
        <v>14494</v>
      </c>
      <c r="S552" s="22" t="s">
        <v>14495</v>
      </c>
      <c r="T552" s="22">
        <v>6.9</v>
      </c>
      <c r="U552" s="22">
        <v>0.4</v>
      </c>
      <c r="X552" s="26"/>
      <c r="Y552" s="26"/>
    </row>
    <row r="553" spans="1:25" ht="25" x14ac:dyDescent="0.25">
      <c r="A553" s="21">
        <v>753</v>
      </c>
      <c r="B553" s="22" t="s">
        <v>15368</v>
      </c>
      <c r="C553" s="22" t="s">
        <v>14500</v>
      </c>
      <c r="D553" s="23">
        <v>379365</v>
      </c>
      <c r="E553" s="24">
        <v>2001</v>
      </c>
      <c r="F553" s="22" t="s">
        <v>14501</v>
      </c>
      <c r="G553" s="23" t="s">
        <v>14502</v>
      </c>
      <c r="H553" s="25" t="s">
        <v>15373</v>
      </c>
      <c r="I553" s="22" t="s">
        <v>15374</v>
      </c>
      <c r="J553" s="22" t="s">
        <v>16869</v>
      </c>
      <c r="K553" s="26">
        <f t="shared" si="8"/>
        <v>593.33333333333326</v>
      </c>
      <c r="N553" s="26">
        <v>890</v>
      </c>
      <c r="O553" s="22" t="s">
        <v>14503</v>
      </c>
      <c r="P553" s="22" t="s">
        <v>16313</v>
      </c>
      <c r="Q553" s="22" t="s">
        <v>14504</v>
      </c>
      <c r="R553" s="22" t="s">
        <v>14505</v>
      </c>
      <c r="S553" s="22" t="s">
        <v>14506</v>
      </c>
      <c r="T553" s="22">
        <v>6.9</v>
      </c>
      <c r="U553" s="22">
        <v>0.4</v>
      </c>
      <c r="X553" s="26"/>
      <c r="Y553" s="26"/>
    </row>
    <row r="554" spans="1:25" ht="37.5" x14ac:dyDescent="0.25">
      <c r="A554" s="21">
        <v>754</v>
      </c>
      <c r="B554" s="22" t="s">
        <v>15368</v>
      </c>
      <c r="C554" s="22" t="s">
        <v>14500</v>
      </c>
      <c r="D554" s="23" t="s">
        <v>14507</v>
      </c>
      <c r="E554" s="24" t="s">
        <v>14508</v>
      </c>
      <c r="F554" s="22" t="s">
        <v>14509</v>
      </c>
      <c r="G554" s="23" t="s">
        <v>14510</v>
      </c>
      <c r="H554" s="25" t="s">
        <v>15373</v>
      </c>
      <c r="I554" s="22" t="s">
        <v>15411</v>
      </c>
      <c r="J554" s="22" t="s">
        <v>14404</v>
      </c>
      <c r="K554" s="26">
        <f t="shared" si="8"/>
        <v>1100</v>
      </c>
      <c r="L554" s="26">
        <v>1100</v>
      </c>
      <c r="O554" s="22" t="s">
        <v>14503</v>
      </c>
      <c r="P554" s="22" t="s">
        <v>16313</v>
      </c>
      <c r="Q554" s="22">
        <v>90731</v>
      </c>
      <c r="R554" s="22" t="s">
        <v>14505</v>
      </c>
      <c r="S554" s="22" t="s">
        <v>14506</v>
      </c>
      <c r="X554" s="26"/>
      <c r="Y554" s="26"/>
    </row>
    <row r="555" spans="1:25" ht="37.5" x14ac:dyDescent="0.25">
      <c r="A555" s="21">
        <v>757</v>
      </c>
      <c r="B555" s="22" t="s">
        <v>15368</v>
      </c>
      <c r="C555" s="22" t="s">
        <v>12243</v>
      </c>
      <c r="D555" s="23">
        <v>359537</v>
      </c>
      <c r="E555" s="24">
        <v>1999</v>
      </c>
      <c r="F555" s="22" t="s">
        <v>12247</v>
      </c>
      <c r="G555" s="23" t="s">
        <v>12248</v>
      </c>
      <c r="H555" s="25" t="s">
        <v>15373</v>
      </c>
      <c r="I555" s="22" t="s">
        <v>15374</v>
      </c>
      <c r="J555" s="22" t="s">
        <v>15677</v>
      </c>
      <c r="K555" s="26">
        <f t="shared" si="8"/>
        <v>2000</v>
      </c>
      <c r="L555" s="26">
        <v>2000</v>
      </c>
      <c r="O555" s="22" t="s">
        <v>12244</v>
      </c>
      <c r="P555" s="22" t="s">
        <v>15712</v>
      </c>
      <c r="Q555" s="22">
        <v>90509</v>
      </c>
      <c r="R555" s="22" t="s">
        <v>12245</v>
      </c>
      <c r="S555" s="22" t="s">
        <v>12246</v>
      </c>
      <c r="T555" s="22">
        <v>8.17</v>
      </c>
      <c r="U555" s="22">
        <v>0.38</v>
      </c>
      <c r="X555" s="26"/>
      <c r="Y555" s="26"/>
    </row>
    <row r="556" spans="1:25" ht="37.5" x14ac:dyDescent="0.25">
      <c r="A556" s="21">
        <v>758</v>
      </c>
      <c r="B556" s="22" t="s">
        <v>15368</v>
      </c>
      <c r="C556" s="22" t="s">
        <v>12243</v>
      </c>
      <c r="D556" s="23">
        <v>359538</v>
      </c>
      <c r="E556" s="24">
        <v>1999</v>
      </c>
      <c r="F556" s="22" t="s">
        <v>12249</v>
      </c>
      <c r="G556" s="23" t="s">
        <v>12248</v>
      </c>
      <c r="H556" s="25" t="s">
        <v>15373</v>
      </c>
      <c r="I556" s="22" t="s">
        <v>15374</v>
      </c>
      <c r="J556" s="22" t="s">
        <v>15677</v>
      </c>
      <c r="K556" s="26">
        <f t="shared" si="8"/>
        <v>2000</v>
      </c>
      <c r="L556" s="26">
        <v>2000</v>
      </c>
      <c r="O556" s="22" t="s">
        <v>12244</v>
      </c>
      <c r="P556" s="22" t="s">
        <v>15712</v>
      </c>
      <c r="Q556" s="22">
        <v>90509</v>
      </c>
      <c r="R556" s="22" t="s">
        <v>12245</v>
      </c>
      <c r="S556" s="22" t="s">
        <v>12246</v>
      </c>
      <c r="T556" s="22">
        <v>8.17</v>
      </c>
      <c r="U556" s="22">
        <v>0.38</v>
      </c>
      <c r="X556" s="26"/>
      <c r="Y556" s="26"/>
    </row>
    <row r="557" spans="1:25" ht="37.5" x14ac:dyDescent="0.25">
      <c r="A557" s="21">
        <v>759</v>
      </c>
      <c r="B557" s="22" t="s">
        <v>15368</v>
      </c>
      <c r="C557" s="22" t="s">
        <v>12243</v>
      </c>
      <c r="D557" s="23">
        <v>359539</v>
      </c>
      <c r="E557" s="24">
        <v>1999</v>
      </c>
      <c r="F557" s="22" t="s">
        <v>12250</v>
      </c>
      <c r="G557" s="23" t="s">
        <v>12248</v>
      </c>
      <c r="H557" s="25" t="s">
        <v>15373</v>
      </c>
      <c r="I557" s="22" t="s">
        <v>15374</v>
      </c>
      <c r="J557" s="22" t="s">
        <v>15677</v>
      </c>
      <c r="K557" s="26">
        <f t="shared" si="8"/>
        <v>2000</v>
      </c>
      <c r="L557" s="26">
        <v>2000</v>
      </c>
      <c r="O557" s="22" t="s">
        <v>12244</v>
      </c>
      <c r="P557" s="22" t="s">
        <v>15712</v>
      </c>
      <c r="Q557" s="22">
        <v>90509</v>
      </c>
      <c r="R557" s="22" t="s">
        <v>12245</v>
      </c>
      <c r="S557" s="22" t="s">
        <v>12246</v>
      </c>
      <c r="T557" s="22">
        <v>8.17</v>
      </c>
      <c r="U557" s="22">
        <v>0.38</v>
      </c>
      <c r="X557" s="26"/>
      <c r="Y557" s="26"/>
    </row>
    <row r="558" spans="1:25" ht="37.5" x14ac:dyDescent="0.25">
      <c r="A558" s="21">
        <v>760</v>
      </c>
      <c r="B558" s="22" t="s">
        <v>15368</v>
      </c>
      <c r="C558" s="22" t="s">
        <v>12243</v>
      </c>
      <c r="D558" s="23">
        <v>359540</v>
      </c>
      <c r="E558" s="24">
        <v>1999</v>
      </c>
      <c r="F558" s="22" t="s">
        <v>12251</v>
      </c>
      <c r="G558" s="23" t="s">
        <v>12248</v>
      </c>
      <c r="H558" s="25" t="s">
        <v>15373</v>
      </c>
      <c r="I558" s="22" t="s">
        <v>15374</v>
      </c>
      <c r="J558" s="22" t="s">
        <v>15677</v>
      </c>
      <c r="K558" s="26">
        <f t="shared" si="8"/>
        <v>2000</v>
      </c>
      <c r="L558" s="26">
        <v>2000</v>
      </c>
      <c r="O558" s="22" t="s">
        <v>12244</v>
      </c>
      <c r="P558" s="22" t="s">
        <v>15712</v>
      </c>
      <c r="Q558" s="22">
        <v>90509</v>
      </c>
      <c r="R558" s="22" t="s">
        <v>12245</v>
      </c>
      <c r="S558" s="22" t="s">
        <v>12246</v>
      </c>
      <c r="T558" s="22">
        <v>8.17</v>
      </c>
      <c r="U558" s="22">
        <v>0.38</v>
      </c>
      <c r="X558" s="26"/>
      <c r="Y558" s="26"/>
    </row>
    <row r="559" spans="1:25" ht="25" x14ac:dyDescent="0.25">
      <c r="A559" s="21">
        <v>761</v>
      </c>
      <c r="B559" s="22" t="s">
        <v>15368</v>
      </c>
      <c r="C559" s="22" t="s">
        <v>12252</v>
      </c>
      <c r="D559" s="23">
        <v>322747</v>
      </c>
      <c r="E559" s="24">
        <v>1996</v>
      </c>
      <c r="F559" s="22" t="s">
        <v>12253</v>
      </c>
      <c r="G559" s="23" t="s">
        <v>12254</v>
      </c>
      <c r="H559" s="25" t="s">
        <v>15373</v>
      </c>
      <c r="I559" s="22" t="s">
        <v>15374</v>
      </c>
      <c r="J559" s="22" t="s">
        <v>15677</v>
      </c>
      <c r="K559" s="26">
        <f t="shared" si="8"/>
        <v>1898</v>
      </c>
      <c r="N559" s="26">
        <v>2847</v>
      </c>
      <c r="O559" s="22" t="s">
        <v>12255</v>
      </c>
      <c r="P559" s="22" t="s">
        <v>15376</v>
      </c>
      <c r="Q559" s="22" t="s">
        <v>12256</v>
      </c>
      <c r="R559" s="22" t="s">
        <v>12257</v>
      </c>
      <c r="S559" s="22" t="s">
        <v>12258</v>
      </c>
      <c r="T559" s="22">
        <v>8.17</v>
      </c>
      <c r="U559" s="22">
        <v>0.38</v>
      </c>
      <c r="X559" s="26"/>
      <c r="Y559" s="26"/>
    </row>
    <row r="560" spans="1:25" ht="25" x14ac:dyDescent="0.25">
      <c r="A560" s="21">
        <v>762</v>
      </c>
      <c r="B560" s="22" t="s">
        <v>15368</v>
      </c>
      <c r="C560" s="22" t="s">
        <v>12252</v>
      </c>
      <c r="D560" s="23">
        <v>322761</v>
      </c>
      <c r="E560" s="24">
        <v>1996</v>
      </c>
      <c r="F560" s="22" t="s">
        <v>12259</v>
      </c>
      <c r="G560" s="23" t="s">
        <v>12254</v>
      </c>
      <c r="H560" s="25" t="s">
        <v>15373</v>
      </c>
      <c r="I560" s="22" t="s">
        <v>15374</v>
      </c>
      <c r="J560" s="22" t="s">
        <v>15677</v>
      </c>
      <c r="K560" s="26">
        <f t="shared" si="8"/>
        <v>1898</v>
      </c>
      <c r="N560" s="26">
        <v>2847</v>
      </c>
      <c r="O560" s="22" t="s">
        <v>12255</v>
      </c>
      <c r="P560" s="22" t="s">
        <v>15376</v>
      </c>
      <c r="Q560" s="22" t="s">
        <v>12256</v>
      </c>
      <c r="R560" s="22" t="s">
        <v>12257</v>
      </c>
      <c r="S560" s="22" t="s">
        <v>12258</v>
      </c>
      <c r="T560" s="22">
        <v>8.17</v>
      </c>
      <c r="U560" s="22">
        <v>0.38</v>
      </c>
      <c r="X560" s="26"/>
      <c r="Y560" s="26"/>
    </row>
    <row r="561" spans="1:25" ht="25" x14ac:dyDescent="0.25">
      <c r="A561" s="21">
        <v>763</v>
      </c>
      <c r="B561" s="22" t="s">
        <v>15368</v>
      </c>
      <c r="C561" s="22" t="s">
        <v>12252</v>
      </c>
      <c r="D561" s="23">
        <v>322762</v>
      </c>
      <c r="E561" s="24">
        <v>1996</v>
      </c>
      <c r="F561" s="22" t="s">
        <v>12260</v>
      </c>
      <c r="G561" s="23" t="s">
        <v>12261</v>
      </c>
      <c r="H561" s="25" t="s">
        <v>15373</v>
      </c>
      <c r="I561" s="22" t="s">
        <v>15411</v>
      </c>
      <c r="J561" s="22" t="s">
        <v>12262</v>
      </c>
      <c r="K561" s="26">
        <f t="shared" si="8"/>
        <v>1166.6666666666665</v>
      </c>
      <c r="N561" s="26">
        <v>1750</v>
      </c>
      <c r="O561" s="22" t="s">
        <v>12255</v>
      </c>
      <c r="P561" s="22" t="s">
        <v>15376</v>
      </c>
      <c r="Q561" s="22" t="s">
        <v>12256</v>
      </c>
      <c r="R561" s="22" t="s">
        <v>12257</v>
      </c>
      <c r="S561" s="22" t="s">
        <v>12258</v>
      </c>
      <c r="T561" s="22">
        <v>8.17</v>
      </c>
      <c r="U561" s="22">
        <v>0.38</v>
      </c>
      <c r="X561" s="26"/>
      <c r="Y561" s="26"/>
    </row>
    <row r="562" spans="1:25" ht="25" x14ac:dyDescent="0.25">
      <c r="A562" s="21">
        <v>764</v>
      </c>
      <c r="B562" s="22" t="s">
        <v>15368</v>
      </c>
      <c r="C562" s="22" t="s">
        <v>12252</v>
      </c>
      <c r="D562" s="23">
        <v>322763</v>
      </c>
      <c r="E562" s="24">
        <v>1996</v>
      </c>
      <c r="F562" s="22" t="s">
        <v>12263</v>
      </c>
      <c r="G562" s="23" t="s">
        <v>12264</v>
      </c>
      <c r="H562" s="25" t="s">
        <v>15373</v>
      </c>
      <c r="I562" s="22" t="s">
        <v>15411</v>
      </c>
      <c r="J562" s="22" t="s">
        <v>12262</v>
      </c>
      <c r="K562" s="26">
        <f t="shared" si="8"/>
        <v>1166.6666666666665</v>
      </c>
      <c r="N562" s="26">
        <v>1750</v>
      </c>
      <c r="O562" s="22" t="s">
        <v>12255</v>
      </c>
      <c r="P562" s="22" t="s">
        <v>15376</v>
      </c>
      <c r="Q562" s="22" t="s">
        <v>12256</v>
      </c>
      <c r="R562" s="22" t="s">
        <v>12257</v>
      </c>
      <c r="S562" s="22" t="s">
        <v>12258</v>
      </c>
      <c r="T562" s="22">
        <v>8.17</v>
      </c>
      <c r="U562" s="22">
        <v>0.38</v>
      </c>
      <c r="X562" s="26"/>
      <c r="Y562" s="26"/>
    </row>
    <row r="563" spans="1:25" ht="25" x14ac:dyDescent="0.25">
      <c r="A563" s="21">
        <v>765</v>
      </c>
      <c r="B563" s="22" t="s">
        <v>15368</v>
      </c>
      <c r="C563" s="22" t="s">
        <v>12252</v>
      </c>
      <c r="D563" s="23">
        <v>322764</v>
      </c>
      <c r="E563" s="24">
        <v>1996</v>
      </c>
      <c r="F563" s="22" t="s">
        <v>12265</v>
      </c>
      <c r="G563" s="23" t="s">
        <v>12266</v>
      </c>
      <c r="H563" s="25" t="s">
        <v>15373</v>
      </c>
      <c r="I563" s="22" t="s">
        <v>15411</v>
      </c>
      <c r="J563" s="22" t="s">
        <v>14404</v>
      </c>
      <c r="K563" s="26">
        <f t="shared" si="8"/>
        <v>1026.6666666666665</v>
      </c>
      <c r="N563" s="26">
        <v>1540</v>
      </c>
      <c r="O563" s="22" t="s">
        <v>12255</v>
      </c>
      <c r="P563" s="22" t="s">
        <v>15376</v>
      </c>
      <c r="Q563" s="22" t="s">
        <v>12256</v>
      </c>
      <c r="R563" s="22" t="s">
        <v>12257</v>
      </c>
      <c r="S563" s="22" t="s">
        <v>12258</v>
      </c>
      <c r="T563" s="22">
        <v>8.17</v>
      </c>
      <c r="U563" s="22">
        <v>0.38</v>
      </c>
      <c r="X563" s="26"/>
      <c r="Y563" s="26"/>
    </row>
    <row r="564" spans="1:25" ht="25" x14ac:dyDescent="0.25">
      <c r="A564" s="21">
        <v>770</v>
      </c>
      <c r="B564" s="22" t="s">
        <v>15368</v>
      </c>
      <c r="C564" s="22" t="s">
        <v>12267</v>
      </c>
      <c r="D564" s="23">
        <v>344951</v>
      </c>
      <c r="E564" s="24">
        <v>1998</v>
      </c>
      <c r="F564" s="22" t="s">
        <v>12268</v>
      </c>
      <c r="G564" s="23" t="s">
        <v>12269</v>
      </c>
      <c r="H564" s="25" t="s">
        <v>15373</v>
      </c>
      <c r="I564" s="22" t="s">
        <v>15411</v>
      </c>
      <c r="J564" s="22" t="s">
        <v>12270</v>
      </c>
      <c r="K564" s="26">
        <f t="shared" si="8"/>
        <v>410</v>
      </c>
      <c r="L564" s="26">
        <v>410</v>
      </c>
      <c r="O564" s="22" t="s">
        <v>12271</v>
      </c>
      <c r="P564" s="22" t="s">
        <v>12272</v>
      </c>
      <c r="Q564" s="22">
        <v>91350</v>
      </c>
      <c r="R564" s="22" t="s">
        <v>12273</v>
      </c>
      <c r="S564" s="22" t="s">
        <v>12274</v>
      </c>
      <c r="T564" s="22">
        <v>6.9</v>
      </c>
      <c r="U564" s="22">
        <v>0.4</v>
      </c>
      <c r="X564" s="26"/>
      <c r="Y564" s="26"/>
    </row>
    <row r="565" spans="1:25" ht="25" x14ac:dyDescent="0.25">
      <c r="A565" s="21">
        <v>771</v>
      </c>
      <c r="B565" s="22" t="s">
        <v>15368</v>
      </c>
      <c r="C565" s="22" t="s">
        <v>12275</v>
      </c>
      <c r="D565" s="23">
        <v>208578</v>
      </c>
      <c r="E565" s="24">
        <v>1989</v>
      </c>
      <c r="F565" s="22" t="s">
        <v>12276</v>
      </c>
      <c r="G565" s="23" t="s">
        <v>12277</v>
      </c>
      <c r="H565" s="25" t="s">
        <v>15373</v>
      </c>
      <c r="I565" s="22" t="s">
        <v>15374</v>
      </c>
      <c r="J565" s="22">
        <v>3412</v>
      </c>
      <c r="K565" s="26">
        <f t="shared" si="8"/>
        <v>500</v>
      </c>
      <c r="N565" s="26">
        <v>750</v>
      </c>
      <c r="O565" s="22" t="s">
        <v>12278</v>
      </c>
      <c r="P565" s="22" t="s">
        <v>16893</v>
      </c>
      <c r="Q565" s="22">
        <v>91765</v>
      </c>
      <c r="R565" s="22" t="s">
        <v>12279</v>
      </c>
      <c r="S565" s="22" t="s">
        <v>12280</v>
      </c>
      <c r="T565" s="22">
        <v>8.17</v>
      </c>
      <c r="U565" s="22">
        <v>0.38</v>
      </c>
      <c r="X565" s="26"/>
      <c r="Y565" s="26"/>
    </row>
    <row r="566" spans="1:25" ht="37.5" x14ac:dyDescent="0.25">
      <c r="A566" s="21">
        <v>773</v>
      </c>
      <c r="B566" s="22" t="s">
        <v>15368</v>
      </c>
      <c r="C566" s="22" t="s">
        <v>12281</v>
      </c>
      <c r="D566" s="23">
        <v>193440</v>
      </c>
      <c r="E566" s="24">
        <v>1989</v>
      </c>
      <c r="F566" s="22" t="s">
        <v>12282</v>
      </c>
      <c r="G566" s="23" t="s">
        <v>12283</v>
      </c>
      <c r="H566" s="25" t="s">
        <v>15373</v>
      </c>
      <c r="I566" s="22" t="s">
        <v>15382</v>
      </c>
      <c r="J566" s="22" t="s">
        <v>12284</v>
      </c>
      <c r="K566" s="26">
        <f t="shared" si="8"/>
        <v>993.33333333333326</v>
      </c>
      <c r="N566" s="26">
        <v>1490</v>
      </c>
      <c r="O566" s="22" t="s">
        <v>12285</v>
      </c>
      <c r="P566" s="22" t="s">
        <v>15964</v>
      </c>
      <c r="Q566" s="22">
        <v>91731</v>
      </c>
      <c r="R566" s="22" t="s">
        <v>12286</v>
      </c>
      <c r="S566" s="22" t="s">
        <v>12287</v>
      </c>
      <c r="T566" s="22">
        <v>8.17</v>
      </c>
      <c r="U566" s="22">
        <v>0.38</v>
      </c>
      <c r="X566" s="26"/>
      <c r="Y566" s="26"/>
    </row>
    <row r="567" spans="1:25" ht="25" x14ac:dyDescent="0.25">
      <c r="A567" s="21">
        <v>774</v>
      </c>
      <c r="B567" s="22" t="s">
        <v>15368</v>
      </c>
      <c r="C567" s="22" t="s">
        <v>12288</v>
      </c>
      <c r="D567" s="23">
        <v>328179</v>
      </c>
      <c r="E567" s="24">
        <v>1997</v>
      </c>
      <c r="F567" s="22" t="s">
        <v>12289</v>
      </c>
      <c r="G567" s="23" t="s">
        <v>12290</v>
      </c>
      <c r="H567" s="25" t="s">
        <v>15373</v>
      </c>
      <c r="I567" s="22" t="s">
        <v>15411</v>
      </c>
      <c r="J567" s="22" t="s">
        <v>16884</v>
      </c>
      <c r="K567" s="26">
        <f t="shared" si="8"/>
        <v>340</v>
      </c>
      <c r="N567" s="26">
        <v>510</v>
      </c>
      <c r="O567" s="22" t="s">
        <v>12291</v>
      </c>
      <c r="P567" s="22" t="s">
        <v>15376</v>
      </c>
      <c r="Q567" s="22" t="s">
        <v>12292</v>
      </c>
      <c r="R567" s="22" t="s">
        <v>12257</v>
      </c>
      <c r="S567" s="22" t="s">
        <v>12258</v>
      </c>
      <c r="T567" s="22">
        <v>6.9</v>
      </c>
      <c r="U567" s="22">
        <v>0.4</v>
      </c>
      <c r="X567" s="26"/>
      <c r="Y567" s="26"/>
    </row>
    <row r="568" spans="1:25" ht="25" x14ac:dyDescent="0.25">
      <c r="A568" s="21">
        <v>775</v>
      </c>
      <c r="B568" s="22" t="s">
        <v>15368</v>
      </c>
      <c r="C568" s="22" t="s">
        <v>12293</v>
      </c>
      <c r="D568" s="23">
        <v>289599</v>
      </c>
      <c r="E568" s="24">
        <v>1994</v>
      </c>
      <c r="F568" s="22" t="s">
        <v>12294</v>
      </c>
      <c r="G568" s="23" t="s">
        <v>12295</v>
      </c>
      <c r="H568" s="25" t="s">
        <v>15373</v>
      </c>
      <c r="I568" s="22" t="s">
        <v>15382</v>
      </c>
      <c r="J568" s="22" t="s">
        <v>14642</v>
      </c>
      <c r="K568" s="26">
        <f t="shared" si="8"/>
        <v>756.66666666666663</v>
      </c>
      <c r="N568" s="26">
        <v>1135</v>
      </c>
      <c r="O568" s="22" t="s">
        <v>12296</v>
      </c>
      <c r="P568" s="22" t="s">
        <v>12297</v>
      </c>
      <c r="Q568" s="22">
        <v>93510</v>
      </c>
      <c r="R568" s="22" t="s">
        <v>12298</v>
      </c>
      <c r="S568" s="22" t="s">
        <v>12299</v>
      </c>
      <c r="T568" s="22">
        <v>8.17</v>
      </c>
      <c r="U568" s="22">
        <v>0.38</v>
      </c>
      <c r="X568" s="26"/>
      <c r="Y568" s="26"/>
    </row>
    <row r="569" spans="1:25" ht="25" x14ac:dyDescent="0.25">
      <c r="A569" s="21">
        <v>782</v>
      </c>
      <c r="B569" s="22" t="s">
        <v>15368</v>
      </c>
      <c r="C569" s="22" t="s">
        <v>12300</v>
      </c>
      <c r="D569" s="23">
        <v>184720</v>
      </c>
      <c r="E569" s="24">
        <v>1989</v>
      </c>
      <c r="F569" s="22" t="s">
        <v>12301</v>
      </c>
      <c r="G569" s="23" t="s">
        <v>12302</v>
      </c>
      <c r="H569" s="25" t="s">
        <v>15373</v>
      </c>
      <c r="I569" s="22" t="s">
        <v>12303</v>
      </c>
      <c r="J569" s="22" t="s">
        <v>12304</v>
      </c>
      <c r="K569" s="26">
        <f t="shared" si="8"/>
        <v>510</v>
      </c>
      <c r="N569" s="26">
        <v>765</v>
      </c>
      <c r="O569" s="22" t="s">
        <v>12305</v>
      </c>
      <c r="P569" s="22" t="s">
        <v>15376</v>
      </c>
      <c r="Q569" s="22">
        <v>90012</v>
      </c>
      <c r="R569" s="22" t="s">
        <v>12306</v>
      </c>
      <c r="S569" s="22" t="s">
        <v>12307</v>
      </c>
      <c r="T569" s="22">
        <v>8.17</v>
      </c>
      <c r="U569" s="22">
        <v>0.38</v>
      </c>
      <c r="X569" s="26"/>
      <c r="Y569" s="26"/>
    </row>
    <row r="570" spans="1:25" ht="37.5" x14ac:dyDescent="0.25">
      <c r="A570" s="21">
        <v>783</v>
      </c>
      <c r="B570" s="22" t="s">
        <v>15368</v>
      </c>
      <c r="C570" s="22" t="s">
        <v>12308</v>
      </c>
      <c r="D570" s="23">
        <v>363086</v>
      </c>
      <c r="E570" s="24">
        <v>1999</v>
      </c>
      <c r="F570" s="22" t="s">
        <v>12309</v>
      </c>
      <c r="G570" s="23" t="s">
        <v>12310</v>
      </c>
      <c r="H570" s="25" t="s">
        <v>15373</v>
      </c>
      <c r="I570" s="22" t="s">
        <v>15374</v>
      </c>
      <c r="J570" s="22" t="s">
        <v>12311</v>
      </c>
      <c r="K570" s="26">
        <f t="shared" si="8"/>
        <v>1000</v>
      </c>
      <c r="L570" s="26">
        <v>1000</v>
      </c>
      <c r="O570" s="22" t="s">
        <v>12312</v>
      </c>
      <c r="P570" s="22" t="s">
        <v>14326</v>
      </c>
      <c r="Q570" s="22" t="s">
        <v>12313</v>
      </c>
      <c r="R570" s="22" t="s">
        <v>12314</v>
      </c>
      <c r="S570" s="22" t="s">
        <v>12315</v>
      </c>
      <c r="T570" s="22">
        <v>8.17</v>
      </c>
      <c r="U570" s="22">
        <v>0.38</v>
      </c>
      <c r="X570" s="26"/>
      <c r="Y570" s="26"/>
    </row>
    <row r="571" spans="1:25" ht="37.5" x14ac:dyDescent="0.25">
      <c r="A571" s="21">
        <v>784</v>
      </c>
      <c r="B571" s="22" t="s">
        <v>15368</v>
      </c>
      <c r="C571" s="22" t="s">
        <v>12308</v>
      </c>
      <c r="D571" s="23">
        <v>363087</v>
      </c>
      <c r="E571" s="24">
        <v>1999</v>
      </c>
      <c r="F571" s="22" t="s">
        <v>12316</v>
      </c>
      <c r="G571" s="23" t="s">
        <v>12317</v>
      </c>
      <c r="H571" s="25" t="s">
        <v>15373</v>
      </c>
      <c r="I571" s="22" t="s">
        <v>15374</v>
      </c>
      <c r="J571" s="22" t="s">
        <v>15420</v>
      </c>
      <c r="K571" s="26">
        <f t="shared" si="8"/>
        <v>1100</v>
      </c>
      <c r="L571" s="26">
        <v>1100</v>
      </c>
      <c r="O571" s="22" t="s">
        <v>12312</v>
      </c>
      <c r="P571" s="22" t="s">
        <v>14326</v>
      </c>
      <c r="Q571" s="22" t="s">
        <v>12313</v>
      </c>
      <c r="R571" s="22" t="s">
        <v>12314</v>
      </c>
      <c r="S571" s="22" t="s">
        <v>12315</v>
      </c>
      <c r="T571" s="22">
        <v>8.17</v>
      </c>
      <c r="U571" s="22">
        <v>0.38</v>
      </c>
      <c r="X571" s="26"/>
      <c r="Y571" s="26"/>
    </row>
    <row r="572" spans="1:25" ht="37.5" x14ac:dyDescent="0.25">
      <c r="A572" s="21">
        <v>788</v>
      </c>
      <c r="B572" s="22" t="s">
        <v>15368</v>
      </c>
      <c r="C572" s="22" t="s">
        <v>12318</v>
      </c>
      <c r="D572" s="23">
        <v>323638</v>
      </c>
      <c r="E572" s="24">
        <v>1997</v>
      </c>
      <c r="F572" s="22" t="s">
        <v>12319</v>
      </c>
      <c r="G572" s="23" t="s">
        <v>12320</v>
      </c>
      <c r="H572" s="25" t="s">
        <v>15373</v>
      </c>
      <c r="I572" s="22" t="s">
        <v>15374</v>
      </c>
      <c r="J572" s="22" t="s">
        <v>15677</v>
      </c>
      <c r="K572" s="26">
        <f t="shared" si="8"/>
        <v>1898</v>
      </c>
      <c r="N572" s="26">
        <v>2847</v>
      </c>
      <c r="O572" s="22" t="s">
        <v>14589</v>
      </c>
      <c r="P572" s="22" t="s">
        <v>16563</v>
      </c>
      <c r="Q572" s="22" t="s">
        <v>14590</v>
      </c>
      <c r="R572" s="22" t="s">
        <v>14591</v>
      </c>
      <c r="S572" s="22" t="s">
        <v>14592</v>
      </c>
      <c r="T572" s="22">
        <v>8.17</v>
      </c>
      <c r="U572" s="22">
        <v>0.38</v>
      </c>
      <c r="X572" s="26"/>
      <c r="Y572" s="26"/>
    </row>
    <row r="573" spans="1:25" ht="37.5" x14ac:dyDescent="0.25">
      <c r="A573" s="21">
        <v>789</v>
      </c>
      <c r="B573" s="22" t="s">
        <v>15368</v>
      </c>
      <c r="C573" s="22" t="s">
        <v>12318</v>
      </c>
      <c r="D573" s="23">
        <v>323639</v>
      </c>
      <c r="E573" s="24">
        <v>1997</v>
      </c>
      <c r="F573" s="22" t="s">
        <v>14593</v>
      </c>
      <c r="G573" s="23" t="s">
        <v>12320</v>
      </c>
      <c r="H573" s="25" t="s">
        <v>15373</v>
      </c>
      <c r="I573" s="22" t="s">
        <v>15374</v>
      </c>
      <c r="J573" s="22" t="s">
        <v>15677</v>
      </c>
      <c r="K573" s="26">
        <f t="shared" si="8"/>
        <v>1898</v>
      </c>
      <c r="N573" s="26">
        <v>2847</v>
      </c>
      <c r="O573" s="22" t="s">
        <v>14589</v>
      </c>
      <c r="P573" s="22" t="s">
        <v>16563</v>
      </c>
      <c r="Q573" s="22" t="s">
        <v>14590</v>
      </c>
      <c r="R573" s="22" t="s">
        <v>14591</v>
      </c>
      <c r="S573" s="22" t="s">
        <v>14592</v>
      </c>
      <c r="T573" s="22">
        <v>8.17</v>
      </c>
      <c r="U573" s="22">
        <v>0.38</v>
      </c>
      <c r="X573" s="26"/>
      <c r="Y573" s="26"/>
    </row>
    <row r="574" spans="1:25" ht="37.5" x14ac:dyDescent="0.25">
      <c r="A574" s="21">
        <v>790</v>
      </c>
      <c r="B574" s="22" t="s">
        <v>15368</v>
      </c>
      <c r="C574" s="22" t="s">
        <v>12318</v>
      </c>
      <c r="D574" s="23">
        <v>323640</v>
      </c>
      <c r="E574" s="24">
        <v>1997</v>
      </c>
      <c r="F574" s="22" t="s">
        <v>14594</v>
      </c>
      <c r="G574" s="23" t="s">
        <v>12320</v>
      </c>
      <c r="H574" s="25" t="s">
        <v>15373</v>
      </c>
      <c r="I574" s="22" t="s">
        <v>15374</v>
      </c>
      <c r="J574" s="22" t="s">
        <v>15677</v>
      </c>
      <c r="K574" s="26">
        <f t="shared" si="8"/>
        <v>1898</v>
      </c>
      <c r="N574" s="26">
        <v>2847</v>
      </c>
      <c r="O574" s="22" t="s">
        <v>14589</v>
      </c>
      <c r="P574" s="22" t="s">
        <v>16563</v>
      </c>
      <c r="Q574" s="22" t="s">
        <v>14590</v>
      </c>
      <c r="R574" s="22" t="s">
        <v>14591</v>
      </c>
      <c r="S574" s="22" t="s">
        <v>14592</v>
      </c>
      <c r="T574" s="22">
        <v>8.17</v>
      </c>
      <c r="U574" s="22">
        <v>0.38</v>
      </c>
      <c r="X574" s="26"/>
      <c r="Y574" s="26"/>
    </row>
    <row r="575" spans="1:25" ht="25" x14ac:dyDescent="0.25">
      <c r="A575" s="21">
        <v>791</v>
      </c>
      <c r="B575" s="22" t="s">
        <v>15368</v>
      </c>
      <c r="C575" s="22" t="s">
        <v>14595</v>
      </c>
      <c r="D575" s="23">
        <v>275709</v>
      </c>
      <c r="E575" s="24">
        <v>1992</v>
      </c>
      <c r="F575" s="22" t="s">
        <v>14596</v>
      </c>
      <c r="G575" s="23" t="s">
        <v>14597</v>
      </c>
      <c r="H575" s="25" t="s">
        <v>15373</v>
      </c>
      <c r="I575" s="22" t="s">
        <v>15374</v>
      </c>
      <c r="J575" s="22">
        <v>3508</v>
      </c>
      <c r="K575" s="26">
        <f t="shared" si="8"/>
        <v>728.66666666666663</v>
      </c>
      <c r="N575" s="26">
        <v>1093</v>
      </c>
      <c r="O575" s="22" t="s">
        <v>14598</v>
      </c>
      <c r="P575" s="22" t="s">
        <v>16259</v>
      </c>
      <c r="Q575" s="22">
        <v>90651</v>
      </c>
      <c r="R575" s="22" t="s">
        <v>14599</v>
      </c>
      <c r="S575" s="22" t="s">
        <v>14600</v>
      </c>
      <c r="T575" s="22">
        <v>8.17</v>
      </c>
      <c r="U575" s="22">
        <v>0.38</v>
      </c>
      <c r="X575" s="26"/>
      <c r="Y575" s="26"/>
    </row>
    <row r="576" spans="1:25" ht="37.5" x14ac:dyDescent="0.25">
      <c r="A576" s="21">
        <v>792</v>
      </c>
      <c r="B576" s="22" t="s">
        <v>15368</v>
      </c>
      <c r="C576" s="22" t="s">
        <v>14601</v>
      </c>
      <c r="D576" s="23">
        <v>232398</v>
      </c>
      <c r="E576" s="24">
        <v>1990</v>
      </c>
      <c r="F576" s="22" t="s">
        <v>14602</v>
      </c>
      <c r="G576" s="23" t="s">
        <v>14603</v>
      </c>
      <c r="H576" s="25" t="s">
        <v>15373</v>
      </c>
      <c r="I576" s="22" t="s">
        <v>14604</v>
      </c>
      <c r="J576" s="22" t="s">
        <v>16884</v>
      </c>
      <c r="K576" s="26">
        <f t="shared" si="8"/>
        <v>420</v>
      </c>
      <c r="N576" s="26">
        <v>630</v>
      </c>
      <c r="O576" s="22" t="s">
        <v>14605</v>
      </c>
      <c r="P576" s="22" t="s">
        <v>15376</v>
      </c>
      <c r="Q576" s="22">
        <v>90022</v>
      </c>
      <c r="R576" s="22" t="s">
        <v>14606</v>
      </c>
      <c r="S576" s="22" t="s">
        <v>14607</v>
      </c>
      <c r="T576" s="22">
        <v>8.17</v>
      </c>
      <c r="U576" s="22">
        <v>0.38</v>
      </c>
      <c r="X576" s="26"/>
      <c r="Y576" s="26"/>
    </row>
    <row r="577" spans="1:25" ht="25" x14ac:dyDescent="0.25">
      <c r="A577" s="21">
        <v>793</v>
      </c>
      <c r="B577" s="22" t="s">
        <v>15368</v>
      </c>
      <c r="C577" s="22" t="s">
        <v>14608</v>
      </c>
      <c r="D577" s="23">
        <v>125241</v>
      </c>
      <c r="E577" s="24">
        <v>1984</v>
      </c>
      <c r="F577" s="22" t="s">
        <v>14609</v>
      </c>
      <c r="G577" s="23" t="s">
        <v>14610</v>
      </c>
      <c r="H577" s="25" t="s">
        <v>15373</v>
      </c>
      <c r="I577" s="22" t="s">
        <v>16311</v>
      </c>
      <c r="J577" s="22" t="s">
        <v>16311</v>
      </c>
      <c r="K577" s="26">
        <f t="shared" si="8"/>
        <v>900</v>
      </c>
      <c r="L577" s="26">
        <v>900</v>
      </c>
      <c r="O577" s="22" t="s">
        <v>14611</v>
      </c>
      <c r="P577" s="22" t="s">
        <v>12272</v>
      </c>
      <c r="Q577" s="22">
        <v>91355</v>
      </c>
      <c r="R577" s="22" t="s">
        <v>14612</v>
      </c>
      <c r="S577" s="22" t="s">
        <v>14613</v>
      </c>
      <c r="T577" s="22">
        <v>11</v>
      </c>
      <c r="U577" s="22">
        <v>0.53</v>
      </c>
      <c r="X577" s="26"/>
      <c r="Y577" s="26"/>
    </row>
    <row r="578" spans="1:25" ht="25" x14ac:dyDescent="0.25">
      <c r="A578" s="21">
        <v>794</v>
      </c>
      <c r="B578" s="22" t="s">
        <v>15368</v>
      </c>
      <c r="C578" s="22" t="s">
        <v>14608</v>
      </c>
      <c r="D578" s="23">
        <v>321972</v>
      </c>
      <c r="E578" s="24">
        <v>1996</v>
      </c>
      <c r="F578" s="22" t="s">
        <v>14614</v>
      </c>
      <c r="G578" s="23" t="s">
        <v>14615</v>
      </c>
      <c r="H578" s="25" t="s">
        <v>15373</v>
      </c>
      <c r="I578" s="22" t="s">
        <v>15411</v>
      </c>
      <c r="J578" s="22" t="s">
        <v>14616</v>
      </c>
      <c r="K578" s="26">
        <f t="shared" ref="K578:K641" si="9">L578+M578*(2/3)+N578*(2/3)</f>
        <v>1033.3333333333333</v>
      </c>
      <c r="N578" s="26">
        <v>1550</v>
      </c>
      <c r="O578" s="22" t="s">
        <v>16832</v>
      </c>
      <c r="P578" s="22" t="s">
        <v>15376</v>
      </c>
      <c r="Q578" s="22">
        <v>90221</v>
      </c>
      <c r="R578" s="22" t="s">
        <v>14617</v>
      </c>
      <c r="S578" s="22" t="s">
        <v>14618</v>
      </c>
      <c r="T578" s="22">
        <v>8.17</v>
      </c>
      <c r="U578" s="22">
        <v>0.38</v>
      </c>
      <c r="X578" s="26"/>
      <c r="Y578" s="26"/>
    </row>
    <row r="579" spans="1:25" ht="25" x14ac:dyDescent="0.25">
      <c r="A579" s="21">
        <v>796</v>
      </c>
      <c r="B579" s="22" t="s">
        <v>15368</v>
      </c>
      <c r="C579" s="22" t="s">
        <v>14619</v>
      </c>
      <c r="D579" s="23">
        <v>305985</v>
      </c>
      <c r="E579" s="24">
        <v>1995</v>
      </c>
      <c r="F579" s="22" t="s">
        <v>14620</v>
      </c>
      <c r="G579" s="23" t="s">
        <v>14621</v>
      </c>
      <c r="H579" s="25" t="s">
        <v>15373</v>
      </c>
      <c r="I579" s="22" t="s">
        <v>14622</v>
      </c>
      <c r="J579" s="22" t="s">
        <v>14623</v>
      </c>
      <c r="K579" s="26">
        <f t="shared" si="9"/>
        <v>622.66666666666663</v>
      </c>
      <c r="N579" s="26">
        <v>934</v>
      </c>
      <c r="O579" s="22" t="s">
        <v>14624</v>
      </c>
      <c r="P579" s="22" t="s">
        <v>15740</v>
      </c>
      <c r="Q579" s="22">
        <v>90813</v>
      </c>
      <c r="R579" s="22" t="s">
        <v>14625</v>
      </c>
      <c r="S579" s="22" t="s">
        <v>14613</v>
      </c>
      <c r="T579" s="22">
        <v>8.17</v>
      </c>
      <c r="U579" s="22">
        <v>0.38</v>
      </c>
      <c r="X579" s="26"/>
      <c r="Y579" s="26"/>
    </row>
    <row r="580" spans="1:25" ht="25" x14ac:dyDescent="0.25">
      <c r="A580" s="21">
        <v>797</v>
      </c>
      <c r="B580" s="22" t="s">
        <v>15368</v>
      </c>
      <c r="C580" s="22" t="s">
        <v>14626</v>
      </c>
      <c r="D580" s="23" t="s">
        <v>14627</v>
      </c>
      <c r="E580" s="24">
        <v>1990</v>
      </c>
      <c r="F580" s="22" t="s">
        <v>14628</v>
      </c>
      <c r="G580" s="23" t="s">
        <v>14629</v>
      </c>
      <c r="H580" s="25" t="s">
        <v>15373</v>
      </c>
      <c r="I580" s="22" t="s">
        <v>15668</v>
      </c>
      <c r="J580" s="22" t="s">
        <v>14630</v>
      </c>
      <c r="K580" s="26">
        <f t="shared" si="9"/>
        <v>1533.3333333333333</v>
      </c>
      <c r="N580" s="26">
        <v>2300</v>
      </c>
      <c r="O580" s="22" t="s">
        <v>14631</v>
      </c>
      <c r="P580" s="22" t="s">
        <v>14890</v>
      </c>
      <c r="Q580" s="22">
        <v>90601</v>
      </c>
      <c r="R580" s="22" t="s">
        <v>14632</v>
      </c>
      <c r="S580" s="22" t="s">
        <v>14633</v>
      </c>
      <c r="T580" s="22">
        <v>8.17</v>
      </c>
      <c r="U580" s="22">
        <v>0.38</v>
      </c>
      <c r="X580" s="26"/>
      <c r="Y580" s="26"/>
    </row>
    <row r="581" spans="1:25" ht="25" x14ac:dyDescent="0.25">
      <c r="A581" s="21">
        <v>808</v>
      </c>
      <c r="B581" s="22" t="s">
        <v>15368</v>
      </c>
      <c r="C581" s="22" t="s">
        <v>13356</v>
      </c>
      <c r="D581" s="23">
        <v>364335</v>
      </c>
      <c r="E581" s="24">
        <v>2000</v>
      </c>
      <c r="F581" s="22" t="s">
        <v>13357</v>
      </c>
      <c r="G581" s="23" t="s">
        <v>13358</v>
      </c>
      <c r="H581" s="25" t="s">
        <v>15373</v>
      </c>
      <c r="I581" s="22" t="s">
        <v>15382</v>
      </c>
      <c r="J581" s="22" t="s">
        <v>16792</v>
      </c>
      <c r="K581" s="26">
        <f t="shared" si="9"/>
        <v>399</v>
      </c>
      <c r="L581" s="26">
        <v>399</v>
      </c>
      <c r="O581" s="22" t="s">
        <v>13359</v>
      </c>
      <c r="P581" s="22" t="s">
        <v>13360</v>
      </c>
      <c r="Q581" s="22">
        <v>91754</v>
      </c>
      <c r="R581" s="22" t="s">
        <v>13361</v>
      </c>
      <c r="S581" s="22" t="s">
        <v>13362</v>
      </c>
      <c r="T581" s="22">
        <v>6.9</v>
      </c>
      <c r="U581" s="22">
        <v>0.4</v>
      </c>
      <c r="X581" s="26"/>
      <c r="Y581" s="26"/>
    </row>
    <row r="582" spans="1:25" ht="25" x14ac:dyDescent="0.25">
      <c r="A582" s="21">
        <v>809</v>
      </c>
      <c r="B582" s="22" t="s">
        <v>15368</v>
      </c>
      <c r="C582" s="22" t="s">
        <v>13363</v>
      </c>
      <c r="D582" s="23">
        <v>250716</v>
      </c>
      <c r="E582" s="24">
        <v>1991</v>
      </c>
      <c r="F582" s="22" t="s">
        <v>13364</v>
      </c>
      <c r="G582" s="23" t="s">
        <v>13365</v>
      </c>
      <c r="H582" s="25" t="s">
        <v>15373</v>
      </c>
      <c r="I582" s="22" t="s">
        <v>15411</v>
      </c>
      <c r="J582" s="22" t="s">
        <v>13366</v>
      </c>
      <c r="K582" s="26">
        <f t="shared" si="9"/>
        <v>420</v>
      </c>
      <c r="N582" s="26">
        <v>630</v>
      </c>
      <c r="O582" s="22" t="s">
        <v>13367</v>
      </c>
      <c r="P582" s="22" t="s">
        <v>16414</v>
      </c>
      <c r="Q582" s="22">
        <v>91384</v>
      </c>
      <c r="R582" s="22" t="s">
        <v>12298</v>
      </c>
      <c r="S582" s="22" t="s">
        <v>13368</v>
      </c>
      <c r="T582" s="22">
        <v>8.17</v>
      </c>
      <c r="U582" s="22">
        <v>0.38</v>
      </c>
      <c r="X582" s="26"/>
      <c r="Y582" s="26"/>
    </row>
    <row r="583" spans="1:25" ht="25" x14ac:dyDescent="0.25">
      <c r="A583" s="21">
        <v>810</v>
      </c>
      <c r="B583" s="22" t="s">
        <v>15368</v>
      </c>
      <c r="C583" s="22" t="s">
        <v>13369</v>
      </c>
      <c r="D583" s="23">
        <v>256264</v>
      </c>
      <c r="E583" s="24">
        <v>1991</v>
      </c>
      <c r="F583" s="22" t="s">
        <v>13370</v>
      </c>
      <c r="G583" s="23" t="s">
        <v>13371</v>
      </c>
      <c r="H583" s="25" t="s">
        <v>15373</v>
      </c>
      <c r="I583" s="22" t="s">
        <v>15411</v>
      </c>
      <c r="J583" s="22" t="s">
        <v>13372</v>
      </c>
      <c r="K583" s="26">
        <f t="shared" si="9"/>
        <v>380</v>
      </c>
      <c r="N583" s="26">
        <v>570</v>
      </c>
      <c r="O583" s="22" t="s">
        <v>13373</v>
      </c>
      <c r="P583" s="22" t="s">
        <v>15376</v>
      </c>
      <c r="Q583" s="22" t="s">
        <v>13374</v>
      </c>
      <c r="R583" s="22" t="s">
        <v>13375</v>
      </c>
      <c r="S583" s="22" t="s">
        <v>13376</v>
      </c>
      <c r="T583" s="22">
        <v>8.17</v>
      </c>
      <c r="U583" s="22">
        <v>0.38</v>
      </c>
      <c r="X583" s="26"/>
      <c r="Y583" s="26"/>
    </row>
    <row r="584" spans="1:25" ht="25" x14ac:dyDescent="0.25">
      <c r="A584" s="21">
        <v>811</v>
      </c>
      <c r="B584" s="22" t="s">
        <v>15368</v>
      </c>
      <c r="C584" s="22" t="s">
        <v>13377</v>
      </c>
      <c r="D584" s="23">
        <v>322881</v>
      </c>
      <c r="E584" s="24">
        <v>1996</v>
      </c>
      <c r="F584" s="22" t="s">
        <v>13378</v>
      </c>
      <c r="G584" s="23" t="s">
        <v>13379</v>
      </c>
      <c r="H584" s="25" t="s">
        <v>15373</v>
      </c>
      <c r="I584" s="22" t="s">
        <v>15382</v>
      </c>
      <c r="J584" s="22" t="s">
        <v>13380</v>
      </c>
      <c r="K584" s="26">
        <f t="shared" si="9"/>
        <v>456.66666666666663</v>
      </c>
      <c r="N584" s="26">
        <v>685</v>
      </c>
      <c r="O584" s="22" t="s">
        <v>13381</v>
      </c>
      <c r="P584" s="22" t="s">
        <v>14326</v>
      </c>
      <c r="Q584" s="22">
        <v>91342</v>
      </c>
      <c r="R584" s="22" t="s">
        <v>13382</v>
      </c>
      <c r="S584" s="22" t="s">
        <v>13383</v>
      </c>
      <c r="T584" s="22">
        <v>6.9</v>
      </c>
      <c r="U584" s="22">
        <v>0.4</v>
      </c>
      <c r="X584" s="26"/>
      <c r="Y584" s="26"/>
    </row>
    <row r="585" spans="1:25" ht="25" x14ac:dyDescent="0.25">
      <c r="A585" s="21">
        <v>812</v>
      </c>
      <c r="B585" s="22" t="s">
        <v>15368</v>
      </c>
      <c r="C585" s="22" t="s">
        <v>13384</v>
      </c>
      <c r="D585" s="23">
        <v>203857</v>
      </c>
      <c r="E585" s="24">
        <v>1989</v>
      </c>
      <c r="F585" s="22" t="s">
        <v>13385</v>
      </c>
      <c r="G585" s="23" t="s">
        <v>13386</v>
      </c>
      <c r="H585" s="25" t="s">
        <v>16310</v>
      </c>
      <c r="I585" s="22" t="s">
        <v>15374</v>
      </c>
      <c r="J585" s="22" t="s">
        <v>13387</v>
      </c>
      <c r="K585" s="26">
        <f t="shared" si="9"/>
        <v>333.33333333333331</v>
      </c>
      <c r="N585" s="26">
        <v>500</v>
      </c>
      <c r="O585" s="22" t="s">
        <v>13388</v>
      </c>
      <c r="P585" s="22" t="s">
        <v>15740</v>
      </c>
      <c r="Q585" s="22">
        <v>90807</v>
      </c>
      <c r="R585" s="22" t="s">
        <v>13389</v>
      </c>
      <c r="S585" s="22" t="s">
        <v>13390</v>
      </c>
      <c r="X585" s="26"/>
      <c r="Y585" s="26"/>
    </row>
    <row r="586" spans="1:25" ht="25" x14ac:dyDescent="0.25">
      <c r="A586" s="21">
        <v>813</v>
      </c>
      <c r="B586" s="22" t="s">
        <v>15368</v>
      </c>
      <c r="C586" s="22" t="s">
        <v>13384</v>
      </c>
      <c r="D586" s="23">
        <v>203858</v>
      </c>
      <c r="E586" s="24">
        <v>1989</v>
      </c>
      <c r="F586" s="22" t="s">
        <v>13391</v>
      </c>
      <c r="G586" s="23" t="s">
        <v>13392</v>
      </c>
      <c r="H586" s="25" t="s">
        <v>16310</v>
      </c>
      <c r="I586" s="22" t="s">
        <v>15374</v>
      </c>
      <c r="J586" s="22" t="s">
        <v>13387</v>
      </c>
      <c r="K586" s="26">
        <f t="shared" si="9"/>
        <v>333.33333333333331</v>
      </c>
      <c r="N586" s="26">
        <v>500</v>
      </c>
      <c r="O586" s="22" t="s">
        <v>13388</v>
      </c>
      <c r="P586" s="22" t="s">
        <v>15740</v>
      </c>
      <c r="Q586" s="22">
        <v>90807</v>
      </c>
      <c r="R586" s="22" t="s">
        <v>13389</v>
      </c>
      <c r="S586" s="22" t="s">
        <v>13390</v>
      </c>
      <c r="X586" s="26"/>
      <c r="Y586" s="26"/>
    </row>
    <row r="587" spans="1:25" ht="25" x14ac:dyDescent="0.25">
      <c r="A587" s="21">
        <v>814</v>
      </c>
      <c r="B587" s="22" t="s">
        <v>15368</v>
      </c>
      <c r="C587" s="22" t="s">
        <v>13384</v>
      </c>
      <c r="D587" s="23">
        <v>203859</v>
      </c>
      <c r="E587" s="24">
        <v>1989</v>
      </c>
      <c r="F587" s="22" t="s">
        <v>13393</v>
      </c>
      <c r="G587" s="23" t="s">
        <v>13394</v>
      </c>
      <c r="H587" s="25" t="s">
        <v>16310</v>
      </c>
      <c r="I587" s="22" t="s">
        <v>15374</v>
      </c>
      <c r="J587" s="22" t="s">
        <v>13387</v>
      </c>
      <c r="K587" s="26">
        <f t="shared" si="9"/>
        <v>333.33333333333331</v>
      </c>
      <c r="N587" s="26">
        <v>500</v>
      </c>
      <c r="O587" s="22" t="s">
        <v>13388</v>
      </c>
      <c r="P587" s="22" t="s">
        <v>15740</v>
      </c>
      <c r="Q587" s="22">
        <v>90807</v>
      </c>
      <c r="R587" s="22" t="s">
        <v>13389</v>
      </c>
      <c r="S587" s="22" t="s">
        <v>13390</v>
      </c>
      <c r="X587" s="26"/>
      <c r="Y587" s="26"/>
    </row>
    <row r="588" spans="1:25" ht="25" x14ac:dyDescent="0.25">
      <c r="A588" s="21">
        <v>815</v>
      </c>
      <c r="B588" s="22" t="s">
        <v>15368</v>
      </c>
      <c r="C588" s="22" t="s">
        <v>13384</v>
      </c>
      <c r="D588" s="23">
        <v>203860</v>
      </c>
      <c r="E588" s="24">
        <v>1989</v>
      </c>
      <c r="F588" s="22" t="s">
        <v>13395</v>
      </c>
      <c r="G588" s="23" t="s">
        <v>13507</v>
      </c>
      <c r="H588" s="25" t="s">
        <v>16310</v>
      </c>
      <c r="I588" s="22" t="s">
        <v>15374</v>
      </c>
      <c r="J588" s="22" t="s">
        <v>13387</v>
      </c>
      <c r="K588" s="26">
        <f t="shared" si="9"/>
        <v>333.33333333333331</v>
      </c>
      <c r="N588" s="26">
        <v>500</v>
      </c>
      <c r="O588" s="22" t="s">
        <v>13388</v>
      </c>
      <c r="P588" s="22" t="s">
        <v>15740</v>
      </c>
      <c r="Q588" s="22">
        <v>90807</v>
      </c>
      <c r="R588" s="22" t="s">
        <v>13389</v>
      </c>
      <c r="S588" s="22" t="s">
        <v>13390</v>
      </c>
      <c r="X588" s="26"/>
      <c r="Y588" s="26"/>
    </row>
    <row r="589" spans="1:25" ht="25" x14ac:dyDescent="0.25">
      <c r="A589" s="21">
        <v>816</v>
      </c>
      <c r="B589" s="22" t="s">
        <v>15368</v>
      </c>
      <c r="C589" s="22" t="s">
        <v>13384</v>
      </c>
      <c r="D589" s="23">
        <v>203861</v>
      </c>
      <c r="E589" s="24">
        <v>1989</v>
      </c>
      <c r="F589" s="22" t="s">
        <v>13508</v>
      </c>
      <c r="G589" s="23" t="s">
        <v>13509</v>
      </c>
      <c r="H589" s="25" t="s">
        <v>16310</v>
      </c>
      <c r="I589" s="22" t="s">
        <v>15374</v>
      </c>
      <c r="J589" s="22" t="s">
        <v>13387</v>
      </c>
      <c r="K589" s="26">
        <f t="shared" si="9"/>
        <v>333.33333333333331</v>
      </c>
      <c r="N589" s="26">
        <v>500</v>
      </c>
      <c r="O589" s="22" t="s">
        <v>13388</v>
      </c>
      <c r="P589" s="22" t="s">
        <v>15740</v>
      </c>
      <c r="Q589" s="22">
        <v>90807</v>
      </c>
      <c r="R589" s="22" t="s">
        <v>13389</v>
      </c>
      <c r="S589" s="22" t="s">
        <v>13390</v>
      </c>
      <c r="X589" s="26"/>
      <c r="Y589" s="26"/>
    </row>
    <row r="590" spans="1:25" ht="37.5" x14ac:dyDescent="0.25">
      <c r="A590" s="21">
        <v>817</v>
      </c>
      <c r="B590" s="22" t="s">
        <v>15368</v>
      </c>
      <c r="C590" s="22" t="s">
        <v>13510</v>
      </c>
      <c r="D590" s="23">
        <v>350265</v>
      </c>
      <c r="E590" s="24">
        <v>1999</v>
      </c>
      <c r="F590" s="22" t="s">
        <v>13511</v>
      </c>
      <c r="G590" s="23" t="s">
        <v>13512</v>
      </c>
      <c r="H590" s="25" t="s">
        <v>15373</v>
      </c>
      <c r="I590" s="22" t="s">
        <v>15382</v>
      </c>
      <c r="J590" s="22" t="s">
        <v>15640</v>
      </c>
      <c r="K590" s="26">
        <f t="shared" si="9"/>
        <v>993.33333333333326</v>
      </c>
      <c r="N590" s="26">
        <v>1490</v>
      </c>
      <c r="O590" s="22" t="s">
        <v>13513</v>
      </c>
      <c r="P590" s="22" t="s">
        <v>15376</v>
      </c>
      <c r="Q590" s="22">
        <v>90013</v>
      </c>
      <c r="R590" s="22" t="s">
        <v>13514</v>
      </c>
      <c r="S590" s="22" t="s">
        <v>13515</v>
      </c>
      <c r="T590" s="22">
        <v>8.17</v>
      </c>
      <c r="U590" s="22">
        <v>0.38</v>
      </c>
      <c r="X590" s="26"/>
      <c r="Y590" s="26"/>
    </row>
    <row r="591" spans="1:25" ht="25" x14ac:dyDescent="0.25">
      <c r="A591" s="21">
        <v>818</v>
      </c>
      <c r="B591" s="22" t="s">
        <v>15368</v>
      </c>
      <c r="C591" s="22" t="s">
        <v>13516</v>
      </c>
      <c r="D591" s="23">
        <v>245001</v>
      </c>
      <c r="E591" s="24">
        <v>1991</v>
      </c>
      <c r="F591" s="22" t="s">
        <v>13517</v>
      </c>
      <c r="G591" s="23" t="s">
        <v>13518</v>
      </c>
      <c r="H591" s="25" t="s">
        <v>15373</v>
      </c>
      <c r="I591" s="22" t="s">
        <v>15374</v>
      </c>
      <c r="J591" s="22">
        <v>3406</v>
      </c>
      <c r="K591" s="26">
        <f t="shared" si="9"/>
        <v>346</v>
      </c>
      <c r="N591" s="26">
        <v>519</v>
      </c>
      <c r="O591" s="22" t="s">
        <v>13519</v>
      </c>
      <c r="P591" s="22" t="s">
        <v>15376</v>
      </c>
      <c r="Q591" s="22">
        <v>90024</v>
      </c>
      <c r="R591" s="22" t="s">
        <v>13520</v>
      </c>
      <c r="S591" s="22" t="s">
        <v>13521</v>
      </c>
      <c r="T591" s="22">
        <v>8.17</v>
      </c>
      <c r="U591" s="22">
        <v>0.38</v>
      </c>
      <c r="X591" s="26"/>
      <c r="Y591" s="26"/>
    </row>
    <row r="592" spans="1:25" ht="25" x14ac:dyDescent="0.25">
      <c r="A592" s="21">
        <v>820</v>
      </c>
      <c r="B592" s="22" t="s">
        <v>15368</v>
      </c>
      <c r="C592" s="22" t="s">
        <v>13522</v>
      </c>
      <c r="D592" s="23">
        <v>363127</v>
      </c>
      <c r="E592" s="24">
        <v>1999</v>
      </c>
      <c r="F592" s="22" t="s">
        <v>13523</v>
      </c>
      <c r="G592" s="23" t="s">
        <v>13524</v>
      </c>
      <c r="H592" s="25" t="s">
        <v>15373</v>
      </c>
      <c r="I592" s="22" t="s">
        <v>15374</v>
      </c>
      <c r="J592" s="22" t="s">
        <v>13525</v>
      </c>
      <c r="K592" s="26">
        <f t="shared" si="9"/>
        <v>400</v>
      </c>
      <c r="N592" s="26">
        <v>600</v>
      </c>
      <c r="O592" s="22" t="s">
        <v>13526</v>
      </c>
      <c r="P592" s="22" t="s">
        <v>15376</v>
      </c>
      <c r="Q592" s="22">
        <v>90017</v>
      </c>
      <c r="R592" s="22" t="s">
        <v>13527</v>
      </c>
      <c r="S592" s="22" t="s">
        <v>13528</v>
      </c>
      <c r="T592" s="22">
        <v>6.9</v>
      </c>
      <c r="U592" s="22">
        <v>0.4</v>
      </c>
      <c r="X592" s="26"/>
      <c r="Y592" s="26"/>
    </row>
    <row r="593" spans="1:25" ht="25" x14ac:dyDescent="0.25">
      <c r="A593" s="21">
        <v>821</v>
      </c>
      <c r="B593" s="22" t="s">
        <v>15368</v>
      </c>
      <c r="C593" s="22" t="s">
        <v>13529</v>
      </c>
      <c r="D593" s="23">
        <v>244321</v>
      </c>
      <c r="E593" s="24">
        <v>1990</v>
      </c>
      <c r="F593" s="22" t="s">
        <v>13530</v>
      </c>
      <c r="G593" s="23" t="s">
        <v>13531</v>
      </c>
      <c r="H593" s="25" t="s">
        <v>15373</v>
      </c>
      <c r="I593" s="22" t="s">
        <v>15411</v>
      </c>
      <c r="J593" s="22" t="s">
        <v>16276</v>
      </c>
      <c r="K593" s="26">
        <f t="shared" si="9"/>
        <v>360</v>
      </c>
      <c r="N593" s="26">
        <v>540</v>
      </c>
      <c r="O593" s="22" t="s">
        <v>13532</v>
      </c>
      <c r="P593" s="22" t="s">
        <v>15376</v>
      </c>
      <c r="Q593" s="22">
        <v>90033</v>
      </c>
      <c r="R593" s="22" t="s">
        <v>13533</v>
      </c>
      <c r="S593" s="22" t="s">
        <v>13534</v>
      </c>
      <c r="T593" s="22">
        <v>8.17</v>
      </c>
      <c r="U593" s="22">
        <v>0.38</v>
      </c>
      <c r="X593" s="26"/>
      <c r="Y593" s="26"/>
    </row>
    <row r="594" spans="1:25" ht="25" x14ac:dyDescent="0.25">
      <c r="A594" s="21">
        <v>822</v>
      </c>
      <c r="B594" s="22" t="s">
        <v>15368</v>
      </c>
      <c r="C594" s="22" t="s">
        <v>13529</v>
      </c>
      <c r="D594" s="23">
        <v>312824</v>
      </c>
      <c r="E594" s="24">
        <v>1996</v>
      </c>
      <c r="F594" s="22" t="s">
        <v>13535</v>
      </c>
      <c r="G594" s="23" t="s">
        <v>13379</v>
      </c>
      <c r="H594" s="25" t="s">
        <v>15373</v>
      </c>
      <c r="I594" s="22" t="s">
        <v>15382</v>
      </c>
      <c r="J594" s="22" t="s">
        <v>13380</v>
      </c>
      <c r="K594" s="26">
        <f t="shared" si="9"/>
        <v>456.66666666666663</v>
      </c>
      <c r="N594" s="26">
        <v>685</v>
      </c>
      <c r="O594" s="22" t="s">
        <v>13532</v>
      </c>
      <c r="P594" s="22" t="s">
        <v>15376</v>
      </c>
      <c r="Q594" s="22">
        <v>90033</v>
      </c>
      <c r="R594" s="22" t="s">
        <v>13533</v>
      </c>
      <c r="S594" s="22" t="s">
        <v>13534</v>
      </c>
      <c r="T594" s="22">
        <v>6.9</v>
      </c>
      <c r="U594" s="22">
        <v>0.4</v>
      </c>
      <c r="X594" s="26"/>
      <c r="Y594" s="26"/>
    </row>
    <row r="595" spans="1:25" ht="25" x14ac:dyDescent="0.25">
      <c r="A595" s="21">
        <v>823</v>
      </c>
      <c r="B595" s="22" t="s">
        <v>15368</v>
      </c>
      <c r="C595" s="22" t="s">
        <v>13529</v>
      </c>
      <c r="D595" s="23">
        <v>321229</v>
      </c>
      <c r="E595" s="24">
        <v>1996</v>
      </c>
      <c r="F595" s="22" t="s">
        <v>13536</v>
      </c>
      <c r="G595" s="23" t="s">
        <v>13379</v>
      </c>
      <c r="H595" s="25" t="s">
        <v>15373</v>
      </c>
      <c r="I595" s="22" t="s">
        <v>15382</v>
      </c>
      <c r="J595" s="22" t="s">
        <v>13380</v>
      </c>
      <c r="K595" s="26">
        <f t="shared" si="9"/>
        <v>456.66666666666663</v>
      </c>
      <c r="N595" s="26">
        <v>685</v>
      </c>
      <c r="O595" s="22" t="s">
        <v>13532</v>
      </c>
      <c r="P595" s="22" t="s">
        <v>15376</v>
      </c>
      <c r="Q595" s="22">
        <v>90033</v>
      </c>
      <c r="R595" s="22" t="s">
        <v>13533</v>
      </c>
      <c r="S595" s="22" t="s">
        <v>13534</v>
      </c>
      <c r="T595" s="22">
        <v>6.9</v>
      </c>
      <c r="U595" s="22">
        <v>0.4</v>
      </c>
      <c r="X595" s="26"/>
      <c r="Y595" s="26"/>
    </row>
    <row r="596" spans="1:25" ht="25" x14ac:dyDescent="0.25">
      <c r="A596" s="21">
        <v>824</v>
      </c>
      <c r="B596" s="22" t="s">
        <v>15368</v>
      </c>
      <c r="C596" s="22" t="s">
        <v>13537</v>
      </c>
      <c r="D596" s="23">
        <v>356152</v>
      </c>
      <c r="E596" s="24">
        <v>1999</v>
      </c>
      <c r="F596" s="22" t="s">
        <v>13538</v>
      </c>
      <c r="G596" s="23" t="s">
        <v>16568</v>
      </c>
      <c r="H596" s="25" t="s">
        <v>15373</v>
      </c>
      <c r="I596" s="22" t="s">
        <v>15382</v>
      </c>
      <c r="J596" s="22" t="s">
        <v>16569</v>
      </c>
      <c r="K596" s="26">
        <f t="shared" si="9"/>
        <v>403.33333333333331</v>
      </c>
      <c r="N596" s="26">
        <v>605</v>
      </c>
      <c r="O596" s="22" t="s">
        <v>13539</v>
      </c>
      <c r="P596" s="22" t="s">
        <v>16886</v>
      </c>
      <c r="Q596" s="22">
        <v>92651</v>
      </c>
      <c r="R596" s="22" t="s">
        <v>13540</v>
      </c>
      <c r="S596" s="22" t="s">
        <v>13541</v>
      </c>
      <c r="T596" s="22">
        <v>6.9</v>
      </c>
      <c r="U596" s="22">
        <v>0.4</v>
      </c>
      <c r="X596" s="26"/>
      <c r="Y596" s="26"/>
    </row>
    <row r="597" spans="1:25" ht="25" x14ac:dyDescent="0.25">
      <c r="A597" s="21">
        <v>825</v>
      </c>
      <c r="B597" s="22" t="s">
        <v>15368</v>
      </c>
      <c r="C597" s="22" t="s">
        <v>13542</v>
      </c>
      <c r="D597" s="23">
        <v>320677</v>
      </c>
      <c r="E597" s="24">
        <v>1996</v>
      </c>
      <c r="F597" s="22" t="s">
        <v>13543</v>
      </c>
      <c r="G597" s="23" t="s">
        <v>13544</v>
      </c>
      <c r="H597" s="25" t="s">
        <v>15373</v>
      </c>
      <c r="I597" s="22" t="s">
        <v>15411</v>
      </c>
      <c r="J597" s="22" t="s">
        <v>15877</v>
      </c>
      <c r="K597" s="26">
        <f t="shared" si="9"/>
        <v>429.33333333333331</v>
      </c>
      <c r="N597" s="26">
        <v>644</v>
      </c>
      <c r="O597" s="22" t="s">
        <v>13545</v>
      </c>
      <c r="P597" s="22" t="s">
        <v>15376</v>
      </c>
      <c r="Q597" s="22">
        <v>90502</v>
      </c>
      <c r="R597" s="22" t="s">
        <v>13546</v>
      </c>
      <c r="S597" s="22" t="s">
        <v>13547</v>
      </c>
      <c r="T597" s="22">
        <v>6.9</v>
      </c>
      <c r="U597" s="22">
        <v>0.4</v>
      </c>
      <c r="X597" s="26"/>
      <c r="Y597" s="26"/>
    </row>
    <row r="598" spans="1:25" ht="25" x14ac:dyDescent="0.25">
      <c r="A598" s="21">
        <v>826</v>
      </c>
      <c r="B598" s="22" t="s">
        <v>15368</v>
      </c>
      <c r="C598" s="22" t="s">
        <v>13548</v>
      </c>
      <c r="D598" s="23">
        <v>363593</v>
      </c>
      <c r="E598" s="24">
        <v>1999</v>
      </c>
      <c r="F598" s="22" t="s">
        <v>13549</v>
      </c>
      <c r="G598" s="23" t="s">
        <v>13550</v>
      </c>
      <c r="H598" s="25" t="s">
        <v>15373</v>
      </c>
      <c r="I598" s="22" t="s">
        <v>15411</v>
      </c>
      <c r="J598" s="22" t="s">
        <v>16226</v>
      </c>
      <c r="K598" s="26">
        <f t="shared" si="9"/>
        <v>571</v>
      </c>
      <c r="L598" s="26">
        <v>571</v>
      </c>
      <c r="O598" s="22" t="s">
        <v>13551</v>
      </c>
      <c r="P598" s="22" t="s">
        <v>16853</v>
      </c>
      <c r="Q598" s="22">
        <v>92612</v>
      </c>
      <c r="R598" s="22" t="s">
        <v>13552</v>
      </c>
      <c r="S598" s="22" t="s">
        <v>13553</v>
      </c>
      <c r="T598" s="22">
        <v>8.17</v>
      </c>
      <c r="U598" s="22">
        <v>0.38</v>
      </c>
      <c r="X598" s="26"/>
      <c r="Y598" s="26"/>
    </row>
    <row r="599" spans="1:25" ht="25" x14ac:dyDescent="0.25">
      <c r="A599" s="21">
        <v>827</v>
      </c>
      <c r="B599" s="22" t="s">
        <v>15368</v>
      </c>
      <c r="C599" s="22" t="s">
        <v>13554</v>
      </c>
      <c r="D599" s="23">
        <v>230089</v>
      </c>
      <c r="E599" s="24">
        <v>1990</v>
      </c>
      <c r="F599" s="22" t="s">
        <v>13555</v>
      </c>
      <c r="G599" s="23" t="s">
        <v>13556</v>
      </c>
      <c r="H599" s="25" t="s">
        <v>15373</v>
      </c>
      <c r="I599" s="22" t="s">
        <v>15382</v>
      </c>
      <c r="J599" s="22" t="s">
        <v>13557</v>
      </c>
      <c r="K599" s="26">
        <f t="shared" si="9"/>
        <v>756.66666666666663</v>
      </c>
      <c r="N599" s="26">
        <v>1135</v>
      </c>
      <c r="O599" s="22" t="s">
        <v>13558</v>
      </c>
      <c r="P599" s="22" t="s">
        <v>16853</v>
      </c>
      <c r="Q599" s="22">
        <v>92612</v>
      </c>
      <c r="R599" s="22" t="s">
        <v>13552</v>
      </c>
      <c r="S599" s="22" t="s">
        <v>13553</v>
      </c>
      <c r="T599" s="22">
        <v>8.17</v>
      </c>
      <c r="U599" s="22">
        <v>0.38</v>
      </c>
      <c r="X599" s="26"/>
      <c r="Y599" s="26"/>
    </row>
    <row r="600" spans="1:25" ht="25" x14ac:dyDescent="0.25">
      <c r="A600" s="21">
        <v>828</v>
      </c>
      <c r="B600" s="22" t="s">
        <v>15368</v>
      </c>
      <c r="C600" s="22" t="s">
        <v>13559</v>
      </c>
      <c r="D600" s="23">
        <v>340733</v>
      </c>
      <c r="E600" s="24">
        <v>1998</v>
      </c>
      <c r="F600" s="22" t="s">
        <v>13560</v>
      </c>
      <c r="G600" s="23" t="s">
        <v>13561</v>
      </c>
      <c r="H600" s="25" t="s">
        <v>15373</v>
      </c>
      <c r="I600" s="22" t="s">
        <v>15411</v>
      </c>
      <c r="J600" s="22" t="s">
        <v>15412</v>
      </c>
      <c r="K600" s="26">
        <f t="shared" si="9"/>
        <v>553.33333333333326</v>
      </c>
      <c r="N600" s="26">
        <v>830</v>
      </c>
      <c r="O600" s="22" t="s">
        <v>13562</v>
      </c>
      <c r="P600" s="22" t="s">
        <v>13563</v>
      </c>
      <c r="Q600" s="22">
        <v>90712</v>
      </c>
      <c r="R600" s="22" t="s">
        <v>13564</v>
      </c>
      <c r="S600" s="22" t="s">
        <v>13565</v>
      </c>
      <c r="T600" s="22">
        <v>8.17</v>
      </c>
      <c r="U600" s="22">
        <v>0.38</v>
      </c>
      <c r="X600" s="26"/>
      <c r="Y600" s="26"/>
    </row>
    <row r="601" spans="1:25" ht="25" x14ac:dyDescent="0.25">
      <c r="A601" s="21">
        <v>829</v>
      </c>
      <c r="B601" s="22" t="s">
        <v>15368</v>
      </c>
      <c r="C601" s="22" t="s">
        <v>13566</v>
      </c>
      <c r="D601" s="23">
        <v>277152</v>
      </c>
      <c r="E601" s="24">
        <v>1993</v>
      </c>
      <c r="F601" s="22" t="s">
        <v>13567</v>
      </c>
      <c r="G601" s="23" t="s">
        <v>13568</v>
      </c>
      <c r="H601" s="25" t="s">
        <v>15373</v>
      </c>
      <c r="I601" s="22" t="s">
        <v>15374</v>
      </c>
      <c r="J601" s="22" t="s">
        <v>16869</v>
      </c>
      <c r="K601" s="26">
        <f t="shared" si="9"/>
        <v>593.33333333333326</v>
      </c>
      <c r="N601" s="26">
        <v>890</v>
      </c>
      <c r="O601" s="22" t="s">
        <v>13569</v>
      </c>
      <c r="P601" s="22" t="s">
        <v>13563</v>
      </c>
      <c r="Q601" s="22" t="s">
        <v>13570</v>
      </c>
      <c r="R601" s="22" t="s">
        <v>13571</v>
      </c>
      <c r="S601" s="22" t="s">
        <v>13572</v>
      </c>
      <c r="T601" s="22">
        <v>8.17</v>
      </c>
      <c r="U601" s="22">
        <v>0.38</v>
      </c>
      <c r="X601" s="26"/>
      <c r="Y601" s="26"/>
    </row>
    <row r="602" spans="1:25" ht="25" x14ac:dyDescent="0.25">
      <c r="A602" s="21">
        <v>830</v>
      </c>
      <c r="B602" s="22" t="s">
        <v>15368</v>
      </c>
      <c r="C602" s="22" t="s">
        <v>13566</v>
      </c>
      <c r="D602" s="23">
        <v>283857</v>
      </c>
      <c r="E602" s="24">
        <v>1993</v>
      </c>
      <c r="F602" s="22" t="s">
        <v>13573</v>
      </c>
      <c r="G602" s="23" t="s">
        <v>13574</v>
      </c>
      <c r="H602" s="25" t="s">
        <v>16310</v>
      </c>
      <c r="I602" s="22" t="s">
        <v>15382</v>
      </c>
      <c r="J602" s="22" t="s">
        <v>13575</v>
      </c>
      <c r="K602" s="26">
        <f t="shared" si="9"/>
        <v>386.66666666666663</v>
      </c>
      <c r="N602" s="26">
        <v>580</v>
      </c>
      <c r="O602" s="22" t="s">
        <v>13569</v>
      </c>
      <c r="P602" s="22" t="s">
        <v>13563</v>
      </c>
      <c r="Q602" s="22" t="s">
        <v>13570</v>
      </c>
      <c r="R602" s="22" t="s">
        <v>13571</v>
      </c>
      <c r="S602" s="22" t="s">
        <v>13572</v>
      </c>
      <c r="X602" s="26"/>
      <c r="Y602" s="26"/>
    </row>
    <row r="603" spans="1:25" ht="37.5" x14ac:dyDescent="0.25">
      <c r="A603" s="21">
        <v>832</v>
      </c>
      <c r="B603" s="22" t="s">
        <v>15368</v>
      </c>
      <c r="C603" s="22" t="s">
        <v>13576</v>
      </c>
      <c r="D603" s="23">
        <v>166458</v>
      </c>
      <c r="E603" s="24">
        <v>1988</v>
      </c>
      <c r="F603" s="22" t="s">
        <v>13577</v>
      </c>
      <c r="G603" s="23" t="s">
        <v>13578</v>
      </c>
      <c r="H603" s="25" t="s">
        <v>15373</v>
      </c>
      <c r="I603" s="22" t="s">
        <v>16160</v>
      </c>
      <c r="J603" s="22" t="s">
        <v>13579</v>
      </c>
      <c r="K603" s="26">
        <f t="shared" si="9"/>
        <v>850.66666666666663</v>
      </c>
      <c r="N603" s="26">
        <v>1276</v>
      </c>
      <c r="O603" s="22" t="s">
        <v>13580</v>
      </c>
      <c r="P603" s="22" t="s">
        <v>16871</v>
      </c>
      <c r="Q603" s="22">
        <v>91302</v>
      </c>
      <c r="R603" s="22" t="s">
        <v>13581</v>
      </c>
      <c r="S603" s="22" t="s">
        <v>13582</v>
      </c>
      <c r="T603" s="22">
        <v>8.17</v>
      </c>
      <c r="U603" s="22">
        <v>0.38</v>
      </c>
      <c r="X603" s="26"/>
      <c r="Y603" s="26"/>
    </row>
    <row r="604" spans="1:25" ht="37.5" x14ac:dyDescent="0.25">
      <c r="A604" s="21">
        <v>833</v>
      </c>
      <c r="B604" s="22" t="s">
        <v>15368</v>
      </c>
      <c r="C604" s="22" t="s">
        <v>13576</v>
      </c>
      <c r="D604" s="23">
        <v>346921</v>
      </c>
      <c r="E604" s="24">
        <v>1998</v>
      </c>
      <c r="F604" s="22" t="s">
        <v>13583</v>
      </c>
      <c r="G604" s="23" t="s">
        <v>13584</v>
      </c>
      <c r="H604" s="25" t="s">
        <v>15373</v>
      </c>
      <c r="I604" s="22" t="s">
        <v>15374</v>
      </c>
      <c r="J604" s="22" t="s">
        <v>13585</v>
      </c>
      <c r="K604" s="26">
        <f t="shared" si="9"/>
        <v>872</v>
      </c>
      <c r="N604" s="26">
        <v>1308</v>
      </c>
      <c r="O604" s="22" t="s">
        <v>13580</v>
      </c>
      <c r="P604" s="22" t="s">
        <v>16871</v>
      </c>
      <c r="Q604" s="22">
        <v>91302</v>
      </c>
      <c r="R604" s="22" t="s">
        <v>13581</v>
      </c>
      <c r="S604" s="22" t="s">
        <v>13582</v>
      </c>
      <c r="T604" s="22">
        <v>8.17</v>
      </c>
      <c r="U604" s="22">
        <v>0.38</v>
      </c>
      <c r="X604" s="26"/>
      <c r="Y604" s="26"/>
    </row>
    <row r="605" spans="1:25" ht="37.5" x14ac:dyDescent="0.25">
      <c r="A605" s="21">
        <v>834</v>
      </c>
      <c r="B605" s="22" t="s">
        <v>15368</v>
      </c>
      <c r="C605" s="22" t="s">
        <v>13576</v>
      </c>
      <c r="D605" s="23">
        <v>346922</v>
      </c>
      <c r="E605" s="24">
        <v>1998</v>
      </c>
      <c r="F605" s="22" t="s">
        <v>13586</v>
      </c>
      <c r="G605" s="23" t="s">
        <v>13584</v>
      </c>
      <c r="H605" s="25" t="s">
        <v>15373</v>
      </c>
      <c r="I605" s="22" t="s">
        <v>15374</v>
      </c>
      <c r="J605" s="22" t="s">
        <v>13585</v>
      </c>
      <c r="K605" s="26">
        <f t="shared" si="9"/>
        <v>872</v>
      </c>
      <c r="N605" s="26">
        <v>1308</v>
      </c>
      <c r="O605" s="22" t="s">
        <v>13580</v>
      </c>
      <c r="P605" s="22" t="s">
        <v>16871</v>
      </c>
      <c r="Q605" s="22">
        <v>91302</v>
      </c>
      <c r="R605" s="22" t="s">
        <v>13581</v>
      </c>
      <c r="S605" s="22" t="s">
        <v>13582</v>
      </c>
      <c r="T605" s="22">
        <v>8.17</v>
      </c>
      <c r="U605" s="22">
        <v>0.38</v>
      </c>
      <c r="X605" s="26"/>
      <c r="Y605" s="26"/>
    </row>
    <row r="606" spans="1:25" ht="25" x14ac:dyDescent="0.25">
      <c r="A606" s="21">
        <v>835</v>
      </c>
      <c r="B606" s="22" t="s">
        <v>15368</v>
      </c>
      <c r="C606" s="22" t="s">
        <v>13587</v>
      </c>
      <c r="D606" s="23">
        <v>168402</v>
      </c>
      <c r="E606" s="24">
        <v>1988</v>
      </c>
      <c r="F606" s="22" t="s">
        <v>13588</v>
      </c>
      <c r="G606" s="23" t="s">
        <v>13589</v>
      </c>
      <c r="H606" s="25" t="s">
        <v>15373</v>
      </c>
      <c r="I606" s="22" t="s">
        <v>15374</v>
      </c>
      <c r="J606" s="22" t="s">
        <v>13590</v>
      </c>
      <c r="K606" s="26">
        <f t="shared" si="9"/>
        <v>402</v>
      </c>
      <c r="N606" s="26">
        <v>603</v>
      </c>
      <c r="O606" s="22" t="s">
        <v>13591</v>
      </c>
      <c r="P606" s="22" t="s">
        <v>15749</v>
      </c>
      <c r="Q606" s="22">
        <v>91361</v>
      </c>
      <c r="R606" s="22" t="s">
        <v>13592</v>
      </c>
      <c r="S606" s="22" t="s">
        <v>13593</v>
      </c>
      <c r="T606" s="22">
        <v>8.17</v>
      </c>
      <c r="U606" s="22">
        <v>0.38</v>
      </c>
      <c r="X606" s="26"/>
      <c r="Y606" s="26"/>
    </row>
    <row r="607" spans="1:25" ht="25" x14ac:dyDescent="0.25">
      <c r="A607" s="21">
        <v>836</v>
      </c>
      <c r="B607" s="22" t="s">
        <v>15368</v>
      </c>
      <c r="C607" s="22" t="s">
        <v>13587</v>
      </c>
      <c r="D607" s="23">
        <v>176497</v>
      </c>
      <c r="E607" s="24">
        <v>1988</v>
      </c>
      <c r="F607" s="22" t="s">
        <v>13594</v>
      </c>
      <c r="G607" s="23" t="s">
        <v>13595</v>
      </c>
      <c r="H607" s="25" t="s">
        <v>15373</v>
      </c>
      <c r="I607" s="22" t="s">
        <v>15411</v>
      </c>
      <c r="J607" s="22" t="s">
        <v>13596</v>
      </c>
      <c r="K607" s="26">
        <f t="shared" si="9"/>
        <v>350</v>
      </c>
      <c r="N607" s="26">
        <v>525</v>
      </c>
      <c r="O607" s="22" t="s">
        <v>13597</v>
      </c>
      <c r="P607" s="22" t="s">
        <v>16871</v>
      </c>
      <c r="Q607" s="22">
        <v>91302</v>
      </c>
      <c r="R607" s="22" t="s">
        <v>13598</v>
      </c>
      <c r="S607" s="22" t="s">
        <v>13582</v>
      </c>
      <c r="T607" s="22">
        <v>8.17</v>
      </c>
      <c r="U607" s="22">
        <v>0.38</v>
      </c>
      <c r="X607" s="26"/>
      <c r="Y607" s="26"/>
    </row>
    <row r="608" spans="1:25" ht="25" x14ac:dyDescent="0.25">
      <c r="A608" s="21">
        <v>838</v>
      </c>
      <c r="B608" s="22" t="s">
        <v>15368</v>
      </c>
      <c r="C608" s="22" t="s">
        <v>13599</v>
      </c>
      <c r="D608" s="23">
        <v>254414</v>
      </c>
      <c r="E608" s="24">
        <v>1991</v>
      </c>
      <c r="F608" s="22" t="s">
        <v>13600</v>
      </c>
      <c r="G608" s="23" t="s">
        <v>13601</v>
      </c>
      <c r="H608" s="25" t="s">
        <v>15373</v>
      </c>
      <c r="I608" s="22" t="s">
        <v>15374</v>
      </c>
      <c r="J608" s="22">
        <v>3508</v>
      </c>
      <c r="K608" s="26">
        <f t="shared" si="9"/>
        <v>732</v>
      </c>
      <c r="N608" s="26">
        <v>1098</v>
      </c>
      <c r="O608" s="22" t="s">
        <v>13602</v>
      </c>
      <c r="P608" s="22" t="s">
        <v>15376</v>
      </c>
      <c r="Q608" s="22">
        <v>90045</v>
      </c>
      <c r="R608" s="22" t="s">
        <v>13603</v>
      </c>
      <c r="S608" s="22" t="s">
        <v>13604</v>
      </c>
      <c r="T608" s="22">
        <v>8.17</v>
      </c>
      <c r="U608" s="22">
        <v>0.38</v>
      </c>
      <c r="X608" s="26"/>
      <c r="Y608" s="26"/>
    </row>
    <row r="609" spans="1:25" ht="25" x14ac:dyDescent="0.25">
      <c r="A609" s="21">
        <v>839</v>
      </c>
      <c r="B609" s="22" t="s">
        <v>15368</v>
      </c>
      <c r="C609" s="22" t="s">
        <v>13599</v>
      </c>
      <c r="D609" s="23">
        <v>254415</v>
      </c>
      <c r="E609" s="24">
        <v>1991</v>
      </c>
      <c r="F609" s="22" t="s">
        <v>13605</v>
      </c>
      <c r="G609" s="23" t="s">
        <v>13601</v>
      </c>
      <c r="H609" s="25" t="s">
        <v>15373</v>
      </c>
      <c r="I609" s="22" t="s">
        <v>15374</v>
      </c>
      <c r="J609" s="22">
        <v>3508</v>
      </c>
      <c r="K609" s="26">
        <f t="shared" si="9"/>
        <v>732</v>
      </c>
      <c r="N609" s="26">
        <v>1098</v>
      </c>
      <c r="O609" s="22" t="s">
        <v>13602</v>
      </c>
      <c r="P609" s="22" t="s">
        <v>15376</v>
      </c>
      <c r="Q609" s="22">
        <v>90045</v>
      </c>
      <c r="R609" s="22" t="s">
        <v>13603</v>
      </c>
      <c r="S609" s="22" t="s">
        <v>13604</v>
      </c>
      <c r="T609" s="22">
        <v>8.17</v>
      </c>
      <c r="U609" s="22">
        <v>0.38</v>
      </c>
      <c r="X609" s="26"/>
      <c r="Y609" s="26"/>
    </row>
    <row r="610" spans="1:25" ht="25" x14ac:dyDescent="0.25">
      <c r="A610" s="21">
        <v>840</v>
      </c>
      <c r="B610" s="22" t="s">
        <v>15368</v>
      </c>
      <c r="C610" s="22" t="s">
        <v>13599</v>
      </c>
      <c r="D610" s="23">
        <v>254416</v>
      </c>
      <c r="E610" s="24">
        <v>1991</v>
      </c>
      <c r="F610" s="22" t="s">
        <v>13606</v>
      </c>
      <c r="G610" s="23" t="s">
        <v>13601</v>
      </c>
      <c r="H610" s="25" t="s">
        <v>15373</v>
      </c>
      <c r="I610" s="22" t="s">
        <v>15374</v>
      </c>
      <c r="J610" s="22">
        <v>3508</v>
      </c>
      <c r="K610" s="26">
        <f t="shared" si="9"/>
        <v>732</v>
      </c>
      <c r="N610" s="26">
        <v>1098</v>
      </c>
      <c r="O610" s="22" t="s">
        <v>13602</v>
      </c>
      <c r="P610" s="22" t="s">
        <v>15376</v>
      </c>
      <c r="Q610" s="22">
        <v>90045</v>
      </c>
      <c r="R610" s="22" t="s">
        <v>13603</v>
      </c>
      <c r="S610" s="22" t="s">
        <v>13604</v>
      </c>
      <c r="T610" s="22">
        <v>8.17</v>
      </c>
      <c r="U610" s="22">
        <v>0.38</v>
      </c>
      <c r="X610" s="26"/>
      <c r="Y610" s="26"/>
    </row>
    <row r="611" spans="1:25" ht="25" x14ac:dyDescent="0.25">
      <c r="A611" s="21">
        <v>841</v>
      </c>
      <c r="B611" s="22" t="s">
        <v>15368</v>
      </c>
      <c r="C611" s="22" t="s">
        <v>13599</v>
      </c>
      <c r="D611" s="23">
        <v>254417</v>
      </c>
      <c r="E611" s="24">
        <v>1991</v>
      </c>
      <c r="F611" s="22" t="s">
        <v>13607</v>
      </c>
      <c r="G611" s="23" t="s">
        <v>13601</v>
      </c>
      <c r="H611" s="25" t="s">
        <v>15373</v>
      </c>
      <c r="I611" s="22" t="s">
        <v>15374</v>
      </c>
      <c r="J611" s="22">
        <v>3508</v>
      </c>
      <c r="K611" s="26">
        <f t="shared" si="9"/>
        <v>732</v>
      </c>
      <c r="N611" s="26">
        <v>1098</v>
      </c>
      <c r="O611" s="22" t="s">
        <v>13608</v>
      </c>
      <c r="P611" s="22" t="s">
        <v>15376</v>
      </c>
      <c r="Q611" s="22">
        <v>90045</v>
      </c>
      <c r="R611" s="22" t="s">
        <v>13603</v>
      </c>
      <c r="S611" s="22" t="s">
        <v>13604</v>
      </c>
      <c r="T611" s="22">
        <v>8.17</v>
      </c>
      <c r="U611" s="22">
        <v>0.38</v>
      </c>
      <c r="X611" s="26"/>
      <c r="Y611" s="26"/>
    </row>
    <row r="612" spans="1:25" ht="25" x14ac:dyDescent="0.25">
      <c r="A612" s="21">
        <v>842</v>
      </c>
      <c r="B612" s="22" t="s">
        <v>15368</v>
      </c>
      <c r="C612" s="22" t="s">
        <v>13609</v>
      </c>
      <c r="D612" s="23">
        <v>371795</v>
      </c>
      <c r="E612" s="24">
        <v>2000</v>
      </c>
      <c r="F612" s="22" t="s">
        <v>13610</v>
      </c>
      <c r="G612" s="23" t="s">
        <v>13611</v>
      </c>
      <c r="H612" s="25" t="s">
        <v>15373</v>
      </c>
      <c r="I612" s="22" t="s">
        <v>15382</v>
      </c>
      <c r="J612" s="22" t="s">
        <v>13612</v>
      </c>
      <c r="K612" s="26">
        <f t="shared" si="9"/>
        <v>400</v>
      </c>
      <c r="N612" s="26">
        <v>600</v>
      </c>
      <c r="O612" s="22" t="s">
        <v>13613</v>
      </c>
      <c r="P612" s="22" t="s">
        <v>15537</v>
      </c>
      <c r="Q612" s="22">
        <v>92660</v>
      </c>
      <c r="R612" s="22" t="s">
        <v>13614</v>
      </c>
      <c r="S612" s="22" t="s">
        <v>13615</v>
      </c>
      <c r="T612" s="22">
        <v>6.9</v>
      </c>
      <c r="U612" s="22">
        <v>0.4</v>
      </c>
      <c r="X612" s="26"/>
      <c r="Y612" s="26"/>
    </row>
    <row r="613" spans="1:25" ht="25" x14ac:dyDescent="0.25">
      <c r="A613" s="21">
        <v>843</v>
      </c>
      <c r="B613" s="22" t="s">
        <v>15368</v>
      </c>
      <c r="C613" s="22" t="s">
        <v>13616</v>
      </c>
      <c r="D613" s="23">
        <v>340740</v>
      </c>
      <c r="E613" s="24">
        <v>1998</v>
      </c>
      <c r="F613" s="22" t="s">
        <v>13617</v>
      </c>
      <c r="G613" s="23" t="s">
        <v>13618</v>
      </c>
      <c r="H613" s="25" t="s">
        <v>15373</v>
      </c>
      <c r="I613" s="22" t="s">
        <v>15382</v>
      </c>
      <c r="J613" s="22" t="s">
        <v>13619</v>
      </c>
      <c r="K613" s="26">
        <f t="shared" si="9"/>
        <v>356.66666666666663</v>
      </c>
      <c r="N613" s="26">
        <v>535</v>
      </c>
      <c r="O613" s="22" t="s">
        <v>13620</v>
      </c>
      <c r="P613" s="22" t="s">
        <v>16813</v>
      </c>
      <c r="Q613" s="22" t="s">
        <v>13621</v>
      </c>
      <c r="R613" s="22" t="s">
        <v>13622</v>
      </c>
      <c r="S613" s="22" t="s">
        <v>13623</v>
      </c>
      <c r="T613" s="22">
        <v>6.9</v>
      </c>
      <c r="U613" s="22">
        <v>0.4</v>
      </c>
      <c r="X613" s="26"/>
      <c r="Y613" s="26"/>
    </row>
    <row r="614" spans="1:25" ht="25" x14ac:dyDescent="0.25">
      <c r="A614" s="21">
        <v>844</v>
      </c>
      <c r="B614" s="22" t="s">
        <v>15368</v>
      </c>
      <c r="C614" s="22" t="s">
        <v>13624</v>
      </c>
      <c r="D614" s="23">
        <v>373364</v>
      </c>
      <c r="E614" s="24">
        <v>2000</v>
      </c>
      <c r="F614" s="22" t="s">
        <v>13625</v>
      </c>
      <c r="G614" s="23" t="s">
        <v>13626</v>
      </c>
      <c r="H614" s="25" t="s">
        <v>15373</v>
      </c>
      <c r="I614" s="22" t="s">
        <v>15374</v>
      </c>
      <c r="J614" s="22" t="s">
        <v>15400</v>
      </c>
      <c r="K614" s="26">
        <f t="shared" si="9"/>
        <v>1436.6666666666665</v>
      </c>
      <c r="N614" s="26">
        <v>2155</v>
      </c>
      <c r="O614" s="22" t="s">
        <v>13627</v>
      </c>
      <c r="P614" s="22" t="s">
        <v>16490</v>
      </c>
      <c r="Q614" s="22">
        <v>92407</v>
      </c>
      <c r="R614" s="22" t="s">
        <v>13628</v>
      </c>
      <c r="S614" s="22" t="s">
        <v>13629</v>
      </c>
      <c r="T614" s="22">
        <v>6.9</v>
      </c>
      <c r="U614" s="22">
        <v>0.4</v>
      </c>
      <c r="X614" s="26"/>
      <c r="Y614" s="26"/>
    </row>
    <row r="615" spans="1:25" ht="37.5" x14ac:dyDescent="0.25">
      <c r="A615" s="21">
        <v>845</v>
      </c>
      <c r="B615" s="22" t="s">
        <v>15368</v>
      </c>
      <c r="C615" s="22" t="s">
        <v>13630</v>
      </c>
      <c r="D615" s="23">
        <v>379657</v>
      </c>
      <c r="E615" s="24">
        <v>2001</v>
      </c>
      <c r="F615" s="22" t="s">
        <v>13631</v>
      </c>
      <c r="G615" s="23" t="s">
        <v>13632</v>
      </c>
      <c r="H615" s="25" t="s">
        <v>15373</v>
      </c>
      <c r="I615" s="22" t="s">
        <v>15374</v>
      </c>
      <c r="J615" s="22" t="s">
        <v>15400</v>
      </c>
      <c r="K615" s="26">
        <f t="shared" si="9"/>
        <v>1436.6666666666665</v>
      </c>
      <c r="N615" s="26">
        <v>2155</v>
      </c>
      <c r="O615" s="22" t="s">
        <v>13633</v>
      </c>
      <c r="P615" s="22" t="s">
        <v>16863</v>
      </c>
      <c r="Q615" s="22">
        <v>92780</v>
      </c>
      <c r="R615" s="22" t="s">
        <v>13628</v>
      </c>
      <c r="S615" s="22" t="s">
        <v>13634</v>
      </c>
      <c r="T615" s="22">
        <v>6.9</v>
      </c>
      <c r="U615" s="22">
        <v>0.4</v>
      </c>
      <c r="X615" s="26"/>
      <c r="Y615" s="26"/>
    </row>
    <row r="616" spans="1:25" ht="37.5" x14ac:dyDescent="0.25">
      <c r="A616" s="21">
        <v>846</v>
      </c>
      <c r="B616" s="22" t="s">
        <v>15368</v>
      </c>
      <c r="C616" s="22" t="s">
        <v>13630</v>
      </c>
      <c r="D616" s="23">
        <v>379658</v>
      </c>
      <c r="E616" s="24">
        <v>2001</v>
      </c>
      <c r="F616" s="22" t="s">
        <v>13635</v>
      </c>
      <c r="G616" s="23" t="s">
        <v>13636</v>
      </c>
      <c r="H616" s="25" t="s">
        <v>15373</v>
      </c>
      <c r="I616" s="22" t="s">
        <v>15374</v>
      </c>
      <c r="J616" s="22" t="s">
        <v>15400</v>
      </c>
      <c r="K616" s="26">
        <f t="shared" si="9"/>
        <v>1436.6666666666665</v>
      </c>
      <c r="N616" s="26">
        <v>2155</v>
      </c>
      <c r="O616" s="22" t="s">
        <v>13633</v>
      </c>
      <c r="P616" s="22" t="s">
        <v>16863</v>
      </c>
      <c r="Q616" s="22">
        <v>92780</v>
      </c>
      <c r="R616" s="22" t="s">
        <v>13628</v>
      </c>
      <c r="S616" s="22" t="s">
        <v>13634</v>
      </c>
      <c r="T616" s="22">
        <v>6.9</v>
      </c>
      <c r="U616" s="22">
        <v>0.4</v>
      </c>
      <c r="X616" s="26"/>
      <c r="Y616" s="26"/>
    </row>
    <row r="617" spans="1:25" ht="25" x14ac:dyDescent="0.25">
      <c r="A617" s="21">
        <v>856</v>
      </c>
      <c r="B617" s="22" t="s">
        <v>15368</v>
      </c>
      <c r="C617" s="22" t="s">
        <v>13638</v>
      </c>
      <c r="D617" s="23">
        <v>364105</v>
      </c>
      <c r="E617" s="24">
        <v>1999</v>
      </c>
      <c r="F617" s="22" t="s">
        <v>13639</v>
      </c>
      <c r="G617" s="23" t="s">
        <v>13640</v>
      </c>
      <c r="H617" s="25" t="s">
        <v>15373</v>
      </c>
      <c r="I617" s="22" t="s">
        <v>15382</v>
      </c>
      <c r="J617" s="22" t="s">
        <v>15723</v>
      </c>
      <c r="K617" s="26">
        <f t="shared" si="9"/>
        <v>1233.3333333333333</v>
      </c>
      <c r="N617" s="26">
        <v>1850</v>
      </c>
      <c r="O617" s="22" t="s">
        <v>13641</v>
      </c>
      <c r="P617" s="22" t="s">
        <v>14256</v>
      </c>
      <c r="Q617" s="22">
        <v>91023</v>
      </c>
      <c r="R617" s="22" t="s">
        <v>13642</v>
      </c>
      <c r="S617" s="22" t="s">
        <v>13643</v>
      </c>
      <c r="T617" s="22">
        <v>8.17</v>
      </c>
      <c r="U617" s="22">
        <v>0.38</v>
      </c>
      <c r="X617" s="26"/>
      <c r="Y617" s="26"/>
    </row>
    <row r="618" spans="1:25" ht="25" x14ac:dyDescent="0.25">
      <c r="A618" s="21">
        <v>857</v>
      </c>
      <c r="B618" s="22" t="s">
        <v>15368</v>
      </c>
      <c r="C618" s="22" t="s">
        <v>13638</v>
      </c>
      <c r="D618" s="23">
        <v>364106</v>
      </c>
      <c r="E618" s="24">
        <v>1999</v>
      </c>
      <c r="F618" s="22" t="s">
        <v>13644</v>
      </c>
      <c r="G618" s="23" t="s">
        <v>13640</v>
      </c>
      <c r="H618" s="25" t="s">
        <v>15373</v>
      </c>
      <c r="I618" s="22" t="s">
        <v>15382</v>
      </c>
      <c r="J618" s="22" t="s">
        <v>15723</v>
      </c>
      <c r="K618" s="26">
        <f t="shared" si="9"/>
        <v>1233.3333333333333</v>
      </c>
      <c r="N618" s="26">
        <v>1850</v>
      </c>
      <c r="O618" s="22" t="s">
        <v>13641</v>
      </c>
      <c r="P618" s="22" t="s">
        <v>14256</v>
      </c>
      <c r="Q618" s="22">
        <v>91023</v>
      </c>
      <c r="R618" s="22" t="s">
        <v>13642</v>
      </c>
      <c r="S618" s="22" t="s">
        <v>13643</v>
      </c>
      <c r="T618" s="22">
        <v>8.17</v>
      </c>
      <c r="U618" s="22">
        <v>0.38</v>
      </c>
      <c r="X618" s="26"/>
      <c r="Y618" s="26"/>
    </row>
    <row r="619" spans="1:25" ht="25" x14ac:dyDescent="0.25">
      <c r="A619" s="21">
        <v>858</v>
      </c>
      <c r="B619" s="22" t="s">
        <v>15368</v>
      </c>
      <c r="C619" s="22" t="s">
        <v>13645</v>
      </c>
      <c r="D619" s="23">
        <v>277677</v>
      </c>
      <c r="E619" s="24">
        <v>1993</v>
      </c>
      <c r="F619" s="22" t="s">
        <v>13646</v>
      </c>
      <c r="G619" s="23" t="s">
        <v>13647</v>
      </c>
      <c r="H619" s="25" t="s">
        <v>15373</v>
      </c>
      <c r="I619" s="22" t="s">
        <v>15374</v>
      </c>
      <c r="J619" s="22">
        <v>3508</v>
      </c>
      <c r="K619" s="26">
        <f t="shared" si="9"/>
        <v>896</v>
      </c>
      <c r="N619" s="26">
        <v>1344</v>
      </c>
      <c r="O619" s="22" t="s">
        <v>13648</v>
      </c>
      <c r="P619" s="22" t="s">
        <v>13649</v>
      </c>
      <c r="Q619" s="22" t="s">
        <v>13650</v>
      </c>
      <c r="R619" s="22" t="s">
        <v>13651</v>
      </c>
      <c r="S619" s="22" t="s">
        <v>13652</v>
      </c>
      <c r="T619" s="22">
        <v>8.17</v>
      </c>
      <c r="U619" s="22">
        <v>0.38</v>
      </c>
      <c r="X619" s="26"/>
      <c r="Y619" s="26"/>
    </row>
    <row r="620" spans="1:25" ht="25" x14ac:dyDescent="0.25">
      <c r="A620" s="21">
        <v>859</v>
      </c>
      <c r="B620" s="22" t="s">
        <v>15368</v>
      </c>
      <c r="C620" s="22" t="s">
        <v>13645</v>
      </c>
      <c r="D620" s="23">
        <v>277678</v>
      </c>
      <c r="E620" s="24">
        <v>1993</v>
      </c>
      <c r="F620" s="22" t="s">
        <v>13653</v>
      </c>
      <c r="G620" s="23" t="s">
        <v>13654</v>
      </c>
      <c r="H620" s="25" t="s">
        <v>15373</v>
      </c>
      <c r="I620" s="22" t="s">
        <v>15374</v>
      </c>
      <c r="J620" s="22">
        <v>3508</v>
      </c>
      <c r="K620" s="26">
        <f t="shared" si="9"/>
        <v>896</v>
      </c>
      <c r="N620" s="26">
        <v>1344</v>
      </c>
      <c r="O620" s="22" t="s">
        <v>13648</v>
      </c>
      <c r="P620" s="22" t="s">
        <v>13649</v>
      </c>
      <c r="Q620" s="22" t="s">
        <v>13650</v>
      </c>
      <c r="R620" s="22" t="s">
        <v>13651</v>
      </c>
      <c r="S620" s="22" t="s">
        <v>13652</v>
      </c>
      <c r="T620" s="22">
        <v>8.17</v>
      </c>
      <c r="U620" s="22">
        <v>0.38</v>
      </c>
      <c r="X620" s="26"/>
      <c r="Y620" s="26"/>
    </row>
    <row r="621" spans="1:25" ht="25" x14ac:dyDescent="0.25">
      <c r="A621" s="21">
        <v>860</v>
      </c>
      <c r="B621" s="22" t="s">
        <v>15368</v>
      </c>
      <c r="C621" s="22" t="s">
        <v>13645</v>
      </c>
      <c r="D621" s="23">
        <v>334804</v>
      </c>
      <c r="E621" s="24">
        <v>1997</v>
      </c>
      <c r="F621" s="22" t="s">
        <v>13655</v>
      </c>
      <c r="G621" s="23" t="s">
        <v>13656</v>
      </c>
      <c r="H621" s="25" t="s">
        <v>15373</v>
      </c>
      <c r="I621" s="22" t="s">
        <v>15374</v>
      </c>
      <c r="J621" s="22">
        <v>3508</v>
      </c>
      <c r="K621" s="26">
        <f t="shared" si="9"/>
        <v>900</v>
      </c>
      <c r="L621" s="26">
        <v>900</v>
      </c>
      <c r="O621" s="22" t="s">
        <v>13648</v>
      </c>
      <c r="P621" s="22" t="s">
        <v>13649</v>
      </c>
      <c r="Q621" s="22" t="s">
        <v>13650</v>
      </c>
      <c r="R621" s="22" t="s">
        <v>13651</v>
      </c>
      <c r="S621" s="22" t="s">
        <v>13652</v>
      </c>
      <c r="T621" s="22">
        <v>8.17</v>
      </c>
      <c r="U621" s="22">
        <v>0.38</v>
      </c>
      <c r="X621" s="26"/>
      <c r="Y621" s="26"/>
    </row>
    <row r="622" spans="1:25" ht="25" x14ac:dyDescent="0.25">
      <c r="A622" s="21">
        <v>861</v>
      </c>
      <c r="B622" s="22" t="s">
        <v>15368</v>
      </c>
      <c r="C622" s="22" t="s">
        <v>13645</v>
      </c>
      <c r="D622" s="23">
        <v>334805</v>
      </c>
      <c r="E622" s="24">
        <v>1997</v>
      </c>
      <c r="F622" s="22" t="s">
        <v>13657</v>
      </c>
      <c r="G622" s="23" t="s">
        <v>13656</v>
      </c>
      <c r="H622" s="25" t="s">
        <v>15373</v>
      </c>
      <c r="I622" s="22" t="s">
        <v>15374</v>
      </c>
      <c r="J622" s="22">
        <v>3508</v>
      </c>
      <c r="K622" s="26">
        <f t="shared" si="9"/>
        <v>900</v>
      </c>
      <c r="L622" s="26">
        <v>900</v>
      </c>
      <c r="O622" s="22" t="s">
        <v>13648</v>
      </c>
      <c r="P622" s="22" t="s">
        <v>13649</v>
      </c>
      <c r="Q622" s="22" t="s">
        <v>13650</v>
      </c>
      <c r="R622" s="22" t="s">
        <v>13651</v>
      </c>
      <c r="S622" s="22" t="s">
        <v>13652</v>
      </c>
      <c r="T622" s="22">
        <v>8.17</v>
      </c>
      <c r="U622" s="22">
        <v>0.38</v>
      </c>
      <c r="X622" s="26"/>
      <c r="Y622" s="26"/>
    </row>
    <row r="623" spans="1:25" ht="25" x14ac:dyDescent="0.25">
      <c r="A623" s="21">
        <v>862</v>
      </c>
      <c r="B623" s="22" t="s">
        <v>15368</v>
      </c>
      <c r="C623" s="22" t="s">
        <v>13658</v>
      </c>
      <c r="D623" s="23">
        <v>294827</v>
      </c>
      <c r="E623" s="24">
        <v>1994</v>
      </c>
      <c r="F623" s="22" t="s">
        <v>13659</v>
      </c>
      <c r="G623" s="23" t="s">
        <v>13660</v>
      </c>
      <c r="H623" s="25" t="s">
        <v>15373</v>
      </c>
      <c r="I623" s="22" t="s">
        <v>15374</v>
      </c>
      <c r="J623" s="22">
        <v>3412</v>
      </c>
      <c r="K623" s="26">
        <f t="shared" si="9"/>
        <v>444.66666666666663</v>
      </c>
      <c r="N623" s="26">
        <v>667</v>
      </c>
      <c r="O623" s="22" t="s">
        <v>13661</v>
      </c>
      <c r="P623" s="22" t="s">
        <v>15740</v>
      </c>
      <c r="Q623" s="22" t="s">
        <v>13662</v>
      </c>
      <c r="R623" s="22" t="s">
        <v>13663</v>
      </c>
      <c r="S623" s="22" t="s">
        <v>13664</v>
      </c>
      <c r="T623" s="22">
        <v>8.17</v>
      </c>
      <c r="U623" s="22">
        <v>0.38</v>
      </c>
      <c r="X623" s="26"/>
      <c r="Y623" s="26"/>
    </row>
    <row r="624" spans="1:25" ht="25" x14ac:dyDescent="0.25">
      <c r="A624" s="21">
        <v>863</v>
      </c>
      <c r="B624" s="22" t="s">
        <v>15368</v>
      </c>
      <c r="C624" s="22" t="s">
        <v>13665</v>
      </c>
      <c r="D624" s="23">
        <v>181932</v>
      </c>
      <c r="E624" s="24">
        <v>1989</v>
      </c>
      <c r="F624" s="22" t="s">
        <v>13666</v>
      </c>
      <c r="G624" s="23" t="s">
        <v>13667</v>
      </c>
      <c r="H624" s="25" t="s">
        <v>15373</v>
      </c>
      <c r="I624" s="22" t="s">
        <v>16421</v>
      </c>
      <c r="J624" s="22" t="s">
        <v>13668</v>
      </c>
      <c r="K624" s="26">
        <f t="shared" si="9"/>
        <v>347.33333333333331</v>
      </c>
      <c r="N624" s="26">
        <v>521</v>
      </c>
      <c r="O624" s="22" t="s">
        <v>13669</v>
      </c>
      <c r="P624" s="22" t="s">
        <v>15740</v>
      </c>
      <c r="Q624" s="22">
        <v>90815</v>
      </c>
      <c r="R624" s="22" t="s">
        <v>13670</v>
      </c>
      <c r="S624" s="22" t="s">
        <v>13671</v>
      </c>
      <c r="T624" s="22">
        <v>8.17</v>
      </c>
      <c r="U624" s="22">
        <v>0.38</v>
      </c>
      <c r="X624" s="26"/>
      <c r="Y624" s="26"/>
    </row>
    <row r="625" spans="1:25" ht="25" x14ac:dyDescent="0.25">
      <c r="A625" s="21">
        <v>864</v>
      </c>
      <c r="B625" s="22" t="s">
        <v>15368</v>
      </c>
      <c r="C625" s="22" t="s">
        <v>13672</v>
      </c>
      <c r="D625" s="23">
        <v>337389</v>
      </c>
      <c r="E625" s="24">
        <v>1998</v>
      </c>
      <c r="F625" s="22" t="s">
        <v>13673</v>
      </c>
      <c r="G625" s="23" t="s">
        <v>13674</v>
      </c>
      <c r="H625" s="25" t="s">
        <v>15373</v>
      </c>
      <c r="I625" s="22" t="s">
        <v>15374</v>
      </c>
      <c r="J625" s="22" t="s">
        <v>15420</v>
      </c>
      <c r="K625" s="26">
        <f t="shared" si="9"/>
        <v>1000</v>
      </c>
      <c r="L625" s="26">
        <v>1000</v>
      </c>
      <c r="O625" s="22" t="s">
        <v>13675</v>
      </c>
      <c r="P625" s="22" t="s">
        <v>15740</v>
      </c>
      <c r="Q625" s="22">
        <v>90802</v>
      </c>
      <c r="R625" s="22" t="s">
        <v>13676</v>
      </c>
      <c r="S625" s="22" t="s">
        <v>13677</v>
      </c>
      <c r="T625" s="22">
        <v>8.17</v>
      </c>
      <c r="U625" s="22">
        <v>0.38</v>
      </c>
      <c r="X625" s="26"/>
      <c r="Y625" s="26"/>
    </row>
    <row r="626" spans="1:25" ht="25" x14ac:dyDescent="0.25">
      <c r="A626" s="21">
        <v>866</v>
      </c>
      <c r="B626" s="22" t="s">
        <v>15368</v>
      </c>
      <c r="C626" s="22" t="s">
        <v>13678</v>
      </c>
      <c r="D626" s="23">
        <v>247636</v>
      </c>
      <c r="E626" s="24">
        <v>1991</v>
      </c>
      <c r="F626" s="22" t="s">
        <v>13679</v>
      </c>
      <c r="G626" s="23" t="s">
        <v>13680</v>
      </c>
      <c r="H626" s="25" t="s">
        <v>15373</v>
      </c>
      <c r="I626" s="22" t="s">
        <v>15382</v>
      </c>
      <c r="J626" s="22" t="s">
        <v>13681</v>
      </c>
      <c r="K626" s="26">
        <f t="shared" si="9"/>
        <v>423.33333333333331</v>
      </c>
      <c r="N626" s="26">
        <v>635</v>
      </c>
      <c r="O626" s="22" t="s">
        <v>13682</v>
      </c>
      <c r="P626" s="22" t="s">
        <v>15740</v>
      </c>
      <c r="Q626" s="22">
        <v>90802</v>
      </c>
      <c r="R626" s="22" t="s">
        <v>13683</v>
      </c>
      <c r="S626" s="22" t="s">
        <v>13684</v>
      </c>
      <c r="T626" s="22">
        <v>8.17</v>
      </c>
      <c r="U626" s="22">
        <v>0.38</v>
      </c>
      <c r="X626" s="26"/>
      <c r="Y626" s="26"/>
    </row>
    <row r="627" spans="1:25" ht="25" x14ac:dyDescent="0.25">
      <c r="A627" s="21">
        <v>867</v>
      </c>
      <c r="B627" s="22" t="s">
        <v>15368</v>
      </c>
      <c r="C627" s="22" t="s">
        <v>13678</v>
      </c>
      <c r="D627" s="23">
        <v>247637</v>
      </c>
      <c r="E627" s="24">
        <v>1991</v>
      </c>
      <c r="F627" s="22" t="s">
        <v>13685</v>
      </c>
      <c r="G627" s="23" t="s">
        <v>13686</v>
      </c>
      <c r="H627" s="25" t="s">
        <v>15373</v>
      </c>
      <c r="I627" s="22" t="s">
        <v>16160</v>
      </c>
      <c r="J627" s="22" t="s">
        <v>13687</v>
      </c>
      <c r="K627" s="26">
        <f t="shared" si="9"/>
        <v>420.66666666666663</v>
      </c>
      <c r="N627" s="26">
        <v>631</v>
      </c>
      <c r="O627" s="22" t="s">
        <v>13682</v>
      </c>
      <c r="P627" s="22" t="s">
        <v>15740</v>
      </c>
      <c r="Q627" s="22">
        <v>90802</v>
      </c>
      <c r="R627" s="22" t="s">
        <v>13683</v>
      </c>
      <c r="S627" s="22" t="s">
        <v>13684</v>
      </c>
      <c r="T627" s="22">
        <v>8.17</v>
      </c>
      <c r="U627" s="22">
        <v>0.38</v>
      </c>
      <c r="X627" s="26"/>
      <c r="Y627" s="26"/>
    </row>
    <row r="628" spans="1:25" ht="25" x14ac:dyDescent="0.25">
      <c r="A628" s="21">
        <v>868</v>
      </c>
      <c r="B628" s="22" t="s">
        <v>15368</v>
      </c>
      <c r="C628" s="22" t="s">
        <v>13688</v>
      </c>
      <c r="D628" s="23">
        <v>278399</v>
      </c>
      <c r="E628" s="24">
        <v>1993</v>
      </c>
      <c r="F628" s="22" t="s">
        <v>13689</v>
      </c>
      <c r="G628" s="23" t="s">
        <v>13690</v>
      </c>
      <c r="H628" s="25" t="s">
        <v>15373</v>
      </c>
      <c r="I628" s="22" t="s">
        <v>15374</v>
      </c>
      <c r="J628" s="22" t="s">
        <v>16899</v>
      </c>
      <c r="K628" s="26">
        <f t="shared" si="9"/>
        <v>593.33333333333326</v>
      </c>
      <c r="N628" s="26">
        <v>890</v>
      </c>
      <c r="O628" s="22" t="s">
        <v>13691</v>
      </c>
      <c r="P628" s="22" t="s">
        <v>15740</v>
      </c>
      <c r="Q628" s="22" t="s">
        <v>13692</v>
      </c>
      <c r="R628" s="22" t="s">
        <v>13693</v>
      </c>
      <c r="S628" s="22" t="s">
        <v>13694</v>
      </c>
      <c r="T628" s="22">
        <v>8.17</v>
      </c>
      <c r="U628" s="22">
        <v>0.38</v>
      </c>
      <c r="X628" s="26"/>
      <c r="Y628" s="26"/>
    </row>
    <row r="629" spans="1:25" ht="37.5" x14ac:dyDescent="0.25">
      <c r="A629" s="21">
        <v>869</v>
      </c>
      <c r="B629" s="22" t="s">
        <v>15368</v>
      </c>
      <c r="C629" s="22" t="s">
        <v>13695</v>
      </c>
      <c r="D629" s="23">
        <v>262624</v>
      </c>
      <c r="E629" s="24">
        <v>1992</v>
      </c>
      <c r="F629" s="22" t="s">
        <v>13696</v>
      </c>
      <c r="G629" s="23" t="s">
        <v>13697</v>
      </c>
      <c r="H629" s="25" t="s">
        <v>15913</v>
      </c>
      <c r="I629" s="22" t="s">
        <v>15374</v>
      </c>
      <c r="J629" s="22" t="s">
        <v>13698</v>
      </c>
      <c r="K629" s="26">
        <f t="shared" si="9"/>
        <v>450</v>
      </c>
      <c r="N629" s="26">
        <v>675</v>
      </c>
      <c r="O629" s="22" t="s">
        <v>13699</v>
      </c>
      <c r="P629" s="22" t="s">
        <v>15740</v>
      </c>
      <c r="Q629" s="22">
        <v>90806</v>
      </c>
      <c r="R629" s="22" t="s">
        <v>13700</v>
      </c>
      <c r="S629" s="22" t="s">
        <v>13701</v>
      </c>
      <c r="X629" s="26"/>
      <c r="Y629" s="26"/>
    </row>
    <row r="630" spans="1:25" ht="25" x14ac:dyDescent="0.25">
      <c r="A630" s="21">
        <v>870</v>
      </c>
      <c r="B630" s="22" t="s">
        <v>15368</v>
      </c>
      <c r="C630" s="22" t="s">
        <v>13702</v>
      </c>
      <c r="D630" s="23">
        <v>225168</v>
      </c>
      <c r="E630" s="24">
        <v>1990</v>
      </c>
      <c r="F630" s="22" t="s">
        <v>13703</v>
      </c>
      <c r="G630" s="23" t="s">
        <v>13704</v>
      </c>
      <c r="H630" s="25" t="s">
        <v>15373</v>
      </c>
      <c r="I630" s="22" t="s">
        <v>15374</v>
      </c>
      <c r="J630" s="22">
        <v>3406</v>
      </c>
      <c r="K630" s="26">
        <f t="shared" si="9"/>
        <v>346</v>
      </c>
      <c r="N630" s="26">
        <v>519</v>
      </c>
      <c r="O630" s="22" t="s">
        <v>13705</v>
      </c>
      <c r="P630" s="22" t="s">
        <v>15740</v>
      </c>
      <c r="Q630" s="22">
        <v>90802</v>
      </c>
      <c r="R630" s="22" t="s">
        <v>13706</v>
      </c>
      <c r="S630" s="22" t="s">
        <v>13707</v>
      </c>
      <c r="T630" s="22">
        <v>8.17</v>
      </c>
      <c r="U630" s="22">
        <v>0.38</v>
      </c>
      <c r="X630" s="26"/>
      <c r="Y630" s="26"/>
    </row>
    <row r="631" spans="1:25" ht="25" x14ac:dyDescent="0.25">
      <c r="A631" s="21">
        <v>871</v>
      </c>
      <c r="B631" s="22" t="s">
        <v>15368</v>
      </c>
      <c r="C631" s="22" t="s">
        <v>13708</v>
      </c>
      <c r="D631" s="23">
        <v>287673</v>
      </c>
      <c r="E631" s="24">
        <v>1993</v>
      </c>
      <c r="F631" s="22" t="s">
        <v>13709</v>
      </c>
      <c r="G631" s="23" t="s">
        <v>13710</v>
      </c>
      <c r="H631" s="25" t="s">
        <v>15373</v>
      </c>
      <c r="I631" s="22" t="s">
        <v>15382</v>
      </c>
      <c r="J631" s="22" t="s">
        <v>13380</v>
      </c>
      <c r="K631" s="26">
        <f t="shared" si="9"/>
        <v>456.66666666666663</v>
      </c>
      <c r="N631" s="26">
        <v>685</v>
      </c>
      <c r="O631" s="22" t="s">
        <v>13711</v>
      </c>
      <c r="P631" s="22" t="s">
        <v>15740</v>
      </c>
      <c r="Q631" s="22">
        <v>90801</v>
      </c>
      <c r="R631" s="22" t="s">
        <v>13712</v>
      </c>
      <c r="S631" s="22" t="s">
        <v>13713</v>
      </c>
      <c r="T631" s="22">
        <v>8.17</v>
      </c>
      <c r="U631" s="22">
        <v>0.38</v>
      </c>
      <c r="X631" s="26"/>
      <c r="Y631" s="26"/>
    </row>
    <row r="632" spans="1:25" ht="25" x14ac:dyDescent="0.25">
      <c r="A632" s="21">
        <v>872</v>
      </c>
      <c r="B632" s="22" t="s">
        <v>15368</v>
      </c>
      <c r="C632" s="22" t="s">
        <v>13708</v>
      </c>
      <c r="D632" s="23">
        <v>287674</v>
      </c>
      <c r="E632" s="24">
        <v>1993</v>
      </c>
      <c r="F632" s="22" t="s">
        <v>13714</v>
      </c>
      <c r="G632" s="23" t="s">
        <v>13715</v>
      </c>
      <c r="H632" s="25" t="s">
        <v>15373</v>
      </c>
      <c r="I632" s="22" t="s">
        <v>15382</v>
      </c>
      <c r="J632" s="22" t="s">
        <v>16811</v>
      </c>
      <c r="K632" s="26">
        <f t="shared" si="9"/>
        <v>356.66666666666663</v>
      </c>
      <c r="N632" s="26">
        <v>535</v>
      </c>
      <c r="O632" s="22" t="s">
        <v>13711</v>
      </c>
      <c r="P632" s="22" t="s">
        <v>15740</v>
      </c>
      <c r="Q632" s="22">
        <v>90801</v>
      </c>
      <c r="R632" s="22" t="s">
        <v>13712</v>
      </c>
      <c r="S632" s="22" t="s">
        <v>13713</v>
      </c>
      <c r="T632" s="22">
        <v>8.17</v>
      </c>
      <c r="U632" s="22">
        <v>0.38</v>
      </c>
      <c r="X632" s="26"/>
      <c r="Y632" s="26"/>
    </row>
    <row r="633" spans="1:25" ht="25" x14ac:dyDescent="0.25">
      <c r="A633" s="21">
        <v>873</v>
      </c>
      <c r="B633" s="22" t="s">
        <v>15368</v>
      </c>
      <c r="C633" s="22" t="s">
        <v>13708</v>
      </c>
      <c r="D633" s="23">
        <v>287675</v>
      </c>
      <c r="E633" s="24">
        <v>1993</v>
      </c>
      <c r="F633" s="22" t="s">
        <v>13716</v>
      </c>
      <c r="G633" s="23" t="s">
        <v>13717</v>
      </c>
      <c r="H633" s="25" t="s">
        <v>15373</v>
      </c>
      <c r="I633" s="22" t="s">
        <v>15382</v>
      </c>
      <c r="J633" s="22" t="s">
        <v>16811</v>
      </c>
      <c r="K633" s="26">
        <f t="shared" si="9"/>
        <v>356.66666666666663</v>
      </c>
      <c r="N633" s="26">
        <v>535</v>
      </c>
      <c r="O633" s="22" t="s">
        <v>13711</v>
      </c>
      <c r="P633" s="22" t="s">
        <v>15740</v>
      </c>
      <c r="Q633" s="22">
        <v>90801</v>
      </c>
      <c r="R633" s="22" t="s">
        <v>13712</v>
      </c>
      <c r="S633" s="22" t="s">
        <v>13713</v>
      </c>
      <c r="T633" s="22">
        <v>8.17</v>
      </c>
      <c r="U633" s="22">
        <v>0.38</v>
      </c>
      <c r="X633" s="26"/>
      <c r="Y633" s="26"/>
    </row>
    <row r="634" spans="1:25" ht="25" x14ac:dyDescent="0.25">
      <c r="A634" s="21">
        <v>874</v>
      </c>
      <c r="B634" s="22" t="s">
        <v>15368</v>
      </c>
      <c r="C634" s="22" t="s">
        <v>13708</v>
      </c>
      <c r="D634" s="23">
        <v>287677</v>
      </c>
      <c r="E634" s="24">
        <v>1993</v>
      </c>
      <c r="F634" s="22" t="s">
        <v>13718</v>
      </c>
      <c r="G634" s="23" t="s">
        <v>13719</v>
      </c>
      <c r="H634" s="25" t="s">
        <v>15373</v>
      </c>
      <c r="I634" s="22" t="s">
        <v>15382</v>
      </c>
      <c r="J634" s="22" t="s">
        <v>16811</v>
      </c>
      <c r="K634" s="26">
        <f t="shared" si="9"/>
        <v>356.66666666666663</v>
      </c>
      <c r="N634" s="26">
        <v>535</v>
      </c>
      <c r="O634" s="22" t="s">
        <v>13711</v>
      </c>
      <c r="P634" s="22" t="s">
        <v>15740</v>
      </c>
      <c r="Q634" s="22">
        <v>90801</v>
      </c>
      <c r="R634" s="22" t="s">
        <v>13712</v>
      </c>
      <c r="S634" s="22" t="s">
        <v>13713</v>
      </c>
      <c r="T634" s="22">
        <v>8.17</v>
      </c>
      <c r="U634" s="22">
        <v>0.38</v>
      </c>
      <c r="X634" s="26"/>
      <c r="Y634" s="26"/>
    </row>
    <row r="635" spans="1:25" ht="25" x14ac:dyDescent="0.25">
      <c r="A635" s="21">
        <v>875</v>
      </c>
      <c r="B635" s="22" t="s">
        <v>15368</v>
      </c>
      <c r="C635" s="22" t="s">
        <v>13708</v>
      </c>
      <c r="D635" s="23">
        <v>287678</v>
      </c>
      <c r="E635" s="24">
        <v>1993</v>
      </c>
      <c r="F635" s="22" t="s">
        <v>13720</v>
      </c>
      <c r="G635" s="23" t="s">
        <v>13721</v>
      </c>
      <c r="H635" s="25" t="s">
        <v>15373</v>
      </c>
      <c r="I635" s="22" t="s">
        <v>15382</v>
      </c>
      <c r="J635" s="22" t="s">
        <v>16811</v>
      </c>
      <c r="K635" s="26">
        <f t="shared" si="9"/>
        <v>356.66666666666663</v>
      </c>
      <c r="N635" s="26">
        <v>535</v>
      </c>
      <c r="O635" s="22" t="s">
        <v>13711</v>
      </c>
      <c r="P635" s="22" t="s">
        <v>15740</v>
      </c>
      <c r="Q635" s="22">
        <v>90801</v>
      </c>
      <c r="R635" s="22" t="s">
        <v>13712</v>
      </c>
      <c r="S635" s="22" t="s">
        <v>13713</v>
      </c>
      <c r="T635" s="22">
        <v>8.17</v>
      </c>
      <c r="U635" s="22">
        <v>0.38</v>
      </c>
      <c r="X635" s="26"/>
      <c r="Y635" s="26"/>
    </row>
    <row r="636" spans="1:25" ht="37.5" x14ac:dyDescent="0.25">
      <c r="A636" s="21">
        <v>876</v>
      </c>
      <c r="B636" s="22" t="s">
        <v>15368</v>
      </c>
      <c r="C636" s="22" t="s">
        <v>13708</v>
      </c>
      <c r="D636" s="23">
        <v>349892</v>
      </c>
      <c r="E636" s="24">
        <v>1999</v>
      </c>
      <c r="F636" s="22" t="s">
        <v>13722</v>
      </c>
      <c r="G636" s="23" t="s">
        <v>13723</v>
      </c>
      <c r="H636" s="25" t="s">
        <v>15373</v>
      </c>
      <c r="I636" s="22" t="s">
        <v>15382</v>
      </c>
      <c r="J636" s="22" t="s">
        <v>13380</v>
      </c>
      <c r="K636" s="26">
        <f t="shared" si="9"/>
        <v>456.66666666666663</v>
      </c>
      <c r="N636" s="26">
        <v>685</v>
      </c>
      <c r="O636" s="22" t="s">
        <v>13711</v>
      </c>
      <c r="P636" s="22" t="s">
        <v>15740</v>
      </c>
      <c r="Q636" s="22">
        <v>90801</v>
      </c>
      <c r="R636" s="22" t="s">
        <v>13712</v>
      </c>
      <c r="S636" s="22" t="s">
        <v>13713</v>
      </c>
      <c r="T636" s="22">
        <v>6.9</v>
      </c>
      <c r="U636" s="22">
        <v>0.4</v>
      </c>
      <c r="X636" s="26"/>
      <c r="Y636" s="26"/>
    </row>
    <row r="637" spans="1:25" ht="37.5" x14ac:dyDescent="0.25">
      <c r="A637" s="21">
        <v>877</v>
      </c>
      <c r="B637" s="22" t="s">
        <v>15368</v>
      </c>
      <c r="C637" s="22" t="s">
        <v>13708</v>
      </c>
      <c r="D637" s="23">
        <v>349893</v>
      </c>
      <c r="E637" s="24">
        <v>1999</v>
      </c>
      <c r="F637" s="22" t="s">
        <v>13724</v>
      </c>
      <c r="G637" s="23" t="s">
        <v>13725</v>
      </c>
      <c r="H637" s="25" t="s">
        <v>15373</v>
      </c>
      <c r="I637" s="22" t="s">
        <v>15382</v>
      </c>
      <c r="J637" s="22" t="s">
        <v>13380</v>
      </c>
      <c r="K637" s="26">
        <f t="shared" si="9"/>
        <v>456.66666666666663</v>
      </c>
      <c r="N637" s="26">
        <v>685</v>
      </c>
      <c r="O637" s="22" t="s">
        <v>13711</v>
      </c>
      <c r="P637" s="22" t="s">
        <v>15740</v>
      </c>
      <c r="Q637" s="22">
        <v>90801</v>
      </c>
      <c r="R637" s="22" t="s">
        <v>13712</v>
      </c>
      <c r="S637" s="22" t="s">
        <v>13713</v>
      </c>
      <c r="T637" s="22">
        <v>6.9</v>
      </c>
      <c r="U637" s="22">
        <v>0.4</v>
      </c>
      <c r="X637" s="26"/>
      <c r="Y637" s="26"/>
    </row>
    <row r="638" spans="1:25" ht="25" x14ac:dyDescent="0.25">
      <c r="A638" s="21">
        <v>878</v>
      </c>
      <c r="B638" s="22" t="s">
        <v>15368</v>
      </c>
      <c r="C638" s="22" t="s">
        <v>13708</v>
      </c>
      <c r="D638" s="23">
        <v>349894</v>
      </c>
      <c r="E638" s="24">
        <v>1999</v>
      </c>
      <c r="F638" s="22" t="s">
        <v>13726</v>
      </c>
      <c r="G638" s="23" t="s">
        <v>13727</v>
      </c>
      <c r="H638" s="25" t="s">
        <v>15373</v>
      </c>
      <c r="I638" s="22" t="s">
        <v>15382</v>
      </c>
      <c r="J638" s="22" t="s">
        <v>13380</v>
      </c>
      <c r="K638" s="26">
        <f t="shared" si="9"/>
        <v>456.66666666666663</v>
      </c>
      <c r="N638" s="26">
        <v>685</v>
      </c>
      <c r="O638" s="22" t="s">
        <v>13711</v>
      </c>
      <c r="P638" s="22" t="s">
        <v>15740</v>
      </c>
      <c r="Q638" s="22">
        <v>90801</v>
      </c>
      <c r="R638" s="22" t="s">
        <v>13712</v>
      </c>
      <c r="S638" s="22" t="s">
        <v>13713</v>
      </c>
      <c r="T638" s="22">
        <v>6.9</v>
      </c>
      <c r="U638" s="22">
        <v>0.4</v>
      </c>
      <c r="X638" s="26"/>
      <c r="Y638" s="26"/>
    </row>
    <row r="639" spans="1:25" ht="25" x14ac:dyDescent="0.25">
      <c r="A639" s="21">
        <v>879</v>
      </c>
      <c r="B639" s="22" t="s">
        <v>15368</v>
      </c>
      <c r="C639" s="22" t="s">
        <v>13728</v>
      </c>
      <c r="D639" s="23">
        <v>287941</v>
      </c>
      <c r="E639" s="24">
        <v>1993</v>
      </c>
      <c r="F639" s="22" t="s">
        <v>13729</v>
      </c>
      <c r="G639" s="23" t="s">
        <v>13730</v>
      </c>
      <c r="H639" s="25" t="s">
        <v>15373</v>
      </c>
      <c r="I639" s="22" t="s">
        <v>15374</v>
      </c>
      <c r="J639" s="22" t="s">
        <v>14709</v>
      </c>
      <c r="K639" s="26">
        <f t="shared" si="9"/>
        <v>600</v>
      </c>
      <c r="L639" s="26">
        <v>600</v>
      </c>
      <c r="O639" s="22" t="s">
        <v>13731</v>
      </c>
      <c r="P639" s="22" t="s">
        <v>15740</v>
      </c>
      <c r="Q639" s="22">
        <v>90801</v>
      </c>
      <c r="R639" s="22" t="s">
        <v>13732</v>
      </c>
      <c r="S639" s="22" t="s">
        <v>13733</v>
      </c>
      <c r="T639" s="22">
        <v>8.17</v>
      </c>
      <c r="U639" s="22">
        <v>0.38</v>
      </c>
      <c r="X639" s="26"/>
      <c r="Y639" s="26"/>
    </row>
    <row r="640" spans="1:25" ht="25" x14ac:dyDescent="0.25">
      <c r="A640" s="21">
        <v>882</v>
      </c>
      <c r="B640" s="22" t="s">
        <v>15368</v>
      </c>
      <c r="C640" s="22" t="s">
        <v>13734</v>
      </c>
      <c r="D640" s="23">
        <v>177089</v>
      </c>
      <c r="E640" s="24">
        <v>1988</v>
      </c>
      <c r="F640" s="22" t="s">
        <v>13735</v>
      </c>
      <c r="G640" s="23" t="s">
        <v>13736</v>
      </c>
      <c r="H640" s="25" t="s">
        <v>15373</v>
      </c>
      <c r="I640" s="22" t="s">
        <v>15382</v>
      </c>
      <c r="J640" s="22" t="s">
        <v>13737</v>
      </c>
      <c r="K640" s="26">
        <f t="shared" si="9"/>
        <v>993.33333333333326</v>
      </c>
      <c r="N640" s="26">
        <v>1490</v>
      </c>
      <c r="O640" s="22" t="s">
        <v>13738</v>
      </c>
      <c r="P640" s="22" t="s">
        <v>15376</v>
      </c>
      <c r="Q640" s="22">
        <v>90045</v>
      </c>
      <c r="R640" s="22" t="s">
        <v>13739</v>
      </c>
      <c r="S640" s="22" t="s">
        <v>13740</v>
      </c>
      <c r="T640" s="22">
        <v>8.17</v>
      </c>
      <c r="U640" s="22">
        <v>0.38</v>
      </c>
      <c r="X640" s="26"/>
      <c r="Y640" s="26"/>
    </row>
    <row r="641" spans="1:25" ht="25" x14ac:dyDescent="0.25">
      <c r="A641" s="21">
        <v>883</v>
      </c>
      <c r="B641" s="22" t="s">
        <v>15368</v>
      </c>
      <c r="C641" s="22" t="s">
        <v>13734</v>
      </c>
      <c r="D641" s="23">
        <v>177090</v>
      </c>
      <c r="E641" s="24">
        <v>1988</v>
      </c>
      <c r="F641" s="22" t="s">
        <v>13741</v>
      </c>
      <c r="G641" s="23" t="s">
        <v>13742</v>
      </c>
      <c r="H641" s="25" t="s">
        <v>15373</v>
      </c>
      <c r="I641" s="22" t="s">
        <v>15382</v>
      </c>
      <c r="J641" s="22" t="s">
        <v>13743</v>
      </c>
      <c r="K641" s="26">
        <f t="shared" si="9"/>
        <v>756.66666666666663</v>
      </c>
      <c r="N641" s="26">
        <v>1135</v>
      </c>
      <c r="O641" s="22" t="s">
        <v>13738</v>
      </c>
      <c r="P641" s="22" t="s">
        <v>15376</v>
      </c>
      <c r="Q641" s="22">
        <v>90045</v>
      </c>
      <c r="R641" s="22" t="s">
        <v>13739</v>
      </c>
      <c r="S641" s="22" t="s">
        <v>13740</v>
      </c>
      <c r="T641" s="22">
        <v>8.17</v>
      </c>
      <c r="U641" s="22">
        <v>0.38</v>
      </c>
      <c r="X641" s="26"/>
      <c r="Y641" s="26"/>
    </row>
    <row r="642" spans="1:25" ht="25" x14ac:dyDescent="0.25">
      <c r="A642" s="21">
        <v>884</v>
      </c>
      <c r="B642" s="22" t="s">
        <v>15368</v>
      </c>
      <c r="C642" s="22" t="s">
        <v>13744</v>
      </c>
      <c r="D642" s="23">
        <v>316160</v>
      </c>
      <c r="E642" s="24">
        <v>1996</v>
      </c>
      <c r="F642" s="22" t="s">
        <v>13745</v>
      </c>
      <c r="G642" s="23" t="s">
        <v>13746</v>
      </c>
      <c r="H642" s="25" t="s">
        <v>15373</v>
      </c>
      <c r="I642" s="22" t="s">
        <v>15382</v>
      </c>
      <c r="J642" s="22" t="s">
        <v>15640</v>
      </c>
      <c r="K642" s="26">
        <f t="shared" ref="K642:K705" si="10">L642+M642*(2/3)+N642*(2/3)</f>
        <v>993.33333333333326</v>
      </c>
      <c r="N642" s="26">
        <v>1490</v>
      </c>
      <c r="O642" s="22" t="s">
        <v>13747</v>
      </c>
      <c r="P642" s="22" t="s">
        <v>13748</v>
      </c>
      <c r="Q642" s="22">
        <v>92807</v>
      </c>
      <c r="R642" s="22" t="s">
        <v>13749</v>
      </c>
      <c r="S642" s="22" t="s">
        <v>13750</v>
      </c>
      <c r="T642" s="22">
        <v>8.17</v>
      </c>
      <c r="U642" s="22">
        <v>0.38</v>
      </c>
      <c r="X642" s="26"/>
      <c r="Y642" s="26"/>
    </row>
    <row r="643" spans="1:25" ht="37.5" x14ac:dyDescent="0.25">
      <c r="A643" s="21">
        <v>886</v>
      </c>
      <c r="B643" s="22" t="s">
        <v>15368</v>
      </c>
      <c r="C643" s="22" t="s">
        <v>13751</v>
      </c>
      <c r="D643" s="23">
        <v>322722</v>
      </c>
      <c r="E643" s="24">
        <v>1996</v>
      </c>
      <c r="F643" s="22" t="s">
        <v>13752</v>
      </c>
      <c r="G643" s="23" t="s">
        <v>13753</v>
      </c>
      <c r="H643" s="25" t="s">
        <v>15373</v>
      </c>
      <c r="I643" s="22" t="s">
        <v>15411</v>
      </c>
      <c r="J643" s="22" t="s">
        <v>15068</v>
      </c>
      <c r="K643" s="26">
        <f t="shared" si="10"/>
        <v>730</v>
      </c>
      <c r="N643" s="26">
        <v>1095</v>
      </c>
      <c r="O643" s="22" t="s">
        <v>14361</v>
      </c>
      <c r="P643" s="22" t="s">
        <v>14362</v>
      </c>
      <c r="Q643" s="22">
        <v>90744</v>
      </c>
      <c r="R643" s="22" t="s">
        <v>13754</v>
      </c>
      <c r="S643" s="22" t="s">
        <v>14349</v>
      </c>
      <c r="T643" s="22">
        <v>8.17</v>
      </c>
      <c r="U643" s="22">
        <v>0.38</v>
      </c>
      <c r="X643" s="26"/>
      <c r="Y643" s="26"/>
    </row>
    <row r="644" spans="1:25" ht="37.5" x14ac:dyDescent="0.25">
      <c r="A644" s="21">
        <v>887</v>
      </c>
      <c r="B644" s="22" t="s">
        <v>15368</v>
      </c>
      <c r="C644" s="22" t="s">
        <v>13755</v>
      </c>
      <c r="D644" s="23">
        <v>322724</v>
      </c>
      <c r="E644" s="24">
        <v>1996</v>
      </c>
      <c r="F644" s="22" t="s">
        <v>13756</v>
      </c>
      <c r="G644" s="23" t="s">
        <v>13753</v>
      </c>
      <c r="H644" s="25" t="s">
        <v>15373</v>
      </c>
      <c r="I644" s="22" t="s">
        <v>15411</v>
      </c>
      <c r="J644" s="22" t="s">
        <v>15068</v>
      </c>
      <c r="K644" s="26">
        <f t="shared" si="10"/>
        <v>730</v>
      </c>
      <c r="N644" s="26">
        <v>1095</v>
      </c>
      <c r="O644" s="22" t="s">
        <v>13757</v>
      </c>
      <c r="P644" s="22" t="s">
        <v>14362</v>
      </c>
      <c r="Q644" s="22">
        <v>90744</v>
      </c>
      <c r="R644" s="22" t="s">
        <v>13754</v>
      </c>
      <c r="S644" s="22" t="s">
        <v>14349</v>
      </c>
      <c r="T644" s="22">
        <v>8.17</v>
      </c>
      <c r="U644" s="22">
        <v>0.38</v>
      </c>
      <c r="X644" s="26"/>
      <c r="Y644" s="26"/>
    </row>
    <row r="645" spans="1:25" ht="25" x14ac:dyDescent="0.25">
      <c r="A645" s="21">
        <v>891</v>
      </c>
      <c r="B645" s="22" t="s">
        <v>15368</v>
      </c>
      <c r="C645" s="22" t="s">
        <v>13758</v>
      </c>
      <c r="D645" s="23">
        <v>325076</v>
      </c>
      <c r="E645" s="24">
        <v>1997</v>
      </c>
      <c r="F645" s="22" t="s">
        <v>13759</v>
      </c>
      <c r="G645" s="23" t="s">
        <v>13760</v>
      </c>
      <c r="H645" s="25" t="s">
        <v>15373</v>
      </c>
      <c r="I645" s="22" t="s">
        <v>15382</v>
      </c>
      <c r="J645" s="22" t="s">
        <v>14562</v>
      </c>
      <c r="K645" s="26">
        <f t="shared" si="10"/>
        <v>600</v>
      </c>
      <c r="N645" s="26">
        <v>900</v>
      </c>
      <c r="O645" s="22" t="s">
        <v>13761</v>
      </c>
      <c r="P645" s="22" t="s">
        <v>15376</v>
      </c>
      <c r="Q645" s="22">
        <v>90031</v>
      </c>
      <c r="R645" s="22" t="s">
        <v>13762</v>
      </c>
      <c r="S645" s="22" t="s">
        <v>13763</v>
      </c>
      <c r="T645" s="22">
        <v>8.17</v>
      </c>
      <c r="U645" s="22">
        <v>0.38</v>
      </c>
      <c r="X645" s="26"/>
      <c r="Y645" s="26"/>
    </row>
    <row r="646" spans="1:25" ht="37.5" x14ac:dyDescent="0.25">
      <c r="A646" s="21">
        <v>896</v>
      </c>
      <c r="B646" s="22" t="s">
        <v>15368</v>
      </c>
      <c r="C646" s="22" t="s">
        <v>13764</v>
      </c>
      <c r="D646" s="23">
        <v>374593</v>
      </c>
      <c r="E646" s="24">
        <v>2000</v>
      </c>
      <c r="F646" s="22" t="s">
        <v>13765</v>
      </c>
      <c r="G646" s="23" t="s">
        <v>13766</v>
      </c>
      <c r="H646" s="25" t="s">
        <v>15373</v>
      </c>
      <c r="I646" s="22" t="s">
        <v>15411</v>
      </c>
      <c r="J646" s="22" t="s">
        <v>14404</v>
      </c>
      <c r="K646" s="26">
        <f t="shared" si="10"/>
        <v>1100</v>
      </c>
      <c r="L646" s="26">
        <v>1100</v>
      </c>
      <c r="O646" s="22" t="s">
        <v>13767</v>
      </c>
      <c r="P646" s="22" t="s">
        <v>14334</v>
      </c>
      <c r="Q646" s="22">
        <v>91311</v>
      </c>
      <c r="R646" s="22" t="s">
        <v>13768</v>
      </c>
      <c r="S646" s="22" t="s">
        <v>13769</v>
      </c>
      <c r="T646" s="22">
        <v>6.9</v>
      </c>
      <c r="U646" s="22">
        <v>0.4</v>
      </c>
      <c r="X646" s="26"/>
      <c r="Y646" s="26"/>
    </row>
    <row r="647" spans="1:25" ht="37.5" x14ac:dyDescent="0.25">
      <c r="A647" s="21">
        <v>897</v>
      </c>
      <c r="B647" s="22" t="s">
        <v>15368</v>
      </c>
      <c r="C647" s="22" t="s">
        <v>13764</v>
      </c>
      <c r="D647" s="23">
        <v>374595</v>
      </c>
      <c r="E647" s="24">
        <v>2000</v>
      </c>
      <c r="F647" s="22" t="s">
        <v>13770</v>
      </c>
      <c r="G647" s="23" t="s">
        <v>13771</v>
      </c>
      <c r="H647" s="25" t="s">
        <v>15373</v>
      </c>
      <c r="I647" s="22" t="s">
        <v>15411</v>
      </c>
      <c r="J647" s="22" t="s">
        <v>14404</v>
      </c>
      <c r="K647" s="26">
        <f t="shared" si="10"/>
        <v>1100</v>
      </c>
      <c r="L647" s="26">
        <v>1100</v>
      </c>
      <c r="O647" s="22" t="s">
        <v>13767</v>
      </c>
      <c r="P647" s="22" t="s">
        <v>14334</v>
      </c>
      <c r="Q647" s="22">
        <v>91311</v>
      </c>
      <c r="R647" s="22" t="s">
        <v>13768</v>
      </c>
      <c r="S647" s="22" t="s">
        <v>13769</v>
      </c>
      <c r="T647" s="22">
        <v>6.9</v>
      </c>
      <c r="U647" s="22">
        <v>0.4</v>
      </c>
      <c r="X647" s="26"/>
      <c r="Y647" s="26"/>
    </row>
    <row r="648" spans="1:25" ht="25" x14ac:dyDescent="0.25">
      <c r="A648" s="21">
        <v>903</v>
      </c>
      <c r="B648" s="22" t="s">
        <v>15368</v>
      </c>
      <c r="C648" s="22" t="s">
        <v>13764</v>
      </c>
      <c r="D648" s="23" t="s">
        <v>13772</v>
      </c>
      <c r="E648" s="24">
        <v>2000</v>
      </c>
      <c r="F648" s="22" t="s">
        <v>13773</v>
      </c>
      <c r="G648" s="23" t="s">
        <v>13774</v>
      </c>
      <c r="H648" s="25" t="s">
        <v>15373</v>
      </c>
      <c r="I648" s="22" t="s">
        <v>15374</v>
      </c>
      <c r="J648" s="22" t="s">
        <v>16311</v>
      </c>
      <c r="K648" s="26">
        <f t="shared" si="10"/>
        <v>1917.3333333333333</v>
      </c>
      <c r="N648" s="26">
        <v>2876</v>
      </c>
      <c r="O648" s="22" t="s">
        <v>13775</v>
      </c>
      <c r="P648" s="22" t="s">
        <v>15376</v>
      </c>
      <c r="Q648" s="22">
        <v>90012</v>
      </c>
      <c r="R648" s="22" t="s">
        <v>13768</v>
      </c>
      <c r="S648" s="22" t="s">
        <v>13769</v>
      </c>
      <c r="T648" s="22">
        <v>6.9</v>
      </c>
      <c r="U648" s="22">
        <v>0.4</v>
      </c>
      <c r="X648" s="26"/>
      <c r="Y648" s="26"/>
    </row>
    <row r="649" spans="1:25" ht="37.5" x14ac:dyDescent="0.25">
      <c r="A649" s="21">
        <v>904</v>
      </c>
      <c r="B649" s="22" t="s">
        <v>15368</v>
      </c>
      <c r="C649" s="22" t="s">
        <v>13751</v>
      </c>
      <c r="D649" s="23">
        <v>322721</v>
      </c>
      <c r="E649" s="24">
        <v>1996</v>
      </c>
      <c r="F649" s="22" t="s">
        <v>13776</v>
      </c>
      <c r="G649" s="23" t="s">
        <v>13777</v>
      </c>
      <c r="H649" s="25" t="s">
        <v>15373</v>
      </c>
      <c r="I649" s="22" t="s">
        <v>15411</v>
      </c>
      <c r="J649" s="22" t="s">
        <v>15068</v>
      </c>
      <c r="K649" s="26">
        <f t="shared" si="10"/>
        <v>730</v>
      </c>
      <c r="N649" s="26">
        <v>1095</v>
      </c>
      <c r="O649" s="22" t="s">
        <v>13778</v>
      </c>
      <c r="P649" s="22" t="s">
        <v>14362</v>
      </c>
      <c r="Q649" s="22">
        <v>90744</v>
      </c>
      <c r="R649" s="22" t="s">
        <v>13754</v>
      </c>
      <c r="S649" s="22" t="s">
        <v>14349</v>
      </c>
      <c r="T649" s="22">
        <v>8.17</v>
      </c>
      <c r="U649" s="22">
        <v>0.38</v>
      </c>
      <c r="X649" s="26"/>
      <c r="Y649" s="26"/>
    </row>
    <row r="650" spans="1:25" ht="37.5" x14ac:dyDescent="0.25">
      <c r="A650" s="21">
        <v>905</v>
      </c>
      <c r="B650" s="22" t="s">
        <v>15368</v>
      </c>
      <c r="C650" s="22" t="s">
        <v>13779</v>
      </c>
      <c r="D650" s="23">
        <v>374699</v>
      </c>
      <c r="E650" s="24">
        <v>2000</v>
      </c>
      <c r="F650" s="22" t="s">
        <v>13780</v>
      </c>
      <c r="G650" s="23" t="s">
        <v>13781</v>
      </c>
      <c r="H650" s="25" t="s">
        <v>15373</v>
      </c>
      <c r="I650" s="22" t="s">
        <v>15411</v>
      </c>
      <c r="J650" s="22" t="s">
        <v>16517</v>
      </c>
      <c r="K650" s="26">
        <f t="shared" si="10"/>
        <v>366.66666666666663</v>
      </c>
      <c r="N650" s="26">
        <v>550</v>
      </c>
      <c r="O650" s="22" t="s">
        <v>13782</v>
      </c>
      <c r="P650" s="22" t="s">
        <v>15582</v>
      </c>
      <c r="Q650" s="22">
        <v>92688</v>
      </c>
      <c r="R650" s="22" t="s">
        <v>13783</v>
      </c>
      <c r="S650" s="22" t="s">
        <v>13784</v>
      </c>
      <c r="T650" s="22">
        <v>6.9</v>
      </c>
      <c r="U650" s="22">
        <v>0.4</v>
      </c>
      <c r="X650" s="26"/>
      <c r="Y650" s="26"/>
    </row>
    <row r="651" spans="1:25" ht="25" x14ac:dyDescent="0.25">
      <c r="A651" s="21">
        <v>906</v>
      </c>
      <c r="B651" s="22" t="s">
        <v>15368</v>
      </c>
      <c r="C651" s="22" t="s">
        <v>13785</v>
      </c>
      <c r="D651" s="23">
        <v>369834</v>
      </c>
      <c r="E651" s="24">
        <v>2000</v>
      </c>
      <c r="F651" s="22" t="s">
        <v>13786</v>
      </c>
      <c r="G651" s="23" t="s">
        <v>13787</v>
      </c>
      <c r="H651" s="25" t="s">
        <v>15373</v>
      </c>
      <c r="I651" s="22" t="s">
        <v>15374</v>
      </c>
      <c r="J651" s="22" t="s">
        <v>15701</v>
      </c>
      <c r="K651" s="26">
        <f t="shared" si="10"/>
        <v>350</v>
      </c>
      <c r="L651" s="26">
        <v>350</v>
      </c>
      <c r="O651" s="22" t="s">
        <v>13788</v>
      </c>
      <c r="P651" s="22" t="s">
        <v>16347</v>
      </c>
      <c r="Q651" s="22">
        <v>91730</v>
      </c>
      <c r="R651" s="22" t="s">
        <v>13789</v>
      </c>
      <c r="S651" s="22" t="s">
        <v>13790</v>
      </c>
      <c r="T651" s="22">
        <v>6.9</v>
      </c>
      <c r="U651" s="22">
        <v>0.4</v>
      </c>
      <c r="X651" s="26"/>
      <c r="Y651" s="26"/>
    </row>
    <row r="652" spans="1:25" ht="37.5" x14ac:dyDescent="0.25">
      <c r="A652" s="21">
        <v>907</v>
      </c>
      <c r="B652" s="22" t="s">
        <v>15368</v>
      </c>
      <c r="C652" s="22" t="s">
        <v>13791</v>
      </c>
      <c r="D652" s="23">
        <v>369832</v>
      </c>
      <c r="E652" s="24">
        <v>2000</v>
      </c>
      <c r="F652" s="22" t="s">
        <v>13792</v>
      </c>
      <c r="G652" s="23" t="s">
        <v>13793</v>
      </c>
      <c r="H652" s="25" t="s">
        <v>15373</v>
      </c>
      <c r="I652" s="22" t="s">
        <v>15411</v>
      </c>
      <c r="J652" s="22" t="s">
        <v>16517</v>
      </c>
      <c r="K652" s="26">
        <f t="shared" si="10"/>
        <v>410</v>
      </c>
      <c r="L652" s="26">
        <v>410</v>
      </c>
      <c r="O652" s="22" t="s">
        <v>13794</v>
      </c>
      <c r="P652" s="22" t="s">
        <v>15740</v>
      </c>
      <c r="Q652" s="22">
        <v>90815</v>
      </c>
      <c r="R652" s="22" t="s">
        <v>13789</v>
      </c>
      <c r="S652" s="22" t="s">
        <v>13790</v>
      </c>
      <c r="T652" s="22">
        <v>6.9</v>
      </c>
      <c r="U652" s="22">
        <v>0.4</v>
      </c>
      <c r="X652" s="26"/>
      <c r="Y652" s="26"/>
    </row>
    <row r="653" spans="1:25" ht="25" x14ac:dyDescent="0.25">
      <c r="A653" s="21">
        <v>908</v>
      </c>
      <c r="B653" s="22" t="s">
        <v>15368</v>
      </c>
      <c r="C653" s="22" t="s">
        <v>13795</v>
      </c>
      <c r="D653" s="23">
        <v>372667</v>
      </c>
      <c r="E653" s="24">
        <v>2000</v>
      </c>
      <c r="F653" s="22" t="s">
        <v>13796</v>
      </c>
      <c r="G653" s="23" t="s">
        <v>13797</v>
      </c>
      <c r="H653" s="25" t="s">
        <v>15373</v>
      </c>
      <c r="I653" s="22" t="s">
        <v>15411</v>
      </c>
      <c r="J653" s="22" t="s">
        <v>13798</v>
      </c>
      <c r="K653" s="26">
        <f t="shared" si="10"/>
        <v>366.66666666666663</v>
      </c>
      <c r="N653" s="26">
        <v>550</v>
      </c>
      <c r="O653" s="22" t="s">
        <v>13799</v>
      </c>
      <c r="P653" s="22" t="s">
        <v>16853</v>
      </c>
      <c r="Q653" s="22">
        <v>92620</v>
      </c>
      <c r="R653" s="22" t="s">
        <v>13783</v>
      </c>
      <c r="S653" s="22" t="s">
        <v>13784</v>
      </c>
      <c r="T653" s="22">
        <v>6.9</v>
      </c>
      <c r="U653" s="22">
        <v>0.4</v>
      </c>
      <c r="X653" s="26"/>
      <c r="Y653" s="26"/>
    </row>
    <row r="654" spans="1:25" ht="25" x14ac:dyDescent="0.25">
      <c r="A654" s="21">
        <v>909</v>
      </c>
      <c r="B654" s="22" t="s">
        <v>15368</v>
      </c>
      <c r="C654" s="22" t="s">
        <v>13800</v>
      </c>
      <c r="D654" s="23">
        <v>367978</v>
      </c>
      <c r="E654" s="24">
        <v>2000</v>
      </c>
      <c r="F654" s="22" t="s">
        <v>13801</v>
      </c>
      <c r="G654" s="23" t="s">
        <v>13802</v>
      </c>
      <c r="H654" s="25" t="s">
        <v>15373</v>
      </c>
      <c r="I654" s="22" t="s">
        <v>16907</v>
      </c>
      <c r="J654" s="22" t="s">
        <v>13803</v>
      </c>
      <c r="K654" s="26">
        <f t="shared" si="10"/>
        <v>366.66666666666663</v>
      </c>
      <c r="N654" s="26">
        <v>550</v>
      </c>
      <c r="O654" s="22" t="s">
        <v>13804</v>
      </c>
      <c r="P654" s="22" t="s">
        <v>16390</v>
      </c>
      <c r="Q654" s="22">
        <v>92372</v>
      </c>
      <c r="R654" s="22" t="s">
        <v>12716</v>
      </c>
      <c r="S654" s="22" t="s">
        <v>12717</v>
      </c>
      <c r="T654" s="22">
        <v>6.9</v>
      </c>
      <c r="U654" s="22">
        <v>0.4</v>
      </c>
      <c r="X654" s="26"/>
      <c r="Y654" s="26"/>
    </row>
    <row r="655" spans="1:25" ht="25" x14ac:dyDescent="0.25">
      <c r="A655" s="21">
        <v>910</v>
      </c>
      <c r="B655" s="22" t="s">
        <v>15368</v>
      </c>
      <c r="C655" s="22" t="s">
        <v>12718</v>
      </c>
      <c r="D655" s="23">
        <v>366354</v>
      </c>
      <c r="E655" s="24">
        <v>2000</v>
      </c>
      <c r="F655" s="22" t="s">
        <v>12719</v>
      </c>
      <c r="G655" s="23" t="s">
        <v>12720</v>
      </c>
      <c r="H655" s="25" t="s">
        <v>15373</v>
      </c>
      <c r="I655" s="22" t="s">
        <v>15411</v>
      </c>
      <c r="J655" s="22" t="s">
        <v>16311</v>
      </c>
      <c r="K655" s="26">
        <f t="shared" si="10"/>
        <v>366.66666666666663</v>
      </c>
      <c r="N655" s="26">
        <v>550</v>
      </c>
      <c r="O655" s="22" t="s">
        <v>12721</v>
      </c>
      <c r="P655" s="22" t="s">
        <v>15893</v>
      </c>
      <c r="Q655" s="22">
        <v>92591</v>
      </c>
      <c r="R655" s="22" t="s">
        <v>12716</v>
      </c>
      <c r="S655" s="22" t="s">
        <v>12717</v>
      </c>
      <c r="T655" s="22">
        <v>6.9</v>
      </c>
      <c r="U655" s="22">
        <v>0.4</v>
      </c>
      <c r="X655" s="26"/>
      <c r="Y655" s="26"/>
    </row>
    <row r="656" spans="1:25" ht="37.5" x14ac:dyDescent="0.25">
      <c r="A656" s="21">
        <v>911</v>
      </c>
      <c r="B656" s="22" t="s">
        <v>15368</v>
      </c>
      <c r="C656" s="22" t="s">
        <v>12722</v>
      </c>
      <c r="D656" s="23">
        <v>361060</v>
      </c>
      <c r="E656" s="24">
        <v>1999</v>
      </c>
      <c r="F656" s="22" t="s">
        <v>12723</v>
      </c>
      <c r="G656" s="23" t="s">
        <v>12724</v>
      </c>
      <c r="H656" s="25" t="s">
        <v>15373</v>
      </c>
      <c r="I656" s="22" t="s">
        <v>15411</v>
      </c>
      <c r="J656" s="22" t="s">
        <v>16517</v>
      </c>
      <c r="K656" s="26">
        <f t="shared" si="10"/>
        <v>366.66666666666663</v>
      </c>
      <c r="N656" s="26">
        <v>550</v>
      </c>
      <c r="O656" s="22" t="s">
        <v>12725</v>
      </c>
      <c r="P656" s="22" t="s">
        <v>15740</v>
      </c>
      <c r="Q656" s="22">
        <v>90822</v>
      </c>
      <c r="R656" s="22" t="s">
        <v>12726</v>
      </c>
      <c r="S656" s="22" t="s">
        <v>13790</v>
      </c>
      <c r="T656" s="22">
        <v>6.9</v>
      </c>
      <c r="U656" s="22">
        <v>0.4</v>
      </c>
      <c r="X656" s="26"/>
      <c r="Y656" s="26"/>
    </row>
    <row r="657" spans="1:25" ht="37.5" x14ac:dyDescent="0.25">
      <c r="A657" s="21">
        <v>912</v>
      </c>
      <c r="B657" s="22" t="s">
        <v>15368</v>
      </c>
      <c r="C657" s="22" t="s">
        <v>12722</v>
      </c>
      <c r="D657" s="23">
        <v>380695</v>
      </c>
      <c r="E657" s="24">
        <v>2001</v>
      </c>
      <c r="F657" s="22" t="s">
        <v>12727</v>
      </c>
      <c r="G657" s="23" t="s">
        <v>12728</v>
      </c>
      <c r="H657" s="25" t="s">
        <v>15373</v>
      </c>
      <c r="I657" s="22" t="s">
        <v>15411</v>
      </c>
      <c r="J657" s="22" t="s">
        <v>16517</v>
      </c>
      <c r="K657" s="26">
        <f t="shared" si="10"/>
        <v>366.66666666666663</v>
      </c>
      <c r="N657" s="26">
        <v>550</v>
      </c>
      <c r="O657" s="22" t="s">
        <v>12729</v>
      </c>
      <c r="P657" s="22" t="s">
        <v>16794</v>
      </c>
      <c r="Q657" s="22">
        <v>92503</v>
      </c>
      <c r="R657" s="22" t="s">
        <v>13783</v>
      </c>
      <c r="S657" s="22" t="s">
        <v>13784</v>
      </c>
      <c r="T657" s="22">
        <v>6.9</v>
      </c>
      <c r="U657" s="22">
        <v>0.4</v>
      </c>
      <c r="X657" s="26"/>
      <c r="Y657" s="26"/>
    </row>
    <row r="658" spans="1:25" ht="37.5" x14ac:dyDescent="0.25">
      <c r="A658" s="21">
        <v>913</v>
      </c>
      <c r="B658" s="22" t="s">
        <v>15368</v>
      </c>
      <c r="C658" s="22" t="s">
        <v>12722</v>
      </c>
      <c r="D658" s="23">
        <v>380986</v>
      </c>
      <c r="E658" s="24">
        <v>2001</v>
      </c>
      <c r="F658" s="22" t="s">
        <v>12730</v>
      </c>
      <c r="G658" s="23" t="s">
        <v>12731</v>
      </c>
      <c r="H658" s="25" t="s">
        <v>15373</v>
      </c>
      <c r="I658" s="22" t="s">
        <v>15411</v>
      </c>
      <c r="J658" s="22" t="s">
        <v>12732</v>
      </c>
      <c r="K658" s="26">
        <f t="shared" si="10"/>
        <v>366.66666666666663</v>
      </c>
      <c r="N658" s="26">
        <v>550</v>
      </c>
      <c r="O658" s="22" t="s">
        <v>12733</v>
      </c>
      <c r="P658" s="22" t="s">
        <v>14397</v>
      </c>
      <c r="Q658" s="22">
        <v>92263</v>
      </c>
      <c r="R658" s="22" t="s">
        <v>13783</v>
      </c>
      <c r="S658" s="22" t="s">
        <v>13784</v>
      </c>
      <c r="T658" s="22">
        <v>6.9</v>
      </c>
      <c r="U658" s="22">
        <v>0.4</v>
      </c>
      <c r="X658" s="26"/>
      <c r="Y658" s="26"/>
    </row>
    <row r="659" spans="1:25" ht="25" x14ac:dyDescent="0.25">
      <c r="A659" s="21">
        <v>914</v>
      </c>
      <c r="B659" s="22" t="s">
        <v>15368</v>
      </c>
      <c r="C659" s="22" t="s">
        <v>12734</v>
      </c>
      <c r="D659" s="23">
        <v>300940</v>
      </c>
      <c r="E659" s="24">
        <v>1995</v>
      </c>
      <c r="F659" s="22" t="s">
        <v>12735</v>
      </c>
      <c r="G659" s="23" t="s">
        <v>16547</v>
      </c>
      <c r="H659" s="25" t="s">
        <v>15373</v>
      </c>
      <c r="I659" s="22" t="s">
        <v>15411</v>
      </c>
      <c r="J659" s="22" t="s">
        <v>15877</v>
      </c>
      <c r="K659" s="26">
        <f t="shared" si="10"/>
        <v>428.66666666666663</v>
      </c>
      <c r="N659" s="26">
        <v>643</v>
      </c>
      <c r="O659" s="22" t="s">
        <v>12736</v>
      </c>
      <c r="P659" s="22" t="s">
        <v>15376</v>
      </c>
      <c r="Q659" s="22" t="s">
        <v>12737</v>
      </c>
      <c r="R659" s="22" t="s">
        <v>12738</v>
      </c>
      <c r="S659" s="22" t="s">
        <v>12739</v>
      </c>
      <c r="T659" s="22">
        <v>8.17</v>
      </c>
      <c r="U659" s="22">
        <v>0.38</v>
      </c>
      <c r="X659" s="26"/>
      <c r="Y659" s="26"/>
    </row>
    <row r="660" spans="1:25" ht="37.5" x14ac:dyDescent="0.25">
      <c r="A660" s="21">
        <v>916</v>
      </c>
      <c r="B660" s="22" t="s">
        <v>15368</v>
      </c>
      <c r="C660" s="22" t="s">
        <v>12740</v>
      </c>
      <c r="D660" s="23">
        <v>372831</v>
      </c>
      <c r="E660" s="24">
        <v>2000</v>
      </c>
      <c r="F660" s="22" t="s">
        <v>12741</v>
      </c>
      <c r="G660" s="23" t="s">
        <v>12742</v>
      </c>
      <c r="H660" s="25" t="s">
        <v>15373</v>
      </c>
      <c r="I660" s="22" t="s">
        <v>15374</v>
      </c>
      <c r="J660" s="22">
        <v>3512</v>
      </c>
      <c r="K660" s="26">
        <f t="shared" si="10"/>
        <v>1445.3333333333333</v>
      </c>
      <c r="N660" s="26">
        <v>2168</v>
      </c>
      <c r="O660" s="22" t="s">
        <v>12743</v>
      </c>
      <c r="P660" s="22" t="s">
        <v>12744</v>
      </c>
      <c r="Q660" s="22" t="s">
        <v>14590</v>
      </c>
      <c r="R660" s="22" t="s">
        <v>12745</v>
      </c>
      <c r="S660" s="22" t="s">
        <v>12746</v>
      </c>
      <c r="T660" s="22">
        <v>6.9</v>
      </c>
      <c r="U660" s="22">
        <v>0.4</v>
      </c>
      <c r="X660" s="26"/>
      <c r="Y660" s="26"/>
    </row>
    <row r="661" spans="1:25" ht="37.5" x14ac:dyDescent="0.25">
      <c r="A661" s="21">
        <v>917</v>
      </c>
      <c r="B661" s="22" t="s">
        <v>15368</v>
      </c>
      <c r="C661" s="22" t="s">
        <v>12747</v>
      </c>
      <c r="D661" s="23">
        <v>283274</v>
      </c>
      <c r="E661" s="24">
        <v>1993</v>
      </c>
      <c r="F661" s="22" t="s">
        <v>12748</v>
      </c>
      <c r="G661" s="23" t="s">
        <v>12749</v>
      </c>
      <c r="H661" s="25" t="s">
        <v>15373</v>
      </c>
      <c r="I661" s="22" t="s">
        <v>15411</v>
      </c>
      <c r="J661" s="22" t="s">
        <v>14773</v>
      </c>
      <c r="K661" s="26">
        <f t="shared" si="10"/>
        <v>833.33333333333326</v>
      </c>
      <c r="N661" s="26">
        <v>1250</v>
      </c>
      <c r="O661" s="22" t="s">
        <v>12750</v>
      </c>
      <c r="P661" s="22" t="s">
        <v>15376</v>
      </c>
      <c r="Q661" s="22">
        <v>90071</v>
      </c>
      <c r="R661" s="22" t="s">
        <v>12751</v>
      </c>
      <c r="S661" s="22" t="s">
        <v>12752</v>
      </c>
      <c r="T661" s="22">
        <v>8.17</v>
      </c>
      <c r="U661" s="22">
        <v>0.38</v>
      </c>
      <c r="X661" s="26"/>
      <c r="Y661" s="26"/>
    </row>
    <row r="662" spans="1:25" ht="37.5" x14ac:dyDescent="0.25">
      <c r="A662" s="21">
        <v>918</v>
      </c>
      <c r="B662" s="22" t="s">
        <v>15368</v>
      </c>
      <c r="C662" s="22" t="s">
        <v>12747</v>
      </c>
      <c r="D662" s="23">
        <v>283276</v>
      </c>
      <c r="E662" s="24">
        <v>1993</v>
      </c>
      <c r="F662" s="22" t="s">
        <v>12753</v>
      </c>
      <c r="G662" s="23" t="s">
        <v>12754</v>
      </c>
      <c r="H662" s="25" t="s">
        <v>15373</v>
      </c>
      <c r="I662" s="22" t="s">
        <v>15411</v>
      </c>
      <c r="J662" s="22" t="s">
        <v>12755</v>
      </c>
      <c r="K662" s="26">
        <f t="shared" si="10"/>
        <v>933.33333333333326</v>
      </c>
      <c r="N662" s="26">
        <v>1400</v>
      </c>
      <c r="O662" s="22" t="s">
        <v>12750</v>
      </c>
      <c r="P662" s="22" t="s">
        <v>15376</v>
      </c>
      <c r="Q662" s="22">
        <v>90071</v>
      </c>
      <c r="R662" s="22" t="s">
        <v>12751</v>
      </c>
      <c r="S662" s="22" t="s">
        <v>12752</v>
      </c>
      <c r="T662" s="22">
        <v>8.17</v>
      </c>
      <c r="U662" s="22">
        <v>0.38</v>
      </c>
      <c r="X662" s="26"/>
      <c r="Y662" s="26"/>
    </row>
    <row r="663" spans="1:25" ht="37.5" x14ac:dyDescent="0.25">
      <c r="A663" s="21">
        <v>919</v>
      </c>
      <c r="B663" s="22" t="s">
        <v>15368</v>
      </c>
      <c r="C663" s="22" t="s">
        <v>12756</v>
      </c>
      <c r="D663" s="23">
        <v>281749</v>
      </c>
      <c r="E663" s="24">
        <v>1993</v>
      </c>
      <c r="F663" s="22" t="s">
        <v>12757</v>
      </c>
      <c r="G663" s="23" t="s">
        <v>12758</v>
      </c>
      <c r="H663" s="25" t="s">
        <v>15373</v>
      </c>
      <c r="I663" s="22" t="s">
        <v>15374</v>
      </c>
      <c r="J663" s="22">
        <v>3512</v>
      </c>
      <c r="K663" s="26">
        <f t="shared" si="10"/>
        <v>1186</v>
      </c>
      <c r="N663" s="26">
        <v>1779</v>
      </c>
      <c r="O663" s="22" t="s">
        <v>12759</v>
      </c>
      <c r="P663" s="22" t="s">
        <v>15376</v>
      </c>
      <c r="Q663" s="22">
        <v>90071</v>
      </c>
      <c r="R663" s="22" t="s">
        <v>12760</v>
      </c>
      <c r="S663" s="22" t="s">
        <v>12761</v>
      </c>
      <c r="T663" s="22">
        <v>8.17</v>
      </c>
      <c r="U663" s="22">
        <v>0.38</v>
      </c>
      <c r="X663" s="26"/>
      <c r="Y663" s="26"/>
    </row>
    <row r="664" spans="1:25" ht="37.5" x14ac:dyDescent="0.25">
      <c r="A664" s="21">
        <v>920</v>
      </c>
      <c r="B664" s="22" t="s">
        <v>15368</v>
      </c>
      <c r="C664" s="22" t="s">
        <v>12756</v>
      </c>
      <c r="D664" s="23">
        <v>281750</v>
      </c>
      <c r="E664" s="24">
        <v>1993</v>
      </c>
      <c r="F664" s="22" t="s">
        <v>12762</v>
      </c>
      <c r="G664" s="23" t="s">
        <v>12763</v>
      </c>
      <c r="H664" s="25" t="s">
        <v>15373</v>
      </c>
      <c r="I664" s="22" t="s">
        <v>15374</v>
      </c>
      <c r="J664" s="22">
        <v>3508</v>
      </c>
      <c r="K664" s="26">
        <f t="shared" si="10"/>
        <v>890.66666666666663</v>
      </c>
      <c r="N664" s="26">
        <v>1336</v>
      </c>
      <c r="O664" s="22" t="s">
        <v>12759</v>
      </c>
      <c r="P664" s="22" t="s">
        <v>15376</v>
      </c>
      <c r="Q664" s="22">
        <v>90071</v>
      </c>
      <c r="R664" s="22" t="s">
        <v>12760</v>
      </c>
      <c r="S664" s="22" t="s">
        <v>12761</v>
      </c>
      <c r="T664" s="22">
        <v>8.17</v>
      </c>
      <c r="U664" s="22">
        <v>0.38</v>
      </c>
      <c r="X664" s="26"/>
      <c r="Y664" s="26"/>
    </row>
    <row r="665" spans="1:25" ht="37.5" x14ac:dyDescent="0.25">
      <c r="A665" s="21">
        <v>921</v>
      </c>
      <c r="B665" s="22" t="s">
        <v>15368</v>
      </c>
      <c r="C665" s="22" t="s">
        <v>12764</v>
      </c>
      <c r="D665" s="23">
        <v>247305</v>
      </c>
      <c r="E665" s="24">
        <v>1991</v>
      </c>
      <c r="F665" s="22" t="s">
        <v>12765</v>
      </c>
      <c r="G665" s="23" t="s">
        <v>12766</v>
      </c>
      <c r="H665" s="25" t="s">
        <v>15373</v>
      </c>
      <c r="I665" s="22" t="s">
        <v>15374</v>
      </c>
      <c r="J665" s="22">
        <v>3512</v>
      </c>
      <c r="K665" s="26">
        <f t="shared" si="10"/>
        <v>1061.3333333333333</v>
      </c>
      <c r="N665" s="26">
        <v>1592</v>
      </c>
      <c r="O665" s="22" t="s">
        <v>12767</v>
      </c>
      <c r="P665" s="22" t="s">
        <v>15376</v>
      </c>
      <c r="Q665" s="22">
        <v>90071</v>
      </c>
      <c r="R665" s="22" t="s">
        <v>12768</v>
      </c>
      <c r="S665" s="22" t="s">
        <v>12769</v>
      </c>
      <c r="T665" s="22">
        <v>8.17</v>
      </c>
      <c r="U665" s="22">
        <v>0.38</v>
      </c>
      <c r="X665" s="26"/>
      <c r="Y665" s="26"/>
    </row>
    <row r="666" spans="1:25" ht="37.5" x14ac:dyDescent="0.25">
      <c r="A666" s="21">
        <v>922</v>
      </c>
      <c r="B666" s="22" t="s">
        <v>15368</v>
      </c>
      <c r="C666" s="22" t="s">
        <v>12764</v>
      </c>
      <c r="D666" s="23">
        <v>247306</v>
      </c>
      <c r="E666" s="24">
        <v>1991</v>
      </c>
      <c r="F666" s="22" t="s">
        <v>12770</v>
      </c>
      <c r="G666" s="23" t="s">
        <v>12771</v>
      </c>
      <c r="H666" s="25" t="s">
        <v>15373</v>
      </c>
      <c r="I666" s="22" t="s">
        <v>15374</v>
      </c>
      <c r="J666" s="22">
        <v>3508</v>
      </c>
      <c r="K666" s="26">
        <f t="shared" si="10"/>
        <v>737.33333333333326</v>
      </c>
      <c r="N666" s="26">
        <v>1106</v>
      </c>
      <c r="O666" s="22" t="s">
        <v>12767</v>
      </c>
      <c r="P666" s="22" t="s">
        <v>15376</v>
      </c>
      <c r="Q666" s="22">
        <v>90071</v>
      </c>
      <c r="R666" s="22" t="s">
        <v>12768</v>
      </c>
      <c r="S666" s="22" t="s">
        <v>12769</v>
      </c>
      <c r="T666" s="22">
        <v>8.17</v>
      </c>
      <c r="U666" s="22">
        <v>0.38</v>
      </c>
      <c r="X666" s="26"/>
      <c r="Y666" s="26"/>
    </row>
    <row r="667" spans="1:25" ht="25" x14ac:dyDescent="0.25">
      <c r="A667" s="21">
        <v>925</v>
      </c>
      <c r="B667" s="22" t="s">
        <v>15368</v>
      </c>
      <c r="C667" s="22" t="s">
        <v>13830</v>
      </c>
      <c r="D667" s="23">
        <v>348669</v>
      </c>
      <c r="E667" s="24">
        <v>1998</v>
      </c>
      <c r="F667" s="22" t="s">
        <v>13831</v>
      </c>
      <c r="G667" s="23" t="s">
        <v>13832</v>
      </c>
      <c r="H667" s="25" t="s">
        <v>15373</v>
      </c>
      <c r="I667" s="22" t="s">
        <v>15382</v>
      </c>
      <c r="J667" s="22" t="s">
        <v>16811</v>
      </c>
      <c r="K667" s="26">
        <f t="shared" si="10"/>
        <v>356.66666666666663</v>
      </c>
      <c r="N667" s="26">
        <v>535</v>
      </c>
      <c r="O667" s="22" t="s">
        <v>13833</v>
      </c>
      <c r="P667" s="22" t="s">
        <v>13834</v>
      </c>
      <c r="Q667" s="22">
        <v>90278</v>
      </c>
      <c r="R667" s="22" t="s">
        <v>13835</v>
      </c>
      <c r="S667" s="22" t="s">
        <v>14013</v>
      </c>
      <c r="T667" s="22">
        <v>6.9</v>
      </c>
      <c r="U667" s="22">
        <v>0.4</v>
      </c>
      <c r="X667" s="26"/>
      <c r="Y667" s="26"/>
    </row>
    <row r="668" spans="1:25" ht="37.5" x14ac:dyDescent="0.25">
      <c r="A668" s="21">
        <v>926</v>
      </c>
      <c r="B668" s="22" t="s">
        <v>15368</v>
      </c>
      <c r="C668" s="22" t="s">
        <v>13836</v>
      </c>
      <c r="D668" s="23">
        <v>202805</v>
      </c>
      <c r="E668" s="24">
        <v>1989</v>
      </c>
      <c r="F668" s="22" t="s">
        <v>13837</v>
      </c>
      <c r="G668" s="23" t="s">
        <v>13838</v>
      </c>
      <c r="H668" s="25" t="s">
        <v>15373</v>
      </c>
      <c r="I668" s="22" t="s">
        <v>15382</v>
      </c>
      <c r="J668" s="22" t="s">
        <v>13839</v>
      </c>
      <c r="K668" s="26">
        <f t="shared" si="10"/>
        <v>500</v>
      </c>
      <c r="N668" s="26">
        <v>750</v>
      </c>
      <c r="O668" s="22" t="s">
        <v>13840</v>
      </c>
      <c r="P668" s="22" t="s">
        <v>15376</v>
      </c>
      <c r="Q668" s="22">
        <v>90071</v>
      </c>
      <c r="R668" s="22" t="s">
        <v>13841</v>
      </c>
      <c r="S668" s="22" t="s">
        <v>13842</v>
      </c>
      <c r="T668" s="22">
        <v>8.17</v>
      </c>
      <c r="U668" s="22">
        <v>0.38</v>
      </c>
      <c r="X668" s="26"/>
      <c r="Y668" s="26"/>
    </row>
    <row r="669" spans="1:25" ht="37.5" x14ac:dyDescent="0.25">
      <c r="A669" s="21">
        <v>927</v>
      </c>
      <c r="B669" s="22" t="s">
        <v>15368</v>
      </c>
      <c r="C669" s="22" t="s">
        <v>13843</v>
      </c>
      <c r="D669" s="23">
        <v>222879</v>
      </c>
      <c r="E669" s="24">
        <v>1990</v>
      </c>
      <c r="F669" s="22" t="s">
        <v>13844</v>
      </c>
      <c r="G669" s="23" t="s">
        <v>13845</v>
      </c>
      <c r="H669" s="25" t="s">
        <v>15373</v>
      </c>
      <c r="I669" s="22" t="s">
        <v>15382</v>
      </c>
      <c r="J669" s="22" t="s">
        <v>14642</v>
      </c>
      <c r="K669" s="26">
        <f t="shared" si="10"/>
        <v>756.66666666666663</v>
      </c>
      <c r="N669" s="26">
        <v>1135</v>
      </c>
      <c r="O669" s="22" t="s">
        <v>13846</v>
      </c>
      <c r="P669" s="22" t="s">
        <v>15376</v>
      </c>
      <c r="Q669" s="22">
        <v>90017</v>
      </c>
      <c r="R669" s="22" t="s">
        <v>13847</v>
      </c>
      <c r="S669" s="22" t="s">
        <v>13848</v>
      </c>
      <c r="T669" s="22">
        <v>8.17</v>
      </c>
      <c r="U669" s="22">
        <v>0.38</v>
      </c>
      <c r="X669" s="26"/>
      <c r="Y669" s="26"/>
    </row>
    <row r="670" spans="1:25" ht="37.5" x14ac:dyDescent="0.25">
      <c r="A670" s="21">
        <v>928</v>
      </c>
      <c r="B670" s="22" t="s">
        <v>15368</v>
      </c>
      <c r="C670" s="22" t="s">
        <v>13849</v>
      </c>
      <c r="D670" s="23">
        <v>278886</v>
      </c>
      <c r="E670" s="24">
        <v>1993</v>
      </c>
      <c r="F670" s="22" t="s">
        <v>13850</v>
      </c>
      <c r="G670" s="23" t="s">
        <v>13851</v>
      </c>
      <c r="H670" s="25" t="s">
        <v>15373</v>
      </c>
      <c r="I670" s="22" t="s">
        <v>15374</v>
      </c>
      <c r="J670" s="22" t="s">
        <v>13590</v>
      </c>
      <c r="K670" s="26">
        <f t="shared" si="10"/>
        <v>402</v>
      </c>
      <c r="N670" s="26">
        <v>603</v>
      </c>
      <c r="O670" s="22" t="s">
        <v>13852</v>
      </c>
      <c r="P670" s="22" t="s">
        <v>15435</v>
      </c>
      <c r="Q670" s="22">
        <v>92626</v>
      </c>
      <c r="R670" s="22" t="s">
        <v>13853</v>
      </c>
      <c r="S670" s="22" t="s">
        <v>13854</v>
      </c>
      <c r="T670" s="22">
        <v>8.17</v>
      </c>
      <c r="U670" s="22">
        <v>0.38</v>
      </c>
      <c r="X670" s="26"/>
      <c r="Y670" s="26"/>
    </row>
    <row r="671" spans="1:25" ht="25" x14ac:dyDescent="0.25">
      <c r="A671" s="21">
        <v>929</v>
      </c>
      <c r="B671" s="22" t="s">
        <v>15368</v>
      </c>
      <c r="C671" s="22" t="s">
        <v>13855</v>
      </c>
      <c r="D671" s="23">
        <v>193110</v>
      </c>
      <c r="E671" s="24">
        <v>1989</v>
      </c>
      <c r="F671" s="22" t="s">
        <v>13856</v>
      </c>
      <c r="G671" s="23" t="s">
        <v>13857</v>
      </c>
      <c r="H671" s="25" t="s">
        <v>15373</v>
      </c>
      <c r="I671" s="22" t="s">
        <v>15382</v>
      </c>
      <c r="J671" s="22" t="s">
        <v>14807</v>
      </c>
      <c r="K671" s="26">
        <f t="shared" si="10"/>
        <v>373.33333333333331</v>
      </c>
      <c r="N671" s="26">
        <v>560</v>
      </c>
      <c r="O671" s="22" t="s">
        <v>13858</v>
      </c>
      <c r="P671" s="22" t="s">
        <v>15537</v>
      </c>
      <c r="Q671" s="22">
        <v>92660</v>
      </c>
      <c r="R671" s="22" t="s">
        <v>16887</v>
      </c>
      <c r="S671" s="22" t="s">
        <v>13859</v>
      </c>
      <c r="T671" s="22">
        <v>8.17</v>
      </c>
      <c r="U671" s="22">
        <v>0.38</v>
      </c>
      <c r="X671" s="26"/>
      <c r="Y671" s="26"/>
    </row>
    <row r="672" spans="1:25" ht="25" x14ac:dyDescent="0.25">
      <c r="A672" s="21">
        <v>930</v>
      </c>
      <c r="B672" s="22" t="s">
        <v>15368</v>
      </c>
      <c r="C672" s="22" t="s">
        <v>13860</v>
      </c>
      <c r="D672" s="23">
        <v>191859</v>
      </c>
      <c r="E672" s="24">
        <v>1989</v>
      </c>
      <c r="F672" s="22" t="s">
        <v>13861</v>
      </c>
      <c r="G672" s="23" t="s">
        <v>13862</v>
      </c>
      <c r="H672" s="25" t="s">
        <v>15373</v>
      </c>
      <c r="I672" s="22" t="s">
        <v>15374</v>
      </c>
      <c r="J672" s="22">
        <v>3512</v>
      </c>
      <c r="K672" s="26">
        <f t="shared" si="10"/>
        <v>1000</v>
      </c>
      <c r="L672" s="26">
        <v>1000</v>
      </c>
      <c r="O672" s="22" t="s">
        <v>13863</v>
      </c>
      <c r="P672" s="22" t="s">
        <v>14080</v>
      </c>
      <c r="Q672" s="22">
        <v>92260</v>
      </c>
      <c r="R672" s="22" t="s">
        <v>13864</v>
      </c>
      <c r="S672" s="22" t="s">
        <v>13865</v>
      </c>
      <c r="T672" s="22">
        <v>8.17</v>
      </c>
      <c r="U672" s="22">
        <v>0.38</v>
      </c>
      <c r="X672" s="26"/>
      <c r="Y672" s="26"/>
    </row>
    <row r="673" spans="1:25" ht="50" x14ac:dyDescent="0.25">
      <c r="A673" s="21">
        <v>931</v>
      </c>
      <c r="B673" s="22" t="s">
        <v>15368</v>
      </c>
      <c r="C673" s="22" t="s">
        <v>13866</v>
      </c>
      <c r="D673" s="23">
        <v>324451</v>
      </c>
      <c r="E673" s="24">
        <v>1997</v>
      </c>
      <c r="F673" s="22" t="s">
        <v>13867</v>
      </c>
      <c r="G673" s="23" t="s">
        <v>13868</v>
      </c>
      <c r="H673" s="25" t="s">
        <v>15373</v>
      </c>
      <c r="I673" s="22" t="s">
        <v>15374</v>
      </c>
      <c r="J673" s="22" t="s">
        <v>15701</v>
      </c>
      <c r="K673" s="26">
        <f t="shared" si="10"/>
        <v>400</v>
      </c>
      <c r="L673" s="26">
        <v>400</v>
      </c>
      <c r="O673" s="22" t="s">
        <v>13869</v>
      </c>
      <c r="P673" s="22" t="s">
        <v>15703</v>
      </c>
      <c r="Q673" s="22">
        <v>90245</v>
      </c>
      <c r="R673" s="22" t="s">
        <v>13870</v>
      </c>
      <c r="S673" s="22" t="s">
        <v>13871</v>
      </c>
      <c r="T673" s="22">
        <v>6.9</v>
      </c>
      <c r="U673" s="22">
        <v>0.4</v>
      </c>
      <c r="X673" s="26"/>
      <c r="Y673" s="26"/>
    </row>
    <row r="674" spans="1:25" ht="37.5" x14ac:dyDescent="0.25">
      <c r="A674" s="21">
        <v>932</v>
      </c>
      <c r="B674" s="22" t="s">
        <v>15368</v>
      </c>
      <c r="C674" s="22" t="s">
        <v>13872</v>
      </c>
      <c r="D674" s="23">
        <v>324989</v>
      </c>
      <c r="E674" s="24">
        <v>1997</v>
      </c>
      <c r="F674" s="22" t="s">
        <v>13873</v>
      </c>
      <c r="G674" s="23" t="s">
        <v>13874</v>
      </c>
      <c r="H674" s="25" t="s">
        <v>15373</v>
      </c>
      <c r="I674" s="22" t="s">
        <v>12303</v>
      </c>
      <c r="J674" s="22" t="s">
        <v>13875</v>
      </c>
      <c r="K674" s="26">
        <f t="shared" si="10"/>
        <v>388.66666666666663</v>
      </c>
      <c r="N674" s="26">
        <v>583</v>
      </c>
      <c r="O674" s="22" t="s">
        <v>13876</v>
      </c>
      <c r="P674" s="22" t="s">
        <v>15703</v>
      </c>
      <c r="Q674" s="22">
        <v>90245</v>
      </c>
      <c r="R674" s="22" t="s">
        <v>13877</v>
      </c>
      <c r="S674" s="22" t="s">
        <v>13878</v>
      </c>
      <c r="T674" s="22">
        <v>6.9</v>
      </c>
      <c r="U674" s="22">
        <v>0.4</v>
      </c>
      <c r="X674" s="26"/>
      <c r="Y674" s="26"/>
    </row>
    <row r="675" spans="1:25" ht="50" x14ac:dyDescent="0.25">
      <c r="A675" s="21">
        <v>933</v>
      </c>
      <c r="B675" s="22" t="s">
        <v>15368</v>
      </c>
      <c r="C675" s="22" t="s">
        <v>13879</v>
      </c>
      <c r="D675" s="23">
        <v>368963</v>
      </c>
      <c r="E675" s="24">
        <v>2000</v>
      </c>
      <c r="F675" s="22" t="s">
        <v>13880</v>
      </c>
      <c r="G675" s="23" t="s">
        <v>13881</v>
      </c>
      <c r="H675" s="25" t="s">
        <v>15373</v>
      </c>
      <c r="I675" s="22" t="s">
        <v>15411</v>
      </c>
      <c r="J675" s="22" t="s">
        <v>14388</v>
      </c>
      <c r="K675" s="26">
        <f t="shared" si="10"/>
        <v>800</v>
      </c>
      <c r="L675" s="26">
        <v>800</v>
      </c>
      <c r="O675" s="22" t="s">
        <v>13882</v>
      </c>
      <c r="P675" s="22" t="s">
        <v>15703</v>
      </c>
      <c r="Q675" s="22">
        <v>90245</v>
      </c>
      <c r="R675" s="22" t="s">
        <v>13883</v>
      </c>
      <c r="S675" s="22" t="s">
        <v>13884</v>
      </c>
      <c r="T675" s="22">
        <v>6.9</v>
      </c>
      <c r="U675" s="22">
        <v>0.4</v>
      </c>
      <c r="X675" s="26"/>
      <c r="Y675" s="26"/>
    </row>
    <row r="676" spans="1:25" ht="37.5" x14ac:dyDescent="0.25">
      <c r="A676" s="21">
        <v>934</v>
      </c>
      <c r="B676" s="22" t="s">
        <v>15368</v>
      </c>
      <c r="C676" s="22" t="s">
        <v>13885</v>
      </c>
      <c r="D676" s="23">
        <v>334808</v>
      </c>
      <c r="E676" s="24">
        <v>1997</v>
      </c>
      <c r="F676" s="22" t="s">
        <v>13886</v>
      </c>
      <c r="G676" s="23" t="s">
        <v>13887</v>
      </c>
      <c r="H676" s="25" t="s">
        <v>15373</v>
      </c>
      <c r="I676" s="22" t="s">
        <v>15374</v>
      </c>
      <c r="J676" s="22" t="s">
        <v>15701</v>
      </c>
      <c r="K676" s="26">
        <f t="shared" si="10"/>
        <v>350</v>
      </c>
      <c r="L676" s="26">
        <v>350</v>
      </c>
      <c r="O676" s="22" t="s">
        <v>13888</v>
      </c>
      <c r="P676" s="22" t="s">
        <v>13889</v>
      </c>
      <c r="Q676" s="22">
        <v>90270</v>
      </c>
      <c r="R676" s="22" t="s">
        <v>13890</v>
      </c>
      <c r="S676" s="22" t="s">
        <v>13891</v>
      </c>
      <c r="T676" s="22">
        <v>6.9</v>
      </c>
      <c r="U676" s="22">
        <v>0.4</v>
      </c>
      <c r="X676" s="26"/>
      <c r="Y676" s="26"/>
    </row>
    <row r="677" spans="1:25" ht="50" x14ac:dyDescent="0.25">
      <c r="A677" s="21">
        <v>937</v>
      </c>
      <c r="B677" s="22" t="s">
        <v>15368</v>
      </c>
      <c r="C677" s="22" t="s">
        <v>11710</v>
      </c>
      <c r="D677" s="23">
        <v>285255</v>
      </c>
      <c r="E677" s="24">
        <v>1993</v>
      </c>
      <c r="F677" s="22" t="s">
        <v>11711</v>
      </c>
      <c r="G677" s="23" t="s">
        <v>11712</v>
      </c>
      <c r="H677" s="25" t="s">
        <v>15373</v>
      </c>
      <c r="I677" s="22" t="s">
        <v>15374</v>
      </c>
      <c r="J677" s="22" t="s">
        <v>15918</v>
      </c>
      <c r="K677" s="26">
        <f t="shared" si="10"/>
        <v>750</v>
      </c>
      <c r="L677" s="26">
        <v>750</v>
      </c>
      <c r="O677" s="22" t="s">
        <v>11713</v>
      </c>
      <c r="P677" s="22" t="s">
        <v>11714</v>
      </c>
      <c r="Q677" s="22">
        <v>91608</v>
      </c>
      <c r="R677" s="22" t="s">
        <v>11715</v>
      </c>
      <c r="S677" s="22" t="s">
        <v>11716</v>
      </c>
      <c r="T677" s="22">
        <v>8.17</v>
      </c>
      <c r="U677" s="22">
        <v>0.38</v>
      </c>
      <c r="X677" s="26"/>
      <c r="Y677" s="26"/>
    </row>
    <row r="678" spans="1:25" ht="50" x14ac:dyDescent="0.25">
      <c r="A678" s="21">
        <v>938</v>
      </c>
      <c r="B678" s="22" t="s">
        <v>15368</v>
      </c>
      <c r="C678" s="22" t="s">
        <v>11710</v>
      </c>
      <c r="D678" s="23">
        <v>338101</v>
      </c>
      <c r="E678" s="24">
        <v>1998</v>
      </c>
      <c r="F678" s="22" t="s">
        <v>11717</v>
      </c>
      <c r="G678" s="23" t="s">
        <v>11718</v>
      </c>
      <c r="H678" s="25" t="s">
        <v>15373</v>
      </c>
      <c r="I678" s="22" t="s">
        <v>16160</v>
      </c>
      <c r="J678" s="22" t="s">
        <v>11719</v>
      </c>
      <c r="K678" s="26">
        <f t="shared" si="10"/>
        <v>841.33333333333326</v>
      </c>
      <c r="N678" s="26">
        <v>1262</v>
      </c>
      <c r="O678" s="22" t="s">
        <v>11713</v>
      </c>
      <c r="P678" s="22" t="s">
        <v>11714</v>
      </c>
      <c r="Q678" s="22">
        <v>91608</v>
      </c>
      <c r="R678" s="22" t="s">
        <v>11715</v>
      </c>
      <c r="S678" s="22" t="s">
        <v>11716</v>
      </c>
      <c r="T678" s="22">
        <v>8.17</v>
      </c>
      <c r="U678" s="22">
        <v>0.38</v>
      </c>
      <c r="X678" s="26"/>
      <c r="Y678" s="26"/>
    </row>
    <row r="679" spans="1:25" ht="50" x14ac:dyDescent="0.25">
      <c r="A679" s="21">
        <v>941</v>
      </c>
      <c r="B679" s="22" t="s">
        <v>15368</v>
      </c>
      <c r="C679" s="22" t="s">
        <v>11710</v>
      </c>
      <c r="D679" s="23">
        <v>364696</v>
      </c>
      <c r="E679" s="24">
        <v>1999</v>
      </c>
      <c r="F679" s="22" t="s">
        <v>11720</v>
      </c>
      <c r="G679" s="23" t="s">
        <v>11721</v>
      </c>
      <c r="H679" s="25" t="s">
        <v>15373</v>
      </c>
      <c r="I679" s="22" t="s">
        <v>14275</v>
      </c>
      <c r="J679" s="22" t="s">
        <v>11722</v>
      </c>
      <c r="K679" s="26">
        <f t="shared" si="10"/>
        <v>458</v>
      </c>
      <c r="N679" s="26">
        <v>687</v>
      </c>
      <c r="O679" s="22" t="s">
        <v>11713</v>
      </c>
      <c r="P679" s="22" t="s">
        <v>11714</v>
      </c>
      <c r="Q679" s="22">
        <v>91608</v>
      </c>
      <c r="R679" s="22" t="s">
        <v>11715</v>
      </c>
      <c r="S679" s="22" t="s">
        <v>11716</v>
      </c>
      <c r="T679" s="22">
        <v>6.9</v>
      </c>
      <c r="U679" s="22">
        <v>0.4</v>
      </c>
      <c r="X679" s="26"/>
      <c r="Y679" s="26"/>
    </row>
    <row r="680" spans="1:25" ht="50" x14ac:dyDescent="0.25">
      <c r="A680" s="21">
        <v>942</v>
      </c>
      <c r="B680" s="22" t="s">
        <v>15368</v>
      </c>
      <c r="C680" s="22" t="s">
        <v>11723</v>
      </c>
      <c r="D680" s="23">
        <v>359920</v>
      </c>
      <c r="E680" s="24">
        <v>1999</v>
      </c>
      <c r="F680" s="22" t="s">
        <v>11724</v>
      </c>
      <c r="G680" s="23" t="s">
        <v>11725</v>
      </c>
      <c r="H680" s="25" t="s">
        <v>15373</v>
      </c>
      <c r="I680" s="22" t="s">
        <v>15374</v>
      </c>
      <c r="J680" s="22" t="s">
        <v>14709</v>
      </c>
      <c r="K680" s="26">
        <f t="shared" si="10"/>
        <v>500</v>
      </c>
      <c r="L680" s="26">
        <v>500</v>
      </c>
      <c r="O680" s="22" t="s">
        <v>11726</v>
      </c>
      <c r="P680" s="22" t="s">
        <v>13909</v>
      </c>
      <c r="Q680" s="22">
        <v>92647</v>
      </c>
      <c r="R680" s="22" t="s">
        <v>11727</v>
      </c>
      <c r="S680" s="22" t="s">
        <v>11728</v>
      </c>
      <c r="T680" s="22">
        <v>6.9</v>
      </c>
      <c r="U680" s="22">
        <v>0.4</v>
      </c>
      <c r="X680" s="26"/>
      <c r="Y680" s="26"/>
    </row>
    <row r="681" spans="1:25" ht="37.5" x14ac:dyDescent="0.25">
      <c r="A681" s="21">
        <v>943</v>
      </c>
      <c r="B681" s="22" t="s">
        <v>15368</v>
      </c>
      <c r="C681" s="22" t="s">
        <v>11723</v>
      </c>
      <c r="D681" s="23">
        <v>376397</v>
      </c>
      <c r="E681" s="24">
        <v>2000</v>
      </c>
      <c r="F681" s="22" t="s">
        <v>11729</v>
      </c>
      <c r="G681" s="23" t="s">
        <v>11730</v>
      </c>
      <c r="H681" s="25" t="s">
        <v>15373</v>
      </c>
      <c r="I681" s="22" t="s">
        <v>15374</v>
      </c>
      <c r="J681" s="22">
        <v>3512</v>
      </c>
      <c r="K681" s="26">
        <f t="shared" si="10"/>
        <v>1058.6666666666665</v>
      </c>
      <c r="N681" s="26">
        <v>1588</v>
      </c>
      <c r="O681" s="22" t="s">
        <v>11726</v>
      </c>
      <c r="P681" s="22" t="s">
        <v>13909</v>
      </c>
      <c r="Q681" s="22">
        <v>92647</v>
      </c>
      <c r="R681" s="22" t="s">
        <v>11727</v>
      </c>
      <c r="S681" s="22" t="s">
        <v>11728</v>
      </c>
      <c r="T681" s="22">
        <v>6.9</v>
      </c>
      <c r="U681" s="22">
        <v>0.4</v>
      </c>
      <c r="X681" s="26"/>
      <c r="Y681" s="26"/>
    </row>
    <row r="682" spans="1:25" ht="37.5" x14ac:dyDescent="0.25">
      <c r="A682" s="21">
        <v>944</v>
      </c>
      <c r="B682" s="22" t="s">
        <v>15368</v>
      </c>
      <c r="C682" s="22" t="s">
        <v>11731</v>
      </c>
      <c r="D682" s="23">
        <v>327063</v>
      </c>
      <c r="E682" s="24">
        <v>1997</v>
      </c>
      <c r="F682" s="22" t="s">
        <v>11732</v>
      </c>
      <c r="G682" s="23" t="s">
        <v>11733</v>
      </c>
      <c r="H682" s="25" t="s">
        <v>15373</v>
      </c>
      <c r="I682" s="22" t="s">
        <v>15411</v>
      </c>
      <c r="J682" s="22" t="s">
        <v>11734</v>
      </c>
      <c r="K682" s="26">
        <f t="shared" si="10"/>
        <v>640</v>
      </c>
      <c r="N682" s="26">
        <v>960</v>
      </c>
      <c r="O682" s="22" t="s">
        <v>11735</v>
      </c>
      <c r="P682" s="22" t="s">
        <v>15376</v>
      </c>
      <c r="Q682" s="22">
        <v>90017</v>
      </c>
      <c r="R682" s="22" t="s">
        <v>11736</v>
      </c>
      <c r="S682" s="22" t="s">
        <v>15659</v>
      </c>
      <c r="T682" s="22">
        <v>8.17</v>
      </c>
      <c r="U682" s="22">
        <v>0.38</v>
      </c>
      <c r="X682" s="26"/>
      <c r="Y682" s="26"/>
    </row>
    <row r="683" spans="1:25" ht="37.5" x14ac:dyDescent="0.25">
      <c r="A683" s="21">
        <v>945</v>
      </c>
      <c r="B683" s="22" t="s">
        <v>15368</v>
      </c>
      <c r="C683" s="22" t="s">
        <v>11737</v>
      </c>
      <c r="D683" s="23">
        <v>370147</v>
      </c>
      <c r="E683" s="24">
        <v>2000</v>
      </c>
      <c r="F683" s="22" t="s">
        <v>11738</v>
      </c>
      <c r="G683" s="23" t="s">
        <v>11739</v>
      </c>
      <c r="H683" s="25" t="s">
        <v>15373</v>
      </c>
      <c r="I683" s="22" t="s">
        <v>15382</v>
      </c>
      <c r="J683" s="22" t="s">
        <v>15046</v>
      </c>
      <c r="K683" s="26">
        <f t="shared" si="10"/>
        <v>900</v>
      </c>
      <c r="N683" s="26">
        <v>1350</v>
      </c>
      <c r="O683" s="22" t="s">
        <v>11740</v>
      </c>
      <c r="P683" s="22" t="s">
        <v>16786</v>
      </c>
      <c r="Q683" s="22">
        <v>92801</v>
      </c>
      <c r="R683" s="22" t="s">
        <v>11741</v>
      </c>
      <c r="S683" s="22" t="s">
        <v>11742</v>
      </c>
      <c r="T683" s="22">
        <v>6.9</v>
      </c>
      <c r="U683" s="22">
        <v>0.4</v>
      </c>
      <c r="X683" s="26"/>
      <c r="Y683" s="26"/>
    </row>
    <row r="684" spans="1:25" ht="37.5" x14ac:dyDescent="0.25">
      <c r="A684" s="21">
        <v>946</v>
      </c>
      <c r="B684" s="22" t="s">
        <v>15368</v>
      </c>
      <c r="C684" s="22" t="s">
        <v>11743</v>
      </c>
      <c r="D684" s="23">
        <v>227158</v>
      </c>
      <c r="E684" s="24">
        <v>1990</v>
      </c>
      <c r="F684" s="22" t="s">
        <v>11744</v>
      </c>
      <c r="G684" s="23" t="s">
        <v>11745</v>
      </c>
      <c r="H684" s="25" t="s">
        <v>15373</v>
      </c>
      <c r="I684" s="22" t="s">
        <v>15374</v>
      </c>
      <c r="J684" s="22">
        <v>3512</v>
      </c>
      <c r="K684" s="26">
        <f t="shared" si="10"/>
        <v>886.66666666666663</v>
      </c>
      <c r="N684" s="26">
        <v>1330</v>
      </c>
      <c r="O684" s="22" t="s">
        <v>11746</v>
      </c>
      <c r="P684" s="22" t="s">
        <v>15081</v>
      </c>
      <c r="Q684" s="22">
        <v>90220</v>
      </c>
      <c r="R684" s="22" t="s">
        <v>11747</v>
      </c>
      <c r="S684" s="22" t="s">
        <v>11748</v>
      </c>
      <c r="T684" s="22">
        <v>8.17</v>
      </c>
      <c r="U684" s="22">
        <v>0.38</v>
      </c>
      <c r="X684" s="26"/>
      <c r="Y684" s="26"/>
    </row>
    <row r="685" spans="1:25" ht="50" x14ac:dyDescent="0.25">
      <c r="A685" s="21">
        <v>948</v>
      </c>
      <c r="B685" s="22" t="s">
        <v>15368</v>
      </c>
      <c r="C685" s="22" t="s">
        <v>11749</v>
      </c>
      <c r="D685" s="23">
        <v>366273</v>
      </c>
      <c r="E685" s="24">
        <v>2000</v>
      </c>
      <c r="F685" s="22" t="s">
        <v>11750</v>
      </c>
      <c r="G685" s="23" t="s">
        <v>12892</v>
      </c>
      <c r="H685" s="25" t="s">
        <v>15373</v>
      </c>
      <c r="I685" s="22" t="s">
        <v>15374</v>
      </c>
      <c r="J685" s="22" t="s">
        <v>12893</v>
      </c>
      <c r="K685" s="26">
        <f t="shared" si="10"/>
        <v>1533.3333333333333</v>
      </c>
      <c r="N685" s="26">
        <v>2300</v>
      </c>
      <c r="O685" s="22" t="s">
        <v>12894</v>
      </c>
      <c r="P685" s="22" t="s">
        <v>15376</v>
      </c>
      <c r="Q685" s="22">
        <v>90017</v>
      </c>
      <c r="R685" s="22" t="s">
        <v>12895</v>
      </c>
      <c r="S685" s="22" t="s">
        <v>12896</v>
      </c>
      <c r="T685" s="22">
        <v>6.9</v>
      </c>
      <c r="U685" s="22">
        <v>0.4</v>
      </c>
      <c r="X685" s="26"/>
      <c r="Y685" s="26"/>
    </row>
    <row r="686" spans="1:25" ht="50" x14ac:dyDescent="0.25">
      <c r="A686" s="21">
        <v>949</v>
      </c>
      <c r="B686" s="22" t="s">
        <v>15368</v>
      </c>
      <c r="C686" s="22" t="s">
        <v>11749</v>
      </c>
      <c r="D686" s="23">
        <v>366274</v>
      </c>
      <c r="E686" s="24">
        <v>2000</v>
      </c>
      <c r="F686" s="22" t="s">
        <v>12897</v>
      </c>
      <c r="G686" s="23" t="s">
        <v>12898</v>
      </c>
      <c r="H686" s="25" t="s">
        <v>15373</v>
      </c>
      <c r="I686" s="22" t="s">
        <v>15374</v>
      </c>
      <c r="J686" s="22" t="s">
        <v>12899</v>
      </c>
      <c r="K686" s="26">
        <f t="shared" si="10"/>
        <v>1533.3333333333333</v>
      </c>
      <c r="N686" s="26">
        <v>2300</v>
      </c>
      <c r="O686" s="22" t="s">
        <v>12894</v>
      </c>
      <c r="P686" s="22" t="s">
        <v>15376</v>
      </c>
      <c r="Q686" s="22">
        <v>90017</v>
      </c>
      <c r="R686" s="22" t="s">
        <v>12895</v>
      </c>
      <c r="S686" s="22" t="s">
        <v>12896</v>
      </c>
      <c r="T686" s="22">
        <v>6.9</v>
      </c>
      <c r="U686" s="22">
        <v>0.4</v>
      </c>
      <c r="X686" s="26"/>
      <c r="Y686" s="26"/>
    </row>
    <row r="687" spans="1:25" ht="37.5" x14ac:dyDescent="0.25">
      <c r="A687" s="21">
        <v>950</v>
      </c>
      <c r="B687" s="22" t="s">
        <v>15368</v>
      </c>
      <c r="C687" s="22" t="s">
        <v>12900</v>
      </c>
      <c r="D687" s="23">
        <v>364063</v>
      </c>
      <c r="E687" s="24">
        <v>1999</v>
      </c>
      <c r="F687" s="22" t="s">
        <v>12901</v>
      </c>
      <c r="G687" s="23" t="s">
        <v>12902</v>
      </c>
      <c r="H687" s="25" t="s">
        <v>15373</v>
      </c>
      <c r="I687" s="22" t="s">
        <v>15382</v>
      </c>
      <c r="J687" s="22" t="s">
        <v>12903</v>
      </c>
      <c r="K687" s="26">
        <f t="shared" si="10"/>
        <v>1948</v>
      </c>
      <c r="N687" s="26">
        <v>2922</v>
      </c>
      <c r="O687" s="22" t="s">
        <v>12904</v>
      </c>
      <c r="P687" s="22" t="s">
        <v>15376</v>
      </c>
      <c r="Q687" s="22">
        <v>90501</v>
      </c>
      <c r="R687" s="22" t="s">
        <v>12905</v>
      </c>
      <c r="S687" s="22" t="s">
        <v>12906</v>
      </c>
      <c r="T687" s="22">
        <v>8.17</v>
      </c>
      <c r="U687" s="22">
        <v>0.38</v>
      </c>
      <c r="X687" s="26"/>
      <c r="Y687" s="26"/>
    </row>
    <row r="688" spans="1:25" ht="37.5" x14ac:dyDescent="0.25">
      <c r="A688" s="21">
        <v>951</v>
      </c>
      <c r="B688" s="22" t="s">
        <v>15368</v>
      </c>
      <c r="C688" s="22" t="s">
        <v>12900</v>
      </c>
      <c r="D688" s="23">
        <v>364064</v>
      </c>
      <c r="E688" s="24">
        <v>1999</v>
      </c>
      <c r="F688" s="22" t="s">
        <v>12907</v>
      </c>
      <c r="G688" s="23" t="s">
        <v>12908</v>
      </c>
      <c r="H688" s="25" t="s">
        <v>15373</v>
      </c>
      <c r="I688" s="22" t="s">
        <v>15382</v>
      </c>
      <c r="J688" s="22" t="s">
        <v>12903</v>
      </c>
      <c r="K688" s="26">
        <f t="shared" si="10"/>
        <v>1948</v>
      </c>
      <c r="N688" s="26">
        <v>2922</v>
      </c>
      <c r="O688" s="22" t="s">
        <v>12904</v>
      </c>
      <c r="P688" s="22" t="s">
        <v>15376</v>
      </c>
      <c r="Q688" s="22">
        <v>90501</v>
      </c>
      <c r="R688" s="22" t="s">
        <v>12905</v>
      </c>
      <c r="S688" s="22" t="s">
        <v>12906</v>
      </c>
      <c r="T688" s="22">
        <v>8.17</v>
      </c>
      <c r="U688" s="22">
        <v>0.38</v>
      </c>
      <c r="X688" s="26"/>
      <c r="Y688" s="26"/>
    </row>
    <row r="689" spans="1:25" ht="37.5" x14ac:dyDescent="0.25">
      <c r="A689" s="21">
        <v>952</v>
      </c>
      <c r="B689" s="22" t="s">
        <v>15368</v>
      </c>
      <c r="C689" s="22" t="s">
        <v>12900</v>
      </c>
      <c r="D689" s="23">
        <v>364065</v>
      </c>
      <c r="E689" s="24">
        <v>1999</v>
      </c>
      <c r="F689" s="22" t="s">
        <v>12909</v>
      </c>
      <c r="G689" s="23" t="s">
        <v>12910</v>
      </c>
      <c r="H689" s="25" t="s">
        <v>15373</v>
      </c>
      <c r="I689" s="22" t="s">
        <v>15382</v>
      </c>
      <c r="J689" s="22" t="s">
        <v>12903</v>
      </c>
      <c r="K689" s="26">
        <f t="shared" si="10"/>
        <v>1948</v>
      </c>
      <c r="N689" s="26">
        <v>2922</v>
      </c>
      <c r="O689" s="22" t="s">
        <v>12904</v>
      </c>
      <c r="P689" s="22" t="s">
        <v>15376</v>
      </c>
      <c r="Q689" s="22">
        <v>90501</v>
      </c>
      <c r="R689" s="22" t="s">
        <v>12905</v>
      </c>
      <c r="S689" s="22" t="s">
        <v>12906</v>
      </c>
      <c r="T689" s="22">
        <v>8.17</v>
      </c>
      <c r="U689" s="22">
        <v>0.38</v>
      </c>
      <c r="X689" s="26"/>
      <c r="Y689" s="26"/>
    </row>
    <row r="690" spans="1:25" ht="37.5" x14ac:dyDescent="0.25">
      <c r="A690" s="21">
        <v>953</v>
      </c>
      <c r="B690" s="22" t="s">
        <v>15368</v>
      </c>
      <c r="C690" s="22" t="s">
        <v>12900</v>
      </c>
      <c r="D690" s="23">
        <v>364066</v>
      </c>
      <c r="E690" s="24">
        <v>1999</v>
      </c>
      <c r="F690" s="22" t="s">
        <v>12911</v>
      </c>
      <c r="G690" s="23" t="s">
        <v>12912</v>
      </c>
      <c r="H690" s="25" t="s">
        <v>15373</v>
      </c>
      <c r="I690" s="22" t="s">
        <v>15382</v>
      </c>
      <c r="J690" s="22" t="s">
        <v>12903</v>
      </c>
      <c r="K690" s="26">
        <f t="shared" si="10"/>
        <v>1948</v>
      </c>
      <c r="N690" s="26">
        <v>2922</v>
      </c>
      <c r="O690" s="22" t="s">
        <v>12904</v>
      </c>
      <c r="P690" s="22" t="s">
        <v>15376</v>
      </c>
      <c r="Q690" s="22">
        <v>90501</v>
      </c>
      <c r="R690" s="22" t="s">
        <v>12905</v>
      </c>
      <c r="S690" s="22" t="s">
        <v>12906</v>
      </c>
      <c r="T690" s="22">
        <v>8.17</v>
      </c>
      <c r="U690" s="22">
        <v>0.38</v>
      </c>
      <c r="X690" s="26"/>
      <c r="Y690" s="26"/>
    </row>
    <row r="691" spans="1:25" ht="37.5" x14ac:dyDescent="0.25">
      <c r="A691" s="21">
        <v>954</v>
      </c>
      <c r="B691" s="22" t="s">
        <v>15368</v>
      </c>
      <c r="C691" s="22" t="s">
        <v>12900</v>
      </c>
      <c r="D691" s="23">
        <v>364068</v>
      </c>
      <c r="E691" s="24">
        <v>1999</v>
      </c>
      <c r="F691" s="22" t="s">
        <v>12913</v>
      </c>
      <c r="G691" s="23" t="s">
        <v>13965</v>
      </c>
      <c r="H691" s="25" t="s">
        <v>15373</v>
      </c>
      <c r="I691" s="22" t="s">
        <v>15382</v>
      </c>
      <c r="J691" s="22" t="s">
        <v>12903</v>
      </c>
      <c r="K691" s="26">
        <f t="shared" si="10"/>
        <v>1948</v>
      </c>
      <c r="N691" s="26">
        <v>2922</v>
      </c>
      <c r="O691" s="22" t="s">
        <v>12904</v>
      </c>
      <c r="P691" s="22" t="s">
        <v>15376</v>
      </c>
      <c r="Q691" s="22">
        <v>90501</v>
      </c>
      <c r="R691" s="22" t="s">
        <v>12905</v>
      </c>
      <c r="S691" s="22" t="s">
        <v>12906</v>
      </c>
      <c r="T691" s="22">
        <v>8.17</v>
      </c>
      <c r="U691" s="22">
        <v>0.38</v>
      </c>
      <c r="X691" s="26"/>
      <c r="Y691" s="26"/>
    </row>
    <row r="692" spans="1:25" ht="37.5" x14ac:dyDescent="0.25">
      <c r="A692" s="21">
        <v>955</v>
      </c>
      <c r="B692" s="22" t="s">
        <v>15368</v>
      </c>
      <c r="C692" s="22" t="s">
        <v>12900</v>
      </c>
      <c r="D692" s="23">
        <v>364069</v>
      </c>
      <c r="E692" s="24">
        <v>1999</v>
      </c>
      <c r="F692" s="22" t="s">
        <v>13966</v>
      </c>
      <c r="G692" s="23" t="s">
        <v>13967</v>
      </c>
      <c r="H692" s="25" t="s">
        <v>15373</v>
      </c>
      <c r="I692" s="22" t="s">
        <v>15382</v>
      </c>
      <c r="J692" s="22" t="s">
        <v>12903</v>
      </c>
      <c r="K692" s="26">
        <f t="shared" si="10"/>
        <v>1948</v>
      </c>
      <c r="N692" s="26">
        <v>2922</v>
      </c>
      <c r="O692" s="22" t="s">
        <v>12904</v>
      </c>
      <c r="P692" s="22" t="s">
        <v>15376</v>
      </c>
      <c r="Q692" s="22">
        <v>90501</v>
      </c>
      <c r="R692" s="22" t="s">
        <v>12905</v>
      </c>
      <c r="S692" s="22" t="s">
        <v>12906</v>
      </c>
      <c r="T692" s="22">
        <v>8.17</v>
      </c>
      <c r="U692" s="22">
        <v>0.38</v>
      </c>
      <c r="X692" s="26"/>
      <c r="Y692" s="26"/>
    </row>
    <row r="693" spans="1:25" ht="37.5" x14ac:dyDescent="0.25">
      <c r="A693" s="21">
        <v>956</v>
      </c>
      <c r="B693" s="22" t="s">
        <v>15368</v>
      </c>
      <c r="C693" s="22" t="s">
        <v>13968</v>
      </c>
      <c r="D693" s="23">
        <v>282934</v>
      </c>
      <c r="E693" s="24">
        <v>1993</v>
      </c>
      <c r="F693" s="22" t="s">
        <v>13969</v>
      </c>
      <c r="G693" s="23" t="s">
        <v>13970</v>
      </c>
      <c r="H693" s="25" t="s">
        <v>15373</v>
      </c>
      <c r="I693" s="22" t="s">
        <v>15411</v>
      </c>
      <c r="J693" s="22" t="s">
        <v>12755</v>
      </c>
      <c r="K693" s="26">
        <f t="shared" si="10"/>
        <v>933.33333333333326</v>
      </c>
      <c r="N693" s="26">
        <v>1400</v>
      </c>
      <c r="O693" s="22" t="s">
        <v>13971</v>
      </c>
      <c r="P693" s="22" t="s">
        <v>15611</v>
      </c>
      <c r="Q693" s="22">
        <v>92643</v>
      </c>
      <c r="R693" s="22" t="s">
        <v>13972</v>
      </c>
      <c r="S693" s="22" t="s">
        <v>13973</v>
      </c>
      <c r="T693" s="22">
        <v>8.17</v>
      </c>
      <c r="U693" s="22">
        <v>0.38</v>
      </c>
      <c r="X693" s="26"/>
      <c r="Y693" s="26"/>
    </row>
    <row r="694" spans="1:25" ht="50" x14ac:dyDescent="0.25">
      <c r="A694" s="21">
        <v>957</v>
      </c>
      <c r="B694" s="22" t="s">
        <v>15368</v>
      </c>
      <c r="C694" s="22" t="s">
        <v>13974</v>
      </c>
      <c r="D694" s="23">
        <v>361616</v>
      </c>
      <c r="E694" s="24">
        <v>1999</v>
      </c>
      <c r="F694" s="22" t="s">
        <v>13975</v>
      </c>
      <c r="G694" s="23" t="s">
        <v>12793</v>
      </c>
      <c r="H694" s="25" t="s">
        <v>15373</v>
      </c>
      <c r="I694" s="22" t="s">
        <v>15374</v>
      </c>
      <c r="J694" s="22" t="s">
        <v>15701</v>
      </c>
      <c r="K694" s="26">
        <f t="shared" si="10"/>
        <v>350</v>
      </c>
      <c r="L694" s="26">
        <v>350</v>
      </c>
      <c r="O694" s="22" t="s">
        <v>12794</v>
      </c>
      <c r="P694" s="22" t="s">
        <v>12795</v>
      </c>
      <c r="Q694" s="22">
        <v>91321</v>
      </c>
      <c r="R694" s="22" t="s">
        <v>12796</v>
      </c>
      <c r="S694" s="22" t="s">
        <v>12797</v>
      </c>
      <c r="T694" s="22">
        <v>6.9</v>
      </c>
      <c r="U694" s="22">
        <v>0.4</v>
      </c>
      <c r="X694" s="26"/>
      <c r="Y694" s="26"/>
    </row>
    <row r="695" spans="1:25" ht="37.5" x14ac:dyDescent="0.25">
      <c r="A695" s="21">
        <v>958</v>
      </c>
      <c r="B695" s="22" t="s">
        <v>15368</v>
      </c>
      <c r="C695" s="22" t="s">
        <v>12798</v>
      </c>
      <c r="D695" s="23">
        <v>176685</v>
      </c>
      <c r="E695" s="24">
        <v>1988</v>
      </c>
      <c r="F695" s="22" t="s">
        <v>12799</v>
      </c>
      <c r="G695" s="23" t="s">
        <v>12800</v>
      </c>
      <c r="H695" s="25" t="s">
        <v>15373</v>
      </c>
      <c r="I695" s="22" t="s">
        <v>15374</v>
      </c>
      <c r="J695" s="22">
        <v>3412</v>
      </c>
      <c r="K695" s="26">
        <f t="shared" si="10"/>
        <v>600</v>
      </c>
      <c r="L695" s="26">
        <v>600</v>
      </c>
      <c r="O695" s="22" t="s">
        <v>12801</v>
      </c>
      <c r="P695" s="22" t="s">
        <v>15898</v>
      </c>
      <c r="Q695" s="22">
        <v>92586</v>
      </c>
      <c r="R695" s="22" t="s">
        <v>12802</v>
      </c>
      <c r="S695" s="22" t="s">
        <v>12803</v>
      </c>
      <c r="T695" s="22">
        <v>8.17</v>
      </c>
      <c r="U695" s="22">
        <v>0.38</v>
      </c>
      <c r="X695" s="26"/>
      <c r="Y695" s="26"/>
    </row>
    <row r="696" spans="1:25" ht="37.5" x14ac:dyDescent="0.25">
      <c r="A696" s="21">
        <v>959</v>
      </c>
      <c r="B696" s="22" t="s">
        <v>15368</v>
      </c>
      <c r="C696" s="22" t="s">
        <v>12804</v>
      </c>
      <c r="D696" s="23">
        <v>364094</v>
      </c>
      <c r="E696" s="24">
        <v>1999</v>
      </c>
      <c r="F696" s="22" t="s">
        <v>12805</v>
      </c>
      <c r="G696" s="23" t="s">
        <v>12806</v>
      </c>
      <c r="H696" s="25" t="s">
        <v>15373</v>
      </c>
      <c r="I696" s="22" t="s">
        <v>15382</v>
      </c>
      <c r="J696" s="22" t="s">
        <v>16784</v>
      </c>
      <c r="K696" s="26">
        <f t="shared" si="10"/>
        <v>503.33333333333331</v>
      </c>
      <c r="N696" s="26">
        <v>755</v>
      </c>
      <c r="O696" s="22" t="s">
        <v>12807</v>
      </c>
      <c r="P696" s="22" t="s">
        <v>15703</v>
      </c>
      <c r="Q696" s="22">
        <v>90245</v>
      </c>
      <c r="R696" s="22" t="s">
        <v>12808</v>
      </c>
      <c r="S696" s="22" t="s">
        <v>12809</v>
      </c>
      <c r="T696" s="22">
        <v>8.17</v>
      </c>
      <c r="U696" s="22">
        <v>0.38</v>
      </c>
      <c r="X696" s="26"/>
      <c r="Y696" s="26"/>
    </row>
    <row r="697" spans="1:25" ht="25" x14ac:dyDescent="0.25">
      <c r="A697" s="21">
        <v>961</v>
      </c>
      <c r="B697" s="22" t="s">
        <v>15368</v>
      </c>
      <c r="C697" s="22" t="s">
        <v>12810</v>
      </c>
      <c r="D697" s="23">
        <v>133281</v>
      </c>
      <c r="E697" s="24">
        <v>1985</v>
      </c>
      <c r="F697" s="22" t="s">
        <v>12811</v>
      </c>
      <c r="G697" s="23" t="s">
        <v>12812</v>
      </c>
      <c r="H697" s="25" t="s">
        <v>15373</v>
      </c>
      <c r="I697" s="22" t="s">
        <v>15374</v>
      </c>
      <c r="J697" s="22">
        <v>3516</v>
      </c>
      <c r="K697" s="26">
        <f t="shared" si="10"/>
        <v>1672</v>
      </c>
      <c r="N697" s="26">
        <v>2508</v>
      </c>
      <c r="O697" s="22" t="s">
        <v>12813</v>
      </c>
      <c r="P697" s="22" t="s">
        <v>14326</v>
      </c>
      <c r="Q697" s="22">
        <v>91342</v>
      </c>
      <c r="R697" s="22" t="s">
        <v>12814</v>
      </c>
      <c r="S697" s="22" t="s">
        <v>12815</v>
      </c>
      <c r="T697" s="22">
        <v>11</v>
      </c>
      <c r="U697" s="22">
        <v>0.53</v>
      </c>
      <c r="X697" s="26"/>
      <c r="Y697" s="26"/>
    </row>
    <row r="698" spans="1:25" ht="37.5" x14ac:dyDescent="0.25">
      <c r="A698" s="21">
        <v>962</v>
      </c>
      <c r="B698" s="22" t="s">
        <v>15368</v>
      </c>
      <c r="C698" s="22" t="s">
        <v>12810</v>
      </c>
      <c r="D698" s="23">
        <v>304571</v>
      </c>
      <c r="E698" s="24">
        <v>1995</v>
      </c>
      <c r="F698" s="22" t="s">
        <v>12816</v>
      </c>
      <c r="G698" s="23" t="s">
        <v>12817</v>
      </c>
      <c r="H698" s="25" t="s">
        <v>15373</v>
      </c>
      <c r="I698" s="22" t="s">
        <v>15374</v>
      </c>
      <c r="J698" s="22" t="s">
        <v>15701</v>
      </c>
      <c r="K698" s="26">
        <f t="shared" si="10"/>
        <v>350</v>
      </c>
      <c r="L698" s="26">
        <v>350</v>
      </c>
      <c r="O698" s="22" t="s">
        <v>12818</v>
      </c>
      <c r="P698" s="22" t="s">
        <v>15376</v>
      </c>
      <c r="Q698" s="22">
        <v>90045</v>
      </c>
      <c r="R698" s="22" t="s">
        <v>12819</v>
      </c>
      <c r="S698" s="22" t="s">
        <v>12820</v>
      </c>
      <c r="T698" s="22">
        <v>8.17</v>
      </c>
      <c r="U698" s="22">
        <v>0.38</v>
      </c>
      <c r="X698" s="26"/>
      <c r="Y698" s="26"/>
    </row>
    <row r="699" spans="1:25" ht="25" x14ac:dyDescent="0.25">
      <c r="A699" s="21">
        <v>963</v>
      </c>
      <c r="B699" s="22" t="s">
        <v>15368</v>
      </c>
      <c r="C699" s="22" t="s">
        <v>12821</v>
      </c>
      <c r="D699" s="23">
        <v>115307</v>
      </c>
      <c r="E699" s="24">
        <v>1983</v>
      </c>
      <c r="F699" s="22" t="s">
        <v>12822</v>
      </c>
      <c r="G699" s="23" t="s">
        <v>12823</v>
      </c>
      <c r="H699" s="25" t="s">
        <v>15373</v>
      </c>
      <c r="I699" s="22" t="s">
        <v>15382</v>
      </c>
      <c r="J699" s="22" t="s">
        <v>12824</v>
      </c>
      <c r="K699" s="26">
        <f t="shared" si="10"/>
        <v>750</v>
      </c>
      <c r="L699" s="26">
        <v>750</v>
      </c>
      <c r="O699" s="22" t="s">
        <v>12825</v>
      </c>
      <c r="P699" s="22" t="s">
        <v>15879</v>
      </c>
      <c r="Q699" s="22">
        <v>91006</v>
      </c>
      <c r="R699" s="22" t="s">
        <v>12826</v>
      </c>
      <c r="S699" s="22" t="s">
        <v>12827</v>
      </c>
      <c r="T699" s="22">
        <v>12</v>
      </c>
      <c r="U699" s="22">
        <v>0.53</v>
      </c>
      <c r="X699" s="26"/>
      <c r="Y699" s="26"/>
    </row>
    <row r="700" spans="1:25" ht="25" x14ac:dyDescent="0.25">
      <c r="A700" s="21">
        <v>964</v>
      </c>
      <c r="B700" s="22" t="s">
        <v>15368</v>
      </c>
      <c r="C700" s="22" t="s">
        <v>12821</v>
      </c>
      <c r="D700" s="23">
        <v>146175</v>
      </c>
      <c r="E700" s="24">
        <v>1986</v>
      </c>
      <c r="F700" s="22" t="s">
        <v>12828</v>
      </c>
      <c r="G700" s="23" t="s">
        <v>12829</v>
      </c>
      <c r="H700" s="25" t="s">
        <v>15373</v>
      </c>
      <c r="I700" s="22" t="s">
        <v>15411</v>
      </c>
      <c r="J700" s="22" t="s">
        <v>12830</v>
      </c>
      <c r="K700" s="26">
        <f t="shared" si="10"/>
        <v>640</v>
      </c>
      <c r="N700" s="26">
        <v>960</v>
      </c>
      <c r="O700" s="22" t="s">
        <v>12825</v>
      </c>
      <c r="P700" s="22" t="s">
        <v>15879</v>
      </c>
      <c r="Q700" s="22">
        <v>91006</v>
      </c>
      <c r="R700" s="22" t="s">
        <v>12826</v>
      </c>
      <c r="S700" s="22" t="s">
        <v>12827</v>
      </c>
      <c r="T700" s="22">
        <v>11</v>
      </c>
      <c r="U700" s="22">
        <v>0.53</v>
      </c>
      <c r="X700" s="26"/>
      <c r="Y700" s="26"/>
    </row>
    <row r="701" spans="1:25" ht="25" x14ac:dyDescent="0.25">
      <c r="A701" s="21">
        <v>965</v>
      </c>
      <c r="B701" s="22" t="s">
        <v>15368</v>
      </c>
      <c r="C701" s="22" t="s">
        <v>12821</v>
      </c>
      <c r="D701" s="23">
        <v>148702</v>
      </c>
      <c r="E701" s="24">
        <v>1986</v>
      </c>
      <c r="F701" s="22" t="s">
        <v>12831</v>
      </c>
      <c r="G701" s="23" t="s">
        <v>12829</v>
      </c>
      <c r="H701" s="25" t="s">
        <v>15373</v>
      </c>
      <c r="I701" s="22" t="s">
        <v>15411</v>
      </c>
      <c r="J701" s="22" t="s">
        <v>12830</v>
      </c>
      <c r="K701" s="26">
        <f t="shared" si="10"/>
        <v>640</v>
      </c>
      <c r="N701" s="26">
        <v>960</v>
      </c>
      <c r="O701" s="22" t="s">
        <v>12825</v>
      </c>
      <c r="P701" s="22" t="s">
        <v>15879</v>
      </c>
      <c r="Q701" s="22">
        <v>91006</v>
      </c>
      <c r="R701" s="22" t="s">
        <v>12826</v>
      </c>
      <c r="S701" s="22" t="s">
        <v>12827</v>
      </c>
      <c r="T701" s="22">
        <v>11</v>
      </c>
      <c r="U701" s="22">
        <v>0.53</v>
      </c>
      <c r="X701" s="26"/>
      <c r="Y701" s="26"/>
    </row>
    <row r="702" spans="1:25" ht="37.5" x14ac:dyDescent="0.25">
      <c r="A702" s="21">
        <v>966</v>
      </c>
      <c r="B702" s="22" t="s">
        <v>15368</v>
      </c>
      <c r="C702" s="22" t="s">
        <v>12821</v>
      </c>
      <c r="D702" s="23">
        <v>341621</v>
      </c>
      <c r="E702" s="24">
        <v>1998</v>
      </c>
      <c r="F702" s="22" t="s">
        <v>12832</v>
      </c>
      <c r="G702" s="23" t="s">
        <v>12833</v>
      </c>
      <c r="H702" s="25" t="s">
        <v>15373</v>
      </c>
      <c r="I702" s="22" t="s">
        <v>15411</v>
      </c>
      <c r="J702" s="22" t="s">
        <v>15412</v>
      </c>
      <c r="K702" s="26">
        <f t="shared" si="10"/>
        <v>553.33333333333326</v>
      </c>
      <c r="N702" s="26">
        <v>830</v>
      </c>
      <c r="O702" s="22" t="s">
        <v>12825</v>
      </c>
      <c r="P702" s="22" t="s">
        <v>15879</v>
      </c>
      <c r="Q702" s="22">
        <v>91006</v>
      </c>
      <c r="R702" s="22" t="s">
        <v>12826</v>
      </c>
      <c r="S702" s="22" t="s">
        <v>12827</v>
      </c>
      <c r="T702" s="22">
        <v>8.17</v>
      </c>
      <c r="U702" s="22">
        <v>0.38</v>
      </c>
      <c r="X702" s="26"/>
      <c r="Y702" s="26"/>
    </row>
    <row r="703" spans="1:25" ht="37.5" x14ac:dyDescent="0.25">
      <c r="A703" s="21">
        <v>967</v>
      </c>
      <c r="B703" s="22" t="s">
        <v>15368</v>
      </c>
      <c r="C703" s="22" t="s">
        <v>12821</v>
      </c>
      <c r="D703" s="23">
        <v>343084</v>
      </c>
      <c r="E703" s="24">
        <v>1998</v>
      </c>
      <c r="F703" s="22" t="s">
        <v>12834</v>
      </c>
      <c r="G703" s="23" t="s">
        <v>12835</v>
      </c>
      <c r="H703" s="25" t="s">
        <v>15373</v>
      </c>
      <c r="I703" s="22" t="s">
        <v>15411</v>
      </c>
      <c r="J703" s="22" t="s">
        <v>15542</v>
      </c>
      <c r="K703" s="26">
        <f t="shared" si="10"/>
        <v>631.33333333333326</v>
      </c>
      <c r="N703" s="26">
        <v>947</v>
      </c>
      <c r="O703" s="22" t="s">
        <v>12825</v>
      </c>
      <c r="P703" s="22" t="s">
        <v>15879</v>
      </c>
      <c r="Q703" s="22">
        <v>91006</v>
      </c>
      <c r="R703" s="22" t="s">
        <v>12826</v>
      </c>
      <c r="S703" s="22" t="s">
        <v>12827</v>
      </c>
      <c r="T703" s="22">
        <v>8.17</v>
      </c>
      <c r="U703" s="22">
        <v>0.38</v>
      </c>
      <c r="X703" s="26"/>
      <c r="Y703" s="26"/>
    </row>
    <row r="704" spans="1:25" ht="37.5" x14ac:dyDescent="0.25">
      <c r="A704" s="21">
        <v>969</v>
      </c>
      <c r="B704" s="22" t="s">
        <v>15368</v>
      </c>
      <c r="C704" s="22" t="s">
        <v>12836</v>
      </c>
      <c r="D704" s="23">
        <v>377123</v>
      </c>
      <c r="E704" s="24">
        <v>2000</v>
      </c>
      <c r="F704" s="22" t="s">
        <v>12837</v>
      </c>
      <c r="G704" s="23" t="s">
        <v>12838</v>
      </c>
      <c r="H704" s="25" t="s">
        <v>15373</v>
      </c>
      <c r="I704" s="22" t="s">
        <v>15374</v>
      </c>
      <c r="J704" s="22" t="s">
        <v>15677</v>
      </c>
      <c r="K704" s="26">
        <f t="shared" si="10"/>
        <v>1500</v>
      </c>
      <c r="L704" s="26">
        <v>1500</v>
      </c>
      <c r="O704" s="22" t="s">
        <v>12839</v>
      </c>
      <c r="P704" s="22" t="s">
        <v>13806</v>
      </c>
      <c r="Q704" s="22">
        <v>91344</v>
      </c>
      <c r="R704" s="22" t="s">
        <v>12840</v>
      </c>
      <c r="S704" s="22" t="s">
        <v>12841</v>
      </c>
      <c r="T704" s="22">
        <v>6.9</v>
      </c>
      <c r="U704" s="22">
        <v>0.4</v>
      </c>
      <c r="X704" s="26"/>
      <c r="Y704" s="26"/>
    </row>
    <row r="705" spans="1:25" ht="37.5" x14ac:dyDescent="0.25">
      <c r="A705" s="21">
        <v>970</v>
      </c>
      <c r="B705" s="22" t="s">
        <v>15368</v>
      </c>
      <c r="C705" s="22" t="s">
        <v>12836</v>
      </c>
      <c r="D705" s="23">
        <v>377124</v>
      </c>
      <c r="E705" s="24">
        <v>2000</v>
      </c>
      <c r="F705" s="22" t="s">
        <v>12842</v>
      </c>
      <c r="G705" s="23" t="s">
        <v>12843</v>
      </c>
      <c r="H705" s="25" t="s">
        <v>15373</v>
      </c>
      <c r="I705" s="22" t="s">
        <v>15374</v>
      </c>
      <c r="J705" s="22" t="s">
        <v>15918</v>
      </c>
      <c r="K705" s="26">
        <f t="shared" si="10"/>
        <v>900</v>
      </c>
      <c r="L705" s="26">
        <v>900</v>
      </c>
      <c r="O705" s="22" t="s">
        <v>12844</v>
      </c>
      <c r="P705" s="22" t="s">
        <v>12845</v>
      </c>
      <c r="Q705" s="22">
        <v>92886</v>
      </c>
      <c r="R705" s="22" t="s">
        <v>12840</v>
      </c>
      <c r="S705" s="22" t="s">
        <v>12841</v>
      </c>
      <c r="T705" s="22">
        <v>6.9</v>
      </c>
      <c r="U705" s="22">
        <v>0.4</v>
      </c>
      <c r="X705" s="26"/>
      <c r="Y705" s="26"/>
    </row>
    <row r="706" spans="1:25" ht="50" x14ac:dyDescent="0.25">
      <c r="A706" s="21">
        <v>971</v>
      </c>
      <c r="B706" s="22" t="s">
        <v>15368</v>
      </c>
      <c r="C706" s="22" t="s">
        <v>12836</v>
      </c>
      <c r="D706" s="23">
        <v>377165</v>
      </c>
      <c r="E706" s="24">
        <v>2000</v>
      </c>
      <c r="F706" s="22" t="s">
        <v>12846</v>
      </c>
      <c r="G706" s="23" t="s">
        <v>12971</v>
      </c>
      <c r="H706" s="25" t="s">
        <v>15373</v>
      </c>
      <c r="I706" s="22" t="s">
        <v>15374</v>
      </c>
      <c r="J706" s="22" t="s">
        <v>15677</v>
      </c>
      <c r="K706" s="26">
        <f t="shared" ref="K706:K769" si="11">L706+M706*(2/3)+N706*(2/3)</f>
        <v>1500</v>
      </c>
      <c r="L706" s="26">
        <v>1500</v>
      </c>
      <c r="O706" s="22" t="s">
        <v>12839</v>
      </c>
      <c r="P706" s="22" t="s">
        <v>13806</v>
      </c>
      <c r="Q706" s="22">
        <v>91344</v>
      </c>
      <c r="R706" s="22" t="s">
        <v>12840</v>
      </c>
      <c r="S706" s="22" t="s">
        <v>12841</v>
      </c>
      <c r="T706" s="22">
        <v>6.9</v>
      </c>
      <c r="U706" s="22">
        <v>0.4</v>
      </c>
      <c r="X706" s="26"/>
      <c r="Y706" s="26"/>
    </row>
    <row r="707" spans="1:25" ht="37.5" x14ac:dyDescent="0.25">
      <c r="A707" s="21">
        <v>972</v>
      </c>
      <c r="B707" s="22" t="s">
        <v>15368</v>
      </c>
      <c r="C707" s="22" t="s">
        <v>12972</v>
      </c>
      <c r="D707" s="23">
        <v>365179</v>
      </c>
      <c r="E707" s="24">
        <v>2000</v>
      </c>
      <c r="F707" s="22" t="s">
        <v>12973</v>
      </c>
      <c r="G707" s="23" t="s">
        <v>12974</v>
      </c>
      <c r="H707" s="25" t="s">
        <v>15373</v>
      </c>
      <c r="I707" s="22" t="s">
        <v>15374</v>
      </c>
      <c r="J707" s="22">
        <v>3412</v>
      </c>
      <c r="K707" s="26">
        <f t="shared" si="11"/>
        <v>593.33333333333326</v>
      </c>
      <c r="N707" s="26">
        <v>890</v>
      </c>
      <c r="O707" s="22" t="s">
        <v>12975</v>
      </c>
      <c r="P707" s="22" t="s">
        <v>15376</v>
      </c>
      <c r="Q707" s="22">
        <v>90010</v>
      </c>
      <c r="R707" s="22" t="s">
        <v>12976</v>
      </c>
      <c r="S707" s="22" t="s">
        <v>12977</v>
      </c>
      <c r="T707" s="22">
        <v>6.9</v>
      </c>
      <c r="U707" s="22">
        <v>0.4</v>
      </c>
      <c r="X707" s="26"/>
      <c r="Y707" s="26"/>
    </row>
    <row r="708" spans="1:25" ht="37.5" x14ac:dyDescent="0.25">
      <c r="A708" s="21">
        <v>973</v>
      </c>
      <c r="B708" s="22" t="s">
        <v>15368</v>
      </c>
      <c r="C708" s="22" t="s">
        <v>12978</v>
      </c>
      <c r="D708" s="23">
        <v>283543</v>
      </c>
      <c r="E708" s="24">
        <v>1993</v>
      </c>
      <c r="F708" s="22" t="s">
        <v>12979</v>
      </c>
      <c r="G708" s="23" t="s">
        <v>12980</v>
      </c>
      <c r="H708" s="25" t="s">
        <v>15373</v>
      </c>
      <c r="I708" s="22" t="s">
        <v>15374</v>
      </c>
      <c r="J708" s="22">
        <v>3512</v>
      </c>
      <c r="K708" s="26">
        <f t="shared" si="11"/>
        <v>988</v>
      </c>
      <c r="N708" s="26">
        <v>1482</v>
      </c>
      <c r="O708" s="22" t="s">
        <v>12981</v>
      </c>
      <c r="P708" s="22" t="s">
        <v>15376</v>
      </c>
      <c r="Q708" s="22">
        <v>90071</v>
      </c>
      <c r="R708" s="22" t="s">
        <v>12982</v>
      </c>
      <c r="S708" s="22" t="s">
        <v>12983</v>
      </c>
      <c r="T708" s="22">
        <v>8.17</v>
      </c>
      <c r="U708" s="22">
        <v>0.38</v>
      </c>
      <c r="X708" s="26"/>
      <c r="Y708" s="26"/>
    </row>
    <row r="709" spans="1:25" ht="50" x14ac:dyDescent="0.25">
      <c r="A709" s="21">
        <v>976</v>
      </c>
      <c r="B709" s="22" t="s">
        <v>15368</v>
      </c>
      <c r="C709" s="22" t="s">
        <v>12984</v>
      </c>
      <c r="D709" s="23">
        <v>319040</v>
      </c>
      <c r="E709" s="24">
        <v>1996</v>
      </c>
      <c r="F709" s="22" t="s">
        <v>12985</v>
      </c>
      <c r="G709" s="23" t="s">
        <v>12986</v>
      </c>
      <c r="H709" s="25" t="s">
        <v>15373</v>
      </c>
      <c r="I709" s="22" t="s">
        <v>15374</v>
      </c>
      <c r="J709" s="22" t="s">
        <v>15523</v>
      </c>
      <c r="K709" s="26">
        <f t="shared" si="11"/>
        <v>988</v>
      </c>
      <c r="N709" s="26">
        <v>1482</v>
      </c>
      <c r="O709" s="22" t="s">
        <v>12987</v>
      </c>
      <c r="P709" s="22" t="s">
        <v>14585</v>
      </c>
      <c r="Q709" s="22">
        <v>92354</v>
      </c>
      <c r="R709" s="22" t="s">
        <v>12840</v>
      </c>
      <c r="S709" s="22" t="s">
        <v>12841</v>
      </c>
      <c r="T709" s="22">
        <v>8.17</v>
      </c>
      <c r="U709" s="22">
        <v>0.38</v>
      </c>
      <c r="X709" s="26"/>
      <c r="Y709" s="26"/>
    </row>
    <row r="710" spans="1:25" ht="50" x14ac:dyDescent="0.25">
      <c r="A710" s="21">
        <v>977</v>
      </c>
      <c r="B710" s="22" t="s">
        <v>15368</v>
      </c>
      <c r="C710" s="22" t="s">
        <v>12984</v>
      </c>
      <c r="D710" s="23">
        <v>319042</v>
      </c>
      <c r="E710" s="24">
        <v>1996</v>
      </c>
      <c r="F710" s="22" t="s">
        <v>12988</v>
      </c>
      <c r="G710" s="23" t="s">
        <v>12989</v>
      </c>
      <c r="H710" s="25" t="s">
        <v>15373</v>
      </c>
      <c r="I710" s="22" t="s">
        <v>15374</v>
      </c>
      <c r="J710" s="22" t="s">
        <v>15523</v>
      </c>
      <c r="K710" s="26">
        <f t="shared" si="11"/>
        <v>988</v>
      </c>
      <c r="N710" s="26">
        <v>1482</v>
      </c>
      <c r="O710" s="22" t="s">
        <v>12987</v>
      </c>
      <c r="P710" s="22" t="s">
        <v>14585</v>
      </c>
      <c r="Q710" s="22">
        <v>92354</v>
      </c>
      <c r="R710" s="22" t="s">
        <v>12840</v>
      </c>
      <c r="S710" s="22" t="s">
        <v>12841</v>
      </c>
      <c r="T710" s="22">
        <v>8.17</v>
      </c>
      <c r="U710" s="22">
        <v>0.38</v>
      </c>
      <c r="X710" s="26"/>
      <c r="Y710" s="26"/>
    </row>
    <row r="711" spans="1:25" ht="37.5" x14ac:dyDescent="0.25">
      <c r="A711" s="21">
        <v>978</v>
      </c>
      <c r="B711" s="22" t="s">
        <v>15368</v>
      </c>
      <c r="C711" s="22" t="s">
        <v>12984</v>
      </c>
      <c r="D711" s="23">
        <v>377409</v>
      </c>
      <c r="E711" s="24">
        <v>2000</v>
      </c>
      <c r="F711" s="22" t="s">
        <v>12990</v>
      </c>
      <c r="G711" s="23" t="s">
        <v>12991</v>
      </c>
      <c r="H711" s="25" t="s">
        <v>15373</v>
      </c>
      <c r="I711" s="22" t="s">
        <v>15374</v>
      </c>
      <c r="J711" s="22" t="s">
        <v>15677</v>
      </c>
      <c r="K711" s="26">
        <f t="shared" si="11"/>
        <v>1500</v>
      </c>
      <c r="L711" s="26">
        <v>1500</v>
      </c>
      <c r="O711" s="22" t="s">
        <v>12992</v>
      </c>
      <c r="P711" s="22" t="s">
        <v>15376</v>
      </c>
      <c r="Q711" s="22">
        <v>90013</v>
      </c>
      <c r="R711" s="22" t="s">
        <v>12993</v>
      </c>
      <c r="S711" s="22" t="s">
        <v>12841</v>
      </c>
      <c r="T711" s="22">
        <v>6.9</v>
      </c>
      <c r="U711" s="22">
        <v>0.4</v>
      </c>
      <c r="X711" s="26"/>
      <c r="Y711" s="26"/>
    </row>
    <row r="712" spans="1:25" ht="37.5" x14ac:dyDescent="0.25">
      <c r="A712" s="21">
        <v>979</v>
      </c>
      <c r="B712" s="22" t="s">
        <v>15368</v>
      </c>
      <c r="C712" s="22" t="s">
        <v>12984</v>
      </c>
      <c r="D712" s="23">
        <v>378946</v>
      </c>
      <c r="E712" s="24">
        <v>2001</v>
      </c>
      <c r="F712" s="22" t="s">
        <v>12994</v>
      </c>
      <c r="G712" s="23" t="s">
        <v>12995</v>
      </c>
      <c r="H712" s="25" t="s">
        <v>15373</v>
      </c>
      <c r="I712" s="22" t="s">
        <v>15374</v>
      </c>
      <c r="J712" s="22" t="s">
        <v>15420</v>
      </c>
      <c r="K712" s="26">
        <f t="shared" si="11"/>
        <v>1100</v>
      </c>
      <c r="L712" s="26">
        <v>1100</v>
      </c>
      <c r="O712" s="22" t="s">
        <v>12996</v>
      </c>
      <c r="P712" s="22" t="s">
        <v>12997</v>
      </c>
      <c r="Q712" s="22">
        <v>91750</v>
      </c>
      <c r="R712" s="22" t="s">
        <v>12993</v>
      </c>
      <c r="S712" s="22" t="s">
        <v>12998</v>
      </c>
      <c r="T712" s="22">
        <v>6.9</v>
      </c>
      <c r="U712" s="22">
        <v>0.4</v>
      </c>
      <c r="X712" s="26"/>
      <c r="Y712" s="26"/>
    </row>
    <row r="713" spans="1:25" ht="37.5" x14ac:dyDescent="0.25">
      <c r="A713" s="21">
        <v>980</v>
      </c>
      <c r="B713" s="22" t="s">
        <v>15368</v>
      </c>
      <c r="C713" s="22" t="s">
        <v>12999</v>
      </c>
      <c r="D713" s="23">
        <v>378947</v>
      </c>
      <c r="E713" s="24">
        <v>2001</v>
      </c>
      <c r="F713" s="22" t="s">
        <v>13000</v>
      </c>
      <c r="G713" s="23" t="s">
        <v>13001</v>
      </c>
      <c r="H713" s="25" t="s">
        <v>15373</v>
      </c>
      <c r="I713" s="22" t="s">
        <v>15411</v>
      </c>
      <c r="J713" s="22" t="s">
        <v>13002</v>
      </c>
      <c r="K713" s="26">
        <f t="shared" si="11"/>
        <v>1033.3333333333333</v>
      </c>
      <c r="N713" s="26">
        <v>1550</v>
      </c>
      <c r="O713" s="22" t="s">
        <v>13003</v>
      </c>
      <c r="P713" s="22" t="s">
        <v>12997</v>
      </c>
      <c r="Q713" s="22">
        <v>91750</v>
      </c>
      <c r="R713" s="22" t="s">
        <v>12993</v>
      </c>
      <c r="S713" s="22" t="s">
        <v>12998</v>
      </c>
      <c r="T713" s="22">
        <v>6.9</v>
      </c>
      <c r="U713" s="22">
        <v>0.4</v>
      </c>
      <c r="X713" s="26"/>
      <c r="Y713" s="26"/>
    </row>
    <row r="714" spans="1:25" ht="50" x14ac:dyDescent="0.25">
      <c r="A714" s="21">
        <v>981</v>
      </c>
      <c r="B714" s="22" t="s">
        <v>15368</v>
      </c>
      <c r="C714" s="22" t="s">
        <v>13004</v>
      </c>
      <c r="D714" s="23">
        <v>288405</v>
      </c>
      <c r="E714" s="24">
        <v>1994</v>
      </c>
      <c r="F714" s="22" t="s">
        <v>13005</v>
      </c>
      <c r="G714" s="23" t="s">
        <v>13006</v>
      </c>
      <c r="H714" s="25" t="s">
        <v>15373</v>
      </c>
      <c r="I714" s="22" t="s">
        <v>15374</v>
      </c>
      <c r="J714" s="22" t="s">
        <v>15441</v>
      </c>
      <c r="K714" s="26">
        <f t="shared" si="11"/>
        <v>499.33333333333331</v>
      </c>
      <c r="N714" s="26">
        <v>749</v>
      </c>
      <c r="O714" s="22" t="s">
        <v>16832</v>
      </c>
      <c r="P714" s="22" t="s">
        <v>15376</v>
      </c>
      <c r="Q714" s="22">
        <v>90054</v>
      </c>
      <c r="R714" s="22" t="s">
        <v>12993</v>
      </c>
      <c r="S714" s="22" t="s">
        <v>12998</v>
      </c>
      <c r="T714" s="22">
        <v>8.17</v>
      </c>
      <c r="U714" s="22">
        <v>0.38</v>
      </c>
      <c r="X714" s="26"/>
      <c r="Y714" s="26"/>
    </row>
    <row r="715" spans="1:25" ht="50" x14ac:dyDescent="0.25">
      <c r="A715" s="21">
        <v>982</v>
      </c>
      <c r="B715" s="22" t="s">
        <v>15368</v>
      </c>
      <c r="C715" s="22" t="s">
        <v>13004</v>
      </c>
      <c r="D715" s="23">
        <v>378849</v>
      </c>
      <c r="E715" s="24">
        <v>2000</v>
      </c>
      <c r="F715" s="22" t="s">
        <v>13007</v>
      </c>
      <c r="G715" s="23" t="s">
        <v>13008</v>
      </c>
      <c r="H715" s="25" t="s">
        <v>15373</v>
      </c>
      <c r="I715" s="22" t="s">
        <v>15411</v>
      </c>
      <c r="J715" s="22" t="s">
        <v>13637</v>
      </c>
      <c r="K715" s="26">
        <f t="shared" si="11"/>
        <v>1166.6666666666665</v>
      </c>
      <c r="N715" s="26">
        <v>1750</v>
      </c>
      <c r="O715" s="22" t="s">
        <v>13009</v>
      </c>
      <c r="P715" s="22" t="s">
        <v>14585</v>
      </c>
      <c r="Q715" s="22">
        <v>92596</v>
      </c>
      <c r="R715" s="22" t="s">
        <v>12993</v>
      </c>
      <c r="S715" s="22" t="s">
        <v>12998</v>
      </c>
      <c r="T715" s="22">
        <v>6.9</v>
      </c>
      <c r="U715" s="22">
        <v>0.4</v>
      </c>
      <c r="X715" s="26"/>
      <c r="Y715" s="26"/>
    </row>
    <row r="716" spans="1:25" ht="37.5" x14ac:dyDescent="0.25">
      <c r="A716" s="21">
        <v>984</v>
      </c>
      <c r="B716" s="22" t="s">
        <v>15368</v>
      </c>
      <c r="C716" s="22" t="s">
        <v>13010</v>
      </c>
      <c r="D716" s="23">
        <v>369495</v>
      </c>
      <c r="E716" s="24">
        <v>2000</v>
      </c>
      <c r="F716" s="22" t="s">
        <v>13011</v>
      </c>
      <c r="G716" s="23" t="s">
        <v>13012</v>
      </c>
      <c r="H716" s="25" t="s">
        <v>15373</v>
      </c>
      <c r="I716" s="22" t="s">
        <v>15374</v>
      </c>
      <c r="J716" s="22" t="s">
        <v>15400</v>
      </c>
      <c r="K716" s="26">
        <f t="shared" si="11"/>
        <v>1436.6666666666665</v>
      </c>
      <c r="N716" s="26">
        <v>2155</v>
      </c>
      <c r="O716" s="22" t="s">
        <v>13013</v>
      </c>
      <c r="P716" s="22" t="s">
        <v>15376</v>
      </c>
      <c r="Q716" s="22">
        <v>90010</v>
      </c>
      <c r="R716" s="22" t="s">
        <v>13014</v>
      </c>
      <c r="S716" s="22" t="s">
        <v>13015</v>
      </c>
      <c r="T716" s="22">
        <v>6.9</v>
      </c>
      <c r="U716" s="22">
        <v>0.4</v>
      </c>
      <c r="X716" s="26"/>
      <c r="Y716" s="26"/>
    </row>
    <row r="717" spans="1:25" ht="25" x14ac:dyDescent="0.25">
      <c r="A717" s="21">
        <v>985</v>
      </c>
      <c r="B717" s="22" t="s">
        <v>15368</v>
      </c>
      <c r="C717" s="22" t="s">
        <v>13016</v>
      </c>
      <c r="D717" s="23">
        <v>280683</v>
      </c>
      <c r="E717" s="24">
        <v>1993</v>
      </c>
      <c r="F717" s="22" t="s">
        <v>13017</v>
      </c>
      <c r="G717" s="23" t="s">
        <v>13018</v>
      </c>
      <c r="H717" s="25" t="s">
        <v>15373</v>
      </c>
      <c r="I717" s="22" t="s">
        <v>15411</v>
      </c>
      <c r="J717" s="22" t="s">
        <v>13019</v>
      </c>
      <c r="K717" s="26">
        <f t="shared" si="11"/>
        <v>383.33333333333331</v>
      </c>
      <c r="N717" s="26">
        <v>575</v>
      </c>
      <c r="O717" s="22" t="s">
        <v>13020</v>
      </c>
      <c r="P717" s="22" t="s">
        <v>15376</v>
      </c>
      <c r="Q717" s="22" t="s">
        <v>13021</v>
      </c>
      <c r="R717" s="22" t="s">
        <v>13022</v>
      </c>
      <c r="S717" s="22" t="s">
        <v>13023</v>
      </c>
      <c r="T717" s="22">
        <v>8.17</v>
      </c>
      <c r="U717" s="22">
        <v>0.38</v>
      </c>
      <c r="X717" s="26"/>
      <c r="Y717" s="26"/>
    </row>
    <row r="718" spans="1:25" ht="37.5" x14ac:dyDescent="0.25">
      <c r="A718" s="21">
        <v>986</v>
      </c>
      <c r="B718" s="22" t="s">
        <v>15368</v>
      </c>
      <c r="C718" s="22" t="s">
        <v>13024</v>
      </c>
      <c r="D718" s="23">
        <v>363488</v>
      </c>
      <c r="E718" s="24">
        <v>1999</v>
      </c>
      <c r="F718" s="22" t="s">
        <v>13025</v>
      </c>
      <c r="G718" s="23" t="s">
        <v>13026</v>
      </c>
      <c r="H718" s="25" t="s">
        <v>15373</v>
      </c>
      <c r="I718" s="22" t="s">
        <v>15374</v>
      </c>
      <c r="J718" s="22" t="s">
        <v>15420</v>
      </c>
      <c r="K718" s="26">
        <f t="shared" si="11"/>
        <v>1250</v>
      </c>
      <c r="L718" s="26">
        <v>1250</v>
      </c>
      <c r="O718" s="22" t="s">
        <v>13027</v>
      </c>
      <c r="P718" s="22" t="s">
        <v>13028</v>
      </c>
      <c r="Q718" s="22">
        <v>91330</v>
      </c>
      <c r="R718" s="22" t="s">
        <v>13029</v>
      </c>
      <c r="S718" s="22" t="s">
        <v>13030</v>
      </c>
      <c r="T718" s="22">
        <v>8.17</v>
      </c>
      <c r="U718" s="22">
        <v>0.38</v>
      </c>
      <c r="X718" s="26"/>
      <c r="Y718" s="26"/>
    </row>
    <row r="719" spans="1:25" ht="37.5" x14ac:dyDescent="0.25">
      <c r="A719" s="21">
        <v>987</v>
      </c>
      <c r="B719" s="22" t="s">
        <v>15368</v>
      </c>
      <c r="C719" s="22" t="s">
        <v>13031</v>
      </c>
      <c r="D719" s="23">
        <v>324479</v>
      </c>
      <c r="E719" s="24">
        <v>1997</v>
      </c>
      <c r="F719" s="22" t="s">
        <v>13032</v>
      </c>
      <c r="G719" s="23" t="s">
        <v>13033</v>
      </c>
      <c r="H719" s="25" t="s">
        <v>15373</v>
      </c>
      <c r="I719" s="22" t="s">
        <v>15374</v>
      </c>
      <c r="J719" s="22" t="s">
        <v>13034</v>
      </c>
      <c r="K719" s="26">
        <f t="shared" si="11"/>
        <v>499.33333333333331</v>
      </c>
      <c r="N719" s="26">
        <v>749</v>
      </c>
      <c r="O719" s="22" t="s">
        <v>13035</v>
      </c>
      <c r="P719" s="22" t="s">
        <v>15376</v>
      </c>
      <c r="Q719" s="22">
        <v>90048</v>
      </c>
      <c r="R719" s="22" t="s">
        <v>13036</v>
      </c>
      <c r="S719" s="22" t="s">
        <v>13037</v>
      </c>
      <c r="T719" s="22">
        <v>6.9</v>
      </c>
      <c r="U719" s="22">
        <v>0.4</v>
      </c>
      <c r="X719" s="26"/>
      <c r="Y719" s="26"/>
    </row>
    <row r="720" spans="1:25" ht="37.5" x14ac:dyDescent="0.25">
      <c r="A720" s="21">
        <v>988</v>
      </c>
      <c r="B720" s="22" t="s">
        <v>15368</v>
      </c>
      <c r="C720" s="22" t="s">
        <v>13038</v>
      </c>
      <c r="D720" s="23">
        <v>359060</v>
      </c>
      <c r="E720" s="24">
        <v>1999</v>
      </c>
      <c r="F720" s="22" t="s">
        <v>13039</v>
      </c>
      <c r="G720" s="23" t="s">
        <v>13040</v>
      </c>
      <c r="H720" s="25" t="s">
        <v>15373</v>
      </c>
      <c r="I720" s="22" t="s">
        <v>15382</v>
      </c>
      <c r="J720" s="22" t="s">
        <v>16784</v>
      </c>
      <c r="K720" s="26">
        <f t="shared" si="11"/>
        <v>503.33333333333331</v>
      </c>
      <c r="N720" s="26">
        <v>755</v>
      </c>
      <c r="O720" s="22" t="s">
        <v>13041</v>
      </c>
      <c r="P720" s="22" t="s">
        <v>15971</v>
      </c>
      <c r="Q720" s="22">
        <v>92591</v>
      </c>
      <c r="R720" s="22" t="s">
        <v>13042</v>
      </c>
      <c r="S720" s="22" t="s">
        <v>13043</v>
      </c>
      <c r="T720" s="22">
        <v>8.17</v>
      </c>
      <c r="U720" s="22">
        <v>0.38</v>
      </c>
      <c r="X720" s="26"/>
      <c r="Y720" s="26"/>
    </row>
    <row r="721" spans="1:25" ht="37.5" x14ac:dyDescent="0.25">
      <c r="A721" s="21">
        <v>989</v>
      </c>
      <c r="B721" s="22" t="s">
        <v>15368</v>
      </c>
      <c r="C721" s="22" t="s">
        <v>13044</v>
      </c>
      <c r="D721" s="23">
        <v>242425</v>
      </c>
      <c r="E721" s="24">
        <v>1990</v>
      </c>
      <c r="F721" s="22" t="s">
        <v>13045</v>
      </c>
      <c r="G721" s="23" t="s">
        <v>13046</v>
      </c>
      <c r="H721" s="25" t="s">
        <v>15373</v>
      </c>
      <c r="I721" s="22" t="s">
        <v>15374</v>
      </c>
      <c r="J721" s="22">
        <v>3512</v>
      </c>
      <c r="K721" s="26">
        <f t="shared" si="11"/>
        <v>1050</v>
      </c>
      <c r="N721" s="26">
        <v>1575</v>
      </c>
      <c r="O721" s="22" t="s">
        <v>13041</v>
      </c>
      <c r="P721" s="22" t="s">
        <v>15971</v>
      </c>
      <c r="Q721" s="22">
        <v>92691</v>
      </c>
      <c r="R721" s="22" t="s">
        <v>13047</v>
      </c>
      <c r="S721" s="22" t="s">
        <v>13048</v>
      </c>
      <c r="T721" s="22">
        <v>8.17</v>
      </c>
      <c r="U721" s="22">
        <v>0.38</v>
      </c>
      <c r="X721" s="26"/>
      <c r="Y721" s="26"/>
    </row>
    <row r="722" spans="1:25" ht="25" x14ac:dyDescent="0.25">
      <c r="A722" s="21">
        <v>990</v>
      </c>
      <c r="B722" s="22" t="s">
        <v>15368</v>
      </c>
      <c r="C722" s="22" t="s">
        <v>13044</v>
      </c>
      <c r="D722" s="23">
        <v>279941</v>
      </c>
      <c r="E722" s="24">
        <v>1993</v>
      </c>
      <c r="F722" s="22" t="s">
        <v>13049</v>
      </c>
      <c r="G722" s="23" t="s">
        <v>13050</v>
      </c>
      <c r="H722" s="25" t="s">
        <v>15373</v>
      </c>
      <c r="I722" s="22" t="s">
        <v>15709</v>
      </c>
      <c r="J722" s="22" t="s">
        <v>13051</v>
      </c>
      <c r="K722" s="26">
        <f t="shared" si="11"/>
        <v>1166.6666666666665</v>
      </c>
      <c r="N722" s="26">
        <v>1750</v>
      </c>
      <c r="O722" s="22" t="s">
        <v>13041</v>
      </c>
      <c r="P722" s="22" t="s">
        <v>15971</v>
      </c>
      <c r="Q722" s="22">
        <v>92691</v>
      </c>
      <c r="R722" s="22" t="s">
        <v>13047</v>
      </c>
      <c r="S722" s="22" t="s">
        <v>13048</v>
      </c>
      <c r="T722" s="22">
        <v>8.17</v>
      </c>
      <c r="U722" s="22">
        <v>0.38</v>
      </c>
      <c r="X722" s="26"/>
      <c r="Y722" s="26"/>
    </row>
    <row r="723" spans="1:25" ht="37.5" x14ac:dyDescent="0.25">
      <c r="A723" s="21">
        <v>991</v>
      </c>
      <c r="B723" s="22" t="s">
        <v>15368</v>
      </c>
      <c r="C723" s="22" t="s">
        <v>13052</v>
      </c>
      <c r="D723" s="23">
        <v>374926</v>
      </c>
      <c r="E723" s="24">
        <v>2000</v>
      </c>
      <c r="F723" s="22" t="s">
        <v>13053</v>
      </c>
      <c r="G723" s="23" t="s">
        <v>13054</v>
      </c>
      <c r="H723" s="25" t="s">
        <v>15373</v>
      </c>
      <c r="I723" s="22" t="s">
        <v>14275</v>
      </c>
      <c r="J723" s="22" t="s">
        <v>11722</v>
      </c>
      <c r="K723" s="26">
        <f t="shared" si="11"/>
        <v>486.66666666666663</v>
      </c>
      <c r="N723" s="26">
        <v>730</v>
      </c>
      <c r="O723" s="22" t="s">
        <v>13055</v>
      </c>
      <c r="P723" s="22" t="s">
        <v>13056</v>
      </c>
      <c r="Q723" s="22">
        <v>90630</v>
      </c>
      <c r="R723" s="22" t="s">
        <v>13057</v>
      </c>
      <c r="S723" s="22" t="s">
        <v>13058</v>
      </c>
      <c r="T723" s="22">
        <v>6.9</v>
      </c>
      <c r="U723" s="22">
        <v>0.4</v>
      </c>
      <c r="X723" s="26"/>
      <c r="Y723" s="26"/>
    </row>
    <row r="724" spans="1:25" ht="25" x14ac:dyDescent="0.25">
      <c r="A724" s="21">
        <v>992</v>
      </c>
      <c r="B724" s="22" t="s">
        <v>15368</v>
      </c>
      <c r="C724" s="22" t="s">
        <v>13059</v>
      </c>
      <c r="D724" s="23">
        <v>291741</v>
      </c>
      <c r="E724" s="24">
        <v>1994</v>
      </c>
      <c r="F724" s="22" t="s">
        <v>13060</v>
      </c>
      <c r="G724" s="23" t="s">
        <v>13061</v>
      </c>
      <c r="H724" s="25" t="s">
        <v>15373</v>
      </c>
      <c r="I724" s="22" t="s">
        <v>15382</v>
      </c>
      <c r="J724" s="22" t="s">
        <v>16925</v>
      </c>
      <c r="K724" s="26">
        <f t="shared" si="11"/>
        <v>1480</v>
      </c>
      <c r="N724" s="26">
        <v>2220</v>
      </c>
      <c r="O724" s="22" t="s">
        <v>13062</v>
      </c>
      <c r="P724" s="22" t="s">
        <v>14355</v>
      </c>
      <c r="Q724" s="22">
        <v>90503</v>
      </c>
      <c r="R724" s="22" t="s">
        <v>13063</v>
      </c>
      <c r="S724" s="22" t="s">
        <v>13064</v>
      </c>
      <c r="T724" s="22">
        <v>8.17</v>
      </c>
      <c r="U724" s="22">
        <v>0.38</v>
      </c>
      <c r="X724" s="26"/>
      <c r="Y724" s="26"/>
    </row>
    <row r="725" spans="1:25" ht="25" x14ac:dyDescent="0.25">
      <c r="A725" s="21">
        <v>993</v>
      </c>
      <c r="B725" s="22" t="s">
        <v>15368</v>
      </c>
      <c r="C725" s="22" t="s">
        <v>13065</v>
      </c>
      <c r="D725" s="23">
        <v>291740</v>
      </c>
      <c r="E725" s="24">
        <v>1994</v>
      </c>
      <c r="F725" s="22" t="s">
        <v>13066</v>
      </c>
      <c r="G725" s="23" t="s">
        <v>13067</v>
      </c>
      <c r="H725" s="25" t="s">
        <v>15373</v>
      </c>
      <c r="I725" s="22" t="s">
        <v>15382</v>
      </c>
      <c r="J725" s="22" t="s">
        <v>14642</v>
      </c>
      <c r="K725" s="26">
        <f t="shared" si="11"/>
        <v>756.66666666666663</v>
      </c>
      <c r="N725" s="26">
        <v>1135</v>
      </c>
      <c r="O725" s="22" t="s">
        <v>13068</v>
      </c>
      <c r="P725" s="22" t="s">
        <v>14355</v>
      </c>
      <c r="Q725" s="22">
        <v>90731</v>
      </c>
      <c r="R725" s="22" t="s">
        <v>13069</v>
      </c>
      <c r="S725" s="22" t="s">
        <v>13070</v>
      </c>
      <c r="T725" s="22">
        <v>8.17</v>
      </c>
      <c r="U725" s="22">
        <v>0.38</v>
      </c>
      <c r="X725" s="26"/>
      <c r="Y725" s="26"/>
    </row>
    <row r="726" spans="1:25" ht="37.5" x14ac:dyDescent="0.25">
      <c r="A726" s="21">
        <v>995</v>
      </c>
      <c r="B726" s="22" t="s">
        <v>15368</v>
      </c>
      <c r="C726" s="22" t="s">
        <v>13071</v>
      </c>
      <c r="D726" s="23">
        <v>364134</v>
      </c>
      <c r="E726" s="24">
        <v>1999</v>
      </c>
      <c r="F726" s="22" t="s">
        <v>13072</v>
      </c>
      <c r="G726" s="23" t="s">
        <v>13073</v>
      </c>
      <c r="H726" s="25" t="s">
        <v>15373</v>
      </c>
      <c r="I726" s="22" t="s">
        <v>15374</v>
      </c>
      <c r="J726" s="22" t="s">
        <v>15516</v>
      </c>
      <c r="K726" s="26">
        <f t="shared" si="11"/>
        <v>750</v>
      </c>
      <c r="L726" s="26">
        <v>750</v>
      </c>
      <c r="O726" s="22" t="s">
        <v>13074</v>
      </c>
      <c r="P726" s="22" t="s">
        <v>15910</v>
      </c>
      <c r="Q726" s="22">
        <v>92553</v>
      </c>
      <c r="R726" s="22" t="s">
        <v>13075</v>
      </c>
      <c r="S726" s="22" t="s">
        <v>13076</v>
      </c>
      <c r="T726" s="22">
        <v>8.17</v>
      </c>
      <c r="U726" s="22">
        <v>0.38</v>
      </c>
      <c r="X726" s="26"/>
      <c r="Y726" s="26"/>
    </row>
    <row r="727" spans="1:25" ht="37.5" x14ac:dyDescent="0.25">
      <c r="A727" s="21">
        <v>996</v>
      </c>
      <c r="B727" s="22" t="s">
        <v>15368</v>
      </c>
      <c r="C727" s="22" t="s">
        <v>13077</v>
      </c>
      <c r="D727" s="23">
        <v>379058</v>
      </c>
      <c r="E727" s="24">
        <v>2001</v>
      </c>
      <c r="F727" s="22" t="s">
        <v>13078</v>
      </c>
      <c r="G727" s="23" t="s">
        <v>13079</v>
      </c>
      <c r="H727" s="25" t="s">
        <v>15373</v>
      </c>
      <c r="I727" s="22" t="s">
        <v>15411</v>
      </c>
      <c r="J727" s="22" t="s">
        <v>13080</v>
      </c>
      <c r="K727" s="26">
        <f t="shared" si="11"/>
        <v>679</v>
      </c>
      <c r="L727" s="26">
        <v>679</v>
      </c>
      <c r="O727" s="22" t="s">
        <v>13081</v>
      </c>
      <c r="P727" s="22" t="s">
        <v>15376</v>
      </c>
      <c r="Q727" s="22">
        <v>90017</v>
      </c>
      <c r="R727" s="22" t="s">
        <v>13082</v>
      </c>
      <c r="S727" s="22" t="s">
        <v>13083</v>
      </c>
      <c r="T727" s="22">
        <v>6.9</v>
      </c>
      <c r="U727" s="22">
        <v>0.4</v>
      </c>
      <c r="X727" s="26"/>
      <c r="Y727" s="26"/>
    </row>
    <row r="728" spans="1:25" ht="25" x14ac:dyDescent="0.25">
      <c r="A728" s="21">
        <v>997</v>
      </c>
      <c r="B728" s="22" t="s">
        <v>15368</v>
      </c>
      <c r="C728" s="22" t="s">
        <v>13084</v>
      </c>
      <c r="D728" s="23">
        <v>272655</v>
      </c>
      <c r="E728" s="24">
        <v>1992</v>
      </c>
      <c r="F728" s="22" t="s">
        <v>13085</v>
      </c>
      <c r="G728" s="23" t="s">
        <v>13086</v>
      </c>
      <c r="H728" s="25" t="s">
        <v>15373</v>
      </c>
      <c r="I728" s="22" t="s">
        <v>15374</v>
      </c>
      <c r="J728" s="22">
        <v>3412</v>
      </c>
      <c r="K728" s="26">
        <f t="shared" si="11"/>
        <v>593.33333333333326</v>
      </c>
      <c r="N728" s="26">
        <v>890</v>
      </c>
      <c r="O728" s="22" t="s">
        <v>13087</v>
      </c>
      <c r="P728" s="22" t="s">
        <v>15393</v>
      </c>
      <c r="Q728" s="22" t="s">
        <v>13088</v>
      </c>
      <c r="R728" s="22" t="s">
        <v>13089</v>
      </c>
      <c r="S728" s="22" t="s">
        <v>13090</v>
      </c>
      <c r="T728" s="22">
        <v>8.17</v>
      </c>
      <c r="U728" s="22">
        <v>0.38</v>
      </c>
      <c r="X728" s="26"/>
      <c r="Y728" s="26"/>
    </row>
    <row r="729" spans="1:25" ht="37.5" x14ac:dyDescent="0.25">
      <c r="A729" s="21">
        <v>999</v>
      </c>
      <c r="B729" s="22" t="s">
        <v>15368</v>
      </c>
      <c r="C729" s="22" t="s">
        <v>13091</v>
      </c>
      <c r="D729" s="23">
        <v>198182</v>
      </c>
      <c r="E729" s="24">
        <v>1989</v>
      </c>
      <c r="F729" s="22" t="s">
        <v>13092</v>
      </c>
      <c r="G729" s="23" t="s">
        <v>13093</v>
      </c>
      <c r="H729" s="25" t="s">
        <v>15373</v>
      </c>
      <c r="I729" s="22" t="s">
        <v>15374</v>
      </c>
      <c r="J729" s="22">
        <v>3406</v>
      </c>
      <c r="K729" s="26">
        <f t="shared" si="11"/>
        <v>345.33333333333331</v>
      </c>
      <c r="N729" s="26">
        <v>518</v>
      </c>
      <c r="O729" s="22" t="s">
        <v>13094</v>
      </c>
      <c r="P729" s="22" t="s">
        <v>13095</v>
      </c>
      <c r="Q729" s="22">
        <v>92677</v>
      </c>
      <c r="R729" s="22" t="s">
        <v>13096</v>
      </c>
      <c r="S729" s="22" t="s">
        <v>13097</v>
      </c>
      <c r="T729" s="22">
        <v>8.17</v>
      </c>
      <c r="U729" s="22">
        <v>0.38</v>
      </c>
      <c r="X729" s="26"/>
      <c r="Y729" s="26"/>
    </row>
    <row r="730" spans="1:25" ht="37.5" x14ac:dyDescent="0.25">
      <c r="A730" s="21">
        <v>1000</v>
      </c>
      <c r="B730" s="22" t="s">
        <v>15368</v>
      </c>
      <c r="C730" s="22" t="s">
        <v>13091</v>
      </c>
      <c r="D730" s="23">
        <v>198184</v>
      </c>
      <c r="E730" s="24">
        <v>1989</v>
      </c>
      <c r="F730" s="22" t="s">
        <v>13098</v>
      </c>
      <c r="G730" s="23" t="s">
        <v>13099</v>
      </c>
      <c r="H730" s="25" t="s">
        <v>15373</v>
      </c>
      <c r="I730" s="22" t="s">
        <v>15374</v>
      </c>
      <c r="J730" s="22">
        <v>3412</v>
      </c>
      <c r="K730" s="26">
        <f t="shared" si="11"/>
        <v>499.33333333333331</v>
      </c>
      <c r="N730" s="26">
        <v>749</v>
      </c>
      <c r="O730" s="22" t="s">
        <v>13100</v>
      </c>
      <c r="P730" s="22" t="s">
        <v>13095</v>
      </c>
      <c r="Q730" s="22">
        <v>92677</v>
      </c>
      <c r="R730" s="22" t="s">
        <v>13096</v>
      </c>
      <c r="S730" s="22" t="s">
        <v>13097</v>
      </c>
      <c r="T730" s="22">
        <v>8.17</v>
      </c>
      <c r="U730" s="22">
        <v>0.38</v>
      </c>
      <c r="X730" s="26"/>
      <c r="Y730" s="26"/>
    </row>
    <row r="731" spans="1:25" ht="62.5" x14ac:dyDescent="0.25">
      <c r="A731" s="21">
        <v>1001</v>
      </c>
      <c r="B731" s="22" t="s">
        <v>15368</v>
      </c>
      <c r="C731" s="22" t="s">
        <v>13101</v>
      </c>
      <c r="D731" s="23">
        <v>206020</v>
      </c>
      <c r="E731" s="24">
        <v>1989</v>
      </c>
      <c r="F731" s="22" t="s">
        <v>13102</v>
      </c>
      <c r="G731" s="23" t="s">
        <v>13103</v>
      </c>
      <c r="H731" s="25" t="s">
        <v>16310</v>
      </c>
      <c r="I731" s="22" t="s">
        <v>15374</v>
      </c>
      <c r="J731" s="22" t="s">
        <v>13698</v>
      </c>
      <c r="K731" s="26">
        <f t="shared" si="11"/>
        <v>398</v>
      </c>
      <c r="N731" s="26">
        <v>597</v>
      </c>
      <c r="O731" s="22" t="s">
        <v>13104</v>
      </c>
      <c r="P731" s="22" t="s">
        <v>13405</v>
      </c>
      <c r="Q731" s="22">
        <v>92656</v>
      </c>
      <c r="R731" s="22" t="s">
        <v>13105</v>
      </c>
      <c r="S731" s="22" t="s">
        <v>13106</v>
      </c>
      <c r="X731" s="26"/>
      <c r="Y731" s="26"/>
    </row>
    <row r="732" spans="1:25" ht="37.5" x14ac:dyDescent="0.25">
      <c r="A732" s="21">
        <v>1002</v>
      </c>
      <c r="B732" s="22" t="s">
        <v>15368</v>
      </c>
      <c r="C732" s="22" t="s">
        <v>13101</v>
      </c>
      <c r="D732" s="23">
        <v>241450</v>
      </c>
      <c r="E732" s="24">
        <v>1989</v>
      </c>
      <c r="F732" s="22" t="s">
        <v>13107</v>
      </c>
      <c r="G732" s="23" t="s">
        <v>13108</v>
      </c>
      <c r="H732" s="25" t="s">
        <v>16159</v>
      </c>
      <c r="I732" s="22" t="s">
        <v>15374</v>
      </c>
      <c r="J732" s="22" t="s">
        <v>13698</v>
      </c>
      <c r="K732" s="26">
        <f t="shared" si="11"/>
        <v>400</v>
      </c>
      <c r="N732" s="26">
        <v>600</v>
      </c>
      <c r="O732" s="22" t="s">
        <v>13109</v>
      </c>
      <c r="P732" s="22" t="s">
        <v>13095</v>
      </c>
      <c r="Q732" s="22">
        <v>92656</v>
      </c>
      <c r="R732" s="22" t="s">
        <v>13110</v>
      </c>
      <c r="S732" s="22" t="s">
        <v>13111</v>
      </c>
      <c r="X732" s="26"/>
      <c r="Y732" s="26"/>
    </row>
    <row r="733" spans="1:25" ht="50" x14ac:dyDescent="0.25">
      <c r="A733" s="21">
        <v>1003</v>
      </c>
      <c r="B733" s="22" t="s">
        <v>15368</v>
      </c>
      <c r="C733" s="22" t="s">
        <v>13101</v>
      </c>
      <c r="D733" s="23">
        <v>293995</v>
      </c>
      <c r="E733" s="24">
        <v>1994</v>
      </c>
      <c r="F733" s="22" t="s">
        <v>13112</v>
      </c>
      <c r="G733" s="23" t="s">
        <v>13113</v>
      </c>
      <c r="H733" s="25" t="s">
        <v>16159</v>
      </c>
      <c r="I733" s="22" t="s">
        <v>15374</v>
      </c>
      <c r="J733" s="22" t="s">
        <v>13698</v>
      </c>
      <c r="K733" s="26">
        <f t="shared" si="11"/>
        <v>376.66666666666663</v>
      </c>
      <c r="N733" s="26">
        <v>565</v>
      </c>
      <c r="O733" s="22" t="s">
        <v>13114</v>
      </c>
      <c r="P733" s="22" t="s">
        <v>16220</v>
      </c>
      <c r="Q733" s="22">
        <v>92656</v>
      </c>
      <c r="R733" s="22" t="s">
        <v>13110</v>
      </c>
      <c r="S733" s="22" t="s">
        <v>13111</v>
      </c>
      <c r="X733" s="26"/>
      <c r="Y733" s="26"/>
    </row>
    <row r="734" spans="1:25" ht="37.5" x14ac:dyDescent="0.25">
      <c r="A734" s="21">
        <v>1004</v>
      </c>
      <c r="B734" s="22" t="s">
        <v>15368</v>
      </c>
      <c r="C734" s="22" t="s">
        <v>13101</v>
      </c>
      <c r="D734" s="23">
        <v>349798</v>
      </c>
      <c r="E734" s="24">
        <v>1998</v>
      </c>
      <c r="F734" s="22" t="s">
        <v>13115</v>
      </c>
      <c r="G734" s="23" t="s">
        <v>13116</v>
      </c>
      <c r="H734" s="25" t="s">
        <v>15373</v>
      </c>
      <c r="I734" s="22" t="s">
        <v>15374</v>
      </c>
      <c r="J734" s="22" t="s">
        <v>15918</v>
      </c>
      <c r="K734" s="26">
        <f t="shared" si="11"/>
        <v>1000</v>
      </c>
      <c r="L734" s="26">
        <v>1000</v>
      </c>
      <c r="O734" s="22" t="s">
        <v>13117</v>
      </c>
      <c r="P734" s="22" t="s">
        <v>13095</v>
      </c>
      <c r="Q734" s="22">
        <v>92677</v>
      </c>
      <c r="R734" s="22" t="s">
        <v>13118</v>
      </c>
      <c r="S734" s="22" t="s">
        <v>13119</v>
      </c>
      <c r="T734" s="22">
        <v>8.17</v>
      </c>
      <c r="U734" s="22">
        <v>0.38</v>
      </c>
      <c r="X734" s="26"/>
      <c r="Y734" s="26"/>
    </row>
    <row r="735" spans="1:25" ht="25" x14ac:dyDescent="0.25">
      <c r="A735" s="21">
        <v>1007</v>
      </c>
      <c r="B735" s="22" t="s">
        <v>15368</v>
      </c>
      <c r="C735" s="22" t="s">
        <v>13120</v>
      </c>
      <c r="D735" s="23">
        <v>172123</v>
      </c>
      <c r="E735" s="24">
        <v>1988</v>
      </c>
      <c r="F735" s="22" t="s">
        <v>13121</v>
      </c>
      <c r="G735" s="23" t="s">
        <v>13122</v>
      </c>
      <c r="H735" s="25" t="s">
        <v>15373</v>
      </c>
      <c r="I735" s="22" t="s">
        <v>15374</v>
      </c>
      <c r="J735" s="22" t="s">
        <v>13123</v>
      </c>
      <c r="K735" s="26">
        <f t="shared" si="11"/>
        <v>1432.6666666666665</v>
      </c>
      <c r="N735" s="26">
        <v>2149</v>
      </c>
      <c r="O735" s="22" t="s">
        <v>13124</v>
      </c>
      <c r="P735" s="22" t="s">
        <v>13125</v>
      </c>
      <c r="Q735" s="22">
        <v>91789</v>
      </c>
      <c r="R735" s="22" t="s">
        <v>13126</v>
      </c>
      <c r="S735" s="22" t="s">
        <v>13127</v>
      </c>
      <c r="T735" s="22">
        <v>8.17</v>
      </c>
      <c r="U735" s="22">
        <v>0.38</v>
      </c>
      <c r="X735" s="26"/>
      <c r="Y735" s="26"/>
    </row>
    <row r="736" spans="1:25" ht="25" x14ac:dyDescent="0.25">
      <c r="A736" s="21">
        <v>1008</v>
      </c>
      <c r="B736" s="22" t="s">
        <v>15368</v>
      </c>
      <c r="C736" s="22" t="s">
        <v>13120</v>
      </c>
      <c r="D736" s="23">
        <v>172124</v>
      </c>
      <c r="E736" s="24">
        <v>1988</v>
      </c>
      <c r="F736" s="22" t="s">
        <v>13128</v>
      </c>
      <c r="G736" s="23" t="s">
        <v>13122</v>
      </c>
      <c r="H736" s="25" t="s">
        <v>15373</v>
      </c>
      <c r="I736" s="22" t="s">
        <v>15374</v>
      </c>
      <c r="J736" s="22" t="s">
        <v>13123</v>
      </c>
      <c r="K736" s="26">
        <f t="shared" si="11"/>
        <v>1432.6666666666665</v>
      </c>
      <c r="N736" s="26">
        <v>2149</v>
      </c>
      <c r="O736" s="22" t="s">
        <v>13124</v>
      </c>
      <c r="P736" s="22" t="s">
        <v>13125</v>
      </c>
      <c r="Q736" s="22">
        <v>91789</v>
      </c>
      <c r="R736" s="22" t="s">
        <v>13126</v>
      </c>
      <c r="S736" s="22" t="s">
        <v>13127</v>
      </c>
      <c r="T736" s="22">
        <v>8.17</v>
      </c>
      <c r="U736" s="22">
        <v>0.38</v>
      </c>
      <c r="X736" s="26"/>
      <c r="Y736" s="26"/>
    </row>
    <row r="737" spans="1:25" ht="25" x14ac:dyDescent="0.25">
      <c r="A737" s="21">
        <v>1010</v>
      </c>
      <c r="B737" s="22" t="s">
        <v>15368</v>
      </c>
      <c r="C737" s="22" t="s">
        <v>13129</v>
      </c>
      <c r="D737" s="23">
        <v>143979</v>
      </c>
      <c r="E737" s="24">
        <v>1986</v>
      </c>
      <c r="F737" s="22" t="s">
        <v>13130</v>
      </c>
      <c r="G737" s="23" t="s">
        <v>13131</v>
      </c>
      <c r="H737" s="25" t="s">
        <v>15373</v>
      </c>
      <c r="I737" s="22" t="s">
        <v>15382</v>
      </c>
      <c r="J737" s="22" t="s">
        <v>13132</v>
      </c>
      <c r="K737" s="26">
        <f t="shared" si="11"/>
        <v>365</v>
      </c>
      <c r="L737" s="26">
        <v>365</v>
      </c>
      <c r="O737" s="22" t="s">
        <v>13133</v>
      </c>
      <c r="P737" s="22" t="s">
        <v>16347</v>
      </c>
      <c r="Q737" s="22">
        <v>91730</v>
      </c>
      <c r="R737" s="22" t="s">
        <v>13134</v>
      </c>
      <c r="S737" s="22" t="s">
        <v>13135</v>
      </c>
      <c r="T737" s="22">
        <v>11</v>
      </c>
      <c r="U737" s="22">
        <v>0.53</v>
      </c>
      <c r="X737" s="26"/>
      <c r="Y737" s="26"/>
    </row>
    <row r="738" spans="1:25" ht="37.5" x14ac:dyDescent="0.25">
      <c r="A738" s="21">
        <v>1011</v>
      </c>
      <c r="B738" s="22" t="s">
        <v>15368</v>
      </c>
      <c r="C738" s="22" t="s">
        <v>13136</v>
      </c>
      <c r="D738" s="23">
        <v>285219</v>
      </c>
      <c r="E738" s="24">
        <v>1993</v>
      </c>
      <c r="F738" s="22" t="s">
        <v>13137</v>
      </c>
      <c r="G738" s="23" t="s">
        <v>13138</v>
      </c>
      <c r="H738" s="25" t="s">
        <v>15373</v>
      </c>
      <c r="I738" s="22" t="s">
        <v>15382</v>
      </c>
      <c r="J738" s="22" t="s">
        <v>13139</v>
      </c>
      <c r="K738" s="26">
        <f t="shared" si="11"/>
        <v>356.66666666666663</v>
      </c>
      <c r="N738" s="26">
        <v>535</v>
      </c>
      <c r="O738" s="22" t="s">
        <v>13140</v>
      </c>
      <c r="P738" s="22" t="s">
        <v>16819</v>
      </c>
      <c r="Q738" s="22">
        <v>91109</v>
      </c>
      <c r="R738" s="22" t="s">
        <v>13141</v>
      </c>
      <c r="S738" s="22" t="s">
        <v>13142</v>
      </c>
      <c r="T738" s="22">
        <v>8.17</v>
      </c>
      <c r="U738" s="22">
        <v>0.38</v>
      </c>
      <c r="X738" s="26"/>
      <c r="Y738" s="26"/>
    </row>
    <row r="739" spans="1:25" ht="37.5" x14ac:dyDescent="0.25">
      <c r="A739" s="21">
        <v>1012</v>
      </c>
      <c r="B739" s="22" t="s">
        <v>15368</v>
      </c>
      <c r="C739" s="22" t="s">
        <v>13136</v>
      </c>
      <c r="D739" s="23">
        <v>325571</v>
      </c>
      <c r="E739" s="24">
        <v>1997</v>
      </c>
      <c r="F739" s="22" t="s">
        <v>13143</v>
      </c>
      <c r="G739" s="23" t="s">
        <v>13144</v>
      </c>
      <c r="H739" s="25" t="s">
        <v>15373</v>
      </c>
      <c r="I739" s="22" t="s">
        <v>15374</v>
      </c>
      <c r="J739" s="22" t="s">
        <v>15677</v>
      </c>
      <c r="K739" s="26">
        <f t="shared" si="11"/>
        <v>1434</v>
      </c>
      <c r="N739" s="26">
        <v>2151</v>
      </c>
      <c r="O739" s="22" t="s">
        <v>13140</v>
      </c>
      <c r="P739" s="22" t="s">
        <v>16819</v>
      </c>
      <c r="Q739" s="22">
        <v>91109</v>
      </c>
      <c r="R739" s="22" t="s">
        <v>13141</v>
      </c>
      <c r="S739" s="22" t="s">
        <v>13142</v>
      </c>
      <c r="T739" s="22">
        <v>8.17</v>
      </c>
      <c r="U739" s="22">
        <v>0.38</v>
      </c>
      <c r="X739" s="26"/>
      <c r="Y739" s="26"/>
    </row>
    <row r="740" spans="1:25" ht="37.5" x14ac:dyDescent="0.25">
      <c r="A740" s="21">
        <v>1013</v>
      </c>
      <c r="B740" s="22" t="s">
        <v>15368</v>
      </c>
      <c r="C740" s="22" t="s">
        <v>13136</v>
      </c>
      <c r="D740" s="23">
        <v>333459</v>
      </c>
      <c r="E740" s="24">
        <v>1997</v>
      </c>
      <c r="F740" s="22" t="s">
        <v>13145</v>
      </c>
      <c r="G740" s="23" t="s">
        <v>13146</v>
      </c>
      <c r="H740" s="25" t="s">
        <v>15373</v>
      </c>
      <c r="I740" s="22" t="s">
        <v>15374</v>
      </c>
      <c r="J740" s="22" t="s">
        <v>15677</v>
      </c>
      <c r="K740" s="26">
        <f t="shared" si="11"/>
        <v>1434</v>
      </c>
      <c r="N740" s="26">
        <v>2151</v>
      </c>
      <c r="O740" s="22" t="s">
        <v>13140</v>
      </c>
      <c r="P740" s="22" t="s">
        <v>16819</v>
      </c>
      <c r="Q740" s="22">
        <v>91109</v>
      </c>
      <c r="R740" s="22" t="s">
        <v>13141</v>
      </c>
      <c r="S740" s="22" t="s">
        <v>13142</v>
      </c>
      <c r="T740" s="22">
        <v>8.17</v>
      </c>
      <c r="U740" s="22">
        <v>0.38</v>
      </c>
      <c r="X740" s="26"/>
      <c r="Y740" s="26"/>
    </row>
    <row r="741" spans="1:25" ht="37.5" x14ac:dyDescent="0.25">
      <c r="A741" s="21">
        <v>1014</v>
      </c>
      <c r="B741" s="22" t="s">
        <v>15368</v>
      </c>
      <c r="C741" s="22" t="s">
        <v>13136</v>
      </c>
      <c r="D741" s="23">
        <v>333460</v>
      </c>
      <c r="E741" s="24">
        <v>1997</v>
      </c>
      <c r="F741" s="22" t="s">
        <v>13147</v>
      </c>
      <c r="G741" s="23" t="s">
        <v>13146</v>
      </c>
      <c r="H741" s="25" t="s">
        <v>15373</v>
      </c>
      <c r="I741" s="22" t="s">
        <v>15374</v>
      </c>
      <c r="J741" s="22" t="s">
        <v>15677</v>
      </c>
      <c r="K741" s="26">
        <f t="shared" si="11"/>
        <v>1434</v>
      </c>
      <c r="N741" s="26">
        <v>2151</v>
      </c>
      <c r="O741" s="22" t="s">
        <v>13140</v>
      </c>
      <c r="P741" s="22" t="s">
        <v>16819</v>
      </c>
      <c r="Q741" s="22">
        <v>91109</v>
      </c>
      <c r="R741" s="22" t="s">
        <v>13141</v>
      </c>
      <c r="S741" s="22" t="s">
        <v>13142</v>
      </c>
      <c r="T741" s="22">
        <v>8.17</v>
      </c>
      <c r="U741" s="22">
        <v>0.38</v>
      </c>
      <c r="X741" s="26"/>
      <c r="Y741" s="26"/>
    </row>
    <row r="742" spans="1:25" ht="37.5" x14ac:dyDescent="0.25">
      <c r="A742" s="21">
        <v>1015</v>
      </c>
      <c r="B742" s="22" t="s">
        <v>15368</v>
      </c>
      <c r="C742" s="22" t="s">
        <v>13136</v>
      </c>
      <c r="D742" s="23">
        <v>350183</v>
      </c>
      <c r="E742" s="24">
        <v>1999</v>
      </c>
      <c r="F742" s="22" t="s">
        <v>13148</v>
      </c>
      <c r="G742" s="23" t="s">
        <v>13149</v>
      </c>
      <c r="H742" s="25" t="s">
        <v>15373</v>
      </c>
      <c r="I742" s="22" t="s">
        <v>15411</v>
      </c>
      <c r="J742" s="22" t="s">
        <v>16276</v>
      </c>
      <c r="K742" s="26">
        <f t="shared" si="11"/>
        <v>378.66666666666663</v>
      </c>
      <c r="N742" s="26">
        <v>568</v>
      </c>
      <c r="O742" s="22" t="s">
        <v>13140</v>
      </c>
      <c r="P742" s="22" t="s">
        <v>16819</v>
      </c>
      <c r="Q742" s="22">
        <v>91109</v>
      </c>
      <c r="R742" s="22" t="s">
        <v>13141</v>
      </c>
      <c r="S742" s="22" t="s">
        <v>13142</v>
      </c>
      <c r="T742" s="22">
        <v>6.9</v>
      </c>
      <c r="U742" s="22">
        <v>0.4</v>
      </c>
      <c r="X742" s="26"/>
      <c r="Y742" s="26"/>
    </row>
    <row r="743" spans="1:25" ht="37.5" x14ac:dyDescent="0.25">
      <c r="A743" s="21">
        <v>1016</v>
      </c>
      <c r="B743" s="22" t="s">
        <v>15368</v>
      </c>
      <c r="C743" s="22" t="s">
        <v>13150</v>
      </c>
      <c r="D743" s="23">
        <v>355006</v>
      </c>
      <c r="E743" s="24">
        <v>1999</v>
      </c>
      <c r="F743" s="22" t="s">
        <v>13151</v>
      </c>
      <c r="G743" s="23" t="s">
        <v>13152</v>
      </c>
      <c r="H743" s="25" t="s">
        <v>15373</v>
      </c>
      <c r="I743" s="22" t="s">
        <v>15374</v>
      </c>
      <c r="J743" s="22" t="s">
        <v>16360</v>
      </c>
      <c r="K743" s="26">
        <f t="shared" si="11"/>
        <v>626.66666666666663</v>
      </c>
      <c r="N743" s="26">
        <v>940</v>
      </c>
      <c r="O743" s="22" t="s">
        <v>16832</v>
      </c>
      <c r="P743" s="22" t="s">
        <v>16893</v>
      </c>
      <c r="Q743" s="22">
        <v>91765</v>
      </c>
      <c r="R743" s="22" t="s">
        <v>13153</v>
      </c>
      <c r="S743" s="22" t="s">
        <v>13154</v>
      </c>
      <c r="T743" s="22">
        <v>8.17</v>
      </c>
      <c r="U743" s="22">
        <v>0.38</v>
      </c>
      <c r="X743" s="26"/>
      <c r="Y743" s="26"/>
    </row>
    <row r="744" spans="1:25" ht="37.5" x14ac:dyDescent="0.25">
      <c r="A744" s="21">
        <v>1017</v>
      </c>
      <c r="B744" s="22" t="s">
        <v>15368</v>
      </c>
      <c r="C744" s="22" t="s">
        <v>13150</v>
      </c>
      <c r="D744" s="23">
        <v>355009</v>
      </c>
      <c r="E744" s="24">
        <v>1999</v>
      </c>
      <c r="F744" s="22" t="s">
        <v>13155</v>
      </c>
      <c r="G744" s="23" t="s">
        <v>13156</v>
      </c>
      <c r="H744" s="25" t="s">
        <v>15373</v>
      </c>
      <c r="I744" s="22" t="s">
        <v>15374</v>
      </c>
      <c r="J744" s="22" t="s">
        <v>16360</v>
      </c>
      <c r="K744" s="26">
        <f t="shared" si="11"/>
        <v>626.66666666666663</v>
      </c>
      <c r="N744" s="26">
        <v>940</v>
      </c>
      <c r="O744" s="22" t="s">
        <v>16832</v>
      </c>
      <c r="P744" s="22" t="s">
        <v>16893</v>
      </c>
      <c r="Q744" s="22">
        <v>91765</v>
      </c>
      <c r="R744" s="22" t="s">
        <v>13153</v>
      </c>
      <c r="S744" s="22" t="s">
        <v>13154</v>
      </c>
      <c r="T744" s="22">
        <v>8.17</v>
      </c>
      <c r="U744" s="22">
        <v>0.38</v>
      </c>
      <c r="X744" s="26"/>
      <c r="Y744" s="26"/>
    </row>
    <row r="745" spans="1:25" ht="37.5" x14ac:dyDescent="0.25">
      <c r="A745" s="21">
        <v>1018</v>
      </c>
      <c r="B745" s="22" t="s">
        <v>15368</v>
      </c>
      <c r="C745" s="22" t="s">
        <v>13150</v>
      </c>
      <c r="D745" s="23">
        <v>359632</v>
      </c>
      <c r="E745" s="24">
        <v>1999</v>
      </c>
      <c r="F745" s="22" t="s">
        <v>13157</v>
      </c>
      <c r="G745" s="23" t="s">
        <v>13158</v>
      </c>
      <c r="H745" s="25" t="s">
        <v>15373</v>
      </c>
      <c r="I745" s="22" t="s">
        <v>15374</v>
      </c>
      <c r="J745" s="22" t="s">
        <v>16360</v>
      </c>
      <c r="K745" s="26">
        <f t="shared" si="11"/>
        <v>626.66666666666663</v>
      </c>
      <c r="N745" s="26">
        <v>940</v>
      </c>
      <c r="O745" s="22" t="s">
        <v>16832</v>
      </c>
      <c r="P745" s="22" t="s">
        <v>16893</v>
      </c>
      <c r="Q745" s="22">
        <v>91765</v>
      </c>
      <c r="R745" s="22" t="s">
        <v>13153</v>
      </c>
      <c r="S745" s="22" t="s">
        <v>13154</v>
      </c>
      <c r="T745" s="22">
        <v>8.17</v>
      </c>
      <c r="U745" s="22">
        <v>0.38</v>
      </c>
      <c r="X745" s="26"/>
      <c r="Y745" s="26"/>
    </row>
    <row r="746" spans="1:25" ht="37.5" x14ac:dyDescent="0.25">
      <c r="A746" s="21">
        <v>1019</v>
      </c>
      <c r="B746" s="22" t="s">
        <v>15368</v>
      </c>
      <c r="C746" s="22" t="s">
        <v>13150</v>
      </c>
      <c r="D746" s="23">
        <v>359633</v>
      </c>
      <c r="E746" s="24">
        <v>1999</v>
      </c>
      <c r="F746" s="22" t="s">
        <v>13159</v>
      </c>
      <c r="G746" s="23" t="s">
        <v>13160</v>
      </c>
      <c r="H746" s="25" t="s">
        <v>15373</v>
      </c>
      <c r="I746" s="22" t="s">
        <v>15374</v>
      </c>
      <c r="J746" s="22" t="s">
        <v>16360</v>
      </c>
      <c r="K746" s="26">
        <f t="shared" si="11"/>
        <v>626.66666666666663</v>
      </c>
      <c r="N746" s="26">
        <v>940</v>
      </c>
      <c r="O746" s="22" t="s">
        <v>16832</v>
      </c>
      <c r="P746" s="22" t="s">
        <v>16893</v>
      </c>
      <c r="Q746" s="22">
        <v>91765</v>
      </c>
      <c r="R746" s="22" t="s">
        <v>13153</v>
      </c>
      <c r="S746" s="22" t="s">
        <v>13154</v>
      </c>
      <c r="T746" s="22">
        <v>8.17</v>
      </c>
      <c r="U746" s="22">
        <v>0.38</v>
      </c>
      <c r="X746" s="26"/>
      <c r="Y746" s="26"/>
    </row>
    <row r="747" spans="1:25" ht="37.5" x14ac:dyDescent="0.25">
      <c r="A747" s="21">
        <v>1020</v>
      </c>
      <c r="B747" s="22" t="s">
        <v>15368</v>
      </c>
      <c r="C747" s="22" t="s">
        <v>13161</v>
      </c>
      <c r="D747" s="23">
        <v>305512</v>
      </c>
      <c r="E747" s="24">
        <v>1995</v>
      </c>
      <c r="F747" s="22" t="s">
        <v>13162</v>
      </c>
      <c r="G747" s="23" t="s">
        <v>13163</v>
      </c>
      <c r="H747" s="25" t="s">
        <v>15373</v>
      </c>
      <c r="I747" s="22" t="s">
        <v>15374</v>
      </c>
      <c r="J747" s="22">
        <v>3516</v>
      </c>
      <c r="K747" s="26">
        <f t="shared" si="11"/>
        <v>1435.3333333333333</v>
      </c>
      <c r="N747" s="26">
        <v>2153</v>
      </c>
      <c r="O747" s="22" t="s">
        <v>13164</v>
      </c>
      <c r="P747" s="22" t="s">
        <v>15422</v>
      </c>
      <c r="Q747" s="22" t="s">
        <v>13165</v>
      </c>
      <c r="R747" s="22" t="s">
        <v>13166</v>
      </c>
      <c r="S747" s="22" t="s">
        <v>14264</v>
      </c>
      <c r="T747" s="22">
        <v>8.17</v>
      </c>
      <c r="U747" s="22">
        <v>0.38</v>
      </c>
      <c r="X747" s="26"/>
      <c r="Y747" s="26"/>
    </row>
    <row r="748" spans="1:25" ht="37.5" x14ac:dyDescent="0.25">
      <c r="A748" s="21">
        <v>1021</v>
      </c>
      <c r="B748" s="22" t="s">
        <v>15368</v>
      </c>
      <c r="C748" s="22" t="s">
        <v>13161</v>
      </c>
      <c r="D748" s="23">
        <v>305513</v>
      </c>
      <c r="E748" s="24">
        <v>1995</v>
      </c>
      <c r="F748" s="22" t="s">
        <v>13167</v>
      </c>
      <c r="G748" s="23" t="s">
        <v>13168</v>
      </c>
      <c r="H748" s="25" t="s">
        <v>15373</v>
      </c>
      <c r="I748" s="22" t="s">
        <v>15374</v>
      </c>
      <c r="J748" s="22">
        <v>3516</v>
      </c>
      <c r="K748" s="26">
        <f t="shared" si="11"/>
        <v>1435.3333333333333</v>
      </c>
      <c r="N748" s="26">
        <v>2153</v>
      </c>
      <c r="O748" s="22" t="s">
        <v>13164</v>
      </c>
      <c r="P748" s="22" t="s">
        <v>15422</v>
      </c>
      <c r="Q748" s="22" t="s">
        <v>13165</v>
      </c>
      <c r="R748" s="22" t="s">
        <v>13166</v>
      </c>
      <c r="S748" s="22" t="s">
        <v>14264</v>
      </c>
      <c r="T748" s="22">
        <v>8.17</v>
      </c>
      <c r="U748" s="22">
        <v>0.38</v>
      </c>
      <c r="X748" s="26"/>
      <c r="Y748" s="26"/>
    </row>
    <row r="749" spans="1:25" ht="37.5" x14ac:dyDescent="0.25">
      <c r="A749" s="21">
        <v>1022</v>
      </c>
      <c r="B749" s="22" t="s">
        <v>15368</v>
      </c>
      <c r="C749" s="22" t="s">
        <v>13161</v>
      </c>
      <c r="D749" s="23">
        <v>305514</v>
      </c>
      <c r="E749" s="24">
        <v>1995</v>
      </c>
      <c r="F749" s="22" t="s">
        <v>13169</v>
      </c>
      <c r="G749" s="23" t="s">
        <v>13170</v>
      </c>
      <c r="H749" s="25" t="s">
        <v>15373</v>
      </c>
      <c r="I749" s="22" t="s">
        <v>15374</v>
      </c>
      <c r="J749" s="22">
        <v>3516</v>
      </c>
      <c r="K749" s="26">
        <f t="shared" si="11"/>
        <v>1435.3333333333333</v>
      </c>
      <c r="N749" s="26">
        <v>2153</v>
      </c>
      <c r="O749" s="22" t="s">
        <v>13164</v>
      </c>
      <c r="P749" s="22" t="s">
        <v>15422</v>
      </c>
      <c r="Q749" s="22" t="s">
        <v>13165</v>
      </c>
      <c r="R749" s="22" t="s">
        <v>13166</v>
      </c>
      <c r="S749" s="22" t="s">
        <v>14264</v>
      </c>
      <c r="T749" s="22">
        <v>8.17</v>
      </c>
      <c r="U749" s="22">
        <v>0.38</v>
      </c>
      <c r="X749" s="26"/>
      <c r="Y749" s="26"/>
    </row>
    <row r="750" spans="1:25" ht="37.5" x14ac:dyDescent="0.25">
      <c r="A750" s="21">
        <v>1024</v>
      </c>
      <c r="B750" s="22" t="s">
        <v>15368</v>
      </c>
      <c r="C750" s="22" t="s">
        <v>13171</v>
      </c>
      <c r="D750" s="23">
        <v>211767</v>
      </c>
      <c r="E750" s="24">
        <v>1989</v>
      </c>
      <c r="F750" s="22" t="s">
        <v>13172</v>
      </c>
      <c r="G750" s="23" t="s">
        <v>13173</v>
      </c>
      <c r="H750" s="25" t="s">
        <v>15373</v>
      </c>
      <c r="I750" s="22" t="s">
        <v>15374</v>
      </c>
      <c r="J750" s="22" t="s">
        <v>13174</v>
      </c>
      <c r="K750" s="26">
        <f t="shared" si="11"/>
        <v>400</v>
      </c>
      <c r="N750" s="26">
        <v>600</v>
      </c>
      <c r="O750" s="22" t="s">
        <v>13175</v>
      </c>
      <c r="P750" s="22" t="s">
        <v>13360</v>
      </c>
      <c r="Q750" s="22">
        <v>91754</v>
      </c>
      <c r="R750" s="22" t="s">
        <v>13176</v>
      </c>
      <c r="S750" s="22" t="s">
        <v>13177</v>
      </c>
      <c r="T750" s="22">
        <v>8.17</v>
      </c>
      <c r="U750" s="22">
        <v>0.38</v>
      </c>
      <c r="X750" s="26"/>
      <c r="Y750" s="26"/>
    </row>
    <row r="751" spans="1:25" ht="37.5" x14ac:dyDescent="0.25">
      <c r="A751" s="21">
        <v>1025</v>
      </c>
      <c r="B751" s="22" t="s">
        <v>15368</v>
      </c>
      <c r="C751" s="22" t="s">
        <v>13178</v>
      </c>
      <c r="D751" s="23">
        <v>277018</v>
      </c>
      <c r="E751" s="24">
        <v>1993</v>
      </c>
      <c r="F751" s="22" t="s">
        <v>13179</v>
      </c>
      <c r="G751" s="23" t="s">
        <v>13180</v>
      </c>
      <c r="H751" s="25" t="s">
        <v>15373</v>
      </c>
      <c r="I751" s="22" t="s">
        <v>15374</v>
      </c>
      <c r="J751" s="22" t="s">
        <v>15731</v>
      </c>
      <c r="K751" s="26">
        <f t="shared" si="11"/>
        <v>1000</v>
      </c>
      <c r="L751" s="26">
        <v>1000</v>
      </c>
      <c r="O751" s="22" t="s">
        <v>13181</v>
      </c>
      <c r="P751" s="22" t="s">
        <v>16794</v>
      </c>
      <c r="Q751" s="22">
        <v>92508</v>
      </c>
      <c r="R751" s="22" t="s">
        <v>13182</v>
      </c>
      <c r="S751" s="22" t="s">
        <v>13183</v>
      </c>
      <c r="T751" s="22">
        <v>8.17</v>
      </c>
      <c r="U751" s="22">
        <v>0.38</v>
      </c>
      <c r="X751" s="26"/>
      <c r="Y751" s="26"/>
    </row>
    <row r="752" spans="1:25" ht="37.5" x14ac:dyDescent="0.25">
      <c r="A752" s="21">
        <v>1026</v>
      </c>
      <c r="B752" s="22" t="s">
        <v>15368</v>
      </c>
      <c r="C752" s="22" t="s">
        <v>13184</v>
      </c>
      <c r="D752" s="23">
        <v>334173</v>
      </c>
      <c r="E752" s="24">
        <v>1997</v>
      </c>
      <c r="F752" s="22" t="s">
        <v>13185</v>
      </c>
      <c r="G752" s="23" t="s">
        <v>13186</v>
      </c>
      <c r="H752" s="25" t="s">
        <v>15373</v>
      </c>
      <c r="I752" s="22" t="s">
        <v>15374</v>
      </c>
      <c r="J752" s="22" t="s">
        <v>15701</v>
      </c>
      <c r="K752" s="26">
        <f t="shared" si="11"/>
        <v>400</v>
      </c>
      <c r="L752" s="26">
        <v>400</v>
      </c>
      <c r="O752" s="22" t="s">
        <v>13187</v>
      </c>
      <c r="P752" s="22" t="s">
        <v>15393</v>
      </c>
      <c r="Q752" s="22">
        <v>91367</v>
      </c>
      <c r="R752" s="22" t="s">
        <v>13188</v>
      </c>
      <c r="S752" s="22" t="s">
        <v>13189</v>
      </c>
      <c r="X752" s="26"/>
      <c r="Y752" s="26"/>
    </row>
    <row r="753" spans="1:25" ht="37.5" x14ac:dyDescent="0.25">
      <c r="A753" s="21">
        <v>1029</v>
      </c>
      <c r="B753" s="22" t="s">
        <v>15368</v>
      </c>
      <c r="C753" s="22" t="s">
        <v>13190</v>
      </c>
      <c r="D753" s="23">
        <v>366522</v>
      </c>
      <c r="E753" s="24">
        <v>2000</v>
      </c>
      <c r="F753" s="22" t="s">
        <v>13191</v>
      </c>
      <c r="G753" s="23" t="s">
        <v>13192</v>
      </c>
      <c r="H753" s="25" t="s">
        <v>15373</v>
      </c>
      <c r="I753" s="22" t="s">
        <v>15382</v>
      </c>
      <c r="J753" s="22" t="s">
        <v>16784</v>
      </c>
      <c r="K753" s="26">
        <f t="shared" si="11"/>
        <v>503.33333333333331</v>
      </c>
      <c r="N753" s="26">
        <v>755</v>
      </c>
      <c r="O753" s="22" t="s">
        <v>13193</v>
      </c>
      <c r="P753" s="22" t="s">
        <v>14020</v>
      </c>
      <c r="Q753" s="22">
        <v>92705</v>
      </c>
      <c r="R753" s="22" t="s">
        <v>13194</v>
      </c>
      <c r="S753" s="22" t="s">
        <v>13195</v>
      </c>
      <c r="T753" s="22">
        <v>6.9</v>
      </c>
      <c r="U753" s="22">
        <v>0.4</v>
      </c>
      <c r="X753" s="26"/>
      <c r="Y753" s="26"/>
    </row>
    <row r="754" spans="1:25" ht="25" x14ac:dyDescent="0.25">
      <c r="A754" s="21">
        <v>1030</v>
      </c>
      <c r="B754" s="22" t="s">
        <v>15368</v>
      </c>
      <c r="C754" s="22" t="s">
        <v>13190</v>
      </c>
      <c r="D754" s="23">
        <v>367624</v>
      </c>
      <c r="E754" s="24">
        <v>2000</v>
      </c>
      <c r="F754" s="22" t="s">
        <v>13196</v>
      </c>
      <c r="G754" s="23" t="s">
        <v>13197</v>
      </c>
      <c r="H754" s="25" t="s">
        <v>15373</v>
      </c>
      <c r="I754" s="22" t="s">
        <v>15382</v>
      </c>
      <c r="J754" s="22" t="s">
        <v>16784</v>
      </c>
      <c r="K754" s="26">
        <f t="shared" si="11"/>
        <v>503.33333333333331</v>
      </c>
      <c r="N754" s="26">
        <v>755</v>
      </c>
      <c r="O754" s="22" t="s">
        <v>13193</v>
      </c>
      <c r="P754" s="22" t="s">
        <v>14020</v>
      </c>
      <c r="Q754" s="22">
        <v>92705</v>
      </c>
      <c r="R754" s="22" t="s">
        <v>13194</v>
      </c>
      <c r="S754" s="22" t="s">
        <v>13195</v>
      </c>
      <c r="T754" s="22">
        <v>6.9</v>
      </c>
      <c r="U754" s="22">
        <v>0.4</v>
      </c>
      <c r="X754" s="26"/>
      <c r="Y754" s="26"/>
    </row>
    <row r="755" spans="1:25" ht="37.5" x14ac:dyDescent="0.25">
      <c r="A755" s="21">
        <v>1031</v>
      </c>
      <c r="B755" s="22" t="s">
        <v>15368</v>
      </c>
      <c r="C755" s="22" t="s">
        <v>13198</v>
      </c>
      <c r="D755" s="23">
        <v>350512</v>
      </c>
      <c r="E755" s="24">
        <v>1999</v>
      </c>
      <c r="F755" s="22" t="s">
        <v>13199</v>
      </c>
      <c r="G755" s="23" t="s">
        <v>13200</v>
      </c>
      <c r="H755" s="25" t="s">
        <v>15373</v>
      </c>
      <c r="I755" s="22" t="s">
        <v>15411</v>
      </c>
      <c r="J755" s="22" t="s">
        <v>15412</v>
      </c>
      <c r="K755" s="26">
        <f t="shared" si="11"/>
        <v>553.33333333333326</v>
      </c>
      <c r="N755" s="26">
        <v>830</v>
      </c>
      <c r="O755" s="22" t="s">
        <v>13201</v>
      </c>
      <c r="P755" s="22" t="s">
        <v>16853</v>
      </c>
      <c r="Q755" s="22">
        <v>92618</v>
      </c>
      <c r="R755" s="22" t="s">
        <v>13202</v>
      </c>
      <c r="S755" s="22" t="s">
        <v>13203</v>
      </c>
      <c r="T755" s="22">
        <v>8.17</v>
      </c>
      <c r="U755" s="22">
        <v>0.38</v>
      </c>
      <c r="X755" s="26"/>
      <c r="Y755" s="26"/>
    </row>
    <row r="756" spans="1:25" ht="50" x14ac:dyDescent="0.25">
      <c r="A756" s="21">
        <v>1032</v>
      </c>
      <c r="B756" s="22" t="s">
        <v>15368</v>
      </c>
      <c r="C756" s="22" t="s">
        <v>13198</v>
      </c>
      <c r="D756" s="23">
        <v>356077</v>
      </c>
      <c r="E756" s="24">
        <v>1999</v>
      </c>
      <c r="F756" s="22" t="s">
        <v>13204</v>
      </c>
      <c r="G756" s="23" t="s">
        <v>13205</v>
      </c>
      <c r="H756" s="25" t="s">
        <v>15373</v>
      </c>
      <c r="I756" s="22" t="s">
        <v>15411</v>
      </c>
      <c r="J756" s="22" t="s">
        <v>13206</v>
      </c>
      <c r="K756" s="26">
        <f t="shared" si="11"/>
        <v>606.66666666666663</v>
      </c>
      <c r="N756" s="26">
        <v>910</v>
      </c>
      <c r="O756" s="22" t="s">
        <v>13201</v>
      </c>
      <c r="P756" s="22" t="s">
        <v>16853</v>
      </c>
      <c r="Q756" s="22">
        <v>92618</v>
      </c>
      <c r="R756" s="22" t="s">
        <v>13202</v>
      </c>
      <c r="S756" s="22" t="s">
        <v>13203</v>
      </c>
      <c r="T756" s="22">
        <v>8.17</v>
      </c>
      <c r="U756" s="22">
        <v>0.38</v>
      </c>
      <c r="X756" s="26"/>
      <c r="Y756" s="26"/>
    </row>
    <row r="757" spans="1:25" ht="37.5" x14ac:dyDescent="0.25">
      <c r="A757" s="21">
        <v>1033</v>
      </c>
      <c r="B757" s="22" t="s">
        <v>15368</v>
      </c>
      <c r="C757" s="22" t="s">
        <v>13207</v>
      </c>
      <c r="D757" s="23">
        <v>201715</v>
      </c>
      <c r="E757" s="24">
        <v>1989</v>
      </c>
      <c r="F757" s="22" t="s">
        <v>13208</v>
      </c>
      <c r="G757" s="23" t="s">
        <v>13209</v>
      </c>
      <c r="H757" s="25" t="s">
        <v>15373</v>
      </c>
      <c r="I757" s="22" t="s">
        <v>15374</v>
      </c>
      <c r="J757" s="22" t="s">
        <v>14076</v>
      </c>
      <c r="K757" s="26">
        <f t="shared" si="11"/>
        <v>593.33333333333326</v>
      </c>
      <c r="N757" s="26">
        <v>890</v>
      </c>
      <c r="O757" s="22" t="s">
        <v>13210</v>
      </c>
      <c r="P757" s="22" t="s">
        <v>13211</v>
      </c>
      <c r="Q757" s="22" t="s">
        <v>13212</v>
      </c>
      <c r="R757" s="22" t="s">
        <v>14852</v>
      </c>
      <c r="S757" s="22" t="s">
        <v>13213</v>
      </c>
      <c r="T757" s="22">
        <v>8.17</v>
      </c>
      <c r="U757" s="22">
        <v>0.38</v>
      </c>
      <c r="X757" s="26"/>
      <c r="Y757" s="26"/>
    </row>
    <row r="758" spans="1:25" ht="37.5" x14ac:dyDescent="0.25">
      <c r="A758" s="21">
        <v>1035</v>
      </c>
      <c r="B758" s="22" t="s">
        <v>15368</v>
      </c>
      <c r="C758" s="22" t="s">
        <v>13214</v>
      </c>
      <c r="D758" s="23">
        <v>352060</v>
      </c>
      <c r="E758" s="24">
        <v>1999</v>
      </c>
      <c r="F758" s="22" t="s">
        <v>13215</v>
      </c>
      <c r="G758" s="23" t="s">
        <v>13216</v>
      </c>
      <c r="H758" s="25" t="s">
        <v>15373</v>
      </c>
      <c r="I758" s="22" t="s">
        <v>15382</v>
      </c>
      <c r="J758" s="22" t="s">
        <v>13217</v>
      </c>
      <c r="K758" s="26">
        <f t="shared" si="11"/>
        <v>446.66666666666663</v>
      </c>
      <c r="N758" s="26">
        <v>670</v>
      </c>
      <c r="O758" s="22" t="s">
        <v>13218</v>
      </c>
      <c r="P758" s="22" t="s">
        <v>13028</v>
      </c>
      <c r="Q758" s="22">
        <v>91328</v>
      </c>
      <c r="R758" s="22" t="s">
        <v>13219</v>
      </c>
      <c r="S758" s="22" t="s">
        <v>13220</v>
      </c>
      <c r="X758" s="26"/>
      <c r="Y758" s="26"/>
    </row>
    <row r="759" spans="1:25" ht="37.5" x14ac:dyDescent="0.25">
      <c r="A759" s="21">
        <v>1036</v>
      </c>
      <c r="B759" s="22" t="s">
        <v>15368</v>
      </c>
      <c r="C759" s="22" t="s">
        <v>13214</v>
      </c>
      <c r="D759" s="23">
        <v>352061</v>
      </c>
      <c r="E759" s="24">
        <v>1999</v>
      </c>
      <c r="F759" s="22" t="s">
        <v>13221</v>
      </c>
      <c r="G759" s="23" t="s">
        <v>13222</v>
      </c>
      <c r="H759" s="25" t="s">
        <v>15373</v>
      </c>
      <c r="I759" s="22" t="s">
        <v>15382</v>
      </c>
      <c r="J759" s="22" t="s">
        <v>13217</v>
      </c>
      <c r="K759" s="26">
        <f t="shared" si="11"/>
        <v>446.66666666666663</v>
      </c>
      <c r="N759" s="26">
        <v>670</v>
      </c>
      <c r="O759" s="22" t="s">
        <v>13218</v>
      </c>
      <c r="P759" s="22" t="s">
        <v>13028</v>
      </c>
      <c r="Q759" s="22">
        <v>91328</v>
      </c>
      <c r="R759" s="22" t="s">
        <v>13219</v>
      </c>
      <c r="S759" s="22" t="s">
        <v>13220</v>
      </c>
      <c r="X759" s="26"/>
      <c r="Y759" s="26"/>
    </row>
    <row r="760" spans="1:25" ht="37.5" x14ac:dyDescent="0.25">
      <c r="A760" s="21">
        <v>1037</v>
      </c>
      <c r="B760" s="22" t="s">
        <v>15368</v>
      </c>
      <c r="C760" s="22" t="s">
        <v>13214</v>
      </c>
      <c r="D760" s="23">
        <v>352062</v>
      </c>
      <c r="E760" s="24">
        <v>1999</v>
      </c>
      <c r="F760" s="22" t="s">
        <v>13223</v>
      </c>
      <c r="G760" s="23" t="s">
        <v>13224</v>
      </c>
      <c r="H760" s="25" t="s">
        <v>15373</v>
      </c>
      <c r="I760" s="22" t="s">
        <v>15382</v>
      </c>
      <c r="J760" s="22" t="s">
        <v>13225</v>
      </c>
      <c r="K760" s="26">
        <f t="shared" si="11"/>
        <v>506.66666666666663</v>
      </c>
      <c r="N760" s="26">
        <v>760</v>
      </c>
      <c r="O760" s="22" t="s">
        <v>13218</v>
      </c>
      <c r="P760" s="22" t="s">
        <v>13028</v>
      </c>
      <c r="Q760" s="22">
        <v>91328</v>
      </c>
      <c r="R760" s="22" t="s">
        <v>13219</v>
      </c>
      <c r="S760" s="22" t="s">
        <v>13220</v>
      </c>
      <c r="X760" s="26"/>
      <c r="Y760" s="26"/>
    </row>
    <row r="761" spans="1:25" ht="37.5" x14ac:dyDescent="0.25">
      <c r="A761" s="21">
        <v>1039</v>
      </c>
      <c r="B761" s="22" t="s">
        <v>15368</v>
      </c>
      <c r="C761" s="22" t="s">
        <v>13226</v>
      </c>
      <c r="D761" s="23">
        <v>352297</v>
      </c>
      <c r="E761" s="24">
        <v>1999</v>
      </c>
      <c r="F761" s="22" t="s">
        <v>13227</v>
      </c>
      <c r="G761" s="23" t="s">
        <v>13228</v>
      </c>
      <c r="H761" s="25" t="s">
        <v>15373</v>
      </c>
      <c r="I761" s="22" t="s">
        <v>13229</v>
      </c>
      <c r="J761" s="22" t="s">
        <v>13230</v>
      </c>
      <c r="K761" s="26">
        <f t="shared" si="11"/>
        <v>400</v>
      </c>
      <c r="L761" s="26">
        <v>400</v>
      </c>
      <c r="O761" s="22" t="s">
        <v>13231</v>
      </c>
      <c r="P761" s="22" t="s">
        <v>14711</v>
      </c>
      <c r="Q761" s="22">
        <v>91405</v>
      </c>
      <c r="R761" s="22" t="s">
        <v>13232</v>
      </c>
      <c r="S761" s="22" t="s">
        <v>13233</v>
      </c>
      <c r="T761" s="22">
        <v>6.9</v>
      </c>
      <c r="U761" s="22">
        <v>0.4</v>
      </c>
      <c r="X761" s="26"/>
      <c r="Y761" s="26"/>
    </row>
    <row r="762" spans="1:25" ht="37.5" x14ac:dyDescent="0.25">
      <c r="A762" s="21">
        <v>1041</v>
      </c>
      <c r="B762" s="22" t="s">
        <v>15368</v>
      </c>
      <c r="C762" s="22" t="s">
        <v>12198</v>
      </c>
      <c r="D762" s="23">
        <v>149346</v>
      </c>
      <c r="E762" s="24">
        <v>1986</v>
      </c>
      <c r="F762" s="22" t="s">
        <v>12199</v>
      </c>
      <c r="G762" s="23" t="s">
        <v>12200</v>
      </c>
      <c r="H762" s="25" t="s">
        <v>15373</v>
      </c>
      <c r="I762" s="22" t="s">
        <v>15411</v>
      </c>
      <c r="J762" s="22" t="s">
        <v>12201</v>
      </c>
      <c r="K762" s="26">
        <f t="shared" si="11"/>
        <v>610</v>
      </c>
      <c r="L762" s="26">
        <v>610</v>
      </c>
      <c r="O762" s="22" t="s">
        <v>12202</v>
      </c>
      <c r="P762" s="22" t="s">
        <v>16268</v>
      </c>
      <c r="Q762" s="22">
        <v>91708</v>
      </c>
      <c r="R762" s="22" t="s">
        <v>12203</v>
      </c>
      <c r="S762" s="22" t="s">
        <v>12204</v>
      </c>
      <c r="T762" s="22">
        <v>11</v>
      </c>
      <c r="U762" s="22">
        <v>0.53</v>
      </c>
      <c r="X762" s="26"/>
      <c r="Y762" s="26"/>
    </row>
    <row r="763" spans="1:25" ht="75" x14ac:dyDescent="0.25">
      <c r="A763" s="21">
        <v>1042</v>
      </c>
      <c r="B763" s="22" t="s">
        <v>15368</v>
      </c>
      <c r="C763" s="22" t="s">
        <v>12205</v>
      </c>
      <c r="D763" s="23">
        <v>335408</v>
      </c>
      <c r="E763" s="24">
        <v>1997</v>
      </c>
      <c r="F763" s="22" t="s">
        <v>12206</v>
      </c>
      <c r="G763" s="23" t="s">
        <v>12207</v>
      </c>
      <c r="H763" s="25" t="s">
        <v>16310</v>
      </c>
      <c r="I763" s="22" t="s">
        <v>15374</v>
      </c>
      <c r="J763" s="22" t="s">
        <v>12208</v>
      </c>
      <c r="K763" s="26">
        <f t="shared" si="11"/>
        <v>404.66666666666663</v>
      </c>
      <c r="N763" s="26">
        <v>607</v>
      </c>
      <c r="O763" s="22" t="s">
        <v>12209</v>
      </c>
      <c r="P763" s="22" t="s">
        <v>16490</v>
      </c>
      <c r="Q763" s="22">
        <v>92411</v>
      </c>
      <c r="R763" s="22" t="s">
        <v>12210</v>
      </c>
      <c r="S763" s="22" t="s">
        <v>12211</v>
      </c>
      <c r="X763" s="26"/>
      <c r="Y763" s="26"/>
    </row>
    <row r="764" spans="1:25" ht="75" x14ac:dyDescent="0.25">
      <c r="A764" s="21">
        <v>1043</v>
      </c>
      <c r="B764" s="22" t="s">
        <v>15368</v>
      </c>
      <c r="C764" s="22" t="s">
        <v>12205</v>
      </c>
      <c r="D764" s="23">
        <v>335409</v>
      </c>
      <c r="E764" s="24">
        <v>1997</v>
      </c>
      <c r="F764" s="22" t="s">
        <v>12212</v>
      </c>
      <c r="G764" s="23" t="s">
        <v>12213</v>
      </c>
      <c r="H764" s="25" t="s">
        <v>16310</v>
      </c>
      <c r="I764" s="22" t="s">
        <v>15374</v>
      </c>
      <c r="J764" s="22" t="s">
        <v>12208</v>
      </c>
      <c r="K764" s="26">
        <f t="shared" si="11"/>
        <v>404.66666666666663</v>
      </c>
      <c r="N764" s="26">
        <v>607</v>
      </c>
      <c r="O764" s="22" t="s">
        <v>12209</v>
      </c>
      <c r="P764" s="22" t="s">
        <v>16490</v>
      </c>
      <c r="Q764" s="22">
        <v>92411</v>
      </c>
      <c r="R764" s="22" t="s">
        <v>12210</v>
      </c>
      <c r="S764" s="22" t="s">
        <v>12211</v>
      </c>
      <c r="X764" s="26"/>
      <c r="Y764" s="26"/>
    </row>
    <row r="765" spans="1:25" ht="37.5" x14ac:dyDescent="0.25">
      <c r="A765" s="21">
        <v>1044</v>
      </c>
      <c r="B765" s="22" t="s">
        <v>15368</v>
      </c>
      <c r="C765" s="22" t="s">
        <v>12205</v>
      </c>
      <c r="D765" s="23">
        <v>343874</v>
      </c>
      <c r="E765" s="24">
        <v>1998</v>
      </c>
      <c r="F765" s="22" t="s">
        <v>12214</v>
      </c>
      <c r="G765" s="23" t="s">
        <v>12215</v>
      </c>
      <c r="H765" s="25" t="s">
        <v>15373</v>
      </c>
      <c r="I765" s="22" t="s">
        <v>14275</v>
      </c>
      <c r="J765" s="22" t="s">
        <v>12216</v>
      </c>
      <c r="K765" s="26">
        <f t="shared" si="11"/>
        <v>355.33333333333331</v>
      </c>
      <c r="N765" s="26">
        <v>533</v>
      </c>
      <c r="O765" s="22" t="s">
        <v>12209</v>
      </c>
      <c r="P765" s="22" t="s">
        <v>16490</v>
      </c>
      <c r="Q765" s="22">
        <v>92411</v>
      </c>
      <c r="R765" s="22" t="s">
        <v>12210</v>
      </c>
      <c r="S765" s="22" t="s">
        <v>12211</v>
      </c>
      <c r="T765" s="22">
        <v>6.9</v>
      </c>
      <c r="U765" s="22">
        <v>0.4</v>
      </c>
      <c r="X765" s="26"/>
      <c r="Y765" s="26"/>
    </row>
    <row r="766" spans="1:25" ht="37.5" x14ac:dyDescent="0.25">
      <c r="A766" s="21">
        <v>1045</v>
      </c>
      <c r="B766" s="22" t="s">
        <v>15368</v>
      </c>
      <c r="C766" s="22" t="s">
        <v>12217</v>
      </c>
      <c r="D766" s="23">
        <v>348414</v>
      </c>
      <c r="E766" s="24">
        <v>1998</v>
      </c>
      <c r="F766" s="22" t="s">
        <v>12218</v>
      </c>
      <c r="G766" s="23" t="s">
        <v>12219</v>
      </c>
      <c r="H766" s="25" t="s">
        <v>15373</v>
      </c>
      <c r="I766" s="22" t="s">
        <v>15374</v>
      </c>
      <c r="J766" s="22" t="s">
        <v>15701</v>
      </c>
      <c r="K766" s="26">
        <f t="shared" si="11"/>
        <v>400</v>
      </c>
      <c r="L766" s="26">
        <v>400</v>
      </c>
      <c r="O766" s="22" t="s">
        <v>12220</v>
      </c>
      <c r="P766" s="22" t="s">
        <v>16901</v>
      </c>
      <c r="Q766" s="22">
        <v>91761</v>
      </c>
      <c r="R766" s="22" t="s">
        <v>12221</v>
      </c>
      <c r="S766" s="22" t="s">
        <v>12222</v>
      </c>
      <c r="T766" s="22">
        <v>6.9</v>
      </c>
      <c r="U766" s="22">
        <v>0.4</v>
      </c>
      <c r="X766" s="26"/>
      <c r="Y766" s="26"/>
    </row>
    <row r="767" spans="1:25" ht="37.5" x14ac:dyDescent="0.25">
      <c r="A767" s="21">
        <v>1046</v>
      </c>
      <c r="B767" s="22" t="s">
        <v>15368</v>
      </c>
      <c r="C767" s="22" t="s">
        <v>12223</v>
      </c>
      <c r="D767" s="23">
        <v>324574</v>
      </c>
      <c r="E767" s="24">
        <v>1997</v>
      </c>
      <c r="F767" s="22" t="s">
        <v>12224</v>
      </c>
      <c r="G767" s="23" t="s">
        <v>12225</v>
      </c>
      <c r="H767" s="25" t="s">
        <v>15373</v>
      </c>
      <c r="I767" s="22" t="s">
        <v>15374</v>
      </c>
      <c r="J767" s="22">
        <v>3408</v>
      </c>
      <c r="K767" s="26">
        <f t="shared" si="11"/>
        <v>400</v>
      </c>
      <c r="N767" s="26">
        <v>600</v>
      </c>
      <c r="O767" s="22" t="s">
        <v>12226</v>
      </c>
      <c r="P767" s="22" t="s">
        <v>16901</v>
      </c>
      <c r="Q767" s="22">
        <v>91764</v>
      </c>
      <c r="R767" s="22" t="s">
        <v>12227</v>
      </c>
      <c r="S767" s="22" t="s">
        <v>12228</v>
      </c>
      <c r="T767" s="22">
        <v>6.9</v>
      </c>
      <c r="U767" s="22">
        <v>0.4</v>
      </c>
      <c r="X767" s="26"/>
      <c r="Y767" s="26"/>
    </row>
    <row r="768" spans="1:25" ht="37.5" x14ac:dyDescent="0.25">
      <c r="A768" s="21">
        <v>1048</v>
      </c>
      <c r="B768" s="22" t="s">
        <v>15368</v>
      </c>
      <c r="C768" s="22" t="s">
        <v>12229</v>
      </c>
      <c r="D768" s="23">
        <v>235624</v>
      </c>
      <c r="E768" s="24">
        <v>1990</v>
      </c>
      <c r="F768" s="22" t="s">
        <v>12230</v>
      </c>
      <c r="G768" s="23" t="s">
        <v>12231</v>
      </c>
      <c r="H768" s="25" t="s">
        <v>15373</v>
      </c>
      <c r="I768" s="22" t="s">
        <v>15382</v>
      </c>
      <c r="J768" s="22" t="s">
        <v>14716</v>
      </c>
      <c r="K768" s="26">
        <f t="shared" si="11"/>
        <v>600</v>
      </c>
      <c r="N768" s="26">
        <v>900</v>
      </c>
      <c r="O768" s="22" t="s">
        <v>12232</v>
      </c>
      <c r="P768" s="22" t="s">
        <v>16819</v>
      </c>
      <c r="Q768" s="22">
        <v>91101</v>
      </c>
      <c r="R768" s="22" t="s">
        <v>12233</v>
      </c>
      <c r="S768" s="22" t="s">
        <v>12234</v>
      </c>
      <c r="T768" s="22">
        <v>8.17</v>
      </c>
      <c r="U768" s="22">
        <v>0.38</v>
      </c>
      <c r="X768" s="26"/>
      <c r="Y768" s="26"/>
    </row>
    <row r="769" spans="1:25" ht="25" x14ac:dyDescent="0.25">
      <c r="A769" s="21">
        <v>1049</v>
      </c>
      <c r="B769" s="22" t="s">
        <v>15368</v>
      </c>
      <c r="C769" s="22" t="s">
        <v>11084</v>
      </c>
      <c r="D769" s="23">
        <v>255840</v>
      </c>
      <c r="E769" s="24">
        <v>1991</v>
      </c>
      <c r="F769" s="22" t="s">
        <v>11085</v>
      </c>
      <c r="G769" s="23" t="s">
        <v>11086</v>
      </c>
      <c r="H769" s="25" t="s">
        <v>15373</v>
      </c>
      <c r="I769" s="22" t="s">
        <v>15374</v>
      </c>
      <c r="J769" s="22">
        <v>3512</v>
      </c>
      <c r="K769" s="26">
        <f t="shared" si="11"/>
        <v>1050</v>
      </c>
      <c r="N769" s="26">
        <v>1575</v>
      </c>
      <c r="O769" s="22" t="s">
        <v>11087</v>
      </c>
      <c r="P769" s="22" t="s">
        <v>15212</v>
      </c>
      <c r="Q769" s="22">
        <v>92868</v>
      </c>
      <c r="R769" s="22" t="s">
        <v>11088</v>
      </c>
      <c r="S769" s="22" t="s">
        <v>11089</v>
      </c>
      <c r="T769" s="22">
        <v>8.17</v>
      </c>
      <c r="U769" s="22">
        <v>0.38</v>
      </c>
      <c r="X769" s="26"/>
      <c r="Y769" s="26"/>
    </row>
    <row r="770" spans="1:25" ht="37.5" x14ac:dyDescent="0.25">
      <c r="A770" s="21">
        <v>1050</v>
      </c>
      <c r="B770" s="22" t="s">
        <v>15368</v>
      </c>
      <c r="C770" s="22" t="s">
        <v>11084</v>
      </c>
      <c r="D770" s="23">
        <v>257757</v>
      </c>
      <c r="E770" s="24">
        <v>1991</v>
      </c>
      <c r="F770" s="22" t="s">
        <v>11090</v>
      </c>
      <c r="G770" s="23" t="s">
        <v>11091</v>
      </c>
      <c r="H770" s="25" t="s">
        <v>15373</v>
      </c>
      <c r="I770" s="22" t="s">
        <v>15374</v>
      </c>
      <c r="J770" s="22">
        <v>3412</v>
      </c>
      <c r="K770" s="26">
        <f t="shared" ref="K770:K833" si="12">L770+M770*(2/3)+N770*(2/3)</f>
        <v>503.33333333333331</v>
      </c>
      <c r="N770" s="26">
        <v>755</v>
      </c>
      <c r="O770" s="22" t="s">
        <v>11092</v>
      </c>
      <c r="P770" s="22" t="s">
        <v>14020</v>
      </c>
      <c r="Q770" s="22">
        <v>92703</v>
      </c>
      <c r="R770" s="22" t="s">
        <v>11093</v>
      </c>
      <c r="S770" s="22" t="s">
        <v>11094</v>
      </c>
      <c r="T770" s="22">
        <v>8.17</v>
      </c>
      <c r="U770" s="22">
        <v>0.38</v>
      </c>
      <c r="X770" s="26"/>
      <c r="Y770" s="26"/>
    </row>
    <row r="771" spans="1:25" ht="37.5" x14ac:dyDescent="0.25">
      <c r="A771" s="21">
        <v>1051</v>
      </c>
      <c r="B771" s="22" t="s">
        <v>15368</v>
      </c>
      <c r="C771" s="22" t="s">
        <v>11084</v>
      </c>
      <c r="D771" s="23">
        <v>257758</v>
      </c>
      <c r="E771" s="24">
        <v>1991</v>
      </c>
      <c r="F771" s="22" t="s">
        <v>11095</v>
      </c>
      <c r="G771" s="23" t="s">
        <v>11096</v>
      </c>
      <c r="H771" s="25" t="s">
        <v>15373</v>
      </c>
      <c r="I771" s="22" t="s">
        <v>15374</v>
      </c>
      <c r="J771" s="22">
        <v>3412</v>
      </c>
      <c r="K771" s="26">
        <f t="shared" si="12"/>
        <v>503.33333333333331</v>
      </c>
      <c r="N771" s="26">
        <v>755</v>
      </c>
      <c r="O771" s="22" t="s">
        <v>11092</v>
      </c>
      <c r="P771" s="22" t="s">
        <v>14020</v>
      </c>
      <c r="Q771" s="22">
        <v>92703</v>
      </c>
      <c r="R771" s="22" t="s">
        <v>11093</v>
      </c>
      <c r="S771" s="22" t="s">
        <v>11094</v>
      </c>
      <c r="T771" s="22">
        <v>8.17</v>
      </c>
      <c r="U771" s="22">
        <v>0.38</v>
      </c>
      <c r="X771" s="26"/>
      <c r="Y771" s="26"/>
    </row>
    <row r="772" spans="1:25" ht="37.5" x14ac:dyDescent="0.25">
      <c r="A772" s="21">
        <v>1052</v>
      </c>
      <c r="B772" s="22" t="s">
        <v>15368</v>
      </c>
      <c r="C772" s="22" t="s">
        <v>11084</v>
      </c>
      <c r="D772" s="23">
        <v>262954</v>
      </c>
      <c r="E772" s="24">
        <v>1992</v>
      </c>
      <c r="F772" s="22" t="s">
        <v>11097</v>
      </c>
      <c r="G772" s="23" t="s">
        <v>13295</v>
      </c>
      <c r="H772" s="25" t="s">
        <v>15373</v>
      </c>
      <c r="I772" s="22" t="s">
        <v>15411</v>
      </c>
      <c r="J772" s="22" t="s">
        <v>15744</v>
      </c>
      <c r="K772" s="26">
        <f t="shared" si="12"/>
        <v>780</v>
      </c>
      <c r="N772" s="26">
        <v>1170</v>
      </c>
      <c r="O772" s="22" t="s">
        <v>13296</v>
      </c>
      <c r="P772" s="22" t="s">
        <v>15212</v>
      </c>
      <c r="Q772" s="22">
        <v>92701</v>
      </c>
      <c r="R772" s="22" t="s">
        <v>13297</v>
      </c>
      <c r="S772" s="22" t="s">
        <v>13298</v>
      </c>
      <c r="T772" s="22">
        <v>8.17</v>
      </c>
      <c r="U772" s="22">
        <v>0.38</v>
      </c>
      <c r="X772" s="26"/>
      <c r="Y772" s="26"/>
    </row>
    <row r="773" spans="1:25" ht="37.5" x14ac:dyDescent="0.25">
      <c r="A773" s="21">
        <v>1053</v>
      </c>
      <c r="B773" s="22" t="s">
        <v>15368</v>
      </c>
      <c r="C773" s="22" t="s">
        <v>11084</v>
      </c>
      <c r="D773" s="23">
        <v>262955</v>
      </c>
      <c r="E773" s="24">
        <v>1992</v>
      </c>
      <c r="F773" s="22" t="s">
        <v>13299</v>
      </c>
      <c r="G773" s="23" t="s">
        <v>13295</v>
      </c>
      <c r="H773" s="25" t="s">
        <v>15373</v>
      </c>
      <c r="I773" s="22" t="s">
        <v>15411</v>
      </c>
      <c r="J773" s="22" t="s">
        <v>15744</v>
      </c>
      <c r="K773" s="26">
        <f t="shared" si="12"/>
        <v>780</v>
      </c>
      <c r="N773" s="26">
        <v>1170</v>
      </c>
      <c r="O773" s="22" t="s">
        <v>13296</v>
      </c>
      <c r="P773" s="22" t="s">
        <v>15212</v>
      </c>
      <c r="Q773" s="22">
        <v>92701</v>
      </c>
      <c r="R773" s="22" t="s">
        <v>13297</v>
      </c>
      <c r="S773" s="22" t="s">
        <v>13298</v>
      </c>
      <c r="T773" s="22">
        <v>8.17</v>
      </c>
      <c r="U773" s="22">
        <v>0.38</v>
      </c>
      <c r="X773" s="26"/>
      <c r="Y773" s="26"/>
    </row>
    <row r="774" spans="1:25" ht="25" x14ac:dyDescent="0.25">
      <c r="A774" s="21">
        <v>1054</v>
      </c>
      <c r="B774" s="22" t="s">
        <v>15368</v>
      </c>
      <c r="C774" s="22" t="s">
        <v>11084</v>
      </c>
      <c r="D774" s="23">
        <v>363985</v>
      </c>
      <c r="E774" s="24">
        <v>2000</v>
      </c>
      <c r="F774" s="22" t="s">
        <v>13300</v>
      </c>
      <c r="G774" s="23" t="s">
        <v>13301</v>
      </c>
      <c r="H774" s="25" t="s">
        <v>15373</v>
      </c>
      <c r="I774" s="22" t="s">
        <v>15382</v>
      </c>
      <c r="J774" s="22" t="s">
        <v>15383</v>
      </c>
      <c r="K774" s="26">
        <f t="shared" si="12"/>
        <v>800</v>
      </c>
      <c r="L774" s="26">
        <v>800</v>
      </c>
      <c r="O774" s="22" t="s">
        <v>11087</v>
      </c>
      <c r="P774" s="22" t="s">
        <v>15212</v>
      </c>
      <c r="Q774" s="22">
        <v>92868</v>
      </c>
      <c r="R774" s="22" t="s">
        <v>11088</v>
      </c>
      <c r="S774" s="22" t="s">
        <v>11089</v>
      </c>
      <c r="T774" s="22">
        <v>6.9</v>
      </c>
      <c r="U774" s="22">
        <v>0.4</v>
      </c>
      <c r="X774" s="26"/>
      <c r="Y774" s="26"/>
    </row>
    <row r="775" spans="1:25" ht="37.5" x14ac:dyDescent="0.25">
      <c r="A775" s="21">
        <v>1055</v>
      </c>
      <c r="B775" s="22" t="s">
        <v>15368</v>
      </c>
      <c r="C775" s="22" t="s">
        <v>13302</v>
      </c>
      <c r="D775" s="23">
        <v>353165</v>
      </c>
      <c r="E775" s="24">
        <v>1999</v>
      </c>
      <c r="F775" s="22" t="s">
        <v>13303</v>
      </c>
      <c r="G775" s="23" t="s">
        <v>13304</v>
      </c>
      <c r="H775" s="25" t="s">
        <v>15373</v>
      </c>
      <c r="I775" s="22" t="s">
        <v>15382</v>
      </c>
      <c r="J775" s="22" t="s">
        <v>16784</v>
      </c>
      <c r="K775" s="26">
        <f t="shared" si="12"/>
        <v>503.33333333333331</v>
      </c>
      <c r="N775" s="26">
        <v>755</v>
      </c>
      <c r="O775" s="22" t="s">
        <v>13305</v>
      </c>
      <c r="P775" s="22" t="s">
        <v>15212</v>
      </c>
      <c r="Q775" s="22">
        <v>92868</v>
      </c>
      <c r="R775" s="22" t="s">
        <v>13306</v>
      </c>
      <c r="S775" s="22" t="s">
        <v>13307</v>
      </c>
      <c r="T775" s="22">
        <v>8.17</v>
      </c>
      <c r="U775" s="22">
        <v>0.38</v>
      </c>
      <c r="X775" s="26"/>
      <c r="Y775" s="26"/>
    </row>
    <row r="776" spans="1:25" ht="37.5" x14ac:dyDescent="0.25">
      <c r="A776" s="21">
        <v>1056</v>
      </c>
      <c r="B776" s="22" t="s">
        <v>15368</v>
      </c>
      <c r="C776" s="22" t="s">
        <v>13308</v>
      </c>
      <c r="D776" s="23">
        <v>298644</v>
      </c>
      <c r="E776" s="24">
        <v>1994</v>
      </c>
      <c r="F776" s="22" t="s">
        <v>13309</v>
      </c>
      <c r="G776" s="23" t="s">
        <v>13310</v>
      </c>
      <c r="H776" s="25" t="s">
        <v>15373</v>
      </c>
      <c r="I776" s="22" t="s">
        <v>15411</v>
      </c>
      <c r="J776" s="22" t="s">
        <v>16306</v>
      </c>
      <c r="K776" s="26">
        <f t="shared" si="12"/>
        <v>378.66666666666663</v>
      </c>
      <c r="N776" s="26">
        <v>568</v>
      </c>
      <c r="O776" s="22" t="s">
        <v>13311</v>
      </c>
      <c r="P776" s="22" t="s">
        <v>14020</v>
      </c>
      <c r="Q776" s="22">
        <v>92703</v>
      </c>
      <c r="R776" s="22" t="s">
        <v>13312</v>
      </c>
      <c r="S776" s="22" t="s">
        <v>13313</v>
      </c>
      <c r="T776" s="22">
        <v>8.17</v>
      </c>
      <c r="U776" s="22">
        <v>0.38</v>
      </c>
      <c r="X776" s="26"/>
      <c r="Y776" s="26"/>
    </row>
    <row r="777" spans="1:25" ht="25" x14ac:dyDescent="0.25">
      <c r="A777" s="21">
        <v>1057</v>
      </c>
      <c r="B777" s="22" t="s">
        <v>15368</v>
      </c>
      <c r="C777" s="22" t="s">
        <v>13314</v>
      </c>
      <c r="D777" s="23">
        <v>340754</v>
      </c>
      <c r="E777" s="24">
        <v>1998</v>
      </c>
      <c r="F777" s="22" t="s">
        <v>13315</v>
      </c>
      <c r="G777" s="23" t="s">
        <v>13316</v>
      </c>
      <c r="H777" s="25" t="s">
        <v>15373</v>
      </c>
      <c r="I777" s="22" t="s">
        <v>15382</v>
      </c>
      <c r="J777" s="22" t="s">
        <v>16811</v>
      </c>
      <c r="K777" s="26">
        <f t="shared" si="12"/>
        <v>356.66666666666663</v>
      </c>
      <c r="N777" s="26">
        <v>535</v>
      </c>
      <c r="O777" s="22" t="s">
        <v>13317</v>
      </c>
      <c r="P777" s="22" t="s">
        <v>13318</v>
      </c>
      <c r="Q777" s="22">
        <v>92678</v>
      </c>
      <c r="R777" s="22" t="s">
        <v>13319</v>
      </c>
      <c r="S777" s="22" t="s">
        <v>13320</v>
      </c>
      <c r="T777" s="22">
        <v>6.9</v>
      </c>
      <c r="U777" s="22">
        <v>0.4</v>
      </c>
      <c r="X777" s="26"/>
      <c r="Y777" s="26"/>
    </row>
    <row r="778" spans="1:25" ht="37.5" x14ac:dyDescent="0.25">
      <c r="A778" s="21">
        <v>1058</v>
      </c>
      <c r="B778" s="22" t="s">
        <v>15368</v>
      </c>
      <c r="C778" s="22" t="s">
        <v>13321</v>
      </c>
      <c r="D778" s="23">
        <v>312773</v>
      </c>
      <c r="E778" s="24">
        <v>1996</v>
      </c>
      <c r="F778" s="22" t="s">
        <v>13322</v>
      </c>
      <c r="G778" s="23" t="s">
        <v>13323</v>
      </c>
      <c r="H778" s="25" t="s">
        <v>15373</v>
      </c>
      <c r="I778" s="22" t="s">
        <v>15374</v>
      </c>
      <c r="J778" s="22">
        <v>3412</v>
      </c>
      <c r="K778" s="26">
        <f t="shared" si="12"/>
        <v>536.66666666666663</v>
      </c>
      <c r="N778" s="26">
        <v>805</v>
      </c>
      <c r="O778" s="22" t="s">
        <v>13324</v>
      </c>
      <c r="P778" s="22" t="s">
        <v>15205</v>
      </c>
      <c r="Q778" s="22">
        <v>92708</v>
      </c>
      <c r="R778" s="22" t="s">
        <v>13325</v>
      </c>
      <c r="S778" s="22" t="s">
        <v>13326</v>
      </c>
      <c r="T778" s="22">
        <v>8.17</v>
      </c>
      <c r="U778" s="22">
        <v>0.38</v>
      </c>
      <c r="X778" s="26"/>
      <c r="Y778" s="26"/>
    </row>
    <row r="779" spans="1:25" ht="37.5" x14ac:dyDescent="0.25">
      <c r="A779" s="21">
        <v>1059</v>
      </c>
      <c r="B779" s="22" t="s">
        <v>15368</v>
      </c>
      <c r="C779" s="22" t="s">
        <v>13321</v>
      </c>
      <c r="D779" s="23">
        <v>312775</v>
      </c>
      <c r="E779" s="24">
        <v>1996</v>
      </c>
      <c r="F779" s="22" t="s">
        <v>13327</v>
      </c>
      <c r="G779" s="23" t="s">
        <v>13328</v>
      </c>
      <c r="H779" s="25" t="s">
        <v>15373</v>
      </c>
      <c r="I779" s="22" t="s">
        <v>16907</v>
      </c>
      <c r="J779" s="22" t="s">
        <v>13329</v>
      </c>
      <c r="K779" s="26">
        <f t="shared" si="12"/>
        <v>412.66666666666663</v>
      </c>
      <c r="N779" s="26">
        <v>619</v>
      </c>
      <c r="O779" s="22" t="s">
        <v>13324</v>
      </c>
      <c r="P779" s="22" t="s">
        <v>15205</v>
      </c>
      <c r="Q779" s="22">
        <v>92708</v>
      </c>
      <c r="R779" s="22" t="s">
        <v>13325</v>
      </c>
      <c r="S779" s="22" t="s">
        <v>13326</v>
      </c>
      <c r="T779" s="22">
        <v>6.9</v>
      </c>
      <c r="U779" s="22">
        <v>0.4</v>
      </c>
      <c r="X779" s="26"/>
      <c r="Y779" s="26"/>
    </row>
    <row r="780" spans="1:25" ht="37.5" x14ac:dyDescent="0.25">
      <c r="A780" s="21">
        <v>1060</v>
      </c>
      <c r="B780" s="22" t="s">
        <v>15368</v>
      </c>
      <c r="C780" s="22" t="s">
        <v>13330</v>
      </c>
      <c r="D780" s="23">
        <v>294216</v>
      </c>
      <c r="E780" s="24">
        <v>1994</v>
      </c>
      <c r="F780" s="22" t="s">
        <v>13331</v>
      </c>
      <c r="G780" s="23" t="s">
        <v>12219</v>
      </c>
      <c r="H780" s="25" t="s">
        <v>15373</v>
      </c>
      <c r="I780" s="22" t="s">
        <v>15374</v>
      </c>
      <c r="J780" s="22" t="s">
        <v>15701</v>
      </c>
      <c r="K780" s="26">
        <f t="shared" si="12"/>
        <v>400</v>
      </c>
      <c r="L780" s="26">
        <v>400</v>
      </c>
      <c r="O780" s="22" t="s">
        <v>13332</v>
      </c>
      <c r="P780" s="22" t="s">
        <v>16863</v>
      </c>
      <c r="Q780" s="22">
        <v>92780</v>
      </c>
      <c r="R780" s="22" t="s">
        <v>13333</v>
      </c>
      <c r="S780" s="22" t="s">
        <v>13334</v>
      </c>
      <c r="T780" s="22">
        <v>8.17</v>
      </c>
      <c r="U780" s="22">
        <v>0.38</v>
      </c>
      <c r="X780" s="26"/>
      <c r="Y780" s="26"/>
    </row>
    <row r="781" spans="1:25" ht="37.5" x14ac:dyDescent="0.25">
      <c r="A781" s="21">
        <v>1063</v>
      </c>
      <c r="B781" s="22" t="s">
        <v>15368</v>
      </c>
      <c r="C781" s="22" t="s">
        <v>13335</v>
      </c>
      <c r="D781" s="23">
        <v>356847</v>
      </c>
      <c r="E781" s="24">
        <v>1999</v>
      </c>
      <c r="F781" s="22" t="s">
        <v>13336</v>
      </c>
      <c r="G781" s="23" t="s">
        <v>13337</v>
      </c>
      <c r="H781" s="25" t="s">
        <v>15373</v>
      </c>
      <c r="I781" s="22" t="s">
        <v>15382</v>
      </c>
      <c r="J781" s="22" t="s">
        <v>16569</v>
      </c>
      <c r="K781" s="26">
        <f t="shared" si="12"/>
        <v>403.33333333333331</v>
      </c>
      <c r="N781" s="26">
        <v>605</v>
      </c>
      <c r="O781" s="22" t="s">
        <v>13338</v>
      </c>
      <c r="P781" s="22" t="s">
        <v>13421</v>
      </c>
      <c r="Q781" s="22">
        <v>92332</v>
      </c>
      <c r="R781" s="22" t="s">
        <v>13339</v>
      </c>
      <c r="S781" s="22" t="s">
        <v>13340</v>
      </c>
      <c r="T781" s="22">
        <v>6.9</v>
      </c>
      <c r="U781" s="22">
        <v>0.4</v>
      </c>
      <c r="X781" s="26"/>
      <c r="Y781" s="26"/>
    </row>
    <row r="782" spans="1:25" ht="37.5" x14ac:dyDescent="0.25">
      <c r="A782" s="21">
        <v>1064</v>
      </c>
      <c r="B782" s="22" t="s">
        <v>15368</v>
      </c>
      <c r="C782" s="22" t="s">
        <v>13341</v>
      </c>
      <c r="D782" s="23">
        <v>214445</v>
      </c>
      <c r="E782" s="24">
        <v>1989</v>
      </c>
      <c r="F782" s="22" t="s">
        <v>13342</v>
      </c>
      <c r="G782" s="23" t="s">
        <v>13343</v>
      </c>
      <c r="H782" s="25" t="s">
        <v>15373</v>
      </c>
      <c r="I782" s="22" t="s">
        <v>15374</v>
      </c>
      <c r="J782" s="22">
        <v>3406</v>
      </c>
      <c r="K782" s="26">
        <f t="shared" si="12"/>
        <v>345.33333333333331</v>
      </c>
      <c r="N782" s="26">
        <v>518</v>
      </c>
      <c r="O782" s="22" t="s">
        <v>13344</v>
      </c>
      <c r="P782" s="22" t="s">
        <v>14020</v>
      </c>
      <c r="Q782" s="22">
        <v>92707</v>
      </c>
      <c r="R782" s="22" t="s">
        <v>13345</v>
      </c>
      <c r="S782" s="22" t="s">
        <v>13346</v>
      </c>
      <c r="T782" s="22">
        <v>8.17</v>
      </c>
      <c r="U782" s="22">
        <v>0.38</v>
      </c>
      <c r="X782" s="26"/>
      <c r="Y782" s="26"/>
    </row>
    <row r="783" spans="1:25" ht="37.5" x14ac:dyDescent="0.25">
      <c r="A783" s="21">
        <v>1065</v>
      </c>
      <c r="B783" s="22" t="s">
        <v>15368</v>
      </c>
      <c r="C783" s="22" t="s">
        <v>13341</v>
      </c>
      <c r="D783" s="23">
        <v>214446</v>
      </c>
      <c r="E783" s="24">
        <v>1989</v>
      </c>
      <c r="F783" s="22" t="s">
        <v>13347</v>
      </c>
      <c r="G783" s="23" t="s">
        <v>13348</v>
      </c>
      <c r="H783" s="25" t="s">
        <v>15373</v>
      </c>
      <c r="I783" s="22" t="s">
        <v>15374</v>
      </c>
      <c r="J783" s="22">
        <v>3406</v>
      </c>
      <c r="K783" s="26">
        <f t="shared" si="12"/>
        <v>345.33333333333331</v>
      </c>
      <c r="N783" s="26">
        <v>518</v>
      </c>
      <c r="O783" s="22" t="s">
        <v>13344</v>
      </c>
      <c r="P783" s="22" t="s">
        <v>14020</v>
      </c>
      <c r="Q783" s="22">
        <v>92707</v>
      </c>
      <c r="R783" s="22" t="s">
        <v>13345</v>
      </c>
      <c r="S783" s="22" t="s">
        <v>13346</v>
      </c>
      <c r="T783" s="22">
        <v>8.17</v>
      </c>
      <c r="U783" s="22">
        <v>0.38</v>
      </c>
      <c r="X783" s="26"/>
      <c r="Y783" s="26"/>
    </row>
    <row r="784" spans="1:25" ht="37.5" x14ac:dyDescent="0.25">
      <c r="A784" s="21">
        <v>1066</v>
      </c>
      <c r="B784" s="22" t="s">
        <v>15368</v>
      </c>
      <c r="C784" s="22" t="s">
        <v>13341</v>
      </c>
      <c r="D784" s="23">
        <v>240514</v>
      </c>
      <c r="E784" s="24">
        <v>1990</v>
      </c>
      <c r="F784" s="22" t="s">
        <v>13349</v>
      </c>
      <c r="G784" s="23" t="s">
        <v>13350</v>
      </c>
      <c r="H784" s="25" t="s">
        <v>15373</v>
      </c>
      <c r="I784" s="22" t="s">
        <v>15382</v>
      </c>
      <c r="J784" s="22" t="s">
        <v>13351</v>
      </c>
      <c r="K784" s="26">
        <f t="shared" si="12"/>
        <v>492</v>
      </c>
      <c r="N784" s="26">
        <v>738</v>
      </c>
      <c r="O784" s="22" t="s">
        <v>13344</v>
      </c>
      <c r="P784" s="22" t="s">
        <v>14020</v>
      </c>
      <c r="Q784" s="22">
        <v>92707</v>
      </c>
      <c r="R784" s="22" t="s">
        <v>13345</v>
      </c>
      <c r="S784" s="22" t="s">
        <v>13346</v>
      </c>
      <c r="T784" s="22">
        <v>8.17</v>
      </c>
      <c r="U784" s="22">
        <v>0.38</v>
      </c>
      <c r="X784" s="26"/>
      <c r="Y784" s="26"/>
    </row>
    <row r="785" spans="1:25" ht="37.5" x14ac:dyDescent="0.25">
      <c r="A785" s="21">
        <v>1067</v>
      </c>
      <c r="B785" s="22" t="s">
        <v>15368</v>
      </c>
      <c r="C785" s="22" t="s">
        <v>13341</v>
      </c>
      <c r="D785" s="23">
        <v>240515</v>
      </c>
      <c r="E785" s="24">
        <v>1990</v>
      </c>
      <c r="F785" s="22" t="s">
        <v>13352</v>
      </c>
      <c r="G785" s="23" t="s">
        <v>13353</v>
      </c>
      <c r="H785" s="25" t="s">
        <v>15373</v>
      </c>
      <c r="I785" s="22" t="s">
        <v>15382</v>
      </c>
      <c r="J785" s="22" t="s">
        <v>13354</v>
      </c>
      <c r="K785" s="26">
        <f t="shared" si="12"/>
        <v>492</v>
      </c>
      <c r="N785" s="26">
        <v>738</v>
      </c>
      <c r="O785" s="22" t="s">
        <v>13344</v>
      </c>
      <c r="P785" s="22" t="s">
        <v>14020</v>
      </c>
      <c r="Q785" s="22">
        <v>92707</v>
      </c>
      <c r="R785" s="22" t="s">
        <v>13345</v>
      </c>
      <c r="S785" s="22" t="s">
        <v>13346</v>
      </c>
      <c r="T785" s="22">
        <v>8.17</v>
      </c>
      <c r="U785" s="22">
        <v>0.38</v>
      </c>
      <c r="X785" s="26"/>
      <c r="Y785" s="26"/>
    </row>
    <row r="786" spans="1:25" ht="37.5" x14ac:dyDescent="0.25">
      <c r="A786" s="21">
        <v>1068</v>
      </c>
      <c r="B786" s="22" t="s">
        <v>15368</v>
      </c>
      <c r="C786" s="22" t="s">
        <v>13341</v>
      </c>
      <c r="D786" s="23">
        <v>328971</v>
      </c>
      <c r="E786" s="24">
        <v>1997</v>
      </c>
      <c r="F786" s="22" t="s">
        <v>13355</v>
      </c>
      <c r="G786" s="23" t="s">
        <v>12235</v>
      </c>
      <c r="H786" s="25" t="s">
        <v>15373</v>
      </c>
      <c r="I786" s="22" t="s">
        <v>15374</v>
      </c>
      <c r="J786" s="22" t="s">
        <v>15701</v>
      </c>
      <c r="K786" s="26">
        <f t="shared" si="12"/>
        <v>400</v>
      </c>
      <c r="L786" s="26">
        <v>400</v>
      </c>
      <c r="O786" s="22" t="s">
        <v>13344</v>
      </c>
      <c r="P786" s="22" t="s">
        <v>14020</v>
      </c>
      <c r="Q786" s="22">
        <v>92707</v>
      </c>
      <c r="R786" s="22" t="s">
        <v>13345</v>
      </c>
      <c r="S786" s="22" t="s">
        <v>13346</v>
      </c>
      <c r="T786" s="22">
        <v>6.9</v>
      </c>
      <c r="U786" s="22">
        <v>0.4</v>
      </c>
      <c r="X786" s="26"/>
      <c r="Y786" s="26"/>
    </row>
    <row r="787" spans="1:25" ht="50" x14ac:dyDescent="0.25">
      <c r="A787" s="21">
        <v>1069</v>
      </c>
      <c r="B787" s="22" t="s">
        <v>15368</v>
      </c>
      <c r="C787" s="22" t="s">
        <v>12236</v>
      </c>
      <c r="D787" s="23">
        <v>133994</v>
      </c>
      <c r="E787" s="24">
        <v>1985</v>
      </c>
      <c r="F787" s="22" t="s">
        <v>12237</v>
      </c>
      <c r="G787" s="23" t="s">
        <v>12238</v>
      </c>
      <c r="H787" s="25" t="s">
        <v>15373</v>
      </c>
      <c r="I787" s="22" t="s">
        <v>15374</v>
      </c>
      <c r="J787" s="22">
        <v>3512</v>
      </c>
      <c r="K787" s="26">
        <f t="shared" si="12"/>
        <v>1000</v>
      </c>
      <c r="L787" s="26">
        <v>1000</v>
      </c>
      <c r="O787" s="22" t="s">
        <v>12239</v>
      </c>
      <c r="P787" s="22" t="s">
        <v>15205</v>
      </c>
      <c r="Q787" s="22">
        <v>92728</v>
      </c>
      <c r="R787" s="22" t="s">
        <v>12240</v>
      </c>
      <c r="S787" s="22" t="s">
        <v>12241</v>
      </c>
      <c r="T787" s="22">
        <v>11</v>
      </c>
      <c r="U787" s="22">
        <v>0.53</v>
      </c>
      <c r="X787" s="26"/>
      <c r="Y787" s="26"/>
    </row>
    <row r="788" spans="1:25" ht="50" x14ac:dyDescent="0.25">
      <c r="A788" s="21">
        <v>1070</v>
      </c>
      <c r="B788" s="22" t="s">
        <v>15368</v>
      </c>
      <c r="C788" s="22" t="s">
        <v>12236</v>
      </c>
      <c r="D788" s="23">
        <v>133995</v>
      </c>
      <c r="E788" s="24">
        <v>1985</v>
      </c>
      <c r="F788" s="22" t="s">
        <v>12242</v>
      </c>
      <c r="G788" s="23" t="s">
        <v>11155</v>
      </c>
      <c r="H788" s="25" t="s">
        <v>15373</v>
      </c>
      <c r="I788" s="22" t="s">
        <v>15374</v>
      </c>
      <c r="J788" s="22">
        <v>3512</v>
      </c>
      <c r="K788" s="26">
        <f t="shared" si="12"/>
        <v>1000</v>
      </c>
      <c r="L788" s="26">
        <v>1000</v>
      </c>
      <c r="O788" s="22" t="s">
        <v>12239</v>
      </c>
      <c r="P788" s="22" t="s">
        <v>15205</v>
      </c>
      <c r="Q788" s="22">
        <v>92728</v>
      </c>
      <c r="R788" s="22" t="s">
        <v>12240</v>
      </c>
      <c r="S788" s="22" t="s">
        <v>12241</v>
      </c>
      <c r="T788" s="22">
        <v>11</v>
      </c>
      <c r="U788" s="22">
        <v>0.53</v>
      </c>
      <c r="X788" s="26"/>
      <c r="Y788" s="26"/>
    </row>
    <row r="789" spans="1:25" ht="50" x14ac:dyDescent="0.25">
      <c r="A789" s="21">
        <v>1071</v>
      </c>
      <c r="B789" s="22" t="s">
        <v>15368</v>
      </c>
      <c r="C789" s="22" t="s">
        <v>12236</v>
      </c>
      <c r="D789" s="23">
        <v>134619</v>
      </c>
      <c r="E789" s="24">
        <v>1985</v>
      </c>
      <c r="F789" s="22" t="s">
        <v>11156</v>
      </c>
      <c r="G789" s="23" t="s">
        <v>11157</v>
      </c>
      <c r="H789" s="25" t="s">
        <v>15373</v>
      </c>
      <c r="I789" s="22" t="s">
        <v>15374</v>
      </c>
      <c r="J789" s="22">
        <v>3512</v>
      </c>
      <c r="K789" s="26">
        <f t="shared" si="12"/>
        <v>1000</v>
      </c>
      <c r="L789" s="26">
        <v>1000</v>
      </c>
      <c r="O789" s="22" t="s">
        <v>12239</v>
      </c>
      <c r="P789" s="22" t="s">
        <v>15205</v>
      </c>
      <c r="Q789" s="22">
        <v>92728</v>
      </c>
      <c r="R789" s="22" t="s">
        <v>12240</v>
      </c>
      <c r="S789" s="22" t="s">
        <v>12241</v>
      </c>
      <c r="T789" s="22">
        <v>11</v>
      </c>
      <c r="U789" s="22">
        <v>0.53</v>
      </c>
      <c r="X789" s="26"/>
      <c r="Y789" s="26"/>
    </row>
    <row r="790" spans="1:25" ht="50" x14ac:dyDescent="0.25">
      <c r="A790" s="21">
        <v>1072</v>
      </c>
      <c r="B790" s="22" t="s">
        <v>15368</v>
      </c>
      <c r="C790" s="22" t="s">
        <v>12236</v>
      </c>
      <c r="D790" s="23">
        <v>135464</v>
      </c>
      <c r="E790" s="24">
        <v>1985</v>
      </c>
      <c r="F790" s="22" t="s">
        <v>11158</v>
      </c>
      <c r="G790" s="23" t="s">
        <v>11159</v>
      </c>
      <c r="H790" s="25" t="s">
        <v>15373</v>
      </c>
      <c r="I790" s="22" t="s">
        <v>15374</v>
      </c>
      <c r="J790" s="22">
        <v>3512</v>
      </c>
      <c r="K790" s="26">
        <f t="shared" si="12"/>
        <v>1000</v>
      </c>
      <c r="L790" s="26">
        <v>1000</v>
      </c>
      <c r="O790" s="22" t="s">
        <v>12239</v>
      </c>
      <c r="P790" s="22" t="s">
        <v>15205</v>
      </c>
      <c r="Q790" s="22">
        <v>92728</v>
      </c>
      <c r="R790" s="22" t="s">
        <v>12240</v>
      </c>
      <c r="S790" s="22" t="s">
        <v>12241</v>
      </c>
      <c r="T790" s="22">
        <v>11</v>
      </c>
      <c r="U790" s="22">
        <v>0.53</v>
      </c>
      <c r="X790" s="26"/>
      <c r="Y790" s="26"/>
    </row>
    <row r="791" spans="1:25" ht="37.5" x14ac:dyDescent="0.25">
      <c r="A791" s="21">
        <v>1073</v>
      </c>
      <c r="B791" s="22" t="s">
        <v>15368</v>
      </c>
      <c r="C791" s="22" t="s">
        <v>12236</v>
      </c>
      <c r="D791" s="23">
        <v>240523</v>
      </c>
      <c r="E791" s="24">
        <v>1990</v>
      </c>
      <c r="F791" s="22" t="s">
        <v>11160</v>
      </c>
      <c r="G791" s="23" t="s">
        <v>11161</v>
      </c>
      <c r="H791" s="25" t="s">
        <v>15373</v>
      </c>
      <c r="I791" s="22" t="s">
        <v>15374</v>
      </c>
      <c r="J791" s="22" t="s">
        <v>11162</v>
      </c>
      <c r="K791" s="26">
        <f t="shared" si="12"/>
        <v>391.33333333333331</v>
      </c>
      <c r="N791" s="26">
        <v>587</v>
      </c>
      <c r="O791" s="22" t="s">
        <v>11163</v>
      </c>
      <c r="P791" s="22" t="s">
        <v>15537</v>
      </c>
      <c r="Q791" s="22">
        <v>92660</v>
      </c>
      <c r="R791" s="22" t="s">
        <v>12337</v>
      </c>
      <c r="S791" s="22" t="s">
        <v>12338</v>
      </c>
      <c r="T791" s="22">
        <v>8.17</v>
      </c>
      <c r="U791" s="22">
        <v>0.38</v>
      </c>
      <c r="X791" s="26"/>
      <c r="Y791" s="26"/>
    </row>
    <row r="792" spans="1:25" ht="37.5" x14ac:dyDescent="0.25">
      <c r="A792" s="21">
        <v>1074</v>
      </c>
      <c r="B792" s="22" t="s">
        <v>15368</v>
      </c>
      <c r="C792" s="22" t="s">
        <v>12236</v>
      </c>
      <c r="D792" s="23">
        <v>311881</v>
      </c>
      <c r="E792" s="24">
        <v>1996</v>
      </c>
      <c r="F792" s="22" t="s">
        <v>12339</v>
      </c>
      <c r="G792" s="23" t="s">
        <v>12340</v>
      </c>
      <c r="H792" s="25" t="s">
        <v>15373</v>
      </c>
      <c r="I792" s="22" t="s">
        <v>15411</v>
      </c>
      <c r="J792" s="22" t="s">
        <v>12341</v>
      </c>
      <c r="K792" s="26">
        <f t="shared" si="12"/>
        <v>933.33333333333326</v>
      </c>
      <c r="N792" s="26">
        <v>1400</v>
      </c>
      <c r="O792" s="22" t="s">
        <v>16832</v>
      </c>
      <c r="P792" s="22" t="s">
        <v>15205</v>
      </c>
      <c r="Q792" s="22">
        <v>92728</v>
      </c>
      <c r="R792" s="22" t="s">
        <v>12240</v>
      </c>
      <c r="S792" s="22" t="s">
        <v>12241</v>
      </c>
      <c r="T792" s="22">
        <v>8.17</v>
      </c>
      <c r="U792" s="22">
        <v>0.38</v>
      </c>
      <c r="X792" s="26"/>
      <c r="Y792" s="26"/>
    </row>
    <row r="793" spans="1:25" ht="37.5" x14ac:dyDescent="0.25">
      <c r="A793" s="21">
        <v>1075</v>
      </c>
      <c r="B793" s="22" t="s">
        <v>15368</v>
      </c>
      <c r="C793" s="22" t="s">
        <v>12236</v>
      </c>
      <c r="D793" s="23">
        <v>311884</v>
      </c>
      <c r="E793" s="24">
        <v>1996</v>
      </c>
      <c r="F793" s="22" t="s">
        <v>12342</v>
      </c>
      <c r="G793" s="23" t="s">
        <v>12343</v>
      </c>
      <c r="H793" s="25" t="s">
        <v>15373</v>
      </c>
      <c r="I793" s="22" t="s">
        <v>15411</v>
      </c>
      <c r="J793" s="22" t="s">
        <v>12341</v>
      </c>
      <c r="K793" s="26">
        <f t="shared" si="12"/>
        <v>933.33333333333326</v>
      </c>
      <c r="N793" s="26">
        <v>1400</v>
      </c>
      <c r="O793" s="22" t="s">
        <v>16832</v>
      </c>
      <c r="P793" s="22" t="s">
        <v>15205</v>
      </c>
      <c r="Q793" s="22">
        <v>92728</v>
      </c>
      <c r="R793" s="22" t="s">
        <v>12240</v>
      </c>
      <c r="S793" s="22" t="s">
        <v>12241</v>
      </c>
      <c r="T793" s="22">
        <v>8.17</v>
      </c>
      <c r="U793" s="22">
        <v>0.38</v>
      </c>
      <c r="X793" s="26"/>
      <c r="Y793" s="26"/>
    </row>
    <row r="794" spans="1:25" ht="37.5" x14ac:dyDescent="0.25">
      <c r="A794" s="21">
        <v>1076</v>
      </c>
      <c r="B794" s="22" t="s">
        <v>15368</v>
      </c>
      <c r="C794" s="22" t="s">
        <v>12236</v>
      </c>
      <c r="D794" s="23">
        <v>311887</v>
      </c>
      <c r="E794" s="24">
        <v>1996</v>
      </c>
      <c r="F794" s="22" t="s">
        <v>12344</v>
      </c>
      <c r="G794" s="23" t="s">
        <v>12345</v>
      </c>
      <c r="H794" s="25" t="s">
        <v>15373</v>
      </c>
      <c r="I794" s="22" t="s">
        <v>15411</v>
      </c>
      <c r="J794" s="22" t="s">
        <v>12341</v>
      </c>
      <c r="K794" s="26">
        <f t="shared" si="12"/>
        <v>933.33333333333326</v>
      </c>
      <c r="N794" s="26">
        <v>1400</v>
      </c>
      <c r="O794" s="22" t="s">
        <v>16832</v>
      </c>
      <c r="P794" s="22" t="s">
        <v>15205</v>
      </c>
      <c r="Q794" s="22">
        <v>92728</v>
      </c>
      <c r="R794" s="22" t="s">
        <v>12240</v>
      </c>
      <c r="S794" s="22" t="s">
        <v>12241</v>
      </c>
      <c r="T794" s="22">
        <v>8.17</v>
      </c>
      <c r="U794" s="22">
        <v>0.38</v>
      </c>
      <c r="X794" s="26"/>
      <c r="Y794" s="26"/>
    </row>
    <row r="795" spans="1:25" ht="37.5" x14ac:dyDescent="0.25">
      <c r="A795" s="21">
        <v>1077</v>
      </c>
      <c r="B795" s="22" t="s">
        <v>15368</v>
      </c>
      <c r="C795" s="22" t="s">
        <v>12236</v>
      </c>
      <c r="D795" s="23">
        <v>311889</v>
      </c>
      <c r="E795" s="24">
        <v>1996</v>
      </c>
      <c r="F795" s="22" t="s">
        <v>12346</v>
      </c>
      <c r="G795" s="23" t="s">
        <v>12347</v>
      </c>
      <c r="H795" s="25" t="s">
        <v>15373</v>
      </c>
      <c r="I795" s="22" t="s">
        <v>15411</v>
      </c>
      <c r="J795" s="22" t="s">
        <v>12341</v>
      </c>
      <c r="K795" s="26">
        <f t="shared" si="12"/>
        <v>933.33333333333326</v>
      </c>
      <c r="N795" s="26">
        <v>1400</v>
      </c>
      <c r="O795" s="22" t="s">
        <v>16832</v>
      </c>
      <c r="P795" s="22" t="s">
        <v>15205</v>
      </c>
      <c r="Q795" s="22">
        <v>92728</v>
      </c>
      <c r="R795" s="22" t="s">
        <v>12240</v>
      </c>
      <c r="S795" s="22" t="s">
        <v>12241</v>
      </c>
      <c r="T795" s="22">
        <v>8.17</v>
      </c>
      <c r="U795" s="22">
        <v>0.38</v>
      </c>
      <c r="X795" s="26"/>
      <c r="Y795" s="26"/>
    </row>
    <row r="796" spans="1:25" ht="37.5" x14ac:dyDescent="0.25">
      <c r="A796" s="21">
        <v>1078</v>
      </c>
      <c r="B796" s="22" t="s">
        <v>15368</v>
      </c>
      <c r="C796" s="22" t="s">
        <v>12236</v>
      </c>
      <c r="D796" s="23">
        <v>311893</v>
      </c>
      <c r="E796" s="24">
        <v>1996</v>
      </c>
      <c r="F796" s="22" t="s">
        <v>12348</v>
      </c>
      <c r="G796" s="23" t="s">
        <v>12349</v>
      </c>
      <c r="H796" s="25" t="s">
        <v>15373</v>
      </c>
      <c r="I796" s="22" t="s">
        <v>15411</v>
      </c>
      <c r="J796" s="22" t="s">
        <v>12341</v>
      </c>
      <c r="K796" s="26">
        <f t="shared" si="12"/>
        <v>933.33333333333326</v>
      </c>
      <c r="N796" s="26">
        <v>1400</v>
      </c>
      <c r="O796" s="22" t="s">
        <v>16832</v>
      </c>
      <c r="P796" s="22" t="s">
        <v>15205</v>
      </c>
      <c r="Q796" s="22">
        <v>92728</v>
      </c>
      <c r="R796" s="22" t="s">
        <v>12240</v>
      </c>
      <c r="S796" s="22" t="s">
        <v>12241</v>
      </c>
      <c r="T796" s="22">
        <v>8.17</v>
      </c>
      <c r="U796" s="22">
        <v>0.38</v>
      </c>
      <c r="X796" s="26"/>
      <c r="Y796" s="26"/>
    </row>
    <row r="797" spans="1:25" ht="37.5" x14ac:dyDescent="0.25">
      <c r="A797" s="21">
        <v>1079</v>
      </c>
      <c r="B797" s="22" t="s">
        <v>15368</v>
      </c>
      <c r="C797" s="22" t="s">
        <v>12236</v>
      </c>
      <c r="D797" s="23">
        <v>311895</v>
      </c>
      <c r="E797" s="24">
        <v>1996</v>
      </c>
      <c r="F797" s="22" t="s">
        <v>12350</v>
      </c>
      <c r="G797" s="23" t="s">
        <v>12351</v>
      </c>
      <c r="H797" s="25" t="s">
        <v>15373</v>
      </c>
      <c r="I797" s="22" t="s">
        <v>15411</v>
      </c>
      <c r="J797" s="22" t="s">
        <v>15451</v>
      </c>
      <c r="K797" s="26">
        <f t="shared" si="12"/>
        <v>553.33333333333326</v>
      </c>
      <c r="N797" s="26">
        <v>830</v>
      </c>
      <c r="O797" s="22" t="s">
        <v>12352</v>
      </c>
      <c r="P797" s="22" t="s">
        <v>13909</v>
      </c>
      <c r="Q797" s="22">
        <v>92646</v>
      </c>
      <c r="R797" s="22" t="s">
        <v>12337</v>
      </c>
      <c r="S797" s="22" t="s">
        <v>12338</v>
      </c>
      <c r="T797" s="22">
        <v>8.17</v>
      </c>
      <c r="U797" s="22">
        <v>0.38</v>
      </c>
      <c r="X797" s="26"/>
      <c r="Y797" s="26"/>
    </row>
    <row r="798" spans="1:25" ht="37.5" x14ac:dyDescent="0.25">
      <c r="A798" s="21">
        <v>1080</v>
      </c>
      <c r="B798" s="22" t="s">
        <v>15368</v>
      </c>
      <c r="C798" s="22" t="s">
        <v>12236</v>
      </c>
      <c r="D798" s="23">
        <v>346070</v>
      </c>
      <c r="E798" s="24">
        <v>1998</v>
      </c>
      <c r="F798" s="22" t="s">
        <v>12353</v>
      </c>
      <c r="G798" s="23" t="s">
        <v>12354</v>
      </c>
      <c r="H798" s="25" t="s">
        <v>15373</v>
      </c>
      <c r="I798" s="22" t="s">
        <v>15382</v>
      </c>
      <c r="J798" s="22" t="s">
        <v>15723</v>
      </c>
      <c r="K798" s="26">
        <f t="shared" si="12"/>
        <v>1233.3333333333333</v>
      </c>
      <c r="N798" s="26">
        <v>1850</v>
      </c>
      <c r="O798" s="22" t="s">
        <v>12355</v>
      </c>
      <c r="P798" s="22" t="s">
        <v>16853</v>
      </c>
      <c r="Q798" s="22">
        <v>92714</v>
      </c>
      <c r="R798" s="22" t="s">
        <v>12240</v>
      </c>
      <c r="S798" s="22" t="s">
        <v>12338</v>
      </c>
      <c r="T798" s="22">
        <v>8.17</v>
      </c>
      <c r="U798" s="22">
        <v>0.38</v>
      </c>
      <c r="X798" s="26"/>
      <c r="Y798" s="26"/>
    </row>
    <row r="799" spans="1:25" ht="25" x14ac:dyDescent="0.25">
      <c r="A799" s="21">
        <v>1081</v>
      </c>
      <c r="B799" s="22" t="s">
        <v>15368</v>
      </c>
      <c r="C799" s="22" t="s">
        <v>12356</v>
      </c>
      <c r="D799" s="23">
        <v>363158</v>
      </c>
      <c r="E799" s="24">
        <v>1999</v>
      </c>
      <c r="F799" s="22" t="s">
        <v>12357</v>
      </c>
      <c r="G799" s="23" t="s">
        <v>13304</v>
      </c>
      <c r="H799" s="25" t="s">
        <v>15373</v>
      </c>
      <c r="I799" s="22" t="s">
        <v>15382</v>
      </c>
      <c r="J799" s="22" t="s">
        <v>16784</v>
      </c>
      <c r="K799" s="26">
        <f t="shared" si="12"/>
        <v>503.33333333333331</v>
      </c>
      <c r="N799" s="26">
        <v>755</v>
      </c>
      <c r="O799" s="22" t="s">
        <v>12358</v>
      </c>
      <c r="P799" s="22" t="s">
        <v>15611</v>
      </c>
      <c r="Q799" s="22">
        <v>92643</v>
      </c>
      <c r="R799" s="22" t="s">
        <v>12359</v>
      </c>
      <c r="S799" s="22" t="s">
        <v>12360</v>
      </c>
      <c r="T799" s="22">
        <v>8.17</v>
      </c>
      <c r="U799" s="22">
        <v>0.38</v>
      </c>
      <c r="X799" s="26"/>
      <c r="Y799" s="26"/>
    </row>
    <row r="800" spans="1:25" ht="25" x14ac:dyDescent="0.25">
      <c r="A800" s="21">
        <v>1082</v>
      </c>
      <c r="B800" s="22" t="s">
        <v>15368</v>
      </c>
      <c r="C800" s="22" t="s">
        <v>12361</v>
      </c>
      <c r="D800" s="23">
        <v>340755</v>
      </c>
      <c r="E800" s="24">
        <v>1998</v>
      </c>
      <c r="F800" s="22" t="s">
        <v>12362</v>
      </c>
      <c r="G800" s="23" t="s">
        <v>13316</v>
      </c>
      <c r="H800" s="25" t="s">
        <v>15373</v>
      </c>
      <c r="I800" s="22" t="s">
        <v>15382</v>
      </c>
      <c r="J800" s="22" t="s">
        <v>16811</v>
      </c>
      <c r="K800" s="26">
        <f t="shared" si="12"/>
        <v>356.66666666666663</v>
      </c>
      <c r="N800" s="26">
        <v>535</v>
      </c>
      <c r="O800" s="22" t="s">
        <v>12363</v>
      </c>
      <c r="P800" s="22" t="s">
        <v>14020</v>
      </c>
      <c r="Q800" s="22">
        <v>92728</v>
      </c>
      <c r="R800" s="22" t="s">
        <v>12364</v>
      </c>
      <c r="S800" s="22" t="s">
        <v>12365</v>
      </c>
      <c r="T800" s="22">
        <v>6.9</v>
      </c>
      <c r="U800" s="22">
        <v>0.4</v>
      </c>
      <c r="X800" s="26"/>
      <c r="Y800" s="26"/>
    </row>
    <row r="801" spans="1:25" ht="50" x14ac:dyDescent="0.25">
      <c r="A801" s="21">
        <v>1083</v>
      </c>
      <c r="B801" s="22" t="s">
        <v>15368</v>
      </c>
      <c r="C801" s="22" t="s">
        <v>12366</v>
      </c>
      <c r="D801" s="23">
        <v>134616</v>
      </c>
      <c r="E801" s="24">
        <v>1985</v>
      </c>
      <c r="F801" s="22" t="s">
        <v>12367</v>
      </c>
      <c r="G801" s="23" t="s">
        <v>12368</v>
      </c>
      <c r="H801" s="25" t="s">
        <v>15373</v>
      </c>
      <c r="I801" s="22" t="s">
        <v>15374</v>
      </c>
      <c r="J801" s="22">
        <v>3512</v>
      </c>
      <c r="K801" s="26">
        <f t="shared" si="12"/>
        <v>1000</v>
      </c>
      <c r="L801" s="26">
        <v>1000</v>
      </c>
      <c r="O801" s="22" t="s">
        <v>12369</v>
      </c>
      <c r="P801" s="22" t="s">
        <v>13909</v>
      </c>
      <c r="Q801" s="22">
        <v>92646</v>
      </c>
      <c r="R801" s="22" t="s">
        <v>12240</v>
      </c>
      <c r="S801" s="22" t="s">
        <v>12338</v>
      </c>
      <c r="T801" s="22">
        <v>11</v>
      </c>
      <c r="U801" s="22">
        <v>0.53</v>
      </c>
      <c r="X801" s="26"/>
      <c r="Y801" s="26"/>
    </row>
    <row r="802" spans="1:25" ht="50" x14ac:dyDescent="0.25">
      <c r="A802" s="21">
        <v>1084</v>
      </c>
      <c r="B802" s="22" t="s">
        <v>15368</v>
      </c>
      <c r="C802" s="22" t="s">
        <v>12366</v>
      </c>
      <c r="D802" s="23">
        <v>134617</v>
      </c>
      <c r="E802" s="24">
        <v>1985</v>
      </c>
      <c r="F802" s="22" t="s">
        <v>12370</v>
      </c>
      <c r="G802" s="23" t="s">
        <v>12371</v>
      </c>
      <c r="H802" s="25" t="s">
        <v>15373</v>
      </c>
      <c r="I802" s="22" t="s">
        <v>15374</v>
      </c>
      <c r="J802" s="22">
        <v>3512</v>
      </c>
      <c r="K802" s="26">
        <f t="shared" si="12"/>
        <v>1000</v>
      </c>
      <c r="L802" s="26">
        <v>1000</v>
      </c>
      <c r="O802" s="22" t="s">
        <v>12369</v>
      </c>
      <c r="P802" s="22" t="s">
        <v>13909</v>
      </c>
      <c r="Q802" s="22">
        <v>92646</v>
      </c>
      <c r="R802" s="22" t="s">
        <v>12240</v>
      </c>
      <c r="S802" s="22" t="s">
        <v>12338</v>
      </c>
      <c r="T802" s="22">
        <v>11</v>
      </c>
      <c r="U802" s="22">
        <v>0.53</v>
      </c>
      <c r="X802" s="26"/>
      <c r="Y802" s="26"/>
    </row>
    <row r="803" spans="1:25" ht="50" x14ac:dyDescent="0.25">
      <c r="A803" s="21">
        <v>1085</v>
      </c>
      <c r="B803" s="22" t="s">
        <v>15368</v>
      </c>
      <c r="C803" s="22" t="s">
        <v>12366</v>
      </c>
      <c r="D803" s="23">
        <v>134622</v>
      </c>
      <c r="E803" s="24">
        <v>1985</v>
      </c>
      <c r="F803" s="22" t="s">
        <v>12372</v>
      </c>
      <c r="G803" s="23" t="s">
        <v>12373</v>
      </c>
      <c r="H803" s="25" t="s">
        <v>15373</v>
      </c>
      <c r="I803" s="22" t="s">
        <v>15374</v>
      </c>
      <c r="J803" s="22">
        <v>3512</v>
      </c>
      <c r="K803" s="26">
        <f t="shared" si="12"/>
        <v>1000</v>
      </c>
      <c r="L803" s="26">
        <v>1000</v>
      </c>
      <c r="O803" s="22" t="s">
        <v>12369</v>
      </c>
      <c r="P803" s="22" t="s">
        <v>13909</v>
      </c>
      <c r="Q803" s="22">
        <v>92646</v>
      </c>
      <c r="R803" s="22" t="s">
        <v>12240</v>
      </c>
      <c r="S803" s="22" t="s">
        <v>12338</v>
      </c>
      <c r="T803" s="22">
        <v>11</v>
      </c>
      <c r="U803" s="22">
        <v>0.53</v>
      </c>
      <c r="X803" s="26"/>
      <c r="Y803" s="26"/>
    </row>
    <row r="804" spans="1:25" ht="37.5" x14ac:dyDescent="0.25">
      <c r="A804" s="21">
        <v>1086</v>
      </c>
      <c r="B804" s="22" t="s">
        <v>15368</v>
      </c>
      <c r="C804" s="22" t="s">
        <v>12366</v>
      </c>
      <c r="D804" s="23">
        <v>357971</v>
      </c>
      <c r="E804" s="24">
        <v>1999</v>
      </c>
      <c r="F804" s="22" t="s">
        <v>12374</v>
      </c>
      <c r="G804" s="23" t="s">
        <v>12375</v>
      </c>
      <c r="H804" s="25" t="s">
        <v>15373</v>
      </c>
      <c r="I804" s="22" t="s">
        <v>15411</v>
      </c>
      <c r="J804" s="22" t="s">
        <v>12376</v>
      </c>
      <c r="K804" s="26">
        <f t="shared" si="12"/>
        <v>1956.6666666666665</v>
      </c>
      <c r="N804" s="26">
        <v>2935</v>
      </c>
      <c r="O804" s="22" t="s">
        <v>12369</v>
      </c>
      <c r="P804" s="22" t="s">
        <v>13909</v>
      </c>
      <c r="Q804" s="22">
        <v>92646</v>
      </c>
      <c r="R804" s="22" t="s">
        <v>12240</v>
      </c>
      <c r="S804" s="22" t="s">
        <v>12338</v>
      </c>
      <c r="T804" s="22">
        <v>8.17</v>
      </c>
      <c r="U804" s="22">
        <v>0.38</v>
      </c>
      <c r="X804" s="26"/>
      <c r="Y804" s="26"/>
    </row>
    <row r="805" spans="1:25" ht="37.5" x14ac:dyDescent="0.25">
      <c r="A805" s="21">
        <v>1087</v>
      </c>
      <c r="B805" s="22" t="s">
        <v>15368</v>
      </c>
      <c r="C805" s="22" t="s">
        <v>12366</v>
      </c>
      <c r="D805" s="23">
        <v>357977</v>
      </c>
      <c r="E805" s="24">
        <v>1999</v>
      </c>
      <c r="F805" s="22" t="s">
        <v>12377</v>
      </c>
      <c r="G805" s="23" t="s">
        <v>12375</v>
      </c>
      <c r="H805" s="25" t="s">
        <v>15373</v>
      </c>
      <c r="I805" s="22" t="s">
        <v>15411</v>
      </c>
      <c r="J805" s="22" t="s">
        <v>12376</v>
      </c>
      <c r="K805" s="26">
        <f t="shared" si="12"/>
        <v>1956.6666666666665</v>
      </c>
      <c r="N805" s="26">
        <v>2935</v>
      </c>
      <c r="O805" s="22" t="s">
        <v>12369</v>
      </c>
      <c r="P805" s="22" t="s">
        <v>13909</v>
      </c>
      <c r="Q805" s="22">
        <v>92646</v>
      </c>
      <c r="R805" s="22" t="s">
        <v>12240</v>
      </c>
      <c r="S805" s="22" t="s">
        <v>12338</v>
      </c>
      <c r="T805" s="22">
        <v>8.17</v>
      </c>
      <c r="U805" s="22">
        <v>0.38</v>
      </c>
      <c r="X805" s="26"/>
      <c r="Y805" s="26"/>
    </row>
    <row r="806" spans="1:25" ht="37.5" x14ac:dyDescent="0.25">
      <c r="A806" s="21">
        <v>1088</v>
      </c>
      <c r="B806" s="22" t="s">
        <v>15368</v>
      </c>
      <c r="C806" s="22" t="s">
        <v>12378</v>
      </c>
      <c r="D806" s="23">
        <v>362367</v>
      </c>
      <c r="E806" s="24">
        <v>1999</v>
      </c>
      <c r="F806" s="22" t="s">
        <v>12379</v>
      </c>
      <c r="G806" s="23" t="s">
        <v>12380</v>
      </c>
      <c r="H806" s="25" t="s">
        <v>15373</v>
      </c>
      <c r="I806" s="22" t="s">
        <v>15382</v>
      </c>
      <c r="J806" s="22" t="s">
        <v>13380</v>
      </c>
      <c r="K806" s="26">
        <f t="shared" si="12"/>
        <v>456.66666666666663</v>
      </c>
      <c r="N806" s="26">
        <v>685</v>
      </c>
      <c r="O806" s="22" t="s">
        <v>12381</v>
      </c>
      <c r="P806" s="22" t="s">
        <v>15376</v>
      </c>
      <c r="Q806" s="22">
        <v>90017</v>
      </c>
      <c r="R806" s="22" t="s">
        <v>12382</v>
      </c>
      <c r="S806" s="22" t="s">
        <v>12383</v>
      </c>
      <c r="T806" s="22">
        <v>6.9</v>
      </c>
      <c r="U806" s="22">
        <v>0.4</v>
      </c>
      <c r="X806" s="26"/>
      <c r="Y806" s="26"/>
    </row>
    <row r="807" spans="1:25" ht="25" x14ac:dyDescent="0.25">
      <c r="A807" s="21">
        <v>1089</v>
      </c>
      <c r="B807" s="22" t="s">
        <v>15368</v>
      </c>
      <c r="C807" s="22" t="s">
        <v>12384</v>
      </c>
      <c r="D807" s="23">
        <v>320905</v>
      </c>
      <c r="E807" s="24">
        <v>1996</v>
      </c>
      <c r="F807" s="22" t="s">
        <v>12385</v>
      </c>
      <c r="G807" s="23" t="s">
        <v>12386</v>
      </c>
      <c r="H807" s="25" t="s">
        <v>15373</v>
      </c>
      <c r="I807" s="22" t="s">
        <v>15411</v>
      </c>
      <c r="J807" s="22" t="s">
        <v>14979</v>
      </c>
      <c r="K807" s="26">
        <f t="shared" si="12"/>
        <v>357.33333333333331</v>
      </c>
      <c r="N807" s="26">
        <v>536</v>
      </c>
      <c r="O807" s="22" t="s">
        <v>12321</v>
      </c>
      <c r="P807" s="22" t="s">
        <v>15376</v>
      </c>
      <c r="Q807" s="22">
        <v>90012</v>
      </c>
      <c r="R807" s="22" t="s">
        <v>12322</v>
      </c>
      <c r="S807" s="22" t="s">
        <v>12323</v>
      </c>
      <c r="T807" s="22">
        <v>6.9</v>
      </c>
      <c r="U807" s="22">
        <v>0.4</v>
      </c>
      <c r="X807" s="26"/>
      <c r="Y807" s="26"/>
    </row>
    <row r="808" spans="1:25" ht="25" x14ac:dyDescent="0.25">
      <c r="A808" s="21">
        <v>1094</v>
      </c>
      <c r="B808" s="22" t="s">
        <v>15368</v>
      </c>
      <c r="C808" s="22" t="s">
        <v>12324</v>
      </c>
      <c r="D808" s="23">
        <v>125372</v>
      </c>
      <c r="E808" s="24">
        <v>1984</v>
      </c>
      <c r="F808" s="22" t="s">
        <v>12329</v>
      </c>
      <c r="G808" s="23" t="s">
        <v>12330</v>
      </c>
      <c r="H808" s="25" t="s">
        <v>15373</v>
      </c>
      <c r="I808" s="22" t="s">
        <v>15374</v>
      </c>
      <c r="J808" s="22">
        <v>3508</v>
      </c>
      <c r="K808" s="26">
        <f t="shared" si="12"/>
        <v>750</v>
      </c>
      <c r="L808" s="26">
        <v>750</v>
      </c>
      <c r="O808" s="22" t="s">
        <v>12331</v>
      </c>
      <c r="P808" s="22" t="s">
        <v>15376</v>
      </c>
      <c r="Q808" s="22">
        <v>90026</v>
      </c>
      <c r="R808" s="22" t="s">
        <v>12332</v>
      </c>
      <c r="S808" s="22" t="s">
        <v>12333</v>
      </c>
      <c r="T808" s="22">
        <v>11</v>
      </c>
      <c r="U808" s="22">
        <v>0.53</v>
      </c>
      <c r="X808" s="26"/>
      <c r="Y808" s="26"/>
    </row>
    <row r="809" spans="1:25" ht="25" x14ac:dyDescent="0.25">
      <c r="A809" s="21">
        <v>1097</v>
      </c>
      <c r="B809" s="22" t="s">
        <v>15368</v>
      </c>
      <c r="C809" s="22" t="s">
        <v>12324</v>
      </c>
      <c r="D809" s="23">
        <v>192419</v>
      </c>
      <c r="E809" s="24">
        <v>1989</v>
      </c>
      <c r="F809" s="22" t="s">
        <v>12334</v>
      </c>
      <c r="G809" s="23" t="s">
        <v>12335</v>
      </c>
      <c r="H809" s="25" t="s">
        <v>15373</v>
      </c>
      <c r="I809" s="22" t="s">
        <v>15411</v>
      </c>
      <c r="J809" s="22" t="s">
        <v>16276</v>
      </c>
      <c r="K809" s="26">
        <f t="shared" si="12"/>
        <v>360</v>
      </c>
      <c r="N809" s="26">
        <v>540</v>
      </c>
      <c r="O809" s="22" t="s">
        <v>12336</v>
      </c>
      <c r="P809" s="22" t="s">
        <v>16794</v>
      </c>
      <c r="Q809" s="22">
        <v>92504</v>
      </c>
      <c r="R809" s="22" t="s">
        <v>13458</v>
      </c>
      <c r="S809" s="22" t="s">
        <v>13459</v>
      </c>
      <c r="T809" s="22">
        <v>8.17</v>
      </c>
      <c r="U809" s="22">
        <v>0.38</v>
      </c>
      <c r="X809" s="26"/>
      <c r="Y809" s="26"/>
    </row>
    <row r="810" spans="1:25" ht="37.5" x14ac:dyDescent="0.25">
      <c r="A810" s="21">
        <v>1098</v>
      </c>
      <c r="B810" s="22" t="s">
        <v>15368</v>
      </c>
      <c r="C810" s="22" t="s">
        <v>12324</v>
      </c>
      <c r="D810" s="23">
        <v>227398</v>
      </c>
      <c r="E810" s="24">
        <v>1990</v>
      </c>
      <c r="F810" s="22" t="s">
        <v>13460</v>
      </c>
      <c r="G810" s="23" t="s">
        <v>13461</v>
      </c>
      <c r="H810" s="25" t="s">
        <v>15373</v>
      </c>
      <c r="I810" s="22" t="s">
        <v>15411</v>
      </c>
      <c r="J810" s="22" t="s">
        <v>15744</v>
      </c>
      <c r="K810" s="26">
        <f t="shared" si="12"/>
        <v>821.33333333333326</v>
      </c>
      <c r="N810" s="26">
        <v>1232</v>
      </c>
      <c r="O810" s="22" t="s">
        <v>13462</v>
      </c>
      <c r="P810" s="22" t="s">
        <v>13463</v>
      </c>
      <c r="Q810" s="22">
        <v>92630</v>
      </c>
      <c r="R810" s="22" t="s">
        <v>13464</v>
      </c>
      <c r="S810" s="22" t="s">
        <v>15966</v>
      </c>
      <c r="T810" s="22">
        <v>8.17</v>
      </c>
      <c r="U810" s="22">
        <v>0.38</v>
      </c>
      <c r="X810" s="26"/>
      <c r="Y810" s="26"/>
    </row>
    <row r="811" spans="1:25" ht="37.5" x14ac:dyDescent="0.25">
      <c r="A811" s="21">
        <v>1099</v>
      </c>
      <c r="B811" s="22" t="s">
        <v>15368</v>
      </c>
      <c r="C811" s="22" t="s">
        <v>12324</v>
      </c>
      <c r="D811" s="23">
        <v>227400</v>
      </c>
      <c r="E811" s="24">
        <v>1990</v>
      </c>
      <c r="F811" s="22" t="s">
        <v>13465</v>
      </c>
      <c r="G811" s="23" t="s">
        <v>13461</v>
      </c>
      <c r="H811" s="25" t="s">
        <v>15373</v>
      </c>
      <c r="I811" s="22" t="s">
        <v>15411</v>
      </c>
      <c r="J811" s="22" t="s">
        <v>15744</v>
      </c>
      <c r="K811" s="26">
        <f t="shared" si="12"/>
        <v>821.33333333333326</v>
      </c>
      <c r="N811" s="26">
        <v>1232</v>
      </c>
      <c r="O811" s="22" t="s">
        <v>13466</v>
      </c>
      <c r="P811" s="22" t="s">
        <v>16313</v>
      </c>
      <c r="Q811" s="22">
        <v>90731</v>
      </c>
      <c r="R811" s="22" t="s">
        <v>13467</v>
      </c>
      <c r="S811" s="22" t="s">
        <v>15966</v>
      </c>
      <c r="T811" s="22">
        <v>8.17</v>
      </c>
      <c r="U811" s="22">
        <v>0.38</v>
      </c>
      <c r="X811" s="26"/>
      <c r="Y811" s="26"/>
    </row>
    <row r="812" spans="1:25" ht="37.5" x14ac:dyDescent="0.25">
      <c r="A812" s="21">
        <v>1100</v>
      </c>
      <c r="B812" s="22" t="s">
        <v>15368</v>
      </c>
      <c r="C812" s="22" t="s">
        <v>12324</v>
      </c>
      <c r="D812" s="23">
        <v>227401</v>
      </c>
      <c r="E812" s="24">
        <v>1990</v>
      </c>
      <c r="F812" s="22" t="s">
        <v>13468</v>
      </c>
      <c r="G812" s="23" t="s">
        <v>13469</v>
      </c>
      <c r="H812" s="25" t="s">
        <v>15373</v>
      </c>
      <c r="I812" s="22" t="s">
        <v>15411</v>
      </c>
      <c r="J812" s="22" t="s">
        <v>15542</v>
      </c>
      <c r="K812" s="26">
        <f t="shared" si="12"/>
        <v>631.33333333333326</v>
      </c>
      <c r="N812" s="26">
        <v>947</v>
      </c>
      <c r="O812" s="22" t="s">
        <v>13470</v>
      </c>
      <c r="P812" s="22" t="s">
        <v>13471</v>
      </c>
      <c r="Q812" s="22">
        <v>92675</v>
      </c>
      <c r="R812" s="22" t="s">
        <v>13464</v>
      </c>
      <c r="S812" s="22" t="s">
        <v>15966</v>
      </c>
      <c r="T812" s="22">
        <v>8.17</v>
      </c>
      <c r="U812" s="22">
        <v>0.38</v>
      </c>
      <c r="X812" s="26"/>
      <c r="Y812" s="26"/>
    </row>
    <row r="813" spans="1:25" ht="37.5" x14ac:dyDescent="0.25">
      <c r="A813" s="21">
        <v>1101</v>
      </c>
      <c r="B813" s="22" t="s">
        <v>15368</v>
      </c>
      <c r="C813" s="22" t="s">
        <v>12324</v>
      </c>
      <c r="D813" s="23">
        <v>227402</v>
      </c>
      <c r="E813" s="24">
        <v>1990</v>
      </c>
      <c r="F813" s="22" t="s">
        <v>13472</v>
      </c>
      <c r="G813" s="23" t="s">
        <v>13461</v>
      </c>
      <c r="H813" s="25" t="s">
        <v>15373</v>
      </c>
      <c r="I813" s="22" t="s">
        <v>15411</v>
      </c>
      <c r="J813" s="22" t="s">
        <v>15744</v>
      </c>
      <c r="K813" s="26">
        <f t="shared" si="12"/>
        <v>821.33333333333326</v>
      </c>
      <c r="N813" s="26">
        <v>1232</v>
      </c>
      <c r="O813" s="22" t="s">
        <v>13473</v>
      </c>
      <c r="P813" s="22" t="s">
        <v>15712</v>
      </c>
      <c r="Q813" s="22">
        <v>90501</v>
      </c>
      <c r="R813" s="22" t="s">
        <v>13467</v>
      </c>
      <c r="S813" s="22" t="s">
        <v>13474</v>
      </c>
      <c r="T813" s="22">
        <v>8.17</v>
      </c>
      <c r="U813" s="22">
        <v>0.38</v>
      </c>
      <c r="X813" s="26"/>
      <c r="Y813" s="26"/>
    </row>
    <row r="814" spans="1:25" ht="37.5" x14ac:dyDescent="0.25">
      <c r="A814" s="21">
        <v>1102</v>
      </c>
      <c r="B814" s="22" t="s">
        <v>15368</v>
      </c>
      <c r="C814" s="22" t="s">
        <v>12324</v>
      </c>
      <c r="D814" s="23">
        <v>228873</v>
      </c>
      <c r="E814" s="24">
        <v>1990</v>
      </c>
      <c r="F814" s="22" t="s">
        <v>13475</v>
      </c>
      <c r="G814" s="23" t="s">
        <v>13476</v>
      </c>
      <c r="H814" s="25" t="s">
        <v>15373</v>
      </c>
      <c r="I814" s="22" t="s">
        <v>15411</v>
      </c>
      <c r="J814" s="22" t="s">
        <v>15846</v>
      </c>
      <c r="K814" s="26">
        <f t="shared" si="12"/>
        <v>553.33333333333326</v>
      </c>
      <c r="N814" s="26">
        <v>830</v>
      </c>
      <c r="O814" s="22" t="s">
        <v>13477</v>
      </c>
      <c r="P814" s="22" t="s">
        <v>13478</v>
      </c>
      <c r="Q814" s="22">
        <v>91321</v>
      </c>
      <c r="R814" s="22" t="s">
        <v>13479</v>
      </c>
      <c r="S814" s="22" t="s">
        <v>13480</v>
      </c>
      <c r="T814" s="22">
        <v>8.17</v>
      </c>
      <c r="U814" s="22">
        <v>0.38</v>
      </c>
      <c r="X814" s="26"/>
      <c r="Y814" s="26"/>
    </row>
    <row r="815" spans="1:25" ht="37.5" x14ac:dyDescent="0.25">
      <c r="A815" s="21">
        <v>1105</v>
      </c>
      <c r="B815" s="22" t="s">
        <v>15368</v>
      </c>
      <c r="C815" s="22" t="s">
        <v>12324</v>
      </c>
      <c r="D815" s="23">
        <v>240963</v>
      </c>
      <c r="E815" s="24">
        <v>1990</v>
      </c>
      <c r="F815" s="22" t="s">
        <v>13482</v>
      </c>
      <c r="G815" s="23" t="s">
        <v>13483</v>
      </c>
      <c r="H815" s="25" t="s">
        <v>15373</v>
      </c>
      <c r="I815" s="22" t="s">
        <v>15411</v>
      </c>
      <c r="J815" s="22" t="s">
        <v>13484</v>
      </c>
      <c r="K815" s="26">
        <f t="shared" si="12"/>
        <v>1486.6666666666665</v>
      </c>
      <c r="N815" s="26">
        <v>2230</v>
      </c>
      <c r="O815" s="22" t="s">
        <v>13485</v>
      </c>
      <c r="P815" s="22" t="s">
        <v>16786</v>
      </c>
      <c r="Q815" s="22">
        <v>92805</v>
      </c>
      <c r="R815" s="22" t="s">
        <v>16887</v>
      </c>
      <c r="S815" s="22" t="s">
        <v>16888</v>
      </c>
      <c r="T815" s="22">
        <v>8.17</v>
      </c>
      <c r="U815" s="22">
        <v>0.38</v>
      </c>
      <c r="X815" s="26"/>
      <c r="Y815" s="26"/>
    </row>
    <row r="816" spans="1:25" ht="37.5" x14ac:dyDescent="0.25">
      <c r="A816" s="21">
        <v>1106</v>
      </c>
      <c r="B816" s="22" t="s">
        <v>15368</v>
      </c>
      <c r="C816" s="22" t="s">
        <v>12324</v>
      </c>
      <c r="D816" s="23">
        <v>240964</v>
      </c>
      <c r="E816" s="24">
        <v>1990</v>
      </c>
      <c r="F816" s="22" t="s">
        <v>13486</v>
      </c>
      <c r="G816" s="23" t="s">
        <v>13487</v>
      </c>
      <c r="H816" s="25" t="s">
        <v>15373</v>
      </c>
      <c r="I816" s="22" t="s">
        <v>15411</v>
      </c>
      <c r="J816" s="22" t="s">
        <v>13484</v>
      </c>
      <c r="K816" s="26">
        <f t="shared" si="12"/>
        <v>1486.6666666666665</v>
      </c>
      <c r="N816" s="26">
        <v>2230</v>
      </c>
      <c r="O816" s="22" t="s">
        <v>13485</v>
      </c>
      <c r="P816" s="22" t="s">
        <v>16786</v>
      </c>
      <c r="Q816" s="22">
        <v>92805</v>
      </c>
      <c r="R816" s="22" t="s">
        <v>16887</v>
      </c>
      <c r="S816" s="22" t="s">
        <v>16888</v>
      </c>
      <c r="T816" s="22">
        <v>8.17</v>
      </c>
      <c r="U816" s="22">
        <v>0.38</v>
      </c>
      <c r="X816" s="26"/>
      <c r="Y816" s="26"/>
    </row>
    <row r="817" spans="1:25" ht="37.5" x14ac:dyDescent="0.25">
      <c r="A817" s="21">
        <v>1107</v>
      </c>
      <c r="B817" s="22" t="s">
        <v>15368</v>
      </c>
      <c r="C817" s="22" t="s">
        <v>12324</v>
      </c>
      <c r="D817" s="23">
        <v>240965</v>
      </c>
      <c r="E817" s="24">
        <v>1990</v>
      </c>
      <c r="F817" s="22" t="s">
        <v>13488</v>
      </c>
      <c r="G817" s="23" t="s">
        <v>13489</v>
      </c>
      <c r="H817" s="25" t="s">
        <v>15373</v>
      </c>
      <c r="I817" s="22" t="s">
        <v>15411</v>
      </c>
      <c r="J817" s="22" t="s">
        <v>13484</v>
      </c>
      <c r="K817" s="26">
        <f t="shared" si="12"/>
        <v>1486.6666666666665</v>
      </c>
      <c r="N817" s="26">
        <v>2230</v>
      </c>
      <c r="O817" s="22" t="s">
        <v>13485</v>
      </c>
      <c r="P817" s="22" t="s">
        <v>16786</v>
      </c>
      <c r="Q817" s="22">
        <v>92805</v>
      </c>
      <c r="R817" s="22" t="s">
        <v>16887</v>
      </c>
      <c r="S817" s="22" t="s">
        <v>16888</v>
      </c>
      <c r="T817" s="22">
        <v>8.17</v>
      </c>
      <c r="U817" s="22">
        <v>0.38</v>
      </c>
      <c r="X817" s="26"/>
      <c r="Y817" s="26"/>
    </row>
    <row r="818" spans="1:25" ht="37.5" x14ac:dyDescent="0.25">
      <c r="A818" s="21">
        <v>1108</v>
      </c>
      <c r="B818" s="22" t="s">
        <v>15368</v>
      </c>
      <c r="C818" s="22" t="s">
        <v>12324</v>
      </c>
      <c r="D818" s="23">
        <v>240966</v>
      </c>
      <c r="E818" s="24">
        <v>1990</v>
      </c>
      <c r="F818" s="22" t="s">
        <v>13490</v>
      </c>
      <c r="G818" s="23" t="s">
        <v>13489</v>
      </c>
      <c r="H818" s="25" t="s">
        <v>15373</v>
      </c>
      <c r="I818" s="22" t="s">
        <v>15411</v>
      </c>
      <c r="J818" s="22" t="s">
        <v>13484</v>
      </c>
      <c r="K818" s="26">
        <f t="shared" si="12"/>
        <v>1486.6666666666665</v>
      </c>
      <c r="N818" s="26">
        <v>2230</v>
      </c>
      <c r="O818" s="22" t="s">
        <v>13485</v>
      </c>
      <c r="P818" s="22" t="s">
        <v>16786</v>
      </c>
      <c r="Q818" s="22">
        <v>92805</v>
      </c>
      <c r="R818" s="22" t="s">
        <v>16887</v>
      </c>
      <c r="S818" s="22" t="s">
        <v>16888</v>
      </c>
      <c r="T818" s="22">
        <v>8.17</v>
      </c>
      <c r="U818" s="22">
        <v>0.38</v>
      </c>
      <c r="X818" s="26"/>
      <c r="Y818" s="26"/>
    </row>
    <row r="819" spans="1:25" ht="37.5" x14ac:dyDescent="0.25">
      <c r="A819" s="21">
        <v>1109</v>
      </c>
      <c r="B819" s="22" t="s">
        <v>15368</v>
      </c>
      <c r="C819" s="22" t="s">
        <v>12324</v>
      </c>
      <c r="D819" s="23">
        <v>243635</v>
      </c>
      <c r="E819" s="24">
        <v>1991</v>
      </c>
      <c r="F819" s="22" t="s">
        <v>13491</v>
      </c>
      <c r="G819" s="23" t="s">
        <v>13492</v>
      </c>
      <c r="H819" s="25" t="s">
        <v>15373</v>
      </c>
      <c r="I819" s="22" t="s">
        <v>15374</v>
      </c>
      <c r="J819" s="22" t="s">
        <v>16899</v>
      </c>
      <c r="K819" s="26">
        <f t="shared" si="12"/>
        <v>593.33333333333326</v>
      </c>
      <c r="N819" s="26">
        <v>890</v>
      </c>
      <c r="O819" s="22" t="s">
        <v>13493</v>
      </c>
      <c r="P819" s="22" t="s">
        <v>15376</v>
      </c>
      <c r="Q819" s="22">
        <v>90017</v>
      </c>
      <c r="R819" s="22" t="s">
        <v>13494</v>
      </c>
      <c r="S819" s="22" t="s">
        <v>13495</v>
      </c>
      <c r="T819" s="22">
        <v>8.17</v>
      </c>
      <c r="U819" s="22">
        <v>0.38</v>
      </c>
      <c r="X819" s="26"/>
      <c r="Y819" s="26"/>
    </row>
    <row r="820" spans="1:25" ht="37.5" x14ac:dyDescent="0.25">
      <c r="A820" s="21">
        <v>1110</v>
      </c>
      <c r="B820" s="22" t="s">
        <v>15368</v>
      </c>
      <c r="C820" s="22" t="s">
        <v>12324</v>
      </c>
      <c r="D820" s="23">
        <v>243766</v>
      </c>
      <c r="E820" s="24">
        <v>1991</v>
      </c>
      <c r="F820" s="22" t="s">
        <v>13496</v>
      </c>
      <c r="G820" s="23" t="s">
        <v>13497</v>
      </c>
      <c r="H820" s="25" t="s">
        <v>15373</v>
      </c>
      <c r="I820" s="22" t="s">
        <v>15374</v>
      </c>
      <c r="J820" s="22" t="s">
        <v>13123</v>
      </c>
      <c r="K820" s="26">
        <f t="shared" si="12"/>
        <v>1435.3333333333333</v>
      </c>
      <c r="N820" s="26">
        <v>2153</v>
      </c>
      <c r="O820" s="22" t="s">
        <v>13498</v>
      </c>
      <c r="P820" s="22" t="s">
        <v>15703</v>
      </c>
      <c r="Q820" s="22">
        <v>90245</v>
      </c>
      <c r="R820" s="22" t="s">
        <v>13467</v>
      </c>
      <c r="S820" s="22" t="s">
        <v>13474</v>
      </c>
      <c r="T820" s="22">
        <v>8.17</v>
      </c>
      <c r="U820" s="22">
        <v>0.38</v>
      </c>
      <c r="X820" s="26"/>
      <c r="Y820" s="26"/>
    </row>
    <row r="821" spans="1:25" ht="25" x14ac:dyDescent="0.25">
      <c r="A821" s="21">
        <v>1111</v>
      </c>
      <c r="B821" s="22" t="s">
        <v>15368</v>
      </c>
      <c r="C821" s="22" t="s">
        <v>12324</v>
      </c>
      <c r="D821" s="23">
        <v>245181</v>
      </c>
      <c r="E821" s="24">
        <v>1991</v>
      </c>
      <c r="F821" s="22" t="s">
        <v>13499</v>
      </c>
      <c r="G821" s="23" t="s">
        <v>13500</v>
      </c>
      <c r="H821" s="25" t="s">
        <v>15373</v>
      </c>
      <c r="I821" s="22" t="s">
        <v>15374</v>
      </c>
      <c r="J821" s="22" t="s">
        <v>13123</v>
      </c>
      <c r="K821" s="26">
        <f t="shared" si="12"/>
        <v>1680</v>
      </c>
      <c r="N821" s="26">
        <v>2520</v>
      </c>
      <c r="O821" s="22" t="s">
        <v>13501</v>
      </c>
      <c r="P821" s="22" t="s">
        <v>13502</v>
      </c>
      <c r="Q821" s="22">
        <v>91303</v>
      </c>
      <c r="R821" s="22" t="s">
        <v>13503</v>
      </c>
      <c r="S821" s="22" t="s">
        <v>13504</v>
      </c>
      <c r="T821" s="22">
        <v>8.17</v>
      </c>
      <c r="U821" s="22">
        <v>0.38</v>
      </c>
      <c r="X821" s="26"/>
      <c r="Y821" s="26"/>
    </row>
    <row r="822" spans="1:25" ht="25" x14ac:dyDescent="0.25">
      <c r="A822" s="21">
        <v>1113</v>
      </c>
      <c r="B822" s="22" t="s">
        <v>15368</v>
      </c>
      <c r="C822" s="22" t="s">
        <v>12324</v>
      </c>
      <c r="D822" s="23">
        <v>248815</v>
      </c>
      <c r="E822" s="24">
        <v>1991</v>
      </c>
      <c r="F822" s="22" t="s">
        <v>13505</v>
      </c>
      <c r="G822" s="23" t="s">
        <v>13506</v>
      </c>
      <c r="H822" s="25" t="s">
        <v>15373</v>
      </c>
      <c r="I822" s="22" t="s">
        <v>15411</v>
      </c>
      <c r="J822" s="22" t="s">
        <v>15451</v>
      </c>
      <c r="K822" s="26">
        <f t="shared" si="12"/>
        <v>553.33333333333326</v>
      </c>
      <c r="N822" s="26">
        <v>830</v>
      </c>
      <c r="O822" s="22" t="s">
        <v>12447</v>
      </c>
      <c r="P822" s="22" t="s">
        <v>12272</v>
      </c>
      <c r="Q822" s="22">
        <v>91350</v>
      </c>
      <c r="R822" s="22" t="s">
        <v>12448</v>
      </c>
      <c r="S822" s="22" t="s">
        <v>12449</v>
      </c>
      <c r="T822" s="22">
        <v>8.17</v>
      </c>
      <c r="U822" s="22">
        <v>0.38</v>
      </c>
      <c r="X822" s="26"/>
      <c r="Y822" s="26"/>
    </row>
    <row r="823" spans="1:25" ht="37.5" x14ac:dyDescent="0.25">
      <c r="A823" s="21">
        <v>1115</v>
      </c>
      <c r="B823" s="22" t="s">
        <v>15368</v>
      </c>
      <c r="C823" s="22" t="s">
        <v>12324</v>
      </c>
      <c r="D823" s="23">
        <v>253141</v>
      </c>
      <c r="E823" s="24">
        <v>1991</v>
      </c>
      <c r="F823" s="22" t="s">
        <v>12450</v>
      </c>
      <c r="G823" s="23" t="s">
        <v>12451</v>
      </c>
      <c r="H823" s="25" t="s">
        <v>15373</v>
      </c>
      <c r="I823" s="22" t="s">
        <v>15411</v>
      </c>
      <c r="J823" s="22" t="s">
        <v>15542</v>
      </c>
      <c r="K823" s="26">
        <f t="shared" si="12"/>
        <v>780</v>
      </c>
      <c r="N823" s="26">
        <v>1170</v>
      </c>
      <c r="O823" s="22" t="s">
        <v>12452</v>
      </c>
      <c r="P823" s="22" t="s">
        <v>16853</v>
      </c>
      <c r="Q823" s="22">
        <v>92714</v>
      </c>
      <c r="R823" s="22" t="s">
        <v>12453</v>
      </c>
      <c r="S823" s="22" t="s">
        <v>12454</v>
      </c>
      <c r="T823" s="22">
        <v>8.17</v>
      </c>
      <c r="U823" s="22">
        <v>0.38</v>
      </c>
      <c r="X823" s="26"/>
      <c r="Y823" s="26"/>
    </row>
    <row r="824" spans="1:25" ht="37.5" x14ac:dyDescent="0.25">
      <c r="A824" s="21">
        <v>1116</v>
      </c>
      <c r="B824" s="22" t="s">
        <v>15368</v>
      </c>
      <c r="C824" s="22" t="s">
        <v>12324</v>
      </c>
      <c r="D824" s="23">
        <v>257777</v>
      </c>
      <c r="E824" s="24">
        <v>1991</v>
      </c>
      <c r="F824" s="22" t="s">
        <v>12455</v>
      </c>
      <c r="G824" s="23" t="s">
        <v>12456</v>
      </c>
      <c r="H824" s="25" t="s">
        <v>15373</v>
      </c>
      <c r="I824" s="22" t="s">
        <v>15411</v>
      </c>
      <c r="J824" s="22" t="s">
        <v>12457</v>
      </c>
      <c r="K824" s="26">
        <f t="shared" si="12"/>
        <v>446.66666666666663</v>
      </c>
      <c r="N824" s="26">
        <v>670</v>
      </c>
      <c r="O824" s="22" t="s">
        <v>12458</v>
      </c>
      <c r="P824" s="22" t="s">
        <v>15864</v>
      </c>
      <c r="Q824" s="22">
        <v>92335</v>
      </c>
      <c r="R824" s="22" t="s">
        <v>12453</v>
      </c>
      <c r="S824" s="22" t="s">
        <v>12454</v>
      </c>
      <c r="T824" s="22">
        <v>8.17</v>
      </c>
      <c r="U824" s="22">
        <v>0.38</v>
      </c>
      <c r="X824" s="26"/>
      <c r="Y824" s="26"/>
    </row>
    <row r="825" spans="1:25" ht="37.5" x14ac:dyDescent="0.25">
      <c r="A825" s="21">
        <v>1117</v>
      </c>
      <c r="B825" s="22" t="s">
        <v>15368</v>
      </c>
      <c r="C825" s="22" t="s">
        <v>12324</v>
      </c>
      <c r="D825" s="23">
        <v>258176</v>
      </c>
      <c r="E825" s="24">
        <v>1991</v>
      </c>
      <c r="F825" s="22" t="s">
        <v>12459</v>
      </c>
      <c r="G825" s="23" t="s">
        <v>12460</v>
      </c>
      <c r="H825" s="25" t="s">
        <v>15373</v>
      </c>
      <c r="I825" s="22" t="s">
        <v>15709</v>
      </c>
      <c r="J825" s="22" t="s">
        <v>12461</v>
      </c>
      <c r="K825" s="26">
        <f t="shared" si="12"/>
        <v>853.33333333333326</v>
      </c>
      <c r="N825" s="26">
        <v>1280</v>
      </c>
      <c r="O825" s="22" t="s">
        <v>12462</v>
      </c>
      <c r="P825" s="22" t="s">
        <v>16794</v>
      </c>
      <c r="Q825" s="22">
        <v>94107</v>
      </c>
      <c r="R825" s="22" t="s">
        <v>12453</v>
      </c>
      <c r="S825" s="22" t="s">
        <v>12454</v>
      </c>
      <c r="T825" s="22">
        <v>8.17</v>
      </c>
      <c r="U825" s="22">
        <v>0.38</v>
      </c>
      <c r="X825" s="26"/>
      <c r="Y825" s="26"/>
    </row>
    <row r="826" spans="1:25" ht="37.5" x14ac:dyDescent="0.25">
      <c r="A826" s="21">
        <v>1119</v>
      </c>
      <c r="B826" s="22" t="s">
        <v>15368</v>
      </c>
      <c r="C826" s="22" t="s">
        <v>12324</v>
      </c>
      <c r="D826" s="23">
        <v>260323</v>
      </c>
      <c r="E826" s="24">
        <v>1991</v>
      </c>
      <c r="F826" s="22" t="s">
        <v>12463</v>
      </c>
      <c r="G826" s="23" t="s">
        <v>12464</v>
      </c>
      <c r="H826" s="25" t="s">
        <v>15373</v>
      </c>
      <c r="I826" s="22" t="s">
        <v>15411</v>
      </c>
      <c r="J826" s="22" t="s">
        <v>16331</v>
      </c>
      <c r="K826" s="26">
        <f t="shared" si="12"/>
        <v>730</v>
      </c>
      <c r="N826" s="26">
        <v>1095</v>
      </c>
      <c r="O826" s="22" t="s">
        <v>12465</v>
      </c>
      <c r="P826" s="22" t="s">
        <v>14362</v>
      </c>
      <c r="Q826" s="22">
        <v>90744</v>
      </c>
      <c r="R826" s="22" t="s">
        <v>13467</v>
      </c>
      <c r="S826" s="22" t="s">
        <v>12466</v>
      </c>
      <c r="T826" s="22">
        <v>8.17</v>
      </c>
      <c r="U826" s="22">
        <v>0.38</v>
      </c>
      <c r="X826" s="26"/>
      <c r="Y826" s="26"/>
    </row>
    <row r="827" spans="1:25" ht="37.5" x14ac:dyDescent="0.25">
      <c r="A827" s="21">
        <v>1120</v>
      </c>
      <c r="B827" s="22" t="s">
        <v>15368</v>
      </c>
      <c r="C827" s="22" t="s">
        <v>12324</v>
      </c>
      <c r="D827" s="23">
        <v>261124</v>
      </c>
      <c r="E827" s="24">
        <v>1992</v>
      </c>
      <c r="F827" s="22" t="s">
        <v>12467</v>
      </c>
      <c r="G827" s="23" t="s">
        <v>12468</v>
      </c>
      <c r="H827" s="25" t="s">
        <v>15373</v>
      </c>
      <c r="I827" s="22" t="s">
        <v>15374</v>
      </c>
      <c r="J827" s="22" t="s">
        <v>15731</v>
      </c>
      <c r="K827" s="26">
        <f t="shared" si="12"/>
        <v>1198.6666666666665</v>
      </c>
      <c r="N827" s="26">
        <v>1798</v>
      </c>
      <c r="O827" s="22" t="s">
        <v>12469</v>
      </c>
      <c r="P827" s="22" t="s">
        <v>15795</v>
      </c>
      <c r="Q827" s="22">
        <v>91413</v>
      </c>
      <c r="R827" s="22" t="s">
        <v>14852</v>
      </c>
      <c r="S827" s="22" t="s">
        <v>12470</v>
      </c>
      <c r="T827" s="22">
        <v>8.17</v>
      </c>
      <c r="U827" s="22">
        <v>0.38</v>
      </c>
      <c r="X827" s="26"/>
      <c r="Y827" s="26"/>
    </row>
    <row r="828" spans="1:25" ht="37.5" x14ac:dyDescent="0.25">
      <c r="A828" s="21">
        <v>1121</v>
      </c>
      <c r="B828" s="22" t="s">
        <v>15368</v>
      </c>
      <c r="C828" s="22" t="s">
        <v>12324</v>
      </c>
      <c r="D828" s="23">
        <v>261648</v>
      </c>
      <c r="E828" s="24">
        <v>1992</v>
      </c>
      <c r="F828" s="22" t="s">
        <v>12471</v>
      </c>
      <c r="G828" s="23" t="s">
        <v>12472</v>
      </c>
      <c r="H828" s="25" t="s">
        <v>15373</v>
      </c>
      <c r="I828" s="22" t="s">
        <v>15411</v>
      </c>
      <c r="J828" s="22" t="s">
        <v>16254</v>
      </c>
      <c r="K828" s="26">
        <f t="shared" si="12"/>
        <v>424.66666666666663</v>
      </c>
      <c r="N828" s="26">
        <v>637</v>
      </c>
      <c r="O828" s="22" t="s">
        <v>12473</v>
      </c>
      <c r="P828" s="22" t="s">
        <v>12474</v>
      </c>
      <c r="Q828" s="22">
        <v>92376</v>
      </c>
      <c r="R828" s="22" t="s">
        <v>12453</v>
      </c>
      <c r="S828" s="22" t="s">
        <v>12454</v>
      </c>
      <c r="T828" s="22">
        <v>8.17</v>
      </c>
      <c r="U828" s="22">
        <v>0.38</v>
      </c>
      <c r="X828" s="26"/>
      <c r="Y828" s="26"/>
    </row>
    <row r="829" spans="1:25" ht="37.5" x14ac:dyDescent="0.25">
      <c r="A829" s="21">
        <v>1122</v>
      </c>
      <c r="B829" s="22" t="s">
        <v>15368</v>
      </c>
      <c r="C829" s="22" t="s">
        <v>12324</v>
      </c>
      <c r="D829" s="23">
        <v>264342</v>
      </c>
      <c r="E829" s="24">
        <v>1992</v>
      </c>
      <c r="F829" s="22" t="s">
        <v>12475</v>
      </c>
      <c r="G829" s="23" t="s">
        <v>12476</v>
      </c>
      <c r="H829" s="25" t="s">
        <v>15373</v>
      </c>
      <c r="I829" s="22" t="s">
        <v>15374</v>
      </c>
      <c r="J829" s="22">
        <v>3508</v>
      </c>
      <c r="K829" s="26">
        <f t="shared" si="12"/>
        <v>732</v>
      </c>
      <c r="N829" s="26">
        <v>1098</v>
      </c>
      <c r="O829" s="22" t="s">
        <v>12477</v>
      </c>
      <c r="P829" s="22" t="s">
        <v>16786</v>
      </c>
      <c r="Q829" s="22">
        <v>92807</v>
      </c>
      <c r="R829" s="22" t="s">
        <v>12478</v>
      </c>
      <c r="S829" s="22" t="s">
        <v>12479</v>
      </c>
      <c r="T829" s="22">
        <v>8.17</v>
      </c>
      <c r="U829" s="22">
        <v>0.38</v>
      </c>
      <c r="X829" s="26"/>
      <c r="Y829" s="26"/>
    </row>
    <row r="830" spans="1:25" ht="25" x14ac:dyDescent="0.25">
      <c r="A830" s="21">
        <v>1123</v>
      </c>
      <c r="B830" s="22" t="s">
        <v>15368</v>
      </c>
      <c r="C830" s="22" t="s">
        <v>12324</v>
      </c>
      <c r="D830" s="23">
        <v>266132</v>
      </c>
      <c r="E830" s="24">
        <v>1992</v>
      </c>
      <c r="F830" s="22" t="s">
        <v>12480</v>
      </c>
      <c r="G830" s="23" t="s">
        <v>12481</v>
      </c>
      <c r="H830" s="25" t="s">
        <v>15373</v>
      </c>
      <c r="I830" s="22" t="s">
        <v>15411</v>
      </c>
      <c r="J830" s="22" t="s">
        <v>14158</v>
      </c>
      <c r="K830" s="26">
        <f t="shared" si="12"/>
        <v>640</v>
      </c>
      <c r="N830" s="26">
        <v>960</v>
      </c>
      <c r="O830" s="22" t="s">
        <v>12482</v>
      </c>
      <c r="P830" s="22" t="s">
        <v>12483</v>
      </c>
      <c r="Q830" s="22">
        <v>91770</v>
      </c>
      <c r="R830" s="22" t="s">
        <v>12484</v>
      </c>
      <c r="S830" s="22" t="s">
        <v>12485</v>
      </c>
      <c r="T830" s="22">
        <v>8.17</v>
      </c>
      <c r="U830" s="22">
        <v>0.38</v>
      </c>
      <c r="X830" s="26"/>
      <c r="Y830" s="26"/>
    </row>
    <row r="831" spans="1:25" ht="25" x14ac:dyDescent="0.25">
      <c r="A831" s="21">
        <v>1125</v>
      </c>
      <c r="B831" s="22" t="s">
        <v>15368</v>
      </c>
      <c r="C831" s="22" t="s">
        <v>12324</v>
      </c>
      <c r="D831" s="23">
        <v>266390</v>
      </c>
      <c r="E831" s="24">
        <v>1992</v>
      </c>
      <c r="F831" s="22" t="s">
        <v>12488</v>
      </c>
      <c r="G831" s="23" t="s">
        <v>12489</v>
      </c>
      <c r="H831" s="25" t="s">
        <v>15373</v>
      </c>
      <c r="I831" s="22" t="s">
        <v>15411</v>
      </c>
      <c r="J831" s="22" t="s">
        <v>12457</v>
      </c>
      <c r="K831" s="26">
        <f t="shared" si="12"/>
        <v>553.33333333333326</v>
      </c>
      <c r="N831" s="26">
        <v>830</v>
      </c>
      <c r="O831" s="22" t="s">
        <v>12490</v>
      </c>
      <c r="P831" s="22" t="s">
        <v>16853</v>
      </c>
      <c r="Q831" s="22">
        <v>92815</v>
      </c>
      <c r="R831" s="22" t="s">
        <v>12491</v>
      </c>
      <c r="S831" s="22" t="s">
        <v>12492</v>
      </c>
      <c r="T831" s="22">
        <v>8.17</v>
      </c>
      <c r="U831" s="22">
        <v>0.38</v>
      </c>
      <c r="X831" s="26"/>
      <c r="Y831" s="26"/>
    </row>
    <row r="832" spans="1:25" ht="37.5" x14ac:dyDescent="0.25">
      <c r="A832" s="21">
        <v>1126</v>
      </c>
      <c r="B832" s="22" t="s">
        <v>15368</v>
      </c>
      <c r="C832" s="22" t="s">
        <v>12324</v>
      </c>
      <c r="D832" s="23">
        <v>271483</v>
      </c>
      <c r="E832" s="24">
        <v>1992</v>
      </c>
      <c r="F832" s="22" t="s">
        <v>12493</v>
      </c>
      <c r="G832" s="23" t="s">
        <v>12494</v>
      </c>
      <c r="H832" s="25" t="s">
        <v>15373</v>
      </c>
      <c r="I832" s="22" t="s">
        <v>15374</v>
      </c>
      <c r="J832" s="22" t="s">
        <v>15731</v>
      </c>
      <c r="K832" s="26">
        <f t="shared" si="12"/>
        <v>895.33333333333326</v>
      </c>
      <c r="N832" s="26">
        <v>1343</v>
      </c>
      <c r="O832" s="22" t="s">
        <v>12495</v>
      </c>
      <c r="P832" s="22" t="s">
        <v>14711</v>
      </c>
      <c r="Q832" s="22">
        <v>91405</v>
      </c>
      <c r="R832" s="22" t="s">
        <v>12496</v>
      </c>
      <c r="S832" s="22" t="s">
        <v>13504</v>
      </c>
      <c r="T832" s="22">
        <v>8.17</v>
      </c>
      <c r="U832" s="22">
        <v>0.38</v>
      </c>
      <c r="X832" s="26"/>
      <c r="Y832" s="26"/>
    </row>
    <row r="833" spans="1:25" ht="37.5" x14ac:dyDescent="0.25">
      <c r="A833" s="21">
        <v>1128</v>
      </c>
      <c r="B833" s="22" t="s">
        <v>15368</v>
      </c>
      <c r="C833" s="22" t="s">
        <v>12324</v>
      </c>
      <c r="D833" s="23">
        <v>272717</v>
      </c>
      <c r="E833" s="24">
        <v>1992</v>
      </c>
      <c r="F833" s="22" t="s">
        <v>12497</v>
      </c>
      <c r="G833" s="23" t="s">
        <v>12498</v>
      </c>
      <c r="H833" s="25" t="s">
        <v>15373</v>
      </c>
      <c r="I833" s="22" t="s">
        <v>15374</v>
      </c>
      <c r="J833" s="22" t="s">
        <v>13123</v>
      </c>
      <c r="K833" s="26">
        <f t="shared" si="12"/>
        <v>1898</v>
      </c>
      <c r="N833" s="26">
        <v>2847</v>
      </c>
      <c r="O833" s="22" t="s">
        <v>12499</v>
      </c>
      <c r="P833" s="22" t="s">
        <v>15376</v>
      </c>
      <c r="Q833" s="22">
        <v>90013</v>
      </c>
      <c r="R833" s="22" t="s">
        <v>12500</v>
      </c>
      <c r="S833" s="22" t="s">
        <v>12501</v>
      </c>
      <c r="T833" s="22">
        <v>8.17</v>
      </c>
      <c r="U833" s="22">
        <v>0.38</v>
      </c>
      <c r="X833" s="26"/>
      <c r="Y833" s="26"/>
    </row>
    <row r="834" spans="1:25" ht="37.5" x14ac:dyDescent="0.25">
      <c r="A834" s="21">
        <v>1130</v>
      </c>
      <c r="B834" s="22" t="s">
        <v>15368</v>
      </c>
      <c r="C834" s="22" t="s">
        <v>12324</v>
      </c>
      <c r="D834" s="23">
        <v>278247</v>
      </c>
      <c r="E834" s="24">
        <v>1993</v>
      </c>
      <c r="F834" s="22" t="s">
        <v>12503</v>
      </c>
      <c r="G834" s="23" t="s">
        <v>12504</v>
      </c>
      <c r="H834" s="25" t="s">
        <v>15373</v>
      </c>
      <c r="I834" s="22" t="s">
        <v>15374</v>
      </c>
      <c r="J834" s="22" t="s">
        <v>15191</v>
      </c>
      <c r="K834" s="26">
        <f t="shared" ref="K834:K897" si="13">L834+M834*(2/3)+N834*(2/3)</f>
        <v>732</v>
      </c>
      <c r="N834" s="26">
        <v>1098</v>
      </c>
      <c r="O834" s="22" t="s">
        <v>12505</v>
      </c>
      <c r="P834" s="22" t="s">
        <v>15376</v>
      </c>
      <c r="Q834" s="22">
        <v>91105</v>
      </c>
      <c r="R834" s="22" t="s">
        <v>13467</v>
      </c>
      <c r="S834" s="22" t="s">
        <v>13474</v>
      </c>
      <c r="T834" s="22">
        <v>8.17</v>
      </c>
      <c r="U834" s="22">
        <v>0.38</v>
      </c>
      <c r="X834" s="26"/>
      <c r="Y834" s="26"/>
    </row>
    <row r="835" spans="1:25" ht="37.5" x14ac:dyDescent="0.25">
      <c r="A835" s="21">
        <v>1131</v>
      </c>
      <c r="B835" s="22" t="s">
        <v>15368</v>
      </c>
      <c r="C835" s="22" t="s">
        <v>12324</v>
      </c>
      <c r="D835" s="23">
        <v>278927</v>
      </c>
      <c r="E835" s="24">
        <v>1993</v>
      </c>
      <c r="F835" s="22" t="s">
        <v>12506</v>
      </c>
      <c r="G835" s="23" t="s">
        <v>12507</v>
      </c>
      <c r="H835" s="25" t="s">
        <v>15373</v>
      </c>
      <c r="I835" s="22" t="s">
        <v>15411</v>
      </c>
      <c r="J835" s="22" t="s">
        <v>12508</v>
      </c>
      <c r="K835" s="26">
        <f t="shared" si="13"/>
        <v>500</v>
      </c>
      <c r="N835" s="26">
        <v>750</v>
      </c>
      <c r="O835" s="22" t="s">
        <v>12509</v>
      </c>
      <c r="P835" s="22" t="s">
        <v>16863</v>
      </c>
      <c r="Q835" s="22">
        <v>92680</v>
      </c>
      <c r="R835" s="22" t="s">
        <v>12510</v>
      </c>
      <c r="S835" s="22" t="s">
        <v>12511</v>
      </c>
      <c r="T835" s="22">
        <v>8.17</v>
      </c>
      <c r="U835" s="22">
        <v>0.38</v>
      </c>
      <c r="X835" s="26"/>
      <c r="Y835" s="26"/>
    </row>
    <row r="836" spans="1:25" ht="37.5" x14ac:dyDescent="0.25">
      <c r="A836" s="21">
        <v>1132</v>
      </c>
      <c r="B836" s="22" t="s">
        <v>15368</v>
      </c>
      <c r="C836" s="22" t="s">
        <v>12324</v>
      </c>
      <c r="D836" s="23">
        <v>278928</v>
      </c>
      <c r="E836" s="24">
        <v>1993</v>
      </c>
      <c r="F836" s="22" t="s">
        <v>12512</v>
      </c>
      <c r="G836" s="23" t="s">
        <v>12513</v>
      </c>
      <c r="H836" s="25" t="s">
        <v>15373</v>
      </c>
      <c r="I836" s="22" t="s">
        <v>15411</v>
      </c>
      <c r="J836" s="22" t="s">
        <v>16331</v>
      </c>
      <c r="K836" s="26">
        <f t="shared" si="13"/>
        <v>730</v>
      </c>
      <c r="N836" s="26">
        <v>1095</v>
      </c>
      <c r="O836" s="22" t="s">
        <v>12514</v>
      </c>
      <c r="P836" s="22" t="s">
        <v>12515</v>
      </c>
      <c r="Q836" s="22">
        <v>92625</v>
      </c>
      <c r="R836" s="22" t="s">
        <v>12516</v>
      </c>
      <c r="S836" s="22" t="s">
        <v>12511</v>
      </c>
      <c r="T836" s="22">
        <v>8.17</v>
      </c>
      <c r="U836" s="22">
        <v>0.38</v>
      </c>
      <c r="X836" s="26"/>
      <c r="Y836" s="26"/>
    </row>
    <row r="837" spans="1:25" ht="37.5" x14ac:dyDescent="0.25">
      <c r="A837" s="21">
        <v>1133</v>
      </c>
      <c r="B837" s="22" t="s">
        <v>15368</v>
      </c>
      <c r="C837" s="22" t="s">
        <v>12324</v>
      </c>
      <c r="D837" s="23">
        <v>280890</v>
      </c>
      <c r="E837" s="24">
        <v>1993</v>
      </c>
      <c r="F837" s="22" t="s">
        <v>12517</v>
      </c>
      <c r="G837" s="23" t="s">
        <v>12518</v>
      </c>
      <c r="H837" s="25" t="s">
        <v>15373</v>
      </c>
      <c r="I837" s="22" t="s">
        <v>15411</v>
      </c>
      <c r="J837" s="22" t="s">
        <v>12508</v>
      </c>
      <c r="K837" s="26">
        <f t="shared" si="13"/>
        <v>560</v>
      </c>
      <c r="L837" s="26">
        <v>560</v>
      </c>
      <c r="O837" s="22" t="s">
        <v>12519</v>
      </c>
      <c r="P837" s="22" t="s">
        <v>15212</v>
      </c>
      <c r="Q837" s="22">
        <v>94105</v>
      </c>
      <c r="R837" s="22" t="s">
        <v>12520</v>
      </c>
      <c r="S837" s="22" t="s">
        <v>12521</v>
      </c>
      <c r="T837" s="22">
        <v>8.17</v>
      </c>
      <c r="U837" s="22">
        <v>0.38</v>
      </c>
      <c r="X837" s="26"/>
      <c r="Y837" s="26"/>
    </row>
    <row r="838" spans="1:25" ht="37.5" x14ac:dyDescent="0.25">
      <c r="A838" s="21">
        <v>1134</v>
      </c>
      <c r="B838" s="22" t="s">
        <v>15368</v>
      </c>
      <c r="C838" s="22" t="s">
        <v>12324</v>
      </c>
      <c r="D838" s="23">
        <v>280891</v>
      </c>
      <c r="E838" s="24">
        <v>1993</v>
      </c>
      <c r="F838" s="22" t="s">
        <v>12522</v>
      </c>
      <c r="G838" s="23" t="s">
        <v>12518</v>
      </c>
      <c r="H838" s="25" t="s">
        <v>15373</v>
      </c>
      <c r="I838" s="22" t="s">
        <v>15411</v>
      </c>
      <c r="J838" s="22" t="s">
        <v>12508</v>
      </c>
      <c r="K838" s="26">
        <f t="shared" si="13"/>
        <v>560</v>
      </c>
      <c r="L838" s="26">
        <v>560</v>
      </c>
      <c r="O838" s="22" t="s">
        <v>12523</v>
      </c>
      <c r="P838" s="22" t="s">
        <v>16471</v>
      </c>
      <c r="Q838" s="22">
        <v>92324</v>
      </c>
      <c r="R838" s="22" t="s">
        <v>12524</v>
      </c>
      <c r="S838" s="22" t="s">
        <v>12525</v>
      </c>
      <c r="T838" s="22">
        <v>8.17</v>
      </c>
      <c r="U838" s="22">
        <v>0.38</v>
      </c>
      <c r="X838" s="26"/>
      <c r="Y838" s="26"/>
    </row>
    <row r="839" spans="1:25" ht="37.5" x14ac:dyDescent="0.25">
      <c r="A839" s="21">
        <v>1135</v>
      </c>
      <c r="B839" s="22" t="s">
        <v>15368</v>
      </c>
      <c r="C839" s="22" t="s">
        <v>12324</v>
      </c>
      <c r="D839" s="23">
        <v>280892</v>
      </c>
      <c r="E839" s="24">
        <v>1993</v>
      </c>
      <c r="F839" s="22" t="s">
        <v>12526</v>
      </c>
      <c r="G839" s="23" t="s">
        <v>12527</v>
      </c>
      <c r="H839" s="25" t="s">
        <v>15373</v>
      </c>
      <c r="I839" s="22" t="s">
        <v>15411</v>
      </c>
      <c r="J839" s="22" t="s">
        <v>15744</v>
      </c>
      <c r="K839" s="26">
        <f t="shared" si="13"/>
        <v>900</v>
      </c>
      <c r="L839" s="26">
        <v>900</v>
      </c>
      <c r="O839" s="22" t="s">
        <v>12528</v>
      </c>
      <c r="P839" s="22" t="s">
        <v>16295</v>
      </c>
      <c r="Q839" s="22">
        <v>92632</v>
      </c>
      <c r="R839" s="22" t="s">
        <v>12520</v>
      </c>
      <c r="S839" s="22" t="s">
        <v>12521</v>
      </c>
      <c r="T839" s="22">
        <v>8.17</v>
      </c>
      <c r="U839" s="22">
        <v>0.38</v>
      </c>
      <c r="X839" s="26"/>
      <c r="Y839" s="26"/>
    </row>
    <row r="840" spans="1:25" ht="37.5" x14ac:dyDescent="0.25">
      <c r="A840" s="21">
        <v>1136</v>
      </c>
      <c r="B840" s="22" t="s">
        <v>15368</v>
      </c>
      <c r="C840" s="22" t="s">
        <v>12324</v>
      </c>
      <c r="D840" s="23">
        <v>280894</v>
      </c>
      <c r="E840" s="24">
        <v>1993</v>
      </c>
      <c r="F840" s="22" t="s">
        <v>12529</v>
      </c>
      <c r="G840" s="23" t="s">
        <v>12527</v>
      </c>
      <c r="H840" s="25" t="s">
        <v>15373</v>
      </c>
      <c r="I840" s="22" t="s">
        <v>15411</v>
      </c>
      <c r="J840" s="22" t="s">
        <v>15744</v>
      </c>
      <c r="K840" s="26">
        <f t="shared" si="13"/>
        <v>900</v>
      </c>
      <c r="L840" s="26">
        <v>900</v>
      </c>
      <c r="O840" s="22" t="s">
        <v>12530</v>
      </c>
      <c r="P840" s="22" t="s">
        <v>16786</v>
      </c>
      <c r="Q840" s="22">
        <v>92804</v>
      </c>
      <c r="R840" s="22" t="s">
        <v>12520</v>
      </c>
      <c r="S840" s="22" t="s">
        <v>12521</v>
      </c>
      <c r="T840" s="22">
        <v>8.17</v>
      </c>
      <c r="U840" s="22">
        <v>0.38</v>
      </c>
      <c r="X840" s="26"/>
      <c r="Y840" s="26"/>
    </row>
    <row r="841" spans="1:25" ht="37.5" x14ac:dyDescent="0.25">
      <c r="A841" s="21">
        <v>1137</v>
      </c>
      <c r="B841" s="22" t="s">
        <v>15368</v>
      </c>
      <c r="C841" s="22" t="s">
        <v>12324</v>
      </c>
      <c r="D841" s="23">
        <v>281709</v>
      </c>
      <c r="E841" s="24">
        <v>1993</v>
      </c>
      <c r="F841" s="22" t="s">
        <v>12531</v>
      </c>
      <c r="G841" s="23" t="s">
        <v>12532</v>
      </c>
      <c r="H841" s="25" t="s">
        <v>15373</v>
      </c>
      <c r="I841" s="22" t="s">
        <v>15411</v>
      </c>
      <c r="J841" s="22" t="s">
        <v>15744</v>
      </c>
      <c r="K841" s="26">
        <f t="shared" si="13"/>
        <v>821.33333333333326</v>
      </c>
      <c r="N841" s="26">
        <v>1232</v>
      </c>
      <c r="O841" s="22" t="s">
        <v>12533</v>
      </c>
      <c r="P841" s="22" t="s">
        <v>15212</v>
      </c>
      <c r="Q841" s="22">
        <v>92666</v>
      </c>
      <c r="R841" s="22" t="s">
        <v>12520</v>
      </c>
      <c r="S841" s="22" t="s">
        <v>12521</v>
      </c>
      <c r="T841" s="22">
        <v>8.17</v>
      </c>
      <c r="U841" s="22">
        <v>0.38</v>
      </c>
      <c r="X841" s="26"/>
      <c r="Y841" s="26"/>
    </row>
    <row r="842" spans="1:25" ht="37.5" x14ac:dyDescent="0.25">
      <c r="A842" s="21">
        <v>1138</v>
      </c>
      <c r="B842" s="22" t="s">
        <v>15368</v>
      </c>
      <c r="C842" s="22" t="s">
        <v>12324</v>
      </c>
      <c r="D842" s="23">
        <v>283796</v>
      </c>
      <c r="E842" s="24">
        <v>1993</v>
      </c>
      <c r="F842" s="22" t="s">
        <v>12534</v>
      </c>
      <c r="G842" s="23" t="s">
        <v>12535</v>
      </c>
      <c r="H842" s="25" t="s">
        <v>15373</v>
      </c>
      <c r="I842" s="22" t="s">
        <v>15374</v>
      </c>
      <c r="J842" s="22" t="s">
        <v>13123</v>
      </c>
      <c r="K842" s="26">
        <f t="shared" si="13"/>
        <v>1445.3333333333333</v>
      </c>
      <c r="N842" s="26">
        <v>2168</v>
      </c>
      <c r="O842" s="22" t="s">
        <v>12536</v>
      </c>
      <c r="P842" s="22" t="s">
        <v>16813</v>
      </c>
      <c r="Q842" s="22">
        <v>90210</v>
      </c>
      <c r="R842" s="22" t="s">
        <v>12537</v>
      </c>
      <c r="S842" s="22" t="s">
        <v>12538</v>
      </c>
      <c r="T842" s="22">
        <v>8.17</v>
      </c>
      <c r="U842" s="22">
        <v>0.38</v>
      </c>
      <c r="X842" s="26"/>
      <c r="Y842" s="26"/>
    </row>
    <row r="843" spans="1:25" ht="37.5" x14ac:dyDescent="0.25">
      <c r="A843" s="21">
        <v>1139</v>
      </c>
      <c r="B843" s="22" t="s">
        <v>15368</v>
      </c>
      <c r="C843" s="22" t="s">
        <v>12324</v>
      </c>
      <c r="D843" s="23">
        <v>287085</v>
      </c>
      <c r="E843" s="24">
        <v>1993</v>
      </c>
      <c r="F843" s="22" t="s">
        <v>12539</v>
      </c>
      <c r="G843" s="23" t="s">
        <v>12540</v>
      </c>
      <c r="H843" s="25" t="s">
        <v>15373</v>
      </c>
      <c r="I843" s="22" t="s">
        <v>15374</v>
      </c>
      <c r="J843" s="22" t="s">
        <v>13123</v>
      </c>
      <c r="K843" s="26">
        <f t="shared" si="13"/>
        <v>1898</v>
      </c>
      <c r="N843" s="26">
        <v>2847</v>
      </c>
      <c r="O843" s="22" t="s">
        <v>12541</v>
      </c>
      <c r="P843" s="22" t="s">
        <v>15376</v>
      </c>
      <c r="Q843" s="22">
        <v>90020</v>
      </c>
      <c r="R843" s="22" t="s">
        <v>12500</v>
      </c>
      <c r="S843" s="22" t="s">
        <v>12501</v>
      </c>
      <c r="T843" s="22">
        <v>8.17</v>
      </c>
      <c r="U843" s="22">
        <v>0.38</v>
      </c>
      <c r="X843" s="26"/>
      <c r="Y843" s="26"/>
    </row>
    <row r="844" spans="1:25" ht="37.5" x14ac:dyDescent="0.25">
      <c r="A844" s="21">
        <v>1140</v>
      </c>
      <c r="B844" s="22" t="s">
        <v>15368</v>
      </c>
      <c r="C844" s="22" t="s">
        <v>12324</v>
      </c>
      <c r="D844" s="23">
        <v>287086</v>
      </c>
      <c r="E844" s="24">
        <v>1993</v>
      </c>
      <c r="F844" s="22" t="s">
        <v>12542</v>
      </c>
      <c r="G844" s="23" t="s">
        <v>12543</v>
      </c>
      <c r="H844" s="25" t="s">
        <v>15373</v>
      </c>
      <c r="I844" s="22" t="s">
        <v>15374</v>
      </c>
      <c r="J844" s="22" t="s">
        <v>13123</v>
      </c>
      <c r="K844" s="26">
        <f t="shared" si="13"/>
        <v>1898</v>
      </c>
      <c r="N844" s="26">
        <v>2847</v>
      </c>
      <c r="O844" s="22" t="s">
        <v>12541</v>
      </c>
      <c r="P844" s="22" t="s">
        <v>15376</v>
      </c>
      <c r="Q844" s="22">
        <v>90020</v>
      </c>
      <c r="R844" s="22" t="s">
        <v>12500</v>
      </c>
      <c r="S844" s="22" t="s">
        <v>12501</v>
      </c>
      <c r="T844" s="22">
        <v>8.17</v>
      </c>
      <c r="U844" s="22">
        <v>0.38</v>
      </c>
      <c r="X844" s="26"/>
      <c r="Y844" s="26"/>
    </row>
    <row r="845" spans="1:25" ht="37.5" x14ac:dyDescent="0.25">
      <c r="A845" s="21">
        <v>1141</v>
      </c>
      <c r="B845" s="22" t="s">
        <v>15368</v>
      </c>
      <c r="C845" s="22" t="s">
        <v>12324</v>
      </c>
      <c r="D845" s="23">
        <v>287087</v>
      </c>
      <c r="E845" s="24">
        <v>1993</v>
      </c>
      <c r="F845" s="22" t="s">
        <v>12544</v>
      </c>
      <c r="G845" s="23" t="s">
        <v>12545</v>
      </c>
      <c r="H845" s="25" t="s">
        <v>15373</v>
      </c>
      <c r="I845" s="22" t="s">
        <v>15374</v>
      </c>
      <c r="J845" s="22" t="s">
        <v>13123</v>
      </c>
      <c r="K845" s="26">
        <f t="shared" si="13"/>
        <v>1898</v>
      </c>
      <c r="N845" s="26">
        <v>2847</v>
      </c>
      <c r="O845" s="22" t="s">
        <v>12541</v>
      </c>
      <c r="P845" s="22" t="s">
        <v>15376</v>
      </c>
      <c r="Q845" s="22">
        <v>90020</v>
      </c>
      <c r="R845" s="22" t="s">
        <v>12500</v>
      </c>
      <c r="S845" s="22" t="s">
        <v>12501</v>
      </c>
      <c r="T845" s="22">
        <v>8.17</v>
      </c>
      <c r="U845" s="22">
        <v>0.38</v>
      </c>
      <c r="X845" s="26"/>
      <c r="Y845" s="26"/>
    </row>
    <row r="846" spans="1:25" ht="37.5" x14ac:dyDescent="0.25">
      <c r="A846" s="21">
        <v>1142</v>
      </c>
      <c r="B846" s="22" t="s">
        <v>15368</v>
      </c>
      <c r="C846" s="22" t="s">
        <v>12324</v>
      </c>
      <c r="D846" s="23">
        <v>287088</v>
      </c>
      <c r="E846" s="24">
        <v>1993</v>
      </c>
      <c r="F846" s="22" t="s">
        <v>12546</v>
      </c>
      <c r="G846" s="23" t="s">
        <v>12547</v>
      </c>
      <c r="H846" s="25" t="s">
        <v>15373</v>
      </c>
      <c r="I846" s="22" t="s">
        <v>15374</v>
      </c>
      <c r="J846" s="22" t="s">
        <v>13123</v>
      </c>
      <c r="K846" s="26">
        <f t="shared" si="13"/>
        <v>1898</v>
      </c>
      <c r="N846" s="26">
        <v>2847</v>
      </c>
      <c r="O846" s="22" t="s">
        <v>12541</v>
      </c>
      <c r="P846" s="22" t="s">
        <v>15376</v>
      </c>
      <c r="Q846" s="22">
        <v>90020</v>
      </c>
      <c r="R846" s="22" t="s">
        <v>12500</v>
      </c>
      <c r="S846" s="22" t="s">
        <v>12501</v>
      </c>
      <c r="T846" s="22">
        <v>8.17</v>
      </c>
      <c r="U846" s="22">
        <v>0.38</v>
      </c>
      <c r="X846" s="26"/>
      <c r="Y846" s="26"/>
    </row>
    <row r="847" spans="1:25" ht="37.5" x14ac:dyDescent="0.25">
      <c r="A847" s="21">
        <v>1144</v>
      </c>
      <c r="B847" s="22" t="s">
        <v>15368</v>
      </c>
      <c r="C847" s="22" t="s">
        <v>12324</v>
      </c>
      <c r="D847" s="23">
        <v>288581</v>
      </c>
      <c r="E847" s="24">
        <v>1994</v>
      </c>
      <c r="F847" s="22" t="s">
        <v>12548</v>
      </c>
      <c r="G847" s="23" t="s">
        <v>12549</v>
      </c>
      <c r="H847" s="25" t="s">
        <v>15373</v>
      </c>
      <c r="I847" s="22" t="s">
        <v>15374</v>
      </c>
      <c r="J847" s="22" t="s">
        <v>13123</v>
      </c>
      <c r="K847" s="26">
        <f t="shared" si="13"/>
        <v>1898</v>
      </c>
      <c r="N847" s="26">
        <v>2847</v>
      </c>
      <c r="O847" s="22" t="s">
        <v>12550</v>
      </c>
      <c r="P847" s="22" t="s">
        <v>16500</v>
      </c>
      <c r="Q847" s="22">
        <v>90247</v>
      </c>
      <c r="R847" s="22" t="s">
        <v>13467</v>
      </c>
      <c r="S847" s="22" t="s">
        <v>12551</v>
      </c>
      <c r="T847" s="22">
        <v>8.17</v>
      </c>
      <c r="U847" s="22">
        <v>0.38</v>
      </c>
      <c r="X847" s="26"/>
      <c r="Y847" s="26"/>
    </row>
    <row r="848" spans="1:25" ht="37.5" x14ac:dyDescent="0.25">
      <c r="A848" s="21">
        <v>1145</v>
      </c>
      <c r="B848" s="22" t="s">
        <v>15368</v>
      </c>
      <c r="C848" s="22" t="s">
        <v>12324</v>
      </c>
      <c r="D848" s="23">
        <v>293817</v>
      </c>
      <c r="E848" s="24">
        <v>1994</v>
      </c>
      <c r="F848" s="22" t="s">
        <v>12552</v>
      </c>
      <c r="G848" s="23" t="s">
        <v>12553</v>
      </c>
      <c r="H848" s="25" t="s">
        <v>15373</v>
      </c>
      <c r="I848" s="22" t="s">
        <v>15374</v>
      </c>
      <c r="J848" s="22" t="s">
        <v>13123</v>
      </c>
      <c r="K848" s="26">
        <f t="shared" si="13"/>
        <v>1678.6666666666665</v>
      </c>
      <c r="N848" s="26">
        <v>2518</v>
      </c>
      <c r="O848" s="22" t="s">
        <v>12554</v>
      </c>
      <c r="P848" s="22" t="s">
        <v>15376</v>
      </c>
      <c r="Q848" s="22">
        <v>90057</v>
      </c>
      <c r="R848" s="22" t="s">
        <v>12555</v>
      </c>
      <c r="S848" s="22" t="s">
        <v>12449</v>
      </c>
      <c r="T848" s="22">
        <v>8.17</v>
      </c>
      <c r="U848" s="22">
        <v>0.38</v>
      </c>
      <c r="X848" s="26"/>
      <c r="Y848" s="26"/>
    </row>
    <row r="849" spans="1:25" ht="25" x14ac:dyDescent="0.25">
      <c r="A849" s="21">
        <v>1146</v>
      </c>
      <c r="B849" s="22" t="s">
        <v>15368</v>
      </c>
      <c r="C849" s="22" t="s">
        <v>12324</v>
      </c>
      <c r="D849" s="23">
        <v>294157</v>
      </c>
      <c r="E849" s="24">
        <v>1994</v>
      </c>
      <c r="F849" s="22" t="s">
        <v>12556</v>
      </c>
      <c r="G849" s="23" t="s">
        <v>12557</v>
      </c>
      <c r="H849" s="25" t="s">
        <v>15373</v>
      </c>
      <c r="I849" s="22" t="s">
        <v>15374</v>
      </c>
      <c r="J849" s="22" t="s">
        <v>13123</v>
      </c>
      <c r="K849" s="26">
        <f t="shared" si="13"/>
        <v>1434</v>
      </c>
      <c r="N849" s="26">
        <v>2151</v>
      </c>
      <c r="O849" s="22" t="s">
        <v>12558</v>
      </c>
      <c r="P849" s="22" t="s">
        <v>15376</v>
      </c>
      <c r="Q849" s="22">
        <v>90047</v>
      </c>
      <c r="R849" s="22" t="s">
        <v>12332</v>
      </c>
      <c r="S849" s="22" t="s">
        <v>12333</v>
      </c>
      <c r="T849" s="22">
        <v>8.17</v>
      </c>
      <c r="U849" s="22">
        <v>0.38</v>
      </c>
      <c r="X849" s="26"/>
      <c r="Y849" s="26"/>
    </row>
    <row r="850" spans="1:25" ht="25" x14ac:dyDescent="0.25">
      <c r="A850" s="21">
        <v>1147</v>
      </c>
      <c r="B850" s="22" t="s">
        <v>15368</v>
      </c>
      <c r="C850" s="22" t="s">
        <v>12324</v>
      </c>
      <c r="D850" s="23">
        <v>294159</v>
      </c>
      <c r="E850" s="24">
        <v>1994</v>
      </c>
      <c r="F850" s="22" t="s">
        <v>12559</v>
      </c>
      <c r="G850" s="23" t="s">
        <v>12560</v>
      </c>
      <c r="H850" s="25" t="s">
        <v>15373</v>
      </c>
      <c r="I850" s="22" t="s">
        <v>15374</v>
      </c>
      <c r="J850" s="22" t="s">
        <v>13123</v>
      </c>
      <c r="K850" s="26">
        <f t="shared" si="13"/>
        <v>1678.6666666666665</v>
      </c>
      <c r="N850" s="26">
        <v>2518</v>
      </c>
      <c r="O850" s="22" t="s">
        <v>12561</v>
      </c>
      <c r="P850" s="22" t="s">
        <v>14020</v>
      </c>
      <c r="Q850" s="22">
        <v>92704</v>
      </c>
      <c r="R850" s="22" t="s">
        <v>12520</v>
      </c>
      <c r="S850" s="22" t="s">
        <v>12562</v>
      </c>
      <c r="T850" s="22">
        <v>8.17</v>
      </c>
      <c r="U850" s="22">
        <v>0.38</v>
      </c>
      <c r="X850" s="26"/>
      <c r="Y850" s="26"/>
    </row>
    <row r="851" spans="1:25" ht="37.5" x14ac:dyDescent="0.25">
      <c r="A851" s="21">
        <v>1148</v>
      </c>
      <c r="B851" s="22" t="s">
        <v>15368</v>
      </c>
      <c r="C851" s="22" t="s">
        <v>12324</v>
      </c>
      <c r="D851" s="23">
        <v>298620</v>
      </c>
      <c r="E851" s="24">
        <v>1994</v>
      </c>
      <c r="F851" s="22" t="s">
        <v>12563</v>
      </c>
      <c r="G851" s="23" t="s">
        <v>12564</v>
      </c>
      <c r="H851" s="25" t="s">
        <v>15373</v>
      </c>
      <c r="I851" s="22" t="s">
        <v>15411</v>
      </c>
      <c r="J851" s="22" t="s">
        <v>13484</v>
      </c>
      <c r="K851" s="26">
        <f t="shared" si="13"/>
        <v>1560</v>
      </c>
      <c r="N851" s="26">
        <v>2340</v>
      </c>
      <c r="O851" s="22" t="s">
        <v>12565</v>
      </c>
      <c r="P851" s="22" t="s">
        <v>15081</v>
      </c>
      <c r="Q851" s="22">
        <v>90221</v>
      </c>
      <c r="R851" s="22" t="s">
        <v>12566</v>
      </c>
      <c r="S851" s="22" t="s">
        <v>12567</v>
      </c>
      <c r="T851" s="22">
        <v>8.17</v>
      </c>
      <c r="U851" s="22">
        <v>0.38</v>
      </c>
      <c r="X851" s="26"/>
      <c r="Y851" s="26"/>
    </row>
    <row r="852" spans="1:25" ht="25" x14ac:dyDescent="0.25">
      <c r="A852" s="21">
        <v>1149</v>
      </c>
      <c r="B852" s="22" t="s">
        <v>15368</v>
      </c>
      <c r="C852" s="22" t="s">
        <v>12324</v>
      </c>
      <c r="D852" s="23">
        <v>300566</v>
      </c>
      <c r="E852" s="24">
        <v>1995</v>
      </c>
      <c r="F852" s="22" t="s">
        <v>12568</v>
      </c>
      <c r="G852" s="23" t="s">
        <v>12557</v>
      </c>
      <c r="H852" s="25" t="s">
        <v>15373</v>
      </c>
      <c r="I852" s="22" t="s">
        <v>15374</v>
      </c>
      <c r="J852" s="22" t="s">
        <v>13123</v>
      </c>
      <c r="K852" s="26">
        <f t="shared" si="13"/>
        <v>1434</v>
      </c>
      <c r="N852" s="26">
        <v>2151</v>
      </c>
      <c r="O852" s="22" t="s">
        <v>12569</v>
      </c>
      <c r="P852" s="22" t="s">
        <v>16819</v>
      </c>
      <c r="Q852" s="22">
        <v>91105</v>
      </c>
      <c r="R852" s="22" t="s">
        <v>12570</v>
      </c>
      <c r="S852" s="22" t="s">
        <v>12501</v>
      </c>
      <c r="T852" s="22">
        <v>8.17</v>
      </c>
      <c r="U852" s="22">
        <v>0.38</v>
      </c>
      <c r="X852" s="26"/>
      <c r="Y852" s="26"/>
    </row>
    <row r="853" spans="1:25" ht="37.5" x14ac:dyDescent="0.25">
      <c r="A853" s="21">
        <v>1150</v>
      </c>
      <c r="B853" s="22" t="s">
        <v>15368</v>
      </c>
      <c r="C853" s="22" t="s">
        <v>12324</v>
      </c>
      <c r="D853" s="23">
        <v>301238</v>
      </c>
      <c r="E853" s="24">
        <v>1995</v>
      </c>
      <c r="F853" s="22" t="s">
        <v>12571</v>
      </c>
      <c r="G853" s="23" t="s">
        <v>12572</v>
      </c>
      <c r="H853" s="25" t="s">
        <v>15373</v>
      </c>
      <c r="I853" s="22" t="s">
        <v>15411</v>
      </c>
      <c r="J853" s="22" t="s">
        <v>15744</v>
      </c>
      <c r="K853" s="26">
        <f t="shared" si="13"/>
        <v>821.33333333333326</v>
      </c>
      <c r="N853" s="26">
        <v>1232</v>
      </c>
      <c r="O853" s="22" t="s">
        <v>12325</v>
      </c>
      <c r="P853" s="22" t="s">
        <v>12326</v>
      </c>
      <c r="Q853" s="22">
        <v>90717</v>
      </c>
      <c r="R853" s="22" t="s">
        <v>12327</v>
      </c>
      <c r="S853" s="22" t="s">
        <v>12328</v>
      </c>
      <c r="T853" s="22">
        <v>8.17</v>
      </c>
      <c r="U853" s="22">
        <v>0.38</v>
      </c>
      <c r="X853" s="26"/>
      <c r="Y853" s="26"/>
    </row>
    <row r="854" spans="1:25" ht="25" x14ac:dyDescent="0.25">
      <c r="A854" s="21">
        <v>1151</v>
      </c>
      <c r="B854" s="22" t="s">
        <v>15368</v>
      </c>
      <c r="C854" s="22" t="s">
        <v>12324</v>
      </c>
      <c r="D854" s="23">
        <v>301632</v>
      </c>
      <c r="E854" s="24">
        <v>1995</v>
      </c>
      <c r="F854" s="22" t="s">
        <v>12573</v>
      </c>
      <c r="G854" s="23" t="s">
        <v>12574</v>
      </c>
      <c r="H854" s="25" t="s">
        <v>15373</v>
      </c>
      <c r="I854" s="22" t="s">
        <v>15374</v>
      </c>
      <c r="J854" s="22" t="s">
        <v>13123</v>
      </c>
      <c r="K854" s="26">
        <f t="shared" si="13"/>
        <v>1434</v>
      </c>
      <c r="N854" s="26">
        <v>2151</v>
      </c>
      <c r="O854" s="22" t="s">
        <v>12575</v>
      </c>
      <c r="P854" s="22" t="s">
        <v>12576</v>
      </c>
      <c r="Q854" s="22">
        <v>91105</v>
      </c>
      <c r="R854" s="22" t="s">
        <v>16887</v>
      </c>
      <c r="S854" s="22" t="s">
        <v>16888</v>
      </c>
      <c r="T854" s="22">
        <v>8.17</v>
      </c>
      <c r="U854" s="22">
        <v>0.38</v>
      </c>
      <c r="X854" s="26"/>
      <c r="Y854" s="26"/>
    </row>
    <row r="855" spans="1:25" ht="37.5" x14ac:dyDescent="0.25">
      <c r="A855" s="21">
        <v>1152</v>
      </c>
      <c r="B855" s="22" t="s">
        <v>15368</v>
      </c>
      <c r="C855" s="22" t="s">
        <v>12324</v>
      </c>
      <c r="D855" s="23">
        <v>303304</v>
      </c>
      <c r="E855" s="24">
        <v>1995</v>
      </c>
      <c r="F855" s="22" t="s">
        <v>12577</v>
      </c>
      <c r="G855" s="23" t="s">
        <v>12578</v>
      </c>
      <c r="H855" s="25" t="s">
        <v>15373</v>
      </c>
      <c r="I855" s="22" t="s">
        <v>15411</v>
      </c>
      <c r="J855" s="22" t="s">
        <v>15744</v>
      </c>
      <c r="K855" s="26">
        <f t="shared" si="13"/>
        <v>821.33333333333326</v>
      </c>
      <c r="N855" s="26">
        <v>1232</v>
      </c>
      <c r="O855" s="22" t="s">
        <v>12579</v>
      </c>
      <c r="P855" s="22" t="s">
        <v>16192</v>
      </c>
      <c r="Q855" s="22">
        <v>90621</v>
      </c>
      <c r="R855" s="22" t="s">
        <v>12520</v>
      </c>
      <c r="S855" s="22" t="s">
        <v>12521</v>
      </c>
      <c r="T855" s="22">
        <v>8.17</v>
      </c>
      <c r="U855" s="22">
        <v>0.38</v>
      </c>
      <c r="X855" s="26"/>
      <c r="Y855" s="26"/>
    </row>
    <row r="856" spans="1:25" ht="37.5" x14ac:dyDescent="0.25">
      <c r="A856" s="21">
        <v>1153</v>
      </c>
      <c r="B856" s="22" t="s">
        <v>15368</v>
      </c>
      <c r="C856" s="22" t="s">
        <v>12324</v>
      </c>
      <c r="D856" s="23">
        <v>304038</v>
      </c>
      <c r="E856" s="24">
        <v>1995</v>
      </c>
      <c r="F856" s="22" t="s">
        <v>12580</v>
      </c>
      <c r="G856" s="23" t="s">
        <v>12581</v>
      </c>
      <c r="H856" s="25" t="s">
        <v>15373</v>
      </c>
      <c r="I856" s="22" t="s">
        <v>15411</v>
      </c>
      <c r="J856" s="22" t="s">
        <v>15451</v>
      </c>
      <c r="K856" s="26">
        <f t="shared" si="13"/>
        <v>560</v>
      </c>
      <c r="N856" s="26">
        <v>840</v>
      </c>
      <c r="O856" s="22" t="s">
        <v>12582</v>
      </c>
      <c r="P856" s="22" t="s">
        <v>15971</v>
      </c>
      <c r="Q856" s="22">
        <v>92691</v>
      </c>
      <c r="R856" s="22" t="s">
        <v>12520</v>
      </c>
      <c r="S856" s="22" t="s">
        <v>12521</v>
      </c>
      <c r="T856" s="22">
        <v>8.17</v>
      </c>
      <c r="U856" s="22">
        <v>0.38</v>
      </c>
      <c r="X856" s="26"/>
      <c r="Y856" s="26"/>
    </row>
    <row r="857" spans="1:25" ht="37.5" x14ac:dyDescent="0.25">
      <c r="A857" s="21">
        <v>1154</v>
      </c>
      <c r="B857" s="22" t="s">
        <v>15368</v>
      </c>
      <c r="C857" s="22" t="s">
        <v>12324</v>
      </c>
      <c r="D857" s="23">
        <v>304411</v>
      </c>
      <c r="E857" s="24">
        <v>1995</v>
      </c>
      <c r="F857" s="22" t="s">
        <v>12583</v>
      </c>
      <c r="G857" s="23" t="s">
        <v>12584</v>
      </c>
      <c r="H857" s="25" t="s">
        <v>15373</v>
      </c>
      <c r="I857" s="22" t="s">
        <v>15374</v>
      </c>
      <c r="J857" s="22" t="s">
        <v>13123</v>
      </c>
      <c r="K857" s="26">
        <f t="shared" si="13"/>
        <v>1345.3333333333333</v>
      </c>
      <c r="N857" s="26">
        <v>2018</v>
      </c>
      <c r="O857" s="22" t="s">
        <v>12585</v>
      </c>
      <c r="P857" s="22" t="s">
        <v>15376</v>
      </c>
      <c r="Q857" s="22">
        <v>90031</v>
      </c>
      <c r="R857" s="22" t="s">
        <v>12570</v>
      </c>
      <c r="S857" s="22" t="s">
        <v>12501</v>
      </c>
      <c r="T857" s="22">
        <v>8.17</v>
      </c>
      <c r="U857" s="22">
        <v>0.38</v>
      </c>
      <c r="X857" s="26"/>
      <c r="Y857" s="26"/>
    </row>
    <row r="858" spans="1:25" ht="37.5" x14ac:dyDescent="0.25">
      <c r="A858" s="21">
        <v>1155</v>
      </c>
      <c r="B858" s="22" t="s">
        <v>15368</v>
      </c>
      <c r="C858" s="22" t="s">
        <v>12324</v>
      </c>
      <c r="D858" s="23">
        <v>304982</v>
      </c>
      <c r="E858" s="24">
        <v>1995</v>
      </c>
      <c r="F858" s="22" t="s">
        <v>12586</v>
      </c>
      <c r="G858" s="23" t="s">
        <v>12587</v>
      </c>
      <c r="H858" s="25" t="s">
        <v>15373</v>
      </c>
      <c r="I858" s="22" t="s">
        <v>15411</v>
      </c>
      <c r="J858" s="22" t="s">
        <v>15744</v>
      </c>
      <c r="K858" s="26">
        <f t="shared" si="13"/>
        <v>631.33333333333326</v>
      </c>
      <c r="N858" s="26">
        <v>947</v>
      </c>
      <c r="O858" s="22" t="s">
        <v>12588</v>
      </c>
      <c r="P858" s="22" t="s">
        <v>12589</v>
      </c>
      <c r="Q858" s="22">
        <v>92670</v>
      </c>
      <c r="R858" s="22" t="s">
        <v>12520</v>
      </c>
      <c r="S858" s="22" t="s">
        <v>12521</v>
      </c>
      <c r="T858" s="22">
        <v>8.17</v>
      </c>
      <c r="U858" s="22">
        <v>0.38</v>
      </c>
      <c r="X858" s="26"/>
      <c r="Y858" s="26"/>
    </row>
    <row r="859" spans="1:25" ht="37.5" x14ac:dyDescent="0.25">
      <c r="A859" s="21">
        <v>1156</v>
      </c>
      <c r="B859" s="22" t="s">
        <v>15368</v>
      </c>
      <c r="C859" s="22" t="s">
        <v>12324</v>
      </c>
      <c r="D859" s="23">
        <v>305607</v>
      </c>
      <c r="E859" s="24">
        <v>1995</v>
      </c>
      <c r="F859" s="22" t="s">
        <v>12590</v>
      </c>
      <c r="G859" s="23" t="s">
        <v>12591</v>
      </c>
      <c r="H859" s="25" t="s">
        <v>15373</v>
      </c>
      <c r="I859" s="22" t="s">
        <v>15374</v>
      </c>
      <c r="J859" s="22" t="s">
        <v>12592</v>
      </c>
      <c r="K859" s="26">
        <f t="shared" si="13"/>
        <v>1400</v>
      </c>
      <c r="N859" s="26">
        <v>2100</v>
      </c>
      <c r="O859" s="22" t="s">
        <v>12593</v>
      </c>
      <c r="P859" s="22" t="s">
        <v>16504</v>
      </c>
      <c r="Q859" s="22">
        <v>90301</v>
      </c>
      <c r="R859" s="22" t="s">
        <v>13467</v>
      </c>
      <c r="S859" s="22" t="s">
        <v>13474</v>
      </c>
      <c r="T859" s="22">
        <v>8.17</v>
      </c>
      <c r="U859" s="22">
        <v>0.38</v>
      </c>
      <c r="X859" s="26"/>
      <c r="Y859" s="26"/>
    </row>
    <row r="860" spans="1:25" ht="37.5" x14ac:dyDescent="0.25">
      <c r="A860" s="21">
        <v>1157</v>
      </c>
      <c r="B860" s="22" t="s">
        <v>15368</v>
      </c>
      <c r="C860" s="22" t="s">
        <v>12324</v>
      </c>
      <c r="D860" s="23">
        <v>305608</v>
      </c>
      <c r="E860" s="24">
        <v>1995</v>
      </c>
      <c r="F860" s="22" t="s">
        <v>12594</v>
      </c>
      <c r="G860" s="23" t="s">
        <v>12595</v>
      </c>
      <c r="H860" s="25" t="s">
        <v>15373</v>
      </c>
      <c r="I860" s="22" t="s">
        <v>15374</v>
      </c>
      <c r="J860" s="22" t="s">
        <v>12899</v>
      </c>
      <c r="K860" s="26">
        <f t="shared" si="13"/>
        <v>1400</v>
      </c>
      <c r="N860" s="26">
        <v>2100</v>
      </c>
      <c r="O860" s="22" t="s">
        <v>12596</v>
      </c>
      <c r="P860" s="22" t="s">
        <v>15376</v>
      </c>
      <c r="Q860" s="22">
        <v>90045</v>
      </c>
      <c r="R860" s="22" t="s">
        <v>13467</v>
      </c>
      <c r="S860" s="22" t="s">
        <v>13474</v>
      </c>
      <c r="T860" s="22">
        <v>8.17</v>
      </c>
      <c r="U860" s="22">
        <v>0.38</v>
      </c>
      <c r="X860" s="26"/>
      <c r="Y860" s="26"/>
    </row>
    <row r="861" spans="1:25" ht="37.5" x14ac:dyDescent="0.25">
      <c r="A861" s="21">
        <v>1158</v>
      </c>
      <c r="B861" s="22" t="s">
        <v>15368</v>
      </c>
      <c r="C861" s="22" t="s">
        <v>12324</v>
      </c>
      <c r="D861" s="23">
        <v>306716</v>
      </c>
      <c r="E861" s="24">
        <v>1995</v>
      </c>
      <c r="F861" s="22" t="s">
        <v>12597</v>
      </c>
      <c r="G861" s="23" t="s">
        <v>12598</v>
      </c>
      <c r="H861" s="25" t="s">
        <v>15373</v>
      </c>
      <c r="I861" s="22" t="s">
        <v>15411</v>
      </c>
      <c r="J861" s="22" t="s">
        <v>15744</v>
      </c>
      <c r="K861" s="26">
        <f t="shared" si="13"/>
        <v>709.33333333333326</v>
      </c>
      <c r="N861" s="26">
        <v>1064</v>
      </c>
      <c r="O861" s="22" t="s">
        <v>12599</v>
      </c>
      <c r="P861" s="22" t="s">
        <v>12600</v>
      </c>
      <c r="Q861" s="22">
        <v>91301</v>
      </c>
      <c r="R861" s="22" t="s">
        <v>12601</v>
      </c>
      <c r="S861" s="22" t="s">
        <v>12602</v>
      </c>
      <c r="T861" s="22">
        <v>8.17</v>
      </c>
      <c r="U861" s="22">
        <v>0.38</v>
      </c>
      <c r="X861" s="26"/>
      <c r="Y861" s="26"/>
    </row>
    <row r="862" spans="1:25" ht="37.5" x14ac:dyDescent="0.25">
      <c r="A862" s="21">
        <v>1159</v>
      </c>
      <c r="B862" s="22" t="s">
        <v>15368</v>
      </c>
      <c r="C862" s="22" t="s">
        <v>12324</v>
      </c>
      <c r="D862" s="23">
        <v>308590</v>
      </c>
      <c r="E862" s="24">
        <v>1995</v>
      </c>
      <c r="F862" s="22" t="s">
        <v>12603</v>
      </c>
      <c r="G862" s="23" t="s">
        <v>12604</v>
      </c>
      <c r="H862" s="25" t="s">
        <v>15373</v>
      </c>
      <c r="I862" s="22" t="s">
        <v>15374</v>
      </c>
      <c r="J862" s="22" t="s">
        <v>15731</v>
      </c>
      <c r="K862" s="26">
        <f t="shared" si="13"/>
        <v>1000</v>
      </c>
      <c r="L862" s="26">
        <v>1000</v>
      </c>
      <c r="O862" s="22" t="s">
        <v>12605</v>
      </c>
      <c r="P862" s="22" t="s">
        <v>15376</v>
      </c>
      <c r="Q862" s="22">
        <v>90011</v>
      </c>
      <c r="R862" s="22" t="s">
        <v>12601</v>
      </c>
      <c r="S862" s="22" t="s">
        <v>12602</v>
      </c>
      <c r="T862" s="22">
        <v>8.17</v>
      </c>
      <c r="U862" s="22">
        <v>0.38</v>
      </c>
      <c r="X862" s="26"/>
      <c r="Y862" s="26"/>
    </row>
    <row r="863" spans="1:25" ht="25" x14ac:dyDescent="0.25">
      <c r="A863" s="21">
        <v>1160</v>
      </c>
      <c r="B863" s="22" t="s">
        <v>15368</v>
      </c>
      <c r="C863" s="22" t="s">
        <v>12324</v>
      </c>
      <c r="D863" s="23">
        <v>308665</v>
      </c>
      <c r="E863" s="24">
        <v>1995</v>
      </c>
      <c r="F863" s="22" t="s">
        <v>12606</v>
      </c>
      <c r="G863" s="23" t="s">
        <v>12607</v>
      </c>
      <c r="H863" s="25" t="s">
        <v>15373</v>
      </c>
      <c r="I863" s="22" t="s">
        <v>15374</v>
      </c>
      <c r="J863" s="22" t="s">
        <v>12592</v>
      </c>
      <c r="K863" s="26">
        <f t="shared" si="13"/>
        <v>1448</v>
      </c>
      <c r="N863" s="26">
        <v>2172</v>
      </c>
      <c r="O863" s="22" t="s">
        <v>12608</v>
      </c>
      <c r="P863" s="22" t="s">
        <v>16819</v>
      </c>
      <c r="Q863" s="22">
        <v>91105</v>
      </c>
      <c r="R863" s="22" t="s">
        <v>12609</v>
      </c>
      <c r="S863" s="22" t="s">
        <v>12610</v>
      </c>
      <c r="T863" s="22">
        <v>8.17</v>
      </c>
      <c r="U863" s="22">
        <v>0.38</v>
      </c>
      <c r="X863" s="26"/>
      <c r="Y863" s="26"/>
    </row>
    <row r="864" spans="1:25" ht="37.5" x14ac:dyDescent="0.25">
      <c r="A864" s="21">
        <v>1161</v>
      </c>
      <c r="B864" s="22" t="s">
        <v>15368</v>
      </c>
      <c r="C864" s="22" t="s">
        <v>12324</v>
      </c>
      <c r="D864" s="23">
        <v>311228</v>
      </c>
      <c r="E864" s="24">
        <v>1996</v>
      </c>
      <c r="F864" s="22" t="s">
        <v>12611</v>
      </c>
      <c r="G864" s="23" t="s">
        <v>12587</v>
      </c>
      <c r="H864" s="25" t="s">
        <v>15373</v>
      </c>
      <c r="I864" s="22" t="s">
        <v>15411</v>
      </c>
      <c r="J864" s="22" t="s">
        <v>15744</v>
      </c>
      <c r="K864" s="26">
        <f t="shared" si="13"/>
        <v>631.33333333333326</v>
      </c>
      <c r="N864" s="26">
        <v>947</v>
      </c>
      <c r="O864" s="22" t="s">
        <v>12612</v>
      </c>
      <c r="P864" s="22" t="s">
        <v>16819</v>
      </c>
      <c r="Q864" s="22">
        <v>91104</v>
      </c>
      <c r="R864" s="22" t="s">
        <v>12570</v>
      </c>
      <c r="S864" s="22" t="s">
        <v>12501</v>
      </c>
      <c r="T864" s="22">
        <v>8.17</v>
      </c>
      <c r="U864" s="22">
        <v>0.38</v>
      </c>
      <c r="X864" s="26"/>
      <c r="Y864" s="26"/>
    </row>
    <row r="865" spans="1:25" ht="37.5" x14ac:dyDescent="0.25">
      <c r="A865" s="21">
        <v>1162</v>
      </c>
      <c r="B865" s="22" t="s">
        <v>15368</v>
      </c>
      <c r="C865" s="22" t="s">
        <v>12324</v>
      </c>
      <c r="D865" s="23">
        <v>311283</v>
      </c>
      <c r="E865" s="24">
        <v>1996</v>
      </c>
      <c r="F865" s="22" t="s">
        <v>12613</v>
      </c>
      <c r="G865" s="23" t="s">
        <v>12614</v>
      </c>
      <c r="H865" s="25" t="s">
        <v>15373</v>
      </c>
      <c r="I865" s="22" t="s">
        <v>15374</v>
      </c>
      <c r="J865" s="22" t="s">
        <v>15677</v>
      </c>
      <c r="K865" s="26">
        <f t="shared" si="13"/>
        <v>1500</v>
      </c>
      <c r="L865" s="26">
        <v>1500</v>
      </c>
      <c r="O865" s="22" t="s">
        <v>12615</v>
      </c>
      <c r="P865" s="22" t="s">
        <v>15414</v>
      </c>
      <c r="Q865" s="22">
        <v>91105</v>
      </c>
      <c r="R865" s="22" t="s">
        <v>12570</v>
      </c>
      <c r="S865" s="22" t="s">
        <v>12501</v>
      </c>
      <c r="T865" s="22">
        <v>8.17</v>
      </c>
      <c r="U865" s="22">
        <v>0.38</v>
      </c>
      <c r="X865" s="26"/>
      <c r="Y865" s="26"/>
    </row>
    <row r="866" spans="1:25" ht="37.5" x14ac:dyDescent="0.25">
      <c r="A866" s="21">
        <v>1163</v>
      </c>
      <c r="B866" s="22" t="s">
        <v>15368</v>
      </c>
      <c r="C866" s="22" t="s">
        <v>12324</v>
      </c>
      <c r="D866" s="23">
        <v>311899</v>
      </c>
      <c r="E866" s="24">
        <v>1996</v>
      </c>
      <c r="F866" s="22" t="s">
        <v>12616</v>
      </c>
      <c r="G866" s="23" t="s">
        <v>12617</v>
      </c>
      <c r="H866" s="25" t="s">
        <v>15373</v>
      </c>
      <c r="I866" s="22" t="s">
        <v>15411</v>
      </c>
      <c r="J866" s="22" t="s">
        <v>12618</v>
      </c>
      <c r="K866" s="26">
        <f t="shared" si="13"/>
        <v>821.33333333333326</v>
      </c>
      <c r="N866" s="26">
        <v>1232</v>
      </c>
      <c r="O866" s="22" t="s">
        <v>12619</v>
      </c>
      <c r="P866" s="22" t="s">
        <v>16863</v>
      </c>
      <c r="Q866" s="22">
        <v>92680</v>
      </c>
      <c r="R866" s="22" t="s">
        <v>12620</v>
      </c>
      <c r="S866" s="22" t="s">
        <v>12511</v>
      </c>
      <c r="T866" s="22">
        <v>8.17</v>
      </c>
      <c r="U866" s="22">
        <v>0.38</v>
      </c>
      <c r="X866" s="26"/>
      <c r="Y866" s="26"/>
    </row>
    <row r="867" spans="1:25" ht="37.5" x14ac:dyDescent="0.25">
      <c r="A867" s="21">
        <v>1164</v>
      </c>
      <c r="B867" s="22" t="s">
        <v>15368</v>
      </c>
      <c r="C867" s="22" t="s">
        <v>12324</v>
      </c>
      <c r="D867" s="23">
        <v>313210</v>
      </c>
      <c r="E867" s="24">
        <v>1996</v>
      </c>
      <c r="F867" s="22" t="s">
        <v>12621</v>
      </c>
      <c r="G867" s="23" t="s">
        <v>12622</v>
      </c>
      <c r="H867" s="25" t="s">
        <v>15373</v>
      </c>
      <c r="I867" s="22" t="s">
        <v>15374</v>
      </c>
      <c r="J867" s="22">
        <v>3512</v>
      </c>
      <c r="K867" s="26">
        <f t="shared" si="13"/>
        <v>1100</v>
      </c>
      <c r="L867" s="26">
        <v>1100</v>
      </c>
      <c r="O867" s="22" t="s">
        <v>12623</v>
      </c>
      <c r="P867" s="22" t="s">
        <v>15611</v>
      </c>
      <c r="Q867" s="22">
        <v>92643</v>
      </c>
      <c r="R867" s="22" t="s">
        <v>12520</v>
      </c>
      <c r="S867" s="22" t="s">
        <v>12521</v>
      </c>
      <c r="T867" s="22">
        <v>8.17</v>
      </c>
      <c r="U867" s="22">
        <v>0.38</v>
      </c>
      <c r="X867" s="26"/>
      <c r="Y867" s="26"/>
    </row>
    <row r="868" spans="1:25" ht="37.5" x14ac:dyDescent="0.25">
      <c r="A868" s="21">
        <v>1165</v>
      </c>
      <c r="B868" s="22" t="s">
        <v>15368</v>
      </c>
      <c r="C868" s="22" t="s">
        <v>12324</v>
      </c>
      <c r="D868" s="23">
        <v>314985</v>
      </c>
      <c r="E868" s="24">
        <v>1996</v>
      </c>
      <c r="F868" s="22" t="s">
        <v>12624</v>
      </c>
      <c r="G868" s="23" t="s">
        <v>12614</v>
      </c>
      <c r="H868" s="25" t="s">
        <v>15373</v>
      </c>
      <c r="I868" s="22" t="s">
        <v>15374</v>
      </c>
      <c r="J868" s="22" t="s">
        <v>15677</v>
      </c>
      <c r="K868" s="26">
        <f t="shared" si="13"/>
        <v>1500</v>
      </c>
      <c r="L868" s="26">
        <v>1500</v>
      </c>
      <c r="O868" s="22" t="s">
        <v>12625</v>
      </c>
      <c r="P868" s="22" t="s">
        <v>15376</v>
      </c>
      <c r="Q868" s="22">
        <v>90028</v>
      </c>
      <c r="R868" s="22" t="s">
        <v>12537</v>
      </c>
      <c r="S868" s="22" t="s">
        <v>12449</v>
      </c>
      <c r="T868" s="22">
        <v>8.17</v>
      </c>
      <c r="U868" s="22">
        <v>0.38</v>
      </c>
      <c r="X868" s="26"/>
      <c r="Y868" s="26"/>
    </row>
    <row r="869" spans="1:25" ht="37.5" x14ac:dyDescent="0.25">
      <c r="A869" s="21">
        <v>1166</v>
      </c>
      <c r="B869" s="22" t="s">
        <v>15368</v>
      </c>
      <c r="C869" s="22" t="s">
        <v>12324</v>
      </c>
      <c r="D869" s="23">
        <v>314986</v>
      </c>
      <c r="E869" s="24">
        <v>1996</v>
      </c>
      <c r="F869" s="22" t="s">
        <v>12626</v>
      </c>
      <c r="G869" s="23" t="s">
        <v>12614</v>
      </c>
      <c r="H869" s="25" t="s">
        <v>15373</v>
      </c>
      <c r="I869" s="22" t="s">
        <v>15374</v>
      </c>
      <c r="J869" s="22" t="s">
        <v>15677</v>
      </c>
      <c r="K869" s="26">
        <f t="shared" si="13"/>
        <v>1500</v>
      </c>
      <c r="L869" s="26">
        <v>1500</v>
      </c>
      <c r="O869" s="22" t="s">
        <v>12625</v>
      </c>
      <c r="P869" s="22" t="s">
        <v>15376</v>
      </c>
      <c r="Q869" s="22">
        <v>90028</v>
      </c>
      <c r="R869" s="22" t="s">
        <v>12537</v>
      </c>
      <c r="S869" s="22" t="s">
        <v>12449</v>
      </c>
      <c r="T869" s="22">
        <v>8.17</v>
      </c>
      <c r="U869" s="22">
        <v>0.38</v>
      </c>
      <c r="X869" s="26"/>
      <c r="Y869" s="26"/>
    </row>
    <row r="870" spans="1:25" ht="37.5" x14ac:dyDescent="0.25">
      <c r="A870" s="21">
        <v>1167</v>
      </c>
      <c r="B870" s="22" t="s">
        <v>15368</v>
      </c>
      <c r="C870" s="22" t="s">
        <v>12324</v>
      </c>
      <c r="D870" s="23">
        <v>324022</v>
      </c>
      <c r="E870" s="24">
        <v>1997</v>
      </c>
      <c r="F870" s="22" t="s">
        <v>12627</v>
      </c>
      <c r="G870" s="23" t="s">
        <v>12628</v>
      </c>
      <c r="H870" s="25" t="s">
        <v>15373</v>
      </c>
      <c r="I870" s="22" t="s">
        <v>15411</v>
      </c>
      <c r="J870" s="22" t="s">
        <v>15068</v>
      </c>
      <c r="K870" s="26">
        <f t="shared" si="13"/>
        <v>730</v>
      </c>
      <c r="N870" s="26">
        <v>1095</v>
      </c>
      <c r="O870" s="22" t="s">
        <v>12629</v>
      </c>
      <c r="P870" s="22" t="s">
        <v>15212</v>
      </c>
      <c r="Q870" s="22">
        <v>92805</v>
      </c>
      <c r="R870" s="22" t="s">
        <v>12520</v>
      </c>
      <c r="S870" s="22" t="s">
        <v>12521</v>
      </c>
      <c r="T870" s="22">
        <v>8.17</v>
      </c>
      <c r="U870" s="22">
        <v>0.38</v>
      </c>
      <c r="X870" s="26"/>
      <c r="Y870" s="26"/>
    </row>
    <row r="871" spans="1:25" ht="25" x14ac:dyDescent="0.25">
      <c r="A871" s="21">
        <v>1169</v>
      </c>
      <c r="B871" s="22" t="s">
        <v>15368</v>
      </c>
      <c r="C871" s="22" t="s">
        <v>12324</v>
      </c>
      <c r="D871" s="23">
        <v>325495</v>
      </c>
      <c r="E871" s="24">
        <v>1997</v>
      </c>
      <c r="F871" s="22" t="s">
        <v>12630</v>
      </c>
      <c r="G871" s="23" t="s">
        <v>12631</v>
      </c>
      <c r="H871" s="25" t="s">
        <v>15373</v>
      </c>
      <c r="I871" s="22" t="s">
        <v>15374</v>
      </c>
      <c r="J871" s="22" t="s">
        <v>16869</v>
      </c>
      <c r="K871" s="26">
        <f t="shared" si="13"/>
        <v>800</v>
      </c>
      <c r="N871" s="26">
        <v>1200</v>
      </c>
      <c r="O871" s="22" t="s">
        <v>12632</v>
      </c>
      <c r="P871" s="22" t="s">
        <v>12633</v>
      </c>
      <c r="Q871" s="22">
        <v>90201</v>
      </c>
      <c r="R871" s="22" t="s">
        <v>12634</v>
      </c>
      <c r="S871" s="22" t="s">
        <v>12551</v>
      </c>
      <c r="T871" s="22">
        <v>8.17</v>
      </c>
      <c r="U871" s="22">
        <v>0.38</v>
      </c>
      <c r="X871" s="26"/>
      <c r="Y871" s="26"/>
    </row>
    <row r="872" spans="1:25" ht="37.5" x14ac:dyDescent="0.25">
      <c r="A872" s="21">
        <v>1170</v>
      </c>
      <c r="B872" s="22" t="s">
        <v>15368</v>
      </c>
      <c r="C872" s="22" t="s">
        <v>12324</v>
      </c>
      <c r="D872" s="23">
        <v>326496</v>
      </c>
      <c r="E872" s="24">
        <v>1997</v>
      </c>
      <c r="F872" s="22" t="s">
        <v>12635</v>
      </c>
      <c r="G872" s="23" t="s">
        <v>12636</v>
      </c>
      <c r="H872" s="25" t="s">
        <v>15373</v>
      </c>
      <c r="I872" s="22" t="s">
        <v>15374</v>
      </c>
      <c r="J872" s="22" t="s">
        <v>12899</v>
      </c>
      <c r="K872" s="26">
        <f t="shared" si="13"/>
        <v>1917.3333333333333</v>
      </c>
      <c r="N872" s="26">
        <v>2876</v>
      </c>
      <c r="O872" s="22" t="s">
        <v>12637</v>
      </c>
      <c r="P872" s="22" t="s">
        <v>15048</v>
      </c>
      <c r="Q872" s="22">
        <v>91801</v>
      </c>
      <c r="R872" s="22" t="s">
        <v>12486</v>
      </c>
      <c r="S872" s="22" t="s">
        <v>12487</v>
      </c>
      <c r="T872" s="22">
        <v>8.17</v>
      </c>
      <c r="U872" s="22">
        <v>0.38</v>
      </c>
      <c r="X872" s="26"/>
      <c r="Y872" s="26"/>
    </row>
    <row r="873" spans="1:25" ht="25" x14ac:dyDescent="0.25">
      <c r="A873" s="21">
        <v>1171</v>
      </c>
      <c r="B873" s="22" t="s">
        <v>15368</v>
      </c>
      <c r="C873" s="22" t="s">
        <v>12324</v>
      </c>
      <c r="D873" s="23">
        <v>326817</v>
      </c>
      <c r="E873" s="24">
        <v>1997</v>
      </c>
      <c r="F873" s="22" t="s">
        <v>12638</v>
      </c>
      <c r="G873" s="23" t="s">
        <v>12639</v>
      </c>
      <c r="H873" s="25" t="s">
        <v>15373</v>
      </c>
      <c r="I873" s="22" t="s">
        <v>15411</v>
      </c>
      <c r="J873" s="22" t="s">
        <v>16254</v>
      </c>
      <c r="K873" s="26">
        <f t="shared" si="13"/>
        <v>500</v>
      </c>
      <c r="N873" s="26">
        <v>750</v>
      </c>
      <c r="O873" s="22" t="s">
        <v>12640</v>
      </c>
      <c r="P873" s="22" t="s">
        <v>16786</v>
      </c>
      <c r="Q873" s="22">
        <v>92806</v>
      </c>
      <c r="R873" s="22" t="s">
        <v>12641</v>
      </c>
      <c r="S873" s="22" t="s">
        <v>12454</v>
      </c>
      <c r="T873" s="22">
        <v>6.9</v>
      </c>
      <c r="U873" s="22">
        <v>0.4</v>
      </c>
      <c r="X873" s="26"/>
      <c r="Y873" s="26"/>
    </row>
    <row r="874" spans="1:25" ht="37.5" x14ac:dyDescent="0.25">
      <c r="A874" s="21">
        <v>1172</v>
      </c>
      <c r="B874" s="22" t="s">
        <v>15368</v>
      </c>
      <c r="C874" s="22" t="s">
        <v>12324</v>
      </c>
      <c r="D874" s="23">
        <v>328006</v>
      </c>
      <c r="E874" s="24">
        <v>1997</v>
      </c>
      <c r="F874" s="22" t="s">
        <v>12642</v>
      </c>
      <c r="G874" s="23" t="s">
        <v>12643</v>
      </c>
      <c r="H874" s="25" t="s">
        <v>15373</v>
      </c>
      <c r="I874" s="22" t="s">
        <v>15411</v>
      </c>
      <c r="J874" s="22" t="s">
        <v>16331</v>
      </c>
      <c r="K874" s="26">
        <f t="shared" si="13"/>
        <v>553.33333333333326</v>
      </c>
      <c r="N874" s="26">
        <v>830</v>
      </c>
      <c r="O874" s="22" t="s">
        <v>12644</v>
      </c>
      <c r="P874" s="22" t="s">
        <v>12645</v>
      </c>
      <c r="Q874" s="22">
        <v>91351</v>
      </c>
      <c r="R874" s="22" t="s">
        <v>13467</v>
      </c>
      <c r="S874" s="22" t="s">
        <v>12551</v>
      </c>
      <c r="T874" s="22">
        <v>8.17</v>
      </c>
      <c r="U874" s="22">
        <v>0.38</v>
      </c>
      <c r="X874" s="26"/>
      <c r="Y874" s="26"/>
    </row>
    <row r="875" spans="1:25" ht="37.5" x14ac:dyDescent="0.25">
      <c r="A875" s="21">
        <v>1173</v>
      </c>
      <c r="B875" s="22" t="s">
        <v>15368</v>
      </c>
      <c r="C875" s="22" t="s">
        <v>12324</v>
      </c>
      <c r="D875" s="23">
        <v>328034</v>
      </c>
      <c r="E875" s="24">
        <v>1997</v>
      </c>
      <c r="F875" s="22" t="s">
        <v>12646</v>
      </c>
      <c r="G875" s="23" t="s">
        <v>12647</v>
      </c>
      <c r="H875" s="25" t="s">
        <v>15373</v>
      </c>
      <c r="I875" s="22" t="s">
        <v>15374</v>
      </c>
      <c r="J875" s="22" t="s">
        <v>15516</v>
      </c>
      <c r="K875" s="26">
        <f t="shared" si="13"/>
        <v>800</v>
      </c>
      <c r="N875" s="26">
        <v>1200</v>
      </c>
      <c r="O875" s="22" t="s">
        <v>12648</v>
      </c>
      <c r="P875" s="22" t="s">
        <v>12649</v>
      </c>
      <c r="Q875" s="22" t="s">
        <v>12650</v>
      </c>
      <c r="R875" s="22" t="s">
        <v>13467</v>
      </c>
      <c r="S875" s="22" t="s">
        <v>12551</v>
      </c>
      <c r="T875" s="22">
        <v>8.17</v>
      </c>
      <c r="U875" s="22">
        <v>0.38</v>
      </c>
      <c r="X875" s="26"/>
      <c r="Y875" s="26"/>
    </row>
    <row r="876" spans="1:25" ht="37.5" x14ac:dyDescent="0.25">
      <c r="A876" s="21">
        <v>1174</v>
      </c>
      <c r="B876" s="22" t="s">
        <v>15368</v>
      </c>
      <c r="C876" s="22" t="s">
        <v>12324</v>
      </c>
      <c r="D876" s="23">
        <v>328808</v>
      </c>
      <c r="E876" s="24">
        <v>1997</v>
      </c>
      <c r="F876" s="22" t="s">
        <v>12651</v>
      </c>
      <c r="G876" s="23" t="s">
        <v>12647</v>
      </c>
      <c r="H876" s="25" t="s">
        <v>15373</v>
      </c>
      <c r="I876" s="22" t="s">
        <v>15374</v>
      </c>
      <c r="J876" s="22" t="s">
        <v>15516</v>
      </c>
      <c r="K876" s="26">
        <f t="shared" si="13"/>
        <v>800</v>
      </c>
      <c r="N876" s="26">
        <v>1200</v>
      </c>
      <c r="O876" s="22" t="s">
        <v>12652</v>
      </c>
      <c r="P876" s="22" t="s">
        <v>15376</v>
      </c>
      <c r="Q876" s="22">
        <v>90044</v>
      </c>
      <c r="R876" s="22" t="s">
        <v>13467</v>
      </c>
      <c r="S876" s="22" t="s">
        <v>12653</v>
      </c>
      <c r="T876" s="22">
        <v>8.17</v>
      </c>
      <c r="U876" s="22">
        <v>0.38</v>
      </c>
      <c r="X876" s="26"/>
      <c r="Y876" s="26"/>
    </row>
    <row r="877" spans="1:25" ht="25" x14ac:dyDescent="0.25">
      <c r="A877" s="21">
        <v>1175</v>
      </c>
      <c r="B877" s="22" t="s">
        <v>15368</v>
      </c>
      <c r="C877" s="22" t="s">
        <v>12324</v>
      </c>
      <c r="D877" s="23">
        <v>328833</v>
      </c>
      <c r="E877" s="24">
        <v>1997</v>
      </c>
      <c r="F877" s="22" t="s">
        <v>12654</v>
      </c>
      <c r="G877" s="23" t="s">
        <v>12655</v>
      </c>
      <c r="H877" s="25" t="s">
        <v>15373</v>
      </c>
      <c r="I877" s="22" t="s">
        <v>15374</v>
      </c>
      <c r="J877" s="22" t="s">
        <v>16869</v>
      </c>
      <c r="K877" s="26">
        <f t="shared" si="13"/>
        <v>1212</v>
      </c>
      <c r="N877" s="26">
        <v>1818</v>
      </c>
      <c r="O877" s="22" t="s">
        <v>12656</v>
      </c>
      <c r="P877" s="22" t="s">
        <v>15964</v>
      </c>
      <c r="Q877" s="22">
        <v>91731</v>
      </c>
      <c r="R877" s="22" t="s">
        <v>12657</v>
      </c>
      <c r="S877" s="22" t="s">
        <v>12658</v>
      </c>
      <c r="T877" s="22">
        <v>8.17</v>
      </c>
      <c r="U877" s="22">
        <v>0.38</v>
      </c>
      <c r="X877" s="26"/>
      <c r="Y877" s="26"/>
    </row>
    <row r="878" spans="1:25" ht="37.5" x14ac:dyDescent="0.25">
      <c r="A878" s="21">
        <v>1176</v>
      </c>
      <c r="B878" s="22" t="s">
        <v>15368</v>
      </c>
      <c r="C878" s="22" t="s">
        <v>12324</v>
      </c>
      <c r="D878" s="23">
        <v>329854</v>
      </c>
      <c r="E878" s="24">
        <v>1997</v>
      </c>
      <c r="F878" s="22" t="s">
        <v>12659</v>
      </c>
      <c r="G878" s="23" t="s">
        <v>12647</v>
      </c>
      <c r="H878" s="25" t="s">
        <v>15373</v>
      </c>
      <c r="I878" s="22" t="s">
        <v>15374</v>
      </c>
      <c r="J878" s="22" t="s">
        <v>15516</v>
      </c>
      <c r="K878" s="26">
        <f t="shared" si="13"/>
        <v>800</v>
      </c>
      <c r="N878" s="26">
        <v>1200</v>
      </c>
      <c r="O878" s="22" t="s">
        <v>12660</v>
      </c>
      <c r="P878" s="22" t="s">
        <v>14036</v>
      </c>
      <c r="Q878" s="22">
        <v>90280</v>
      </c>
      <c r="R878" s="22" t="s">
        <v>12661</v>
      </c>
      <c r="S878" s="22" t="s">
        <v>12662</v>
      </c>
      <c r="T878" s="22">
        <v>8.17</v>
      </c>
      <c r="U878" s="22">
        <v>0.38</v>
      </c>
      <c r="X878" s="26"/>
      <c r="Y878" s="26"/>
    </row>
    <row r="879" spans="1:25" ht="25" x14ac:dyDescent="0.25">
      <c r="A879" s="21">
        <v>1178</v>
      </c>
      <c r="B879" s="22" t="s">
        <v>15368</v>
      </c>
      <c r="C879" s="22" t="s">
        <v>12324</v>
      </c>
      <c r="D879" s="23">
        <v>335202</v>
      </c>
      <c r="E879" s="24">
        <v>1997</v>
      </c>
      <c r="F879" s="22" t="s">
        <v>12663</v>
      </c>
      <c r="G879" s="23" t="s">
        <v>12664</v>
      </c>
      <c r="H879" s="25" t="s">
        <v>15373</v>
      </c>
      <c r="I879" s="22" t="s">
        <v>15374</v>
      </c>
      <c r="J879" s="22" t="s">
        <v>15701</v>
      </c>
      <c r="K879" s="26">
        <f t="shared" si="13"/>
        <v>350</v>
      </c>
      <c r="L879" s="26">
        <v>350</v>
      </c>
      <c r="O879" s="22" t="s">
        <v>12550</v>
      </c>
      <c r="P879" s="22" t="s">
        <v>16500</v>
      </c>
      <c r="Q879" s="22">
        <v>90247</v>
      </c>
      <c r="R879" s="22" t="s">
        <v>13467</v>
      </c>
      <c r="S879" s="22" t="s">
        <v>12551</v>
      </c>
      <c r="T879" s="22">
        <v>6.9</v>
      </c>
      <c r="U879" s="22">
        <v>0.4</v>
      </c>
      <c r="X879" s="26"/>
      <c r="Y879" s="26"/>
    </row>
    <row r="880" spans="1:25" ht="25" x14ac:dyDescent="0.25">
      <c r="A880" s="21">
        <v>1179</v>
      </c>
      <c r="B880" s="22" t="s">
        <v>15368</v>
      </c>
      <c r="C880" s="22" t="s">
        <v>12324</v>
      </c>
      <c r="D880" s="23">
        <v>335203</v>
      </c>
      <c r="E880" s="24">
        <v>1997</v>
      </c>
      <c r="F880" s="22" t="s">
        <v>12665</v>
      </c>
      <c r="G880" s="23" t="s">
        <v>12666</v>
      </c>
      <c r="H880" s="25" t="s">
        <v>15373</v>
      </c>
      <c r="I880" s="22" t="s">
        <v>15374</v>
      </c>
      <c r="J880" s="22" t="s">
        <v>15701</v>
      </c>
      <c r="K880" s="26">
        <f t="shared" si="13"/>
        <v>350</v>
      </c>
      <c r="L880" s="26">
        <v>350</v>
      </c>
      <c r="O880" s="22" t="s">
        <v>12667</v>
      </c>
      <c r="P880" s="22" t="s">
        <v>12668</v>
      </c>
      <c r="Q880" s="22">
        <v>91214</v>
      </c>
      <c r="R880" s="22" t="s">
        <v>13467</v>
      </c>
      <c r="S880" s="22" t="s">
        <v>12551</v>
      </c>
      <c r="T880" s="22">
        <v>6.9</v>
      </c>
      <c r="U880" s="22">
        <v>0.4</v>
      </c>
      <c r="X880" s="26"/>
      <c r="Y880" s="26"/>
    </row>
    <row r="881" spans="1:25" ht="25" x14ac:dyDescent="0.25">
      <c r="A881" s="21">
        <v>1180</v>
      </c>
      <c r="B881" s="22" t="s">
        <v>15368</v>
      </c>
      <c r="C881" s="22" t="s">
        <v>12324</v>
      </c>
      <c r="D881" s="23">
        <v>337815</v>
      </c>
      <c r="E881" s="24">
        <v>1998</v>
      </c>
      <c r="F881" s="22" t="s">
        <v>12669</v>
      </c>
      <c r="G881" s="23" t="s">
        <v>12670</v>
      </c>
      <c r="H881" s="25" t="s">
        <v>15373</v>
      </c>
      <c r="I881" s="22" t="s">
        <v>15411</v>
      </c>
      <c r="J881" s="22" t="s">
        <v>15744</v>
      </c>
      <c r="K881" s="26">
        <f t="shared" si="13"/>
        <v>821.33333333333326</v>
      </c>
      <c r="N881" s="26">
        <v>1232</v>
      </c>
      <c r="O881" s="22" t="s">
        <v>12671</v>
      </c>
      <c r="P881" s="22" t="s">
        <v>12672</v>
      </c>
      <c r="Q881" s="22">
        <v>92503</v>
      </c>
      <c r="R881" s="22" t="s">
        <v>12510</v>
      </c>
      <c r="S881" s="22" t="s">
        <v>12511</v>
      </c>
      <c r="T881" s="22">
        <v>8.17</v>
      </c>
      <c r="U881" s="22">
        <v>0.38</v>
      </c>
      <c r="X881" s="26"/>
      <c r="Y881" s="26"/>
    </row>
    <row r="882" spans="1:25" ht="25" x14ac:dyDescent="0.25">
      <c r="A882" s="21">
        <v>1182</v>
      </c>
      <c r="B882" s="22" t="s">
        <v>15368</v>
      </c>
      <c r="C882" s="22" t="s">
        <v>12324</v>
      </c>
      <c r="D882" s="23">
        <v>338516</v>
      </c>
      <c r="E882" s="24">
        <v>1998</v>
      </c>
      <c r="F882" s="22" t="s">
        <v>12673</v>
      </c>
      <c r="G882" s="23" t="s">
        <v>12674</v>
      </c>
      <c r="H882" s="25" t="s">
        <v>15373</v>
      </c>
      <c r="I882" s="22" t="s">
        <v>15374</v>
      </c>
      <c r="J882" s="22" t="s">
        <v>12592</v>
      </c>
      <c r="K882" s="26">
        <f t="shared" si="13"/>
        <v>1400</v>
      </c>
      <c r="N882" s="26">
        <v>2100</v>
      </c>
      <c r="O882" s="22" t="s">
        <v>12675</v>
      </c>
      <c r="P882" s="22" t="s">
        <v>15376</v>
      </c>
      <c r="Q882" s="22">
        <v>91105</v>
      </c>
      <c r="R882" s="22" t="s">
        <v>16887</v>
      </c>
      <c r="S882" s="22" t="s">
        <v>16888</v>
      </c>
      <c r="T882" s="22">
        <v>8.17</v>
      </c>
      <c r="U882" s="22">
        <v>0.38</v>
      </c>
      <c r="X882" s="26"/>
      <c r="Y882" s="26"/>
    </row>
    <row r="883" spans="1:25" ht="25" x14ac:dyDescent="0.25">
      <c r="A883" s="21">
        <v>1183</v>
      </c>
      <c r="B883" s="22" t="s">
        <v>15368</v>
      </c>
      <c r="C883" s="22" t="s">
        <v>12324</v>
      </c>
      <c r="D883" s="23">
        <v>338519</v>
      </c>
      <c r="E883" s="24">
        <v>1998</v>
      </c>
      <c r="F883" s="22" t="s">
        <v>12676</v>
      </c>
      <c r="G883" s="23" t="s">
        <v>12674</v>
      </c>
      <c r="H883" s="25" t="s">
        <v>15373</v>
      </c>
      <c r="I883" s="22" t="s">
        <v>15374</v>
      </c>
      <c r="J883" s="22" t="s">
        <v>12592</v>
      </c>
      <c r="K883" s="26">
        <f t="shared" si="13"/>
        <v>1400</v>
      </c>
      <c r="N883" s="26">
        <v>2100</v>
      </c>
      <c r="O883" s="22" t="s">
        <v>12677</v>
      </c>
      <c r="P883" s="22" t="s">
        <v>15629</v>
      </c>
      <c r="Q883" s="22">
        <v>91105</v>
      </c>
      <c r="R883" s="22" t="s">
        <v>13467</v>
      </c>
      <c r="S883" s="22" t="s">
        <v>13474</v>
      </c>
      <c r="T883" s="22">
        <v>8.17</v>
      </c>
      <c r="U883" s="22">
        <v>0.38</v>
      </c>
      <c r="X883" s="26"/>
      <c r="Y883" s="26"/>
    </row>
    <row r="884" spans="1:25" ht="25" x14ac:dyDescent="0.25">
      <c r="A884" s="21">
        <v>1184</v>
      </c>
      <c r="B884" s="22" t="s">
        <v>15368</v>
      </c>
      <c r="C884" s="22" t="s">
        <v>12324</v>
      </c>
      <c r="D884" s="23">
        <v>338521</v>
      </c>
      <c r="E884" s="24">
        <v>1998</v>
      </c>
      <c r="F884" s="22" t="s">
        <v>12678</v>
      </c>
      <c r="G884" s="23" t="s">
        <v>12674</v>
      </c>
      <c r="H884" s="25" t="s">
        <v>15373</v>
      </c>
      <c r="I884" s="22" t="s">
        <v>15374</v>
      </c>
      <c r="J884" s="22" t="s">
        <v>12592</v>
      </c>
      <c r="K884" s="26">
        <f t="shared" si="13"/>
        <v>1400</v>
      </c>
      <c r="N884" s="26">
        <v>2100</v>
      </c>
      <c r="O884" s="22" t="s">
        <v>12679</v>
      </c>
      <c r="P884" s="22" t="s">
        <v>15376</v>
      </c>
      <c r="Q884" s="22">
        <v>90008</v>
      </c>
      <c r="R884" s="22" t="s">
        <v>13467</v>
      </c>
      <c r="S884" s="22" t="s">
        <v>13474</v>
      </c>
      <c r="T884" s="22">
        <v>8.17</v>
      </c>
      <c r="U884" s="22">
        <v>0.38</v>
      </c>
      <c r="X884" s="26"/>
      <c r="Y884" s="26"/>
    </row>
    <row r="885" spans="1:25" ht="25" x14ac:dyDescent="0.25">
      <c r="A885" s="21">
        <v>1185</v>
      </c>
      <c r="B885" s="22" t="s">
        <v>15368</v>
      </c>
      <c r="C885" s="22" t="s">
        <v>12324</v>
      </c>
      <c r="D885" s="23">
        <v>338525</v>
      </c>
      <c r="E885" s="24">
        <v>1998</v>
      </c>
      <c r="F885" s="22" t="s">
        <v>12680</v>
      </c>
      <c r="G885" s="23" t="s">
        <v>12674</v>
      </c>
      <c r="H885" s="25" t="s">
        <v>15373</v>
      </c>
      <c r="I885" s="22" t="s">
        <v>15374</v>
      </c>
      <c r="J885" s="22" t="s">
        <v>12592</v>
      </c>
      <c r="K885" s="26">
        <f t="shared" si="13"/>
        <v>1400</v>
      </c>
      <c r="N885" s="26">
        <v>2100</v>
      </c>
      <c r="O885" s="22" t="s">
        <v>12681</v>
      </c>
      <c r="P885" s="22" t="s">
        <v>12682</v>
      </c>
      <c r="Q885" s="22">
        <v>90255</v>
      </c>
      <c r="R885" s="22" t="s">
        <v>13467</v>
      </c>
      <c r="S885" s="22" t="s">
        <v>13474</v>
      </c>
      <c r="T885" s="22">
        <v>8.17</v>
      </c>
      <c r="U885" s="22">
        <v>0.38</v>
      </c>
      <c r="X885" s="26"/>
      <c r="Y885" s="26"/>
    </row>
    <row r="886" spans="1:25" ht="25" x14ac:dyDescent="0.25">
      <c r="A886" s="21">
        <v>1186</v>
      </c>
      <c r="B886" s="22" t="s">
        <v>15368</v>
      </c>
      <c r="C886" s="22" t="s">
        <v>12324</v>
      </c>
      <c r="D886" s="23">
        <v>341679</v>
      </c>
      <c r="E886" s="24">
        <v>1998</v>
      </c>
      <c r="F886" s="22" t="s">
        <v>12683</v>
      </c>
      <c r="G886" s="23" t="s">
        <v>12684</v>
      </c>
      <c r="H886" s="25" t="s">
        <v>15373</v>
      </c>
      <c r="I886" s="22" t="s">
        <v>15374</v>
      </c>
      <c r="J886" s="22" t="s">
        <v>15516</v>
      </c>
      <c r="K886" s="26">
        <f t="shared" si="13"/>
        <v>790</v>
      </c>
      <c r="N886" s="26">
        <v>1185</v>
      </c>
      <c r="O886" s="22" t="s">
        <v>12685</v>
      </c>
      <c r="P886" s="22" t="s">
        <v>12686</v>
      </c>
      <c r="Q886" s="22">
        <v>91105</v>
      </c>
      <c r="R886" s="22" t="s">
        <v>12486</v>
      </c>
      <c r="S886" s="22" t="s">
        <v>12487</v>
      </c>
      <c r="T886" s="22">
        <v>8.17</v>
      </c>
      <c r="U886" s="22">
        <v>0.38</v>
      </c>
      <c r="X886" s="26"/>
      <c r="Y886" s="26"/>
    </row>
    <row r="887" spans="1:25" ht="25" x14ac:dyDescent="0.25">
      <c r="A887" s="21">
        <v>1187</v>
      </c>
      <c r="B887" s="22" t="s">
        <v>15368</v>
      </c>
      <c r="C887" s="22" t="s">
        <v>12324</v>
      </c>
      <c r="D887" s="23">
        <v>341681</v>
      </c>
      <c r="E887" s="24">
        <v>1998</v>
      </c>
      <c r="F887" s="22" t="s">
        <v>12687</v>
      </c>
      <c r="G887" s="23" t="s">
        <v>12684</v>
      </c>
      <c r="H887" s="25" t="s">
        <v>15373</v>
      </c>
      <c r="I887" s="22" t="s">
        <v>15374</v>
      </c>
      <c r="J887" s="22" t="s">
        <v>15516</v>
      </c>
      <c r="K887" s="26">
        <f t="shared" si="13"/>
        <v>790</v>
      </c>
      <c r="N887" s="26">
        <v>1185</v>
      </c>
      <c r="O887" s="22" t="s">
        <v>12688</v>
      </c>
      <c r="P887" s="22" t="s">
        <v>15376</v>
      </c>
      <c r="Q887" s="22">
        <v>90017</v>
      </c>
      <c r="R887" s="22" t="s">
        <v>16887</v>
      </c>
      <c r="S887" s="22" t="s">
        <v>16888</v>
      </c>
      <c r="T887" s="22">
        <v>8.17</v>
      </c>
      <c r="U887" s="22">
        <v>0.38</v>
      </c>
      <c r="X887" s="26"/>
      <c r="Y887" s="26"/>
    </row>
    <row r="888" spans="1:25" ht="25" x14ac:dyDescent="0.25">
      <c r="A888" s="21">
        <v>1188</v>
      </c>
      <c r="B888" s="22" t="s">
        <v>15368</v>
      </c>
      <c r="C888" s="22" t="s">
        <v>12324</v>
      </c>
      <c r="D888" s="23">
        <v>341689</v>
      </c>
      <c r="E888" s="24">
        <v>1998</v>
      </c>
      <c r="F888" s="22" t="s">
        <v>12689</v>
      </c>
      <c r="G888" s="23" t="s">
        <v>12670</v>
      </c>
      <c r="H888" s="25" t="s">
        <v>15373</v>
      </c>
      <c r="I888" s="22" t="s">
        <v>15411</v>
      </c>
      <c r="J888" s="22" t="s">
        <v>15744</v>
      </c>
      <c r="K888" s="26">
        <f t="shared" si="13"/>
        <v>821.33333333333326</v>
      </c>
      <c r="N888" s="26">
        <v>1232</v>
      </c>
      <c r="O888" s="22" t="s">
        <v>12690</v>
      </c>
      <c r="P888" s="22" t="s">
        <v>14746</v>
      </c>
      <c r="Q888" s="22">
        <v>91719</v>
      </c>
      <c r="R888" s="22" t="s">
        <v>12510</v>
      </c>
      <c r="S888" s="22" t="s">
        <v>12511</v>
      </c>
      <c r="T888" s="22">
        <v>8.17</v>
      </c>
      <c r="U888" s="22">
        <v>0.38</v>
      </c>
      <c r="X888" s="26"/>
      <c r="Y888" s="26"/>
    </row>
    <row r="889" spans="1:25" ht="37.5" x14ac:dyDescent="0.25">
      <c r="A889" s="21">
        <v>1189</v>
      </c>
      <c r="B889" s="22" t="s">
        <v>15368</v>
      </c>
      <c r="C889" s="22" t="s">
        <v>12324</v>
      </c>
      <c r="D889" s="23">
        <v>346183</v>
      </c>
      <c r="E889" s="24">
        <v>1998</v>
      </c>
      <c r="F889" s="22" t="s">
        <v>12691</v>
      </c>
      <c r="G889" s="23" t="s">
        <v>12692</v>
      </c>
      <c r="H889" s="25" t="s">
        <v>15373</v>
      </c>
      <c r="I889" s="22" t="s">
        <v>15374</v>
      </c>
      <c r="J889" s="22" t="s">
        <v>15400</v>
      </c>
      <c r="K889" s="26">
        <f t="shared" si="13"/>
        <v>1400</v>
      </c>
      <c r="N889" s="26">
        <v>2100</v>
      </c>
      <c r="O889" s="22" t="s">
        <v>12693</v>
      </c>
      <c r="P889" s="22" t="s">
        <v>15376</v>
      </c>
      <c r="Q889" s="22">
        <v>90007</v>
      </c>
      <c r="R889" s="22" t="s">
        <v>12694</v>
      </c>
      <c r="S889" s="22" t="s">
        <v>12487</v>
      </c>
      <c r="T889" s="22">
        <v>8.17</v>
      </c>
      <c r="U889" s="22">
        <v>0.38</v>
      </c>
      <c r="X889" s="26"/>
      <c r="Y889" s="26"/>
    </row>
    <row r="890" spans="1:25" ht="37.5" x14ac:dyDescent="0.25">
      <c r="A890" s="21">
        <v>1190</v>
      </c>
      <c r="B890" s="22" t="s">
        <v>15368</v>
      </c>
      <c r="C890" s="22" t="s">
        <v>12324</v>
      </c>
      <c r="D890" s="23">
        <v>353374</v>
      </c>
      <c r="E890" s="24">
        <v>1999</v>
      </c>
      <c r="F890" s="22" t="s">
        <v>12695</v>
      </c>
      <c r="G890" s="23" t="s">
        <v>12696</v>
      </c>
      <c r="H890" s="25" t="s">
        <v>15373</v>
      </c>
      <c r="I890" s="22" t="s">
        <v>15374</v>
      </c>
      <c r="J890" s="22" t="s">
        <v>15516</v>
      </c>
      <c r="K890" s="26">
        <f t="shared" si="13"/>
        <v>800</v>
      </c>
      <c r="L890" s="26">
        <v>800</v>
      </c>
      <c r="O890" s="22" t="s">
        <v>12697</v>
      </c>
      <c r="P890" s="22" t="s">
        <v>15422</v>
      </c>
      <c r="Q890" s="22">
        <v>91504</v>
      </c>
      <c r="R890" s="22" t="s">
        <v>13467</v>
      </c>
      <c r="S890" s="22" t="s">
        <v>12485</v>
      </c>
      <c r="T890" s="22">
        <v>8.17</v>
      </c>
      <c r="U890" s="22">
        <v>0.38</v>
      </c>
      <c r="X890" s="26"/>
      <c r="Y890" s="26"/>
    </row>
    <row r="891" spans="1:25" ht="37.5" x14ac:dyDescent="0.25">
      <c r="A891" s="21">
        <v>1191</v>
      </c>
      <c r="B891" s="22" t="s">
        <v>15368</v>
      </c>
      <c r="C891" s="22" t="s">
        <v>12324</v>
      </c>
      <c r="D891" s="23">
        <v>356657</v>
      </c>
      <c r="E891" s="24">
        <v>1999</v>
      </c>
      <c r="F891" s="22" t="s">
        <v>12698</v>
      </c>
      <c r="G891" s="23" t="s">
        <v>12699</v>
      </c>
      <c r="H891" s="25" t="s">
        <v>15373</v>
      </c>
      <c r="I891" s="22" t="s">
        <v>15374</v>
      </c>
      <c r="J891" s="22" t="s">
        <v>12592</v>
      </c>
      <c r="K891" s="26">
        <f t="shared" si="13"/>
        <v>1435.3333333333333</v>
      </c>
      <c r="N891" s="26">
        <v>2153</v>
      </c>
      <c r="O891" s="22" t="s">
        <v>12700</v>
      </c>
      <c r="P891" s="22" t="s">
        <v>15376</v>
      </c>
      <c r="Q891" s="22">
        <v>90067</v>
      </c>
      <c r="R891" s="22" t="s">
        <v>12701</v>
      </c>
      <c r="S891" s="22" t="s">
        <v>12702</v>
      </c>
      <c r="T891" s="22">
        <v>8.17</v>
      </c>
      <c r="U891" s="22">
        <v>0.38</v>
      </c>
      <c r="X891" s="26"/>
      <c r="Y891" s="26"/>
    </row>
    <row r="892" spans="1:25" ht="37.5" x14ac:dyDescent="0.25">
      <c r="A892" s="21">
        <v>1192</v>
      </c>
      <c r="B892" s="22" t="s">
        <v>15368</v>
      </c>
      <c r="C892" s="22" t="s">
        <v>12324</v>
      </c>
      <c r="D892" s="23">
        <v>356659</v>
      </c>
      <c r="E892" s="24">
        <v>1999</v>
      </c>
      <c r="F892" s="22" t="s">
        <v>12703</v>
      </c>
      <c r="G892" s="23" t="s">
        <v>12699</v>
      </c>
      <c r="H892" s="25" t="s">
        <v>15373</v>
      </c>
      <c r="I892" s="22" t="s">
        <v>15374</v>
      </c>
      <c r="J892" s="22" t="s">
        <v>12592</v>
      </c>
      <c r="K892" s="26">
        <f t="shared" si="13"/>
        <v>1435.3333333333333</v>
      </c>
      <c r="N892" s="26">
        <v>2153</v>
      </c>
      <c r="O892" s="22" t="s">
        <v>12704</v>
      </c>
      <c r="P892" s="22" t="s">
        <v>15376</v>
      </c>
      <c r="Q892" s="22">
        <v>90063</v>
      </c>
      <c r="R892" s="22" t="s">
        <v>12486</v>
      </c>
      <c r="S892" s="22" t="s">
        <v>12705</v>
      </c>
      <c r="T892" s="22">
        <v>8.17</v>
      </c>
      <c r="U892" s="22">
        <v>0.38</v>
      </c>
      <c r="X892" s="26"/>
      <c r="Y892" s="26"/>
    </row>
    <row r="893" spans="1:25" ht="37.5" x14ac:dyDescent="0.25">
      <c r="A893" s="21">
        <v>1193</v>
      </c>
      <c r="B893" s="22" t="s">
        <v>15368</v>
      </c>
      <c r="C893" s="22" t="s">
        <v>12324</v>
      </c>
      <c r="D893" s="23">
        <v>359480</v>
      </c>
      <c r="E893" s="24">
        <v>1999</v>
      </c>
      <c r="F893" s="22" t="s">
        <v>12706</v>
      </c>
      <c r="G893" s="23" t="s">
        <v>12707</v>
      </c>
      <c r="H893" s="25" t="s">
        <v>15373</v>
      </c>
      <c r="I893" s="22" t="s">
        <v>15374</v>
      </c>
      <c r="J893" s="22" t="s">
        <v>15677</v>
      </c>
      <c r="K893" s="26">
        <f t="shared" si="13"/>
        <v>2000</v>
      </c>
      <c r="L893" s="26">
        <v>2000</v>
      </c>
      <c r="O893" s="22" t="s">
        <v>12550</v>
      </c>
      <c r="P893" s="22" t="s">
        <v>16500</v>
      </c>
      <c r="Q893" s="22" t="s">
        <v>12708</v>
      </c>
      <c r="R893" s="22" t="s">
        <v>13467</v>
      </c>
      <c r="S893" s="22" t="s">
        <v>12551</v>
      </c>
      <c r="T893" s="22">
        <v>8.17</v>
      </c>
      <c r="U893" s="22">
        <v>0.38</v>
      </c>
      <c r="X893" s="26"/>
      <c r="Y893" s="26"/>
    </row>
    <row r="894" spans="1:25" ht="37.5" x14ac:dyDescent="0.25">
      <c r="A894" s="21">
        <v>1194</v>
      </c>
      <c r="B894" s="22" t="s">
        <v>15368</v>
      </c>
      <c r="C894" s="22" t="s">
        <v>12324</v>
      </c>
      <c r="D894" s="23">
        <v>362645</v>
      </c>
      <c r="E894" s="24">
        <v>1999</v>
      </c>
      <c r="F894" s="22" t="s">
        <v>12709</v>
      </c>
      <c r="G894" s="23" t="s">
        <v>12710</v>
      </c>
      <c r="H894" s="25" t="s">
        <v>15373</v>
      </c>
      <c r="I894" s="22" t="s">
        <v>15382</v>
      </c>
      <c r="J894" s="22" t="s">
        <v>15046</v>
      </c>
      <c r="K894" s="26">
        <f t="shared" si="13"/>
        <v>893.33333333333326</v>
      </c>
      <c r="N894" s="26">
        <v>1340</v>
      </c>
      <c r="O894" s="22" t="s">
        <v>12711</v>
      </c>
      <c r="P894" s="22" t="s">
        <v>15435</v>
      </c>
      <c r="Q894" s="22">
        <v>92627</v>
      </c>
      <c r="R894" s="22" t="s">
        <v>12510</v>
      </c>
      <c r="S894" s="22" t="s">
        <v>12712</v>
      </c>
      <c r="T894" s="22">
        <v>8.17</v>
      </c>
      <c r="U894" s="22">
        <v>0.38</v>
      </c>
      <c r="X894" s="26"/>
      <c r="Y894" s="26"/>
    </row>
    <row r="895" spans="1:25" ht="37.5" x14ac:dyDescent="0.25">
      <c r="A895" s="21">
        <v>1195</v>
      </c>
      <c r="B895" s="22" t="s">
        <v>15368</v>
      </c>
      <c r="C895" s="22" t="s">
        <v>12324</v>
      </c>
      <c r="D895" s="23">
        <v>362647</v>
      </c>
      <c r="E895" s="24">
        <v>1999</v>
      </c>
      <c r="F895" s="22" t="s">
        <v>12713</v>
      </c>
      <c r="G895" s="23" t="s">
        <v>12714</v>
      </c>
      <c r="H895" s="25" t="s">
        <v>15373</v>
      </c>
      <c r="I895" s="22" t="s">
        <v>15382</v>
      </c>
      <c r="J895" s="22" t="s">
        <v>15046</v>
      </c>
      <c r="K895" s="26">
        <f t="shared" si="13"/>
        <v>893.33333333333326</v>
      </c>
      <c r="N895" s="26">
        <v>1340</v>
      </c>
      <c r="O895" s="22" t="s">
        <v>12509</v>
      </c>
      <c r="P895" s="22" t="s">
        <v>16863</v>
      </c>
      <c r="Q895" s="22">
        <v>92680</v>
      </c>
      <c r="R895" s="22" t="s">
        <v>12510</v>
      </c>
      <c r="S895" s="22" t="s">
        <v>12511</v>
      </c>
      <c r="T895" s="22">
        <v>8.17</v>
      </c>
      <c r="U895" s="22">
        <v>0.38</v>
      </c>
      <c r="X895" s="26"/>
      <c r="Y895" s="26"/>
    </row>
    <row r="896" spans="1:25" ht="37.5" x14ac:dyDescent="0.25">
      <c r="A896" s="21">
        <v>1196</v>
      </c>
      <c r="B896" s="22" t="s">
        <v>15368</v>
      </c>
      <c r="C896" s="22" t="s">
        <v>12324</v>
      </c>
      <c r="D896" s="23">
        <v>363420</v>
      </c>
      <c r="E896" s="24">
        <v>1999</v>
      </c>
      <c r="F896" s="22" t="s">
        <v>12715</v>
      </c>
      <c r="G896" s="23" t="s">
        <v>10535</v>
      </c>
      <c r="H896" s="25" t="s">
        <v>15373</v>
      </c>
      <c r="I896" s="22" t="s">
        <v>15411</v>
      </c>
      <c r="J896" s="22" t="s">
        <v>15744</v>
      </c>
      <c r="K896" s="26">
        <f t="shared" si="13"/>
        <v>821.33333333333326</v>
      </c>
      <c r="N896" s="26">
        <v>1232</v>
      </c>
      <c r="O896" s="22" t="s">
        <v>10536</v>
      </c>
      <c r="P896" s="22" t="s">
        <v>15582</v>
      </c>
      <c r="Q896" s="22">
        <v>92688</v>
      </c>
      <c r="R896" s="22" t="s">
        <v>12520</v>
      </c>
      <c r="S896" s="22" t="s">
        <v>12521</v>
      </c>
      <c r="T896" s="22">
        <v>8.17</v>
      </c>
      <c r="U896" s="22">
        <v>0.38</v>
      </c>
      <c r="X896" s="26"/>
      <c r="Y896" s="26"/>
    </row>
    <row r="897" spans="1:25" ht="37.5" x14ac:dyDescent="0.25">
      <c r="A897" s="21">
        <v>1197</v>
      </c>
      <c r="B897" s="22" t="s">
        <v>15368</v>
      </c>
      <c r="C897" s="22" t="s">
        <v>12324</v>
      </c>
      <c r="D897" s="23">
        <v>371437</v>
      </c>
      <c r="E897" s="24">
        <v>2000</v>
      </c>
      <c r="F897" s="22" t="s">
        <v>10537</v>
      </c>
      <c r="G897" s="23" t="s">
        <v>10538</v>
      </c>
      <c r="H897" s="25" t="s">
        <v>15373</v>
      </c>
      <c r="I897" s="22" t="s">
        <v>15374</v>
      </c>
      <c r="J897" s="22" t="s">
        <v>15400</v>
      </c>
      <c r="K897" s="26">
        <f t="shared" si="13"/>
        <v>1500</v>
      </c>
      <c r="L897" s="26">
        <v>1500</v>
      </c>
      <c r="O897" s="22" t="s">
        <v>10539</v>
      </c>
      <c r="P897" s="22" t="s">
        <v>15376</v>
      </c>
      <c r="Q897" s="22">
        <v>90029</v>
      </c>
      <c r="R897" s="22" t="s">
        <v>10540</v>
      </c>
      <c r="S897" s="22" t="s">
        <v>10541</v>
      </c>
      <c r="T897" s="22">
        <v>6.9</v>
      </c>
      <c r="U897" s="22">
        <v>0.4</v>
      </c>
      <c r="X897" s="26"/>
      <c r="Y897" s="26"/>
    </row>
    <row r="898" spans="1:25" ht="37.5" x14ac:dyDescent="0.25">
      <c r="A898" s="21">
        <v>1198</v>
      </c>
      <c r="B898" s="22" t="s">
        <v>15368</v>
      </c>
      <c r="C898" s="22" t="s">
        <v>12324</v>
      </c>
      <c r="D898" s="23">
        <v>375322</v>
      </c>
      <c r="E898" s="24">
        <v>2000</v>
      </c>
      <c r="F898" s="22" t="s">
        <v>10542</v>
      </c>
      <c r="G898" s="23" t="s">
        <v>10543</v>
      </c>
      <c r="H898" s="25" t="s">
        <v>15373</v>
      </c>
      <c r="I898" s="22" t="s">
        <v>15374</v>
      </c>
      <c r="J898" s="22" t="s">
        <v>15400</v>
      </c>
      <c r="K898" s="26">
        <f t="shared" ref="K898:K961" si="14">L898+M898*(2/3)+N898*(2/3)</f>
        <v>1500</v>
      </c>
      <c r="L898" s="26">
        <v>1500</v>
      </c>
      <c r="O898" s="22" t="s">
        <v>12502</v>
      </c>
      <c r="P898" s="22" t="s">
        <v>13028</v>
      </c>
      <c r="Q898" s="22">
        <v>91324</v>
      </c>
      <c r="R898" s="22" t="s">
        <v>13467</v>
      </c>
      <c r="S898" s="22" t="s">
        <v>13474</v>
      </c>
      <c r="T898" s="22">
        <v>6.9</v>
      </c>
      <c r="U898" s="22">
        <v>0.4</v>
      </c>
      <c r="X898" s="26"/>
      <c r="Y898" s="26"/>
    </row>
    <row r="899" spans="1:25" ht="37.5" x14ac:dyDescent="0.25">
      <c r="A899" s="21">
        <v>1199</v>
      </c>
      <c r="B899" s="22" t="s">
        <v>15368</v>
      </c>
      <c r="C899" s="22" t="s">
        <v>12324</v>
      </c>
      <c r="D899" s="23">
        <v>375325</v>
      </c>
      <c r="E899" s="24">
        <v>2000</v>
      </c>
      <c r="F899" s="22" t="s">
        <v>10544</v>
      </c>
      <c r="G899" s="23" t="s">
        <v>10545</v>
      </c>
      <c r="H899" s="25" t="s">
        <v>15373</v>
      </c>
      <c r="I899" s="22" t="s">
        <v>15374</v>
      </c>
      <c r="J899" s="22" t="s">
        <v>15731</v>
      </c>
      <c r="K899" s="26">
        <f t="shared" si="14"/>
        <v>1200</v>
      </c>
      <c r="N899" s="26">
        <v>1800</v>
      </c>
      <c r="O899" s="22" t="s">
        <v>10546</v>
      </c>
      <c r="P899" s="22" t="s">
        <v>14108</v>
      </c>
      <c r="Q899" s="22">
        <v>91601</v>
      </c>
      <c r="R899" s="22" t="s">
        <v>10547</v>
      </c>
      <c r="S899" s="22" t="s">
        <v>10548</v>
      </c>
      <c r="T899" s="22">
        <v>6.9</v>
      </c>
      <c r="U899" s="22">
        <v>0.4</v>
      </c>
      <c r="X899" s="26"/>
      <c r="Y899" s="26"/>
    </row>
    <row r="900" spans="1:25" ht="37.5" x14ac:dyDescent="0.25">
      <c r="A900" s="21">
        <v>1201</v>
      </c>
      <c r="B900" s="22" t="s">
        <v>15368</v>
      </c>
      <c r="C900" s="22" t="s">
        <v>12324</v>
      </c>
      <c r="D900" s="23">
        <v>376200</v>
      </c>
      <c r="E900" s="24">
        <v>2000</v>
      </c>
      <c r="F900" s="22" t="s">
        <v>10549</v>
      </c>
      <c r="G900" s="23" t="s">
        <v>12696</v>
      </c>
      <c r="H900" s="25" t="s">
        <v>15373</v>
      </c>
      <c r="I900" s="22" t="s">
        <v>15374</v>
      </c>
      <c r="J900" s="22" t="s">
        <v>15516</v>
      </c>
      <c r="K900" s="26">
        <f t="shared" si="14"/>
        <v>800</v>
      </c>
      <c r="L900" s="26">
        <v>800</v>
      </c>
      <c r="O900" s="22" t="s">
        <v>10550</v>
      </c>
      <c r="P900" s="22" t="s">
        <v>15879</v>
      </c>
      <c r="Q900" s="22">
        <v>91006</v>
      </c>
      <c r="R900" s="22" t="s">
        <v>10551</v>
      </c>
      <c r="S900" s="22" t="s">
        <v>12485</v>
      </c>
      <c r="T900" s="22">
        <v>6.9</v>
      </c>
      <c r="U900" s="22">
        <v>0.4</v>
      </c>
      <c r="X900" s="26"/>
      <c r="Y900" s="26"/>
    </row>
    <row r="901" spans="1:25" ht="50" x14ac:dyDescent="0.25">
      <c r="A901" s="21">
        <v>1202</v>
      </c>
      <c r="B901" s="22" t="s">
        <v>15368</v>
      </c>
      <c r="C901" s="22" t="s">
        <v>10552</v>
      </c>
      <c r="D901" s="23">
        <v>273642</v>
      </c>
      <c r="E901" s="24">
        <v>1992</v>
      </c>
      <c r="F901" s="22" t="s">
        <v>10553</v>
      </c>
      <c r="G901" s="23" t="s">
        <v>10554</v>
      </c>
      <c r="H901" s="25" t="s">
        <v>15373</v>
      </c>
      <c r="I901" s="22" t="s">
        <v>15374</v>
      </c>
      <c r="J901" s="22" t="s">
        <v>15731</v>
      </c>
      <c r="K901" s="26">
        <f t="shared" si="14"/>
        <v>962</v>
      </c>
      <c r="N901" s="26">
        <v>1443</v>
      </c>
      <c r="O901" s="22" t="s">
        <v>10555</v>
      </c>
      <c r="P901" s="22" t="s">
        <v>15376</v>
      </c>
      <c r="Q901" s="22">
        <v>90036</v>
      </c>
      <c r="R901" s="22" t="s">
        <v>13467</v>
      </c>
      <c r="S901" s="22" t="s">
        <v>13474</v>
      </c>
      <c r="T901" s="22">
        <v>8.17</v>
      </c>
      <c r="U901" s="22">
        <v>0.38</v>
      </c>
      <c r="X901" s="26"/>
      <c r="Y901" s="26"/>
    </row>
    <row r="902" spans="1:25" ht="37.5" x14ac:dyDescent="0.25">
      <c r="A902" s="21">
        <v>1204</v>
      </c>
      <c r="B902" s="22" t="s">
        <v>15368</v>
      </c>
      <c r="C902" s="22" t="s">
        <v>10556</v>
      </c>
      <c r="D902" s="23">
        <v>258132</v>
      </c>
      <c r="E902" s="24">
        <v>1991</v>
      </c>
      <c r="F902" s="22" t="s">
        <v>10557</v>
      </c>
      <c r="G902" s="23" t="s">
        <v>10558</v>
      </c>
      <c r="H902" s="25" t="s">
        <v>15373</v>
      </c>
      <c r="I902" s="22" t="s">
        <v>15374</v>
      </c>
      <c r="J902" s="22">
        <v>3508</v>
      </c>
      <c r="K902" s="26">
        <f t="shared" si="14"/>
        <v>730.66666666666663</v>
      </c>
      <c r="N902" s="26">
        <v>1096</v>
      </c>
      <c r="O902" s="22" t="s">
        <v>10559</v>
      </c>
      <c r="P902" s="22" t="s">
        <v>16853</v>
      </c>
      <c r="Q902" s="22">
        <v>92714</v>
      </c>
      <c r="R902" s="22" t="s">
        <v>10560</v>
      </c>
      <c r="S902" s="22" t="s">
        <v>13459</v>
      </c>
      <c r="T902" s="22">
        <v>8.17</v>
      </c>
      <c r="U902" s="22">
        <v>0.38</v>
      </c>
      <c r="X902" s="26"/>
      <c r="Y902" s="26"/>
    </row>
    <row r="903" spans="1:25" ht="37.5" x14ac:dyDescent="0.25">
      <c r="A903" s="21">
        <v>1205</v>
      </c>
      <c r="B903" s="22" t="s">
        <v>15368</v>
      </c>
      <c r="C903" s="22" t="s">
        <v>10556</v>
      </c>
      <c r="D903" s="23">
        <v>362814</v>
      </c>
      <c r="E903" s="24">
        <v>1999</v>
      </c>
      <c r="F903" s="22" t="s">
        <v>10561</v>
      </c>
      <c r="G903" s="23" t="s">
        <v>10562</v>
      </c>
      <c r="H903" s="25" t="s">
        <v>15373</v>
      </c>
      <c r="I903" s="22" t="s">
        <v>15374</v>
      </c>
      <c r="J903" s="22" t="s">
        <v>10563</v>
      </c>
      <c r="K903" s="26">
        <f t="shared" si="14"/>
        <v>883.33333333333326</v>
      </c>
      <c r="N903" s="26">
        <v>1325</v>
      </c>
      <c r="O903" s="22" t="s">
        <v>10559</v>
      </c>
      <c r="P903" s="22" t="s">
        <v>16853</v>
      </c>
      <c r="Q903" s="22">
        <v>92714</v>
      </c>
      <c r="R903" s="22" t="s">
        <v>10560</v>
      </c>
      <c r="S903" s="22" t="s">
        <v>13459</v>
      </c>
      <c r="T903" s="22">
        <v>8.17</v>
      </c>
      <c r="U903" s="22">
        <v>0.38</v>
      </c>
      <c r="X903" s="26"/>
      <c r="Y903" s="26"/>
    </row>
    <row r="904" spans="1:25" ht="37.5" x14ac:dyDescent="0.25">
      <c r="A904" s="21">
        <v>1206</v>
      </c>
      <c r="B904" s="22" t="s">
        <v>15368</v>
      </c>
      <c r="C904" s="22" t="s">
        <v>10564</v>
      </c>
      <c r="D904" s="23">
        <v>322298</v>
      </c>
      <c r="E904" s="24">
        <v>1996</v>
      </c>
      <c r="F904" s="22" t="s">
        <v>10565</v>
      </c>
      <c r="G904" s="23" t="s">
        <v>10566</v>
      </c>
      <c r="H904" s="25" t="s">
        <v>15373</v>
      </c>
      <c r="I904" s="22" t="s">
        <v>15411</v>
      </c>
      <c r="J904" s="22" t="s">
        <v>12830</v>
      </c>
      <c r="K904" s="26">
        <f t="shared" si="14"/>
        <v>640</v>
      </c>
      <c r="N904" s="26">
        <v>960</v>
      </c>
      <c r="O904" s="22" t="s">
        <v>10567</v>
      </c>
      <c r="P904" s="22" t="s">
        <v>15703</v>
      </c>
      <c r="Q904" s="22">
        <v>90245</v>
      </c>
      <c r="R904" s="22" t="s">
        <v>10568</v>
      </c>
      <c r="S904" s="22" t="s">
        <v>10569</v>
      </c>
      <c r="T904" s="22">
        <v>8.17</v>
      </c>
      <c r="U904" s="22">
        <v>0.38</v>
      </c>
      <c r="X904" s="26"/>
      <c r="Y904" s="26"/>
    </row>
    <row r="905" spans="1:25" ht="25" x14ac:dyDescent="0.25">
      <c r="A905" s="21">
        <v>1207</v>
      </c>
      <c r="B905" s="22" t="s">
        <v>15368</v>
      </c>
      <c r="C905" s="22" t="s">
        <v>10570</v>
      </c>
      <c r="D905" s="23">
        <v>135078</v>
      </c>
      <c r="E905" s="24">
        <v>1985</v>
      </c>
      <c r="F905" s="22" t="s">
        <v>10571</v>
      </c>
      <c r="G905" s="23" t="s">
        <v>10572</v>
      </c>
      <c r="H905" s="25" t="s">
        <v>15373</v>
      </c>
      <c r="I905" s="22" t="s">
        <v>15382</v>
      </c>
      <c r="J905" s="22" t="s">
        <v>10573</v>
      </c>
      <c r="K905" s="26">
        <f t="shared" si="14"/>
        <v>300</v>
      </c>
      <c r="L905" s="26">
        <v>300</v>
      </c>
      <c r="O905" s="22" t="s">
        <v>10574</v>
      </c>
      <c r="P905" s="22" t="s">
        <v>15740</v>
      </c>
      <c r="Q905" s="22">
        <v>90806</v>
      </c>
      <c r="R905" s="22" t="s">
        <v>10575</v>
      </c>
      <c r="S905" s="22" t="s">
        <v>10576</v>
      </c>
      <c r="T905" s="22">
        <v>11</v>
      </c>
      <c r="U905" s="22">
        <v>0.53</v>
      </c>
      <c r="X905" s="26"/>
      <c r="Y905" s="26"/>
    </row>
    <row r="906" spans="1:25" ht="25" x14ac:dyDescent="0.25">
      <c r="A906" s="21">
        <v>1208</v>
      </c>
      <c r="B906" s="22" t="s">
        <v>15368</v>
      </c>
      <c r="C906" s="22" t="s">
        <v>10570</v>
      </c>
      <c r="D906" s="23">
        <v>135079</v>
      </c>
      <c r="E906" s="24">
        <v>1985</v>
      </c>
      <c r="F906" s="22" t="s">
        <v>10577</v>
      </c>
      <c r="G906" s="23" t="s">
        <v>10578</v>
      </c>
      <c r="H906" s="25" t="s">
        <v>15373</v>
      </c>
      <c r="I906" s="22" t="s">
        <v>15382</v>
      </c>
      <c r="J906" s="22" t="s">
        <v>10579</v>
      </c>
      <c r="K906" s="26">
        <f t="shared" si="14"/>
        <v>300</v>
      </c>
      <c r="L906" s="26">
        <v>300</v>
      </c>
      <c r="O906" s="22" t="s">
        <v>10574</v>
      </c>
      <c r="P906" s="22" t="s">
        <v>15740</v>
      </c>
      <c r="Q906" s="22">
        <v>90806</v>
      </c>
      <c r="R906" s="22" t="s">
        <v>10575</v>
      </c>
      <c r="S906" s="22" t="s">
        <v>10576</v>
      </c>
      <c r="T906" s="22">
        <v>11</v>
      </c>
      <c r="U906" s="22">
        <v>0.53</v>
      </c>
      <c r="X906" s="26"/>
      <c r="Y906" s="26"/>
    </row>
    <row r="907" spans="1:25" ht="37.5" x14ac:dyDescent="0.25">
      <c r="A907" s="21">
        <v>1209</v>
      </c>
      <c r="B907" s="22" t="s">
        <v>15368</v>
      </c>
      <c r="C907" s="22" t="s">
        <v>10580</v>
      </c>
      <c r="D907" s="23">
        <v>227661</v>
      </c>
      <c r="E907" s="24">
        <v>1990</v>
      </c>
      <c r="F907" s="22" t="s">
        <v>10581</v>
      </c>
      <c r="G907" s="23" t="s">
        <v>10582</v>
      </c>
      <c r="H907" s="25" t="s">
        <v>15373</v>
      </c>
      <c r="I907" s="22" t="s">
        <v>15374</v>
      </c>
      <c r="J907" s="22">
        <v>3406</v>
      </c>
      <c r="K907" s="26">
        <f t="shared" si="14"/>
        <v>346</v>
      </c>
      <c r="N907" s="26">
        <v>519</v>
      </c>
      <c r="O907" s="22" t="s">
        <v>12772</v>
      </c>
      <c r="P907" s="22" t="s">
        <v>15537</v>
      </c>
      <c r="Q907" s="22">
        <v>92660</v>
      </c>
      <c r="R907" s="22" t="s">
        <v>12773</v>
      </c>
      <c r="S907" s="22" t="s">
        <v>12774</v>
      </c>
      <c r="T907" s="22">
        <v>8.17</v>
      </c>
      <c r="U907" s="22">
        <v>0.38</v>
      </c>
      <c r="X907" s="26"/>
      <c r="Y907" s="26"/>
    </row>
    <row r="908" spans="1:25" ht="25" x14ac:dyDescent="0.25">
      <c r="A908" s="21">
        <v>1210</v>
      </c>
      <c r="B908" s="22" t="s">
        <v>15368</v>
      </c>
      <c r="C908" s="22" t="s">
        <v>10580</v>
      </c>
      <c r="D908" s="23">
        <v>346456</v>
      </c>
      <c r="E908" s="24">
        <v>1998</v>
      </c>
      <c r="F908" s="22" t="s">
        <v>12775</v>
      </c>
      <c r="G908" s="23" t="s">
        <v>12776</v>
      </c>
      <c r="H908" s="25" t="s">
        <v>15373</v>
      </c>
      <c r="I908" s="22" t="s">
        <v>15382</v>
      </c>
      <c r="J908" s="22" t="s">
        <v>15640</v>
      </c>
      <c r="K908" s="26">
        <f t="shared" si="14"/>
        <v>993.33333333333326</v>
      </c>
      <c r="N908" s="26">
        <v>1490</v>
      </c>
      <c r="O908" s="22" t="s">
        <v>12772</v>
      </c>
      <c r="P908" s="22" t="s">
        <v>15537</v>
      </c>
      <c r="Q908" s="22" t="s">
        <v>12777</v>
      </c>
      <c r="R908" s="22" t="s">
        <v>12773</v>
      </c>
      <c r="S908" s="22" t="s">
        <v>12774</v>
      </c>
      <c r="T908" s="22">
        <v>8.17</v>
      </c>
      <c r="U908" s="22">
        <v>0.38</v>
      </c>
      <c r="X908" s="26"/>
      <c r="Y908" s="26"/>
    </row>
    <row r="909" spans="1:25" ht="25" x14ac:dyDescent="0.25">
      <c r="A909" s="21">
        <v>1211</v>
      </c>
      <c r="B909" s="22" t="s">
        <v>15368</v>
      </c>
      <c r="C909" s="22" t="s">
        <v>10580</v>
      </c>
      <c r="D909" s="23">
        <v>346457</v>
      </c>
      <c r="E909" s="24">
        <v>1998</v>
      </c>
      <c r="F909" s="22" t="s">
        <v>12778</v>
      </c>
      <c r="G909" s="23" t="s">
        <v>12776</v>
      </c>
      <c r="H909" s="25" t="s">
        <v>15373</v>
      </c>
      <c r="I909" s="22" t="s">
        <v>15382</v>
      </c>
      <c r="J909" s="22" t="s">
        <v>15640</v>
      </c>
      <c r="K909" s="26">
        <f t="shared" si="14"/>
        <v>993.33333333333326</v>
      </c>
      <c r="N909" s="26">
        <v>1490</v>
      </c>
      <c r="O909" s="22" t="s">
        <v>12772</v>
      </c>
      <c r="P909" s="22" t="s">
        <v>15537</v>
      </c>
      <c r="Q909" s="22" t="s">
        <v>12777</v>
      </c>
      <c r="R909" s="22" t="s">
        <v>12773</v>
      </c>
      <c r="S909" s="22" t="s">
        <v>12774</v>
      </c>
      <c r="T909" s="22">
        <v>8.17</v>
      </c>
      <c r="U909" s="22">
        <v>0.38</v>
      </c>
      <c r="X909" s="26"/>
      <c r="Y909" s="26"/>
    </row>
    <row r="910" spans="1:25" ht="25" x14ac:dyDescent="0.25">
      <c r="A910" s="21">
        <v>1212</v>
      </c>
      <c r="B910" s="22" t="s">
        <v>15368</v>
      </c>
      <c r="C910" s="22" t="s">
        <v>10580</v>
      </c>
      <c r="D910" s="23">
        <v>361103</v>
      </c>
      <c r="E910" s="24">
        <v>1999</v>
      </c>
      <c r="F910" s="22" t="s">
        <v>12779</v>
      </c>
      <c r="G910" s="23" t="s">
        <v>12780</v>
      </c>
      <c r="H910" s="25" t="s">
        <v>15373</v>
      </c>
      <c r="I910" s="22" t="s">
        <v>15382</v>
      </c>
      <c r="J910" s="22" t="s">
        <v>16784</v>
      </c>
      <c r="K910" s="26">
        <f t="shared" si="14"/>
        <v>503.33333333333331</v>
      </c>
      <c r="N910" s="26">
        <v>755</v>
      </c>
      <c r="O910" s="22" t="s">
        <v>12772</v>
      </c>
      <c r="P910" s="22" t="s">
        <v>15537</v>
      </c>
      <c r="Q910" s="22">
        <v>92660</v>
      </c>
      <c r="R910" s="22" t="s">
        <v>12773</v>
      </c>
      <c r="S910" s="22" t="s">
        <v>12774</v>
      </c>
      <c r="T910" s="22">
        <v>8.17</v>
      </c>
      <c r="U910" s="22">
        <v>0.38</v>
      </c>
      <c r="X910" s="26"/>
      <c r="Y910" s="26"/>
    </row>
    <row r="911" spans="1:25" ht="25" x14ac:dyDescent="0.25">
      <c r="A911" s="21">
        <v>1213</v>
      </c>
      <c r="B911" s="22" t="s">
        <v>15368</v>
      </c>
      <c r="C911" s="22" t="s">
        <v>12781</v>
      </c>
      <c r="D911" s="23">
        <v>194656</v>
      </c>
      <c r="E911" s="24">
        <v>1989</v>
      </c>
      <c r="F911" s="22" t="s">
        <v>12782</v>
      </c>
      <c r="G911" s="23" t="s">
        <v>12783</v>
      </c>
      <c r="H911" s="25" t="s">
        <v>15373</v>
      </c>
      <c r="I911" s="22" t="s">
        <v>15374</v>
      </c>
      <c r="J911" s="22" t="s">
        <v>15441</v>
      </c>
      <c r="K911" s="26">
        <f t="shared" si="14"/>
        <v>453.33333333333331</v>
      </c>
      <c r="N911" s="26">
        <v>680</v>
      </c>
      <c r="O911" s="22" t="s">
        <v>12784</v>
      </c>
      <c r="P911" s="22" t="s">
        <v>15740</v>
      </c>
      <c r="Q911" s="22">
        <v>90802</v>
      </c>
      <c r="R911" s="22" t="s">
        <v>12785</v>
      </c>
      <c r="S911" s="22" t="s">
        <v>12786</v>
      </c>
      <c r="T911" s="22">
        <v>8.17</v>
      </c>
      <c r="U911" s="22">
        <v>0.38</v>
      </c>
      <c r="X911" s="26"/>
      <c r="Y911" s="26"/>
    </row>
    <row r="912" spans="1:25" ht="37.5" x14ac:dyDescent="0.25">
      <c r="A912" s="21">
        <v>1214</v>
      </c>
      <c r="B912" s="22" t="s">
        <v>15368</v>
      </c>
      <c r="C912" s="22" t="s">
        <v>12787</v>
      </c>
      <c r="D912" s="23">
        <v>276138</v>
      </c>
      <c r="E912" s="24">
        <v>1992</v>
      </c>
      <c r="F912" s="22" t="s">
        <v>12788</v>
      </c>
      <c r="G912" s="23" t="s">
        <v>12789</v>
      </c>
      <c r="H912" s="25" t="s">
        <v>15373</v>
      </c>
      <c r="I912" s="22" t="s">
        <v>15374</v>
      </c>
      <c r="J912" s="22">
        <v>3508</v>
      </c>
      <c r="K912" s="26">
        <f t="shared" si="14"/>
        <v>970.66666666666663</v>
      </c>
      <c r="N912" s="26">
        <v>1456</v>
      </c>
      <c r="O912" s="22" t="s">
        <v>12790</v>
      </c>
      <c r="P912" s="22" t="s">
        <v>13056</v>
      </c>
      <c r="Q912" s="22">
        <v>90630</v>
      </c>
      <c r="R912" s="22" t="s">
        <v>12791</v>
      </c>
      <c r="S912" s="22" t="s">
        <v>12792</v>
      </c>
      <c r="T912" s="22">
        <v>8.17</v>
      </c>
      <c r="U912" s="22">
        <v>0.38</v>
      </c>
      <c r="X912" s="26"/>
      <c r="Y912" s="26"/>
    </row>
    <row r="913" spans="1:25" ht="37.5" x14ac:dyDescent="0.25">
      <c r="A913" s="21">
        <v>1215</v>
      </c>
      <c r="B913" s="22" t="s">
        <v>15368</v>
      </c>
      <c r="C913" s="22" t="s">
        <v>11659</v>
      </c>
      <c r="D913" s="23">
        <v>311736</v>
      </c>
      <c r="E913" s="24">
        <v>1996</v>
      </c>
      <c r="F913" s="22" t="s">
        <v>11660</v>
      </c>
      <c r="G913" s="23" t="s">
        <v>11661</v>
      </c>
      <c r="H913" s="25" t="s">
        <v>15373</v>
      </c>
      <c r="I913" s="22" t="s">
        <v>15374</v>
      </c>
      <c r="J913" s="22" t="s">
        <v>15516</v>
      </c>
      <c r="K913" s="26">
        <f t="shared" si="14"/>
        <v>750</v>
      </c>
      <c r="L913" s="26">
        <v>750</v>
      </c>
      <c r="O913" s="22" t="s">
        <v>11662</v>
      </c>
      <c r="P913" s="22" t="s">
        <v>15957</v>
      </c>
      <c r="Q913" s="22">
        <v>90040</v>
      </c>
      <c r="R913" s="22" t="s">
        <v>11663</v>
      </c>
      <c r="S913" s="22" t="s">
        <v>11664</v>
      </c>
      <c r="T913" s="22">
        <v>8.17</v>
      </c>
      <c r="U913" s="22">
        <v>0.38</v>
      </c>
      <c r="X913" s="26"/>
      <c r="Y913" s="26"/>
    </row>
    <row r="914" spans="1:25" ht="37.5" x14ac:dyDescent="0.25">
      <c r="A914" s="21">
        <v>1216</v>
      </c>
      <c r="B914" s="22" t="s">
        <v>15368</v>
      </c>
      <c r="C914" s="22" t="s">
        <v>11659</v>
      </c>
      <c r="D914" s="23">
        <v>311739</v>
      </c>
      <c r="E914" s="24">
        <v>1996</v>
      </c>
      <c r="F914" s="22" t="s">
        <v>11665</v>
      </c>
      <c r="G914" s="23" t="s">
        <v>11666</v>
      </c>
      <c r="H914" s="25" t="s">
        <v>15373</v>
      </c>
      <c r="I914" s="22" t="s">
        <v>15374</v>
      </c>
      <c r="J914" s="22" t="s">
        <v>15701</v>
      </c>
      <c r="K914" s="26">
        <f t="shared" si="14"/>
        <v>350</v>
      </c>
      <c r="L914" s="26">
        <v>350</v>
      </c>
      <c r="O914" s="22" t="s">
        <v>11662</v>
      </c>
      <c r="P914" s="22" t="s">
        <v>15957</v>
      </c>
      <c r="Q914" s="22">
        <v>90040</v>
      </c>
      <c r="R914" s="22" t="s">
        <v>11663</v>
      </c>
      <c r="S914" s="22" t="s">
        <v>11664</v>
      </c>
      <c r="T914" s="22">
        <v>6.9</v>
      </c>
      <c r="U914" s="22">
        <v>0.4</v>
      </c>
      <c r="X914" s="26"/>
      <c r="Y914" s="26"/>
    </row>
    <row r="915" spans="1:25" ht="37.5" x14ac:dyDescent="0.25">
      <c r="A915" s="21">
        <v>1217</v>
      </c>
      <c r="B915" s="22" t="s">
        <v>15368</v>
      </c>
      <c r="C915" s="22" t="s">
        <v>11667</v>
      </c>
      <c r="D915" s="23">
        <v>363850</v>
      </c>
      <c r="E915" s="24">
        <v>1999</v>
      </c>
      <c r="F915" s="22" t="s">
        <v>11668</v>
      </c>
      <c r="G915" s="23" t="s">
        <v>11669</v>
      </c>
      <c r="H915" s="25" t="s">
        <v>15373</v>
      </c>
      <c r="I915" s="22" t="s">
        <v>15374</v>
      </c>
      <c r="J915" s="22" t="s">
        <v>14709</v>
      </c>
      <c r="K915" s="26">
        <f t="shared" si="14"/>
        <v>600</v>
      </c>
      <c r="L915" s="26">
        <v>600</v>
      </c>
      <c r="O915" s="22" t="s">
        <v>11670</v>
      </c>
      <c r="P915" s="22" t="s">
        <v>11671</v>
      </c>
      <c r="Q915" s="22">
        <v>92234</v>
      </c>
      <c r="R915" s="22" t="s">
        <v>11672</v>
      </c>
      <c r="S915" s="22" t="s">
        <v>11673</v>
      </c>
      <c r="T915" s="22">
        <v>8.17</v>
      </c>
      <c r="U915" s="22">
        <v>0.38</v>
      </c>
      <c r="X915" s="26"/>
      <c r="Y915" s="26"/>
    </row>
    <row r="916" spans="1:25" ht="25" x14ac:dyDescent="0.25">
      <c r="A916" s="21">
        <v>1219</v>
      </c>
      <c r="B916" s="22" t="s">
        <v>15368</v>
      </c>
      <c r="C916" s="22" t="s">
        <v>11674</v>
      </c>
      <c r="D916" s="23">
        <v>335069</v>
      </c>
      <c r="E916" s="24">
        <v>1997</v>
      </c>
      <c r="F916" s="22" t="s">
        <v>11675</v>
      </c>
      <c r="G916" s="23" t="s">
        <v>13316</v>
      </c>
      <c r="H916" s="25" t="s">
        <v>15373</v>
      </c>
      <c r="I916" s="22" t="s">
        <v>15382</v>
      </c>
      <c r="J916" s="22" t="s">
        <v>16811</v>
      </c>
      <c r="K916" s="26">
        <f t="shared" si="14"/>
        <v>356.66666666666663</v>
      </c>
      <c r="N916" s="26">
        <v>535</v>
      </c>
      <c r="O916" s="22" t="s">
        <v>11676</v>
      </c>
      <c r="P916" s="22" t="s">
        <v>15740</v>
      </c>
      <c r="Q916" s="22">
        <v>90810</v>
      </c>
      <c r="R916" s="22" t="s">
        <v>11677</v>
      </c>
      <c r="S916" s="22" t="s">
        <v>11678</v>
      </c>
      <c r="T916" s="22">
        <v>6.9</v>
      </c>
      <c r="U916" s="22">
        <v>0.4</v>
      </c>
      <c r="X916" s="26"/>
      <c r="Y916" s="26"/>
    </row>
    <row r="917" spans="1:25" ht="37.5" x14ac:dyDescent="0.25">
      <c r="A917" s="21">
        <v>1226</v>
      </c>
      <c r="B917" s="22" t="s">
        <v>15368</v>
      </c>
      <c r="C917" s="22" t="s">
        <v>11679</v>
      </c>
      <c r="D917" s="23">
        <v>276532</v>
      </c>
      <c r="E917" s="24">
        <v>1992</v>
      </c>
      <c r="F917" s="22" t="s">
        <v>11680</v>
      </c>
      <c r="G917" s="23" t="s">
        <v>11681</v>
      </c>
      <c r="H917" s="25" t="s">
        <v>15913</v>
      </c>
      <c r="I917" s="22" t="s">
        <v>11682</v>
      </c>
      <c r="J917" s="22" t="s">
        <v>11683</v>
      </c>
      <c r="K917" s="26">
        <f t="shared" si="14"/>
        <v>586.66666666666663</v>
      </c>
      <c r="N917" s="26">
        <v>880</v>
      </c>
      <c r="O917" s="22" t="s">
        <v>11684</v>
      </c>
      <c r="P917" s="22" t="s">
        <v>12649</v>
      </c>
      <c r="Q917" s="22">
        <v>90723</v>
      </c>
      <c r="R917" s="22" t="s">
        <v>11685</v>
      </c>
      <c r="S917" s="22" t="s">
        <v>11686</v>
      </c>
      <c r="X917" s="26"/>
      <c r="Y917" s="26"/>
    </row>
    <row r="918" spans="1:25" ht="37.5" x14ac:dyDescent="0.25">
      <c r="A918" s="21">
        <v>1229</v>
      </c>
      <c r="B918" s="22" t="s">
        <v>15368</v>
      </c>
      <c r="C918" s="22" t="s">
        <v>11687</v>
      </c>
      <c r="D918" s="23">
        <v>333446</v>
      </c>
      <c r="E918" s="24">
        <v>1997</v>
      </c>
      <c r="F918" s="22" t="s">
        <v>11691</v>
      </c>
      <c r="G918" s="23" t="s">
        <v>11692</v>
      </c>
      <c r="H918" s="25" t="s">
        <v>15373</v>
      </c>
      <c r="I918" s="22" t="s">
        <v>15374</v>
      </c>
      <c r="J918" s="22" t="s">
        <v>14709</v>
      </c>
      <c r="K918" s="26">
        <f t="shared" si="14"/>
        <v>500</v>
      </c>
      <c r="L918" s="26">
        <v>500</v>
      </c>
      <c r="O918" s="22" t="s">
        <v>11688</v>
      </c>
      <c r="P918" s="22" t="s">
        <v>15376</v>
      </c>
      <c r="Q918" s="22">
        <v>90038</v>
      </c>
      <c r="R918" s="22" t="s">
        <v>11689</v>
      </c>
      <c r="S918" s="22" t="s">
        <v>11690</v>
      </c>
      <c r="T918" s="22">
        <v>6.9</v>
      </c>
      <c r="U918" s="22">
        <v>0.4</v>
      </c>
      <c r="X918" s="26"/>
      <c r="Y918" s="26"/>
    </row>
    <row r="919" spans="1:25" ht="37.5" x14ac:dyDescent="0.25">
      <c r="A919" s="21">
        <v>1230</v>
      </c>
      <c r="B919" s="22" t="s">
        <v>15368</v>
      </c>
      <c r="C919" s="22" t="s">
        <v>11693</v>
      </c>
      <c r="D919" s="23">
        <v>222467</v>
      </c>
      <c r="E919" s="24">
        <v>1990</v>
      </c>
      <c r="F919" s="22" t="s">
        <v>11694</v>
      </c>
      <c r="G919" s="23" t="s">
        <v>11695</v>
      </c>
      <c r="H919" s="25" t="s">
        <v>15373</v>
      </c>
      <c r="I919" s="22" t="s">
        <v>15374</v>
      </c>
      <c r="J919" s="22">
        <v>3508</v>
      </c>
      <c r="K919" s="26">
        <f t="shared" si="14"/>
        <v>712.66666666666663</v>
      </c>
      <c r="N919" s="26">
        <v>1069</v>
      </c>
      <c r="O919" s="22" t="s">
        <v>11696</v>
      </c>
      <c r="P919" s="22" t="s">
        <v>15376</v>
      </c>
      <c r="Q919" s="22">
        <v>90067</v>
      </c>
      <c r="R919" s="22" t="s">
        <v>11697</v>
      </c>
      <c r="S919" s="22" t="s">
        <v>11698</v>
      </c>
      <c r="T919" s="22">
        <v>8.17</v>
      </c>
      <c r="U919" s="22">
        <v>0.38</v>
      </c>
      <c r="X919" s="26"/>
      <c r="Y919" s="26"/>
    </row>
    <row r="920" spans="1:25" ht="25" x14ac:dyDescent="0.25">
      <c r="A920" s="21">
        <v>1231</v>
      </c>
      <c r="B920" s="22" t="s">
        <v>15368</v>
      </c>
      <c r="C920" s="22" t="s">
        <v>11699</v>
      </c>
      <c r="D920" s="23">
        <v>302286</v>
      </c>
      <c r="E920" s="24">
        <v>1995</v>
      </c>
      <c r="F920" s="22" t="s">
        <v>11700</v>
      </c>
      <c r="G920" s="23" t="s">
        <v>11701</v>
      </c>
      <c r="H920" s="25" t="s">
        <v>15373</v>
      </c>
      <c r="I920" s="22" t="s">
        <v>15382</v>
      </c>
      <c r="J920" s="22" t="s">
        <v>14716</v>
      </c>
      <c r="K920" s="26">
        <f t="shared" si="14"/>
        <v>600</v>
      </c>
      <c r="N920" s="26">
        <v>900</v>
      </c>
      <c r="O920" s="22" t="s">
        <v>11702</v>
      </c>
      <c r="P920" s="22" t="s">
        <v>16794</v>
      </c>
      <c r="Q920" s="22">
        <v>92503</v>
      </c>
      <c r="R920" s="22" t="s">
        <v>11703</v>
      </c>
      <c r="S920" s="22" t="s">
        <v>11704</v>
      </c>
      <c r="T920" s="22">
        <v>8.17</v>
      </c>
      <c r="U920" s="22">
        <v>0.38</v>
      </c>
      <c r="X920" s="26"/>
      <c r="Y920" s="26"/>
    </row>
    <row r="921" spans="1:25" ht="37.5" x14ac:dyDescent="0.25">
      <c r="A921" s="21">
        <v>1232</v>
      </c>
      <c r="B921" s="22" t="s">
        <v>15368</v>
      </c>
      <c r="C921" s="22" t="s">
        <v>11705</v>
      </c>
      <c r="D921" s="23">
        <v>298047</v>
      </c>
      <c r="E921" s="24">
        <v>1994</v>
      </c>
      <c r="F921" s="22" t="s">
        <v>11706</v>
      </c>
      <c r="G921" s="23" t="s">
        <v>11666</v>
      </c>
      <c r="H921" s="25" t="s">
        <v>15373</v>
      </c>
      <c r="I921" s="22" t="s">
        <v>15374</v>
      </c>
      <c r="J921" s="22" t="s">
        <v>15701</v>
      </c>
      <c r="K921" s="26">
        <f t="shared" si="14"/>
        <v>350</v>
      </c>
      <c r="L921" s="26">
        <v>350</v>
      </c>
      <c r="O921" s="22" t="s">
        <v>11707</v>
      </c>
      <c r="P921" s="22" t="s">
        <v>16819</v>
      </c>
      <c r="Q921" s="22">
        <v>91105</v>
      </c>
      <c r="R921" s="22" t="s">
        <v>11708</v>
      </c>
      <c r="S921" s="22" t="s">
        <v>11709</v>
      </c>
      <c r="T921" s="22">
        <v>8.17</v>
      </c>
      <c r="U921" s="22">
        <v>0.38</v>
      </c>
      <c r="X921" s="26"/>
      <c r="Y921" s="26"/>
    </row>
    <row r="922" spans="1:25" ht="25" x14ac:dyDescent="0.25">
      <c r="A922" s="21">
        <v>1233</v>
      </c>
      <c r="B922" s="22" t="s">
        <v>15368</v>
      </c>
      <c r="C922" s="22" t="s">
        <v>11799</v>
      </c>
      <c r="D922" s="23">
        <v>147461</v>
      </c>
      <c r="E922" s="24">
        <v>1986</v>
      </c>
      <c r="F922" s="22" t="s">
        <v>11800</v>
      </c>
      <c r="G922" s="23" t="s">
        <v>11801</v>
      </c>
      <c r="H922" s="25" t="s">
        <v>15373</v>
      </c>
      <c r="I922" s="22" t="s">
        <v>15374</v>
      </c>
      <c r="J922" s="22">
        <v>3508</v>
      </c>
      <c r="K922" s="26">
        <f t="shared" si="14"/>
        <v>750</v>
      </c>
      <c r="L922" s="26">
        <v>750</v>
      </c>
      <c r="O922" s="22" t="s">
        <v>11802</v>
      </c>
      <c r="P922" s="22" t="s">
        <v>11803</v>
      </c>
      <c r="Q922" s="22">
        <v>92369</v>
      </c>
      <c r="R922" s="22" t="s">
        <v>11804</v>
      </c>
      <c r="S922" s="22" t="s">
        <v>11805</v>
      </c>
      <c r="T922" s="22">
        <v>11</v>
      </c>
      <c r="U922" s="22">
        <v>0.53</v>
      </c>
      <c r="X922" s="26"/>
      <c r="Y922" s="26"/>
    </row>
    <row r="923" spans="1:25" ht="25" x14ac:dyDescent="0.25">
      <c r="A923" s="21">
        <v>1234</v>
      </c>
      <c r="B923" s="22" t="s">
        <v>15368</v>
      </c>
      <c r="C923" s="22" t="s">
        <v>11799</v>
      </c>
      <c r="D923" s="23">
        <v>159209</v>
      </c>
      <c r="E923" s="24">
        <v>1987</v>
      </c>
      <c r="F923" s="22" t="s">
        <v>11806</v>
      </c>
      <c r="G923" s="23" t="s">
        <v>11807</v>
      </c>
      <c r="H923" s="25" t="s">
        <v>15373</v>
      </c>
      <c r="I923" s="22" t="s">
        <v>15374</v>
      </c>
      <c r="J923" s="22">
        <v>3508</v>
      </c>
      <c r="K923" s="26">
        <f t="shared" si="14"/>
        <v>750</v>
      </c>
      <c r="L923" s="26">
        <v>750</v>
      </c>
      <c r="O923" s="22" t="s">
        <v>11802</v>
      </c>
      <c r="P923" s="22" t="s">
        <v>11803</v>
      </c>
      <c r="Q923" s="22">
        <v>92369</v>
      </c>
      <c r="R923" s="22" t="s">
        <v>11804</v>
      </c>
      <c r="S923" s="22" t="s">
        <v>11805</v>
      </c>
      <c r="T923" s="22">
        <v>11</v>
      </c>
      <c r="U923" s="22">
        <v>0.53</v>
      </c>
      <c r="X923" s="26"/>
      <c r="Y923" s="26"/>
    </row>
    <row r="924" spans="1:25" ht="25" x14ac:dyDescent="0.25">
      <c r="A924" s="21">
        <v>1235</v>
      </c>
      <c r="B924" s="22" t="s">
        <v>15368</v>
      </c>
      <c r="C924" s="22" t="s">
        <v>11799</v>
      </c>
      <c r="D924" s="23" t="s">
        <v>11808</v>
      </c>
      <c r="E924" s="24">
        <v>1990</v>
      </c>
      <c r="F924" s="22" t="s">
        <v>11809</v>
      </c>
      <c r="G924" s="23" t="s">
        <v>11810</v>
      </c>
      <c r="H924" s="25" t="s">
        <v>15373</v>
      </c>
      <c r="I924" s="22" t="s">
        <v>15382</v>
      </c>
      <c r="J924" s="22" t="s">
        <v>16311</v>
      </c>
      <c r="K924" s="26">
        <f t="shared" si="14"/>
        <v>743.33333333333326</v>
      </c>
      <c r="M924" s="26">
        <v>1115</v>
      </c>
      <c r="O924" s="22" t="s">
        <v>11802</v>
      </c>
      <c r="P924" s="22" t="s">
        <v>11803</v>
      </c>
      <c r="Q924" s="22">
        <v>92369</v>
      </c>
      <c r="R924" s="22" t="s">
        <v>11804</v>
      </c>
      <c r="S924" s="22" t="s">
        <v>11805</v>
      </c>
      <c r="T924" s="22">
        <v>8.17</v>
      </c>
      <c r="U924" s="22">
        <v>0.38</v>
      </c>
      <c r="X924" s="26"/>
      <c r="Y924" s="26"/>
    </row>
    <row r="925" spans="1:25" ht="37.5" x14ac:dyDescent="0.25">
      <c r="A925" s="21">
        <v>1236</v>
      </c>
      <c r="B925" s="22" t="s">
        <v>15368</v>
      </c>
      <c r="C925" s="22" t="s">
        <v>11811</v>
      </c>
      <c r="D925" s="23">
        <v>351933</v>
      </c>
      <c r="E925" s="24">
        <v>1999</v>
      </c>
      <c r="F925" s="22" t="s">
        <v>11812</v>
      </c>
      <c r="G925" s="23" t="s">
        <v>11813</v>
      </c>
      <c r="H925" s="25" t="s">
        <v>15373</v>
      </c>
      <c r="I925" s="22" t="s">
        <v>15374</v>
      </c>
      <c r="J925" s="22" t="s">
        <v>15516</v>
      </c>
      <c r="K925" s="26">
        <f t="shared" si="14"/>
        <v>800</v>
      </c>
      <c r="L925" s="26">
        <v>800</v>
      </c>
      <c r="O925" s="22" t="s">
        <v>11814</v>
      </c>
      <c r="P925" s="22" t="s">
        <v>15537</v>
      </c>
      <c r="Q925" s="22">
        <v>92660</v>
      </c>
      <c r="R925" s="22" t="s">
        <v>11815</v>
      </c>
      <c r="S925" s="22" t="s">
        <v>11816</v>
      </c>
      <c r="T925" s="22">
        <v>8.17</v>
      </c>
      <c r="U925" s="22">
        <v>0.38</v>
      </c>
      <c r="X925" s="26"/>
      <c r="Y925" s="26"/>
    </row>
    <row r="926" spans="1:25" ht="25" x14ac:dyDescent="0.25">
      <c r="A926" s="21">
        <v>1237</v>
      </c>
      <c r="B926" s="22" t="s">
        <v>15368</v>
      </c>
      <c r="C926" s="22" t="s">
        <v>11817</v>
      </c>
      <c r="D926" s="23">
        <v>268182</v>
      </c>
      <c r="E926" s="24">
        <v>1992</v>
      </c>
      <c r="F926" s="22" t="s">
        <v>11818</v>
      </c>
      <c r="G926" s="23" t="s">
        <v>11819</v>
      </c>
      <c r="H926" s="25" t="s">
        <v>15373</v>
      </c>
      <c r="I926" s="22" t="s">
        <v>15374</v>
      </c>
      <c r="J926" s="22" t="s">
        <v>11162</v>
      </c>
      <c r="K926" s="26">
        <f t="shared" si="14"/>
        <v>391.33333333333331</v>
      </c>
      <c r="N926" s="26">
        <v>587</v>
      </c>
      <c r="O926" s="22" t="s">
        <v>11820</v>
      </c>
      <c r="P926" s="22" t="s">
        <v>15376</v>
      </c>
      <c r="Q926" s="22">
        <v>90067</v>
      </c>
      <c r="R926" s="22" t="s">
        <v>11821</v>
      </c>
      <c r="S926" s="22" t="s">
        <v>11822</v>
      </c>
      <c r="T926" s="22">
        <v>8.17</v>
      </c>
      <c r="U926" s="22">
        <v>0.38</v>
      </c>
      <c r="X926" s="26"/>
      <c r="Y926" s="26"/>
    </row>
    <row r="927" spans="1:25" ht="25" x14ac:dyDescent="0.25">
      <c r="A927" s="21">
        <v>1238</v>
      </c>
      <c r="B927" s="22" t="s">
        <v>15368</v>
      </c>
      <c r="C927" s="22" t="s">
        <v>11823</v>
      </c>
      <c r="D927" s="23">
        <v>351746</v>
      </c>
      <c r="E927" s="24">
        <v>1999</v>
      </c>
      <c r="F927" s="22" t="s">
        <v>11824</v>
      </c>
      <c r="G927" s="23" t="s">
        <v>11825</v>
      </c>
      <c r="H927" s="25" t="s">
        <v>15373</v>
      </c>
      <c r="I927" s="22" t="s">
        <v>15374</v>
      </c>
      <c r="J927" s="22">
        <v>3508</v>
      </c>
      <c r="K927" s="26">
        <f t="shared" si="14"/>
        <v>737.33333333333326</v>
      </c>
      <c r="N927" s="26">
        <v>1106</v>
      </c>
      <c r="O927" s="22" t="s">
        <v>11826</v>
      </c>
      <c r="P927" s="22" t="s">
        <v>15376</v>
      </c>
      <c r="Q927" s="22">
        <v>90067</v>
      </c>
      <c r="R927" s="22" t="s">
        <v>11827</v>
      </c>
      <c r="S927" s="22" t="s">
        <v>11828</v>
      </c>
      <c r="T927" s="22">
        <v>8.17</v>
      </c>
      <c r="U927" s="22">
        <v>0.38</v>
      </c>
      <c r="X927" s="26"/>
      <c r="Y927" s="26"/>
    </row>
    <row r="928" spans="1:25" ht="37.5" x14ac:dyDescent="0.25">
      <c r="A928" s="21">
        <v>1239</v>
      </c>
      <c r="B928" s="22" t="s">
        <v>15368</v>
      </c>
      <c r="C928" s="22" t="s">
        <v>11823</v>
      </c>
      <c r="D928" s="23">
        <v>351747</v>
      </c>
      <c r="E928" s="24">
        <v>1999</v>
      </c>
      <c r="F928" s="22" t="s">
        <v>11829</v>
      </c>
      <c r="G928" s="23" t="s">
        <v>11830</v>
      </c>
      <c r="H928" s="25" t="s">
        <v>15373</v>
      </c>
      <c r="I928" s="22" t="s">
        <v>15411</v>
      </c>
      <c r="J928" s="22" t="s">
        <v>12830</v>
      </c>
      <c r="K928" s="26">
        <f t="shared" si="14"/>
        <v>640</v>
      </c>
      <c r="N928" s="26">
        <v>960</v>
      </c>
      <c r="O928" s="22" t="s">
        <v>11826</v>
      </c>
      <c r="P928" s="22" t="s">
        <v>15376</v>
      </c>
      <c r="Q928" s="22">
        <v>90067</v>
      </c>
      <c r="R928" s="22" t="s">
        <v>11827</v>
      </c>
      <c r="S928" s="22" t="s">
        <v>11828</v>
      </c>
      <c r="T928" s="22">
        <v>8.17</v>
      </c>
      <c r="U928" s="22">
        <v>0.38</v>
      </c>
      <c r="X928" s="26"/>
      <c r="Y928" s="26"/>
    </row>
    <row r="929" spans="1:25" ht="25" x14ac:dyDescent="0.25">
      <c r="A929" s="21">
        <v>1241</v>
      </c>
      <c r="B929" s="22" t="s">
        <v>15368</v>
      </c>
      <c r="C929" s="22" t="s">
        <v>11831</v>
      </c>
      <c r="D929" s="23">
        <v>316681</v>
      </c>
      <c r="E929" s="24">
        <v>1996</v>
      </c>
      <c r="F929" s="22" t="s">
        <v>11832</v>
      </c>
      <c r="G929" s="23" t="s">
        <v>11833</v>
      </c>
      <c r="H929" s="25" t="s">
        <v>15373</v>
      </c>
      <c r="I929" s="22" t="s">
        <v>15382</v>
      </c>
      <c r="J929" s="22" t="s">
        <v>15723</v>
      </c>
      <c r="K929" s="26">
        <f t="shared" si="14"/>
        <v>1233.3333333333333</v>
      </c>
      <c r="N929" s="26">
        <v>1850</v>
      </c>
      <c r="O929" s="22" t="s">
        <v>11834</v>
      </c>
      <c r="P929" s="22" t="s">
        <v>15740</v>
      </c>
      <c r="Q929" s="22">
        <v>90813</v>
      </c>
      <c r="R929" s="22" t="s">
        <v>11835</v>
      </c>
      <c r="S929" s="22" t="s">
        <v>11836</v>
      </c>
      <c r="T929" s="22">
        <v>8.17</v>
      </c>
      <c r="U929" s="22">
        <v>0.38</v>
      </c>
      <c r="X929" s="26"/>
      <c r="Y929" s="26"/>
    </row>
    <row r="930" spans="1:25" ht="25" x14ac:dyDescent="0.25">
      <c r="A930" s="21">
        <v>1242</v>
      </c>
      <c r="B930" s="22" t="s">
        <v>15368</v>
      </c>
      <c r="C930" s="22" t="s">
        <v>11831</v>
      </c>
      <c r="D930" s="23">
        <v>333746</v>
      </c>
      <c r="E930" s="24">
        <v>1997</v>
      </c>
      <c r="F930" s="22" t="s">
        <v>11837</v>
      </c>
      <c r="G930" s="23" t="s">
        <v>11838</v>
      </c>
      <c r="H930" s="25" t="s">
        <v>15373</v>
      </c>
      <c r="I930" s="22" t="s">
        <v>15382</v>
      </c>
      <c r="J930" s="22" t="s">
        <v>15955</v>
      </c>
      <c r="K930" s="26">
        <f t="shared" si="14"/>
        <v>750</v>
      </c>
      <c r="L930" s="26">
        <v>750</v>
      </c>
      <c r="O930" s="22" t="s">
        <v>11839</v>
      </c>
      <c r="P930" s="22" t="s">
        <v>15740</v>
      </c>
      <c r="Q930" s="22">
        <v>90813</v>
      </c>
      <c r="R930" s="22" t="s">
        <v>11840</v>
      </c>
      <c r="S930" s="22" t="s">
        <v>11836</v>
      </c>
      <c r="T930" s="22">
        <v>8.17</v>
      </c>
      <c r="U930" s="22">
        <v>0.38</v>
      </c>
      <c r="X930" s="26"/>
      <c r="Y930" s="26"/>
    </row>
    <row r="931" spans="1:25" ht="37.5" x14ac:dyDescent="0.25">
      <c r="A931" s="21">
        <v>1243</v>
      </c>
      <c r="B931" s="22" t="s">
        <v>15368</v>
      </c>
      <c r="C931" s="22" t="s">
        <v>11841</v>
      </c>
      <c r="D931" s="23">
        <v>282880</v>
      </c>
      <c r="E931" s="24">
        <v>1993</v>
      </c>
      <c r="F931" s="22" t="s">
        <v>11842</v>
      </c>
      <c r="G931" s="23" t="s">
        <v>11843</v>
      </c>
      <c r="H931" s="25" t="s">
        <v>15373</v>
      </c>
      <c r="I931" s="22" t="s">
        <v>15374</v>
      </c>
      <c r="J931" s="22" t="s">
        <v>15062</v>
      </c>
      <c r="K931" s="26">
        <f t="shared" si="14"/>
        <v>391.33333333333331</v>
      </c>
      <c r="N931" s="26">
        <v>587</v>
      </c>
      <c r="O931" s="22" t="s">
        <v>11844</v>
      </c>
      <c r="P931" s="22" t="s">
        <v>15740</v>
      </c>
      <c r="Q931" s="22">
        <v>90802</v>
      </c>
      <c r="R931" s="22" t="s">
        <v>11845</v>
      </c>
      <c r="S931" s="22" t="s">
        <v>11846</v>
      </c>
      <c r="T931" s="22">
        <v>8.17</v>
      </c>
      <c r="U931" s="22">
        <v>0.38</v>
      </c>
      <c r="X931" s="26"/>
      <c r="Y931" s="26"/>
    </row>
    <row r="932" spans="1:25" ht="37.5" x14ac:dyDescent="0.25">
      <c r="A932" s="21">
        <v>1244</v>
      </c>
      <c r="B932" s="22" t="s">
        <v>15368</v>
      </c>
      <c r="C932" s="22" t="s">
        <v>11847</v>
      </c>
      <c r="D932" s="23">
        <v>332240</v>
      </c>
      <c r="E932" s="24">
        <v>1997</v>
      </c>
      <c r="F932" s="22" t="s">
        <v>11848</v>
      </c>
      <c r="G932" s="23" t="s">
        <v>11849</v>
      </c>
      <c r="H932" s="25" t="s">
        <v>15373</v>
      </c>
      <c r="I932" s="22" t="s">
        <v>15374</v>
      </c>
      <c r="J932" s="22" t="s">
        <v>15918</v>
      </c>
      <c r="K932" s="26">
        <f t="shared" si="14"/>
        <v>750</v>
      </c>
      <c r="L932" s="26">
        <v>750</v>
      </c>
      <c r="O932" s="22" t="s">
        <v>11850</v>
      </c>
      <c r="P932" s="22" t="s">
        <v>16313</v>
      </c>
      <c r="Q932" s="22">
        <v>90731</v>
      </c>
      <c r="R932" s="22" t="s">
        <v>11851</v>
      </c>
      <c r="S932" s="22" t="s">
        <v>11852</v>
      </c>
      <c r="T932" s="22">
        <v>8.17</v>
      </c>
      <c r="U932" s="22">
        <v>0.38</v>
      </c>
      <c r="X932" s="26"/>
      <c r="Y932" s="26"/>
    </row>
    <row r="933" spans="1:25" ht="37.5" x14ac:dyDescent="0.25">
      <c r="A933" s="21">
        <v>1245</v>
      </c>
      <c r="B933" s="22" t="s">
        <v>15368</v>
      </c>
      <c r="C933" s="22" t="s">
        <v>11853</v>
      </c>
      <c r="D933" s="23">
        <v>341209</v>
      </c>
      <c r="E933" s="24">
        <v>1998</v>
      </c>
      <c r="F933" s="22" t="s">
        <v>11854</v>
      </c>
      <c r="G933" s="23" t="s">
        <v>11855</v>
      </c>
      <c r="H933" s="25" t="s">
        <v>15373</v>
      </c>
      <c r="I933" s="22" t="s">
        <v>15374</v>
      </c>
      <c r="J933" s="22" t="s">
        <v>15420</v>
      </c>
      <c r="K933" s="26">
        <f t="shared" si="14"/>
        <v>1250</v>
      </c>
      <c r="L933" s="26">
        <v>1250</v>
      </c>
      <c r="O933" s="22" t="s">
        <v>16832</v>
      </c>
      <c r="P933" s="22" t="s">
        <v>14890</v>
      </c>
      <c r="Q933" s="22">
        <v>90601</v>
      </c>
      <c r="R933" s="22" t="s">
        <v>11856</v>
      </c>
      <c r="S933" s="22" t="s">
        <v>11857</v>
      </c>
      <c r="T933" s="22">
        <v>8.17</v>
      </c>
      <c r="U933" s="22">
        <v>0.38</v>
      </c>
      <c r="X933" s="26"/>
      <c r="Y933" s="26"/>
    </row>
    <row r="934" spans="1:25" ht="37.5" x14ac:dyDescent="0.25">
      <c r="A934" s="21">
        <v>1246</v>
      </c>
      <c r="B934" s="22" t="s">
        <v>15368</v>
      </c>
      <c r="C934" s="22" t="s">
        <v>11853</v>
      </c>
      <c r="D934" s="23">
        <v>348854</v>
      </c>
      <c r="E934" s="24">
        <v>1998</v>
      </c>
      <c r="F934" s="22" t="s">
        <v>11858</v>
      </c>
      <c r="G934" s="23" t="s">
        <v>11859</v>
      </c>
      <c r="H934" s="25" t="s">
        <v>15373</v>
      </c>
      <c r="I934" s="22" t="s">
        <v>15374</v>
      </c>
      <c r="J934" s="22" t="s">
        <v>15261</v>
      </c>
      <c r="K934" s="26">
        <f t="shared" si="14"/>
        <v>674</v>
      </c>
      <c r="N934" s="26">
        <v>1011</v>
      </c>
      <c r="O934" s="22" t="s">
        <v>16832</v>
      </c>
      <c r="P934" s="22" t="s">
        <v>14890</v>
      </c>
      <c r="Q934" s="22">
        <v>90601</v>
      </c>
      <c r="R934" s="22" t="s">
        <v>11856</v>
      </c>
      <c r="S934" s="22" t="s">
        <v>11857</v>
      </c>
      <c r="T934" s="22">
        <v>8.17</v>
      </c>
      <c r="U934" s="22">
        <v>0.38</v>
      </c>
      <c r="X934" s="26"/>
      <c r="Y934" s="26"/>
    </row>
    <row r="935" spans="1:25" ht="37.5" x14ac:dyDescent="0.25">
      <c r="A935" s="21">
        <v>1247</v>
      </c>
      <c r="B935" s="22" t="s">
        <v>15368</v>
      </c>
      <c r="C935" s="22" t="s">
        <v>11853</v>
      </c>
      <c r="D935" s="23">
        <v>359598</v>
      </c>
      <c r="E935" s="24">
        <v>1999</v>
      </c>
      <c r="F935" s="22" t="s">
        <v>11860</v>
      </c>
      <c r="G935" s="23" t="s">
        <v>11861</v>
      </c>
      <c r="H935" s="25" t="s">
        <v>15373</v>
      </c>
      <c r="I935" s="22" t="s">
        <v>15374</v>
      </c>
      <c r="J935" s="22" t="s">
        <v>11862</v>
      </c>
      <c r="K935" s="26">
        <f t="shared" si="14"/>
        <v>714.66666666666663</v>
      </c>
      <c r="N935" s="26">
        <v>1072</v>
      </c>
      <c r="O935" s="22" t="s">
        <v>16832</v>
      </c>
      <c r="P935" s="22" t="s">
        <v>14890</v>
      </c>
      <c r="Q935" s="22">
        <v>90601</v>
      </c>
      <c r="R935" s="22" t="s">
        <v>11856</v>
      </c>
      <c r="S935" s="22" t="s">
        <v>11857</v>
      </c>
      <c r="T935" s="22">
        <v>8.17</v>
      </c>
      <c r="U935" s="22">
        <v>0.38</v>
      </c>
      <c r="X935" s="26"/>
      <c r="Y935" s="26"/>
    </row>
    <row r="936" spans="1:25" ht="37.5" x14ac:dyDescent="0.25">
      <c r="A936" s="21">
        <v>1248</v>
      </c>
      <c r="B936" s="22" t="s">
        <v>15368</v>
      </c>
      <c r="C936" s="22" t="s">
        <v>11853</v>
      </c>
      <c r="D936" s="23">
        <v>359600</v>
      </c>
      <c r="E936" s="24">
        <v>1999</v>
      </c>
      <c r="F936" s="22" t="s">
        <v>11863</v>
      </c>
      <c r="G936" s="23" t="s">
        <v>11864</v>
      </c>
      <c r="H936" s="25" t="s">
        <v>15373</v>
      </c>
      <c r="I936" s="22" t="s">
        <v>15374</v>
      </c>
      <c r="J936" s="22" t="s">
        <v>11862</v>
      </c>
      <c r="K936" s="26">
        <f t="shared" si="14"/>
        <v>714.66666666666663</v>
      </c>
      <c r="N936" s="26">
        <v>1072</v>
      </c>
      <c r="O936" s="22" t="s">
        <v>16832</v>
      </c>
      <c r="P936" s="22" t="s">
        <v>14890</v>
      </c>
      <c r="Q936" s="22">
        <v>90601</v>
      </c>
      <c r="R936" s="22" t="s">
        <v>11856</v>
      </c>
      <c r="S936" s="22" t="s">
        <v>11857</v>
      </c>
      <c r="T936" s="22">
        <v>8.17</v>
      </c>
      <c r="U936" s="22">
        <v>0.38</v>
      </c>
      <c r="X936" s="26"/>
      <c r="Y936" s="26"/>
    </row>
    <row r="937" spans="1:25" ht="37.5" x14ac:dyDescent="0.25">
      <c r="A937" s="21">
        <v>1249</v>
      </c>
      <c r="B937" s="22" t="s">
        <v>15368</v>
      </c>
      <c r="C937" s="22" t="s">
        <v>11853</v>
      </c>
      <c r="D937" s="23">
        <v>359601</v>
      </c>
      <c r="E937" s="24">
        <v>1999</v>
      </c>
      <c r="F937" s="22" t="s">
        <v>11865</v>
      </c>
      <c r="G937" s="23" t="s">
        <v>11866</v>
      </c>
      <c r="H937" s="25" t="s">
        <v>15373</v>
      </c>
      <c r="I937" s="22" t="s">
        <v>15374</v>
      </c>
      <c r="J937" s="22" t="s">
        <v>11862</v>
      </c>
      <c r="K937" s="26">
        <f t="shared" si="14"/>
        <v>714.66666666666663</v>
      </c>
      <c r="N937" s="26">
        <v>1072</v>
      </c>
      <c r="O937" s="22" t="s">
        <v>16832</v>
      </c>
      <c r="P937" s="22" t="s">
        <v>14890</v>
      </c>
      <c r="Q937" s="22">
        <v>90601</v>
      </c>
      <c r="R937" s="22" t="s">
        <v>11856</v>
      </c>
      <c r="S937" s="22" t="s">
        <v>11857</v>
      </c>
      <c r="T937" s="22">
        <v>8.17</v>
      </c>
      <c r="U937" s="22">
        <v>0.38</v>
      </c>
      <c r="X937" s="26"/>
      <c r="Y937" s="26"/>
    </row>
    <row r="938" spans="1:25" ht="37.5" x14ac:dyDescent="0.25">
      <c r="A938" s="21">
        <v>1250</v>
      </c>
      <c r="B938" s="22" t="s">
        <v>15368</v>
      </c>
      <c r="C938" s="22" t="s">
        <v>11853</v>
      </c>
      <c r="D938" s="23">
        <v>359603</v>
      </c>
      <c r="E938" s="24">
        <v>1999</v>
      </c>
      <c r="F938" s="22" t="s">
        <v>11867</v>
      </c>
      <c r="G938" s="23" t="s">
        <v>11868</v>
      </c>
      <c r="H938" s="25" t="s">
        <v>15373</v>
      </c>
      <c r="I938" s="22" t="s">
        <v>15374</v>
      </c>
      <c r="J938" s="22" t="s">
        <v>11869</v>
      </c>
      <c r="K938" s="26">
        <f t="shared" si="14"/>
        <v>1108</v>
      </c>
      <c r="N938" s="26">
        <v>1662</v>
      </c>
      <c r="O938" s="22" t="s">
        <v>16832</v>
      </c>
      <c r="P938" s="22" t="s">
        <v>14890</v>
      </c>
      <c r="Q938" s="22">
        <v>90601</v>
      </c>
      <c r="R938" s="22" t="s">
        <v>11856</v>
      </c>
      <c r="S938" s="22" t="s">
        <v>11857</v>
      </c>
      <c r="T938" s="22">
        <v>8.17</v>
      </c>
      <c r="U938" s="22">
        <v>0.38</v>
      </c>
      <c r="X938" s="26"/>
      <c r="Y938" s="26"/>
    </row>
    <row r="939" spans="1:25" ht="37.5" x14ac:dyDescent="0.25">
      <c r="A939" s="21">
        <v>1251</v>
      </c>
      <c r="B939" s="22" t="s">
        <v>15368</v>
      </c>
      <c r="C939" s="22" t="s">
        <v>11853</v>
      </c>
      <c r="D939" s="23">
        <v>359604</v>
      </c>
      <c r="E939" s="24">
        <v>1999</v>
      </c>
      <c r="F939" s="22" t="s">
        <v>11870</v>
      </c>
      <c r="G939" s="23" t="s">
        <v>12914</v>
      </c>
      <c r="H939" s="25" t="s">
        <v>15373</v>
      </c>
      <c r="I939" s="22" t="s">
        <v>15374</v>
      </c>
      <c r="J939" s="22" t="s">
        <v>11869</v>
      </c>
      <c r="K939" s="26">
        <f t="shared" si="14"/>
        <v>1108</v>
      </c>
      <c r="N939" s="26">
        <v>1662</v>
      </c>
      <c r="O939" s="22" t="s">
        <v>16832</v>
      </c>
      <c r="P939" s="22" t="s">
        <v>14890</v>
      </c>
      <c r="Q939" s="22">
        <v>90601</v>
      </c>
      <c r="R939" s="22" t="s">
        <v>11856</v>
      </c>
      <c r="S939" s="22" t="s">
        <v>11857</v>
      </c>
      <c r="T939" s="22">
        <v>8.17</v>
      </c>
      <c r="U939" s="22">
        <v>0.38</v>
      </c>
      <c r="X939" s="26"/>
      <c r="Y939" s="26"/>
    </row>
    <row r="940" spans="1:25" ht="37.5" x14ac:dyDescent="0.25">
      <c r="A940" s="21">
        <v>1252</v>
      </c>
      <c r="B940" s="22" t="s">
        <v>15368</v>
      </c>
      <c r="C940" s="22" t="s">
        <v>11853</v>
      </c>
      <c r="D940" s="23">
        <v>359607</v>
      </c>
      <c r="E940" s="24">
        <v>1999</v>
      </c>
      <c r="F940" s="22" t="s">
        <v>12915</v>
      </c>
      <c r="G940" s="23" t="s">
        <v>12916</v>
      </c>
      <c r="H940" s="25" t="s">
        <v>15373</v>
      </c>
      <c r="I940" s="22" t="s">
        <v>15374</v>
      </c>
      <c r="J940" s="22" t="s">
        <v>12917</v>
      </c>
      <c r="K940" s="26">
        <f t="shared" si="14"/>
        <v>1536</v>
      </c>
      <c r="N940" s="26">
        <v>2304</v>
      </c>
      <c r="O940" s="22" t="s">
        <v>16832</v>
      </c>
      <c r="P940" s="22" t="s">
        <v>14890</v>
      </c>
      <c r="Q940" s="22">
        <v>90601</v>
      </c>
      <c r="R940" s="22" t="s">
        <v>11856</v>
      </c>
      <c r="S940" s="22" t="s">
        <v>11857</v>
      </c>
      <c r="T940" s="22">
        <v>8.17</v>
      </c>
      <c r="U940" s="22">
        <v>0.38</v>
      </c>
      <c r="X940" s="26"/>
      <c r="Y940" s="26"/>
    </row>
    <row r="941" spans="1:25" ht="37.5" x14ac:dyDescent="0.25">
      <c r="A941" s="21">
        <v>1253</v>
      </c>
      <c r="B941" s="22" t="s">
        <v>15368</v>
      </c>
      <c r="C941" s="22" t="s">
        <v>12918</v>
      </c>
      <c r="D941" s="23">
        <v>187629</v>
      </c>
      <c r="E941" s="24">
        <v>1989</v>
      </c>
      <c r="F941" s="22" t="s">
        <v>12919</v>
      </c>
      <c r="G941" s="23" t="s">
        <v>12920</v>
      </c>
      <c r="H941" s="25" t="s">
        <v>15373</v>
      </c>
      <c r="I941" s="22" t="s">
        <v>15374</v>
      </c>
      <c r="J941" s="22">
        <v>3408</v>
      </c>
      <c r="K941" s="26">
        <f t="shared" si="14"/>
        <v>358.66666666666663</v>
      </c>
      <c r="N941" s="26">
        <v>538</v>
      </c>
      <c r="O941" s="22" t="s">
        <v>12921</v>
      </c>
      <c r="P941" s="22" t="s">
        <v>14397</v>
      </c>
      <c r="Q941" s="22">
        <v>92262</v>
      </c>
      <c r="R941" s="22" t="s">
        <v>12922</v>
      </c>
      <c r="S941" s="22" t="s">
        <v>12923</v>
      </c>
      <c r="T941" s="22">
        <v>8.17</v>
      </c>
      <c r="U941" s="22">
        <v>0.38</v>
      </c>
      <c r="X941" s="26"/>
      <c r="Y941" s="26"/>
    </row>
    <row r="942" spans="1:25" ht="25" x14ac:dyDescent="0.25">
      <c r="A942" s="21">
        <v>1254</v>
      </c>
      <c r="B942" s="22" t="s">
        <v>15368</v>
      </c>
      <c r="C942" s="22" t="s">
        <v>12924</v>
      </c>
      <c r="D942" s="23">
        <v>216910</v>
      </c>
      <c r="E942" s="24">
        <v>1989</v>
      </c>
      <c r="F942" s="22" t="s">
        <v>12925</v>
      </c>
      <c r="G942" s="23" t="s">
        <v>12926</v>
      </c>
      <c r="H942" s="25" t="s">
        <v>15373</v>
      </c>
      <c r="I942" s="22" t="s">
        <v>15374</v>
      </c>
      <c r="J942" s="22">
        <v>3406</v>
      </c>
      <c r="K942" s="26">
        <f t="shared" si="14"/>
        <v>346</v>
      </c>
      <c r="N942" s="26">
        <v>519</v>
      </c>
      <c r="O942" s="22" t="s">
        <v>12927</v>
      </c>
      <c r="P942" s="22" t="s">
        <v>14334</v>
      </c>
      <c r="Q942" s="22">
        <v>91311</v>
      </c>
      <c r="R942" s="22" t="s">
        <v>12928</v>
      </c>
      <c r="S942" s="22" t="s">
        <v>12929</v>
      </c>
      <c r="T942" s="22">
        <v>8.17</v>
      </c>
      <c r="U942" s="22">
        <v>0.38</v>
      </c>
      <c r="X942" s="26"/>
      <c r="Y942" s="26"/>
    </row>
    <row r="943" spans="1:25" ht="25" x14ac:dyDescent="0.25">
      <c r="A943" s="21">
        <v>1257</v>
      </c>
      <c r="B943" s="22" t="s">
        <v>15368</v>
      </c>
      <c r="C943" s="22" t="s">
        <v>12930</v>
      </c>
      <c r="D943" s="23">
        <v>114685</v>
      </c>
      <c r="E943" s="24">
        <v>1983</v>
      </c>
      <c r="F943" s="22" t="s">
        <v>12931</v>
      </c>
      <c r="G943" s="23" t="s">
        <v>12932</v>
      </c>
      <c r="H943" s="25" t="s">
        <v>15373</v>
      </c>
      <c r="I943" s="22" t="s">
        <v>15411</v>
      </c>
      <c r="J943" s="22" t="s">
        <v>12830</v>
      </c>
      <c r="K943" s="26">
        <f t="shared" si="14"/>
        <v>500</v>
      </c>
      <c r="L943" s="26">
        <v>500</v>
      </c>
      <c r="O943" s="22" t="s">
        <v>12933</v>
      </c>
      <c r="P943" s="22" t="s">
        <v>14890</v>
      </c>
      <c r="Q943" s="22">
        <v>90602</v>
      </c>
      <c r="R943" s="22" t="s">
        <v>12934</v>
      </c>
      <c r="S943" s="22" t="s">
        <v>12935</v>
      </c>
      <c r="T943" s="22">
        <v>12</v>
      </c>
      <c r="U943" s="22">
        <v>0.53</v>
      </c>
      <c r="X943" s="26"/>
      <c r="Y943" s="26"/>
    </row>
    <row r="944" spans="1:25" ht="25" x14ac:dyDescent="0.25">
      <c r="A944" s="21">
        <v>1258</v>
      </c>
      <c r="B944" s="22" t="s">
        <v>15368</v>
      </c>
      <c r="C944" s="22" t="s">
        <v>12930</v>
      </c>
      <c r="D944" s="23">
        <v>280759</v>
      </c>
      <c r="E944" s="24">
        <v>1993</v>
      </c>
      <c r="F944" s="22" t="s">
        <v>12936</v>
      </c>
      <c r="G944" s="23" t="s">
        <v>12937</v>
      </c>
      <c r="H944" s="25" t="s">
        <v>15373</v>
      </c>
      <c r="I944" s="22" t="s">
        <v>15374</v>
      </c>
      <c r="J944" s="22">
        <v>3508</v>
      </c>
      <c r="K944" s="26">
        <f t="shared" si="14"/>
        <v>799.33333333333326</v>
      </c>
      <c r="N944" s="26">
        <v>1199</v>
      </c>
      <c r="O944" s="22" t="s">
        <v>12933</v>
      </c>
      <c r="P944" s="22" t="s">
        <v>14890</v>
      </c>
      <c r="Q944" s="22">
        <v>90602</v>
      </c>
      <c r="R944" s="22" t="s">
        <v>12934</v>
      </c>
      <c r="S944" s="22" t="s">
        <v>12935</v>
      </c>
      <c r="T944" s="22">
        <v>8.17</v>
      </c>
      <c r="U944" s="22">
        <v>0.38</v>
      </c>
      <c r="X944" s="26"/>
      <c r="Y944" s="26"/>
    </row>
    <row r="945" spans="1:25" ht="25" x14ac:dyDescent="0.25">
      <c r="A945" s="21">
        <v>1266</v>
      </c>
      <c r="B945" s="22" t="s">
        <v>15368</v>
      </c>
      <c r="C945" s="22" t="s">
        <v>12939</v>
      </c>
      <c r="D945" s="23">
        <v>355403</v>
      </c>
      <c r="E945" s="24">
        <v>1999</v>
      </c>
      <c r="F945" s="22" t="s">
        <v>12940</v>
      </c>
      <c r="G945" s="23" t="s">
        <v>12941</v>
      </c>
      <c r="H945" s="25" t="s">
        <v>15373</v>
      </c>
      <c r="I945" s="22" t="s">
        <v>15411</v>
      </c>
      <c r="J945" s="22" t="s">
        <v>12942</v>
      </c>
      <c r="K945" s="26">
        <f t="shared" si="14"/>
        <v>1233.3333333333333</v>
      </c>
      <c r="N945" s="26">
        <v>1850</v>
      </c>
      <c r="O945" s="22" t="s">
        <v>12943</v>
      </c>
      <c r="P945" s="22" t="s">
        <v>15683</v>
      </c>
      <c r="Q945" s="22">
        <v>91355</v>
      </c>
      <c r="R945" s="22" t="s">
        <v>12944</v>
      </c>
      <c r="S945" s="22" t="s">
        <v>12945</v>
      </c>
      <c r="T945" s="22">
        <v>8.17</v>
      </c>
      <c r="U945" s="22">
        <v>0.38</v>
      </c>
      <c r="X945" s="26"/>
      <c r="Y945" s="26"/>
    </row>
    <row r="946" spans="1:25" ht="25" x14ac:dyDescent="0.25">
      <c r="A946" s="21">
        <v>1269</v>
      </c>
      <c r="B946" s="22" t="s">
        <v>15368</v>
      </c>
      <c r="C946" s="22" t="s">
        <v>12946</v>
      </c>
      <c r="D946" s="23">
        <v>337429</v>
      </c>
      <c r="E946" s="24">
        <v>1998</v>
      </c>
      <c r="F946" s="22" t="s">
        <v>12947</v>
      </c>
      <c r="G946" s="23" t="s">
        <v>12948</v>
      </c>
      <c r="H946" s="25" t="s">
        <v>15373</v>
      </c>
      <c r="I946" s="22" t="s">
        <v>15411</v>
      </c>
      <c r="J946" s="22" t="s">
        <v>12949</v>
      </c>
      <c r="K946" s="26">
        <f t="shared" si="14"/>
        <v>800</v>
      </c>
      <c r="L946" s="26">
        <v>800</v>
      </c>
      <c r="O946" s="22" t="s">
        <v>12950</v>
      </c>
      <c r="P946" s="22" t="s">
        <v>15871</v>
      </c>
      <c r="Q946" s="22" t="s">
        <v>12951</v>
      </c>
      <c r="R946" s="22" t="s">
        <v>12952</v>
      </c>
      <c r="S946" s="22" t="s">
        <v>12953</v>
      </c>
      <c r="T946" s="22">
        <v>8.17</v>
      </c>
      <c r="U946" s="22">
        <v>0.38</v>
      </c>
      <c r="X946" s="26"/>
      <c r="Y946" s="26"/>
    </row>
    <row r="947" spans="1:25" ht="25" x14ac:dyDescent="0.25">
      <c r="A947" s="21">
        <v>1270</v>
      </c>
      <c r="B947" s="22" t="s">
        <v>15368</v>
      </c>
      <c r="C947" s="22" t="s">
        <v>12954</v>
      </c>
      <c r="D947" s="23">
        <v>184459</v>
      </c>
      <c r="E947" s="24">
        <v>1989</v>
      </c>
      <c r="F947" s="22" t="s">
        <v>12955</v>
      </c>
      <c r="G947" s="23" t="s">
        <v>12956</v>
      </c>
      <c r="H947" s="25" t="s">
        <v>15373</v>
      </c>
      <c r="I947" s="22" t="s">
        <v>15382</v>
      </c>
      <c r="J947" s="22" t="s">
        <v>14642</v>
      </c>
      <c r="K947" s="26">
        <f t="shared" si="14"/>
        <v>711.33333333333326</v>
      </c>
      <c r="N947" s="26">
        <v>1067</v>
      </c>
      <c r="O947" s="22" t="s">
        <v>12957</v>
      </c>
      <c r="P947" s="22" t="s">
        <v>16147</v>
      </c>
      <c r="Q947" s="22">
        <v>91790</v>
      </c>
      <c r="R947" s="22" t="s">
        <v>12958</v>
      </c>
      <c r="S947" s="22" t="s">
        <v>12959</v>
      </c>
      <c r="T947" s="22">
        <v>8.17</v>
      </c>
      <c r="U947" s="22">
        <v>0.38</v>
      </c>
      <c r="X947" s="26"/>
      <c r="Y947" s="26"/>
    </row>
    <row r="948" spans="1:25" ht="25" x14ac:dyDescent="0.25">
      <c r="A948" s="21">
        <v>1271</v>
      </c>
      <c r="B948" s="22" t="s">
        <v>15368</v>
      </c>
      <c r="C948" s="22" t="s">
        <v>12960</v>
      </c>
      <c r="D948" s="23">
        <v>357346</v>
      </c>
      <c r="E948" s="24">
        <v>1999</v>
      </c>
      <c r="F948" s="22" t="s">
        <v>12961</v>
      </c>
      <c r="G948" s="23" t="s">
        <v>12962</v>
      </c>
      <c r="H948" s="25" t="s">
        <v>15373</v>
      </c>
      <c r="I948" s="22" t="s">
        <v>15374</v>
      </c>
      <c r="J948" s="22" t="s">
        <v>16121</v>
      </c>
      <c r="K948" s="26">
        <f t="shared" si="14"/>
        <v>600</v>
      </c>
      <c r="L948" s="26">
        <v>600</v>
      </c>
      <c r="O948" s="22" t="s">
        <v>12963</v>
      </c>
      <c r="P948" s="22" t="s">
        <v>15376</v>
      </c>
      <c r="Q948" s="22">
        <v>90017</v>
      </c>
      <c r="R948" s="22" t="s">
        <v>12964</v>
      </c>
      <c r="S948" s="22" t="s">
        <v>12965</v>
      </c>
      <c r="T948" s="22">
        <v>8.17</v>
      </c>
      <c r="U948" s="22">
        <v>0.38</v>
      </c>
      <c r="X948" s="26"/>
      <c r="Y948" s="26"/>
    </row>
    <row r="949" spans="1:25" ht="25" x14ac:dyDescent="0.25">
      <c r="A949" s="21">
        <v>1272</v>
      </c>
      <c r="B949" s="22" t="s">
        <v>15368</v>
      </c>
      <c r="C949" s="22" t="s">
        <v>12960</v>
      </c>
      <c r="D949" s="23">
        <v>357347</v>
      </c>
      <c r="E949" s="24">
        <v>1999</v>
      </c>
      <c r="F949" s="22" t="s">
        <v>12966</v>
      </c>
      <c r="G949" s="23" t="s">
        <v>12967</v>
      </c>
      <c r="H949" s="25" t="s">
        <v>15373</v>
      </c>
      <c r="I949" s="22" t="s">
        <v>15374</v>
      </c>
      <c r="J949" s="22" t="s">
        <v>16121</v>
      </c>
      <c r="K949" s="26">
        <f t="shared" si="14"/>
        <v>600</v>
      </c>
      <c r="L949" s="26">
        <v>600</v>
      </c>
      <c r="O949" s="22" t="s">
        <v>12963</v>
      </c>
      <c r="P949" s="22" t="s">
        <v>15376</v>
      </c>
      <c r="Q949" s="22">
        <v>90017</v>
      </c>
      <c r="R949" s="22" t="s">
        <v>12964</v>
      </c>
      <c r="S949" s="22" t="s">
        <v>12965</v>
      </c>
      <c r="T949" s="22">
        <v>8.17</v>
      </c>
      <c r="U949" s="22">
        <v>0.38</v>
      </c>
      <c r="X949" s="26"/>
      <c r="Y949" s="26"/>
    </row>
    <row r="950" spans="1:25" ht="37.5" x14ac:dyDescent="0.25">
      <c r="A950" s="21">
        <v>1273</v>
      </c>
      <c r="B950" s="22" t="s">
        <v>15368</v>
      </c>
      <c r="C950" s="22" t="s">
        <v>12968</v>
      </c>
      <c r="D950" s="23">
        <v>371214</v>
      </c>
      <c r="E950" s="24">
        <v>2000</v>
      </c>
      <c r="F950" s="22" t="s">
        <v>12969</v>
      </c>
      <c r="G950" s="23" t="s">
        <v>12970</v>
      </c>
      <c r="H950" s="25" t="s">
        <v>15373</v>
      </c>
      <c r="I950" s="22" t="s">
        <v>15374</v>
      </c>
      <c r="J950" s="22" t="s">
        <v>15400</v>
      </c>
      <c r="K950" s="26">
        <f t="shared" si="14"/>
        <v>1500</v>
      </c>
      <c r="L950" s="26">
        <v>1500</v>
      </c>
      <c r="O950" s="22" t="s">
        <v>11919</v>
      </c>
      <c r="P950" s="22" t="s">
        <v>15376</v>
      </c>
      <c r="Q950" s="22">
        <v>90017</v>
      </c>
      <c r="R950" s="22" t="s">
        <v>11920</v>
      </c>
      <c r="S950" s="22" t="s">
        <v>11921</v>
      </c>
      <c r="T950" s="22">
        <v>6.9</v>
      </c>
      <c r="U950" s="22">
        <v>0.4</v>
      </c>
      <c r="X950" s="26"/>
      <c r="Y950" s="26"/>
    </row>
    <row r="951" spans="1:25" ht="25" x14ac:dyDescent="0.25">
      <c r="A951" s="21">
        <v>1274</v>
      </c>
      <c r="B951" s="22" t="s">
        <v>15368</v>
      </c>
      <c r="C951" s="22" t="s">
        <v>11922</v>
      </c>
      <c r="D951" s="23">
        <v>176245</v>
      </c>
      <c r="E951" s="24">
        <v>1988</v>
      </c>
      <c r="F951" s="22" t="s">
        <v>11923</v>
      </c>
      <c r="G951" s="23" t="s">
        <v>11924</v>
      </c>
      <c r="H951" s="25" t="s">
        <v>15373</v>
      </c>
      <c r="I951" s="22" t="s">
        <v>15374</v>
      </c>
      <c r="J951" s="22">
        <v>3412</v>
      </c>
      <c r="K951" s="26">
        <f t="shared" si="14"/>
        <v>533.33333333333326</v>
      </c>
      <c r="N951" s="26">
        <v>800</v>
      </c>
      <c r="O951" s="22" t="s">
        <v>11925</v>
      </c>
      <c r="P951" s="22" t="s">
        <v>15081</v>
      </c>
      <c r="Q951" s="22">
        <v>90220</v>
      </c>
      <c r="R951" s="22" t="s">
        <v>11926</v>
      </c>
      <c r="S951" s="22" t="s">
        <v>11927</v>
      </c>
      <c r="T951" s="22">
        <v>8.17</v>
      </c>
      <c r="U951" s="22">
        <v>0.38</v>
      </c>
      <c r="X951" s="26"/>
      <c r="Y951" s="26"/>
    </row>
    <row r="952" spans="1:25" ht="25" x14ac:dyDescent="0.25">
      <c r="A952" s="21">
        <v>1275</v>
      </c>
      <c r="B952" s="22" t="s">
        <v>15368</v>
      </c>
      <c r="C952" s="22" t="s">
        <v>11922</v>
      </c>
      <c r="D952" s="23">
        <v>312181</v>
      </c>
      <c r="E952" s="24">
        <v>1996</v>
      </c>
      <c r="F952" s="22" t="s">
        <v>11928</v>
      </c>
      <c r="G952" s="23" t="s">
        <v>11929</v>
      </c>
      <c r="H952" s="25" t="s">
        <v>15373</v>
      </c>
      <c r="I952" s="22" t="s">
        <v>15374</v>
      </c>
      <c r="J952" s="22">
        <v>3508</v>
      </c>
      <c r="K952" s="26">
        <f t="shared" si="14"/>
        <v>800</v>
      </c>
      <c r="N952" s="26">
        <v>1200</v>
      </c>
      <c r="O952" s="22" t="s">
        <v>11930</v>
      </c>
      <c r="P952" s="22" t="s">
        <v>16794</v>
      </c>
      <c r="Q952" s="22">
        <v>92506</v>
      </c>
      <c r="R952" s="22" t="s">
        <v>11926</v>
      </c>
      <c r="S952" s="22" t="s">
        <v>11927</v>
      </c>
      <c r="T952" s="22">
        <v>8.17</v>
      </c>
      <c r="U952" s="22">
        <v>0.38</v>
      </c>
      <c r="X952" s="26"/>
      <c r="Y952" s="26"/>
    </row>
    <row r="953" spans="1:25" ht="37.5" x14ac:dyDescent="0.25">
      <c r="A953" s="21">
        <v>1276</v>
      </c>
      <c r="B953" s="22" t="s">
        <v>15368</v>
      </c>
      <c r="C953" s="22" t="s">
        <v>11922</v>
      </c>
      <c r="D953" s="23">
        <v>312182</v>
      </c>
      <c r="E953" s="24">
        <v>1996</v>
      </c>
      <c r="F953" s="22" t="s">
        <v>11931</v>
      </c>
      <c r="G953" s="23" t="s">
        <v>11932</v>
      </c>
      <c r="H953" s="25" t="s">
        <v>15373</v>
      </c>
      <c r="I953" s="22" t="s">
        <v>15374</v>
      </c>
      <c r="J953" s="22">
        <v>3508</v>
      </c>
      <c r="K953" s="26">
        <f t="shared" si="14"/>
        <v>800</v>
      </c>
      <c r="M953" s="26">
        <v>1200</v>
      </c>
      <c r="O953" s="22" t="s">
        <v>11930</v>
      </c>
      <c r="P953" s="22" t="s">
        <v>16794</v>
      </c>
      <c r="Q953" s="22">
        <v>92506</v>
      </c>
      <c r="R953" s="22" t="s">
        <v>11926</v>
      </c>
      <c r="S953" s="22" t="s">
        <v>11927</v>
      </c>
      <c r="T953" s="22">
        <v>8.17</v>
      </c>
      <c r="U953" s="22">
        <v>0.38</v>
      </c>
      <c r="X953" s="26"/>
      <c r="Y953" s="26"/>
    </row>
    <row r="954" spans="1:25" ht="62.5" x14ac:dyDescent="0.25">
      <c r="A954" s="21">
        <v>1277</v>
      </c>
      <c r="B954" s="22" t="s">
        <v>15368</v>
      </c>
      <c r="C954" s="22" t="s">
        <v>11933</v>
      </c>
      <c r="D954" s="23">
        <v>258912</v>
      </c>
      <c r="E954" s="24">
        <v>1991</v>
      </c>
      <c r="F954" s="22" t="s">
        <v>11934</v>
      </c>
      <c r="G954" s="23" t="s">
        <v>11935</v>
      </c>
      <c r="H954" s="25" t="s">
        <v>15373</v>
      </c>
      <c r="I954" s="22" t="s">
        <v>15374</v>
      </c>
      <c r="J954" s="22" t="s">
        <v>11936</v>
      </c>
      <c r="K954" s="26">
        <f t="shared" si="14"/>
        <v>550</v>
      </c>
      <c r="L954" s="26">
        <v>550</v>
      </c>
      <c r="O954" s="22" t="s">
        <v>11937</v>
      </c>
      <c r="P954" s="22" t="s">
        <v>15893</v>
      </c>
      <c r="Q954" s="22">
        <v>92591</v>
      </c>
      <c r="R954" s="22" t="s">
        <v>11938</v>
      </c>
      <c r="S954" s="22" t="s">
        <v>11939</v>
      </c>
      <c r="T954" s="22">
        <v>8.17</v>
      </c>
      <c r="U954" s="22">
        <v>0.38</v>
      </c>
      <c r="X954" s="26"/>
      <c r="Y954" s="26"/>
    </row>
    <row r="955" spans="1:25" ht="62.5" x14ac:dyDescent="0.25">
      <c r="A955" s="21">
        <v>1278</v>
      </c>
      <c r="B955" s="22" t="s">
        <v>15368</v>
      </c>
      <c r="C955" s="22" t="s">
        <v>11933</v>
      </c>
      <c r="D955" s="23">
        <v>281211</v>
      </c>
      <c r="E955" s="24">
        <v>1993</v>
      </c>
      <c r="F955" s="22" t="s">
        <v>11940</v>
      </c>
      <c r="G955" s="23" t="s">
        <v>11941</v>
      </c>
      <c r="H955" s="25" t="s">
        <v>16310</v>
      </c>
      <c r="I955" s="22" t="s">
        <v>16160</v>
      </c>
      <c r="J955" s="22" t="s">
        <v>11942</v>
      </c>
      <c r="K955" s="26">
        <f t="shared" si="14"/>
        <v>575.33333333333326</v>
      </c>
      <c r="N955" s="26">
        <v>863</v>
      </c>
      <c r="O955" s="22" t="s">
        <v>11943</v>
      </c>
      <c r="P955" s="22" t="s">
        <v>11944</v>
      </c>
      <c r="Q955" s="22">
        <v>92562</v>
      </c>
      <c r="R955" s="22" t="s">
        <v>11945</v>
      </c>
      <c r="S955" s="22" t="s">
        <v>11946</v>
      </c>
      <c r="X955" s="26"/>
      <c r="Y955" s="26"/>
    </row>
    <row r="956" spans="1:25" ht="37.5" x14ac:dyDescent="0.25">
      <c r="A956" s="21">
        <v>1279</v>
      </c>
      <c r="B956" s="22" t="s">
        <v>15368</v>
      </c>
      <c r="C956" s="22" t="s">
        <v>11933</v>
      </c>
      <c r="D956" s="23">
        <v>281226</v>
      </c>
      <c r="E956" s="24">
        <v>1993</v>
      </c>
      <c r="F956" s="22" t="s">
        <v>11947</v>
      </c>
      <c r="G956" s="23" t="s">
        <v>11948</v>
      </c>
      <c r="H956" s="25" t="s">
        <v>15373</v>
      </c>
      <c r="I956" s="22" t="s">
        <v>15374</v>
      </c>
      <c r="J956" s="22" t="s">
        <v>15420</v>
      </c>
      <c r="K956" s="26">
        <f t="shared" si="14"/>
        <v>1200.6666666666665</v>
      </c>
      <c r="N956" s="26">
        <v>1801</v>
      </c>
      <c r="O956" s="22" t="s">
        <v>11943</v>
      </c>
      <c r="P956" s="22" t="s">
        <v>11944</v>
      </c>
      <c r="Q956" s="22">
        <v>92562</v>
      </c>
      <c r="R956" s="22" t="s">
        <v>11945</v>
      </c>
      <c r="S956" s="22" t="s">
        <v>11946</v>
      </c>
      <c r="T956" s="22">
        <v>8.17</v>
      </c>
      <c r="U956" s="22">
        <v>0.38</v>
      </c>
      <c r="X956" s="26"/>
      <c r="Y956" s="26"/>
    </row>
    <row r="957" spans="1:25" ht="37.5" x14ac:dyDescent="0.25">
      <c r="A957" s="21">
        <v>1280</v>
      </c>
      <c r="B957" s="22" t="s">
        <v>15368</v>
      </c>
      <c r="C957" s="22" t="s">
        <v>11933</v>
      </c>
      <c r="D957" s="23">
        <v>281228</v>
      </c>
      <c r="E957" s="24">
        <v>1993</v>
      </c>
      <c r="F957" s="22" t="s">
        <v>11949</v>
      </c>
      <c r="G957" s="23" t="s">
        <v>11948</v>
      </c>
      <c r="H957" s="25" t="s">
        <v>15373</v>
      </c>
      <c r="I957" s="22" t="s">
        <v>15374</v>
      </c>
      <c r="J957" s="22" t="s">
        <v>15420</v>
      </c>
      <c r="K957" s="26">
        <f t="shared" si="14"/>
        <v>1200.6666666666665</v>
      </c>
      <c r="N957" s="26">
        <v>1801</v>
      </c>
      <c r="O957" s="22" t="s">
        <v>11943</v>
      </c>
      <c r="P957" s="22" t="s">
        <v>11944</v>
      </c>
      <c r="Q957" s="22">
        <v>92562</v>
      </c>
      <c r="R957" s="22" t="s">
        <v>11945</v>
      </c>
      <c r="S957" s="22" t="s">
        <v>11946</v>
      </c>
      <c r="T957" s="22">
        <v>8.17</v>
      </c>
      <c r="U957" s="22">
        <v>0.38</v>
      </c>
      <c r="X957" s="26"/>
      <c r="Y957" s="26"/>
    </row>
    <row r="958" spans="1:25" ht="25" x14ac:dyDescent="0.25">
      <c r="A958" s="21">
        <v>1281</v>
      </c>
      <c r="B958" s="22" t="s">
        <v>15368</v>
      </c>
      <c r="C958" s="22" t="s">
        <v>11950</v>
      </c>
      <c r="D958" s="23">
        <v>192098</v>
      </c>
      <c r="E958" s="24">
        <v>1989</v>
      </c>
      <c r="F958" s="22" t="s">
        <v>11951</v>
      </c>
      <c r="G958" s="23" t="s">
        <v>11952</v>
      </c>
      <c r="H958" s="25" t="s">
        <v>15373</v>
      </c>
      <c r="I958" s="22" t="s">
        <v>15382</v>
      </c>
      <c r="J958" s="22" t="s">
        <v>13139</v>
      </c>
      <c r="K958" s="26">
        <f t="shared" si="14"/>
        <v>356.66666666666663</v>
      </c>
      <c r="N958" s="26">
        <v>535</v>
      </c>
      <c r="O958" s="22" t="s">
        <v>11953</v>
      </c>
      <c r="P958" s="22" t="s">
        <v>16347</v>
      </c>
      <c r="Q958" s="22">
        <v>91730</v>
      </c>
      <c r="R958" s="22" t="s">
        <v>11954</v>
      </c>
      <c r="S958" s="22" t="s">
        <v>11955</v>
      </c>
      <c r="T958" s="22">
        <v>8.17</v>
      </c>
      <c r="U958" s="22">
        <v>0.38</v>
      </c>
      <c r="X958" s="26"/>
      <c r="Y958" s="26"/>
    </row>
    <row r="959" spans="1:25" ht="37.5" x14ac:dyDescent="0.25">
      <c r="A959" s="21">
        <v>1282</v>
      </c>
      <c r="B959" s="22" t="s">
        <v>15368</v>
      </c>
      <c r="C959" s="22" t="s">
        <v>11956</v>
      </c>
      <c r="D959" s="23">
        <v>337695</v>
      </c>
      <c r="E959" s="24">
        <v>1998</v>
      </c>
      <c r="F959" s="22" t="s">
        <v>11957</v>
      </c>
      <c r="G959" s="23" t="s">
        <v>11958</v>
      </c>
      <c r="H959" s="25" t="s">
        <v>15373</v>
      </c>
      <c r="I959" s="22" t="s">
        <v>15411</v>
      </c>
      <c r="J959" s="22" t="s">
        <v>15838</v>
      </c>
      <c r="K959" s="26">
        <f t="shared" si="14"/>
        <v>420</v>
      </c>
      <c r="M959" s="26">
        <v>630</v>
      </c>
      <c r="O959" s="22" t="s">
        <v>11959</v>
      </c>
      <c r="P959" s="22" t="s">
        <v>15703</v>
      </c>
      <c r="Q959" s="22">
        <v>90245</v>
      </c>
      <c r="R959" s="22" t="s">
        <v>11960</v>
      </c>
      <c r="S959" s="22" t="s">
        <v>11961</v>
      </c>
      <c r="T959" s="22">
        <v>6.9</v>
      </c>
      <c r="U959" s="22">
        <v>0.4</v>
      </c>
      <c r="X959" s="26"/>
      <c r="Y959" s="26"/>
    </row>
    <row r="960" spans="1:25" ht="37.5" x14ac:dyDescent="0.25">
      <c r="A960" s="21">
        <v>1288</v>
      </c>
      <c r="B960" s="22" t="s">
        <v>15368</v>
      </c>
      <c r="C960" s="22" t="s">
        <v>11962</v>
      </c>
      <c r="D960" s="23">
        <v>374740</v>
      </c>
      <c r="E960" s="24">
        <v>2000</v>
      </c>
      <c r="F960" s="22" t="s">
        <v>11963</v>
      </c>
      <c r="G960" s="23" t="s">
        <v>11964</v>
      </c>
      <c r="H960" s="25" t="s">
        <v>15373</v>
      </c>
      <c r="I960" s="22" t="s">
        <v>15374</v>
      </c>
      <c r="J960" s="22" t="s">
        <v>15420</v>
      </c>
      <c r="K960" s="26">
        <f t="shared" si="14"/>
        <v>1200.6666666666665</v>
      </c>
      <c r="N960" s="26">
        <v>1801</v>
      </c>
      <c r="O960" s="22" t="s">
        <v>11965</v>
      </c>
      <c r="P960" s="22" t="s">
        <v>13211</v>
      </c>
      <c r="Q960" s="22">
        <v>90745</v>
      </c>
      <c r="R960" s="22" t="s">
        <v>11966</v>
      </c>
      <c r="S960" s="22" t="s">
        <v>11967</v>
      </c>
      <c r="T960" s="22">
        <v>6.9</v>
      </c>
      <c r="U960" s="22">
        <v>0.4</v>
      </c>
      <c r="X960" s="26"/>
      <c r="Y960" s="26"/>
    </row>
    <row r="961" spans="1:25" ht="37.5" x14ac:dyDescent="0.25">
      <c r="A961" s="21">
        <v>1289</v>
      </c>
      <c r="B961" s="22" t="s">
        <v>15368</v>
      </c>
      <c r="C961" s="22" t="s">
        <v>11968</v>
      </c>
      <c r="D961" s="23">
        <v>273066</v>
      </c>
      <c r="E961" s="24">
        <v>1992</v>
      </c>
      <c r="F961" s="22" t="s">
        <v>11969</v>
      </c>
      <c r="G961" s="23" t="s">
        <v>11970</v>
      </c>
      <c r="H961" s="25" t="s">
        <v>15373</v>
      </c>
      <c r="I961" s="22" t="s">
        <v>15411</v>
      </c>
      <c r="J961" s="22" t="s">
        <v>15744</v>
      </c>
      <c r="K961" s="26">
        <f t="shared" si="14"/>
        <v>780</v>
      </c>
      <c r="N961" s="26">
        <v>1170</v>
      </c>
      <c r="O961" s="22" t="s">
        <v>11971</v>
      </c>
      <c r="P961" s="22" t="s">
        <v>15414</v>
      </c>
      <c r="Q961" s="22">
        <v>91202</v>
      </c>
      <c r="R961" s="22" t="s">
        <v>11972</v>
      </c>
      <c r="S961" s="22" t="s">
        <v>11973</v>
      </c>
      <c r="T961" s="22">
        <v>8.17</v>
      </c>
      <c r="U961" s="22">
        <v>0.38</v>
      </c>
      <c r="X961" s="26"/>
      <c r="Y961" s="26"/>
    </row>
    <row r="962" spans="1:25" ht="25" x14ac:dyDescent="0.25">
      <c r="A962" s="21">
        <v>1290</v>
      </c>
      <c r="B962" s="22" t="s">
        <v>15368</v>
      </c>
      <c r="C962" s="22" t="s">
        <v>11974</v>
      </c>
      <c r="D962" s="23">
        <v>340743</v>
      </c>
      <c r="E962" s="24">
        <v>1998</v>
      </c>
      <c r="F962" s="22" t="s">
        <v>11975</v>
      </c>
      <c r="G962" s="23" t="s">
        <v>11976</v>
      </c>
      <c r="H962" s="25" t="s">
        <v>15373</v>
      </c>
      <c r="I962" s="22" t="s">
        <v>15382</v>
      </c>
      <c r="J962" s="22" t="s">
        <v>16861</v>
      </c>
      <c r="K962" s="26">
        <f t="shared" ref="K962:K1025" si="15">L962+M962*(2/3)+N962*(2/3)</f>
        <v>400</v>
      </c>
      <c r="N962" s="26">
        <v>600</v>
      </c>
      <c r="O962" s="22" t="s">
        <v>11977</v>
      </c>
      <c r="P962" s="22" t="s">
        <v>16390</v>
      </c>
      <c r="Q962" s="22">
        <v>92373</v>
      </c>
      <c r="R962" s="22" t="s">
        <v>11978</v>
      </c>
      <c r="S962" s="22" t="s">
        <v>11979</v>
      </c>
      <c r="T962" s="22">
        <v>6.9</v>
      </c>
      <c r="U962" s="22">
        <v>0.4</v>
      </c>
      <c r="X962" s="26"/>
      <c r="Y962" s="26"/>
    </row>
    <row r="963" spans="1:25" ht="37.5" x14ac:dyDescent="0.25">
      <c r="A963" s="21">
        <v>1291</v>
      </c>
      <c r="B963" s="22" t="s">
        <v>15368</v>
      </c>
      <c r="C963" s="22" t="s">
        <v>11980</v>
      </c>
      <c r="D963" s="23">
        <v>364474</v>
      </c>
      <c r="E963" s="24">
        <v>1999</v>
      </c>
      <c r="F963" s="22" t="s">
        <v>11981</v>
      </c>
      <c r="G963" s="23" t="s">
        <v>11982</v>
      </c>
      <c r="H963" s="25" t="s">
        <v>15373</v>
      </c>
      <c r="I963" s="22" t="s">
        <v>15374</v>
      </c>
      <c r="J963" s="22" t="s">
        <v>11983</v>
      </c>
      <c r="K963" s="26">
        <f t="shared" si="15"/>
        <v>1001.3333333333333</v>
      </c>
      <c r="N963" s="26">
        <v>1502</v>
      </c>
      <c r="O963" s="22" t="s">
        <v>11984</v>
      </c>
      <c r="P963" s="22" t="s">
        <v>16390</v>
      </c>
      <c r="Q963" s="22" t="s">
        <v>11985</v>
      </c>
      <c r="R963" s="22" t="s">
        <v>11986</v>
      </c>
      <c r="S963" s="22" t="s">
        <v>11987</v>
      </c>
      <c r="T963" s="22">
        <v>8.17</v>
      </c>
      <c r="U963" s="22">
        <v>0.38</v>
      </c>
      <c r="X963" s="26"/>
      <c r="Y963" s="26"/>
    </row>
    <row r="964" spans="1:25" ht="50" x14ac:dyDescent="0.25">
      <c r="A964" s="21">
        <v>1292</v>
      </c>
      <c r="B964" s="22" t="s">
        <v>15368</v>
      </c>
      <c r="C964" s="22" t="s">
        <v>11988</v>
      </c>
      <c r="D964" s="23">
        <v>374150</v>
      </c>
      <c r="E964" s="24">
        <v>2000</v>
      </c>
      <c r="F964" s="22" t="s">
        <v>11989</v>
      </c>
      <c r="G964" s="23" t="s">
        <v>11990</v>
      </c>
      <c r="H964" s="25" t="s">
        <v>15373</v>
      </c>
      <c r="I964" s="22" t="s">
        <v>15374</v>
      </c>
      <c r="J964" s="22" t="s">
        <v>14709</v>
      </c>
      <c r="K964" s="26">
        <f t="shared" si="15"/>
        <v>600</v>
      </c>
      <c r="L964" s="26">
        <v>600</v>
      </c>
      <c r="O964" s="22" t="s">
        <v>11991</v>
      </c>
      <c r="P964" s="22" t="s">
        <v>11992</v>
      </c>
      <c r="Q964" s="22">
        <v>90292</v>
      </c>
      <c r="R964" s="22" t="s">
        <v>11993</v>
      </c>
      <c r="S964" s="22" t="s">
        <v>11994</v>
      </c>
      <c r="T964" s="22">
        <v>6.9</v>
      </c>
      <c r="U964" s="22">
        <v>0.4</v>
      </c>
      <c r="X964" s="26"/>
      <c r="Y964" s="26"/>
    </row>
    <row r="965" spans="1:25" ht="37.5" x14ac:dyDescent="0.25">
      <c r="A965" s="21">
        <v>1293</v>
      </c>
      <c r="B965" s="22" t="s">
        <v>15368</v>
      </c>
      <c r="C965" s="22" t="s">
        <v>11995</v>
      </c>
      <c r="D965" s="23">
        <v>369700</v>
      </c>
      <c r="E965" s="24">
        <v>2000</v>
      </c>
      <c r="F965" s="22" t="s">
        <v>11996</v>
      </c>
      <c r="G965" s="23" t="s">
        <v>11997</v>
      </c>
      <c r="H965" s="25" t="s">
        <v>15373</v>
      </c>
      <c r="I965" s="22" t="s">
        <v>15374</v>
      </c>
      <c r="J965" s="22">
        <v>3406</v>
      </c>
      <c r="K965" s="26">
        <f t="shared" si="15"/>
        <v>391.33333333333331</v>
      </c>
      <c r="N965" s="26">
        <v>587</v>
      </c>
      <c r="O965" s="22" t="s">
        <v>11998</v>
      </c>
      <c r="P965" s="22" t="s">
        <v>11999</v>
      </c>
      <c r="Q965" s="22">
        <v>91702</v>
      </c>
      <c r="R965" s="22" t="s">
        <v>12000</v>
      </c>
      <c r="S965" s="22" t="s">
        <v>12001</v>
      </c>
      <c r="T965" s="22">
        <v>6.9</v>
      </c>
      <c r="U965" s="22">
        <v>0.4</v>
      </c>
      <c r="X965" s="26"/>
      <c r="Y965" s="26"/>
    </row>
    <row r="966" spans="1:25" ht="37.5" x14ac:dyDescent="0.25">
      <c r="A966" s="21">
        <v>1295</v>
      </c>
      <c r="B966" s="22" t="s">
        <v>15368</v>
      </c>
      <c r="C966" s="22" t="s">
        <v>12002</v>
      </c>
      <c r="D966" s="23">
        <v>198359</v>
      </c>
      <c r="E966" s="24">
        <v>1989</v>
      </c>
      <c r="F966" s="22" t="s">
        <v>12003</v>
      </c>
      <c r="G966" s="23" t="s">
        <v>12004</v>
      </c>
      <c r="H966" s="25" t="s">
        <v>15373</v>
      </c>
      <c r="I966" s="22" t="s">
        <v>15374</v>
      </c>
      <c r="J966" s="22" t="s">
        <v>14076</v>
      </c>
      <c r="K966" s="26">
        <f t="shared" si="15"/>
        <v>499.33333333333331</v>
      </c>
      <c r="N966" s="26">
        <v>749</v>
      </c>
      <c r="O966" s="22" t="s">
        <v>12005</v>
      </c>
      <c r="P966" s="22" t="s">
        <v>16290</v>
      </c>
      <c r="Q966" s="22">
        <v>92316</v>
      </c>
      <c r="R966" s="22" t="s">
        <v>12006</v>
      </c>
      <c r="S966" s="22" t="s">
        <v>12007</v>
      </c>
      <c r="T966" s="22">
        <v>8.17</v>
      </c>
      <c r="U966" s="22">
        <v>0.38</v>
      </c>
      <c r="X966" s="26"/>
      <c r="Y966" s="26"/>
    </row>
    <row r="967" spans="1:25" ht="37.5" x14ac:dyDescent="0.25">
      <c r="A967" s="21">
        <v>1296</v>
      </c>
      <c r="B967" s="22" t="s">
        <v>15368</v>
      </c>
      <c r="C967" s="22" t="s">
        <v>12008</v>
      </c>
      <c r="D967" s="23">
        <v>314645</v>
      </c>
      <c r="E967" s="24">
        <v>1996</v>
      </c>
      <c r="F967" s="22" t="s">
        <v>12009</v>
      </c>
      <c r="G967" s="23" t="s">
        <v>12010</v>
      </c>
      <c r="H967" s="25" t="s">
        <v>15373</v>
      </c>
      <c r="I967" s="22" t="s">
        <v>15374</v>
      </c>
      <c r="J967" s="22" t="s">
        <v>15918</v>
      </c>
      <c r="K967" s="26">
        <f t="shared" si="15"/>
        <v>800</v>
      </c>
      <c r="L967" s="26">
        <v>800</v>
      </c>
      <c r="O967" s="22" t="s">
        <v>12011</v>
      </c>
      <c r="P967" s="22" t="s">
        <v>16794</v>
      </c>
      <c r="Q967" s="22">
        <v>92503</v>
      </c>
      <c r="R967" s="22" t="s">
        <v>12012</v>
      </c>
      <c r="S967" s="22" t="s">
        <v>12013</v>
      </c>
      <c r="T967" s="22">
        <v>8.17</v>
      </c>
      <c r="U967" s="22">
        <v>0.38</v>
      </c>
      <c r="X967" s="26"/>
      <c r="Y967" s="26"/>
    </row>
    <row r="968" spans="1:25" ht="37.5" x14ac:dyDescent="0.25">
      <c r="A968" s="21">
        <v>1297</v>
      </c>
      <c r="B968" s="22" t="s">
        <v>15368</v>
      </c>
      <c r="C968" s="22" t="s">
        <v>12014</v>
      </c>
      <c r="D968" s="23">
        <v>217012</v>
      </c>
      <c r="E968" s="24">
        <v>1989</v>
      </c>
      <c r="F968" s="22" t="s">
        <v>12015</v>
      </c>
      <c r="G968" s="23" t="s">
        <v>12016</v>
      </c>
      <c r="H968" s="25" t="s">
        <v>15373</v>
      </c>
      <c r="I968" s="22" t="s">
        <v>12017</v>
      </c>
      <c r="J968" s="22" t="s">
        <v>12018</v>
      </c>
      <c r="K968" s="26">
        <f t="shared" si="15"/>
        <v>357.33333333333331</v>
      </c>
      <c r="N968" s="26">
        <v>536</v>
      </c>
      <c r="O968" s="22" t="s">
        <v>12019</v>
      </c>
      <c r="P968" s="22" t="s">
        <v>16794</v>
      </c>
      <c r="Q968" s="22">
        <v>92501</v>
      </c>
      <c r="R968" s="22" t="s">
        <v>12020</v>
      </c>
      <c r="S968" s="22" t="s">
        <v>12021</v>
      </c>
      <c r="T968" s="22">
        <v>8.17</v>
      </c>
      <c r="U968" s="22">
        <v>0.38</v>
      </c>
      <c r="X968" s="26"/>
      <c r="Y968" s="26"/>
    </row>
    <row r="969" spans="1:25" ht="37.5" x14ac:dyDescent="0.25">
      <c r="A969" s="21">
        <v>1298</v>
      </c>
      <c r="B969" s="22" t="s">
        <v>15368</v>
      </c>
      <c r="C969" s="22" t="s">
        <v>12014</v>
      </c>
      <c r="D969" s="23">
        <v>338086</v>
      </c>
      <c r="E969" s="24">
        <v>1998</v>
      </c>
      <c r="F969" s="22" t="s">
        <v>12022</v>
      </c>
      <c r="G969" s="23" t="s">
        <v>12023</v>
      </c>
      <c r="H969" s="25" t="s">
        <v>15373</v>
      </c>
      <c r="I969" s="22" t="s">
        <v>15374</v>
      </c>
      <c r="J969" s="22" t="s">
        <v>15701</v>
      </c>
      <c r="K969" s="26">
        <f t="shared" si="15"/>
        <v>400</v>
      </c>
      <c r="L969" s="26">
        <v>400</v>
      </c>
      <c r="O969" s="22" t="s">
        <v>12024</v>
      </c>
      <c r="P969" s="22" t="s">
        <v>16794</v>
      </c>
      <c r="Q969" s="22">
        <v>92501</v>
      </c>
      <c r="R969" s="22" t="s">
        <v>12025</v>
      </c>
      <c r="S969" s="22" t="s">
        <v>12026</v>
      </c>
      <c r="T969" s="22">
        <v>6.9</v>
      </c>
      <c r="U969" s="22">
        <v>0.4</v>
      </c>
      <c r="X969" s="26"/>
      <c r="Y969" s="26"/>
    </row>
    <row r="970" spans="1:25" ht="25" x14ac:dyDescent="0.25">
      <c r="A970" s="21">
        <v>1299</v>
      </c>
      <c r="B970" s="22" t="s">
        <v>15368</v>
      </c>
      <c r="C970" s="22" t="s">
        <v>12027</v>
      </c>
      <c r="D970" s="23">
        <v>157381</v>
      </c>
      <c r="E970" s="24">
        <v>1987</v>
      </c>
      <c r="F970" s="22" t="s">
        <v>12028</v>
      </c>
      <c r="G970" s="23" t="s">
        <v>12029</v>
      </c>
      <c r="H970" s="25" t="s">
        <v>15373</v>
      </c>
      <c r="I970" s="22" t="s">
        <v>15374</v>
      </c>
      <c r="J970" s="22">
        <v>3512</v>
      </c>
      <c r="K970" s="26">
        <f t="shared" si="15"/>
        <v>1250</v>
      </c>
      <c r="L970" s="26">
        <v>1250</v>
      </c>
      <c r="O970" s="22" t="s">
        <v>12030</v>
      </c>
      <c r="P970" s="22" t="s">
        <v>16794</v>
      </c>
      <c r="Q970" s="22">
        <v>92501</v>
      </c>
      <c r="R970" s="22" t="s">
        <v>12031</v>
      </c>
      <c r="S970" s="22" t="s">
        <v>12032</v>
      </c>
      <c r="T970" s="22">
        <v>11</v>
      </c>
      <c r="U970" s="22">
        <v>0.53</v>
      </c>
      <c r="X970" s="26"/>
      <c r="Y970" s="26"/>
    </row>
    <row r="971" spans="1:25" ht="25" x14ac:dyDescent="0.25">
      <c r="A971" s="21">
        <v>1300</v>
      </c>
      <c r="B971" s="22" t="s">
        <v>15368</v>
      </c>
      <c r="C971" s="22" t="s">
        <v>12027</v>
      </c>
      <c r="D971" s="23">
        <v>157431</v>
      </c>
      <c r="E971" s="24">
        <v>1987</v>
      </c>
      <c r="F971" s="22" t="s">
        <v>12033</v>
      </c>
      <c r="G971" s="23" t="s">
        <v>12029</v>
      </c>
      <c r="H971" s="25" t="s">
        <v>15373</v>
      </c>
      <c r="I971" s="22" t="s">
        <v>15374</v>
      </c>
      <c r="J971" s="22">
        <v>3512</v>
      </c>
      <c r="K971" s="26">
        <f t="shared" si="15"/>
        <v>1250</v>
      </c>
      <c r="L971" s="26">
        <v>1250</v>
      </c>
      <c r="O971" s="22" t="s">
        <v>12030</v>
      </c>
      <c r="P971" s="22" t="s">
        <v>16794</v>
      </c>
      <c r="Q971" s="22">
        <v>92501</v>
      </c>
      <c r="R971" s="22" t="s">
        <v>12031</v>
      </c>
      <c r="S971" s="22" t="s">
        <v>12032</v>
      </c>
      <c r="T971" s="22">
        <v>11</v>
      </c>
      <c r="U971" s="22">
        <v>0.53</v>
      </c>
      <c r="X971" s="26"/>
      <c r="Y971" s="26"/>
    </row>
    <row r="972" spans="1:25" ht="37.5" x14ac:dyDescent="0.25">
      <c r="A972" s="21">
        <v>1301</v>
      </c>
      <c r="B972" s="22" t="s">
        <v>15368</v>
      </c>
      <c r="C972" s="22" t="s">
        <v>12034</v>
      </c>
      <c r="D972" s="23">
        <v>243286</v>
      </c>
      <c r="E972" s="24">
        <v>1990</v>
      </c>
      <c r="F972" s="22" t="s">
        <v>12035</v>
      </c>
      <c r="G972" s="23" t="s">
        <v>12036</v>
      </c>
      <c r="H972" s="25" t="s">
        <v>15373</v>
      </c>
      <c r="I972" s="22" t="s">
        <v>15411</v>
      </c>
      <c r="J972" s="22" t="s">
        <v>12037</v>
      </c>
      <c r="K972" s="26">
        <f t="shared" si="15"/>
        <v>1560</v>
      </c>
      <c r="N972" s="26">
        <v>2340</v>
      </c>
      <c r="O972" s="22" t="s">
        <v>12038</v>
      </c>
      <c r="P972" s="22" t="s">
        <v>11944</v>
      </c>
      <c r="Q972" s="22" t="s">
        <v>12039</v>
      </c>
      <c r="R972" s="22" t="s">
        <v>12040</v>
      </c>
      <c r="S972" s="22" t="s">
        <v>12041</v>
      </c>
      <c r="T972" s="22">
        <v>8.17</v>
      </c>
      <c r="U972" s="22">
        <v>0.38</v>
      </c>
      <c r="X972" s="26"/>
      <c r="Y972" s="26"/>
    </row>
    <row r="973" spans="1:25" ht="37.5" x14ac:dyDescent="0.25">
      <c r="A973" s="21">
        <v>1302</v>
      </c>
      <c r="B973" s="22" t="s">
        <v>15368</v>
      </c>
      <c r="C973" s="22" t="s">
        <v>12034</v>
      </c>
      <c r="D973" s="23">
        <v>377824</v>
      </c>
      <c r="E973" s="24">
        <v>2000</v>
      </c>
      <c r="F973" s="22" t="s">
        <v>12042</v>
      </c>
      <c r="G973" s="23" t="s">
        <v>12043</v>
      </c>
      <c r="H973" s="25" t="s">
        <v>15373</v>
      </c>
      <c r="I973" s="22" t="s">
        <v>15374</v>
      </c>
      <c r="J973" s="22" t="s">
        <v>15701</v>
      </c>
      <c r="K973" s="26">
        <f t="shared" si="15"/>
        <v>300</v>
      </c>
      <c r="L973" s="26">
        <v>300</v>
      </c>
      <c r="O973" s="22" t="s">
        <v>12038</v>
      </c>
      <c r="P973" s="22" t="s">
        <v>11944</v>
      </c>
      <c r="Q973" s="22" t="s">
        <v>12039</v>
      </c>
      <c r="R973" s="22" t="s">
        <v>12040</v>
      </c>
      <c r="S973" s="22" t="s">
        <v>12041</v>
      </c>
      <c r="T973" s="22">
        <v>6.9</v>
      </c>
      <c r="U973" s="22">
        <v>0.4</v>
      </c>
      <c r="X973" s="26"/>
      <c r="Y973" s="26"/>
    </row>
    <row r="974" spans="1:25" ht="37.5" x14ac:dyDescent="0.25">
      <c r="A974" s="21">
        <v>1303</v>
      </c>
      <c r="B974" s="22" t="s">
        <v>15368</v>
      </c>
      <c r="C974" s="22" t="s">
        <v>12044</v>
      </c>
      <c r="D974" s="23">
        <v>331936</v>
      </c>
      <c r="E974" s="24">
        <v>1997</v>
      </c>
      <c r="F974" s="22" t="s">
        <v>12045</v>
      </c>
      <c r="G974" s="23" t="s">
        <v>12046</v>
      </c>
      <c r="H974" s="25" t="s">
        <v>15373</v>
      </c>
      <c r="I974" s="22" t="s">
        <v>15374</v>
      </c>
      <c r="J974" s="22" t="s">
        <v>15918</v>
      </c>
      <c r="K974" s="26">
        <f t="shared" si="15"/>
        <v>700</v>
      </c>
      <c r="L974" s="26">
        <v>700</v>
      </c>
      <c r="O974" s="22" t="s">
        <v>12047</v>
      </c>
      <c r="P974" s="22" t="s">
        <v>16794</v>
      </c>
      <c r="Q974" s="22">
        <v>92501</v>
      </c>
      <c r="R974" s="22" t="s">
        <v>12048</v>
      </c>
      <c r="S974" s="22" t="s">
        <v>12049</v>
      </c>
      <c r="T974" s="22">
        <v>8.17</v>
      </c>
      <c r="U974" s="22">
        <v>0.38</v>
      </c>
      <c r="X974" s="26"/>
      <c r="Y974" s="26"/>
    </row>
    <row r="975" spans="1:25" ht="25" x14ac:dyDescent="0.25">
      <c r="A975" s="21">
        <v>1304</v>
      </c>
      <c r="B975" s="22" t="s">
        <v>15368</v>
      </c>
      <c r="C975" s="22" t="s">
        <v>12044</v>
      </c>
      <c r="D975" s="23">
        <v>331942</v>
      </c>
      <c r="E975" s="24">
        <v>1997</v>
      </c>
      <c r="F975" s="22" t="s">
        <v>12050</v>
      </c>
      <c r="G975" s="23" t="s">
        <v>12051</v>
      </c>
      <c r="H975" s="25" t="s">
        <v>15373</v>
      </c>
      <c r="I975" s="22" t="s">
        <v>15374</v>
      </c>
      <c r="J975" s="22">
        <v>3508</v>
      </c>
      <c r="K975" s="26">
        <f t="shared" si="15"/>
        <v>750</v>
      </c>
      <c r="L975" s="26">
        <v>750</v>
      </c>
      <c r="O975" s="22" t="s">
        <v>12047</v>
      </c>
      <c r="P975" s="22" t="s">
        <v>16794</v>
      </c>
      <c r="Q975" s="22">
        <v>92501</v>
      </c>
      <c r="R975" s="22" t="s">
        <v>12048</v>
      </c>
      <c r="S975" s="22" t="s">
        <v>12049</v>
      </c>
      <c r="T975" s="22">
        <v>8.17</v>
      </c>
      <c r="U975" s="22">
        <v>0.38</v>
      </c>
      <c r="X975" s="26"/>
      <c r="Y975" s="26"/>
    </row>
    <row r="976" spans="1:25" ht="25" x14ac:dyDescent="0.25">
      <c r="A976" s="21">
        <v>1305</v>
      </c>
      <c r="B976" s="22" t="s">
        <v>15368</v>
      </c>
      <c r="C976" s="22" t="s">
        <v>12044</v>
      </c>
      <c r="D976" s="23">
        <v>331943</v>
      </c>
      <c r="E976" s="24">
        <v>1997</v>
      </c>
      <c r="F976" s="22" t="s">
        <v>12052</v>
      </c>
      <c r="G976" s="23" t="s">
        <v>12051</v>
      </c>
      <c r="H976" s="25" t="s">
        <v>15373</v>
      </c>
      <c r="I976" s="22" t="s">
        <v>15374</v>
      </c>
      <c r="J976" s="22">
        <v>3508</v>
      </c>
      <c r="K976" s="26">
        <f t="shared" si="15"/>
        <v>750</v>
      </c>
      <c r="L976" s="26">
        <v>750</v>
      </c>
      <c r="O976" s="22" t="s">
        <v>12047</v>
      </c>
      <c r="P976" s="22" t="s">
        <v>16794</v>
      </c>
      <c r="Q976" s="22">
        <v>92501</v>
      </c>
      <c r="R976" s="22" t="s">
        <v>12048</v>
      </c>
      <c r="S976" s="22" t="s">
        <v>12049</v>
      </c>
      <c r="T976" s="22">
        <v>8.17</v>
      </c>
      <c r="U976" s="22">
        <v>0.38</v>
      </c>
      <c r="X976" s="26"/>
      <c r="Y976" s="26"/>
    </row>
    <row r="977" spans="1:25" ht="25" x14ac:dyDescent="0.25">
      <c r="A977" s="21">
        <v>1306</v>
      </c>
      <c r="B977" s="22" t="s">
        <v>15368</v>
      </c>
      <c r="C977" s="22" t="s">
        <v>12053</v>
      </c>
      <c r="D977" s="23">
        <v>285181</v>
      </c>
      <c r="E977" s="24">
        <v>1993</v>
      </c>
      <c r="F977" s="22" t="s">
        <v>12054</v>
      </c>
      <c r="G977" s="23" t="s">
        <v>12055</v>
      </c>
      <c r="H977" s="25" t="s">
        <v>15373</v>
      </c>
      <c r="I977" s="22" t="s">
        <v>15411</v>
      </c>
      <c r="J977" s="22" t="s">
        <v>12056</v>
      </c>
      <c r="K977" s="26">
        <f t="shared" si="15"/>
        <v>430</v>
      </c>
      <c r="N977" s="26">
        <v>645</v>
      </c>
      <c r="O977" s="22" t="s">
        <v>12057</v>
      </c>
      <c r="P977" s="22" t="s">
        <v>15740</v>
      </c>
      <c r="Q977" s="22">
        <v>90801</v>
      </c>
      <c r="R977" s="22" t="s">
        <v>12058</v>
      </c>
      <c r="S977" s="22" t="s">
        <v>12059</v>
      </c>
      <c r="T977" s="22">
        <v>8.17</v>
      </c>
      <c r="U977" s="22">
        <v>0.38</v>
      </c>
      <c r="X977" s="26"/>
      <c r="Y977" s="26"/>
    </row>
    <row r="978" spans="1:25" ht="37.5" x14ac:dyDescent="0.25">
      <c r="A978" s="21">
        <v>1307</v>
      </c>
      <c r="B978" s="22" t="s">
        <v>15368</v>
      </c>
      <c r="C978" s="22" t="s">
        <v>12060</v>
      </c>
      <c r="D978" s="23">
        <v>304276</v>
      </c>
      <c r="E978" s="24">
        <v>1995</v>
      </c>
      <c r="F978" s="22" t="s">
        <v>12061</v>
      </c>
      <c r="G978" s="23" t="s">
        <v>12062</v>
      </c>
      <c r="H978" s="25" t="s">
        <v>15373</v>
      </c>
      <c r="I978" s="22" t="s">
        <v>15374</v>
      </c>
      <c r="J978" s="22" t="s">
        <v>14709</v>
      </c>
      <c r="K978" s="26">
        <f t="shared" si="15"/>
        <v>700</v>
      </c>
      <c r="L978" s="26">
        <v>700</v>
      </c>
      <c r="O978" s="22" t="s">
        <v>12063</v>
      </c>
      <c r="P978" s="22" t="s">
        <v>12064</v>
      </c>
      <c r="Q978" s="22">
        <v>92509</v>
      </c>
      <c r="R978" s="22" t="s">
        <v>12065</v>
      </c>
      <c r="S978" s="22" t="s">
        <v>12066</v>
      </c>
      <c r="T978" s="22">
        <v>8.17</v>
      </c>
      <c r="U978" s="22">
        <v>0.38</v>
      </c>
      <c r="X978" s="26"/>
      <c r="Y978" s="26"/>
    </row>
    <row r="979" spans="1:25" ht="25" x14ac:dyDescent="0.25">
      <c r="A979" s="21">
        <v>1308</v>
      </c>
      <c r="B979" s="22" t="s">
        <v>15368</v>
      </c>
      <c r="C979" s="22" t="s">
        <v>12067</v>
      </c>
      <c r="D979" s="23">
        <v>334946</v>
      </c>
      <c r="E979" s="24">
        <v>1997</v>
      </c>
      <c r="F979" s="22" t="s">
        <v>12068</v>
      </c>
      <c r="G979" s="23" t="s">
        <v>12069</v>
      </c>
      <c r="H979" s="25" t="s">
        <v>15373</v>
      </c>
      <c r="I979" s="22" t="s">
        <v>15382</v>
      </c>
      <c r="J979" s="22" t="s">
        <v>16784</v>
      </c>
      <c r="K979" s="26">
        <f t="shared" si="15"/>
        <v>503.33333333333331</v>
      </c>
      <c r="N979" s="26">
        <v>755</v>
      </c>
      <c r="O979" s="22" t="s">
        <v>12070</v>
      </c>
      <c r="P979" s="22" t="s">
        <v>12071</v>
      </c>
      <c r="Q979" s="22">
        <v>91001</v>
      </c>
      <c r="R979" s="22" t="s">
        <v>12072</v>
      </c>
      <c r="S979" s="22" t="s">
        <v>12073</v>
      </c>
      <c r="T979" s="22">
        <v>8.17</v>
      </c>
      <c r="U979" s="22">
        <v>0.38</v>
      </c>
      <c r="X979" s="26"/>
      <c r="Y979" s="26"/>
    </row>
    <row r="980" spans="1:25" ht="25" x14ac:dyDescent="0.25">
      <c r="A980" s="21">
        <v>1309</v>
      </c>
      <c r="B980" s="22" t="s">
        <v>15368</v>
      </c>
      <c r="C980" s="22" t="s">
        <v>12074</v>
      </c>
      <c r="D980" s="23">
        <v>204707</v>
      </c>
      <c r="E980" s="24">
        <v>1989</v>
      </c>
      <c r="F980" s="22" t="s">
        <v>12075</v>
      </c>
      <c r="G980" s="23" t="s">
        <v>12076</v>
      </c>
      <c r="H980" s="25" t="s">
        <v>15373</v>
      </c>
      <c r="I980" s="22" t="s">
        <v>15382</v>
      </c>
      <c r="J980" s="22" t="s">
        <v>12077</v>
      </c>
      <c r="K980" s="26">
        <f t="shared" si="15"/>
        <v>456.66666666666663</v>
      </c>
      <c r="N980" s="26">
        <v>685</v>
      </c>
      <c r="O980" s="22" t="s">
        <v>12078</v>
      </c>
      <c r="P980" s="22" t="s">
        <v>15376</v>
      </c>
      <c r="Q980" s="22">
        <v>90071</v>
      </c>
      <c r="R980" s="22" t="s">
        <v>12079</v>
      </c>
      <c r="S980" s="22" t="s">
        <v>12080</v>
      </c>
      <c r="T980" s="22">
        <v>8.17</v>
      </c>
      <c r="U980" s="22">
        <v>0.38</v>
      </c>
      <c r="X980" s="26"/>
      <c r="Y980" s="26"/>
    </row>
    <row r="981" spans="1:25" ht="50" x14ac:dyDescent="0.25">
      <c r="A981" s="21">
        <v>1310</v>
      </c>
      <c r="B981" s="22" t="s">
        <v>15368</v>
      </c>
      <c r="C981" s="22" t="s">
        <v>12081</v>
      </c>
      <c r="D981" s="23">
        <v>343205</v>
      </c>
      <c r="E981" s="24">
        <v>1998</v>
      </c>
      <c r="F981" s="22" t="s">
        <v>12082</v>
      </c>
      <c r="G981" s="23" t="s">
        <v>12083</v>
      </c>
      <c r="H981" s="25" t="s">
        <v>15373</v>
      </c>
      <c r="I981" s="22" t="s">
        <v>15411</v>
      </c>
      <c r="J981" s="22" t="s">
        <v>16276</v>
      </c>
      <c r="K981" s="26">
        <f t="shared" si="15"/>
        <v>378.66666666666663</v>
      </c>
      <c r="N981" s="26">
        <v>568</v>
      </c>
      <c r="O981" s="22" t="s">
        <v>12084</v>
      </c>
      <c r="P981" s="22" t="s">
        <v>15971</v>
      </c>
      <c r="Q981" s="22" t="s">
        <v>12085</v>
      </c>
      <c r="R981" s="22" t="s">
        <v>12086</v>
      </c>
      <c r="S981" s="22" t="s">
        <v>12087</v>
      </c>
      <c r="T981" s="22">
        <v>6.9</v>
      </c>
      <c r="U981" s="22">
        <v>0.4</v>
      </c>
      <c r="X981" s="26"/>
      <c r="Y981" s="26"/>
    </row>
    <row r="982" spans="1:25" ht="25" x14ac:dyDescent="0.25">
      <c r="A982" s="21">
        <v>1311</v>
      </c>
      <c r="B982" s="22" t="s">
        <v>15368</v>
      </c>
      <c r="C982" s="22" t="s">
        <v>12088</v>
      </c>
      <c r="D982" s="23">
        <v>121070</v>
      </c>
      <c r="E982" s="24">
        <v>1984</v>
      </c>
      <c r="F982" s="22" t="s">
        <v>12089</v>
      </c>
      <c r="G982" s="23" t="s">
        <v>12090</v>
      </c>
      <c r="H982" s="25" t="s">
        <v>15373</v>
      </c>
      <c r="I982" s="22" t="s">
        <v>15411</v>
      </c>
      <c r="J982" s="22" t="s">
        <v>16311</v>
      </c>
      <c r="K982" s="26">
        <f t="shared" si="15"/>
        <v>500</v>
      </c>
      <c r="L982" s="26">
        <v>500</v>
      </c>
      <c r="O982" s="22" t="s">
        <v>12091</v>
      </c>
      <c r="P982" s="22" t="s">
        <v>13405</v>
      </c>
      <c r="Q982" s="22">
        <v>92653</v>
      </c>
      <c r="R982" s="22" t="s">
        <v>12092</v>
      </c>
      <c r="S982" s="22" t="s">
        <v>12093</v>
      </c>
      <c r="T982" s="22">
        <v>11</v>
      </c>
      <c r="U982" s="22">
        <v>0.53</v>
      </c>
      <c r="X982" s="26"/>
      <c r="Y982" s="26"/>
    </row>
    <row r="983" spans="1:25" ht="37.5" x14ac:dyDescent="0.25">
      <c r="A983" s="21">
        <v>1312</v>
      </c>
      <c r="B983" s="22" t="s">
        <v>15368</v>
      </c>
      <c r="C983" s="22" t="s">
        <v>12088</v>
      </c>
      <c r="D983" s="23">
        <v>182154</v>
      </c>
      <c r="E983" s="24">
        <v>1989</v>
      </c>
      <c r="F983" s="22" t="s">
        <v>12094</v>
      </c>
      <c r="G983" s="23" t="s">
        <v>12095</v>
      </c>
      <c r="H983" s="25" t="s">
        <v>15373</v>
      </c>
      <c r="I983" s="22" t="s">
        <v>15411</v>
      </c>
      <c r="J983" s="22" t="s">
        <v>14773</v>
      </c>
      <c r="K983" s="26">
        <f t="shared" si="15"/>
        <v>1010</v>
      </c>
      <c r="N983" s="26">
        <v>1515</v>
      </c>
      <c r="O983" s="22" t="s">
        <v>12091</v>
      </c>
      <c r="P983" s="22" t="s">
        <v>13405</v>
      </c>
      <c r="Q983" s="22">
        <v>92653</v>
      </c>
      <c r="R983" s="22" t="s">
        <v>12092</v>
      </c>
      <c r="S983" s="22" t="s">
        <v>12093</v>
      </c>
      <c r="T983" s="22">
        <v>8.17</v>
      </c>
      <c r="U983" s="22">
        <v>0.38</v>
      </c>
      <c r="X983" s="26"/>
      <c r="Y983" s="26"/>
    </row>
    <row r="984" spans="1:25" ht="37.5" x14ac:dyDescent="0.25">
      <c r="A984" s="21">
        <v>1314</v>
      </c>
      <c r="B984" s="22" t="s">
        <v>15368</v>
      </c>
      <c r="C984" s="22" t="s">
        <v>12096</v>
      </c>
      <c r="D984" s="23">
        <v>320199</v>
      </c>
      <c r="E984" s="24">
        <v>1996</v>
      </c>
      <c r="F984" s="22" t="s">
        <v>12097</v>
      </c>
      <c r="G984" s="23" t="s">
        <v>12098</v>
      </c>
      <c r="H984" s="25" t="s">
        <v>15373</v>
      </c>
      <c r="I984" s="22" t="s">
        <v>15374</v>
      </c>
      <c r="J984" s="22" t="s">
        <v>15420</v>
      </c>
      <c r="K984" s="26">
        <f t="shared" si="15"/>
        <v>1250</v>
      </c>
      <c r="L984" s="26">
        <v>1250</v>
      </c>
      <c r="O984" s="22" t="s">
        <v>12099</v>
      </c>
      <c r="P984" s="22" t="s">
        <v>14376</v>
      </c>
      <c r="Q984" s="22">
        <v>90404</v>
      </c>
      <c r="R984" s="22" t="s">
        <v>12100</v>
      </c>
      <c r="S984" s="22" t="s">
        <v>12101</v>
      </c>
      <c r="T984" s="22">
        <v>8.17</v>
      </c>
      <c r="U984" s="22">
        <v>0.38</v>
      </c>
      <c r="X984" s="26"/>
      <c r="Y984" s="26"/>
    </row>
    <row r="985" spans="1:25" ht="50" x14ac:dyDescent="0.25">
      <c r="A985" s="21">
        <v>1318</v>
      </c>
      <c r="B985" s="22" t="s">
        <v>15368</v>
      </c>
      <c r="C985" s="22" t="s">
        <v>12102</v>
      </c>
      <c r="D985" s="23">
        <v>253811</v>
      </c>
      <c r="E985" s="24">
        <v>1991</v>
      </c>
      <c r="F985" s="22" t="s">
        <v>12103</v>
      </c>
      <c r="G985" s="23" t="s">
        <v>12104</v>
      </c>
      <c r="H985" s="25" t="s">
        <v>15373</v>
      </c>
      <c r="I985" s="22" t="s">
        <v>15374</v>
      </c>
      <c r="J985" s="22">
        <v>3408</v>
      </c>
      <c r="K985" s="26">
        <f t="shared" si="15"/>
        <v>402.66666666666663</v>
      </c>
      <c r="N985" s="26">
        <v>604</v>
      </c>
      <c r="O985" s="22" t="s">
        <v>12105</v>
      </c>
      <c r="P985" s="22" t="s">
        <v>15740</v>
      </c>
      <c r="Q985" s="22">
        <v>90813</v>
      </c>
      <c r="R985" s="22" t="s">
        <v>12106</v>
      </c>
      <c r="S985" s="22" t="s">
        <v>12107</v>
      </c>
      <c r="T985" s="22">
        <v>8.17</v>
      </c>
      <c r="U985" s="22">
        <v>0.38</v>
      </c>
      <c r="X985" s="26"/>
      <c r="Y985" s="26"/>
    </row>
    <row r="986" spans="1:25" ht="50" x14ac:dyDescent="0.25">
      <c r="A986" s="21">
        <v>1319</v>
      </c>
      <c r="B986" s="22" t="s">
        <v>15368</v>
      </c>
      <c r="C986" s="22" t="s">
        <v>12102</v>
      </c>
      <c r="D986" s="23">
        <v>253812</v>
      </c>
      <c r="E986" s="24">
        <v>1991</v>
      </c>
      <c r="F986" s="22" t="s">
        <v>12108</v>
      </c>
      <c r="G986" s="23" t="s">
        <v>12104</v>
      </c>
      <c r="H986" s="25" t="s">
        <v>15373</v>
      </c>
      <c r="I986" s="22" t="s">
        <v>15374</v>
      </c>
      <c r="J986" s="22">
        <v>3408</v>
      </c>
      <c r="K986" s="26">
        <f t="shared" si="15"/>
        <v>402.66666666666663</v>
      </c>
      <c r="N986" s="26">
        <v>604</v>
      </c>
      <c r="O986" s="22" t="s">
        <v>12105</v>
      </c>
      <c r="P986" s="22" t="s">
        <v>15740</v>
      </c>
      <c r="Q986" s="22">
        <v>90813</v>
      </c>
      <c r="R986" s="22" t="s">
        <v>12106</v>
      </c>
      <c r="S986" s="22" t="s">
        <v>12107</v>
      </c>
      <c r="T986" s="22">
        <v>8.17</v>
      </c>
      <c r="U986" s="22">
        <v>0.38</v>
      </c>
      <c r="X986" s="26"/>
      <c r="Y986" s="26"/>
    </row>
    <row r="987" spans="1:25" ht="50" x14ac:dyDescent="0.25">
      <c r="A987" s="21">
        <v>1320</v>
      </c>
      <c r="B987" s="22" t="s">
        <v>15368</v>
      </c>
      <c r="C987" s="22" t="s">
        <v>12102</v>
      </c>
      <c r="D987" s="23">
        <v>253813</v>
      </c>
      <c r="E987" s="24">
        <v>1991</v>
      </c>
      <c r="F987" s="22" t="s">
        <v>12109</v>
      </c>
      <c r="G987" s="23" t="s">
        <v>12104</v>
      </c>
      <c r="H987" s="25" t="s">
        <v>15373</v>
      </c>
      <c r="I987" s="22" t="s">
        <v>15374</v>
      </c>
      <c r="J987" s="22">
        <v>3408</v>
      </c>
      <c r="K987" s="26">
        <f t="shared" si="15"/>
        <v>402.66666666666663</v>
      </c>
      <c r="N987" s="26">
        <v>604</v>
      </c>
      <c r="O987" s="22" t="s">
        <v>12105</v>
      </c>
      <c r="P987" s="22" t="s">
        <v>15740</v>
      </c>
      <c r="Q987" s="22">
        <v>90813</v>
      </c>
      <c r="R987" s="22" t="s">
        <v>12106</v>
      </c>
      <c r="S987" s="22" t="s">
        <v>12107</v>
      </c>
      <c r="T987" s="22">
        <v>8.17</v>
      </c>
      <c r="U987" s="22">
        <v>0.38</v>
      </c>
      <c r="X987" s="26"/>
      <c r="Y987" s="26"/>
    </row>
    <row r="988" spans="1:25" ht="37.5" x14ac:dyDescent="0.25">
      <c r="A988" s="21">
        <v>1321</v>
      </c>
      <c r="B988" s="22" t="s">
        <v>15368</v>
      </c>
      <c r="C988" s="22" t="s">
        <v>12110</v>
      </c>
      <c r="D988" s="23">
        <v>299701</v>
      </c>
      <c r="E988" s="24">
        <v>1995</v>
      </c>
      <c r="F988" s="22" t="s">
        <v>12111</v>
      </c>
      <c r="G988" s="23" t="s">
        <v>12112</v>
      </c>
      <c r="H988" s="25" t="s">
        <v>15373</v>
      </c>
      <c r="I988" s="22" t="s">
        <v>15374</v>
      </c>
      <c r="J988" s="22" t="s">
        <v>15918</v>
      </c>
      <c r="K988" s="26">
        <f t="shared" si="15"/>
        <v>800</v>
      </c>
      <c r="L988" s="26">
        <v>800</v>
      </c>
      <c r="O988" s="22" t="s">
        <v>12113</v>
      </c>
      <c r="P988" s="22" t="s">
        <v>16813</v>
      </c>
      <c r="Q988" s="22">
        <v>90210</v>
      </c>
      <c r="R988" s="22" t="s">
        <v>12114</v>
      </c>
      <c r="S988" s="22" t="s">
        <v>12115</v>
      </c>
      <c r="T988" s="22">
        <v>8.17</v>
      </c>
      <c r="U988" s="22">
        <v>0.38</v>
      </c>
      <c r="X988" s="26"/>
      <c r="Y988" s="26"/>
    </row>
    <row r="989" spans="1:25" ht="37.5" x14ac:dyDescent="0.25">
      <c r="A989" s="21">
        <v>1322</v>
      </c>
      <c r="B989" s="22" t="s">
        <v>15368</v>
      </c>
      <c r="C989" s="22" t="s">
        <v>12116</v>
      </c>
      <c r="D989" s="23">
        <v>316290</v>
      </c>
      <c r="E989" s="24">
        <v>1996</v>
      </c>
      <c r="F989" s="22" t="s">
        <v>12117</v>
      </c>
      <c r="G989" s="23" t="s">
        <v>12118</v>
      </c>
      <c r="H989" s="25" t="s">
        <v>15373</v>
      </c>
      <c r="I989" s="22" t="s">
        <v>15411</v>
      </c>
      <c r="J989" s="22" t="s">
        <v>15542</v>
      </c>
      <c r="K989" s="26">
        <f t="shared" si="15"/>
        <v>631.33333333333326</v>
      </c>
      <c r="N989" s="26">
        <v>947</v>
      </c>
      <c r="O989" s="22" t="s">
        <v>12119</v>
      </c>
      <c r="P989" s="22" t="s">
        <v>12120</v>
      </c>
      <c r="Q989" s="22" t="s">
        <v>12121</v>
      </c>
      <c r="R989" s="22" t="s">
        <v>12122</v>
      </c>
      <c r="S989" s="22" t="s">
        <v>12123</v>
      </c>
      <c r="T989" s="22">
        <v>8.17</v>
      </c>
      <c r="U989" s="22">
        <v>0.38</v>
      </c>
      <c r="X989" s="26"/>
      <c r="Y989" s="26"/>
    </row>
    <row r="990" spans="1:25" ht="37.5" x14ac:dyDescent="0.25">
      <c r="A990" s="21">
        <v>1323</v>
      </c>
      <c r="B990" s="22" t="s">
        <v>15368</v>
      </c>
      <c r="C990" s="22" t="s">
        <v>12124</v>
      </c>
      <c r="D990" s="23">
        <v>341088</v>
      </c>
      <c r="E990" s="24">
        <v>1998</v>
      </c>
      <c r="F990" s="22" t="s">
        <v>12125</v>
      </c>
      <c r="G990" s="23" t="s">
        <v>12126</v>
      </c>
      <c r="H990" s="25" t="s">
        <v>15373</v>
      </c>
      <c r="I990" s="22" t="s">
        <v>15411</v>
      </c>
      <c r="J990" s="22" t="s">
        <v>15542</v>
      </c>
      <c r="K990" s="26">
        <f t="shared" si="15"/>
        <v>800</v>
      </c>
      <c r="L990" s="26">
        <v>800</v>
      </c>
      <c r="O990" s="22" t="s">
        <v>12127</v>
      </c>
      <c r="P990" s="22" t="s">
        <v>12120</v>
      </c>
      <c r="Q990" s="22" t="s">
        <v>12121</v>
      </c>
      <c r="R990" s="22" t="s">
        <v>12122</v>
      </c>
      <c r="S990" s="22" t="s">
        <v>12123</v>
      </c>
      <c r="T990" s="22">
        <v>8.17</v>
      </c>
      <c r="U990" s="22">
        <v>0.38</v>
      </c>
      <c r="X990" s="26"/>
      <c r="Y990" s="26"/>
    </row>
    <row r="991" spans="1:25" ht="25" x14ac:dyDescent="0.25">
      <c r="A991" s="21">
        <v>1325</v>
      </c>
      <c r="B991" s="22" t="s">
        <v>15368</v>
      </c>
      <c r="C991" s="22" t="s">
        <v>12124</v>
      </c>
      <c r="D991" s="23" t="s">
        <v>12128</v>
      </c>
      <c r="E991" s="24">
        <v>1990</v>
      </c>
      <c r="F991" s="22" t="s">
        <v>12129</v>
      </c>
      <c r="G991" s="23" t="s">
        <v>12130</v>
      </c>
      <c r="H991" s="25" t="s">
        <v>15373</v>
      </c>
      <c r="I991" s="22" t="s">
        <v>15411</v>
      </c>
      <c r="J991" s="22" t="s">
        <v>14388</v>
      </c>
      <c r="K991" s="26">
        <f t="shared" si="15"/>
        <v>600</v>
      </c>
      <c r="L991" s="26">
        <v>600</v>
      </c>
      <c r="O991" s="22" t="s">
        <v>12127</v>
      </c>
      <c r="P991" s="22" t="s">
        <v>12120</v>
      </c>
      <c r="Q991" s="22" t="s">
        <v>12121</v>
      </c>
      <c r="R991" s="22" t="s">
        <v>12122</v>
      </c>
      <c r="S991" s="22" t="s">
        <v>12123</v>
      </c>
      <c r="T991" s="22">
        <v>8.17</v>
      </c>
      <c r="U991" s="22">
        <v>0.38</v>
      </c>
      <c r="X991" s="26"/>
      <c r="Y991" s="26"/>
    </row>
    <row r="992" spans="1:25" ht="25" x14ac:dyDescent="0.25">
      <c r="A992" s="21">
        <v>1326</v>
      </c>
      <c r="B992" s="22" t="s">
        <v>15368</v>
      </c>
      <c r="C992" s="22" t="s">
        <v>12124</v>
      </c>
      <c r="D992" s="23" t="s">
        <v>12131</v>
      </c>
      <c r="E992" s="24">
        <v>1990</v>
      </c>
      <c r="F992" s="22" t="s">
        <v>12132</v>
      </c>
      <c r="G992" s="23" t="s">
        <v>12133</v>
      </c>
      <c r="H992" s="25" t="s">
        <v>15373</v>
      </c>
      <c r="I992" s="22" t="s">
        <v>15411</v>
      </c>
      <c r="J992" s="22" t="s">
        <v>14388</v>
      </c>
      <c r="K992" s="26">
        <f t="shared" si="15"/>
        <v>600</v>
      </c>
      <c r="L992" s="26">
        <v>600</v>
      </c>
      <c r="O992" s="22" t="s">
        <v>12127</v>
      </c>
      <c r="P992" s="22" t="s">
        <v>12120</v>
      </c>
      <c r="Q992" s="22" t="s">
        <v>12121</v>
      </c>
      <c r="R992" s="22" t="s">
        <v>12122</v>
      </c>
      <c r="S992" s="22" t="s">
        <v>12123</v>
      </c>
      <c r="T992" s="22">
        <v>8.17</v>
      </c>
      <c r="U992" s="22">
        <v>0.38</v>
      </c>
      <c r="X992" s="26"/>
      <c r="Y992" s="26"/>
    </row>
    <row r="993" spans="1:25" ht="25" x14ac:dyDescent="0.25">
      <c r="A993" s="21">
        <v>1327</v>
      </c>
      <c r="B993" s="22" t="s">
        <v>15368</v>
      </c>
      <c r="C993" s="22" t="s">
        <v>12124</v>
      </c>
      <c r="D993" s="23" t="s">
        <v>12134</v>
      </c>
      <c r="E993" s="24">
        <v>1990</v>
      </c>
      <c r="F993" s="22" t="s">
        <v>12135</v>
      </c>
      <c r="G993" s="23" t="s">
        <v>12136</v>
      </c>
      <c r="H993" s="25" t="s">
        <v>15373</v>
      </c>
      <c r="I993" s="22" t="s">
        <v>15411</v>
      </c>
      <c r="J993" s="22" t="s">
        <v>14388</v>
      </c>
      <c r="K993" s="26">
        <f t="shared" si="15"/>
        <v>600</v>
      </c>
      <c r="L993" s="26">
        <v>600</v>
      </c>
      <c r="O993" s="22" t="s">
        <v>12127</v>
      </c>
      <c r="P993" s="22" t="s">
        <v>12120</v>
      </c>
      <c r="Q993" s="22" t="s">
        <v>12121</v>
      </c>
      <c r="R993" s="22" t="s">
        <v>12122</v>
      </c>
      <c r="S993" s="22" t="s">
        <v>12123</v>
      </c>
      <c r="T993" s="22">
        <v>8.17</v>
      </c>
      <c r="U993" s="22">
        <v>0.38</v>
      </c>
      <c r="X993" s="26"/>
      <c r="Y993" s="26"/>
    </row>
    <row r="994" spans="1:25" ht="37.5" x14ac:dyDescent="0.25">
      <c r="A994" s="21">
        <v>1328</v>
      </c>
      <c r="B994" s="22" t="s">
        <v>15368</v>
      </c>
      <c r="C994" s="22" t="s">
        <v>12137</v>
      </c>
      <c r="D994" s="23">
        <v>364298</v>
      </c>
      <c r="E994" s="24">
        <v>1999</v>
      </c>
      <c r="F994" s="22" t="s">
        <v>12138</v>
      </c>
      <c r="G994" s="23" t="s">
        <v>12139</v>
      </c>
      <c r="H994" s="25" t="s">
        <v>15373</v>
      </c>
      <c r="I994" s="22" t="s">
        <v>15374</v>
      </c>
      <c r="J994" s="22" t="s">
        <v>15701</v>
      </c>
      <c r="K994" s="26">
        <f t="shared" si="15"/>
        <v>350</v>
      </c>
      <c r="L994" s="26">
        <v>350</v>
      </c>
      <c r="O994" s="22" t="s">
        <v>12140</v>
      </c>
      <c r="P994" s="22" t="s">
        <v>16490</v>
      </c>
      <c r="Q994" s="22">
        <v>92407</v>
      </c>
      <c r="R994" s="22" t="s">
        <v>12141</v>
      </c>
      <c r="S994" s="22" t="s">
        <v>12142</v>
      </c>
      <c r="T994" s="22">
        <v>6.9</v>
      </c>
      <c r="U994" s="22">
        <v>0.4</v>
      </c>
      <c r="X994" s="26"/>
      <c r="Y994" s="26"/>
    </row>
    <row r="995" spans="1:25" ht="25" x14ac:dyDescent="0.25">
      <c r="A995" s="21">
        <v>1329</v>
      </c>
      <c r="B995" s="22" t="s">
        <v>15368</v>
      </c>
      <c r="C995" s="22" t="s">
        <v>12143</v>
      </c>
      <c r="D995" s="23" t="s">
        <v>12144</v>
      </c>
      <c r="E995" s="24">
        <v>1990</v>
      </c>
      <c r="F995" s="22" t="s">
        <v>12145</v>
      </c>
      <c r="G995" s="23" t="s">
        <v>12146</v>
      </c>
      <c r="H995" s="25" t="s">
        <v>15373</v>
      </c>
      <c r="I995" s="22" t="s">
        <v>15382</v>
      </c>
      <c r="J995" s="22" t="s">
        <v>12147</v>
      </c>
      <c r="K995" s="26">
        <f t="shared" si="15"/>
        <v>423.33333333333331</v>
      </c>
      <c r="M995" s="26">
        <v>635</v>
      </c>
      <c r="O995" s="22" t="s">
        <v>12148</v>
      </c>
      <c r="P995" s="22" t="s">
        <v>16490</v>
      </c>
      <c r="Q995" s="22">
        <v>92415</v>
      </c>
      <c r="R995" s="22" t="s">
        <v>16887</v>
      </c>
      <c r="S995" s="22" t="s">
        <v>16888</v>
      </c>
      <c r="T995" s="22">
        <v>8.17</v>
      </c>
      <c r="U995" s="22">
        <v>0.38</v>
      </c>
      <c r="X995" s="26"/>
      <c r="Y995" s="26"/>
    </row>
    <row r="996" spans="1:25" ht="25" x14ac:dyDescent="0.25">
      <c r="A996" s="21">
        <v>1330</v>
      </c>
      <c r="B996" s="22" t="s">
        <v>15368</v>
      </c>
      <c r="C996" s="22" t="s">
        <v>12143</v>
      </c>
      <c r="D996" s="23" t="s">
        <v>12149</v>
      </c>
      <c r="E996" s="24">
        <v>1990</v>
      </c>
      <c r="F996" s="22" t="s">
        <v>12150</v>
      </c>
      <c r="G996" s="23" t="s">
        <v>12151</v>
      </c>
      <c r="H996" s="25" t="s">
        <v>15373</v>
      </c>
      <c r="I996" s="22" t="s">
        <v>15382</v>
      </c>
      <c r="J996" s="22" t="s">
        <v>12147</v>
      </c>
      <c r="K996" s="26">
        <f t="shared" si="15"/>
        <v>423.33333333333331</v>
      </c>
      <c r="M996" s="26">
        <v>635</v>
      </c>
      <c r="O996" s="22" t="s">
        <v>12148</v>
      </c>
      <c r="P996" s="22" t="s">
        <v>16490</v>
      </c>
      <c r="Q996" s="22">
        <v>92415</v>
      </c>
      <c r="R996" s="22" t="s">
        <v>16887</v>
      </c>
      <c r="S996" s="22" t="s">
        <v>16888</v>
      </c>
      <c r="T996" s="22">
        <v>8.17</v>
      </c>
      <c r="U996" s="22">
        <v>0.38</v>
      </c>
      <c r="X996" s="26"/>
      <c r="Y996" s="26"/>
    </row>
    <row r="997" spans="1:25" ht="25" x14ac:dyDescent="0.25">
      <c r="A997" s="21">
        <v>1331</v>
      </c>
      <c r="B997" s="22" t="s">
        <v>15368</v>
      </c>
      <c r="C997" s="22" t="s">
        <v>12152</v>
      </c>
      <c r="D997" s="23">
        <v>229027</v>
      </c>
      <c r="E997" s="24">
        <v>1990</v>
      </c>
      <c r="F997" s="22" t="s">
        <v>12153</v>
      </c>
      <c r="G997" s="23" t="s">
        <v>12154</v>
      </c>
      <c r="H997" s="25" t="s">
        <v>15373</v>
      </c>
      <c r="I997" s="22" t="s">
        <v>15668</v>
      </c>
      <c r="J997" s="22" t="s">
        <v>12155</v>
      </c>
      <c r="K997" s="26">
        <f t="shared" si="15"/>
        <v>448</v>
      </c>
      <c r="N997" s="26">
        <v>672</v>
      </c>
      <c r="O997" s="22" t="s">
        <v>12156</v>
      </c>
      <c r="P997" s="22" t="s">
        <v>12157</v>
      </c>
      <c r="Q997" s="22">
        <v>92352</v>
      </c>
      <c r="R997" s="22" t="s">
        <v>12158</v>
      </c>
      <c r="S997" s="22" t="s">
        <v>12159</v>
      </c>
      <c r="T997" s="22">
        <v>8.17</v>
      </c>
      <c r="U997" s="22">
        <v>0.38</v>
      </c>
      <c r="X997" s="26"/>
      <c r="Y997" s="26"/>
    </row>
    <row r="998" spans="1:25" ht="25" x14ac:dyDescent="0.25">
      <c r="A998" s="21">
        <v>1332</v>
      </c>
      <c r="B998" s="22" t="s">
        <v>15368</v>
      </c>
      <c r="C998" s="22" t="s">
        <v>12160</v>
      </c>
      <c r="D998" s="23">
        <v>380810</v>
      </c>
      <c r="E998" s="24">
        <v>2001</v>
      </c>
      <c r="F998" s="22" t="s">
        <v>12161</v>
      </c>
      <c r="G998" s="23" t="s">
        <v>12162</v>
      </c>
      <c r="H998" s="25" t="s">
        <v>15373</v>
      </c>
      <c r="I998" s="22" t="s">
        <v>15374</v>
      </c>
      <c r="J998" s="22">
        <v>3412</v>
      </c>
      <c r="K998" s="26">
        <f t="shared" si="15"/>
        <v>466.66666666666663</v>
      </c>
      <c r="N998" s="26">
        <v>700</v>
      </c>
      <c r="O998" s="22" t="s">
        <v>16832</v>
      </c>
      <c r="P998" s="22" t="s">
        <v>16490</v>
      </c>
      <c r="Q998" s="22">
        <v>92408</v>
      </c>
      <c r="R998" s="22" t="s">
        <v>12163</v>
      </c>
      <c r="S998" s="22" t="s">
        <v>12164</v>
      </c>
      <c r="T998" s="22">
        <v>6.9</v>
      </c>
      <c r="U998" s="22">
        <v>0.4</v>
      </c>
      <c r="X998" s="26"/>
      <c r="Y998" s="26"/>
    </row>
    <row r="999" spans="1:25" ht="25" x14ac:dyDescent="0.25">
      <c r="A999" s="21">
        <v>1333</v>
      </c>
      <c r="B999" s="22" t="s">
        <v>15368</v>
      </c>
      <c r="C999" s="22" t="s">
        <v>12165</v>
      </c>
      <c r="D999" s="23">
        <v>157854</v>
      </c>
      <c r="E999" s="24">
        <v>1987</v>
      </c>
      <c r="F999" s="22" t="s">
        <v>12166</v>
      </c>
      <c r="G999" s="23" t="s">
        <v>12167</v>
      </c>
      <c r="H999" s="25" t="s">
        <v>15373</v>
      </c>
      <c r="I999" s="22" t="s">
        <v>15374</v>
      </c>
      <c r="J999" s="22" t="s">
        <v>16899</v>
      </c>
      <c r="K999" s="26">
        <f t="shared" si="15"/>
        <v>372</v>
      </c>
      <c r="M999" s="26">
        <v>558</v>
      </c>
      <c r="O999" s="22" t="s">
        <v>12168</v>
      </c>
      <c r="P999" s="22" t="s">
        <v>16490</v>
      </c>
      <c r="Q999" s="22">
        <v>92408</v>
      </c>
      <c r="R999" s="22" t="s">
        <v>12169</v>
      </c>
      <c r="S999" s="22" t="s">
        <v>12170</v>
      </c>
      <c r="T999" s="22">
        <v>11</v>
      </c>
      <c r="U999" s="22">
        <v>0.53</v>
      </c>
      <c r="X999" s="26"/>
      <c r="Y999" s="26"/>
    </row>
    <row r="1000" spans="1:25" ht="37.5" x14ac:dyDescent="0.25">
      <c r="A1000" s="21">
        <v>1334</v>
      </c>
      <c r="B1000" s="22" t="s">
        <v>15368</v>
      </c>
      <c r="C1000" s="22" t="s">
        <v>12165</v>
      </c>
      <c r="D1000" s="23">
        <v>160410</v>
      </c>
      <c r="E1000" s="24">
        <v>1987</v>
      </c>
      <c r="F1000" s="22" t="s">
        <v>12171</v>
      </c>
      <c r="G1000" s="23" t="s">
        <v>12172</v>
      </c>
      <c r="H1000" s="25" t="s">
        <v>16310</v>
      </c>
      <c r="I1000" s="22" t="s">
        <v>16160</v>
      </c>
      <c r="J1000" s="22" t="s">
        <v>12173</v>
      </c>
      <c r="K1000" s="26">
        <f t="shared" si="15"/>
        <v>500</v>
      </c>
      <c r="N1000" s="26">
        <v>750</v>
      </c>
      <c r="O1000" s="22" t="s">
        <v>12168</v>
      </c>
      <c r="P1000" s="22" t="s">
        <v>16490</v>
      </c>
      <c r="Q1000" s="22">
        <v>92408</v>
      </c>
      <c r="R1000" s="22" t="s">
        <v>12169</v>
      </c>
      <c r="S1000" s="22" t="s">
        <v>12170</v>
      </c>
      <c r="X1000" s="26"/>
      <c r="Y1000" s="26"/>
    </row>
    <row r="1001" spans="1:25" ht="37.5" x14ac:dyDescent="0.25">
      <c r="A1001" s="21">
        <v>1335</v>
      </c>
      <c r="B1001" s="22" t="s">
        <v>15368</v>
      </c>
      <c r="C1001" s="22" t="s">
        <v>12165</v>
      </c>
      <c r="D1001" s="23">
        <v>160411</v>
      </c>
      <c r="E1001" s="24">
        <v>1987</v>
      </c>
      <c r="F1001" s="22" t="s">
        <v>12174</v>
      </c>
      <c r="G1001" s="23" t="s">
        <v>12175</v>
      </c>
      <c r="H1001" s="25" t="s">
        <v>16310</v>
      </c>
      <c r="I1001" s="22" t="s">
        <v>16160</v>
      </c>
      <c r="J1001" s="22" t="s">
        <v>12173</v>
      </c>
      <c r="K1001" s="26">
        <f t="shared" si="15"/>
        <v>500</v>
      </c>
      <c r="N1001" s="26">
        <v>750</v>
      </c>
      <c r="O1001" s="22" t="s">
        <v>12168</v>
      </c>
      <c r="P1001" s="22" t="s">
        <v>16490</v>
      </c>
      <c r="Q1001" s="22">
        <v>92408</v>
      </c>
      <c r="R1001" s="22" t="s">
        <v>12169</v>
      </c>
      <c r="S1001" s="22" t="s">
        <v>12170</v>
      </c>
      <c r="X1001" s="26"/>
      <c r="Y1001" s="26"/>
    </row>
    <row r="1002" spans="1:25" ht="37.5" x14ac:dyDescent="0.25">
      <c r="A1002" s="21">
        <v>1336</v>
      </c>
      <c r="B1002" s="22" t="s">
        <v>15368</v>
      </c>
      <c r="C1002" s="22" t="s">
        <v>12165</v>
      </c>
      <c r="D1002" s="23">
        <v>380830</v>
      </c>
      <c r="E1002" s="24">
        <v>2001</v>
      </c>
      <c r="F1002" s="22" t="s">
        <v>12176</v>
      </c>
      <c r="G1002" s="23" t="s">
        <v>12177</v>
      </c>
      <c r="H1002" s="25" t="s">
        <v>15373</v>
      </c>
      <c r="I1002" s="22" t="s">
        <v>15374</v>
      </c>
      <c r="J1002" s="22" t="s">
        <v>15677</v>
      </c>
      <c r="K1002" s="26">
        <f t="shared" si="15"/>
        <v>1500</v>
      </c>
      <c r="L1002" s="26">
        <v>1500</v>
      </c>
      <c r="O1002" s="22" t="s">
        <v>12168</v>
      </c>
      <c r="P1002" s="22" t="s">
        <v>16490</v>
      </c>
      <c r="Q1002" s="22">
        <v>92408</v>
      </c>
      <c r="R1002" s="22" t="s">
        <v>12169</v>
      </c>
      <c r="S1002" s="22" t="s">
        <v>12170</v>
      </c>
      <c r="T1002" s="22">
        <v>6.9</v>
      </c>
      <c r="U1002" s="22">
        <v>0.4</v>
      </c>
      <c r="X1002" s="26"/>
      <c r="Y1002" s="26"/>
    </row>
    <row r="1003" spans="1:25" ht="37.5" x14ac:dyDescent="0.25">
      <c r="A1003" s="21">
        <v>1337</v>
      </c>
      <c r="B1003" s="22" t="s">
        <v>15368</v>
      </c>
      <c r="C1003" s="22" t="s">
        <v>12178</v>
      </c>
      <c r="D1003" s="23">
        <v>380832</v>
      </c>
      <c r="E1003" s="24">
        <v>2001</v>
      </c>
      <c r="F1003" s="22" t="s">
        <v>12179</v>
      </c>
      <c r="G1003" s="23" t="s">
        <v>12180</v>
      </c>
      <c r="H1003" s="25" t="s">
        <v>15373</v>
      </c>
      <c r="I1003" s="22" t="s">
        <v>15374</v>
      </c>
      <c r="J1003" s="22">
        <v>3412</v>
      </c>
      <c r="K1003" s="26">
        <f t="shared" si="15"/>
        <v>500</v>
      </c>
      <c r="L1003" s="26">
        <v>500</v>
      </c>
      <c r="O1003" s="22" t="s">
        <v>12181</v>
      </c>
      <c r="P1003" s="22" t="s">
        <v>16490</v>
      </c>
      <c r="Q1003" s="22">
        <v>92408</v>
      </c>
      <c r="R1003" s="22" t="s">
        <v>12182</v>
      </c>
      <c r="S1003" s="22" t="s">
        <v>12183</v>
      </c>
      <c r="T1003" s="22">
        <v>6.9</v>
      </c>
      <c r="U1003" s="22">
        <v>0.4</v>
      </c>
      <c r="X1003" s="26"/>
      <c r="Y1003" s="26"/>
    </row>
    <row r="1004" spans="1:25" ht="50" x14ac:dyDescent="0.25">
      <c r="A1004" s="21">
        <v>1338</v>
      </c>
      <c r="B1004" s="22" t="s">
        <v>15368</v>
      </c>
      <c r="C1004" s="22" t="s">
        <v>12184</v>
      </c>
      <c r="D1004" s="23">
        <v>219579</v>
      </c>
      <c r="E1004" s="24">
        <v>1989</v>
      </c>
      <c r="F1004" s="22" t="s">
        <v>12185</v>
      </c>
      <c r="G1004" s="23" t="s">
        <v>12186</v>
      </c>
      <c r="H1004" s="25" t="s">
        <v>15373</v>
      </c>
      <c r="I1004" s="22" t="s">
        <v>15374</v>
      </c>
      <c r="J1004" s="22">
        <v>3508</v>
      </c>
      <c r="K1004" s="26">
        <f t="shared" si="15"/>
        <v>892</v>
      </c>
      <c r="L1004" s="26">
        <v>892</v>
      </c>
      <c r="O1004" s="22" t="s">
        <v>12187</v>
      </c>
      <c r="P1004" s="22" t="s">
        <v>16347</v>
      </c>
      <c r="Q1004" s="22">
        <v>91739</v>
      </c>
      <c r="R1004" s="22" t="s">
        <v>12188</v>
      </c>
      <c r="S1004" s="22" t="s">
        <v>14050</v>
      </c>
      <c r="T1004" s="22">
        <v>8.17</v>
      </c>
      <c r="U1004" s="22">
        <v>0.38</v>
      </c>
      <c r="X1004" s="26"/>
      <c r="Y1004" s="26"/>
    </row>
    <row r="1005" spans="1:25" ht="50" x14ac:dyDescent="0.25">
      <c r="A1005" s="21">
        <v>1339</v>
      </c>
      <c r="B1005" s="22" t="s">
        <v>15368</v>
      </c>
      <c r="C1005" s="22" t="s">
        <v>12184</v>
      </c>
      <c r="D1005" s="23">
        <v>219580</v>
      </c>
      <c r="E1005" s="24">
        <v>1989</v>
      </c>
      <c r="F1005" s="22" t="s">
        <v>12189</v>
      </c>
      <c r="G1005" s="23" t="s">
        <v>12190</v>
      </c>
      <c r="H1005" s="25" t="s">
        <v>15373</v>
      </c>
      <c r="I1005" s="22" t="s">
        <v>15374</v>
      </c>
      <c r="J1005" s="22">
        <v>3508</v>
      </c>
      <c r="K1005" s="26">
        <f t="shared" si="15"/>
        <v>892</v>
      </c>
      <c r="L1005" s="26">
        <v>892</v>
      </c>
      <c r="O1005" s="22" t="s">
        <v>12187</v>
      </c>
      <c r="P1005" s="22" t="s">
        <v>16347</v>
      </c>
      <c r="Q1005" s="22">
        <v>91739</v>
      </c>
      <c r="R1005" s="22" t="s">
        <v>12188</v>
      </c>
      <c r="S1005" s="22" t="s">
        <v>14050</v>
      </c>
      <c r="T1005" s="22">
        <v>8.17</v>
      </c>
      <c r="U1005" s="22">
        <v>0.38</v>
      </c>
      <c r="X1005" s="26"/>
      <c r="Y1005" s="26"/>
    </row>
    <row r="1006" spans="1:25" ht="50" x14ac:dyDescent="0.25">
      <c r="A1006" s="21">
        <v>1340</v>
      </c>
      <c r="B1006" s="22" t="s">
        <v>15368</v>
      </c>
      <c r="C1006" s="22" t="s">
        <v>12184</v>
      </c>
      <c r="D1006" s="23">
        <v>219581</v>
      </c>
      <c r="E1006" s="24">
        <v>1989</v>
      </c>
      <c r="F1006" s="22" t="s">
        <v>12191</v>
      </c>
      <c r="G1006" s="23" t="s">
        <v>12192</v>
      </c>
      <c r="H1006" s="25" t="s">
        <v>15373</v>
      </c>
      <c r="I1006" s="22" t="s">
        <v>15374</v>
      </c>
      <c r="J1006" s="22">
        <v>3508</v>
      </c>
      <c r="K1006" s="26">
        <f t="shared" si="15"/>
        <v>800</v>
      </c>
      <c r="L1006" s="26">
        <v>800</v>
      </c>
      <c r="O1006" s="22" t="s">
        <v>12187</v>
      </c>
      <c r="P1006" s="22" t="s">
        <v>16347</v>
      </c>
      <c r="Q1006" s="22">
        <v>91739</v>
      </c>
      <c r="R1006" s="22" t="s">
        <v>12188</v>
      </c>
      <c r="S1006" s="22" t="s">
        <v>14050</v>
      </c>
      <c r="T1006" s="22">
        <v>8.17</v>
      </c>
      <c r="U1006" s="22">
        <v>0.38</v>
      </c>
      <c r="X1006" s="26"/>
      <c r="Y1006" s="26"/>
    </row>
    <row r="1007" spans="1:25" ht="37.5" x14ac:dyDescent="0.25">
      <c r="A1007" s="21">
        <v>1341</v>
      </c>
      <c r="B1007" s="22" t="s">
        <v>15368</v>
      </c>
      <c r="C1007" s="22" t="s">
        <v>12193</v>
      </c>
      <c r="D1007" s="23">
        <v>290248</v>
      </c>
      <c r="E1007" s="24">
        <v>1994</v>
      </c>
      <c r="F1007" s="22" t="s">
        <v>12194</v>
      </c>
      <c r="G1007" s="23" t="s">
        <v>12195</v>
      </c>
      <c r="H1007" s="25" t="s">
        <v>15373</v>
      </c>
      <c r="I1007" s="22" t="s">
        <v>15382</v>
      </c>
      <c r="J1007" s="22" t="s">
        <v>10017</v>
      </c>
      <c r="K1007" s="26">
        <f t="shared" si="15"/>
        <v>533.33333333333326</v>
      </c>
      <c r="N1007" s="26">
        <v>800</v>
      </c>
      <c r="O1007" s="22" t="s">
        <v>10018</v>
      </c>
      <c r="P1007" s="22" t="s">
        <v>16490</v>
      </c>
      <c r="Q1007" s="22">
        <v>92408</v>
      </c>
      <c r="R1007" s="22" t="s">
        <v>10019</v>
      </c>
      <c r="S1007" s="22" t="s">
        <v>10020</v>
      </c>
      <c r="T1007" s="22">
        <v>8.17</v>
      </c>
      <c r="U1007" s="22">
        <v>0.38</v>
      </c>
      <c r="X1007" s="26"/>
      <c r="Y1007" s="26"/>
    </row>
    <row r="1008" spans="1:25" ht="37.5" x14ac:dyDescent="0.25">
      <c r="A1008" s="21">
        <v>1342</v>
      </c>
      <c r="B1008" s="22" t="s">
        <v>15368</v>
      </c>
      <c r="C1008" s="22" t="s">
        <v>10021</v>
      </c>
      <c r="D1008" s="23">
        <v>352050</v>
      </c>
      <c r="E1008" s="24">
        <v>1999</v>
      </c>
      <c r="F1008" s="22" t="s">
        <v>10022</v>
      </c>
      <c r="G1008" s="23" t="s">
        <v>10023</v>
      </c>
      <c r="H1008" s="25" t="s">
        <v>15373</v>
      </c>
      <c r="I1008" s="22" t="s">
        <v>15374</v>
      </c>
      <c r="J1008" s="22" t="s">
        <v>15701</v>
      </c>
      <c r="K1008" s="26">
        <f t="shared" si="15"/>
        <v>400</v>
      </c>
      <c r="L1008" s="26">
        <v>400</v>
      </c>
      <c r="O1008" s="22" t="s">
        <v>10024</v>
      </c>
      <c r="P1008" s="22" t="s">
        <v>16490</v>
      </c>
      <c r="Q1008" s="22">
        <v>92401</v>
      </c>
      <c r="R1008" s="22" t="s">
        <v>10025</v>
      </c>
      <c r="S1008" s="22" t="s">
        <v>10026</v>
      </c>
      <c r="T1008" s="22">
        <v>6.9</v>
      </c>
      <c r="U1008" s="22">
        <v>0.4</v>
      </c>
      <c r="X1008" s="26"/>
      <c r="Y1008" s="26"/>
    </row>
    <row r="1009" spans="1:25" ht="37.5" x14ac:dyDescent="0.25">
      <c r="A1009" s="21">
        <v>1343</v>
      </c>
      <c r="B1009" s="22" t="s">
        <v>15368</v>
      </c>
      <c r="C1009" s="22" t="s">
        <v>10027</v>
      </c>
      <c r="D1009" s="23">
        <v>286188</v>
      </c>
      <c r="E1009" s="24">
        <v>1993</v>
      </c>
      <c r="F1009" s="22" t="s">
        <v>10028</v>
      </c>
      <c r="G1009" s="23" t="s">
        <v>10029</v>
      </c>
      <c r="H1009" s="25" t="s">
        <v>15373</v>
      </c>
      <c r="I1009" s="22" t="s">
        <v>15374</v>
      </c>
      <c r="J1009" s="22" t="s">
        <v>16899</v>
      </c>
      <c r="K1009" s="26">
        <f t="shared" si="15"/>
        <v>566.66666666666663</v>
      </c>
      <c r="N1009" s="26">
        <v>850</v>
      </c>
      <c r="O1009" s="22" t="s">
        <v>10030</v>
      </c>
      <c r="P1009" s="22" t="s">
        <v>16490</v>
      </c>
      <c r="Q1009" s="22">
        <v>92241</v>
      </c>
      <c r="R1009" s="22" t="s">
        <v>10031</v>
      </c>
      <c r="S1009" s="22" t="s">
        <v>10032</v>
      </c>
      <c r="T1009" s="22">
        <v>8.17</v>
      </c>
      <c r="U1009" s="22">
        <v>0.38</v>
      </c>
      <c r="X1009" s="26"/>
      <c r="Y1009" s="26"/>
    </row>
    <row r="1010" spans="1:25" ht="37.5" x14ac:dyDescent="0.25">
      <c r="A1010" s="21">
        <v>1344</v>
      </c>
      <c r="B1010" s="22" t="s">
        <v>15368</v>
      </c>
      <c r="C1010" s="22" t="s">
        <v>10033</v>
      </c>
      <c r="D1010" s="23">
        <v>304632</v>
      </c>
      <c r="E1010" s="24">
        <v>1995</v>
      </c>
      <c r="F1010" s="22" t="s">
        <v>10034</v>
      </c>
      <c r="G1010" s="23" t="s">
        <v>10035</v>
      </c>
      <c r="H1010" s="25" t="s">
        <v>15373</v>
      </c>
      <c r="I1010" s="22" t="s">
        <v>15411</v>
      </c>
      <c r="J1010" s="22" t="s">
        <v>15744</v>
      </c>
      <c r="K1010" s="26">
        <f t="shared" si="15"/>
        <v>821.33333333333326</v>
      </c>
      <c r="N1010" s="26">
        <v>1232</v>
      </c>
      <c r="O1010" s="22" t="s">
        <v>10036</v>
      </c>
      <c r="P1010" s="22" t="s">
        <v>16490</v>
      </c>
      <c r="Q1010" s="22">
        <v>92418</v>
      </c>
      <c r="R1010" s="22" t="s">
        <v>10037</v>
      </c>
      <c r="S1010" s="22" t="s">
        <v>10038</v>
      </c>
      <c r="T1010" s="22">
        <v>8.17</v>
      </c>
      <c r="U1010" s="22">
        <v>0.38</v>
      </c>
      <c r="X1010" s="26"/>
      <c r="Y1010" s="26"/>
    </row>
    <row r="1011" spans="1:25" ht="25" x14ac:dyDescent="0.25">
      <c r="A1011" s="21">
        <v>1345</v>
      </c>
      <c r="B1011" s="22" t="s">
        <v>15368</v>
      </c>
      <c r="C1011" s="22" t="s">
        <v>11164</v>
      </c>
      <c r="D1011" s="23">
        <v>177546</v>
      </c>
      <c r="E1011" s="24">
        <v>1988</v>
      </c>
      <c r="F1011" s="22" t="s">
        <v>11165</v>
      </c>
      <c r="G1011" s="23" t="s">
        <v>11166</v>
      </c>
      <c r="H1011" s="25" t="s">
        <v>15373</v>
      </c>
      <c r="I1011" s="22" t="s">
        <v>15382</v>
      </c>
      <c r="J1011" s="22" t="s">
        <v>11167</v>
      </c>
      <c r="K1011" s="26">
        <f t="shared" si="15"/>
        <v>993.33333333333326</v>
      </c>
      <c r="N1011" s="26">
        <v>1490</v>
      </c>
      <c r="O1011" s="22" t="s">
        <v>11168</v>
      </c>
      <c r="P1011" s="22" t="s">
        <v>11169</v>
      </c>
      <c r="Q1011" s="22">
        <v>92672</v>
      </c>
      <c r="R1011" s="22" t="s">
        <v>11170</v>
      </c>
      <c r="S1011" s="22" t="s">
        <v>15966</v>
      </c>
      <c r="T1011" s="22">
        <v>8.17</v>
      </c>
      <c r="U1011" s="22">
        <v>0.38</v>
      </c>
      <c r="X1011" s="26"/>
      <c r="Y1011" s="26"/>
    </row>
    <row r="1012" spans="1:25" ht="37.5" x14ac:dyDescent="0.25">
      <c r="A1012" s="21">
        <v>1346</v>
      </c>
      <c r="B1012" s="22" t="s">
        <v>15368</v>
      </c>
      <c r="C1012" s="22" t="s">
        <v>11171</v>
      </c>
      <c r="D1012" s="23" t="s">
        <v>11172</v>
      </c>
      <c r="E1012" s="24">
        <v>1981</v>
      </c>
      <c r="F1012" s="22" t="s">
        <v>11173</v>
      </c>
      <c r="G1012" s="23" t="s">
        <v>11174</v>
      </c>
      <c r="H1012" s="25" t="s">
        <v>15373</v>
      </c>
      <c r="I1012" s="22" t="s">
        <v>15382</v>
      </c>
      <c r="J1012" s="22" t="s">
        <v>11175</v>
      </c>
      <c r="K1012" s="26">
        <f t="shared" si="15"/>
        <v>450</v>
      </c>
      <c r="L1012" s="26">
        <v>450</v>
      </c>
      <c r="O1012" s="22" t="s">
        <v>11176</v>
      </c>
      <c r="P1012" s="22" t="s">
        <v>11169</v>
      </c>
      <c r="Q1012" s="22">
        <v>92672</v>
      </c>
      <c r="R1012" s="22" t="s">
        <v>11177</v>
      </c>
      <c r="S1012" s="22" t="s">
        <v>11178</v>
      </c>
      <c r="T1012" s="22">
        <v>12</v>
      </c>
      <c r="U1012" s="22">
        <v>0.53</v>
      </c>
      <c r="X1012" s="26"/>
      <c r="Y1012" s="26"/>
    </row>
    <row r="1013" spans="1:25" ht="37.5" x14ac:dyDescent="0.25">
      <c r="A1013" s="21">
        <v>1347</v>
      </c>
      <c r="B1013" s="22" t="s">
        <v>15368</v>
      </c>
      <c r="C1013" s="22" t="s">
        <v>11179</v>
      </c>
      <c r="D1013" s="23">
        <v>352278</v>
      </c>
      <c r="E1013" s="24">
        <v>1999</v>
      </c>
      <c r="F1013" s="22" t="s">
        <v>11180</v>
      </c>
      <c r="G1013" s="23" t="s">
        <v>11181</v>
      </c>
      <c r="H1013" s="25" t="s">
        <v>15373</v>
      </c>
      <c r="I1013" s="22" t="s">
        <v>15382</v>
      </c>
      <c r="J1013" s="22" t="s">
        <v>14642</v>
      </c>
      <c r="K1013" s="26">
        <f t="shared" si="15"/>
        <v>756.66666666666663</v>
      </c>
      <c r="N1013" s="26">
        <v>1135</v>
      </c>
      <c r="O1013" s="22" t="s">
        <v>11182</v>
      </c>
      <c r="P1013" s="22" t="s">
        <v>12686</v>
      </c>
      <c r="Q1013" s="22">
        <v>91776</v>
      </c>
      <c r="R1013" s="22" t="s">
        <v>11183</v>
      </c>
      <c r="S1013" s="22" t="s">
        <v>11184</v>
      </c>
      <c r="T1013" s="22">
        <v>8.17</v>
      </c>
      <c r="U1013" s="22">
        <v>0.38</v>
      </c>
      <c r="X1013" s="26"/>
      <c r="Y1013" s="26"/>
    </row>
    <row r="1014" spans="1:25" ht="25" x14ac:dyDescent="0.25">
      <c r="A1014" s="21">
        <v>1348</v>
      </c>
      <c r="B1014" s="22" t="s">
        <v>15368</v>
      </c>
      <c r="C1014" s="22" t="s">
        <v>11185</v>
      </c>
      <c r="D1014" s="23">
        <v>124925</v>
      </c>
      <c r="E1014" s="24">
        <v>1984</v>
      </c>
      <c r="F1014" s="22" t="s">
        <v>11186</v>
      </c>
      <c r="G1014" s="23" t="s">
        <v>11187</v>
      </c>
      <c r="H1014" s="25" t="s">
        <v>15373</v>
      </c>
      <c r="I1014" s="22" t="s">
        <v>15374</v>
      </c>
      <c r="J1014" s="22">
        <v>3412</v>
      </c>
      <c r="K1014" s="26">
        <f t="shared" si="15"/>
        <v>420</v>
      </c>
      <c r="L1014" s="26">
        <v>420</v>
      </c>
      <c r="O1014" s="22" t="s">
        <v>11188</v>
      </c>
      <c r="P1014" s="22" t="s">
        <v>11189</v>
      </c>
      <c r="Q1014" s="22">
        <v>92220</v>
      </c>
      <c r="R1014" s="22" t="s">
        <v>11190</v>
      </c>
      <c r="S1014" s="22" t="s">
        <v>11191</v>
      </c>
      <c r="T1014" s="22">
        <v>11</v>
      </c>
      <c r="U1014" s="22">
        <v>0.53</v>
      </c>
      <c r="X1014" s="26"/>
      <c r="Y1014" s="26"/>
    </row>
    <row r="1015" spans="1:25" ht="37.5" x14ac:dyDescent="0.25">
      <c r="A1015" s="21">
        <v>1349</v>
      </c>
      <c r="B1015" s="22" t="s">
        <v>15368</v>
      </c>
      <c r="C1015" s="22" t="s">
        <v>11192</v>
      </c>
      <c r="D1015" s="23">
        <v>281285</v>
      </c>
      <c r="E1015" s="24">
        <v>1993</v>
      </c>
      <c r="F1015" s="22" t="s">
        <v>11193</v>
      </c>
      <c r="G1015" s="23" t="s">
        <v>11194</v>
      </c>
      <c r="H1015" s="25" t="s">
        <v>15373</v>
      </c>
      <c r="I1015" s="22" t="s">
        <v>15411</v>
      </c>
      <c r="J1015" s="22" t="s">
        <v>15877</v>
      </c>
      <c r="K1015" s="26">
        <f t="shared" si="15"/>
        <v>428.66666666666663</v>
      </c>
      <c r="N1015" s="26">
        <v>643</v>
      </c>
      <c r="O1015" s="22" t="s">
        <v>11195</v>
      </c>
      <c r="P1015" s="22" t="s">
        <v>14020</v>
      </c>
      <c r="Q1015" s="22">
        <v>92701</v>
      </c>
      <c r="R1015" s="22" t="s">
        <v>11196</v>
      </c>
      <c r="S1015" s="22" t="s">
        <v>11197</v>
      </c>
      <c r="T1015" s="22">
        <v>8.17</v>
      </c>
      <c r="U1015" s="22">
        <v>0.38</v>
      </c>
      <c r="X1015" s="26"/>
      <c r="Y1015" s="26"/>
    </row>
    <row r="1016" spans="1:25" ht="37.5" x14ac:dyDescent="0.25">
      <c r="A1016" s="21">
        <v>1350</v>
      </c>
      <c r="B1016" s="22" t="s">
        <v>15368</v>
      </c>
      <c r="C1016" s="22" t="s">
        <v>11198</v>
      </c>
      <c r="D1016" s="23">
        <v>178643</v>
      </c>
      <c r="E1016" s="24">
        <v>1988</v>
      </c>
      <c r="F1016" s="22" t="s">
        <v>11199</v>
      </c>
      <c r="G1016" s="23" t="s">
        <v>11200</v>
      </c>
      <c r="H1016" s="25" t="s">
        <v>15373</v>
      </c>
      <c r="I1016" s="22" t="s">
        <v>15374</v>
      </c>
      <c r="J1016" s="22" t="s">
        <v>15441</v>
      </c>
      <c r="K1016" s="26">
        <f t="shared" si="15"/>
        <v>499.33333333333331</v>
      </c>
      <c r="N1016" s="26">
        <v>749</v>
      </c>
      <c r="O1016" s="22" t="s">
        <v>11201</v>
      </c>
      <c r="P1016" s="22" t="s">
        <v>15971</v>
      </c>
      <c r="Q1016" s="22">
        <v>92692</v>
      </c>
      <c r="R1016" s="22" t="s">
        <v>11202</v>
      </c>
      <c r="S1016" s="22" t="s">
        <v>11203</v>
      </c>
      <c r="T1016" s="22">
        <v>8.17</v>
      </c>
      <c r="U1016" s="22">
        <v>0.38</v>
      </c>
      <c r="X1016" s="26"/>
      <c r="Y1016" s="26"/>
    </row>
    <row r="1017" spans="1:25" ht="50" x14ac:dyDescent="0.25">
      <c r="A1017" s="21">
        <v>1351</v>
      </c>
      <c r="B1017" s="22" t="s">
        <v>15368</v>
      </c>
      <c r="C1017" s="22" t="s">
        <v>11204</v>
      </c>
      <c r="D1017" s="23">
        <v>188234</v>
      </c>
      <c r="E1017" s="24">
        <v>1989</v>
      </c>
      <c r="F1017" s="22" t="s">
        <v>11205</v>
      </c>
      <c r="G1017" s="23" t="s">
        <v>11206</v>
      </c>
      <c r="H1017" s="25" t="s">
        <v>15373</v>
      </c>
      <c r="I1017" s="22" t="s">
        <v>15374</v>
      </c>
      <c r="J1017" s="22">
        <v>3508</v>
      </c>
      <c r="K1017" s="26">
        <f t="shared" si="15"/>
        <v>797.33333333333326</v>
      </c>
      <c r="N1017" s="26">
        <v>1196</v>
      </c>
      <c r="O1017" s="22" t="s">
        <v>11207</v>
      </c>
      <c r="P1017" s="22" t="s">
        <v>11208</v>
      </c>
      <c r="Q1017" s="22">
        <v>92691</v>
      </c>
      <c r="R1017" s="22" t="s">
        <v>11098</v>
      </c>
      <c r="S1017" s="22" t="s">
        <v>11939</v>
      </c>
      <c r="T1017" s="22">
        <v>8.17</v>
      </c>
      <c r="U1017" s="22">
        <v>0.38</v>
      </c>
      <c r="X1017" s="26"/>
      <c r="Y1017" s="26"/>
    </row>
    <row r="1018" spans="1:25" ht="25" x14ac:dyDescent="0.25">
      <c r="A1018" s="21">
        <v>1352</v>
      </c>
      <c r="B1018" s="22" t="s">
        <v>15368</v>
      </c>
      <c r="C1018" s="22" t="s">
        <v>11204</v>
      </c>
      <c r="D1018" s="23">
        <v>248521</v>
      </c>
      <c r="E1018" s="24">
        <v>1991</v>
      </c>
      <c r="F1018" s="22" t="s">
        <v>11099</v>
      </c>
      <c r="G1018" s="23" t="s">
        <v>11100</v>
      </c>
      <c r="H1018" s="25" t="s">
        <v>15373</v>
      </c>
      <c r="I1018" s="22" t="s">
        <v>15382</v>
      </c>
      <c r="J1018" s="22" t="s">
        <v>16861</v>
      </c>
      <c r="K1018" s="26">
        <f t="shared" si="15"/>
        <v>400</v>
      </c>
      <c r="N1018" s="26">
        <v>600</v>
      </c>
      <c r="O1018" s="22" t="s">
        <v>11101</v>
      </c>
      <c r="P1018" s="22" t="s">
        <v>11208</v>
      </c>
      <c r="Q1018" s="22">
        <v>92688</v>
      </c>
      <c r="R1018" s="22" t="s">
        <v>11098</v>
      </c>
      <c r="S1018" s="22" t="s">
        <v>11939</v>
      </c>
      <c r="T1018" s="22">
        <v>8.17</v>
      </c>
      <c r="U1018" s="22">
        <v>0.38</v>
      </c>
      <c r="X1018" s="26"/>
      <c r="Y1018" s="26"/>
    </row>
    <row r="1019" spans="1:25" ht="25" x14ac:dyDescent="0.25">
      <c r="A1019" s="21">
        <v>1353</v>
      </c>
      <c r="B1019" s="22" t="s">
        <v>15368</v>
      </c>
      <c r="C1019" s="22" t="s">
        <v>11204</v>
      </c>
      <c r="D1019" s="23">
        <v>275588</v>
      </c>
      <c r="E1019" s="24">
        <v>1992</v>
      </c>
      <c r="F1019" s="22" t="s">
        <v>11102</v>
      </c>
      <c r="G1019" s="23" t="s">
        <v>11103</v>
      </c>
      <c r="H1019" s="25" t="s">
        <v>15373</v>
      </c>
      <c r="I1019" s="22" t="s">
        <v>15374</v>
      </c>
      <c r="J1019" s="22" t="s">
        <v>16899</v>
      </c>
      <c r="K1019" s="26">
        <f t="shared" si="15"/>
        <v>496.66666666666663</v>
      </c>
      <c r="N1019" s="26">
        <v>745</v>
      </c>
      <c r="O1019" s="22" t="s">
        <v>11104</v>
      </c>
      <c r="P1019" s="22" t="s">
        <v>11208</v>
      </c>
      <c r="Q1019" s="22">
        <v>92688</v>
      </c>
      <c r="R1019" s="22" t="s">
        <v>11098</v>
      </c>
      <c r="S1019" s="22" t="s">
        <v>14062</v>
      </c>
      <c r="T1019" s="22">
        <v>8.17</v>
      </c>
      <c r="U1019" s="22">
        <v>0.38</v>
      </c>
      <c r="X1019" s="26"/>
      <c r="Y1019" s="26"/>
    </row>
    <row r="1020" spans="1:25" ht="25" x14ac:dyDescent="0.25">
      <c r="A1020" s="21">
        <v>1354</v>
      </c>
      <c r="B1020" s="22" t="s">
        <v>15368</v>
      </c>
      <c r="C1020" s="22" t="s">
        <v>11204</v>
      </c>
      <c r="D1020" s="23">
        <v>277736</v>
      </c>
      <c r="E1020" s="24">
        <v>1993</v>
      </c>
      <c r="F1020" s="22" t="s">
        <v>11105</v>
      </c>
      <c r="G1020" s="23" t="s">
        <v>11106</v>
      </c>
      <c r="H1020" s="25" t="s">
        <v>15373</v>
      </c>
      <c r="I1020" s="22" t="s">
        <v>15382</v>
      </c>
      <c r="J1020" s="22" t="s">
        <v>11107</v>
      </c>
      <c r="K1020" s="26">
        <f t="shared" si="15"/>
        <v>600</v>
      </c>
      <c r="N1020" s="26">
        <v>900</v>
      </c>
      <c r="O1020" s="22" t="s">
        <v>11108</v>
      </c>
      <c r="P1020" s="22" t="s">
        <v>11208</v>
      </c>
      <c r="Q1020" s="22">
        <v>92688</v>
      </c>
      <c r="R1020" s="22" t="s">
        <v>11202</v>
      </c>
      <c r="S1020" s="22" t="s">
        <v>11109</v>
      </c>
      <c r="T1020" s="22">
        <v>8.17</v>
      </c>
      <c r="U1020" s="22">
        <v>0.38</v>
      </c>
      <c r="X1020" s="26"/>
      <c r="Y1020" s="26"/>
    </row>
    <row r="1021" spans="1:25" ht="25" x14ac:dyDescent="0.25">
      <c r="A1021" s="21">
        <v>1355</v>
      </c>
      <c r="B1021" s="22" t="s">
        <v>15368</v>
      </c>
      <c r="C1021" s="22" t="s">
        <v>11204</v>
      </c>
      <c r="D1021" s="23">
        <v>277738</v>
      </c>
      <c r="E1021" s="24">
        <v>1993</v>
      </c>
      <c r="F1021" s="22" t="s">
        <v>11110</v>
      </c>
      <c r="G1021" s="23" t="s">
        <v>11111</v>
      </c>
      <c r="H1021" s="25" t="s">
        <v>15373</v>
      </c>
      <c r="I1021" s="22" t="s">
        <v>15374</v>
      </c>
      <c r="J1021" s="22" t="s">
        <v>15918</v>
      </c>
      <c r="K1021" s="26">
        <f t="shared" si="15"/>
        <v>890.66666666666663</v>
      </c>
      <c r="N1021" s="26">
        <v>1336</v>
      </c>
      <c r="O1021" s="22" t="s">
        <v>11112</v>
      </c>
      <c r="P1021" s="22" t="s">
        <v>15971</v>
      </c>
      <c r="Q1021" s="22">
        <v>92691</v>
      </c>
      <c r="R1021" s="22" t="s">
        <v>11113</v>
      </c>
      <c r="S1021" s="22" t="s">
        <v>11109</v>
      </c>
      <c r="T1021" s="22">
        <v>8.17</v>
      </c>
      <c r="U1021" s="22">
        <v>0.38</v>
      </c>
      <c r="X1021" s="26"/>
      <c r="Y1021" s="26"/>
    </row>
    <row r="1022" spans="1:25" ht="25" x14ac:dyDescent="0.25">
      <c r="A1022" s="21">
        <v>1356</v>
      </c>
      <c r="B1022" s="22" t="s">
        <v>15368</v>
      </c>
      <c r="C1022" s="22" t="s">
        <v>11204</v>
      </c>
      <c r="D1022" s="23">
        <v>278463</v>
      </c>
      <c r="E1022" s="24">
        <v>1993</v>
      </c>
      <c r="F1022" s="22" t="s">
        <v>11114</v>
      </c>
      <c r="G1022" s="23" t="s">
        <v>11115</v>
      </c>
      <c r="H1022" s="25" t="s">
        <v>15373</v>
      </c>
      <c r="I1022" s="22" t="s">
        <v>15382</v>
      </c>
      <c r="J1022" s="22" t="s">
        <v>14369</v>
      </c>
      <c r="K1022" s="26">
        <f t="shared" si="15"/>
        <v>800</v>
      </c>
      <c r="N1022" s="26">
        <v>1200</v>
      </c>
      <c r="O1022" s="22" t="s">
        <v>11116</v>
      </c>
      <c r="P1022" s="22" t="s">
        <v>11208</v>
      </c>
      <c r="Q1022" s="22">
        <v>92688</v>
      </c>
      <c r="R1022" s="22" t="s">
        <v>11098</v>
      </c>
      <c r="S1022" s="22" t="s">
        <v>14062</v>
      </c>
      <c r="T1022" s="22">
        <v>8.17</v>
      </c>
      <c r="U1022" s="22">
        <v>0.38</v>
      </c>
      <c r="X1022" s="26"/>
      <c r="Y1022" s="26"/>
    </row>
    <row r="1023" spans="1:25" ht="50" x14ac:dyDescent="0.25">
      <c r="A1023" s="21">
        <v>1357</v>
      </c>
      <c r="B1023" s="22" t="s">
        <v>15368</v>
      </c>
      <c r="C1023" s="22" t="s">
        <v>11204</v>
      </c>
      <c r="D1023" s="23">
        <v>279979</v>
      </c>
      <c r="E1023" s="24">
        <v>1993</v>
      </c>
      <c r="F1023" s="22" t="s">
        <v>11117</v>
      </c>
      <c r="G1023" s="23" t="s">
        <v>11118</v>
      </c>
      <c r="H1023" s="25" t="s">
        <v>15373</v>
      </c>
      <c r="I1023" s="22" t="s">
        <v>15374</v>
      </c>
      <c r="J1023" s="22" t="s">
        <v>15441</v>
      </c>
      <c r="K1023" s="26">
        <f t="shared" si="15"/>
        <v>500</v>
      </c>
      <c r="L1023" s="26">
        <v>500</v>
      </c>
      <c r="O1023" s="22" t="s">
        <v>11119</v>
      </c>
      <c r="P1023" s="22" t="s">
        <v>15971</v>
      </c>
      <c r="Q1023" s="22">
        <v>92688</v>
      </c>
      <c r="R1023" s="22" t="s">
        <v>11120</v>
      </c>
      <c r="S1023" s="22" t="s">
        <v>11121</v>
      </c>
      <c r="T1023" s="22">
        <v>8.17</v>
      </c>
      <c r="U1023" s="22">
        <v>0.38</v>
      </c>
      <c r="X1023" s="26"/>
      <c r="Y1023" s="26"/>
    </row>
    <row r="1024" spans="1:25" ht="37.5" x14ac:dyDescent="0.25">
      <c r="A1024" s="21">
        <v>1358</v>
      </c>
      <c r="B1024" s="22" t="s">
        <v>15368</v>
      </c>
      <c r="C1024" s="22" t="s">
        <v>11204</v>
      </c>
      <c r="D1024" s="23">
        <v>349069</v>
      </c>
      <c r="E1024" s="24">
        <v>1999</v>
      </c>
      <c r="F1024" s="22" t="s">
        <v>11122</v>
      </c>
      <c r="G1024" s="23" t="s">
        <v>11123</v>
      </c>
      <c r="H1024" s="25" t="s">
        <v>15373</v>
      </c>
      <c r="I1024" s="22" t="s">
        <v>15374</v>
      </c>
      <c r="J1024" s="22" t="s">
        <v>14709</v>
      </c>
      <c r="K1024" s="26">
        <f t="shared" si="15"/>
        <v>500</v>
      </c>
      <c r="L1024" s="26">
        <v>500</v>
      </c>
      <c r="O1024" s="22" t="s">
        <v>11124</v>
      </c>
      <c r="P1024" s="22" t="s">
        <v>11169</v>
      </c>
      <c r="Q1024" s="22">
        <v>92677</v>
      </c>
      <c r="R1024" s="22" t="s">
        <v>11098</v>
      </c>
      <c r="S1024" s="22" t="s">
        <v>14062</v>
      </c>
      <c r="T1024" s="22">
        <v>6.9</v>
      </c>
      <c r="U1024" s="22">
        <v>0.4</v>
      </c>
      <c r="X1024" s="26"/>
      <c r="Y1024" s="26"/>
    </row>
    <row r="1025" spans="1:25" ht="37.5" x14ac:dyDescent="0.25">
      <c r="A1025" s="21">
        <v>1359</v>
      </c>
      <c r="B1025" s="22" t="s">
        <v>15368</v>
      </c>
      <c r="C1025" s="22" t="s">
        <v>11204</v>
      </c>
      <c r="D1025" s="23">
        <v>362969</v>
      </c>
      <c r="E1025" s="24">
        <v>1999</v>
      </c>
      <c r="F1025" s="22" t="s">
        <v>11125</v>
      </c>
      <c r="G1025" s="23" t="s">
        <v>12023</v>
      </c>
      <c r="H1025" s="25" t="s">
        <v>15373</v>
      </c>
      <c r="I1025" s="22" t="s">
        <v>15374</v>
      </c>
      <c r="J1025" s="22" t="s">
        <v>15701</v>
      </c>
      <c r="K1025" s="26">
        <f t="shared" si="15"/>
        <v>400</v>
      </c>
      <c r="L1025" s="26">
        <v>400</v>
      </c>
      <c r="O1025" s="22" t="s">
        <v>11126</v>
      </c>
      <c r="P1025" s="22" t="s">
        <v>15582</v>
      </c>
      <c r="Q1025" s="22">
        <v>92688</v>
      </c>
      <c r="R1025" s="22" t="s">
        <v>11202</v>
      </c>
      <c r="S1025" s="22" t="s">
        <v>11203</v>
      </c>
      <c r="T1025" s="22">
        <v>6.9</v>
      </c>
      <c r="U1025" s="22">
        <v>0.4</v>
      </c>
      <c r="X1025" s="26"/>
      <c r="Y1025" s="26"/>
    </row>
    <row r="1026" spans="1:25" ht="25" x14ac:dyDescent="0.25">
      <c r="A1026" s="21">
        <v>1362</v>
      </c>
      <c r="B1026" s="22" t="s">
        <v>15368</v>
      </c>
      <c r="C1026" s="22" t="s">
        <v>11127</v>
      </c>
      <c r="D1026" s="23">
        <v>380928</v>
      </c>
      <c r="E1026" s="24">
        <v>2001</v>
      </c>
      <c r="F1026" s="22" t="s">
        <v>11132</v>
      </c>
      <c r="G1026" s="23" t="s">
        <v>11133</v>
      </c>
      <c r="H1026" s="25" t="s">
        <v>15373</v>
      </c>
      <c r="I1026" s="22" t="s">
        <v>15382</v>
      </c>
      <c r="J1026" s="22" t="s">
        <v>15391</v>
      </c>
      <c r="K1026" s="26">
        <f t="shared" ref="K1026:K1089" si="16">L1026+M1026*(2/3)+N1026*(2/3)</f>
        <v>1500</v>
      </c>
      <c r="L1026" s="26">
        <v>1500</v>
      </c>
      <c r="O1026" s="22" t="s">
        <v>11128</v>
      </c>
      <c r="P1026" s="22" t="s">
        <v>14376</v>
      </c>
      <c r="Q1026" s="22" t="s">
        <v>11129</v>
      </c>
      <c r="R1026" s="22" t="s">
        <v>11130</v>
      </c>
      <c r="S1026" s="22" t="s">
        <v>11131</v>
      </c>
      <c r="T1026" s="22">
        <v>6.9</v>
      </c>
      <c r="U1026" s="22">
        <v>0.4</v>
      </c>
      <c r="X1026" s="26"/>
      <c r="Y1026" s="26"/>
    </row>
    <row r="1027" spans="1:25" ht="37.5" x14ac:dyDescent="0.25">
      <c r="A1027" s="21">
        <v>1363</v>
      </c>
      <c r="B1027" s="22" t="s">
        <v>15368</v>
      </c>
      <c r="C1027" s="22" t="s">
        <v>11134</v>
      </c>
      <c r="D1027" s="23">
        <v>281217</v>
      </c>
      <c r="E1027" s="24">
        <v>1993</v>
      </c>
      <c r="F1027" s="22" t="s">
        <v>11135</v>
      </c>
      <c r="G1027" s="23" t="s">
        <v>11136</v>
      </c>
      <c r="H1027" s="25" t="s">
        <v>15373</v>
      </c>
      <c r="I1027" s="22" t="s">
        <v>15411</v>
      </c>
      <c r="J1027" s="22" t="s">
        <v>15412</v>
      </c>
      <c r="K1027" s="26">
        <f t="shared" si="16"/>
        <v>631.33333333333326</v>
      </c>
      <c r="N1027" s="26">
        <v>947</v>
      </c>
      <c r="O1027" s="22" t="s">
        <v>11137</v>
      </c>
      <c r="P1027" s="22" t="s">
        <v>15376</v>
      </c>
      <c r="Q1027" s="22">
        <v>90025</v>
      </c>
      <c r="R1027" s="22" t="s">
        <v>11138</v>
      </c>
      <c r="S1027" s="22" t="s">
        <v>11139</v>
      </c>
      <c r="T1027" s="22">
        <v>8.17</v>
      </c>
      <c r="U1027" s="22">
        <v>0.38</v>
      </c>
      <c r="X1027" s="26"/>
      <c r="Y1027" s="26"/>
    </row>
    <row r="1028" spans="1:25" ht="25" x14ac:dyDescent="0.25">
      <c r="A1028" s="21">
        <v>1364</v>
      </c>
      <c r="B1028" s="22" t="s">
        <v>15368</v>
      </c>
      <c r="C1028" s="22" t="s">
        <v>11140</v>
      </c>
      <c r="D1028" s="23">
        <v>366693</v>
      </c>
      <c r="E1028" s="24">
        <v>2000</v>
      </c>
      <c r="F1028" s="22" t="s">
        <v>11141</v>
      </c>
      <c r="G1028" s="23" t="s">
        <v>11142</v>
      </c>
      <c r="H1028" s="25" t="s">
        <v>15373</v>
      </c>
      <c r="I1028" s="22" t="s">
        <v>15382</v>
      </c>
      <c r="J1028" s="22" t="s">
        <v>16450</v>
      </c>
      <c r="K1028" s="26">
        <f t="shared" si="16"/>
        <v>993.33333333333326</v>
      </c>
      <c r="N1028" s="26">
        <v>1490</v>
      </c>
      <c r="O1028" s="22" t="s">
        <v>11143</v>
      </c>
      <c r="P1028" s="22" t="s">
        <v>14376</v>
      </c>
      <c r="Q1028" s="22">
        <v>90405</v>
      </c>
      <c r="R1028" s="22" t="s">
        <v>11144</v>
      </c>
      <c r="S1028" s="22" t="s">
        <v>11145</v>
      </c>
      <c r="T1028" s="22">
        <v>6.9</v>
      </c>
      <c r="U1028" s="22">
        <v>0.4</v>
      </c>
      <c r="X1028" s="26"/>
      <c r="Y1028" s="26"/>
    </row>
    <row r="1029" spans="1:25" ht="37.5" x14ac:dyDescent="0.25">
      <c r="A1029" s="21">
        <v>1365</v>
      </c>
      <c r="B1029" s="22" t="s">
        <v>15368</v>
      </c>
      <c r="C1029" s="22" t="s">
        <v>11146</v>
      </c>
      <c r="D1029" s="23">
        <v>281216</v>
      </c>
      <c r="E1029" s="24">
        <v>1993</v>
      </c>
      <c r="F1029" s="22" t="s">
        <v>11147</v>
      </c>
      <c r="G1029" s="23" t="s">
        <v>11136</v>
      </c>
      <c r="H1029" s="25" t="s">
        <v>15373</v>
      </c>
      <c r="I1029" s="22" t="s">
        <v>15411</v>
      </c>
      <c r="J1029" s="22" t="s">
        <v>15412</v>
      </c>
      <c r="K1029" s="26">
        <f t="shared" si="16"/>
        <v>631.33333333333326</v>
      </c>
      <c r="N1029" s="26">
        <v>947</v>
      </c>
      <c r="O1029" s="22" t="s">
        <v>11148</v>
      </c>
      <c r="P1029" s="22" t="s">
        <v>15376</v>
      </c>
      <c r="Q1029" s="22">
        <v>90066</v>
      </c>
      <c r="R1029" s="22" t="s">
        <v>11149</v>
      </c>
      <c r="S1029" s="22" t="s">
        <v>11150</v>
      </c>
      <c r="T1029" s="22">
        <v>8.17</v>
      </c>
      <c r="U1029" s="22">
        <v>0.38</v>
      </c>
      <c r="X1029" s="26"/>
      <c r="Y1029" s="26"/>
    </row>
    <row r="1030" spans="1:25" ht="37.5" x14ac:dyDescent="0.25">
      <c r="A1030" s="21">
        <v>1366</v>
      </c>
      <c r="B1030" s="22" t="s">
        <v>15368</v>
      </c>
      <c r="C1030" s="22" t="s">
        <v>11151</v>
      </c>
      <c r="D1030" s="23">
        <v>225331</v>
      </c>
      <c r="E1030" s="24">
        <v>1990</v>
      </c>
      <c r="F1030" s="22" t="s">
        <v>11152</v>
      </c>
      <c r="G1030" s="23" t="s">
        <v>11153</v>
      </c>
      <c r="H1030" s="25" t="s">
        <v>15373</v>
      </c>
      <c r="I1030" s="22" t="s">
        <v>15411</v>
      </c>
      <c r="J1030" s="22" t="s">
        <v>14979</v>
      </c>
      <c r="K1030" s="26">
        <f t="shared" si="16"/>
        <v>553.33333333333326</v>
      </c>
      <c r="N1030" s="26">
        <v>830</v>
      </c>
      <c r="O1030" s="22" t="s">
        <v>11154</v>
      </c>
      <c r="P1030" s="22" t="s">
        <v>14376</v>
      </c>
      <c r="Q1030" s="22">
        <v>90401</v>
      </c>
      <c r="R1030" s="22" t="s">
        <v>11284</v>
      </c>
      <c r="S1030" s="22" t="s">
        <v>11285</v>
      </c>
      <c r="T1030" s="22">
        <v>8.17</v>
      </c>
      <c r="U1030" s="22">
        <v>0.38</v>
      </c>
      <c r="X1030" s="26"/>
      <c r="Y1030" s="26"/>
    </row>
    <row r="1031" spans="1:25" ht="37.5" x14ac:dyDescent="0.25">
      <c r="A1031" s="21">
        <v>1367</v>
      </c>
      <c r="B1031" s="22" t="s">
        <v>15368</v>
      </c>
      <c r="C1031" s="22" t="s">
        <v>11286</v>
      </c>
      <c r="D1031" s="23">
        <v>365122</v>
      </c>
      <c r="E1031" s="24">
        <v>2000</v>
      </c>
      <c r="F1031" s="22" t="s">
        <v>11287</v>
      </c>
      <c r="G1031" s="23" t="s">
        <v>11288</v>
      </c>
      <c r="H1031" s="25" t="s">
        <v>15373</v>
      </c>
      <c r="I1031" s="22" t="s">
        <v>15411</v>
      </c>
      <c r="J1031" s="22" t="s">
        <v>11289</v>
      </c>
      <c r="K1031" s="26">
        <f t="shared" si="16"/>
        <v>1033.3333333333333</v>
      </c>
      <c r="N1031" s="26">
        <v>1550</v>
      </c>
      <c r="O1031" s="22" t="s">
        <v>11290</v>
      </c>
      <c r="P1031" s="22" t="s">
        <v>11291</v>
      </c>
      <c r="Q1031" s="22">
        <v>91748</v>
      </c>
      <c r="R1031" s="22" t="s">
        <v>11292</v>
      </c>
      <c r="S1031" s="22" t="s">
        <v>11293</v>
      </c>
      <c r="T1031" s="22">
        <v>6.9</v>
      </c>
      <c r="U1031" s="22">
        <v>0.4</v>
      </c>
      <c r="X1031" s="26"/>
      <c r="Y1031" s="26"/>
    </row>
    <row r="1032" spans="1:25" ht="37.5" x14ac:dyDescent="0.25">
      <c r="A1032" s="21">
        <v>1368</v>
      </c>
      <c r="B1032" s="22" t="s">
        <v>15368</v>
      </c>
      <c r="C1032" s="22" t="s">
        <v>11294</v>
      </c>
      <c r="D1032" s="23">
        <v>369588</v>
      </c>
      <c r="E1032" s="24">
        <v>2000</v>
      </c>
      <c r="F1032" s="22" t="s">
        <v>11295</v>
      </c>
      <c r="G1032" s="23" t="s">
        <v>11296</v>
      </c>
      <c r="H1032" s="25" t="s">
        <v>15373</v>
      </c>
      <c r="I1032" s="22" t="s">
        <v>15411</v>
      </c>
      <c r="J1032" s="22" t="s">
        <v>16517</v>
      </c>
      <c r="K1032" s="26">
        <f t="shared" si="16"/>
        <v>410</v>
      </c>
      <c r="L1032" s="26">
        <v>410</v>
      </c>
      <c r="O1032" s="22" t="s">
        <v>11297</v>
      </c>
      <c r="P1032" s="22" t="s">
        <v>16853</v>
      </c>
      <c r="Q1032" s="22">
        <v>92614</v>
      </c>
      <c r="R1032" s="22" t="s">
        <v>11298</v>
      </c>
      <c r="S1032" s="22" t="s">
        <v>11299</v>
      </c>
      <c r="T1032" s="22">
        <v>6.9</v>
      </c>
      <c r="U1032" s="22">
        <v>0.4</v>
      </c>
      <c r="X1032" s="26"/>
      <c r="Y1032" s="26"/>
    </row>
    <row r="1033" spans="1:25" ht="25" x14ac:dyDescent="0.25">
      <c r="A1033" s="21">
        <v>1369</v>
      </c>
      <c r="B1033" s="22" t="s">
        <v>15368</v>
      </c>
      <c r="C1033" s="22" t="s">
        <v>11300</v>
      </c>
      <c r="D1033" s="23">
        <v>242417</v>
      </c>
      <c r="E1033" s="24">
        <v>1990</v>
      </c>
      <c r="F1033" s="22" t="s">
        <v>11301</v>
      </c>
      <c r="G1033" s="23" t="s">
        <v>11302</v>
      </c>
      <c r="H1033" s="25" t="s">
        <v>15373</v>
      </c>
      <c r="I1033" s="22" t="s">
        <v>15374</v>
      </c>
      <c r="J1033" s="22">
        <v>3508</v>
      </c>
      <c r="K1033" s="26">
        <f t="shared" si="16"/>
        <v>728.66666666666663</v>
      </c>
      <c r="N1033" s="26">
        <v>1093</v>
      </c>
      <c r="O1033" s="22" t="s">
        <v>11303</v>
      </c>
      <c r="P1033" s="22" t="s">
        <v>13360</v>
      </c>
      <c r="Q1033" s="22">
        <v>91754</v>
      </c>
      <c r="R1033" s="22" t="s">
        <v>11304</v>
      </c>
      <c r="S1033" s="22" t="s">
        <v>11305</v>
      </c>
      <c r="T1033" s="22">
        <v>8.17</v>
      </c>
      <c r="U1033" s="22">
        <v>0.38</v>
      </c>
      <c r="X1033" s="26"/>
      <c r="Y1033" s="26"/>
    </row>
    <row r="1034" spans="1:25" ht="25" x14ac:dyDescent="0.25">
      <c r="A1034" s="21">
        <v>1370</v>
      </c>
      <c r="B1034" s="22" t="s">
        <v>15368</v>
      </c>
      <c r="C1034" s="22" t="s">
        <v>11300</v>
      </c>
      <c r="D1034" s="23">
        <v>242418</v>
      </c>
      <c r="E1034" s="24">
        <v>1990</v>
      </c>
      <c r="F1034" s="22" t="s">
        <v>11306</v>
      </c>
      <c r="G1034" s="23" t="s">
        <v>11302</v>
      </c>
      <c r="H1034" s="25" t="s">
        <v>15373</v>
      </c>
      <c r="I1034" s="22" t="s">
        <v>15374</v>
      </c>
      <c r="J1034" s="22">
        <v>3508</v>
      </c>
      <c r="K1034" s="26">
        <f t="shared" si="16"/>
        <v>728.66666666666663</v>
      </c>
      <c r="N1034" s="26">
        <v>1093</v>
      </c>
      <c r="O1034" s="22" t="s">
        <v>11303</v>
      </c>
      <c r="P1034" s="22" t="s">
        <v>13360</v>
      </c>
      <c r="Q1034" s="22">
        <v>91754</v>
      </c>
      <c r="R1034" s="22" t="s">
        <v>11304</v>
      </c>
      <c r="S1034" s="22" t="s">
        <v>11305</v>
      </c>
      <c r="T1034" s="22">
        <v>8.17</v>
      </c>
      <c r="U1034" s="22">
        <v>0.38</v>
      </c>
      <c r="X1034" s="26"/>
      <c r="Y1034" s="26"/>
    </row>
    <row r="1035" spans="1:25" ht="25" x14ac:dyDescent="0.25">
      <c r="A1035" s="21">
        <v>1371</v>
      </c>
      <c r="B1035" s="22" t="s">
        <v>15368</v>
      </c>
      <c r="C1035" s="22" t="s">
        <v>11300</v>
      </c>
      <c r="D1035" s="23">
        <v>244980</v>
      </c>
      <c r="E1035" s="24">
        <v>1991</v>
      </c>
      <c r="F1035" s="22" t="s">
        <v>11307</v>
      </c>
      <c r="G1035" s="23" t="s">
        <v>11302</v>
      </c>
      <c r="H1035" s="25" t="s">
        <v>15373</v>
      </c>
      <c r="I1035" s="22" t="s">
        <v>15374</v>
      </c>
      <c r="J1035" s="22">
        <v>3508</v>
      </c>
      <c r="K1035" s="26">
        <f t="shared" si="16"/>
        <v>728.66666666666663</v>
      </c>
      <c r="N1035" s="26">
        <v>1093</v>
      </c>
      <c r="O1035" s="22" t="s">
        <v>11303</v>
      </c>
      <c r="P1035" s="22" t="s">
        <v>13360</v>
      </c>
      <c r="Q1035" s="22">
        <v>91754</v>
      </c>
      <c r="R1035" s="22" t="s">
        <v>11304</v>
      </c>
      <c r="S1035" s="22" t="s">
        <v>11305</v>
      </c>
      <c r="T1035" s="22">
        <v>8.17</v>
      </c>
      <c r="U1035" s="22">
        <v>0.38</v>
      </c>
      <c r="X1035" s="26"/>
      <c r="Y1035" s="26"/>
    </row>
    <row r="1036" spans="1:25" ht="37.5" x14ac:dyDescent="0.25">
      <c r="A1036" s="21">
        <v>1373</v>
      </c>
      <c r="B1036" s="22" t="s">
        <v>15368</v>
      </c>
      <c r="C1036" s="22" t="s">
        <v>11308</v>
      </c>
      <c r="D1036" s="23">
        <v>159531</v>
      </c>
      <c r="E1036" s="24">
        <v>1987</v>
      </c>
      <c r="F1036" s="22" t="s">
        <v>11309</v>
      </c>
      <c r="G1036" s="23" t="s">
        <v>11310</v>
      </c>
      <c r="H1036" s="25" t="s">
        <v>16310</v>
      </c>
      <c r="I1036" s="22" t="s">
        <v>16160</v>
      </c>
      <c r="J1036" s="22" t="s">
        <v>11311</v>
      </c>
      <c r="K1036" s="26">
        <f t="shared" si="16"/>
        <v>387.33333333333331</v>
      </c>
      <c r="N1036" s="26">
        <v>581</v>
      </c>
      <c r="O1036" s="22" t="s">
        <v>11312</v>
      </c>
      <c r="P1036" s="22" t="s">
        <v>11313</v>
      </c>
      <c r="Q1036" s="22">
        <v>90740</v>
      </c>
      <c r="R1036" s="22" t="s">
        <v>11314</v>
      </c>
      <c r="S1036" s="22" t="s">
        <v>11315</v>
      </c>
      <c r="X1036" s="26"/>
      <c r="Y1036" s="26"/>
    </row>
    <row r="1037" spans="1:25" ht="25" x14ac:dyDescent="0.25">
      <c r="A1037" s="21">
        <v>1374</v>
      </c>
      <c r="B1037" s="22" t="s">
        <v>15368</v>
      </c>
      <c r="C1037" s="22" t="s">
        <v>11316</v>
      </c>
      <c r="D1037" s="23">
        <v>272498</v>
      </c>
      <c r="E1037" s="24">
        <v>1992</v>
      </c>
      <c r="F1037" s="22" t="s">
        <v>11317</v>
      </c>
      <c r="G1037" s="23" t="s">
        <v>11318</v>
      </c>
      <c r="H1037" s="25" t="s">
        <v>15373</v>
      </c>
      <c r="I1037" s="22" t="s">
        <v>15374</v>
      </c>
      <c r="J1037" s="22" t="s">
        <v>11319</v>
      </c>
      <c r="K1037" s="26">
        <f t="shared" si="16"/>
        <v>499.33333333333331</v>
      </c>
      <c r="N1037" s="26">
        <v>749</v>
      </c>
      <c r="O1037" s="22" t="s">
        <v>11320</v>
      </c>
      <c r="P1037" s="22" t="s">
        <v>16347</v>
      </c>
      <c r="Q1037" s="22">
        <v>91730</v>
      </c>
      <c r="R1037" s="22" t="s">
        <v>11321</v>
      </c>
      <c r="S1037" s="22" t="s">
        <v>11322</v>
      </c>
      <c r="T1037" s="22">
        <v>8.17</v>
      </c>
      <c r="U1037" s="22">
        <v>0.38</v>
      </c>
      <c r="X1037" s="26"/>
      <c r="Y1037" s="26"/>
    </row>
    <row r="1038" spans="1:25" ht="37.5" x14ac:dyDescent="0.25">
      <c r="A1038" s="21">
        <v>1375</v>
      </c>
      <c r="B1038" s="22" t="s">
        <v>15368</v>
      </c>
      <c r="C1038" s="22" t="s">
        <v>11323</v>
      </c>
      <c r="D1038" s="23">
        <v>156964</v>
      </c>
      <c r="E1038" s="24">
        <v>1987</v>
      </c>
      <c r="F1038" s="22" t="s">
        <v>11324</v>
      </c>
      <c r="G1038" s="23" t="s">
        <v>11325</v>
      </c>
      <c r="H1038" s="25" t="s">
        <v>16310</v>
      </c>
      <c r="I1038" s="22" t="s">
        <v>16160</v>
      </c>
      <c r="J1038" s="22">
        <v>5108</v>
      </c>
      <c r="K1038" s="26">
        <f t="shared" si="16"/>
        <v>472</v>
      </c>
      <c r="N1038" s="26">
        <v>708</v>
      </c>
      <c r="O1038" s="22" t="s">
        <v>11326</v>
      </c>
      <c r="P1038" s="22" t="s">
        <v>16295</v>
      </c>
      <c r="Q1038" s="22">
        <v>92371</v>
      </c>
      <c r="R1038" s="22" t="s">
        <v>11327</v>
      </c>
      <c r="S1038" s="22" t="s">
        <v>11328</v>
      </c>
      <c r="X1038" s="26"/>
      <c r="Y1038" s="26"/>
    </row>
    <row r="1039" spans="1:25" ht="37.5" x14ac:dyDescent="0.25">
      <c r="A1039" s="21">
        <v>1376</v>
      </c>
      <c r="B1039" s="22" t="s">
        <v>15368</v>
      </c>
      <c r="C1039" s="22" t="s">
        <v>11323</v>
      </c>
      <c r="D1039" s="23">
        <v>177138</v>
      </c>
      <c r="E1039" s="24">
        <v>1988</v>
      </c>
      <c r="F1039" s="22" t="s">
        <v>11329</v>
      </c>
      <c r="G1039" s="23" t="s">
        <v>11330</v>
      </c>
      <c r="H1039" s="25" t="s">
        <v>15373</v>
      </c>
      <c r="I1039" s="22" t="s">
        <v>12017</v>
      </c>
      <c r="J1039" s="22" t="s">
        <v>11331</v>
      </c>
      <c r="K1039" s="26">
        <f t="shared" si="16"/>
        <v>343.33333333333331</v>
      </c>
      <c r="N1039" s="26">
        <v>515</v>
      </c>
      <c r="O1039" s="22" t="s">
        <v>11332</v>
      </c>
      <c r="P1039" s="22" t="s">
        <v>15376</v>
      </c>
      <c r="Q1039" s="22">
        <v>90017</v>
      </c>
      <c r="R1039" s="22" t="s">
        <v>11333</v>
      </c>
      <c r="S1039" s="22" t="s">
        <v>15187</v>
      </c>
      <c r="T1039" s="22">
        <v>8.17</v>
      </c>
      <c r="U1039" s="22">
        <v>0.38</v>
      </c>
      <c r="X1039" s="26"/>
      <c r="Y1039" s="26"/>
    </row>
    <row r="1040" spans="1:25" ht="25" x14ac:dyDescent="0.25">
      <c r="A1040" s="21">
        <v>1377</v>
      </c>
      <c r="B1040" s="22" t="s">
        <v>15368</v>
      </c>
      <c r="C1040" s="22" t="s">
        <v>11323</v>
      </c>
      <c r="D1040" s="23">
        <v>177139</v>
      </c>
      <c r="E1040" s="24">
        <v>1988</v>
      </c>
      <c r="F1040" s="22" t="s">
        <v>11334</v>
      </c>
      <c r="G1040" s="23" t="s">
        <v>11335</v>
      </c>
      <c r="H1040" s="25" t="s">
        <v>16310</v>
      </c>
      <c r="I1040" s="22" t="s">
        <v>16160</v>
      </c>
      <c r="J1040" s="22">
        <v>5708</v>
      </c>
      <c r="K1040" s="26">
        <f t="shared" si="16"/>
        <v>466.66666666666663</v>
      </c>
      <c r="N1040" s="26">
        <v>700</v>
      </c>
      <c r="O1040" s="22" t="s">
        <v>11336</v>
      </c>
      <c r="P1040" s="22" t="s">
        <v>11337</v>
      </c>
      <c r="Q1040" s="22">
        <v>90067</v>
      </c>
      <c r="R1040" s="22" t="s">
        <v>11338</v>
      </c>
      <c r="S1040" s="22" t="s">
        <v>11339</v>
      </c>
      <c r="X1040" s="26"/>
      <c r="Y1040" s="26"/>
    </row>
    <row r="1041" spans="1:25" ht="25" x14ac:dyDescent="0.25">
      <c r="A1041" s="21">
        <v>1378</v>
      </c>
      <c r="B1041" s="22" t="s">
        <v>15368</v>
      </c>
      <c r="C1041" s="22" t="s">
        <v>11323</v>
      </c>
      <c r="D1041" s="23" t="s">
        <v>11340</v>
      </c>
      <c r="E1041" s="24">
        <v>1976</v>
      </c>
      <c r="F1041" s="22" t="s">
        <v>11341</v>
      </c>
      <c r="G1041" s="23" t="s">
        <v>11342</v>
      </c>
      <c r="H1041" s="25" t="s">
        <v>11343</v>
      </c>
      <c r="I1041" s="22" t="s">
        <v>11344</v>
      </c>
      <c r="J1041" s="22" t="s">
        <v>11345</v>
      </c>
      <c r="K1041" s="26">
        <f t="shared" si="16"/>
        <v>1100</v>
      </c>
      <c r="M1041" s="26">
        <v>1650</v>
      </c>
      <c r="O1041" s="22" t="s">
        <v>11332</v>
      </c>
      <c r="P1041" s="22" t="s">
        <v>15376</v>
      </c>
      <c r="Q1041" s="22">
        <v>90017</v>
      </c>
      <c r="R1041" s="22" t="s">
        <v>11333</v>
      </c>
      <c r="S1041" s="22" t="s">
        <v>15187</v>
      </c>
      <c r="T1041" s="22">
        <v>12</v>
      </c>
      <c r="U1041" s="22">
        <v>0.53</v>
      </c>
      <c r="X1041" s="26"/>
      <c r="Y1041" s="26"/>
    </row>
    <row r="1042" spans="1:25" ht="25" x14ac:dyDescent="0.25">
      <c r="A1042" s="21">
        <v>1379</v>
      </c>
      <c r="B1042" s="22" t="s">
        <v>15368</v>
      </c>
      <c r="C1042" s="22" t="s">
        <v>11323</v>
      </c>
      <c r="D1042" s="23" t="s">
        <v>11346</v>
      </c>
      <c r="E1042" s="24">
        <v>1976</v>
      </c>
      <c r="F1042" s="22" t="s">
        <v>11347</v>
      </c>
      <c r="G1042" s="23" t="s">
        <v>11348</v>
      </c>
      <c r="H1042" s="25" t="s">
        <v>11343</v>
      </c>
      <c r="I1042" s="22" t="s">
        <v>11344</v>
      </c>
      <c r="J1042" s="22" t="s">
        <v>11345</v>
      </c>
      <c r="K1042" s="26">
        <f t="shared" si="16"/>
        <v>1100</v>
      </c>
      <c r="M1042" s="26">
        <v>1650</v>
      </c>
      <c r="O1042" s="22" t="s">
        <v>11332</v>
      </c>
      <c r="P1042" s="22" t="s">
        <v>15376</v>
      </c>
      <c r="Q1042" s="22">
        <v>90017</v>
      </c>
      <c r="R1042" s="22" t="s">
        <v>11333</v>
      </c>
      <c r="S1042" s="22" t="s">
        <v>15187</v>
      </c>
      <c r="T1042" s="22">
        <v>12</v>
      </c>
      <c r="U1042" s="22">
        <v>0.53</v>
      </c>
      <c r="X1042" s="26"/>
      <c r="Y1042" s="26"/>
    </row>
    <row r="1043" spans="1:25" ht="25" x14ac:dyDescent="0.25">
      <c r="A1043" s="21">
        <v>1380</v>
      </c>
      <c r="B1043" s="22" t="s">
        <v>15368</v>
      </c>
      <c r="C1043" s="22" t="s">
        <v>11323</v>
      </c>
      <c r="D1043" s="23" t="s">
        <v>11349</v>
      </c>
      <c r="E1043" s="24">
        <v>1976</v>
      </c>
      <c r="F1043" s="22" t="s">
        <v>11350</v>
      </c>
      <c r="G1043" s="23" t="s">
        <v>11351</v>
      </c>
      <c r="H1043" s="25" t="s">
        <v>11343</v>
      </c>
      <c r="I1043" s="22" t="s">
        <v>11344</v>
      </c>
      <c r="J1043" s="22" t="s">
        <v>11345</v>
      </c>
      <c r="K1043" s="26">
        <f t="shared" si="16"/>
        <v>1100</v>
      </c>
      <c r="M1043" s="26">
        <v>1650</v>
      </c>
      <c r="O1043" s="22" t="s">
        <v>11332</v>
      </c>
      <c r="P1043" s="22" t="s">
        <v>15376</v>
      </c>
      <c r="Q1043" s="22">
        <v>90017</v>
      </c>
      <c r="R1043" s="22" t="s">
        <v>11333</v>
      </c>
      <c r="S1043" s="22" t="s">
        <v>15187</v>
      </c>
      <c r="T1043" s="22">
        <v>12</v>
      </c>
      <c r="U1043" s="22">
        <v>0.53</v>
      </c>
      <c r="X1043" s="26"/>
      <c r="Y1043" s="26"/>
    </row>
    <row r="1044" spans="1:25" ht="25" x14ac:dyDescent="0.25">
      <c r="A1044" s="21">
        <v>1382</v>
      </c>
      <c r="B1044" s="22" t="s">
        <v>15368</v>
      </c>
      <c r="C1044" s="22" t="s">
        <v>11352</v>
      </c>
      <c r="D1044" s="23">
        <v>380870</v>
      </c>
      <c r="E1044" s="24">
        <v>2001</v>
      </c>
      <c r="F1044" s="22" t="s">
        <v>11353</v>
      </c>
      <c r="G1044" s="23" t="s">
        <v>11354</v>
      </c>
      <c r="H1044" s="25" t="s">
        <v>15373</v>
      </c>
      <c r="I1044" s="22" t="s">
        <v>15374</v>
      </c>
      <c r="J1044" s="22" t="s">
        <v>16311</v>
      </c>
      <c r="K1044" s="26">
        <f t="shared" si="16"/>
        <v>683.33333333333326</v>
      </c>
      <c r="N1044" s="26">
        <v>1025</v>
      </c>
      <c r="O1044" s="22" t="s">
        <v>11355</v>
      </c>
      <c r="P1044" s="22" t="s">
        <v>15683</v>
      </c>
      <c r="Q1044" s="22">
        <v>91355</v>
      </c>
      <c r="R1044" s="22" t="s">
        <v>11356</v>
      </c>
      <c r="S1044" s="22" t="s">
        <v>11357</v>
      </c>
      <c r="T1044" s="22">
        <v>6.9</v>
      </c>
      <c r="U1044" s="22">
        <v>0.4</v>
      </c>
      <c r="X1044" s="26"/>
      <c r="Y1044" s="26"/>
    </row>
    <row r="1045" spans="1:25" ht="25" x14ac:dyDescent="0.25">
      <c r="A1045" s="21">
        <v>1383</v>
      </c>
      <c r="B1045" s="22" t="s">
        <v>15368</v>
      </c>
      <c r="C1045" s="22" t="s">
        <v>11358</v>
      </c>
      <c r="D1045" s="23">
        <v>358693</v>
      </c>
      <c r="E1045" s="24">
        <v>1999</v>
      </c>
      <c r="F1045" s="22" t="s">
        <v>11359</v>
      </c>
      <c r="G1045" s="23" t="s">
        <v>11360</v>
      </c>
      <c r="H1045" s="25" t="s">
        <v>15373</v>
      </c>
      <c r="I1045" s="22" t="s">
        <v>15374</v>
      </c>
      <c r="J1045" s="22">
        <v>3412</v>
      </c>
      <c r="K1045" s="26">
        <f t="shared" si="16"/>
        <v>499.33333333333331</v>
      </c>
      <c r="N1045" s="26">
        <v>749</v>
      </c>
      <c r="O1045" s="22" t="s">
        <v>11361</v>
      </c>
      <c r="P1045" s="22" t="s">
        <v>16313</v>
      </c>
      <c r="Q1045" s="22">
        <v>90731</v>
      </c>
      <c r="R1045" s="22" t="s">
        <v>11362</v>
      </c>
      <c r="S1045" s="22" t="s">
        <v>11363</v>
      </c>
      <c r="T1045" s="22">
        <v>6.9</v>
      </c>
      <c r="U1045" s="22">
        <v>0.4</v>
      </c>
      <c r="X1045" s="26"/>
      <c r="Y1045" s="26"/>
    </row>
    <row r="1046" spans="1:25" ht="37.5" x14ac:dyDescent="0.25">
      <c r="A1046" s="21">
        <v>1387</v>
      </c>
      <c r="B1046" s="22" t="s">
        <v>15368</v>
      </c>
      <c r="C1046" s="22" t="s">
        <v>12387</v>
      </c>
      <c r="D1046" s="23">
        <v>188429</v>
      </c>
      <c r="E1046" s="24">
        <v>1989</v>
      </c>
      <c r="F1046" s="22" t="s">
        <v>12388</v>
      </c>
      <c r="G1046" s="23" t="s">
        <v>12389</v>
      </c>
      <c r="H1046" s="25" t="s">
        <v>15373</v>
      </c>
      <c r="I1046" s="22" t="s">
        <v>15411</v>
      </c>
      <c r="J1046" s="22" t="s">
        <v>15451</v>
      </c>
      <c r="K1046" s="26">
        <f t="shared" si="16"/>
        <v>493.33333333333331</v>
      </c>
      <c r="N1046" s="26">
        <v>740</v>
      </c>
      <c r="O1046" s="22" t="s">
        <v>12390</v>
      </c>
      <c r="P1046" s="22" t="s">
        <v>15740</v>
      </c>
      <c r="Q1046" s="22">
        <v>90802</v>
      </c>
      <c r="R1046" s="22" t="s">
        <v>12391</v>
      </c>
      <c r="S1046" s="22" t="s">
        <v>12392</v>
      </c>
      <c r="T1046" s="22">
        <v>8.17</v>
      </c>
      <c r="U1046" s="22">
        <v>0.38</v>
      </c>
      <c r="X1046" s="26"/>
      <c r="Y1046" s="26"/>
    </row>
    <row r="1047" spans="1:25" ht="25" x14ac:dyDescent="0.25">
      <c r="A1047" s="21">
        <v>1388</v>
      </c>
      <c r="B1047" s="22" t="s">
        <v>15368</v>
      </c>
      <c r="C1047" s="22" t="s">
        <v>12393</v>
      </c>
      <c r="D1047" s="23">
        <v>205597</v>
      </c>
      <c r="E1047" s="24">
        <v>1989</v>
      </c>
      <c r="F1047" s="22" t="s">
        <v>12394</v>
      </c>
      <c r="G1047" s="23" t="s">
        <v>12395</v>
      </c>
      <c r="H1047" s="25" t="s">
        <v>15373</v>
      </c>
      <c r="I1047" s="22" t="s">
        <v>15374</v>
      </c>
      <c r="J1047" s="22">
        <v>3412</v>
      </c>
      <c r="K1047" s="26">
        <f t="shared" si="16"/>
        <v>593.33333333333326</v>
      </c>
      <c r="N1047" s="26">
        <v>890</v>
      </c>
      <c r="O1047" s="22" t="s">
        <v>12396</v>
      </c>
      <c r="P1047" s="22" t="s">
        <v>15376</v>
      </c>
      <c r="Q1047" s="22">
        <v>90020</v>
      </c>
      <c r="R1047" s="22" t="s">
        <v>12397</v>
      </c>
      <c r="S1047" s="22" t="s">
        <v>12398</v>
      </c>
      <c r="T1047" s="22">
        <v>8.17</v>
      </c>
      <c r="U1047" s="22">
        <v>0.38</v>
      </c>
      <c r="X1047" s="26"/>
      <c r="Y1047" s="26"/>
    </row>
    <row r="1048" spans="1:25" ht="37.5" x14ac:dyDescent="0.25">
      <c r="A1048" s="21">
        <v>1392</v>
      </c>
      <c r="B1048" s="22" t="s">
        <v>15368</v>
      </c>
      <c r="C1048" s="22" t="s">
        <v>12399</v>
      </c>
      <c r="D1048" s="23">
        <v>357540</v>
      </c>
      <c r="E1048" s="24">
        <v>1999</v>
      </c>
      <c r="F1048" s="22" t="s">
        <v>12400</v>
      </c>
      <c r="G1048" s="23" t="s">
        <v>12401</v>
      </c>
      <c r="H1048" s="25" t="s">
        <v>15373</v>
      </c>
      <c r="I1048" s="22" t="s">
        <v>15382</v>
      </c>
      <c r="J1048" s="22" t="s">
        <v>16792</v>
      </c>
      <c r="K1048" s="26">
        <f t="shared" si="16"/>
        <v>399</v>
      </c>
      <c r="L1048" s="26">
        <v>399</v>
      </c>
      <c r="O1048" s="22" t="s">
        <v>12402</v>
      </c>
      <c r="P1048" s="22" t="s">
        <v>16853</v>
      </c>
      <c r="Q1048" s="22">
        <v>92612</v>
      </c>
      <c r="R1048" s="22" t="s">
        <v>12403</v>
      </c>
      <c r="S1048" s="22" t="s">
        <v>12404</v>
      </c>
      <c r="T1048" s="22">
        <v>6.9</v>
      </c>
      <c r="U1048" s="22">
        <v>0.4</v>
      </c>
      <c r="X1048" s="26"/>
      <c r="Y1048" s="26"/>
    </row>
    <row r="1049" spans="1:25" ht="37.5" x14ac:dyDescent="0.25">
      <c r="A1049" s="21">
        <v>1393</v>
      </c>
      <c r="B1049" s="22" t="s">
        <v>15368</v>
      </c>
      <c r="C1049" s="22" t="s">
        <v>12405</v>
      </c>
      <c r="D1049" s="23">
        <v>344271</v>
      </c>
      <c r="E1049" s="24">
        <v>1998</v>
      </c>
      <c r="F1049" s="22" t="s">
        <v>12406</v>
      </c>
      <c r="G1049" s="23" t="s">
        <v>11669</v>
      </c>
      <c r="H1049" s="25" t="s">
        <v>15373</v>
      </c>
      <c r="I1049" s="22" t="s">
        <v>15374</v>
      </c>
      <c r="J1049" s="22" t="s">
        <v>14709</v>
      </c>
      <c r="K1049" s="26">
        <f t="shared" si="16"/>
        <v>600</v>
      </c>
      <c r="L1049" s="26">
        <v>600</v>
      </c>
      <c r="O1049" s="22" t="s">
        <v>12407</v>
      </c>
      <c r="P1049" s="22" t="s">
        <v>15957</v>
      </c>
      <c r="Q1049" s="22">
        <v>90040</v>
      </c>
      <c r="R1049" s="22" t="s">
        <v>12408</v>
      </c>
      <c r="S1049" s="22" t="s">
        <v>12409</v>
      </c>
      <c r="T1049" s="22">
        <v>8.17</v>
      </c>
      <c r="U1049" s="22">
        <v>0.38</v>
      </c>
      <c r="X1049" s="26"/>
      <c r="Y1049" s="26"/>
    </row>
    <row r="1050" spans="1:25" ht="37.5" x14ac:dyDescent="0.25">
      <c r="A1050" s="21">
        <v>1394</v>
      </c>
      <c r="B1050" s="22" t="s">
        <v>15368</v>
      </c>
      <c r="C1050" s="22" t="s">
        <v>12410</v>
      </c>
      <c r="D1050" s="23">
        <v>334283</v>
      </c>
      <c r="E1050" s="24">
        <v>1997</v>
      </c>
      <c r="F1050" s="22" t="s">
        <v>12411</v>
      </c>
      <c r="G1050" s="23" t="s">
        <v>12412</v>
      </c>
      <c r="H1050" s="25" t="s">
        <v>15373</v>
      </c>
      <c r="I1050" s="22" t="s">
        <v>15374</v>
      </c>
      <c r="J1050" s="22" t="s">
        <v>15701</v>
      </c>
      <c r="K1050" s="26">
        <f t="shared" si="16"/>
        <v>400</v>
      </c>
      <c r="L1050" s="26">
        <v>400</v>
      </c>
      <c r="O1050" s="22" t="s">
        <v>12413</v>
      </c>
      <c r="P1050" s="22" t="s">
        <v>15435</v>
      </c>
      <c r="Q1050" s="22">
        <v>92626</v>
      </c>
      <c r="R1050" s="22" t="s">
        <v>12414</v>
      </c>
      <c r="S1050" s="22" t="s">
        <v>12415</v>
      </c>
      <c r="T1050" s="22">
        <v>6.9</v>
      </c>
      <c r="U1050" s="22">
        <v>0.4</v>
      </c>
      <c r="X1050" s="26"/>
      <c r="Y1050" s="26"/>
    </row>
    <row r="1051" spans="1:25" ht="37.5" x14ac:dyDescent="0.25">
      <c r="A1051" s="21">
        <v>1395</v>
      </c>
      <c r="B1051" s="22" t="s">
        <v>15368</v>
      </c>
      <c r="C1051" s="22" t="s">
        <v>12416</v>
      </c>
      <c r="D1051" s="23">
        <v>308457</v>
      </c>
      <c r="E1051" s="24">
        <v>1995</v>
      </c>
      <c r="F1051" s="22" t="s">
        <v>12417</v>
      </c>
      <c r="G1051" s="23" t="s">
        <v>12418</v>
      </c>
      <c r="H1051" s="25" t="s">
        <v>15373</v>
      </c>
      <c r="I1051" s="22" t="s">
        <v>15374</v>
      </c>
      <c r="J1051" s="22">
        <v>3512</v>
      </c>
      <c r="K1051" s="26">
        <f t="shared" si="16"/>
        <v>886.66666666666663</v>
      </c>
      <c r="N1051" s="26">
        <v>1330</v>
      </c>
      <c r="O1051" s="22" t="s">
        <v>12419</v>
      </c>
      <c r="P1051" s="22" t="s">
        <v>12420</v>
      </c>
      <c r="Q1051" s="22" t="s">
        <v>12421</v>
      </c>
      <c r="R1051" s="22" t="s">
        <v>12422</v>
      </c>
      <c r="S1051" s="22" t="s">
        <v>12423</v>
      </c>
      <c r="T1051" s="22">
        <v>8.17</v>
      </c>
      <c r="U1051" s="22">
        <v>0.38</v>
      </c>
      <c r="X1051" s="26"/>
      <c r="Y1051" s="26"/>
    </row>
    <row r="1052" spans="1:25" ht="37.5" x14ac:dyDescent="0.25">
      <c r="A1052" s="21">
        <v>1396</v>
      </c>
      <c r="B1052" s="22" t="s">
        <v>15368</v>
      </c>
      <c r="C1052" s="22" t="s">
        <v>12416</v>
      </c>
      <c r="D1052" s="23">
        <v>308458</v>
      </c>
      <c r="E1052" s="24">
        <v>1995</v>
      </c>
      <c r="F1052" s="22" t="s">
        <v>12424</v>
      </c>
      <c r="G1052" s="23" t="s">
        <v>12425</v>
      </c>
      <c r="H1052" s="25" t="s">
        <v>15373</v>
      </c>
      <c r="I1052" s="22" t="s">
        <v>15374</v>
      </c>
      <c r="J1052" s="22">
        <v>3512</v>
      </c>
      <c r="K1052" s="26">
        <f t="shared" si="16"/>
        <v>886.66666666666663</v>
      </c>
      <c r="N1052" s="26">
        <v>1330</v>
      </c>
      <c r="O1052" s="22" t="s">
        <v>12419</v>
      </c>
      <c r="P1052" s="22" t="s">
        <v>12420</v>
      </c>
      <c r="Q1052" s="22" t="s">
        <v>12421</v>
      </c>
      <c r="R1052" s="22" t="s">
        <v>12422</v>
      </c>
      <c r="S1052" s="22" t="s">
        <v>12423</v>
      </c>
      <c r="T1052" s="22">
        <v>8.17</v>
      </c>
      <c r="U1052" s="22">
        <v>0.38</v>
      </c>
      <c r="X1052" s="26"/>
      <c r="Y1052" s="26"/>
    </row>
    <row r="1053" spans="1:25" ht="25" x14ac:dyDescent="0.25">
      <c r="A1053" s="21">
        <v>1397</v>
      </c>
      <c r="B1053" s="22" t="s">
        <v>15368</v>
      </c>
      <c r="C1053" s="22" t="s">
        <v>12426</v>
      </c>
      <c r="D1053" s="23">
        <v>123746</v>
      </c>
      <c r="E1053" s="24">
        <v>1984</v>
      </c>
      <c r="F1053" s="22" t="s">
        <v>12427</v>
      </c>
      <c r="G1053" s="23" t="s">
        <v>12428</v>
      </c>
      <c r="H1053" s="25" t="s">
        <v>15373</v>
      </c>
      <c r="I1053" s="22" t="s">
        <v>15668</v>
      </c>
      <c r="J1053" s="22" t="s">
        <v>12429</v>
      </c>
      <c r="K1053" s="26">
        <f t="shared" si="16"/>
        <v>1300</v>
      </c>
      <c r="N1053" s="26">
        <v>1950</v>
      </c>
      <c r="O1053" s="22" t="s">
        <v>12430</v>
      </c>
      <c r="P1053" s="22" t="s">
        <v>12431</v>
      </c>
      <c r="Q1053" s="22">
        <v>90704</v>
      </c>
      <c r="R1053" s="22" t="s">
        <v>12432</v>
      </c>
      <c r="S1053" s="22" t="s">
        <v>12433</v>
      </c>
      <c r="T1053" s="22">
        <v>11</v>
      </c>
      <c r="U1053" s="22">
        <v>0.53</v>
      </c>
      <c r="X1053" s="26"/>
      <c r="Y1053" s="26"/>
    </row>
    <row r="1054" spans="1:25" ht="37.5" x14ac:dyDescent="0.25">
      <c r="A1054" s="21">
        <v>1398</v>
      </c>
      <c r="B1054" s="22" t="s">
        <v>15368</v>
      </c>
      <c r="C1054" s="22" t="s">
        <v>12426</v>
      </c>
      <c r="D1054" s="23">
        <v>152189</v>
      </c>
      <c r="E1054" s="24">
        <v>1987</v>
      </c>
      <c r="F1054" s="22" t="s">
        <v>12434</v>
      </c>
      <c r="G1054" s="23" t="s">
        <v>12435</v>
      </c>
      <c r="H1054" s="25" t="s">
        <v>16310</v>
      </c>
      <c r="I1054" s="22" t="s">
        <v>16160</v>
      </c>
      <c r="J1054" s="22" t="s">
        <v>12436</v>
      </c>
      <c r="K1054" s="26">
        <f t="shared" si="16"/>
        <v>870</v>
      </c>
      <c r="M1054" s="26">
        <v>1305</v>
      </c>
      <c r="O1054" s="22" t="s">
        <v>12437</v>
      </c>
      <c r="P1054" s="22" t="s">
        <v>12438</v>
      </c>
      <c r="Q1054" s="22">
        <v>92683</v>
      </c>
      <c r="R1054" s="22" t="s">
        <v>12439</v>
      </c>
      <c r="S1054" s="22" t="s">
        <v>12440</v>
      </c>
      <c r="X1054" s="26"/>
      <c r="Y1054" s="26"/>
    </row>
    <row r="1055" spans="1:25" ht="37.5" x14ac:dyDescent="0.25">
      <c r="A1055" s="21">
        <v>1399</v>
      </c>
      <c r="B1055" s="22" t="s">
        <v>15368</v>
      </c>
      <c r="C1055" s="22" t="s">
        <v>12426</v>
      </c>
      <c r="D1055" s="23">
        <v>268757</v>
      </c>
      <c r="E1055" s="24">
        <v>1992</v>
      </c>
      <c r="F1055" s="22" t="s">
        <v>12441</v>
      </c>
      <c r="G1055" s="23" t="s">
        <v>12442</v>
      </c>
      <c r="H1055" s="25" t="s">
        <v>15373</v>
      </c>
      <c r="I1055" s="22" t="s">
        <v>15668</v>
      </c>
      <c r="J1055" s="22" t="s">
        <v>12443</v>
      </c>
      <c r="K1055" s="26">
        <f t="shared" si="16"/>
        <v>1500</v>
      </c>
      <c r="L1055" s="26">
        <v>1500</v>
      </c>
      <c r="O1055" s="22" t="s">
        <v>12430</v>
      </c>
      <c r="P1055" s="22" t="s">
        <v>12431</v>
      </c>
      <c r="Q1055" s="22">
        <v>90704</v>
      </c>
      <c r="R1055" s="22" t="s">
        <v>12432</v>
      </c>
      <c r="S1055" s="22" t="s">
        <v>12433</v>
      </c>
      <c r="T1055" s="22">
        <v>8.17</v>
      </c>
      <c r="U1055" s="22">
        <v>0.38</v>
      </c>
      <c r="X1055" s="26"/>
      <c r="Y1055" s="26"/>
    </row>
    <row r="1056" spans="1:25" ht="37.5" x14ac:dyDescent="0.25">
      <c r="A1056" s="21">
        <v>1400</v>
      </c>
      <c r="B1056" s="22" t="s">
        <v>15368</v>
      </c>
      <c r="C1056" s="22" t="s">
        <v>12426</v>
      </c>
      <c r="D1056" s="23">
        <v>328545</v>
      </c>
      <c r="E1056" s="24">
        <v>1997</v>
      </c>
      <c r="F1056" s="22" t="s">
        <v>12444</v>
      </c>
      <c r="G1056" s="23" t="s">
        <v>12445</v>
      </c>
      <c r="H1056" s="25" t="s">
        <v>15373</v>
      </c>
      <c r="I1056" s="22" t="s">
        <v>15374</v>
      </c>
      <c r="J1056" s="22" t="s">
        <v>15420</v>
      </c>
      <c r="K1056" s="26">
        <f t="shared" si="16"/>
        <v>1000</v>
      </c>
      <c r="L1056" s="26">
        <v>1000</v>
      </c>
      <c r="O1056" s="22" t="s">
        <v>12446</v>
      </c>
      <c r="P1056" s="22" t="s">
        <v>15740</v>
      </c>
      <c r="Q1056" s="22">
        <v>90808</v>
      </c>
      <c r="R1056" s="22" t="s">
        <v>11422</v>
      </c>
      <c r="S1056" s="22" t="s">
        <v>11423</v>
      </c>
      <c r="T1056" s="22">
        <v>8.17</v>
      </c>
      <c r="U1056" s="22">
        <v>0.38</v>
      </c>
      <c r="X1056" s="26"/>
      <c r="Y1056" s="26"/>
    </row>
    <row r="1057" spans="1:25" ht="37.5" x14ac:dyDescent="0.25">
      <c r="A1057" s="21">
        <v>1401</v>
      </c>
      <c r="B1057" s="22" t="s">
        <v>15368</v>
      </c>
      <c r="C1057" s="22" t="s">
        <v>12426</v>
      </c>
      <c r="D1057" s="23">
        <v>328548</v>
      </c>
      <c r="E1057" s="24">
        <v>1997</v>
      </c>
      <c r="F1057" s="22" t="s">
        <v>11424</v>
      </c>
      <c r="G1057" s="23" t="s">
        <v>11425</v>
      </c>
      <c r="H1057" s="25" t="s">
        <v>15373</v>
      </c>
      <c r="I1057" s="22" t="s">
        <v>15374</v>
      </c>
      <c r="J1057" s="22" t="s">
        <v>15677</v>
      </c>
      <c r="K1057" s="26">
        <f t="shared" si="16"/>
        <v>1500</v>
      </c>
      <c r="L1057" s="26">
        <v>1500</v>
      </c>
      <c r="O1057" s="22" t="s">
        <v>11426</v>
      </c>
      <c r="P1057" s="22" t="s">
        <v>16853</v>
      </c>
      <c r="Q1057" s="22">
        <v>92715</v>
      </c>
      <c r="R1057" s="22" t="s">
        <v>11427</v>
      </c>
      <c r="S1057" s="22" t="s">
        <v>11423</v>
      </c>
      <c r="T1057" s="22">
        <v>8.17</v>
      </c>
      <c r="U1057" s="22">
        <v>0.38</v>
      </c>
      <c r="X1057" s="26"/>
      <c r="Y1057" s="26"/>
    </row>
    <row r="1058" spans="1:25" ht="37.5" x14ac:dyDescent="0.25">
      <c r="A1058" s="21">
        <v>1402</v>
      </c>
      <c r="B1058" s="22" t="s">
        <v>15368</v>
      </c>
      <c r="C1058" s="22" t="s">
        <v>12426</v>
      </c>
      <c r="D1058" s="23">
        <v>329205</v>
      </c>
      <c r="E1058" s="24">
        <v>1997</v>
      </c>
      <c r="F1058" s="22" t="s">
        <v>11428</v>
      </c>
      <c r="G1058" s="23" t="s">
        <v>11429</v>
      </c>
      <c r="H1058" s="25" t="s">
        <v>15373</v>
      </c>
      <c r="I1058" s="22" t="s">
        <v>15374</v>
      </c>
      <c r="J1058" s="22" t="s">
        <v>15677</v>
      </c>
      <c r="K1058" s="26">
        <f t="shared" si="16"/>
        <v>2000</v>
      </c>
      <c r="L1058" s="26">
        <v>2000</v>
      </c>
      <c r="O1058" s="22" t="s">
        <v>11430</v>
      </c>
      <c r="P1058" s="22" t="s">
        <v>12483</v>
      </c>
      <c r="Q1058" s="22">
        <v>91770</v>
      </c>
      <c r="R1058" s="22" t="s">
        <v>12432</v>
      </c>
      <c r="S1058" s="22" t="s">
        <v>11423</v>
      </c>
      <c r="T1058" s="22">
        <v>8.17</v>
      </c>
      <c r="U1058" s="22">
        <v>0.38</v>
      </c>
      <c r="X1058" s="26"/>
      <c r="Y1058" s="26"/>
    </row>
    <row r="1059" spans="1:25" ht="37.5" x14ac:dyDescent="0.25">
      <c r="A1059" s="21">
        <v>1403</v>
      </c>
      <c r="B1059" s="22" t="s">
        <v>15368</v>
      </c>
      <c r="C1059" s="22" t="s">
        <v>12426</v>
      </c>
      <c r="D1059" s="23">
        <v>333702</v>
      </c>
      <c r="E1059" s="24">
        <v>1997</v>
      </c>
      <c r="F1059" s="22" t="s">
        <v>11431</v>
      </c>
      <c r="G1059" s="23" t="s">
        <v>11432</v>
      </c>
      <c r="H1059" s="25" t="s">
        <v>15373</v>
      </c>
      <c r="I1059" s="22" t="s">
        <v>15374</v>
      </c>
      <c r="J1059" s="22" t="s">
        <v>15677</v>
      </c>
      <c r="K1059" s="26">
        <f t="shared" si="16"/>
        <v>1500</v>
      </c>
      <c r="L1059" s="26">
        <v>1500</v>
      </c>
      <c r="O1059" s="22" t="s">
        <v>11426</v>
      </c>
      <c r="P1059" s="22" t="s">
        <v>16853</v>
      </c>
      <c r="Q1059" s="22">
        <v>92715</v>
      </c>
      <c r="R1059" s="22" t="s">
        <v>11427</v>
      </c>
      <c r="S1059" s="22" t="s">
        <v>11423</v>
      </c>
      <c r="T1059" s="22">
        <v>8.17</v>
      </c>
      <c r="U1059" s="22">
        <v>0.38</v>
      </c>
      <c r="X1059" s="26"/>
      <c r="Y1059" s="26"/>
    </row>
    <row r="1060" spans="1:25" ht="37.5" x14ac:dyDescent="0.25">
      <c r="A1060" s="21">
        <v>1404</v>
      </c>
      <c r="B1060" s="22" t="s">
        <v>15368</v>
      </c>
      <c r="C1060" s="22" t="s">
        <v>12426</v>
      </c>
      <c r="D1060" s="23">
        <v>362632</v>
      </c>
      <c r="E1060" s="24">
        <v>1999</v>
      </c>
      <c r="F1060" s="22" t="s">
        <v>11433</v>
      </c>
      <c r="G1060" s="23" t="s">
        <v>12445</v>
      </c>
      <c r="H1060" s="25" t="s">
        <v>15373</v>
      </c>
      <c r="I1060" s="22" t="s">
        <v>15374</v>
      </c>
      <c r="J1060" s="22" t="s">
        <v>15420</v>
      </c>
      <c r="K1060" s="26">
        <f t="shared" si="16"/>
        <v>1000</v>
      </c>
      <c r="L1060" s="26">
        <v>1000</v>
      </c>
      <c r="O1060" s="22" t="s">
        <v>11434</v>
      </c>
      <c r="P1060" s="22" t="s">
        <v>12483</v>
      </c>
      <c r="Q1060" s="22">
        <v>91770</v>
      </c>
      <c r="R1060" s="22" t="s">
        <v>12432</v>
      </c>
      <c r="S1060" s="22" t="s">
        <v>12433</v>
      </c>
      <c r="T1060" s="22">
        <v>8.17</v>
      </c>
      <c r="U1060" s="22">
        <v>0.38</v>
      </c>
      <c r="X1060" s="26"/>
      <c r="Y1060" s="26"/>
    </row>
    <row r="1061" spans="1:25" ht="37.5" x14ac:dyDescent="0.25">
      <c r="A1061" s="21">
        <v>1405</v>
      </c>
      <c r="B1061" s="22" t="s">
        <v>15368</v>
      </c>
      <c r="C1061" s="22" t="s">
        <v>12426</v>
      </c>
      <c r="D1061" s="23">
        <v>364989</v>
      </c>
      <c r="E1061" s="24">
        <v>2000</v>
      </c>
      <c r="F1061" s="22" t="s">
        <v>11435</v>
      </c>
      <c r="G1061" s="23" t="s">
        <v>11436</v>
      </c>
      <c r="H1061" s="25" t="s">
        <v>15373</v>
      </c>
      <c r="I1061" s="22" t="s">
        <v>15374</v>
      </c>
      <c r="J1061" s="22" t="s">
        <v>15701</v>
      </c>
      <c r="K1061" s="26">
        <f t="shared" si="16"/>
        <v>350</v>
      </c>
      <c r="L1061" s="26">
        <v>350</v>
      </c>
      <c r="O1061" s="22" t="s">
        <v>11437</v>
      </c>
      <c r="P1061" s="22" t="s">
        <v>11438</v>
      </c>
      <c r="Q1061" s="22">
        <v>92258</v>
      </c>
      <c r="R1061" s="22" t="s">
        <v>12432</v>
      </c>
      <c r="S1061" s="22" t="s">
        <v>12433</v>
      </c>
      <c r="T1061" s="22">
        <v>6.9</v>
      </c>
      <c r="U1061" s="22">
        <v>0.4</v>
      </c>
      <c r="X1061" s="26"/>
      <c r="Y1061" s="26"/>
    </row>
    <row r="1062" spans="1:25" ht="25" x14ac:dyDescent="0.25">
      <c r="A1062" s="21">
        <v>1416</v>
      </c>
      <c r="B1062" s="22" t="s">
        <v>15368</v>
      </c>
      <c r="C1062" s="22" t="s">
        <v>11439</v>
      </c>
      <c r="D1062" s="23">
        <v>230090</v>
      </c>
      <c r="E1062" s="24">
        <v>1990</v>
      </c>
      <c r="F1062" s="22" t="s">
        <v>11440</v>
      </c>
      <c r="G1062" s="23" t="s">
        <v>11441</v>
      </c>
      <c r="H1062" s="25" t="s">
        <v>15373</v>
      </c>
      <c r="I1062" s="22" t="s">
        <v>15374</v>
      </c>
      <c r="J1062" s="22" t="s">
        <v>16121</v>
      </c>
      <c r="K1062" s="26">
        <f t="shared" si="16"/>
        <v>593.33333333333326</v>
      </c>
      <c r="N1062" s="26">
        <v>890</v>
      </c>
      <c r="O1062" s="22" t="s">
        <v>11442</v>
      </c>
      <c r="P1062" s="22" t="s">
        <v>13360</v>
      </c>
      <c r="Q1062" s="22">
        <v>91754</v>
      </c>
      <c r="R1062" s="22" t="s">
        <v>11443</v>
      </c>
      <c r="S1062" s="22" t="s">
        <v>11444</v>
      </c>
      <c r="T1062" s="22">
        <v>8.17</v>
      </c>
      <c r="U1062" s="22">
        <v>0.38</v>
      </c>
      <c r="X1062" s="26"/>
      <c r="Y1062" s="26"/>
    </row>
    <row r="1063" spans="1:25" ht="25" x14ac:dyDescent="0.25">
      <c r="A1063" s="21">
        <v>1417</v>
      </c>
      <c r="B1063" s="22" t="s">
        <v>15368</v>
      </c>
      <c r="C1063" s="22" t="s">
        <v>11439</v>
      </c>
      <c r="D1063" s="23">
        <v>230091</v>
      </c>
      <c r="E1063" s="24">
        <v>1990</v>
      </c>
      <c r="F1063" s="22" t="s">
        <v>11445</v>
      </c>
      <c r="G1063" s="23" t="s">
        <v>11446</v>
      </c>
      <c r="H1063" s="25" t="s">
        <v>15373</v>
      </c>
      <c r="I1063" s="22" t="s">
        <v>15374</v>
      </c>
      <c r="J1063" s="22">
        <v>3512</v>
      </c>
      <c r="K1063" s="26">
        <f t="shared" si="16"/>
        <v>1202.6666666666665</v>
      </c>
      <c r="N1063" s="26">
        <v>1804</v>
      </c>
      <c r="O1063" s="22" t="s">
        <v>11442</v>
      </c>
      <c r="P1063" s="22" t="s">
        <v>13360</v>
      </c>
      <c r="Q1063" s="22">
        <v>91754</v>
      </c>
      <c r="R1063" s="22" t="s">
        <v>11443</v>
      </c>
      <c r="S1063" s="22" t="s">
        <v>11444</v>
      </c>
      <c r="T1063" s="22">
        <v>8.17</v>
      </c>
      <c r="U1063" s="22">
        <v>0.38</v>
      </c>
      <c r="X1063" s="26"/>
      <c r="Y1063" s="26"/>
    </row>
    <row r="1064" spans="1:25" ht="37.5" x14ac:dyDescent="0.25">
      <c r="A1064" s="21">
        <v>1418</v>
      </c>
      <c r="B1064" s="22" t="s">
        <v>15368</v>
      </c>
      <c r="C1064" s="22" t="s">
        <v>11439</v>
      </c>
      <c r="D1064" s="23">
        <v>355118</v>
      </c>
      <c r="E1064" s="24">
        <v>1999</v>
      </c>
      <c r="F1064" s="22" t="s">
        <v>11447</v>
      </c>
      <c r="G1064" s="23" t="s">
        <v>11448</v>
      </c>
      <c r="H1064" s="25" t="s">
        <v>15373</v>
      </c>
      <c r="I1064" s="22" t="s">
        <v>15374</v>
      </c>
      <c r="J1064" s="22" t="s">
        <v>15516</v>
      </c>
      <c r="K1064" s="26">
        <f t="shared" si="16"/>
        <v>750</v>
      </c>
      <c r="L1064" s="26">
        <v>750</v>
      </c>
      <c r="O1064" s="22" t="s">
        <v>11449</v>
      </c>
      <c r="P1064" s="22" t="s">
        <v>16390</v>
      </c>
      <c r="Q1064" s="22">
        <v>92373</v>
      </c>
      <c r="R1064" s="22" t="s">
        <v>11450</v>
      </c>
      <c r="S1064" s="22" t="s">
        <v>11451</v>
      </c>
      <c r="T1064" s="22">
        <v>8.17</v>
      </c>
      <c r="U1064" s="22">
        <v>0.38</v>
      </c>
      <c r="X1064" s="26"/>
      <c r="Y1064" s="26"/>
    </row>
    <row r="1065" spans="1:25" ht="25" x14ac:dyDescent="0.25">
      <c r="A1065" s="21">
        <v>1429</v>
      </c>
      <c r="B1065" s="22" t="s">
        <v>15368</v>
      </c>
      <c r="C1065" s="22" t="s">
        <v>11452</v>
      </c>
      <c r="D1065" s="23">
        <v>244662</v>
      </c>
      <c r="E1065" s="24">
        <v>1991</v>
      </c>
      <c r="F1065" s="22" t="s">
        <v>11453</v>
      </c>
      <c r="G1065" s="23" t="s">
        <v>11454</v>
      </c>
      <c r="H1065" s="25" t="s">
        <v>15373</v>
      </c>
      <c r="I1065" s="22" t="s">
        <v>15374</v>
      </c>
      <c r="J1065" s="22" t="s">
        <v>16377</v>
      </c>
      <c r="K1065" s="26">
        <f t="shared" si="16"/>
        <v>391.33333333333331</v>
      </c>
      <c r="N1065" s="26">
        <v>587</v>
      </c>
      <c r="O1065" s="22" t="s">
        <v>11455</v>
      </c>
      <c r="P1065" s="22" t="s">
        <v>14712</v>
      </c>
      <c r="Q1065" s="22">
        <v>91010</v>
      </c>
      <c r="R1065" s="22" t="s">
        <v>11456</v>
      </c>
      <c r="S1065" s="22" t="s">
        <v>11457</v>
      </c>
      <c r="T1065" s="22">
        <v>8.17</v>
      </c>
      <c r="U1065" s="22">
        <v>0.38</v>
      </c>
      <c r="X1065" s="26"/>
      <c r="Y1065" s="26"/>
    </row>
    <row r="1066" spans="1:25" ht="25" x14ac:dyDescent="0.25">
      <c r="A1066" s="21">
        <v>1431</v>
      </c>
      <c r="B1066" s="22" t="s">
        <v>15368</v>
      </c>
      <c r="C1066" s="22" t="s">
        <v>11458</v>
      </c>
      <c r="D1066" s="23">
        <v>376017</v>
      </c>
      <c r="E1066" s="24">
        <v>2000</v>
      </c>
      <c r="F1066" s="22" t="s">
        <v>11459</v>
      </c>
      <c r="G1066" s="23" t="s">
        <v>11460</v>
      </c>
      <c r="H1066" s="25" t="s">
        <v>15373</v>
      </c>
      <c r="I1066" s="22" t="s">
        <v>15374</v>
      </c>
      <c r="J1066" s="22" t="s">
        <v>14709</v>
      </c>
      <c r="K1066" s="26">
        <f t="shared" si="16"/>
        <v>600</v>
      </c>
      <c r="L1066" s="26">
        <v>600</v>
      </c>
      <c r="O1066" s="22" t="s">
        <v>11461</v>
      </c>
      <c r="P1066" s="22" t="s">
        <v>16549</v>
      </c>
      <c r="Q1066" s="22" t="s">
        <v>11462</v>
      </c>
      <c r="R1066" s="22" t="s">
        <v>11463</v>
      </c>
      <c r="S1066" s="22" t="s">
        <v>11464</v>
      </c>
      <c r="T1066" s="22">
        <v>6.9</v>
      </c>
      <c r="U1066" s="22">
        <v>0.4</v>
      </c>
      <c r="X1066" s="26"/>
      <c r="Y1066" s="26"/>
    </row>
    <row r="1067" spans="1:25" ht="25" x14ac:dyDescent="0.25">
      <c r="A1067" s="21">
        <v>1432</v>
      </c>
      <c r="B1067" s="22" t="s">
        <v>15368</v>
      </c>
      <c r="C1067" s="22" t="s">
        <v>11465</v>
      </c>
      <c r="D1067" s="23">
        <v>349929</v>
      </c>
      <c r="E1067" s="24">
        <v>1999</v>
      </c>
      <c r="F1067" s="22" t="s">
        <v>11466</v>
      </c>
      <c r="G1067" s="23" t="s">
        <v>11467</v>
      </c>
      <c r="H1067" s="25" t="s">
        <v>15373</v>
      </c>
      <c r="I1067" s="22" t="s">
        <v>15382</v>
      </c>
      <c r="J1067" s="22" t="s">
        <v>16569</v>
      </c>
      <c r="K1067" s="26">
        <f t="shared" si="16"/>
        <v>403.33333333333331</v>
      </c>
      <c r="N1067" s="26">
        <v>605</v>
      </c>
      <c r="O1067" s="22" t="s">
        <v>11468</v>
      </c>
      <c r="P1067" s="22" t="s">
        <v>16220</v>
      </c>
      <c r="Q1067" s="22">
        <v>92656</v>
      </c>
      <c r="R1067" s="22" t="s">
        <v>11469</v>
      </c>
      <c r="S1067" s="22" t="s">
        <v>11470</v>
      </c>
      <c r="T1067" s="22">
        <v>6.9</v>
      </c>
      <c r="U1067" s="22">
        <v>0.4</v>
      </c>
      <c r="X1067" s="26"/>
      <c r="Y1067" s="26"/>
    </row>
    <row r="1068" spans="1:25" ht="37.5" x14ac:dyDescent="0.25">
      <c r="A1068" s="21">
        <v>1433</v>
      </c>
      <c r="B1068" s="22" t="s">
        <v>15368</v>
      </c>
      <c r="C1068" s="22" t="s">
        <v>11471</v>
      </c>
      <c r="D1068" s="23">
        <v>329623</v>
      </c>
      <c r="E1068" s="24">
        <v>1997</v>
      </c>
      <c r="F1068" s="22" t="s">
        <v>11472</v>
      </c>
      <c r="G1068" s="23" t="s">
        <v>11473</v>
      </c>
      <c r="H1068" s="25" t="s">
        <v>15373</v>
      </c>
      <c r="I1068" s="22" t="s">
        <v>15382</v>
      </c>
      <c r="J1068" s="22" t="s">
        <v>16569</v>
      </c>
      <c r="K1068" s="26">
        <f t="shared" si="16"/>
        <v>403.33333333333331</v>
      </c>
      <c r="N1068" s="26">
        <v>605</v>
      </c>
      <c r="O1068" s="22" t="s">
        <v>11474</v>
      </c>
      <c r="P1068" s="22" t="s">
        <v>13211</v>
      </c>
      <c r="Q1068" s="22">
        <v>90745</v>
      </c>
      <c r="R1068" s="22" t="s">
        <v>11475</v>
      </c>
      <c r="S1068" s="22" t="s">
        <v>11476</v>
      </c>
      <c r="T1068" s="22">
        <v>6.9</v>
      </c>
      <c r="U1068" s="22">
        <v>0.4</v>
      </c>
      <c r="X1068" s="26"/>
      <c r="Y1068" s="26"/>
    </row>
    <row r="1069" spans="1:25" ht="37.5" x14ac:dyDescent="0.25">
      <c r="A1069" s="21">
        <v>1434</v>
      </c>
      <c r="B1069" s="22" t="s">
        <v>15368</v>
      </c>
      <c r="C1069" s="22" t="s">
        <v>11477</v>
      </c>
      <c r="D1069" s="23">
        <v>292426</v>
      </c>
      <c r="E1069" s="24">
        <v>1994</v>
      </c>
      <c r="F1069" s="22" t="s">
        <v>11478</v>
      </c>
      <c r="G1069" s="23" t="s">
        <v>11479</v>
      </c>
      <c r="H1069" s="25" t="s">
        <v>15373</v>
      </c>
      <c r="I1069" s="22" t="s">
        <v>15382</v>
      </c>
      <c r="J1069" s="22" t="s">
        <v>11480</v>
      </c>
      <c r="K1069" s="26">
        <f t="shared" si="16"/>
        <v>993.33333333333326</v>
      </c>
      <c r="N1069" s="26">
        <v>1490</v>
      </c>
      <c r="O1069" s="22" t="s">
        <v>11481</v>
      </c>
      <c r="P1069" s="22" t="s">
        <v>15629</v>
      </c>
      <c r="Q1069" s="22" t="s">
        <v>11482</v>
      </c>
      <c r="R1069" s="22" t="s">
        <v>15638</v>
      </c>
      <c r="S1069" s="22" t="s">
        <v>15639</v>
      </c>
      <c r="T1069" s="22">
        <v>8.17</v>
      </c>
      <c r="U1069" s="22">
        <v>0.38</v>
      </c>
      <c r="X1069" s="26"/>
      <c r="Y1069" s="26"/>
    </row>
    <row r="1070" spans="1:25" ht="25" x14ac:dyDescent="0.25">
      <c r="A1070" s="21">
        <v>1435</v>
      </c>
      <c r="B1070" s="22" t="s">
        <v>15368</v>
      </c>
      <c r="C1070" s="22" t="s">
        <v>11477</v>
      </c>
      <c r="D1070" s="23">
        <v>349677</v>
      </c>
      <c r="E1070" s="24">
        <v>1999</v>
      </c>
      <c r="F1070" s="22" t="s">
        <v>11483</v>
      </c>
      <c r="G1070" s="23" t="s">
        <v>11484</v>
      </c>
      <c r="H1070" s="25" t="s">
        <v>15373</v>
      </c>
      <c r="I1070" s="22" t="s">
        <v>15709</v>
      </c>
      <c r="J1070" s="22" t="s">
        <v>15636</v>
      </c>
      <c r="K1070" s="26">
        <f t="shared" si="16"/>
        <v>588.66666666666663</v>
      </c>
      <c r="N1070" s="26">
        <v>883</v>
      </c>
      <c r="O1070" s="22" t="s">
        <v>11485</v>
      </c>
      <c r="P1070" s="22" t="s">
        <v>15629</v>
      </c>
      <c r="Q1070" s="22">
        <v>90230</v>
      </c>
      <c r="R1070" s="22" t="s">
        <v>15638</v>
      </c>
      <c r="S1070" s="22" t="s">
        <v>11486</v>
      </c>
      <c r="T1070" s="22">
        <v>8.17</v>
      </c>
      <c r="U1070" s="22">
        <v>0.38</v>
      </c>
      <c r="X1070" s="26"/>
      <c r="Y1070" s="26"/>
    </row>
    <row r="1071" spans="1:25" ht="37.5" x14ac:dyDescent="0.25">
      <c r="A1071" s="21">
        <v>1436</v>
      </c>
      <c r="B1071" s="22" t="s">
        <v>15368</v>
      </c>
      <c r="C1071" s="22" t="s">
        <v>11487</v>
      </c>
      <c r="D1071" s="23">
        <v>340363</v>
      </c>
      <c r="E1071" s="24">
        <v>1998</v>
      </c>
      <c r="F1071" s="22" t="s">
        <v>11488</v>
      </c>
      <c r="G1071" s="23" t="s">
        <v>11489</v>
      </c>
      <c r="H1071" s="25" t="s">
        <v>15373</v>
      </c>
      <c r="I1071" s="22" t="s">
        <v>15709</v>
      </c>
      <c r="J1071" s="22" t="s">
        <v>15636</v>
      </c>
      <c r="K1071" s="26">
        <f t="shared" si="16"/>
        <v>588.66666666666663</v>
      </c>
      <c r="N1071" s="26">
        <v>883</v>
      </c>
      <c r="O1071" s="22" t="s">
        <v>11490</v>
      </c>
      <c r="P1071" s="22" t="s">
        <v>15629</v>
      </c>
      <c r="Q1071" s="22" t="s">
        <v>11482</v>
      </c>
      <c r="R1071" s="22" t="s">
        <v>11491</v>
      </c>
      <c r="S1071" s="22" t="s">
        <v>11486</v>
      </c>
      <c r="T1071" s="22">
        <v>8.17</v>
      </c>
      <c r="U1071" s="22">
        <v>0.38</v>
      </c>
      <c r="X1071" s="26"/>
      <c r="Y1071" s="26"/>
    </row>
    <row r="1072" spans="1:25" ht="37.5" x14ac:dyDescent="0.25">
      <c r="A1072" s="21">
        <v>1437</v>
      </c>
      <c r="B1072" s="22" t="s">
        <v>15368</v>
      </c>
      <c r="C1072" s="22" t="s">
        <v>11487</v>
      </c>
      <c r="D1072" s="23">
        <v>380491</v>
      </c>
      <c r="E1072" s="24">
        <v>2001</v>
      </c>
      <c r="F1072" s="22" t="s">
        <v>11492</v>
      </c>
      <c r="G1072" s="23" t="s">
        <v>11493</v>
      </c>
      <c r="H1072" s="25" t="s">
        <v>15373</v>
      </c>
      <c r="I1072" s="22" t="s">
        <v>15382</v>
      </c>
      <c r="J1072" s="22" t="s">
        <v>16925</v>
      </c>
      <c r="K1072" s="26">
        <f t="shared" si="16"/>
        <v>1466.6666666666665</v>
      </c>
      <c r="N1072" s="26">
        <v>2200</v>
      </c>
      <c r="O1072" s="22" t="s">
        <v>11490</v>
      </c>
      <c r="P1072" s="22" t="s">
        <v>15629</v>
      </c>
      <c r="Q1072" s="22" t="s">
        <v>11482</v>
      </c>
      <c r="R1072" s="22" t="s">
        <v>11491</v>
      </c>
      <c r="S1072" s="22" t="s">
        <v>11486</v>
      </c>
      <c r="T1072" s="22">
        <v>6.9</v>
      </c>
      <c r="U1072" s="22">
        <v>0.4</v>
      </c>
      <c r="X1072" s="26"/>
      <c r="Y1072" s="26"/>
    </row>
    <row r="1073" spans="1:25" ht="25" x14ac:dyDescent="0.25">
      <c r="A1073" s="21">
        <v>1438</v>
      </c>
      <c r="B1073" s="22" t="s">
        <v>15368</v>
      </c>
      <c r="C1073" s="22" t="s">
        <v>11494</v>
      </c>
      <c r="D1073" s="23">
        <v>123691</v>
      </c>
      <c r="E1073" s="24">
        <v>1984</v>
      </c>
      <c r="F1073" s="22" t="s">
        <v>11495</v>
      </c>
      <c r="G1073" s="23" t="s">
        <v>11496</v>
      </c>
      <c r="H1073" s="25" t="s">
        <v>15373</v>
      </c>
      <c r="I1073" s="22" t="s">
        <v>15374</v>
      </c>
      <c r="J1073" s="22">
        <v>3508</v>
      </c>
      <c r="K1073" s="26">
        <f t="shared" si="16"/>
        <v>765</v>
      </c>
      <c r="L1073" s="26">
        <v>765</v>
      </c>
      <c r="O1073" s="22" t="s">
        <v>11497</v>
      </c>
      <c r="P1073" s="22" t="s">
        <v>14036</v>
      </c>
      <c r="Q1073" s="22">
        <v>90280</v>
      </c>
      <c r="R1073" s="22" t="s">
        <v>11498</v>
      </c>
      <c r="S1073" s="22" t="s">
        <v>15966</v>
      </c>
      <c r="T1073" s="22">
        <v>11</v>
      </c>
      <c r="U1073" s="22">
        <v>0.53</v>
      </c>
      <c r="X1073" s="26"/>
      <c r="Y1073" s="26"/>
    </row>
    <row r="1074" spans="1:25" ht="37.5" x14ac:dyDescent="0.25">
      <c r="A1074" s="21">
        <v>1439</v>
      </c>
      <c r="B1074" s="22" t="s">
        <v>15368</v>
      </c>
      <c r="C1074" s="22" t="s">
        <v>11494</v>
      </c>
      <c r="D1074" s="23">
        <v>285107</v>
      </c>
      <c r="E1074" s="24">
        <v>1993</v>
      </c>
      <c r="F1074" s="22" t="s">
        <v>11499</v>
      </c>
      <c r="G1074" s="23" t="s">
        <v>11500</v>
      </c>
      <c r="H1074" s="25" t="s">
        <v>15373</v>
      </c>
      <c r="I1074" s="22" t="s">
        <v>15382</v>
      </c>
      <c r="J1074" s="22" t="s">
        <v>11501</v>
      </c>
      <c r="K1074" s="26">
        <f t="shared" si="16"/>
        <v>800</v>
      </c>
      <c r="N1074" s="26">
        <v>1200</v>
      </c>
      <c r="O1074" s="22" t="s">
        <v>11502</v>
      </c>
      <c r="P1074" s="22" t="s">
        <v>14036</v>
      </c>
      <c r="Q1074" s="22">
        <v>90280</v>
      </c>
      <c r="R1074" s="22" t="s">
        <v>11503</v>
      </c>
      <c r="S1074" s="22" t="s">
        <v>11504</v>
      </c>
      <c r="T1074" s="22">
        <v>8.17</v>
      </c>
      <c r="U1074" s="22">
        <v>0.38</v>
      </c>
      <c r="X1074" s="26"/>
      <c r="Y1074" s="26"/>
    </row>
    <row r="1075" spans="1:25" ht="37.5" x14ac:dyDescent="0.25">
      <c r="A1075" s="21">
        <v>1440</v>
      </c>
      <c r="B1075" s="22" t="s">
        <v>15368</v>
      </c>
      <c r="C1075" s="22" t="s">
        <v>11505</v>
      </c>
      <c r="D1075" s="23">
        <v>214263</v>
      </c>
      <c r="E1075" s="24">
        <v>1989</v>
      </c>
      <c r="F1075" s="22" t="s">
        <v>11506</v>
      </c>
      <c r="G1075" s="23" t="s">
        <v>11507</v>
      </c>
      <c r="H1075" s="25" t="s">
        <v>15373</v>
      </c>
      <c r="I1075" s="22" t="s">
        <v>15374</v>
      </c>
      <c r="J1075" s="22">
        <v>3412</v>
      </c>
      <c r="K1075" s="26">
        <f t="shared" si="16"/>
        <v>338</v>
      </c>
      <c r="N1075" s="26">
        <v>507</v>
      </c>
      <c r="O1075" s="22" t="s">
        <v>11508</v>
      </c>
      <c r="P1075" s="22" t="s">
        <v>15376</v>
      </c>
      <c r="Q1075" s="22">
        <v>90017</v>
      </c>
      <c r="R1075" s="22" t="s">
        <v>11509</v>
      </c>
      <c r="S1075" s="22" t="s">
        <v>11510</v>
      </c>
      <c r="T1075" s="22">
        <v>8.17</v>
      </c>
      <c r="U1075" s="22">
        <v>0.38</v>
      </c>
      <c r="X1075" s="26"/>
      <c r="Y1075" s="26"/>
    </row>
    <row r="1076" spans="1:25" ht="37.5" x14ac:dyDescent="0.25">
      <c r="A1076" s="21">
        <v>1441</v>
      </c>
      <c r="B1076" s="22" t="s">
        <v>15368</v>
      </c>
      <c r="C1076" s="22" t="s">
        <v>11511</v>
      </c>
      <c r="D1076" s="23">
        <v>258550</v>
      </c>
      <c r="E1076" s="24">
        <v>1991</v>
      </c>
      <c r="F1076" s="22" t="s">
        <v>11512</v>
      </c>
      <c r="G1076" s="23" t="s">
        <v>11513</v>
      </c>
      <c r="H1076" s="25" t="s">
        <v>16310</v>
      </c>
      <c r="I1076" s="22" t="s">
        <v>15374</v>
      </c>
      <c r="J1076" s="22" t="s">
        <v>13698</v>
      </c>
      <c r="K1076" s="26">
        <f t="shared" si="16"/>
        <v>400</v>
      </c>
      <c r="N1076" s="26">
        <v>600</v>
      </c>
      <c r="O1076" s="22" t="s">
        <v>11514</v>
      </c>
      <c r="P1076" s="22" t="s">
        <v>11515</v>
      </c>
      <c r="Q1076" s="22">
        <v>92629</v>
      </c>
      <c r="R1076" s="22" t="s">
        <v>11516</v>
      </c>
      <c r="S1076" s="22" t="s">
        <v>11517</v>
      </c>
      <c r="X1076" s="26"/>
      <c r="Y1076" s="26"/>
    </row>
    <row r="1077" spans="1:25" ht="25" x14ac:dyDescent="0.25">
      <c r="A1077" s="21">
        <v>1442</v>
      </c>
      <c r="B1077" s="22" t="s">
        <v>15368</v>
      </c>
      <c r="C1077" s="22" t="s">
        <v>11518</v>
      </c>
      <c r="D1077" s="23">
        <v>294053</v>
      </c>
      <c r="E1077" s="24">
        <v>1994</v>
      </c>
      <c r="F1077" s="22" t="s">
        <v>11519</v>
      </c>
      <c r="G1077" s="23" t="s">
        <v>11520</v>
      </c>
      <c r="H1077" s="25" t="s">
        <v>15373</v>
      </c>
      <c r="I1077" s="22" t="s">
        <v>15374</v>
      </c>
      <c r="J1077" s="22">
        <v>3412</v>
      </c>
      <c r="K1077" s="26">
        <f t="shared" si="16"/>
        <v>503.33333333333331</v>
      </c>
      <c r="N1077" s="26">
        <v>755</v>
      </c>
      <c r="O1077" s="22" t="s">
        <v>11521</v>
      </c>
      <c r="P1077" s="22" t="s">
        <v>14355</v>
      </c>
      <c r="Q1077" s="22">
        <v>90731</v>
      </c>
      <c r="R1077" s="22" t="s">
        <v>13899</v>
      </c>
      <c r="S1077" s="22" t="s">
        <v>13900</v>
      </c>
      <c r="T1077" s="22">
        <v>8.17</v>
      </c>
      <c r="U1077" s="22">
        <v>0.38</v>
      </c>
      <c r="X1077" s="26"/>
      <c r="Y1077" s="26"/>
    </row>
    <row r="1078" spans="1:25" ht="50" x14ac:dyDescent="0.25">
      <c r="A1078" s="21">
        <v>1445</v>
      </c>
      <c r="B1078" s="22" t="s">
        <v>15368</v>
      </c>
      <c r="C1078" s="22" t="s">
        <v>11523</v>
      </c>
      <c r="D1078" s="23">
        <v>351916</v>
      </c>
      <c r="E1078" s="24">
        <v>1999</v>
      </c>
      <c r="F1078" s="22" t="s">
        <v>11524</v>
      </c>
      <c r="G1078" s="23" t="s">
        <v>11833</v>
      </c>
      <c r="H1078" s="25" t="s">
        <v>15373</v>
      </c>
      <c r="I1078" s="22" t="s">
        <v>15382</v>
      </c>
      <c r="J1078" s="22" t="s">
        <v>15723</v>
      </c>
      <c r="K1078" s="26">
        <f t="shared" si="16"/>
        <v>1233.3333333333333</v>
      </c>
      <c r="N1078" s="26">
        <v>1850</v>
      </c>
      <c r="O1078" s="22" t="s">
        <v>11525</v>
      </c>
      <c r="P1078" s="22" t="s">
        <v>15422</v>
      </c>
      <c r="Q1078" s="22">
        <v>91502</v>
      </c>
      <c r="R1078" s="22" t="s">
        <v>11526</v>
      </c>
      <c r="S1078" s="22" t="s">
        <v>11527</v>
      </c>
      <c r="T1078" s="22">
        <v>8.17</v>
      </c>
      <c r="U1078" s="22">
        <v>0.38</v>
      </c>
      <c r="X1078" s="26"/>
      <c r="Y1078" s="26"/>
    </row>
    <row r="1079" spans="1:25" ht="37.5" x14ac:dyDescent="0.25">
      <c r="A1079" s="21">
        <v>1447</v>
      </c>
      <c r="B1079" s="22" t="s">
        <v>15368</v>
      </c>
      <c r="C1079" s="22" t="s">
        <v>11528</v>
      </c>
      <c r="D1079" s="23">
        <v>263756</v>
      </c>
      <c r="E1079" s="24">
        <v>1992</v>
      </c>
      <c r="F1079" s="22" t="s">
        <v>11529</v>
      </c>
      <c r="G1079" s="23" t="s">
        <v>11530</v>
      </c>
      <c r="H1079" s="25" t="s">
        <v>15373</v>
      </c>
      <c r="I1079" s="22" t="s">
        <v>15374</v>
      </c>
      <c r="J1079" s="22" t="s">
        <v>13123</v>
      </c>
      <c r="K1079" s="26">
        <f t="shared" si="16"/>
        <v>1900</v>
      </c>
      <c r="M1079" s="26">
        <v>2850</v>
      </c>
      <c r="O1079" s="22" t="s">
        <v>11531</v>
      </c>
      <c r="P1079" s="22" t="s">
        <v>11532</v>
      </c>
      <c r="Q1079" s="22">
        <v>91760</v>
      </c>
      <c r="R1079" s="22" t="s">
        <v>11533</v>
      </c>
      <c r="S1079" s="22" t="s">
        <v>11534</v>
      </c>
      <c r="T1079" s="22">
        <v>8.17</v>
      </c>
      <c r="U1079" s="22">
        <v>0.38</v>
      </c>
      <c r="X1079" s="26"/>
      <c r="Y1079" s="26"/>
    </row>
    <row r="1080" spans="1:25" ht="37.5" x14ac:dyDescent="0.25">
      <c r="A1080" s="21">
        <v>1448</v>
      </c>
      <c r="B1080" s="22" t="s">
        <v>15368</v>
      </c>
      <c r="C1080" s="22" t="s">
        <v>11535</v>
      </c>
      <c r="D1080" s="23">
        <v>211467</v>
      </c>
      <c r="E1080" s="24">
        <v>1989</v>
      </c>
      <c r="F1080" s="22" t="s">
        <v>11536</v>
      </c>
      <c r="G1080" s="23" t="s">
        <v>11537</v>
      </c>
      <c r="H1080" s="25" t="s">
        <v>15373</v>
      </c>
      <c r="I1080" s="22" t="s">
        <v>15374</v>
      </c>
      <c r="J1080" s="22">
        <v>3412</v>
      </c>
      <c r="K1080" s="26">
        <f t="shared" si="16"/>
        <v>499.33333333333331</v>
      </c>
      <c r="N1080" s="26">
        <v>749</v>
      </c>
      <c r="O1080" s="22" t="s">
        <v>11538</v>
      </c>
      <c r="P1080" s="22" t="s">
        <v>14376</v>
      </c>
      <c r="Q1080" s="22">
        <v>90404</v>
      </c>
      <c r="R1080" s="22" t="s">
        <v>11539</v>
      </c>
      <c r="S1080" s="22" t="s">
        <v>11540</v>
      </c>
      <c r="T1080" s="22">
        <v>8.17</v>
      </c>
      <c r="U1080" s="22">
        <v>0.38</v>
      </c>
      <c r="X1080" s="26"/>
      <c r="Y1080" s="26"/>
    </row>
    <row r="1081" spans="1:25" ht="37.5" x14ac:dyDescent="0.25">
      <c r="A1081" s="21">
        <v>1449</v>
      </c>
      <c r="B1081" s="22" t="s">
        <v>15368</v>
      </c>
      <c r="C1081" s="22" t="s">
        <v>11541</v>
      </c>
      <c r="D1081" s="23">
        <v>227951</v>
      </c>
      <c r="E1081" s="24">
        <v>1990</v>
      </c>
      <c r="F1081" s="22" t="s">
        <v>11542</v>
      </c>
      <c r="G1081" s="23" t="s">
        <v>11543</v>
      </c>
      <c r="H1081" s="25" t="s">
        <v>15373</v>
      </c>
      <c r="I1081" s="22" t="s">
        <v>15374</v>
      </c>
      <c r="J1081" s="22">
        <v>3508</v>
      </c>
      <c r="K1081" s="26">
        <f t="shared" si="16"/>
        <v>738.66666666666663</v>
      </c>
      <c r="N1081" s="26">
        <v>1108</v>
      </c>
      <c r="O1081" s="22" t="s">
        <v>11544</v>
      </c>
      <c r="P1081" s="22" t="s">
        <v>16295</v>
      </c>
      <c r="Q1081" s="22">
        <v>92635</v>
      </c>
      <c r="R1081" s="22" t="s">
        <v>11545</v>
      </c>
      <c r="S1081" s="22" t="s">
        <v>11546</v>
      </c>
      <c r="T1081" s="22">
        <v>8.17</v>
      </c>
      <c r="U1081" s="22">
        <v>0.38</v>
      </c>
      <c r="X1081" s="26"/>
      <c r="Y1081" s="26"/>
    </row>
    <row r="1082" spans="1:25" ht="37.5" x14ac:dyDescent="0.25">
      <c r="A1082" s="21">
        <v>1450</v>
      </c>
      <c r="B1082" s="22" t="s">
        <v>15368</v>
      </c>
      <c r="C1082" s="22" t="s">
        <v>11541</v>
      </c>
      <c r="D1082" s="23">
        <v>237874</v>
      </c>
      <c r="E1082" s="24">
        <v>1990</v>
      </c>
      <c r="F1082" s="22" t="s">
        <v>11547</v>
      </c>
      <c r="G1082" s="23" t="s">
        <v>11548</v>
      </c>
      <c r="H1082" s="25" t="s">
        <v>15373</v>
      </c>
      <c r="I1082" s="22" t="s">
        <v>15374</v>
      </c>
      <c r="J1082" s="22">
        <v>3508</v>
      </c>
      <c r="K1082" s="26">
        <f t="shared" si="16"/>
        <v>738.66666666666663</v>
      </c>
      <c r="N1082" s="26">
        <v>1108</v>
      </c>
      <c r="O1082" s="22" t="s">
        <v>11544</v>
      </c>
      <c r="P1082" s="22" t="s">
        <v>16295</v>
      </c>
      <c r="Q1082" s="22">
        <v>92635</v>
      </c>
      <c r="R1082" s="22" t="s">
        <v>11545</v>
      </c>
      <c r="S1082" s="22" t="s">
        <v>11546</v>
      </c>
      <c r="T1082" s="22">
        <v>8.17</v>
      </c>
      <c r="U1082" s="22">
        <v>0.38</v>
      </c>
      <c r="X1082" s="26"/>
      <c r="Y1082" s="26"/>
    </row>
    <row r="1083" spans="1:25" ht="37.5" x14ac:dyDescent="0.25">
      <c r="A1083" s="21">
        <v>1451</v>
      </c>
      <c r="B1083" s="22" t="s">
        <v>15368</v>
      </c>
      <c r="C1083" s="22" t="s">
        <v>11541</v>
      </c>
      <c r="D1083" s="23">
        <v>360223</v>
      </c>
      <c r="E1083" s="24">
        <v>1999</v>
      </c>
      <c r="F1083" s="22" t="s">
        <v>11549</v>
      </c>
      <c r="G1083" s="23" t="s">
        <v>11550</v>
      </c>
      <c r="H1083" s="25" t="s">
        <v>15373</v>
      </c>
      <c r="I1083" s="22" t="s">
        <v>15374</v>
      </c>
      <c r="J1083" s="22" t="s">
        <v>15918</v>
      </c>
      <c r="K1083" s="26">
        <f t="shared" si="16"/>
        <v>750</v>
      </c>
      <c r="L1083" s="26">
        <v>750</v>
      </c>
      <c r="O1083" s="22" t="s">
        <v>11544</v>
      </c>
      <c r="P1083" s="22" t="s">
        <v>16295</v>
      </c>
      <c r="Q1083" s="22">
        <v>92635</v>
      </c>
      <c r="R1083" s="22" t="s">
        <v>11545</v>
      </c>
      <c r="S1083" s="22" t="s">
        <v>11546</v>
      </c>
      <c r="T1083" s="22">
        <v>8.17</v>
      </c>
      <c r="U1083" s="22">
        <v>0.38</v>
      </c>
      <c r="X1083" s="26"/>
      <c r="Y1083" s="26"/>
    </row>
    <row r="1084" spans="1:25" ht="37.5" x14ac:dyDescent="0.25">
      <c r="A1084" s="21">
        <v>1453</v>
      </c>
      <c r="B1084" s="22" t="s">
        <v>15368</v>
      </c>
      <c r="C1084" s="22" t="s">
        <v>11551</v>
      </c>
      <c r="D1084" s="23">
        <v>324167</v>
      </c>
      <c r="E1084" s="24">
        <v>1997</v>
      </c>
      <c r="F1084" s="22" t="s">
        <v>11552</v>
      </c>
      <c r="G1084" s="23" t="s">
        <v>11553</v>
      </c>
      <c r="H1084" s="25" t="s">
        <v>15373</v>
      </c>
      <c r="I1084" s="22" t="s">
        <v>15374</v>
      </c>
      <c r="J1084" s="22" t="s">
        <v>15701</v>
      </c>
      <c r="K1084" s="26">
        <f t="shared" si="16"/>
        <v>400</v>
      </c>
      <c r="L1084" s="26">
        <v>400</v>
      </c>
      <c r="O1084" s="22" t="s">
        <v>11554</v>
      </c>
      <c r="P1084" s="22" t="s">
        <v>15376</v>
      </c>
      <c r="Q1084" s="22">
        <v>90057</v>
      </c>
      <c r="R1084" s="22" t="s">
        <v>11555</v>
      </c>
      <c r="S1084" s="22" t="s">
        <v>11556</v>
      </c>
      <c r="T1084" s="22">
        <v>6.9</v>
      </c>
      <c r="U1084" s="22">
        <v>0.4</v>
      </c>
      <c r="X1084" s="26"/>
      <c r="Y1084" s="26"/>
    </row>
    <row r="1085" spans="1:25" ht="50" x14ac:dyDescent="0.25">
      <c r="A1085" s="21">
        <v>1454</v>
      </c>
      <c r="B1085" s="22" t="s">
        <v>15368</v>
      </c>
      <c r="C1085" s="22" t="s">
        <v>11557</v>
      </c>
      <c r="D1085" s="23">
        <v>137296</v>
      </c>
      <c r="E1085" s="24">
        <v>1985</v>
      </c>
      <c r="F1085" s="22" t="s">
        <v>11558</v>
      </c>
      <c r="G1085" s="23" t="s">
        <v>11559</v>
      </c>
      <c r="H1085" s="25" t="s">
        <v>15373</v>
      </c>
      <c r="I1085" s="22" t="s">
        <v>15411</v>
      </c>
      <c r="J1085" s="22" t="s">
        <v>11560</v>
      </c>
      <c r="K1085" s="26">
        <f t="shared" si="16"/>
        <v>500</v>
      </c>
      <c r="L1085" s="26">
        <v>500</v>
      </c>
      <c r="O1085" s="22" t="s">
        <v>11561</v>
      </c>
      <c r="P1085" s="22" t="s">
        <v>16490</v>
      </c>
      <c r="Q1085" s="22" t="s">
        <v>11562</v>
      </c>
      <c r="R1085" s="22" t="s">
        <v>11563</v>
      </c>
      <c r="S1085" s="22" t="s">
        <v>11564</v>
      </c>
      <c r="T1085" s="22">
        <v>11</v>
      </c>
      <c r="U1085" s="22">
        <v>0.53</v>
      </c>
      <c r="X1085" s="26"/>
      <c r="Y1085" s="26"/>
    </row>
    <row r="1086" spans="1:25" ht="37.5" x14ac:dyDescent="0.25">
      <c r="A1086" s="21">
        <v>1455</v>
      </c>
      <c r="B1086" s="22" t="s">
        <v>15368</v>
      </c>
      <c r="C1086" s="22" t="s">
        <v>11557</v>
      </c>
      <c r="D1086" s="23">
        <v>333723</v>
      </c>
      <c r="E1086" s="24">
        <v>1997</v>
      </c>
      <c r="F1086" s="22" t="s">
        <v>11565</v>
      </c>
      <c r="G1086" s="23" t="s">
        <v>11566</v>
      </c>
      <c r="H1086" s="25" t="s">
        <v>15373</v>
      </c>
      <c r="I1086" s="22" t="s">
        <v>15411</v>
      </c>
      <c r="J1086" s="22" t="s">
        <v>15744</v>
      </c>
      <c r="K1086" s="26">
        <f t="shared" si="16"/>
        <v>821.33333333333326</v>
      </c>
      <c r="N1086" s="26">
        <v>1232</v>
      </c>
      <c r="O1086" s="22" t="s">
        <v>11561</v>
      </c>
      <c r="P1086" s="22" t="s">
        <v>16490</v>
      </c>
      <c r="Q1086" s="22" t="s">
        <v>11562</v>
      </c>
      <c r="R1086" s="22" t="s">
        <v>11563</v>
      </c>
      <c r="S1086" s="22" t="s">
        <v>11564</v>
      </c>
      <c r="T1086" s="22">
        <v>8.17</v>
      </c>
      <c r="U1086" s="22">
        <v>0.38</v>
      </c>
      <c r="X1086" s="26"/>
      <c r="Y1086" s="26"/>
    </row>
    <row r="1087" spans="1:25" ht="37.5" x14ac:dyDescent="0.25">
      <c r="A1087" s="21">
        <v>1456</v>
      </c>
      <c r="B1087" s="22" t="s">
        <v>15368</v>
      </c>
      <c r="C1087" s="22" t="s">
        <v>11557</v>
      </c>
      <c r="D1087" s="23">
        <v>333724</v>
      </c>
      <c r="E1087" s="24">
        <v>1997</v>
      </c>
      <c r="F1087" s="22" t="s">
        <v>11567</v>
      </c>
      <c r="G1087" s="23" t="s">
        <v>11568</v>
      </c>
      <c r="H1087" s="25" t="s">
        <v>15373</v>
      </c>
      <c r="I1087" s="22" t="s">
        <v>15411</v>
      </c>
      <c r="J1087" s="22" t="s">
        <v>15744</v>
      </c>
      <c r="K1087" s="26">
        <f t="shared" si="16"/>
        <v>821.33333333333326</v>
      </c>
      <c r="N1087" s="26">
        <v>1232</v>
      </c>
      <c r="O1087" s="22" t="s">
        <v>11561</v>
      </c>
      <c r="P1087" s="22" t="s">
        <v>16490</v>
      </c>
      <c r="Q1087" s="22" t="s">
        <v>11562</v>
      </c>
      <c r="R1087" s="22" t="s">
        <v>11563</v>
      </c>
      <c r="S1087" s="22" t="s">
        <v>11564</v>
      </c>
      <c r="T1087" s="22">
        <v>8.17</v>
      </c>
      <c r="U1087" s="22">
        <v>0.38</v>
      </c>
      <c r="X1087" s="26"/>
      <c r="Y1087" s="26"/>
    </row>
    <row r="1088" spans="1:25" ht="37.5" x14ac:dyDescent="0.25">
      <c r="A1088" s="21">
        <v>1458</v>
      </c>
      <c r="B1088" s="22" t="s">
        <v>15368</v>
      </c>
      <c r="C1088" s="22" t="s">
        <v>11569</v>
      </c>
      <c r="D1088" s="23">
        <v>246001</v>
      </c>
      <c r="E1088" s="24">
        <v>1991</v>
      </c>
      <c r="F1088" s="22" t="s">
        <v>11574</v>
      </c>
      <c r="G1088" s="23" t="s">
        <v>11575</v>
      </c>
      <c r="H1088" s="25" t="s">
        <v>15373</v>
      </c>
      <c r="I1088" s="22" t="s">
        <v>15411</v>
      </c>
      <c r="J1088" s="22" t="s">
        <v>13484</v>
      </c>
      <c r="K1088" s="26">
        <f t="shared" si="16"/>
        <v>1560</v>
      </c>
      <c r="N1088" s="26">
        <v>2340</v>
      </c>
      <c r="O1088" s="22" t="s">
        <v>11570</v>
      </c>
      <c r="P1088" s="22" t="s">
        <v>11571</v>
      </c>
      <c r="Q1088" s="22">
        <v>90262</v>
      </c>
      <c r="R1088" s="22" t="s">
        <v>11572</v>
      </c>
      <c r="S1088" s="22" t="s">
        <v>11573</v>
      </c>
      <c r="T1088" s="22">
        <v>8.17</v>
      </c>
      <c r="U1088" s="22">
        <v>0.38</v>
      </c>
      <c r="X1088" s="26"/>
      <c r="Y1088" s="26"/>
    </row>
    <row r="1089" spans="1:25" ht="37.5" x14ac:dyDescent="0.25">
      <c r="A1089" s="21">
        <v>1459</v>
      </c>
      <c r="B1089" s="22" t="s">
        <v>15368</v>
      </c>
      <c r="C1089" s="22" t="s">
        <v>11569</v>
      </c>
      <c r="D1089" s="23">
        <v>328489</v>
      </c>
      <c r="E1089" s="24">
        <v>1997</v>
      </c>
      <c r="F1089" s="22" t="s">
        <v>11576</v>
      </c>
      <c r="G1089" s="23" t="s">
        <v>11577</v>
      </c>
      <c r="H1089" s="25" t="s">
        <v>15373</v>
      </c>
      <c r="I1089" s="22" t="s">
        <v>15411</v>
      </c>
      <c r="J1089" s="22" t="s">
        <v>13002</v>
      </c>
      <c r="K1089" s="26">
        <f t="shared" si="16"/>
        <v>1033.3333333333333</v>
      </c>
      <c r="N1089" s="26">
        <v>1550</v>
      </c>
      <c r="O1089" s="22" t="s">
        <v>11570</v>
      </c>
      <c r="P1089" s="22" t="s">
        <v>11571</v>
      </c>
      <c r="Q1089" s="22">
        <v>90262</v>
      </c>
      <c r="R1089" s="22" t="s">
        <v>11572</v>
      </c>
      <c r="S1089" s="22" t="s">
        <v>11573</v>
      </c>
      <c r="T1089" s="22">
        <v>8.17</v>
      </c>
      <c r="U1089" s="22">
        <v>0.38</v>
      </c>
      <c r="X1089" s="26"/>
      <c r="Y1089" s="26"/>
    </row>
    <row r="1090" spans="1:25" ht="37.5" x14ac:dyDescent="0.25">
      <c r="A1090" s="21">
        <v>1460</v>
      </c>
      <c r="B1090" s="22" t="s">
        <v>15368</v>
      </c>
      <c r="C1090" s="22" t="s">
        <v>11578</v>
      </c>
      <c r="D1090" s="23" t="s">
        <v>11579</v>
      </c>
      <c r="E1090" s="24">
        <v>1993</v>
      </c>
      <c r="F1090" s="22" t="s">
        <v>11580</v>
      </c>
      <c r="G1090" s="23" t="s">
        <v>11581</v>
      </c>
      <c r="H1090" s="25" t="s">
        <v>15373</v>
      </c>
      <c r="I1090" s="22" t="s">
        <v>15374</v>
      </c>
      <c r="J1090" s="22">
        <v>3512</v>
      </c>
      <c r="K1090" s="26">
        <f t="shared" ref="K1090:K1153" si="17">L1090+M1090*(2/3)+N1090*(2/3)</f>
        <v>1190.6666666666665</v>
      </c>
      <c r="N1090" s="26">
        <v>1786</v>
      </c>
      <c r="O1090" s="22" t="s">
        <v>11582</v>
      </c>
      <c r="P1090" s="22" t="s">
        <v>15422</v>
      </c>
      <c r="Q1090" s="22" t="s">
        <v>11583</v>
      </c>
      <c r="R1090" s="22" t="s">
        <v>11584</v>
      </c>
      <c r="S1090" s="22" t="s">
        <v>11585</v>
      </c>
      <c r="T1090" s="22">
        <v>8.17</v>
      </c>
      <c r="U1090" s="22">
        <v>0.38</v>
      </c>
      <c r="X1090" s="26"/>
      <c r="Y1090" s="26"/>
    </row>
    <row r="1091" spans="1:25" ht="62.5" x14ac:dyDescent="0.25">
      <c r="A1091" s="21">
        <v>1461</v>
      </c>
      <c r="B1091" s="22" t="s">
        <v>15368</v>
      </c>
      <c r="C1091" s="22" t="s">
        <v>11586</v>
      </c>
      <c r="D1091" s="23">
        <v>113434</v>
      </c>
      <c r="E1091" s="24">
        <v>1983</v>
      </c>
      <c r="F1091" s="22" t="s">
        <v>11587</v>
      </c>
      <c r="G1091" s="23" t="s">
        <v>11588</v>
      </c>
      <c r="H1091" s="25" t="s">
        <v>15373</v>
      </c>
      <c r="I1091" s="22" t="s">
        <v>15411</v>
      </c>
      <c r="J1091" s="22" t="s">
        <v>16462</v>
      </c>
      <c r="K1091" s="26">
        <f t="shared" si="17"/>
        <v>825</v>
      </c>
      <c r="L1091" s="26">
        <v>825</v>
      </c>
      <c r="O1091" s="22" t="s">
        <v>11589</v>
      </c>
      <c r="P1091" s="22" t="s">
        <v>15376</v>
      </c>
      <c r="Q1091" s="22">
        <v>90057</v>
      </c>
      <c r="R1091" s="22" t="s">
        <v>11590</v>
      </c>
      <c r="S1091" s="22" t="s">
        <v>11591</v>
      </c>
      <c r="T1091" s="22">
        <v>12</v>
      </c>
      <c r="U1091" s="22">
        <v>0.53</v>
      </c>
      <c r="X1091" s="26"/>
      <c r="Y1091" s="26"/>
    </row>
    <row r="1092" spans="1:25" ht="62.5" x14ac:dyDescent="0.25">
      <c r="A1092" s="21">
        <v>1462</v>
      </c>
      <c r="B1092" s="22" t="s">
        <v>15368</v>
      </c>
      <c r="C1092" s="22" t="s">
        <v>11586</v>
      </c>
      <c r="D1092" s="23">
        <v>114681</v>
      </c>
      <c r="E1092" s="24">
        <v>1983</v>
      </c>
      <c r="F1092" s="22" t="s">
        <v>11592</v>
      </c>
      <c r="G1092" s="23" t="s">
        <v>11593</v>
      </c>
      <c r="H1092" s="25" t="s">
        <v>15373</v>
      </c>
      <c r="I1092" s="22" t="s">
        <v>15411</v>
      </c>
      <c r="J1092" s="22" t="s">
        <v>16462</v>
      </c>
      <c r="K1092" s="26">
        <f t="shared" si="17"/>
        <v>825</v>
      </c>
      <c r="L1092" s="26">
        <v>825</v>
      </c>
      <c r="O1092" s="22" t="s">
        <v>11589</v>
      </c>
      <c r="P1092" s="22" t="s">
        <v>15376</v>
      </c>
      <c r="Q1092" s="22">
        <v>90057</v>
      </c>
      <c r="R1092" s="22" t="s">
        <v>11590</v>
      </c>
      <c r="S1092" s="22" t="s">
        <v>11591</v>
      </c>
      <c r="T1092" s="22">
        <v>12</v>
      </c>
      <c r="U1092" s="22">
        <v>0.53</v>
      </c>
      <c r="X1092" s="26"/>
      <c r="Y1092" s="26"/>
    </row>
    <row r="1093" spans="1:25" ht="37.5" x14ac:dyDescent="0.25">
      <c r="A1093" s="21">
        <v>1465</v>
      </c>
      <c r="B1093" s="22" t="s">
        <v>15368</v>
      </c>
      <c r="C1093" s="22" t="s">
        <v>11594</v>
      </c>
      <c r="D1093" s="23">
        <v>360470</v>
      </c>
      <c r="E1093" s="24">
        <v>1999</v>
      </c>
      <c r="F1093" s="22" t="s">
        <v>11595</v>
      </c>
      <c r="G1093" s="23" t="s">
        <v>11596</v>
      </c>
      <c r="H1093" s="25" t="s">
        <v>15373</v>
      </c>
      <c r="I1093" s="22" t="s">
        <v>15411</v>
      </c>
      <c r="J1093" s="22" t="s">
        <v>11734</v>
      </c>
      <c r="K1093" s="26">
        <f t="shared" si="17"/>
        <v>657.33333333333326</v>
      </c>
      <c r="N1093" s="26">
        <v>986</v>
      </c>
      <c r="O1093" s="22" t="s">
        <v>11597</v>
      </c>
      <c r="P1093" s="22" t="s">
        <v>11598</v>
      </c>
      <c r="Q1093" s="22">
        <v>91016</v>
      </c>
      <c r="R1093" s="22" t="s">
        <v>11599</v>
      </c>
      <c r="S1093" s="22" t="s">
        <v>11600</v>
      </c>
      <c r="T1093" s="22">
        <v>8.17</v>
      </c>
      <c r="U1093" s="22">
        <v>0.38</v>
      </c>
      <c r="X1093" s="26"/>
      <c r="Y1093" s="26"/>
    </row>
    <row r="1094" spans="1:25" ht="37.5" x14ac:dyDescent="0.25">
      <c r="A1094" s="21">
        <v>1467</v>
      </c>
      <c r="B1094" s="22" t="s">
        <v>15368</v>
      </c>
      <c r="C1094" s="22" t="s">
        <v>11601</v>
      </c>
      <c r="D1094" s="23">
        <v>280778</v>
      </c>
      <c r="E1094" s="24">
        <v>1993</v>
      </c>
      <c r="F1094" s="22" t="s">
        <v>11602</v>
      </c>
      <c r="G1094" s="23" t="s">
        <v>11603</v>
      </c>
      <c r="H1094" s="25" t="s">
        <v>15373</v>
      </c>
      <c r="I1094" s="22" t="s">
        <v>15374</v>
      </c>
      <c r="J1094" s="22" t="s">
        <v>14106</v>
      </c>
      <c r="K1094" s="26">
        <f t="shared" si="17"/>
        <v>888</v>
      </c>
      <c r="N1094" s="26">
        <v>1332</v>
      </c>
      <c r="O1094" s="22" t="s">
        <v>11604</v>
      </c>
      <c r="P1094" s="22" t="s">
        <v>15376</v>
      </c>
      <c r="Q1094" s="22">
        <v>90013</v>
      </c>
      <c r="R1094" s="22" t="s">
        <v>11605</v>
      </c>
      <c r="S1094" s="22" t="s">
        <v>13515</v>
      </c>
      <c r="T1094" s="22">
        <v>8.17</v>
      </c>
      <c r="U1094" s="22">
        <v>0.38</v>
      </c>
      <c r="X1094" s="26"/>
      <c r="Y1094" s="26"/>
    </row>
    <row r="1095" spans="1:25" ht="37.5" x14ac:dyDescent="0.25">
      <c r="A1095" s="21">
        <v>1468</v>
      </c>
      <c r="B1095" s="22" t="s">
        <v>15368</v>
      </c>
      <c r="C1095" s="22" t="s">
        <v>11601</v>
      </c>
      <c r="D1095" s="23">
        <v>280779</v>
      </c>
      <c r="E1095" s="24">
        <v>1993</v>
      </c>
      <c r="F1095" s="22" t="s">
        <v>11606</v>
      </c>
      <c r="G1095" s="23" t="s">
        <v>11607</v>
      </c>
      <c r="H1095" s="25" t="s">
        <v>15373</v>
      </c>
      <c r="I1095" s="22" t="s">
        <v>15374</v>
      </c>
      <c r="J1095" s="22" t="s">
        <v>14106</v>
      </c>
      <c r="K1095" s="26">
        <f t="shared" si="17"/>
        <v>888</v>
      </c>
      <c r="N1095" s="26">
        <v>1332</v>
      </c>
      <c r="O1095" s="22" t="s">
        <v>11604</v>
      </c>
      <c r="P1095" s="22" t="s">
        <v>15376</v>
      </c>
      <c r="Q1095" s="22">
        <v>90013</v>
      </c>
      <c r="R1095" s="22" t="s">
        <v>11605</v>
      </c>
      <c r="S1095" s="22" t="s">
        <v>13515</v>
      </c>
      <c r="T1095" s="22">
        <v>8.17</v>
      </c>
      <c r="U1095" s="22">
        <v>0.38</v>
      </c>
      <c r="X1095" s="26"/>
      <c r="Y1095" s="26"/>
    </row>
    <row r="1096" spans="1:25" ht="25" x14ac:dyDescent="0.25">
      <c r="A1096" s="21">
        <v>1469</v>
      </c>
      <c r="B1096" s="22" t="s">
        <v>15368</v>
      </c>
      <c r="C1096" s="22" t="s">
        <v>11608</v>
      </c>
      <c r="D1096" s="23">
        <v>338953</v>
      </c>
      <c r="E1096" s="24">
        <v>1998</v>
      </c>
      <c r="F1096" s="22" t="s">
        <v>11609</v>
      </c>
      <c r="G1096" s="23" t="s">
        <v>13316</v>
      </c>
      <c r="H1096" s="25" t="s">
        <v>15373</v>
      </c>
      <c r="I1096" s="22" t="s">
        <v>15382</v>
      </c>
      <c r="J1096" s="22" t="s">
        <v>16811</v>
      </c>
      <c r="K1096" s="26">
        <f t="shared" si="17"/>
        <v>356.66666666666663</v>
      </c>
      <c r="N1096" s="26">
        <v>535</v>
      </c>
      <c r="O1096" s="22" t="s">
        <v>11610</v>
      </c>
      <c r="P1096" s="22" t="s">
        <v>12649</v>
      </c>
      <c r="Q1096" s="22">
        <v>90723</v>
      </c>
      <c r="R1096" s="22" t="s">
        <v>11611</v>
      </c>
      <c r="S1096" s="22" t="s">
        <v>11612</v>
      </c>
      <c r="T1096" s="22">
        <v>6.9</v>
      </c>
      <c r="U1096" s="22">
        <v>0.4</v>
      </c>
      <c r="X1096" s="26"/>
      <c r="Y1096" s="26"/>
    </row>
    <row r="1097" spans="1:25" ht="25" x14ac:dyDescent="0.25">
      <c r="A1097" s="21">
        <v>1470</v>
      </c>
      <c r="B1097" s="22" t="s">
        <v>15368</v>
      </c>
      <c r="C1097" s="22" t="s">
        <v>11613</v>
      </c>
      <c r="D1097" s="23">
        <v>207623</v>
      </c>
      <c r="E1097" s="24">
        <v>1989</v>
      </c>
      <c r="F1097" s="22" t="s">
        <v>11614</v>
      </c>
      <c r="G1097" s="23" t="s">
        <v>11615</v>
      </c>
      <c r="H1097" s="25" t="s">
        <v>15373</v>
      </c>
      <c r="I1097" s="22" t="s">
        <v>15374</v>
      </c>
      <c r="J1097" s="22" t="s">
        <v>16869</v>
      </c>
      <c r="K1097" s="26">
        <f t="shared" si="17"/>
        <v>593.33333333333326</v>
      </c>
      <c r="N1097" s="26">
        <v>890</v>
      </c>
      <c r="O1097" s="22" t="s">
        <v>11616</v>
      </c>
      <c r="P1097" s="22" t="s">
        <v>15376</v>
      </c>
      <c r="Q1097" s="22">
        <v>90017</v>
      </c>
      <c r="R1097" s="22" t="s">
        <v>11617</v>
      </c>
      <c r="S1097" s="22" t="s">
        <v>11618</v>
      </c>
      <c r="T1097" s="22">
        <v>8.17</v>
      </c>
      <c r="U1097" s="22">
        <v>0.38</v>
      </c>
      <c r="X1097" s="26"/>
      <c r="Y1097" s="26"/>
    </row>
    <row r="1098" spans="1:25" ht="37.5" x14ac:dyDescent="0.25">
      <c r="A1098" s="21">
        <v>1471</v>
      </c>
      <c r="B1098" s="22" t="s">
        <v>15368</v>
      </c>
      <c r="C1098" s="22" t="s">
        <v>11619</v>
      </c>
      <c r="D1098" s="23">
        <v>270256</v>
      </c>
      <c r="E1098" s="24">
        <v>1992</v>
      </c>
      <c r="F1098" s="22" t="s">
        <v>11620</v>
      </c>
      <c r="G1098" s="23" t="s">
        <v>11621</v>
      </c>
      <c r="H1098" s="25" t="s">
        <v>15373</v>
      </c>
      <c r="I1098" s="22" t="s">
        <v>15374</v>
      </c>
      <c r="J1098" s="22" t="s">
        <v>16856</v>
      </c>
      <c r="K1098" s="26">
        <f t="shared" si="17"/>
        <v>713.33333333333326</v>
      </c>
      <c r="N1098" s="26">
        <v>1070</v>
      </c>
      <c r="O1098" s="22" t="s">
        <v>11622</v>
      </c>
      <c r="P1098" s="22" t="s">
        <v>15376</v>
      </c>
      <c r="Q1098" s="22">
        <v>90024</v>
      </c>
      <c r="R1098" s="22" t="s">
        <v>11623</v>
      </c>
      <c r="S1098" s="22" t="s">
        <v>11624</v>
      </c>
      <c r="T1098" s="22">
        <v>8.17</v>
      </c>
      <c r="U1098" s="22">
        <v>0.38</v>
      </c>
      <c r="X1098" s="26"/>
      <c r="Y1098" s="26"/>
    </row>
    <row r="1099" spans="1:25" ht="37.5" x14ac:dyDescent="0.25">
      <c r="A1099" s="21">
        <v>1474</v>
      </c>
      <c r="B1099" s="22" t="s">
        <v>15368</v>
      </c>
      <c r="C1099" s="22" t="s">
        <v>11625</v>
      </c>
      <c r="D1099" s="23">
        <v>324888</v>
      </c>
      <c r="E1099" s="24">
        <v>1997</v>
      </c>
      <c r="F1099" s="22" t="s">
        <v>11626</v>
      </c>
      <c r="G1099" s="23" t="s">
        <v>11627</v>
      </c>
      <c r="H1099" s="25" t="s">
        <v>15373</v>
      </c>
      <c r="I1099" s="22" t="s">
        <v>15411</v>
      </c>
      <c r="J1099" s="22" t="s">
        <v>12830</v>
      </c>
      <c r="K1099" s="26">
        <f t="shared" si="17"/>
        <v>400</v>
      </c>
      <c r="N1099" s="26">
        <v>600</v>
      </c>
      <c r="O1099" s="22" t="s">
        <v>11628</v>
      </c>
      <c r="P1099" s="22" t="s">
        <v>14733</v>
      </c>
      <c r="Q1099" s="22">
        <v>92621</v>
      </c>
      <c r="R1099" s="22" t="s">
        <v>11629</v>
      </c>
      <c r="S1099" s="22" t="s">
        <v>11630</v>
      </c>
      <c r="T1099" s="22">
        <v>6.9</v>
      </c>
      <c r="U1099" s="22">
        <v>0.4</v>
      </c>
      <c r="X1099" s="26"/>
      <c r="Y1099" s="26"/>
    </row>
    <row r="1100" spans="1:25" ht="37.5" x14ac:dyDescent="0.25">
      <c r="A1100" s="21">
        <v>1475</v>
      </c>
      <c r="B1100" s="22" t="s">
        <v>15368</v>
      </c>
      <c r="C1100" s="22" t="s">
        <v>11625</v>
      </c>
      <c r="D1100" s="23">
        <v>324889</v>
      </c>
      <c r="E1100" s="24">
        <v>1997</v>
      </c>
      <c r="F1100" s="22" t="s">
        <v>11631</v>
      </c>
      <c r="G1100" s="23" t="s">
        <v>11632</v>
      </c>
      <c r="H1100" s="25" t="s">
        <v>15373</v>
      </c>
      <c r="I1100" s="22" t="s">
        <v>15411</v>
      </c>
      <c r="J1100" s="22" t="s">
        <v>12830</v>
      </c>
      <c r="K1100" s="26">
        <f t="shared" si="17"/>
        <v>400</v>
      </c>
      <c r="N1100" s="26">
        <v>600</v>
      </c>
      <c r="O1100" s="22" t="s">
        <v>11628</v>
      </c>
      <c r="P1100" s="22" t="s">
        <v>14733</v>
      </c>
      <c r="Q1100" s="22">
        <v>92621</v>
      </c>
      <c r="R1100" s="22" t="s">
        <v>11629</v>
      </c>
      <c r="S1100" s="22" t="s">
        <v>11630</v>
      </c>
      <c r="T1100" s="22">
        <v>6.9</v>
      </c>
      <c r="U1100" s="22">
        <v>0.4</v>
      </c>
      <c r="X1100" s="26"/>
      <c r="Y1100" s="26"/>
    </row>
    <row r="1101" spans="1:25" ht="37.5" x14ac:dyDescent="0.25">
      <c r="A1101" s="21">
        <v>1476</v>
      </c>
      <c r="B1101" s="22" t="s">
        <v>15368</v>
      </c>
      <c r="C1101" s="22" t="s">
        <v>11625</v>
      </c>
      <c r="D1101" s="23">
        <v>324890</v>
      </c>
      <c r="E1101" s="24">
        <v>1997</v>
      </c>
      <c r="F1101" s="22" t="s">
        <v>11633</v>
      </c>
      <c r="G1101" s="23" t="s">
        <v>11634</v>
      </c>
      <c r="H1101" s="25" t="s">
        <v>15373</v>
      </c>
      <c r="I1101" s="22" t="s">
        <v>15411</v>
      </c>
      <c r="J1101" s="22" t="s">
        <v>12830</v>
      </c>
      <c r="K1101" s="26">
        <f t="shared" si="17"/>
        <v>400</v>
      </c>
      <c r="N1101" s="26">
        <v>600</v>
      </c>
      <c r="O1101" s="22" t="s">
        <v>11628</v>
      </c>
      <c r="P1101" s="22" t="s">
        <v>14733</v>
      </c>
      <c r="Q1101" s="22">
        <v>92621</v>
      </c>
      <c r="R1101" s="22" t="s">
        <v>11629</v>
      </c>
      <c r="S1101" s="22" t="s">
        <v>11630</v>
      </c>
      <c r="T1101" s="22">
        <v>6.9</v>
      </c>
      <c r="U1101" s="22">
        <v>0.4</v>
      </c>
      <c r="X1101" s="26"/>
      <c r="Y1101" s="26"/>
    </row>
    <row r="1102" spans="1:25" ht="25" x14ac:dyDescent="0.25">
      <c r="A1102" s="21">
        <v>1477</v>
      </c>
      <c r="B1102" s="22" t="s">
        <v>15368</v>
      </c>
      <c r="C1102" s="22" t="s">
        <v>11635</v>
      </c>
      <c r="D1102" s="23">
        <v>316130</v>
      </c>
      <c r="E1102" s="24">
        <v>1996</v>
      </c>
      <c r="F1102" s="22" t="s">
        <v>11636</v>
      </c>
      <c r="G1102" s="23" t="s">
        <v>11637</v>
      </c>
      <c r="H1102" s="25" t="s">
        <v>16310</v>
      </c>
      <c r="I1102" s="22" t="s">
        <v>15382</v>
      </c>
      <c r="J1102" s="22" t="s">
        <v>13225</v>
      </c>
      <c r="K1102" s="26">
        <f t="shared" si="17"/>
        <v>506.66666666666663</v>
      </c>
      <c r="N1102" s="26">
        <v>760</v>
      </c>
      <c r="O1102" s="22" t="s">
        <v>11638</v>
      </c>
      <c r="P1102" s="22" t="s">
        <v>16347</v>
      </c>
      <c r="Q1102" s="22">
        <v>91739</v>
      </c>
      <c r="R1102" s="22" t="s">
        <v>11639</v>
      </c>
      <c r="S1102" s="22" t="s">
        <v>11640</v>
      </c>
      <c r="X1102" s="26"/>
      <c r="Y1102" s="26"/>
    </row>
    <row r="1103" spans="1:25" ht="37.5" x14ac:dyDescent="0.25">
      <c r="A1103" s="21">
        <v>1478</v>
      </c>
      <c r="B1103" s="22" t="s">
        <v>15368</v>
      </c>
      <c r="C1103" s="22" t="s">
        <v>11641</v>
      </c>
      <c r="D1103" s="23">
        <v>336125</v>
      </c>
      <c r="E1103" s="24">
        <v>1998</v>
      </c>
      <c r="F1103" s="22" t="s">
        <v>11642</v>
      </c>
      <c r="G1103" s="23" t="s">
        <v>11643</v>
      </c>
      <c r="H1103" s="25" t="s">
        <v>15373</v>
      </c>
      <c r="I1103" s="22" t="s">
        <v>15411</v>
      </c>
      <c r="J1103" s="22" t="s">
        <v>16276</v>
      </c>
      <c r="K1103" s="26">
        <f t="shared" si="17"/>
        <v>378.66666666666663</v>
      </c>
      <c r="N1103" s="26">
        <v>568</v>
      </c>
      <c r="O1103" s="22" t="s">
        <v>11644</v>
      </c>
      <c r="P1103" s="22" t="s">
        <v>15864</v>
      </c>
      <c r="Q1103" s="22">
        <v>92337</v>
      </c>
      <c r="R1103" s="22" t="s">
        <v>11645</v>
      </c>
      <c r="S1103" s="22" t="s">
        <v>11646</v>
      </c>
      <c r="T1103" s="22">
        <v>6.9</v>
      </c>
      <c r="U1103" s="22">
        <v>0.4</v>
      </c>
      <c r="X1103" s="26"/>
      <c r="Y1103" s="26"/>
    </row>
    <row r="1104" spans="1:25" ht="25" x14ac:dyDescent="0.25">
      <c r="A1104" s="21">
        <v>1481</v>
      </c>
      <c r="B1104" s="22" t="s">
        <v>15368</v>
      </c>
      <c r="C1104" s="22" t="s">
        <v>11647</v>
      </c>
      <c r="D1104" s="23">
        <v>353421</v>
      </c>
      <c r="E1104" s="24">
        <v>1999</v>
      </c>
      <c r="F1104" s="22" t="s">
        <v>11648</v>
      </c>
      <c r="G1104" s="23" t="s">
        <v>11649</v>
      </c>
      <c r="H1104" s="25" t="s">
        <v>15373</v>
      </c>
      <c r="I1104" s="22" t="s">
        <v>15382</v>
      </c>
      <c r="J1104" s="22" t="s">
        <v>14369</v>
      </c>
      <c r="K1104" s="26">
        <f t="shared" si="17"/>
        <v>800</v>
      </c>
      <c r="N1104" s="26">
        <v>1200</v>
      </c>
      <c r="O1104" s="22" t="s">
        <v>11650</v>
      </c>
      <c r="P1104" s="22" t="s">
        <v>15964</v>
      </c>
      <c r="Q1104" s="22">
        <v>91734</v>
      </c>
      <c r="R1104" s="22" t="s">
        <v>11651</v>
      </c>
      <c r="S1104" s="22" t="s">
        <v>11652</v>
      </c>
      <c r="T1104" s="22">
        <v>8.17</v>
      </c>
      <c r="U1104" s="22">
        <v>0.38</v>
      </c>
      <c r="X1104" s="26"/>
      <c r="Y1104" s="26"/>
    </row>
    <row r="1105" spans="1:25" ht="37.5" x14ac:dyDescent="0.25">
      <c r="A1105" s="21">
        <v>1484</v>
      </c>
      <c r="B1105" s="22" t="s">
        <v>15368</v>
      </c>
      <c r="C1105" s="22" t="s">
        <v>11653</v>
      </c>
      <c r="D1105" s="23">
        <v>357406</v>
      </c>
      <c r="E1105" s="24">
        <v>1999</v>
      </c>
      <c r="F1105" s="22" t="s">
        <v>11654</v>
      </c>
      <c r="G1105" s="23" t="s">
        <v>11655</v>
      </c>
      <c r="H1105" s="25" t="s">
        <v>15373</v>
      </c>
      <c r="I1105" s="22" t="s">
        <v>15374</v>
      </c>
      <c r="J1105" s="22" t="s">
        <v>15516</v>
      </c>
      <c r="K1105" s="26">
        <f t="shared" si="17"/>
        <v>800</v>
      </c>
      <c r="L1105" s="26">
        <v>800</v>
      </c>
      <c r="O1105" s="22" t="s">
        <v>11656</v>
      </c>
      <c r="P1105" s="22" t="s">
        <v>15376</v>
      </c>
      <c r="Q1105" s="22">
        <v>90017</v>
      </c>
      <c r="R1105" s="22" t="s">
        <v>11657</v>
      </c>
      <c r="S1105" s="22" t="s">
        <v>11658</v>
      </c>
      <c r="T1105" s="22">
        <v>8.17</v>
      </c>
      <c r="U1105" s="22">
        <v>0.38</v>
      </c>
      <c r="X1105" s="26"/>
      <c r="Y1105" s="26"/>
    </row>
    <row r="1106" spans="1:25" ht="25" x14ac:dyDescent="0.25">
      <c r="A1106" s="21">
        <v>1485</v>
      </c>
      <c r="B1106" s="22" t="s">
        <v>15368</v>
      </c>
      <c r="C1106" s="22" t="s">
        <v>10523</v>
      </c>
      <c r="D1106" s="23">
        <v>370753</v>
      </c>
      <c r="E1106" s="24">
        <v>2000</v>
      </c>
      <c r="F1106" s="22" t="s">
        <v>10524</v>
      </c>
      <c r="G1106" s="23" t="s">
        <v>10525</v>
      </c>
      <c r="H1106" s="25" t="s">
        <v>15373</v>
      </c>
      <c r="I1106" s="22" t="s">
        <v>15411</v>
      </c>
      <c r="J1106" s="22" t="s">
        <v>16311</v>
      </c>
      <c r="K1106" s="26">
        <f t="shared" si="17"/>
        <v>428.66666666666663</v>
      </c>
      <c r="N1106" s="26">
        <v>643</v>
      </c>
      <c r="O1106" s="22" t="s">
        <v>10526</v>
      </c>
      <c r="P1106" s="22" t="s">
        <v>15376</v>
      </c>
      <c r="Q1106" s="22">
        <v>90017</v>
      </c>
      <c r="R1106" s="22" t="s">
        <v>10527</v>
      </c>
      <c r="S1106" s="22" t="s">
        <v>10528</v>
      </c>
      <c r="T1106" s="22">
        <v>6.9</v>
      </c>
      <c r="U1106" s="22">
        <v>0.4</v>
      </c>
      <c r="X1106" s="26"/>
      <c r="Y1106" s="26"/>
    </row>
    <row r="1107" spans="1:25" ht="37.5" x14ac:dyDescent="0.25">
      <c r="A1107" s="21">
        <v>1488</v>
      </c>
      <c r="B1107" s="22" t="s">
        <v>15368</v>
      </c>
      <c r="C1107" s="22" t="s">
        <v>10529</v>
      </c>
      <c r="D1107" s="23">
        <v>349587</v>
      </c>
      <c r="E1107" s="24">
        <v>1998</v>
      </c>
      <c r="F1107" s="22" t="s">
        <v>10530</v>
      </c>
      <c r="G1107" s="23" t="s">
        <v>10531</v>
      </c>
      <c r="H1107" s="25" t="s">
        <v>15373</v>
      </c>
      <c r="I1107" s="22" t="s">
        <v>15374</v>
      </c>
      <c r="J1107" s="22">
        <v>3412</v>
      </c>
      <c r="K1107" s="26">
        <f t="shared" si="17"/>
        <v>593.33333333333326</v>
      </c>
      <c r="N1107" s="26">
        <v>890</v>
      </c>
      <c r="O1107" s="22" t="s">
        <v>10532</v>
      </c>
      <c r="P1107" s="22" t="s">
        <v>15376</v>
      </c>
      <c r="Q1107" s="22">
        <v>90027</v>
      </c>
      <c r="R1107" s="22" t="s">
        <v>10533</v>
      </c>
      <c r="S1107" s="22" t="s">
        <v>10534</v>
      </c>
      <c r="T1107" s="22">
        <v>8.17</v>
      </c>
      <c r="U1107" s="22">
        <v>0.38</v>
      </c>
      <c r="X1107" s="26"/>
      <c r="Y1107" s="26"/>
    </row>
    <row r="1108" spans="1:25" ht="37.5" x14ac:dyDescent="0.25">
      <c r="A1108" s="21">
        <v>1489</v>
      </c>
      <c r="B1108" s="22" t="s">
        <v>15368</v>
      </c>
      <c r="C1108" s="22" t="s">
        <v>10529</v>
      </c>
      <c r="D1108" s="23">
        <v>349589</v>
      </c>
      <c r="E1108" s="24">
        <v>1998</v>
      </c>
      <c r="F1108" s="22" t="s">
        <v>9478</v>
      </c>
      <c r="G1108" s="23" t="s">
        <v>10608</v>
      </c>
      <c r="H1108" s="25" t="s">
        <v>15373</v>
      </c>
      <c r="I1108" s="22" t="s">
        <v>15382</v>
      </c>
      <c r="J1108" s="22" t="s">
        <v>10609</v>
      </c>
      <c r="K1108" s="26">
        <f t="shared" si="17"/>
        <v>400</v>
      </c>
      <c r="N1108" s="26">
        <v>600</v>
      </c>
      <c r="O1108" s="22" t="s">
        <v>10532</v>
      </c>
      <c r="P1108" s="22" t="s">
        <v>15376</v>
      </c>
      <c r="Q1108" s="22">
        <v>90027</v>
      </c>
      <c r="R1108" s="22" t="s">
        <v>10533</v>
      </c>
      <c r="S1108" s="22" t="s">
        <v>10534</v>
      </c>
      <c r="T1108" s="22">
        <v>6.9</v>
      </c>
      <c r="U1108" s="22">
        <v>0.4</v>
      </c>
      <c r="X1108" s="26"/>
      <c r="Y1108" s="26"/>
    </row>
    <row r="1109" spans="1:25" ht="37.5" x14ac:dyDescent="0.25">
      <c r="A1109" s="21">
        <v>1490</v>
      </c>
      <c r="B1109" s="22" t="s">
        <v>15368</v>
      </c>
      <c r="C1109" s="22" t="s">
        <v>10529</v>
      </c>
      <c r="D1109" s="23">
        <v>349602</v>
      </c>
      <c r="E1109" s="24">
        <v>1998</v>
      </c>
      <c r="F1109" s="22" t="s">
        <v>10610</v>
      </c>
      <c r="G1109" s="23" t="s">
        <v>10611</v>
      </c>
      <c r="H1109" s="25" t="s">
        <v>15373</v>
      </c>
      <c r="I1109" s="22" t="s">
        <v>15382</v>
      </c>
      <c r="J1109" s="22" t="s">
        <v>10609</v>
      </c>
      <c r="K1109" s="26">
        <f t="shared" si="17"/>
        <v>400</v>
      </c>
      <c r="N1109" s="26">
        <v>600</v>
      </c>
      <c r="O1109" s="22" t="s">
        <v>10532</v>
      </c>
      <c r="P1109" s="22" t="s">
        <v>15376</v>
      </c>
      <c r="Q1109" s="22">
        <v>90027</v>
      </c>
      <c r="R1109" s="22" t="s">
        <v>10533</v>
      </c>
      <c r="S1109" s="22" t="s">
        <v>10534</v>
      </c>
      <c r="T1109" s="22">
        <v>6.9</v>
      </c>
      <c r="U1109" s="22">
        <v>0.4</v>
      </c>
      <c r="X1109" s="26"/>
      <c r="Y1109" s="26"/>
    </row>
    <row r="1110" spans="1:25" ht="37.5" x14ac:dyDescent="0.25">
      <c r="A1110" s="21">
        <v>1491</v>
      </c>
      <c r="B1110" s="22" t="s">
        <v>15368</v>
      </c>
      <c r="C1110" s="22" t="s">
        <v>10612</v>
      </c>
      <c r="D1110" s="23">
        <v>264615</v>
      </c>
      <c r="E1110" s="24">
        <v>1992</v>
      </c>
      <c r="F1110" s="22" t="s">
        <v>10613</v>
      </c>
      <c r="G1110" s="23" t="s">
        <v>10614</v>
      </c>
      <c r="H1110" s="25" t="s">
        <v>15373</v>
      </c>
      <c r="I1110" s="22" t="s">
        <v>15374</v>
      </c>
      <c r="J1110" s="22">
        <v>3508</v>
      </c>
      <c r="K1110" s="26">
        <f t="shared" si="17"/>
        <v>684.66666666666663</v>
      </c>
      <c r="N1110" s="26">
        <v>1027</v>
      </c>
      <c r="O1110" s="22" t="s">
        <v>10615</v>
      </c>
      <c r="P1110" s="22" t="s">
        <v>15703</v>
      </c>
      <c r="Q1110" s="22" t="s">
        <v>10616</v>
      </c>
      <c r="R1110" s="22" t="s">
        <v>10617</v>
      </c>
      <c r="S1110" s="22" t="s">
        <v>10618</v>
      </c>
      <c r="T1110" s="22">
        <v>8.17</v>
      </c>
      <c r="U1110" s="22">
        <v>0.38</v>
      </c>
      <c r="X1110" s="26"/>
      <c r="Y1110" s="26"/>
    </row>
    <row r="1111" spans="1:25" ht="25" x14ac:dyDescent="0.25">
      <c r="A1111" s="21">
        <v>1494</v>
      </c>
      <c r="B1111" s="22" t="s">
        <v>15368</v>
      </c>
      <c r="C1111" s="22" t="s">
        <v>10612</v>
      </c>
      <c r="D1111" s="23">
        <v>374956</v>
      </c>
      <c r="E1111" s="24">
        <v>2000</v>
      </c>
      <c r="F1111" s="22" t="s">
        <v>10619</v>
      </c>
      <c r="G1111" s="23" t="s">
        <v>10620</v>
      </c>
      <c r="H1111" s="25" t="s">
        <v>15373</v>
      </c>
      <c r="I1111" s="22" t="s">
        <v>15382</v>
      </c>
      <c r="J1111" s="22" t="s">
        <v>16792</v>
      </c>
      <c r="K1111" s="26">
        <f t="shared" si="17"/>
        <v>356.66666666666663</v>
      </c>
      <c r="N1111" s="26">
        <v>535</v>
      </c>
      <c r="O1111" s="22" t="s">
        <v>10615</v>
      </c>
      <c r="P1111" s="22" t="s">
        <v>15703</v>
      </c>
      <c r="Q1111" s="22" t="s">
        <v>10616</v>
      </c>
      <c r="R1111" s="22" t="s">
        <v>10617</v>
      </c>
      <c r="S1111" s="22" t="s">
        <v>10618</v>
      </c>
      <c r="T1111" s="22">
        <v>8.17</v>
      </c>
      <c r="U1111" s="22">
        <v>0.38</v>
      </c>
      <c r="X1111" s="26"/>
      <c r="Y1111" s="26"/>
    </row>
    <row r="1112" spans="1:25" ht="37.5" x14ac:dyDescent="0.25">
      <c r="A1112" s="21">
        <v>1495</v>
      </c>
      <c r="B1112" s="22" t="s">
        <v>15368</v>
      </c>
      <c r="C1112" s="22" t="s">
        <v>10612</v>
      </c>
      <c r="D1112" s="23">
        <v>378521</v>
      </c>
      <c r="E1112" s="24">
        <v>2000</v>
      </c>
      <c r="F1112" s="22" t="s">
        <v>10621</v>
      </c>
      <c r="G1112" s="23" t="s">
        <v>10622</v>
      </c>
      <c r="H1112" s="25" t="s">
        <v>15373</v>
      </c>
      <c r="I1112" s="22" t="s">
        <v>15374</v>
      </c>
      <c r="J1112" s="22" t="s">
        <v>15677</v>
      </c>
      <c r="K1112" s="26">
        <f t="shared" si="17"/>
        <v>2000</v>
      </c>
      <c r="L1112" s="26">
        <v>2000</v>
      </c>
      <c r="O1112" s="22" t="s">
        <v>10615</v>
      </c>
      <c r="P1112" s="22" t="s">
        <v>15703</v>
      </c>
      <c r="Q1112" s="22" t="s">
        <v>10616</v>
      </c>
      <c r="R1112" s="22" t="s">
        <v>10617</v>
      </c>
      <c r="S1112" s="22" t="s">
        <v>10618</v>
      </c>
      <c r="T1112" s="22">
        <v>8.17</v>
      </c>
      <c r="U1112" s="22">
        <v>0.38</v>
      </c>
      <c r="X1112" s="26"/>
      <c r="Y1112" s="26"/>
    </row>
    <row r="1113" spans="1:25" ht="37.5" x14ac:dyDescent="0.25">
      <c r="A1113" s="21">
        <v>1496</v>
      </c>
      <c r="B1113" s="22" t="s">
        <v>15368</v>
      </c>
      <c r="C1113" s="22" t="s">
        <v>10612</v>
      </c>
      <c r="D1113" s="23">
        <v>378522</v>
      </c>
      <c r="E1113" s="24">
        <v>2000</v>
      </c>
      <c r="F1113" s="22" t="s">
        <v>10623</v>
      </c>
      <c r="G1113" s="23" t="s">
        <v>10624</v>
      </c>
      <c r="H1113" s="25" t="s">
        <v>15373</v>
      </c>
      <c r="I1113" s="22" t="s">
        <v>15374</v>
      </c>
      <c r="J1113" s="22" t="s">
        <v>15677</v>
      </c>
      <c r="K1113" s="26">
        <f t="shared" si="17"/>
        <v>2000</v>
      </c>
      <c r="L1113" s="26">
        <v>2000</v>
      </c>
      <c r="O1113" s="22" t="s">
        <v>10615</v>
      </c>
      <c r="P1113" s="22" t="s">
        <v>15703</v>
      </c>
      <c r="Q1113" s="22" t="s">
        <v>10616</v>
      </c>
      <c r="R1113" s="22" t="s">
        <v>10617</v>
      </c>
      <c r="S1113" s="22" t="s">
        <v>10618</v>
      </c>
      <c r="T1113" s="22">
        <v>6.9</v>
      </c>
      <c r="U1113" s="22">
        <v>0.4</v>
      </c>
      <c r="X1113" s="26"/>
      <c r="Y1113" s="26"/>
    </row>
    <row r="1114" spans="1:25" ht="37.5" x14ac:dyDescent="0.25">
      <c r="A1114" s="21">
        <v>1497</v>
      </c>
      <c r="B1114" s="22" t="s">
        <v>15368</v>
      </c>
      <c r="C1114" s="22" t="s">
        <v>10612</v>
      </c>
      <c r="D1114" s="23">
        <v>378524</v>
      </c>
      <c r="E1114" s="24">
        <v>2000</v>
      </c>
      <c r="F1114" s="22" t="s">
        <v>10625</v>
      </c>
      <c r="G1114" s="23" t="s">
        <v>10626</v>
      </c>
      <c r="H1114" s="25" t="s">
        <v>15373</v>
      </c>
      <c r="I1114" s="22" t="s">
        <v>15374</v>
      </c>
      <c r="J1114" s="22" t="s">
        <v>15677</v>
      </c>
      <c r="K1114" s="26">
        <f t="shared" si="17"/>
        <v>2000</v>
      </c>
      <c r="L1114" s="26">
        <v>2000</v>
      </c>
      <c r="O1114" s="22" t="s">
        <v>10615</v>
      </c>
      <c r="P1114" s="22" t="s">
        <v>15703</v>
      </c>
      <c r="Q1114" s="22" t="s">
        <v>10616</v>
      </c>
      <c r="R1114" s="22" t="s">
        <v>10617</v>
      </c>
      <c r="S1114" s="22" t="s">
        <v>10618</v>
      </c>
      <c r="T1114" s="22">
        <v>6.9</v>
      </c>
      <c r="U1114" s="22">
        <v>0.4</v>
      </c>
      <c r="X1114" s="26"/>
      <c r="Y1114" s="26"/>
    </row>
    <row r="1115" spans="1:25" ht="25" x14ac:dyDescent="0.25">
      <c r="A1115" s="21">
        <v>1499</v>
      </c>
      <c r="B1115" s="22" t="s">
        <v>15368</v>
      </c>
      <c r="C1115" s="22" t="s">
        <v>10627</v>
      </c>
      <c r="D1115" s="23">
        <v>177749</v>
      </c>
      <c r="E1115" s="24">
        <v>1988</v>
      </c>
      <c r="F1115" s="22" t="s">
        <v>10628</v>
      </c>
      <c r="G1115" s="23" t="s">
        <v>10629</v>
      </c>
      <c r="H1115" s="25" t="s">
        <v>15373</v>
      </c>
      <c r="I1115" s="22" t="s">
        <v>15374</v>
      </c>
      <c r="J1115" s="22" t="s">
        <v>16899</v>
      </c>
      <c r="K1115" s="26">
        <f t="shared" si="17"/>
        <v>533.33333333333326</v>
      </c>
      <c r="N1115" s="26">
        <v>800</v>
      </c>
      <c r="O1115" s="22" t="s">
        <v>10630</v>
      </c>
      <c r="P1115" s="22" t="s">
        <v>11313</v>
      </c>
      <c r="Q1115" s="22">
        <v>90740</v>
      </c>
      <c r="R1115" s="22" t="s">
        <v>10631</v>
      </c>
      <c r="S1115" s="22" t="s">
        <v>10632</v>
      </c>
      <c r="T1115" s="22">
        <v>6.9</v>
      </c>
      <c r="U1115" s="22">
        <v>0.4</v>
      </c>
      <c r="X1115" s="26"/>
      <c r="Y1115" s="26"/>
    </row>
    <row r="1116" spans="1:25" ht="37.5" x14ac:dyDescent="0.25">
      <c r="A1116" s="21">
        <v>1503</v>
      </c>
      <c r="B1116" s="22" t="s">
        <v>15368</v>
      </c>
      <c r="C1116" s="22" t="s">
        <v>10635</v>
      </c>
      <c r="D1116" s="23">
        <v>342297</v>
      </c>
      <c r="E1116" s="24">
        <v>1998</v>
      </c>
      <c r="F1116" s="22" t="s">
        <v>10636</v>
      </c>
      <c r="G1116" s="23" t="s">
        <v>10637</v>
      </c>
      <c r="H1116" s="25" t="s">
        <v>15373</v>
      </c>
      <c r="I1116" s="22" t="s">
        <v>15374</v>
      </c>
      <c r="J1116" s="22" t="s">
        <v>14709</v>
      </c>
      <c r="K1116" s="26">
        <f t="shared" si="17"/>
        <v>500</v>
      </c>
      <c r="L1116" s="26">
        <v>500</v>
      </c>
      <c r="O1116" s="22" t="s">
        <v>10638</v>
      </c>
      <c r="P1116" s="22" t="s">
        <v>15422</v>
      </c>
      <c r="Q1116" s="22">
        <v>91505</v>
      </c>
      <c r="R1116" s="22" t="s">
        <v>15848</v>
      </c>
      <c r="S1116" s="22" t="s">
        <v>10639</v>
      </c>
      <c r="T1116" s="22">
        <v>8.17</v>
      </c>
      <c r="U1116" s="22">
        <v>0.38</v>
      </c>
      <c r="X1116" s="26"/>
      <c r="Y1116" s="26"/>
    </row>
    <row r="1117" spans="1:25" ht="37.5" x14ac:dyDescent="0.25">
      <c r="A1117" s="21">
        <v>1504</v>
      </c>
      <c r="B1117" s="22" t="s">
        <v>15368</v>
      </c>
      <c r="C1117" s="22" t="s">
        <v>10640</v>
      </c>
      <c r="D1117" s="23">
        <v>280016</v>
      </c>
      <c r="E1117" s="24">
        <v>1993</v>
      </c>
      <c r="F1117" s="22" t="s">
        <v>10641</v>
      </c>
      <c r="G1117" s="23" t="s">
        <v>10642</v>
      </c>
      <c r="H1117" s="25" t="s">
        <v>15373</v>
      </c>
      <c r="I1117" s="22" t="s">
        <v>15411</v>
      </c>
      <c r="J1117" s="22" t="s">
        <v>14979</v>
      </c>
      <c r="K1117" s="26">
        <f t="shared" si="17"/>
        <v>446.66666666666663</v>
      </c>
      <c r="N1117" s="26">
        <v>670</v>
      </c>
      <c r="O1117" s="22" t="s">
        <v>10643</v>
      </c>
      <c r="P1117" s="22" t="s">
        <v>15376</v>
      </c>
      <c r="Q1117" s="22">
        <v>90017</v>
      </c>
      <c r="R1117" s="22" t="s">
        <v>10644</v>
      </c>
      <c r="S1117" s="22" t="s">
        <v>10645</v>
      </c>
      <c r="T1117" s="22">
        <v>8.17</v>
      </c>
      <c r="U1117" s="22">
        <v>0.38</v>
      </c>
      <c r="X1117" s="26"/>
      <c r="Y1117" s="26"/>
    </row>
    <row r="1118" spans="1:25" ht="25" x14ac:dyDescent="0.25">
      <c r="A1118" s="21">
        <v>1505</v>
      </c>
      <c r="B1118" s="22" t="s">
        <v>15368</v>
      </c>
      <c r="C1118" s="22" t="s">
        <v>10640</v>
      </c>
      <c r="D1118" s="23">
        <v>280017</v>
      </c>
      <c r="E1118" s="24">
        <v>1993</v>
      </c>
      <c r="F1118" s="22" t="s">
        <v>10646</v>
      </c>
      <c r="G1118" s="23" t="s">
        <v>10647</v>
      </c>
      <c r="H1118" s="25" t="s">
        <v>15373</v>
      </c>
      <c r="I1118" s="22" t="s">
        <v>15382</v>
      </c>
      <c r="J1118" s="22" t="s">
        <v>10648</v>
      </c>
      <c r="K1118" s="26">
        <f t="shared" si="17"/>
        <v>365.33333333333331</v>
      </c>
      <c r="N1118" s="26">
        <v>548</v>
      </c>
      <c r="O1118" s="22" t="s">
        <v>10643</v>
      </c>
      <c r="P1118" s="22" t="s">
        <v>15376</v>
      </c>
      <c r="Q1118" s="22">
        <v>90017</v>
      </c>
      <c r="R1118" s="22" t="s">
        <v>10644</v>
      </c>
      <c r="S1118" s="22" t="s">
        <v>10645</v>
      </c>
      <c r="T1118" s="22">
        <v>6.9</v>
      </c>
      <c r="U1118" s="22">
        <v>0.4</v>
      </c>
      <c r="X1118" s="26"/>
      <c r="Y1118" s="26"/>
    </row>
    <row r="1119" spans="1:25" ht="25" x14ac:dyDescent="0.25">
      <c r="A1119" s="21">
        <v>1506</v>
      </c>
      <c r="B1119" s="22" t="s">
        <v>15368</v>
      </c>
      <c r="C1119" s="22" t="s">
        <v>10649</v>
      </c>
      <c r="D1119" s="23">
        <v>198344</v>
      </c>
      <c r="E1119" s="24">
        <v>1989</v>
      </c>
      <c r="F1119" s="22" t="s">
        <v>10650</v>
      </c>
      <c r="G1119" s="23" t="s">
        <v>10651</v>
      </c>
      <c r="H1119" s="25" t="s">
        <v>15373</v>
      </c>
      <c r="I1119" s="22" t="s">
        <v>15374</v>
      </c>
      <c r="J1119" s="22">
        <v>3408</v>
      </c>
      <c r="K1119" s="26">
        <f t="shared" si="17"/>
        <v>400</v>
      </c>
      <c r="N1119" s="26">
        <v>600</v>
      </c>
      <c r="O1119" s="22" t="s">
        <v>10652</v>
      </c>
      <c r="P1119" s="22" t="s">
        <v>13834</v>
      </c>
      <c r="Q1119" s="22">
        <v>90278</v>
      </c>
      <c r="R1119" s="22" t="s">
        <v>10653</v>
      </c>
      <c r="S1119" s="22" t="s">
        <v>10654</v>
      </c>
      <c r="T1119" s="22">
        <v>8.17</v>
      </c>
      <c r="U1119" s="22">
        <v>0.38</v>
      </c>
      <c r="X1119" s="26"/>
      <c r="Y1119" s="26"/>
    </row>
    <row r="1120" spans="1:25" ht="37.5" x14ac:dyDescent="0.25">
      <c r="A1120" s="21">
        <v>1507</v>
      </c>
      <c r="B1120" s="22" t="s">
        <v>15368</v>
      </c>
      <c r="C1120" s="22" t="s">
        <v>10655</v>
      </c>
      <c r="D1120" s="23">
        <v>297189</v>
      </c>
      <c r="E1120" s="24">
        <v>1994</v>
      </c>
      <c r="F1120" s="22" t="s">
        <v>10656</v>
      </c>
      <c r="G1120" s="23" t="s">
        <v>10657</v>
      </c>
      <c r="H1120" s="25" t="s">
        <v>15373</v>
      </c>
      <c r="I1120" s="22" t="s">
        <v>15374</v>
      </c>
      <c r="J1120" s="22" t="s">
        <v>15420</v>
      </c>
      <c r="K1120" s="26">
        <f t="shared" si="17"/>
        <v>1250</v>
      </c>
      <c r="L1120" s="26">
        <v>1250</v>
      </c>
      <c r="O1120" s="22" t="s">
        <v>10658</v>
      </c>
      <c r="P1120" s="22" t="s">
        <v>15376</v>
      </c>
      <c r="Q1120" s="22" t="s">
        <v>10659</v>
      </c>
      <c r="R1120" s="22" t="s">
        <v>10660</v>
      </c>
      <c r="S1120" s="22" t="s">
        <v>10661</v>
      </c>
      <c r="T1120" s="22">
        <v>8.17</v>
      </c>
      <c r="U1120" s="22">
        <v>0.38</v>
      </c>
      <c r="X1120" s="26"/>
      <c r="Y1120" s="26"/>
    </row>
    <row r="1121" spans="1:25" ht="37.5" x14ac:dyDescent="0.25">
      <c r="A1121" s="21">
        <v>1508</v>
      </c>
      <c r="B1121" s="22" t="s">
        <v>15368</v>
      </c>
      <c r="C1121" s="22" t="s">
        <v>10655</v>
      </c>
      <c r="D1121" s="23">
        <v>297190</v>
      </c>
      <c r="E1121" s="24">
        <v>1994</v>
      </c>
      <c r="F1121" s="22" t="s">
        <v>10662</v>
      </c>
      <c r="G1121" s="23" t="s">
        <v>10663</v>
      </c>
      <c r="H1121" s="25" t="s">
        <v>15373</v>
      </c>
      <c r="I1121" s="22" t="s">
        <v>15374</v>
      </c>
      <c r="J1121" s="22" t="s">
        <v>15420</v>
      </c>
      <c r="K1121" s="26">
        <f t="shared" si="17"/>
        <v>1250</v>
      </c>
      <c r="L1121" s="26">
        <v>1250</v>
      </c>
      <c r="O1121" s="22" t="s">
        <v>10658</v>
      </c>
      <c r="P1121" s="22" t="s">
        <v>15376</v>
      </c>
      <c r="Q1121" s="22" t="s">
        <v>10659</v>
      </c>
      <c r="R1121" s="22" t="s">
        <v>10660</v>
      </c>
      <c r="S1121" s="22" t="s">
        <v>10661</v>
      </c>
      <c r="T1121" s="22">
        <v>8.17</v>
      </c>
      <c r="U1121" s="22">
        <v>0.38</v>
      </c>
      <c r="X1121" s="26"/>
      <c r="Y1121" s="26"/>
    </row>
    <row r="1122" spans="1:25" ht="37.5" x14ac:dyDescent="0.25">
      <c r="A1122" s="21">
        <v>1509</v>
      </c>
      <c r="B1122" s="22" t="s">
        <v>15368</v>
      </c>
      <c r="C1122" s="22" t="s">
        <v>10655</v>
      </c>
      <c r="D1122" s="23">
        <v>297191</v>
      </c>
      <c r="E1122" s="24">
        <v>1994</v>
      </c>
      <c r="F1122" s="22" t="s">
        <v>10664</v>
      </c>
      <c r="G1122" s="23" t="s">
        <v>10583</v>
      </c>
      <c r="H1122" s="25" t="s">
        <v>15373</v>
      </c>
      <c r="I1122" s="22" t="s">
        <v>15374</v>
      </c>
      <c r="J1122" s="22" t="s">
        <v>15420</v>
      </c>
      <c r="K1122" s="26">
        <f t="shared" si="17"/>
        <v>1250</v>
      </c>
      <c r="L1122" s="26">
        <v>1250</v>
      </c>
      <c r="O1122" s="22" t="s">
        <v>10658</v>
      </c>
      <c r="P1122" s="22" t="s">
        <v>15376</v>
      </c>
      <c r="Q1122" s="22" t="s">
        <v>10659</v>
      </c>
      <c r="R1122" s="22" t="s">
        <v>10660</v>
      </c>
      <c r="S1122" s="22" t="s">
        <v>10661</v>
      </c>
      <c r="T1122" s="22">
        <v>8.17</v>
      </c>
      <c r="U1122" s="22">
        <v>0.38</v>
      </c>
      <c r="X1122" s="26"/>
      <c r="Y1122" s="26"/>
    </row>
    <row r="1123" spans="1:25" ht="37.5" x14ac:dyDescent="0.25">
      <c r="A1123" s="21">
        <v>1510</v>
      </c>
      <c r="B1123" s="22" t="s">
        <v>15368</v>
      </c>
      <c r="C1123" s="22" t="s">
        <v>10655</v>
      </c>
      <c r="D1123" s="23">
        <v>297193</v>
      </c>
      <c r="E1123" s="24">
        <v>1994</v>
      </c>
      <c r="F1123" s="22" t="s">
        <v>10584</v>
      </c>
      <c r="G1123" s="23" t="s">
        <v>10585</v>
      </c>
      <c r="H1123" s="25" t="s">
        <v>15373</v>
      </c>
      <c r="I1123" s="22" t="s">
        <v>15374</v>
      </c>
      <c r="J1123" s="22" t="s">
        <v>15420</v>
      </c>
      <c r="K1123" s="26">
        <f t="shared" si="17"/>
        <v>1250</v>
      </c>
      <c r="L1123" s="26">
        <v>1250</v>
      </c>
      <c r="O1123" s="22" t="s">
        <v>10658</v>
      </c>
      <c r="P1123" s="22" t="s">
        <v>15376</v>
      </c>
      <c r="Q1123" s="22" t="s">
        <v>10659</v>
      </c>
      <c r="R1123" s="22" t="s">
        <v>10660</v>
      </c>
      <c r="S1123" s="22" t="s">
        <v>10661</v>
      </c>
      <c r="T1123" s="22">
        <v>8.17</v>
      </c>
      <c r="U1123" s="22">
        <v>0.38</v>
      </c>
      <c r="X1123" s="26"/>
      <c r="Y1123" s="26"/>
    </row>
    <row r="1124" spans="1:25" ht="37.5" x14ac:dyDescent="0.25">
      <c r="A1124" s="21">
        <v>1512</v>
      </c>
      <c r="B1124" s="22" t="s">
        <v>15368</v>
      </c>
      <c r="C1124" s="22" t="s">
        <v>10586</v>
      </c>
      <c r="D1124" s="23">
        <v>320164</v>
      </c>
      <c r="E1124" s="24">
        <v>1996</v>
      </c>
      <c r="F1124" s="22" t="s">
        <v>10587</v>
      </c>
      <c r="G1124" s="23" t="s">
        <v>11669</v>
      </c>
      <c r="H1124" s="25" t="s">
        <v>15373</v>
      </c>
      <c r="I1124" s="22" t="s">
        <v>15374</v>
      </c>
      <c r="J1124" s="22" t="s">
        <v>14709</v>
      </c>
      <c r="K1124" s="26">
        <f t="shared" si="17"/>
        <v>600</v>
      </c>
      <c r="L1124" s="26">
        <v>600</v>
      </c>
      <c r="O1124" s="22" t="s">
        <v>10588</v>
      </c>
      <c r="P1124" s="22" t="s">
        <v>16901</v>
      </c>
      <c r="Q1124" s="22" t="s">
        <v>10589</v>
      </c>
      <c r="R1124" s="22" t="s">
        <v>10590</v>
      </c>
      <c r="S1124" s="22" t="s">
        <v>10591</v>
      </c>
      <c r="T1124" s="22">
        <v>8.17</v>
      </c>
      <c r="U1124" s="22">
        <v>0.38</v>
      </c>
      <c r="X1124" s="26"/>
      <c r="Y1124" s="26"/>
    </row>
    <row r="1125" spans="1:25" ht="37.5" x14ac:dyDescent="0.25">
      <c r="A1125" s="21">
        <v>1513</v>
      </c>
      <c r="B1125" s="22" t="s">
        <v>15368</v>
      </c>
      <c r="C1125" s="22" t="s">
        <v>10592</v>
      </c>
      <c r="D1125" s="23" t="s">
        <v>10593</v>
      </c>
      <c r="E1125" s="24">
        <v>1982</v>
      </c>
      <c r="F1125" s="22" t="s">
        <v>10594</v>
      </c>
      <c r="G1125" s="23" t="s">
        <v>10595</v>
      </c>
      <c r="H1125" s="25" t="s">
        <v>15373</v>
      </c>
      <c r="I1125" s="22" t="s">
        <v>15382</v>
      </c>
      <c r="J1125" s="22" t="s">
        <v>14861</v>
      </c>
      <c r="K1125" s="26">
        <f t="shared" si="17"/>
        <v>500</v>
      </c>
      <c r="L1125" s="26">
        <v>500</v>
      </c>
      <c r="O1125" s="22" t="s">
        <v>10596</v>
      </c>
      <c r="P1125" s="22" t="s">
        <v>15376</v>
      </c>
      <c r="Q1125" s="22">
        <v>90012</v>
      </c>
      <c r="R1125" s="22" t="s">
        <v>10597</v>
      </c>
      <c r="S1125" s="22" t="s">
        <v>10598</v>
      </c>
      <c r="T1125" s="22">
        <v>8.17</v>
      </c>
      <c r="U1125" s="22">
        <v>0.38</v>
      </c>
      <c r="X1125" s="26"/>
      <c r="Y1125" s="26"/>
    </row>
    <row r="1126" spans="1:25" ht="37.5" x14ac:dyDescent="0.25">
      <c r="A1126" s="21">
        <v>1515</v>
      </c>
      <c r="B1126" s="22" t="s">
        <v>15368</v>
      </c>
      <c r="C1126" s="22" t="s">
        <v>10599</v>
      </c>
      <c r="D1126" s="23">
        <v>242463</v>
      </c>
      <c r="E1126" s="24">
        <v>1990</v>
      </c>
      <c r="F1126" s="22" t="s">
        <v>10600</v>
      </c>
      <c r="G1126" s="23" t="s">
        <v>10601</v>
      </c>
      <c r="H1126" s="25" t="s">
        <v>15373</v>
      </c>
      <c r="I1126" s="22" t="s">
        <v>15374</v>
      </c>
      <c r="J1126" s="22">
        <v>3412</v>
      </c>
      <c r="K1126" s="26">
        <f t="shared" si="17"/>
        <v>496.66666666666663</v>
      </c>
      <c r="N1126" s="26">
        <v>745</v>
      </c>
      <c r="O1126" s="22" t="s">
        <v>10602</v>
      </c>
      <c r="P1126" s="22" t="s">
        <v>15740</v>
      </c>
      <c r="Q1126" s="22">
        <v>90802</v>
      </c>
      <c r="R1126" s="22" t="s">
        <v>10603</v>
      </c>
      <c r="S1126" s="22" t="s">
        <v>10604</v>
      </c>
      <c r="T1126" s="22">
        <v>12</v>
      </c>
      <c r="U1126" s="22">
        <v>0.53</v>
      </c>
      <c r="X1126" s="26"/>
      <c r="Y1126" s="26"/>
    </row>
    <row r="1127" spans="1:25" ht="25" x14ac:dyDescent="0.25">
      <c r="A1127" s="21">
        <v>1516</v>
      </c>
      <c r="B1127" s="22" t="s">
        <v>15368</v>
      </c>
      <c r="C1127" s="22" t="s">
        <v>10605</v>
      </c>
      <c r="D1127" s="23">
        <v>251318</v>
      </c>
      <c r="E1127" s="24">
        <v>1991</v>
      </c>
      <c r="F1127" s="22" t="s">
        <v>10606</v>
      </c>
      <c r="G1127" s="23" t="s">
        <v>10607</v>
      </c>
      <c r="H1127" s="25" t="s">
        <v>15373</v>
      </c>
      <c r="I1127" s="22" t="s">
        <v>15374</v>
      </c>
      <c r="J1127" s="22" t="s">
        <v>11162</v>
      </c>
      <c r="K1127" s="26">
        <f t="shared" si="17"/>
        <v>391.33333333333331</v>
      </c>
      <c r="N1127" s="26">
        <v>587</v>
      </c>
      <c r="O1127" s="22" t="s">
        <v>11751</v>
      </c>
      <c r="P1127" s="22" t="s">
        <v>16813</v>
      </c>
      <c r="Q1127" s="22">
        <v>90212</v>
      </c>
      <c r="R1127" s="22" t="s">
        <v>11752</v>
      </c>
      <c r="S1127" s="22" t="s">
        <v>11753</v>
      </c>
      <c r="T1127" s="22">
        <v>8.17</v>
      </c>
      <c r="U1127" s="22">
        <v>0.38</v>
      </c>
      <c r="X1127" s="26"/>
      <c r="Y1127" s="26"/>
    </row>
    <row r="1128" spans="1:25" ht="25" x14ac:dyDescent="0.25">
      <c r="A1128" s="21">
        <v>1517</v>
      </c>
      <c r="B1128" s="22" t="s">
        <v>15368</v>
      </c>
      <c r="C1128" s="22" t="s">
        <v>11754</v>
      </c>
      <c r="D1128" s="23">
        <v>312411</v>
      </c>
      <c r="E1128" s="24">
        <v>1996</v>
      </c>
      <c r="F1128" s="22" t="s">
        <v>11755</v>
      </c>
      <c r="G1128" s="23" t="s">
        <v>11756</v>
      </c>
      <c r="H1128" s="25" t="s">
        <v>15373</v>
      </c>
      <c r="I1128" s="22" t="s">
        <v>15374</v>
      </c>
      <c r="J1128" s="22">
        <v>3412</v>
      </c>
      <c r="K1128" s="26">
        <f t="shared" si="17"/>
        <v>503.33333333333331</v>
      </c>
      <c r="N1128" s="26">
        <v>755</v>
      </c>
      <c r="O1128" s="22" t="s">
        <v>11757</v>
      </c>
      <c r="P1128" s="22" t="s">
        <v>15537</v>
      </c>
      <c r="Q1128" s="22">
        <v>92660</v>
      </c>
      <c r="R1128" s="22" t="s">
        <v>11758</v>
      </c>
      <c r="S1128" s="22" t="s">
        <v>11759</v>
      </c>
      <c r="T1128" s="22">
        <v>8.17</v>
      </c>
      <c r="U1128" s="22">
        <v>0.38</v>
      </c>
      <c r="X1128" s="26"/>
      <c r="Y1128" s="26"/>
    </row>
    <row r="1129" spans="1:25" ht="25" x14ac:dyDescent="0.25">
      <c r="A1129" s="21">
        <v>1518</v>
      </c>
      <c r="B1129" s="22" t="s">
        <v>15368</v>
      </c>
      <c r="C1129" s="22" t="s">
        <v>11760</v>
      </c>
      <c r="D1129" s="23">
        <v>212253</v>
      </c>
      <c r="E1129" s="24">
        <v>1989</v>
      </c>
      <c r="F1129" s="22" t="s">
        <v>11761</v>
      </c>
      <c r="G1129" s="23" t="s">
        <v>11762</v>
      </c>
      <c r="H1129" s="25" t="s">
        <v>15373</v>
      </c>
      <c r="I1129" s="22" t="s">
        <v>15374</v>
      </c>
      <c r="J1129" s="22" t="s">
        <v>16404</v>
      </c>
      <c r="K1129" s="26">
        <f t="shared" si="17"/>
        <v>400</v>
      </c>
      <c r="N1129" s="26">
        <v>600</v>
      </c>
      <c r="O1129" s="22" t="s">
        <v>11763</v>
      </c>
      <c r="P1129" s="22" t="s">
        <v>12845</v>
      </c>
      <c r="Q1129" s="22">
        <v>92686</v>
      </c>
      <c r="R1129" s="22" t="s">
        <v>11764</v>
      </c>
      <c r="S1129" s="22" t="s">
        <v>11765</v>
      </c>
      <c r="T1129" s="22">
        <v>8.17</v>
      </c>
      <c r="U1129" s="22">
        <v>0.38</v>
      </c>
      <c r="X1129" s="26"/>
      <c r="Y1129" s="26"/>
    </row>
    <row r="1130" spans="1:25" ht="25" x14ac:dyDescent="0.25">
      <c r="A1130" s="21">
        <v>1519</v>
      </c>
      <c r="B1130" s="22" t="s">
        <v>15368</v>
      </c>
      <c r="C1130" s="22" t="s">
        <v>11766</v>
      </c>
      <c r="D1130" s="23">
        <v>228554</v>
      </c>
      <c r="E1130" s="24">
        <v>1990</v>
      </c>
      <c r="F1130" s="22" t="s">
        <v>11767</v>
      </c>
      <c r="G1130" s="23" t="s">
        <v>11768</v>
      </c>
      <c r="H1130" s="25" t="s">
        <v>15373</v>
      </c>
      <c r="I1130" s="22" t="s">
        <v>15374</v>
      </c>
      <c r="J1130" s="22">
        <v>3406</v>
      </c>
      <c r="K1130" s="26">
        <f t="shared" si="17"/>
        <v>346</v>
      </c>
      <c r="N1130" s="26">
        <v>519</v>
      </c>
      <c r="O1130" s="22" t="s">
        <v>11769</v>
      </c>
      <c r="P1130" s="22" t="s">
        <v>11992</v>
      </c>
      <c r="Q1130" s="22">
        <v>90292</v>
      </c>
      <c r="R1130" s="22" t="s">
        <v>11770</v>
      </c>
      <c r="S1130" s="22" t="s">
        <v>11771</v>
      </c>
      <c r="T1130" s="22">
        <v>8.17</v>
      </c>
      <c r="U1130" s="22">
        <v>0.38</v>
      </c>
      <c r="X1130" s="26"/>
      <c r="Y1130" s="26"/>
    </row>
    <row r="1131" spans="1:25" ht="37.5" x14ac:dyDescent="0.25">
      <c r="A1131" s="21">
        <v>1520</v>
      </c>
      <c r="B1131" s="22" t="s">
        <v>15368</v>
      </c>
      <c r="C1131" s="22" t="s">
        <v>11772</v>
      </c>
      <c r="D1131" s="23">
        <v>359500</v>
      </c>
      <c r="E1131" s="24">
        <v>1999</v>
      </c>
      <c r="F1131" s="22" t="s">
        <v>11773</v>
      </c>
      <c r="G1131" s="23" t="s">
        <v>12139</v>
      </c>
      <c r="H1131" s="25" t="s">
        <v>15373</v>
      </c>
      <c r="I1131" s="22" t="s">
        <v>15374</v>
      </c>
      <c r="J1131" s="22" t="s">
        <v>15701</v>
      </c>
      <c r="K1131" s="26">
        <f t="shared" si="17"/>
        <v>350</v>
      </c>
      <c r="L1131" s="26">
        <v>350</v>
      </c>
      <c r="O1131" s="22" t="s">
        <v>11774</v>
      </c>
      <c r="P1131" s="22" t="s">
        <v>15971</v>
      </c>
      <c r="Q1131" s="22">
        <v>92691</v>
      </c>
      <c r="R1131" s="22" t="s">
        <v>11775</v>
      </c>
      <c r="S1131" s="22" t="s">
        <v>11776</v>
      </c>
      <c r="T1131" s="22">
        <v>8.17</v>
      </c>
      <c r="U1131" s="22">
        <v>0.38</v>
      </c>
      <c r="X1131" s="26"/>
      <c r="Y1131" s="26"/>
    </row>
    <row r="1132" spans="1:25" ht="37.5" x14ac:dyDescent="0.25">
      <c r="A1132" s="21">
        <v>1521</v>
      </c>
      <c r="B1132" s="22" t="s">
        <v>15368</v>
      </c>
      <c r="C1132" s="22" t="s">
        <v>11777</v>
      </c>
      <c r="D1132" s="23">
        <v>182906</v>
      </c>
      <c r="E1132" s="24">
        <v>1989</v>
      </c>
      <c r="F1132" s="22" t="s">
        <v>11778</v>
      </c>
      <c r="G1132" s="23" t="s">
        <v>11779</v>
      </c>
      <c r="H1132" s="25" t="s">
        <v>15373</v>
      </c>
      <c r="I1132" s="22" t="s">
        <v>15374</v>
      </c>
      <c r="J1132" s="22">
        <v>3412</v>
      </c>
      <c r="K1132" s="26">
        <f t="shared" si="17"/>
        <v>364</v>
      </c>
      <c r="N1132" s="26">
        <v>546</v>
      </c>
      <c r="O1132" s="22" t="s">
        <v>11780</v>
      </c>
      <c r="P1132" s="22" t="s">
        <v>15537</v>
      </c>
      <c r="Q1132" s="22">
        <v>92660</v>
      </c>
      <c r="R1132" s="22" t="s">
        <v>11781</v>
      </c>
      <c r="S1132" s="22" t="s">
        <v>11782</v>
      </c>
      <c r="T1132" s="22">
        <v>8.17</v>
      </c>
      <c r="U1132" s="22">
        <v>0.38</v>
      </c>
      <c r="X1132" s="26"/>
      <c r="Y1132" s="26"/>
    </row>
    <row r="1133" spans="1:25" ht="37.5" x14ac:dyDescent="0.25">
      <c r="A1133" s="21">
        <v>1522</v>
      </c>
      <c r="B1133" s="22" t="s">
        <v>15368</v>
      </c>
      <c r="C1133" s="22" t="s">
        <v>11783</v>
      </c>
      <c r="D1133" s="23">
        <v>201303</v>
      </c>
      <c r="E1133" s="24">
        <v>1989</v>
      </c>
      <c r="F1133" s="22" t="s">
        <v>11784</v>
      </c>
      <c r="G1133" s="23" t="s">
        <v>11785</v>
      </c>
      <c r="H1133" s="25" t="s">
        <v>15373</v>
      </c>
      <c r="I1133" s="22" t="s">
        <v>15374</v>
      </c>
      <c r="J1133" s="22">
        <v>3512</v>
      </c>
      <c r="K1133" s="26">
        <f t="shared" si="17"/>
        <v>1116.6666666666665</v>
      </c>
      <c r="N1133" s="26">
        <v>1675</v>
      </c>
      <c r="O1133" s="22" t="s">
        <v>11786</v>
      </c>
      <c r="P1133" s="22" t="s">
        <v>15422</v>
      </c>
      <c r="Q1133" s="22">
        <v>91521</v>
      </c>
      <c r="R1133" s="22" t="s">
        <v>11787</v>
      </c>
      <c r="S1133" s="22" t="s">
        <v>10639</v>
      </c>
      <c r="T1133" s="22">
        <v>6.9</v>
      </c>
      <c r="U1133" s="22">
        <v>0.4</v>
      </c>
      <c r="X1133" s="26"/>
      <c r="Y1133" s="26"/>
    </row>
    <row r="1134" spans="1:25" ht="37.5" x14ac:dyDescent="0.25">
      <c r="A1134" s="21">
        <v>1523</v>
      </c>
      <c r="B1134" s="22" t="s">
        <v>15368</v>
      </c>
      <c r="C1134" s="22" t="s">
        <v>11783</v>
      </c>
      <c r="D1134" s="23">
        <v>242198</v>
      </c>
      <c r="E1134" s="24">
        <v>1990</v>
      </c>
      <c r="F1134" s="22" t="s">
        <v>11788</v>
      </c>
      <c r="G1134" s="23" t="s">
        <v>11789</v>
      </c>
      <c r="H1134" s="25" t="s">
        <v>15373</v>
      </c>
      <c r="I1134" s="22" t="s">
        <v>15411</v>
      </c>
      <c r="J1134" s="22" t="s">
        <v>12830</v>
      </c>
      <c r="K1134" s="26">
        <f t="shared" si="17"/>
        <v>573.33333333333326</v>
      </c>
      <c r="N1134" s="26">
        <v>860</v>
      </c>
      <c r="O1134" s="22" t="s">
        <v>11786</v>
      </c>
      <c r="P1134" s="22" t="s">
        <v>15422</v>
      </c>
      <c r="Q1134" s="22">
        <v>91521</v>
      </c>
      <c r="R1134" s="22" t="s">
        <v>11787</v>
      </c>
      <c r="S1134" s="22" t="s">
        <v>10639</v>
      </c>
      <c r="T1134" s="22">
        <v>8.17</v>
      </c>
      <c r="U1134" s="22">
        <v>0.38</v>
      </c>
      <c r="X1134" s="26"/>
      <c r="Y1134" s="26"/>
    </row>
    <row r="1135" spans="1:25" ht="25" x14ac:dyDescent="0.25">
      <c r="A1135" s="21">
        <v>1524</v>
      </c>
      <c r="B1135" s="22" t="s">
        <v>15368</v>
      </c>
      <c r="C1135" s="22" t="s">
        <v>11783</v>
      </c>
      <c r="D1135" s="23">
        <v>290970</v>
      </c>
      <c r="E1135" s="24">
        <v>1994</v>
      </c>
      <c r="F1135" s="22" t="s">
        <v>11790</v>
      </c>
      <c r="G1135" s="23" t="s">
        <v>11791</v>
      </c>
      <c r="H1135" s="25" t="s">
        <v>15373</v>
      </c>
      <c r="I1135" s="22" t="s">
        <v>15382</v>
      </c>
      <c r="J1135" s="22" t="s">
        <v>16925</v>
      </c>
      <c r="K1135" s="26">
        <f t="shared" si="17"/>
        <v>1466.6666666666665</v>
      </c>
      <c r="N1135" s="26">
        <v>2200</v>
      </c>
      <c r="O1135" s="22" t="s">
        <v>11786</v>
      </c>
      <c r="P1135" s="22" t="s">
        <v>15422</v>
      </c>
      <c r="Q1135" s="22">
        <v>91521</v>
      </c>
      <c r="R1135" s="22" t="s">
        <v>11787</v>
      </c>
      <c r="S1135" s="22" t="s">
        <v>10639</v>
      </c>
      <c r="T1135" s="22">
        <v>8.17</v>
      </c>
      <c r="U1135" s="22">
        <v>0.38</v>
      </c>
      <c r="X1135" s="26"/>
      <c r="Y1135" s="26"/>
    </row>
    <row r="1136" spans="1:25" ht="25" x14ac:dyDescent="0.25">
      <c r="A1136" s="21">
        <v>1525</v>
      </c>
      <c r="B1136" s="22" t="s">
        <v>15368</v>
      </c>
      <c r="C1136" s="22" t="s">
        <v>11783</v>
      </c>
      <c r="D1136" s="23">
        <v>322430</v>
      </c>
      <c r="E1136" s="24">
        <v>1996</v>
      </c>
      <c r="F1136" s="22" t="s">
        <v>11792</v>
      </c>
      <c r="G1136" s="23" t="s">
        <v>11833</v>
      </c>
      <c r="H1136" s="25" t="s">
        <v>15373</v>
      </c>
      <c r="I1136" s="22" t="s">
        <v>15382</v>
      </c>
      <c r="J1136" s="22" t="s">
        <v>15723</v>
      </c>
      <c r="K1136" s="26">
        <f t="shared" si="17"/>
        <v>1233.3333333333333</v>
      </c>
      <c r="N1136" s="26">
        <v>1850</v>
      </c>
      <c r="O1136" s="22" t="s">
        <v>11793</v>
      </c>
      <c r="P1136" s="22" t="s">
        <v>15422</v>
      </c>
      <c r="Q1136" s="22">
        <v>91505</v>
      </c>
      <c r="R1136" s="22" t="s">
        <v>11787</v>
      </c>
      <c r="S1136" s="22" t="s">
        <v>10639</v>
      </c>
      <c r="T1136" s="22">
        <v>8.17</v>
      </c>
      <c r="U1136" s="22">
        <v>0.38</v>
      </c>
      <c r="X1136" s="26"/>
      <c r="Y1136" s="26"/>
    </row>
    <row r="1137" spans="1:25" ht="25" x14ac:dyDescent="0.25">
      <c r="A1137" s="21">
        <v>1526</v>
      </c>
      <c r="B1137" s="22" t="s">
        <v>15368</v>
      </c>
      <c r="C1137" s="22" t="s">
        <v>11783</v>
      </c>
      <c r="D1137" s="23">
        <v>322834</v>
      </c>
      <c r="E1137" s="24">
        <v>1996</v>
      </c>
      <c r="F1137" s="22" t="s">
        <v>11794</v>
      </c>
      <c r="G1137" s="23" t="s">
        <v>11791</v>
      </c>
      <c r="H1137" s="25" t="s">
        <v>15373</v>
      </c>
      <c r="I1137" s="22" t="s">
        <v>15382</v>
      </c>
      <c r="J1137" s="22" t="s">
        <v>16925</v>
      </c>
      <c r="K1137" s="26">
        <f t="shared" si="17"/>
        <v>1480</v>
      </c>
      <c r="N1137" s="26">
        <v>2220</v>
      </c>
      <c r="O1137" s="22" t="s">
        <v>11786</v>
      </c>
      <c r="P1137" s="22" t="s">
        <v>15422</v>
      </c>
      <c r="Q1137" s="22">
        <v>91521</v>
      </c>
      <c r="R1137" s="22" t="s">
        <v>11787</v>
      </c>
      <c r="S1137" s="22" t="s">
        <v>10639</v>
      </c>
      <c r="T1137" s="22">
        <v>8.17</v>
      </c>
      <c r="U1137" s="22">
        <v>0.38</v>
      </c>
      <c r="X1137" s="26"/>
      <c r="Y1137" s="26"/>
    </row>
    <row r="1138" spans="1:25" ht="25" x14ac:dyDescent="0.25">
      <c r="A1138" s="21">
        <v>1527</v>
      </c>
      <c r="B1138" s="22" t="s">
        <v>15368</v>
      </c>
      <c r="C1138" s="22" t="s">
        <v>11783</v>
      </c>
      <c r="D1138" s="23">
        <v>325264</v>
      </c>
      <c r="E1138" s="24">
        <v>1997</v>
      </c>
      <c r="F1138" s="22" t="s">
        <v>11795</v>
      </c>
      <c r="G1138" s="23" t="s">
        <v>11796</v>
      </c>
      <c r="H1138" s="25" t="s">
        <v>15373</v>
      </c>
      <c r="I1138" s="22" t="s">
        <v>15382</v>
      </c>
      <c r="J1138" s="22" t="s">
        <v>16784</v>
      </c>
      <c r="K1138" s="26">
        <f t="shared" si="17"/>
        <v>503.33333333333331</v>
      </c>
      <c r="N1138" s="26">
        <v>755</v>
      </c>
      <c r="O1138" s="22" t="s">
        <v>11786</v>
      </c>
      <c r="P1138" s="22" t="s">
        <v>15422</v>
      </c>
      <c r="Q1138" s="22">
        <v>91521</v>
      </c>
      <c r="R1138" s="22" t="s">
        <v>11787</v>
      </c>
      <c r="S1138" s="22" t="s">
        <v>10639</v>
      </c>
      <c r="T1138" s="22">
        <v>8.17</v>
      </c>
      <c r="U1138" s="22">
        <v>0.38</v>
      </c>
      <c r="X1138" s="26"/>
      <c r="Y1138" s="26"/>
    </row>
    <row r="1139" spans="1:25" ht="37.5" x14ac:dyDescent="0.25">
      <c r="A1139" s="21">
        <v>1528</v>
      </c>
      <c r="B1139" s="22" t="s">
        <v>15368</v>
      </c>
      <c r="C1139" s="22" t="s">
        <v>11783</v>
      </c>
      <c r="D1139" s="23">
        <v>362650</v>
      </c>
      <c r="E1139" s="24">
        <v>1999</v>
      </c>
      <c r="F1139" s="22" t="s">
        <v>11797</v>
      </c>
      <c r="G1139" s="23" t="s">
        <v>11798</v>
      </c>
      <c r="H1139" s="25" t="s">
        <v>15373</v>
      </c>
      <c r="I1139" s="22" t="s">
        <v>15374</v>
      </c>
      <c r="J1139" s="22" t="s">
        <v>15420</v>
      </c>
      <c r="K1139" s="26">
        <f t="shared" si="17"/>
        <v>1200.6666666666665</v>
      </c>
      <c r="N1139" s="26">
        <v>1801</v>
      </c>
      <c r="O1139" s="22" t="s">
        <v>11786</v>
      </c>
      <c r="P1139" s="22" t="s">
        <v>15422</v>
      </c>
      <c r="Q1139" s="22">
        <v>91521</v>
      </c>
      <c r="R1139" s="22" t="s">
        <v>11787</v>
      </c>
      <c r="S1139" s="22" t="s">
        <v>10639</v>
      </c>
      <c r="T1139" s="22">
        <v>8.17</v>
      </c>
      <c r="U1139" s="22">
        <v>0.38</v>
      </c>
      <c r="X1139" s="26"/>
      <c r="Y1139" s="26"/>
    </row>
    <row r="1140" spans="1:25" ht="37.5" x14ac:dyDescent="0.25">
      <c r="A1140" s="21">
        <v>1529</v>
      </c>
      <c r="B1140" s="22" t="s">
        <v>15368</v>
      </c>
      <c r="C1140" s="22" t="s">
        <v>10718</v>
      </c>
      <c r="D1140" s="23">
        <v>310963</v>
      </c>
      <c r="E1140" s="24">
        <v>1996</v>
      </c>
      <c r="F1140" s="22" t="s">
        <v>10719</v>
      </c>
      <c r="G1140" s="23" t="s">
        <v>10720</v>
      </c>
      <c r="H1140" s="25" t="s">
        <v>15373</v>
      </c>
      <c r="I1140" s="22" t="s">
        <v>15382</v>
      </c>
      <c r="J1140" s="22" t="s">
        <v>13380</v>
      </c>
      <c r="K1140" s="26">
        <f t="shared" si="17"/>
        <v>456.66666666666663</v>
      </c>
      <c r="N1140" s="26">
        <v>685</v>
      </c>
      <c r="O1140" s="22" t="s">
        <v>10721</v>
      </c>
      <c r="P1140" s="22" t="s">
        <v>15212</v>
      </c>
      <c r="Q1140" s="22">
        <v>92866</v>
      </c>
      <c r="R1140" s="22" t="s">
        <v>10722</v>
      </c>
      <c r="S1140" s="22" t="s">
        <v>10723</v>
      </c>
      <c r="T1140" s="22">
        <v>8.17</v>
      </c>
      <c r="U1140" s="22">
        <v>0.38</v>
      </c>
      <c r="X1140" s="26"/>
      <c r="Y1140" s="26"/>
    </row>
    <row r="1141" spans="1:25" ht="37.5" x14ac:dyDescent="0.25">
      <c r="A1141" s="21">
        <v>1531</v>
      </c>
      <c r="B1141" s="22" t="s">
        <v>15368</v>
      </c>
      <c r="C1141" s="22" t="s">
        <v>10724</v>
      </c>
      <c r="D1141" s="23">
        <v>257143</v>
      </c>
      <c r="E1141" s="24">
        <v>1991</v>
      </c>
      <c r="F1141" s="22" t="s">
        <v>10725</v>
      </c>
      <c r="G1141" s="23" t="s">
        <v>10726</v>
      </c>
      <c r="H1141" s="25" t="s">
        <v>15373</v>
      </c>
      <c r="I1141" s="22" t="s">
        <v>15374</v>
      </c>
      <c r="J1141" s="22">
        <v>3412</v>
      </c>
      <c r="K1141" s="26">
        <f t="shared" si="17"/>
        <v>503.33333333333331</v>
      </c>
      <c r="N1141" s="26">
        <v>755</v>
      </c>
      <c r="O1141" s="22" t="s">
        <v>10727</v>
      </c>
      <c r="P1141" s="22" t="s">
        <v>15376</v>
      </c>
      <c r="Q1141" s="22">
        <v>90025</v>
      </c>
      <c r="R1141" s="22" t="s">
        <v>10728</v>
      </c>
      <c r="S1141" s="22" t="s">
        <v>10729</v>
      </c>
      <c r="T1141" s="22">
        <v>6.9</v>
      </c>
      <c r="U1141" s="22">
        <v>0.4</v>
      </c>
      <c r="X1141" s="26"/>
      <c r="Y1141" s="26"/>
    </row>
    <row r="1142" spans="1:25" ht="25" x14ac:dyDescent="0.25">
      <c r="A1142" s="21">
        <v>1533</v>
      </c>
      <c r="B1142" s="22" t="s">
        <v>15368</v>
      </c>
      <c r="C1142" s="22" t="s">
        <v>10730</v>
      </c>
      <c r="D1142" s="23">
        <v>227185</v>
      </c>
      <c r="E1142" s="24">
        <v>1990</v>
      </c>
      <c r="F1142" s="22" t="s">
        <v>10731</v>
      </c>
      <c r="G1142" s="23" t="s">
        <v>10732</v>
      </c>
      <c r="H1142" s="25" t="s">
        <v>15373</v>
      </c>
      <c r="I1142" s="22" t="s">
        <v>15374</v>
      </c>
      <c r="J1142" s="22" t="s">
        <v>11162</v>
      </c>
      <c r="K1142" s="26">
        <f t="shared" si="17"/>
        <v>345.33333333333331</v>
      </c>
      <c r="N1142" s="26">
        <v>518</v>
      </c>
      <c r="O1142" s="22" t="s">
        <v>10733</v>
      </c>
      <c r="P1142" s="22" t="s">
        <v>16853</v>
      </c>
      <c r="Q1142" s="22">
        <v>92714</v>
      </c>
      <c r="R1142" s="22" t="s">
        <v>10734</v>
      </c>
      <c r="S1142" s="22" t="s">
        <v>10735</v>
      </c>
      <c r="T1142" s="22">
        <v>8.17</v>
      </c>
      <c r="U1142" s="22">
        <v>0.38</v>
      </c>
      <c r="X1142" s="26"/>
      <c r="Y1142" s="26"/>
    </row>
    <row r="1143" spans="1:25" ht="25" x14ac:dyDescent="0.25">
      <c r="A1143" s="21">
        <v>1534</v>
      </c>
      <c r="B1143" s="22" t="s">
        <v>15368</v>
      </c>
      <c r="C1143" s="22" t="s">
        <v>10730</v>
      </c>
      <c r="D1143" s="23">
        <v>233740</v>
      </c>
      <c r="E1143" s="24">
        <v>1990</v>
      </c>
      <c r="F1143" s="22" t="s">
        <v>10736</v>
      </c>
      <c r="G1143" s="23" t="s">
        <v>10737</v>
      </c>
      <c r="H1143" s="25" t="s">
        <v>15373</v>
      </c>
      <c r="I1143" s="22" t="s">
        <v>15382</v>
      </c>
      <c r="J1143" s="22" t="s">
        <v>16811</v>
      </c>
      <c r="K1143" s="26">
        <f t="shared" si="17"/>
        <v>356.66666666666663</v>
      </c>
      <c r="N1143" s="26">
        <v>535</v>
      </c>
      <c r="O1143" s="22" t="s">
        <v>10733</v>
      </c>
      <c r="P1143" s="22" t="s">
        <v>16853</v>
      </c>
      <c r="Q1143" s="22">
        <v>92714</v>
      </c>
      <c r="R1143" s="22" t="s">
        <v>10734</v>
      </c>
      <c r="S1143" s="22" t="s">
        <v>10735</v>
      </c>
      <c r="T1143" s="22">
        <v>8.17</v>
      </c>
      <c r="U1143" s="22">
        <v>0.38</v>
      </c>
      <c r="X1143" s="26"/>
      <c r="Y1143" s="26"/>
    </row>
    <row r="1144" spans="1:25" ht="37.5" x14ac:dyDescent="0.25">
      <c r="A1144" s="21">
        <v>1535</v>
      </c>
      <c r="B1144" s="22" t="s">
        <v>15368</v>
      </c>
      <c r="C1144" s="22" t="s">
        <v>10738</v>
      </c>
      <c r="D1144" s="23">
        <v>282682</v>
      </c>
      <c r="E1144" s="24">
        <v>1993</v>
      </c>
      <c r="F1144" s="22" t="s">
        <v>10739</v>
      </c>
      <c r="G1144" s="23" t="s">
        <v>10740</v>
      </c>
      <c r="H1144" s="25" t="s">
        <v>15373</v>
      </c>
      <c r="I1144" s="22" t="s">
        <v>15374</v>
      </c>
      <c r="J1144" s="22" t="s">
        <v>16404</v>
      </c>
      <c r="K1144" s="26">
        <f t="shared" si="17"/>
        <v>782.66666666666663</v>
      </c>
      <c r="N1144" s="26">
        <v>1174</v>
      </c>
      <c r="O1144" s="22" t="s">
        <v>10741</v>
      </c>
      <c r="P1144" s="22" t="s">
        <v>15376</v>
      </c>
      <c r="Q1144" s="22">
        <v>90024</v>
      </c>
      <c r="R1144" s="22" t="s">
        <v>10742</v>
      </c>
      <c r="S1144" s="22" t="s">
        <v>10743</v>
      </c>
      <c r="T1144" s="22">
        <v>8.17</v>
      </c>
      <c r="U1144" s="22">
        <v>0.38</v>
      </c>
      <c r="X1144" s="26"/>
      <c r="Y1144" s="26"/>
    </row>
    <row r="1145" spans="1:25" ht="37.5" x14ac:dyDescent="0.25">
      <c r="A1145" s="21">
        <v>1536</v>
      </c>
      <c r="B1145" s="22" t="s">
        <v>15368</v>
      </c>
      <c r="C1145" s="22" t="s">
        <v>10744</v>
      </c>
      <c r="D1145" s="23">
        <v>190599</v>
      </c>
      <c r="E1145" s="24">
        <v>1989</v>
      </c>
      <c r="F1145" s="22" t="s">
        <v>10745</v>
      </c>
      <c r="G1145" s="23" t="s">
        <v>10746</v>
      </c>
      <c r="H1145" s="25" t="s">
        <v>15373</v>
      </c>
      <c r="I1145" s="22" t="s">
        <v>15374</v>
      </c>
      <c r="J1145" s="22">
        <v>3412</v>
      </c>
      <c r="K1145" s="26">
        <f t="shared" si="17"/>
        <v>453.33333333333331</v>
      </c>
      <c r="N1145" s="26">
        <v>680</v>
      </c>
      <c r="O1145" s="22" t="s">
        <v>10747</v>
      </c>
      <c r="P1145" s="22" t="s">
        <v>15712</v>
      </c>
      <c r="Q1145" s="22">
        <v>90503</v>
      </c>
      <c r="R1145" s="22" t="s">
        <v>10748</v>
      </c>
      <c r="S1145" s="22" t="s">
        <v>10749</v>
      </c>
      <c r="T1145" s="22">
        <v>8.17</v>
      </c>
      <c r="U1145" s="22">
        <v>0.38</v>
      </c>
      <c r="X1145" s="26"/>
      <c r="Y1145" s="26"/>
    </row>
    <row r="1146" spans="1:25" ht="37.5" x14ac:dyDescent="0.25">
      <c r="A1146" s="21">
        <v>1538</v>
      </c>
      <c r="B1146" s="22" t="s">
        <v>15368</v>
      </c>
      <c r="C1146" s="22" t="s">
        <v>10750</v>
      </c>
      <c r="D1146" s="23">
        <v>306903</v>
      </c>
      <c r="E1146" s="24">
        <v>1995</v>
      </c>
      <c r="F1146" s="22" t="s">
        <v>10755</v>
      </c>
      <c r="G1146" s="23" t="s">
        <v>10756</v>
      </c>
      <c r="H1146" s="25" t="s">
        <v>15373</v>
      </c>
      <c r="I1146" s="22" t="s">
        <v>15374</v>
      </c>
      <c r="J1146" s="22" t="s">
        <v>15677</v>
      </c>
      <c r="K1146" s="26">
        <f t="shared" si="17"/>
        <v>1500</v>
      </c>
      <c r="L1146" s="26">
        <v>1500</v>
      </c>
      <c r="O1146" s="22" t="s">
        <v>10751</v>
      </c>
      <c r="P1146" s="22" t="s">
        <v>15712</v>
      </c>
      <c r="Q1146" s="22" t="s">
        <v>10752</v>
      </c>
      <c r="R1146" s="22" t="s">
        <v>10753</v>
      </c>
      <c r="S1146" s="22" t="s">
        <v>10754</v>
      </c>
      <c r="T1146" s="22">
        <v>8.17</v>
      </c>
      <c r="U1146" s="22">
        <v>0.38</v>
      </c>
      <c r="X1146" s="26"/>
      <c r="Y1146" s="26"/>
    </row>
    <row r="1147" spans="1:25" ht="25" x14ac:dyDescent="0.25">
      <c r="A1147" s="21">
        <v>1539</v>
      </c>
      <c r="B1147" s="22" t="s">
        <v>15368</v>
      </c>
      <c r="C1147" s="22" t="s">
        <v>10757</v>
      </c>
      <c r="D1147" s="23">
        <v>326063</v>
      </c>
      <c r="E1147" s="24">
        <v>1997</v>
      </c>
      <c r="F1147" s="22" t="s">
        <v>10758</v>
      </c>
      <c r="G1147" s="23" t="s">
        <v>10759</v>
      </c>
      <c r="H1147" s="25" t="s">
        <v>15373</v>
      </c>
      <c r="I1147" s="22" t="s">
        <v>15374</v>
      </c>
      <c r="J1147" s="22" t="s">
        <v>16869</v>
      </c>
      <c r="K1147" s="26">
        <f t="shared" si="17"/>
        <v>425.33333333333331</v>
      </c>
      <c r="M1147" s="26">
        <v>638</v>
      </c>
      <c r="O1147" s="22" t="s">
        <v>10760</v>
      </c>
      <c r="P1147" s="22" t="s">
        <v>14362</v>
      </c>
      <c r="Q1147" s="22">
        <v>90744</v>
      </c>
      <c r="R1147" s="22" t="s">
        <v>10761</v>
      </c>
      <c r="S1147" s="22" t="s">
        <v>10762</v>
      </c>
      <c r="T1147" s="22">
        <v>8.17</v>
      </c>
      <c r="U1147" s="22">
        <v>0.38</v>
      </c>
      <c r="X1147" s="26"/>
      <c r="Y1147" s="26"/>
    </row>
    <row r="1148" spans="1:25" ht="25" x14ac:dyDescent="0.25">
      <c r="A1148" s="21">
        <v>1540</v>
      </c>
      <c r="B1148" s="22" t="s">
        <v>15368</v>
      </c>
      <c r="C1148" s="22" t="s">
        <v>10757</v>
      </c>
      <c r="D1148" s="23">
        <v>326064</v>
      </c>
      <c r="E1148" s="24">
        <v>1997</v>
      </c>
      <c r="F1148" s="22" t="s">
        <v>10763</v>
      </c>
      <c r="G1148" s="23" t="s">
        <v>10759</v>
      </c>
      <c r="H1148" s="25" t="s">
        <v>15373</v>
      </c>
      <c r="I1148" s="22" t="s">
        <v>15374</v>
      </c>
      <c r="J1148" s="22" t="s">
        <v>16869</v>
      </c>
      <c r="K1148" s="26">
        <f t="shared" si="17"/>
        <v>425.33333333333331</v>
      </c>
      <c r="M1148" s="26">
        <v>638</v>
      </c>
      <c r="O1148" s="22" t="s">
        <v>10760</v>
      </c>
      <c r="P1148" s="22" t="s">
        <v>14362</v>
      </c>
      <c r="Q1148" s="22">
        <v>90744</v>
      </c>
      <c r="R1148" s="22" t="s">
        <v>10761</v>
      </c>
      <c r="S1148" s="22" t="s">
        <v>10762</v>
      </c>
      <c r="T1148" s="22">
        <v>8.17</v>
      </c>
      <c r="U1148" s="22">
        <v>0.38</v>
      </c>
      <c r="X1148" s="26"/>
      <c r="Y1148" s="26"/>
    </row>
    <row r="1149" spans="1:25" ht="37.5" x14ac:dyDescent="0.25">
      <c r="A1149" s="21">
        <v>1541</v>
      </c>
      <c r="B1149" s="22" t="s">
        <v>15368</v>
      </c>
      <c r="C1149" s="22" t="s">
        <v>10764</v>
      </c>
      <c r="D1149" s="23">
        <v>268195</v>
      </c>
      <c r="E1149" s="24">
        <v>1992</v>
      </c>
      <c r="F1149" s="22" t="s">
        <v>10765</v>
      </c>
      <c r="G1149" s="23" t="s">
        <v>10766</v>
      </c>
      <c r="H1149" s="25" t="s">
        <v>15373</v>
      </c>
      <c r="I1149" s="22" t="s">
        <v>15411</v>
      </c>
      <c r="J1149" s="22" t="s">
        <v>10767</v>
      </c>
      <c r="K1149" s="26">
        <f t="shared" si="17"/>
        <v>350</v>
      </c>
      <c r="L1149" s="26">
        <v>350</v>
      </c>
      <c r="O1149" s="22" t="s">
        <v>10768</v>
      </c>
      <c r="P1149" s="22" t="s">
        <v>15910</v>
      </c>
      <c r="Q1149" s="22">
        <v>92553</v>
      </c>
      <c r="R1149" s="22" t="s">
        <v>10769</v>
      </c>
      <c r="S1149" s="22" t="s">
        <v>10770</v>
      </c>
      <c r="T1149" s="22">
        <v>6.9</v>
      </c>
      <c r="U1149" s="22">
        <v>0.4</v>
      </c>
      <c r="X1149" s="26"/>
      <c r="Y1149" s="26"/>
    </row>
    <row r="1150" spans="1:25" ht="37.5" x14ac:dyDescent="0.25">
      <c r="A1150" s="21">
        <v>1542</v>
      </c>
      <c r="B1150" s="22" t="s">
        <v>15368</v>
      </c>
      <c r="C1150" s="22" t="s">
        <v>10764</v>
      </c>
      <c r="D1150" s="23">
        <v>268197</v>
      </c>
      <c r="E1150" s="24">
        <v>1992</v>
      </c>
      <c r="F1150" s="22" t="s">
        <v>10771</v>
      </c>
      <c r="G1150" s="23" t="s">
        <v>10766</v>
      </c>
      <c r="H1150" s="25" t="s">
        <v>15373</v>
      </c>
      <c r="I1150" s="22" t="s">
        <v>15411</v>
      </c>
      <c r="J1150" s="22" t="s">
        <v>10767</v>
      </c>
      <c r="K1150" s="26">
        <f t="shared" si="17"/>
        <v>350</v>
      </c>
      <c r="L1150" s="26">
        <v>350</v>
      </c>
      <c r="O1150" s="22" t="s">
        <v>10768</v>
      </c>
      <c r="P1150" s="22" t="s">
        <v>15910</v>
      </c>
      <c r="Q1150" s="22">
        <v>92553</v>
      </c>
      <c r="R1150" s="22" t="s">
        <v>10769</v>
      </c>
      <c r="S1150" s="22" t="s">
        <v>10770</v>
      </c>
      <c r="T1150" s="22">
        <v>6.9</v>
      </c>
      <c r="U1150" s="22">
        <v>0.4</v>
      </c>
      <c r="X1150" s="26"/>
      <c r="Y1150" s="26"/>
    </row>
    <row r="1151" spans="1:25" ht="50" x14ac:dyDescent="0.25">
      <c r="A1151" s="21">
        <v>1543</v>
      </c>
      <c r="B1151" s="22" t="s">
        <v>15368</v>
      </c>
      <c r="C1151" s="22" t="s">
        <v>10772</v>
      </c>
      <c r="D1151" s="23">
        <v>106514</v>
      </c>
      <c r="E1151" s="24">
        <v>1983</v>
      </c>
      <c r="F1151" s="22" t="s">
        <v>10773</v>
      </c>
      <c r="G1151" s="23" t="s">
        <v>10774</v>
      </c>
      <c r="H1151" s="25" t="s">
        <v>15373</v>
      </c>
      <c r="I1151" s="22" t="s">
        <v>15411</v>
      </c>
      <c r="J1151" s="22" t="s">
        <v>10775</v>
      </c>
      <c r="K1151" s="26">
        <f t="shared" si="17"/>
        <v>1000</v>
      </c>
      <c r="L1151" s="26">
        <v>1000</v>
      </c>
      <c r="O1151" s="22" t="s">
        <v>10776</v>
      </c>
      <c r="P1151" s="22" t="s">
        <v>15712</v>
      </c>
      <c r="Q1151" s="22">
        <v>90509</v>
      </c>
      <c r="R1151" s="22" t="s">
        <v>10777</v>
      </c>
      <c r="S1151" s="22" t="s">
        <v>10778</v>
      </c>
      <c r="T1151" s="22">
        <v>8.17</v>
      </c>
      <c r="U1151" s="22">
        <v>0.38</v>
      </c>
      <c r="X1151" s="26"/>
      <c r="Y1151" s="26"/>
    </row>
    <row r="1152" spans="1:25" ht="50" x14ac:dyDescent="0.25">
      <c r="A1152" s="21">
        <v>1544</v>
      </c>
      <c r="B1152" s="22" t="s">
        <v>15368</v>
      </c>
      <c r="C1152" s="22" t="s">
        <v>10772</v>
      </c>
      <c r="D1152" s="23">
        <v>106515</v>
      </c>
      <c r="E1152" s="24">
        <v>1983</v>
      </c>
      <c r="F1152" s="22" t="s">
        <v>10779</v>
      </c>
      <c r="G1152" s="23" t="s">
        <v>10774</v>
      </c>
      <c r="H1152" s="25" t="s">
        <v>15373</v>
      </c>
      <c r="I1152" s="22" t="s">
        <v>15411</v>
      </c>
      <c r="J1152" s="22" t="s">
        <v>10775</v>
      </c>
      <c r="K1152" s="26">
        <f t="shared" si="17"/>
        <v>1000</v>
      </c>
      <c r="L1152" s="26">
        <v>1000</v>
      </c>
      <c r="O1152" s="22" t="s">
        <v>10776</v>
      </c>
      <c r="P1152" s="22" t="s">
        <v>15712</v>
      </c>
      <c r="Q1152" s="22">
        <v>90509</v>
      </c>
      <c r="R1152" s="22" t="s">
        <v>10777</v>
      </c>
      <c r="S1152" s="22" t="s">
        <v>10778</v>
      </c>
      <c r="T1152" s="22">
        <v>8.17</v>
      </c>
      <c r="U1152" s="22">
        <v>0.38</v>
      </c>
      <c r="X1152" s="26"/>
      <c r="Y1152" s="26"/>
    </row>
    <row r="1153" spans="1:25" ht="25" x14ac:dyDescent="0.25">
      <c r="A1153" s="21">
        <v>1546</v>
      </c>
      <c r="B1153" s="22" t="s">
        <v>15368</v>
      </c>
      <c r="C1153" s="22" t="s">
        <v>10780</v>
      </c>
      <c r="D1153" s="23">
        <v>157832</v>
      </c>
      <c r="E1153" s="24">
        <v>1987</v>
      </c>
      <c r="F1153" s="22" t="s">
        <v>10781</v>
      </c>
      <c r="G1153" s="23" t="s">
        <v>10782</v>
      </c>
      <c r="H1153" s="25" t="s">
        <v>15373</v>
      </c>
      <c r="I1153" s="22" t="s">
        <v>10783</v>
      </c>
      <c r="J1153" s="22" t="s">
        <v>10784</v>
      </c>
      <c r="K1153" s="26">
        <f t="shared" si="17"/>
        <v>500</v>
      </c>
      <c r="N1153" s="26">
        <v>750</v>
      </c>
      <c r="O1153" s="22" t="s">
        <v>10785</v>
      </c>
      <c r="P1153" s="22" t="s">
        <v>15376</v>
      </c>
      <c r="Q1153" s="22">
        <v>90015</v>
      </c>
      <c r="R1153" s="22" t="s">
        <v>16887</v>
      </c>
      <c r="S1153" s="22" t="s">
        <v>16888</v>
      </c>
      <c r="T1153" s="22">
        <v>12</v>
      </c>
      <c r="U1153" s="22">
        <v>0.53</v>
      </c>
      <c r="X1153" s="26"/>
      <c r="Y1153" s="26"/>
    </row>
    <row r="1154" spans="1:25" ht="25" x14ac:dyDescent="0.25">
      <c r="A1154" s="21">
        <v>1547</v>
      </c>
      <c r="B1154" s="22" t="s">
        <v>15368</v>
      </c>
      <c r="C1154" s="22" t="s">
        <v>10780</v>
      </c>
      <c r="D1154" s="23">
        <v>157833</v>
      </c>
      <c r="E1154" s="24">
        <v>1987</v>
      </c>
      <c r="F1154" s="22" t="s">
        <v>10786</v>
      </c>
      <c r="G1154" s="23" t="s">
        <v>11871</v>
      </c>
      <c r="H1154" s="25" t="s">
        <v>15373</v>
      </c>
      <c r="I1154" s="22" t="s">
        <v>15411</v>
      </c>
      <c r="J1154" s="22" t="s">
        <v>14979</v>
      </c>
      <c r="K1154" s="26">
        <f t="shared" ref="K1154:K1217" si="18">L1154+M1154*(2/3)+N1154*(2/3)</f>
        <v>500</v>
      </c>
      <c r="N1154" s="26">
        <v>750</v>
      </c>
      <c r="O1154" s="22" t="s">
        <v>10785</v>
      </c>
      <c r="P1154" s="22" t="s">
        <v>15376</v>
      </c>
      <c r="Q1154" s="22">
        <v>90015</v>
      </c>
      <c r="R1154" s="22" t="s">
        <v>16887</v>
      </c>
      <c r="S1154" s="22" t="s">
        <v>16888</v>
      </c>
      <c r="T1154" s="22">
        <v>8.17</v>
      </c>
      <c r="U1154" s="22">
        <v>0.38</v>
      </c>
      <c r="X1154" s="26"/>
      <c r="Y1154" s="26"/>
    </row>
    <row r="1155" spans="1:25" ht="25" x14ac:dyDescent="0.25">
      <c r="A1155" s="21">
        <v>1548</v>
      </c>
      <c r="B1155" s="22" t="s">
        <v>15368</v>
      </c>
      <c r="C1155" s="22" t="s">
        <v>10780</v>
      </c>
      <c r="D1155" s="23">
        <v>157834</v>
      </c>
      <c r="E1155" s="24">
        <v>1987</v>
      </c>
      <c r="F1155" s="22" t="s">
        <v>11872</v>
      </c>
      <c r="G1155" s="23" t="s">
        <v>11873</v>
      </c>
      <c r="H1155" s="25" t="s">
        <v>15373</v>
      </c>
      <c r="I1155" s="22" t="s">
        <v>15411</v>
      </c>
      <c r="J1155" s="22" t="s">
        <v>11874</v>
      </c>
      <c r="K1155" s="26">
        <f t="shared" si="18"/>
        <v>433.33333333333331</v>
      </c>
      <c r="N1155" s="26">
        <v>650</v>
      </c>
      <c r="O1155" s="22" t="s">
        <v>10785</v>
      </c>
      <c r="P1155" s="22" t="s">
        <v>15376</v>
      </c>
      <c r="Q1155" s="22">
        <v>90015</v>
      </c>
      <c r="R1155" s="22" t="s">
        <v>16887</v>
      </c>
      <c r="S1155" s="22" t="s">
        <v>16888</v>
      </c>
      <c r="T1155" s="22">
        <v>11</v>
      </c>
      <c r="U1155" s="22">
        <v>0.53</v>
      </c>
      <c r="X1155" s="26"/>
      <c r="Y1155" s="26"/>
    </row>
    <row r="1156" spans="1:25" ht="25" x14ac:dyDescent="0.25">
      <c r="A1156" s="21">
        <v>1549</v>
      </c>
      <c r="B1156" s="22" t="s">
        <v>15368</v>
      </c>
      <c r="C1156" s="22" t="s">
        <v>10780</v>
      </c>
      <c r="D1156" s="23">
        <v>157834</v>
      </c>
      <c r="E1156" s="24">
        <v>1987</v>
      </c>
      <c r="F1156" s="22" t="s">
        <v>11872</v>
      </c>
      <c r="G1156" s="23" t="s">
        <v>11875</v>
      </c>
      <c r="H1156" s="25" t="s">
        <v>15373</v>
      </c>
      <c r="I1156" s="22" t="s">
        <v>15411</v>
      </c>
      <c r="J1156" s="22" t="s">
        <v>14979</v>
      </c>
      <c r="K1156" s="26">
        <f t="shared" si="18"/>
        <v>500</v>
      </c>
      <c r="N1156" s="26">
        <v>750</v>
      </c>
      <c r="O1156" s="22" t="s">
        <v>10785</v>
      </c>
      <c r="P1156" s="22" t="s">
        <v>15376</v>
      </c>
      <c r="Q1156" s="22">
        <v>90015</v>
      </c>
      <c r="R1156" s="22" t="s">
        <v>16887</v>
      </c>
      <c r="S1156" s="22" t="s">
        <v>16888</v>
      </c>
      <c r="T1156" s="22">
        <v>11</v>
      </c>
      <c r="U1156" s="22">
        <v>0.53</v>
      </c>
      <c r="X1156" s="26"/>
      <c r="Y1156" s="26"/>
    </row>
    <row r="1157" spans="1:25" ht="37.5" x14ac:dyDescent="0.25">
      <c r="A1157" s="21">
        <v>1550</v>
      </c>
      <c r="B1157" s="22" t="s">
        <v>15368</v>
      </c>
      <c r="C1157" s="22" t="s">
        <v>11876</v>
      </c>
      <c r="D1157" s="23">
        <v>305694</v>
      </c>
      <c r="E1157" s="24">
        <v>1995</v>
      </c>
      <c r="F1157" s="22" t="s">
        <v>11877</v>
      </c>
      <c r="G1157" s="23" t="s">
        <v>12118</v>
      </c>
      <c r="H1157" s="25" t="s">
        <v>15373</v>
      </c>
      <c r="I1157" s="22" t="s">
        <v>15411</v>
      </c>
      <c r="J1157" s="22" t="s">
        <v>15542</v>
      </c>
      <c r="K1157" s="26">
        <f t="shared" si="18"/>
        <v>631.33333333333326</v>
      </c>
      <c r="N1157" s="26">
        <v>947</v>
      </c>
      <c r="O1157" s="22" t="s">
        <v>11878</v>
      </c>
      <c r="P1157" s="22" t="s">
        <v>15376</v>
      </c>
      <c r="Q1157" s="22">
        <v>90015</v>
      </c>
      <c r="R1157" s="22" t="s">
        <v>11879</v>
      </c>
      <c r="S1157" s="22" t="s">
        <v>11880</v>
      </c>
      <c r="T1157" s="22">
        <v>11</v>
      </c>
      <c r="U1157" s="22">
        <v>0.53</v>
      </c>
      <c r="X1157" s="26"/>
      <c r="Y1157" s="26"/>
    </row>
    <row r="1158" spans="1:25" ht="37.5" x14ac:dyDescent="0.25">
      <c r="A1158" s="21">
        <v>1551</v>
      </c>
      <c r="B1158" s="22" t="s">
        <v>15368</v>
      </c>
      <c r="C1158" s="22" t="s">
        <v>11881</v>
      </c>
      <c r="D1158" s="23">
        <v>275243</v>
      </c>
      <c r="E1158" s="24">
        <v>1992</v>
      </c>
      <c r="F1158" s="22" t="s">
        <v>11882</v>
      </c>
      <c r="G1158" s="23" t="s">
        <v>11883</v>
      </c>
      <c r="H1158" s="25" t="s">
        <v>15373</v>
      </c>
      <c r="I1158" s="22" t="s">
        <v>15411</v>
      </c>
      <c r="J1158" s="22" t="s">
        <v>14979</v>
      </c>
      <c r="K1158" s="26">
        <f t="shared" si="18"/>
        <v>500</v>
      </c>
      <c r="N1158" s="26">
        <v>750</v>
      </c>
      <c r="O1158" s="22" t="s">
        <v>11884</v>
      </c>
      <c r="P1158" s="22" t="s">
        <v>15795</v>
      </c>
      <c r="Q1158" s="22">
        <v>91403</v>
      </c>
      <c r="R1158" s="22" t="s">
        <v>11885</v>
      </c>
      <c r="S1158" s="22" t="s">
        <v>11886</v>
      </c>
      <c r="T1158" s="22">
        <v>11</v>
      </c>
      <c r="U1158" s="22">
        <v>0.53</v>
      </c>
      <c r="X1158" s="26"/>
      <c r="Y1158" s="26"/>
    </row>
    <row r="1159" spans="1:25" ht="25" x14ac:dyDescent="0.25">
      <c r="A1159" s="21">
        <v>1552</v>
      </c>
      <c r="B1159" s="22" t="s">
        <v>15368</v>
      </c>
      <c r="C1159" s="22" t="s">
        <v>11887</v>
      </c>
      <c r="D1159" s="23">
        <v>199463</v>
      </c>
      <c r="E1159" s="24">
        <v>1989</v>
      </c>
      <c r="F1159" s="22" t="s">
        <v>11888</v>
      </c>
      <c r="G1159" s="23" t="s">
        <v>11889</v>
      </c>
      <c r="H1159" s="25" t="s">
        <v>15373</v>
      </c>
      <c r="I1159" s="22" t="s">
        <v>15374</v>
      </c>
      <c r="J1159" s="22">
        <v>3412</v>
      </c>
      <c r="K1159" s="26">
        <f t="shared" si="18"/>
        <v>503.33333333333331</v>
      </c>
      <c r="N1159" s="26">
        <v>755</v>
      </c>
      <c r="O1159" s="22" t="s">
        <v>11890</v>
      </c>
      <c r="P1159" s="22" t="s">
        <v>15376</v>
      </c>
      <c r="Q1159" s="22">
        <v>90064</v>
      </c>
      <c r="R1159" s="22" t="s">
        <v>11891</v>
      </c>
      <c r="S1159" s="22" t="s">
        <v>11892</v>
      </c>
      <c r="T1159" s="22">
        <v>8.17</v>
      </c>
      <c r="U1159" s="22">
        <v>0.38</v>
      </c>
      <c r="X1159" s="26"/>
      <c r="Y1159" s="26"/>
    </row>
    <row r="1160" spans="1:25" ht="25" x14ac:dyDescent="0.25">
      <c r="A1160" s="21">
        <v>1556</v>
      </c>
      <c r="B1160" s="22" t="s">
        <v>15368</v>
      </c>
      <c r="C1160" s="22" t="s">
        <v>11893</v>
      </c>
      <c r="D1160" s="23">
        <v>335087</v>
      </c>
      <c r="E1160" s="24">
        <v>1997</v>
      </c>
      <c r="F1160" s="22" t="s">
        <v>11894</v>
      </c>
      <c r="G1160" s="23" t="s">
        <v>11895</v>
      </c>
      <c r="H1160" s="25" t="s">
        <v>15373</v>
      </c>
      <c r="I1160" s="22" t="s">
        <v>15411</v>
      </c>
      <c r="J1160" s="22" t="s">
        <v>16306</v>
      </c>
      <c r="K1160" s="26">
        <f t="shared" si="18"/>
        <v>360</v>
      </c>
      <c r="N1160" s="26">
        <v>540</v>
      </c>
      <c r="O1160" s="22" t="s">
        <v>11896</v>
      </c>
      <c r="P1160" s="22" t="s">
        <v>16813</v>
      </c>
      <c r="Q1160" s="22">
        <v>90212</v>
      </c>
      <c r="R1160" s="22" t="s">
        <v>11897</v>
      </c>
      <c r="S1160" s="22" t="s">
        <v>11898</v>
      </c>
      <c r="T1160" s="22">
        <v>8.17</v>
      </c>
      <c r="U1160" s="22">
        <v>0.38</v>
      </c>
      <c r="X1160" s="26"/>
      <c r="Y1160" s="26"/>
    </row>
    <row r="1161" spans="1:25" ht="25" x14ac:dyDescent="0.25">
      <c r="A1161" s="21">
        <v>1557</v>
      </c>
      <c r="B1161" s="22" t="s">
        <v>15368</v>
      </c>
      <c r="C1161" s="22" t="s">
        <v>11899</v>
      </c>
      <c r="D1161" s="23">
        <v>240539</v>
      </c>
      <c r="E1161" s="24">
        <v>1990</v>
      </c>
      <c r="F1161" s="22" t="s">
        <v>11900</v>
      </c>
      <c r="G1161" s="23" t="s">
        <v>11901</v>
      </c>
      <c r="H1161" s="25" t="s">
        <v>15373</v>
      </c>
      <c r="I1161" s="22" t="s">
        <v>15382</v>
      </c>
      <c r="J1161" s="22" t="s">
        <v>11902</v>
      </c>
      <c r="K1161" s="26">
        <f t="shared" si="18"/>
        <v>356.66666666666663</v>
      </c>
      <c r="N1161" s="26">
        <v>535</v>
      </c>
      <c r="O1161" s="22" t="s">
        <v>12196</v>
      </c>
      <c r="P1161" s="22" t="s">
        <v>15376</v>
      </c>
      <c r="Q1161" s="22">
        <v>90067</v>
      </c>
      <c r="R1161" s="22" t="s">
        <v>11903</v>
      </c>
      <c r="S1161" s="22" t="s">
        <v>12197</v>
      </c>
      <c r="T1161" s="22">
        <v>6.9</v>
      </c>
      <c r="U1161" s="22">
        <v>0.4</v>
      </c>
      <c r="X1161" s="26"/>
      <c r="Y1161" s="26"/>
    </row>
    <row r="1162" spans="1:25" ht="37.5" x14ac:dyDescent="0.25">
      <c r="A1162" s="21">
        <v>1563</v>
      </c>
      <c r="B1162" s="22" t="s">
        <v>15368</v>
      </c>
      <c r="C1162" s="22" t="s">
        <v>11904</v>
      </c>
      <c r="D1162" s="23">
        <v>273966</v>
      </c>
      <c r="E1162" s="24">
        <v>1992</v>
      </c>
      <c r="F1162" s="22" t="s">
        <v>11905</v>
      </c>
      <c r="G1162" s="23" t="s">
        <v>11906</v>
      </c>
      <c r="H1162" s="25" t="s">
        <v>15373</v>
      </c>
      <c r="I1162" s="22" t="s">
        <v>15374</v>
      </c>
      <c r="J1162" s="22" t="s">
        <v>15441</v>
      </c>
      <c r="K1162" s="26">
        <f t="shared" si="18"/>
        <v>343.33333333333331</v>
      </c>
      <c r="N1162" s="26">
        <v>515</v>
      </c>
      <c r="O1162" s="22" t="s">
        <v>11907</v>
      </c>
      <c r="P1162" s="22" t="s">
        <v>11714</v>
      </c>
      <c r="Q1162" s="22">
        <v>91608</v>
      </c>
      <c r="R1162" s="22" t="s">
        <v>11908</v>
      </c>
      <c r="S1162" s="22" t="s">
        <v>11909</v>
      </c>
      <c r="T1162" s="22">
        <v>8.17</v>
      </c>
      <c r="U1162" s="22">
        <v>0.38</v>
      </c>
      <c r="X1162" s="26"/>
      <c r="Y1162" s="26"/>
    </row>
    <row r="1163" spans="1:25" ht="25" x14ac:dyDescent="0.25">
      <c r="A1163" s="21">
        <v>1564</v>
      </c>
      <c r="B1163" s="22" t="s">
        <v>15368</v>
      </c>
      <c r="C1163" s="22" t="s">
        <v>11910</v>
      </c>
      <c r="D1163" s="23">
        <v>334333</v>
      </c>
      <c r="E1163" s="24">
        <v>1997</v>
      </c>
      <c r="F1163" s="22" t="s">
        <v>11911</v>
      </c>
      <c r="G1163" s="23" t="s">
        <v>11912</v>
      </c>
      <c r="H1163" s="25" t="s">
        <v>15373</v>
      </c>
      <c r="I1163" s="22" t="s">
        <v>15374</v>
      </c>
      <c r="J1163" s="22">
        <v>3412</v>
      </c>
      <c r="K1163" s="26">
        <f t="shared" si="18"/>
        <v>593.33333333333326</v>
      </c>
      <c r="N1163" s="26">
        <v>890</v>
      </c>
      <c r="O1163" s="22" t="s">
        <v>11913</v>
      </c>
      <c r="P1163" s="22" t="s">
        <v>16863</v>
      </c>
      <c r="Q1163" s="22">
        <v>92780</v>
      </c>
      <c r="R1163" s="22" t="s">
        <v>11914</v>
      </c>
      <c r="S1163" s="22" t="s">
        <v>11915</v>
      </c>
      <c r="T1163" s="22">
        <v>8.17</v>
      </c>
      <c r="U1163" s="22">
        <v>0.38</v>
      </c>
      <c r="X1163" s="26"/>
      <c r="Y1163" s="26"/>
    </row>
    <row r="1164" spans="1:25" ht="37.5" x14ac:dyDescent="0.25">
      <c r="A1164" s="21">
        <v>1565</v>
      </c>
      <c r="B1164" s="22" t="s">
        <v>15368</v>
      </c>
      <c r="C1164" s="22" t="s">
        <v>11916</v>
      </c>
      <c r="D1164" s="23">
        <v>215386</v>
      </c>
      <c r="E1164" s="24">
        <v>1989</v>
      </c>
      <c r="F1164" s="22" t="s">
        <v>11917</v>
      </c>
      <c r="G1164" s="23" t="s">
        <v>11918</v>
      </c>
      <c r="H1164" s="25" t="s">
        <v>15373</v>
      </c>
      <c r="I1164" s="22" t="s">
        <v>15374</v>
      </c>
      <c r="J1164" s="22" t="s">
        <v>16899</v>
      </c>
      <c r="K1164" s="26">
        <f t="shared" si="18"/>
        <v>593.33333333333326</v>
      </c>
      <c r="N1164" s="26">
        <v>890</v>
      </c>
      <c r="O1164" s="22" t="s">
        <v>10849</v>
      </c>
      <c r="P1164" s="22" t="s">
        <v>16313</v>
      </c>
      <c r="Q1164" s="22">
        <v>90731</v>
      </c>
      <c r="R1164" s="22" t="s">
        <v>10850</v>
      </c>
      <c r="S1164" s="22" t="s">
        <v>10851</v>
      </c>
      <c r="T1164" s="22">
        <v>8.17</v>
      </c>
      <c r="U1164" s="22">
        <v>0.38</v>
      </c>
      <c r="X1164" s="26"/>
      <c r="Y1164" s="26"/>
    </row>
    <row r="1165" spans="1:25" ht="37.5" x14ac:dyDescent="0.25">
      <c r="A1165" s="21">
        <v>1567</v>
      </c>
      <c r="B1165" s="22" t="s">
        <v>15368</v>
      </c>
      <c r="C1165" s="22" t="s">
        <v>10852</v>
      </c>
      <c r="D1165" s="23">
        <v>281443</v>
      </c>
      <c r="E1165" s="24">
        <v>1993</v>
      </c>
      <c r="F1165" s="22" t="s">
        <v>10853</v>
      </c>
      <c r="G1165" s="23" t="s">
        <v>10854</v>
      </c>
      <c r="H1165" s="25" t="s">
        <v>15373</v>
      </c>
      <c r="I1165" s="22" t="s">
        <v>15668</v>
      </c>
      <c r="J1165" s="22" t="s">
        <v>10855</v>
      </c>
      <c r="K1165" s="26">
        <f t="shared" si="18"/>
        <v>2083.333333333333</v>
      </c>
      <c r="N1165" s="26">
        <v>3125</v>
      </c>
      <c r="O1165" s="22" t="s">
        <v>10856</v>
      </c>
      <c r="P1165" s="22" t="s">
        <v>15376</v>
      </c>
      <c r="Q1165" s="22">
        <v>90073</v>
      </c>
      <c r="R1165" s="22" t="s">
        <v>10857</v>
      </c>
      <c r="S1165" s="22" t="s">
        <v>10858</v>
      </c>
      <c r="T1165" s="22">
        <v>8.17</v>
      </c>
      <c r="U1165" s="22">
        <v>0.38</v>
      </c>
      <c r="X1165" s="26"/>
      <c r="Y1165" s="26"/>
    </row>
    <row r="1166" spans="1:25" ht="37.5" x14ac:dyDescent="0.25">
      <c r="A1166" s="21">
        <v>1568</v>
      </c>
      <c r="B1166" s="22" t="s">
        <v>15368</v>
      </c>
      <c r="C1166" s="22" t="s">
        <v>10852</v>
      </c>
      <c r="D1166" s="23">
        <v>281444</v>
      </c>
      <c r="E1166" s="24">
        <v>1993</v>
      </c>
      <c r="F1166" s="22" t="s">
        <v>10859</v>
      </c>
      <c r="G1166" s="23" t="s">
        <v>10860</v>
      </c>
      <c r="H1166" s="25" t="s">
        <v>15373</v>
      </c>
      <c r="I1166" s="22" t="s">
        <v>15668</v>
      </c>
      <c r="J1166" s="22" t="s">
        <v>10855</v>
      </c>
      <c r="K1166" s="26">
        <f t="shared" si="18"/>
        <v>2083.333333333333</v>
      </c>
      <c r="N1166" s="26">
        <v>3125</v>
      </c>
      <c r="O1166" s="22" t="s">
        <v>10856</v>
      </c>
      <c r="P1166" s="22" t="s">
        <v>15376</v>
      </c>
      <c r="Q1166" s="22">
        <v>90073</v>
      </c>
      <c r="R1166" s="22" t="s">
        <v>10857</v>
      </c>
      <c r="S1166" s="22" t="s">
        <v>10858</v>
      </c>
      <c r="T1166" s="22">
        <v>8.17</v>
      </c>
      <c r="U1166" s="22">
        <v>0.38</v>
      </c>
      <c r="X1166" s="26"/>
      <c r="Y1166" s="26"/>
    </row>
    <row r="1167" spans="1:25" ht="37.5" x14ac:dyDescent="0.25">
      <c r="A1167" s="21">
        <v>1569</v>
      </c>
      <c r="B1167" s="22" t="s">
        <v>15368</v>
      </c>
      <c r="C1167" s="22" t="s">
        <v>10852</v>
      </c>
      <c r="D1167" s="23">
        <v>281453</v>
      </c>
      <c r="E1167" s="24">
        <v>1993</v>
      </c>
      <c r="F1167" s="22" t="s">
        <v>10861</v>
      </c>
      <c r="G1167" s="23" t="s">
        <v>10862</v>
      </c>
      <c r="H1167" s="25" t="s">
        <v>15373</v>
      </c>
      <c r="I1167" s="22" t="s">
        <v>15374</v>
      </c>
      <c r="J1167" s="22" t="s">
        <v>14106</v>
      </c>
      <c r="K1167" s="26">
        <f t="shared" si="18"/>
        <v>684.66666666666663</v>
      </c>
      <c r="N1167" s="26">
        <v>1027</v>
      </c>
      <c r="O1167" s="22" t="s">
        <v>10863</v>
      </c>
      <c r="P1167" s="22" t="s">
        <v>15376</v>
      </c>
      <c r="Q1167" s="22">
        <v>90073</v>
      </c>
      <c r="R1167" s="22" t="s">
        <v>10864</v>
      </c>
      <c r="S1167" s="22" t="s">
        <v>10858</v>
      </c>
      <c r="T1167" s="22">
        <v>8.17</v>
      </c>
      <c r="U1167" s="22">
        <v>0.38</v>
      </c>
      <c r="X1167" s="26"/>
      <c r="Y1167" s="26"/>
    </row>
    <row r="1168" spans="1:25" ht="25" x14ac:dyDescent="0.25">
      <c r="A1168" s="21">
        <v>1570</v>
      </c>
      <c r="B1168" s="22" t="s">
        <v>15368</v>
      </c>
      <c r="C1168" s="22" t="s">
        <v>10865</v>
      </c>
      <c r="D1168" s="23">
        <v>246178</v>
      </c>
      <c r="E1168" s="24">
        <v>1991</v>
      </c>
      <c r="F1168" s="22" t="s">
        <v>10866</v>
      </c>
      <c r="G1168" s="23" t="s">
        <v>10867</v>
      </c>
      <c r="H1168" s="25" t="s">
        <v>15373</v>
      </c>
      <c r="I1168" s="22" t="s">
        <v>15374</v>
      </c>
      <c r="J1168" s="22">
        <v>3412</v>
      </c>
      <c r="K1168" s="26">
        <f t="shared" si="18"/>
        <v>593.33333333333326</v>
      </c>
      <c r="N1168" s="26">
        <v>890</v>
      </c>
      <c r="O1168" s="22" t="s">
        <v>10868</v>
      </c>
      <c r="P1168" s="22" t="s">
        <v>15376</v>
      </c>
      <c r="Q1168" s="22" t="s">
        <v>10869</v>
      </c>
      <c r="R1168" s="22" t="s">
        <v>11130</v>
      </c>
      <c r="S1168" s="22" t="s">
        <v>11131</v>
      </c>
      <c r="T1168" s="22">
        <v>8.17</v>
      </c>
      <c r="U1168" s="22">
        <v>0.38</v>
      </c>
      <c r="X1168" s="26"/>
      <c r="Y1168" s="26"/>
    </row>
    <row r="1169" spans="1:25" ht="37.5" x14ac:dyDescent="0.25">
      <c r="A1169" s="21">
        <v>1571</v>
      </c>
      <c r="B1169" s="22" t="s">
        <v>15368</v>
      </c>
      <c r="C1169" s="22" t="s">
        <v>10865</v>
      </c>
      <c r="D1169" s="23">
        <v>283761</v>
      </c>
      <c r="E1169" s="24">
        <v>1993</v>
      </c>
      <c r="F1169" s="22" t="s">
        <v>10870</v>
      </c>
      <c r="G1169" s="23" t="s">
        <v>10871</v>
      </c>
      <c r="H1169" s="25" t="s">
        <v>15373</v>
      </c>
      <c r="I1169" s="22" t="s">
        <v>15382</v>
      </c>
      <c r="J1169" s="22" t="s">
        <v>16925</v>
      </c>
      <c r="K1169" s="26">
        <f t="shared" si="18"/>
        <v>1480</v>
      </c>
      <c r="N1169" s="26">
        <v>2220</v>
      </c>
      <c r="O1169" s="22" t="s">
        <v>10872</v>
      </c>
      <c r="P1169" s="22" t="s">
        <v>15376</v>
      </c>
      <c r="Q1169" s="22" t="s">
        <v>10873</v>
      </c>
      <c r="R1169" s="22" t="s">
        <v>11130</v>
      </c>
      <c r="S1169" s="22" t="s">
        <v>11131</v>
      </c>
      <c r="T1169" s="22">
        <v>8.17</v>
      </c>
      <c r="U1169" s="22">
        <v>0.38</v>
      </c>
      <c r="X1169" s="26"/>
      <c r="Y1169" s="26"/>
    </row>
    <row r="1170" spans="1:25" ht="37.5" x14ac:dyDescent="0.25">
      <c r="A1170" s="21">
        <v>1572</v>
      </c>
      <c r="B1170" s="22" t="s">
        <v>15368</v>
      </c>
      <c r="C1170" s="22" t="s">
        <v>10865</v>
      </c>
      <c r="D1170" s="23">
        <v>285582</v>
      </c>
      <c r="E1170" s="24">
        <v>1993</v>
      </c>
      <c r="F1170" s="22" t="s">
        <v>10874</v>
      </c>
      <c r="G1170" s="23" t="s">
        <v>10875</v>
      </c>
      <c r="H1170" s="25" t="s">
        <v>15373</v>
      </c>
      <c r="I1170" s="22" t="s">
        <v>15374</v>
      </c>
      <c r="J1170" s="22" t="s">
        <v>15460</v>
      </c>
      <c r="K1170" s="26">
        <f t="shared" si="18"/>
        <v>840</v>
      </c>
      <c r="N1170" s="26">
        <v>1260</v>
      </c>
      <c r="O1170" s="22" t="s">
        <v>10872</v>
      </c>
      <c r="P1170" s="22" t="s">
        <v>15376</v>
      </c>
      <c r="Q1170" s="22" t="s">
        <v>10873</v>
      </c>
      <c r="R1170" s="22" t="s">
        <v>11130</v>
      </c>
      <c r="S1170" s="22" t="s">
        <v>11131</v>
      </c>
      <c r="T1170" s="22">
        <v>8.17</v>
      </c>
      <c r="U1170" s="22">
        <v>0.38</v>
      </c>
      <c r="X1170" s="26"/>
      <c r="Y1170" s="26"/>
    </row>
    <row r="1171" spans="1:25" ht="37.5" x14ac:dyDescent="0.25">
      <c r="A1171" s="21">
        <v>1573</v>
      </c>
      <c r="B1171" s="22" t="s">
        <v>15368</v>
      </c>
      <c r="C1171" s="22" t="s">
        <v>10865</v>
      </c>
      <c r="D1171" s="23">
        <v>285583</v>
      </c>
      <c r="E1171" s="24">
        <v>1993</v>
      </c>
      <c r="F1171" s="22" t="s">
        <v>10876</v>
      </c>
      <c r="G1171" s="23" t="s">
        <v>10877</v>
      </c>
      <c r="H1171" s="25" t="s">
        <v>15373</v>
      </c>
      <c r="I1171" s="22" t="s">
        <v>15374</v>
      </c>
      <c r="J1171" s="22" t="s">
        <v>15460</v>
      </c>
      <c r="K1171" s="26">
        <f t="shared" si="18"/>
        <v>840</v>
      </c>
      <c r="N1171" s="26">
        <v>1260</v>
      </c>
      <c r="O1171" s="22" t="s">
        <v>10872</v>
      </c>
      <c r="P1171" s="22" t="s">
        <v>15376</v>
      </c>
      <c r="Q1171" s="22" t="s">
        <v>10873</v>
      </c>
      <c r="R1171" s="22" t="s">
        <v>11130</v>
      </c>
      <c r="S1171" s="22" t="s">
        <v>11131</v>
      </c>
      <c r="T1171" s="22">
        <v>8.17</v>
      </c>
      <c r="U1171" s="22">
        <v>0.38</v>
      </c>
      <c r="X1171" s="26"/>
      <c r="Y1171" s="26"/>
    </row>
    <row r="1172" spans="1:25" ht="37.5" x14ac:dyDescent="0.25">
      <c r="A1172" s="21">
        <v>1574</v>
      </c>
      <c r="B1172" s="22" t="s">
        <v>15368</v>
      </c>
      <c r="C1172" s="22" t="s">
        <v>10865</v>
      </c>
      <c r="D1172" s="23">
        <v>285584</v>
      </c>
      <c r="E1172" s="24">
        <v>1993</v>
      </c>
      <c r="F1172" s="22" t="s">
        <v>10878</v>
      </c>
      <c r="G1172" s="23" t="s">
        <v>10879</v>
      </c>
      <c r="H1172" s="25" t="s">
        <v>15373</v>
      </c>
      <c r="I1172" s="22" t="s">
        <v>15374</v>
      </c>
      <c r="J1172" s="22" t="s">
        <v>15460</v>
      </c>
      <c r="K1172" s="26">
        <f t="shared" si="18"/>
        <v>840</v>
      </c>
      <c r="N1172" s="26">
        <v>1260</v>
      </c>
      <c r="O1172" s="22" t="s">
        <v>10872</v>
      </c>
      <c r="P1172" s="22" t="s">
        <v>15376</v>
      </c>
      <c r="Q1172" s="22" t="s">
        <v>10873</v>
      </c>
      <c r="R1172" s="22" t="s">
        <v>11130</v>
      </c>
      <c r="S1172" s="22" t="s">
        <v>11131</v>
      </c>
      <c r="T1172" s="22">
        <v>8.17</v>
      </c>
      <c r="U1172" s="22">
        <v>0.38</v>
      </c>
      <c r="X1172" s="26"/>
      <c r="Y1172" s="26"/>
    </row>
    <row r="1173" spans="1:25" ht="25" x14ac:dyDescent="0.25">
      <c r="A1173" s="21">
        <v>1575</v>
      </c>
      <c r="B1173" s="22" t="s">
        <v>15368</v>
      </c>
      <c r="C1173" s="22" t="s">
        <v>10865</v>
      </c>
      <c r="D1173" s="23">
        <v>285586</v>
      </c>
      <c r="E1173" s="24">
        <v>1993</v>
      </c>
      <c r="F1173" s="22" t="s">
        <v>10880</v>
      </c>
      <c r="G1173" s="23" t="s">
        <v>10881</v>
      </c>
      <c r="H1173" s="25" t="s">
        <v>15373</v>
      </c>
      <c r="I1173" s="22" t="s">
        <v>15382</v>
      </c>
      <c r="J1173" s="22" t="s">
        <v>10882</v>
      </c>
      <c r="K1173" s="26">
        <f t="shared" si="18"/>
        <v>500</v>
      </c>
      <c r="N1173" s="26">
        <v>750</v>
      </c>
      <c r="O1173" s="22" t="s">
        <v>10883</v>
      </c>
      <c r="P1173" s="22" t="s">
        <v>15376</v>
      </c>
      <c r="Q1173" s="22" t="s">
        <v>10873</v>
      </c>
      <c r="R1173" s="22" t="s">
        <v>11130</v>
      </c>
      <c r="S1173" s="22" t="s">
        <v>11131</v>
      </c>
      <c r="T1173" s="22">
        <v>8.17</v>
      </c>
      <c r="U1173" s="22">
        <v>0.38</v>
      </c>
      <c r="X1173" s="26"/>
      <c r="Y1173" s="26"/>
    </row>
    <row r="1174" spans="1:25" ht="37.5" x14ac:dyDescent="0.25">
      <c r="A1174" s="21">
        <v>1576</v>
      </c>
      <c r="B1174" s="22" t="s">
        <v>15368</v>
      </c>
      <c r="C1174" s="22" t="s">
        <v>10865</v>
      </c>
      <c r="D1174" s="23">
        <v>285588</v>
      </c>
      <c r="E1174" s="24">
        <v>1993</v>
      </c>
      <c r="F1174" s="22" t="s">
        <v>10884</v>
      </c>
      <c r="G1174" s="23" t="s">
        <v>10885</v>
      </c>
      <c r="H1174" s="25" t="s">
        <v>15373</v>
      </c>
      <c r="I1174" s="22" t="s">
        <v>15374</v>
      </c>
      <c r="J1174" s="22" t="s">
        <v>15460</v>
      </c>
      <c r="K1174" s="26">
        <f t="shared" si="18"/>
        <v>840</v>
      </c>
      <c r="N1174" s="26">
        <v>1260</v>
      </c>
      <c r="O1174" s="22" t="s">
        <v>10872</v>
      </c>
      <c r="P1174" s="22" t="s">
        <v>15376</v>
      </c>
      <c r="Q1174" s="22" t="s">
        <v>10873</v>
      </c>
      <c r="R1174" s="22" t="s">
        <v>11130</v>
      </c>
      <c r="S1174" s="22" t="s">
        <v>11131</v>
      </c>
      <c r="T1174" s="22">
        <v>8.17</v>
      </c>
      <c r="U1174" s="22">
        <v>0.38</v>
      </c>
      <c r="X1174" s="26"/>
      <c r="Y1174" s="26"/>
    </row>
    <row r="1175" spans="1:25" ht="37.5" x14ac:dyDescent="0.25">
      <c r="A1175" s="21">
        <v>1577</v>
      </c>
      <c r="B1175" s="22" t="s">
        <v>15368</v>
      </c>
      <c r="C1175" s="22" t="s">
        <v>10865</v>
      </c>
      <c r="D1175" s="23">
        <v>288930</v>
      </c>
      <c r="E1175" s="24">
        <v>1994</v>
      </c>
      <c r="F1175" s="22" t="s">
        <v>10886</v>
      </c>
      <c r="G1175" s="23" t="s">
        <v>10887</v>
      </c>
      <c r="H1175" s="25" t="s">
        <v>15373</v>
      </c>
      <c r="I1175" s="22" t="s">
        <v>15411</v>
      </c>
      <c r="J1175" s="22" t="s">
        <v>16462</v>
      </c>
      <c r="K1175" s="26">
        <f t="shared" si="18"/>
        <v>1033.3333333333333</v>
      </c>
      <c r="N1175" s="26">
        <v>1550</v>
      </c>
      <c r="O1175" s="22" t="s">
        <v>10888</v>
      </c>
      <c r="P1175" s="22" t="s">
        <v>15376</v>
      </c>
      <c r="Q1175" s="22">
        <v>90024</v>
      </c>
      <c r="R1175" s="22" t="s">
        <v>11130</v>
      </c>
      <c r="S1175" s="22" t="s">
        <v>11131</v>
      </c>
      <c r="T1175" s="22">
        <v>8.17</v>
      </c>
      <c r="U1175" s="22">
        <v>0.38</v>
      </c>
      <c r="X1175" s="26"/>
      <c r="Y1175" s="26"/>
    </row>
    <row r="1176" spans="1:25" ht="37.5" x14ac:dyDescent="0.25">
      <c r="A1176" s="21">
        <v>1578</v>
      </c>
      <c r="B1176" s="22" t="s">
        <v>15368</v>
      </c>
      <c r="C1176" s="22" t="s">
        <v>10865</v>
      </c>
      <c r="D1176" s="23">
        <v>293492</v>
      </c>
      <c r="E1176" s="24">
        <v>1994</v>
      </c>
      <c r="F1176" s="22" t="s">
        <v>10889</v>
      </c>
      <c r="G1176" s="23" t="s">
        <v>10890</v>
      </c>
      <c r="H1176" s="25" t="s">
        <v>15373</v>
      </c>
      <c r="I1176" s="22" t="s">
        <v>15411</v>
      </c>
      <c r="J1176" s="22" t="s">
        <v>16331</v>
      </c>
      <c r="K1176" s="26">
        <f t="shared" si="18"/>
        <v>730</v>
      </c>
      <c r="N1176" s="26">
        <v>1095</v>
      </c>
      <c r="O1176" s="22" t="s">
        <v>10883</v>
      </c>
      <c r="P1176" s="22" t="s">
        <v>15376</v>
      </c>
      <c r="Q1176" s="22" t="s">
        <v>10873</v>
      </c>
      <c r="R1176" s="22" t="s">
        <v>11130</v>
      </c>
      <c r="S1176" s="22" t="s">
        <v>11131</v>
      </c>
      <c r="T1176" s="22">
        <v>8.17</v>
      </c>
      <c r="U1176" s="22">
        <v>0.38</v>
      </c>
      <c r="X1176" s="26"/>
      <c r="Y1176" s="26"/>
    </row>
    <row r="1177" spans="1:25" ht="37.5" x14ac:dyDescent="0.25">
      <c r="A1177" s="21">
        <v>1579</v>
      </c>
      <c r="B1177" s="22" t="s">
        <v>15368</v>
      </c>
      <c r="C1177" s="22" t="s">
        <v>10865</v>
      </c>
      <c r="D1177" s="23">
        <v>293498</v>
      </c>
      <c r="E1177" s="24">
        <v>1994</v>
      </c>
      <c r="F1177" s="22" t="s">
        <v>10891</v>
      </c>
      <c r="G1177" s="23" t="s">
        <v>10035</v>
      </c>
      <c r="H1177" s="25" t="s">
        <v>15373</v>
      </c>
      <c r="I1177" s="22" t="s">
        <v>15411</v>
      </c>
      <c r="J1177" s="22" t="s">
        <v>15744</v>
      </c>
      <c r="K1177" s="26">
        <f t="shared" si="18"/>
        <v>821.33333333333326</v>
      </c>
      <c r="N1177" s="26">
        <v>1232</v>
      </c>
      <c r="O1177" s="22" t="s">
        <v>10883</v>
      </c>
      <c r="P1177" s="22" t="s">
        <v>15376</v>
      </c>
      <c r="Q1177" s="22" t="s">
        <v>10873</v>
      </c>
      <c r="R1177" s="22" t="s">
        <v>11130</v>
      </c>
      <c r="S1177" s="22" t="s">
        <v>11131</v>
      </c>
      <c r="T1177" s="22">
        <v>8.17</v>
      </c>
      <c r="U1177" s="22">
        <v>0.38</v>
      </c>
      <c r="X1177" s="26"/>
      <c r="Y1177" s="26"/>
    </row>
    <row r="1178" spans="1:25" ht="25" x14ac:dyDescent="0.25">
      <c r="A1178" s="21">
        <v>1580</v>
      </c>
      <c r="B1178" s="22" t="s">
        <v>15368</v>
      </c>
      <c r="C1178" s="22" t="s">
        <v>10865</v>
      </c>
      <c r="D1178" s="23">
        <v>299891</v>
      </c>
      <c r="E1178" s="24">
        <v>1995</v>
      </c>
      <c r="F1178" s="22" t="s">
        <v>10892</v>
      </c>
      <c r="G1178" s="23" t="s">
        <v>12776</v>
      </c>
      <c r="H1178" s="25" t="s">
        <v>15373</v>
      </c>
      <c r="I1178" s="22" t="s">
        <v>15382</v>
      </c>
      <c r="J1178" s="22" t="s">
        <v>15640</v>
      </c>
      <c r="K1178" s="26">
        <f t="shared" si="18"/>
        <v>993.33333333333326</v>
      </c>
      <c r="N1178" s="26">
        <v>1490</v>
      </c>
      <c r="O1178" s="22" t="s">
        <v>10883</v>
      </c>
      <c r="P1178" s="22" t="s">
        <v>15376</v>
      </c>
      <c r="Q1178" s="22" t="s">
        <v>10873</v>
      </c>
      <c r="R1178" s="22" t="s">
        <v>11130</v>
      </c>
      <c r="S1178" s="22" t="s">
        <v>11131</v>
      </c>
      <c r="T1178" s="22">
        <v>8.17</v>
      </c>
      <c r="U1178" s="22">
        <v>0.38</v>
      </c>
      <c r="X1178" s="26"/>
      <c r="Y1178" s="26"/>
    </row>
    <row r="1179" spans="1:25" ht="37.5" x14ac:dyDescent="0.25">
      <c r="A1179" s="21">
        <v>1581</v>
      </c>
      <c r="B1179" s="22" t="s">
        <v>15368</v>
      </c>
      <c r="C1179" s="22" t="s">
        <v>10865</v>
      </c>
      <c r="D1179" s="23">
        <v>300226</v>
      </c>
      <c r="E1179" s="24">
        <v>1995</v>
      </c>
      <c r="F1179" s="22" t="s">
        <v>10893</v>
      </c>
      <c r="G1179" s="23" t="s">
        <v>10894</v>
      </c>
      <c r="H1179" s="25" t="s">
        <v>15373</v>
      </c>
      <c r="I1179" s="22" t="s">
        <v>15411</v>
      </c>
      <c r="J1179" s="22" t="s">
        <v>13637</v>
      </c>
      <c r="K1179" s="26">
        <f t="shared" si="18"/>
        <v>1166.6666666666665</v>
      </c>
      <c r="N1179" s="26">
        <v>1750</v>
      </c>
      <c r="O1179" s="22" t="s">
        <v>10883</v>
      </c>
      <c r="P1179" s="22" t="s">
        <v>15376</v>
      </c>
      <c r="Q1179" s="22" t="s">
        <v>10873</v>
      </c>
      <c r="R1179" s="22" t="s">
        <v>11130</v>
      </c>
      <c r="S1179" s="22" t="s">
        <v>11131</v>
      </c>
      <c r="T1179" s="22">
        <v>8.17</v>
      </c>
      <c r="U1179" s="22">
        <v>0.38</v>
      </c>
      <c r="X1179" s="26"/>
      <c r="Y1179" s="26"/>
    </row>
    <row r="1180" spans="1:25" ht="37.5" x14ac:dyDescent="0.25">
      <c r="A1180" s="21">
        <v>1582</v>
      </c>
      <c r="B1180" s="22" t="s">
        <v>15368</v>
      </c>
      <c r="C1180" s="22" t="s">
        <v>10865</v>
      </c>
      <c r="D1180" s="23">
        <v>301724</v>
      </c>
      <c r="E1180" s="24">
        <v>1995</v>
      </c>
      <c r="F1180" s="22" t="s">
        <v>10895</v>
      </c>
      <c r="G1180" s="23" t="s">
        <v>10637</v>
      </c>
      <c r="H1180" s="25" t="s">
        <v>15373</v>
      </c>
      <c r="I1180" s="22" t="s">
        <v>15374</v>
      </c>
      <c r="J1180" s="22" t="s">
        <v>14709</v>
      </c>
      <c r="K1180" s="26">
        <f t="shared" si="18"/>
        <v>500</v>
      </c>
      <c r="L1180" s="26">
        <v>500</v>
      </c>
      <c r="O1180" s="22" t="s">
        <v>10872</v>
      </c>
      <c r="P1180" s="22" t="s">
        <v>15376</v>
      </c>
      <c r="Q1180" s="22" t="s">
        <v>10873</v>
      </c>
      <c r="R1180" s="22" t="s">
        <v>11130</v>
      </c>
      <c r="S1180" s="22" t="s">
        <v>11131</v>
      </c>
      <c r="T1180" s="22">
        <v>8.17</v>
      </c>
      <c r="U1180" s="22">
        <v>0.38</v>
      </c>
      <c r="X1180" s="26"/>
      <c r="Y1180" s="26"/>
    </row>
    <row r="1181" spans="1:25" ht="37.5" x14ac:dyDescent="0.25">
      <c r="A1181" s="21">
        <v>1583</v>
      </c>
      <c r="B1181" s="22" t="s">
        <v>15368</v>
      </c>
      <c r="C1181" s="22" t="s">
        <v>10865</v>
      </c>
      <c r="D1181" s="23">
        <v>324439</v>
      </c>
      <c r="E1181" s="24">
        <v>1997</v>
      </c>
      <c r="F1181" s="22" t="s">
        <v>10896</v>
      </c>
      <c r="G1181" s="23" t="s">
        <v>10897</v>
      </c>
      <c r="H1181" s="25" t="s">
        <v>15373</v>
      </c>
      <c r="I1181" s="22" t="s">
        <v>15411</v>
      </c>
      <c r="J1181" s="22" t="s">
        <v>16437</v>
      </c>
      <c r="K1181" s="26">
        <f t="shared" si="18"/>
        <v>1676</v>
      </c>
      <c r="N1181" s="26">
        <v>2514</v>
      </c>
      <c r="O1181" s="22" t="s">
        <v>10883</v>
      </c>
      <c r="P1181" s="22" t="s">
        <v>15376</v>
      </c>
      <c r="Q1181" s="22" t="s">
        <v>10873</v>
      </c>
      <c r="R1181" s="22" t="s">
        <v>11130</v>
      </c>
      <c r="S1181" s="22" t="s">
        <v>11131</v>
      </c>
      <c r="T1181" s="22">
        <v>8.17</v>
      </c>
      <c r="U1181" s="22">
        <v>0.38</v>
      </c>
      <c r="X1181" s="26"/>
      <c r="Y1181" s="26"/>
    </row>
    <row r="1182" spans="1:25" ht="37.5" x14ac:dyDescent="0.25">
      <c r="A1182" s="21">
        <v>1584</v>
      </c>
      <c r="B1182" s="22" t="s">
        <v>15368</v>
      </c>
      <c r="C1182" s="22" t="s">
        <v>10865</v>
      </c>
      <c r="D1182" s="23">
        <v>336111</v>
      </c>
      <c r="E1182" s="24">
        <v>1998</v>
      </c>
      <c r="F1182" s="22" t="s">
        <v>10898</v>
      </c>
      <c r="G1182" s="23" t="s">
        <v>10899</v>
      </c>
      <c r="H1182" s="25" t="s">
        <v>15373</v>
      </c>
      <c r="I1182" s="22" t="s">
        <v>15374</v>
      </c>
      <c r="J1182" s="22" t="s">
        <v>14709</v>
      </c>
      <c r="K1182" s="26">
        <f t="shared" si="18"/>
        <v>500</v>
      </c>
      <c r="L1182" s="26">
        <v>500</v>
      </c>
      <c r="O1182" s="22" t="s">
        <v>10883</v>
      </c>
      <c r="P1182" s="22" t="s">
        <v>15376</v>
      </c>
      <c r="Q1182" s="22" t="s">
        <v>10873</v>
      </c>
      <c r="R1182" s="22" t="s">
        <v>11130</v>
      </c>
      <c r="S1182" s="22" t="s">
        <v>11131</v>
      </c>
      <c r="T1182" s="22">
        <v>8.17</v>
      </c>
      <c r="U1182" s="22">
        <v>0.38</v>
      </c>
      <c r="X1182" s="26"/>
      <c r="Y1182" s="26"/>
    </row>
    <row r="1183" spans="1:25" ht="50" x14ac:dyDescent="0.25">
      <c r="A1183" s="21">
        <v>1585</v>
      </c>
      <c r="B1183" s="22" t="s">
        <v>15368</v>
      </c>
      <c r="C1183" s="22" t="s">
        <v>10865</v>
      </c>
      <c r="D1183" s="23">
        <v>346215</v>
      </c>
      <c r="E1183" s="24">
        <v>1998</v>
      </c>
      <c r="F1183" s="22" t="s">
        <v>10900</v>
      </c>
      <c r="G1183" s="23" t="s">
        <v>10901</v>
      </c>
      <c r="H1183" s="25" t="s">
        <v>15373</v>
      </c>
      <c r="I1183" s="22" t="s">
        <v>15374</v>
      </c>
      <c r="J1183" s="22" t="s">
        <v>16869</v>
      </c>
      <c r="K1183" s="26">
        <f t="shared" si="18"/>
        <v>350</v>
      </c>
      <c r="L1183" s="26">
        <v>350</v>
      </c>
      <c r="O1183" s="22" t="s">
        <v>10883</v>
      </c>
      <c r="P1183" s="22" t="s">
        <v>15376</v>
      </c>
      <c r="Q1183" s="22" t="s">
        <v>10873</v>
      </c>
      <c r="R1183" s="22" t="s">
        <v>11130</v>
      </c>
      <c r="S1183" s="22" t="s">
        <v>11131</v>
      </c>
      <c r="T1183" s="22">
        <v>8.17</v>
      </c>
      <c r="U1183" s="22">
        <v>0.38</v>
      </c>
      <c r="X1183" s="26"/>
      <c r="Y1183" s="26"/>
    </row>
    <row r="1184" spans="1:25" ht="37.5" x14ac:dyDescent="0.25">
      <c r="A1184" s="21">
        <v>1586</v>
      </c>
      <c r="B1184" s="22" t="s">
        <v>15368</v>
      </c>
      <c r="C1184" s="22" t="s">
        <v>10865</v>
      </c>
      <c r="D1184" s="23">
        <v>363084</v>
      </c>
      <c r="E1184" s="24">
        <v>1999</v>
      </c>
      <c r="F1184" s="22" t="s">
        <v>10902</v>
      </c>
      <c r="G1184" s="23" t="s">
        <v>10903</v>
      </c>
      <c r="H1184" s="25" t="s">
        <v>15373</v>
      </c>
      <c r="I1184" s="22" t="s">
        <v>15374</v>
      </c>
      <c r="J1184" s="22" t="s">
        <v>14709</v>
      </c>
      <c r="K1184" s="26">
        <f t="shared" si="18"/>
        <v>500</v>
      </c>
      <c r="L1184" s="26">
        <v>500</v>
      </c>
      <c r="O1184" s="22" t="s">
        <v>10883</v>
      </c>
      <c r="P1184" s="22" t="s">
        <v>15376</v>
      </c>
      <c r="Q1184" s="22" t="s">
        <v>10873</v>
      </c>
      <c r="R1184" s="22" t="s">
        <v>11130</v>
      </c>
      <c r="S1184" s="22" t="s">
        <v>11131</v>
      </c>
      <c r="T1184" s="22">
        <v>6.9</v>
      </c>
      <c r="U1184" s="22">
        <v>0.4</v>
      </c>
      <c r="X1184" s="26"/>
      <c r="Y1184" s="26"/>
    </row>
    <row r="1185" spans="1:25" ht="37.5" x14ac:dyDescent="0.25">
      <c r="A1185" s="21">
        <v>1587</v>
      </c>
      <c r="B1185" s="22" t="s">
        <v>15368</v>
      </c>
      <c r="C1185" s="22" t="s">
        <v>10904</v>
      </c>
      <c r="D1185" s="23">
        <v>240047</v>
      </c>
      <c r="E1185" s="24">
        <v>1990</v>
      </c>
      <c r="F1185" s="22" t="s">
        <v>10905</v>
      </c>
      <c r="G1185" s="23" t="s">
        <v>10906</v>
      </c>
      <c r="H1185" s="25" t="s">
        <v>15373</v>
      </c>
      <c r="I1185" s="22" t="s">
        <v>15411</v>
      </c>
      <c r="J1185" s="22" t="s">
        <v>12830</v>
      </c>
      <c r="K1185" s="26">
        <f t="shared" si="18"/>
        <v>640</v>
      </c>
      <c r="N1185" s="26">
        <v>960</v>
      </c>
      <c r="O1185" s="22" t="s">
        <v>10907</v>
      </c>
      <c r="P1185" s="22" t="s">
        <v>15376</v>
      </c>
      <c r="Q1185" s="22">
        <v>90040</v>
      </c>
      <c r="R1185" s="22" t="s">
        <v>10908</v>
      </c>
      <c r="S1185" s="22" t="s">
        <v>10909</v>
      </c>
      <c r="T1185" s="22">
        <v>6.9</v>
      </c>
      <c r="U1185" s="22">
        <v>0.4</v>
      </c>
      <c r="X1185" s="26"/>
      <c r="Y1185" s="26"/>
    </row>
    <row r="1186" spans="1:25" ht="37.5" x14ac:dyDescent="0.25">
      <c r="A1186" s="21">
        <v>1588</v>
      </c>
      <c r="B1186" s="22" t="s">
        <v>15368</v>
      </c>
      <c r="C1186" s="22" t="s">
        <v>10904</v>
      </c>
      <c r="D1186" s="23">
        <v>240048</v>
      </c>
      <c r="E1186" s="24">
        <v>1990</v>
      </c>
      <c r="F1186" s="22" t="s">
        <v>10910</v>
      </c>
      <c r="G1186" s="23" t="s">
        <v>10911</v>
      </c>
      <c r="H1186" s="25" t="s">
        <v>15373</v>
      </c>
      <c r="I1186" s="22" t="s">
        <v>15411</v>
      </c>
      <c r="J1186" s="22" t="s">
        <v>14979</v>
      </c>
      <c r="K1186" s="26">
        <f t="shared" si="18"/>
        <v>553.33333333333326</v>
      </c>
      <c r="N1186" s="26">
        <v>830</v>
      </c>
      <c r="O1186" s="22" t="s">
        <v>10907</v>
      </c>
      <c r="P1186" s="22" t="s">
        <v>15376</v>
      </c>
      <c r="Q1186" s="22">
        <v>90040</v>
      </c>
      <c r="R1186" s="22" t="s">
        <v>10908</v>
      </c>
      <c r="S1186" s="22" t="s">
        <v>10909</v>
      </c>
      <c r="T1186" s="22">
        <v>6.9</v>
      </c>
      <c r="U1186" s="22">
        <v>0.4</v>
      </c>
      <c r="X1186" s="26"/>
      <c r="Y1186" s="26"/>
    </row>
    <row r="1187" spans="1:25" ht="37.5" x14ac:dyDescent="0.25">
      <c r="A1187" s="21">
        <v>1589</v>
      </c>
      <c r="B1187" s="22" t="s">
        <v>15368</v>
      </c>
      <c r="C1187" s="22" t="s">
        <v>10904</v>
      </c>
      <c r="D1187" s="23">
        <v>336778</v>
      </c>
      <c r="E1187" s="24">
        <v>1998</v>
      </c>
      <c r="F1187" s="22" t="s">
        <v>10912</v>
      </c>
      <c r="G1187" s="23" t="s">
        <v>10913</v>
      </c>
      <c r="H1187" s="25" t="s">
        <v>15373</v>
      </c>
      <c r="I1187" s="22" t="s">
        <v>15382</v>
      </c>
      <c r="J1187" s="22" t="s">
        <v>16811</v>
      </c>
      <c r="K1187" s="26">
        <f t="shared" si="18"/>
        <v>356.66666666666663</v>
      </c>
      <c r="N1187" s="26">
        <v>535</v>
      </c>
      <c r="O1187" s="22" t="s">
        <v>10914</v>
      </c>
      <c r="P1187" s="22" t="s">
        <v>15957</v>
      </c>
      <c r="Q1187" s="22">
        <v>90040</v>
      </c>
      <c r="R1187" s="22" t="s">
        <v>10908</v>
      </c>
      <c r="S1187" s="22" t="s">
        <v>10915</v>
      </c>
      <c r="T1187" s="22">
        <v>8.17</v>
      </c>
      <c r="U1187" s="22">
        <v>0.38</v>
      </c>
      <c r="X1187" s="26"/>
      <c r="Y1187" s="26"/>
    </row>
    <row r="1188" spans="1:25" ht="25" x14ac:dyDescent="0.25">
      <c r="A1188" s="21">
        <v>1590</v>
      </c>
      <c r="B1188" s="22" t="s">
        <v>15368</v>
      </c>
      <c r="C1188" s="22" t="s">
        <v>10916</v>
      </c>
      <c r="D1188" s="23">
        <v>147447</v>
      </c>
      <c r="E1188" s="24">
        <v>1986</v>
      </c>
      <c r="F1188" s="22" t="s">
        <v>10917</v>
      </c>
      <c r="G1188" s="23" t="s">
        <v>10918</v>
      </c>
      <c r="H1188" s="25" t="s">
        <v>15373</v>
      </c>
      <c r="I1188" s="22" t="s">
        <v>15374</v>
      </c>
      <c r="J1188" s="22" t="s">
        <v>15731</v>
      </c>
      <c r="K1188" s="26">
        <f t="shared" si="18"/>
        <v>1059.3333333333333</v>
      </c>
      <c r="N1188" s="26">
        <v>1589</v>
      </c>
      <c r="O1188" s="22" t="s">
        <v>10919</v>
      </c>
      <c r="P1188" s="22" t="s">
        <v>13360</v>
      </c>
      <c r="Q1188" s="22">
        <v>91754</v>
      </c>
      <c r="R1188" s="22" t="s">
        <v>14852</v>
      </c>
      <c r="S1188" s="22" t="s">
        <v>10920</v>
      </c>
      <c r="T1188" s="22">
        <v>8.17</v>
      </c>
      <c r="U1188" s="22">
        <v>0.38</v>
      </c>
      <c r="X1188" s="26"/>
      <c r="Y1188" s="26"/>
    </row>
    <row r="1189" spans="1:25" ht="25" x14ac:dyDescent="0.25">
      <c r="A1189" s="21">
        <v>1591</v>
      </c>
      <c r="B1189" s="22" t="s">
        <v>15368</v>
      </c>
      <c r="C1189" s="22" t="s">
        <v>10916</v>
      </c>
      <c r="D1189" s="23">
        <v>148393</v>
      </c>
      <c r="E1189" s="24">
        <v>1986</v>
      </c>
      <c r="F1189" s="22" t="s">
        <v>10921</v>
      </c>
      <c r="G1189" s="23" t="s">
        <v>10922</v>
      </c>
      <c r="H1189" s="25" t="s">
        <v>15373</v>
      </c>
      <c r="I1189" s="22" t="s">
        <v>15374</v>
      </c>
      <c r="J1189" s="22" t="s">
        <v>15731</v>
      </c>
      <c r="K1189" s="26">
        <f t="shared" si="18"/>
        <v>1059.3333333333333</v>
      </c>
      <c r="N1189" s="26">
        <v>1589</v>
      </c>
      <c r="O1189" s="22" t="s">
        <v>10919</v>
      </c>
      <c r="P1189" s="22" t="s">
        <v>13360</v>
      </c>
      <c r="Q1189" s="22">
        <v>91754</v>
      </c>
      <c r="R1189" s="22" t="s">
        <v>14852</v>
      </c>
      <c r="S1189" s="22" t="s">
        <v>10920</v>
      </c>
      <c r="T1189" s="22">
        <v>6.9</v>
      </c>
      <c r="U1189" s="22">
        <v>0.4</v>
      </c>
      <c r="X1189" s="26"/>
      <c r="Y1189" s="26"/>
    </row>
    <row r="1190" spans="1:25" ht="25" x14ac:dyDescent="0.25">
      <c r="A1190" s="21">
        <v>1592</v>
      </c>
      <c r="B1190" s="22" t="s">
        <v>15368</v>
      </c>
      <c r="C1190" s="22" t="s">
        <v>10916</v>
      </c>
      <c r="D1190" s="23">
        <v>148467</v>
      </c>
      <c r="E1190" s="24">
        <v>1986</v>
      </c>
      <c r="F1190" s="22" t="s">
        <v>10923</v>
      </c>
      <c r="G1190" s="23" t="s">
        <v>10924</v>
      </c>
      <c r="H1190" s="25" t="s">
        <v>15373</v>
      </c>
      <c r="I1190" s="22" t="s">
        <v>15374</v>
      </c>
      <c r="J1190" s="22" t="s">
        <v>15731</v>
      </c>
      <c r="K1190" s="26">
        <f t="shared" si="18"/>
        <v>1059.3333333333333</v>
      </c>
      <c r="N1190" s="26">
        <v>1589</v>
      </c>
      <c r="O1190" s="22" t="s">
        <v>10919</v>
      </c>
      <c r="P1190" s="22" t="s">
        <v>13360</v>
      </c>
      <c r="Q1190" s="22">
        <v>91754</v>
      </c>
      <c r="R1190" s="22" t="s">
        <v>14852</v>
      </c>
      <c r="S1190" s="22" t="s">
        <v>10920</v>
      </c>
      <c r="T1190" s="22">
        <v>11</v>
      </c>
      <c r="U1190" s="22">
        <v>0.53</v>
      </c>
      <c r="X1190" s="26"/>
      <c r="Y1190" s="26"/>
    </row>
    <row r="1191" spans="1:25" ht="25" x14ac:dyDescent="0.25">
      <c r="A1191" s="21">
        <v>1593</v>
      </c>
      <c r="B1191" s="22" t="s">
        <v>15368</v>
      </c>
      <c r="C1191" s="22" t="s">
        <v>10925</v>
      </c>
      <c r="D1191" s="23">
        <v>346217</v>
      </c>
      <c r="E1191" s="24">
        <v>1998</v>
      </c>
      <c r="F1191" s="22" t="s">
        <v>10926</v>
      </c>
      <c r="G1191" s="23" t="s">
        <v>11833</v>
      </c>
      <c r="H1191" s="25" t="s">
        <v>15373</v>
      </c>
      <c r="I1191" s="22" t="s">
        <v>15382</v>
      </c>
      <c r="J1191" s="22" t="s">
        <v>15723</v>
      </c>
      <c r="K1191" s="26">
        <f t="shared" si="18"/>
        <v>1233.3333333333333</v>
      </c>
      <c r="N1191" s="26">
        <v>1850</v>
      </c>
      <c r="O1191" s="22" t="s">
        <v>10927</v>
      </c>
      <c r="P1191" s="22" t="s">
        <v>14733</v>
      </c>
      <c r="Q1191" s="22">
        <v>92822</v>
      </c>
      <c r="R1191" s="22" t="s">
        <v>10928</v>
      </c>
      <c r="S1191" s="22" t="s">
        <v>10929</v>
      </c>
      <c r="T1191" s="22">
        <v>11</v>
      </c>
      <c r="U1191" s="22">
        <v>0.53</v>
      </c>
      <c r="X1191" s="26"/>
      <c r="Y1191" s="26"/>
    </row>
    <row r="1192" spans="1:25" ht="37.5" x14ac:dyDescent="0.25">
      <c r="A1192" s="21">
        <v>1594</v>
      </c>
      <c r="B1192" s="22" t="s">
        <v>15368</v>
      </c>
      <c r="C1192" s="22" t="s">
        <v>10925</v>
      </c>
      <c r="D1192" s="23">
        <v>363404</v>
      </c>
      <c r="E1192" s="24">
        <v>1999</v>
      </c>
      <c r="F1192" s="22" t="s">
        <v>10930</v>
      </c>
      <c r="G1192" s="23" t="s">
        <v>10931</v>
      </c>
      <c r="H1192" s="25" t="s">
        <v>15373</v>
      </c>
      <c r="I1192" s="22" t="s">
        <v>15374</v>
      </c>
      <c r="J1192" s="22" t="s">
        <v>15420</v>
      </c>
      <c r="K1192" s="26">
        <f t="shared" si="18"/>
        <v>1100</v>
      </c>
      <c r="L1192" s="26">
        <v>1100</v>
      </c>
      <c r="O1192" s="22" t="s">
        <v>10919</v>
      </c>
      <c r="P1192" s="22" t="s">
        <v>13360</v>
      </c>
      <c r="Q1192" s="22" t="s">
        <v>10932</v>
      </c>
      <c r="R1192" s="22" t="s">
        <v>10933</v>
      </c>
      <c r="S1192" s="22" t="s">
        <v>10929</v>
      </c>
      <c r="T1192" s="22">
        <v>11</v>
      </c>
      <c r="U1192" s="22">
        <v>0.53</v>
      </c>
      <c r="X1192" s="26"/>
      <c r="Y1192" s="26"/>
    </row>
    <row r="1193" spans="1:25" ht="25" x14ac:dyDescent="0.25">
      <c r="A1193" s="21">
        <v>1595</v>
      </c>
      <c r="B1193" s="22" t="s">
        <v>15368</v>
      </c>
      <c r="C1193" s="22" t="s">
        <v>10934</v>
      </c>
      <c r="D1193" s="23">
        <v>340701</v>
      </c>
      <c r="E1193" s="24">
        <v>1998</v>
      </c>
      <c r="F1193" s="22" t="s">
        <v>10935</v>
      </c>
      <c r="G1193" s="23" t="s">
        <v>13316</v>
      </c>
      <c r="H1193" s="25" t="s">
        <v>15373</v>
      </c>
      <c r="I1193" s="22" t="s">
        <v>15382</v>
      </c>
      <c r="J1193" s="22" t="s">
        <v>16811</v>
      </c>
      <c r="K1193" s="26">
        <f t="shared" si="18"/>
        <v>356.66666666666663</v>
      </c>
      <c r="N1193" s="26">
        <v>535</v>
      </c>
      <c r="O1193" s="22" t="s">
        <v>10936</v>
      </c>
      <c r="P1193" s="22" t="s">
        <v>15971</v>
      </c>
      <c r="Q1193" s="22">
        <v>92675</v>
      </c>
      <c r="R1193" s="22" t="s">
        <v>10937</v>
      </c>
      <c r="S1193" s="22" t="s">
        <v>10938</v>
      </c>
      <c r="T1193" s="22">
        <v>8.17</v>
      </c>
      <c r="U1193" s="22">
        <v>0.38</v>
      </c>
      <c r="X1193" s="26"/>
      <c r="Y1193" s="26"/>
    </row>
    <row r="1194" spans="1:25" ht="37.5" x14ac:dyDescent="0.25">
      <c r="A1194" s="21">
        <v>1597</v>
      </c>
      <c r="B1194" s="22" t="s">
        <v>15368</v>
      </c>
      <c r="C1194" s="22" t="s">
        <v>10939</v>
      </c>
      <c r="D1194" s="23">
        <v>244223</v>
      </c>
      <c r="E1194" s="24">
        <v>1991</v>
      </c>
      <c r="F1194" s="22" t="s">
        <v>10940</v>
      </c>
      <c r="G1194" s="23" t="s">
        <v>10941</v>
      </c>
      <c r="H1194" s="25" t="s">
        <v>15373</v>
      </c>
      <c r="I1194" s="22" t="s">
        <v>15374</v>
      </c>
      <c r="J1194" s="22" t="s">
        <v>15731</v>
      </c>
      <c r="K1194" s="26">
        <f t="shared" si="18"/>
        <v>1201.3333333333333</v>
      </c>
      <c r="N1194" s="26">
        <v>1802</v>
      </c>
      <c r="O1194" s="22" t="s">
        <v>10942</v>
      </c>
      <c r="P1194" s="22" t="s">
        <v>16901</v>
      </c>
      <c r="Q1194" s="22">
        <v>91761</v>
      </c>
      <c r="R1194" s="22" t="s">
        <v>10943</v>
      </c>
      <c r="S1194" s="22" t="s">
        <v>10944</v>
      </c>
      <c r="T1194" s="22">
        <v>6.9</v>
      </c>
      <c r="U1194" s="22">
        <v>0.4</v>
      </c>
      <c r="X1194" s="26"/>
      <c r="Y1194" s="26"/>
    </row>
    <row r="1195" spans="1:25" ht="37.5" x14ac:dyDescent="0.25">
      <c r="A1195" s="21">
        <v>1598</v>
      </c>
      <c r="B1195" s="22" t="s">
        <v>15368</v>
      </c>
      <c r="C1195" s="22" t="s">
        <v>10939</v>
      </c>
      <c r="D1195" s="23">
        <v>244224</v>
      </c>
      <c r="E1195" s="24">
        <v>1991</v>
      </c>
      <c r="F1195" s="22" t="s">
        <v>10945</v>
      </c>
      <c r="G1195" s="23" t="s">
        <v>10941</v>
      </c>
      <c r="H1195" s="25" t="s">
        <v>15373</v>
      </c>
      <c r="I1195" s="22" t="s">
        <v>15374</v>
      </c>
      <c r="J1195" s="22" t="s">
        <v>15731</v>
      </c>
      <c r="K1195" s="26">
        <f t="shared" si="18"/>
        <v>1201.3333333333333</v>
      </c>
      <c r="N1195" s="26">
        <v>1802</v>
      </c>
      <c r="O1195" s="22" t="s">
        <v>10942</v>
      </c>
      <c r="P1195" s="22" t="s">
        <v>16901</v>
      </c>
      <c r="Q1195" s="22">
        <v>91761</v>
      </c>
      <c r="R1195" s="22" t="s">
        <v>10943</v>
      </c>
      <c r="S1195" s="22" t="s">
        <v>10944</v>
      </c>
      <c r="T1195" s="22">
        <v>8.17</v>
      </c>
      <c r="U1195" s="22">
        <v>0.38</v>
      </c>
      <c r="X1195" s="26"/>
      <c r="Y1195" s="26"/>
    </row>
    <row r="1196" spans="1:25" ht="37.5" x14ac:dyDescent="0.25">
      <c r="A1196" s="21">
        <v>1599</v>
      </c>
      <c r="B1196" s="22" t="s">
        <v>15368</v>
      </c>
      <c r="C1196" s="22" t="s">
        <v>10946</v>
      </c>
      <c r="D1196" s="23">
        <v>318741</v>
      </c>
      <c r="E1196" s="24">
        <v>1996</v>
      </c>
      <c r="F1196" s="22" t="s">
        <v>10947</v>
      </c>
      <c r="G1196" s="23" t="s">
        <v>10948</v>
      </c>
      <c r="H1196" s="25" t="s">
        <v>15373</v>
      </c>
      <c r="I1196" s="22" t="s">
        <v>15374</v>
      </c>
      <c r="J1196" s="22">
        <v>3412</v>
      </c>
      <c r="K1196" s="26">
        <f t="shared" si="18"/>
        <v>446.66666666666663</v>
      </c>
      <c r="N1196" s="26">
        <v>670</v>
      </c>
      <c r="O1196" s="22" t="s">
        <v>10949</v>
      </c>
      <c r="P1196" s="22" t="s">
        <v>15740</v>
      </c>
      <c r="Q1196" s="22">
        <v>90802</v>
      </c>
      <c r="R1196" s="22" t="s">
        <v>10950</v>
      </c>
      <c r="S1196" s="22" t="s">
        <v>10951</v>
      </c>
      <c r="T1196" s="22">
        <v>8.17</v>
      </c>
      <c r="U1196" s="22">
        <v>0.38</v>
      </c>
      <c r="X1196" s="26"/>
      <c r="Y1196" s="26"/>
    </row>
    <row r="1197" spans="1:25" ht="37.5" x14ac:dyDescent="0.25">
      <c r="A1197" s="21">
        <v>1600</v>
      </c>
      <c r="B1197" s="22" t="s">
        <v>15368</v>
      </c>
      <c r="C1197" s="22" t="s">
        <v>10952</v>
      </c>
      <c r="D1197" s="23">
        <v>211042</v>
      </c>
      <c r="E1197" s="24">
        <v>1989</v>
      </c>
      <c r="F1197" s="22" t="s">
        <v>10953</v>
      </c>
      <c r="G1197" s="23" t="s">
        <v>10954</v>
      </c>
      <c r="H1197" s="25" t="s">
        <v>15373</v>
      </c>
      <c r="I1197" s="22" t="s">
        <v>15382</v>
      </c>
      <c r="J1197" s="22" t="s">
        <v>14807</v>
      </c>
      <c r="K1197" s="26">
        <f t="shared" si="18"/>
        <v>373.33333333333331</v>
      </c>
      <c r="N1197" s="26">
        <v>560</v>
      </c>
      <c r="O1197" s="22" t="s">
        <v>10955</v>
      </c>
      <c r="P1197" s="22" t="s">
        <v>16786</v>
      </c>
      <c r="Q1197" s="22">
        <v>92805</v>
      </c>
      <c r="R1197" s="22" t="s">
        <v>10956</v>
      </c>
      <c r="S1197" s="22" t="s">
        <v>10957</v>
      </c>
      <c r="T1197" s="22">
        <v>8.17</v>
      </c>
      <c r="U1197" s="22">
        <v>0.38</v>
      </c>
      <c r="X1197" s="26"/>
      <c r="Y1197" s="26"/>
    </row>
    <row r="1198" spans="1:25" ht="37.5" x14ac:dyDescent="0.25">
      <c r="A1198" s="21">
        <v>1601</v>
      </c>
      <c r="B1198" s="22" t="s">
        <v>15368</v>
      </c>
      <c r="C1198" s="22" t="s">
        <v>10958</v>
      </c>
      <c r="D1198" s="23">
        <v>353203</v>
      </c>
      <c r="E1198" s="24">
        <v>1999</v>
      </c>
      <c r="F1198" s="22" t="s">
        <v>10959</v>
      </c>
      <c r="G1198" s="23" t="s">
        <v>10960</v>
      </c>
      <c r="H1198" s="25" t="s">
        <v>15373</v>
      </c>
      <c r="I1198" s="22" t="s">
        <v>15411</v>
      </c>
      <c r="J1198" s="22" t="s">
        <v>12270</v>
      </c>
      <c r="K1198" s="26">
        <f t="shared" si="18"/>
        <v>366.66666666666663</v>
      </c>
      <c r="N1198" s="26">
        <v>550</v>
      </c>
      <c r="O1198" s="22" t="s">
        <v>10961</v>
      </c>
      <c r="P1198" s="22" t="s">
        <v>11598</v>
      </c>
      <c r="Q1198" s="22" t="s">
        <v>10962</v>
      </c>
      <c r="R1198" s="22" t="s">
        <v>10963</v>
      </c>
      <c r="S1198" s="22" t="s">
        <v>10964</v>
      </c>
      <c r="T1198" s="22">
        <v>6.9</v>
      </c>
      <c r="U1198" s="22">
        <v>0.4</v>
      </c>
      <c r="X1198" s="26"/>
      <c r="Y1198" s="26"/>
    </row>
    <row r="1199" spans="1:25" ht="37.5" x14ac:dyDescent="0.25">
      <c r="A1199" s="21">
        <v>1602</v>
      </c>
      <c r="B1199" s="22" t="s">
        <v>15368</v>
      </c>
      <c r="C1199" s="22" t="s">
        <v>10965</v>
      </c>
      <c r="D1199" s="23">
        <v>374650</v>
      </c>
      <c r="E1199" s="24">
        <v>2000</v>
      </c>
      <c r="F1199" s="22" t="s">
        <v>10966</v>
      </c>
      <c r="G1199" s="23" t="s">
        <v>10967</v>
      </c>
      <c r="H1199" s="25" t="s">
        <v>15373</v>
      </c>
      <c r="I1199" s="22" t="s">
        <v>15374</v>
      </c>
      <c r="J1199" s="22" t="s">
        <v>15701</v>
      </c>
      <c r="K1199" s="26">
        <f t="shared" si="18"/>
        <v>391.33333333333331</v>
      </c>
      <c r="N1199" s="26">
        <v>587</v>
      </c>
      <c r="O1199" s="22" t="s">
        <v>10968</v>
      </c>
      <c r="P1199" s="22" t="s">
        <v>16853</v>
      </c>
      <c r="Q1199" s="22">
        <v>92697</v>
      </c>
      <c r="R1199" s="22" t="s">
        <v>10969</v>
      </c>
      <c r="S1199" s="22" t="s">
        <v>10970</v>
      </c>
      <c r="T1199" s="22">
        <v>8.17</v>
      </c>
      <c r="U1199" s="22">
        <v>0.38</v>
      </c>
      <c r="X1199" s="26"/>
      <c r="Y1199" s="26"/>
    </row>
    <row r="1200" spans="1:25" ht="37.5" x14ac:dyDescent="0.25">
      <c r="A1200" s="21">
        <v>1603</v>
      </c>
      <c r="B1200" s="22" t="s">
        <v>15368</v>
      </c>
      <c r="C1200" s="22" t="s">
        <v>10971</v>
      </c>
      <c r="D1200" s="23">
        <v>279906</v>
      </c>
      <c r="E1200" s="24">
        <v>1993</v>
      </c>
      <c r="F1200" s="22" t="s">
        <v>10972</v>
      </c>
      <c r="G1200" s="23" t="s">
        <v>10973</v>
      </c>
      <c r="H1200" s="25" t="s">
        <v>15373</v>
      </c>
      <c r="I1200" s="22" t="s">
        <v>15411</v>
      </c>
      <c r="J1200" s="22" t="s">
        <v>12755</v>
      </c>
      <c r="K1200" s="26">
        <f t="shared" si="18"/>
        <v>1010</v>
      </c>
      <c r="N1200" s="26">
        <v>1515</v>
      </c>
      <c r="O1200" s="22" t="s">
        <v>10974</v>
      </c>
      <c r="P1200" s="22" t="s">
        <v>15212</v>
      </c>
      <c r="Q1200" s="22">
        <v>92668</v>
      </c>
      <c r="R1200" s="22" t="s">
        <v>10975</v>
      </c>
      <c r="S1200" s="22" t="s">
        <v>10976</v>
      </c>
      <c r="T1200" s="22">
        <v>6.9</v>
      </c>
      <c r="U1200" s="22">
        <v>0.4</v>
      </c>
      <c r="X1200" s="26"/>
      <c r="Y1200" s="26"/>
    </row>
    <row r="1201" spans="1:25" ht="37.5" x14ac:dyDescent="0.25">
      <c r="A1201" s="21">
        <v>1604</v>
      </c>
      <c r="B1201" s="22" t="s">
        <v>15368</v>
      </c>
      <c r="C1201" s="22" t="s">
        <v>10971</v>
      </c>
      <c r="D1201" s="23">
        <v>346992</v>
      </c>
      <c r="E1201" s="24">
        <v>1998</v>
      </c>
      <c r="F1201" s="22" t="s">
        <v>10977</v>
      </c>
      <c r="G1201" s="23" t="s">
        <v>12062</v>
      </c>
      <c r="H1201" s="25" t="s">
        <v>15373</v>
      </c>
      <c r="I1201" s="22" t="s">
        <v>15374</v>
      </c>
      <c r="J1201" s="22" t="s">
        <v>14709</v>
      </c>
      <c r="K1201" s="26">
        <f t="shared" si="18"/>
        <v>700</v>
      </c>
      <c r="L1201" s="26">
        <v>700</v>
      </c>
      <c r="O1201" s="22" t="s">
        <v>10974</v>
      </c>
      <c r="P1201" s="22" t="s">
        <v>15212</v>
      </c>
      <c r="Q1201" s="22">
        <v>92668</v>
      </c>
      <c r="R1201" s="22" t="s">
        <v>10975</v>
      </c>
      <c r="S1201" s="22" t="s">
        <v>10976</v>
      </c>
      <c r="T1201" s="22">
        <v>6.9</v>
      </c>
      <c r="U1201" s="22">
        <v>0.4</v>
      </c>
      <c r="X1201" s="26"/>
      <c r="Y1201" s="26"/>
    </row>
    <row r="1202" spans="1:25" ht="37.5" x14ac:dyDescent="0.25">
      <c r="A1202" s="21">
        <v>1605</v>
      </c>
      <c r="B1202" s="22" t="s">
        <v>15368</v>
      </c>
      <c r="C1202" s="22" t="s">
        <v>10971</v>
      </c>
      <c r="D1202" s="23">
        <v>361868</v>
      </c>
      <c r="E1202" s="24">
        <v>1999</v>
      </c>
      <c r="F1202" s="22" t="s">
        <v>10978</v>
      </c>
      <c r="G1202" s="23" t="s">
        <v>12062</v>
      </c>
      <c r="H1202" s="25" t="s">
        <v>15373</v>
      </c>
      <c r="I1202" s="22" t="s">
        <v>15374</v>
      </c>
      <c r="J1202" s="22" t="s">
        <v>14709</v>
      </c>
      <c r="K1202" s="26">
        <f t="shared" si="18"/>
        <v>700</v>
      </c>
      <c r="L1202" s="26">
        <v>700</v>
      </c>
      <c r="O1202" s="22" t="s">
        <v>10974</v>
      </c>
      <c r="P1202" s="22" t="s">
        <v>15212</v>
      </c>
      <c r="Q1202" s="22">
        <v>92668</v>
      </c>
      <c r="R1202" s="22" t="s">
        <v>10975</v>
      </c>
      <c r="S1202" s="22" t="s">
        <v>10976</v>
      </c>
      <c r="T1202" s="22">
        <v>8.17</v>
      </c>
      <c r="U1202" s="22">
        <v>0.38</v>
      </c>
      <c r="X1202" s="26"/>
      <c r="Y1202" s="26"/>
    </row>
    <row r="1203" spans="1:25" ht="25" x14ac:dyDescent="0.25">
      <c r="A1203" s="21">
        <v>1606</v>
      </c>
      <c r="B1203" s="22" t="s">
        <v>15368</v>
      </c>
      <c r="C1203" s="22" t="s">
        <v>10971</v>
      </c>
      <c r="D1203" s="23" t="s">
        <v>10979</v>
      </c>
      <c r="E1203" s="24">
        <v>1982</v>
      </c>
      <c r="F1203" s="22" t="s">
        <v>10980</v>
      </c>
      <c r="G1203" s="23" t="s">
        <v>10981</v>
      </c>
      <c r="H1203" s="25" t="s">
        <v>15373</v>
      </c>
      <c r="I1203" s="22" t="s">
        <v>15411</v>
      </c>
      <c r="J1203" s="22" t="s">
        <v>10982</v>
      </c>
      <c r="K1203" s="26">
        <f t="shared" si="18"/>
        <v>1076</v>
      </c>
      <c r="L1203" s="26">
        <v>1076</v>
      </c>
      <c r="O1203" s="22" t="s">
        <v>10974</v>
      </c>
      <c r="P1203" s="22" t="s">
        <v>15212</v>
      </c>
      <c r="Q1203" s="22">
        <v>92668</v>
      </c>
      <c r="R1203" s="22" t="s">
        <v>10975</v>
      </c>
      <c r="S1203" s="22" t="s">
        <v>10976</v>
      </c>
      <c r="T1203" s="22">
        <v>8.17</v>
      </c>
      <c r="U1203" s="22">
        <v>0.38</v>
      </c>
      <c r="X1203" s="26"/>
      <c r="Y1203" s="26"/>
    </row>
    <row r="1204" spans="1:25" ht="50" x14ac:dyDescent="0.25">
      <c r="A1204" s="21">
        <v>1607</v>
      </c>
      <c r="B1204" s="22" t="s">
        <v>15368</v>
      </c>
      <c r="C1204" s="22" t="s">
        <v>10971</v>
      </c>
      <c r="D1204" s="23" t="s">
        <v>10983</v>
      </c>
      <c r="E1204" s="24">
        <v>1982</v>
      </c>
      <c r="F1204" s="22" t="s">
        <v>10984</v>
      </c>
      <c r="G1204" s="23" t="s">
        <v>10985</v>
      </c>
      <c r="H1204" s="25" t="s">
        <v>15373</v>
      </c>
      <c r="I1204" s="22" t="s">
        <v>15411</v>
      </c>
      <c r="J1204" s="22" t="s">
        <v>10982</v>
      </c>
      <c r="K1204" s="26">
        <f t="shared" si="18"/>
        <v>1076</v>
      </c>
      <c r="L1204" s="26">
        <v>1076</v>
      </c>
      <c r="O1204" s="22" t="s">
        <v>10974</v>
      </c>
      <c r="P1204" s="22" t="s">
        <v>15212</v>
      </c>
      <c r="Q1204" s="22">
        <v>92668</v>
      </c>
      <c r="R1204" s="22" t="s">
        <v>10975</v>
      </c>
      <c r="S1204" s="22" t="s">
        <v>10976</v>
      </c>
      <c r="T1204" s="22">
        <v>8.17</v>
      </c>
      <c r="U1204" s="22">
        <v>0.38</v>
      </c>
      <c r="X1204" s="26"/>
      <c r="Y1204" s="26"/>
    </row>
    <row r="1205" spans="1:25" ht="37.5" x14ac:dyDescent="0.25">
      <c r="A1205" s="21">
        <v>1608</v>
      </c>
      <c r="B1205" s="22" t="s">
        <v>15368</v>
      </c>
      <c r="C1205" s="22" t="s">
        <v>10986</v>
      </c>
      <c r="D1205" s="23">
        <v>227765</v>
      </c>
      <c r="E1205" s="24">
        <v>1990</v>
      </c>
      <c r="F1205" s="22" t="s">
        <v>10987</v>
      </c>
      <c r="G1205" s="23" t="s">
        <v>10988</v>
      </c>
      <c r="H1205" s="25" t="s">
        <v>15373</v>
      </c>
      <c r="I1205" s="22" t="s">
        <v>15411</v>
      </c>
      <c r="J1205" s="22" t="s">
        <v>10989</v>
      </c>
      <c r="K1205" s="26">
        <f t="shared" si="18"/>
        <v>428.66666666666663</v>
      </c>
      <c r="N1205" s="26">
        <v>643</v>
      </c>
      <c r="O1205" s="22" t="s">
        <v>10990</v>
      </c>
      <c r="P1205" s="22" t="s">
        <v>16853</v>
      </c>
      <c r="Q1205" s="22" t="s">
        <v>10991</v>
      </c>
      <c r="R1205" s="22" t="s">
        <v>10992</v>
      </c>
      <c r="S1205" s="22" t="s">
        <v>10993</v>
      </c>
      <c r="T1205" s="22">
        <v>12</v>
      </c>
      <c r="U1205" s="22">
        <v>0.53</v>
      </c>
      <c r="X1205" s="26"/>
      <c r="Y1205" s="26"/>
    </row>
    <row r="1206" spans="1:25" ht="37.5" x14ac:dyDescent="0.25">
      <c r="A1206" s="21">
        <v>1609</v>
      </c>
      <c r="B1206" s="22" t="s">
        <v>15368</v>
      </c>
      <c r="C1206" s="22" t="s">
        <v>10986</v>
      </c>
      <c r="D1206" s="23">
        <v>310432</v>
      </c>
      <c r="E1206" s="24">
        <v>1995</v>
      </c>
      <c r="F1206" s="22" t="s">
        <v>10994</v>
      </c>
      <c r="G1206" s="23" t="s">
        <v>10995</v>
      </c>
      <c r="H1206" s="25" t="s">
        <v>15373</v>
      </c>
      <c r="I1206" s="22" t="s">
        <v>15382</v>
      </c>
      <c r="J1206" s="22" t="s">
        <v>16811</v>
      </c>
      <c r="K1206" s="26">
        <f t="shared" si="18"/>
        <v>356.66666666666663</v>
      </c>
      <c r="N1206" s="26">
        <v>535</v>
      </c>
      <c r="O1206" s="22" t="s">
        <v>10990</v>
      </c>
      <c r="P1206" s="22" t="s">
        <v>16853</v>
      </c>
      <c r="Q1206" s="22" t="s">
        <v>10991</v>
      </c>
      <c r="R1206" s="22" t="s">
        <v>10992</v>
      </c>
      <c r="S1206" s="22" t="s">
        <v>10993</v>
      </c>
      <c r="T1206" s="22">
        <v>12</v>
      </c>
      <c r="U1206" s="22">
        <v>0.53</v>
      </c>
      <c r="X1206" s="26"/>
      <c r="Y1206" s="26"/>
    </row>
    <row r="1207" spans="1:25" ht="37.5" x14ac:dyDescent="0.25">
      <c r="A1207" s="21">
        <v>1610</v>
      </c>
      <c r="B1207" s="22" t="s">
        <v>15368</v>
      </c>
      <c r="C1207" s="22" t="s">
        <v>10986</v>
      </c>
      <c r="D1207" s="23">
        <v>312562</v>
      </c>
      <c r="E1207" s="24">
        <v>1996</v>
      </c>
      <c r="F1207" s="22" t="s">
        <v>10996</v>
      </c>
      <c r="G1207" s="23" t="s">
        <v>10997</v>
      </c>
      <c r="H1207" s="25" t="s">
        <v>15373</v>
      </c>
      <c r="I1207" s="22" t="s">
        <v>15411</v>
      </c>
      <c r="J1207" s="22" t="s">
        <v>15542</v>
      </c>
      <c r="K1207" s="26">
        <f t="shared" si="18"/>
        <v>730</v>
      </c>
      <c r="N1207" s="26">
        <v>1095</v>
      </c>
      <c r="O1207" s="22" t="s">
        <v>10990</v>
      </c>
      <c r="P1207" s="22" t="s">
        <v>16853</v>
      </c>
      <c r="Q1207" s="22" t="s">
        <v>10991</v>
      </c>
      <c r="R1207" s="22" t="s">
        <v>10992</v>
      </c>
      <c r="S1207" s="22" t="s">
        <v>10993</v>
      </c>
      <c r="T1207" s="22">
        <v>8.17</v>
      </c>
      <c r="U1207" s="22">
        <v>0.38</v>
      </c>
      <c r="X1207" s="26"/>
      <c r="Y1207" s="26"/>
    </row>
    <row r="1208" spans="1:25" ht="37.5" x14ac:dyDescent="0.25">
      <c r="A1208" s="21">
        <v>1611</v>
      </c>
      <c r="B1208" s="22" t="s">
        <v>15368</v>
      </c>
      <c r="C1208" s="22" t="s">
        <v>10986</v>
      </c>
      <c r="D1208" s="23">
        <v>318209</v>
      </c>
      <c r="E1208" s="24">
        <v>1996</v>
      </c>
      <c r="F1208" s="22" t="s">
        <v>10998</v>
      </c>
      <c r="G1208" s="23" t="s">
        <v>10999</v>
      </c>
      <c r="H1208" s="25" t="s">
        <v>15373</v>
      </c>
      <c r="I1208" s="22" t="s">
        <v>15411</v>
      </c>
      <c r="J1208" s="22" t="s">
        <v>16306</v>
      </c>
      <c r="K1208" s="26">
        <f t="shared" si="18"/>
        <v>428.66666666666663</v>
      </c>
      <c r="N1208" s="26">
        <v>643</v>
      </c>
      <c r="O1208" s="22" t="s">
        <v>10990</v>
      </c>
      <c r="P1208" s="22" t="s">
        <v>16853</v>
      </c>
      <c r="Q1208" s="22" t="s">
        <v>10991</v>
      </c>
      <c r="R1208" s="22" t="s">
        <v>10992</v>
      </c>
      <c r="S1208" s="22" t="s">
        <v>10993</v>
      </c>
      <c r="T1208" s="22">
        <v>8.17</v>
      </c>
      <c r="U1208" s="22">
        <v>0.38</v>
      </c>
      <c r="X1208" s="26"/>
      <c r="Y1208" s="26"/>
    </row>
    <row r="1209" spans="1:25" ht="37.5" x14ac:dyDescent="0.25">
      <c r="A1209" s="21">
        <v>1612</v>
      </c>
      <c r="B1209" s="22" t="s">
        <v>15368</v>
      </c>
      <c r="C1209" s="22" t="s">
        <v>10986</v>
      </c>
      <c r="D1209" s="23">
        <v>327619</v>
      </c>
      <c r="E1209" s="24">
        <v>1997</v>
      </c>
      <c r="F1209" s="22" t="s">
        <v>11000</v>
      </c>
      <c r="G1209" s="23" t="s">
        <v>11001</v>
      </c>
      <c r="H1209" s="25" t="s">
        <v>15373</v>
      </c>
      <c r="I1209" s="22" t="s">
        <v>15411</v>
      </c>
      <c r="J1209" s="22" t="s">
        <v>15542</v>
      </c>
      <c r="K1209" s="26">
        <f t="shared" si="18"/>
        <v>631.33333333333326</v>
      </c>
      <c r="N1209" s="26">
        <v>947</v>
      </c>
      <c r="O1209" s="22" t="s">
        <v>10990</v>
      </c>
      <c r="P1209" s="22" t="s">
        <v>16853</v>
      </c>
      <c r="Q1209" s="22" t="s">
        <v>10991</v>
      </c>
      <c r="R1209" s="22" t="s">
        <v>10992</v>
      </c>
      <c r="S1209" s="22" t="s">
        <v>10993</v>
      </c>
      <c r="T1209" s="22">
        <v>8.17</v>
      </c>
      <c r="U1209" s="22">
        <v>0.38</v>
      </c>
      <c r="X1209" s="26"/>
      <c r="Y1209" s="26"/>
    </row>
    <row r="1210" spans="1:25" ht="37.5" x14ac:dyDescent="0.25">
      <c r="A1210" s="21">
        <v>1613</v>
      </c>
      <c r="B1210" s="22" t="s">
        <v>15368</v>
      </c>
      <c r="C1210" s="22" t="s">
        <v>11002</v>
      </c>
      <c r="D1210" s="23">
        <v>344741</v>
      </c>
      <c r="E1210" s="24">
        <v>1998</v>
      </c>
      <c r="F1210" s="22" t="s">
        <v>11003</v>
      </c>
      <c r="G1210" s="23" t="s">
        <v>11004</v>
      </c>
      <c r="H1210" s="25" t="s">
        <v>15373</v>
      </c>
      <c r="I1210" s="22" t="s">
        <v>15411</v>
      </c>
      <c r="J1210" s="22" t="s">
        <v>11005</v>
      </c>
      <c r="K1210" s="26">
        <f t="shared" si="18"/>
        <v>428.66666666666663</v>
      </c>
      <c r="N1210" s="26">
        <v>643</v>
      </c>
      <c r="O1210" s="22" t="s">
        <v>11006</v>
      </c>
      <c r="P1210" s="22" t="s">
        <v>16794</v>
      </c>
      <c r="Q1210" s="22">
        <v>92521</v>
      </c>
      <c r="R1210" s="22" t="s">
        <v>11007</v>
      </c>
      <c r="S1210" s="22" t="s">
        <v>11008</v>
      </c>
      <c r="T1210" s="22">
        <v>6.9</v>
      </c>
      <c r="U1210" s="22">
        <v>0.4</v>
      </c>
      <c r="X1210" s="26"/>
      <c r="Y1210" s="26"/>
    </row>
    <row r="1211" spans="1:25" ht="37.5" x14ac:dyDescent="0.25">
      <c r="A1211" s="21">
        <v>1614</v>
      </c>
      <c r="B1211" s="22" t="s">
        <v>15368</v>
      </c>
      <c r="C1211" s="22" t="s">
        <v>11009</v>
      </c>
      <c r="D1211" s="23">
        <v>363966</v>
      </c>
      <c r="E1211" s="24">
        <v>1999</v>
      </c>
      <c r="F1211" s="22" t="s">
        <v>11010</v>
      </c>
      <c r="G1211" s="23" t="s">
        <v>11011</v>
      </c>
      <c r="H1211" s="25" t="s">
        <v>15373</v>
      </c>
      <c r="I1211" s="22" t="s">
        <v>15374</v>
      </c>
      <c r="J1211" s="22" t="s">
        <v>15516</v>
      </c>
      <c r="K1211" s="26">
        <f t="shared" si="18"/>
        <v>750</v>
      </c>
      <c r="L1211" s="26">
        <v>750</v>
      </c>
      <c r="O1211" s="22" t="s">
        <v>11012</v>
      </c>
      <c r="P1211" s="22" t="s">
        <v>15376</v>
      </c>
      <c r="Q1211" s="22" t="s">
        <v>11013</v>
      </c>
      <c r="R1211" s="22" t="s">
        <v>11014</v>
      </c>
      <c r="S1211" s="22" t="s">
        <v>11015</v>
      </c>
      <c r="T1211" s="22">
        <v>8.17</v>
      </c>
      <c r="U1211" s="22">
        <v>0.38</v>
      </c>
      <c r="X1211" s="26"/>
      <c r="Y1211" s="26"/>
    </row>
    <row r="1212" spans="1:25" ht="37.5" x14ac:dyDescent="0.25">
      <c r="A1212" s="21">
        <v>1615</v>
      </c>
      <c r="B1212" s="22" t="s">
        <v>15368</v>
      </c>
      <c r="C1212" s="22" t="s">
        <v>11016</v>
      </c>
      <c r="D1212" s="23">
        <v>327464</v>
      </c>
      <c r="E1212" s="24">
        <v>1997</v>
      </c>
      <c r="F1212" s="22" t="s">
        <v>11017</v>
      </c>
      <c r="G1212" s="23" t="s">
        <v>11018</v>
      </c>
      <c r="H1212" s="25" t="s">
        <v>15373</v>
      </c>
      <c r="I1212" s="22" t="s">
        <v>15411</v>
      </c>
      <c r="J1212" s="22" t="s">
        <v>16276</v>
      </c>
      <c r="K1212" s="26">
        <f t="shared" si="18"/>
        <v>378.66666666666663</v>
      </c>
      <c r="N1212" s="26">
        <v>568</v>
      </c>
      <c r="O1212" s="22" t="s">
        <v>11019</v>
      </c>
      <c r="P1212" s="22" t="s">
        <v>15376</v>
      </c>
      <c r="Q1212" s="22">
        <v>90033</v>
      </c>
      <c r="R1212" s="22" t="s">
        <v>11020</v>
      </c>
      <c r="S1212" s="22" t="s">
        <v>11021</v>
      </c>
      <c r="T1212" s="22">
        <v>6.9</v>
      </c>
      <c r="U1212" s="22">
        <v>0.4</v>
      </c>
      <c r="X1212" s="26"/>
      <c r="Y1212" s="26"/>
    </row>
    <row r="1213" spans="1:25" ht="37.5" x14ac:dyDescent="0.25">
      <c r="A1213" s="21">
        <v>1616</v>
      </c>
      <c r="B1213" s="22" t="s">
        <v>15368</v>
      </c>
      <c r="C1213" s="22" t="s">
        <v>11022</v>
      </c>
      <c r="D1213" s="23">
        <v>144994</v>
      </c>
      <c r="E1213" s="24">
        <v>1986</v>
      </c>
      <c r="F1213" s="22" t="s">
        <v>11023</v>
      </c>
      <c r="G1213" s="23" t="s">
        <v>11024</v>
      </c>
      <c r="H1213" s="25" t="s">
        <v>15373</v>
      </c>
      <c r="I1213" s="22" t="s">
        <v>15374</v>
      </c>
      <c r="J1213" s="22">
        <v>3412</v>
      </c>
      <c r="K1213" s="26">
        <f t="shared" si="18"/>
        <v>593.33333333333326</v>
      </c>
      <c r="N1213" s="26">
        <v>890</v>
      </c>
      <c r="O1213" s="22" t="s">
        <v>11025</v>
      </c>
      <c r="P1213" s="22" t="s">
        <v>15376</v>
      </c>
      <c r="Q1213" s="22" t="s">
        <v>11026</v>
      </c>
      <c r="R1213" s="22" t="s">
        <v>11027</v>
      </c>
      <c r="S1213" s="22" t="s">
        <v>11015</v>
      </c>
      <c r="T1213" s="22">
        <v>8.17</v>
      </c>
      <c r="U1213" s="22">
        <v>0.38</v>
      </c>
      <c r="X1213" s="26"/>
      <c r="Y1213" s="26"/>
    </row>
    <row r="1214" spans="1:25" ht="37.5" x14ac:dyDescent="0.25">
      <c r="A1214" s="21">
        <v>1617</v>
      </c>
      <c r="B1214" s="22" t="s">
        <v>15368</v>
      </c>
      <c r="C1214" s="22" t="s">
        <v>11022</v>
      </c>
      <c r="D1214" s="23">
        <v>144995</v>
      </c>
      <c r="E1214" s="24">
        <v>1986</v>
      </c>
      <c r="F1214" s="22" t="s">
        <v>11028</v>
      </c>
      <c r="G1214" s="23" t="s">
        <v>11029</v>
      </c>
      <c r="H1214" s="25" t="s">
        <v>15373</v>
      </c>
      <c r="I1214" s="22" t="s">
        <v>15374</v>
      </c>
      <c r="J1214" s="22">
        <v>3412</v>
      </c>
      <c r="K1214" s="26">
        <f t="shared" si="18"/>
        <v>593.33333333333326</v>
      </c>
      <c r="N1214" s="26">
        <v>890</v>
      </c>
      <c r="O1214" s="22" t="s">
        <v>11025</v>
      </c>
      <c r="P1214" s="22" t="s">
        <v>15376</v>
      </c>
      <c r="Q1214" s="22" t="s">
        <v>11026</v>
      </c>
      <c r="R1214" s="22" t="s">
        <v>11027</v>
      </c>
      <c r="S1214" s="22" t="s">
        <v>11015</v>
      </c>
      <c r="T1214" s="22">
        <v>6.9</v>
      </c>
      <c r="U1214" s="22">
        <v>0.4</v>
      </c>
      <c r="X1214" s="26"/>
      <c r="Y1214" s="26"/>
    </row>
    <row r="1215" spans="1:25" ht="37.5" x14ac:dyDescent="0.25">
      <c r="A1215" s="21">
        <v>1618</v>
      </c>
      <c r="B1215" s="22" t="s">
        <v>15368</v>
      </c>
      <c r="C1215" s="22" t="s">
        <v>11022</v>
      </c>
      <c r="D1215" s="23">
        <v>285593</v>
      </c>
      <c r="E1215" s="24">
        <v>1993</v>
      </c>
      <c r="F1215" s="22" t="s">
        <v>11030</v>
      </c>
      <c r="G1215" s="23" t="s">
        <v>11031</v>
      </c>
      <c r="H1215" s="25" t="s">
        <v>15373</v>
      </c>
      <c r="I1215" s="22" t="s">
        <v>15374</v>
      </c>
      <c r="J1215" s="22" t="s">
        <v>15191</v>
      </c>
      <c r="K1215" s="26">
        <f t="shared" si="18"/>
        <v>683.33333333333326</v>
      </c>
      <c r="N1215" s="26">
        <v>1025</v>
      </c>
      <c r="O1215" s="22" t="s">
        <v>11025</v>
      </c>
      <c r="P1215" s="22" t="s">
        <v>15376</v>
      </c>
      <c r="Q1215" s="22" t="s">
        <v>11026</v>
      </c>
      <c r="R1215" s="22" t="s">
        <v>11027</v>
      </c>
      <c r="S1215" s="22" t="s">
        <v>11015</v>
      </c>
      <c r="T1215" s="22">
        <v>11</v>
      </c>
      <c r="U1215" s="22">
        <v>0.53</v>
      </c>
      <c r="X1215" s="26"/>
      <c r="Y1215" s="26"/>
    </row>
    <row r="1216" spans="1:25" ht="37.5" x14ac:dyDescent="0.25">
      <c r="A1216" s="21">
        <v>1619</v>
      </c>
      <c r="B1216" s="22" t="s">
        <v>15368</v>
      </c>
      <c r="C1216" s="22" t="s">
        <v>11022</v>
      </c>
      <c r="D1216" s="23">
        <v>285594</v>
      </c>
      <c r="E1216" s="24">
        <v>1993</v>
      </c>
      <c r="F1216" s="22" t="s">
        <v>11032</v>
      </c>
      <c r="G1216" s="23" t="s">
        <v>11033</v>
      </c>
      <c r="H1216" s="25" t="s">
        <v>15373</v>
      </c>
      <c r="I1216" s="22" t="s">
        <v>15374</v>
      </c>
      <c r="J1216" s="22" t="s">
        <v>15191</v>
      </c>
      <c r="K1216" s="26">
        <f t="shared" si="18"/>
        <v>683.33333333333326</v>
      </c>
      <c r="N1216" s="26">
        <v>1025</v>
      </c>
      <c r="O1216" s="22" t="s">
        <v>11025</v>
      </c>
      <c r="P1216" s="22" t="s">
        <v>15376</v>
      </c>
      <c r="Q1216" s="22" t="s">
        <v>11026</v>
      </c>
      <c r="R1216" s="22" t="s">
        <v>11027</v>
      </c>
      <c r="S1216" s="22" t="s">
        <v>11015</v>
      </c>
      <c r="T1216" s="22">
        <v>11</v>
      </c>
      <c r="U1216" s="22">
        <v>0.53</v>
      </c>
      <c r="X1216" s="26"/>
      <c r="Y1216" s="26"/>
    </row>
    <row r="1217" spans="1:25" ht="37.5" x14ac:dyDescent="0.25">
      <c r="A1217" s="21">
        <v>1620</v>
      </c>
      <c r="B1217" s="22" t="s">
        <v>15368</v>
      </c>
      <c r="C1217" s="22" t="s">
        <v>11034</v>
      </c>
      <c r="D1217" s="23">
        <v>284312</v>
      </c>
      <c r="E1217" s="24">
        <v>1993</v>
      </c>
      <c r="F1217" s="22" t="s">
        <v>11035</v>
      </c>
      <c r="G1217" s="23" t="s">
        <v>11036</v>
      </c>
      <c r="H1217" s="25" t="s">
        <v>15373</v>
      </c>
      <c r="I1217" s="22" t="s">
        <v>15374</v>
      </c>
      <c r="J1217" s="22" t="s">
        <v>16869</v>
      </c>
      <c r="K1217" s="26">
        <f t="shared" si="18"/>
        <v>593.33333333333326</v>
      </c>
      <c r="N1217" s="26">
        <v>890</v>
      </c>
      <c r="O1217" s="22" t="s">
        <v>11037</v>
      </c>
      <c r="P1217" s="22" t="s">
        <v>14733</v>
      </c>
      <c r="Q1217" s="22">
        <v>92823</v>
      </c>
      <c r="R1217" s="22" t="s">
        <v>11038</v>
      </c>
      <c r="S1217" s="22" t="s">
        <v>11039</v>
      </c>
      <c r="T1217" s="22">
        <v>8.17</v>
      </c>
      <c r="U1217" s="22">
        <v>0.38</v>
      </c>
      <c r="X1217" s="26"/>
      <c r="Y1217" s="26"/>
    </row>
    <row r="1218" spans="1:25" ht="37.5" x14ac:dyDescent="0.25">
      <c r="A1218" s="21">
        <v>1621</v>
      </c>
      <c r="B1218" s="22" t="s">
        <v>15368</v>
      </c>
      <c r="C1218" s="22" t="s">
        <v>11034</v>
      </c>
      <c r="D1218" s="23">
        <v>284313</v>
      </c>
      <c r="E1218" s="24">
        <v>1993</v>
      </c>
      <c r="F1218" s="22" t="s">
        <v>11040</v>
      </c>
      <c r="G1218" s="23" t="s">
        <v>11041</v>
      </c>
      <c r="H1218" s="25" t="s">
        <v>15373</v>
      </c>
      <c r="I1218" s="22" t="s">
        <v>15374</v>
      </c>
      <c r="J1218" s="22" t="s">
        <v>15918</v>
      </c>
      <c r="K1218" s="26">
        <f t="shared" ref="K1218:K1281" si="19">L1218+M1218*(2/3)+N1218*(2/3)</f>
        <v>728.66666666666663</v>
      </c>
      <c r="N1218" s="26">
        <v>1093</v>
      </c>
      <c r="O1218" s="22" t="s">
        <v>11037</v>
      </c>
      <c r="P1218" s="22" t="s">
        <v>14733</v>
      </c>
      <c r="Q1218" s="22">
        <v>92823</v>
      </c>
      <c r="R1218" s="22" t="s">
        <v>11038</v>
      </c>
      <c r="S1218" s="22" t="s">
        <v>11039</v>
      </c>
      <c r="T1218" s="22">
        <v>8.17</v>
      </c>
      <c r="U1218" s="22">
        <v>0.38</v>
      </c>
      <c r="X1218" s="26"/>
      <c r="Y1218" s="26"/>
    </row>
    <row r="1219" spans="1:25" ht="25" x14ac:dyDescent="0.25">
      <c r="A1219" s="21">
        <v>1622</v>
      </c>
      <c r="B1219" s="22" t="s">
        <v>15368</v>
      </c>
      <c r="C1219" s="22" t="s">
        <v>11042</v>
      </c>
      <c r="D1219" s="23">
        <v>161208</v>
      </c>
      <c r="E1219" s="24">
        <v>1987</v>
      </c>
      <c r="F1219" s="22" t="s">
        <v>11043</v>
      </c>
      <c r="G1219" s="23" t="s">
        <v>11044</v>
      </c>
      <c r="H1219" s="25" t="s">
        <v>15373</v>
      </c>
      <c r="I1219" s="22" t="s">
        <v>15374</v>
      </c>
      <c r="J1219" s="22">
        <v>3508</v>
      </c>
      <c r="K1219" s="26">
        <f t="shared" si="19"/>
        <v>350</v>
      </c>
      <c r="L1219" s="26">
        <v>350</v>
      </c>
      <c r="O1219" s="22" t="s">
        <v>11045</v>
      </c>
      <c r="P1219" s="22" t="s">
        <v>13827</v>
      </c>
      <c r="Q1219" s="22">
        <v>92136</v>
      </c>
      <c r="R1219" s="22" t="s">
        <v>11046</v>
      </c>
      <c r="S1219" s="22" t="s">
        <v>11047</v>
      </c>
      <c r="T1219" s="22">
        <v>8.17</v>
      </c>
      <c r="U1219" s="22">
        <v>0.38</v>
      </c>
      <c r="X1219" s="26"/>
      <c r="Y1219" s="26"/>
    </row>
    <row r="1220" spans="1:25" ht="25" x14ac:dyDescent="0.25">
      <c r="A1220" s="21">
        <v>1624</v>
      </c>
      <c r="B1220" s="22" t="s">
        <v>15368</v>
      </c>
      <c r="C1220" s="22" t="s">
        <v>11048</v>
      </c>
      <c r="D1220" s="23">
        <v>323880</v>
      </c>
      <c r="E1220" s="24">
        <v>1997</v>
      </c>
      <c r="F1220" s="22" t="s">
        <v>11049</v>
      </c>
      <c r="G1220" s="23" t="s">
        <v>11050</v>
      </c>
      <c r="H1220" s="25" t="s">
        <v>15373</v>
      </c>
      <c r="I1220" s="22" t="s">
        <v>15374</v>
      </c>
      <c r="J1220" s="22">
        <v>3412</v>
      </c>
      <c r="K1220" s="26">
        <f t="shared" si="19"/>
        <v>653.33333333333326</v>
      </c>
      <c r="N1220" s="26">
        <v>980</v>
      </c>
      <c r="O1220" s="22" t="s">
        <v>11051</v>
      </c>
      <c r="P1220" s="22" t="s">
        <v>15376</v>
      </c>
      <c r="Q1220" s="22">
        <v>90012</v>
      </c>
      <c r="R1220" s="22" t="s">
        <v>11052</v>
      </c>
      <c r="S1220" s="22" t="s">
        <v>11053</v>
      </c>
      <c r="T1220" s="22">
        <v>11</v>
      </c>
      <c r="U1220" s="22">
        <v>0.53</v>
      </c>
      <c r="X1220" s="26"/>
      <c r="Y1220" s="26"/>
    </row>
    <row r="1221" spans="1:25" ht="37.5" x14ac:dyDescent="0.25">
      <c r="A1221" s="21">
        <v>1625</v>
      </c>
      <c r="B1221" s="22" t="s">
        <v>15368</v>
      </c>
      <c r="C1221" s="22" t="s">
        <v>11054</v>
      </c>
      <c r="D1221" s="23">
        <v>258335</v>
      </c>
      <c r="E1221" s="24">
        <v>1991</v>
      </c>
      <c r="F1221" s="22" t="s">
        <v>11055</v>
      </c>
      <c r="G1221" s="23" t="s">
        <v>11056</v>
      </c>
      <c r="H1221" s="25" t="s">
        <v>15373</v>
      </c>
      <c r="I1221" s="22" t="s">
        <v>15374</v>
      </c>
      <c r="J1221" s="22" t="s">
        <v>15731</v>
      </c>
      <c r="K1221" s="26">
        <f t="shared" si="19"/>
        <v>1186.6666666666665</v>
      </c>
      <c r="N1221" s="26">
        <v>1780</v>
      </c>
      <c r="O1221" s="22" t="s">
        <v>11057</v>
      </c>
      <c r="P1221" s="22" t="s">
        <v>14746</v>
      </c>
      <c r="Q1221" s="22">
        <v>91720</v>
      </c>
      <c r="R1221" s="22" t="s">
        <v>11058</v>
      </c>
      <c r="S1221" s="22" t="s">
        <v>11059</v>
      </c>
      <c r="T1221" s="22">
        <v>8.17</v>
      </c>
      <c r="U1221" s="22">
        <v>0.38</v>
      </c>
      <c r="X1221" s="26"/>
      <c r="Y1221" s="26"/>
    </row>
    <row r="1222" spans="1:25" ht="37.5" x14ac:dyDescent="0.25">
      <c r="A1222" s="21">
        <v>1626</v>
      </c>
      <c r="B1222" s="22" t="s">
        <v>15368</v>
      </c>
      <c r="C1222" s="22" t="s">
        <v>11060</v>
      </c>
      <c r="D1222" s="23">
        <v>273442</v>
      </c>
      <c r="E1222" s="24">
        <v>1992</v>
      </c>
      <c r="F1222" s="22" t="s">
        <v>11061</v>
      </c>
      <c r="G1222" s="23" t="s">
        <v>11062</v>
      </c>
      <c r="H1222" s="25" t="s">
        <v>15373</v>
      </c>
      <c r="I1222" s="22" t="s">
        <v>15374</v>
      </c>
      <c r="J1222" s="22" t="s">
        <v>11063</v>
      </c>
      <c r="K1222" s="26">
        <f t="shared" si="19"/>
        <v>402</v>
      </c>
      <c r="M1222" s="26">
        <v>603</v>
      </c>
      <c r="O1222" s="22" t="s">
        <v>11064</v>
      </c>
      <c r="P1222" s="22" t="s">
        <v>11313</v>
      </c>
      <c r="Q1222" s="22">
        <v>90740</v>
      </c>
      <c r="R1222" s="22" t="s">
        <v>11065</v>
      </c>
      <c r="S1222" s="22" t="s">
        <v>11066</v>
      </c>
      <c r="T1222" s="22">
        <v>8.17</v>
      </c>
      <c r="U1222" s="22">
        <v>0.38</v>
      </c>
      <c r="X1222" s="26"/>
      <c r="Y1222" s="26"/>
    </row>
    <row r="1223" spans="1:25" ht="37.5" x14ac:dyDescent="0.25">
      <c r="A1223" s="21">
        <v>1627</v>
      </c>
      <c r="B1223" s="22" t="s">
        <v>15368</v>
      </c>
      <c r="C1223" s="22" t="s">
        <v>11067</v>
      </c>
      <c r="D1223" s="23">
        <v>197570</v>
      </c>
      <c r="E1223" s="24">
        <v>1989</v>
      </c>
      <c r="F1223" s="22" t="s">
        <v>11068</v>
      </c>
      <c r="G1223" s="23" t="s">
        <v>11069</v>
      </c>
      <c r="H1223" s="25" t="s">
        <v>15373</v>
      </c>
      <c r="I1223" s="22" t="s">
        <v>15374</v>
      </c>
      <c r="J1223" s="22">
        <v>3412</v>
      </c>
      <c r="K1223" s="26">
        <f t="shared" si="19"/>
        <v>516.66666666666663</v>
      </c>
      <c r="N1223" s="26">
        <v>775</v>
      </c>
      <c r="O1223" s="22" t="s">
        <v>11070</v>
      </c>
      <c r="P1223" s="22" t="s">
        <v>11071</v>
      </c>
      <c r="Q1223" s="22" t="s">
        <v>11072</v>
      </c>
      <c r="R1223" s="22" t="s">
        <v>11073</v>
      </c>
      <c r="S1223" s="22" t="s">
        <v>11074</v>
      </c>
      <c r="T1223" s="22">
        <v>8.17</v>
      </c>
      <c r="U1223" s="22">
        <v>0.38</v>
      </c>
      <c r="X1223" s="26"/>
      <c r="Y1223" s="26"/>
    </row>
    <row r="1224" spans="1:25" ht="37.5" x14ac:dyDescent="0.25">
      <c r="A1224" s="21">
        <v>1628</v>
      </c>
      <c r="B1224" s="22" t="s">
        <v>15368</v>
      </c>
      <c r="C1224" s="22" t="s">
        <v>11067</v>
      </c>
      <c r="D1224" s="23">
        <v>367365</v>
      </c>
      <c r="E1224" s="24">
        <v>2000</v>
      </c>
      <c r="F1224" s="22" t="s">
        <v>11075</v>
      </c>
      <c r="G1224" s="23" t="s">
        <v>11076</v>
      </c>
      <c r="H1224" s="25" t="s">
        <v>15373</v>
      </c>
      <c r="I1224" s="22" t="s">
        <v>15382</v>
      </c>
      <c r="J1224" s="22" t="s">
        <v>14562</v>
      </c>
      <c r="K1224" s="26">
        <f t="shared" si="19"/>
        <v>600</v>
      </c>
      <c r="N1224" s="26">
        <v>900</v>
      </c>
      <c r="O1224" s="22" t="s">
        <v>11070</v>
      </c>
      <c r="P1224" s="22" t="s">
        <v>11071</v>
      </c>
      <c r="Q1224" s="22" t="s">
        <v>11072</v>
      </c>
      <c r="R1224" s="22" t="s">
        <v>11073</v>
      </c>
      <c r="S1224" s="22" t="s">
        <v>11074</v>
      </c>
      <c r="T1224" s="22">
        <v>8.17</v>
      </c>
      <c r="U1224" s="22">
        <v>0.38</v>
      </c>
      <c r="X1224" s="26"/>
      <c r="Y1224" s="26"/>
    </row>
    <row r="1225" spans="1:25" ht="37.5" x14ac:dyDescent="0.25">
      <c r="A1225" s="21">
        <v>1629</v>
      </c>
      <c r="B1225" s="22" t="s">
        <v>15368</v>
      </c>
      <c r="C1225" s="22" t="s">
        <v>11067</v>
      </c>
      <c r="D1225" s="23">
        <v>367367</v>
      </c>
      <c r="E1225" s="24">
        <v>2000</v>
      </c>
      <c r="F1225" s="22" t="s">
        <v>11077</v>
      </c>
      <c r="G1225" s="23" t="s">
        <v>11078</v>
      </c>
      <c r="H1225" s="25" t="s">
        <v>15373</v>
      </c>
      <c r="I1225" s="22" t="s">
        <v>15411</v>
      </c>
      <c r="J1225" s="22" t="s">
        <v>11079</v>
      </c>
      <c r="K1225" s="26">
        <f t="shared" si="19"/>
        <v>547.33333333333326</v>
      </c>
      <c r="N1225" s="26">
        <v>821</v>
      </c>
      <c r="O1225" s="22" t="s">
        <v>11070</v>
      </c>
      <c r="P1225" s="22" t="s">
        <v>11071</v>
      </c>
      <c r="Q1225" s="22" t="s">
        <v>11072</v>
      </c>
      <c r="R1225" s="22" t="s">
        <v>11073</v>
      </c>
      <c r="S1225" s="22" t="s">
        <v>11074</v>
      </c>
      <c r="T1225" s="22">
        <v>8.17</v>
      </c>
      <c r="U1225" s="22">
        <v>0.38</v>
      </c>
      <c r="X1225" s="26"/>
      <c r="Y1225" s="26"/>
    </row>
    <row r="1226" spans="1:25" ht="37.5" x14ac:dyDescent="0.25">
      <c r="A1226" s="21">
        <v>1630</v>
      </c>
      <c r="B1226" s="22" t="s">
        <v>15368</v>
      </c>
      <c r="C1226" s="22" t="s">
        <v>11067</v>
      </c>
      <c r="D1226" s="23">
        <v>378209</v>
      </c>
      <c r="E1226" s="24">
        <v>2000</v>
      </c>
      <c r="F1226" s="22" t="s">
        <v>11080</v>
      </c>
      <c r="G1226" s="23" t="s">
        <v>11081</v>
      </c>
      <c r="H1226" s="25" t="s">
        <v>15373</v>
      </c>
      <c r="I1226" s="22" t="s">
        <v>15382</v>
      </c>
      <c r="J1226" s="22" t="s">
        <v>14562</v>
      </c>
      <c r="K1226" s="26">
        <f t="shared" si="19"/>
        <v>600</v>
      </c>
      <c r="N1226" s="26">
        <v>900</v>
      </c>
      <c r="O1226" s="22" t="s">
        <v>11070</v>
      </c>
      <c r="P1226" s="22" t="s">
        <v>11071</v>
      </c>
      <c r="Q1226" s="22" t="s">
        <v>11072</v>
      </c>
      <c r="R1226" s="22" t="s">
        <v>11073</v>
      </c>
      <c r="S1226" s="22" t="s">
        <v>11074</v>
      </c>
      <c r="T1226" s="22">
        <v>6.9</v>
      </c>
      <c r="U1226" s="22">
        <v>0.4</v>
      </c>
      <c r="X1226" s="26"/>
      <c r="Y1226" s="26"/>
    </row>
    <row r="1227" spans="1:25" ht="37.5" x14ac:dyDescent="0.25">
      <c r="A1227" s="21">
        <v>1631</v>
      </c>
      <c r="B1227" s="22" t="s">
        <v>15368</v>
      </c>
      <c r="C1227" s="22" t="s">
        <v>11082</v>
      </c>
      <c r="D1227" s="23">
        <v>213797</v>
      </c>
      <c r="E1227" s="24">
        <v>1989</v>
      </c>
      <c r="F1227" s="22" t="s">
        <v>11083</v>
      </c>
      <c r="G1227" s="23" t="s">
        <v>9949</v>
      </c>
      <c r="H1227" s="25" t="s">
        <v>15373</v>
      </c>
      <c r="I1227" s="22" t="s">
        <v>15382</v>
      </c>
      <c r="J1227" s="22" t="s">
        <v>14807</v>
      </c>
      <c r="K1227" s="26">
        <f t="shared" si="19"/>
        <v>373.33333333333331</v>
      </c>
      <c r="N1227" s="26">
        <v>560</v>
      </c>
      <c r="O1227" s="22" t="s">
        <v>9950</v>
      </c>
      <c r="P1227" s="22" t="s">
        <v>15740</v>
      </c>
      <c r="Q1227" s="22" t="s">
        <v>9951</v>
      </c>
      <c r="R1227" s="22" t="s">
        <v>9952</v>
      </c>
      <c r="S1227" s="22" t="s">
        <v>9953</v>
      </c>
      <c r="T1227" s="22">
        <v>6.9</v>
      </c>
      <c r="U1227" s="22">
        <v>0.4</v>
      </c>
      <c r="X1227" s="26"/>
      <c r="Y1227" s="26"/>
    </row>
    <row r="1228" spans="1:25" ht="37.5" x14ac:dyDescent="0.25">
      <c r="A1228" s="21">
        <v>1632</v>
      </c>
      <c r="B1228" s="22" t="s">
        <v>15368</v>
      </c>
      <c r="C1228" s="22" t="s">
        <v>11082</v>
      </c>
      <c r="D1228" s="23">
        <v>213800</v>
      </c>
      <c r="E1228" s="24">
        <v>1989</v>
      </c>
      <c r="F1228" s="22" t="s">
        <v>9954</v>
      </c>
      <c r="G1228" s="23" t="s">
        <v>9955</v>
      </c>
      <c r="H1228" s="25" t="s">
        <v>15373</v>
      </c>
      <c r="I1228" s="22" t="s">
        <v>15382</v>
      </c>
      <c r="J1228" s="22" t="s">
        <v>9956</v>
      </c>
      <c r="K1228" s="26">
        <f t="shared" si="19"/>
        <v>436.66666666666663</v>
      </c>
      <c r="N1228" s="26">
        <v>655</v>
      </c>
      <c r="O1228" s="22" t="s">
        <v>9950</v>
      </c>
      <c r="P1228" s="22" t="s">
        <v>15740</v>
      </c>
      <c r="Q1228" s="22" t="s">
        <v>9951</v>
      </c>
      <c r="R1228" s="22" t="s">
        <v>9952</v>
      </c>
      <c r="S1228" s="22" t="s">
        <v>9953</v>
      </c>
      <c r="T1228" s="22">
        <v>6.9</v>
      </c>
      <c r="U1228" s="22">
        <v>0.4</v>
      </c>
      <c r="X1228" s="26"/>
      <c r="Y1228" s="26"/>
    </row>
    <row r="1229" spans="1:25" ht="37.5" x14ac:dyDescent="0.25">
      <c r="A1229" s="21">
        <v>1633</v>
      </c>
      <c r="B1229" s="22" t="s">
        <v>15368</v>
      </c>
      <c r="C1229" s="22" t="s">
        <v>11082</v>
      </c>
      <c r="D1229" s="23">
        <v>301007</v>
      </c>
      <c r="E1229" s="24">
        <v>1995</v>
      </c>
      <c r="F1229" s="22" t="s">
        <v>9957</v>
      </c>
      <c r="G1229" s="23" t="s">
        <v>9958</v>
      </c>
      <c r="H1229" s="25" t="s">
        <v>15373</v>
      </c>
      <c r="I1229" s="22" t="s">
        <v>15382</v>
      </c>
      <c r="J1229" s="22" t="s">
        <v>9959</v>
      </c>
      <c r="K1229" s="26">
        <f t="shared" si="19"/>
        <v>506.66666666666663</v>
      </c>
      <c r="N1229" s="26">
        <v>760</v>
      </c>
      <c r="O1229" s="22" t="s">
        <v>9950</v>
      </c>
      <c r="P1229" s="22" t="s">
        <v>15740</v>
      </c>
      <c r="Q1229" s="22" t="s">
        <v>9951</v>
      </c>
      <c r="R1229" s="22" t="s">
        <v>9952</v>
      </c>
      <c r="S1229" s="22" t="s">
        <v>9953</v>
      </c>
      <c r="T1229" s="22">
        <v>8.17</v>
      </c>
      <c r="U1229" s="22">
        <v>0.38</v>
      </c>
      <c r="X1229" s="26"/>
      <c r="Y1229" s="26"/>
    </row>
    <row r="1230" spans="1:25" ht="37.5" x14ac:dyDescent="0.25">
      <c r="A1230" s="21">
        <v>1634</v>
      </c>
      <c r="B1230" s="22" t="s">
        <v>15368</v>
      </c>
      <c r="C1230" s="22" t="s">
        <v>11082</v>
      </c>
      <c r="D1230" s="23">
        <v>301008</v>
      </c>
      <c r="E1230" s="24">
        <v>1995</v>
      </c>
      <c r="F1230" s="22" t="s">
        <v>9960</v>
      </c>
      <c r="G1230" s="23" t="s">
        <v>9961</v>
      </c>
      <c r="H1230" s="25" t="s">
        <v>15373</v>
      </c>
      <c r="I1230" s="22" t="s">
        <v>15382</v>
      </c>
      <c r="J1230" s="22" t="s">
        <v>14716</v>
      </c>
      <c r="K1230" s="26">
        <f t="shared" si="19"/>
        <v>600</v>
      </c>
      <c r="N1230" s="26">
        <v>900</v>
      </c>
      <c r="O1230" s="22" t="s">
        <v>9950</v>
      </c>
      <c r="P1230" s="22" t="s">
        <v>15740</v>
      </c>
      <c r="Q1230" s="22" t="s">
        <v>9951</v>
      </c>
      <c r="R1230" s="22" t="s">
        <v>9952</v>
      </c>
      <c r="S1230" s="22" t="s">
        <v>9953</v>
      </c>
      <c r="T1230" s="22">
        <v>8.17</v>
      </c>
      <c r="U1230" s="22">
        <v>0.38</v>
      </c>
      <c r="X1230" s="26"/>
      <c r="Y1230" s="26"/>
    </row>
    <row r="1231" spans="1:25" ht="37.5" x14ac:dyDescent="0.25">
      <c r="A1231" s="21">
        <v>1637</v>
      </c>
      <c r="B1231" s="22" t="s">
        <v>15368</v>
      </c>
      <c r="C1231" s="22" t="s">
        <v>9962</v>
      </c>
      <c r="D1231" s="23">
        <v>132701</v>
      </c>
      <c r="E1231" s="24">
        <v>1985</v>
      </c>
      <c r="F1231" s="22" t="s">
        <v>9963</v>
      </c>
      <c r="G1231" s="23" t="s">
        <v>9964</v>
      </c>
      <c r="H1231" s="25" t="s">
        <v>15373</v>
      </c>
      <c r="I1231" s="22" t="s">
        <v>15668</v>
      </c>
      <c r="J1231" s="22" t="s">
        <v>9965</v>
      </c>
      <c r="K1231" s="26">
        <f t="shared" si="19"/>
        <v>800</v>
      </c>
      <c r="N1231" s="26">
        <v>1200</v>
      </c>
      <c r="O1231" s="22" t="s">
        <v>9966</v>
      </c>
      <c r="P1231" s="22" t="s">
        <v>11169</v>
      </c>
      <c r="Q1231" s="22" t="s">
        <v>9967</v>
      </c>
      <c r="R1231" s="22" t="s">
        <v>9968</v>
      </c>
      <c r="S1231" s="22" t="s">
        <v>9969</v>
      </c>
      <c r="X1231" s="26"/>
      <c r="Y1231" s="26"/>
    </row>
    <row r="1232" spans="1:25" ht="37.5" x14ac:dyDescent="0.25">
      <c r="A1232" s="21">
        <v>1638</v>
      </c>
      <c r="B1232" s="22" t="s">
        <v>15368</v>
      </c>
      <c r="C1232" s="22" t="s">
        <v>9962</v>
      </c>
      <c r="D1232" s="23">
        <v>132702</v>
      </c>
      <c r="E1232" s="24">
        <v>1985</v>
      </c>
      <c r="F1232" s="22" t="s">
        <v>9970</v>
      </c>
      <c r="G1232" s="23" t="s">
        <v>9971</v>
      </c>
      <c r="H1232" s="25" t="s">
        <v>15373</v>
      </c>
      <c r="I1232" s="22" t="s">
        <v>15668</v>
      </c>
      <c r="J1232" s="22" t="s">
        <v>9972</v>
      </c>
      <c r="K1232" s="26">
        <f t="shared" si="19"/>
        <v>480</v>
      </c>
      <c r="N1232" s="26">
        <v>720</v>
      </c>
      <c r="O1232" s="22" t="s">
        <v>9966</v>
      </c>
      <c r="P1232" s="22" t="s">
        <v>11169</v>
      </c>
      <c r="Q1232" s="22">
        <v>92135</v>
      </c>
      <c r="R1232" s="22" t="s">
        <v>9968</v>
      </c>
      <c r="S1232" s="22" t="s">
        <v>9969</v>
      </c>
      <c r="X1232" s="26"/>
      <c r="Y1232" s="26"/>
    </row>
    <row r="1233" spans="1:25" ht="25" x14ac:dyDescent="0.25">
      <c r="A1233" s="21">
        <v>1639</v>
      </c>
      <c r="B1233" s="22" t="s">
        <v>15368</v>
      </c>
      <c r="C1233" s="22" t="s">
        <v>9962</v>
      </c>
      <c r="D1233" s="23">
        <v>132703</v>
      </c>
      <c r="E1233" s="24">
        <v>1985</v>
      </c>
      <c r="F1233" s="22" t="s">
        <v>9973</v>
      </c>
      <c r="G1233" s="23" t="s">
        <v>9974</v>
      </c>
      <c r="H1233" s="25" t="s">
        <v>15373</v>
      </c>
      <c r="I1233" s="22" t="s">
        <v>15668</v>
      </c>
      <c r="J1233" s="22" t="s">
        <v>9972</v>
      </c>
      <c r="K1233" s="26">
        <f t="shared" si="19"/>
        <v>480</v>
      </c>
      <c r="N1233" s="26">
        <v>720</v>
      </c>
      <c r="O1233" s="22" t="s">
        <v>9966</v>
      </c>
      <c r="P1233" s="22" t="s">
        <v>11169</v>
      </c>
      <c r="Q1233" s="22">
        <v>92135</v>
      </c>
      <c r="R1233" s="22" t="s">
        <v>9968</v>
      </c>
      <c r="S1233" s="22" t="s">
        <v>9969</v>
      </c>
      <c r="T1233" s="22">
        <v>11</v>
      </c>
      <c r="U1233" s="22">
        <v>0.53</v>
      </c>
      <c r="X1233" s="26"/>
      <c r="Y1233" s="26"/>
    </row>
    <row r="1234" spans="1:25" ht="37.5" x14ac:dyDescent="0.25">
      <c r="A1234" s="21">
        <v>1640</v>
      </c>
      <c r="B1234" s="22" t="s">
        <v>15368</v>
      </c>
      <c r="C1234" s="22" t="s">
        <v>9962</v>
      </c>
      <c r="D1234" s="23">
        <v>132704</v>
      </c>
      <c r="E1234" s="24">
        <v>1985</v>
      </c>
      <c r="F1234" s="22" t="s">
        <v>9975</v>
      </c>
      <c r="G1234" s="23" t="s">
        <v>9976</v>
      </c>
      <c r="H1234" s="25" t="s">
        <v>15373</v>
      </c>
      <c r="I1234" s="22" t="s">
        <v>15668</v>
      </c>
      <c r="J1234" s="22" t="s">
        <v>14630</v>
      </c>
      <c r="K1234" s="26">
        <f t="shared" si="19"/>
        <v>960</v>
      </c>
      <c r="N1234" s="26">
        <v>1440</v>
      </c>
      <c r="O1234" s="22" t="s">
        <v>9966</v>
      </c>
      <c r="P1234" s="22" t="s">
        <v>11169</v>
      </c>
      <c r="Q1234" s="22">
        <v>92135</v>
      </c>
      <c r="R1234" s="22" t="s">
        <v>9968</v>
      </c>
      <c r="S1234" s="22" t="s">
        <v>9969</v>
      </c>
      <c r="T1234" s="22">
        <v>11</v>
      </c>
      <c r="U1234" s="22">
        <v>0.53</v>
      </c>
      <c r="X1234" s="26"/>
      <c r="Y1234" s="26"/>
    </row>
    <row r="1235" spans="1:25" ht="25" x14ac:dyDescent="0.25">
      <c r="A1235" s="21">
        <v>1643</v>
      </c>
      <c r="B1235" s="22" t="s">
        <v>15368</v>
      </c>
      <c r="C1235" s="22" t="s">
        <v>9977</v>
      </c>
      <c r="D1235" s="23">
        <v>190863</v>
      </c>
      <c r="E1235" s="24">
        <v>1989</v>
      </c>
      <c r="F1235" s="22" t="s">
        <v>9978</v>
      </c>
      <c r="G1235" s="23" t="s">
        <v>9979</v>
      </c>
      <c r="H1235" s="25" t="s">
        <v>15373</v>
      </c>
      <c r="I1235" s="22" t="s">
        <v>15374</v>
      </c>
      <c r="J1235" s="22">
        <v>3512</v>
      </c>
      <c r="K1235" s="26">
        <f t="shared" si="19"/>
        <v>1053.3333333333333</v>
      </c>
      <c r="M1235" s="26">
        <v>1580</v>
      </c>
      <c r="O1235" s="22" t="s">
        <v>9980</v>
      </c>
      <c r="P1235" s="22" t="s">
        <v>12474</v>
      </c>
      <c r="Q1235" s="22" t="s">
        <v>9981</v>
      </c>
      <c r="R1235" s="22" t="s">
        <v>16887</v>
      </c>
      <c r="S1235" s="22" t="s">
        <v>16888</v>
      </c>
      <c r="T1235" s="22">
        <v>8.17</v>
      </c>
      <c r="U1235" s="22">
        <v>0.38</v>
      </c>
      <c r="X1235" s="26"/>
      <c r="Y1235" s="26"/>
    </row>
    <row r="1236" spans="1:25" ht="25" x14ac:dyDescent="0.25">
      <c r="A1236" s="21">
        <v>1645</v>
      </c>
      <c r="B1236" s="22" t="s">
        <v>15368</v>
      </c>
      <c r="C1236" s="22" t="s">
        <v>9977</v>
      </c>
      <c r="D1236" s="23">
        <v>355110</v>
      </c>
      <c r="E1236" s="24">
        <v>1999</v>
      </c>
      <c r="F1236" s="22" t="s">
        <v>9982</v>
      </c>
      <c r="G1236" s="23" t="s">
        <v>11791</v>
      </c>
      <c r="H1236" s="25" t="s">
        <v>15373</v>
      </c>
      <c r="I1236" s="22" t="s">
        <v>15382</v>
      </c>
      <c r="J1236" s="22" t="s">
        <v>16925</v>
      </c>
      <c r="K1236" s="26">
        <f t="shared" si="19"/>
        <v>1480</v>
      </c>
      <c r="N1236" s="26">
        <v>2220</v>
      </c>
      <c r="O1236" s="22" t="s">
        <v>9980</v>
      </c>
      <c r="P1236" s="22" t="s">
        <v>12474</v>
      </c>
      <c r="Q1236" s="22" t="s">
        <v>9981</v>
      </c>
      <c r="R1236" s="22" t="s">
        <v>16887</v>
      </c>
      <c r="S1236" s="22" t="s">
        <v>16888</v>
      </c>
      <c r="T1236" s="22">
        <v>8.17</v>
      </c>
      <c r="U1236" s="22">
        <v>0.38</v>
      </c>
      <c r="X1236" s="26"/>
      <c r="Y1236" s="26"/>
    </row>
    <row r="1237" spans="1:25" ht="37.5" x14ac:dyDescent="0.25">
      <c r="A1237" s="21">
        <v>1646</v>
      </c>
      <c r="B1237" s="22" t="s">
        <v>15368</v>
      </c>
      <c r="C1237" s="22" t="s">
        <v>9977</v>
      </c>
      <c r="D1237" s="23">
        <v>359554</v>
      </c>
      <c r="E1237" s="24">
        <v>1999</v>
      </c>
      <c r="F1237" s="22" t="s">
        <v>9983</v>
      </c>
      <c r="G1237" s="23" t="s">
        <v>9984</v>
      </c>
      <c r="H1237" s="25" t="s">
        <v>15373</v>
      </c>
      <c r="I1237" s="22" t="s">
        <v>15382</v>
      </c>
      <c r="J1237" s="22" t="s">
        <v>14642</v>
      </c>
      <c r="K1237" s="26">
        <f t="shared" si="19"/>
        <v>756.66666666666663</v>
      </c>
      <c r="N1237" s="26">
        <v>1135</v>
      </c>
      <c r="O1237" s="22" t="s">
        <v>9980</v>
      </c>
      <c r="P1237" s="22" t="s">
        <v>12474</v>
      </c>
      <c r="Q1237" s="22" t="s">
        <v>9981</v>
      </c>
      <c r="R1237" s="22" t="s">
        <v>16887</v>
      </c>
      <c r="S1237" s="22" t="s">
        <v>16888</v>
      </c>
      <c r="T1237" s="22">
        <v>8.17</v>
      </c>
      <c r="U1237" s="22">
        <v>0.38</v>
      </c>
      <c r="X1237" s="26"/>
      <c r="Y1237" s="26"/>
    </row>
    <row r="1238" spans="1:25" ht="37.5" x14ac:dyDescent="0.25">
      <c r="A1238" s="21">
        <v>1647</v>
      </c>
      <c r="B1238" s="22" t="s">
        <v>15368</v>
      </c>
      <c r="C1238" s="22" t="s">
        <v>9985</v>
      </c>
      <c r="D1238" s="23">
        <v>365980</v>
      </c>
      <c r="E1238" s="24">
        <v>1999</v>
      </c>
      <c r="F1238" s="22" t="s">
        <v>9986</v>
      </c>
      <c r="G1238" s="23" t="s">
        <v>9987</v>
      </c>
      <c r="H1238" s="25" t="s">
        <v>15373</v>
      </c>
      <c r="I1238" s="22" t="s">
        <v>15374</v>
      </c>
      <c r="J1238" s="22">
        <v>3412</v>
      </c>
      <c r="K1238" s="26">
        <f t="shared" si="19"/>
        <v>593.33333333333326</v>
      </c>
      <c r="N1238" s="26">
        <v>890</v>
      </c>
      <c r="O1238" s="22" t="s">
        <v>9988</v>
      </c>
      <c r="P1238" s="22" t="s">
        <v>15712</v>
      </c>
      <c r="Q1238" s="22">
        <v>90503</v>
      </c>
      <c r="R1238" s="22" t="s">
        <v>9989</v>
      </c>
      <c r="S1238" s="22" t="s">
        <v>9990</v>
      </c>
      <c r="T1238" s="22">
        <v>8.17</v>
      </c>
      <c r="U1238" s="22">
        <v>0.38</v>
      </c>
      <c r="X1238" s="26"/>
      <c r="Y1238" s="26"/>
    </row>
    <row r="1239" spans="1:25" ht="37.5" x14ac:dyDescent="0.25">
      <c r="A1239" s="21">
        <v>1648</v>
      </c>
      <c r="B1239" s="22" t="s">
        <v>15368</v>
      </c>
      <c r="C1239" s="22" t="s">
        <v>9991</v>
      </c>
      <c r="D1239" s="23">
        <v>277214</v>
      </c>
      <c r="E1239" s="24">
        <v>1993</v>
      </c>
      <c r="F1239" s="22" t="s">
        <v>9992</v>
      </c>
      <c r="G1239" s="23" t="s">
        <v>9993</v>
      </c>
      <c r="H1239" s="25" t="s">
        <v>15373</v>
      </c>
      <c r="I1239" s="22" t="s">
        <v>15411</v>
      </c>
      <c r="J1239" s="22" t="s">
        <v>15412</v>
      </c>
      <c r="K1239" s="26">
        <f t="shared" si="19"/>
        <v>553.33333333333326</v>
      </c>
      <c r="N1239" s="26">
        <v>830</v>
      </c>
      <c r="O1239" s="22" t="s">
        <v>9994</v>
      </c>
      <c r="P1239" s="22" t="s">
        <v>12795</v>
      </c>
      <c r="Q1239" s="22">
        <v>91355</v>
      </c>
      <c r="R1239" s="22" t="s">
        <v>9995</v>
      </c>
      <c r="S1239" s="22" t="s">
        <v>9996</v>
      </c>
      <c r="T1239" s="22">
        <v>8.17</v>
      </c>
      <c r="U1239" s="22">
        <v>0.38</v>
      </c>
      <c r="X1239" s="26"/>
      <c r="Y1239" s="26"/>
    </row>
    <row r="1240" spans="1:25" ht="37.5" x14ac:dyDescent="0.25">
      <c r="A1240" s="21">
        <v>1649</v>
      </c>
      <c r="B1240" s="22" t="s">
        <v>15368</v>
      </c>
      <c r="C1240" s="22" t="s">
        <v>9997</v>
      </c>
      <c r="D1240" s="23">
        <v>362919</v>
      </c>
      <c r="E1240" s="24">
        <v>1999</v>
      </c>
      <c r="F1240" s="22" t="s">
        <v>9998</v>
      </c>
      <c r="G1240" s="23" t="s">
        <v>12023</v>
      </c>
      <c r="H1240" s="25" t="s">
        <v>15373</v>
      </c>
      <c r="I1240" s="22" t="s">
        <v>15374</v>
      </c>
      <c r="J1240" s="22" t="s">
        <v>15701</v>
      </c>
      <c r="K1240" s="26">
        <f t="shared" si="19"/>
        <v>400</v>
      </c>
      <c r="L1240" s="26">
        <v>400</v>
      </c>
      <c r="O1240" s="22" t="s">
        <v>9999</v>
      </c>
      <c r="P1240" s="22" t="s">
        <v>14187</v>
      </c>
      <c r="Q1240" s="22">
        <v>91706</v>
      </c>
      <c r="R1240" s="22" t="s">
        <v>10000</v>
      </c>
      <c r="S1240" s="22" t="s">
        <v>10001</v>
      </c>
      <c r="T1240" s="22">
        <v>8.17</v>
      </c>
      <c r="U1240" s="22">
        <v>0.38</v>
      </c>
      <c r="X1240" s="26"/>
      <c r="Y1240" s="26"/>
    </row>
    <row r="1241" spans="1:25" ht="37.5" x14ac:dyDescent="0.25">
      <c r="A1241" s="21">
        <v>1650</v>
      </c>
      <c r="B1241" s="22" t="s">
        <v>15368</v>
      </c>
      <c r="C1241" s="22" t="s">
        <v>10002</v>
      </c>
      <c r="D1241" s="23">
        <v>146150</v>
      </c>
      <c r="E1241" s="24">
        <v>1986</v>
      </c>
      <c r="F1241" s="22" t="s">
        <v>10003</v>
      </c>
      <c r="G1241" s="23" t="s">
        <v>10004</v>
      </c>
      <c r="H1241" s="25" t="s">
        <v>15373</v>
      </c>
      <c r="I1241" s="22" t="s">
        <v>15374</v>
      </c>
      <c r="J1241" s="22">
        <v>3512</v>
      </c>
      <c r="K1241" s="26">
        <f t="shared" si="19"/>
        <v>886.66666666666663</v>
      </c>
      <c r="N1241" s="26">
        <v>1330</v>
      </c>
      <c r="O1241" s="22" t="s">
        <v>10005</v>
      </c>
      <c r="P1241" s="22" t="s">
        <v>14711</v>
      </c>
      <c r="Q1241" s="22">
        <v>91405</v>
      </c>
      <c r="R1241" s="22" t="s">
        <v>10006</v>
      </c>
      <c r="S1241" s="22" t="s">
        <v>10007</v>
      </c>
      <c r="T1241" s="22">
        <v>8.17</v>
      </c>
      <c r="U1241" s="22">
        <v>0.38</v>
      </c>
      <c r="X1241" s="26"/>
      <c r="Y1241" s="26"/>
    </row>
    <row r="1242" spans="1:25" ht="37.5" x14ac:dyDescent="0.25">
      <c r="A1242" s="21">
        <v>1651</v>
      </c>
      <c r="B1242" s="22" t="s">
        <v>15368</v>
      </c>
      <c r="C1242" s="22" t="s">
        <v>10002</v>
      </c>
      <c r="D1242" s="23">
        <v>319134</v>
      </c>
      <c r="E1242" s="24">
        <v>1996</v>
      </c>
      <c r="F1242" s="22" t="s">
        <v>10008</v>
      </c>
      <c r="G1242" s="23" t="s">
        <v>10009</v>
      </c>
      <c r="H1242" s="25" t="s">
        <v>15373</v>
      </c>
      <c r="I1242" s="22" t="s">
        <v>15374</v>
      </c>
      <c r="J1242" s="22">
        <v>3508</v>
      </c>
      <c r="K1242" s="26">
        <f t="shared" si="19"/>
        <v>662</v>
      </c>
      <c r="N1242" s="26">
        <v>993</v>
      </c>
      <c r="O1242" s="22" t="s">
        <v>10005</v>
      </c>
      <c r="P1242" s="22" t="s">
        <v>14711</v>
      </c>
      <c r="Q1242" s="22">
        <v>91405</v>
      </c>
      <c r="R1242" s="22" t="s">
        <v>10006</v>
      </c>
      <c r="S1242" s="22" t="s">
        <v>10007</v>
      </c>
      <c r="T1242" s="22">
        <v>6.9</v>
      </c>
      <c r="U1242" s="22">
        <v>0.4</v>
      </c>
      <c r="X1242" s="26"/>
      <c r="Y1242" s="26"/>
    </row>
    <row r="1243" spans="1:25" ht="37.5" x14ac:dyDescent="0.25">
      <c r="A1243" s="21">
        <v>1652</v>
      </c>
      <c r="B1243" s="22" t="s">
        <v>15368</v>
      </c>
      <c r="C1243" s="22" t="s">
        <v>10010</v>
      </c>
      <c r="D1243" s="23">
        <v>323703</v>
      </c>
      <c r="E1243" s="24">
        <v>1997</v>
      </c>
      <c r="F1243" s="22" t="s">
        <v>10011</v>
      </c>
      <c r="G1243" s="23" t="s">
        <v>10012</v>
      </c>
      <c r="H1243" s="25" t="s">
        <v>15373</v>
      </c>
      <c r="I1243" s="22" t="s">
        <v>15374</v>
      </c>
      <c r="J1243" s="22" t="s">
        <v>14709</v>
      </c>
      <c r="K1243" s="26">
        <f t="shared" si="19"/>
        <v>500</v>
      </c>
      <c r="L1243" s="26">
        <v>500</v>
      </c>
      <c r="O1243" s="22" t="s">
        <v>10013</v>
      </c>
      <c r="P1243" s="22" t="s">
        <v>10014</v>
      </c>
      <c r="Q1243" s="22">
        <v>91012</v>
      </c>
      <c r="R1243" s="22" t="s">
        <v>10015</v>
      </c>
      <c r="S1243" s="22" t="s">
        <v>10016</v>
      </c>
      <c r="T1243" s="22">
        <v>11</v>
      </c>
      <c r="U1243" s="22">
        <v>0.53</v>
      </c>
      <c r="X1243" s="26"/>
      <c r="Y1243" s="26"/>
    </row>
    <row r="1244" spans="1:25" ht="37.5" x14ac:dyDescent="0.25">
      <c r="A1244" s="21">
        <v>1654</v>
      </c>
      <c r="B1244" s="22" t="s">
        <v>15368</v>
      </c>
      <c r="C1244" s="22" t="s">
        <v>10061</v>
      </c>
      <c r="D1244" s="23">
        <v>345466</v>
      </c>
      <c r="E1244" s="24">
        <v>1998</v>
      </c>
      <c r="F1244" s="22" t="s">
        <v>10062</v>
      </c>
      <c r="G1244" s="23" t="s">
        <v>10063</v>
      </c>
      <c r="H1244" s="25" t="s">
        <v>15373</v>
      </c>
      <c r="I1244" s="22" t="s">
        <v>15411</v>
      </c>
      <c r="J1244" s="22" t="s">
        <v>14979</v>
      </c>
      <c r="K1244" s="26">
        <f t="shared" si="19"/>
        <v>524.66666666666663</v>
      </c>
      <c r="N1244" s="26">
        <v>787</v>
      </c>
      <c r="O1244" s="22" t="s">
        <v>10064</v>
      </c>
      <c r="P1244" s="22" t="s">
        <v>12438</v>
      </c>
      <c r="Q1244" s="22">
        <v>92683</v>
      </c>
      <c r="R1244" s="22" t="s">
        <v>10065</v>
      </c>
      <c r="S1244" s="22" t="s">
        <v>10066</v>
      </c>
      <c r="T1244" s="22">
        <v>6.9</v>
      </c>
      <c r="U1244" s="22">
        <v>0.4</v>
      </c>
      <c r="X1244" s="26"/>
      <c r="Y1244" s="26"/>
    </row>
    <row r="1245" spans="1:25" ht="25" x14ac:dyDescent="0.25">
      <c r="A1245" s="21">
        <v>1656</v>
      </c>
      <c r="B1245" s="22" t="s">
        <v>15368</v>
      </c>
      <c r="C1245" s="22" t="s">
        <v>10067</v>
      </c>
      <c r="D1245" s="23">
        <v>138837</v>
      </c>
      <c r="E1245" s="24">
        <v>1985</v>
      </c>
      <c r="F1245" s="22" t="s">
        <v>10068</v>
      </c>
      <c r="G1245" s="23" t="s">
        <v>10069</v>
      </c>
      <c r="H1245" s="25" t="s">
        <v>15373</v>
      </c>
      <c r="I1245" s="22" t="s">
        <v>15382</v>
      </c>
      <c r="J1245" s="22" t="s">
        <v>10070</v>
      </c>
      <c r="K1245" s="26">
        <f t="shared" si="19"/>
        <v>500</v>
      </c>
      <c r="L1245" s="26">
        <v>500</v>
      </c>
      <c r="O1245" s="22" t="s">
        <v>10071</v>
      </c>
      <c r="P1245" s="22" t="s">
        <v>16901</v>
      </c>
      <c r="Q1245" s="22">
        <v>91769</v>
      </c>
      <c r="R1245" s="22" t="s">
        <v>10072</v>
      </c>
      <c r="S1245" s="22" t="s">
        <v>10073</v>
      </c>
      <c r="T1245" s="22">
        <v>8.17</v>
      </c>
      <c r="U1245" s="22">
        <v>0.38</v>
      </c>
      <c r="X1245" s="26"/>
      <c r="Y1245" s="26"/>
    </row>
    <row r="1246" spans="1:25" ht="25" x14ac:dyDescent="0.25">
      <c r="A1246" s="21">
        <v>1657</v>
      </c>
      <c r="B1246" s="22" t="s">
        <v>15368</v>
      </c>
      <c r="C1246" s="22" t="s">
        <v>10067</v>
      </c>
      <c r="D1246" s="23">
        <v>139889</v>
      </c>
      <c r="E1246" s="24">
        <v>1985</v>
      </c>
      <c r="F1246" s="22" t="s">
        <v>10074</v>
      </c>
      <c r="G1246" s="23" t="s">
        <v>10075</v>
      </c>
      <c r="H1246" s="25" t="s">
        <v>15373</v>
      </c>
      <c r="I1246" s="22" t="s">
        <v>15382</v>
      </c>
      <c r="J1246" s="22" t="s">
        <v>10076</v>
      </c>
      <c r="K1246" s="26">
        <f t="shared" si="19"/>
        <v>500</v>
      </c>
      <c r="L1246" s="26">
        <v>500</v>
      </c>
      <c r="O1246" s="22" t="s">
        <v>10077</v>
      </c>
      <c r="P1246" s="22" t="s">
        <v>15472</v>
      </c>
      <c r="Q1246" s="22">
        <v>92201</v>
      </c>
      <c r="R1246" s="22" t="s">
        <v>10078</v>
      </c>
      <c r="S1246" s="22" t="s">
        <v>15966</v>
      </c>
      <c r="T1246" s="22">
        <v>11</v>
      </c>
      <c r="U1246" s="22">
        <v>0.53</v>
      </c>
      <c r="X1246" s="26"/>
      <c r="Y1246" s="26"/>
    </row>
    <row r="1247" spans="1:25" ht="25" x14ac:dyDescent="0.25">
      <c r="A1247" s="21">
        <v>1658</v>
      </c>
      <c r="B1247" s="22" t="s">
        <v>15368</v>
      </c>
      <c r="C1247" s="22" t="s">
        <v>10067</v>
      </c>
      <c r="D1247" s="23">
        <v>142367</v>
      </c>
      <c r="E1247" s="24">
        <v>1986</v>
      </c>
      <c r="F1247" s="22" t="s">
        <v>10079</v>
      </c>
      <c r="G1247" s="23" t="s">
        <v>10080</v>
      </c>
      <c r="H1247" s="25" t="s">
        <v>15373</v>
      </c>
      <c r="I1247" s="22" t="s">
        <v>15374</v>
      </c>
      <c r="J1247" s="22" t="s">
        <v>10081</v>
      </c>
      <c r="K1247" s="26">
        <f t="shared" si="19"/>
        <v>626</v>
      </c>
      <c r="N1247" s="26">
        <v>939</v>
      </c>
      <c r="O1247" s="22" t="s">
        <v>10082</v>
      </c>
      <c r="P1247" s="22" t="s">
        <v>10083</v>
      </c>
      <c r="Q1247" s="22">
        <v>90049</v>
      </c>
      <c r="R1247" s="22" t="s">
        <v>10084</v>
      </c>
      <c r="S1247" s="22" t="s">
        <v>10085</v>
      </c>
      <c r="T1247" s="22">
        <v>11</v>
      </c>
      <c r="U1247" s="22">
        <v>0.53</v>
      </c>
      <c r="X1247" s="26"/>
      <c r="Y1247" s="26"/>
    </row>
    <row r="1248" spans="1:25" ht="25" x14ac:dyDescent="0.25">
      <c r="A1248" s="21">
        <v>1659</v>
      </c>
      <c r="B1248" s="22" t="s">
        <v>15368</v>
      </c>
      <c r="C1248" s="22" t="s">
        <v>10067</v>
      </c>
      <c r="D1248" s="23">
        <v>142369</v>
      </c>
      <c r="E1248" s="24">
        <v>1986</v>
      </c>
      <c r="F1248" s="22" t="s">
        <v>10086</v>
      </c>
      <c r="G1248" s="23" t="s">
        <v>10087</v>
      </c>
      <c r="H1248" s="25" t="s">
        <v>15373</v>
      </c>
      <c r="I1248" s="22" t="s">
        <v>15374</v>
      </c>
      <c r="J1248" s="22" t="s">
        <v>16856</v>
      </c>
      <c r="K1248" s="26">
        <f t="shared" si="19"/>
        <v>670.66666666666663</v>
      </c>
      <c r="N1248" s="26">
        <v>1006</v>
      </c>
      <c r="O1248" s="22" t="s">
        <v>10088</v>
      </c>
      <c r="P1248" s="22" t="s">
        <v>10089</v>
      </c>
      <c r="Q1248" s="22">
        <v>91746</v>
      </c>
      <c r="R1248" s="22" t="s">
        <v>10072</v>
      </c>
      <c r="S1248" s="22" t="s">
        <v>10073</v>
      </c>
      <c r="T1248" s="22">
        <v>11</v>
      </c>
      <c r="U1248" s="22">
        <v>0.53</v>
      </c>
      <c r="X1248" s="26"/>
      <c r="Y1248" s="26"/>
    </row>
    <row r="1249" spans="1:25" ht="25" x14ac:dyDescent="0.25">
      <c r="A1249" s="21">
        <v>1660</v>
      </c>
      <c r="B1249" s="22" t="s">
        <v>15368</v>
      </c>
      <c r="C1249" s="22" t="s">
        <v>10067</v>
      </c>
      <c r="D1249" s="23">
        <v>142379</v>
      </c>
      <c r="E1249" s="24">
        <v>1986</v>
      </c>
      <c r="F1249" s="22" t="s">
        <v>10090</v>
      </c>
      <c r="G1249" s="23" t="s">
        <v>10091</v>
      </c>
      <c r="H1249" s="25" t="s">
        <v>15373</v>
      </c>
      <c r="I1249" s="22" t="s">
        <v>15709</v>
      </c>
      <c r="J1249" s="22" t="s">
        <v>10092</v>
      </c>
      <c r="K1249" s="26">
        <f t="shared" si="19"/>
        <v>626</v>
      </c>
      <c r="N1249" s="26">
        <v>939</v>
      </c>
      <c r="O1249" s="22" t="s">
        <v>10093</v>
      </c>
      <c r="P1249" s="22" t="s">
        <v>16563</v>
      </c>
      <c r="Q1249" s="22">
        <v>90241</v>
      </c>
      <c r="R1249" s="22" t="s">
        <v>10072</v>
      </c>
      <c r="S1249" s="22" t="s">
        <v>10073</v>
      </c>
      <c r="T1249" s="22">
        <v>11</v>
      </c>
      <c r="U1249" s="22">
        <v>0.53</v>
      </c>
      <c r="X1249" s="26"/>
      <c r="Y1249" s="26"/>
    </row>
    <row r="1250" spans="1:25" ht="25" x14ac:dyDescent="0.25">
      <c r="A1250" s="21">
        <v>1663</v>
      </c>
      <c r="B1250" s="22" t="s">
        <v>15368</v>
      </c>
      <c r="C1250" s="22" t="s">
        <v>10067</v>
      </c>
      <c r="D1250" s="23">
        <v>142387</v>
      </c>
      <c r="E1250" s="24">
        <v>1986</v>
      </c>
      <c r="F1250" s="22" t="s">
        <v>10096</v>
      </c>
      <c r="G1250" s="23" t="s">
        <v>10097</v>
      </c>
      <c r="H1250" s="25" t="s">
        <v>15373</v>
      </c>
      <c r="I1250" s="22" t="s">
        <v>15374</v>
      </c>
      <c r="J1250" s="22" t="s">
        <v>15918</v>
      </c>
      <c r="K1250" s="26">
        <f t="shared" si="19"/>
        <v>670.66666666666663</v>
      </c>
      <c r="N1250" s="26">
        <v>1006</v>
      </c>
      <c r="O1250" s="22" t="s">
        <v>10098</v>
      </c>
      <c r="P1250" s="22" t="s">
        <v>10099</v>
      </c>
      <c r="Q1250" s="22">
        <v>91340</v>
      </c>
      <c r="R1250" s="22" t="s">
        <v>10100</v>
      </c>
      <c r="S1250" s="22" t="s">
        <v>10101</v>
      </c>
      <c r="T1250" s="22">
        <v>11</v>
      </c>
      <c r="U1250" s="22">
        <v>0.53</v>
      </c>
      <c r="X1250" s="26"/>
      <c r="Y1250" s="26"/>
    </row>
    <row r="1251" spans="1:25" ht="25" x14ac:dyDescent="0.25">
      <c r="A1251" s="21">
        <v>1664</v>
      </c>
      <c r="B1251" s="22" t="s">
        <v>15368</v>
      </c>
      <c r="C1251" s="22" t="s">
        <v>10067</v>
      </c>
      <c r="D1251" s="23">
        <v>142388</v>
      </c>
      <c r="E1251" s="24">
        <v>1986</v>
      </c>
      <c r="F1251" s="22" t="s">
        <v>10102</v>
      </c>
      <c r="G1251" s="23" t="s">
        <v>10094</v>
      </c>
      <c r="H1251" s="25" t="s">
        <v>15373</v>
      </c>
      <c r="I1251" s="22" t="s">
        <v>15374</v>
      </c>
      <c r="J1251" s="22">
        <v>3412</v>
      </c>
      <c r="K1251" s="26">
        <f t="shared" si="19"/>
        <v>446.66666666666663</v>
      </c>
      <c r="N1251" s="26">
        <v>670</v>
      </c>
      <c r="O1251" s="22" t="s">
        <v>10103</v>
      </c>
      <c r="P1251" s="22" t="s">
        <v>12938</v>
      </c>
      <c r="Q1251" s="22">
        <v>91331</v>
      </c>
      <c r="R1251" s="22" t="s">
        <v>10104</v>
      </c>
      <c r="S1251" s="22" t="s">
        <v>10101</v>
      </c>
      <c r="T1251" s="22">
        <v>11</v>
      </c>
      <c r="U1251" s="22">
        <v>0.53</v>
      </c>
      <c r="X1251" s="26"/>
      <c r="Y1251" s="26"/>
    </row>
    <row r="1252" spans="1:25" ht="25" x14ac:dyDescent="0.25">
      <c r="A1252" s="21">
        <v>1666</v>
      </c>
      <c r="B1252" s="22" t="s">
        <v>15368</v>
      </c>
      <c r="C1252" s="22" t="s">
        <v>10067</v>
      </c>
      <c r="D1252" s="23">
        <v>142391</v>
      </c>
      <c r="E1252" s="24">
        <v>1986</v>
      </c>
      <c r="F1252" s="22" t="s">
        <v>10105</v>
      </c>
      <c r="G1252" s="23" t="s">
        <v>10094</v>
      </c>
      <c r="H1252" s="25" t="s">
        <v>15373</v>
      </c>
      <c r="I1252" s="22" t="s">
        <v>15374</v>
      </c>
      <c r="J1252" s="22">
        <v>3412</v>
      </c>
      <c r="K1252" s="26">
        <f t="shared" si="19"/>
        <v>446.66666666666663</v>
      </c>
      <c r="N1252" s="26">
        <v>670</v>
      </c>
      <c r="O1252" s="22" t="s">
        <v>10106</v>
      </c>
      <c r="P1252" s="22" t="s">
        <v>16833</v>
      </c>
      <c r="Q1252" s="22">
        <v>90670</v>
      </c>
      <c r="R1252" s="22" t="s">
        <v>10072</v>
      </c>
      <c r="S1252" s="22" t="s">
        <v>10073</v>
      </c>
      <c r="T1252" s="22">
        <v>11</v>
      </c>
      <c r="U1252" s="22">
        <v>0.53</v>
      </c>
      <c r="X1252" s="26"/>
      <c r="Y1252" s="26"/>
    </row>
    <row r="1253" spans="1:25" ht="25" x14ac:dyDescent="0.25">
      <c r="A1253" s="21">
        <v>1667</v>
      </c>
      <c r="B1253" s="22" t="s">
        <v>15368</v>
      </c>
      <c r="C1253" s="22" t="s">
        <v>10067</v>
      </c>
      <c r="D1253" s="23">
        <v>142392</v>
      </c>
      <c r="E1253" s="24">
        <v>1986</v>
      </c>
      <c r="F1253" s="22" t="s">
        <v>10107</v>
      </c>
      <c r="G1253" s="23" t="s">
        <v>10094</v>
      </c>
      <c r="H1253" s="25" t="s">
        <v>15373</v>
      </c>
      <c r="I1253" s="22" t="s">
        <v>15374</v>
      </c>
      <c r="J1253" s="22" t="s">
        <v>14076</v>
      </c>
      <c r="K1253" s="26">
        <f t="shared" si="19"/>
        <v>446.66666666666663</v>
      </c>
      <c r="N1253" s="26">
        <v>670</v>
      </c>
      <c r="O1253" s="22" t="s">
        <v>10108</v>
      </c>
      <c r="P1253" s="22" t="s">
        <v>13909</v>
      </c>
      <c r="Q1253" s="22">
        <v>92649</v>
      </c>
      <c r="R1253" s="22" t="s">
        <v>10072</v>
      </c>
      <c r="S1253" s="22" t="s">
        <v>10073</v>
      </c>
      <c r="T1253" s="22">
        <v>11</v>
      </c>
      <c r="U1253" s="22">
        <v>0.53</v>
      </c>
      <c r="X1253" s="26"/>
      <c r="Y1253" s="26"/>
    </row>
    <row r="1254" spans="1:25" ht="25" x14ac:dyDescent="0.25">
      <c r="A1254" s="21">
        <v>1668</v>
      </c>
      <c r="B1254" s="22" t="s">
        <v>15368</v>
      </c>
      <c r="C1254" s="22" t="s">
        <v>10067</v>
      </c>
      <c r="D1254" s="23">
        <v>142394</v>
      </c>
      <c r="E1254" s="24">
        <v>1986</v>
      </c>
      <c r="F1254" s="22" t="s">
        <v>10109</v>
      </c>
      <c r="G1254" s="23" t="s">
        <v>10110</v>
      </c>
      <c r="H1254" s="25" t="s">
        <v>15373</v>
      </c>
      <c r="I1254" s="22" t="s">
        <v>15709</v>
      </c>
      <c r="J1254" s="22" t="s">
        <v>10092</v>
      </c>
      <c r="K1254" s="26">
        <f t="shared" si="19"/>
        <v>773.33333333333326</v>
      </c>
      <c r="N1254" s="26">
        <v>1160</v>
      </c>
      <c r="O1254" s="22" t="s">
        <v>10111</v>
      </c>
      <c r="P1254" s="22" t="s">
        <v>15740</v>
      </c>
      <c r="Q1254" s="22">
        <v>90804</v>
      </c>
      <c r="R1254" s="22" t="s">
        <v>10072</v>
      </c>
      <c r="S1254" s="22" t="s">
        <v>10073</v>
      </c>
      <c r="T1254" s="22">
        <v>11</v>
      </c>
      <c r="U1254" s="22">
        <v>0.53</v>
      </c>
      <c r="X1254" s="26"/>
      <c r="Y1254" s="26"/>
    </row>
    <row r="1255" spans="1:25" ht="25" x14ac:dyDescent="0.25">
      <c r="A1255" s="21">
        <v>1669</v>
      </c>
      <c r="B1255" s="22" t="s">
        <v>15368</v>
      </c>
      <c r="C1255" s="22" t="s">
        <v>10067</v>
      </c>
      <c r="D1255" s="23">
        <v>142395</v>
      </c>
      <c r="E1255" s="24">
        <v>1986</v>
      </c>
      <c r="F1255" s="22" t="s">
        <v>10112</v>
      </c>
      <c r="G1255" s="23" t="s">
        <v>10094</v>
      </c>
      <c r="H1255" s="25" t="s">
        <v>15373</v>
      </c>
      <c r="I1255" s="22" t="s">
        <v>15374</v>
      </c>
      <c r="J1255" s="22">
        <v>3412</v>
      </c>
      <c r="K1255" s="26">
        <f t="shared" si="19"/>
        <v>446.66666666666663</v>
      </c>
      <c r="N1255" s="26">
        <v>670</v>
      </c>
      <c r="O1255" s="22" t="s">
        <v>10113</v>
      </c>
      <c r="P1255" s="22" t="s">
        <v>10114</v>
      </c>
      <c r="Q1255" s="22">
        <v>90660</v>
      </c>
      <c r="R1255" s="22" t="s">
        <v>10072</v>
      </c>
      <c r="S1255" s="22" t="s">
        <v>10073</v>
      </c>
      <c r="T1255" s="22">
        <v>11</v>
      </c>
      <c r="U1255" s="22">
        <v>0.53</v>
      </c>
      <c r="X1255" s="26"/>
      <c r="Y1255" s="26"/>
    </row>
    <row r="1256" spans="1:25" ht="25" x14ac:dyDescent="0.25">
      <c r="A1256" s="21">
        <v>1670</v>
      </c>
      <c r="B1256" s="22" t="s">
        <v>15368</v>
      </c>
      <c r="C1256" s="22" t="s">
        <v>10067</v>
      </c>
      <c r="D1256" s="23">
        <v>142396</v>
      </c>
      <c r="E1256" s="24">
        <v>1986</v>
      </c>
      <c r="F1256" s="22" t="s">
        <v>10115</v>
      </c>
      <c r="G1256" s="23" t="s">
        <v>10116</v>
      </c>
      <c r="H1256" s="25" t="s">
        <v>15373</v>
      </c>
      <c r="I1256" s="22" t="s">
        <v>15709</v>
      </c>
      <c r="J1256" s="22" t="s">
        <v>10117</v>
      </c>
      <c r="K1256" s="26">
        <f t="shared" si="19"/>
        <v>446.66666666666663</v>
      </c>
      <c r="N1256" s="26">
        <v>670</v>
      </c>
      <c r="O1256" s="22" t="s">
        <v>10118</v>
      </c>
      <c r="P1256" s="22" t="s">
        <v>15712</v>
      </c>
      <c r="Q1256" s="22">
        <v>90277</v>
      </c>
      <c r="R1256" s="22" t="s">
        <v>10119</v>
      </c>
      <c r="S1256" s="22" t="s">
        <v>10120</v>
      </c>
      <c r="T1256" s="22">
        <v>11</v>
      </c>
      <c r="U1256" s="22">
        <v>0.53</v>
      </c>
      <c r="X1256" s="26"/>
      <c r="Y1256" s="26"/>
    </row>
    <row r="1257" spans="1:25" ht="25" x14ac:dyDescent="0.25">
      <c r="A1257" s="21">
        <v>1671</v>
      </c>
      <c r="B1257" s="22" t="s">
        <v>15368</v>
      </c>
      <c r="C1257" s="22" t="s">
        <v>10067</v>
      </c>
      <c r="D1257" s="23">
        <v>142398</v>
      </c>
      <c r="E1257" s="24">
        <v>1986</v>
      </c>
      <c r="F1257" s="22" t="s">
        <v>10121</v>
      </c>
      <c r="G1257" s="23" t="s">
        <v>10094</v>
      </c>
      <c r="H1257" s="25" t="s">
        <v>15373</v>
      </c>
      <c r="I1257" s="22" t="s">
        <v>15374</v>
      </c>
      <c r="J1257" s="22">
        <v>3412</v>
      </c>
      <c r="K1257" s="26">
        <f t="shared" si="19"/>
        <v>446.66666666666663</v>
      </c>
      <c r="N1257" s="26">
        <v>670</v>
      </c>
      <c r="O1257" s="22" t="s">
        <v>10122</v>
      </c>
      <c r="P1257" s="22" t="s">
        <v>16886</v>
      </c>
      <c r="Q1257" s="22">
        <v>92651</v>
      </c>
      <c r="R1257" s="22" t="s">
        <v>10072</v>
      </c>
      <c r="S1257" s="22" t="s">
        <v>10073</v>
      </c>
      <c r="T1257" s="22">
        <v>11</v>
      </c>
      <c r="U1257" s="22">
        <v>0.53</v>
      </c>
      <c r="X1257" s="26"/>
      <c r="Y1257" s="26"/>
    </row>
    <row r="1258" spans="1:25" ht="25" x14ac:dyDescent="0.25">
      <c r="A1258" s="21">
        <v>1672</v>
      </c>
      <c r="B1258" s="22" t="s">
        <v>15368</v>
      </c>
      <c r="C1258" s="22" t="s">
        <v>10067</v>
      </c>
      <c r="D1258" s="23">
        <v>142399</v>
      </c>
      <c r="E1258" s="24">
        <v>1986</v>
      </c>
      <c r="F1258" s="22" t="s">
        <v>10123</v>
      </c>
      <c r="G1258" s="23" t="s">
        <v>10124</v>
      </c>
      <c r="H1258" s="25" t="s">
        <v>15373</v>
      </c>
      <c r="I1258" s="22" t="s">
        <v>15411</v>
      </c>
      <c r="J1258" s="22" t="s">
        <v>10125</v>
      </c>
      <c r="K1258" s="26">
        <f t="shared" si="19"/>
        <v>446.66666666666663</v>
      </c>
      <c r="N1258" s="26">
        <v>670</v>
      </c>
      <c r="O1258" s="22" t="s">
        <v>10126</v>
      </c>
      <c r="P1258" s="22" t="s">
        <v>11209</v>
      </c>
      <c r="Q1258" s="22">
        <v>90201</v>
      </c>
      <c r="R1258" s="22" t="s">
        <v>10072</v>
      </c>
      <c r="S1258" s="22" t="s">
        <v>10073</v>
      </c>
      <c r="T1258" s="22">
        <v>11</v>
      </c>
      <c r="U1258" s="22">
        <v>0.53</v>
      </c>
      <c r="X1258" s="26"/>
      <c r="Y1258" s="26"/>
    </row>
    <row r="1259" spans="1:25" ht="25" x14ac:dyDescent="0.25">
      <c r="A1259" s="21">
        <v>1673</v>
      </c>
      <c r="B1259" s="22" t="s">
        <v>15368</v>
      </c>
      <c r="C1259" s="22" t="s">
        <v>10067</v>
      </c>
      <c r="D1259" s="23">
        <v>142400</v>
      </c>
      <c r="E1259" s="24">
        <v>1986</v>
      </c>
      <c r="F1259" s="22" t="s">
        <v>11210</v>
      </c>
      <c r="G1259" s="23" t="s">
        <v>10094</v>
      </c>
      <c r="H1259" s="25" t="s">
        <v>15373</v>
      </c>
      <c r="I1259" s="22" t="s">
        <v>15374</v>
      </c>
      <c r="J1259" s="22">
        <v>3412</v>
      </c>
      <c r="K1259" s="26">
        <f t="shared" si="19"/>
        <v>446.66666666666663</v>
      </c>
      <c r="N1259" s="26">
        <v>670</v>
      </c>
      <c r="O1259" s="22" t="s">
        <v>11211</v>
      </c>
      <c r="P1259" s="22" t="s">
        <v>13834</v>
      </c>
      <c r="Q1259" s="22">
        <v>90278</v>
      </c>
      <c r="R1259" s="22" t="s">
        <v>11212</v>
      </c>
      <c r="S1259" s="22" t="s">
        <v>10120</v>
      </c>
      <c r="T1259" s="22">
        <v>11</v>
      </c>
      <c r="U1259" s="22">
        <v>0.53</v>
      </c>
      <c r="X1259" s="26"/>
      <c r="Y1259" s="26"/>
    </row>
    <row r="1260" spans="1:25" ht="25" x14ac:dyDescent="0.25">
      <c r="A1260" s="21">
        <v>1674</v>
      </c>
      <c r="B1260" s="22" t="s">
        <v>15368</v>
      </c>
      <c r="C1260" s="22" t="s">
        <v>10067</v>
      </c>
      <c r="D1260" s="23">
        <v>142402</v>
      </c>
      <c r="E1260" s="24">
        <v>1986</v>
      </c>
      <c r="F1260" s="22" t="s">
        <v>11213</v>
      </c>
      <c r="G1260" s="23" t="s">
        <v>11214</v>
      </c>
      <c r="H1260" s="25" t="s">
        <v>15373</v>
      </c>
      <c r="I1260" s="22" t="s">
        <v>15382</v>
      </c>
      <c r="J1260" s="22" t="s">
        <v>11215</v>
      </c>
      <c r="K1260" s="26">
        <f t="shared" si="19"/>
        <v>447.33333333333331</v>
      </c>
      <c r="N1260" s="26">
        <v>671</v>
      </c>
      <c r="O1260" s="22" t="s">
        <v>11216</v>
      </c>
      <c r="P1260" s="22" t="s">
        <v>15740</v>
      </c>
      <c r="Q1260" s="22">
        <v>90813</v>
      </c>
      <c r="R1260" s="22" t="s">
        <v>10072</v>
      </c>
      <c r="S1260" s="22" t="s">
        <v>10073</v>
      </c>
      <c r="T1260" s="22">
        <v>11</v>
      </c>
      <c r="U1260" s="22">
        <v>0.53</v>
      </c>
      <c r="X1260" s="26"/>
      <c r="Y1260" s="26"/>
    </row>
    <row r="1261" spans="1:25" ht="25" x14ac:dyDescent="0.25">
      <c r="A1261" s="21">
        <v>1675</v>
      </c>
      <c r="B1261" s="22" t="s">
        <v>15368</v>
      </c>
      <c r="C1261" s="22" t="s">
        <v>10067</v>
      </c>
      <c r="D1261" s="23">
        <v>142403</v>
      </c>
      <c r="E1261" s="24">
        <v>1986</v>
      </c>
      <c r="F1261" s="22" t="s">
        <v>11217</v>
      </c>
      <c r="G1261" s="23" t="s">
        <v>11218</v>
      </c>
      <c r="H1261" s="25" t="s">
        <v>15373</v>
      </c>
      <c r="I1261" s="22" t="s">
        <v>15411</v>
      </c>
      <c r="J1261" s="22" t="s">
        <v>11219</v>
      </c>
      <c r="K1261" s="26">
        <f t="shared" si="19"/>
        <v>447.33333333333331</v>
      </c>
      <c r="N1261" s="26">
        <v>671</v>
      </c>
      <c r="O1261" s="22" t="s">
        <v>11220</v>
      </c>
      <c r="P1261" s="22" t="s">
        <v>14639</v>
      </c>
      <c r="Q1261" s="22">
        <v>90265</v>
      </c>
      <c r="R1261" s="22" t="s">
        <v>11221</v>
      </c>
      <c r="S1261" s="22" t="s">
        <v>11222</v>
      </c>
      <c r="T1261" s="22">
        <v>11</v>
      </c>
      <c r="U1261" s="22">
        <v>0.53</v>
      </c>
      <c r="X1261" s="26"/>
      <c r="Y1261" s="26"/>
    </row>
    <row r="1262" spans="1:25" ht="25" x14ac:dyDescent="0.25">
      <c r="A1262" s="21">
        <v>1677</v>
      </c>
      <c r="B1262" s="22" t="s">
        <v>15368</v>
      </c>
      <c r="C1262" s="22" t="s">
        <v>10067</v>
      </c>
      <c r="D1262" s="23">
        <v>142405</v>
      </c>
      <c r="E1262" s="24">
        <v>1986</v>
      </c>
      <c r="F1262" s="22" t="s">
        <v>11223</v>
      </c>
      <c r="G1262" s="23" t="s">
        <v>10094</v>
      </c>
      <c r="H1262" s="25" t="s">
        <v>15373</v>
      </c>
      <c r="I1262" s="22" t="s">
        <v>15374</v>
      </c>
      <c r="J1262" s="22" t="s">
        <v>10095</v>
      </c>
      <c r="K1262" s="26">
        <f t="shared" si="19"/>
        <v>446.66666666666663</v>
      </c>
      <c r="N1262" s="26">
        <v>670</v>
      </c>
      <c r="O1262" s="22" t="s">
        <v>11224</v>
      </c>
      <c r="P1262" s="22" t="s">
        <v>14890</v>
      </c>
      <c r="Q1262" s="22">
        <v>90601</v>
      </c>
      <c r="R1262" s="22" t="s">
        <v>11225</v>
      </c>
      <c r="S1262" s="22" t="s">
        <v>11226</v>
      </c>
      <c r="T1262" s="22">
        <v>11</v>
      </c>
      <c r="U1262" s="22">
        <v>0.53</v>
      </c>
      <c r="X1262" s="26"/>
      <c r="Y1262" s="26"/>
    </row>
    <row r="1263" spans="1:25" ht="25" x14ac:dyDescent="0.25">
      <c r="A1263" s="21">
        <v>1678</v>
      </c>
      <c r="B1263" s="22" t="s">
        <v>15368</v>
      </c>
      <c r="C1263" s="22" t="s">
        <v>10067</v>
      </c>
      <c r="D1263" s="23">
        <v>142406</v>
      </c>
      <c r="E1263" s="24">
        <v>1986</v>
      </c>
      <c r="F1263" s="22" t="s">
        <v>11227</v>
      </c>
      <c r="G1263" s="23" t="s">
        <v>11228</v>
      </c>
      <c r="H1263" s="25" t="s">
        <v>15373</v>
      </c>
      <c r="I1263" s="22" t="s">
        <v>15709</v>
      </c>
      <c r="J1263" s="22" t="s">
        <v>10092</v>
      </c>
      <c r="K1263" s="26">
        <f t="shared" si="19"/>
        <v>670.66666666666663</v>
      </c>
      <c r="N1263" s="26">
        <v>1006</v>
      </c>
      <c r="O1263" s="22" t="s">
        <v>11229</v>
      </c>
      <c r="P1263" s="22" t="s">
        <v>13806</v>
      </c>
      <c r="Q1263" s="22">
        <v>91344</v>
      </c>
      <c r="R1263" s="22" t="s">
        <v>10100</v>
      </c>
      <c r="S1263" s="22" t="s">
        <v>10101</v>
      </c>
      <c r="T1263" s="22">
        <v>11</v>
      </c>
      <c r="U1263" s="22">
        <v>0.53</v>
      </c>
      <c r="X1263" s="26"/>
      <c r="Y1263" s="26"/>
    </row>
    <row r="1264" spans="1:25" ht="37.5" x14ac:dyDescent="0.25">
      <c r="A1264" s="21">
        <v>1679</v>
      </c>
      <c r="B1264" s="22" t="s">
        <v>15368</v>
      </c>
      <c r="C1264" s="22" t="s">
        <v>10067</v>
      </c>
      <c r="D1264" s="23">
        <v>142407</v>
      </c>
      <c r="E1264" s="24">
        <v>1986</v>
      </c>
      <c r="F1264" s="22" t="s">
        <v>11230</v>
      </c>
      <c r="G1264" s="23" t="s">
        <v>11231</v>
      </c>
      <c r="H1264" s="25" t="s">
        <v>15373</v>
      </c>
      <c r="I1264" s="22" t="s">
        <v>15411</v>
      </c>
      <c r="J1264" s="22" t="s">
        <v>10125</v>
      </c>
      <c r="K1264" s="26">
        <f t="shared" si="19"/>
        <v>446.66666666666663</v>
      </c>
      <c r="N1264" s="26">
        <v>670</v>
      </c>
      <c r="O1264" s="22" t="s">
        <v>11232</v>
      </c>
      <c r="P1264" s="22" t="s">
        <v>11598</v>
      </c>
      <c r="Q1264" s="22">
        <v>91016</v>
      </c>
      <c r="R1264" s="22" t="s">
        <v>11225</v>
      </c>
      <c r="S1264" s="22" t="s">
        <v>11233</v>
      </c>
      <c r="T1264" s="22">
        <v>11</v>
      </c>
      <c r="U1264" s="22">
        <v>0.53</v>
      </c>
      <c r="X1264" s="26"/>
      <c r="Y1264" s="26"/>
    </row>
    <row r="1265" spans="1:25" ht="25" x14ac:dyDescent="0.25">
      <c r="A1265" s="21">
        <v>1680</v>
      </c>
      <c r="B1265" s="22" t="s">
        <v>15368</v>
      </c>
      <c r="C1265" s="22" t="s">
        <v>10067</v>
      </c>
      <c r="D1265" s="23">
        <v>142408</v>
      </c>
      <c r="E1265" s="24">
        <v>1986</v>
      </c>
      <c r="F1265" s="22" t="s">
        <v>11234</v>
      </c>
      <c r="G1265" s="23" t="s">
        <v>10094</v>
      </c>
      <c r="H1265" s="25" t="s">
        <v>15373</v>
      </c>
      <c r="I1265" s="22" t="s">
        <v>15374</v>
      </c>
      <c r="J1265" s="22">
        <v>3412</v>
      </c>
      <c r="K1265" s="26">
        <f t="shared" si="19"/>
        <v>446.66666666666663</v>
      </c>
      <c r="N1265" s="26">
        <v>670</v>
      </c>
      <c r="O1265" s="22" t="s">
        <v>11235</v>
      </c>
      <c r="P1265" s="22" t="s">
        <v>10089</v>
      </c>
      <c r="Q1265" s="22">
        <v>91744</v>
      </c>
      <c r="R1265" s="22" t="s">
        <v>10072</v>
      </c>
      <c r="S1265" s="22" t="s">
        <v>10073</v>
      </c>
      <c r="T1265" s="22">
        <v>11</v>
      </c>
      <c r="U1265" s="22">
        <v>0.53</v>
      </c>
      <c r="X1265" s="26"/>
      <c r="Y1265" s="26"/>
    </row>
    <row r="1266" spans="1:25" ht="37.5" x14ac:dyDescent="0.25">
      <c r="A1266" s="21">
        <v>1681</v>
      </c>
      <c r="B1266" s="22" t="s">
        <v>15368</v>
      </c>
      <c r="C1266" s="22" t="s">
        <v>10067</v>
      </c>
      <c r="D1266" s="23">
        <v>142409</v>
      </c>
      <c r="E1266" s="24">
        <v>1986</v>
      </c>
      <c r="F1266" s="22" t="s">
        <v>11236</v>
      </c>
      <c r="G1266" s="23" t="s">
        <v>11231</v>
      </c>
      <c r="H1266" s="25" t="s">
        <v>15373</v>
      </c>
      <c r="I1266" s="22" t="s">
        <v>15411</v>
      </c>
      <c r="J1266" s="22" t="s">
        <v>10125</v>
      </c>
      <c r="K1266" s="26">
        <f t="shared" si="19"/>
        <v>446.66666666666663</v>
      </c>
      <c r="N1266" s="26">
        <v>670</v>
      </c>
      <c r="O1266" s="22" t="s">
        <v>11237</v>
      </c>
      <c r="P1266" s="22" t="s">
        <v>12997</v>
      </c>
      <c r="Q1266" s="22">
        <v>91750</v>
      </c>
      <c r="R1266" s="22" t="s">
        <v>11238</v>
      </c>
      <c r="S1266" s="22" t="s">
        <v>11226</v>
      </c>
      <c r="T1266" s="22">
        <v>11</v>
      </c>
      <c r="U1266" s="22">
        <v>0.53</v>
      </c>
      <c r="X1266" s="26"/>
      <c r="Y1266" s="26"/>
    </row>
    <row r="1267" spans="1:25" ht="25" x14ac:dyDescent="0.25">
      <c r="A1267" s="21">
        <v>1683</v>
      </c>
      <c r="B1267" s="22" t="s">
        <v>15368</v>
      </c>
      <c r="C1267" s="22" t="s">
        <v>10067</v>
      </c>
      <c r="D1267" s="23">
        <v>142411</v>
      </c>
      <c r="E1267" s="24">
        <v>1986</v>
      </c>
      <c r="F1267" s="22" t="s">
        <v>11239</v>
      </c>
      <c r="G1267" s="23" t="s">
        <v>11240</v>
      </c>
      <c r="H1267" s="25" t="s">
        <v>15373</v>
      </c>
      <c r="I1267" s="22" t="s">
        <v>15374</v>
      </c>
      <c r="J1267" s="22">
        <v>3412</v>
      </c>
      <c r="K1267" s="26">
        <f t="shared" si="19"/>
        <v>357.33333333333331</v>
      </c>
      <c r="N1267" s="26">
        <v>536</v>
      </c>
      <c r="O1267" s="22" t="s">
        <v>11241</v>
      </c>
      <c r="P1267" s="22" t="s">
        <v>13909</v>
      </c>
      <c r="Q1267" s="22">
        <v>92646</v>
      </c>
      <c r="R1267" s="22" t="s">
        <v>10072</v>
      </c>
      <c r="S1267" s="22" t="s">
        <v>10073</v>
      </c>
      <c r="T1267" s="22">
        <v>11</v>
      </c>
      <c r="U1267" s="22">
        <v>0.53</v>
      </c>
      <c r="X1267" s="26"/>
      <c r="Y1267" s="26"/>
    </row>
    <row r="1268" spans="1:25" ht="25" x14ac:dyDescent="0.25">
      <c r="A1268" s="21">
        <v>1684</v>
      </c>
      <c r="B1268" s="22" t="s">
        <v>15368</v>
      </c>
      <c r="C1268" s="22" t="s">
        <v>10067</v>
      </c>
      <c r="D1268" s="23">
        <v>142412</v>
      </c>
      <c r="E1268" s="24">
        <v>1986</v>
      </c>
      <c r="F1268" s="22" t="s">
        <v>11242</v>
      </c>
      <c r="G1268" s="23" t="s">
        <v>11243</v>
      </c>
      <c r="H1268" s="25" t="s">
        <v>15373</v>
      </c>
      <c r="I1268" s="22" t="s">
        <v>15411</v>
      </c>
      <c r="J1268" s="22" t="s">
        <v>14979</v>
      </c>
      <c r="K1268" s="26">
        <f t="shared" si="19"/>
        <v>446.66666666666663</v>
      </c>
      <c r="N1268" s="26">
        <v>670</v>
      </c>
      <c r="O1268" s="22" t="s">
        <v>11244</v>
      </c>
      <c r="P1268" s="22" t="s">
        <v>11245</v>
      </c>
      <c r="Q1268" s="22">
        <v>90701</v>
      </c>
      <c r="R1268" s="22" t="s">
        <v>10072</v>
      </c>
      <c r="S1268" s="22" t="s">
        <v>10073</v>
      </c>
      <c r="T1268" s="22">
        <v>11</v>
      </c>
      <c r="U1268" s="22">
        <v>0.53</v>
      </c>
      <c r="X1268" s="26"/>
      <c r="Y1268" s="26"/>
    </row>
    <row r="1269" spans="1:25" ht="25" x14ac:dyDescent="0.25">
      <c r="A1269" s="21">
        <v>1685</v>
      </c>
      <c r="B1269" s="22" t="s">
        <v>15368</v>
      </c>
      <c r="C1269" s="22" t="s">
        <v>10067</v>
      </c>
      <c r="D1269" s="23">
        <v>142413</v>
      </c>
      <c r="E1269" s="24">
        <v>1986</v>
      </c>
      <c r="F1269" s="22" t="s">
        <v>11246</v>
      </c>
      <c r="G1269" s="23" t="s">
        <v>10094</v>
      </c>
      <c r="H1269" s="25" t="s">
        <v>15373</v>
      </c>
      <c r="I1269" s="22" t="s">
        <v>15374</v>
      </c>
      <c r="J1269" s="22">
        <v>3412</v>
      </c>
      <c r="K1269" s="26">
        <f t="shared" si="19"/>
        <v>446.66666666666663</v>
      </c>
      <c r="N1269" s="26">
        <v>670</v>
      </c>
      <c r="O1269" s="22" t="s">
        <v>11247</v>
      </c>
      <c r="P1269" s="22" t="s">
        <v>16833</v>
      </c>
      <c r="Q1269" s="22">
        <v>90670</v>
      </c>
      <c r="R1269" s="22" t="s">
        <v>11225</v>
      </c>
      <c r="S1269" s="22" t="s">
        <v>11226</v>
      </c>
      <c r="T1269" s="22">
        <v>11</v>
      </c>
      <c r="U1269" s="22">
        <v>0.53</v>
      </c>
      <c r="X1269" s="26"/>
      <c r="Y1269" s="26"/>
    </row>
    <row r="1270" spans="1:25" ht="25" x14ac:dyDescent="0.25">
      <c r="A1270" s="21">
        <v>1689</v>
      </c>
      <c r="B1270" s="22" t="s">
        <v>15368</v>
      </c>
      <c r="C1270" s="22" t="s">
        <v>10067</v>
      </c>
      <c r="D1270" s="23">
        <v>142417</v>
      </c>
      <c r="E1270" s="24">
        <v>1986</v>
      </c>
      <c r="F1270" s="22" t="s">
        <v>11248</v>
      </c>
      <c r="G1270" s="23" t="s">
        <v>10094</v>
      </c>
      <c r="H1270" s="25" t="s">
        <v>15373</v>
      </c>
      <c r="I1270" s="22" t="s">
        <v>15374</v>
      </c>
      <c r="J1270" s="22">
        <v>3412</v>
      </c>
      <c r="K1270" s="26">
        <f t="shared" si="19"/>
        <v>446.66666666666663</v>
      </c>
      <c r="N1270" s="26">
        <v>670</v>
      </c>
      <c r="O1270" s="22" t="s">
        <v>11249</v>
      </c>
      <c r="P1270" s="22" t="s">
        <v>10083</v>
      </c>
      <c r="Q1270" s="22">
        <v>91766</v>
      </c>
      <c r="R1270" s="22" t="s">
        <v>10084</v>
      </c>
      <c r="S1270" s="22" t="s">
        <v>10085</v>
      </c>
      <c r="T1270" s="22">
        <v>11</v>
      </c>
      <c r="U1270" s="22">
        <v>0.53</v>
      </c>
      <c r="X1270" s="26"/>
      <c r="Y1270" s="26"/>
    </row>
    <row r="1271" spans="1:25" x14ac:dyDescent="0.25">
      <c r="A1271" s="21">
        <v>1693</v>
      </c>
      <c r="B1271" s="22" t="s">
        <v>15368</v>
      </c>
      <c r="C1271" s="22" t="s">
        <v>10067</v>
      </c>
      <c r="D1271" s="23">
        <v>142425</v>
      </c>
      <c r="E1271" s="24">
        <v>1986</v>
      </c>
      <c r="F1271" s="22" t="s">
        <v>11250</v>
      </c>
      <c r="G1271" s="23" t="s">
        <v>11251</v>
      </c>
      <c r="H1271" s="25" t="s">
        <v>15373</v>
      </c>
      <c r="I1271" s="22" t="s">
        <v>15382</v>
      </c>
      <c r="J1271" s="22" t="s">
        <v>11252</v>
      </c>
      <c r="K1271" s="26">
        <f t="shared" si="19"/>
        <v>500</v>
      </c>
      <c r="L1271" s="26">
        <v>500</v>
      </c>
      <c r="O1271" s="22" t="s">
        <v>11253</v>
      </c>
      <c r="P1271" s="22" t="s">
        <v>11189</v>
      </c>
      <c r="Q1271" s="22">
        <v>92220</v>
      </c>
      <c r="R1271" s="22" t="s">
        <v>11225</v>
      </c>
      <c r="S1271" s="22" t="s">
        <v>11226</v>
      </c>
      <c r="T1271" s="22">
        <v>11</v>
      </c>
      <c r="U1271" s="22">
        <v>0.53</v>
      </c>
      <c r="X1271" s="26"/>
      <c r="Y1271" s="26"/>
    </row>
    <row r="1272" spans="1:25" x14ac:dyDescent="0.25">
      <c r="A1272" s="21">
        <v>1694</v>
      </c>
      <c r="B1272" s="22" t="s">
        <v>15368</v>
      </c>
      <c r="C1272" s="22" t="s">
        <v>10067</v>
      </c>
      <c r="D1272" s="23">
        <v>142426</v>
      </c>
      <c r="E1272" s="24">
        <v>1986</v>
      </c>
      <c r="F1272" s="22" t="s">
        <v>11254</v>
      </c>
      <c r="G1272" s="23" t="s">
        <v>11255</v>
      </c>
      <c r="H1272" s="25" t="s">
        <v>15373</v>
      </c>
      <c r="I1272" s="22" t="s">
        <v>15374</v>
      </c>
      <c r="J1272" s="22">
        <v>3412</v>
      </c>
      <c r="K1272" s="26">
        <f t="shared" si="19"/>
        <v>500</v>
      </c>
      <c r="L1272" s="26">
        <v>500</v>
      </c>
      <c r="O1272" s="22" t="s">
        <v>11256</v>
      </c>
      <c r="P1272" s="22" t="s">
        <v>14060</v>
      </c>
      <c r="Q1272" s="22">
        <v>92236</v>
      </c>
      <c r="R1272" s="22" t="s">
        <v>11225</v>
      </c>
      <c r="S1272" s="22" t="s">
        <v>11226</v>
      </c>
      <c r="T1272" s="22">
        <v>11</v>
      </c>
      <c r="U1272" s="22">
        <v>0.53</v>
      </c>
      <c r="X1272" s="26"/>
      <c r="Y1272" s="26"/>
    </row>
    <row r="1273" spans="1:25" x14ac:dyDescent="0.25">
      <c r="A1273" s="21">
        <v>1695</v>
      </c>
      <c r="B1273" s="22" t="s">
        <v>15368</v>
      </c>
      <c r="C1273" s="22" t="s">
        <v>10067</v>
      </c>
      <c r="D1273" s="23">
        <v>142427</v>
      </c>
      <c r="E1273" s="24">
        <v>1986</v>
      </c>
      <c r="F1273" s="22" t="s">
        <v>11257</v>
      </c>
      <c r="G1273" s="23" t="s">
        <v>11255</v>
      </c>
      <c r="H1273" s="25" t="s">
        <v>15373</v>
      </c>
      <c r="I1273" s="22" t="s">
        <v>15374</v>
      </c>
      <c r="J1273" s="22">
        <v>3412</v>
      </c>
      <c r="K1273" s="26">
        <f t="shared" si="19"/>
        <v>500</v>
      </c>
      <c r="L1273" s="26">
        <v>500</v>
      </c>
      <c r="O1273" s="22" t="s">
        <v>11258</v>
      </c>
      <c r="P1273" s="22" t="s">
        <v>11259</v>
      </c>
      <c r="Q1273" s="22">
        <v>92543</v>
      </c>
      <c r="R1273" s="22" t="s">
        <v>11225</v>
      </c>
      <c r="S1273" s="22" t="s">
        <v>11226</v>
      </c>
      <c r="T1273" s="22">
        <v>11</v>
      </c>
      <c r="U1273" s="22">
        <v>0.53</v>
      </c>
      <c r="X1273" s="26"/>
      <c r="Y1273" s="26"/>
    </row>
    <row r="1274" spans="1:25" ht="25" x14ac:dyDescent="0.25">
      <c r="A1274" s="21">
        <v>1696</v>
      </c>
      <c r="B1274" s="22" t="s">
        <v>15368</v>
      </c>
      <c r="C1274" s="22" t="s">
        <v>10067</v>
      </c>
      <c r="D1274" s="23">
        <v>142428</v>
      </c>
      <c r="E1274" s="24">
        <v>1986</v>
      </c>
      <c r="F1274" s="22" t="s">
        <v>11260</v>
      </c>
      <c r="G1274" s="23" t="s">
        <v>11261</v>
      </c>
      <c r="H1274" s="25" t="s">
        <v>15373</v>
      </c>
      <c r="I1274" s="22" t="s">
        <v>15374</v>
      </c>
      <c r="J1274" s="22" t="s">
        <v>16856</v>
      </c>
      <c r="K1274" s="26">
        <f t="shared" si="19"/>
        <v>750</v>
      </c>
      <c r="L1274" s="26">
        <v>750</v>
      </c>
      <c r="O1274" s="22" t="s">
        <v>11262</v>
      </c>
      <c r="P1274" s="22" t="s">
        <v>14086</v>
      </c>
      <c r="Q1274" s="22">
        <v>92201</v>
      </c>
      <c r="R1274" s="22" t="s">
        <v>10072</v>
      </c>
      <c r="S1274" s="22" t="s">
        <v>10073</v>
      </c>
      <c r="T1274" s="22">
        <v>11</v>
      </c>
      <c r="U1274" s="22">
        <v>0.53</v>
      </c>
      <c r="X1274" s="26"/>
      <c r="Y1274" s="26"/>
    </row>
    <row r="1275" spans="1:25" ht="25" x14ac:dyDescent="0.25">
      <c r="A1275" s="21">
        <v>1697</v>
      </c>
      <c r="B1275" s="22" t="s">
        <v>15368</v>
      </c>
      <c r="C1275" s="22" t="s">
        <v>10067</v>
      </c>
      <c r="D1275" s="23">
        <v>142430</v>
      </c>
      <c r="E1275" s="24">
        <v>1986</v>
      </c>
      <c r="F1275" s="22" t="s">
        <v>11263</v>
      </c>
      <c r="G1275" s="23" t="s">
        <v>11255</v>
      </c>
      <c r="H1275" s="25" t="s">
        <v>15373</v>
      </c>
      <c r="I1275" s="22" t="s">
        <v>15374</v>
      </c>
      <c r="J1275" s="22">
        <v>3412</v>
      </c>
      <c r="K1275" s="26">
        <f t="shared" si="19"/>
        <v>500</v>
      </c>
      <c r="L1275" s="26">
        <v>500</v>
      </c>
      <c r="O1275" s="22" t="s">
        <v>11264</v>
      </c>
      <c r="P1275" s="22" t="s">
        <v>15934</v>
      </c>
      <c r="Q1275" s="22">
        <v>92270</v>
      </c>
      <c r="R1275" s="22" t="s">
        <v>10072</v>
      </c>
      <c r="S1275" s="22" t="s">
        <v>10073</v>
      </c>
      <c r="T1275" s="22">
        <v>11</v>
      </c>
      <c r="U1275" s="22">
        <v>0.53</v>
      </c>
      <c r="X1275" s="26"/>
      <c r="Y1275" s="26"/>
    </row>
    <row r="1276" spans="1:25" x14ac:dyDescent="0.25">
      <c r="A1276" s="21">
        <v>1698</v>
      </c>
      <c r="B1276" s="22" t="s">
        <v>15368</v>
      </c>
      <c r="C1276" s="22" t="s">
        <v>10067</v>
      </c>
      <c r="D1276" s="23">
        <v>142431</v>
      </c>
      <c r="E1276" s="24">
        <v>1986</v>
      </c>
      <c r="F1276" s="22" t="s">
        <v>11265</v>
      </c>
      <c r="G1276" s="23" t="s">
        <v>11266</v>
      </c>
      <c r="H1276" s="25" t="s">
        <v>15373</v>
      </c>
      <c r="I1276" s="22" t="s">
        <v>15411</v>
      </c>
      <c r="J1276" s="22" t="s">
        <v>16884</v>
      </c>
      <c r="K1276" s="26">
        <f t="shared" si="19"/>
        <v>400</v>
      </c>
      <c r="L1276" s="26">
        <v>400</v>
      </c>
      <c r="O1276" s="22" t="s">
        <v>11267</v>
      </c>
      <c r="P1276" s="22" t="s">
        <v>14574</v>
      </c>
      <c r="Q1276" s="22">
        <v>92583</v>
      </c>
      <c r="R1276" s="22" t="s">
        <v>11225</v>
      </c>
      <c r="S1276" s="22" t="s">
        <v>11268</v>
      </c>
      <c r="T1276" s="22">
        <v>11</v>
      </c>
      <c r="U1276" s="22">
        <v>0.53</v>
      </c>
      <c r="X1276" s="26"/>
      <c r="Y1276" s="26"/>
    </row>
    <row r="1277" spans="1:25" ht="25" x14ac:dyDescent="0.25">
      <c r="A1277" s="21">
        <v>1699</v>
      </c>
      <c r="B1277" s="22" t="s">
        <v>15368</v>
      </c>
      <c r="C1277" s="22" t="s">
        <v>10067</v>
      </c>
      <c r="D1277" s="23">
        <v>142432</v>
      </c>
      <c r="E1277" s="24">
        <v>1986</v>
      </c>
      <c r="F1277" s="22" t="s">
        <v>11269</v>
      </c>
      <c r="G1277" s="23" t="s">
        <v>11255</v>
      </c>
      <c r="H1277" s="25" t="s">
        <v>15373</v>
      </c>
      <c r="I1277" s="22" t="s">
        <v>15374</v>
      </c>
      <c r="J1277" s="22">
        <v>3412</v>
      </c>
      <c r="K1277" s="26">
        <f t="shared" si="19"/>
        <v>500</v>
      </c>
      <c r="L1277" s="26">
        <v>500</v>
      </c>
      <c r="O1277" s="22" t="s">
        <v>11270</v>
      </c>
      <c r="P1277" s="22" t="s">
        <v>11271</v>
      </c>
      <c r="Q1277" s="22">
        <v>92553</v>
      </c>
      <c r="R1277" s="22" t="s">
        <v>11225</v>
      </c>
      <c r="S1277" s="22" t="s">
        <v>11226</v>
      </c>
      <c r="T1277" s="22">
        <v>11</v>
      </c>
      <c r="U1277" s="22">
        <v>0.53</v>
      </c>
      <c r="X1277" s="26"/>
      <c r="Y1277" s="26"/>
    </row>
    <row r="1278" spans="1:25" ht="25" x14ac:dyDescent="0.25">
      <c r="A1278" s="21">
        <v>1701</v>
      </c>
      <c r="B1278" s="22" t="s">
        <v>15368</v>
      </c>
      <c r="C1278" s="22" t="s">
        <v>10067</v>
      </c>
      <c r="D1278" s="23">
        <v>143506</v>
      </c>
      <c r="E1278" s="24">
        <v>1986</v>
      </c>
      <c r="F1278" s="22" t="s">
        <v>11272</v>
      </c>
      <c r="G1278" s="23" t="s">
        <v>11273</v>
      </c>
      <c r="H1278" s="25" t="s">
        <v>15373</v>
      </c>
      <c r="I1278" s="22" t="s">
        <v>15709</v>
      </c>
      <c r="J1278" s="22" t="s">
        <v>10092</v>
      </c>
      <c r="K1278" s="26">
        <f t="shared" si="19"/>
        <v>1000</v>
      </c>
      <c r="N1278" s="26">
        <v>1500</v>
      </c>
      <c r="O1278" s="22" t="s">
        <v>11275</v>
      </c>
      <c r="P1278" s="22" t="s">
        <v>14187</v>
      </c>
      <c r="Q1278" s="22">
        <v>91769</v>
      </c>
      <c r="R1278" s="22" t="s">
        <v>10072</v>
      </c>
      <c r="S1278" s="22" t="s">
        <v>10073</v>
      </c>
      <c r="T1278" s="22">
        <v>11</v>
      </c>
      <c r="U1278" s="22">
        <v>0.53</v>
      </c>
      <c r="X1278" s="26"/>
      <c r="Y1278" s="26"/>
    </row>
    <row r="1279" spans="1:25" ht="37.5" x14ac:dyDescent="0.25">
      <c r="A1279" s="21">
        <v>1702</v>
      </c>
      <c r="B1279" s="22" t="s">
        <v>15368</v>
      </c>
      <c r="C1279" s="22" t="s">
        <v>10067</v>
      </c>
      <c r="D1279" s="23">
        <v>177255</v>
      </c>
      <c r="E1279" s="24">
        <v>1988</v>
      </c>
      <c r="F1279" s="22" t="s">
        <v>11276</v>
      </c>
      <c r="G1279" s="23" t="s">
        <v>11277</v>
      </c>
      <c r="H1279" s="25" t="s">
        <v>15373</v>
      </c>
      <c r="I1279" s="22" t="s">
        <v>15374</v>
      </c>
      <c r="J1279" s="22" t="s">
        <v>13590</v>
      </c>
      <c r="K1279" s="26">
        <f t="shared" si="19"/>
        <v>400</v>
      </c>
      <c r="L1279" s="26">
        <v>400</v>
      </c>
      <c r="O1279" s="22" t="s">
        <v>11278</v>
      </c>
      <c r="P1279" s="22" t="s">
        <v>11279</v>
      </c>
      <c r="Q1279" s="22">
        <v>92320</v>
      </c>
      <c r="R1279" s="22" t="s">
        <v>11280</v>
      </c>
      <c r="S1279" s="22" t="s">
        <v>11281</v>
      </c>
      <c r="T1279" s="22">
        <v>11</v>
      </c>
      <c r="U1279" s="22">
        <v>0.53</v>
      </c>
      <c r="X1279" s="26"/>
      <c r="Y1279" s="26"/>
    </row>
    <row r="1280" spans="1:25" ht="25" x14ac:dyDescent="0.25">
      <c r="A1280" s="21">
        <v>1704</v>
      </c>
      <c r="B1280" s="22" t="s">
        <v>15368</v>
      </c>
      <c r="C1280" s="22" t="s">
        <v>10067</v>
      </c>
      <c r="D1280" s="23">
        <v>199991</v>
      </c>
      <c r="E1280" s="24">
        <v>1989</v>
      </c>
      <c r="F1280" s="22" t="s">
        <v>11283</v>
      </c>
      <c r="G1280" s="23" t="s">
        <v>10197</v>
      </c>
      <c r="H1280" s="25" t="s">
        <v>15373</v>
      </c>
      <c r="I1280" s="22" t="s">
        <v>15382</v>
      </c>
      <c r="J1280" s="22" t="s">
        <v>14807</v>
      </c>
      <c r="K1280" s="26">
        <f t="shared" si="19"/>
        <v>373.33333333333331</v>
      </c>
      <c r="N1280" s="26">
        <v>560</v>
      </c>
      <c r="O1280" s="22" t="s">
        <v>10198</v>
      </c>
      <c r="P1280" s="22" t="s">
        <v>12120</v>
      </c>
      <c r="Q1280" s="22">
        <v>91766</v>
      </c>
      <c r="R1280" s="22" t="s">
        <v>10199</v>
      </c>
      <c r="S1280" s="22" t="s">
        <v>10200</v>
      </c>
      <c r="T1280" s="22">
        <v>8.17</v>
      </c>
      <c r="U1280" s="22">
        <v>0.38</v>
      </c>
      <c r="X1280" s="26"/>
      <c r="Y1280" s="26"/>
    </row>
    <row r="1281" spans="1:25" ht="25" x14ac:dyDescent="0.25">
      <c r="A1281" s="21">
        <v>1706</v>
      </c>
      <c r="B1281" s="22" t="s">
        <v>15368</v>
      </c>
      <c r="C1281" s="22" t="s">
        <v>10067</v>
      </c>
      <c r="D1281" s="23">
        <v>218373</v>
      </c>
      <c r="E1281" s="24">
        <v>1989</v>
      </c>
      <c r="F1281" s="22" t="s">
        <v>10201</v>
      </c>
      <c r="G1281" s="23" t="s">
        <v>10202</v>
      </c>
      <c r="H1281" s="25" t="s">
        <v>15373</v>
      </c>
      <c r="I1281" s="22" t="s">
        <v>15374</v>
      </c>
      <c r="J1281" s="22">
        <v>3508</v>
      </c>
      <c r="K1281" s="26">
        <f t="shared" si="19"/>
        <v>730.66666666666663</v>
      </c>
      <c r="N1281" s="26">
        <v>1096</v>
      </c>
      <c r="O1281" s="22" t="s">
        <v>10203</v>
      </c>
      <c r="P1281" s="22" t="s">
        <v>15740</v>
      </c>
      <c r="Q1281" s="22">
        <v>90805</v>
      </c>
      <c r="R1281" s="22" t="s">
        <v>10072</v>
      </c>
      <c r="S1281" s="22" t="s">
        <v>10073</v>
      </c>
      <c r="T1281" s="22">
        <v>8.17</v>
      </c>
      <c r="U1281" s="22">
        <v>0.38</v>
      </c>
      <c r="X1281" s="26"/>
      <c r="Y1281" s="26"/>
    </row>
    <row r="1282" spans="1:25" ht="37.5" x14ac:dyDescent="0.25">
      <c r="A1282" s="21">
        <v>1707</v>
      </c>
      <c r="B1282" s="22" t="s">
        <v>15368</v>
      </c>
      <c r="C1282" s="22" t="s">
        <v>10067</v>
      </c>
      <c r="D1282" s="23">
        <v>221801</v>
      </c>
      <c r="E1282" s="24">
        <v>1990</v>
      </c>
      <c r="F1282" s="22" t="s">
        <v>10204</v>
      </c>
      <c r="G1282" s="23" t="s">
        <v>10205</v>
      </c>
      <c r="H1282" s="25" t="s">
        <v>15373</v>
      </c>
      <c r="I1282" s="22" t="s">
        <v>15374</v>
      </c>
      <c r="J1282" s="22">
        <v>3512</v>
      </c>
      <c r="K1282" s="26">
        <f t="shared" ref="K1282:K1345" si="20">L1282+M1282*(2/3)+N1282*(2/3)</f>
        <v>1500</v>
      </c>
      <c r="L1282" s="26">
        <v>1500</v>
      </c>
      <c r="O1282" s="22" t="s">
        <v>10206</v>
      </c>
      <c r="P1282" s="22" t="s">
        <v>14397</v>
      </c>
      <c r="Q1282" s="22">
        <v>92262</v>
      </c>
      <c r="R1282" s="22" t="s">
        <v>10072</v>
      </c>
      <c r="S1282" s="22" t="s">
        <v>10073</v>
      </c>
      <c r="T1282" s="22">
        <v>8.17</v>
      </c>
      <c r="U1282" s="22">
        <v>0.38</v>
      </c>
      <c r="X1282" s="26"/>
      <c r="Y1282" s="26"/>
    </row>
    <row r="1283" spans="1:25" ht="75" x14ac:dyDescent="0.25">
      <c r="A1283" s="21">
        <v>1709</v>
      </c>
      <c r="B1283" s="22" t="s">
        <v>15368</v>
      </c>
      <c r="C1283" s="22" t="s">
        <v>10067</v>
      </c>
      <c r="D1283" s="23">
        <v>227952</v>
      </c>
      <c r="E1283" s="24">
        <v>1990</v>
      </c>
      <c r="F1283" s="22" t="s">
        <v>10207</v>
      </c>
      <c r="G1283" s="23" t="s">
        <v>10208</v>
      </c>
      <c r="H1283" s="25" t="s">
        <v>15373</v>
      </c>
      <c r="I1283" s="22" t="s">
        <v>15709</v>
      </c>
      <c r="J1283" s="22" t="s">
        <v>10092</v>
      </c>
      <c r="K1283" s="26">
        <f t="shared" si="20"/>
        <v>666.66666666666663</v>
      </c>
      <c r="N1283" s="26">
        <v>1000</v>
      </c>
      <c r="O1283" s="22" t="s">
        <v>10209</v>
      </c>
      <c r="P1283" s="22" t="s">
        <v>11313</v>
      </c>
      <c r="Q1283" s="22">
        <v>90740</v>
      </c>
      <c r="R1283" s="22" t="s">
        <v>10072</v>
      </c>
      <c r="S1283" s="22" t="s">
        <v>10073</v>
      </c>
      <c r="T1283" s="22">
        <v>8.17</v>
      </c>
      <c r="U1283" s="22">
        <v>0.38</v>
      </c>
      <c r="X1283" s="26"/>
      <c r="Y1283" s="26"/>
    </row>
    <row r="1284" spans="1:25" ht="25" x14ac:dyDescent="0.25">
      <c r="A1284" s="21">
        <v>1711</v>
      </c>
      <c r="B1284" s="22" t="s">
        <v>15368</v>
      </c>
      <c r="C1284" s="22" t="s">
        <v>10067</v>
      </c>
      <c r="D1284" s="23">
        <v>241263</v>
      </c>
      <c r="E1284" s="24">
        <v>1990</v>
      </c>
      <c r="F1284" s="22" t="s">
        <v>10210</v>
      </c>
      <c r="G1284" s="23" t="s">
        <v>10211</v>
      </c>
      <c r="H1284" s="25" t="s">
        <v>15373</v>
      </c>
      <c r="I1284" s="22" t="s">
        <v>15374</v>
      </c>
      <c r="J1284" s="22" t="s">
        <v>16899</v>
      </c>
      <c r="K1284" s="26">
        <f t="shared" si="20"/>
        <v>593.33333333333326</v>
      </c>
      <c r="N1284" s="26">
        <v>890</v>
      </c>
      <c r="O1284" s="22" t="s">
        <v>10212</v>
      </c>
      <c r="P1284" s="22" t="s">
        <v>16563</v>
      </c>
      <c r="Q1284" s="22">
        <v>90241</v>
      </c>
      <c r="R1284" s="22" t="s">
        <v>10213</v>
      </c>
      <c r="S1284" s="22" t="s">
        <v>10214</v>
      </c>
      <c r="T1284" s="22">
        <v>8.17</v>
      </c>
      <c r="U1284" s="22">
        <v>0.38</v>
      </c>
      <c r="X1284" s="26"/>
      <c r="Y1284" s="26"/>
    </row>
    <row r="1285" spans="1:25" ht="25" x14ac:dyDescent="0.25">
      <c r="A1285" s="21">
        <v>1713</v>
      </c>
      <c r="B1285" s="22" t="s">
        <v>15368</v>
      </c>
      <c r="C1285" s="22" t="s">
        <v>10067</v>
      </c>
      <c r="D1285" s="23">
        <v>246910</v>
      </c>
      <c r="E1285" s="24">
        <v>1991</v>
      </c>
      <c r="F1285" s="22" t="s">
        <v>10215</v>
      </c>
      <c r="G1285" s="23" t="s">
        <v>10216</v>
      </c>
      <c r="H1285" s="25" t="s">
        <v>15373</v>
      </c>
      <c r="I1285" s="22" t="s">
        <v>15374</v>
      </c>
      <c r="J1285" s="22" t="s">
        <v>16561</v>
      </c>
      <c r="K1285" s="26">
        <f t="shared" si="20"/>
        <v>391.33333333333331</v>
      </c>
      <c r="N1285" s="26">
        <v>587</v>
      </c>
      <c r="O1285" s="22" t="s">
        <v>10217</v>
      </c>
      <c r="P1285" s="22" t="s">
        <v>15871</v>
      </c>
      <c r="Q1285" s="22">
        <v>91345</v>
      </c>
      <c r="R1285" s="22" t="s">
        <v>10104</v>
      </c>
      <c r="S1285" s="22" t="s">
        <v>10101</v>
      </c>
      <c r="T1285" s="22">
        <v>8.17</v>
      </c>
      <c r="U1285" s="22">
        <v>0.38</v>
      </c>
      <c r="X1285" s="26"/>
      <c r="Y1285" s="26"/>
    </row>
    <row r="1286" spans="1:25" ht="37.5" x14ac:dyDescent="0.25">
      <c r="A1286" s="21">
        <v>1716</v>
      </c>
      <c r="B1286" s="22" t="s">
        <v>15368</v>
      </c>
      <c r="C1286" s="22" t="s">
        <v>10067</v>
      </c>
      <c r="D1286" s="23">
        <v>294144</v>
      </c>
      <c r="E1286" s="24">
        <v>1994</v>
      </c>
      <c r="F1286" s="22" t="s">
        <v>10218</v>
      </c>
      <c r="G1286" s="23" t="s">
        <v>10219</v>
      </c>
      <c r="H1286" s="25" t="s">
        <v>15373</v>
      </c>
      <c r="I1286" s="22" t="s">
        <v>15411</v>
      </c>
      <c r="J1286" s="22" t="s">
        <v>16306</v>
      </c>
      <c r="K1286" s="26">
        <f t="shared" si="20"/>
        <v>360</v>
      </c>
      <c r="N1286" s="26">
        <v>540</v>
      </c>
      <c r="O1286" s="22" t="s">
        <v>10220</v>
      </c>
      <c r="P1286" s="22" t="s">
        <v>16901</v>
      </c>
      <c r="Q1286" s="22">
        <v>91762</v>
      </c>
      <c r="R1286" s="22" t="s">
        <v>10072</v>
      </c>
      <c r="S1286" s="22" t="s">
        <v>10073</v>
      </c>
      <c r="T1286" s="22">
        <v>8.17</v>
      </c>
      <c r="U1286" s="22">
        <v>0.38</v>
      </c>
      <c r="X1286" s="26"/>
      <c r="Y1286" s="26"/>
    </row>
    <row r="1287" spans="1:25" ht="37.5" x14ac:dyDescent="0.25">
      <c r="A1287" s="21">
        <v>1718</v>
      </c>
      <c r="B1287" s="22" t="s">
        <v>15368</v>
      </c>
      <c r="C1287" s="22" t="s">
        <v>10067</v>
      </c>
      <c r="D1287" s="23">
        <v>294768</v>
      </c>
      <c r="E1287" s="24">
        <v>1994</v>
      </c>
      <c r="F1287" s="22" t="s">
        <v>10221</v>
      </c>
      <c r="G1287" s="23" t="s">
        <v>10222</v>
      </c>
      <c r="H1287" s="25" t="s">
        <v>15373</v>
      </c>
      <c r="I1287" s="22" t="s">
        <v>15374</v>
      </c>
      <c r="J1287" s="22" t="s">
        <v>16869</v>
      </c>
      <c r="K1287" s="26">
        <f t="shared" si="20"/>
        <v>498.66666666666663</v>
      </c>
      <c r="N1287" s="26">
        <v>748</v>
      </c>
      <c r="O1287" s="22" t="s">
        <v>10223</v>
      </c>
      <c r="P1287" s="22" t="s">
        <v>15712</v>
      </c>
      <c r="Q1287" s="22" t="s">
        <v>10224</v>
      </c>
      <c r="R1287" s="22" t="s">
        <v>10225</v>
      </c>
      <c r="S1287" s="22" t="s">
        <v>10120</v>
      </c>
      <c r="T1287" s="22">
        <v>8.17</v>
      </c>
      <c r="U1287" s="22">
        <v>0.38</v>
      </c>
      <c r="X1287" s="26"/>
      <c r="Y1287" s="26"/>
    </row>
    <row r="1288" spans="1:25" ht="37.5" x14ac:dyDescent="0.25">
      <c r="A1288" s="21">
        <v>1721</v>
      </c>
      <c r="B1288" s="22" t="s">
        <v>15368</v>
      </c>
      <c r="C1288" s="22" t="s">
        <v>10067</v>
      </c>
      <c r="D1288" s="23">
        <v>317571</v>
      </c>
      <c r="E1288" s="24">
        <v>1996</v>
      </c>
      <c r="F1288" s="22" t="s">
        <v>10226</v>
      </c>
      <c r="G1288" s="23" t="s">
        <v>12023</v>
      </c>
      <c r="H1288" s="25" t="s">
        <v>15373</v>
      </c>
      <c r="I1288" s="22" t="s">
        <v>15374</v>
      </c>
      <c r="J1288" s="22" t="s">
        <v>15701</v>
      </c>
      <c r="K1288" s="26">
        <f t="shared" si="20"/>
        <v>400</v>
      </c>
      <c r="L1288" s="26">
        <v>400</v>
      </c>
      <c r="O1288" s="22" t="s">
        <v>10227</v>
      </c>
      <c r="P1288" s="22" t="s">
        <v>16490</v>
      </c>
      <c r="Q1288" s="22">
        <v>92408</v>
      </c>
      <c r="R1288" s="22" t="s">
        <v>10228</v>
      </c>
      <c r="S1288" s="22" t="s">
        <v>10229</v>
      </c>
      <c r="T1288" s="22">
        <v>8.17</v>
      </c>
      <c r="U1288" s="22">
        <v>0.38</v>
      </c>
      <c r="X1288" s="26"/>
      <c r="Y1288" s="26"/>
    </row>
    <row r="1289" spans="1:25" ht="25" x14ac:dyDescent="0.25">
      <c r="A1289" s="21">
        <v>1723</v>
      </c>
      <c r="B1289" s="22" t="s">
        <v>15368</v>
      </c>
      <c r="C1289" s="22" t="s">
        <v>10067</v>
      </c>
      <c r="D1289" s="23">
        <v>317614</v>
      </c>
      <c r="E1289" s="24">
        <v>1996</v>
      </c>
      <c r="F1289" s="22" t="s">
        <v>10231</v>
      </c>
      <c r="G1289" s="23" t="s">
        <v>10230</v>
      </c>
      <c r="H1289" s="25" t="s">
        <v>15373</v>
      </c>
      <c r="I1289" s="22" t="s">
        <v>15374</v>
      </c>
      <c r="J1289" s="22">
        <v>3412</v>
      </c>
      <c r="K1289" s="26">
        <f t="shared" si="20"/>
        <v>497.33333333333331</v>
      </c>
      <c r="N1289" s="26">
        <v>746</v>
      </c>
      <c r="O1289" s="22" t="s">
        <v>10232</v>
      </c>
      <c r="P1289" s="22" t="s">
        <v>13909</v>
      </c>
      <c r="Q1289" s="22">
        <v>92646</v>
      </c>
      <c r="R1289" s="22" t="s">
        <v>10228</v>
      </c>
      <c r="S1289" s="22" t="s">
        <v>10229</v>
      </c>
      <c r="T1289" s="22">
        <v>6.9</v>
      </c>
      <c r="U1289" s="22">
        <v>0.4</v>
      </c>
      <c r="X1289" s="26"/>
      <c r="Y1289" s="26"/>
    </row>
    <row r="1290" spans="1:25" ht="37.5" x14ac:dyDescent="0.25">
      <c r="A1290" s="21">
        <v>1724</v>
      </c>
      <c r="B1290" s="22" t="s">
        <v>15368</v>
      </c>
      <c r="C1290" s="22" t="s">
        <v>10067</v>
      </c>
      <c r="D1290" s="23">
        <v>324311</v>
      </c>
      <c r="E1290" s="24">
        <v>1997</v>
      </c>
      <c r="F1290" s="22" t="s">
        <v>10233</v>
      </c>
      <c r="G1290" s="23" t="s">
        <v>10234</v>
      </c>
      <c r="H1290" s="25" t="s">
        <v>15373</v>
      </c>
      <c r="I1290" s="22" t="s">
        <v>15374</v>
      </c>
      <c r="J1290" s="22" t="s">
        <v>12592</v>
      </c>
      <c r="K1290" s="26">
        <f t="shared" si="20"/>
        <v>1354.6666666666665</v>
      </c>
      <c r="N1290" s="26">
        <v>2032</v>
      </c>
      <c r="O1290" s="22" t="s">
        <v>10235</v>
      </c>
      <c r="P1290" s="22" t="s">
        <v>11071</v>
      </c>
      <c r="Q1290" s="22">
        <v>91766</v>
      </c>
      <c r="R1290" s="22" t="s">
        <v>10236</v>
      </c>
      <c r="S1290" s="22" t="s">
        <v>10101</v>
      </c>
      <c r="T1290" s="22">
        <v>6.9</v>
      </c>
      <c r="U1290" s="22">
        <v>0.4</v>
      </c>
      <c r="X1290" s="26"/>
      <c r="Y1290" s="26"/>
    </row>
    <row r="1291" spans="1:25" ht="25" x14ac:dyDescent="0.25">
      <c r="A1291" s="21">
        <v>1727</v>
      </c>
      <c r="B1291" s="22" t="s">
        <v>15368</v>
      </c>
      <c r="C1291" s="22" t="s">
        <v>10067</v>
      </c>
      <c r="D1291" s="23">
        <v>332950</v>
      </c>
      <c r="E1291" s="24">
        <v>1997</v>
      </c>
      <c r="F1291" s="22" t="s">
        <v>10237</v>
      </c>
      <c r="G1291" s="23" t="s">
        <v>10238</v>
      </c>
      <c r="H1291" s="25" t="s">
        <v>15373</v>
      </c>
      <c r="I1291" s="22" t="s">
        <v>15709</v>
      </c>
      <c r="J1291" s="22" t="s">
        <v>10239</v>
      </c>
      <c r="K1291" s="26">
        <f t="shared" si="20"/>
        <v>1000</v>
      </c>
      <c r="N1291" s="26">
        <v>1500</v>
      </c>
      <c r="O1291" s="22" t="s">
        <v>10240</v>
      </c>
      <c r="P1291" s="22" t="s">
        <v>12438</v>
      </c>
      <c r="Q1291" s="22" t="s">
        <v>10241</v>
      </c>
      <c r="R1291" s="22" t="s">
        <v>10072</v>
      </c>
      <c r="S1291" s="22" t="s">
        <v>10073</v>
      </c>
      <c r="T1291" s="22">
        <v>8.17</v>
      </c>
      <c r="U1291" s="22">
        <v>0.38</v>
      </c>
      <c r="X1291" s="26"/>
      <c r="Y1291" s="26"/>
    </row>
    <row r="1292" spans="1:25" ht="25" x14ac:dyDescent="0.25">
      <c r="A1292" s="21">
        <v>1728</v>
      </c>
      <c r="B1292" s="22" t="s">
        <v>15368</v>
      </c>
      <c r="C1292" s="22" t="s">
        <v>10067</v>
      </c>
      <c r="D1292" s="23">
        <v>334557</v>
      </c>
      <c r="E1292" s="24">
        <v>1997</v>
      </c>
      <c r="F1292" s="22" t="s">
        <v>10242</v>
      </c>
      <c r="G1292" s="23" t="s">
        <v>10243</v>
      </c>
      <c r="H1292" s="25" t="s">
        <v>15373</v>
      </c>
      <c r="I1292" s="22" t="s">
        <v>15382</v>
      </c>
      <c r="J1292" s="22" t="s">
        <v>11107</v>
      </c>
      <c r="K1292" s="26">
        <f t="shared" si="20"/>
        <v>600</v>
      </c>
      <c r="N1292" s="26">
        <v>900</v>
      </c>
      <c r="O1292" s="22" t="s">
        <v>10244</v>
      </c>
      <c r="P1292" s="22" t="s">
        <v>15893</v>
      </c>
      <c r="Q1292" s="22">
        <v>92590</v>
      </c>
      <c r="R1292" s="22" t="s">
        <v>10228</v>
      </c>
      <c r="S1292" s="22" t="s">
        <v>10229</v>
      </c>
      <c r="T1292" s="22">
        <v>8.17</v>
      </c>
      <c r="U1292" s="22">
        <v>0.38</v>
      </c>
      <c r="X1292" s="26"/>
      <c r="Y1292" s="26"/>
    </row>
    <row r="1293" spans="1:25" ht="37.5" x14ac:dyDescent="0.25">
      <c r="A1293" s="21">
        <v>1729</v>
      </c>
      <c r="B1293" s="22" t="s">
        <v>15368</v>
      </c>
      <c r="C1293" s="22" t="s">
        <v>10067</v>
      </c>
      <c r="D1293" s="23">
        <v>335371</v>
      </c>
      <c r="E1293" s="24">
        <v>1997</v>
      </c>
      <c r="F1293" s="22" t="s">
        <v>10245</v>
      </c>
      <c r="G1293" s="23" t="s">
        <v>10246</v>
      </c>
      <c r="H1293" s="25" t="s">
        <v>15373</v>
      </c>
      <c r="I1293" s="22" t="s">
        <v>15411</v>
      </c>
      <c r="J1293" s="22" t="s">
        <v>13002</v>
      </c>
      <c r="K1293" s="26">
        <f t="shared" si="20"/>
        <v>1033.3333333333333</v>
      </c>
      <c r="N1293" s="26">
        <v>1550</v>
      </c>
      <c r="O1293" s="22" t="s">
        <v>10247</v>
      </c>
      <c r="P1293" s="22" t="s">
        <v>16490</v>
      </c>
      <c r="Q1293" s="22">
        <v>92410</v>
      </c>
      <c r="R1293" s="22" t="s">
        <v>10072</v>
      </c>
      <c r="S1293" s="22" t="s">
        <v>10073</v>
      </c>
      <c r="T1293" s="22">
        <v>8.17</v>
      </c>
      <c r="U1293" s="22">
        <v>0.38</v>
      </c>
      <c r="X1293" s="26"/>
      <c r="Y1293" s="26"/>
    </row>
    <row r="1294" spans="1:25" ht="37.5" x14ac:dyDescent="0.25">
      <c r="A1294" s="21">
        <v>1731</v>
      </c>
      <c r="B1294" s="22" t="s">
        <v>15368</v>
      </c>
      <c r="C1294" s="22" t="s">
        <v>10067</v>
      </c>
      <c r="D1294" s="23">
        <v>349728</v>
      </c>
      <c r="E1294" s="24">
        <v>1999</v>
      </c>
      <c r="F1294" s="22" t="s">
        <v>10248</v>
      </c>
      <c r="G1294" s="23" t="s">
        <v>10249</v>
      </c>
      <c r="H1294" s="25" t="s">
        <v>15373</v>
      </c>
      <c r="I1294" s="22" t="s">
        <v>15374</v>
      </c>
      <c r="J1294" s="22" t="s">
        <v>16869</v>
      </c>
      <c r="K1294" s="26">
        <f t="shared" si="20"/>
        <v>500</v>
      </c>
      <c r="L1294" s="26">
        <v>500</v>
      </c>
      <c r="O1294" s="22" t="s">
        <v>10250</v>
      </c>
      <c r="P1294" s="22" t="s">
        <v>15725</v>
      </c>
      <c r="Q1294" s="22" t="s">
        <v>10251</v>
      </c>
      <c r="R1294" s="22" t="s">
        <v>10072</v>
      </c>
      <c r="S1294" s="22" t="s">
        <v>10073</v>
      </c>
      <c r="T1294" s="22">
        <v>8.17</v>
      </c>
      <c r="U1294" s="22">
        <v>0.38</v>
      </c>
      <c r="X1294" s="26"/>
      <c r="Y1294" s="26"/>
    </row>
    <row r="1295" spans="1:25" ht="37.5" x14ac:dyDescent="0.25">
      <c r="A1295" s="21">
        <v>1732</v>
      </c>
      <c r="B1295" s="22" t="s">
        <v>15368</v>
      </c>
      <c r="C1295" s="22" t="s">
        <v>10067</v>
      </c>
      <c r="D1295" s="23">
        <v>349730</v>
      </c>
      <c r="E1295" s="24">
        <v>1999</v>
      </c>
      <c r="F1295" s="22" t="s">
        <v>10252</v>
      </c>
      <c r="G1295" s="23" t="s">
        <v>10253</v>
      </c>
      <c r="H1295" s="25" t="s">
        <v>15373</v>
      </c>
      <c r="I1295" s="22" t="s">
        <v>15374</v>
      </c>
      <c r="J1295" s="22" t="s">
        <v>15918</v>
      </c>
      <c r="K1295" s="26">
        <f t="shared" si="20"/>
        <v>750</v>
      </c>
      <c r="L1295" s="26">
        <v>750</v>
      </c>
      <c r="O1295" s="22" t="s">
        <v>10254</v>
      </c>
      <c r="P1295" s="22" t="s">
        <v>16259</v>
      </c>
      <c r="Q1295" s="22" t="s">
        <v>10255</v>
      </c>
      <c r="R1295" s="22" t="s">
        <v>16887</v>
      </c>
      <c r="S1295" s="22" t="s">
        <v>16888</v>
      </c>
      <c r="T1295" s="22">
        <v>8.17</v>
      </c>
      <c r="U1295" s="22">
        <v>0.38</v>
      </c>
      <c r="X1295" s="26"/>
      <c r="Y1295" s="26"/>
    </row>
    <row r="1296" spans="1:25" ht="37.5" x14ac:dyDescent="0.25">
      <c r="A1296" s="21">
        <v>1733</v>
      </c>
      <c r="B1296" s="22" t="s">
        <v>15368</v>
      </c>
      <c r="C1296" s="22" t="s">
        <v>10067</v>
      </c>
      <c r="D1296" s="23">
        <v>351878</v>
      </c>
      <c r="E1296" s="24">
        <v>1999</v>
      </c>
      <c r="F1296" s="22" t="s">
        <v>10256</v>
      </c>
      <c r="G1296" s="23" t="s">
        <v>11364</v>
      </c>
      <c r="H1296" s="25" t="s">
        <v>15373</v>
      </c>
      <c r="I1296" s="22" t="s">
        <v>15374</v>
      </c>
      <c r="J1296" s="22" t="s">
        <v>16869</v>
      </c>
      <c r="K1296" s="26">
        <f t="shared" si="20"/>
        <v>500</v>
      </c>
      <c r="L1296" s="26">
        <v>500</v>
      </c>
      <c r="O1296" s="22" t="s">
        <v>11365</v>
      </c>
      <c r="P1296" s="22" t="s">
        <v>13649</v>
      </c>
      <c r="Q1296" s="22">
        <v>92354</v>
      </c>
      <c r="R1296" s="22" t="s">
        <v>10228</v>
      </c>
      <c r="S1296" s="22" t="s">
        <v>11282</v>
      </c>
      <c r="T1296" s="22">
        <v>6.9</v>
      </c>
      <c r="U1296" s="22">
        <v>0.4</v>
      </c>
      <c r="X1296" s="26"/>
      <c r="Y1296" s="26"/>
    </row>
    <row r="1297" spans="1:25" ht="37.5" x14ac:dyDescent="0.25">
      <c r="A1297" s="21">
        <v>1734</v>
      </c>
      <c r="B1297" s="22" t="s">
        <v>15368</v>
      </c>
      <c r="C1297" s="22" t="s">
        <v>10067</v>
      </c>
      <c r="D1297" s="23">
        <v>352594</v>
      </c>
      <c r="E1297" s="24">
        <v>1999</v>
      </c>
      <c r="F1297" s="22" t="s">
        <v>11366</v>
      </c>
      <c r="G1297" s="23" t="s">
        <v>11367</v>
      </c>
      <c r="H1297" s="25" t="s">
        <v>15373</v>
      </c>
      <c r="I1297" s="22" t="s">
        <v>15374</v>
      </c>
      <c r="J1297" s="22" t="s">
        <v>11368</v>
      </c>
      <c r="K1297" s="26">
        <f t="shared" si="20"/>
        <v>976.66666666666663</v>
      </c>
      <c r="N1297" s="26">
        <v>1465</v>
      </c>
      <c r="O1297" s="22" t="s">
        <v>11369</v>
      </c>
      <c r="P1297" s="22" t="s">
        <v>10089</v>
      </c>
      <c r="Q1297" s="22">
        <v>91744</v>
      </c>
      <c r="R1297" s="22" t="s">
        <v>10072</v>
      </c>
      <c r="S1297" s="22" t="s">
        <v>10073</v>
      </c>
      <c r="T1297" s="22">
        <v>8.17</v>
      </c>
      <c r="U1297" s="22">
        <v>0.38</v>
      </c>
      <c r="X1297" s="26"/>
      <c r="Y1297" s="26"/>
    </row>
    <row r="1298" spans="1:25" ht="37.5" x14ac:dyDescent="0.25">
      <c r="A1298" s="21">
        <v>1736</v>
      </c>
      <c r="B1298" s="22" t="s">
        <v>15368</v>
      </c>
      <c r="C1298" s="22" t="s">
        <v>10067</v>
      </c>
      <c r="D1298" s="23">
        <v>357967</v>
      </c>
      <c r="E1298" s="24">
        <v>1999</v>
      </c>
      <c r="F1298" s="22" t="s">
        <v>11370</v>
      </c>
      <c r="G1298" s="23" t="s">
        <v>10012</v>
      </c>
      <c r="H1298" s="25" t="s">
        <v>15373</v>
      </c>
      <c r="I1298" s="22" t="s">
        <v>15374</v>
      </c>
      <c r="J1298" s="22" t="s">
        <v>14709</v>
      </c>
      <c r="K1298" s="26">
        <f t="shared" si="20"/>
        <v>500</v>
      </c>
      <c r="L1298" s="26">
        <v>500</v>
      </c>
      <c r="O1298" s="22" t="s">
        <v>11371</v>
      </c>
      <c r="P1298" s="22" t="s">
        <v>15893</v>
      </c>
      <c r="Q1298" s="22">
        <v>92590</v>
      </c>
      <c r="R1298" s="22" t="s">
        <v>10228</v>
      </c>
      <c r="S1298" s="22" t="s">
        <v>10229</v>
      </c>
      <c r="T1298" s="22">
        <v>8.17</v>
      </c>
      <c r="U1298" s="22">
        <v>0.38</v>
      </c>
      <c r="X1298" s="26"/>
      <c r="Y1298" s="26"/>
    </row>
    <row r="1299" spans="1:25" ht="37.5" x14ac:dyDescent="0.25">
      <c r="A1299" s="21">
        <v>1739</v>
      </c>
      <c r="B1299" s="22" t="s">
        <v>15368</v>
      </c>
      <c r="C1299" s="22" t="s">
        <v>10067</v>
      </c>
      <c r="D1299" s="23">
        <v>362202</v>
      </c>
      <c r="E1299" s="24">
        <v>1999</v>
      </c>
      <c r="F1299" s="22" t="s">
        <v>11372</v>
      </c>
      <c r="G1299" s="23" t="s">
        <v>11373</v>
      </c>
      <c r="H1299" s="25" t="s">
        <v>15373</v>
      </c>
      <c r="I1299" s="22" t="s">
        <v>15374</v>
      </c>
      <c r="J1299" s="22" t="s">
        <v>14709</v>
      </c>
      <c r="K1299" s="26">
        <f t="shared" si="20"/>
        <v>600</v>
      </c>
      <c r="L1299" s="26">
        <v>600</v>
      </c>
      <c r="O1299" s="22" t="s">
        <v>11374</v>
      </c>
      <c r="P1299" s="22" t="s">
        <v>11944</v>
      </c>
      <c r="Q1299" s="22">
        <v>92562</v>
      </c>
      <c r="R1299" s="22" t="s">
        <v>10228</v>
      </c>
      <c r="S1299" s="22" t="s">
        <v>11375</v>
      </c>
      <c r="T1299" s="22">
        <v>8.17</v>
      </c>
      <c r="U1299" s="22">
        <v>0.38</v>
      </c>
      <c r="X1299" s="26"/>
      <c r="Y1299" s="26"/>
    </row>
    <row r="1300" spans="1:25" ht="25" x14ac:dyDescent="0.25">
      <c r="A1300" s="21">
        <v>1740</v>
      </c>
      <c r="B1300" s="22" t="s">
        <v>15368</v>
      </c>
      <c r="C1300" s="22" t="s">
        <v>10067</v>
      </c>
      <c r="D1300" s="23">
        <v>369318</v>
      </c>
      <c r="E1300" s="24">
        <v>2000</v>
      </c>
      <c r="F1300" s="22" t="s">
        <v>11376</v>
      </c>
      <c r="G1300" s="23" t="s">
        <v>11377</v>
      </c>
      <c r="H1300" s="25" t="s">
        <v>15373</v>
      </c>
      <c r="I1300" s="22" t="s">
        <v>15374</v>
      </c>
      <c r="J1300" s="22" t="s">
        <v>11378</v>
      </c>
      <c r="K1300" s="26">
        <f t="shared" si="20"/>
        <v>1001.3333333333333</v>
      </c>
      <c r="N1300" s="26">
        <v>1502</v>
      </c>
      <c r="O1300" s="22" t="s">
        <v>11379</v>
      </c>
      <c r="P1300" s="22" t="s">
        <v>14376</v>
      </c>
      <c r="Q1300" s="22" t="s">
        <v>11380</v>
      </c>
      <c r="R1300" s="22" t="s">
        <v>11381</v>
      </c>
      <c r="S1300" s="22" t="s">
        <v>10085</v>
      </c>
      <c r="T1300" s="22">
        <v>6.9</v>
      </c>
      <c r="U1300" s="22">
        <v>0.4</v>
      </c>
      <c r="X1300" s="26"/>
      <c r="Y1300" s="26"/>
    </row>
    <row r="1301" spans="1:25" ht="37.5" x14ac:dyDescent="0.25">
      <c r="A1301" s="21">
        <v>1741</v>
      </c>
      <c r="B1301" s="22" t="s">
        <v>15368</v>
      </c>
      <c r="C1301" s="22" t="s">
        <v>10067</v>
      </c>
      <c r="D1301" s="23">
        <v>371052</v>
      </c>
      <c r="E1301" s="24">
        <v>2000</v>
      </c>
      <c r="F1301" s="22" t="s">
        <v>11382</v>
      </c>
      <c r="G1301" s="23" t="s">
        <v>11383</v>
      </c>
      <c r="H1301" s="25" t="s">
        <v>15373</v>
      </c>
      <c r="I1301" s="22" t="s">
        <v>15374</v>
      </c>
      <c r="J1301" s="22" t="s">
        <v>11368</v>
      </c>
      <c r="K1301" s="26">
        <f t="shared" si="20"/>
        <v>1000</v>
      </c>
      <c r="L1301" s="26">
        <v>1000</v>
      </c>
      <c r="O1301" s="22" t="s">
        <v>11384</v>
      </c>
      <c r="P1301" s="22" t="s">
        <v>11385</v>
      </c>
      <c r="Q1301" s="22" t="s">
        <v>11386</v>
      </c>
      <c r="R1301" s="22" t="s">
        <v>11387</v>
      </c>
      <c r="S1301" s="22" t="s">
        <v>10120</v>
      </c>
      <c r="T1301" s="22">
        <v>8.17</v>
      </c>
      <c r="U1301" s="22">
        <v>0.38</v>
      </c>
      <c r="X1301" s="26"/>
      <c r="Y1301" s="26"/>
    </row>
    <row r="1302" spans="1:25" ht="25" x14ac:dyDescent="0.25">
      <c r="A1302" s="21">
        <v>1742</v>
      </c>
      <c r="B1302" s="22" t="s">
        <v>15368</v>
      </c>
      <c r="C1302" s="22" t="s">
        <v>10067</v>
      </c>
      <c r="D1302" s="23">
        <v>372650</v>
      </c>
      <c r="E1302" s="24">
        <v>2000</v>
      </c>
      <c r="F1302" s="22" t="s">
        <v>11388</v>
      </c>
      <c r="G1302" s="23" t="s">
        <v>11142</v>
      </c>
      <c r="H1302" s="25" t="s">
        <v>15373</v>
      </c>
      <c r="I1302" s="22" t="s">
        <v>15382</v>
      </c>
      <c r="J1302" s="22" t="s">
        <v>16450</v>
      </c>
      <c r="K1302" s="26">
        <f t="shared" si="20"/>
        <v>993.33333333333326</v>
      </c>
      <c r="N1302" s="26">
        <v>1490</v>
      </c>
      <c r="O1302" s="22" t="s">
        <v>11389</v>
      </c>
      <c r="P1302" s="22" t="s">
        <v>11390</v>
      </c>
      <c r="Q1302" s="22">
        <v>96137</v>
      </c>
      <c r="R1302" s="22" t="s">
        <v>10228</v>
      </c>
      <c r="S1302" s="22" t="s">
        <v>10229</v>
      </c>
      <c r="T1302" s="22">
        <v>6.9</v>
      </c>
      <c r="U1302" s="22">
        <v>0.4</v>
      </c>
      <c r="X1302" s="26"/>
      <c r="Y1302" s="26"/>
    </row>
    <row r="1303" spans="1:25" ht="25" x14ac:dyDescent="0.25">
      <c r="A1303" s="21">
        <v>1743</v>
      </c>
      <c r="B1303" s="22" t="s">
        <v>15368</v>
      </c>
      <c r="C1303" s="22" t="s">
        <v>11391</v>
      </c>
      <c r="D1303" s="23">
        <v>228552</v>
      </c>
      <c r="E1303" s="24">
        <v>1990</v>
      </c>
      <c r="F1303" s="22" t="s">
        <v>11392</v>
      </c>
      <c r="G1303" s="23" t="s">
        <v>11393</v>
      </c>
      <c r="H1303" s="25" t="s">
        <v>15373</v>
      </c>
      <c r="I1303" s="22" t="s">
        <v>15374</v>
      </c>
      <c r="J1303" s="22">
        <v>3412</v>
      </c>
      <c r="K1303" s="26">
        <f t="shared" si="20"/>
        <v>593.33333333333326</v>
      </c>
      <c r="N1303" s="26">
        <v>890</v>
      </c>
      <c r="O1303" s="22" t="s">
        <v>11394</v>
      </c>
      <c r="P1303" s="22" t="s">
        <v>16853</v>
      </c>
      <c r="Q1303" s="22" t="s">
        <v>11395</v>
      </c>
      <c r="R1303" s="22" t="s">
        <v>11396</v>
      </c>
      <c r="S1303" s="22" t="s">
        <v>11397</v>
      </c>
      <c r="T1303" s="22">
        <v>6.9</v>
      </c>
      <c r="U1303" s="22">
        <v>0.4</v>
      </c>
      <c r="X1303" s="26"/>
      <c r="Y1303" s="26"/>
    </row>
    <row r="1304" spans="1:25" ht="25" x14ac:dyDescent="0.25">
      <c r="A1304" s="21">
        <v>1744</v>
      </c>
      <c r="B1304" s="22" t="s">
        <v>15368</v>
      </c>
      <c r="C1304" s="22" t="s">
        <v>11391</v>
      </c>
      <c r="D1304" s="23">
        <v>236724</v>
      </c>
      <c r="E1304" s="24">
        <v>1990</v>
      </c>
      <c r="F1304" s="22" t="s">
        <v>11398</v>
      </c>
      <c r="G1304" s="23" t="s">
        <v>11393</v>
      </c>
      <c r="H1304" s="25" t="s">
        <v>15373</v>
      </c>
      <c r="I1304" s="22" t="s">
        <v>15374</v>
      </c>
      <c r="J1304" s="22">
        <v>3412</v>
      </c>
      <c r="K1304" s="26">
        <f t="shared" si="20"/>
        <v>593.33333333333326</v>
      </c>
      <c r="N1304" s="26">
        <v>890</v>
      </c>
      <c r="O1304" s="22" t="s">
        <v>11394</v>
      </c>
      <c r="P1304" s="22" t="s">
        <v>16853</v>
      </c>
      <c r="Q1304" s="22" t="s">
        <v>11395</v>
      </c>
      <c r="R1304" s="22" t="s">
        <v>11396</v>
      </c>
      <c r="S1304" s="22" t="s">
        <v>11397</v>
      </c>
      <c r="T1304" s="22">
        <v>6.9</v>
      </c>
      <c r="U1304" s="22">
        <v>0.4</v>
      </c>
      <c r="X1304" s="26"/>
      <c r="Y1304" s="26"/>
    </row>
    <row r="1305" spans="1:25" ht="37.5" x14ac:dyDescent="0.25">
      <c r="A1305" s="21">
        <v>1745</v>
      </c>
      <c r="B1305" s="22" t="s">
        <v>15368</v>
      </c>
      <c r="C1305" s="22" t="s">
        <v>11391</v>
      </c>
      <c r="D1305" s="23">
        <v>279846</v>
      </c>
      <c r="E1305" s="24">
        <v>1993</v>
      </c>
      <c r="F1305" s="22" t="s">
        <v>11399</v>
      </c>
      <c r="G1305" s="23" t="s">
        <v>11400</v>
      </c>
      <c r="H1305" s="25" t="s">
        <v>15373</v>
      </c>
      <c r="I1305" s="22" t="s">
        <v>15374</v>
      </c>
      <c r="J1305" s="22">
        <v>3412</v>
      </c>
      <c r="K1305" s="26">
        <f t="shared" si="20"/>
        <v>593.33333333333326</v>
      </c>
      <c r="N1305" s="26">
        <v>890</v>
      </c>
      <c r="O1305" s="22" t="s">
        <v>11394</v>
      </c>
      <c r="P1305" s="22" t="s">
        <v>16853</v>
      </c>
      <c r="Q1305" s="22" t="s">
        <v>11395</v>
      </c>
      <c r="R1305" s="22" t="s">
        <v>11396</v>
      </c>
      <c r="S1305" s="22" t="s">
        <v>11397</v>
      </c>
      <c r="T1305" s="22">
        <v>8.17</v>
      </c>
      <c r="U1305" s="22">
        <v>0.38</v>
      </c>
      <c r="X1305" s="26"/>
      <c r="Y1305" s="26"/>
    </row>
    <row r="1306" spans="1:25" ht="37.5" x14ac:dyDescent="0.25">
      <c r="A1306" s="21">
        <v>1746</v>
      </c>
      <c r="B1306" s="22" t="s">
        <v>15368</v>
      </c>
      <c r="C1306" s="22" t="s">
        <v>11391</v>
      </c>
      <c r="D1306" s="23">
        <v>279847</v>
      </c>
      <c r="E1306" s="24">
        <v>1993</v>
      </c>
      <c r="F1306" s="22" t="s">
        <v>11401</v>
      </c>
      <c r="G1306" s="23" t="s">
        <v>11402</v>
      </c>
      <c r="H1306" s="25" t="s">
        <v>15373</v>
      </c>
      <c r="I1306" s="22" t="s">
        <v>15374</v>
      </c>
      <c r="J1306" s="22">
        <v>3412</v>
      </c>
      <c r="K1306" s="26">
        <f t="shared" si="20"/>
        <v>593.33333333333326</v>
      </c>
      <c r="N1306" s="26">
        <v>890</v>
      </c>
      <c r="O1306" s="22" t="s">
        <v>11394</v>
      </c>
      <c r="P1306" s="22" t="s">
        <v>16853</v>
      </c>
      <c r="Q1306" s="22" t="s">
        <v>11395</v>
      </c>
      <c r="R1306" s="22" t="s">
        <v>11396</v>
      </c>
      <c r="S1306" s="22" t="s">
        <v>11397</v>
      </c>
      <c r="T1306" s="22">
        <v>8.17</v>
      </c>
      <c r="U1306" s="22">
        <v>0.38</v>
      </c>
      <c r="X1306" s="26"/>
      <c r="Y1306" s="26"/>
    </row>
    <row r="1307" spans="1:25" ht="25" x14ac:dyDescent="0.25">
      <c r="A1307" s="21">
        <v>1747</v>
      </c>
      <c r="B1307" s="22" t="s">
        <v>15368</v>
      </c>
      <c r="C1307" s="22" t="s">
        <v>11391</v>
      </c>
      <c r="D1307" s="23">
        <v>300519</v>
      </c>
      <c r="E1307" s="24">
        <v>1995</v>
      </c>
      <c r="F1307" s="22" t="s">
        <v>11403</v>
      </c>
      <c r="G1307" s="23" t="s">
        <v>11404</v>
      </c>
      <c r="H1307" s="25" t="s">
        <v>15373</v>
      </c>
      <c r="I1307" s="22" t="s">
        <v>15382</v>
      </c>
      <c r="J1307" s="22" t="s">
        <v>11405</v>
      </c>
      <c r="K1307" s="26">
        <f t="shared" si="20"/>
        <v>800</v>
      </c>
      <c r="N1307" s="26">
        <v>1200</v>
      </c>
      <c r="O1307" s="22" t="s">
        <v>11406</v>
      </c>
      <c r="P1307" s="22" t="s">
        <v>15376</v>
      </c>
      <c r="Q1307" s="22">
        <v>90066</v>
      </c>
      <c r="R1307" s="22" t="s">
        <v>11407</v>
      </c>
      <c r="S1307" s="22" t="s">
        <v>11408</v>
      </c>
      <c r="T1307" s="22">
        <v>8.17</v>
      </c>
      <c r="U1307" s="22">
        <v>0.38</v>
      </c>
      <c r="X1307" s="26"/>
      <c r="Y1307" s="26"/>
    </row>
    <row r="1308" spans="1:25" ht="37.5" x14ac:dyDescent="0.25">
      <c r="A1308" s="21">
        <v>1748</v>
      </c>
      <c r="B1308" s="22" t="s">
        <v>15368</v>
      </c>
      <c r="C1308" s="22" t="s">
        <v>11391</v>
      </c>
      <c r="D1308" s="23">
        <v>302903</v>
      </c>
      <c r="E1308" s="24">
        <v>1995</v>
      </c>
      <c r="F1308" s="22" t="s">
        <v>11409</v>
      </c>
      <c r="G1308" s="23" t="s">
        <v>11813</v>
      </c>
      <c r="H1308" s="25" t="s">
        <v>15373</v>
      </c>
      <c r="I1308" s="22" t="s">
        <v>15374</v>
      </c>
      <c r="J1308" s="22" t="s">
        <v>15516</v>
      </c>
      <c r="K1308" s="26">
        <f t="shared" si="20"/>
        <v>800</v>
      </c>
      <c r="L1308" s="26">
        <v>800</v>
      </c>
      <c r="O1308" s="22" t="s">
        <v>11410</v>
      </c>
      <c r="P1308" s="22" t="s">
        <v>15376</v>
      </c>
      <c r="Q1308" s="22">
        <v>90016</v>
      </c>
      <c r="R1308" s="22" t="s">
        <v>11411</v>
      </c>
      <c r="S1308" s="22" t="s">
        <v>11412</v>
      </c>
      <c r="T1308" s="22">
        <v>8.17</v>
      </c>
      <c r="U1308" s="22">
        <v>0.38</v>
      </c>
      <c r="X1308" s="26"/>
      <c r="Y1308" s="26"/>
    </row>
    <row r="1309" spans="1:25" ht="37.5" x14ac:dyDescent="0.25">
      <c r="A1309" s="21">
        <v>1752</v>
      </c>
      <c r="B1309" s="22" t="s">
        <v>15368</v>
      </c>
      <c r="C1309" s="22" t="s">
        <v>11413</v>
      </c>
      <c r="D1309" s="23">
        <v>209236</v>
      </c>
      <c r="E1309" s="24">
        <v>1989</v>
      </c>
      <c r="F1309" s="22" t="s">
        <v>11414</v>
      </c>
      <c r="G1309" s="23" t="s">
        <v>11415</v>
      </c>
      <c r="H1309" s="25" t="s">
        <v>15373</v>
      </c>
      <c r="I1309" s="22" t="s">
        <v>15382</v>
      </c>
      <c r="J1309" s="22" t="s">
        <v>11416</v>
      </c>
      <c r="K1309" s="26">
        <f t="shared" si="20"/>
        <v>456.66666666666663</v>
      </c>
      <c r="N1309" s="26">
        <v>685</v>
      </c>
      <c r="O1309" s="22" t="s">
        <v>11417</v>
      </c>
      <c r="P1309" s="22" t="s">
        <v>16786</v>
      </c>
      <c r="Q1309" s="22">
        <v>92802</v>
      </c>
      <c r="R1309" s="22" t="s">
        <v>11418</v>
      </c>
      <c r="S1309" s="22" t="s">
        <v>11419</v>
      </c>
      <c r="T1309" s="22">
        <v>8.17</v>
      </c>
      <c r="U1309" s="22">
        <v>0.38</v>
      </c>
      <c r="X1309" s="26"/>
      <c r="Y1309" s="26"/>
    </row>
    <row r="1310" spans="1:25" ht="37.5" x14ac:dyDescent="0.25">
      <c r="A1310" s="21">
        <v>1753</v>
      </c>
      <c r="B1310" s="22" t="s">
        <v>15368</v>
      </c>
      <c r="C1310" s="22" t="s">
        <v>11420</v>
      </c>
      <c r="D1310" s="23">
        <v>300871</v>
      </c>
      <c r="E1310" s="24">
        <v>1995</v>
      </c>
      <c r="F1310" s="22" t="s">
        <v>11421</v>
      </c>
      <c r="G1310" s="23" t="s">
        <v>10637</v>
      </c>
      <c r="H1310" s="25" t="s">
        <v>15373</v>
      </c>
      <c r="I1310" s="22" t="s">
        <v>15374</v>
      </c>
      <c r="J1310" s="22" t="s">
        <v>14709</v>
      </c>
      <c r="K1310" s="26">
        <f t="shared" si="20"/>
        <v>500</v>
      </c>
      <c r="L1310" s="26">
        <v>500</v>
      </c>
      <c r="O1310" s="22" t="s">
        <v>10326</v>
      </c>
      <c r="P1310" s="22" t="s">
        <v>15422</v>
      </c>
      <c r="Q1310" s="22">
        <v>91505</v>
      </c>
      <c r="R1310" s="22" t="s">
        <v>10327</v>
      </c>
      <c r="S1310" s="22" t="s">
        <v>10328</v>
      </c>
      <c r="T1310" s="22">
        <v>8.17</v>
      </c>
      <c r="U1310" s="22">
        <v>0.38</v>
      </c>
      <c r="X1310" s="26"/>
      <c r="Y1310" s="26"/>
    </row>
    <row r="1311" spans="1:25" ht="37.5" x14ac:dyDescent="0.25">
      <c r="A1311" s="21">
        <v>1755</v>
      </c>
      <c r="B1311" s="22" t="s">
        <v>15368</v>
      </c>
      <c r="C1311" s="22" t="s">
        <v>10329</v>
      </c>
      <c r="D1311" s="23">
        <v>366730</v>
      </c>
      <c r="E1311" s="24">
        <v>2000</v>
      </c>
      <c r="F1311" s="22" t="s">
        <v>10330</v>
      </c>
      <c r="G1311" s="23" t="s">
        <v>10331</v>
      </c>
      <c r="H1311" s="25" t="s">
        <v>15373</v>
      </c>
      <c r="I1311" s="22" t="s">
        <v>15374</v>
      </c>
      <c r="J1311" s="22" t="s">
        <v>15516</v>
      </c>
      <c r="K1311" s="26">
        <f t="shared" si="20"/>
        <v>739.33333333333326</v>
      </c>
      <c r="N1311" s="26">
        <v>1109</v>
      </c>
      <c r="O1311" s="22" t="s">
        <v>10332</v>
      </c>
      <c r="P1311" s="22" t="s">
        <v>15414</v>
      </c>
      <c r="Q1311" s="22">
        <v>91201</v>
      </c>
      <c r="R1311" s="22" t="s">
        <v>10333</v>
      </c>
      <c r="S1311" s="22" t="s">
        <v>10334</v>
      </c>
      <c r="T1311" s="22">
        <v>8.17</v>
      </c>
      <c r="U1311" s="22">
        <v>0.38</v>
      </c>
      <c r="X1311" s="26"/>
      <c r="Y1311" s="26"/>
    </row>
    <row r="1312" spans="1:25" ht="37.5" x14ac:dyDescent="0.25">
      <c r="A1312" s="21">
        <v>1756</v>
      </c>
      <c r="B1312" s="22" t="s">
        <v>15368</v>
      </c>
      <c r="C1312" s="22" t="s">
        <v>10329</v>
      </c>
      <c r="D1312" s="23">
        <v>366731</v>
      </c>
      <c r="E1312" s="24">
        <v>2000</v>
      </c>
      <c r="F1312" s="22" t="s">
        <v>10335</v>
      </c>
      <c r="G1312" s="23" t="s">
        <v>10336</v>
      </c>
      <c r="H1312" s="25" t="s">
        <v>15373</v>
      </c>
      <c r="I1312" s="22" t="s">
        <v>15374</v>
      </c>
      <c r="J1312" s="22" t="s">
        <v>15516</v>
      </c>
      <c r="K1312" s="26">
        <f t="shared" si="20"/>
        <v>739.33333333333326</v>
      </c>
      <c r="N1312" s="26">
        <v>1109</v>
      </c>
      <c r="O1312" s="22" t="s">
        <v>10332</v>
      </c>
      <c r="P1312" s="22" t="s">
        <v>15414</v>
      </c>
      <c r="Q1312" s="22">
        <v>91201</v>
      </c>
      <c r="R1312" s="22" t="s">
        <v>10333</v>
      </c>
      <c r="S1312" s="22" t="s">
        <v>10334</v>
      </c>
      <c r="T1312" s="22">
        <v>6.9</v>
      </c>
      <c r="U1312" s="22">
        <v>0.4</v>
      </c>
      <c r="X1312" s="26"/>
      <c r="Y1312" s="26"/>
    </row>
    <row r="1313" spans="1:25" ht="37.5" x14ac:dyDescent="0.25">
      <c r="A1313" s="21">
        <v>1757</v>
      </c>
      <c r="B1313" s="22" t="s">
        <v>15368</v>
      </c>
      <c r="C1313" s="22" t="s">
        <v>10329</v>
      </c>
      <c r="D1313" s="23">
        <v>366732</v>
      </c>
      <c r="E1313" s="24">
        <v>2000</v>
      </c>
      <c r="F1313" s="22" t="s">
        <v>10337</v>
      </c>
      <c r="G1313" s="23" t="s">
        <v>10338</v>
      </c>
      <c r="H1313" s="25" t="s">
        <v>15373</v>
      </c>
      <c r="I1313" s="22" t="s">
        <v>15374</v>
      </c>
      <c r="J1313" s="22" t="s">
        <v>15516</v>
      </c>
      <c r="K1313" s="26">
        <f t="shared" si="20"/>
        <v>739.33333333333326</v>
      </c>
      <c r="N1313" s="26">
        <v>1109</v>
      </c>
      <c r="O1313" s="22" t="s">
        <v>10332</v>
      </c>
      <c r="P1313" s="22" t="s">
        <v>15414</v>
      </c>
      <c r="Q1313" s="22">
        <v>91201</v>
      </c>
      <c r="R1313" s="22" t="s">
        <v>10333</v>
      </c>
      <c r="S1313" s="22" t="s">
        <v>10334</v>
      </c>
      <c r="T1313" s="22">
        <v>6.9</v>
      </c>
      <c r="U1313" s="22">
        <v>0.4</v>
      </c>
      <c r="X1313" s="26"/>
      <c r="Y1313" s="26"/>
    </row>
    <row r="1314" spans="1:25" ht="37.5" x14ac:dyDescent="0.25">
      <c r="A1314" s="21">
        <v>1758</v>
      </c>
      <c r="B1314" s="22" t="s">
        <v>15368</v>
      </c>
      <c r="C1314" s="22" t="s">
        <v>10339</v>
      </c>
      <c r="D1314" s="23">
        <v>311604</v>
      </c>
      <c r="E1314" s="24">
        <v>1996</v>
      </c>
      <c r="F1314" s="22" t="s">
        <v>10340</v>
      </c>
      <c r="G1314" s="23" t="s">
        <v>10341</v>
      </c>
      <c r="H1314" s="25" t="s">
        <v>15373</v>
      </c>
      <c r="I1314" s="22" t="s">
        <v>15374</v>
      </c>
      <c r="J1314" s="22" t="s">
        <v>10081</v>
      </c>
      <c r="K1314" s="26">
        <f t="shared" si="20"/>
        <v>474.66666666666663</v>
      </c>
      <c r="N1314" s="26">
        <v>712</v>
      </c>
      <c r="O1314" s="22" t="s">
        <v>10342</v>
      </c>
      <c r="P1314" s="22" t="s">
        <v>16786</v>
      </c>
      <c r="Q1314" s="22" t="s">
        <v>10343</v>
      </c>
      <c r="R1314" s="22" t="s">
        <v>10344</v>
      </c>
      <c r="S1314" s="22" t="s">
        <v>10345</v>
      </c>
      <c r="T1314" s="22">
        <v>6.9</v>
      </c>
      <c r="U1314" s="22">
        <v>0.4</v>
      </c>
      <c r="X1314" s="26"/>
      <c r="Y1314" s="26"/>
    </row>
    <row r="1315" spans="1:25" ht="37.5" x14ac:dyDescent="0.25">
      <c r="A1315" s="21">
        <v>1759</v>
      </c>
      <c r="B1315" s="22" t="s">
        <v>15368</v>
      </c>
      <c r="C1315" s="22" t="s">
        <v>10346</v>
      </c>
      <c r="D1315" s="23">
        <v>280374</v>
      </c>
      <c r="E1315" s="24">
        <v>1993</v>
      </c>
      <c r="F1315" s="22" t="s">
        <v>10347</v>
      </c>
      <c r="G1315" s="23" t="s">
        <v>10348</v>
      </c>
      <c r="H1315" s="25" t="s">
        <v>15373</v>
      </c>
      <c r="I1315" s="22" t="s">
        <v>15411</v>
      </c>
      <c r="J1315" s="22" t="s">
        <v>15412</v>
      </c>
      <c r="K1315" s="26">
        <f t="shared" si="20"/>
        <v>553.33333333333326</v>
      </c>
      <c r="N1315" s="26">
        <v>830</v>
      </c>
      <c r="O1315" s="22" t="s">
        <v>10349</v>
      </c>
      <c r="P1315" s="22" t="s">
        <v>15422</v>
      </c>
      <c r="Q1315" s="22">
        <v>91522</v>
      </c>
      <c r="R1315" s="22" t="s">
        <v>10350</v>
      </c>
      <c r="S1315" s="22" t="s">
        <v>10351</v>
      </c>
      <c r="T1315" s="22">
        <v>6.9</v>
      </c>
      <c r="U1315" s="22">
        <v>0.4</v>
      </c>
      <c r="X1315" s="26"/>
      <c r="Y1315" s="26"/>
    </row>
    <row r="1316" spans="1:25" ht="37.5" x14ac:dyDescent="0.25">
      <c r="A1316" s="21">
        <v>1761</v>
      </c>
      <c r="B1316" s="22" t="s">
        <v>15368</v>
      </c>
      <c r="C1316" s="22" t="s">
        <v>10346</v>
      </c>
      <c r="D1316" s="23">
        <v>319934</v>
      </c>
      <c r="E1316" s="24">
        <v>1996</v>
      </c>
      <c r="F1316" s="22" t="s">
        <v>10352</v>
      </c>
      <c r="G1316" s="23" t="s">
        <v>10353</v>
      </c>
      <c r="H1316" s="25" t="s">
        <v>15373</v>
      </c>
      <c r="I1316" s="22" t="s">
        <v>15374</v>
      </c>
      <c r="J1316" s="22" t="s">
        <v>13034</v>
      </c>
      <c r="K1316" s="26">
        <f t="shared" si="20"/>
        <v>733.33333333333326</v>
      </c>
      <c r="N1316" s="26">
        <v>1100</v>
      </c>
      <c r="O1316" s="22" t="s">
        <v>10349</v>
      </c>
      <c r="P1316" s="22" t="s">
        <v>15422</v>
      </c>
      <c r="Q1316" s="22">
        <v>91522</v>
      </c>
      <c r="R1316" s="22" t="s">
        <v>10350</v>
      </c>
      <c r="S1316" s="22" t="s">
        <v>10351</v>
      </c>
      <c r="T1316" s="22">
        <v>8.17</v>
      </c>
      <c r="U1316" s="22">
        <v>0.38</v>
      </c>
      <c r="X1316" s="26"/>
      <c r="Y1316" s="26"/>
    </row>
    <row r="1317" spans="1:25" ht="25" x14ac:dyDescent="0.25">
      <c r="A1317" s="21">
        <v>1762</v>
      </c>
      <c r="B1317" s="22" t="s">
        <v>15368</v>
      </c>
      <c r="C1317" s="22" t="s">
        <v>10354</v>
      </c>
      <c r="D1317" s="23">
        <v>260106</v>
      </c>
      <c r="E1317" s="24">
        <v>1991</v>
      </c>
      <c r="F1317" s="22" t="s">
        <v>10355</v>
      </c>
      <c r="G1317" s="23" t="s">
        <v>10356</v>
      </c>
      <c r="H1317" s="25" t="s">
        <v>15373</v>
      </c>
      <c r="I1317" s="22" t="s">
        <v>15374</v>
      </c>
      <c r="J1317" s="22">
        <v>3412</v>
      </c>
      <c r="K1317" s="26">
        <f t="shared" si="20"/>
        <v>503.33333333333331</v>
      </c>
      <c r="N1317" s="26">
        <v>755</v>
      </c>
      <c r="O1317" s="22" t="s">
        <v>10357</v>
      </c>
      <c r="P1317" s="22" t="s">
        <v>15393</v>
      </c>
      <c r="Q1317" s="22">
        <v>91367</v>
      </c>
      <c r="R1317" s="22" t="s">
        <v>10358</v>
      </c>
      <c r="S1317" s="22" t="s">
        <v>10359</v>
      </c>
      <c r="T1317" s="22">
        <v>8.17</v>
      </c>
      <c r="U1317" s="22">
        <v>0.38</v>
      </c>
      <c r="X1317" s="26"/>
      <c r="Y1317" s="26"/>
    </row>
    <row r="1318" spans="1:25" ht="37.5" x14ac:dyDescent="0.25">
      <c r="A1318" s="21">
        <v>1764</v>
      </c>
      <c r="B1318" s="22" t="s">
        <v>15368</v>
      </c>
      <c r="C1318" s="22" t="s">
        <v>10360</v>
      </c>
      <c r="D1318" s="23">
        <v>329957</v>
      </c>
      <c r="E1318" s="24">
        <v>1997</v>
      </c>
      <c r="F1318" s="22" t="s">
        <v>10361</v>
      </c>
      <c r="G1318" s="23" t="s">
        <v>10362</v>
      </c>
      <c r="H1318" s="25" t="s">
        <v>15373</v>
      </c>
      <c r="I1318" s="22" t="s">
        <v>15374</v>
      </c>
      <c r="J1318" s="22" t="s">
        <v>10363</v>
      </c>
      <c r="K1318" s="26">
        <f t="shared" si="20"/>
        <v>482.66666666666663</v>
      </c>
      <c r="N1318" s="26">
        <v>724</v>
      </c>
      <c r="O1318" s="22" t="s">
        <v>16832</v>
      </c>
      <c r="P1318" s="22" t="s">
        <v>12120</v>
      </c>
      <c r="Q1318" s="22">
        <v>91784</v>
      </c>
      <c r="R1318" s="22" t="s">
        <v>10364</v>
      </c>
      <c r="S1318" s="22" t="s">
        <v>10365</v>
      </c>
      <c r="T1318" s="22">
        <v>8.17</v>
      </c>
      <c r="U1318" s="22">
        <v>0.38</v>
      </c>
      <c r="X1318" s="26"/>
      <c r="Y1318" s="26"/>
    </row>
    <row r="1319" spans="1:25" ht="37.5" x14ac:dyDescent="0.25">
      <c r="A1319" s="21">
        <v>1766</v>
      </c>
      <c r="B1319" s="22" t="s">
        <v>15368</v>
      </c>
      <c r="C1319" s="22" t="s">
        <v>10366</v>
      </c>
      <c r="D1319" s="23">
        <v>317437</v>
      </c>
      <c r="E1319" s="24">
        <v>1996</v>
      </c>
      <c r="F1319" s="22" t="s">
        <v>10367</v>
      </c>
      <c r="G1319" s="23" t="s">
        <v>10368</v>
      </c>
      <c r="H1319" s="25" t="s">
        <v>15373</v>
      </c>
      <c r="I1319" s="22" t="s">
        <v>15411</v>
      </c>
      <c r="J1319" s="22" t="s">
        <v>15744</v>
      </c>
      <c r="K1319" s="26">
        <f t="shared" si="20"/>
        <v>821.33333333333326</v>
      </c>
      <c r="N1319" s="26">
        <v>1232</v>
      </c>
      <c r="O1319" s="22" t="s">
        <v>10369</v>
      </c>
      <c r="P1319" s="22" t="s">
        <v>14376</v>
      </c>
      <c r="Q1319" s="22">
        <v>90404</v>
      </c>
      <c r="R1319" s="22" t="s">
        <v>10370</v>
      </c>
      <c r="S1319" s="22" t="s">
        <v>10371</v>
      </c>
      <c r="T1319" s="22">
        <v>6.9</v>
      </c>
      <c r="U1319" s="22">
        <v>0.4</v>
      </c>
      <c r="X1319" s="26"/>
      <c r="Y1319" s="26"/>
    </row>
    <row r="1320" spans="1:25" ht="37.5" x14ac:dyDescent="0.25">
      <c r="A1320" s="21">
        <v>1767</v>
      </c>
      <c r="B1320" s="22" t="s">
        <v>15368</v>
      </c>
      <c r="C1320" s="22" t="s">
        <v>10366</v>
      </c>
      <c r="D1320" s="23">
        <v>317440</v>
      </c>
      <c r="E1320" s="24">
        <v>1996</v>
      </c>
      <c r="F1320" s="22" t="s">
        <v>10372</v>
      </c>
      <c r="G1320" s="23" t="s">
        <v>10373</v>
      </c>
      <c r="H1320" s="25" t="s">
        <v>15373</v>
      </c>
      <c r="I1320" s="22" t="s">
        <v>15411</v>
      </c>
      <c r="J1320" s="22" t="s">
        <v>15744</v>
      </c>
      <c r="K1320" s="26">
        <f t="shared" si="20"/>
        <v>821.33333333333326</v>
      </c>
      <c r="N1320" s="26">
        <v>1232</v>
      </c>
      <c r="O1320" s="22" t="s">
        <v>10374</v>
      </c>
      <c r="P1320" s="22" t="s">
        <v>14376</v>
      </c>
      <c r="Q1320" s="22">
        <v>90404</v>
      </c>
      <c r="R1320" s="22" t="s">
        <v>10375</v>
      </c>
      <c r="S1320" s="22" t="s">
        <v>10371</v>
      </c>
      <c r="T1320" s="22">
        <v>6.9</v>
      </c>
      <c r="U1320" s="22">
        <v>0.4</v>
      </c>
      <c r="X1320" s="26"/>
      <c r="Y1320" s="26"/>
    </row>
    <row r="1321" spans="1:25" ht="37.5" x14ac:dyDescent="0.25">
      <c r="A1321" s="21">
        <v>1771</v>
      </c>
      <c r="B1321" s="22" t="s">
        <v>15368</v>
      </c>
      <c r="C1321" s="22" t="s">
        <v>10376</v>
      </c>
      <c r="D1321" s="23">
        <v>367684</v>
      </c>
      <c r="E1321" s="24">
        <v>2000</v>
      </c>
      <c r="F1321" s="22" t="s">
        <v>10377</v>
      </c>
      <c r="G1321" s="23" t="s">
        <v>10378</v>
      </c>
      <c r="H1321" s="25" t="s">
        <v>15373</v>
      </c>
      <c r="I1321" s="22" t="s">
        <v>15374</v>
      </c>
      <c r="J1321" s="22" t="s">
        <v>15677</v>
      </c>
      <c r="K1321" s="26">
        <f t="shared" si="20"/>
        <v>2000</v>
      </c>
      <c r="L1321" s="26">
        <v>2000</v>
      </c>
      <c r="O1321" s="22" t="s">
        <v>10379</v>
      </c>
      <c r="P1321" s="22" t="s">
        <v>15393</v>
      </c>
      <c r="Q1321" s="22">
        <v>91367</v>
      </c>
      <c r="R1321" s="22" t="s">
        <v>10380</v>
      </c>
      <c r="S1321" s="22" t="s">
        <v>10381</v>
      </c>
      <c r="T1321" s="22">
        <v>8.17</v>
      </c>
      <c r="U1321" s="22">
        <v>0.38</v>
      </c>
      <c r="X1321" s="26"/>
      <c r="Y1321" s="26"/>
    </row>
    <row r="1322" spans="1:25" ht="37.5" x14ac:dyDescent="0.25">
      <c r="A1322" s="21">
        <v>1772</v>
      </c>
      <c r="B1322" s="22" t="s">
        <v>15368</v>
      </c>
      <c r="C1322" s="22" t="s">
        <v>10376</v>
      </c>
      <c r="D1322" s="23">
        <v>367685</v>
      </c>
      <c r="E1322" s="24">
        <v>2000</v>
      </c>
      <c r="F1322" s="22" t="s">
        <v>10382</v>
      </c>
      <c r="G1322" s="23" t="s">
        <v>10383</v>
      </c>
      <c r="H1322" s="25" t="s">
        <v>15373</v>
      </c>
      <c r="I1322" s="22" t="s">
        <v>15374</v>
      </c>
      <c r="J1322" s="22" t="s">
        <v>15677</v>
      </c>
      <c r="K1322" s="26">
        <f t="shared" si="20"/>
        <v>2000</v>
      </c>
      <c r="L1322" s="26">
        <v>2000</v>
      </c>
      <c r="O1322" s="22" t="s">
        <v>10379</v>
      </c>
      <c r="P1322" s="22" t="s">
        <v>15393</v>
      </c>
      <c r="Q1322" s="22">
        <v>91367</v>
      </c>
      <c r="R1322" s="22" t="s">
        <v>10380</v>
      </c>
      <c r="S1322" s="22" t="s">
        <v>10381</v>
      </c>
      <c r="T1322" s="22">
        <v>6.9</v>
      </c>
      <c r="U1322" s="22">
        <v>0.4</v>
      </c>
      <c r="X1322" s="26"/>
      <c r="Y1322" s="26"/>
    </row>
    <row r="1323" spans="1:25" ht="37.5" x14ac:dyDescent="0.25">
      <c r="A1323" s="21">
        <v>1773</v>
      </c>
      <c r="B1323" s="22" t="s">
        <v>15368</v>
      </c>
      <c r="C1323" s="22" t="s">
        <v>10384</v>
      </c>
      <c r="D1323" s="23">
        <v>227189</v>
      </c>
      <c r="E1323" s="24">
        <v>1990</v>
      </c>
      <c r="F1323" s="22" t="s">
        <v>10385</v>
      </c>
      <c r="G1323" s="23" t="s">
        <v>10386</v>
      </c>
      <c r="H1323" s="25" t="s">
        <v>15373</v>
      </c>
      <c r="I1323" s="22" t="s">
        <v>15411</v>
      </c>
      <c r="J1323" s="22" t="s">
        <v>14684</v>
      </c>
      <c r="K1323" s="26">
        <f t="shared" si="20"/>
        <v>1026.6666666666665</v>
      </c>
      <c r="N1323" s="26">
        <v>1540</v>
      </c>
      <c r="O1323" s="22" t="s">
        <v>10387</v>
      </c>
      <c r="P1323" s="22" t="s">
        <v>15376</v>
      </c>
      <c r="Q1323" s="22" t="s">
        <v>10388</v>
      </c>
      <c r="R1323" s="22" t="s">
        <v>10389</v>
      </c>
      <c r="S1323" s="22" t="s">
        <v>10390</v>
      </c>
      <c r="T1323" s="22">
        <v>6.9</v>
      </c>
      <c r="U1323" s="22">
        <v>0.4</v>
      </c>
      <c r="X1323" s="26"/>
      <c r="Y1323" s="26"/>
    </row>
    <row r="1324" spans="1:25" ht="37.5" x14ac:dyDescent="0.25">
      <c r="A1324" s="21">
        <v>1774</v>
      </c>
      <c r="B1324" s="22" t="s">
        <v>15368</v>
      </c>
      <c r="C1324" s="22" t="s">
        <v>10384</v>
      </c>
      <c r="D1324" s="23">
        <v>227190</v>
      </c>
      <c r="E1324" s="24">
        <v>1990</v>
      </c>
      <c r="F1324" s="22" t="s">
        <v>10391</v>
      </c>
      <c r="G1324" s="23" t="s">
        <v>10392</v>
      </c>
      <c r="H1324" s="25" t="s">
        <v>15373</v>
      </c>
      <c r="I1324" s="22" t="s">
        <v>15411</v>
      </c>
      <c r="J1324" s="22" t="s">
        <v>14684</v>
      </c>
      <c r="K1324" s="26">
        <f t="shared" si="20"/>
        <v>1026.6666666666665</v>
      </c>
      <c r="N1324" s="26">
        <v>1540</v>
      </c>
      <c r="O1324" s="22" t="s">
        <v>10387</v>
      </c>
      <c r="P1324" s="22" t="s">
        <v>15376</v>
      </c>
      <c r="Q1324" s="22" t="s">
        <v>10388</v>
      </c>
      <c r="R1324" s="22" t="s">
        <v>10389</v>
      </c>
      <c r="S1324" s="22" t="s">
        <v>10390</v>
      </c>
      <c r="T1324" s="22">
        <v>6.9</v>
      </c>
      <c r="U1324" s="22">
        <v>0.4</v>
      </c>
      <c r="X1324" s="26"/>
      <c r="Y1324" s="26"/>
    </row>
    <row r="1325" spans="1:25" ht="37.5" x14ac:dyDescent="0.25">
      <c r="A1325" s="21">
        <v>1775</v>
      </c>
      <c r="B1325" s="22" t="s">
        <v>15368</v>
      </c>
      <c r="C1325" s="22" t="s">
        <v>10384</v>
      </c>
      <c r="D1325" s="23">
        <v>227191</v>
      </c>
      <c r="E1325" s="24">
        <v>1990</v>
      </c>
      <c r="F1325" s="22" t="s">
        <v>10393</v>
      </c>
      <c r="G1325" s="23" t="s">
        <v>10394</v>
      </c>
      <c r="H1325" s="25" t="s">
        <v>15373</v>
      </c>
      <c r="I1325" s="22" t="s">
        <v>15411</v>
      </c>
      <c r="J1325" s="22" t="s">
        <v>14684</v>
      </c>
      <c r="K1325" s="26">
        <f t="shared" si="20"/>
        <v>1026.6666666666665</v>
      </c>
      <c r="N1325" s="26">
        <v>1540</v>
      </c>
      <c r="O1325" s="22" t="s">
        <v>10387</v>
      </c>
      <c r="P1325" s="22" t="s">
        <v>15376</v>
      </c>
      <c r="Q1325" s="22" t="s">
        <v>10388</v>
      </c>
      <c r="R1325" s="22" t="s">
        <v>10389</v>
      </c>
      <c r="S1325" s="22" t="s">
        <v>10390</v>
      </c>
      <c r="T1325" s="22">
        <v>8.17</v>
      </c>
      <c r="U1325" s="22">
        <v>0.38</v>
      </c>
      <c r="X1325" s="26"/>
      <c r="Y1325" s="26"/>
    </row>
    <row r="1326" spans="1:25" ht="37.5" x14ac:dyDescent="0.25">
      <c r="A1326" s="21">
        <v>1776</v>
      </c>
      <c r="B1326" s="22" t="s">
        <v>15368</v>
      </c>
      <c r="C1326" s="22" t="s">
        <v>10384</v>
      </c>
      <c r="D1326" s="23">
        <v>227192</v>
      </c>
      <c r="E1326" s="24">
        <v>1990</v>
      </c>
      <c r="F1326" s="22" t="s">
        <v>10395</v>
      </c>
      <c r="G1326" s="23" t="s">
        <v>10396</v>
      </c>
      <c r="H1326" s="25" t="s">
        <v>15373</v>
      </c>
      <c r="I1326" s="22" t="s">
        <v>15411</v>
      </c>
      <c r="J1326" s="22" t="s">
        <v>14684</v>
      </c>
      <c r="K1326" s="26">
        <f t="shared" si="20"/>
        <v>1026.6666666666665</v>
      </c>
      <c r="N1326" s="26">
        <v>1540</v>
      </c>
      <c r="O1326" s="22" t="s">
        <v>10387</v>
      </c>
      <c r="P1326" s="22" t="s">
        <v>15376</v>
      </c>
      <c r="Q1326" s="22" t="s">
        <v>10388</v>
      </c>
      <c r="R1326" s="22" t="s">
        <v>10389</v>
      </c>
      <c r="S1326" s="22" t="s">
        <v>10390</v>
      </c>
      <c r="T1326" s="22">
        <v>8.17</v>
      </c>
      <c r="U1326" s="22">
        <v>0.38</v>
      </c>
      <c r="X1326" s="26"/>
      <c r="Y1326" s="26"/>
    </row>
    <row r="1327" spans="1:25" ht="37.5" x14ac:dyDescent="0.25">
      <c r="A1327" s="21">
        <v>1777</v>
      </c>
      <c r="B1327" s="22" t="s">
        <v>15368</v>
      </c>
      <c r="C1327" s="22" t="s">
        <v>10384</v>
      </c>
      <c r="D1327" s="23">
        <v>374373</v>
      </c>
      <c r="E1327" s="24">
        <v>2000</v>
      </c>
      <c r="F1327" s="22" t="s">
        <v>10397</v>
      </c>
      <c r="G1327" s="23" t="s">
        <v>10398</v>
      </c>
      <c r="H1327" s="25" t="s">
        <v>15373</v>
      </c>
      <c r="I1327" s="22" t="s">
        <v>15411</v>
      </c>
      <c r="J1327" s="22" t="s">
        <v>16803</v>
      </c>
      <c r="K1327" s="26">
        <f t="shared" si="20"/>
        <v>1380</v>
      </c>
      <c r="L1327" s="26">
        <v>1380</v>
      </c>
      <c r="O1327" s="22" t="s">
        <v>10387</v>
      </c>
      <c r="P1327" s="22" t="s">
        <v>15376</v>
      </c>
      <c r="Q1327" s="22" t="s">
        <v>10388</v>
      </c>
      <c r="R1327" s="22" t="s">
        <v>10389</v>
      </c>
      <c r="S1327" s="22" t="s">
        <v>10390</v>
      </c>
      <c r="T1327" s="22">
        <v>8.17</v>
      </c>
      <c r="U1327" s="22">
        <v>0.38</v>
      </c>
      <c r="X1327" s="26"/>
      <c r="Y1327" s="26"/>
    </row>
    <row r="1328" spans="1:25" ht="37.5" x14ac:dyDescent="0.25">
      <c r="A1328" s="21">
        <v>1778</v>
      </c>
      <c r="B1328" s="22" t="s">
        <v>15368</v>
      </c>
      <c r="C1328" s="22" t="s">
        <v>10399</v>
      </c>
      <c r="D1328" s="23">
        <v>322404</v>
      </c>
      <c r="E1328" s="24">
        <v>1996</v>
      </c>
      <c r="F1328" s="22" t="s">
        <v>10400</v>
      </c>
      <c r="G1328" s="23" t="s">
        <v>10401</v>
      </c>
      <c r="H1328" s="25" t="s">
        <v>15373</v>
      </c>
      <c r="I1328" s="22" t="s">
        <v>15382</v>
      </c>
      <c r="J1328" s="22" t="s">
        <v>14659</v>
      </c>
      <c r="K1328" s="26">
        <f t="shared" si="20"/>
        <v>500</v>
      </c>
      <c r="N1328" s="26">
        <v>750</v>
      </c>
      <c r="O1328" s="22" t="s">
        <v>10402</v>
      </c>
      <c r="P1328" s="22" t="s">
        <v>15376</v>
      </c>
      <c r="Q1328" s="22">
        <v>90071</v>
      </c>
      <c r="R1328" s="22" t="s">
        <v>10403</v>
      </c>
      <c r="S1328" s="22" t="s">
        <v>10404</v>
      </c>
      <c r="T1328" s="22">
        <v>8.17</v>
      </c>
      <c r="U1328" s="22">
        <v>0.38</v>
      </c>
      <c r="X1328" s="26"/>
      <c r="Y1328" s="26"/>
    </row>
    <row r="1329" spans="1:25" ht="37.5" x14ac:dyDescent="0.25">
      <c r="A1329" s="21">
        <v>1779</v>
      </c>
      <c r="B1329" s="22" t="s">
        <v>15368</v>
      </c>
      <c r="C1329" s="22" t="s">
        <v>10405</v>
      </c>
      <c r="D1329" s="23">
        <v>277022</v>
      </c>
      <c r="E1329" s="24">
        <v>1993</v>
      </c>
      <c r="F1329" s="22" t="s">
        <v>10406</v>
      </c>
      <c r="G1329" s="23" t="s">
        <v>10407</v>
      </c>
      <c r="H1329" s="25" t="s">
        <v>15373</v>
      </c>
      <c r="I1329" s="22" t="s">
        <v>15411</v>
      </c>
      <c r="J1329" s="22" t="s">
        <v>15412</v>
      </c>
      <c r="K1329" s="26">
        <f t="shared" si="20"/>
        <v>631.33333333333326</v>
      </c>
      <c r="N1329" s="26">
        <v>947</v>
      </c>
      <c r="O1329" s="22" t="s">
        <v>10408</v>
      </c>
      <c r="P1329" s="22" t="s">
        <v>14653</v>
      </c>
      <c r="Q1329" s="22">
        <v>91773</v>
      </c>
      <c r="R1329" s="22" t="s">
        <v>10409</v>
      </c>
      <c r="S1329" s="22" t="s">
        <v>10410</v>
      </c>
      <c r="T1329" s="22">
        <v>6.9</v>
      </c>
      <c r="U1329" s="22">
        <v>0.4</v>
      </c>
      <c r="X1329" s="26"/>
      <c r="Y1329" s="26"/>
    </row>
    <row r="1330" spans="1:25" ht="37.5" x14ac:dyDescent="0.25">
      <c r="A1330" s="21">
        <v>1780</v>
      </c>
      <c r="B1330" s="22" t="s">
        <v>15368</v>
      </c>
      <c r="C1330" s="22" t="s">
        <v>10411</v>
      </c>
      <c r="D1330" s="23">
        <v>217132</v>
      </c>
      <c r="E1330" s="24">
        <v>1989</v>
      </c>
      <c r="F1330" s="22" t="s">
        <v>10412</v>
      </c>
      <c r="G1330" s="23" t="s">
        <v>10413</v>
      </c>
      <c r="H1330" s="25" t="s">
        <v>15373</v>
      </c>
      <c r="I1330" s="22" t="s">
        <v>15374</v>
      </c>
      <c r="J1330" s="22" t="s">
        <v>15191</v>
      </c>
      <c r="K1330" s="26">
        <f t="shared" si="20"/>
        <v>673.33333333333326</v>
      </c>
      <c r="N1330" s="26">
        <v>1010</v>
      </c>
      <c r="O1330" s="22" t="s">
        <v>10414</v>
      </c>
      <c r="P1330" s="22" t="s">
        <v>16347</v>
      </c>
      <c r="Q1330" s="22">
        <v>91730</v>
      </c>
      <c r="R1330" s="22" t="s">
        <v>10415</v>
      </c>
      <c r="S1330" s="22" t="s">
        <v>10416</v>
      </c>
      <c r="T1330" s="22">
        <v>6.9</v>
      </c>
      <c r="U1330" s="22">
        <v>0.4</v>
      </c>
      <c r="X1330" s="26"/>
      <c r="Y1330" s="26"/>
    </row>
    <row r="1331" spans="1:25" ht="25" x14ac:dyDescent="0.25">
      <c r="A1331" s="21">
        <v>1781</v>
      </c>
      <c r="B1331" s="22" t="s">
        <v>15368</v>
      </c>
      <c r="C1331" s="22" t="s">
        <v>10417</v>
      </c>
      <c r="D1331" s="23">
        <v>363821</v>
      </c>
      <c r="E1331" s="24">
        <v>1999</v>
      </c>
      <c r="F1331" s="22" t="s">
        <v>10418</v>
      </c>
      <c r="G1331" s="23" t="s">
        <v>12069</v>
      </c>
      <c r="H1331" s="25" t="s">
        <v>15373</v>
      </c>
      <c r="I1331" s="22" t="s">
        <v>15382</v>
      </c>
      <c r="J1331" s="22" t="s">
        <v>16784</v>
      </c>
      <c r="K1331" s="26">
        <f t="shared" si="20"/>
        <v>503.33333333333331</v>
      </c>
      <c r="N1331" s="26">
        <v>755</v>
      </c>
      <c r="O1331" s="22" t="s">
        <v>10419</v>
      </c>
      <c r="P1331" s="22" t="s">
        <v>16278</v>
      </c>
      <c r="Q1331" s="22">
        <v>90720</v>
      </c>
      <c r="R1331" s="22" t="s">
        <v>10420</v>
      </c>
      <c r="S1331" s="22" t="s">
        <v>10421</v>
      </c>
      <c r="T1331" s="22">
        <v>8.17</v>
      </c>
      <c r="U1331" s="22">
        <v>0.38</v>
      </c>
      <c r="X1331" s="26"/>
      <c r="Y1331" s="26"/>
    </row>
    <row r="1332" spans="1:25" ht="37.5" x14ac:dyDescent="0.25">
      <c r="A1332" s="21">
        <v>1782</v>
      </c>
      <c r="B1332" s="22" t="s">
        <v>15368</v>
      </c>
      <c r="C1332" s="22" t="s">
        <v>10422</v>
      </c>
      <c r="D1332" s="23">
        <v>363964</v>
      </c>
      <c r="E1332" s="24">
        <v>1999</v>
      </c>
      <c r="F1332" s="22" t="s">
        <v>10423</v>
      </c>
      <c r="G1332" s="23" t="s">
        <v>10637</v>
      </c>
      <c r="H1332" s="25" t="s">
        <v>15373</v>
      </c>
      <c r="I1332" s="22" t="s">
        <v>15374</v>
      </c>
      <c r="J1332" s="22" t="s">
        <v>14709</v>
      </c>
      <c r="K1332" s="26">
        <f t="shared" si="20"/>
        <v>500</v>
      </c>
      <c r="L1332" s="26">
        <v>500</v>
      </c>
      <c r="O1332" s="22" t="s">
        <v>10424</v>
      </c>
      <c r="P1332" s="22" t="s">
        <v>12474</v>
      </c>
      <c r="Q1332" s="22">
        <v>92377</v>
      </c>
      <c r="R1332" s="22" t="s">
        <v>10425</v>
      </c>
      <c r="S1332" s="22" t="s">
        <v>10426</v>
      </c>
      <c r="T1332" s="22">
        <v>8.17</v>
      </c>
      <c r="U1332" s="22">
        <v>0.38</v>
      </c>
      <c r="X1332" s="26"/>
      <c r="Y1332" s="26"/>
    </row>
    <row r="1333" spans="1:25" ht="25" x14ac:dyDescent="0.25">
      <c r="A1333" s="21">
        <v>1784</v>
      </c>
      <c r="B1333" s="22" t="s">
        <v>15368</v>
      </c>
      <c r="C1333" s="22" t="s">
        <v>10427</v>
      </c>
      <c r="D1333" s="23">
        <v>355518</v>
      </c>
      <c r="E1333" s="24">
        <v>1999</v>
      </c>
      <c r="F1333" s="22" t="s">
        <v>10428</v>
      </c>
      <c r="G1333" s="23" t="s">
        <v>12069</v>
      </c>
      <c r="H1333" s="25" t="s">
        <v>15373</v>
      </c>
      <c r="I1333" s="22" t="s">
        <v>15382</v>
      </c>
      <c r="J1333" s="22" t="s">
        <v>16784</v>
      </c>
      <c r="K1333" s="26">
        <f t="shared" si="20"/>
        <v>503.33333333333331</v>
      </c>
      <c r="N1333" s="26">
        <v>755</v>
      </c>
      <c r="O1333" s="22" t="s">
        <v>10429</v>
      </c>
      <c r="P1333" s="22" t="s">
        <v>16853</v>
      </c>
      <c r="Q1333" s="22">
        <v>92623</v>
      </c>
      <c r="R1333" s="22" t="s">
        <v>10430</v>
      </c>
      <c r="S1333" s="22" t="s">
        <v>10431</v>
      </c>
      <c r="T1333" s="22">
        <v>6.9</v>
      </c>
      <c r="U1333" s="22">
        <v>0.4</v>
      </c>
      <c r="X1333" s="26"/>
      <c r="Y1333" s="26"/>
    </row>
    <row r="1334" spans="1:25" ht="37.5" x14ac:dyDescent="0.25">
      <c r="A1334" s="21">
        <v>1785</v>
      </c>
      <c r="B1334" s="22" t="s">
        <v>15368</v>
      </c>
      <c r="C1334" s="22" t="s">
        <v>10432</v>
      </c>
      <c r="D1334" s="23">
        <v>228542</v>
      </c>
      <c r="E1334" s="24">
        <v>1990</v>
      </c>
      <c r="F1334" s="22" t="s">
        <v>10433</v>
      </c>
      <c r="G1334" s="23" t="s">
        <v>10434</v>
      </c>
      <c r="H1334" s="25" t="s">
        <v>15373</v>
      </c>
      <c r="I1334" s="22" t="s">
        <v>15374</v>
      </c>
      <c r="J1334" s="22" t="s">
        <v>10435</v>
      </c>
      <c r="K1334" s="26">
        <f t="shared" si="20"/>
        <v>340</v>
      </c>
      <c r="N1334" s="26">
        <v>510</v>
      </c>
      <c r="O1334" s="22" t="s">
        <v>10436</v>
      </c>
      <c r="P1334" s="22" t="s">
        <v>16794</v>
      </c>
      <c r="Q1334" s="22">
        <v>92504</v>
      </c>
      <c r="R1334" s="22" t="s">
        <v>10437</v>
      </c>
      <c r="S1334" s="22" t="s">
        <v>10438</v>
      </c>
      <c r="T1334" s="22">
        <v>8.17</v>
      </c>
      <c r="U1334" s="22">
        <v>0.38</v>
      </c>
      <c r="X1334" s="26"/>
      <c r="Y1334" s="26"/>
    </row>
    <row r="1335" spans="1:25" ht="37.5" x14ac:dyDescent="0.25">
      <c r="A1335" s="21">
        <v>1786</v>
      </c>
      <c r="B1335" s="22" t="s">
        <v>15368</v>
      </c>
      <c r="C1335" s="22" t="s">
        <v>10439</v>
      </c>
      <c r="D1335" s="23">
        <v>324367</v>
      </c>
      <c r="E1335" s="24">
        <v>1997</v>
      </c>
      <c r="F1335" s="22" t="s">
        <v>10440</v>
      </c>
      <c r="G1335" s="23" t="s">
        <v>11429</v>
      </c>
      <c r="H1335" s="25" t="s">
        <v>15373</v>
      </c>
      <c r="I1335" s="22" t="s">
        <v>15374</v>
      </c>
      <c r="J1335" s="22" t="s">
        <v>15677</v>
      </c>
      <c r="K1335" s="26">
        <f t="shared" si="20"/>
        <v>2000</v>
      </c>
      <c r="L1335" s="26">
        <v>2000</v>
      </c>
      <c r="O1335" s="22" t="s">
        <v>10441</v>
      </c>
      <c r="P1335" s="22" t="s">
        <v>14746</v>
      </c>
      <c r="Q1335" s="22">
        <v>91720</v>
      </c>
      <c r="R1335" s="22" t="s">
        <v>10442</v>
      </c>
      <c r="S1335" s="22" t="s">
        <v>10443</v>
      </c>
      <c r="T1335" s="22">
        <v>8.17</v>
      </c>
      <c r="U1335" s="22">
        <v>0.38</v>
      </c>
      <c r="X1335" s="26"/>
      <c r="Y1335" s="26"/>
    </row>
    <row r="1336" spans="1:25" ht="37.5" x14ac:dyDescent="0.25">
      <c r="A1336" s="21">
        <v>1787</v>
      </c>
      <c r="B1336" s="22" t="s">
        <v>15368</v>
      </c>
      <c r="C1336" s="22" t="s">
        <v>10444</v>
      </c>
      <c r="D1336" s="23">
        <v>368815</v>
      </c>
      <c r="E1336" s="24">
        <v>2000</v>
      </c>
      <c r="F1336" s="22" t="s">
        <v>10445</v>
      </c>
      <c r="G1336" s="23" t="s">
        <v>10446</v>
      </c>
      <c r="H1336" s="25" t="s">
        <v>15373</v>
      </c>
      <c r="I1336" s="22" t="s">
        <v>15374</v>
      </c>
      <c r="J1336" s="22" t="s">
        <v>14106</v>
      </c>
      <c r="K1336" s="26">
        <f t="shared" si="20"/>
        <v>538.66666666666663</v>
      </c>
      <c r="N1336" s="26">
        <v>808</v>
      </c>
      <c r="O1336" s="22" t="s">
        <v>10447</v>
      </c>
      <c r="P1336" s="22" t="s">
        <v>15376</v>
      </c>
      <c r="Q1336" s="22">
        <v>90045</v>
      </c>
      <c r="R1336" s="22" t="s">
        <v>10448</v>
      </c>
      <c r="S1336" s="22" t="s">
        <v>10449</v>
      </c>
      <c r="T1336" s="22">
        <v>8.17</v>
      </c>
      <c r="U1336" s="22">
        <v>0.38</v>
      </c>
      <c r="X1336" s="26"/>
      <c r="Y1336" s="26"/>
    </row>
    <row r="1337" spans="1:25" ht="37.5" x14ac:dyDescent="0.25">
      <c r="A1337" s="21">
        <v>1789</v>
      </c>
      <c r="B1337" s="22" t="s">
        <v>15368</v>
      </c>
      <c r="C1337" s="22" t="s">
        <v>10450</v>
      </c>
      <c r="D1337" s="23">
        <v>219970</v>
      </c>
      <c r="E1337" s="24">
        <v>1989</v>
      </c>
      <c r="F1337" s="22" t="s">
        <v>10451</v>
      </c>
      <c r="G1337" s="23" t="s">
        <v>10452</v>
      </c>
      <c r="H1337" s="25" t="s">
        <v>15373</v>
      </c>
      <c r="I1337" s="22" t="s">
        <v>15382</v>
      </c>
      <c r="J1337" s="22" t="s">
        <v>16861</v>
      </c>
      <c r="K1337" s="26">
        <f t="shared" si="20"/>
        <v>373.33333333333331</v>
      </c>
      <c r="N1337" s="26">
        <v>560</v>
      </c>
      <c r="O1337" s="22" t="s">
        <v>10453</v>
      </c>
      <c r="P1337" s="22" t="s">
        <v>15376</v>
      </c>
      <c r="Q1337" s="22">
        <v>90025</v>
      </c>
      <c r="R1337" s="22" t="s">
        <v>10454</v>
      </c>
      <c r="S1337" s="22" t="s">
        <v>10455</v>
      </c>
      <c r="T1337" s="22">
        <v>6.9</v>
      </c>
      <c r="U1337" s="22">
        <v>0.4</v>
      </c>
      <c r="X1337" s="26"/>
      <c r="Y1337" s="26"/>
    </row>
    <row r="1338" spans="1:25" ht="25" x14ac:dyDescent="0.25">
      <c r="A1338" s="21">
        <v>1790</v>
      </c>
      <c r="B1338" s="22" t="s">
        <v>15368</v>
      </c>
      <c r="C1338" s="22" t="s">
        <v>10456</v>
      </c>
      <c r="D1338" s="23">
        <v>261718</v>
      </c>
      <c r="E1338" s="24">
        <v>1992</v>
      </c>
      <c r="F1338" s="22" t="s">
        <v>10457</v>
      </c>
      <c r="G1338" s="23" t="s">
        <v>10458</v>
      </c>
      <c r="H1338" s="25" t="s">
        <v>15373</v>
      </c>
      <c r="I1338" s="22" t="s">
        <v>15374</v>
      </c>
      <c r="J1338" s="22" t="s">
        <v>10459</v>
      </c>
      <c r="K1338" s="26">
        <f t="shared" si="20"/>
        <v>732</v>
      </c>
      <c r="N1338" s="26">
        <v>1098</v>
      </c>
      <c r="O1338" s="22" t="s">
        <v>10460</v>
      </c>
      <c r="P1338" s="22" t="s">
        <v>15376</v>
      </c>
      <c r="Q1338" s="22">
        <v>90033</v>
      </c>
      <c r="R1338" s="22" t="s">
        <v>10461</v>
      </c>
      <c r="S1338" s="22" t="s">
        <v>10462</v>
      </c>
      <c r="T1338" s="22">
        <v>8.17</v>
      </c>
      <c r="U1338" s="22">
        <v>0.38</v>
      </c>
      <c r="X1338" s="26"/>
      <c r="Y1338" s="26"/>
    </row>
    <row r="1339" spans="1:25" ht="25" x14ac:dyDescent="0.25">
      <c r="A1339" s="21">
        <v>1791</v>
      </c>
      <c r="B1339" s="22" t="s">
        <v>15368</v>
      </c>
      <c r="C1339" s="22" t="s">
        <v>10456</v>
      </c>
      <c r="D1339" s="23">
        <v>261719</v>
      </c>
      <c r="E1339" s="24">
        <v>1992</v>
      </c>
      <c r="F1339" s="22" t="s">
        <v>10463</v>
      </c>
      <c r="G1339" s="23" t="s">
        <v>10458</v>
      </c>
      <c r="H1339" s="25" t="s">
        <v>15373</v>
      </c>
      <c r="I1339" s="22" t="s">
        <v>15374</v>
      </c>
      <c r="J1339" s="22" t="s">
        <v>10459</v>
      </c>
      <c r="K1339" s="26">
        <f t="shared" si="20"/>
        <v>732</v>
      </c>
      <c r="N1339" s="26">
        <v>1098</v>
      </c>
      <c r="O1339" s="22" t="s">
        <v>10460</v>
      </c>
      <c r="P1339" s="22" t="s">
        <v>15376</v>
      </c>
      <c r="Q1339" s="22">
        <v>90033</v>
      </c>
      <c r="R1339" s="22" t="s">
        <v>10461</v>
      </c>
      <c r="S1339" s="22" t="s">
        <v>10462</v>
      </c>
      <c r="T1339" s="22">
        <v>8.17</v>
      </c>
      <c r="U1339" s="22">
        <v>0.38</v>
      </c>
      <c r="X1339" s="26"/>
      <c r="Y1339" s="26"/>
    </row>
    <row r="1340" spans="1:25" ht="25" x14ac:dyDescent="0.25">
      <c r="A1340" s="21">
        <v>1792</v>
      </c>
      <c r="B1340" s="22" t="s">
        <v>15368</v>
      </c>
      <c r="C1340" s="22" t="s">
        <v>10456</v>
      </c>
      <c r="D1340" s="23">
        <v>345020</v>
      </c>
      <c r="E1340" s="24">
        <v>1998</v>
      </c>
      <c r="F1340" s="22" t="s">
        <v>10464</v>
      </c>
      <c r="G1340" s="23" t="s">
        <v>10465</v>
      </c>
      <c r="H1340" s="25" t="s">
        <v>15373</v>
      </c>
      <c r="I1340" s="22" t="s">
        <v>15374</v>
      </c>
      <c r="J1340" s="22">
        <v>3412</v>
      </c>
      <c r="K1340" s="26">
        <f t="shared" si="20"/>
        <v>413.33333333333331</v>
      </c>
      <c r="N1340" s="26">
        <v>620</v>
      </c>
      <c r="O1340" s="22" t="s">
        <v>10460</v>
      </c>
      <c r="P1340" s="22" t="s">
        <v>15376</v>
      </c>
      <c r="Q1340" s="22">
        <v>90033</v>
      </c>
      <c r="R1340" s="22" t="s">
        <v>10461</v>
      </c>
      <c r="S1340" s="22" t="s">
        <v>10462</v>
      </c>
      <c r="T1340" s="22">
        <v>8.17</v>
      </c>
      <c r="U1340" s="22">
        <v>0.38</v>
      </c>
      <c r="X1340" s="26"/>
      <c r="Y1340" s="26"/>
    </row>
    <row r="1341" spans="1:25" ht="37.5" x14ac:dyDescent="0.25">
      <c r="A1341" s="21">
        <v>1793</v>
      </c>
      <c r="B1341" s="22" t="s">
        <v>15368</v>
      </c>
      <c r="C1341" s="22" t="s">
        <v>10466</v>
      </c>
      <c r="D1341" s="23">
        <v>254136</v>
      </c>
      <c r="E1341" s="24">
        <v>1991</v>
      </c>
      <c r="F1341" s="22" t="s">
        <v>10467</v>
      </c>
      <c r="G1341" s="23" t="s">
        <v>10468</v>
      </c>
      <c r="H1341" s="25" t="s">
        <v>15373</v>
      </c>
      <c r="I1341" s="22" t="s">
        <v>15382</v>
      </c>
      <c r="J1341" s="22" t="s">
        <v>10469</v>
      </c>
      <c r="K1341" s="26">
        <f t="shared" si="20"/>
        <v>356.66666666666663</v>
      </c>
      <c r="N1341" s="26">
        <v>535</v>
      </c>
      <c r="O1341" s="22" t="s">
        <v>10470</v>
      </c>
      <c r="P1341" s="22" t="s">
        <v>14890</v>
      </c>
      <c r="Q1341" s="22">
        <v>90602</v>
      </c>
      <c r="R1341" s="22" t="s">
        <v>10471</v>
      </c>
      <c r="S1341" s="22" t="s">
        <v>10472</v>
      </c>
      <c r="T1341" s="22">
        <v>8.17</v>
      </c>
      <c r="U1341" s="22">
        <v>0.38</v>
      </c>
      <c r="X1341" s="26"/>
      <c r="Y1341" s="26"/>
    </row>
    <row r="1342" spans="1:25" ht="37.5" x14ac:dyDescent="0.25">
      <c r="A1342" s="21">
        <v>1794</v>
      </c>
      <c r="B1342" s="22" t="s">
        <v>15368</v>
      </c>
      <c r="C1342" s="22" t="s">
        <v>10473</v>
      </c>
      <c r="D1342" s="23">
        <v>348938</v>
      </c>
      <c r="E1342" s="24">
        <v>1999</v>
      </c>
      <c r="F1342" s="22" t="s">
        <v>10474</v>
      </c>
      <c r="G1342" s="23" t="s">
        <v>10475</v>
      </c>
      <c r="H1342" s="25" t="s">
        <v>15373</v>
      </c>
      <c r="I1342" s="22" t="s">
        <v>15411</v>
      </c>
      <c r="J1342" s="22" t="s">
        <v>15412</v>
      </c>
      <c r="K1342" s="26">
        <f t="shared" si="20"/>
        <v>553.33333333333326</v>
      </c>
      <c r="N1342" s="26">
        <v>830</v>
      </c>
      <c r="O1342" s="22" t="s">
        <v>10476</v>
      </c>
      <c r="P1342" s="22" t="s">
        <v>14890</v>
      </c>
      <c r="Q1342" s="22">
        <v>90605</v>
      </c>
      <c r="R1342" s="22" t="s">
        <v>10477</v>
      </c>
      <c r="S1342" s="22" t="s">
        <v>10478</v>
      </c>
      <c r="T1342" s="22">
        <v>6.9</v>
      </c>
      <c r="U1342" s="22">
        <v>0.4</v>
      </c>
      <c r="X1342" s="26"/>
      <c r="Y1342" s="26"/>
    </row>
    <row r="1343" spans="1:25" ht="25" x14ac:dyDescent="0.25">
      <c r="A1343" s="21">
        <v>1799</v>
      </c>
      <c r="B1343" s="22" t="s">
        <v>15368</v>
      </c>
      <c r="C1343" s="22" t="s">
        <v>10479</v>
      </c>
      <c r="D1343" s="23">
        <v>361771</v>
      </c>
      <c r="E1343" s="24">
        <v>1999</v>
      </c>
      <c r="F1343" s="22" t="s">
        <v>10480</v>
      </c>
      <c r="G1343" s="23" t="s">
        <v>10481</v>
      </c>
      <c r="H1343" s="25" t="s">
        <v>15373</v>
      </c>
      <c r="I1343" s="22" t="s">
        <v>15382</v>
      </c>
      <c r="J1343" s="22" t="s">
        <v>14659</v>
      </c>
      <c r="K1343" s="26">
        <f t="shared" si="20"/>
        <v>500</v>
      </c>
      <c r="N1343" s="26">
        <v>750</v>
      </c>
      <c r="O1343" s="22" t="s">
        <v>10482</v>
      </c>
      <c r="P1343" s="22" t="s">
        <v>15376</v>
      </c>
      <c r="Q1343" s="22">
        <v>90010</v>
      </c>
      <c r="R1343" s="22" t="s">
        <v>15193</v>
      </c>
      <c r="S1343" s="22" t="s">
        <v>10483</v>
      </c>
      <c r="X1343" s="26"/>
      <c r="Y1343" s="26"/>
    </row>
    <row r="1344" spans="1:25" ht="37.5" x14ac:dyDescent="0.25">
      <c r="A1344" s="21">
        <v>1800</v>
      </c>
      <c r="B1344" s="22" t="s">
        <v>15368</v>
      </c>
      <c r="C1344" s="22" t="s">
        <v>10484</v>
      </c>
      <c r="D1344" s="23">
        <v>199078</v>
      </c>
      <c r="E1344" s="24">
        <v>1989</v>
      </c>
      <c r="F1344" s="22" t="s">
        <v>10485</v>
      </c>
      <c r="G1344" s="23" t="s">
        <v>10486</v>
      </c>
      <c r="H1344" s="25" t="s">
        <v>15373</v>
      </c>
      <c r="I1344" s="22" t="s">
        <v>15374</v>
      </c>
      <c r="J1344" s="22" t="s">
        <v>15191</v>
      </c>
      <c r="K1344" s="26">
        <f t="shared" si="20"/>
        <v>737.33333333333326</v>
      </c>
      <c r="N1344" s="26">
        <v>1106</v>
      </c>
      <c r="O1344" s="22" t="s">
        <v>10487</v>
      </c>
      <c r="P1344" s="22" t="s">
        <v>15376</v>
      </c>
      <c r="Q1344" s="22">
        <v>90036</v>
      </c>
      <c r="R1344" s="22" t="s">
        <v>10488</v>
      </c>
      <c r="S1344" s="22" t="s">
        <v>10489</v>
      </c>
      <c r="X1344" s="26"/>
      <c r="Y1344" s="26"/>
    </row>
    <row r="1345" spans="1:25" ht="37.5" x14ac:dyDescent="0.25">
      <c r="A1345" s="21">
        <v>1801</v>
      </c>
      <c r="B1345" s="22" t="s">
        <v>15368</v>
      </c>
      <c r="C1345" s="22" t="s">
        <v>10484</v>
      </c>
      <c r="D1345" s="23">
        <v>199079</v>
      </c>
      <c r="E1345" s="24">
        <v>1989</v>
      </c>
      <c r="F1345" s="22" t="s">
        <v>10490</v>
      </c>
      <c r="G1345" s="23" t="s">
        <v>10491</v>
      </c>
      <c r="H1345" s="25" t="s">
        <v>15373</v>
      </c>
      <c r="I1345" s="22" t="s">
        <v>15374</v>
      </c>
      <c r="J1345" s="22" t="s">
        <v>15191</v>
      </c>
      <c r="K1345" s="26">
        <f t="shared" si="20"/>
        <v>737.33333333333326</v>
      </c>
      <c r="N1345" s="26">
        <v>1106</v>
      </c>
      <c r="O1345" s="22" t="s">
        <v>10487</v>
      </c>
      <c r="P1345" s="22" t="s">
        <v>15376</v>
      </c>
      <c r="Q1345" s="22">
        <v>90036</v>
      </c>
      <c r="R1345" s="22" t="s">
        <v>10488</v>
      </c>
      <c r="S1345" s="22" t="s">
        <v>10489</v>
      </c>
      <c r="T1345" s="22">
        <v>6.9</v>
      </c>
      <c r="U1345" s="22">
        <v>0.4</v>
      </c>
      <c r="X1345" s="26"/>
      <c r="Y1345" s="26"/>
    </row>
    <row r="1346" spans="1:25" ht="37.5" x14ac:dyDescent="0.25">
      <c r="A1346" s="21">
        <v>1804</v>
      </c>
      <c r="B1346" s="22" t="s">
        <v>15368</v>
      </c>
      <c r="C1346" s="22" t="s">
        <v>10492</v>
      </c>
      <c r="D1346" s="23">
        <v>345546</v>
      </c>
      <c r="E1346" s="24">
        <v>1998</v>
      </c>
      <c r="F1346" s="22" t="s">
        <v>10493</v>
      </c>
      <c r="G1346" s="23" t="s">
        <v>12445</v>
      </c>
      <c r="H1346" s="25" t="s">
        <v>15373</v>
      </c>
      <c r="I1346" s="22" t="s">
        <v>15374</v>
      </c>
      <c r="J1346" s="22" t="s">
        <v>15420</v>
      </c>
      <c r="K1346" s="26">
        <f t="shared" ref="K1346:K1409" si="21">L1346+M1346*(2/3)+N1346*(2/3)</f>
        <v>1000</v>
      </c>
      <c r="L1346" s="26">
        <v>1000</v>
      </c>
      <c r="O1346" s="22" t="s">
        <v>10494</v>
      </c>
      <c r="P1346" s="22" t="s">
        <v>15376</v>
      </c>
      <c r="Q1346" s="22">
        <v>90036</v>
      </c>
      <c r="R1346" s="22" t="s">
        <v>10495</v>
      </c>
      <c r="S1346" s="22" t="s">
        <v>10496</v>
      </c>
      <c r="T1346" s="22">
        <v>8.17</v>
      </c>
      <c r="U1346" s="22">
        <v>0.38</v>
      </c>
      <c r="X1346" s="26"/>
      <c r="Y1346" s="26"/>
    </row>
    <row r="1347" spans="1:25" ht="37.5" x14ac:dyDescent="0.25">
      <c r="A1347" s="21">
        <v>1805</v>
      </c>
      <c r="B1347" s="22" t="s">
        <v>15368</v>
      </c>
      <c r="C1347" s="22" t="s">
        <v>10497</v>
      </c>
      <c r="D1347" s="23">
        <v>242977</v>
      </c>
      <c r="E1347" s="24">
        <v>1991</v>
      </c>
      <c r="F1347" s="22" t="s">
        <v>10498</v>
      </c>
      <c r="G1347" s="23" t="s">
        <v>10499</v>
      </c>
      <c r="H1347" s="25" t="s">
        <v>15373</v>
      </c>
      <c r="I1347" s="22" t="s">
        <v>15411</v>
      </c>
      <c r="J1347" s="22" t="s">
        <v>16331</v>
      </c>
      <c r="K1347" s="26">
        <f t="shared" si="21"/>
        <v>730</v>
      </c>
      <c r="N1347" s="26">
        <v>1095</v>
      </c>
      <c r="O1347" s="22" t="s">
        <v>10500</v>
      </c>
      <c r="P1347" s="22" t="s">
        <v>15740</v>
      </c>
      <c r="Q1347" s="22">
        <v>90831</v>
      </c>
      <c r="R1347" s="22" t="s">
        <v>10501</v>
      </c>
      <c r="S1347" s="22" t="s">
        <v>10502</v>
      </c>
      <c r="T1347" s="22">
        <v>6.9</v>
      </c>
      <c r="U1347" s="22">
        <v>0.4</v>
      </c>
      <c r="X1347" s="26"/>
      <c r="Y1347" s="26"/>
    </row>
    <row r="1348" spans="1:25" ht="37.5" x14ac:dyDescent="0.25">
      <c r="A1348" s="21">
        <v>1806</v>
      </c>
      <c r="B1348" s="22" t="s">
        <v>15368</v>
      </c>
      <c r="C1348" s="22" t="s">
        <v>10503</v>
      </c>
      <c r="D1348" s="23">
        <v>342384</v>
      </c>
      <c r="E1348" s="24">
        <v>1998</v>
      </c>
      <c r="F1348" s="22" t="s">
        <v>10504</v>
      </c>
      <c r="G1348" s="23" t="s">
        <v>10505</v>
      </c>
      <c r="H1348" s="25" t="s">
        <v>15373</v>
      </c>
      <c r="I1348" s="22" t="s">
        <v>15382</v>
      </c>
      <c r="J1348" s="22" t="s">
        <v>15723</v>
      </c>
      <c r="K1348" s="26">
        <f t="shared" si="21"/>
        <v>1233.3333333333333</v>
      </c>
      <c r="N1348" s="26">
        <v>1850</v>
      </c>
      <c r="O1348" s="22" t="s">
        <v>10506</v>
      </c>
      <c r="P1348" s="22" t="s">
        <v>16290</v>
      </c>
      <c r="Q1348" s="22">
        <v>92316</v>
      </c>
      <c r="R1348" s="22" t="s">
        <v>10507</v>
      </c>
      <c r="S1348" s="22" t="s">
        <v>10508</v>
      </c>
      <c r="T1348" s="22">
        <v>8.17</v>
      </c>
      <c r="U1348" s="22">
        <v>0.38</v>
      </c>
      <c r="X1348" s="26"/>
      <c r="Y1348" s="26"/>
    </row>
    <row r="1349" spans="1:25" ht="37.5" x14ac:dyDescent="0.25">
      <c r="A1349" s="21">
        <v>1807</v>
      </c>
      <c r="B1349" s="22" t="s">
        <v>15368</v>
      </c>
      <c r="C1349" s="22" t="s">
        <v>10503</v>
      </c>
      <c r="D1349" s="23">
        <v>342385</v>
      </c>
      <c r="E1349" s="24">
        <v>1998</v>
      </c>
      <c r="F1349" s="22" t="s">
        <v>10509</v>
      </c>
      <c r="G1349" s="23" t="s">
        <v>10510</v>
      </c>
      <c r="H1349" s="25" t="s">
        <v>15373</v>
      </c>
      <c r="I1349" s="22" t="s">
        <v>15382</v>
      </c>
      <c r="J1349" s="22" t="s">
        <v>15723</v>
      </c>
      <c r="K1349" s="26">
        <f t="shared" si="21"/>
        <v>1233.3333333333333</v>
      </c>
      <c r="N1349" s="26">
        <v>1850</v>
      </c>
      <c r="O1349" s="22" t="s">
        <v>10506</v>
      </c>
      <c r="P1349" s="22" t="s">
        <v>16290</v>
      </c>
      <c r="Q1349" s="22">
        <v>92316</v>
      </c>
      <c r="R1349" s="22" t="s">
        <v>10507</v>
      </c>
      <c r="S1349" s="22" t="s">
        <v>10508</v>
      </c>
      <c r="T1349" s="22">
        <v>8.17</v>
      </c>
      <c r="U1349" s="22">
        <v>0.38</v>
      </c>
      <c r="X1349" s="26"/>
      <c r="Y1349" s="26"/>
    </row>
    <row r="1350" spans="1:25" ht="37.5" x14ac:dyDescent="0.25">
      <c r="A1350" s="21">
        <v>1808</v>
      </c>
      <c r="B1350" s="22" t="s">
        <v>15368</v>
      </c>
      <c r="C1350" s="22" t="s">
        <v>10503</v>
      </c>
      <c r="D1350" s="23">
        <v>371704</v>
      </c>
      <c r="E1350" s="24">
        <v>2000</v>
      </c>
      <c r="F1350" s="22" t="s">
        <v>10511</v>
      </c>
      <c r="G1350" s="23" t="s">
        <v>10512</v>
      </c>
      <c r="H1350" s="25" t="s">
        <v>15373</v>
      </c>
      <c r="I1350" s="22" t="s">
        <v>15374</v>
      </c>
      <c r="J1350" s="22" t="s">
        <v>12893</v>
      </c>
      <c r="K1350" s="26">
        <f t="shared" si="21"/>
        <v>1430</v>
      </c>
      <c r="N1350" s="26">
        <v>2145</v>
      </c>
      <c r="O1350" s="22" t="s">
        <v>10506</v>
      </c>
      <c r="P1350" s="22" t="s">
        <v>16290</v>
      </c>
      <c r="Q1350" s="22">
        <v>92316</v>
      </c>
      <c r="R1350" s="22" t="s">
        <v>10507</v>
      </c>
      <c r="S1350" s="22" t="s">
        <v>10508</v>
      </c>
      <c r="T1350" s="22">
        <v>8.17</v>
      </c>
      <c r="U1350" s="22">
        <v>0.38</v>
      </c>
      <c r="X1350" s="26"/>
      <c r="Y1350" s="26"/>
    </row>
    <row r="1351" spans="1:25" ht="37.5" x14ac:dyDescent="0.25">
      <c r="A1351" s="21">
        <v>1809</v>
      </c>
      <c r="B1351" s="22" t="s">
        <v>15368</v>
      </c>
      <c r="C1351" s="22" t="s">
        <v>10503</v>
      </c>
      <c r="D1351" s="23">
        <v>371705</v>
      </c>
      <c r="E1351" s="24">
        <v>2000</v>
      </c>
      <c r="F1351" s="22" t="s">
        <v>10513</v>
      </c>
      <c r="G1351" s="23" t="s">
        <v>10514</v>
      </c>
      <c r="H1351" s="25" t="s">
        <v>15373</v>
      </c>
      <c r="I1351" s="22" t="s">
        <v>15374</v>
      </c>
      <c r="J1351" s="22" t="s">
        <v>12893</v>
      </c>
      <c r="K1351" s="26">
        <f t="shared" si="21"/>
        <v>1430</v>
      </c>
      <c r="N1351" s="26">
        <v>2145</v>
      </c>
      <c r="O1351" s="22" t="s">
        <v>10506</v>
      </c>
      <c r="P1351" s="22" t="s">
        <v>16290</v>
      </c>
      <c r="Q1351" s="22">
        <v>92316</v>
      </c>
      <c r="R1351" s="22" t="s">
        <v>10507</v>
      </c>
      <c r="S1351" s="22" t="s">
        <v>10508</v>
      </c>
      <c r="T1351" s="22">
        <v>8.17</v>
      </c>
      <c r="U1351" s="22">
        <v>0.38</v>
      </c>
      <c r="X1351" s="26"/>
      <c r="Y1351" s="26"/>
    </row>
    <row r="1352" spans="1:25" ht="25" x14ac:dyDescent="0.25">
      <c r="A1352" s="21">
        <v>1810</v>
      </c>
      <c r="B1352" s="22" t="s">
        <v>15368</v>
      </c>
      <c r="C1352" s="22" t="s">
        <v>10515</v>
      </c>
      <c r="D1352" s="23">
        <v>187122</v>
      </c>
      <c r="E1352" s="24">
        <v>1989</v>
      </c>
      <c r="F1352" s="22" t="s">
        <v>10516</v>
      </c>
      <c r="G1352" s="23" t="s">
        <v>10517</v>
      </c>
      <c r="H1352" s="25" t="s">
        <v>15373</v>
      </c>
      <c r="I1352" s="22" t="s">
        <v>15374</v>
      </c>
      <c r="J1352" s="22" t="s">
        <v>15191</v>
      </c>
      <c r="K1352" s="26">
        <f t="shared" si="21"/>
        <v>737.33333333333326</v>
      </c>
      <c r="N1352" s="26">
        <v>1106</v>
      </c>
      <c r="O1352" s="22" t="s">
        <v>10518</v>
      </c>
      <c r="P1352" s="22" t="s">
        <v>15376</v>
      </c>
      <c r="Q1352" s="22">
        <v>90048</v>
      </c>
      <c r="R1352" s="22" t="s">
        <v>10519</v>
      </c>
      <c r="S1352" s="22" t="s">
        <v>10520</v>
      </c>
      <c r="T1352" s="22">
        <v>6.9</v>
      </c>
      <c r="U1352" s="22">
        <v>0.4</v>
      </c>
      <c r="X1352" s="26"/>
      <c r="Y1352" s="26"/>
    </row>
    <row r="1353" spans="1:25" ht="50" x14ac:dyDescent="0.25">
      <c r="A1353" s="21">
        <v>1813</v>
      </c>
      <c r="B1353" s="22" t="s">
        <v>15368</v>
      </c>
      <c r="C1353" s="22" t="s">
        <v>10521</v>
      </c>
      <c r="D1353" s="23">
        <v>164574</v>
      </c>
      <c r="E1353" s="24">
        <v>1988</v>
      </c>
      <c r="F1353" s="22" t="s">
        <v>10522</v>
      </c>
      <c r="G1353" s="23" t="s">
        <v>9411</v>
      </c>
      <c r="H1353" s="25" t="s">
        <v>15373</v>
      </c>
      <c r="I1353" s="22" t="s">
        <v>15411</v>
      </c>
      <c r="J1353" s="22" t="s">
        <v>14404</v>
      </c>
      <c r="K1353" s="26">
        <f t="shared" si="21"/>
        <v>1278</v>
      </c>
      <c r="N1353" s="26">
        <v>1917</v>
      </c>
      <c r="O1353" s="22" t="s">
        <v>9412</v>
      </c>
      <c r="P1353" s="22" t="s">
        <v>15703</v>
      </c>
      <c r="Q1353" s="22">
        <v>90245</v>
      </c>
      <c r="R1353" s="22" t="s">
        <v>9413</v>
      </c>
      <c r="S1353" s="22" t="s">
        <v>9414</v>
      </c>
      <c r="T1353" s="22">
        <v>8.17</v>
      </c>
      <c r="U1353" s="22">
        <v>0.38</v>
      </c>
      <c r="X1353" s="26"/>
      <c r="Y1353" s="26"/>
    </row>
    <row r="1354" spans="1:25" ht="50" x14ac:dyDescent="0.25">
      <c r="A1354" s="21">
        <v>1814</v>
      </c>
      <c r="B1354" s="22" t="s">
        <v>15368</v>
      </c>
      <c r="C1354" s="22" t="s">
        <v>10521</v>
      </c>
      <c r="D1354" s="23">
        <v>164575</v>
      </c>
      <c r="E1354" s="24">
        <v>1988</v>
      </c>
      <c r="F1354" s="22" t="s">
        <v>9415</v>
      </c>
      <c r="G1354" s="23" t="s">
        <v>9416</v>
      </c>
      <c r="H1354" s="25" t="s">
        <v>15373</v>
      </c>
      <c r="I1354" s="22" t="s">
        <v>15411</v>
      </c>
      <c r="J1354" s="22" t="s">
        <v>14404</v>
      </c>
      <c r="K1354" s="26">
        <f t="shared" si="21"/>
        <v>1278</v>
      </c>
      <c r="N1354" s="26">
        <v>1917</v>
      </c>
      <c r="O1354" s="22" t="s">
        <v>9412</v>
      </c>
      <c r="P1354" s="22" t="s">
        <v>15703</v>
      </c>
      <c r="Q1354" s="22">
        <v>90245</v>
      </c>
      <c r="R1354" s="22" t="s">
        <v>9413</v>
      </c>
      <c r="S1354" s="22" t="s">
        <v>9414</v>
      </c>
      <c r="T1354" s="22">
        <v>8.17</v>
      </c>
      <c r="U1354" s="22">
        <v>0.38</v>
      </c>
      <c r="X1354" s="26"/>
      <c r="Y1354" s="26"/>
    </row>
    <row r="1355" spans="1:25" ht="50" x14ac:dyDescent="0.25">
      <c r="A1355" s="21">
        <v>1815</v>
      </c>
      <c r="B1355" s="22" t="s">
        <v>15368</v>
      </c>
      <c r="C1355" s="22" t="s">
        <v>10521</v>
      </c>
      <c r="D1355" s="23">
        <v>164576</v>
      </c>
      <c r="E1355" s="24">
        <v>1988</v>
      </c>
      <c r="F1355" s="22" t="s">
        <v>9417</v>
      </c>
      <c r="G1355" s="23" t="s">
        <v>9418</v>
      </c>
      <c r="H1355" s="25" t="s">
        <v>15373</v>
      </c>
      <c r="I1355" s="22" t="s">
        <v>15411</v>
      </c>
      <c r="J1355" s="22" t="s">
        <v>14404</v>
      </c>
      <c r="K1355" s="26">
        <f t="shared" si="21"/>
        <v>1278</v>
      </c>
      <c r="N1355" s="26">
        <v>1917</v>
      </c>
      <c r="O1355" s="22" t="s">
        <v>9412</v>
      </c>
      <c r="P1355" s="22" t="s">
        <v>15703</v>
      </c>
      <c r="Q1355" s="22">
        <v>90245</v>
      </c>
      <c r="R1355" s="22" t="s">
        <v>9413</v>
      </c>
      <c r="S1355" s="22" t="s">
        <v>9414</v>
      </c>
      <c r="T1355" s="22">
        <v>8.17</v>
      </c>
      <c r="U1355" s="22">
        <v>0.38</v>
      </c>
      <c r="X1355" s="26"/>
      <c r="Y1355" s="26"/>
    </row>
    <row r="1356" spans="1:25" ht="50" x14ac:dyDescent="0.25">
      <c r="A1356" s="21">
        <v>1816</v>
      </c>
      <c r="B1356" s="22" t="s">
        <v>15368</v>
      </c>
      <c r="C1356" s="22" t="s">
        <v>10521</v>
      </c>
      <c r="D1356" s="23">
        <v>164577</v>
      </c>
      <c r="E1356" s="24">
        <v>1987</v>
      </c>
      <c r="F1356" s="22" t="s">
        <v>9419</v>
      </c>
      <c r="G1356" s="23" t="s">
        <v>9420</v>
      </c>
      <c r="H1356" s="25" t="s">
        <v>15373</v>
      </c>
      <c r="I1356" s="22" t="s">
        <v>15411</v>
      </c>
      <c r="J1356" s="22" t="s">
        <v>14404</v>
      </c>
      <c r="K1356" s="26">
        <f t="shared" si="21"/>
        <v>1278</v>
      </c>
      <c r="N1356" s="26">
        <v>1917</v>
      </c>
      <c r="O1356" s="22" t="s">
        <v>9412</v>
      </c>
      <c r="P1356" s="22" t="s">
        <v>15703</v>
      </c>
      <c r="Q1356" s="22">
        <v>90245</v>
      </c>
      <c r="R1356" s="22" t="s">
        <v>9413</v>
      </c>
      <c r="S1356" s="22" t="s">
        <v>9414</v>
      </c>
      <c r="T1356" s="22">
        <v>8.17</v>
      </c>
      <c r="U1356" s="22">
        <v>0.38</v>
      </c>
      <c r="X1356" s="26"/>
      <c r="Y1356" s="26"/>
    </row>
    <row r="1357" spans="1:25" ht="50" x14ac:dyDescent="0.25">
      <c r="A1357" s="21">
        <v>1817</v>
      </c>
      <c r="B1357" s="22" t="s">
        <v>15368</v>
      </c>
      <c r="C1357" s="22" t="s">
        <v>10521</v>
      </c>
      <c r="D1357" s="23">
        <v>164578</v>
      </c>
      <c r="E1357" s="24">
        <v>1988</v>
      </c>
      <c r="F1357" s="22" t="s">
        <v>9421</v>
      </c>
      <c r="G1357" s="23" t="s">
        <v>9422</v>
      </c>
      <c r="H1357" s="25" t="s">
        <v>15373</v>
      </c>
      <c r="I1357" s="22" t="s">
        <v>15411</v>
      </c>
      <c r="J1357" s="22" t="s">
        <v>14404</v>
      </c>
      <c r="K1357" s="26">
        <f t="shared" si="21"/>
        <v>1278</v>
      </c>
      <c r="N1357" s="26">
        <v>1917</v>
      </c>
      <c r="O1357" s="22" t="s">
        <v>9412</v>
      </c>
      <c r="P1357" s="22" t="s">
        <v>15703</v>
      </c>
      <c r="Q1357" s="22">
        <v>90245</v>
      </c>
      <c r="R1357" s="22" t="s">
        <v>9413</v>
      </c>
      <c r="S1357" s="22" t="s">
        <v>9414</v>
      </c>
      <c r="T1357" s="22">
        <v>8.17</v>
      </c>
      <c r="U1357" s="22">
        <v>0.38</v>
      </c>
      <c r="X1357" s="26"/>
      <c r="Y1357" s="26"/>
    </row>
    <row r="1358" spans="1:25" ht="50" x14ac:dyDescent="0.25">
      <c r="A1358" s="21">
        <v>1818</v>
      </c>
      <c r="B1358" s="22" t="s">
        <v>15368</v>
      </c>
      <c r="C1358" s="22" t="s">
        <v>10521</v>
      </c>
      <c r="D1358" s="23">
        <v>164579</v>
      </c>
      <c r="E1358" s="24">
        <v>1988</v>
      </c>
      <c r="F1358" s="22" t="s">
        <v>9423</v>
      </c>
      <c r="G1358" s="23" t="s">
        <v>9424</v>
      </c>
      <c r="H1358" s="25" t="s">
        <v>15373</v>
      </c>
      <c r="I1358" s="22" t="s">
        <v>15411</v>
      </c>
      <c r="J1358" s="22" t="s">
        <v>14404</v>
      </c>
      <c r="K1358" s="26">
        <f t="shared" si="21"/>
        <v>1278</v>
      </c>
      <c r="N1358" s="26">
        <v>1917</v>
      </c>
      <c r="O1358" s="22" t="s">
        <v>9412</v>
      </c>
      <c r="P1358" s="22" t="s">
        <v>15703</v>
      </c>
      <c r="Q1358" s="22">
        <v>90245</v>
      </c>
      <c r="R1358" s="22" t="s">
        <v>9413</v>
      </c>
      <c r="S1358" s="22" t="s">
        <v>9414</v>
      </c>
      <c r="T1358" s="22">
        <v>11</v>
      </c>
      <c r="U1358" s="22">
        <v>0.53</v>
      </c>
      <c r="X1358" s="26"/>
      <c r="Y1358" s="26"/>
    </row>
    <row r="1359" spans="1:25" ht="37.5" x14ac:dyDescent="0.25">
      <c r="A1359" s="21">
        <v>1819</v>
      </c>
      <c r="B1359" s="22" t="s">
        <v>15368</v>
      </c>
      <c r="C1359" s="22" t="s">
        <v>9425</v>
      </c>
      <c r="D1359" s="23">
        <v>321173</v>
      </c>
      <c r="E1359" s="24">
        <v>1996</v>
      </c>
      <c r="F1359" s="22" t="s">
        <v>9426</v>
      </c>
      <c r="G1359" s="23" t="s">
        <v>9427</v>
      </c>
      <c r="H1359" s="25" t="s">
        <v>15913</v>
      </c>
      <c r="I1359" s="22" t="s">
        <v>15374</v>
      </c>
      <c r="J1359" s="22" t="s">
        <v>9428</v>
      </c>
      <c r="K1359" s="26">
        <f t="shared" si="21"/>
        <v>378</v>
      </c>
      <c r="N1359" s="26">
        <v>567</v>
      </c>
      <c r="O1359" s="22" t="s">
        <v>9429</v>
      </c>
      <c r="P1359" s="22" t="s">
        <v>12589</v>
      </c>
      <c r="Q1359" s="22">
        <v>92686</v>
      </c>
      <c r="R1359" s="22" t="s">
        <v>9430</v>
      </c>
      <c r="S1359" s="22" t="s">
        <v>9431</v>
      </c>
      <c r="T1359" s="22">
        <v>8.17</v>
      </c>
      <c r="U1359" s="22">
        <v>0.38</v>
      </c>
      <c r="X1359" s="26"/>
      <c r="Y1359" s="26"/>
    </row>
    <row r="1360" spans="1:25" ht="25" x14ac:dyDescent="0.25">
      <c r="A1360" s="21">
        <v>1822</v>
      </c>
      <c r="B1360" s="22" t="s">
        <v>15368</v>
      </c>
      <c r="C1360" s="22" t="s">
        <v>9432</v>
      </c>
      <c r="D1360" s="23">
        <v>138408</v>
      </c>
      <c r="E1360" s="24">
        <v>1985</v>
      </c>
      <c r="F1360" s="22" t="s">
        <v>9433</v>
      </c>
      <c r="G1360" s="23" t="s">
        <v>9434</v>
      </c>
      <c r="H1360" s="25" t="s">
        <v>15373</v>
      </c>
      <c r="I1360" s="22" t="s">
        <v>15709</v>
      </c>
      <c r="J1360" s="22" t="s">
        <v>10092</v>
      </c>
      <c r="K1360" s="26">
        <f t="shared" si="21"/>
        <v>750</v>
      </c>
      <c r="L1360" s="26">
        <v>750</v>
      </c>
      <c r="O1360" s="22" t="s">
        <v>9435</v>
      </c>
      <c r="P1360" s="22" t="s">
        <v>15118</v>
      </c>
      <c r="Q1360" s="22">
        <v>92399</v>
      </c>
      <c r="R1360" s="22" t="s">
        <v>9436</v>
      </c>
      <c r="S1360" s="22" t="s">
        <v>9437</v>
      </c>
      <c r="T1360" s="22">
        <v>8.17</v>
      </c>
      <c r="U1360" s="22">
        <v>0.38</v>
      </c>
      <c r="X1360" s="26"/>
      <c r="Y1360" s="26"/>
    </row>
    <row r="1361" spans="1:25" ht="25" x14ac:dyDescent="0.25">
      <c r="A1361" s="21">
        <v>1823</v>
      </c>
      <c r="B1361" s="22" t="s">
        <v>15368</v>
      </c>
      <c r="C1361" s="22" t="s">
        <v>9432</v>
      </c>
      <c r="D1361" s="23">
        <v>138410</v>
      </c>
      <c r="E1361" s="24">
        <v>1985</v>
      </c>
      <c r="F1361" s="22" t="s">
        <v>9438</v>
      </c>
      <c r="G1361" s="23" t="s">
        <v>9434</v>
      </c>
      <c r="H1361" s="25" t="s">
        <v>15373</v>
      </c>
      <c r="I1361" s="22" t="s">
        <v>15709</v>
      </c>
      <c r="J1361" s="22" t="s">
        <v>10092</v>
      </c>
      <c r="K1361" s="26">
        <f t="shared" si="21"/>
        <v>750</v>
      </c>
      <c r="L1361" s="26">
        <v>750</v>
      </c>
      <c r="O1361" s="22" t="s">
        <v>9439</v>
      </c>
      <c r="P1361" s="22" t="s">
        <v>15118</v>
      </c>
      <c r="Q1361" s="22">
        <v>92399</v>
      </c>
      <c r="R1361" s="22" t="s">
        <v>9440</v>
      </c>
      <c r="S1361" s="22" t="s">
        <v>9441</v>
      </c>
      <c r="T1361" s="22">
        <v>6.9</v>
      </c>
      <c r="U1361" s="22">
        <v>0.4</v>
      </c>
      <c r="X1361" s="26"/>
      <c r="Y1361" s="26"/>
    </row>
    <row r="1362" spans="1:25" ht="37.5" x14ac:dyDescent="0.25">
      <c r="A1362" s="21">
        <v>1824</v>
      </c>
      <c r="B1362" s="22" t="s">
        <v>15368</v>
      </c>
      <c r="C1362" s="22" t="s">
        <v>9432</v>
      </c>
      <c r="D1362" s="23">
        <v>304041</v>
      </c>
      <c r="E1362" s="24">
        <v>1995</v>
      </c>
      <c r="F1362" s="22" t="s">
        <v>9442</v>
      </c>
      <c r="G1362" s="23" t="s">
        <v>9443</v>
      </c>
      <c r="H1362" s="25" t="s">
        <v>15373</v>
      </c>
      <c r="I1362" s="22" t="s">
        <v>15374</v>
      </c>
      <c r="J1362" s="22" t="s">
        <v>15191</v>
      </c>
      <c r="K1362" s="26">
        <f t="shared" si="21"/>
        <v>737.33333333333326</v>
      </c>
      <c r="N1362" s="26">
        <v>1106</v>
      </c>
      <c r="O1362" s="22" t="s">
        <v>9435</v>
      </c>
      <c r="P1362" s="22" t="s">
        <v>15118</v>
      </c>
      <c r="Q1362" s="22">
        <v>92399</v>
      </c>
      <c r="R1362" s="22" t="s">
        <v>9436</v>
      </c>
      <c r="S1362" s="22" t="s">
        <v>9437</v>
      </c>
      <c r="T1362" s="22">
        <v>11</v>
      </c>
      <c r="U1362" s="22">
        <v>0.53</v>
      </c>
      <c r="X1362" s="26"/>
      <c r="Y1362" s="26"/>
    </row>
    <row r="1363" spans="1:25" ht="25" x14ac:dyDescent="0.25">
      <c r="A1363" s="21">
        <v>1825</v>
      </c>
      <c r="B1363" s="22" t="s">
        <v>15368</v>
      </c>
      <c r="C1363" s="22" t="s">
        <v>9444</v>
      </c>
      <c r="D1363" s="23">
        <v>323968</v>
      </c>
      <c r="E1363" s="24">
        <v>1997</v>
      </c>
      <c r="F1363" s="22" t="s">
        <v>9445</v>
      </c>
      <c r="G1363" s="23" t="s">
        <v>9446</v>
      </c>
      <c r="H1363" s="25" t="s">
        <v>15373</v>
      </c>
      <c r="I1363" s="22" t="s">
        <v>15374</v>
      </c>
      <c r="J1363" s="22">
        <v>3512</v>
      </c>
      <c r="K1363" s="26">
        <f t="shared" si="21"/>
        <v>1357.3333333333333</v>
      </c>
      <c r="N1363" s="26">
        <v>2036</v>
      </c>
      <c r="O1363" s="22" t="s">
        <v>9447</v>
      </c>
      <c r="P1363" s="22" t="s">
        <v>15376</v>
      </c>
      <c r="Q1363" s="22">
        <v>90071</v>
      </c>
      <c r="R1363" s="22" t="s">
        <v>9448</v>
      </c>
      <c r="S1363" s="22" t="s">
        <v>9449</v>
      </c>
      <c r="T1363" s="22">
        <v>11</v>
      </c>
      <c r="U1363" s="22">
        <v>0.53</v>
      </c>
      <c r="X1363" s="26"/>
      <c r="Y1363" s="26"/>
    </row>
    <row r="1364" spans="1:25" ht="25" x14ac:dyDescent="0.25">
      <c r="A1364" s="21">
        <v>1826</v>
      </c>
      <c r="B1364" s="22" t="s">
        <v>15368</v>
      </c>
      <c r="C1364" s="22" t="s">
        <v>9444</v>
      </c>
      <c r="D1364" s="23">
        <v>323969</v>
      </c>
      <c r="E1364" s="24">
        <v>1997</v>
      </c>
      <c r="F1364" s="22" t="s">
        <v>9450</v>
      </c>
      <c r="G1364" s="23" t="s">
        <v>9451</v>
      </c>
      <c r="H1364" s="25" t="s">
        <v>15373</v>
      </c>
      <c r="I1364" s="22" t="s">
        <v>15374</v>
      </c>
      <c r="J1364" s="22">
        <v>3512</v>
      </c>
      <c r="K1364" s="26">
        <f t="shared" si="21"/>
        <v>1357.3333333333333</v>
      </c>
      <c r="N1364" s="26">
        <v>2036</v>
      </c>
      <c r="O1364" s="22" t="s">
        <v>9447</v>
      </c>
      <c r="P1364" s="22" t="s">
        <v>15376</v>
      </c>
      <c r="Q1364" s="22">
        <v>90071</v>
      </c>
      <c r="R1364" s="22" t="s">
        <v>9448</v>
      </c>
      <c r="S1364" s="22" t="s">
        <v>9449</v>
      </c>
      <c r="T1364" s="22">
        <v>8.17</v>
      </c>
      <c r="U1364" s="22">
        <v>0.38</v>
      </c>
      <c r="X1364" s="26"/>
      <c r="Y1364" s="26"/>
    </row>
    <row r="1365" spans="1:25" ht="37.5" x14ac:dyDescent="0.25">
      <c r="A1365" s="21">
        <v>1838</v>
      </c>
      <c r="B1365" s="22" t="s">
        <v>15368</v>
      </c>
      <c r="C1365" s="22" t="s">
        <v>15706</v>
      </c>
      <c r="D1365" s="23">
        <v>383130</v>
      </c>
      <c r="E1365" s="24">
        <v>2001</v>
      </c>
      <c r="F1365" s="22" t="s">
        <v>9452</v>
      </c>
      <c r="G1365" s="23" t="s">
        <v>9453</v>
      </c>
      <c r="H1365" s="25" t="s">
        <v>15373</v>
      </c>
      <c r="I1365" s="22" t="s">
        <v>15374</v>
      </c>
      <c r="J1365" s="22" t="s">
        <v>11368</v>
      </c>
      <c r="K1365" s="26">
        <f t="shared" si="21"/>
        <v>986.66666666666663</v>
      </c>
      <c r="N1365" s="26">
        <v>1480</v>
      </c>
      <c r="O1365" s="22" t="s">
        <v>9454</v>
      </c>
      <c r="P1365" s="22" t="s">
        <v>15712</v>
      </c>
      <c r="Q1365" s="22">
        <v>90501</v>
      </c>
      <c r="R1365" s="22" t="s">
        <v>9455</v>
      </c>
      <c r="S1365" s="22" t="s">
        <v>9456</v>
      </c>
      <c r="X1365" s="26"/>
      <c r="Y1365" s="26"/>
    </row>
    <row r="1366" spans="1:25" ht="50" x14ac:dyDescent="0.25">
      <c r="A1366" s="21">
        <v>1839</v>
      </c>
      <c r="B1366" s="22" t="s">
        <v>15368</v>
      </c>
      <c r="C1366" s="22" t="s">
        <v>9457</v>
      </c>
      <c r="D1366" s="23">
        <v>376218</v>
      </c>
      <c r="E1366" s="24">
        <v>1993</v>
      </c>
      <c r="F1366" s="22" t="s">
        <v>9458</v>
      </c>
      <c r="G1366" s="23" t="s">
        <v>9459</v>
      </c>
      <c r="H1366" s="25" t="s">
        <v>15373</v>
      </c>
      <c r="I1366" s="22" t="s">
        <v>15374</v>
      </c>
      <c r="J1366" s="22">
        <v>3512</v>
      </c>
      <c r="K1366" s="26">
        <f t="shared" si="21"/>
        <v>1445.3333333333333</v>
      </c>
      <c r="N1366" s="26" t="s">
        <v>9460</v>
      </c>
      <c r="O1366" s="22" t="s">
        <v>9461</v>
      </c>
      <c r="P1366" s="22" t="s">
        <v>16786</v>
      </c>
      <c r="Q1366" s="22">
        <v>92805</v>
      </c>
      <c r="R1366" s="22" t="s">
        <v>9462</v>
      </c>
      <c r="S1366" s="22" t="s">
        <v>9463</v>
      </c>
      <c r="X1366" s="26"/>
      <c r="Y1366" s="26"/>
    </row>
    <row r="1367" spans="1:25" ht="50" x14ac:dyDescent="0.25">
      <c r="A1367" s="21">
        <v>1840</v>
      </c>
      <c r="B1367" s="22" t="s">
        <v>15368</v>
      </c>
      <c r="C1367" s="22" t="s">
        <v>9457</v>
      </c>
      <c r="D1367" s="23">
        <v>376221</v>
      </c>
      <c r="E1367" s="24">
        <v>2000</v>
      </c>
      <c r="F1367" s="22" t="s">
        <v>9464</v>
      </c>
      <c r="G1367" s="23" t="s">
        <v>9465</v>
      </c>
      <c r="H1367" s="25" t="s">
        <v>15373</v>
      </c>
      <c r="I1367" s="22" t="s">
        <v>15411</v>
      </c>
      <c r="J1367" s="22" t="s">
        <v>12755</v>
      </c>
      <c r="K1367" s="26">
        <f t="shared" si="21"/>
        <v>933.33333333333326</v>
      </c>
      <c r="N1367" s="26">
        <v>1400</v>
      </c>
      <c r="O1367" s="22" t="s">
        <v>9466</v>
      </c>
      <c r="P1367" s="22" t="s">
        <v>16786</v>
      </c>
      <c r="Q1367" s="22">
        <v>92805</v>
      </c>
      <c r="R1367" s="22" t="s">
        <v>9462</v>
      </c>
      <c r="S1367" s="22" t="s">
        <v>9467</v>
      </c>
      <c r="X1367" s="26"/>
      <c r="Y1367" s="26"/>
    </row>
    <row r="1368" spans="1:25" ht="50" x14ac:dyDescent="0.25">
      <c r="A1368" s="21">
        <v>1841</v>
      </c>
      <c r="B1368" s="22" t="s">
        <v>15368</v>
      </c>
      <c r="C1368" s="22" t="s">
        <v>9468</v>
      </c>
      <c r="D1368" s="23">
        <v>376219</v>
      </c>
      <c r="E1368" s="24">
        <v>1991</v>
      </c>
      <c r="F1368" s="22" t="s">
        <v>9469</v>
      </c>
      <c r="G1368" s="23" t="s">
        <v>9470</v>
      </c>
      <c r="H1368" s="25" t="s">
        <v>15373</v>
      </c>
      <c r="I1368" s="22" t="s">
        <v>15374</v>
      </c>
      <c r="J1368" s="22">
        <v>3508</v>
      </c>
      <c r="K1368" s="26">
        <f t="shared" si="21"/>
        <v>970.66666666666663</v>
      </c>
      <c r="N1368" s="26" t="s">
        <v>9471</v>
      </c>
      <c r="O1368" s="22" t="s">
        <v>9472</v>
      </c>
      <c r="P1368" s="22" t="s">
        <v>16786</v>
      </c>
      <c r="Q1368" s="22">
        <v>92805</v>
      </c>
      <c r="R1368" s="22" t="s">
        <v>9462</v>
      </c>
      <c r="S1368" s="22" t="s">
        <v>9467</v>
      </c>
      <c r="X1368" s="26"/>
      <c r="Y1368" s="26"/>
    </row>
    <row r="1369" spans="1:25" ht="50" x14ac:dyDescent="0.25">
      <c r="A1369" s="21">
        <v>1842</v>
      </c>
      <c r="B1369" s="22" t="s">
        <v>15368</v>
      </c>
      <c r="C1369" s="22" t="s">
        <v>9473</v>
      </c>
      <c r="D1369" s="23">
        <v>381555</v>
      </c>
      <c r="E1369" s="24">
        <v>2001</v>
      </c>
      <c r="F1369" s="22" t="s">
        <v>9474</v>
      </c>
      <c r="G1369" s="23" t="s">
        <v>9475</v>
      </c>
      <c r="H1369" s="25" t="s">
        <v>15373</v>
      </c>
      <c r="I1369" s="22" t="s">
        <v>15374</v>
      </c>
      <c r="J1369" s="22" t="s">
        <v>12893</v>
      </c>
      <c r="K1369" s="26">
        <f t="shared" si="21"/>
        <v>2000</v>
      </c>
      <c r="L1369" s="26">
        <v>2000</v>
      </c>
      <c r="O1369" s="22" t="s">
        <v>9476</v>
      </c>
      <c r="P1369" s="22" t="s">
        <v>16786</v>
      </c>
      <c r="Q1369" s="22">
        <v>92801</v>
      </c>
      <c r="R1369" s="22" t="s">
        <v>9477</v>
      </c>
      <c r="S1369" s="22" t="s">
        <v>9561</v>
      </c>
      <c r="X1369" s="26"/>
      <c r="Y1369" s="26"/>
    </row>
    <row r="1370" spans="1:25" ht="37.5" x14ac:dyDescent="0.25">
      <c r="A1370" s="21">
        <v>1843</v>
      </c>
      <c r="B1370" s="22" t="s">
        <v>15368</v>
      </c>
      <c r="C1370" s="22" t="s">
        <v>9562</v>
      </c>
      <c r="D1370" s="23">
        <v>365779</v>
      </c>
      <c r="E1370" s="24">
        <v>2000</v>
      </c>
      <c r="F1370" s="22" t="s">
        <v>9563</v>
      </c>
      <c r="G1370" s="23" t="s">
        <v>9564</v>
      </c>
      <c r="H1370" s="25" t="s">
        <v>15373</v>
      </c>
      <c r="I1370" s="22" t="s">
        <v>15374</v>
      </c>
      <c r="J1370" s="22" t="s">
        <v>14709</v>
      </c>
      <c r="K1370" s="26">
        <f t="shared" si="21"/>
        <v>497.33333333333331</v>
      </c>
      <c r="N1370" s="26">
        <v>746</v>
      </c>
      <c r="O1370" s="22" t="s">
        <v>9565</v>
      </c>
      <c r="P1370" s="22" t="s">
        <v>15908</v>
      </c>
      <c r="Q1370" s="22">
        <v>92570</v>
      </c>
      <c r="R1370" s="22" t="s">
        <v>9566</v>
      </c>
      <c r="S1370" s="22" t="s">
        <v>9567</v>
      </c>
      <c r="X1370" s="26"/>
      <c r="Y1370" s="26"/>
    </row>
    <row r="1371" spans="1:25" ht="37.5" x14ac:dyDescent="0.25">
      <c r="A1371" s="21">
        <v>1844</v>
      </c>
      <c r="B1371" s="22" t="s">
        <v>15368</v>
      </c>
      <c r="C1371" s="22" t="s">
        <v>9568</v>
      </c>
      <c r="D1371" s="23">
        <v>380780</v>
      </c>
      <c r="E1371" s="24">
        <v>2001</v>
      </c>
      <c r="F1371" s="22" t="s">
        <v>9569</v>
      </c>
      <c r="G1371" s="23" t="s">
        <v>9570</v>
      </c>
      <c r="H1371" s="25" t="s">
        <v>15373</v>
      </c>
      <c r="I1371" s="22" t="s">
        <v>15382</v>
      </c>
      <c r="J1371" s="22" t="s">
        <v>16450</v>
      </c>
      <c r="K1371" s="26">
        <f t="shared" si="21"/>
        <v>993.33333333333326</v>
      </c>
      <c r="N1371" s="26">
        <v>1490</v>
      </c>
      <c r="O1371" s="22" t="s">
        <v>9571</v>
      </c>
      <c r="P1371" s="22" t="s">
        <v>15376</v>
      </c>
      <c r="Q1371" s="22">
        <v>90007</v>
      </c>
      <c r="R1371" s="22" t="s">
        <v>9572</v>
      </c>
      <c r="S1371" s="22" t="s">
        <v>9573</v>
      </c>
      <c r="X1371" s="26"/>
      <c r="Y1371" s="26"/>
    </row>
    <row r="1372" spans="1:25" ht="50" x14ac:dyDescent="0.25">
      <c r="A1372" s="21">
        <v>1850</v>
      </c>
      <c r="B1372" s="22" t="s">
        <v>15368</v>
      </c>
      <c r="C1372" s="22" t="s">
        <v>9574</v>
      </c>
      <c r="D1372" s="23">
        <v>356743</v>
      </c>
      <c r="E1372" s="24">
        <v>1999</v>
      </c>
      <c r="F1372" s="22" t="s">
        <v>9575</v>
      </c>
      <c r="G1372" s="23" t="s">
        <v>9576</v>
      </c>
      <c r="H1372" s="25" t="s">
        <v>15373</v>
      </c>
      <c r="I1372" s="22" t="s">
        <v>15374</v>
      </c>
      <c r="J1372" s="22" t="s">
        <v>15918</v>
      </c>
      <c r="K1372" s="26">
        <f t="shared" si="21"/>
        <v>976.66666666666663</v>
      </c>
      <c r="N1372" s="26">
        <v>1465</v>
      </c>
      <c r="O1372" s="22" t="s">
        <v>9577</v>
      </c>
      <c r="P1372" s="22" t="s">
        <v>14733</v>
      </c>
      <c r="Q1372" s="22">
        <v>92823</v>
      </c>
      <c r="R1372" s="22" t="s">
        <v>9578</v>
      </c>
      <c r="S1372" s="22" t="s">
        <v>9579</v>
      </c>
      <c r="X1372" s="26"/>
      <c r="Y1372" s="26"/>
    </row>
    <row r="1373" spans="1:25" ht="37.5" x14ac:dyDescent="0.25">
      <c r="A1373" s="21">
        <v>1861</v>
      </c>
      <c r="B1373" s="22" t="s">
        <v>15368</v>
      </c>
      <c r="C1373" s="22" t="s">
        <v>9580</v>
      </c>
      <c r="D1373" s="23">
        <v>373156</v>
      </c>
      <c r="E1373" s="24">
        <v>2000</v>
      </c>
      <c r="F1373" s="22" t="s">
        <v>9581</v>
      </c>
      <c r="G1373" s="23" t="s">
        <v>9582</v>
      </c>
      <c r="H1373" s="25" t="s">
        <v>15373</v>
      </c>
      <c r="I1373" s="22" t="s">
        <v>15382</v>
      </c>
      <c r="J1373" s="22" t="s">
        <v>14562</v>
      </c>
      <c r="K1373" s="26">
        <f t="shared" si="21"/>
        <v>600</v>
      </c>
      <c r="N1373" s="26">
        <v>900</v>
      </c>
      <c r="O1373" s="22" t="s">
        <v>9583</v>
      </c>
      <c r="P1373" s="22" t="s">
        <v>15712</v>
      </c>
      <c r="Q1373" s="22">
        <v>90505</v>
      </c>
      <c r="R1373" s="22" t="s">
        <v>9584</v>
      </c>
      <c r="S1373" s="22" t="s">
        <v>9585</v>
      </c>
      <c r="X1373" s="26"/>
      <c r="Y1373" s="26"/>
    </row>
    <row r="1374" spans="1:25" ht="37.5" x14ac:dyDescent="0.25">
      <c r="A1374" s="21">
        <v>1862</v>
      </c>
      <c r="B1374" s="22" t="s">
        <v>15368</v>
      </c>
      <c r="C1374" s="22" t="s">
        <v>9580</v>
      </c>
      <c r="D1374" s="23">
        <v>373150</v>
      </c>
      <c r="E1374" s="24">
        <v>2000</v>
      </c>
      <c r="F1374" s="22" t="s">
        <v>9586</v>
      </c>
      <c r="G1374" s="23" t="s">
        <v>9587</v>
      </c>
      <c r="H1374" s="25" t="s">
        <v>15373</v>
      </c>
      <c r="I1374" s="22" t="s">
        <v>15382</v>
      </c>
      <c r="J1374" s="22" t="s">
        <v>16569</v>
      </c>
      <c r="K1374" s="26">
        <f t="shared" si="21"/>
        <v>403.33333333333331</v>
      </c>
      <c r="N1374" s="26">
        <v>605</v>
      </c>
      <c r="O1374" s="22" t="s">
        <v>9583</v>
      </c>
      <c r="P1374" s="22" t="s">
        <v>15712</v>
      </c>
      <c r="Q1374" s="22">
        <v>90505</v>
      </c>
      <c r="R1374" s="22" t="s">
        <v>9584</v>
      </c>
      <c r="S1374" s="22" t="s">
        <v>9585</v>
      </c>
      <c r="X1374" s="26"/>
      <c r="Y1374" s="26"/>
    </row>
    <row r="1375" spans="1:25" ht="25" x14ac:dyDescent="0.25">
      <c r="A1375" s="21">
        <v>1863</v>
      </c>
      <c r="B1375" s="22" t="s">
        <v>15368</v>
      </c>
      <c r="C1375" s="22" t="s">
        <v>16156</v>
      </c>
      <c r="D1375" s="23">
        <v>345146</v>
      </c>
      <c r="E1375" s="24">
        <v>1998</v>
      </c>
      <c r="F1375" s="22" t="s">
        <v>9588</v>
      </c>
      <c r="G1375" s="23" t="s">
        <v>9589</v>
      </c>
      <c r="H1375" s="25" t="s">
        <v>16311</v>
      </c>
      <c r="I1375" s="22" t="s">
        <v>15382</v>
      </c>
      <c r="J1375" s="22" t="s">
        <v>14562</v>
      </c>
      <c r="K1375" s="26">
        <f t="shared" si="21"/>
        <v>600</v>
      </c>
      <c r="N1375" s="26">
        <v>900</v>
      </c>
      <c r="O1375" s="22" t="s">
        <v>16162</v>
      </c>
      <c r="P1375" s="22" t="s">
        <v>15703</v>
      </c>
      <c r="Q1375" s="22">
        <v>90245</v>
      </c>
      <c r="R1375" s="22" t="s">
        <v>16163</v>
      </c>
      <c r="S1375" s="22" t="s">
        <v>16164</v>
      </c>
      <c r="X1375" s="26"/>
      <c r="Y1375" s="26"/>
    </row>
    <row r="1376" spans="1:25" ht="25" x14ac:dyDescent="0.25">
      <c r="A1376" s="21">
        <v>1864</v>
      </c>
      <c r="B1376" s="22" t="s">
        <v>15368</v>
      </c>
      <c r="C1376" s="22" t="s">
        <v>9590</v>
      </c>
      <c r="D1376" s="23">
        <v>367295</v>
      </c>
      <c r="E1376" s="24">
        <v>2000</v>
      </c>
      <c r="F1376" s="22" t="s">
        <v>9591</v>
      </c>
      <c r="G1376" s="23" t="s">
        <v>9592</v>
      </c>
      <c r="H1376" s="25" t="s">
        <v>16411</v>
      </c>
      <c r="I1376" s="22" t="s">
        <v>16160</v>
      </c>
      <c r="J1376" s="22" t="s">
        <v>9593</v>
      </c>
      <c r="K1376" s="26">
        <f t="shared" si="21"/>
        <v>424</v>
      </c>
      <c r="N1376" s="26">
        <v>636</v>
      </c>
      <c r="O1376" s="22" t="s">
        <v>9594</v>
      </c>
      <c r="P1376" s="22" t="s">
        <v>9595</v>
      </c>
      <c r="Q1376" s="22">
        <v>93534</v>
      </c>
      <c r="R1376" s="22" t="s">
        <v>9596</v>
      </c>
      <c r="S1376" s="22" t="s">
        <v>9597</v>
      </c>
      <c r="X1376" s="26"/>
      <c r="Y1376" s="26"/>
    </row>
    <row r="1377" spans="1:25" ht="37.5" x14ac:dyDescent="0.25">
      <c r="A1377" s="21">
        <v>1874</v>
      </c>
      <c r="B1377" s="22" t="s">
        <v>15368</v>
      </c>
      <c r="C1377" s="22" t="s">
        <v>9599</v>
      </c>
      <c r="D1377" s="23">
        <v>367164</v>
      </c>
      <c r="E1377" s="24">
        <v>2000</v>
      </c>
      <c r="F1377" s="22" t="s">
        <v>9600</v>
      </c>
      <c r="G1377" s="23" t="s">
        <v>9601</v>
      </c>
      <c r="H1377" s="25" t="s">
        <v>15373</v>
      </c>
      <c r="I1377" s="22" t="s">
        <v>15382</v>
      </c>
      <c r="J1377" s="22" t="s">
        <v>15640</v>
      </c>
      <c r="K1377" s="26">
        <f t="shared" si="21"/>
        <v>993.33333333333326</v>
      </c>
      <c r="N1377" s="26">
        <v>1490</v>
      </c>
      <c r="O1377" s="22" t="s">
        <v>9602</v>
      </c>
      <c r="P1377" s="22" t="s">
        <v>15376</v>
      </c>
      <c r="Q1377" s="22">
        <v>90021</v>
      </c>
      <c r="R1377" s="22" t="s">
        <v>9603</v>
      </c>
      <c r="S1377" s="22" t="s">
        <v>9604</v>
      </c>
      <c r="X1377" s="26"/>
      <c r="Y1377" s="26"/>
    </row>
    <row r="1378" spans="1:25" ht="37.5" x14ac:dyDescent="0.25">
      <c r="A1378" s="21">
        <v>1875</v>
      </c>
      <c r="B1378" s="22" t="s">
        <v>15368</v>
      </c>
      <c r="C1378" s="22" t="s">
        <v>9605</v>
      </c>
      <c r="D1378" s="23">
        <v>377161</v>
      </c>
      <c r="E1378" s="24">
        <v>2000</v>
      </c>
      <c r="F1378" s="22" t="s">
        <v>9606</v>
      </c>
      <c r="G1378" s="23" t="s">
        <v>9607</v>
      </c>
      <c r="H1378" s="25" t="s">
        <v>15373</v>
      </c>
      <c r="I1378" s="22" t="s">
        <v>15374</v>
      </c>
      <c r="J1378" s="22">
        <v>3412</v>
      </c>
      <c r="K1378" s="26">
        <f t="shared" si="21"/>
        <v>363.33333333333331</v>
      </c>
      <c r="N1378" s="26">
        <v>545</v>
      </c>
      <c r="O1378" s="22" t="s">
        <v>9608</v>
      </c>
      <c r="P1378" s="22" t="s">
        <v>15376</v>
      </c>
      <c r="Q1378" s="22">
        <v>90025</v>
      </c>
      <c r="R1378" s="22" t="s">
        <v>9609</v>
      </c>
      <c r="S1378" s="22" t="s">
        <v>9610</v>
      </c>
      <c r="X1378" s="26"/>
      <c r="Y1378" s="26"/>
    </row>
    <row r="1379" spans="1:25" ht="50" x14ac:dyDescent="0.25">
      <c r="A1379" s="21">
        <v>1876</v>
      </c>
      <c r="B1379" s="22" t="s">
        <v>15368</v>
      </c>
      <c r="C1379" s="22" t="s">
        <v>9611</v>
      </c>
      <c r="D1379" s="23">
        <v>379410</v>
      </c>
      <c r="E1379" s="24">
        <v>2000</v>
      </c>
      <c r="F1379" s="22" t="s">
        <v>9612</v>
      </c>
      <c r="G1379" s="23" t="s">
        <v>10665</v>
      </c>
      <c r="H1379" s="25" t="s">
        <v>15373</v>
      </c>
      <c r="I1379" s="22" t="s">
        <v>15374</v>
      </c>
      <c r="J1379" s="22">
        <v>3412</v>
      </c>
      <c r="K1379" s="26">
        <f t="shared" si="21"/>
        <v>450</v>
      </c>
      <c r="L1379" s="26">
        <v>450</v>
      </c>
      <c r="O1379" s="22" t="s">
        <v>16832</v>
      </c>
      <c r="P1379" s="22" t="s">
        <v>16893</v>
      </c>
      <c r="Q1379" s="22">
        <v>91765</v>
      </c>
      <c r="R1379" s="22" t="s">
        <v>10666</v>
      </c>
      <c r="S1379" s="22" t="s">
        <v>14618</v>
      </c>
      <c r="X1379" s="26"/>
      <c r="Y1379" s="26"/>
    </row>
    <row r="1380" spans="1:25" ht="50" x14ac:dyDescent="0.25">
      <c r="A1380" s="21">
        <v>1877</v>
      </c>
      <c r="B1380" s="22" t="s">
        <v>15368</v>
      </c>
      <c r="C1380" s="22" t="s">
        <v>9611</v>
      </c>
      <c r="D1380" s="23">
        <v>380685</v>
      </c>
      <c r="E1380" s="24">
        <v>2001</v>
      </c>
      <c r="F1380" s="22" t="s">
        <v>10667</v>
      </c>
      <c r="G1380" s="23" t="s">
        <v>10668</v>
      </c>
      <c r="H1380" s="25" t="s">
        <v>15373</v>
      </c>
      <c r="I1380" s="22" t="s">
        <v>15382</v>
      </c>
      <c r="J1380" s="22" t="s">
        <v>16811</v>
      </c>
      <c r="K1380" s="26">
        <f t="shared" si="21"/>
        <v>350</v>
      </c>
      <c r="L1380" s="26" t="s">
        <v>10669</v>
      </c>
      <c r="O1380" s="22" t="s">
        <v>16832</v>
      </c>
      <c r="P1380" s="22" t="s">
        <v>16893</v>
      </c>
      <c r="Q1380" s="22">
        <v>91765</v>
      </c>
      <c r="R1380" s="22" t="s">
        <v>10666</v>
      </c>
      <c r="S1380" s="22" t="s">
        <v>14618</v>
      </c>
      <c r="X1380" s="26"/>
      <c r="Y1380" s="26"/>
    </row>
    <row r="1381" spans="1:25" ht="37.5" x14ac:dyDescent="0.25">
      <c r="A1381" s="21">
        <v>1895</v>
      </c>
      <c r="B1381" s="22" t="s">
        <v>15368</v>
      </c>
      <c r="C1381" s="22" t="s">
        <v>10670</v>
      </c>
      <c r="D1381" s="23">
        <v>381617</v>
      </c>
      <c r="E1381" s="24">
        <v>2001</v>
      </c>
      <c r="F1381" s="22" t="s">
        <v>10671</v>
      </c>
      <c r="G1381" s="23" t="s">
        <v>10672</v>
      </c>
      <c r="H1381" s="25" t="s">
        <v>15373</v>
      </c>
      <c r="I1381" s="22" t="s">
        <v>12850</v>
      </c>
      <c r="J1381" s="22" t="s">
        <v>10673</v>
      </c>
      <c r="K1381" s="26">
        <f t="shared" si="21"/>
        <v>657.33333333333326</v>
      </c>
      <c r="N1381" s="26">
        <v>986</v>
      </c>
      <c r="O1381" s="22" t="s">
        <v>10674</v>
      </c>
      <c r="P1381" s="22" t="s">
        <v>16500</v>
      </c>
      <c r="Q1381" s="22">
        <v>90248</v>
      </c>
      <c r="R1381" s="22" t="s">
        <v>10675</v>
      </c>
      <c r="S1381" s="22" t="s">
        <v>10676</v>
      </c>
      <c r="X1381" s="26"/>
      <c r="Y1381" s="26"/>
    </row>
    <row r="1382" spans="1:25" ht="75" x14ac:dyDescent="0.25">
      <c r="A1382" s="21">
        <v>1896</v>
      </c>
      <c r="B1382" s="22" t="s">
        <v>15368</v>
      </c>
      <c r="C1382" s="22" t="s">
        <v>10677</v>
      </c>
      <c r="D1382" s="23">
        <v>360419</v>
      </c>
      <c r="E1382" s="24">
        <v>1999</v>
      </c>
      <c r="F1382" s="22" t="s">
        <v>10678</v>
      </c>
      <c r="G1382" s="23" t="s">
        <v>10679</v>
      </c>
      <c r="H1382" s="25" t="s">
        <v>16310</v>
      </c>
      <c r="I1382" s="22" t="s">
        <v>15382</v>
      </c>
      <c r="J1382" s="22" t="s">
        <v>10680</v>
      </c>
      <c r="K1382" s="26">
        <f t="shared" si="21"/>
        <v>889.33333333333326</v>
      </c>
      <c r="N1382" s="26">
        <v>1334</v>
      </c>
      <c r="O1382" s="22" t="s">
        <v>10681</v>
      </c>
      <c r="P1382" s="22" t="s">
        <v>16786</v>
      </c>
      <c r="Q1382" s="22">
        <v>92803</v>
      </c>
      <c r="R1382" s="22" t="s">
        <v>10682</v>
      </c>
      <c r="S1382" s="22" t="s">
        <v>10683</v>
      </c>
      <c r="X1382" s="26"/>
      <c r="Y1382" s="26"/>
    </row>
    <row r="1383" spans="1:25" ht="37.5" x14ac:dyDescent="0.25">
      <c r="A1383" s="21">
        <v>1897</v>
      </c>
      <c r="B1383" s="22" t="s">
        <v>15368</v>
      </c>
      <c r="C1383" s="22" t="s">
        <v>10684</v>
      </c>
      <c r="D1383" s="23">
        <v>330281</v>
      </c>
      <c r="E1383" s="24">
        <v>1997</v>
      </c>
      <c r="F1383" s="22" t="s">
        <v>10685</v>
      </c>
      <c r="G1383" s="23" t="s">
        <v>10686</v>
      </c>
      <c r="H1383" s="25" t="s">
        <v>15373</v>
      </c>
      <c r="I1383" s="22" t="s">
        <v>15374</v>
      </c>
      <c r="J1383" s="22" t="s">
        <v>10095</v>
      </c>
      <c r="K1383" s="26">
        <f t="shared" si="21"/>
        <v>499.33333333333331</v>
      </c>
      <c r="N1383" s="26">
        <v>749</v>
      </c>
      <c r="O1383" s="22" t="s">
        <v>10687</v>
      </c>
      <c r="P1383" s="22" t="s">
        <v>15435</v>
      </c>
      <c r="Q1383" s="22">
        <v>92626</v>
      </c>
      <c r="R1383" s="22" t="s">
        <v>10688</v>
      </c>
      <c r="S1383" s="22" t="s">
        <v>10689</v>
      </c>
      <c r="X1383" s="26"/>
      <c r="Y1383" s="26"/>
    </row>
    <row r="1384" spans="1:25" ht="37.5" x14ac:dyDescent="0.25">
      <c r="A1384" s="21">
        <v>1898</v>
      </c>
      <c r="B1384" s="22" t="s">
        <v>15368</v>
      </c>
      <c r="C1384" s="22" t="s">
        <v>10690</v>
      </c>
      <c r="D1384" s="23">
        <v>378129</v>
      </c>
      <c r="E1384" s="24">
        <v>2000</v>
      </c>
      <c r="F1384" s="22" t="s">
        <v>10691</v>
      </c>
      <c r="G1384" s="23" t="s">
        <v>10692</v>
      </c>
      <c r="H1384" s="25" t="s">
        <v>15373</v>
      </c>
      <c r="I1384" s="22" t="s">
        <v>15374</v>
      </c>
      <c r="J1384" s="22" t="s">
        <v>14268</v>
      </c>
      <c r="K1384" s="26">
        <f t="shared" si="21"/>
        <v>433.33333333333331</v>
      </c>
      <c r="N1384" s="26">
        <v>650</v>
      </c>
      <c r="O1384" s="22" t="s">
        <v>10693</v>
      </c>
      <c r="P1384" s="22" t="s">
        <v>14376</v>
      </c>
      <c r="Q1384" s="22">
        <v>90401</v>
      </c>
      <c r="R1384" s="22" t="s">
        <v>10694</v>
      </c>
      <c r="S1384" s="22" t="s">
        <v>10695</v>
      </c>
      <c r="X1384" s="26"/>
      <c r="Y1384" s="26"/>
    </row>
    <row r="1385" spans="1:25" ht="37.5" x14ac:dyDescent="0.25">
      <c r="A1385" s="21">
        <v>1899</v>
      </c>
      <c r="B1385" s="22" t="s">
        <v>15368</v>
      </c>
      <c r="C1385" s="22" t="s">
        <v>10696</v>
      </c>
      <c r="D1385" s="23">
        <v>380585</v>
      </c>
      <c r="E1385" s="24">
        <v>2001</v>
      </c>
      <c r="F1385" s="22" t="s">
        <v>10697</v>
      </c>
      <c r="G1385" s="23" t="s">
        <v>10698</v>
      </c>
      <c r="H1385" s="25" t="s">
        <v>15373</v>
      </c>
      <c r="I1385" s="22" t="s">
        <v>15411</v>
      </c>
      <c r="J1385" s="22" t="s">
        <v>16331</v>
      </c>
      <c r="K1385" s="26">
        <f t="shared" si="21"/>
        <v>821.33333333333326</v>
      </c>
      <c r="N1385" s="26">
        <v>1232</v>
      </c>
      <c r="O1385" s="22" t="s">
        <v>10699</v>
      </c>
      <c r="P1385" s="22" t="s">
        <v>15376</v>
      </c>
      <c r="Q1385" s="22">
        <v>90024</v>
      </c>
      <c r="R1385" s="22" t="s">
        <v>10700</v>
      </c>
      <c r="S1385" s="22" t="s">
        <v>10701</v>
      </c>
      <c r="X1385" s="26"/>
      <c r="Y1385" s="26"/>
    </row>
    <row r="1386" spans="1:25" ht="50" x14ac:dyDescent="0.25">
      <c r="A1386" s="21">
        <v>1901</v>
      </c>
      <c r="B1386" s="22" t="s">
        <v>15368</v>
      </c>
      <c r="C1386" s="22" t="s">
        <v>10702</v>
      </c>
      <c r="D1386" s="23">
        <v>381542</v>
      </c>
      <c r="E1386" s="24">
        <v>2001</v>
      </c>
      <c r="F1386" s="22" t="s">
        <v>10703</v>
      </c>
      <c r="G1386" s="23" t="s">
        <v>10704</v>
      </c>
      <c r="H1386" s="25" t="s">
        <v>15373</v>
      </c>
      <c r="I1386" s="22" t="s">
        <v>15374</v>
      </c>
      <c r="J1386" s="22" t="s">
        <v>15400</v>
      </c>
      <c r="K1386" s="26">
        <f t="shared" si="21"/>
        <v>1500</v>
      </c>
      <c r="L1386" s="26">
        <v>1500</v>
      </c>
      <c r="O1386" s="22" t="s">
        <v>10705</v>
      </c>
      <c r="P1386" s="22" t="s">
        <v>16819</v>
      </c>
      <c r="Q1386" s="22">
        <v>91107</v>
      </c>
      <c r="R1386" s="22" t="s">
        <v>10706</v>
      </c>
      <c r="S1386" s="22" t="s">
        <v>10707</v>
      </c>
      <c r="X1386" s="26"/>
      <c r="Y1386" s="26"/>
    </row>
    <row r="1387" spans="1:25" ht="50" x14ac:dyDescent="0.25">
      <c r="A1387" s="21">
        <v>1902</v>
      </c>
      <c r="B1387" s="22" t="s">
        <v>15368</v>
      </c>
      <c r="C1387" s="22" t="s">
        <v>10702</v>
      </c>
      <c r="D1387" s="23">
        <v>381543</v>
      </c>
      <c r="E1387" s="24">
        <v>2001</v>
      </c>
      <c r="F1387" s="22" t="s">
        <v>10708</v>
      </c>
      <c r="G1387" s="23" t="s">
        <v>10709</v>
      </c>
      <c r="H1387" s="25" t="s">
        <v>15373</v>
      </c>
      <c r="I1387" s="22" t="s">
        <v>15374</v>
      </c>
      <c r="J1387" s="22" t="s">
        <v>15400</v>
      </c>
      <c r="K1387" s="26">
        <f t="shared" si="21"/>
        <v>1500</v>
      </c>
      <c r="L1387" s="26">
        <v>1500</v>
      </c>
      <c r="O1387" s="22" t="s">
        <v>10705</v>
      </c>
      <c r="P1387" s="22" t="s">
        <v>16819</v>
      </c>
      <c r="Q1387" s="22">
        <v>91107</v>
      </c>
      <c r="R1387" s="22" t="s">
        <v>10706</v>
      </c>
      <c r="S1387" s="22" t="s">
        <v>10707</v>
      </c>
      <c r="X1387" s="26"/>
      <c r="Y1387" s="26"/>
    </row>
    <row r="1388" spans="1:25" ht="50" x14ac:dyDescent="0.25">
      <c r="A1388" s="21">
        <v>1904</v>
      </c>
      <c r="B1388" s="22" t="s">
        <v>15368</v>
      </c>
      <c r="C1388" s="22" t="s">
        <v>14587</v>
      </c>
      <c r="D1388" s="23">
        <v>340515</v>
      </c>
      <c r="E1388" s="24">
        <v>1998</v>
      </c>
      <c r="F1388" s="22" t="s">
        <v>10710</v>
      </c>
      <c r="G1388" s="23" t="s">
        <v>10711</v>
      </c>
      <c r="H1388" s="25" t="s">
        <v>15373</v>
      </c>
      <c r="I1388" s="22" t="s">
        <v>15374</v>
      </c>
      <c r="J1388" s="22" t="s">
        <v>15731</v>
      </c>
      <c r="K1388" s="26">
        <f t="shared" si="21"/>
        <v>962</v>
      </c>
      <c r="N1388" s="26">
        <v>1443</v>
      </c>
      <c r="O1388" s="22" t="s">
        <v>16832</v>
      </c>
      <c r="P1388" s="22" t="s">
        <v>14574</v>
      </c>
      <c r="Q1388" s="22">
        <v>92581</v>
      </c>
      <c r="R1388" s="22" t="s">
        <v>15889</v>
      </c>
      <c r="S1388" s="22" t="s">
        <v>14580</v>
      </c>
      <c r="X1388" s="26"/>
      <c r="Y1388" s="26"/>
    </row>
    <row r="1389" spans="1:25" ht="37.5" x14ac:dyDescent="0.25">
      <c r="A1389" s="21">
        <v>1933</v>
      </c>
      <c r="B1389" s="22" t="s">
        <v>15368</v>
      </c>
      <c r="C1389" s="22" t="s">
        <v>10712</v>
      </c>
      <c r="D1389" s="23">
        <v>380872</v>
      </c>
      <c r="E1389" s="24">
        <v>2001</v>
      </c>
      <c r="F1389" s="22" t="s">
        <v>10713</v>
      </c>
      <c r="G1389" s="23" t="s">
        <v>10714</v>
      </c>
      <c r="H1389" s="25" t="s">
        <v>15373</v>
      </c>
      <c r="I1389" s="22" t="s">
        <v>15382</v>
      </c>
      <c r="J1389" s="22" t="s">
        <v>16792</v>
      </c>
      <c r="K1389" s="26">
        <f t="shared" si="21"/>
        <v>356.66666666666663</v>
      </c>
      <c r="N1389" s="26">
        <v>535</v>
      </c>
      <c r="O1389" s="22" t="s">
        <v>10715</v>
      </c>
      <c r="P1389" s="22" t="s">
        <v>12686</v>
      </c>
      <c r="Q1389" s="22">
        <v>91776</v>
      </c>
      <c r="R1389" s="22" t="s">
        <v>10716</v>
      </c>
      <c r="S1389" s="22" t="s">
        <v>10717</v>
      </c>
      <c r="X1389" s="26"/>
      <c r="Y1389" s="26"/>
    </row>
    <row r="1390" spans="1:25" ht="37.5" x14ac:dyDescent="0.25">
      <c r="A1390" s="21">
        <v>1934</v>
      </c>
      <c r="B1390" s="22" t="s">
        <v>15368</v>
      </c>
      <c r="C1390" s="22" t="s">
        <v>9692</v>
      </c>
      <c r="D1390" s="23">
        <v>375473</v>
      </c>
      <c r="E1390" s="24">
        <v>2000</v>
      </c>
      <c r="F1390" s="22" t="s">
        <v>9693</v>
      </c>
      <c r="G1390" s="23" t="s">
        <v>9694</v>
      </c>
      <c r="H1390" s="25" t="s">
        <v>15373</v>
      </c>
      <c r="I1390" s="22" t="s">
        <v>15411</v>
      </c>
      <c r="J1390" s="22" t="s">
        <v>16306</v>
      </c>
      <c r="K1390" s="26">
        <f t="shared" si="21"/>
        <v>378.66666666666663</v>
      </c>
      <c r="N1390" s="26">
        <v>568</v>
      </c>
      <c r="O1390" s="22" t="s">
        <v>9695</v>
      </c>
      <c r="P1390" s="22" t="s">
        <v>14653</v>
      </c>
      <c r="Q1390" s="22">
        <v>91773</v>
      </c>
      <c r="R1390" s="22" t="s">
        <v>9696</v>
      </c>
      <c r="S1390" s="22" t="s">
        <v>9697</v>
      </c>
      <c r="X1390" s="26"/>
      <c r="Y1390" s="26"/>
    </row>
    <row r="1391" spans="1:25" ht="37.5" x14ac:dyDescent="0.25">
      <c r="A1391" s="21">
        <v>1935</v>
      </c>
      <c r="B1391" s="22" t="s">
        <v>15368</v>
      </c>
      <c r="C1391" s="22" t="s">
        <v>9698</v>
      </c>
      <c r="D1391" s="23">
        <v>381105</v>
      </c>
      <c r="E1391" s="24">
        <v>2001</v>
      </c>
      <c r="F1391" s="22" t="s">
        <v>9699</v>
      </c>
      <c r="G1391" s="23" t="s">
        <v>9700</v>
      </c>
      <c r="H1391" s="25" t="s">
        <v>15373</v>
      </c>
      <c r="I1391" s="22" t="s">
        <v>15374</v>
      </c>
      <c r="J1391" s="22" t="s">
        <v>15918</v>
      </c>
      <c r="K1391" s="26">
        <f t="shared" si="21"/>
        <v>891.33333333333326</v>
      </c>
      <c r="N1391" s="26">
        <v>1337</v>
      </c>
      <c r="O1391" s="22" t="s">
        <v>9701</v>
      </c>
      <c r="P1391" s="22" t="s">
        <v>15414</v>
      </c>
      <c r="Q1391" s="22">
        <v>91203</v>
      </c>
      <c r="R1391" s="22" t="s">
        <v>9702</v>
      </c>
      <c r="S1391" s="22" t="s">
        <v>9703</v>
      </c>
      <c r="X1391" s="26"/>
      <c r="Y1391" s="26"/>
    </row>
    <row r="1392" spans="1:25" ht="25" x14ac:dyDescent="0.25">
      <c r="A1392" s="21">
        <v>1938</v>
      </c>
      <c r="B1392" s="22" t="s">
        <v>15368</v>
      </c>
      <c r="C1392" s="22" t="s">
        <v>9704</v>
      </c>
      <c r="D1392" s="23">
        <v>383491</v>
      </c>
      <c r="E1392" s="24">
        <v>2001</v>
      </c>
      <c r="F1392" s="22" t="s">
        <v>9705</v>
      </c>
      <c r="G1392" s="23" t="s">
        <v>9706</v>
      </c>
      <c r="H1392" s="25" t="s">
        <v>15373</v>
      </c>
      <c r="I1392" s="22" t="s">
        <v>15374</v>
      </c>
      <c r="J1392" s="22" t="s">
        <v>9707</v>
      </c>
      <c r="K1392" s="26">
        <f t="shared" si="21"/>
        <v>498.66666666666663</v>
      </c>
      <c r="N1392" s="26">
        <v>748</v>
      </c>
      <c r="O1392" s="22" t="s">
        <v>9708</v>
      </c>
      <c r="P1392" s="22" t="s">
        <v>11259</v>
      </c>
      <c r="Q1392" s="22">
        <v>92545</v>
      </c>
      <c r="R1392" s="22" t="s">
        <v>9709</v>
      </c>
      <c r="S1392" s="22" t="s">
        <v>9710</v>
      </c>
      <c r="X1392" s="26"/>
      <c r="Y1392" s="26"/>
    </row>
    <row r="1393" spans="1:25" ht="37.5" x14ac:dyDescent="0.25">
      <c r="A1393" s="21">
        <v>1939</v>
      </c>
      <c r="B1393" s="22" t="s">
        <v>15368</v>
      </c>
      <c r="C1393" s="22" t="s">
        <v>9711</v>
      </c>
      <c r="D1393" s="23">
        <v>374606</v>
      </c>
      <c r="E1393" s="24">
        <v>2000</v>
      </c>
      <c r="F1393" s="22" t="s">
        <v>9712</v>
      </c>
      <c r="G1393" s="23" t="s">
        <v>9713</v>
      </c>
      <c r="H1393" s="25" t="s">
        <v>15373</v>
      </c>
      <c r="I1393" s="22" t="s">
        <v>15382</v>
      </c>
      <c r="J1393" s="22" t="s">
        <v>14983</v>
      </c>
      <c r="K1393" s="26">
        <f t="shared" si="21"/>
        <v>456.66666666666663</v>
      </c>
      <c r="N1393" s="26">
        <v>685</v>
      </c>
      <c r="O1393" s="22" t="s">
        <v>9714</v>
      </c>
      <c r="P1393" s="22" t="s">
        <v>15376</v>
      </c>
      <c r="Q1393" s="22">
        <v>90045</v>
      </c>
      <c r="R1393" s="22" t="s">
        <v>9715</v>
      </c>
      <c r="S1393" s="22" t="s">
        <v>9716</v>
      </c>
      <c r="X1393" s="26"/>
      <c r="Y1393" s="26"/>
    </row>
    <row r="1394" spans="1:25" ht="37.5" x14ac:dyDescent="0.25">
      <c r="A1394" s="21">
        <v>1941</v>
      </c>
      <c r="B1394" s="22" t="s">
        <v>15368</v>
      </c>
      <c r="C1394" s="22" t="s">
        <v>9717</v>
      </c>
      <c r="D1394" s="23">
        <v>380989</v>
      </c>
      <c r="E1394" s="24">
        <v>2001</v>
      </c>
      <c r="F1394" s="22" t="s">
        <v>9718</v>
      </c>
      <c r="G1394" s="23" t="s">
        <v>9719</v>
      </c>
      <c r="H1394" s="25" t="s">
        <v>15373</v>
      </c>
      <c r="I1394" s="22" t="s">
        <v>15382</v>
      </c>
      <c r="J1394" s="22" t="s">
        <v>13225</v>
      </c>
      <c r="K1394" s="26">
        <f t="shared" si="21"/>
        <v>506.66666666666663</v>
      </c>
      <c r="M1394" s="26">
        <v>760</v>
      </c>
      <c r="O1394" s="22" t="s">
        <v>9720</v>
      </c>
      <c r="P1394" s="22" t="s">
        <v>14639</v>
      </c>
      <c r="Q1394" s="22">
        <v>90265</v>
      </c>
      <c r="R1394" s="22" t="s">
        <v>9721</v>
      </c>
      <c r="S1394" s="22" t="s">
        <v>9722</v>
      </c>
      <c r="X1394" s="26"/>
      <c r="Y1394" s="26"/>
    </row>
    <row r="1395" spans="1:25" ht="50" x14ac:dyDescent="0.25">
      <c r="A1395" s="21">
        <v>1942</v>
      </c>
      <c r="B1395" s="22" t="s">
        <v>15368</v>
      </c>
      <c r="C1395" s="22" t="s">
        <v>9723</v>
      </c>
      <c r="D1395" s="23">
        <v>381498</v>
      </c>
      <c r="E1395" s="24">
        <v>2001</v>
      </c>
      <c r="F1395" s="22" t="s">
        <v>9724</v>
      </c>
      <c r="G1395" s="23" t="s">
        <v>9725</v>
      </c>
      <c r="H1395" s="25" t="s">
        <v>15373</v>
      </c>
      <c r="I1395" s="22" t="s">
        <v>15374</v>
      </c>
      <c r="J1395" s="22" t="s">
        <v>16899</v>
      </c>
      <c r="K1395" s="26">
        <f t="shared" si="21"/>
        <v>593.33333333333326</v>
      </c>
      <c r="N1395" s="26">
        <v>890</v>
      </c>
      <c r="O1395" s="22" t="s">
        <v>9726</v>
      </c>
      <c r="P1395" s="22" t="s">
        <v>14376</v>
      </c>
      <c r="Q1395" s="22">
        <v>90401</v>
      </c>
      <c r="R1395" s="22" t="s">
        <v>9727</v>
      </c>
      <c r="S1395" s="22" t="s">
        <v>9728</v>
      </c>
      <c r="X1395" s="26"/>
      <c r="Y1395" s="26"/>
    </row>
    <row r="1396" spans="1:25" ht="37.5" x14ac:dyDescent="0.25">
      <c r="A1396" s="21">
        <v>1943</v>
      </c>
      <c r="B1396" s="22" t="s">
        <v>15368</v>
      </c>
      <c r="C1396" s="22" t="s">
        <v>9729</v>
      </c>
      <c r="D1396" s="23">
        <v>383403</v>
      </c>
      <c r="E1396" s="24">
        <v>2001</v>
      </c>
      <c r="F1396" s="22" t="s">
        <v>9730</v>
      </c>
      <c r="G1396" s="23" t="s">
        <v>9731</v>
      </c>
      <c r="H1396" s="25" t="s">
        <v>15373</v>
      </c>
      <c r="I1396" s="22" t="s">
        <v>15382</v>
      </c>
      <c r="J1396" s="22" t="s">
        <v>15955</v>
      </c>
      <c r="K1396" s="26">
        <f t="shared" si="21"/>
        <v>756.66666666666663</v>
      </c>
      <c r="N1396" s="26">
        <v>1135</v>
      </c>
      <c r="O1396" s="22" t="s">
        <v>9732</v>
      </c>
      <c r="P1396" s="22" t="s">
        <v>13211</v>
      </c>
      <c r="Q1396" s="22">
        <v>90746</v>
      </c>
      <c r="R1396" s="22" t="s">
        <v>9733</v>
      </c>
      <c r="S1396" s="22" t="s">
        <v>9734</v>
      </c>
      <c r="X1396" s="26"/>
      <c r="Y1396" s="26"/>
    </row>
    <row r="1397" spans="1:25" ht="37.5" x14ac:dyDescent="0.25">
      <c r="A1397" s="21">
        <v>1945</v>
      </c>
      <c r="B1397" s="22" t="s">
        <v>15368</v>
      </c>
      <c r="C1397" s="22" t="s">
        <v>9735</v>
      </c>
      <c r="D1397" s="23">
        <v>383097</v>
      </c>
      <c r="E1397" s="24">
        <v>2001</v>
      </c>
      <c r="F1397" s="22" t="s">
        <v>9736</v>
      </c>
      <c r="G1397" s="23" t="s">
        <v>9737</v>
      </c>
      <c r="H1397" s="25" t="s">
        <v>15373</v>
      </c>
      <c r="I1397" s="22" t="s">
        <v>15374</v>
      </c>
      <c r="J1397" s="22" t="s">
        <v>9707</v>
      </c>
      <c r="K1397" s="26">
        <f t="shared" si="21"/>
        <v>498.66666666666663</v>
      </c>
      <c r="N1397" s="26">
        <v>748</v>
      </c>
      <c r="O1397" s="22" t="s">
        <v>9738</v>
      </c>
      <c r="P1397" s="22" t="s">
        <v>14376</v>
      </c>
      <c r="Q1397" s="22">
        <v>90401</v>
      </c>
      <c r="R1397" s="22" t="s">
        <v>9739</v>
      </c>
      <c r="S1397" s="22" t="s">
        <v>9740</v>
      </c>
      <c r="X1397" s="26"/>
      <c r="Y1397" s="26"/>
    </row>
    <row r="1398" spans="1:25" ht="37.5" x14ac:dyDescent="0.25">
      <c r="A1398" s="21">
        <v>1948</v>
      </c>
      <c r="B1398" s="22" t="s">
        <v>15368</v>
      </c>
      <c r="C1398" s="22" t="s">
        <v>9741</v>
      </c>
      <c r="D1398" s="23">
        <v>329651</v>
      </c>
      <c r="E1398" s="24">
        <v>1997</v>
      </c>
      <c r="F1398" s="22" t="s">
        <v>9742</v>
      </c>
      <c r="G1398" s="23" t="s">
        <v>9743</v>
      </c>
      <c r="H1398" s="25" t="s">
        <v>15373</v>
      </c>
      <c r="I1398" s="22" t="s">
        <v>15374</v>
      </c>
      <c r="J1398" s="22" t="s">
        <v>15918</v>
      </c>
      <c r="K1398" s="26">
        <f t="shared" si="21"/>
        <v>799.33333333333326</v>
      </c>
      <c r="N1398" s="26">
        <v>1199</v>
      </c>
      <c r="O1398" s="22" t="s">
        <v>9744</v>
      </c>
      <c r="P1398" s="22" t="s">
        <v>15376</v>
      </c>
      <c r="Q1398" s="22">
        <v>90045</v>
      </c>
      <c r="R1398" s="22" t="s">
        <v>13255</v>
      </c>
      <c r="S1398" s="22" t="s">
        <v>13256</v>
      </c>
      <c r="X1398" s="26"/>
      <c r="Y1398" s="26"/>
    </row>
    <row r="1399" spans="1:25" ht="37.5" x14ac:dyDescent="0.25">
      <c r="A1399" s="21">
        <v>1949</v>
      </c>
      <c r="B1399" s="22" t="s">
        <v>15368</v>
      </c>
      <c r="C1399" s="22" t="s">
        <v>9741</v>
      </c>
      <c r="D1399" s="23">
        <v>350808</v>
      </c>
      <c r="E1399" s="24">
        <v>1999</v>
      </c>
      <c r="F1399" s="22" t="s">
        <v>9745</v>
      </c>
      <c r="G1399" s="23" t="s">
        <v>9746</v>
      </c>
      <c r="H1399" s="25" t="s">
        <v>15373</v>
      </c>
      <c r="I1399" s="22" t="s">
        <v>15374</v>
      </c>
      <c r="J1399" s="22">
        <v>3412</v>
      </c>
      <c r="K1399" s="26">
        <f t="shared" si="21"/>
        <v>548.66666666666663</v>
      </c>
      <c r="N1399" s="26">
        <v>823</v>
      </c>
      <c r="O1399" s="22" t="s">
        <v>9744</v>
      </c>
      <c r="P1399" s="22" t="s">
        <v>15376</v>
      </c>
      <c r="Q1399" s="22">
        <v>90045</v>
      </c>
      <c r="R1399" s="22" t="s">
        <v>13255</v>
      </c>
      <c r="S1399" s="22" t="s">
        <v>13256</v>
      </c>
      <c r="X1399" s="26"/>
      <c r="Y1399" s="26"/>
    </row>
    <row r="1400" spans="1:25" ht="37.5" x14ac:dyDescent="0.25">
      <c r="A1400" s="21">
        <v>1950</v>
      </c>
      <c r="B1400" s="22" t="s">
        <v>15368</v>
      </c>
      <c r="C1400" s="22" t="s">
        <v>9741</v>
      </c>
      <c r="D1400" s="23">
        <v>371864</v>
      </c>
      <c r="E1400" s="24">
        <v>2000</v>
      </c>
      <c r="F1400" s="22" t="s">
        <v>9747</v>
      </c>
      <c r="G1400" s="23" t="s">
        <v>9748</v>
      </c>
      <c r="H1400" s="25" t="s">
        <v>15373</v>
      </c>
      <c r="I1400" s="22" t="s">
        <v>15411</v>
      </c>
      <c r="J1400" s="22" t="s">
        <v>9749</v>
      </c>
      <c r="K1400" s="26">
        <f t="shared" si="21"/>
        <v>423.33333333333331</v>
      </c>
      <c r="N1400" s="26">
        <v>635</v>
      </c>
      <c r="O1400" s="22" t="s">
        <v>9744</v>
      </c>
      <c r="P1400" s="22" t="s">
        <v>15376</v>
      </c>
      <c r="Q1400" s="22">
        <v>90045</v>
      </c>
      <c r="R1400" s="22" t="s">
        <v>13255</v>
      </c>
      <c r="S1400" s="22" t="s">
        <v>13256</v>
      </c>
      <c r="X1400" s="26"/>
      <c r="Y1400" s="26"/>
    </row>
    <row r="1401" spans="1:25" ht="37.5" x14ac:dyDescent="0.25">
      <c r="A1401" s="21">
        <v>1951</v>
      </c>
      <c r="B1401" s="22" t="s">
        <v>15368</v>
      </c>
      <c r="C1401" s="22" t="s">
        <v>9750</v>
      </c>
      <c r="D1401" s="23">
        <v>379718</v>
      </c>
      <c r="E1401" s="24">
        <v>2001</v>
      </c>
      <c r="F1401" s="22" t="s">
        <v>9598</v>
      </c>
      <c r="G1401" s="23" t="s">
        <v>9751</v>
      </c>
      <c r="H1401" s="25" t="s">
        <v>15373</v>
      </c>
      <c r="I1401" s="22" t="s">
        <v>15374</v>
      </c>
      <c r="J1401" s="22" t="s">
        <v>14709</v>
      </c>
      <c r="K1401" s="26">
        <f t="shared" si="21"/>
        <v>597.33333333333326</v>
      </c>
      <c r="N1401" s="26">
        <v>896</v>
      </c>
      <c r="O1401" s="22" t="s">
        <v>10787</v>
      </c>
      <c r="P1401" s="22" t="s">
        <v>14362</v>
      </c>
      <c r="Q1401" s="22">
        <v>90744</v>
      </c>
      <c r="R1401" s="22" t="s">
        <v>14469</v>
      </c>
      <c r="S1401" s="22" t="s">
        <v>14470</v>
      </c>
      <c r="X1401" s="26"/>
      <c r="Y1401" s="26"/>
    </row>
    <row r="1402" spans="1:25" ht="37.5" x14ac:dyDescent="0.25">
      <c r="A1402" s="21">
        <v>1952</v>
      </c>
      <c r="B1402" s="22" t="s">
        <v>15368</v>
      </c>
      <c r="C1402" s="22" t="s">
        <v>10788</v>
      </c>
      <c r="D1402" s="23">
        <v>365173</v>
      </c>
      <c r="E1402" s="24">
        <v>2000</v>
      </c>
      <c r="F1402" s="22" t="s">
        <v>10789</v>
      </c>
      <c r="G1402" s="23" t="s">
        <v>10790</v>
      </c>
      <c r="H1402" s="25" t="s">
        <v>15373</v>
      </c>
      <c r="I1402" s="22" t="s">
        <v>15382</v>
      </c>
      <c r="J1402" s="22" t="s">
        <v>10791</v>
      </c>
      <c r="K1402" s="26">
        <f t="shared" si="21"/>
        <v>756.66666666666663</v>
      </c>
      <c r="N1402" s="26">
        <v>1135</v>
      </c>
      <c r="O1402" s="22" t="s">
        <v>10792</v>
      </c>
      <c r="P1402" s="22" t="s">
        <v>15376</v>
      </c>
      <c r="Q1402" s="22">
        <v>90014</v>
      </c>
      <c r="R1402" s="22" t="s">
        <v>10793</v>
      </c>
      <c r="S1402" s="22" t="s">
        <v>10794</v>
      </c>
      <c r="X1402" s="26"/>
      <c r="Y1402" s="26"/>
    </row>
    <row r="1403" spans="1:25" ht="37.5" x14ac:dyDescent="0.25">
      <c r="A1403" s="21">
        <v>1953</v>
      </c>
      <c r="B1403" s="22" t="s">
        <v>15368</v>
      </c>
      <c r="C1403" s="22" t="s">
        <v>10795</v>
      </c>
      <c r="D1403" s="23">
        <v>381424</v>
      </c>
      <c r="E1403" s="24">
        <v>1993</v>
      </c>
      <c r="F1403" s="22" t="s">
        <v>10796</v>
      </c>
      <c r="G1403" s="23" t="s">
        <v>10797</v>
      </c>
      <c r="H1403" s="25" t="s">
        <v>15373</v>
      </c>
      <c r="I1403" s="22" t="s">
        <v>15382</v>
      </c>
      <c r="J1403" s="22" t="s">
        <v>10798</v>
      </c>
      <c r="K1403" s="26">
        <f t="shared" si="21"/>
        <v>446.66666666666663</v>
      </c>
      <c r="N1403" s="26">
        <v>670</v>
      </c>
      <c r="O1403" s="22" t="s">
        <v>10799</v>
      </c>
      <c r="P1403" s="22" t="s">
        <v>15376</v>
      </c>
      <c r="Q1403" s="22">
        <v>90063</v>
      </c>
      <c r="R1403" s="22" t="s">
        <v>10800</v>
      </c>
      <c r="S1403" s="22" t="s">
        <v>10801</v>
      </c>
      <c r="X1403" s="26"/>
      <c r="Y1403" s="26"/>
    </row>
    <row r="1404" spans="1:25" ht="25" x14ac:dyDescent="0.25">
      <c r="A1404" s="21">
        <v>1954</v>
      </c>
      <c r="B1404" s="22" t="s">
        <v>15368</v>
      </c>
      <c r="C1404" s="22" t="s">
        <v>10802</v>
      </c>
      <c r="D1404" s="23">
        <v>381638</v>
      </c>
      <c r="E1404" s="24">
        <v>2001</v>
      </c>
      <c r="F1404" s="22" t="s">
        <v>10803</v>
      </c>
      <c r="G1404" s="23" t="s">
        <v>10804</v>
      </c>
      <c r="H1404" s="25" t="s">
        <v>15373</v>
      </c>
      <c r="I1404" s="22" t="s">
        <v>15411</v>
      </c>
      <c r="J1404" s="22" t="s">
        <v>12755</v>
      </c>
      <c r="K1404" s="26">
        <f t="shared" si="21"/>
        <v>860</v>
      </c>
      <c r="N1404" s="26">
        <v>1290</v>
      </c>
      <c r="O1404" s="22" t="s">
        <v>10805</v>
      </c>
      <c r="P1404" s="22" t="s">
        <v>16563</v>
      </c>
      <c r="Q1404" s="22">
        <v>90242</v>
      </c>
      <c r="R1404" s="22" t="s">
        <v>10800</v>
      </c>
      <c r="S1404" s="22" t="s">
        <v>10801</v>
      </c>
      <c r="X1404" s="26"/>
      <c r="Y1404" s="26"/>
    </row>
    <row r="1405" spans="1:25" ht="37.5" x14ac:dyDescent="0.25">
      <c r="A1405" s="21">
        <v>1955</v>
      </c>
      <c r="B1405" s="22" t="s">
        <v>15368</v>
      </c>
      <c r="C1405" s="22" t="s">
        <v>10802</v>
      </c>
      <c r="D1405" s="23">
        <v>381635</v>
      </c>
      <c r="E1405" s="24">
        <v>1971</v>
      </c>
      <c r="F1405" s="22" t="s">
        <v>10806</v>
      </c>
      <c r="G1405" s="23" t="s">
        <v>10807</v>
      </c>
      <c r="H1405" s="25" t="s">
        <v>15373</v>
      </c>
      <c r="I1405" s="22" t="s">
        <v>15411</v>
      </c>
      <c r="J1405" s="22" t="s">
        <v>14388</v>
      </c>
      <c r="K1405" s="26">
        <f t="shared" si="21"/>
        <v>640</v>
      </c>
      <c r="N1405" s="26">
        <v>960</v>
      </c>
      <c r="O1405" s="22" t="s">
        <v>10805</v>
      </c>
      <c r="P1405" s="22" t="s">
        <v>16563</v>
      </c>
      <c r="Q1405" s="22">
        <v>90242</v>
      </c>
      <c r="R1405" s="22" t="s">
        <v>10800</v>
      </c>
      <c r="S1405" s="22" t="s">
        <v>10801</v>
      </c>
      <c r="X1405" s="26"/>
      <c r="Y1405" s="26"/>
    </row>
    <row r="1406" spans="1:25" ht="25" x14ac:dyDescent="0.25">
      <c r="A1406" s="21">
        <v>1956</v>
      </c>
      <c r="B1406" s="22" t="s">
        <v>15368</v>
      </c>
      <c r="C1406" s="22" t="s">
        <v>10802</v>
      </c>
      <c r="D1406" s="23">
        <v>381636</v>
      </c>
      <c r="E1406" s="24">
        <v>1978</v>
      </c>
      <c r="F1406" s="22" t="s">
        <v>10808</v>
      </c>
      <c r="G1406" s="23" t="s">
        <v>10809</v>
      </c>
      <c r="H1406" s="25" t="s">
        <v>15373</v>
      </c>
      <c r="I1406" s="22" t="s">
        <v>15411</v>
      </c>
      <c r="J1406" s="22" t="s">
        <v>14388</v>
      </c>
      <c r="K1406" s="26">
        <f t="shared" si="21"/>
        <v>640</v>
      </c>
      <c r="N1406" s="26">
        <v>960</v>
      </c>
      <c r="O1406" s="22" t="s">
        <v>10805</v>
      </c>
      <c r="P1406" s="22" t="s">
        <v>16563</v>
      </c>
      <c r="Q1406" s="22">
        <v>90242</v>
      </c>
      <c r="R1406" s="22" t="s">
        <v>10800</v>
      </c>
      <c r="S1406" s="22" t="s">
        <v>10801</v>
      </c>
      <c r="X1406" s="26"/>
      <c r="Y1406" s="26"/>
    </row>
    <row r="1407" spans="1:25" ht="37.5" x14ac:dyDescent="0.25">
      <c r="A1407" s="21">
        <v>1957</v>
      </c>
      <c r="B1407" s="22" t="s">
        <v>15368</v>
      </c>
      <c r="C1407" s="22" t="s">
        <v>10802</v>
      </c>
      <c r="D1407" s="23">
        <v>381639</v>
      </c>
      <c r="E1407" s="24">
        <v>1971</v>
      </c>
      <c r="F1407" s="22" t="s">
        <v>10810</v>
      </c>
      <c r="G1407" s="23" t="s">
        <v>10811</v>
      </c>
      <c r="H1407" s="25" t="s">
        <v>15373</v>
      </c>
      <c r="I1407" s="22" t="s">
        <v>15411</v>
      </c>
      <c r="J1407" s="22" t="s">
        <v>14388</v>
      </c>
      <c r="K1407" s="26">
        <f t="shared" si="21"/>
        <v>756.66666666666663</v>
      </c>
      <c r="N1407" s="26" t="s">
        <v>10812</v>
      </c>
      <c r="O1407" s="22" t="s">
        <v>10805</v>
      </c>
      <c r="P1407" s="22" t="s">
        <v>16563</v>
      </c>
      <c r="Q1407" s="22">
        <v>90242</v>
      </c>
      <c r="R1407" s="22" t="s">
        <v>10800</v>
      </c>
      <c r="S1407" s="22" t="s">
        <v>10801</v>
      </c>
      <c r="X1407" s="26"/>
      <c r="Y1407" s="26"/>
    </row>
    <row r="1408" spans="1:25" ht="37.5" x14ac:dyDescent="0.25">
      <c r="A1408" s="21">
        <v>1958</v>
      </c>
      <c r="B1408" s="22" t="s">
        <v>15368</v>
      </c>
      <c r="C1408" s="22" t="s">
        <v>10802</v>
      </c>
      <c r="D1408" s="23">
        <v>381640</v>
      </c>
      <c r="E1408" s="24">
        <v>1978</v>
      </c>
      <c r="F1408" s="22" t="s">
        <v>10813</v>
      </c>
      <c r="G1408" s="23" t="s">
        <v>10814</v>
      </c>
      <c r="H1408" s="25" t="s">
        <v>15373</v>
      </c>
      <c r="I1408" s="22" t="s">
        <v>15382</v>
      </c>
      <c r="J1408" s="22" t="s">
        <v>10815</v>
      </c>
      <c r="K1408" s="26">
        <f t="shared" si="21"/>
        <v>600</v>
      </c>
      <c r="N1408" s="26">
        <v>900</v>
      </c>
      <c r="O1408" s="22" t="s">
        <v>10805</v>
      </c>
      <c r="P1408" s="22" t="s">
        <v>16563</v>
      </c>
      <c r="Q1408" s="22">
        <v>90242</v>
      </c>
      <c r="R1408" s="22" t="s">
        <v>10800</v>
      </c>
      <c r="S1408" s="22" t="s">
        <v>10801</v>
      </c>
      <c r="X1408" s="26"/>
      <c r="Y1408" s="26"/>
    </row>
    <row r="1409" spans="1:25" ht="37.5" x14ac:dyDescent="0.25">
      <c r="A1409" s="21">
        <v>1959</v>
      </c>
      <c r="B1409" s="22" t="s">
        <v>15368</v>
      </c>
      <c r="C1409" s="22" t="s">
        <v>10816</v>
      </c>
      <c r="D1409" s="23">
        <v>374830</v>
      </c>
      <c r="E1409" s="24">
        <v>2000</v>
      </c>
      <c r="F1409" s="22" t="s">
        <v>10817</v>
      </c>
      <c r="G1409" s="23" t="s">
        <v>10818</v>
      </c>
      <c r="H1409" s="25" t="s">
        <v>15373</v>
      </c>
      <c r="I1409" s="22" t="s">
        <v>15411</v>
      </c>
      <c r="J1409" s="22" t="s">
        <v>15542</v>
      </c>
      <c r="K1409" s="26">
        <f t="shared" si="21"/>
        <v>631.33333333333326</v>
      </c>
      <c r="N1409" s="26">
        <v>947</v>
      </c>
      <c r="O1409" s="22" t="s">
        <v>10819</v>
      </c>
      <c r="P1409" s="22" t="s">
        <v>15376</v>
      </c>
      <c r="Q1409" s="22">
        <v>90048</v>
      </c>
      <c r="R1409" s="22" t="s">
        <v>10820</v>
      </c>
      <c r="S1409" s="22" t="s">
        <v>10821</v>
      </c>
      <c r="X1409" s="26"/>
      <c r="Y1409" s="26"/>
    </row>
    <row r="1410" spans="1:25" ht="37.5" x14ac:dyDescent="0.25">
      <c r="A1410" s="21">
        <v>1960</v>
      </c>
      <c r="B1410" s="22" t="s">
        <v>15368</v>
      </c>
      <c r="C1410" s="22" t="s">
        <v>10822</v>
      </c>
      <c r="D1410" s="23">
        <v>377224</v>
      </c>
      <c r="E1410" s="24">
        <v>1997</v>
      </c>
      <c r="F1410" s="22" t="s">
        <v>10823</v>
      </c>
      <c r="G1410" s="23" t="s">
        <v>10824</v>
      </c>
      <c r="H1410" s="25" t="s">
        <v>15373</v>
      </c>
      <c r="I1410" s="22" t="s">
        <v>15374</v>
      </c>
      <c r="J1410" s="22" t="s">
        <v>15420</v>
      </c>
      <c r="K1410" s="26">
        <f t="shared" ref="K1410:K1473" si="22">L1410+M1410*(2/3)+N1410*(2/3)</f>
        <v>1200.6666666666665</v>
      </c>
      <c r="N1410" s="26" t="s">
        <v>10825</v>
      </c>
      <c r="O1410" s="22" t="s">
        <v>10826</v>
      </c>
      <c r="P1410" s="22" t="s">
        <v>15376</v>
      </c>
      <c r="Q1410" s="22">
        <v>90017</v>
      </c>
      <c r="R1410" s="22" t="s">
        <v>10827</v>
      </c>
      <c r="S1410" s="22" t="s">
        <v>10828</v>
      </c>
      <c r="X1410" s="26"/>
      <c r="Y1410" s="26"/>
    </row>
    <row r="1411" spans="1:25" ht="37.5" x14ac:dyDescent="0.25">
      <c r="A1411" s="21">
        <v>1961</v>
      </c>
      <c r="B1411" s="22" t="s">
        <v>15368</v>
      </c>
      <c r="C1411" s="22" t="s">
        <v>10822</v>
      </c>
      <c r="D1411" s="23">
        <v>377225</v>
      </c>
      <c r="E1411" s="24">
        <v>2000</v>
      </c>
      <c r="F1411" s="22" t="s">
        <v>10829</v>
      </c>
      <c r="G1411" s="23" t="s">
        <v>10830</v>
      </c>
      <c r="H1411" s="25" t="s">
        <v>15373</v>
      </c>
      <c r="I1411" s="22" t="s">
        <v>15374</v>
      </c>
      <c r="J1411" s="22" t="s">
        <v>15420</v>
      </c>
      <c r="K1411" s="26">
        <f t="shared" si="22"/>
        <v>1200.6666666666665</v>
      </c>
      <c r="N1411" s="26" t="s">
        <v>10825</v>
      </c>
      <c r="O1411" s="22" t="s">
        <v>10826</v>
      </c>
      <c r="P1411" s="22" t="s">
        <v>15376</v>
      </c>
      <c r="Q1411" s="22">
        <v>90017</v>
      </c>
      <c r="R1411" s="22" t="s">
        <v>10827</v>
      </c>
      <c r="S1411" s="22" t="s">
        <v>10828</v>
      </c>
      <c r="X1411" s="26"/>
      <c r="Y1411" s="26"/>
    </row>
    <row r="1412" spans="1:25" ht="50" x14ac:dyDescent="0.25">
      <c r="A1412" s="21">
        <v>1962</v>
      </c>
      <c r="B1412" s="22" t="s">
        <v>15368</v>
      </c>
      <c r="C1412" s="22" t="s">
        <v>10831</v>
      </c>
      <c r="D1412" s="23">
        <v>377782</v>
      </c>
      <c r="E1412" s="24">
        <v>1999</v>
      </c>
      <c r="F1412" s="22" t="s">
        <v>10832</v>
      </c>
      <c r="G1412" s="23" t="s">
        <v>10833</v>
      </c>
      <c r="H1412" s="25" t="s">
        <v>15373</v>
      </c>
      <c r="I1412" s="22" t="s">
        <v>15411</v>
      </c>
      <c r="J1412" s="22" t="s">
        <v>12618</v>
      </c>
      <c r="K1412" s="26">
        <f t="shared" si="22"/>
        <v>800</v>
      </c>
      <c r="N1412" s="26">
        <v>1200</v>
      </c>
      <c r="O1412" s="22" t="s">
        <v>10834</v>
      </c>
      <c r="P1412" s="22" t="s">
        <v>15740</v>
      </c>
      <c r="Q1412" s="22">
        <v>90813</v>
      </c>
      <c r="R1412" s="22" t="s">
        <v>10835</v>
      </c>
      <c r="S1412" s="22" t="s">
        <v>10836</v>
      </c>
      <c r="X1412" s="26"/>
      <c r="Y1412" s="26"/>
    </row>
    <row r="1413" spans="1:25" ht="37.5" x14ac:dyDescent="0.25">
      <c r="A1413" s="21">
        <v>1964</v>
      </c>
      <c r="B1413" s="22" t="s">
        <v>15368</v>
      </c>
      <c r="C1413" s="22" t="s">
        <v>10837</v>
      </c>
      <c r="D1413" s="23">
        <v>374240</v>
      </c>
      <c r="E1413" s="24">
        <v>2000</v>
      </c>
      <c r="F1413" s="22" t="s">
        <v>10838</v>
      </c>
      <c r="G1413" s="23" t="s">
        <v>10839</v>
      </c>
      <c r="H1413" s="25" t="s">
        <v>15373</v>
      </c>
      <c r="I1413" s="22" t="s">
        <v>15411</v>
      </c>
      <c r="J1413" s="22" t="s">
        <v>15669</v>
      </c>
      <c r="K1413" s="26">
        <f t="shared" si="22"/>
        <v>312.66666666666663</v>
      </c>
      <c r="N1413" s="26">
        <v>469</v>
      </c>
      <c r="O1413" s="22" t="s">
        <v>14679</v>
      </c>
      <c r="P1413" s="22" t="s">
        <v>15414</v>
      </c>
      <c r="Q1413" s="22">
        <v>91203</v>
      </c>
      <c r="R1413" s="22" t="s">
        <v>10840</v>
      </c>
      <c r="S1413" s="22" t="s">
        <v>10841</v>
      </c>
      <c r="X1413" s="26"/>
      <c r="Y1413" s="26"/>
    </row>
    <row r="1414" spans="1:25" ht="37.5" x14ac:dyDescent="0.25">
      <c r="A1414" s="21">
        <v>1980</v>
      </c>
      <c r="B1414" s="22" t="s">
        <v>15368</v>
      </c>
      <c r="C1414" s="22" t="s">
        <v>11749</v>
      </c>
      <c r="D1414" s="23">
        <v>375616</v>
      </c>
      <c r="E1414" s="24">
        <v>2000</v>
      </c>
      <c r="F1414" s="22" t="s">
        <v>10842</v>
      </c>
      <c r="G1414" s="23" t="s">
        <v>10843</v>
      </c>
      <c r="H1414" s="25" t="s">
        <v>15373</v>
      </c>
      <c r="I1414" s="22" t="s">
        <v>15374</v>
      </c>
      <c r="J1414" s="22" t="s">
        <v>12893</v>
      </c>
      <c r="K1414" s="26">
        <f t="shared" si="22"/>
        <v>1533.3333333333333</v>
      </c>
      <c r="N1414" s="26">
        <v>2300</v>
      </c>
      <c r="O1414" s="22" t="s">
        <v>12894</v>
      </c>
      <c r="P1414" s="22" t="s">
        <v>15376</v>
      </c>
      <c r="Q1414" s="22">
        <v>90017</v>
      </c>
      <c r="R1414" s="22" t="s">
        <v>12895</v>
      </c>
      <c r="S1414" s="22" t="s">
        <v>12896</v>
      </c>
      <c r="X1414" s="26"/>
      <c r="Y1414" s="26"/>
    </row>
    <row r="1415" spans="1:25" ht="37.5" x14ac:dyDescent="0.25">
      <c r="A1415" s="21">
        <v>1981</v>
      </c>
      <c r="B1415" s="22" t="s">
        <v>15368</v>
      </c>
      <c r="C1415" s="22" t="s">
        <v>11749</v>
      </c>
      <c r="D1415" s="23">
        <v>375617</v>
      </c>
      <c r="E1415" s="24">
        <v>2000</v>
      </c>
      <c r="F1415" s="22" t="s">
        <v>10844</v>
      </c>
      <c r="G1415" s="23" t="s">
        <v>10843</v>
      </c>
      <c r="H1415" s="25" t="s">
        <v>15373</v>
      </c>
      <c r="I1415" s="22" t="s">
        <v>15374</v>
      </c>
      <c r="J1415" s="22" t="s">
        <v>12893</v>
      </c>
      <c r="K1415" s="26">
        <f t="shared" si="22"/>
        <v>1533.3333333333333</v>
      </c>
      <c r="N1415" s="26">
        <v>2300</v>
      </c>
      <c r="O1415" s="22" t="s">
        <v>12894</v>
      </c>
      <c r="P1415" s="22" t="s">
        <v>15376</v>
      </c>
      <c r="Q1415" s="22">
        <v>90017</v>
      </c>
      <c r="R1415" s="22" t="s">
        <v>12895</v>
      </c>
      <c r="S1415" s="22" t="s">
        <v>12896</v>
      </c>
      <c r="X1415" s="26"/>
      <c r="Y1415" s="26"/>
    </row>
    <row r="1416" spans="1:25" ht="50" x14ac:dyDescent="0.25">
      <c r="A1416" s="21">
        <v>1982</v>
      </c>
      <c r="B1416" s="22" t="s">
        <v>15368</v>
      </c>
      <c r="C1416" s="22" t="s">
        <v>12836</v>
      </c>
      <c r="D1416" s="23">
        <v>380530</v>
      </c>
      <c r="E1416" s="24">
        <v>2001</v>
      </c>
      <c r="F1416" s="22" t="s">
        <v>10845</v>
      </c>
      <c r="G1416" s="23" t="s">
        <v>10846</v>
      </c>
      <c r="H1416" s="25" t="s">
        <v>15373</v>
      </c>
      <c r="I1416" s="22" t="s">
        <v>15374</v>
      </c>
      <c r="J1416" s="22" t="s">
        <v>15191</v>
      </c>
      <c r="K1416" s="26">
        <f t="shared" si="22"/>
        <v>728.66666666666663</v>
      </c>
      <c r="N1416" s="26">
        <v>1093</v>
      </c>
      <c r="O1416" s="22" t="s">
        <v>10847</v>
      </c>
      <c r="P1416" s="22" t="s">
        <v>16794</v>
      </c>
      <c r="Q1416" s="22">
        <v>92508</v>
      </c>
      <c r="R1416" s="22" t="s">
        <v>12993</v>
      </c>
      <c r="S1416" s="22" t="s">
        <v>12841</v>
      </c>
      <c r="X1416" s="26"/>
      <c r="Y1416" s="26"/>
    </row>
    <row r="1417" spans="1:25" ht="50" x14ac:dyDescent="0.25">
      <c r="A1417" s="21">
        <v>1983</v>
      </c>
      <c r="B1417" s="22" t="s">
        <v>15368</v>
      </c>
      <c r="C1417" s="22" t="s">
        <v>12836</v>
      </c>
      <c r="D1417" s="23">
        <v>380531</v>
      </c>
      <c r="E1417" s="24">
        <v>2001</v>
      </c>
      <c r="F1417" s="22" t="s">
        <v>10848</v>
      </c>
      <c r="G1417" s="23" t="s">
        <v>9816</v>
      </c>
      <c r="H1417" s="25" t="s">
        <v>15373</v>
      </c>
      <c r="I1417" s="22" t="s">
        <v>15374</v>
      </c>
      <c r="J1417" s="22" t="s">
        <v>15191</v>
      </c>
      <c r="K1417" s="26">
        <f t="shared" si="22"/>
        <v>728.66666666666663</v>
      </c>
      <c r="N1417" s="26">
        <v>1093</v>
      </c>
      <c r="O1417" s="22" t="s">
        <v>10847</v>
      </c>
      <c r="P1417" s="22" t="s">
        <v>16794</v>
      </c>
      <c r="Q1417" s="22">
        <v>92508</v>
      </c>
      <c r="R1417" s="22" t="s">
        <v>12993</v>
      </c>
      <c r="S1417" s="22" t="s">
        <v>12841</v>
      </c>
      <c r="X1417" s="26"/>
      <c r="Y1417" s="26"/>
    </row>
    <row r="1418" spans="1:25" ht="37.5" x14ac:dyDescent="0.25">
      <c r="A1418" s="21">
        <v>1984</v>
      </c>
      <c r="B1418" s="22" t="s">
        <v>15368</v>
      </c>
      <c r="C1418" s="22" t="s">
        <v>9817</v>
      </c>
      <c r="D1418" s="23">
        <v>381458</v>
      </c>
      <c r="E1418" s="24">
        <v>2001</v>
      </c>
      <c r="F1418" s="22" t="s">
        <v>9818</v>
      </c>
      <c r="G1418" s="23" t="s">
        <v>9819</v>
      </c>
      <c r="H1418" s="25" t="s">
        <v>15373</v>
      </c>
      <c r="I1418" s="22" t="s">
        <v>15382</v>
      </c>
      <c r="J1418" s="22" t="s">
        <v>14807</v>
      </c>
      <c r="K1418" s="26">
        <f t="shared" si="22"/>
        <v>373.33333333333331</v>
      </c>
      <c r="N1418" s="26">
        <v>560</v>
      </c>
      <c r="O1418" s="22" t="s">
        <v>9820</v>
      </c>
      <c r="P1418" s="22" t="s">
        <v>15376</v>
      </c>
      <c r="Q1418" s="22">
        <v>90024</v>
      </c>
      <c r="R1418" s="22" t="s">
        <v>9821</v>
      </c>
      <c r="S1418" s="22" t="s">
        <v>9822</v>
      </c>
      <c r="X1418" s="26"/>
      <c r="Y1418" s="26"/>
    </row>
    <row r="1419" spans="1:25" ht="50" x14ac:dyDescent="0.25">
      <c r="A1419" s="21">
        <v>1985</v>
      </c>
      <c r="B1419" s="22" t="s">
        <v>15368</v>
      </c>
      <c r="C1419" s="22" t="s">
        <v>9823</v>
      </c>
      <c r="D1419" s="23">
        <v>358346</v>
      </c>
      <c r="E1419" s="24">
        <v>1985</v>
      </c>
      <c r="F1419" s="22" t="s">
        <v>9824</v>
      </c>
      <c r="G1419" s="23" t="s">
        <v>9825</v>
      </c>
      <c r="H1419" s="25" t="s">
        <v>16311</v>
      </c>
      <c r="I1419" s="22" t="s">
        <v>15374</v>
      </c>
      <c r="J1419" s="22" t="s">
        <v>10095</v>
      </c>
      <c r="K1419" s="26">
        <f t="shared" si="22"/>
        <v>450</v>
      </c>
      <c r="N1419" s="26">
        <v>675</v>
      </c>
      <c r="O1419" s="22" t="s">
        <v>9826</v>
      </c>
      <c r="P1419" s="22" t="s">
        <v>13360</v>
      </c>
      <c r="Q1419" s="22">
        <v>91754</v>
      </c>
      <c r="R1419" s="22" t="s">
        <v>13176</v>
      </c>
      <c r="S1419" s="22" t="s">
        <v>9827</v>
      </c>
      <c r="X1419" s="26"/>
      <c r="Y1419" s="26"/>
    </row>
    <row r="1420" spans="1:25" ht="37.5" x14ac:dyDescent="0.25">
      <c r="A1420" s="21">
        <v>1986</v>
      </c>
      <c r="B1420" s="22" t="s">
        <v>15368</v>
      </c>
      <c r="C1420" s="22" t="s">
        <v>9828</v>
      </c>
      <c r="D1420" s="23">
        <v>380529</v>
      </c>
      <c r="E1420" s="24">
        <v>2001</v>
      </c>
      <c r="F1420" s="22" t="s">
        <v>9829</v>
      </c>
      <c r="G1420" s="23" t="s">
        <v>9830</v>
      </c>
      <c r="H1420" s="25" t="s">
        <v>15373</v>
      </c>
      <c r="I1420" s="22" t="s">
        <v>15374</v>
      </c>
      <c r="J1420" s="22" t="s">
        <v>9831</v>
      </c>
      <c r="K1420" s="26">
        <f t="shared" si="22"/>
        <v>503.33333333333331</v>
      </c>
      <c r="N1420" s="26">
        <v>755</v>
      </c>
      <c r="O1420" s="22" t="s">
        <v>9832</v>
      </c>
      <c r="P1420" s="22" t="s">
        <v>15712</v>
      </c>
      <c r="Q1420" s="22">
        <v>90501</v>
      </c>
      <c r="R1420" s="22" t="s">
        <v>9833</v>
      </c>
      <c r="S1420" s="22" t="s">
        <v>9834</v>
      </c>
      <c r="X1420" s="26"/>
      <c r="Y1420" s="26"/>
    </row>
    <row r="1421" spans="1:25" ht="37.5" x14ac:dyDescent="0.25">
      <c r="A1421" s="21">
        <v>1987</v>
      </c>
      <c r="B1421" s="22" t="s">
        <v>15368</v>
      </c>
      <c r="C1421" s="22" t="s">
        <v>9835</v>
      </c>
      <c r="D1421" s="23">
        <v>366155</v>
      </c>
      <c r="E1421" s="24">
        <v>2000</v>
      </c>
      <c r="F1421" s="22" t="s">
        <v>9598</v>
      </c>
      <c r="G1421" s="23" t="s">
        <v>9836</v>
      </c>
      <c r="H1421" s="25" t="s">
        <v>15373</v>
      </c>
      <c r="I1421" s="22" t="s">
        <v>15374</v>
      </c>
      <c r="J1421" s="22">
        <v>3612</v>
      </c>
      <c r="K1421" s="26">
        <f t="shared" si="22"/>
        <v>3933.333333333333</v>
      </c>
      <c r="N1421" s="26">
        <v>5900</v>
      </c>
      <c r="O1421" s="22" t="s">
        <v>9837</v>
      </c>
      <c r="P1421" s="22" t="s">
        <v>16490</v>
      </c>
      <c r="Q1421" s="22">
        <v>92408</v>
      </c>
      <c r="R1421" s="22" t="s">
        <v>9838</v>
      </c>
      <c r="S1421" s="22" t="s">
        <v>9839</v>
      </c>
      <c r="X1421" s="26"/>
      <c r="Y1421" s="26"/>
    </row>
    <row r="1422" spans="1:25" ht="37.5" x14ac:dyDescent="0.25">
      <c r="A1422" s="21">
        <v>1988</v>
      </c>
      <c r="B1422" s="22" t="s">
        <v>15368</v>
      </c>
      <c r="C1422" s="22" t="s">
        <v>9840</v>
      </c>
      <c r="D1422" s="23">
        <v>364093</v>
      </c>
      <c r="E1422" s="24">
        <v>1999</v>
      </c>
      <c r="F1422" s="22" t="s">
        <v>9841</v>
      </c>
      <c r="G1422" s="23" t="s">
        <v>9842</v>
      </c>
      <c r="H1422" s="25" t="s">
        <v>15373</v>
      </c>
      <c r="I1422" s="22" t="s">
        <v>15382</v>
      </c>
      <c r="J1422" s="22" t="s">
        <v>15723</v>
      </c>
      <c r="K1422" s="26">
        <f t="shared" si="22"/>
        <v>1233.3333333333333</v>
      </c>
      <c r="N1422" s="26">
        <v>1850</v>
      </c>
      <c r="O1422" s="22" t="s">
        <v>9843</v>
      </c>
      <c r="P1422" s="22" t="s">
        <v>15376</v>
      </c>
      <c r="Q1422" s="22">
        <v>90064</v>
      </c>
      <c r="R1422" s="22" t="s">
        <v>9844</v>
      </c>
      <c r="S1422" s="22" t="s">
        <v>9845</v>
      </c>
      <c r="X1422" s="26"/>
      <c r="Y1422" s="26"/>
    </row>
    <row r="1423" spans="1:25" ht="37.5" x14ac:dyDescent="0.25">
      <c r="A1423" s="21">
        <v>1989</v>
      </c>
      <c r="B1423" s="22" t="s">
        <v>15368</v>
      </c>
      <c r="C1423" s="22" t="s">
        <v>9846</v>
      </c>
      <c r="D1423" s="23">
        <v>346919</v>
      </c>
      <c r="E1423" s="24">
        <v>1998</v>
      </c>
      <c r="F1423" s="22" t="s">
        <v>9847</v>
      </c>
      <c r="G1423" s="23" t="s">
        <v>9848</v>
      </c>
      <c r="H1423" s="25" t="s">
        <v>15373</v>
      </c>
      <c r="I1423" s="22" t="s">
        <v>15382</v>
      </c>
      <c r="J1423" s="22" t="s">
        <v>14716</v>
      </c>
      <c r="K1423" s="26">
        <f t="shared" si="22"/>
        <v>600</v>
      </c>
      <c r="N1423" s="26">
        <v>900</v>
      </c>
      <c r="O1423" s="22" t="s">
        <v>9849</v>
      </c>
      <c r="P1423" s="22" t="s">
        <v>15376</v>
      </c>
      <c r="Q1423" s="22">
        <v>90017</v>
      </c>
      <c r="R1423" s="22" t="s">
        <v>9850</v>
      </c>
      <c r="S1423" s="22" t="s">
        <v>9851</v>
      </c>
      <c r="X1423" s="26"/>
      <c r="Y1423" s="26"/>
    </row>
    <row r="1424" spans="1:25" ht="37.5" x14ac:dyDescent="0.25">
      <c r="A1424" s="21">
        <v>1995</v>
      </c>
      <c r="B1424" s="22" t="s">
        <v>15368</v>
      </c>
      <c r="C1424" s="22" t="s">
        <v>9852</v>
      </c>
      <c r="D1424" s="23">
        <v>379692</v>
      </c>
      <c r="E1424" s="24">
        <v>2001</v>
      </c>
      <c r="F1424" s="22" t="s">
        <v>9853</v>
      </c>
      <c r="G1424" s="23" t="s">
        <v>9854</v>
      </c>
      <c r="H1424" s="25" t="s">
        <v>15373</v>
      </c>
      <c r="I1424" s="22" t="s">
        <v>15382</v>
      </c>
      <c r="J1424" s="22" t="s">
        <v>16799</v>
      </c>
      <c r="K1424" s="26">
        <f t="shared" si="22"/>
        <v>503.33333333333331</v>
      </c>
      <c r="N1424" s="26">
        <v>755</v>
      </c>
      <c r="O1424" s="22" t="s">
        <v>9855</v>
      </c>
      <c r="P1424" s="22" t="s">
        <v>12474</v>
      </c>
      <c r="Q1424" s="22">
        <v>92376</v>
      </c>
      <c r="R1424" s="22" t="s">
        <v>9856</v>
      </c>
      <c r="S1424" s="22" t="s">
        <v>9857</v>
      </c>
      <c r="X1424" s="26"/>
      <c r="Y1424" s="26"/>
    </row>
    <row r="1425" spans="1:25" ht="50" x14ac:dyDescent="0.25">
      <c r="A1425" s="21">
        <v>1996</v>
      </c>
      <c r="B1425" s="22" t="s">
        <v>15368</v>
      </c>
      <c r="C1425" s="22" t="s">
        <v>9858</v>
      </c>
      <c r="D1425" s="23">
        <v>373240</v>
      </c>
      <c r="E1425" s="24">
        <v>1991</v>
      </c>
      <c r="F1425" s="22" t="s">
        <v>9859</v>
      </c>
      <c r="G1425" s="23" t="s">
        <v>9860</v>
      </c>
      <c r="H1425" s="25" t="s">
        <v>15373</v>
      </c>
      <c r="I1425" s="22" t="s">
        <v>15382</v>
      </c>
      <c r="J1425" s="22" t="s">
        <v>15677</v>
      </c>
      <c r="K1425" s="26">
        <f t="shared" si="22"/>
        <v>1665.3333333333333</v>
      </c>
      <c r="N1425" s="26">
        <v>2498</v>
      </c>
      <c r="O1425" s="22" t="s">
        <v>9861</v>
      </c>
      <c r="P1425" s="22" t="s">
        <v>14020</v>
      </c>
      <c r="Q1425" s="22">
        <v>92705</v>
      </c>
      <c r="R1425" s="22" t="s">
        <v>9862</v>
      </c>
      <c r="S1425" s="22" t="s">
        <v>11094</v>
      </c>
      <c r="X1425" s="26"/>
      <c r="Y1425" s="26"/>
    </row>
    <row r="1426" spans="1:25" ht="50" x14ac:dyDescent="0.25">
      <c r="A1426" s="21">
        <v>1997</v>
      </c>
      <c r="B1426" s="22" t="s">
        <v>15368</v>
      </c>
      <c r="C1426" s="22" t="s">
        <v>9863</v>
      </c>
      <c r="D1426" s="23">
        <v>378966</v>
      </c>
      <c r="E1426" s="24">
        <v>2000</v>
      </c>
      <c r="F1426" s="22" t="s">
        <v>9864</v>
      </c>
      <c r="G1426" s="23" t="s">
        <v>9865</v>
      </c>
      <c r="H1426" s="25" t="s">
        <v>15373</v>
      </c>
      <c r="I1426" s="22" t="s">
        <v>15382</v>
      </c>
      <c r="J1426" s="22" t="s">
        <v>9866</v>
      </c>
      <c r="K1426" s="26">
        <f t="shared" si="22"/>
        <v>506.66666666666663</v>
      </c>
      <c r="N1426" s="26">
        <v>760</v>
      </c>
      <c r="O1426" s="22" t="s">
        <v>9867</v>
      </c>
      <c r="P1426" s="22" t="s">
        <v>15435</v>
      </c>
      <c r="Q1426" s="22">
        <v>92626</v>
      </c>
      <c r="R1426" s="22" t="s">
        <v>9868</v>
      </c>
      <c r="S1426" s="22" t="s">
        <v>9869</v>
      </c>
      <c r="X1426" s="26"/>
      <c r="Y1426" s="26"/>
    </row>
    <row r="1427" spans="1:25" ht="37.5" x14ac:dyDescent="0.25">
      <c r="A1427" s="21">
        <v>2000</v>
      </c>
      <c r="B1427" s="22" t="s">
        <v>15368</v>
      </c>
      <c r="C1427" s="22" t="s">
        <v>9870</v>
      </c>
      <c r="D1427" s="23">
        <v>383204</v>
      </c>
      <c r="E1427" s="24">
        <v>2001</v>
      </c>
      <c r="F1427" s="22" t="s">
        <v>9871</v>
      </c>
      <c r="G1427" s="23" t="s">
        <v>9872</v>
      </c>
      <c r="H1427" s="25" t="s">
        <v>15373</v>
      </c>
      <c r="I1427" s="22" t="s">
        <v>15411</v>
      </c>
      <c r="J1427" s="22" t="s">
        <v>15412</v>
      </c>
      <c r="K1427" s="26">
        <f t="shared" si="22"/>
        <v>553.33333333333326</v>
      </c>
      <c r="N1427" s="26">
        <v>830</v>
      </c>
      <c r="O1427" s="22" t="s">
        <v>9873</v>
      </c>
      <c r="P1427" s="22" t="s">
        <v>14639</v>
      </c>
      <c r="Q1427" s="22">
        <v>90263</v>
      </c>
      <c r="R1427" s="22" t="s">
        <v>9874</v>
      </c>
      <c r="S1427" s="22" t="s">
        <v>9875</v>
      </c>
      <c r="X1427" s="26"/>
      <c r="Y1427" s="26"/>
    </row>
    <row r="1428" spans="1:25" ht="50" x14ac:dyDescent="0.25">
      <c r="A1428" s="21">
        <v>2005</v>
      </c>
      <c r="B1428" s="22" t="s">
        <v>15368</v>
      </c>
      <c r="C1428" s="22" t="s">
        <v>9876</v>
      </c>
      <c r="D1428" s="23">
        <v>369112</v>
      </c>
      <c r="E1428" s="24">
        <v>1998</v>
      </c>
      <c r="F1428" s="22" t="s">
        <v>9877</v>
      </c>
      <c r="G1428" s="23" t="s">
        <v>9878</v>
      </c>
      <c r="H1428" s="25" t="s">
        <v>15373</v>
      </c>
      <c r="I1428" s="22" t="s">
        <v>15382</v>
      </c>
      <c r="J1428" s="22" t="s">
        <v>9879</v>
      </c>
      <c r="K1428" s="26">
        <f t="shared" si="22"/>
        <v>1250</v>
      </c>
      <c r="L1428" s="26">
        <v>1250</v>
      </c>
      <c r="O1428" s="22" t="s">
        <v>9880</v>
      </c>
      <c r="P1428" s="22" t="s">
        <v>15422</v>
      </c>
      <c r="Q1428" s="22">
        <v>91504</v>
      </c>
      <c r="R1428" s="22" t="s">
        <v>11920</v>
      </c>
      <c r="S1428" s="22" t="s">
        <v>11921</v>
      </c>
      <c r="X1428" s="26"/>
      <c r="Y1428" s="26"/>
    </row>
    <row r="1429" spans="1:25" ht="50" x14ac:dyDescent="0.25">
      <c r="A1429" s="21">
        <v>2006</v>
      </c>
      <c r="B1429" s="22" t="s">
        <v>15368</v>
      </c>
      <c r="C1429" s="22" t="s">
        <v>9876</v>
      </c>
      <c r="D1429" s="23">
        <v>369113</v>
      </c>
      <c r="E1429" s="24" t="s">
        <v>9881</v>
      </c>
      <c r="F1429" s="22" t="s">
        <v>9882</v>
      </c>
      <c r="G1429" s="23" t="s">
        <v>9883</v>
      </c>
      <c r="H1429" s="25" t="s">
        <v>15373</v>
      </c>
      <c r="I1429" s="22" t="s">
        <v>15382</v>
      </c>
      <c r="J1429" s="22" t="s">
        <v>9879</v>
      </c>
      <c r="K1429" s="26">
        <f t="shared" si="22"/>
        <v>1250</v>
      </c>
      <c r="L1429" s="26">
        <v>1250</v>
      </c>
      <c r="O1429" s="22" t="s">
        <v>9880</v>
      </c>
      <c r="P1429" s="22" t="s">
        <v>15422</v>
      </c>
      <c r="Q1429" s="22">
        <v>91504</v>
      </c>
      <c r="R1429" s="22" t="s">
        <v>11920</v>
      </c>
      <c r="S1429" s="22" t="s">
        <v>11921</v>
      </c>
      <c r="X1429" s="26"/>
      <c r="Y1429" s="26"/>
    </row>
    <row r="1430" spans="1:25" ht="50" x14ac:dyDescent="0.25">
      <c r="A1430" s="21">
        <v>2007</v>
      </c>
      <c r="B1430" s="22" t="s">
        <v>15368</v>
      </c>
      <c r="C1430" s="22" t="s">
        <v>9876</v>
      </c>
      <c r="D1430" s="23">
        <v>369236</v>
      </c>
      <c r="E1430" s="24" t="s">
        <v>9881</v>
      </c>
      <c r="F1430" s="22" t="s">
        <v>9884</v>
      </c>
      <c r="G1430" s="23" t="s">
        <v>9885</v>
      </c>
      <c r="H1430" s="25" t="s">
        <v>15373</v>
      </c>
      <c r="I1430" s="22" t="s">
        <v>15382</v>
      </c>
      <c r="J1430" s="22" t="s">
        <v>9879</v>
      </c>
      <c r="K1430" s="26">
        <f t="shared" si="22"/>
        <v>1250</v>
      </c>
      <c r="L1430" s="26">
        <v>1250</v>
      </c>
      <c r="O1430" s="22" t="s">
        <v>9880</v>
      </c>
      <c r="P1430" s="22" t="s">
        <v>15422</v>
      </c>
      <c r="Q1430" s="22">
        <v>91504</v>
      </c>
      <c r="R1430" s="22" t="s">
        <v>11920</v>
      </c>
      <c r="S1430" s="22" t="s">
        <v>11921</v>
      </c>
      <c r="X1430" s="26"/>
      <c r="Y1430" s="26"/>
    </row>
    <row r="1431" spans="1:25" ht="37.5" x14ac:dyDescent="0.25">
      <c r="A1431" s="21">
        <v>2008</v>
      </c>
      <c r="B1431" s="22" t="s">
        <v>15368</v>
      </c>
      <c r="C1431" s="22" t="s">
        <v>9886</v>
      </c>
      <c r="D1431" s="23">
        <v>380383</v>
      </c>
      <c r="E1431" s="24">
        <v>2001</v>
      </c>
      <c r="F1431" s="22" t="s">
        <v>9887</v>
      </c>
      <c r="G1431" s="23" t="s">
        <v>9888</v>
      </c>
      <c r="H1431" s="25" t="s">
        <v>15373</v>
      </c>
      <c r="I1431" s="22" t="s">
        <v>15374</v>
      </c>
      <c r="J1431" s="22" t="s">
        <v>15731</v>
      </c>
      <c r="K1431" s="26">
        <f t="shared" si="22"/>
        <v>960.66666666666663</v>
      </c>
      <c r="N1431" s="26">
        <v>1441</v>
      </c>
      <c r="O1431" s="22" t="s">
        <v>9889</v>
      </c>
      <c r="P1431" s="22" t="s">
        <v>11944</v>
      </c>
      <c r="Q1431" s="22">
        <v>92562</v>
      </c>
      <c r="R1431" s="22" t="s">
        <v>9890</v>
      </c>
      <c r="S1431" s="22" t="s">
        <v>9891</v>
      </c>
      <c r="X1431" s="26"/>
      <c r="Y1431" s="26"/>
    </row>
    <row r="1432" spans="1:25" ht="25" x14ac:dyDescent="0.25">
      <c r="A1432" s="21">
        <v>2009</v>
      </c>
      <c r="B1432" s="22" t="s">
        <v>15368</v>
      </c>
      <c r="C1432" s="22" t="s">
        <v>9892</v>
      </c>
      <c r="D1432" s="23">
        <v>335791</v>
      </c>
      <c r="E1432" s="24">
        <v>1997</v>
      </c>
      <c r="F1432" s="22" t="s">
        <v>9893</v>
      </c>
      <c r="G1432" s="23" t="s">
        <v>9894</v>
      </c>
      <c r="H1432" s="25" t="s">
        <v>16310</v>
      </c>
      <c r="I1432" s="22" t="s">
        <v>15374</v>
      </c>
      <c r="J1432" s="22" t="s">
        <v>9895</v>
      </c>
      <c r="K1432" s="26">
        <f t="shared" si="22"/>
        <v>363.33333333333331</v>
      </c>
      <c r="N1432" s="26">
        <v>545</v>
      </c>
      <c r="O1432" s="22" t="s">
        <v>9896</v>
      </c>
      <c r="P1432" s="22" t="s">
        <v>16347</v>
      </c>
      <c r="Q1432" s="22">
        <v>91730</v>
      </c>
      <c r="R1432" s="22" t="s">
        <v>9897</v>
      </c>
      <c r="S1432" s="22" t="s">
        <v>9898</v>
      </c>
      <c r="X1432" s="26"/>
      <c r="Y1432" s="26"/>
    </row>
    <row r="1433" spans="1:25" ht="25" x14ac:dyDescent="0.25">
      <c r="A1433" s="21">
        <v>2010</v>
      </c>
      <c r="B1433" s="22" t="s">
        <v>15368</v>
      </c>
      <c r="C1433" s="22" t="s">
        <v>9899</v>
      </c>
      <c r="D1433" s="23">
        <v>371701</v>
      </c>
      <c r="E1433" s="24">
        <v>2000</v>
      </c>
      <c r="F1433" s="22" t="s">
        <v>9598</v>
      </c>
      <c r="G1433" s="23" t="s">
        <v>9900</v>
      </c>
      <c r="H1433" s="25" t="s">
        <v>15373</v>
      </c>
      <c r="I1433" s="22" t="s">
        <v>15374</v>
      </c>
      <c r="J1433" s="22">
        <v>3412</v>
      </c>
      <c r="K1433" s="26">
        <f t="shared" si="22"/>
        <v>500</v>
      </c>
      <c r="L1433" s="26">
        <v>500</v>
      </c>
      <c r="O1433" s="22" t="s">
        <v>9901</v>
      </c>
      <c r="P1433" s="22" t="s">
        <v>16794</v>
      </c>
      <c r="Q1433" s="22">
        <v>92501</v>
      </c>
      <c r="R1433" s="22" t="s">
        <v>12040</v>
      </c>
      <c r="S1433" s="22" t="s">
        <v>9902</v>
      </c>
      <c r="X1433" s="26"/>
      <c r="Y1433" s="26"/>
    </row>
    <row r="1434" spans="1:25" ht="50" x14ac:dyDescent="0.25">
      <c r="A1434" s="21">
        <v>2011</v>
      </c>
      <c r="B1434" s="22" t="s">
        <v>15368</v>
      </c>
      <c r="C1434" s="22" t="s">
        <v>9903</v>
      </c>
      <c r="D1434" s="23">
        <v>377241</v>
      </c>
      <c r="E1434" s="24">
        <v>1997</v>
      </c>
      <c r="F1434" s="22" t="s">
        <v>9904</v>
      </c>
      <c r="G1434" s="23" t="s">
        <v>9905</v>
      </c>
      <c r="H1434" s="25" t="s">
        <v>15373</v>
      </c>
      <c r="I1434" s="22" t="s">
        <v>15411</v>
      </c>
      <c r="J1434" s="22" t="s">
        <v>15542</v>
      </c>
      <c r="K1434" s="26">
        <f t="shared" si="22"/>
        <v>631.33333333333326</v>
      </c>
      <c r="N1434" s="26">
        <v>947</v>
      </c>
      <c r="O1434" s="22" t="s">
        <v>9906</v>
      </c>
      <c r="P1434" s="22" t="s">
        <v>15964</v>
      </c>
      <c r="Q1434" s="22">
        <v>91733</v>
      </c>
      <c r="R1434" s="22" t="s">
        <v>9907</v>
      </c>
      <c r="S1434" s="22" t="s">
        <v>9908</v>
      </c>
      <c r="X1434" s="26"/>
      <c r="Y1434" s="26"/>
    </row>
    <row r="1435" spans="1:25" ht="50" x14ac:dyDescent="0.25">
      <c r="A1435" s="21">
        <v>2012</v>
      </c>
      <c r="B1435" s="22" t="s">
        <v>15368</v>
      </c>
      <c r="C1435" s="22" t="s">
        <v>9909</v>
      </c>
      <c r="D1435" s="23">
        <v>377238</v>
      </c>
      <c r="E1435" s="24">
        <v>1997</v>
      </c>
      <c r="F1435" s="22" t="s">
        <v>9910</v>
      </c>
      <c r="G1435" s="23" t="s">
        <v>9911</v>
      </c>
      <c r="H1435" s="25" t="s">
        <v>15373</v>
      </c>
      <c r="I1435" s="22" t="s">
        <v>15411</v>
      </c>
      <c r="J1435" s="22" t="s">
        <v>15542</v>
      </c>
      <c r="K1435" s="26">
        <f t="shared" si="22"/>
        <v>631.33333333333326</v>
      </c>
      <c r="N1435" s="26">
        <v>947</v>
      </c>
      <c r="O1435" s="22" t="s">
        <v>9912</v>
      </c>
      <c r="P1435" s="22" t="s">
        <v>9913</v>
      </c>
      <c r="Q1435" s="22">
        <v>91745</v>
      </c>
      <c r="R1435" s="22" t="s">
        <v>9914</v>
      </c>
      <c r="S1435" s="22" t="s">
        <v>9908</v>
      </c>
      <c r="X1435" s="26"/>
      <c r="Y1435" s="26"/>
    </row>
    <row r="1436" spans="1:25" ht="62.5" x14ac:dyDescent="0.25">
      <c r="A1436" s="21">
        <v>2013</v>
      </c>
      <c r="B1436" s="22" t="s">
        <v>15368</v>
      </c>
      <c r="C1436" s="22" t="s">
        <v>9909</v>
      </c>
      <c r="D1436" s="23">
        <v>377239</v>
      </c>
      <c r="E1436" s="24">
        <v>1999</v>
      </c>
      <c r="F1436" s="22" t="s">
        <v>9915</v>
      </c>
      <c r="G1436" s="23" t="s">
        <v>9916</v>
      </c>
      <c r="H1436" s="25" t="s">
        <v>15373</v>
      </c>
      <c r="I1436" s="22" t="s">
        <v>15411</v>
      </c>
      <c r="J1436" s="22" t="s">
        <v>13080</v>
      </c>
      <c r="K1436" s="26">
        <f t="shared" si="22"/>
        <v>606.66666666666663</v>
      </c>
      <c r="N1436" s="26">
        <v>910</v>
      </c>
      <c r="O1436" s="22" t="s">
        <v>9917</v>
      </c>
      <c r="P1436" s="22" t="s">
        <v>15964</v>
      </c>
      <c r="Q1436" s="22">
        <v>91734</v>
      </c>
      <c r="R1436" s="22" t="s">
        <v>9918</v>
      </c>
      <c r="S1436" s="22" t="s">
        <v>9919</v>
      </c>
      <c r="X1436" s="26"/>
      <c r="Y1436" s="26"/>
    </row>
    <row r="1437" spans="1:25" ht="50" x14ac:dyDescent="0.25">
      <c r="A1437" s="21">
        <v>2014</v>
      </c>
      <c r="B1437" s="22" t="s">
        <v>15368</v>
      </c>
      <c r="C1437" s="22" t="s">
        <v>9909</v>
      </c>
      <c r="D1437" s="23">
        <v>377243</v>
      </c>
      <c r="E1437" s="24">
        <v>1999</v>
      </c>
      <c r="F1437" s="22" t="s">
        <v>9920</v>
      </c>
      <c r="G1437" s="23" t="s">
        <v>9921</v>
      </c>
      <c r="H1437" s="25" t="s">
        <v>15373</v>
      </c>
      <c r="I1437" s="22" t="s">
        <v>15411</v>
      </c>
      <c r="J1437" s="22" t="s">
        <v>13080</v>
      </c>
      <c r="K1437" s="26">
        <f t="shared" si="22"/>
        <v>606.66666666666663</v>
      </c>
      <c r="N1437" s="26">
        <v>910</v>
      </c>
      <c r="O1437" s="22" t="s">
        <v>9922</v>
      </c>
      <c r="P1437" s="22" t="s">
        <v>11291</v>
      </c>
      <c r="Q1437" s="22">
        <v>91746</v>
      </c>
      <c r="R1437" s="22" t="s">
        <v>9914</v>
      </c>
      <c r="S1437" s="22" t="s">
        <v>9908</v>
      </c>
      <c r="X1437" s="26"/>
      <c r="Y1437" s="26"/>
    </row>
    <row r="1438" spans="1:25" ht="37.5" x14ac:dyDescent="0.25">
      <c r="A1438" s="21">
        <v>2016</v>
      </c>
      <c r="B1438" s="22" t="s">
        <v>15368</v>
      </c>
      <c r="C1438" s="22" t="s">
        <v>9923</v>
      </c>
      <c r="D1438" s="23">
        <v>377863</v>
      </c>
      <c r="E1438" s="24">
        <v>2000</v>
      </c>
      <c r="F1438" s="22" t="s">
        <v>9926</v>
      </c>
      <c r="G1438" s="23" t="s">
        <v>9927</v>
      </c>
      <c r="H1438" s="25" t="s">
        <v>15373</v>
      </c>
      <c r="I1438" s="22" t="s">
        <v>15382</v>
      </c>
      <c r="J1438" s="22" t="s">
        <v>16792</v>
      </c>
      <c r="K1438" s="26">
        <f t="shared" si="22"/>
        <v>399</v>
      </c>
      <c r="L1438" s="26">
        <v>399</v>
      </c>
      <c r="O1438" s="22" t="s">
        <v>9928</v>
      </c>
      <c r="P1438" s="22" t="s">
        <v>15435</v>
      </c>
      <c r="Q1438" s="22">
        <v>92626</v>
      </c>
      <c r="R1438" s="22" t="s">
        <v>9924</v>
      </c>
      <c r="S1438" s="22" t="s">
        <v>9925</v>
      </c>
      <c r="X1438" s="26"/>
      <c r="Y1438" s="26"/>
    </row>
    <row r="1439" spans="1:25" ht="25" x14ac:dyDescent="0.25">
      <c r="A1439" s="21">
        <v>2017</v>
      </c>
      <c r="B1439" s="22" t="s">
        <v>15368</v>
      </c>
      <c r="C1439" s="22" t="s">
        <v>11352</v>
      </c>
      <c r="D1439" s="23">
        <v>380871</v>
      </c>
      <c r="E1439" s="24">
        <v>2001</v>
      </c>
      <c r="F1439" s="22" t="s">
        <v>9598</v>
      </c>
      <c r="G1439" s="23" t="s">
        <v>9929</v>
      </c>
      <c r="H1439" s="25" t="s">
        <v>15373</v>
      </c>
      <c r="I1439" s="22" t="s">
        <v>15374</v>
      </c>
      <c r="J1439" s="22" t="s">
        <v>16311</v>
      </c>
      <c r="K1439" s="26">
        <f t="shared" si="22"/>
        <v>683.33333333333326</v>
      </c>
      <c r="N1439" s="26">
        <v>1025</v>
      </c>
      <c r="O1439" s="22" t="s">
        <v>11355</v>
      </c>
      <c r="P1439" s="22" t="s">
        <v>15683</v>
      </c>
      <c r="Q1439" s="22">
        <v>91355</v>
      </c>
      <c r="R1439" s="22" t="s">
        <v>11356</v>
      </c>
      <c r="S1439" s="22" t="s">
        <v>11357</v>
      </c>
      <c r="X1439" s="26"/>
      <c r="Y1439" s="26"/>
    </row>
    <row r="1440" spans="1:25" ht="50" x14ac:dyDescent="0.25">
      <c r="A1440" s="21">
        <v>2019</v>
      </c>
      <c r="B1440" s="22" t="s">
        <v>15368</v>
      </c>
      <c r="C1440" s="22" t="s">
        <v>12426</v>
      </c>
      <c r="D1440" s="23">
        <v>346291</v>
      </c>
      <c r="E1440" s="24">
        <v>1998</v>
      </c>
      <c r="F1440" s="22" t="s">
        <v>9598</v>
      </c>
      <c r="G1440" s="23" t="s">
        <v>9930</v>
      </c>
      <c r="H1440" s="25" t="s">
        <v>15373</v>
      </c>
      <c r="I1440" s="22" t="s">
        <v>15374</v>
      </c>
      <c r="J1440" s="22" t="s">
        <v>15677</v>
      </c>
      <c r="K1440" s="26">
        <f t="shared" si="22"/>
        <v>1500</v>
      </c>
      <c r="L1440" s="26">
        <v>1500</v>
      </c>
      <c r="O1440" s="22" t="s">
        <v>11426</v>
      </c>
      <c r="P1440" s="22" t="s">
        <v>16853</v>
      </c>
      <c r="Q1440" s="22">
        <v>92715</v>
      </c>
      <c r="R1440" s="22" t="s">
        <v>11427</v>
      </c>
      <c r="S1440" s="22" t="s">
        <v>11423</v>
      </c>
      <c r="X1440" s="26"/>
      <c r="Y1440" s="26"/>
    </row>
    <row r="1441" spans="1:25" ht="50" x14ac:dyDescent="0.25">
      <c r="A1441" s="21">
        <v>2020</v>
      </c>
      <c r="B1441" s="22" t="s">
        <v>15368</v>
      </c>
      <c r="C1441" s="22" t="s">
        <v>12426</v>
      </c>
      <c r="D1441" s="23">
        <v>346293</v>
      </c>
      <c r="E1441" s="24">
        <v>1998</v>
      </c>
      <c r="F1441" s="22" t="s">
        <v>9598</v>
      </c>
      <c r="G1441" s="23" t="s">
        <v>9930</v>
      </c>
      <c r="H1441" s="25" t="s">
        <v>15373</v>
      </c>
      <c r="I1441" s="22" t="s">
        <v>15374</v>
      </c>
      <c r="J1441" s="22" t="s">
        <v>15677</v>
      </c>
      <c r="K1441" s="26">
        <f t="shared" si="22"/>
        <v>1500</v>
      </c>
      <c r="L1441" s="26">
        <v>1500</v>
      </c>
      <c r="O1441" s="22" t="s">
        <v>11426</v>
      </c>
      <c r="P1441" s="22" t="s">
        <v>16853</v>
      </c>
      <c r="Q1441" s="22">
        <v>92715</v>
      </c>
      <c r="R1441" s="22" t="s">
        <v>11427</v>
      </c>
      <c r="S1441" s="22" t="s">
        <v>11423</v>
      </c>
      <c r="X1441" s="26"/>
      <c r="Y1441" s="26"/>
    </row>
    <row r="1442" spans="1:25" ht="37.5" x14ac:dyDescent="0.25">
      <c r="A1442" s="21">
        <v>2022</v>
      </c>
      <c r="B1442" s="22" t="s">
        <v>15368</v>
      </c>
      <c r="C1442" s="22" t="s">
        <v>9931</v>
      </c>
      <c r="D1442" s="23">
        <v>373876</v>
      </c>
      <c r="E1442" s="24">
        <v>2000</v>
      </c>
      <c r="F1442" s="22" t="s">
        <v>9932</v>
      </c>
      <c r="G1442" s="23" t="s">
        <v>9933</v>
      </c>
      <c r="H1442" s="25" t="s">
        <v>15373</v>
      </c>
      <c r="I1442" s="22" t="s">
        <v>15382</v>
      </c>
      <c r="J1442" s="22" t="s">
        <v>14807</v>
      </c>
      <c r="K1442" s="26">
        <f t="shared" si="22"/>
        <v>373.33333333333331</v>
      </c>
      <c r="N1442" s="26">
        <v>560</v>
      </c>
      <c r="O1442" s="22" t="s">
        <v>9934</v>
      </c>
      <c r="P1442" s="22" t="s">
        <v>14020</v>
      </c>
      <c r="Q1442" s="22">
        <v>92707</v>
      </c>
      <c r="R1442" s="22" t="s">
        <v>9935</v>
      </c>
      <c r="S1442" s="22" t="s">
        <v>9936</v>
      </c>
      <c r="X1442" s="26"/>
      <c r="Y1442" s="26"/>
    </row>
    <row r="1443" spans="1:25" ht="50" x14ac:dyDescent="0.25">
      <c r="A1443" s="21">
        <v>2023</v>
      </c>
      <c r="B1443" s="22" t="s">
        <v>15368</v>
      </c>
      <c r="C1443" s="22" t="s">
        <v>9931</v>
      </c>
      <c r="D1443" s="23">
        <v>373875</v>
      </c>
      <c r="E1443" s="24">
        <v>2000</v>
      </c>
      <c r="F1443" s="22" t="s">
        <v>9937</v>
      </c>
      <c r="G1443" s="23" t="s">
        <v>9938</v>
      </c>
      <c r="H1443" s="25" t="s">
        <v>15373</v>
      </c>
      <c r="I1443" s="22" t="s">
        <v>15374</v>
      </c>
      <c r="J1443" s="22" t="s">
        <v>16561</v>
      </c>
      <c r="K1443" s="26">
        <f t="shared" si="22"/>
        <v>357.33333333333331</v>
      </c>
      <c r="N1443" s="26">
        <v>536</v>
      </c>
      <c r="O1443" s="22" t="s">
        <v>9934</v>
      </c>
      <c r="P1443" s="22" t="s">
        <v>14020</v>
      </c>
      <c r="Q1443" s="22">
        <v>92707</v>
      </c>
      <c r="R1443" s="22" t="s">
        <v>9935</v>
      </c>
      <c r="S1443" s="22" t="s">
        <v>9936</v>
      </c>
      <c r="X1443" s="26"/>
      <c r="Y1443" s="26"/>
    </row>
    <row r="1444" spans="1:25" ht="37.5" x14ac:dyDescent="0.25">
      <c r="A1444" s="21">
        <v>2024</v>
      </c>
      <c r="B1444" s="22" t="s">
        <v>15368</v>
      </c>
      <c r="C1444" s="22" t="s">
        <v>9939</v>
      </c>
      <c r="D1444" s="23">
        <v>379431</v>
      </c>
      <c r="E1444" s="24">
        <v>2000</v>
      </c>
      <c r="F1444" s="22" t="s">
        <v>9940</v>
      </c>
      <c r="G1444" s="23" t="s">
        <v>9941</v>
      </c>
      <c r="H1444" s="25" t="s">
        <v>15373</v>
      </c>
      <c r="I1444" s="22" t="s">
        <v>15374</v>
      </c>
      <c r="J1444" s="22">
        <v>3412</v>
      </c>
      <c r="K1444" s="26">
        <f t="shared" si="22"/>
        <v>597.33333333333326</v>
      </c>
      <c r="N1444" s="26">
        <v>896</v>
      </c>
      <c r="O1444" s="22" t="s">
        <v>9942</v>
      </c>
      <c r="P1444" s="22" t="s">
        <v>16833</v>
      </c>
      <c r="Q1444" s="22">
        <v>90670</v>
      </c>
      <c r="R1444" s="22" t="s">
        <v>9943</v>
      </c>
      <c r="S1444" s="22" t="s">
        <v>9944</v>
      </c>
      <c r="X1444" s="26"/>
      <c r="Y1444" s="26"/>
    </row>
    <row r="1445" spans="1:25" ht="37.5" x14ac:dyDescent="0.25">
      <c r="A1445" s="21">
        <v>2025</v>
      </c>
      <c r="B1445" s="22" t="s">
        <v>15368</v>
      </c>
      <c r="C1445" s="22" t="s">
        <v>9945</v>
      </c>
      <c r="D1445" s="23">
        <v>380867</v>
      </c>
      <c r="E1445" s="24">
        <v>2001</v>
      </c>
      <c r="F1445" s="22" t="s">
        <v>9946</v>
      </c>
      <c r="G1445" s="23" t="s">
        <v>9947</v>
      </c>
      <c r="H1445" s="25" t="s">
        <v>15373</v>
      </c>
      <c r="I1445" s="22" t="s">
        <v>15382</v>
      </c>
      <c r="J1445" s="22" t="s">
        <v>9948</v>
      </c>
      <c r="K1445" s="26">
        <f t="shared" si="22"/>
        <v>600</v>
      </c>
      <c r="N1445" s="26">
        <v>900</v>
      </c>
      <c r="O1445" s="22" t="s">
        <v>8831</v>
      </c>
      <c r="P1445" s="22" t="s">
        <v>16259</v>
      </c>
      <c r="Q1445" s="22">
        <v>90650</v>
      </c>
      <c r="R1445" s="22" t="s">
        <v>8832</v>
      </c>
      <c r="S1445" s="22" t="s">
        <v>8833</v>
      </c>
      <c r="X1445" s="26"/>
      <c r="Y1445" s="26"/>
    </row>
    <row r="1446" spans="1:25" ht="50" x14ac:dyDescent="0.25">
      <c r="A1446" s="21">
        <v>2026</v>
      </c>
      <c r="B1446" s="22" t="s">
        <v>15368</v>
      </c>
      <c r="C1446" s="22" t="s">
        <v>8834</v>
      </c>
      <c r="D1446" s="23">
        <v>379504</v>
      </c>
      <c r="E1446" s="24">
        <v>2000</v>
      </c>
      <c r="F1446" s="22" t="s">
        <v>8835</v>
      </c>
      <c r="G1446" s="23" t="s">
        <v>8836</v>
      </c>
      <c r="H1446" s="25" t="s">
        <v>15373</v>
      </c>
      <c r="I1446" s="22" t="s">
        <v>15374</v>
      </c>
      <c r="J1446" s="22" t="s">
        <v>15420</v>
      </c>
      <c r="K1446" s="26">
        <f t="shared" si="22"/>
        <v>1200.6666666666665</v>
      </c>
      <c r="N1446" s="26">
        <v>1801</v>
      </c>
      <c r="O1446" s="22" t="s">
        <v>8837</v>
      </c>
      <c r="P1446" s="22" t="s">
        <v>16794</v>
      </c>
      <c r="Q1446" s="22">
        <v>92502</v>
      </c>
      <c r="R1446" s="22" t="s">
        <v>8838</v>
      </c>
      <c r="S1446" s="22" t="s">
        <v>8839</v>
      </c>
      <c r="X1446" s="26"/>
      <c r="Y1446" s="26"/>
    </row>
    <row r="1447" spans="1:25" ht="37.5" x14ac:dyDescent="0.25">
      <c r="A1447" s="21">
        <v>2027</v>
      </c>
      <c r="B1447" s="22" t="s">
        <v>15368</v>
      </c>
      <c r="C1447" s="22" t="s">
        <v>8840</v>
      </c>
      <c r="D1447" s="23">
        <v>381590</v>
      </c>
      <c r="E1447" s="24">
        <v>2001</v>
      </c>
      <c r="F1447" s="22" t="s">
        <v>8841</v>
      </c>
      <c r="G1447" s="23" t="s">
        <v>8842</v>
      </c>
      <c r="H1447" s="25" t="s">
        <v>15373</v>
      </c>
      <c r="I1447" s="22" t="s">
        <v>15382</v>
      </c>
      <c r="J1447" s="22" t="s">
        <v>8843</v>
      </c>
      <c r="K1447" s="26">
        <f t="shared" si="22"/>
        <v>940</v>
      </c>
      <c r="N1447" s="26">
        <v>1410</v>
      </c>
      <c r="O1447" s="22" t="s">
        <v>8844</v>
      </c>
      <c r="P1447" s="22" t="s">
        <v>16853</v>
      </c>
      <c r="Q1447" s="22">
        <v>92612</v>
      </c>
      <c r="R1447" s="22" t="s">
        <v>8845</v>
      </c>
      <c r="S1447" s="22" t="s">
        <v>8846</v>
      </c>
      <c r="X1447" s="26"/>
      <c r="Y1447" s="26"/>
    </row>
    <row r="1448" spans="1:25" ht="37.5" x14ac:dyDescent="0.25">
      <c r="A1448" s="21">
        <v>2028</v>
      </c>
      <c r="B1448" s="22" t="s">
        <v>15368</v>
      </c>
      <c r="C1448" s="22" t="s">
        <v>8847</v>
      </c>
      <c r="D1448" s="23">
        <v>381734</v>
      </c>
      <c r="E1448" s="24">
        <v>2001</v>
      </c>
      <c r="F1448" s="22" t="s">
        <v>8848</v>
      </c>
      <c r="G1448" s="23" t="s">
        <v>8849</v>
      </c>
      <c r="H1448" s="25" t="s">
        <v>15373</v>
      </c>
      <c r="I1448" s="22" t="s">
        <v>15374</v>
      </c>
      <c r="J1448" s="22" t="s">
        <v>15677</v>
      </c>
      <c r="K1448" s="26">
        <f t="shared" si="22"/>
        <v>1434</v>
      </c>
      <c r="N1448" s="26">
        <v>2151</v>
      </c>
      <c r="O1448" s="22" t="s">
        <v>8850</v>
      </c>
      <c r="P1448" s="22" t="s">
        <v>15376</v>
      </c>
      <c r="Q1448" s="22">
        <v>90012</v>
      </c>
      <c r="R1448" s="22" t="s">
        <v>8851</v>
      </c>
      <c r="S1448" s="22" t="s">
        <v>8852</v>
      </c>
      <c r="X1448" s="26"/>
      <c r="Y1448" s="26"/>
    </row>
    <row r="1449" spans="1:25" ht="50" x14ac:dyDescent="0.25">
      <c r="A1449" s="21">
        <v>2029</v>
      </c>
      <c r="B1449" s="22" t="s">
        <v>15368</v>
      </c>
      <c r="C1449" s="22" t="s">
        <v>8853</v>
      </c>
      <c r="D1449" s="23">
        <v>371151</v>
      </c>
      <c r="E1449" s="24">
        <v>1991</v>
      </c>
      <c r="F1449" s="22" t="s">
        <v>8854</v>
      </c>
      <c r="G1449" s="23" t="s">
        <v>8855</v>
      </c>
      <c r="H1449" s="25" t="s">
        <v>15373</v>
      </c>
      <c r="I1449" s="22" t="s">
        <v>15382</v>
      </c>
      <c r="J1449" s="22" t="s">
        <v>8856</v>
      </c>
      <c r="K1449" s="26">
        <f t="shared" si="22"/>
        <v>600</v>
      </c>
      <c r="N1449" s="26">
        <v>900</v>
      </c>
      <c r="O1449" s="22" t="s">
        <v>8857</v>
      </c>
      <c r="P1449" s="22" t="s">
        <v>15376</v>
      </c>
      <c r="Q1449" s="22">
        <v>90024</v>
      </c>
      <c r="R1449" s="22" t="s">
        <v>8858</v>
      </c>
      <c r="S1449" s="22" t="s">
        <v>8859</v>
      </c>
      <c r="X1449" s="26"/>
      <c r="Y1449" s="26"/>
    </row>
    <row r="1450" spans="1:25" ht="50" x14ac:dyDescent="0.25">
      <c r="A1450" s="21">
        <v>2030</v>
      </c>
      <c r="B1450" s="22" t="s">
        <v>15368</v>
      </c>
      <c r="C1450" s="22" t="s">
        <v>8853</v>
      </c>
      <c r="D1450" s="23">
        <v>371150</v>
      </c>
      <c r="E1450" s="24">
        <v>2000</v>
      </c>
      <c r="F1450" s="22" t="s">
        <v>8860</v>
      </c>
      <c r="G1450" s="23" t="s">
        <v>8861</v>
      </c>
      <c r="H1450" s="25" t="s">
        <v>15373</v>
      </c>
      <c r="I1450" s="22" t="s">
        <v>15382</v>
      </c>
      <c r="J1450" s="22" t="s">
        <v>16811</v>
      </c>
      <c r="K1450" s="26">
        <f t="shared" si="22"/>
        <v>356.66666666666663</v>
      </c>
      <c r="N1450" s="26">
        <v>535</v>
      </c>
      <c r="O1450" s="22" t="s">
        <v>8857</v>
      </c>
      <c r="P1450" s="22" t="s">
        <v>15376</v>
      </c>
      <c r="Q1450" s="22">
        <v>90024</v>
      </c>
      <c r="R1450" s="22" t="s">
        <v>8858</v>
      </c>
      <c r="S1450" s="22" t="s">
        <v>8859</v>
      </c>
      <c r="X1450" s="26"/>
      <c r="Y1450" s="26"/>
    </row>
    <row r="1451" spans="1:25" ht="37.5" x14ac:dyDescent="0.25">
      <c r="A1451" s="21">
        <v>2031</v>
      </c>
      <c r="B1451" s="22" t="s">
        <v>15368</v>
      </c>
      <c r="C1451" s="22" t="s">
        <v>8862</v>
      </c>
      <c r="D1451" s="23">
        <v>373603</v>
      </c>
      <c r="E1451" s="24">
        <v>2000</v>
      </c>
      <c r="F1451" s="22" t="s">
        <v>8863</v>
      </c>
      <c r="G1451" s="23" t="s">
        <v>8864</v>
      </c>
      <c r="H1451" s="25" t="s">
        <v>15373</v>
      </c>
      <c r="I1451" s="22" t="s">
        <v>8865</v>
      </c>
      <c r="J1451" s="22" t="s">
        <v>8866</v>
      </c>
      <c r="K1451" s="26">
        <f t="shared" si="22"/>
        <v>996</v>
      </c>
      <c r="N1451" s="26">
        <v>1494</v>
      </c>
      <c r="O1451" s="22" t="s">
        <v>8867</v>
      </c>
      <c r="P1451" s="22" t="s">
        <v>16853</v>
      </c>
      <c r="Q1451" s="22">
        <v>92618</v>
      </c>
      <c r="R1451" s="22" t="s">
        <v>8868</v>
      </c>
      <c r="S1451" s="22" t="s">
        <v>8869</v>
      </c>
      <c r="X1451" s="26"/>
      <c r="Y1451" s="26"/>
    </row>
    <row r="1452" spans="1:25" ht="37.5" x14ac:dyDescent="0.25">
      <c r="A1452" s="21">
        <v>2033</v>
      </c>
      <c r="B1452" s="22" t="s">
        <v>15368</v>
      </c>
      <c r="C1452" s="22" t="s">
        <v>10750</v>
      </c>
      <c r="D1452" s="23">
        <v>381330</v>
      </c>
      <c r="E1452" s="24">
        <v>2001</v>
      </c>
      <c r="F1452" s="22" t="s">
        <v>8870</v>
      </c>
      <c r="G1452" s="23" t="s">
        <v>8871</v>
      </c>
      <c r="H1452" s="25" t="s">
        <v>15373</v>
      </c>
      <c r="I1452" s="22" t="s">
        <v>15374</v>
      </c>
      <c r="J1452" s="22" t="s">
        <v>12893</v>
      </c>
      <c r="K1452" s="26">
        <f t="shared" si="22"/>
        <v>1898</v>
      </c>
      <c r="N1452" s="26">
        <v>2847</v>
      </c>
      <c r="O1452" s="22" t="s">
        <v>10751</v>
      </c>
      <c r="P1452" s="22" t="s">
        <v>15712</v>
      </c>
      <c r="Q1452" s="22" t="s">
        <v>10752</v>
      </c>
      <c r="R1452" s="22" t="s">
        <v>10753</v>
      </c>
      <c r="S1452" s="22" t="s">
        <v>10754</v>
      </c>
      <c r="X1452" s="26"/>
      <c r="Y1452" s="26"/>
    </row>
    <row r="1453" spans="1:25" ht="37.5" x14ac:dyDescent="0.25">
      <c r="A1453" s="21">
        <v>2034</v>
      </c>
      <c r="B1453" s="22" t="s">
        <v>15368</v>
      </c>
      <c r="C1453" s="22" t="s">
        <v>10865</v>
      </c>
      <c r="D1453" s="23">
        <v>378959</v>
      </c>
      <c r="E1453" s="24">
        <v>2000</v>
      </c>
      <c r="F1453" s="22" t="s">
        <v>8872</v>
      </c>
      <c r="G1453" s="23" t="s">
        <v>8873</v>
      </c>
      <c r="H1453" s="25" t="s">
        <v>15373</v>
      </c>
      <c r="I1453" s="22" t="s">
        <v>15374</v>
      </c>
      <c r="J1453" s="22">
        <v>3412</v>
      </c>
      <c r="K1453" s="26">
        <f t="shared" si="22"/>
        <v>482.66666666666663</v>
      </c>
      <c r="N1453" s="26">
        <v>724</v>
      </c>
      <c r="O1453" s="22" t="s">
        <v>10883</v>
      </c>
      <c r="P1453" s="22" t="s">
        <v>15376</v>
      </c>
      <c r="Q1453" s="22" t="s">
        <v>10873</v>
      </c>
      <c r="R1453" s="22" t="s">
        <v>11130</v>
      </c>
      <c r="S1453" s="22" t="s">
        <v>11131</v>
      </c>
      <c r="X1453" s="26"/>
      <c r="Y1453" s="26"/>
    </row>
    <row r="1454" spans="1:25" ht="50" x14ac:dyDescent="0.25">
      <c r="A1454" s="21">
        <v>2035</v>
      </c>
      <c r="B1454" s="22" t="s">
        <v>15368</v>
      </c>
      <c r="C1454" s="22" t="s">
        <v>8874</v>
      </c>
      <c r="D1454" s="23">
        <v>346897</v>
      </c>
      <c r="E1454" s="24">
        <v>1998</v>
      </c>
      <c r="F1454" s="22" t="s">
        <v>8875</v>
      </c>
      <c r="G1454" s="23" t="s">
        <v>8876</v>
      </c>
      <c r="H1454" s="25" t="s">
        <v>15373</v>
      </c>
      <c r="I1454" s="22" t="s">
        <v>15411</v>
      </c>
      <c r="J1454" s="22" t="s">
        <v>16884</v>
      </c>
      <c r="K1454" s="26">
        <f t="shared" si="22"/>
        <v>416.66666666666663</v>
      </c>
      <c r="N1454" s="26">
        <v>625</v>
      </c>
      <c r="O1454" s="22" t="s">
        <v>8877</v>
      </c>
      <c r="P1454" s="22" t="s">
        <v>15376</v>
      </c>
      <c r="Q1454" s="22">
        <v>90024</v>
      </c>
      <c r="R1454" s="22" t="s">
        <v>8878</v>
      </c>
      <c r="S1454" s="22" t="s">
        <v>8879</v>
      </c>
      <c r="X1454" s="26"/>
      <c r="Y1454" s="26"/>
    </row>
    <row r="1455" spans="1:25" ht="50" x14ac:dyDescent="0.25">
      <c r="A1455" s="21">
        <v>2037</v>
      </c>
      <c r="B1455" s="22" t="s">
        <v>15368</v>
      </c>
      <c r="C1455" s="22" t="s">
        <v>10067</v>
      </c>
      <c r="D1455" s="23">
        <v>384135</v>
      </c>
      <c r="E1455" s="24">
        <v>2001</v>
      </c>
      <c r="F1455" s="22" t="s">
        <v>8880</v>
      </c>
      <c r="G1455" s="23" t="s">
        <v>8881</v>
      </c>
      <c r="H1455" s="25" t="s">
        <v>15373</v>
      </c>
      <c r="I1455" s="22" t="s">
        <v>15374</v>
      </c>
      <c r="J1455" s="22" t="s">
        <v>15400</v>
      </c>
      <c r="K1455" s="26">
        <f t="shared" si="22"/>
        <v>1500</v>
      </c>
      <c r="L1455" s="26">
        <v>1500</v>
      </c>
      <c r="O1455" s="22" t="s">
        <v>8882</v>
      </c>
      <c r="P1455" s="22" t="s">
        <v>11992</v>
      </c>
      <c r="Q1455" s="22">
        <v>90292</v>
      </c>
      <c r="R1455" s="22" t="s">
        <v>10228</v>
      </c>
      <c r="S1455" s="22" t="s">
        <v>10229</v>
      </c>
      <c r="X1455" s="26"/>
      <c r="Y1455" s="26"/>
    </row>
    <row r="1456" spans="1:25" ht="50" x14ac:dyDescent="0.25">
      <c r="A1456" s="21">
        <v>2038</v>
      </c>
      <c r="B1456" s="22" t="s">
        <v>15368</v>
      </c>
      <c r="C1456" s="22" t="s">
        <v>10067</v>
      </c>
      <c r="D1456" s="23">
        <v>384141</v>
      </c>
      <c r="E1456" s="24">
        <v>2001</v>
      </c>
      <c r="F1456" s="22" t="s">
        <v>8883</v>
      </c>
      <c r="G1456" s="23" t="s">
        <v>8884</v>
      </c>
      <c r="H1456" s="25" t="s">
        <v>15373</v>
      </c>
      <c r="I1456" s="22" t="s">
        <v>15374</v>
      </c>
      <c r="J1456" s="22" t="s">
        <v>15400</v>
      </c>
      <c r="K1456" s="26">
        <f t="shared" si="22"/>
        <v>1500</v>
      </c>
      <c r="L1456" s="26">
        <v>1500</v>
      </c>
      <c r="O1456" s="22" t="s">
        <v>8885</v>
      </c>
      <c r="P1456" s="22" t="s">
        <v>12120</v>
      </c>
      <c r="Q1456" s="22">
        <v>91786</v>
      </c>
      <c r="R1456" s="22" t="s">
        <v>10228</v>
      </c>
      <c r="S1456" s="22" t="s">
        <v>10229</v>
      </c>
      <c r="X1456" s="26"/>
      <c r="Y1456" s="26"/>
    </row>
    <row r="1457" spans="1:25" ht="37.5" x14ac:dyDescent="0.25">
      <c r="A1457" s="21">
        <v>2039</v>
      </c>
      <c r="B1457" s="22" t="s">
        <v>15368</v>
      </c>
      <c r="C1457" s="22" t="s">
        <v>10067</v>
      </c>
      <c r="D1457" s="23">
        <v>372651</v>
      </c>
      <c r="E1457" s="24">
        <v>2000</v>
      </c>
      <c r="F1457" s="22" t="s">
        <v>8886</v>
      </c>
      <c r="G1457" s="23" t="s">
        <v>8887</v>
      </c>
      <c r="H1457" s="25" t="s">
        <v>16311</v>
      </c>
      <c r="I1457" s="22" t="s">
        <v>15382</v>
      </c>
      <c r="J1457" s="22" t="s">
        <v>15391</v>
      </c>
      <c r="K1457" s="26">
        <f t="shared" si="22"/>
        <v>1480</v>
      </c>
      <c r="N1457" s="26">
        <v>2220</v>
      </c>
      <c r="O1457" s="22" t="s">
        <v>8888</v>
      </c>
      <c r="P1457" s="22" t="s">
        <v>14376</v>
      </c>
      <c r="Q1457" s="22">
        <v>90401</v>
      </c>
      <c r="R1457" s="22" t="s">
        <v>10084</v>
      </c>
      <c r="S1457" s="22" t="s">
        <v>10085</v>
      </c>
      <c r="X1457" s="26"/>
      <c r="Y1457" s="26"/>
    </row>
    <row r="1458" spans="1:25" ht="37.5" x14ac:dyDescent="0.25">
      <c r="A1458" s="21">
        <v>2040</v>
      </c>
      <c r="B1458" s="22" t="s">
        <v>15368</v>
      </c>
      <c r="C1458" s="22" t="s">
        <v>10067</v>
      </c>
      <c r="D1458" s="23">
        <v>368024</v>
      </c>
      <c r="E1458" s="24">
        <v>2000</v>
      </c>
      <c r="F1458" s="22" t="s">
        <v>8889</v>
      </c>
      <c r="G1458" s="23" t="s">
        <v>8890</v>
      </c>
      <c r="H1458" s="25" t="s">
        <v>15373</v>
      </c>
      <c r="I1458" s="22" t="s">
        <v>15374</v>
      </c>
      <c r="J1458" s="22" t="s">
        <v>15420</v>
      </c>
      <c r="K1458" s="26">
        <f t="shared" si="22"/>
        <v>1444.6666666666665</v>
      </c>
      <c r="N1458" s="26">
        <v>2167</v>
      </c>
      <c r="O1458" s="22" t="s">
        <v>8891</v>
      </c>
      <c r="P1458" s="22" t="s">
        <v>15276</v>
      </c>
      <c r="Q1458" s="22">
        <v>91722</v>
      </c>
      <c r="R1458" s="22" t="s">
        <v>10072</v>
      </c>
      <c r="S1458" s="22" t="s">
        <v>10073</v>
      </c>
      <c r="X1458" s="26"/>
      <c r="Y1458" s="26"/>
    </row>
    <row r="1459" spans="1:25" ht="50" x14ac:dyDescent="0.25">
      <c r="A1459" s="21">
        <v>2041</v>
      </c>
      <c r="B1459" s="22" t="s">
        <v>15368</v>
      </c>
      <c r="C1459" s="22" t="s">
        <v>10067</v>
      </c>
      <c r="D1459" s="23">
        <v>384128</v>
      </c>
      <c r="E1459" s="24">
        <v>2001</v>
      </c>
      <c r="F1459" s="22" t="s">
        <v>8892</v>
      </c>
      <c r="G1459" s="23" t="s">
        <v>8893</v>
      </c>
      <c r="H1459" s="25" t="s">
        <v>15373</v>
      </c>
      <c r="I1459" s="22" t="s">
        <v>15374</v>
      </c>
      <c r="J1459" s="22" t="s">
        <v>11368</v>
      </c>
      <c r="K1459" s="26">
        <f t="shared" si="22"/>
        <v>1000</v>
      </c>
      <c r="L1459" s="26">
        <v>1000</v>
      </c>
      <c r="O1459" s="22" t="s">
        <v>10039</v>
      </c>
      <c r="P1459" s="22" t="s">
        <v>16893</v>
      </c>
      <c r="Q1459" s="22">
        <v>91765</v>
      </c>
      <c r="R1459" s="22" t="s">
        <v>10228</v>
      </c>
      <c r="S1459" s="22" t="s">
        <v>10229</v>
      </c>
      <c r="X1459" s="26"/>
      <c r="Y1459" s="26"/>
    </row>
    <row r="1460" spans="1:25" ht="37.5" x14ac:dyDescent="0.25">
      <c r="A1460" s="21">
        <v>2042</v>
      </c>
      <c r="B1460" s="22" t="s">
        <v>15368</v>
      </c>
      <c r="C1460" s="22" t="s">
        <v>10067</v>
      </c>
      <c r="D1460" s="23">
        <v>372656</v>
      </c>
      <c r="E1460" s="24">
        <v>2000</v>
      </c>
      <c r="F1460" s="22" t="s">
        <v>10040</v>
      </c>
      <c r="G1460" s="23" t="s">
        <v>10041</v>
      </c>
      <c r="H1460" s="25" t="s">
        <v>16311</v>
      </c>
      <c r="I1460" s="22" t="s">
        <v>15382</v>
      </c>
      <c r="J1460" s="22" t="s">
        <v>15391</v>
      </c>
      <c r="K1460" s="26">
        <f t="shared" si="22"/>
        <v>1480</v>
      </c>
      <c r="N1460" s="26">
        <v>2220</v>
      </c>
      <c r="O1460" s="22" t="s">
        <v>10042</v>
      </c>
      <c r="P1460" s="22" t="s">
        <v>15376</v>
      </c>
      <c r="Q1460" s="22">
        <v>90066</v>
      </c>
      <c r="R1460" s="22" t="s">
        <v>10228</v>
      </c>
      <c r="S1460" s="22" t="s">
        <v>10229</v>
      </c>
      <c r="X1460" s="26"/>
      <c r="Y1460" s="26"/>
    </row>
    <row r="1461" spans="1:25" ht="50" x14ac:dyDescent="0.25">
      <c r="A1461" s="21">
        <v>2043</v>
      </c>
      <c r="B1461" s="22" t="s">
        <v>15368</v>
      </c>
      <c r="C1461" s="22" t="s">
        <v>10067</v>
      </c>
      <c r="D1461" s="23">
        <v>369316</v>
      </c>
      <c r="E1461" s="24">
        <v>2000</v>
      </c>
      <c r="F1461" s="22" t="s">
        <v>10043</v>
      </c>
      <c r="G1461" s="23" t="s">
        <v>10044</v>
      </c>
      <c r="H1461" s="25" t="s">
        <v>15373</v>
      </c>
      <c r="I1461" s="22" t="s">
        <v>15411</v>
      </c>
      <c r="J1461" s="22" t="s">
        <v>15744</v>
      </c>
      <c r="K1461" s="26">
        <f t="shared" si="22"/>
        <v>821.33333333333326</v>
      </c>
      <c r="N1461" s="26">
        <v>1232</v>
      </c>
      <c r="O1461" s="22" t="s">
        <v>10045</v>
      </c>
      <c r="P1461" s="22" t="s">
        <v>14011</v>
      </c>
      <c r="Q1461" s="22">
        <v>90601</v>
      </c>
      <c r="R1461" s="22" t="s">
        <v>11387</v>
      </c>
      <c r="S1461" s="22" t="s">
        <v>10120</v>
      </c>
      <c r="X1461" s="26"/>
      <c r="Y1461" s="26"/>
    </row>
    <row r="1462" spans="1:25" ht="37.5" x14ac:dyDescent="0.25">
      <c r="A1462" s="21">
        <v>2044</v>
      </c>
      <c r="B1462" s="22" t="s">
        <v>15368</v>
      </c>
      <c r="C1462" s="22" t="s">
        <v>10067</v>
      </c>
      <c r="D1462" s="23">
        <v>368022</v>
      </c>
      <c r="E1462" s="24">
        <v>2000</v>
      </c>
      <c r="F1462" s="22" t="s">
        <v>10046</v>
      </c>
      <c r="G1462" s="23" t="s">
        <v>10047</v>
      </c>
      <c r="H1462" s="25" t="s">
        <v>15373</v>
      </c>
      <c r="I1462" s="22" t="s">
        <v>15374</v>
      </c>
      <c r="J1462" s="22" t="s">
        <v>15191</v>
      </c>
      <c r="K1462" s="26">
        <f t="shared" si="22"/>
        <v>799.33333333333326</v>
      </c>
      <c r="N1462" s="26">
        <v>1199</v>
      </c>
      <c r="O1462" s="22" t="s">
        <v>10048</v>
      </c>
      <c r="P1462" s="22" t="s">
        <v>13909</v>
      </c>
      <c r="Q1462" s="22">
        <v>90404</v>
      </c>
      <c r="R1462" s="22" t="s">
        <v>10072</v>
      </c>
      <c r="S1462" s="22" t="s">
        <v>10073</v>
      </c>
      <c r="X1462" s="26"/>
      <c r="Y1462" s="26"/>
    </row>
    <row r="1463" spans="1:25" ht="37.5" x14ac:dyDescent="0.25">
      <c r="A1463" s="21">
        <v>2045</v>
      </c>
      <c r="B1463" s="22" t="s">
        <v>15368</v>
      </c>
      <c r="C1463" s="22" t="s">
        <v>10067</v>
      </c>
      <c r="D1463" s="23">
        <v>369317</v>
      </c>
      <c r="E1463" s="24">
        <v>2000</v>
      </c>
      <c r="F1463" s="22" t="s">
        <v>10049</v>
      </c>
      <c r="G1463" s="23" t="s">
        <v>10050</v>
      </c>
      <c r="H1463" s="25" t="s">
        <v>15373</v>
      </c>
      <c r="I1463" s="22" t="s">
        <v>15374</v>
      </c>
      <c r="J1463" s="22" t="s">
        <v>15918</v>
      </c>
      <c r="K1463" s="26">
        <f t="shared" si="22"/>
        <v>728.66666666666663</v>
      </c>
      <c r="N1463" s="26">
        <v>1093</v>
      </c>
      <c r="O1463" s="22" t="s">
        <v>10051</v>
      </c>
      <c r="P1463" s="22" t="s">
        <v>10052</v>
      </c>
      <c r="Q1463" s="22">
        <v>90272</v>
      </c>
      <c r="R1463" s="22" t="s">
        <v>10084</v>
      </c>
      <c r="S1463" s="22" t="s">
        <v>10085</v>
      </c>
      <c r="X1463" s="26"/>
      <c r="Y1463" s="26"/>
    </row>
    <row r="1464" spans="1:25" ht="37.5" x14ac:dyDescent="0.25">
      <c r="A1464" s="21">
        <v>2046</v>
      </c>
      <c r="B1464" s="22" t="s">
        <v>15368</v>
      </c>
      <c r="C1464" s="22" t="s">
        <v>10067</v>
      </c>
      <c r="D1464" s="23">
        <v>356403</v>
      </c>
      <c r="E1464" s="24">
        <v>1999</v>
      </c>
      <c r="F1464" s="22" t="s">
        <v>10053</v>
      </c>
      <c r="G1464" s="23" t="s">
        <v>10054</v>
      </c>
      <c r="H1464" s="25" t="s">
        <v>15373</v>
      </c>
      <c r="I1464" s="22" t="s">
        <v>15411</v>
      </c>
      <c r="J1464" s="22" t="s">
        <v>14979</v>
      </c>
      <c r="K1464" s="26">
        <f t="shared" si="22"/>
        <v>553.33333333333326</v>
      </c>
      <c r="N1464" s="26">
        <v>830</v>
      </c>
      <c r="O1464" s="22" t="s">
        <v>10055</v>
      </c>
      <c r="P1464" s="22" t="s">
        <v>13909</v>
      </c>
      <c r="Q1464" s="22">
        <v>92646</v>
      </c>
      <c r="R1464" s="22" t="s">
        <v>10072</v>
      </c>
      <c r="S1464" s="22" t="s">
        <v>10073</v>
      </c>
      <c r="X1464" s="26"/>
      <c r="Y1464" s="26"/>
    </row>
    <row r="1465" spans="1:25" ht="50" x14ac:dyDescent="0.25">
      <c r="A1465" s="21">
        <v>2047</v>
      </c>
      <c r="B1465" s="22" t="s">
        <v>15368</v>
      </c>
      <c r="C1465" s="22" t="s">
        <v>10067</v>
      </c>
      <c r="D1465" s="23">
        <v>363582</v>
      </c>
      <c r="E1465" s="24">
        <v>1999</v>
      </c>
      <c r="F1465" s="22" t="s">
        <v>10056</v>
      </c>
      <c r="G1465" s="23" t="s">
        <v>10057</v>
      </c>
      <c r="H1465" s="25" t="s">
        <v>15373</v>
      </c>
      <c r="I1465" s="22" t="s">
        <v>15374</v>
      </c>
      <c r="J1465" s="22">
        <v>3408</v>
      </c>
      <c r="K1465" s="26">
        <f t="shared" si="22"/>
        <v>402</v>
      </c>
      <c r="N1465" s="26">
        <v>603</v>
      </c>
      <c r="O1465" s="22" t="s">
        <v>10058</v>
      </c>
      <c r="P1465" s="22" t="s">
        <v>15910</v>
      </c>
      <c r="Q1465" s="22">
        <v>92508</v>
      </c>
      <c r="R1465" s="22" t="s">
        <v>10072</v>
      </c>
      <c r="S1465" s="22" t="s">
        <v>10073</v>
      </c>
      <c r="X1465" s="26"/>
      <c r="Y1465" s="26"/>
    </row>
    <row r="1466" spans="1:25" ht="37.5" x14ac:dyDescent="0.25">
      <c r="A1466" s="21">
        <v>2049</v>
      </c>
      <c r="B1466" s="22" t="s">
        <v>15368</v>
      </c>
      <c r="C1466" s="22" t="s">
        <v>10059</v>
      </c>
      <c r="D1466" s="23">
        <v>361855</v>
      </c>
      <c r="E1466" s="24">
        <v>1999</v>
      </c>
      <c r="F1466" s="22" t="s">
        <v>10060</v>
      </c>
      <c r="G1466" s="23" t="s">
        <v>9049</v>
      </c>
      <c r="H1466" s="25" t="s">
        <v>15373</v>
      </c>
      <c r="I1466" s="22" t="s">
        <v>15382</v>
      </c>
      <c r="J1466" s="22" t="s">
        <v>14642</v>
      </c>
      <c r="K1466" s="26">
        <f t="shared" si="22"/>
        <v>993.33333333333326</v>
      </c>
      <c r="N1466" s="26">
        <v>1490</v>
      </c>
      <c r="O1466" s="22" t="s">
        <v>9050</v>
      </c>
      <c r="P1466" s="22" t="s">
        <v>14334</v>
      </c>
      <c r="Q1466" s="22">
        <v>91311</v>
      </c>
      <c r="R1466" s="22" t="s">
        <v>9051</v>
      </c>
      <c r="S1466" s="22" t="s">
        <v>9052</v>
      </c>
      <c r="X1466" s="26"/>
      <c r="Y1466" s="26"/>
    </row>
    <row r="1467" spans="1:25" ht="37.5" x14ac:dyDescent="0.25">
      <c r="A1467" s="21">
        <v>2050</v>
      </c>
      <c r="B1467" s="22" t="s">
        <v>15368</v>
      </c>
      <c r="C1467" s="22" t="s">
        <v>9053</v>
      </c>
      <c r="D1467" s="23">
        <v>375355</v>
      </c>
      <c r="E1467" s="24">
        <v>2000</v>
      </c>
      <c r="F1467" s="22" t="s">
        <v>9054</v>
      </c>
      <c r="G1467" s="23" t="s">
        <v>9055</v>
      </c>
      <c r="H1467" s="25" t="s">
        <v>15373</v>
      </c>
      <c r="I1467" s="22" t="s">
        <v>15411</v>
      </c>
      <c r="J1467" s="22" t="s">
        <v>9749</v>
      </c>
      <c r="K1467" s="26">
        <f t="shared" si="22"/>
        <v>423.33333333333331</v>
      </c>
      <c r="N1467" s="26">
        <v>635</v>
      </c>
      <c r="O1467" s="22" t="s">
        <v>9056</v>
      </c>
      <c r="P1467" s="22" t="s">
        <v>15376</v>
      </c>
      <c r="Q1467" s="22">
        <v>90018</v>
      </c>
      <c r="R1467" s="22" t="s">
        <v>9057</v>
      </c>
      <c r="S1467" s="22" t="s">
        <v>9058</v>
      </c>
      <c r="X1467" s="26"/>
      <c r="Y1467" s="26"/>
    </row>
    <row r="1468" spans="1:25" ht="37.5" x14ac:dyDescent="0.25">
      <c r="A1468" s="21">
        <v>2051</v>
      </c>
      <c r="B1468" s="22" t="s">
        <v>15368</v>
      </c>
      <c r="C1468" s="22" t="s">
        <v>9059</v>
      </c>
      <c r="D1468" s="23">
        <v>378894</v>
      </c>
      <c r="E1468" s="24">
        <v>2000</v>
      </c>
      <c r="F1468" s="22" t="s">
        <v>9060</v>
      </c>
      <c r="G1468" s="23" t="s">
        <v>9061</v>
      </c>
      <c r="H1468" s="25" t="s">
        <v>15373</v>
      </c>
      <c r="I1468" s="22" t="s">
        <v>15382</v>
      </c>
      <c r="J1468" s="22" t="s">
        <v>16799</v>
      </c>
      <c r="K1468" s="26">
        <f t="shared" si="22"/>
        <v>503.33333333333331</v>
      </c>
      <c r="N1468" s="26">
        <v>755</v>
      </c>
      <c r="O1468" s="22" t="s">
        <v>9062</v>
      </c>
      <c r="P1468" s="22" t="s">
        <v>14942</v>
      </c>
      <c r="Q1468" s="22">
        <v>92630</v>
      </c>
      <c r="R1468" s="22" t="s">
        <v>9063</v>
      </c>
      <c r="S1468" s="22" t="s">
        <v>9064</v>
      </c>
      <c r="X1468" s="26"/>
      <c r="Y1468" s="26"/>
    </row>
    <row r="1469" spans="1:25" ht="37.5" x14ac:dyDescent="0.25">
      <c r="A1469" s="21">
        <v>2052</v>
      </c>
      <c r="B1469" s="22" t="s">
        <v>15368</v>
      </c>
      <c r="C1469" s="22" t="s">
        <v>9065</v>
      </c>
      <c r="D1469" s="23">
        <v>383191</v>
      </c>
      <c r="E1469" s="24">
        <v>2001</v>
      </c>
      <c r="F1469" s="22" t="s">
        <v>9066</v>
      </c>
      <c r="G1469" s="23" t="s">
        <v>9067</v>
      </c>
      <c r="H1469" s="25" t="s">
        <v>15373</v>
      </c>
      <c r="I1469" s="22" t="s">
        <v>15411</v>
      </c>
      <c r="J1469" s="22" t="s">
        <v>15451</v>
      </c>
      <c r="K1469" s="26">
        <f t="shared" si="22"/>
        <v>540</v>
      </c>
      <c r="N1469" s="26">
        <v>810</v>
      </c>
      <c r="O1469" s="22" t="s">
        <v>9068</v>
      </c>
      <c r="P1469" s="22" t="s">
        <v>15376</v>
      </c>
      <c r="Q1469" s="22">
        <v>90024</v>
      </c>
      <c r="R1469" s="22" t="s">
        <v>9069</v>
      </c>
      <c r="S1469" s="22" t="s">
        <v>9070</v>
      </c>
      <c r="X1469" s="26"/>
      <c r="Y1469" s="26"/>
    </row>
    <row r="1470" spans="1:25" ht="37.5" x14ac:dyDescent="0.25">
      <c r="A1470" s="21">
        <v>2053</v>
      </c>
      <c r="B1470" s="22" t="s">
        <v>15368</v>
      </c>
      <c r="C1470" s="22" t="s">
        <v>10503</v>
      </c>
      <c r="D1470" s="23">
        <v>379583</v>
      </c>
      <c r="E1470" s="24">
        <v>1997</v>
      </c>
      <c r="F1470" s="22" t="s">
        <v>9071</v>
      </c>
      <c r="G1470" s="23" t="s">
        <v>9072</v>
      </c>
      <c r="H1470" s="25" t="s">
        <v>15373</v>
      </c>
      <c r="I1470" s="22" t="s">
        <v>15374</v>
      </c>
      <c r="J1470" s="22" t="s">
        <v>15677</v>
      </c>
      <c r="K1470" s="26">
        <f t="shared" si="22"/>
        <v>1445.3333333333333</v>
      </c>
      <c r="N1470" s="26">
        <v>2168</v>
      </c>
      <c r="O1470" s="22" t="s">
        <v>9073</v>
      </c>
      <c r="P1470" s="22" t="s">
        <v>16853</v>
      </c>
      <c r="Q1470" s="22">
        <v>92710</v>
      </c>
      <c r="R1470" s="22" t="s">
        <v>9074</v>
      </c>
      <c r="S1470" s="22" t="s">
        <v>9075</v>
      </c>
      <c r="X1470" s="26"/>
      <c r="Y1470" s="26"/>
    </row>
    <row r="1471" spans="1:25" ht="50" x14ac:dyDescent="0.25">
      <c r="A1471" s="21">
        <v>2055</v>
      </c>
      <c r="B1471" s="22" t="s">
        <v>15368</v>
      </c>
      <c r="C1471" s="22" t="s">
        <v>10503</v>
      </c>
      <c r="D1471" s="23">
        <v>379469</v>
      </c>
      <c r="E1471" s="24">
        <v>1995</v>
      </c>
      <c r="F1471" s="22" t="s">
        <v>9076</v>
      </c>
      <c r="G1471" s="23" t="s">
        <v>9077</v>
      </c>
      <c r="H1471" s="25" t="s">
        <v>15373</v>
      </c>
      <c r="I1471" s="22" t="s">
        <v>15411</v>
      </c>
      <c r="J1471" s="22" t="s">
        <v>15744</v>
      </c>
      <c r="K1471" s="26">
        <f t="shared" si="22"/>
        <v>821.33333333333326</v>
      </c>
      <c r="N1471" s="26">
        <v>1232</v>
      </c>
      <c r="O1471" s="22" t="s">
        <v>9078</v>
      </c>
      <c r="P1471" s="22" t="s">
        <v>15376</v>
      </c>
      <c r="Q1471" s="22">
        <v>90013</v>
      </c>
      <c r="R1471" s="22" t="s">
        <v>9074</v>
      </c>
      <c r="S1471" s="22" t="s">
        <v>9075</v>
      </c>
      <c r="X1471" s="26"/>
      <c r="Y1471" s="26"/>
    </row>
    <row r="1472" spans="1:25" ht="37.5" x14ac:dyDescent="0.25">
      <c r="A1472" s="21">
        <v>2057</v>
      </c>
      <c r="B1472" s="22" t="s">
        <v>15368</v>
      </c>
      <c r="C1472" s="22" t="s">
        <v>9079</v>
      </c>
      <c r="D1472" s="23" t="s">
        <v>9080</v>
      </c>
      <c r="E1472" s="24" t="s">
        <v>9081</v>
      </c>
      <c r="F1472" s="22" t="s">
        <v>9082</v>
      </c>
      <c r="G1472" s="23" t="s">
        <v>9083</v>
      </c>
      <c r="H1472" s="25" t="s">
        <v>15373</v>
      </c>
      <c r="I1472" s="22" t="s">
        <v>15382</v>
      </c>
      <c r="J1472" s="22" t="s">
        <v>14642</v>
      </c>
      <c r="K1472" s="26">
        <f t="shared" si="22"/>
        <v>756.66666666666663</v>
      </c>
      <c r="N1472" s="26" t="s">
        <v>10812</v>
      </c>
      <c r="O1472" s="22" t="s">
        <v>9084</v>
      </c>
      <c r="P1472" s="22" t="s">
        <v>15376</v>
      </c>
      <c r="Q1472" s="22">
        <v>90067</v>
      </c>
      <c r="R1472" s="22" t="s">
        <v>9085</v>
      </c>
      <c r="S1472" s="22" t="s">
        <v>9086</v>
      </c>
      <c r="X1472" s="26"/>
      <c r="Y1472" s="26"/>
    </row>
    <row r="1473" spans="1:25" ht="37.5" x14ac:dyDescent="0.25">
      <c r="A1473" s="21">
        <v>2058</v>
      </c>
      <c r="B1473" s="22" t="s">
        <v>15368</v>
      </c>
      <c r="C1473" s="22" t="s">
        <v>9087</v>
      </c>
      <c r="D1473" s="23" t="s">
        <v>9088</v>
      </c>
      <c r="E1473" s="24" t="s">
        <v>9081</v>
      </c>
      <c r="F1473" s="22" t="s">
        <v>9089</v>
      </c>
      <c r="G1473" s="23" t="s">
        <v>9090</v>
      </c>
      <c r="H1473" s="25" t="s">
        <v>15373</v>
      </c>
      <c r="I1473" s="22" t="s">
        <v>15374</v>
      </c>
      <c r="J1473" s="22" t="s">
        <v>16561</v>
      </c>
      <c r="K1473" s="26">
        <f t="shared" si="22"/>
        <v>356</v>
      </c>
      <c r="N1473" s="26" t="s">
        <v>9091</v>
      </c>
      <c r="O1473" s="22" t="s">
        <v>9092</v>
      </c>
      <c r="P1473" s="22" t="s">
        <v>16819</v>
      </c>
      <c r="Q1473" s="22">
        <v>91101</v>
      </c>
      <c r="R1473" s="22" t="s">
        <v>9093</v>
      </c>
      <c r="S1473" s="22" t="s">
        <v>9094</v>
      </c>
      <c r="X1473" s="26"/>
      <c r="Y1473" s="26"/>
    </row>
    <row r="1474" spans="1:25" ht="50" x14ac:dyDescent="0.25">
      <c r="A1474" s="21">
        <v>2059</v>
      </c>
      <c r="B1474" s="22" t="s">
        <v>15368</v>
      </c>
      <c r="C1474" s="22" t="s">
        <v>15379</v>
      </c>
      <c r="D1474" s="23" t="s">
        <v>9095</v>
      </c>
      <c r="E1474" s="24" t="s">
        <v>9081</v>
      </c>
      <c r="F1474" s="22" t="s">
        <v>9096</v>
      </c>
      <c r="G1474" s="23" t="s">
        <v>9097</v>
      </c>
      <c r="H1474" s="25" t="s">
        <v>15373</v>
      </c>
      <c r="I1474" s="22" t="s">
        <v>15382</v>
      </c>
      <c r="J1474" s="22" t="s">
        <v>15383</v>
      </c>
      <c r="K1474" s="26">
        <f t="shared" ref="K1474:K1537" si="23">L1474+M1474*(2/3)+N1474*(2/3)</f>
        <v>800</v>
      </c>
      <c r="N1474" s="26" t="s">
        <v>9098</v>
      </c>
      <c r="O1474" s="22" t="s">
        <v>15384</v>
      </c>
      <c r="P1474" s="22" t="s">
        <v>15376</v>
      </c>
      <c r="Q1474" s="22">
        <v>90035</v>
      </c>
      <c r="R1474" s="22" t="s">
        <v>9099</v>
      </c>
      <c r="S1474" s="22" t="s">
        <v>9100</v>
      </c>
      <c r="X1474" s="26"/>
      <c r="Y1474" s="26"/>
    </row>
    <row r="1475" spans="1:25" ht="50" x14ac:dyDescent="0.25">
      <c r="A1475" s="21">
        <v>2060</v>
      </c>
      <c r="B1475" s="22" t="s">
        <v>15368</v>
      </c>
      <c r="C1475" s="22" t="s">
        <v>15379</v>
      </c>
      <c r="D1475" s="23" t="s">
        <v>9101</v>
      </c>
      <c r="E1475" s="24" t="s">
        <v>9081</v>
      </c>
      <c r="F1475" s="22" t="s">
        <v>9102</v>
      </c>
      <c r="G1475" s="23" t="s">
        <v>9103</v>
      </c>
      <c r="H1475" s="25" t="s">
        <v>15373</v>
      </c>
      <c r="I1475" s="22" t="s">
        <v>15382</v>
      </c>
      <c r="J1475" s="22" t="s">
        <v>16925</v>
      </c>
      <c r="K1475" s="26">
        <f t="shared" si="23"/>
        <v>1480</v>
      </c>
      <c r="N1475" s="26" t="s">
        <v>9104</v>
      </c>
      <c r="O1475" s="22" t="s">
        <v>15384</v>
      </c>
      <c r="P1475" s="22" t="s">
        <v>15376</v>
      </c>
      <c r="Q1475" s="22">
        <v>90035</v>
      </c>
      <c r="R1475" s="22" t="s">
        <v>9099</v>
      </c>
      <c r="S1475" s="22" t="s">
        <v>9100</v>
      </c>
      <c r="X1475" s="26"/>
      <c r="Y1475" s="26"/>
    </row>
    <row r="1476" spans="1:25" ht="50" x14ac:dyDescent="0.25">
      <c r="A1476" s="21">
        <v>2061</v>
      </c>
      <c r="B1476" s="22" t="s">
        <v>15368</v>
      </c>
      <c r="C1476" s="22" t="s">
        <v>15379</v>
      </c>
      <c r="D1476" s="23" t="s">
        <v>9105</v>
      </c>
      <c r="E1476" s="24" t="s">
        <v>9081</v>
      </c>
      <c r="F1476" s="22" t="s">
        <v>9106</v>
      </c>
      <c r="G1476" s="23" t="s">
        <v>10127</v>
      </c>
      <c r="H1476" s="25" t="s">
        <v>15373</v>
      </c>
      <c r="I1476" s="22" t="s">
        <v>15382</v>
      </c>
      <c r="J1476" s="22" t="s">
        <v>16925</v>
      </c>
      <c r="K1476" s="26">
        <f t="shared" si="23"/>
        <v>1480</v>
      </c>
      <c r="N1476" s="26" t="s">
        <v>9104</v>
      </c>
      <c r="O1476" s="22" t="s">
        <v>15384</v>
      </c>
      <c r="P1476" s="22" t="s">
        <v>15376</v>
      </c>
      <c r="Q1476" s="22">
        <v>90035</v>
      </c>
      <c r="R1476" s="22" t="s">
        <v>9099</v>
      </c>
      <c r="S1476" s="22" t="s">
        <v>9100</v>
      </c>
      <c r="X1476" s="26"/>
      <c r="Y1476" s="26"/>
    </row>
    <row r="1477" spans="1:25" ht="37.5" x14ac:dyDescent="0.25">
      <c r="A1477" s="21">
        <v>2062</v>
      </c>
      <c r="B1477" s="22" t="s">
        <v>15368</v>
      </c>
      <c r="C1477" s="22" t="s">
        <v>10128</v>
      </c>
      <c r="D1477" s="23" t="s">
        <v>10129</v>
      </c>
      <c r="E1477" s="24" t="s">
        <v>9081</v>
      </c>
      <c r="F1477" s="22" t="s">
        <v>11274</v>
      </c>
      <c r="G1477" s="23" t="s">
        <v>10130</v>
      </c>
      <c r="H1477" s="25" t="s">
        <v>15373</v>
      </c>
      <c r="I1477" s="22" t="s">
        <v>15382</v>
      </c>
      <c r="J1477" s="22" t="s">
        <v>15955</v>
      </c>
      <c r="K1477" s="26">
        <f t="shared" si="23"/>
        <v>756.66666666666663</v>
      </c>
      <c r="N1477" s="26" t="s">
        <v>10812</v>
      </c>
      <c r="O1477" s="22" t="s">
        <v>10131</v>
      </c>
      <c r="P1477" s="22" t="s">
        <v>14376</v>
      </c>
      <c r="Q1477" s="22">
        <v>90404</v>
      </c>
      <c r="R1477" s="22" t="s">
        <v>10132</v>
      </c>
      <c r="S1477" s="22" t="s">
        <v>10133</v>
      </c>
      <c r="X1477" s="26"/>
      <c r="Y1477" s="26"/>
    </row>
    <row r="1478" spans="1:25" ht="50" x14ac:dyDescent="0.25">
      <c r="A1478" s="21">
        <v>2063</v>
      </c>
      <c r="B1478" s="22" t="s">
        <v>15368</v>
      </c>
      <c r="C1478" s="22" t="s">
        <v>15397</v>
      </c>
      <c r="D1478" s="23" t="s">
        <v>10134</v>
      </c>
      <c r="E1478" s="24" t="s">
        <v>10135</v>
      </c>
      <c r="F1478" s="22" t="s">
        <v>10136</v>
      </c>
      <c r="G1478" s="23" t="s">
        <v>10137</v>
      </c>
      <c r="H1478" s="25" t="s">
        <v>15373</v>
      </c>
      <c r="I1478" s="22" t="s">
        <v>15374</v>
      </c>
      <c r="J1478" s="22" t="s">
        <v>15400</v>
      </c>
      <c r="K1478" s="26">
        <f t="shared" si="23"/>
        <v>1500</v>
      </c>
      <c r="L1478" s="26" t="s">
        <v>10138</v>
      </c>
      <c r="O1478" s="22" t="s">
        <v>15401</v>
      </c>
      <c r="P1478" s="22" t="s">
        <v>15376</v>
      </c>
      <c r="Q1478" s="22">
        <v>90017</v>
      </c>
      <c r="R1478" s="22" t="s">
        <v>15402</v>
      </c>
      <c r="S1478" s="22" t="s">
        <v>15403</v>
      </c>
      <c r="X1478" s="26"/>
      <c r="Y1478" s="26"/>
    </row>
    <row r="1479" spans="1:25" ht="37.5" x14ac:dyDescent="0.25">
      <c r="A1479" s="21">
        <v>2064</v>
      </c>
      <c r="B1479" s="22" t="s">
        <v>15368</v>
      </c>
      <c r="C1479" s="22" t="s">
        <v>15417</v>
      </c>
      <c r="D1479" s="23" t="s">
        <v>10139</v>
      </c>
      <c r="E1479" s="24" t="s">
        <v>9081</v>
      </c>
      <c r="F1479" s="22" t="s">
        <v>10140</v>
      </c>
      <c r="G1479" s="23" t="s">
        <v>10141</v>
      </c>
      <c r="H1479" s="25" t="s">
        <v>15373</v>
      </c>
      <c r="I1479" s="22" t="s">
        <v>15382</v>
      </c>
      <c r="J1479" s="22" t="s">
        <v>14642</v>
      </c>
      <c r="K1479" s="26">
        <f t="shared" si="23"/>
        <v>756.66666666666663</v>
      </c>
      <c r="N1479" s="26" t="s">
        <v>10812</v>
      </c>
      <c r="O1479" s="22" t="s">
        <v>15421</v>
      </c>
      <c r="P1479" s="22" t="s">
        <v>15422</v>
      </c>
      <c r="Q1479" s="22">
        <v>91505</v>
      </c>
      <c r="R1479" s="22" t="s">
        <v>10142</v>
      </c>
      <c r="S1479" s="22" t="s">
        <v>10143</v>
      </c>
      <c r="X1479" s="26"/>
      <c r="Y1479" s="26"/>
    </row>
    <row r="1480" spans="1:25" ht="37.5" x14ac:dyDescent="0.25">
      <c r="A1480" s="21">
        <v>2066</v>
      </c>
      <c r="B1480" s="22" t="s">
        <v>15368</v>
      </c>
      <c r="C1480" s="22" t="s">
        <v>10146</v>
      </c>
      <c r="D1480" s="23">
        <v>339494</v>
      </c>
      <c r="E1480" s="24">
        <v>1998</v>
      </c>
      <c r="F1480" s="22" t="s">
        <v>10147</v>
      </c>
      <c r="G1480" s="23" t="s">
        <v>10148</v>
      </c>
      <c r="H1480" s="25" t="s">
        <v>15373</v>
      </c>
      <c r="I1480" s="22" t="s">
        <v>15411</v>
      </c>
      <c r="J1480" s="22" t="s">
        <v>16306</v>
      </c>
      <c r="K1480" s="26">
        <f t="shared" si="23"/>
        <v>428.66666666666663</v>
      </c>
      <c r="N1480" s="26" t="s">
        <v>10149</v>
      </c>
      <c r="O1480" s="22" t="s">
        <v>10150</v>
      </c>
      <c r="P1480" s="22" t="s">
        <v>15537</v>
      </c>
      <c r="Q1480" s="22">
        <v>92660</v>
      </c>
      <c r="R1480" s="22" t="s">
        <v>10151</v>
      </c>
      <c r="S1480" s="22" t="s">
        <v>10152</v>
      </c>
      <c r="X1480" s="26"/>
      <c r="Y1480" s="26"/>
    </row>
    <row r="1481" spans="1:25" ht="37.5" x14ac:dyDescent="0.25">
      <c r="A1481" s="21">
        <v>2067</v>
      </c>
      <c r="B1481" s="22" t="s">
        <v>15368</v>
      </c>
      <c r="C1481" s="22" t="s">
        <v>10153</v>
      </c>
      <c r="D1481" s="23" t="s">
        <v>10154</v>
      </c>
      <c r="E1481" s="24" t="s">
        <v>9081</v>
      </c>
      <c r="F1481" s="22" t="s">
        <v>10155</v>
      </c>
      <c r="G1481" s="23" t="s">
        <v>10156</v>
      </c>
      <c r="H1481" s="25" t="s">
        <v>15373</v>
      </c>
      <c r="I1481" s="22" t="s">
        <v>15411</v>
      </c>
      <c r="J1481" s="22" t="s">
        <v>10157</v>
      </c>
      <c r="K1481" s="26">
        <f t="shared" si="23"/>
        <v>746.66666666666663</v>
      </c>
      <c r="N1481" s="26" t="s">
        <v>10158</v>
      </c>
      <c r="O1481" s="22" t="s">
        <v>10159</v>
      </c>
      <c r="P1481" s="22" t="s">
        <v>16901</v>
      </c>
      <c r="Q1481" s="22">
        <v>91761</v>
      </c>
      <c r="R1481" s="22" t="s">
        <v>10160</v>
      </c>
      <c r="S1481" s="22" t="s">
        <v>10161</v>
      </c>
      <c r="X1481" s="26"/>
      <c r="Y1481" s="26"/>
    </row>
    <row r="1482" spans="1:25" ht="37.5" x14ac:dyDescent="0.25">
      <c r="A1482" s="21">
        <v>2068</v>
      </c>
      <c r="B1482" s="22" t="s">
        <v>15368</v>
      </c>
      <c r="C1482" s="22" t="s">
        <v>16896</v>
      </c>
      <c r="D1482" s="23" t="s">
        <v>10162</v>
      </c>
      <c r="E1482" s="24" t="s">
        <v>9081</v>
      </c>
      <c r="F1482" s="22" t="s">
        <v>10163</v>
      </c>
      <c r="G1482" s="23" t="s">
        <v>10164</v>
      </c>
      <c r="H1482" s="25" t="s">
        <v>15373</v>
      </c>
      <c r="I1482" s="22" t="s">
        <v>15382</v>
      </c>
      <c r="J1482" s="22" t="s">
        <v>15391</v>
      </c>
      <c r="K1482" s="26">
        <f t="shared" si="23"/>
        <v>1500</v>
      </c>
      <c r="L1482" s="26" t="s">
        <v>10138</v>
      </c>
      <c r="O1482" s="22" t="s">
        <v>16900</v>
      </c>
      <c r="P1482" s="22" t="s">
        <v>16901</v>
      </c>
      <c r="Q1482" s="22">
        <v>91761</v>
      </c>
      <c r="R1482" s="22" t="s">
        <v>16902</v>
      </c>
      <c r="S1482" s="22" t="s">
        <v>16903</v>
      </c>
      <c r="X1482" s="26"/>
      <c r="Y1482" s="26"/>
    </row>
    <row r="1483" spans="1:25" ht="50" x14ac:dyDescent="0.25">
      <c r="A1483" s="21">
        <v>2069</v>
      </c>
      <c r="B1483" s="22" t="s">
        <v>15368</v>
      </c>
      <c r="C1483" s="22" t="s">
        <v>10165</v>
      </c>
      <c r="D1483" s="23">
        <v>368134</v>
      </c>
      <c r="E1483" s="24">
        <v>2000</v>
      </c>
      <c r="F1483" s="22" t="s">
        <v>10166</v>
      </c>
      <c r="G1483" s="23" t="s">
        <v>10167</v>
      </c>
      <c r="H1483" s="25" t="s">
        <v>15373</v>
      </c>
      <c r="I1483" s="22" t="s">
        <v>15382</v>
      </c>
      <c r="J1483" s="22" t="s">
        <v>16784</v>
      </c>
      <c r="K1483" s="26">
        <f t="shared" si="23"/>
        <v>503.33333333333331</v>
      </c>
      <c r="N1483" s="26" t="s">
        <v>10168</v>
      </c>
      <c r="O1483" s="22" t="s">
        <v>10169</v>
      </c>
      <c r="P1483" s="22" t="s">
        <v>14020</v>
      </c>
      <c r="Q1483" s="22">
        <v>92705</v>
      </c>
      <c r="R1483" s="22" t="s">
        <v>10170</v>
      </c>
      <c r="S1483" s="22" t="s">
        <v>10171</v>
      </c>
      <c r="X1483" s="26"/>
      <c r="Y1483" s="26"/>
    </row>
    <row r="1484" spans="1:25" ht="50" x14ac:dyDescent="0.25">
      <c r="A1484" s="21">
        <v>2070</v>
      </c>
      <c r="B1484" s="22" t="s">
        <v>15368</v>
      </c>
      <c r="C1484" s="22" t="s">
        <v>10172</v>
      </c>
      <c r="D1484" s="23" t="s">
        <v>10173</v>
      </c>
      <c r="E1484" s="24" t="s">
        <v>10144</v>
      </c>
      <c r="F1484" s="22" t="s">
        <v>10174</v>
      </c>
      <c r="G1484" s="23" t="s">
        <v>10175</v>
      </c>
      <c r="H1484" s="25" t="s">
        <v>15373</v>
      </c>
      <c r="I1484" s="22" t="s">
        <v>15411</v>
      </c>
      <c r="J1484" s="22" t="s">
        <v>10176</v>
      </c>
      <c r="K1484" s="26">
        <f t="shared" si="23"/>
        <v>2190</v>
      </c>
      <c r="L1484" s="26" t="s">
        <v>10177</v>
      </c>
      <c r="O1484" s="22" t="s">
        <v>10178</v>
      </c>
      <c r="P1484" s="22" t="s">
        <v>16853</v>
      </c>
      <c r="Q1484" s="22">
        <v>92715</v>
      </c>
      <c r="R1484" s="22" t="s">
        <v>10179</v>
      </c>
      <c r="S1484" s="22" t="s">
        <v>10180</v>
      </c>
      <c r="X1484" s="26"/>
      <c r="Y1484" s="26"/>
    </row>
    <row r="1485" spans="1:25" ht="25" x14ac:dyDescent="0.25">
      <c r="A1485" s="21">
        <v>2071</v>
      </c>
      <c r="B1485" s="22" t="s">
        <v>15368</v>
      </c>
      <c r="C1485" s="22" t="s">
        <v>16922</v>
      </c>
      <c r="D1485" s="23" t="s">
        <v>10181</v>
      </c>
      <c r="E1485" s="24" t="s">
        <v>9081</v>
      </c>
      <c r="F1485" s="22" t="s">
        <v>10182</v>
      </c>
      <c r="G1485" s="23" t="s">
        <v>10183</v>
      </c>
      <c r="H1485" s="25" t="s">
        <v>15373</v>
      </c>
      <c r="I1485" s="22" t="s">
        <v>15382</v>
      </c>
      <c r="J1485" s="22" t="s">
        <v>15391</v>
      </c>
      <c r="K1485" s="26">
        <f t="shared" si="23"/>
        <v>1480</v>
      </c>
      <c r="N1485" s="26" t="s">
        <v>9104</v>
      </c>
      <c r="O1485" s="22" t="s">
        <v>16926</v>
      </c>
      <c r="P1485" s="22" t="s">
        <v>15376</v>
      </c>
      <c r="Q1485" s="22">
        <v>90032</v>
      </c>
      <c r="R1485" s="22" t="s">
        <v>10184</v>
      </c>
      <c r="S1485" s="22" t="s">
        <v>10185</v>
      </c>
      <c r="X1485" s="26"/>
      <c r="Y1485" s="26"/>
    </row>
    <row r="1486" spans="1:25" ht="37.5" x14ac:dyDescent="0.25">
      <c r="A1486" s="21">
        <v>2072</v>
      </c>
      <c r="B1486" s="22" t="s">
        <v>15368</v>
      </c>
      <c r="C1486" s="22" t="s">
        <v>10186</v>
      </c>
      <c r="D1486" s="23" t="s">
        <v>10187</v>
      </c>
      <c r="E1486" s="24" t="s">
        <v>9081</v>
      </c>
      <c r="F1486" s="22" t="s">
        <v>10188</v>
      </c>
      <c r="G1486" s="23" t="s">
        <v>10189</v>
      </c>
      <c r="H1486" s="25" t="s">
        <v>15373</v>
      </c>
      <c r="I1486" s="22" t="s">
        <v>15374</v>
      </c>
      <c r="J1486" s="22" t="s">
        <v>15261</v>
      </c>
      <c r="K1486" s="26">
        <f t="shared" si="23"/>
        <v>497.33333333333331</v>
      </c>
      <c r="N1486" s="26" t="s">
        <v>10190</v>
      </c>
      <c r="O1486" s="22" t="s">
        <v>10191</v>
      </c>
      <c r="P1486" s="22" t="s">
        <v>16853</v>
      </c>
      <c r="Q1486" s="22">
        <v>92614</v>
      </c>
      <c r="R1486" s="22" t="s">
        <v>10192</v>
      </c>
      <c r="S1486" s="22" t="s">
        <v>10193</v>
      </c>
      <c r="X1486" s="26"/>
      <c r="Y1486" s="26"/>
    </row>
    <row r="1487" spans="1:25" ht="50" x14ac:dyDescent="0.25">
      <c r="A1487" s="21">
        <v>2073</v>
      </c>
      <c r="B1487" s="22" t="s">
        <v>15368</v>
      </c>
      <c r="C1487" s="22" t="s">
        <v>10194</v>
      </c>
      <c r="D1487" s="23" t="s">
        <v>10195</v>
      </c>
      <c r="E1487" s="24" t="s">
        <v>9081</v>
      </c>
      <c r="F1487" s="22" t="s">
        <v>10196</v>
      </c>
      <c r="G1487" s="23" t="s">
        <v>9177</v>
      </c>
      <c r="H1487" s="25" t="s">
        <v>15373</v>
      </c>
      <c r="I1487" s="22" t="s">
        <v>15374</v>
      </c>
      <c r="J1487" s="22" t="s">
        <v>15701</v>
      </c>
      <c r="K1487" s="26">
        <f t="shared" si="23"/>
        <v>357.33333333333331</v>
      </c>
      <c r="N1487" s="26" t="s">
        <v>9178</v>
      </c>
      <c r="O1487" s="22" t="s">
        <v>9179</v>
      </c>
      <c r="P1487" s="22" t="s">
        <v>15393</v>
      </c>
      <c r="Q1487" s="22">
        <v>91367</v>
      </c>
      <c r="R1487" s="22" t="s">
        <v>9180</v>
      </c>
      <c r="S1487" s="22" t="s">
        <v>9181</v>
      </c>
      <c r="X1487" s="26"/>
      <c r="Y1487" s="26"/>
    </row>
    <row r="1488" spans="1:25" ht="37.5" x14ac:dyDescent="0.25">
      <c r="A1488" s="21">
        <v>2074</v>
      </c>
      <c r="B1488" s="22" t="s">
        <v>15368</v>
      </c>
      <c r="C1488" s="22" t="s">
        <v>9182</v>
      </c>
      <c r="D1488" s="23" t="s">
        <v>9183</v>
      </c>
      <c r="E1488" s="24" t="s">
        <v>9081</v>
      </c>
      <c r="F1488" s="22" t="s">
        <v>9184</v>
      </c>
      <c r="G1488" s="23" t="s">
        <v>9185</v>
      </c>
      <c r="H1488" s="25" t="s">
        <v>15373</v>
      </c>
      <c r="I1488" s="22" t="s">
        <v>15382</v>
      </c>
      <c r="J1488" s="22" t="s">
        <v>16450</v>
      </c>
      <c r="K1488" s="26">
        <f t="shared" si="23"/>
        <v>993.33333333333326</v>
      </c>
      <c r="N1488" s="26" t="s">
        <v>9186</v>
      </c>
      <c r="O1488" s="22" t="s">
        <v>9187</v>
      </c>
      <c r="P1488" s="22" t="s">
        <v>16268</v>
      </c>
      <c r="Q1488" s="22">
        <v>91710</v>
      </c>
      <c r="R1488" s="22" t="s">
        <v>9188</v>
      </c>
      <c r="S1488" s="22" t="s">
        <v>9189</v>
      </c>
      <c r="X1488" s="26"/>
      <c r="Y1488" s="26"/>
    </row>
    <row r="1489" spans="1:25" ht="37.5" x14ac:dyDescent="0.25">
      <c r="A1489" s="21">
        <v>2075</v>
      </c>
      <c r="B1489" s="22" t="s">
        <v>15368</v>
      </c>
      <c r="C1489" s="22" t="s">
        <v>9190</v>
      </c>
      <c r="D1489" s="23">
        <v>285069</v>
      </c>
      <c r="E1489" s="24">
        <v>1993</v>
      </c>
      <c r="F1489" s="22" t="s">
        <v>9191</v>
      </c>
      <c r="G1489" s="23" t="s">
        <v>9192</v>
      </c>
      <c r="H1489" s="25" t="s">
        <v>15373</v>
      </c>
      <c r="I1489" s="22" t="s">
        <v>15382</v>
      </c>
      <c r="J1489" s="22" t="s">
        <v>14703</v>
      </c>
      <c r="K1489" s="26">
        <f t="shared" si="23"/>
        <v>382.66666666666663</v>
      </c>
      <c r="N1489" s="26" t="s">
        <v>9193</v>
      </c>
      <c r="O1489" s="22" t="s">
        <v>9194</v>
      </c>
      <c r="P1489" s="22" t="s">
        <v>9195</v>
      </c>
      <c r="Q1489" s="22">
        <v>91436</v>
      </c>
      <c r="R1489" s="22" t="s">
        <v>9196</v>
      </c>
      <c r="S1489" s="22" t="s">
        <v>9197</v>
      </c>
      <c r="X1489" s="26"/>
      <c r="Y1489" s="26"/>
    </row>
    <row r="1490" spans="1:25" ht="50" x14ac:dyDescent="0.25">
      <c r="A1490" s="21">
        <v>2076</v>
      </c>
      <c r="B1490" s="22" t="s">
        <v>15368</v>
      </c>
      <c r="C1490" s="22" t="s">
        <v>9198</v>
      </c>
      <c r="D1490" s="23" t="s">
        <v>9199</v>
      </c>
      <c r="E1490" s="24">
        <v>2001</v>
      </c>
      <c r="F1490" s="22" t="s">
        <v>9200</v>
      </c>
      <c r="G1490" s="23" t="s">
        <v>9201</v>
      </c>
      <c r="H1490" s="25" t="s">
        <v>15373</v>
      </c>
      <c r="I1490" s="22" t="s">
        <v>15411</v>
      </c>
      <c r="J1490" s="22" t="s">
        <v>9749</v>
      </c>
      <c r="K1490" s="26">
        <f t="shared" si="23"/>
        <v>474</v>
      </c>
      <c r="L1490" s="26" t="s">
        <v>9202</v>
      </c>
      <c r="O1490" s="22" t="s">
        <v>9203</v>
      </c>
      <c r="P1490" s="22" t="s">
        <v>16853</v>
      </c>
      <c r="Q1490" s="22">
        <v>92618</v>
      </c>
      <c r="R1490" s="22" t="s">
        <v>9204</v>
      </c>
      <c r="S1490" s="22" t="s">
        <v>9205</v>
      </c>
      <c r="X1490" s="26"/>
      <c r="Y1490" s="26"/>
    </row>
    <row r="1491" spans="1:25" ht="50" x14ac:dyDescent="0.25">
      <c r="A1491" s="21">
        <v>2077</v>
      </c>
      <c r="B1491" s="22" t="s">
        <v>15368</v>
      </c>
      <c r="C1491" s="22" t="s">
        <v>9206</v>
      </c>
      <c r="D1491" s="23" t="s">
        <v>9207</v>
      </c>
      <c r="E1491" s="24" t="s">
        <v>9081</v>
      </c>
      <c r="F1491" s="22" t="s">
        <v>9208</v>
      </c>
      <c r="G1491" s="23" t="s">
        <v>9209</v>
      </c>
      <c r="H1491" s="25" t="s">
        <v>15373</v>
      </c>
      <c r="I1491" s="22" t="s">
        <v>15374</v>
      </c>
      <c r="J1491" s="22" t="s">
        <v>15400</v>
      </c>
      <c r="K1491" s="26">
        <f t="shared" si="23"/>
        <v>1435.3333333333333</v>
      </c>
      <c r="N1491" s="26" t="s">
        <v>14166</v>
      </c>
      <c r="O1491" s="22" t="s">
        <v>9210</v>
      </c>
      <c r="P1491" s="22" t="s">
        <v>16786</v>
      </c>
      <c r="Q1491" s="22">
        <v>92802</v>
      </c>
      <c r="R1491" s="22" t="s">
        <v>16512</v>
      </c>
      <c r="S1491" s="22" t="s">
        <v>16513</v>
      </c>
      <c r="X1491" s="26"/>
      <c r="Y1491" s="26"/>
    </row>
    <row r="1492" spans="1:25" ht="50" x14ac:dyDescent="0.25">
      <c r="A1492" s="21">
        <v>2078</v>
      </c>
      <c r="B1492" s="22" t="s">
        <v>15368</v>
      </c>
      <c r="C1492" s="22" t="s">
        <v>9206</v>
      </c>
      <c r="D1492" s="23" t="s">
        <v>9211</v>
      </c>
      <c r="E1492" s="24" t="s">
        <v>9081</v>
      </c>
      <c r="F1492" s="22" t="s">
        <v>9212</v>
      </c>
      <c r="G1492" s="23" t="s">
        <v>9213</v>
      </c>
      <c r="H1492" s="25" t="s">
        <v>15373</v>
      </c>
      <c r="I1492" s="22" t="s">
        <v>15374</v>
      </c>
      <c r="J1492" s="22" t="s">
        <v>13590</v>
      </c>
      <c r="K1492" s="26">
        <f t="shared" si="23"/>
        <v>400</v>
      </c>
      <c r="N1492" s="26" t="s">
        <v>9214</v>
      </c>
      <c r="O1492" s="22" t="s">
        <v>9210</v>
      </c>
      <c r="P1492" s="22" t="s">
        <v>16786</v>
      </c>
      <c r="Q1492" s="22">
        <v>92802</v>
      </c>
      <c r="R1492" s="22" t="s">
        <v>16512</v>
      </c>
      <c r="S1492" s="22" t="s">
        <v>16513</v>
      </c>
      <c r="X1492" s="26"/>
      <c r="Y1492" s="26"/>
    </row>
    <row r="1493" spans="1:25" ht="37.5" x14ac:dyDescent="0.25">
      <c r="A1493" s="21">
        <v>2079</v>
      </c>
      <c r="B1493" s="22" t="s">
        <v>15368</v>
      </c>
      <c r="C1493" s="22" t="s">
        <v>15820</v>
      </c>
      <c r="D1493" s="23" t="s">
        <v>9215</v>
      </c>
      <c r="E1493" s="24" t="s">
        <v>9081</v>
      </c>
      <c r="F1493" s="22" t="s">
        <v>9216</v>
      </c>
      <c r="G1493" s="23" t="s">
        <v>9217</v>
      </c>
      <c r="H1493" s="25" t="s">
        <v>15913</v>
      </c>
      <c r="I1493" s="22" t="s">
        <v>15382</v>
      </c>
      <c r="J1493" s="22" t="s">
        <v>9218</v>
      </c>
      <c r="K1493" s="26">
        <f t="shared" si="23"/>
        <v>473.33333333333331</v>
      </c>
      <c r="N1493" s="26" t="s">
        <v>9219</v>
      </c>
      <c r="O1493" s="22" t="s">
        <v>9220</v>
      </c>
      <c r="P1493" s="22" t="s">
        <v>16786</v>
      </c>
      <c r="Q1493" s="22">
        <v>92808</v>
      </c>
      <c r="R1493" s="22" t="s">
        <v>16512</v>
      </c>
      <c r="S1493" s="22" t="s">
        <v>16513</v>
      </c>
      <c r="X1493" s="26"/>
      <c r="Y1493" s="26"/>
    </row>
    <row r="1494" spans="1:25" ht="37.5" x14ac:dyDescent="0.25">
      <c r="A1494" s="21">
        <v>2080</v>
      </c>
      <c r="B1494" s="22" t="s">
        <v>15368</v>
      </c>
      <c r="C1494" s="22" t="s">
        <v>15820</v>
      </c>
      <c r="D1494" s="23" t="s">
        <v>9221</v>
      </c>
      <c r="E1494" s="24" t="s">
        <v>9081</v>
      </c>
      <c r="F1494" s="22" t="s">
        <v>9222</v>
      </c>
      <c r="G1494" s="23" t="s">
        <v>9223</v>
      </c>
      <c r="H1494" s="25" t="s">
        <v>15373</v>
      </c>
      <c r="I1494" s="22" t="s">
        <v>15374</v>
      </c>
      <c r="J1494" s="22" t="s">
        <v>14709</v>
      </c>
      <c r="K1494" s="26">
        <f t="shared" si="23"/>
        <v>597.33333333333326</v>
      </c>
      <c r="N1494" s="26" t="s">
        <v>9224</v>
      </c>
      <c r="O1494" s="22" t="s">
        <v>9225</v>
      </c>
      <c r="P1494" s="22" t="s">
        <v>16786</v>
      </c>
      <c r="Q1494" s="22">
        <v>92804</v>
      </c>
      <c r="R1494" s="22" t="s">
        <v>16512</v>
      </c>
      <c r="S1494" s="22" t="s">
        <v>16513</v>
      </c>
      <c r="X1494" s="26"/>
      <c r="Y1494" s="26"/>
    </row>
    <row r="1495" spans="1:25" ht="37.5" x14ac:dyDescent="0.25">
      <c r="A1495" s="21">
        <v>2083</v>
      </c>
      <c r="B1495" s="22" t="s">
        <v>15368</v>
      </c>
      <c r="C1495" s="22" t="s">
        <v>9226</v>
      </c>
      <c r="D1495" s="23" t="s">
        <v>9227</v>
      </c>
      <c r="E1495" s="24" t="s">
        <v>9081</v>
      </c>
      <c r="F1495" s="22" t="s">
        <v>9228</v>
      </c>
      <c r="G1495" s="23" t="s">
        <v>9229</v>
      </c>
      <c r="H1495" s="25" t="s">
        <v>15373</v>
      </c>
      <c r="I1495" s="22" t="s">
        <v>15374</v>
      </c>
      <c r="J1495" s="22" t="s">
        <v>9230</v>
      </c>
      <c r="K1495" s="26">
        <f t="shared" si="23"/>
        <v>890.66666666666663</v>
      </c>
      <c r="N1495" s="26" t="s">
        <v>9231</v>
      </c>
      <c r="O1495" s="22" t="s">
        <v>9232</v>
      </c>
      <c r="P1495" s="22" t="s">
        <v>16786</v>
      </c>
      <c r="Q1495" s="22">
        <v>92803</v>
      </c>
      <c r="R1495" s="22" t="s">
        <v>16512</v>
      </c>
      <c r="S1495" s="22" t="s">
        <v>16513</v>
      </c>
      <c r="X1495" s="26"/>
      <c r="Y1495" s="26"/>
    </row>
    <row r="1496" spans="1:25" ht="50" x14ac:dyDescent="0.25">
      <c r="A1496" s="21">
        <v>2084</v>
      </c>
      <c r="B1496" s="22" t="s">
        <v>15368</v>
      </c>
      <c r="C1496" s="22" t="s">
        <v>9233</v>
      </c>
      <c r="D1496" s="23" t="s">
        <v>9234</v>
      </c>
      <c r="E1496" s="24">
        <v>2001</v>
      </c>
      <c r="F1496" s="22" t="s">
        <v>9235</v>
      </c>
      <c r="G1496" s="23" t="s">
        <v>9236</v>
      </c>
      <c r="H1496" s="25" t="s">
        <v>15373</v>
      </c>
      <c r="I1496" s="22" t="s">
        <v>15374</v>
      </c>
      <c r="J1496" s="22" t="s">
        <v>9237</v>
      </c>
      <c r="K1496" s="26">
        <f t="shared" si="23"/>
        <v>443.33333333333331</v>
      </c>
      <c r="N1496" s="26" t="s">
        <v>9238</v>
      </c>
      <c r="O1496" s="22" t="s">
        <v>9239</v>
      </c>
      <c r="P1496" s="22" t="s">
        <v>14942</v>
      </c>
      <c r="Q1496" s="22">
        <v>92630</v>
      </c>
      <c r="R1496" s="22" t="s">
        <v>9240</v>
      </c>
      <c r="S1496" s="22" t="s">
        <v>9241</v>
      </c>
      <c r="X1496" s="26"/>
      <c r="Y1496" s="26"/>
    </row>
    <row r="1497" spans="1:25" ht="37.5" x14ac:dyDescent="0.25">
      <c r="A1497" s="21">
        <v>2085</v>
      </c>
      <c r="B1497" s="22" t="s">
        <v>15368</v>
      </c>
      <c r="C1497" s="22" t="s">
        <v>9233</v>
      </c>
      <c r="D1497" s="23" t="s">
        <v>9242</v>
      </c>
      <c r="E1497" s="24">
        <v>2001</v>
      </c>
      <c r="F1497" s="22" t="s">
        <v>9243</v>
      </c>
      <c r="G1497" s="23" t="s">
        <v>9244</v>
      </c>
      <c r="H1497" s="25" t="s">
        <v>15373</v>
      </c>
      <c r="I1497" s="22" t="s">
        <v>15374</v>
      </c>
      <c r="J1497" s="22" t="s">
        <v>16899</v>
      </c>
      <c r="K1497" s="26">
        <f t="shared" si="23"/>
        <v>500</v>
      </c>
      <c r="N1497" s="26" t="s">
        <v>9245</v>
      </c>
      <c r="O1497" s="22" t="s">
        <v>9239</v>
      </c>
      <c r="P1497" s="22" t="s">
        <v>14942</v>
      </c>
      <c r="Q1497" s="22">
        <v>92630</v>
      </c>
      <c r="R1497" s="22" t="s">
        <v>9240</v>
      </c>
      <c r="S1497" s="22" t="s">
        <v>9241</v>
      </c>
      <c r="X1497" s="26"/>
      <c r="Y1497" s="26"/>
    </row>
    <row r="1498" spans="1:25" ht="50" x14ac:dyDescent="0.25">
      <c r="A1498" s="21">
        <v>2086</v>
      </c>
      <c r="B1498" s="22" t="s">
        <v>15368</v>
      </c>
      <c r="C1498" s="22" t="s">
        <v>9246</v>
      </c>
      <c r="D1498" s="23" t="s">
        <v>9247</v>
      </c>
      <c r="E1498" s="24" t="s">
        <v>10144</v>
      </c>
      <c r="F1498" s="22" t="s">
        <v>9248</v>
      </c>
      <c r="G1498" s="23" t="s">
        <v>9249</v>
      </c>
      <c r="H1498" s="25" t="s">
        <v>15373</v>
      </c>
      <c r="I1498" s="22" t="s">
        <v>15374</v>
      </c>
      <c r="J1498" s="22" t="s">
        <v>14709</v>
      </c>
      <c r="K1498" s="26">
        <f t="shared" si="23"/>
        <v>500</v>
      </c>
      <c r="L1498" s="26" t="s">
        <v>10145</v>
      </c>
      <c r="O1498" s="22" t="s">
        <v>9250</v>
      </c>
      <c r="P1498" s="22" t="s">
        <v>15879</v>
      </c>
      <c r="Q1498" s="22">
        <v>91006</v>
      </c>
      <c r="R1498" s="22" t="s">
        <v>9251</v>
      </c>
      <c r="S1498" s="22" t="s">
        <v>15881</v>
      </c>
      <c r="X1498" s="26"/>
      <c r="Y1498" s="26"/>
    </row>
    <row r="1499" spans="1:25" ht="50" x14ac:dyDescent="0.25">
      <c r="A1499" s="21">
        <v>2088</v>
      </c>
      <c r="B1499" s="22" t="s">
        <v>15368</v>
      </c>
      <c r="C1499" s="22" t="s">
        <v>10257</v>
      </c>
      <c r="D1499" s="23" t="s">
        <v>10258</v>
      </c>
      <c r="E1499" s="24" t="s">
        <v>9081</v>
      </c>
      <c r="F1499" s="22" t="s">
        <v>10259</v>
      </c>
      <c r="G1499" s="23" t="s">
        <v>10260</v>
      </c>
      <c r="H1499" s="25" t="s">
        <v>15373</v>
      </c>
      <c r="I1499" s="22" t="s">
        <v>15411</v>
      </c>
      <c r="J1499" s="22" t="s">
        <v>12830</v>
      </c>
      <c r="K1499" s="26">
        <f t="shared" si="23"/>
        <v>626.66666666666663</v>
      </c>
      <c r="N1499" s="26" t="s">
        <v>10261</v>
      </c>
      <c r="O1499" s="22" t="s">
        <v>10262</v>
      </c>
      <c r="P1499" s="22" t="s">
        <v>15376</v>
      </c>
      <c r="Q1499" s="22">
        <v>90045</v>
      </c>
      <c r="R1499" s="22" t="s">
        <v>10263</v>
      </c>
      <c r="S1499" s="22" t="s">
        <v>10264</v>
      </c>
      <c r="X1499" s="26"/>
      <c r="Y1499" s="26"/>
    </row>
    <row r="1500" spans="1:25" ht="37.5" x14ac:dyDescent="0.25">
      <c r="A1500" s="21">
        <v>2089</v>
      </c>
      <c r="B1500" s="22" t="s">
        <v>15368</v>
      </c>
      <c r="C1500" s="22" t="s">
        <v>16781</v>
      </c>
      <c r="D1500" s="23" t="s">
        <v>10265</v>
      </c>
      <c r="E1500" s="24" t="s">
        <v>9081</v>
      </c>
      <c r="F1500" s="22" t="s">
        <v>10266</v>
      </c>
      <c r="G1500" s="23" t="s">
        <v>10267</v>
      </c>
      <c r="H1500" s="25" t="s">
        <v>15373</v>
      </c>
      <c r="I1500" s="22" t="s">
        <v>15382</v>
      </c>
      <c r="J1500" s="22" t="s">
        <v>16799</v>
      </c>
      <c r="K1500" s="26">
        <f t="shared" si="23"/>
        <v>503.33333333333331</v>
      </c>
      <c r="N1500" s="26" t="s">
        <v>10168</v>
      </c>
      <c r="O1500" s="22" t="s">
        <v>16785</v>
      </c>
      <c r="P1500" s="22" t="s">
        <v>16786</v>
      </c>
      <c r="Q1500" s="22">
        <v>92801</v>
      </c>
      <c r="R1500" s="22" t="s">
        <v>10268</v>
      </c>
      <c r="S1500" s="22" t="s">
        <v>10269</v>
      </c>
      <c r="X1500" s="26"/>
      <c r="Y1500" s="26"/>
    </row>
    <row r="1501" spans="1:25" ht="37.5" x14ac:dyDescent="0.25">
      <c r="A1501" s="21">
        <v>2090</v>
      </c>
      <c r="B1501" s="22" t="s">
        <v>15368</v>
      </c>
      <c r="C1501" s="22" t="s">
        <v>16781</v>
      </c>
      <c r="D1501" s="23" t="s">
        <v>10270</v>
      </c>
      <c r="E1501" s="24" t="s">
        <v>9081</v>
      </c>
      <c r="F1501" s="22" t="s">
        <v>10271</v>
      </c>
      <c r="G1501" s="23" t="s">
        <v>10272</v>
      </c>
      <c r="H1501" s="25" t="s">
        <v>15373</v>
      </c>
      <c r="I1501" s="22" t="s">
        <v>15382</v>
      </c>
      <c r="J1501" s="22" t="s">
        <v>16799</v>
      </c>
      <c r="K1501" s="26">
        <f t="shared" si="23"/>
        <v>503.33333333333331</v>
      </c>
      <c r="N1501" s="26" t="s">
        <v>10168</v>
      </c>
      <c r="O1501" s="22" t="s">
        <v>16785</v>
      </c>
      <c r="P1501" s="22" t="s">
        <v>16786</v>
      </c>
      <c r="Q1501" s="22">
        <v>92801</v>
      </c>
      <c r="R1501" s="22" t="s">
        <v>10268</v>
      </c>
      <c r="S1501" s="22" t="s">
        <v>10269</v>
      </c>
      <c r="X1501" s="26"/>
      <c r="Y1501" s="26"/>
    </row>
    <row r="1502" spans="1:25" ht="37.5" x14ac:dyDescent="0.25">
      <c r="A1502" s="21">
        <v>2091</v>
      </c>
      <c r="B1502" s="22" t="s">
        <v>15368</v>
      </c>
      <c r="C1502" s="22" t="s">
        <v>10273</v>
      </c>
      <c r="D1502" s="23" t="s">
        <v>10274</v>
      </c>
      <c r="E1502" s="24" t="s">
        <v>9081</v>
      </c>
      <c r="F1502" s="22" t="s">
        <v>10275</v>
      </c>
      <c r="G1502" s="23" t="s">
        <v>10276</v>
      </c>
      <c r="H1502" s="25" t="s">
        <v>15373</v>
      </c>
      <c r="I1502" s="22" t="s">
        <v>15374</v>
      </c>
      <c r="J1502" s="22" t="s">
        <v>11368</v>
      </c>
      <c r="K1502" s="26">
        <f t="shared" si="23"/>
        <v>986.66666666666663</v>
      </c>
      <c r="N1502" s="26" t="s">
        <v>10277</v>
      </c>
      <c r="O1502" s="22" t="s">
        <v>10278</v>
      </c>
      <c r="P1502" s="22" t="s">
        <v>14020</v>
      </c>
      <c r="Q1502" s="22">
        <v>92707</v>
      </c>
      <c r="R1502" s="22" t="s">
        <v>10279</v>
      </c>
      <c r="S1502" s="22" t="s">
        <v>15974</v>
      </c>
      <c r="X1502" s="26"/>
      <c r="Y1502" s="26"/>
    </row>
    <row r="1503" spans="1:25" ht="50" x14ac:dyDescent="0.25">
      <c r="A1503" s="21">
        <v>2092</v>
      </c>
      <c r="B1503" s="22" t="s">
        <v>15368</v>
      </c>
      <c r="C1503" s="22" t="s">
        <v>10280</v>
      </c>
      <c r="D1503" s="23" t="s">
        <v>10281</v>
      </c>
      <c r="E1503" s="24" t="s">
        <v>9081</v>
      </c>
      <c r="F1503" s="22" t="s">
        <v>10282</v>
      </c>
      <c r="G1503" s="23" t="s">
        <v>10283</v>
      </c>
      <c r="H1503" s="25" t="s">
        <v>15373</v>
      </c>
      <c r="I1503" s="22" t="s">
        <v>15374</v>
      </c>
      <c r="J1503" s="22" t="s">
        <v>15677</v>
      </c>
      <c r="K1503" s="26">
        <f t="shared" si="23"/>
        <v>2000</v>
      </c>
      <c r="L1503" s="26" t="s">
        <v>10135</v>
      </c>
      <c r="O1503" s="22" t="s">
        <v>10284</v>
      </c>
      <c r="P1503" s="22" t="s">
        <v>15795</v>
      </c>
      <c r="Q1503" s="22">
        <v>91403</v>
      </c>
      <c r="R1503" s="22" t="s">
        <v>16787</v>
      </c>
      <c r="S1503" s="22" t="s">
        <v>10285</v>
      </c>
      <c r="X1503" s="26"/>
      <c r="Y1503" s="26"/>
    </row>
    <row r="1504" spans="1:25" ht="37.5" x14ac:dyDescent="0.25">
      <c r="A1504" s="21">
        <v>2093</v>
      </c>
      <c r="B1504" s="22" t="s">
        <v>15368</v>
      </c>
      <c r="C1504" s="22" t="s">
        <v>10286</v>
      </c>
      <c r="D1504" s="23" t="s">
        <v>10287</v>
      </c>
      <c r="E1504" s="24">
        <v>2001</v>
      </c>
      <c r="F1504" s="22" t="s">
        <v>10288</v>
      </c>
      <c r="G1504" s="23" t="s">
        <v>10289</v>
      </c>
      <c r="H1504" s="25" t="s">
        <v>15373</v>
      </c>
      <c r="I1504" s="22" t="s">
        <v>15374</v>
      </c>
      <c r="J1504" s="22" t="s">
        <v>10290</v>
      </c>
      <c r="K1504" s="26">
        <f t="shared" si="23"/>
        <v>790.66666666666663</v>
      </c>
      <c r="N1504" s="26" t="s">
        <v>10291</v>
      </c>
      <c r="O1504" s="22" t="s">
        <v>10292</v>
      </c>
      <c r="P1504" s="22" t="s">
        <v>16192</v>
      </c>
      <c r="Q1504" s="22">
        <v>90621</v>
      </c>
      <c r="R1504" s="22" t="s">
        <v>10293</v>
      </c>
      <c r="S1504" s="22" t="s">
        <v>10294</v>
      </c>
      <c r="X1504" s="26"/>
      <c r="Y1504" s="26"/>
    </row>
    <row r="1505" spans="1:25" ht="50" x14ac:dyDescent="0.25">
      <c r="A1505" s="21">
        <v>2094</v>
      </c>
      <c r="B1505" s="22" t="s">
        <v>15368</v>
      </c>
      <c r="C1505" s="22" t="s">
        <v>10295</v>
      </c>
      <c r="D1505" s="23" t="s">
        <v>10296</v>
      </c>
      <c r="E1505" s="24">
        <v>2002</v>
      </c>
      <c r="F1505" s="22" t="s">
        <v>10297</v>
      </c>
      <c r="G1505" s="23" t="s">
        <v>10298</v>
      </c>
      <c r="H1505" s="25" t="s">
        <v>15373</v>
      </c>
      <c r="I1505" s="22" t="s">
        <v>15411</v>
      </c>
      <c r="J1505" s="22" t="s">
        <v>10299</v>
      </c>
      <c r="K1505" s="26">
        <f t="shared" si="23"/>
        <v>834.66666666666663</v>
      </c>
      <c r="N1505" s="26" t="s">
        <v>10300</v>
      </c>
      <c r="O1505" s="22" t="s">
        <v>10301</v>
      </c>
      <c r="P1505" s="22" t="s">
        <v>15435</v>
      </c>
      <c r="Q1505" s="22">
        <v>92626</v>
      </c>
      <c r="R1505" s="22" t="s">
        <v>10302</v>
      </c>
      <c r="S1505" s="22" t="s">
        <v>10303</v>
      </c>
      <c r="X1505" s="26"/>
      <c r="Y1505" s="26"/>
    </row>
    <row r="1506" spans="1:25" ht="50" x14ac:dyDescent="0.25">
      <c r="A1506" s="21">
        <v>2095</v>
      </c>
      <c r="B1506" s="22" t="s">
        <v>15368</v>
      </c>
      <c r="C1506" s="22" t="s">
        <v>10295</v>
      </c>
      <c r="D1506" s="23" t="s">
        <v>10304</v>
      </c>
      <c r="E1506" s="24">
        <v>2002</v>
      </c>
      <c r="F1506" s="22" t="s">
        <v>10305</v>
      </c>
      <c r="G1506" s="23" t="s">
        <v>10306</v>
      </c>
      <c r="H1506" s="25" t="s">
        <v>15373</v>
      </c>
      <c r="I1506" s="22" t="s">
        <v>15411</v>
      </c>
      <c r="J1506" s="22" t="s">
        <v>12830</v>
      </c>
      <c r="K1506" s="26">
        <f t="shared" si="23"/>
        <v>700</v>
      </c>
      <c r="N1506" s="26" t="s">
        <v>10307</v>
      </c>
      <c r="O1506" s="22" t="s">
        <v>10301</v>
      </c>
      <c r="P1506" s="22" t="s">
        <v>15435</v>
      </c>
      <c r="Q1506" s="22">
        <v>92626</v>
      </c>
      <c r="R1506" s="22" t="s">
        <v>10302</v>
      </c>
      <c r="S1506" s="22" t="s">
        <v>10303</v>
      </c>
      <c r="X1506" s="26"/>
      <c r="Y1506" s="26"/>
    </row>
    <row r="1507" spans="1:25" ht="50" x14ac:dyDescent="0.25">
      <c r="A1507" s="21">
        <v>2096</v>
      </c>
      <c r="B1507" s="22" t="s">
        <v>15368</v>
      </c>
      <c r="C1507" s="22" t="s">
        <v>10295</v>
      </c>
      <c r="D1507" s="23" t="s">
        <v>10308</v>
      </c>
      <c r="E1507" s="24">
        <v>2002</v>
      </c>
      <c r="F1507" s="22" t="s">
        <v>10309</v>
      </c>
      <c r="G1507" s="23" t="s">
        <v>10310</v>
      </c>
      <c r="H1507" s="25" t="s">
        <v>15373</v>
      </c>
      <c r="I1507" s="22" t="s">
        <v>15411</v>
      </c>
      <c r="J1507" s="22" t="s">
        <v>12830</v>
      </c>
      <c r="K1507" s="26">
        <f t="shared" si="23"/>
        <v>700</v>
      </c>
      <c r="N1507" s="26" t="s">
        <v>10307</v>
      </c>
      <c r="O1507" s="22" t="s">
        <v>10301</v>
      </c>
      <c r="P1507" s="22" t="s">
        <v>15435</v>
      </c>
      <c r="Q1507" s="22">
        <v>92626</v>
      </c>
      <c r="R1507" s="22" t="s">
        <v>10302</v>
      </c>
      <c r="S1507" s="22" t="s">
        <v>10303</v>
      </c>
      <c r="X1507" s="26"/>
      <c r="Y1507" s="26"/>
    </row>
    <row r="1508" spans="1:25" ht="50" x14ac:dyDescent="0.25">
      <c r="A1508" s="21">
        <v>2098</v>
      </c>
      <c r="B1508" s="22" t="s">
        <v>15368</v>
      </c>
      <c r="C1508" s="22" t="s">
        <v>10312</v>
      </c>
      <c r="D1508" s="23" t="s">
        <v>10313</v>
      </c>
      <c r="E1508" s="24">
        <v>2001</v>
      </c>
      <c r="F1508" s="22" t="s">
        <v>10314</v>
      </c>
      <c r="G1508" s="23" t="s">
        <v>10315</v>
      </c>
      <c r="H1508" s="25" t="s">
        <v>15373</v>
      </c>
      <c r="I1508" s="22" t="s">
        <v>15382</v>
      </c>
      <c r="J1508" s="22" t="s">
        <v>16450</v>
      </c>
      <c r="K1508" s="26">
        <f t="shared" si="23"/>
        <v>993.33333333333326</v>
      </c>
      <c r="N1508" s="26" t="s">
        <v>9186</v>
      </c>
      <c r="O1508" s="22" t="s">
        <v>10316</v>
      </c>
      <c r="P1508" s="22" t="s">
        <v>16853</v>
      </c>
      <c r="Q1508" s="22">
        <v>92614</v>
      </c>
      <c r="R1508" s="22" t="s">
        <v>10317</v>
      </c>
      <c r="S1508" s="22" t="s">
        <v>10318</v>
      </c>
      <c r="X1508" s="26"/>
      <c r="Y1508" s="26"/>
    </row>
    <row r="1509" spans="1:25" ht="50" x14ac:dyDescent="0.25">
      <c r="A1509" s="21">
        <v>2101</v>
      </c>
      <c r="B1509" s="22" t="s">
        <v>15368</v>
      </c>
      <c r="C1509" s="22" t="s">
        <v>14749</v>
      </c>
      <c r="D1509" s="23" t="s">
        <v>10319</v>
      </c>
      <c r="E1509" s="24" t="s">
        <v>9081</v>
      </c>
      <c r="F1509" s="22" t="s">
        <v>10320</v>
      </c>
      <c r="G1509" s="23" t="s">
        <v>10321</v>
      </c>
      <c r="H1509" s="25" t="s">
        <v>15373</v>
      </c>
      <c r="I1509" s="22" t="s">
        <v>14275</v>
      </c>
      <c r="J1509" s="22" t="s">
        <v>12216</v>
      </c>
      <c r="K1509" s="26">
        <f t="shared" si="23"/>
        <v>345.33333333333331</v>
      </c>
      <c r="N1509" s="26" t="s">
        <v>10322</v>
      </c>
      <c r="O1509" s="22" t="s">
        <v>10323</v>
      </c>
      <c r="P1509" s="22" t="s">
        <v>16813</v>
      </c>
      <c r="Q1509" s="22">
        <v>90210</v>
      </c>
      <c r="R1509" s="22" t="s">
        <v>16119</v>
      </c>
      <c r="S1509" s="22" t="s">
        <v>16120</v>
      </c>
      <c r="X1509" s="26"/>
      <c r="Y1509" s="26"/>
    </row>
    <row r="1510" spans="1:25" ht="62.5" x14ac:dyDescent="0.25">
      <c r="A1510" s="21">
        <v>2102</v>
      </c>
      <c r="B1510" s="22" t="s">
        <v>15368</v>
      </c>
      <c r="C1510" s="22" t="s">
        <v>16129</v>
      </c>
      <c r="D1510" s="23" t="s">
        <v>10324</v>
      </c>
      <c r="E1510" s="24" t="s">
        <v>10144</v>
      </c>
      <c r="F1510" s="22" t="s">
        <v>10325</v>
      </c>
      <c r="G1510" s="23" t="s">
        <v>9312</v>
      </c>
      <c r="H1510" s="25" t="s">
        <v>16310</v>
      </c>
      <c r="I1510" s="22" t="s">
        <v>16160</v>
      </c>
      <c r="J1510" s="22" t="s">
        <v>9313</v>
      </c>
      <c r="K1510" s="26">
        <f t="shared" si="23"/>
        <v>560</v>
      </c>
      <c r="N1510" s="26" t="s">
        <v>9314</v>
      </c>
      <c r="O1510" s="22" t="s">
        <v>16132</v>
      </c>
      <c r="P1510" s="22" t="s">
        <v>16133</v>
      </c>
      <c r="Q1510" s="22">
        <v>92314</v>
      </c>
      <c r="R1510" s="22" t="s">
        <v>16134</v>
      </c>
      <c r="S1510" s="22" t="s">
        <v>16135</v>
      </c>
      <c r="X1510" s="26"/>
      <c r="Y1510" s="26"/>
    </row>
    <row r="1511" spans="1:25" ht="37.5" x14ac:dyDescent="0.25">
      <c r="A1511" s="21">
        <v>2103</v>
      </c>
      <c r="B1511" s="22" t="s">
        <v>15368</v>
      </c>
      <c r="C1511" s="22" t="s">
        <v>9315</v>
      </c>
      <c r="D1511" s="23" t="s">
        <v>9316</v>
      </c>
      <c r="E1511" s="24" t="s">
        <v>9081</v>
      </c>
      <c r="F1511" s="22" t="s">
        <v>9317</v>
      </c>
      <c r="G1511" s="23" t="s">
        <v>9318</v>
      </c>
      <c r="H1511" s="25" t="s">
        <v>15373</v>
      </c>
      <c r="I1511" s="22" t="s">
        <v>15411</v>
      </c>
      <c r="J1511" s="22" t="s">
        <v>13080</v>
      </c>
      <c r="K1511" s="26">
        <f t="shared" si="23"/>
        <v>800</v>
      </c>
      <c r="N1511" s="26" t="s">
        <v>9098</v>
      </c>
      <c r="O1511" s="22" t="s">
        <v>9319</v>
      </c>
      <c r="P1511" s="22" t="s">
        <v>15376</v>
      </c>
      <c r="Q1511" s="22">
        <v>90032</v>
      </c>
      <c r="R1511" s="22" t="s">
        <v>9320</v>
      </c>
      <c r="S1511" s="22" t="s">
        <v>9321</v>
      </c>
      <c r="X1511" s="26"/>
      <c r="Y1511" s="26"/>
    </row>
    <row r="1512" spans="1:25" ht="37.5" x14ac:dyDescent="0.25">
      <c r="A1512" s="21">
        <v>2104</v>
      </c>
      <c r="B1512" s="22" t="s">
        <v>15368</v>
      </c>
      <c r="C1512" s="22" t="s">
        <v>9322</v>
      </c>
      <c r="D1512" s="23">
        <v>313600</v>
      </c>
      <c r="E1512" s="24">
        <v>1996</v>
      </c>
      <c r="F1512" s="22" t="s">
        <v>9323</v>
      </c>
      <c r="G1512" s="23" t="s">
        <v>9324</v>
      </c>
      <c r="H1512" s="25" t="s">
        <v>15373</v>
      </c>
      <c r="I1512" s="22" t="s">
        <v>15374</v>
      </c>
      <c r="J1512" s="22" t="s">
        <v>15701</v>
      </c>
      <c r="K1512" s="26">
        <f t="shared" si="23"/>
        <v>400</v>
      </c>
      <c r="L1512" s="26" t="s">
        <v>15492</v>
      </c>
      <c r="O1512" s="22" t="s">
        <v>9325</v>
      </c>
      <c r="P1512" s="22" t="s">
        <v>16490</v>
      </c>
      <c r="Q1512" s="22">
        <v>92407</v>
      </c>
      <c r="R1512" s="22" t="s">
        <v>9326</v>
      </c>
      <c r="S1512" s="22" t="s">
        <v>9327</v>
      </c>
      <c r="X1512" s="26"/>
      <c r="Y1512" s="26"/>
    </row>
    <row r="1513" spans="1:25" ht="37.5" x14ac:dyDescent="0.25">
      <c r="A1513" s="21">
        <v>2108</v>
      </c>
      <c r="B1513" s="22" t="s">
        <v>15368</v>
      </c>
      <c r="C1513" s="22" t="s">
        <v>9334</v>
      </c>
      <c r="D1513" s="23" t="s">
        <v>9335</v>
      </c>
      <c r="E1513" s="24" t="s">
        <v>9081</v>
      </c>
      <c r="F1513" s="22" t="s">
        <v>9336</v>
      </c>
      <c r="G1513" s="23" t="s">
        <v>9337</v>
      </c>
      <c r="H1513" s="25" t="s">
        <v>15373</v>
      </c>
      <c r="I1513" s="22" t="s">
        <v>15411</v>
      </c>
      <c r="J1513" s="22" t="s">
        <v>13002</v>
      </c>
      <c r="K1513" s="26">
        <f t="shared" si="23"/>
        <v>982.66666666666663</v>
      </c>
      <c r="N1513" s="26" t="s">
        <v>9338</v>
      </c>
      <c r="O1513" s="22" t="s">
        <v>9339</v>
      </c>
      <c r="P1513" s="22" t="s">
        <v>15376</v>
      </c>
      <c r="Q1513" s="22">
        <v>90037</v>
      </c>
      <c r="R1513" s="22" t="s">
        <v>9340</v>
      </c>
      <c r="S1513" s="22" t="s">
        <v>9341</v>
      </c>
      <c r="X1513" s="26"/>
      <c r="Y1513" s="26"/>
    </row>
    <row r="1514" spans="1:25" ht="37.5" x14ac:dyDescent="0.25">
      <c r="A1514" s="21">
        <v>2112</v>
      </c>
      <c r="B1514" s="22" t="s">
        <v>15368</v>
      </c>
      <c r="C1514" s="22" t="s">
        <v>9343</v>
      </c>
      <c r="D1514" s="23" t="s">
        <v>9344</v>
      </c>
      <c r="E1514" s="24" t="s">
        <v>9081</v>
      </c>
      <c r="F1514" s="22" t="s">
        <v>9345</v>
      </c>
      <c r="G1514" s="23" t="s">
        <v>9346</v>
      </c>
      <c r="H1514" s="25" t="s">
        <v>15373</v>
      </c>
      <c r="I1514" s="22" t="s">
        <v>15411</v>
      </c>
      <c r="J1514" s="22" t="s">
        <v>13484</v>
      </c>
      <c r="K1514" s="26">
        <f t="shared" si="23"/>
        <v>1560</v>
      </c>
      <c r="N1514" s="26" t="s">
        <v>9347</v>
      </c>
      <c r="O1514" s="22" t="s">
        <v>9348</v>
      </c>
      <c r="P1514" s="22" t="s">
        <v>12795</v>
      </c>
      <c r="Q1514" s="22">
        <v>91350</v>
      </c>
      <c r="R1514" s="22" t="s">
        <v>9349</v>
      </c>
      <c r="S1514" s="22" t="s">
        <v>9350</v>
      </c>
      <c r="X1514" s="26"/>
      <c r="Y1514" s="26"/>
    </row>
    <row r="1515" spans="1:25" ht="37.5" x14ac:dyDescent="0.25">
      <c r="A1515" s="21">
        <v>2113</v>
      </c>
      <c r="B1515" s="22" t="s">
        <v>15368</v>
      </c>
      <c r="C1515" s="22" t="s">
        <v>9351</v>
      </c>
      <c r="D1515" s="23" t="s">
        <v>9352</v>
      </c>
      <c r="E1515" s="24" t="s">
        <v>9081</v>
      </c>
      <c r="F1515" s="22" t="s">
        <v>9353</v>
      </c>
      <c r="G1515" s="23" t="s">
        <v>9354</v>
      </c>
      <c r="H1515" s="25" t="s">
        <v>15373</v>
      </c>
      <c r="I1515" s="22" t="s">
        <v>15411</v>
      </c>
      <c r="J1515" s="22" t="s">
        <v>14773</v>
      </c>
      <c r="K1515" s="26">
        <f t="shared" si="23"/>
        <v>1033.3333333333333</v>
      </c>
      <c r="N1515" s="26" t="s">
        <v>9355</v>
      </c>
      <c r="O1515" s="22" t="s">
        <v>9356</v>
      </c>
      <c r="P1515" s="22" t="s">
        <v>12795</v>
      </c>
      <c r="Q1515" s="22">
        <v>91350</v>
      </c>
      <c r="R1515" s="22" t="s">
        <v>9349</v>
      </c>
      <c r="S1515" s="22" t="s">
        <v>9350</v>
      </c>
      <c r="X1515" s="26"/>
      <c r="Y1515" s="26"/>
    </row>
    <row r="1516" spans="1:25" ht="62.5" x14ac:dyDescent="0.25">
      <c r="A1516" s="21">
        <v>2114</v>
      </c>
      <c r="B1516" s="22" t="s">
        <v>15368</v>
      </c>
      <c r="C1516" s="22" t="s">
        <v>9357</v>
      </c>
      <c r="D1516" s="23" t="s">
        <v>9358</v>
      </c>
      <c r="E1516" s="24" t="s">
        <v>10144</v>
      </c>
      <c r="F1516" s="22" t="s">
        <v>9359</v>
      </c>
      <c r="G1516" s="23" t="s">
        <v>9360</v>
      </c>
      <c r="H1516" s="25" t="s">
        <v>15373</v>
      </c>
      <c r="I1516" s="22" t="s">
        <v>15411</v>
      </c>
      <c r="J1516" s="22" t="s">
        <v>15542</v>
      </c>
      <c r="K1516" s="26">
        <f t="shared" si="23"/>
        <v>631.33333333333326</v>
      </c>
      <c r="N1516" s="26" t="s">
        <v>15543</v>
      </c>
      <c r="O1516" s="22" t="s">
        <v>14964</v>
      </c>
      <c r="P1516" s="22" t="s">
        <v>15376</v>
      </c>
      <c r="Q1516" s="22">
        <v>90036</v>
      </c>
      <c r="R1516" s="22" t="s">
        <v>9361</v>
      </c>
      <c r="S1516" s="22" t="s">
        <v>9362</v>
      </c>
      <c r="X1516" s="26"/>
      <c r="Y1516" s="26"/>
    </row>
    <row r="1517" spans="1:25" ht="50" x14ac:dyDescent="0.25">
      <c r="A1517" s="21">
        <v>2115</v>
      </c>
      <c r="B1517" s="22" t="s">
        <v>15368</v>
      </c>
      <c r="C1517" s="22" t="s">
        <v>9363</v>
      </c>
      <c r="D1517" s="23">
        <v>396927</v>
      </c>
      <c r="E1517" s="24" t="s">
        <v>10144</v>
      </c>
      <c r="F1517" s="22" t="s">
        <v>9364</v>
      </c>
      <c r="G1517" s="23" t="s">
        <v>9365</v>
      </c>
      <c r="H1517" s="25" t="s">
        <v>15373</v>
      </c>
      <c r="I1517" s="22" t="s">
        <v>15374</v>
      </c>
      <c r="J1517" s="22" t="s">
        <v>9366</v>
      </c>
      <c r="K1517" s="26">
        <f t="shared" si="23"/>
        <v>1440</v>
      </c>
      <c r="N1517" s="26" t="s">
        <v>9367</v>
      </c>
      <c r="O1517" s="22" t="s">
        <v>9368</v>
      </c>
      <c r="P1517" s="22" t="s">
        <v>15376</v>
      </c>
      <c r="Q1517" s="22">
        <v>90036</v>
      </c>
      <c r="R1517" s="22" t="s">
        <v>9361</v>
      </c>
      <c r="S1517" s="22" t="s">
        <v>9362</v>
      </c>
      <c r="X1517" s="26"/>
      <c r="Y1517" s="26"/>
    </row>
    <row r="1518" spans="1:25" ht="37.5" x14ac:dyDescent="0.25">
      <c r="A1518" s="21">
        <v>2116</v>
      </c>
      <c r="B1518" s="22" t="s">
        <v>15368</v>
      </c>
      <c r="C1518" s="22" t="s">
        <v>9369</v>
      </c>
      <c r="D1518" s="23" t="s">
        <v>9370</v>
      </c>
      <c r="E1518" s="24" t="s">
        <v>9081</v>
      </c>
      <c r="F1518" s="22" t="s">
        <v>9371</v>
      </c>
      <c r="G1518" s="23" t="s">
        <v>9372</v>
      </c>
      <c r="H1518" s="25" t="s">
        <v>15373</v>
      </c>
      <c r="I1518" s="22" t="s">
        <v>15382</v>
      </c>
      <c r="J1518" s="22" t="s">
        <v>12903</v>
      </c>
      <c r="K1518" s="26">
        <f t="shared" si="23"/>
        <v>1948</v>
      </c>
      <c r="N1518" s="26" t="s">
        <v>9373</v>
      </c>
      <c r="O1518" s="22" t="s">
        <v>9374</v>
      </c>
      <c r="P1518" s="22" t="s">
        <v>15376</v>
      </c>
      <c r="Q1518" s="22">
        <v>90059</v>
      </c>
      <c r="R1518" s="22" t="s">
        <v>9375</v>
      </c>
      <c r="S1518" s="22" t="s">
        <v>9376</v>
      </c>
      <c r="X1518" s="26"/>
      <c r="Y1518" s="26"/>
    </row>
    <row r="1519" spans="1:25" ht="37.5" x14ac:dyDescent="0.25">
      <c r="A1519" s="21">
        <v>2117</v>
      </c>
      <c r="B1519" s="22" t="s">
        <v>15368</v>
      </c>
      <c r="C1519" s="22" t="s">
        <v>9369</v>
      </c>
      <c r="D1519" s="23" t="s">
        <v>9377</v>
      </c>
      <c r="E1519" s="24" t="s">
        <v>9081</v>
      </c>
      <c r="F1519" s="22" t="s">
        <v>9378</v>
      </c>
      <c r="G1519" s="23" t="s">
        <v>9379</v>
      </c>
      <c r="H1519" s="25" t="s">
        <v>15373</v>
      </c>
      <c r="I1519" s="22" t="s">
        <v>15382</v>
      </c>
      <c r="J1519" s="22" t="s">
        <v>15391</v>
      </c>
      <c r="K1519" s="26">
        <f t="shared" si="23"/>
        <v>1480</v>
      </c>
      <c r="N1519" s="26" t="s">
        <v>9104</v>
      </c>
      <c r="O1519" s="22" t="s">
        <v>9374</v>
      </c>
      <c r="P1519" s="22" t="s">
        <v>15376</v>
      </c>
      <c r="Q1519" s="22">
        <v>90059</v>
      </c>
      <c r="R1519" s="22" t="s">
        <v>9375</v>
      </c>
      <c r="S1519" s="22" t="s">
        <v>9376</v>
      </c>
      <c r="X1519" s="26"/>
      <c r="Y1519" s="26"/>
    </row>
    <row r="1520" spans="1:25" ht="37.5" x14ac:dyDescent="0.25">
      <c r="A1520" s="21">
        <v>2118</v>
      </c>
      <c r="B1520" s="22" t="s">
        <v>15368</v>
      </c>
      <c r="C1520" s="22" t="s">
        <v>9380</v>
      </c>
      <c r="D1520" s="23" t="s">
        <v>9381</v>
      </c>
      <c r="E1520" s="24" t="s">
        <v>9081</v>
      </c>
      <c r="F1520" s="22" t="s">
        <v>9382</v>
      </c>
      <c r="G1520" s="23" t="s">
        <v>9570</v>
      </c>
      <c r="H1520" s="25" t="s">
        <v>15373</v>
      </c>
      <c r="I1520" s="22" t="s">
        <v>15382</v>
      </c>
      <c r="J1520" s="22" t="s">
        <v>16450</v>
      </c>
      <c r="K1520" s="26">
        <f t="shared" si="23"/>
        <v>993.33333333333326</v>
      </c>
      <c r="N1520" s="26" t="s">
        <v>9186</v>
      </c>
      <c r="O1520" s="22" t="s">
        <v>9383</v>
      </c>
      <c r="P1520" s="22" t="s">
        <v>15971</v>
      </c>
      <c r="Q1520" s="22">
        <v>92691</v>
      </c>
      <c r="R1520" s="22" t="s">
        <v>9384</v>
      </c>
      <c r="S1520" s="22" t="s">
        <v>9385</v>
      </c>
      <c r="X1520" s="26"/>
      <c r="Y1520" s="26"/>
    </row>
    <row r="1521" spans="1:25" ht="37.5" x14ac:dyDescent="0.25">
      <c r="A1521" s="21">
        <v>2119</v>
      </c>
      <c r="B1521" s="22" t="s">
        <v>15368</v>
      </c>
      <c r="C1521" s="22" t="s">
        <v>9386</v>
      </c>
      <c r="D1521" s="23">
        <v>389414</v>
      </c>
      <c r="E1521" s="24">
        <v>2001</v>
      </c>
      <c r="F1521" s="22" t="s">
        <v>9387</v>
      </c>
      <c r="G1521" s="23" t="s">
        <v>9388</v>
      </c>
      <c r="H1521" s="25" t="s">
        <v>15373</v>
      </c>
      <c r="I1521" s="22" t="s">
        <v>15411</v>
      </c>
      <c r="J1521" s="22" t="s">
        <v>15068</v>
      </c>
      <c r="K1521" s="26">
        <f t="shared" si="23"/>
        <v>821.33333333333326</v>
      </c>
      <c r="N1521" s="26" t="s">
        <v>9389</v>
      </c>
      <c r="O1521" s="22" t="s">
        <v>9390</v>
      </c>
      <c r="P1521" s="22" t="s">
        <v>16268</v>
      </c>
      <c r="Q1521" s="22">
        <v>91710</v>
      </c>
      <c r="R1521" s="22" t="s">
        <v>9391</v>
      </c>
      <c r="S1521" s="22" t="s">
        <v>9392</v>
      </c>
      <c r="X1521" s="26"/>
      <c r="Y1521" s="26"/>
    </row>
    <row r="1522" spans="1:25" ht="37.5" x14ac:dyDescent="0.25">
      <c r="A1522" s="21">
        <v>2120</v>
      </c>
      <c r="B1522" s="22" t="s">
        <v>15368</v>
      </c>
      <c r="C1522" s="22" t="s">
        <v>9386</v>
      </c>
      <c r="D1522" s="23" t="s">
        <v>9393</v>
      </c>
      <c r="E1522" s="24" t="s">
        <v>9081</v>
      </c>
      <c r="F1522" s="22" t="s">
        <v>9394</v>
      </c>
      <c r="G1522" s="23" t="s">
        <v>9395</v>
      </c>
      <c r="H1522" s="25" t="s">
        <v>15373</v>
      </c>
      <c r="I1522" s="22" t="s">
        <v>15382</v>
      </c>
      <c r="J1522" s="22" t="s">
        <v>9396</v>
      </c>
      <c r="K1522" s="26">
        <f t="shared" si="23"/>
        <v>356.66666666666663</v>
      </c>
      <c r="N1522" s="26" t="s">
        <v>9397</v>
      </c>
      <c r="O1522" s="22" t="s">
        <v>9390</v>
      </c>
      <c r="P1522" s="22" t="s">
        <v>16268</v>
      </c>
      <c r="Q1522" s="22">
        <v>91710</v>
      </c>
      <c r="R1522" s="22" t="s">
        <v>9391</v>
      </c>
      <c r="S1522" s="22" t="s">
        <v>9392</v>
      </c>
      <c r="X1522" s="26"/>
      <c r="Y1522" s="26"/>
    </row>
    <row r="1523" spans="1:25" ht="37.5" x14ac:dyDescent="0.25">
      <c r="A1523" s="21">
        <v>2121</v>
      </c>
      <c r="B1523" s="22" t="s">
        <v>15368</v>
      </c>
      <c r="C1523" s="22" t="s">
        <v>9386</v>
      </c>
      <c r="D1523" s="23" t="s">
        <v>9398</v>
      </c>
      <c r="E1523" s="24">
        <v>2001</v>
      </c>
      <c r="F1523" s="22" t="s">
        <v>9399</v>
      </c>
      <c r="G1523" s="23" t="s">
        <v>9400</v>
      </c>
      <c r="H1523" s="25" t="s">
        <v>15373</v>
      </c>
      <c r="I1523" s="22" t="s">
        <v>15374</v>
      </c>
      <c r="J1523" s="22" t="s">
        <v>15918</v>
      </c>
      <c r="K1523" s="26">
        <f t="shared" si="23"/>
        <v>706.66666666666663</v>
      </c>
      <c r="N1523" s="26" t="s">
        <v>9401</v>
      </c>
      <c r="O1523" s="22" t="s">
        <v>9390</v>
      </c>
      <c r="P1523" s="22" t="s">
        <v>16268</v>
      </c>
      <c r="Q1523" s="22">
        <v>91710</v>
      </c>
      <c r="R1523" s="22" t="s">
        <v>9391</v>
      </c>
      <c r="S1523" s="22" t="s">
        <v>9392</v>
      </c>
      <c r="X1523" s="26"/>
      <c r="Y1523" s="26"/>
    </row>
    <row r="1524" spans="1:25" ht="37.5" x14ac:dyDescent="0.25">
      <c r="A1524" s="21">
        <v>2122</v>
      </c>
      <c r="B1524" s="22" t="s">
        <v>15368</v>
      </c>
      <c r="C1524" s="22" t="s">
        <v>9402</v>
      </c>
      <c r="D1524" s="23" t="s">
        <v>9403</v>
      </c>
      <c r="E1524" s="24" t="s">
        <v>9081</v>
      </c>
      <c r="F1524" s="22" t="s">
        <v>9404</v>
      </c>
      <c r="G1524" s="23" t="s">
        <v>9405</v>
      </c>
      <c r="H1524" s="25" t="s">
        <v>15373</v>
      </c>
      <c r="I1524" s="22" t="s">
        <v>15374</v>
      </c>
      <c r="J1524" s="22" t="s">
        <v>9406</v>
      </c>
      <c r="K1524" s="26">
        <f t="shared" si="23"/>
        <v>406.66666666666663</v>
      </c>
      <c r="N1524" s="26" t="s">
        <v>9407</v>
      </c>
      <c r="O1524" s="22" t="s">
        <v>9408</v>
      </c>
      <c r="P1524" s="22" t="s">
        <v>16853</v>
      </c>
      <c r="Q1524" s="22">
        <v>92618</v>
      </c>
      <c r="R1524" s="22" t="s">
        <v>9409</v>
      </c>
      <c r="S1524" s="22" t="s">
        <v>9410</v>
      </c>
      <c r="X1524" s="26"/>
      <c r="Y1524" s="26"/>
    </row>
    <row r="1525" spans="1:25" ht="50" x14ac:dyDescent="0.25">
      <c r="A1525" s="21">
        <v>2125</v>
      </c>
      <c r="B1525" s="22" t="s">
        <v>15368</v>
      </c>
      <c r="C1525" s="22" t="s">
        <v>8244</v>
      </c>
      <c r="D1525" s="23" t="s">
        <v>8245</v>
      </c>
      <c r="E1525" s="24" t="s">
        <v>10144</v>
      </c>
      <c r="F1525" s="22" t="s">
        <v>8246</v>
      </c>
      <c r="G1525" s="23" t="s">
        <v>8247</v>
      </c>
      <c r="H1525" s="25" t="s">
        <v>15373</v>
      </c>
      <c r="I1525" s="22" t="s">
        <v>15382</v>
      </c>
      <c r="J1525" s="22" t="s">
        <v>14807</v>
      </c>
      <c r="K1525" s="26">
        <f t="shared" si="23"/>
        <v>373.33333333333331</v>
      </c>
      <c r="N1525" s="26" t="s">
        <v>8248</v>
      </c>
      <c r="O1525" s="22" t="s">
        <v>8249</v>
      </c>
      <c r="P1525" s="22" t="s">
        <v>16490</v>
      </c>
      <c r="Q1525" s="22">
        <v>92410</v>
      </c>
      <c r="R1525" s="22" t="s">
        <v>8250</v>
      </c>
      <c r="S1525" s="22" t="s">
        <v>8251</v>
      </c>
      <c r="X1525" s="26"/>
      <c r="Y1525" s="26"/>
    </row>
    <row r="1526" spans="1:25" ht="50" x14ac:dyDescent="0.25">
      <c r="A1526" s="21">
        <v>2126</v>
      </c>
      <c r="B1526" s="22" t="s">
        <v>15368</v>
      </c>
      <c r="C1526" s="22" t="s">
        <v>8252</v>
      </c>
      <c r="D1526" s="23" t="s">
        <v>8253</v>
      </c>
      <c r="E1526" s="24">
        <v>2002</v>
      </c>
      <c r="F1526" s="22" t="s">
        <v>8254</v>
      </c>
      <c r="G1526" s="23" t="s">
        <v>8255</v>
      </c>
      <c r="H1526" s="25" t="s">
        <v>15373</v>
      </c>
      <c r="I1526" s="22" t="s">
        <v>15411</v>
      </c>
      <c r="J1526" s="22" t="s">
        <v>9749</v>
      </c>
      <c r="K1526" s="26">
        <f t="shared" si="23"/>
        <v>474</v>
      </c>
      <c r="L1526" s="26" t="s">
        <v>9202</v>
      </c>
      <c r="O1526" s="22" t="s">
        <v>8256</v>
      </c>
      <c r="P1526" s="22" t="s">
        <v>14746</v>
      </c>
      <c r="Q1526" s="22">
        <v>91720</v>
      </c>
      <c r="R1526" s="22" t="s">
        <v>8257</v>
      </c>
      <c r="S1526" s="22" t="s">
        <v>8258</v>
      </c>
      <c r="X1526" s="26"/>
      <c r="Y1526" s="26"/>
    </row>
    <row r="1527" spans="1:25" ht="50" x14ac:dyDescent="0.25">
      <c r="A1527" s="21">
        <v>2127</v>
      </c>
      <c r="B1527" s="22" t="s">
        <v>15368</v>
      </c>
      <c r="C1527" s="22" t="s">
        <v>8259</v>
      </c>
      <c r="D1527" s="23" t="s">
        <v>8260</v>
      </c>
      <c r="E1527" s="24" t="s">
        <v>9081</v>
      </c>
      <c r="F1527" s="22" t="s">
        <v>8261</v>
      </c>
      <c r="G1527" s="23" t="s">
        <v>8262</v>
      </c>
      <c r="H1527" s="25" t="s">
        <v>15373</v>
      </c>
      <c r="I1527" s="22" t="s">
        <v>15382</v>
      </c>
      <c r="J1527" s="22" t="s">
        <v>13225</v>
      </c>
      <c r="K1527" s="26">
        <f t="shared" si="23"/>
        <v>506.66666666666663</v>
      </c>
      <c r="N1527" s="26" t="s">
        <v>8263</v>
      </c>
      <c r="O1527" s="22" t="s">
        <v>8264</v>
      </c>
      <c r="P1527" s="22" t="s">
        <v>16786</v>
      </c>
      <c r="Q1527" s="22">
        <v>92832</v>
      </c>
      <c r="R1527" s="22" t="s">
        <v>8265</v>
      </c>
      <c r="S1527" s="22" t="s">
        <v>8266</v>
      </c>
      <c r="X1527" s="26"/>
      <c r="Y1527" s="26"/>
    </row>
    <row r="1528" spans="1:25" ht="37.5" x14ac:dyDescent="0.25">
      <c r="A1528" s="21">
        <v>2128</v>
      </c>
      <c r="B1528" s="22" t="s">
        <v>15368</v>
      </c>
      <c r="C1528" s="22" t="s">
        <v>8267</v>
      </c>
      <c r="D1528" s="23" t="s">
        <v>8268</v>
      </c>
      <c r="E1528" s="24" t="s">
        <v>9081</v>
      </c>
      <c r="F1528" s="22" t="s">
        <v>8269</v>
      </c>
      <c r="G1528" s="23" t="s">
        <v>8270</v>
      </c>
      <c r="H1528" s="25" t="s">
        <v>15373</v>
      </c>
      <c r="I1528" s="22" t="s">
        <v>15411</v>
      </c>
      <c r="J1528" s="22" t="s">
        <v>8271</v>
      </c>
      <c r="K1528" s="26">
        <f t="shared" si="23"/>
        <v>746.66666666666663</v>
      </c>
      <c r="N1528" s="26" t="s">
        <v>10158</v>
      </c>
      <c r="O1528" s="22" t="s">
        <v>8272</v>
      </c>
      <c r="P1528" s="22" t="s">
        <v>13563</v>
      </c>
      <c r="Q1528" s="22">
        <v>90712</v>
      </c>
      <c r="R1528" s="22" t="s">
        <v>8273</v>
      </c>
      <c r="S1528" s="22" t="s">
        <v>13565</v>
      </c>
      <c r="X1528" s="26"/>
      <c r="Y1528" s="26"/>
    </row>
    <row r="1529" spans="1:25" ht="50" x14ac:dyDescent="0.25">
      <c r="A1529" s="21">
        <v>2129</v>
      </c>
      <c r="B1529" s="22" t="s">
        <v>15368</v>
      </c>
      <c r="C1529" s="22" t="s">
        <v>8274</v>
      </c>
      <c r="D1529" s="23" t="s">
        <v>8275</v>
      </c>
      <c r="E1529" s="24">
        <v>2001</v>
      </c>
      <c r="F1529" s="22" t="s">
        <v>8276</v>
      </c>
      <c r="G1529" s="23" t="s">
        <v>8277</v>
      </c>
      <c r="H1529" s="25" t="s">
        <v>15373</v>
      </c>
      <c r="I1529" s="22" t="s">
        <v>15411</v>
      </c>
      <c r="J1529" s="22" t="s">
        <v>10125</v>
      </c>
      <c r="K1529" s="26">
        <f t="shared" si="23"/>
        <v>493.33333333333331</v>
      </c>
      <c r="N1529" s="26" t="s">
        <v>8278</v>
      </c>
      <c r="O1529" s="22" t="s">
        <v>8279</v>
      </c>
      <c r="P1529" s="22" t="s">
        <v>16813</v>
      </c>
      <c r="Q1529" s="22">
        <v>90210</v>
      </c>
      <c r="R1529" s="22" t="s">
        <v>8280</v>
      </c>
      <c r="S1529" s="22" t="s">
        <v>8281</v>
      </c>
      <c r="X1529" s="26"/>
      <c r="Y1529" s="26"/>
    </row>
    <row r="1530" spans="1:25" ht="50" x14ac:dyDescent="0.25">
      <c r="A1530" s="21">
        <v>2132</v>
      </c>
      <c r="B1530" s="22" t="s">
        <v>15368</v>
      </c>
      <c r="C1530" s="22" t="s">
        <v>8282</v>
      </c>
      <c r="D1530" s="23" t="s">
        <v>8283</v>
      </c>
      <c r="E1530" s="24">
        <v>2001</v>
      </c>
      <c r="F1530" s="22" t="s">
        <v>8284</v>
      </c>
      <c r="G1530" s="23" t="s">
        <v>8285</v>
      </c>
      <c r="H1530" s="25" t="s">
        <v>15373</v>
      </c>
      <c r="I1530" s="22" t="s">
        <v>15382</v>
      </c>
      <c r="J1530" s="22" t="s">
        <v>15031</v>
      </c>
      <c r="K1530" s="26">
        <f t="shared" si="23"/>
        <v>993.33333333333326</v>
      </c>
      <c r="N1530" s="26" t="s">
        <v>9186</v>
      </c>
      <c r="O1530" s="22" t="s">
        <v>8286</v>
      </c>
      <c r="P1530" s="22" t="s">
        <v>14020</v>
      </c>
      <c r="Q1530" s="22">
        <v>92701</v>
      </c>
      <c r="R1530" s="22" t="s">
        <v>9862</v>
      </c>
      <c r="S1530" s="22" t="s">
        <v>11094</v>
      </c>
      <c r="X1530" s="26"/>
      <c r="Y1530" s="26"/>
    </row>
    <row r="1531" spans="1:25" ht="50" x14ac:dyDescent="0.25">
      <c r="A1531" s="21">
        <v>2133</v>
      </c>
      <c r="B1531" s="22" t="s">
        <v>15368</v>
      </c>
      <c r="C1531" s="22" t="s">
        <v>8282</v>
      </c>
      <c r="D1531" s="23" t="s">
        <v>8287</v>
      </c>
      <c r="E1531" s="24">
        <v>2001</v>
      </c>
      <c r="F1531" s="22" t="s">
        <v>8288</v>
      </c>
      <c r="G1531" s="23" t="s">
        <v>8289</v>
      </c>
      <c r="H1531" s="25" t="s">
        <v>15373</v>
      </c>
      <c r="I1531" s="22" t="s">
        <v>15382</v>
      </c>
      <c r="J1531" s="22" t="s">
        <v>8290</v>
      </c>
      <c r="K1531" s="26">
        <f t="shared" si="23"/>
        <v>686.66666666666663</v>
      </c>
      <c r="N1531" s="26" t="s">
        <v>8291</v>
      </c>
      <c r="O1531" s="22" t="s">
        <v>8292</v>
      </c>
      <c r="P1531" s="22" t="s">
        <v>14020</v>
      </c>
      <c r="Q1531" s="22">
        <v>92701</v>
      </c>
      <c r="R1531" s="22" t="s">
        <v>11093</v>
      </c>
      <c r="S1531" s="22" t="s">
        <v>11094</v>
      </c>
      <c r="X1531" s="26"/>
      <c r="Y1531" s="26"/>
    </row>
    <row r="1532" spans="1:25" ht="37.5" x14ac:dyDescent="0.25">
      <c r="A1532" s="21">
        <v>2134</v>
      </c>
      <c r="B1532" s="22" t="s">
        <v>15368</v>
      </c>
      <c r="C1532" s="22" t="s">
        <v>8293</v>
      </c>
      <c r="D1532" s="23" t="s">
        <v>8294</v>
      </c>
      <c r="E1532" s="24">
        <v>2001</v>
      </c>
      <c r="F1532" s="22" t="s">
        <v>8295</v>
      </c>
      <c r="G1532" s="23" t="s">
        <v>8296</v>
      </c>
      <c r="H1532" s="25" t="s">
        <v>15373</v>
      </c>
      <c r="I1532" s="22" t="s">
        <v>15374</v>
      </c>
      <c r="J1532" s="22" t="s">
        <v>9230</v>
      </c>
      <c r="K1532" s="26">
        <f t="shared" si="23"/>
        <v>990.66666666666663</v>
      </c>
      <c r="N1532" s="26" t="s">
        <v>8297</v>
      </c>
      <c r="O1532" s="22" t="s">
        <v>8298</v>
      </c>
      <c r="P1532" s="22" t="s">
        <v>15212</v>
      </c>
      <c r="Q1532" s="22">
        <v>92668</v>
      </c>
      <c r="R1532" s="22" t="s">
        <v>9862</v>
      </c>
      <c r="S1532" s="22" t="s">
        <v>11094</v>
      </c>
      <c r="X1532" s="26"/>
      <c r="Y1532" s="26"/>
    </row>
    <row r="1533" spans="1:25" ht="50" x14ac:dyDescent="0.25">
      <c r="A1533" s="21">
        <v>2135</v>
      </c>
      <c r="B1533" s="22" t="s">
        <v>15368</v>
      </c>
      <c r="C1533" s="22" t="s">
        <v>15614</v>
      </c>
      <c r="D1533" s="23" t="s">
        <v>8299</v>
      </c>
      <c r="E1533" s="24" t="s">
        <v>9081</v>
      </c>
      <c r="F1533" s="22" t="s">
        <v>8300</v>
      </c>
      <c r="G1533" s="23" t="s">
        <v>8301</v>
      </c>
      <c r="H1533" s="25" t="s">
        <v>15373</v>
      </c>
      <c r="I1533" s="22" t="s">
        <v>15374</v>
      </c>
      <c r="J1533" s="22" t="s">
        <v>15516</v>
      </c>
      <c r="K1533" s="26">
        <f t="shared" si="23"/>
        <v>800</v>
      </c>
      <c r="L1533" s="26" t="s">
        <v>10311</v>
      </c>
      <c r="O1533" s="22" t="s">
        <v>15617</v>
      </c>
      <c r="P1533" s="22" t="s">
        <v>16347</v>
      </c>
      <c r="Q1533" s="22">
        <v>91739</v>
      </c>
      <c r="R1533" s="22" t="s">
        <v>8302</v>
      </c>
      <c r="S1533" s="22" t="s">
        <v>15622</v>
      </c>
      <c r="X1533" s="26"/>
      <c r="Y1533" s="26"/>
    </row>
    <row r="1534" spans="1:25" ht="50" x14ac:dyDescent="0.25">
      <c r="A1534" s="21">
        <v>2136</v>
      </c>
      <c r="B1534" s="22" t="s">
        <v>15368</v>
      </c>
      <c r="C1534" s="22" t="s">
        <v>15614</v>
      </c>
      <c r="D1534" s="23" t="s">
        <v>8303</v>
      </c>
      <c r="E1534" s="24" t="s">
        <v>9081</v>
      </c>
      <c r="F1534" s="22" t="s">
        <v>8304</v>
      </c>
      <c r="G1534" s="23" t="s">
        <v>8305</v>
      </c>
      <c r="H1534" s="25" t="s">
        <v>15373</v>
      </c>
      <c r="I1534" s="22" t="s">
        <v>15374</v>
      </c>
      <c r="J1534" s="22" t="s">
        <v>15516</v>
      </c>
      <c r="K1534" s="26">
        <f t="shared" si="23"/>
        <v>800</v>
      </c>
      <c r="L1534" s="26" t="s">
        <v>10311</v>
      </c>
      <c r="O1534" s="22" t="s">
        <v>8306</v>
      </c>
      <c r="P1534" s="22" t="s">
        <v>16347</v>
      </c>
      <c r="Q1534" s="22">
        <v>91730</v>
      </c>
      <c r="R1534" s="22" t="s">
        <v>8302</v>
      </c>
      <c r="S1534" s="22" t="s">
        <v>15622</v>
      </c>
      <c r="X1534" s="26"/>
      <c r="Y1534" s="26"/>
    </row>
    <row r="1535" spans="1:25" ht="50" x14ac:dyDescent="0.25">
      <c r="A1535" s="21">
        <v>2137</v>
      </c>
      <c r="B1535" s="22" t="s">
        <v>15368</v>
      </c>
      <c r="C1535" s="22" t="s">
        <v>15614</v>
      </c>
      <c r="D1535" s="23" t="s">
        <v>8307</v>
      </c>
      <c r="E1535" s="24">
        <v>2001</v>
      </c>
      <c r="F1535" s="22" t="s">
        <v>8308</v>
      </c>
      <c r="G1535" s="23" t="s">
        <v>8309</v>
      </c>
      <c r="H1535" s="25" t="s">
        <v>15373</v>
      </c>
      <c r="I1535" s="22" t="s">
        <v>15374</v>
      </c>
      <c r="J1535" s="22" t="s">
        <v>15516</v>
      </c>
      <c r="K1535" s="26">
        <f t="shared" si="23"/>
        <v>800</v>
      </c>
      <c r="L1535" s="26" t="s">
        <v>10311</v>
      </c>
      <c r="O1535" s="22" t="s">
        <v>16832</v>
      </c>
      <c r="P1535" s="22" t="s">
        <v>16347</v>
      </c>
      <c r="Q1535" s="22">
        <v>91729</v>
      </c>
      <c r="R1535" s="22" t="s">
        <v>8302</v>
      </c>
      <c r="S1535" s="22" t="s">
        <v>15622</v>
      </c>
      <c r="X1535" s="26"/>
      <c r="Y1535" s="26"/>
    </row>
    <row r="1536" spans="1:25" ht="50" x14ac:dyDescent="0.25">
      <c r="A1536" s="21">
        <v>2138</v>
      </c>
      <c r="B1536" s="22" t="s">
        <v>15368</v>
      </c>
      <c r="C1536" s="22" t="s">
        <v>15614</v>
      </c>
      <c r="D1536" s="23" t="s">
        <v>8310</v>
      </c>
      <c r="E1536" s="24">
        <v>2001</v>
      </c>
      <c r="F1536" s="22" t="s">
        <v>8311</v>
      </c>
      <c r="G1536" s="23" t="s">
        <v>8312</v>
      </c>
      <c r="H1536" s="25" t="s">
        <v>15373</v>
      </c>
      <c r="I1536" s="22" t="s">
        <v>15374</v>
      </c>
      <c r="J1536" s="22" t="s">
        <v>14709</v>
      </c>
      <c r="K1536" s="26">
        <f t="shared" si="23"/>
        <v>600</v>
      </c>
      <c r="L1536" s="26" t="s">
        <v>9214</v>
      </c>
      <c r="O1536" s="22" t="s">
        <v>16832</v>
      </c>
      <c r="P1536" s="22" t="s">
        <v>16347</v>
      </c>
      <c r="Q1536" s="22">
        <v>91729</v>
      </c>
      <c r="R1536" s="22" t="s">
        <v>8302</v>
      </c>
      <c r="S1536" s="22" t="s">
        <v>15622</v>
      </c>
      <c r="X1536" s="26"/>
      <c r="Y1536" s="26"/>
    </row>
    <row r="1537" spans="1:25" ht="50" x14ac:dyDescent="0.25">
      <c r="A1537" s="21">
        <v>2139</v>
      </c>
      <c r="B1537" s="22" t="s">
        <v>15368</v>
      </c>
      <c r="C1537" s="22" t="s">
        <v>15614</v>
      </c>
      <c r="D1537" s="23" t="s">
        <v>8313</v>
      </c>
      <c r="E1537" s="24" t="s">
        <v>9081</v>
      </c>
      <c r="F1537" s="22" t="s">
        <v>8314</v>
      </c>
      <c r="G1537" s="23" t="s">
        <v>8315</v>
      </c>
      <c r="H1537" s="25" t="s">
        <v>15373</v>
      </c>
      <c r="I1537" s="22" t="s">
        <v>15374</v>
      </c>
      <c r="J1537" s="22" t="s">
        <v>14709</v>
      </c>
      <c r="K1537" s="26">
        <f t="shared" si="23"/>
        <v>597.33333333333326</v>
      </c>
      <c r="N1537" s="26" t="s">
        <v>9224</v>
      </c>
      <c r="O1537" s="22" t="s">
        <v>16832</v>
      </c>
      <c r="P1537" s="22" t="s">
        <v>16347</v>
      </c>
      <c r="Q1537" s="22">
        <v>91729</v>
      </c>
      <c r="R1537" s="22" t="s">
        <v>8302</v>
      </c>
      <c r="S1537" s="22" t="s">
        <v>15622</v>
      </c>
      <c r="X1537" s="26"/>
      <c r="Y1537" s="26"/>
    </row>
    <row r="1538" spans="1:25" ht="50" x14ac:dyDescent="0.25">
      <c r="A1538" s="21">
        <v>2140</v>
      </c>
      <c r="B1538" s="22" t="s">
        <v>15368</v>
      </c>
      <c r="C1538" s="22" t="s">
        <v>8316</v>
      </c>
      <c r="D1538" s="23" t="s">
        <v>8317</v>
      </c>
      <c r="E1538" s="24" t="s">
        <v>9081</v>
      </c>
      <c r="F1538" s="22" t="s">
        <v>8318</v>
      </c>
      <c r="G1538" s="23" t="s">
        <v>8319</v>
      </c>
      <c r="H1538" s="25" t="s">
        <v>15373</v>
      </c>
      <c r="I1538" s="22" t="s">
        <v>15374</v>
      </c>
      <c r="J1538" s="22" t="s">
        <v>14555</v>
      </c>
      <c r="K1538" s="26">
        <f t="shared" ref="K1538:K1601" si="24">L1538+M1538*(2/3)+N1538*(2/3)</f>
        <v>350</v>
      </c>
      <c r="L1538" s="26" t="s">
        <v>10669</v>
      </c>
      <c r="O1538" s="22" t="s">
        <v>9479</v>
      </c>
      <c r="P1538" s="22" t="s">
        <v>15629</v>
      </c>
      <c r="Q1538" s="22">
        <v>90232</v>
      </c>
      <c r="R1538" s="22" t="s">
        <v>9480</v>
      </c>
      <c r="S1538" s="22" t="s">
        <v>9481</v>
      </c>
      <c r="X1538" s="26"/>
      <c r="Y1538" s="26"/>
    </row>
    <row r="1539" spans="1:25" ht="50" x14ac:dyDescent="0.25">
      <c r="A1539" s="21">
        <v>2171</v>
      </c>
      <c r="B1539" s="22" t="s">
        <v>15368</v>
      </c>
      <c r="C1539" s="22" t="s">
        <v>9482</v>
      </c>
      <c r="D1539" s="23">
        <v>353171</v>
      </c>
      <c r="E1539" s="24">
        <v>1999</v>
      </c>
      <c r="F1539" s="22" t="s">
        <v>9483</v>
      </c>
      <c r="G1539" s="23" t="s">
        <v>9484</v>
      </c>
      <c r="H1539" s="25" t="s">
        <v>15373</v>
      </c>
      <c r="I1539" s="22" t="s">
        <v>15411</v>
      </c>
      <c r="J1539" s="22" t="s">
        <v>15877</v>
      </c>
      <c r="K1539" s="26">
        <f t="shared" si="24"/>
        <v>428.66666666666663</v>
      </c>
      <c r="N1539" s="26" t="s">
        <v>10149</v>
      </c>
      <c r="O1539" s="22" t="s">
        <v>9485</v>
      </c>
      <c r="P1539" s="22" t="s">
        <v>13211</v>
      </c>
      <c r="Q1539" s="22">
        <v>90746</v>
      </c>
      <c r="R1539" s="22" t="s">
        <v>9486</v>
      </c>
      <c r="S1539" s="22" t="s">
        <v>9487</v>
      </c>
      <c r="X1539" s="26"/>
      <c r="Y1539" s="26"/>
    </row>
    <row r="1540" spans="1:25" ht="37.5" x14ac:dyDescent="0.25">
      <c r="A1540" s="21">
        <v>2172</v>
      </c>
      <c r="B1540" s="22" t="s">
        <v>15368</v>
      </c>
      <c r="C1540" s="22" t="s">
        <v>14425</v>
      </c>
      <c r="D1540" s="23" t="s">
        <v>9488</v>
      </c>
      <c r="E1540" s="24" t="s">
        <v>10135</v>
      </c>
      <c r="F1540" s="22" t="s">
        <v>9489</v>
      </c>
      <c r="G1540" s="23" t="s">
        <v>9490</v>
      </c>
      <c r="H1540" s="25" t="s">
        <v>15373</v>
      </c>
      <c r="I1540" s="22" t="s">
        <v>15374</v>
      </c>
      <c r="J1540" s="22" t="s">
        <v>14709</v>
      </c>
      <c r="K1540" s="26">
        <f t="shared" si="24"/>
        <v>497.33333333333331</v>
      </c>
      <c r="N1540" s="26" t="s">
        <v>10190</v>
      </c>
      <c r="O1540" s="22" t="s">
        <v>9491</v>
      </c>
      <c r="P1540" s="22" t="s">
        <v>15703</v>
      </c>
      <c r="Q1540" s="22">
        <v>90245</v>
      </c>
      <c r="R1540" s="22" t="s">
        <v>14435</v>
      </c>
      <c r="S1540" s="22" t="s">
        <v>15733</v>
      </c>
      <c r="X1540" s="26"/>
      <c r="Y1540" s="26"/>
    </row>
    <row r="1541" spans="1:25" ht="37.5" x14ac:dyDescent="0.25">
      <c r="A1541" s="21">
        <v>2173</v>
      </c>
      <c r="B1541" s="22" t="s">
        <v>15368</v>
      </c>
      <c r="C1541" s="22" t="s">
        <v>10677</v>
      </c>
      <c r="D1541" s="23">
        <v>344899</v>
      </c>
      <c r="E1541" s="24">
        <v>1998</v>
      </c>
      <c r="F1541" s="22" t="s">
        <v>9492</v>
      </c>
      <c r="G1541" s="23" t="s">
        <v>9493</v>
      </c>
      <c r="H1541" s="25" t="s">
        <v>16310</v>
      </c>
      <c r="I1541" s="22" t="s">
        <v>15374</v>
      </c>
      <c r="J1541" s="22" t="s">
        <v>9494</v>
      </c>
      <c r="K1541" s="26">
        <f t="shared" si="24"/>
        <v>988</v>
      </c>
      <c r="N1541" s="26" t="s">
        <v>9495</v>
      </c>
      <c r="O1541" s="22" t="s">
        <v>10681</v>
      </c>
      <c r="P1541" s="22" t="s">
        <v>16786</v>
      </c>
      <c r="Q1541" s="22">
        <v>92802</v>
      </c>
      <c r="R1541" s="22" t="s">
        <v>9496</v>
      </c>
      <c r="S1541" s="22" t="s">
        <v>10683</v>
      </c>
      <c r="X1541" s="26"/>
      <c r="Y1541" s="26"/>
    </row>
    <row r="1542" spans="1:25" ht="37.5" x14ac:dyDescent="0.25">
      <c r="A1542" s="21">
        <v>2175</v>
      </c>
      <c r="B1542" s="22" t="s">
        <v>15368</v>
      </c>
      <c r="C1542" s="22" t="s">
        <v>9497</v>
      </c>
      <c r="D1542" s="23" t="s">
        <v>9498</v>
      </c>
      <c r="E1542" s="24" t="s">
        <v>9081</v>
      </c>
      <c r="F1542" s="22" t="s">
        <v>9499</v>
      </c>
      <c r="G1542" s="23" t="s">
        <v>9500</v>
      </c>
      <c r="H1542" s="25" t="s">
        <v>15373</v>
      </c>
      <c r="I1542" s="22" t="s">
        <v>15374</v>
      </c>
      <c r="J1542" s="22" t="s">
        <v>10290</v>
      </c>
      <c r="K1542" s="26">
        <f t="shared" si="24"/>
        <v>513.33333333333326</v>
      </c>
      <c r="N1542" s="26" t="s">
        <v>9501</v>
      </c>
      <c r="O1542" s="22" t="s">
        <v>9502</v>
      </c>
      <c r="P1542" s="22" t="s">
        <v>15376</v>
      </c>
      <c r="Q1542" s="22">
        <v>90025</v>
      </c>
      <c r="R1542" s="22" t="s">
        <v>9503</v>
      </c>
      <c r="S1542" s="22" t="s">
        <v>9504</v>
      </c>
      <c r="X1542" s="26"/>
      <c r="Y1542" s="26"/>
    </row>
    <row r="1543" spans="1:25" ht="37.5" x14ac:dyDescent="0.25">
      <c r="A1543" s="21">
        <v>2176</v>
      </c>
      <c r="B1543" s="22" t="s">
        <v>15368</v>
      </c>
      <c r="C1543" s="22" t="s">
        <v>9505</v>
      </c>
      <c r="D1543" s="23" t="s">
        <v>9506</v>
      </c>
      <c r="E1543" s="24" t="s">
        <v>9081</v>
      </c>
      <c r="F1543" s="22" t="s">
        <v>9507</v>
      </c>
      <c r="G1543" s="23" t="s">
        <v>9508</v>
      </c>
      <c r="H1543" s="25" t="s">
        <v>15373</v>
      </c>
      <c r="I1543" s="22" t="s">
        <v>14275</v>
      </c>
      <c r="J1543" s="22" t="s">
        <v>12216</v>
      </c>
      <c r="K1543" s="26">
        <f t="shared" si="24"/>
        <v>345.33333333333331</v>
      </c>
      <c r="N1543" s="26" t="s">
        <v>10322</v>
      </c>
      <c r="O1543" s="22" t="s">
        <v>9509</v>
      </c>
      <c r="P1543" s="22" t="s">
        <v>13834</v>
      </c>
      <c r="Q1543" s="22">
        <v>90278</v>
      </c>
      <c r="R1543" s="22" t="s">
        <v>9510</v>
      </c>
      <c r="S1543" s="22" t="s">
        <v>9511</v>
      </c>
      <c r="X1543" s="26"/>
      <c r="Y1543" s="26"/>
    </row>
    <row r="1544" spans="1:25" ht="37.5" x14ac:dyDescent="0.25">
      <c r="A1544" s="21">
        <v>2177</v>
      </c>
      <c r="B1544" s="22" t="s">
        <v>15368</v>
      </c>
      <c r="C1544" s="22" t="s">
        <v>9505</v>
      </c>
      <c r="D1544" s="23" t="s">
        <v>9512</v>
      </c>
      <c r="E1544" s="24" t="s">
        <v>9081</v>
      </c>
      <c r="F1544" s="22" t="s">
        <v>9513</v>
      </c>
      <c r="G1544" s="23" t="s">
        <v>9514</v>
      </c>
      <c r="H1544" s="25" t="s">
        <v>15373</v>
      </c>
      <c r="I1544" s="22" t="s">
        <v>14275</v>
      </c>
      <c r="J1544" s="22" t="s">
        <v>11722</v>
      </c>
      <c r="K1544" s="26">
        <f t="shared" si="24"/>
        <v>486.66666666666663</v>
      </c>
      <c r="N1544" s="26" t="s">
        <v>9515</v>
      </c>
      <c r="O1544" s="22" t="s">
        <v>9509</v>
      </c>
      <c r="P1544" s="22" t="s">
        <v>13834</v>
      </c>
      <c r="Q1544" s="22">
        <v>90278</v>
      </c>
      <c r="R1544" s="22" t="s">
        <v>9510</v>
      </c>
      <c r="S1544" s="22" t="s">
        <v>9511</v>
      </c>
      <c r="X1544" s="26"/>
      <c r="Y1544" s="26"/>
    </row>
    <row r="1545" spans="1:25" ht="37.5" x14ac:dyDescent="0.25">
      <c r="A1545" s="21">
        <v>2178</v>
      </c>
      <c r="B1545" s="22" t="s">
        <v>15368</v>
      </c>
      <c r="C1545" s="22" t="s">
        <v>15776</v>
      </c>
      <c r="D1545" s="23" t="s">
        <v>9516</v>
      </c>
      <c r="E1545" s="24" t="s">
        <v>9081</v>
      </c>
      <c r="F1545" s="22" t="s">
        <v>9517</v>
      </c>
      <c r="G1545" s="23" t="s">
        <v>9518</v>
      </c>
      <c r="H1545" s="25" t="s">
        <v>15373</v>
      </c>
      <c r="I1545" s="22" t="s">
        <v>15382</v>
      </c>
      <c r="J1545" s="22" t="s">
        <v>16792</v>
      </c>
      <c r="K1545" s="26">
        <f t="shared" si="24"/>
        <v>356.66666666666663</v>
      </c>
      <c r="N1545" s="26" t="s">
        <v>9397</v>
      </c>
      <c r="O1545" s="22" t="s">
        <v>15780</v>
      </c>
      <c r="P1545" s="22" t="s">
        <v>15740</v>
      </c>
      <c r="Q1545" s="22">
        <v>90846</v>
      </c>
      <c r="R1545" s="22" t="s">
        <v>9519</v>
      </c>
      <c r="S1545" s="22" t="s">
        <v>9520</v>
      </c>
      <c r="X1545" s="26"/>
      <c r="Y1545" s="26"/>
    </row>
    <row r="1546" spans="1:25" ht="37.5" x14ac:dyDescent="0.25">
      <c r="A1546" s="21">
        <v>2179</v>
      </c>
      <c r="B1546" s="22" t="s">
        <v>15368</v>
      </c>
      <c r="C1546" s="22" t="s">
        <v>9521</v>
      </c>
      <c r="D1546" s="23" t="s">
        <v>9522</v>
      </c>
      <c r="E1546" s="24" t="s">
        <v>9081</v>
      </c>
      <c r="F1546" s="22" t="s">
        <v>9523</v>
      </c>
      <c r="G1546" s="23" t="s">
        <v>9524</v>
      </c>
      <c r="H1546" s="25" t="s">
        <v>15373</v>
      </c>
      <c r="I1546" s="22" t="s">
        <v>15374</v>
      </c>
      <c r="J1546" s="22" t="s">
        <v>15441</v>
      </c>
      <c r="K1546" s="26">
        <f t="shared" si="24"/>
        <v>499.33333333333331</v>
      </c>
      <c r="N1546" s="26" t="s">
        <v>9525</v>
      </c>
      <c r="O1546" s="22" t="s">
        <v>9526</v>
      </c>
      <c r="P1546" s="22" t="s">
        <v>15795</v>
      </c>
      <c r="Q1546" s="22">
        <v>91403</v>
      </c>
      <c r="R1546" s="22" t="s">
        <v>9527</v>
      </c>
      <c r="S1546" s="22" t="s">
        <v>9528</v>
      </c>
      <c r="X1546" s="26"/>
      <c r="Y1546" s="26"/>
    </row>
    <row r="1547" spans="1:25" ht="37.5" x14ac:dyDescent="0.25">
      <c r="A1547" s="21">
        <v>2180</v>
      </c>
      <c r="B1547" s="22" t="s">
        <v>15368</v>
      </c>
      <c r="C1547" s="22" t="s">
        <v>9529</v>
      </c>
      <c r="D1547" s="23" t="s">
        <v>9530</v>
      </c>
      <c r="E1547" s="24" t="s">
        <v>9081</v>
      </c>
      <c r="F1547" s="22" t="s">
        <v>9531</v>
      </c>
      <c r="G1547" s="23" t="s">
        <v>9532</v>
      </c>
      <c r="H1547" s="25" t="s">
        <v>15373</v>
      </c>
      <c r="I1547" s="22" t="s">
        <v>15411</v>
      </c>
      <c r="J1547" s="22" t="s">
        <v>15412</v>
      </c>
      <c r="K1547" s="26">
        <f t="shared" si="24"/>
        <v>553.33333333333326</v>
      </c>
      <c r="N1547" s="26" t="s">
        <v>9533</v>
      </c>
      <c r="O1547" s="22" t="s">
        <v>9534</v>
      </c>
      <c r="P1547" s="22" t="s">
        <v>16786</v>
      </c>
      <c r="Q1547" s="22">
        <v>92806</v>
      </c>
      <c r="R1547" s="22" t="s">
        <v>9535</v>
      </c>
      <c r="S1547" s="22" t="s">
        <v>9536</v>
      </c>
      <c r="X1547" s="26"/>
      <c r="Y1547" s="26"/>
    </row>
    <row r="1548" spans="1:25" ht="50" x14ac:dyDescent="0.25">
      <c r="A1548" s="21">
        <v>2181</v>
      </c>
      <c r="B1548" s="22" t="s">
        <v>15368</v>
      </c>
      <c r="C1548" s="22" t="s">
        <v>9537</v>
      </c>
      <c r="D1548" s="23" t="s">
        <v>9538</v>
      </c>
      <c r="E1548" s="24">
        <v>2002</v>
      </c>
      <c r="F1548" s="22" t="s">
        <v>9539</v>
      </c>
      <c r="G1548" s="23" t="s">
        <v>9540</v>
      </c>
      <c r="H1548" s="25" t="s">
        <v>15373</v>
      </c>
      <c r="I1548" s="22" t="s">
        <v>15374</v>
      </c>
      <c r="J1548" s="22" t="s">
        <v>14709</v>
      </c>
      <c r="K1548" s="26">
        <f t="shared" si="24"/>
        <v>600</v>
      </c>
      <c r="L1548" s="26" t="s">
        <v>9214</v>
      </c>
      <c r="O1548" s="22" t="s">
        <v>9541</v>
      </c>
      <c r="P1548" s="22" t="s">
        <v>15376</v>
      </c>
      <c r="Q1548" s="22">
        <v>90036</v>
      </c>
      <c r="R1548" s="22" t="s">
        <v>9542</v>
      </c>
      <c r="S1548" s="22" t="s">
        <v>9543</v>
      </c>
      <c r="X1548" s="26"/>
      <c r="Y1548" s="26"/>
    </row>
    <row r="1549" spans="1:25" ht="75" x14ac:dyDescent="0.25">
      <c r="A1549" s="21">
        <v>2182</v>
      </c>
      <c r="B1549" s="22" t="s">
        <v>15368</v>
      </c>
      <c r="C1549" s="22" t="s">
        <v>14587</v>
      </c>
      <c r="D1549" s="23">
        <v>357661</v>
      </c>
      <c r="E1549" s="24">
        <v>1999</v>
      </c>
      <c r="F1549" s="22" t="s">
        <v>9544</v>
      </c>
      <c r="G1549" s="23" t="s">
        <v>9545</v>
      </c>
      <c r="H1549" s="25" t="s">
        <v>16310</v>
      </c>
      <c r="I1549" s="22" t="s">
        <v>16160</v>
      </c>
      <c r="J1549" s="22" t="s">
        <v>9546</v>
      </c>
      <c r="K1549" s="26">
        <f t="shared" si="24"/>
        <v>1540</v>
      </c>
      <c r="L1549" s="26" t="s">
        <v>9547</v>
      </c>
      <c r="O1549" s="22" t="s">
        <v>9548</v>
      </c>
      <c r="P1549" s="22" t="s">
        <v>15908</v>
      </c>
      <c r="Q1549" s="22">
        <v>92570</v>
      </c>
      <c r="R1549" s="22" t="s">
        <v>9549</v>
      </c>
      <c r="S1549" s="22" t="s">
        <v>14580</v>
      </c>
      <c r="X1549" s="26"/>
      <c r="Y1549" s="26"/>
    </row>
    <row r="1550" spans="1:25" ht="75" x14ac:dyDescent="0.25">
      <c r="A1550" s="21">
        <v>2183</v>
      </c>
      <c r="B1550" s="22" t="s">
        <v>15368</v>
      </c>
      <c r="C1550" s="22" t="s">
        <v>14587</v>
      </c>
      <c r="D1550" s="23">
        <v>357663</v>
      </c>
      <c r="E1550" s="24">
        <v>1999</v>
      </c>
      <c r="F1550" s="22" t="s">
        <v>9550</v>
      </c>
      <c r="G1550" s="23" t="s">
        <v>9551</v>
      </c>
      <c r="H1550" s="25" t="s">
        <v>16310</v>
      </c>
      <c r="I1550" s="22" t="s">
        <v>16160</v>
      </c>
      <c r="J1550" s="22" t="s">
        <v>9546</v>
      </c>
      <c r="K1550" s="26">
        <f t="shared" si="24"/>
        <v>1540</v>
      </c>
      <c r="L1550" s="26" t="s">
        <v>9547</v>
      </c>
      <c r="O1550" s="22" t="s">
        <v>9548</v>
      </c>
      <c r="P1550" s="22" t="s">
        <v>15908</v>
      </c>
      <c r="Q1550" s="22">
        <v>92570</v>
      </c>
      <c r="R1550" s="22" t="s">
        <v>9549</v>
      </c>
      <c r="S1550" s="22" t="s">
        <v>14580</v>
      </c>
      <c r="X1550" s="26"/>
      <c r="Y1550" s="26"/>
    </row>
    <row r="1551" spans="1:25" ht="37.5" x14ac:dyDescent="0.25">
      <c r="A1551" s="21">
        <v>2184</v>
      </c>
      <c r="B1551" s="22" t="s">
        <v>15368</v>
      </c>
      <c r="C1551" s="22" t="s">
        <v>9552</v>
      </c>
      <c r="D1551" s="23" t="s">
        <v>9553</v>
      </c>
      <c r="E1551" s="24">
        <v>2002</v>
      </c>
      <c r="F1551" s="22" t="s">
        <v>9554</v>
      </c>
      <c r="G1551" s="23" t="s">
        <v>9555</v>
      </c>
      <c r="H1551" s="25" t="s">
        <v>15373</v>
      </c>
      <c r="I1551" s="22" t="s">
        <v>14275</v>
      </c>
      <c r="J1551" s="22" t="s">
        <v>11722</v>
      </c>
      <c r="K1551" s="26">
        <f t="shared" si="24"/>
        <v>475.33333333333331</v>
      </c>
      <c r="N1551" s="26" t="s">
        <v>9556</v>
      </c>
      <c r="O1551" s="22" t="s">
        <v>9557</v>
      </c>
      <c r="P1551" s="22" t="s">
        <v>15376</v>
      </c>
      <c r="Q1551" s="22">
        <v>90017</v>
      </c>
      <c r="R1551" s="22" t="s">
        <v>9558</v>
      </c>
      <c r="S1551" s="22" t="s">
        <v>9559</v>
      </c>
      <c r="X1551" s="26"/>
      <c r="Y1551" s="26"/>
    </row>
    <row r="1552" spans="1:25" ht="50" x14ac:dyDescent="0.25">
      <c r="A1552" s="21">
        <v>2185</v>
      </c>
      <c r="B1552" s="22" t="s">
        <v>15368</v>
      </c>
      <c r="C1552" s="22" t="s">
        <v>15930</v>
      </c>
      <c r="D1552" s="23">
        <v>397524</v>
      </c>
      <c r="E1552" s="24">
        <v>2002</v>
      </c>
      <c r="F1552" s="22" t="s">
        <v>9560</v>
      </c>
      <c r="G1552" s="23" t="s">
        <v>8505</v>
      </c>
      <c r="H1552" s="25" t="s">
        <v>15373</v>
      </c>
      <c r="I1552" s="22" t="s">
        <v>15374</v>
      </c>
      <c r="J1552" s="22" t="s">
        <v>15677</v>
      </c>
      <c r="K1552" s="26">
        <f t="shared" si="24"/>
        <v>1898</v>
      </c>
      <c r="N1552" s="26" t="s">
        <v>8506</v>
      </c>
      <c r="O1552" s="22" t="s">
        <v>8507</v>
      </c>
      <c r="P1552" s="22" t="s">
        <v>15934</v>
      </c>
      <c r="Q1552" s="22">
        <v>92270</v>
      </c>
      <c r="R1552" s="22" t="s">
        <v>8508</v>
      </c>
      <c r="S1552" s="22" t="s">
        <v>8509</v>
      </c>
      <c r="X1552" s="26"/>
      <c r="Y1552" s="26"/>
    </row>
    <row r="1553" spans="1:25" ht="50" x14ac:dyDescent="0.25">
      <c r="A1553" s="21">
        <v>2186</v>
      </c>
      <c r="B1553" s="22" t="s">
        <v>15368</v>
      </c>
      <c r="C1553" s="22" t="s">
        <v>15930</v>
      </c>
      <c r="D1553" s="23" t="s">
        <v>8510</v>
      </c>
      <c r="E1553" s="24">
        <v>2002</v>
      </c>
      <c r="F1553" s="22" t="s">
        <v>8511</v>
      </c>
      <c r="G1553" s="23" t="s">
        <v>8512</v>
      </c>
      <c r="H1553" s="25" t="s">
        <v>15373</v>
      </c>
      <c r="I1553" s="22" t="s">
        <v>15374</v>
      </c>
      <c r="J1553" s="22" t="s">
        <v>15677</v>
      </c>
      <c r="K1553" s="26">
        <f t="shared" si="24"/>
        <v>1898</v>
      </c>
      <c r="N1553" s="26" t="s">
        <v>8506</v>
      </c>
      <c r="O1553" s="22" t="s">
        <v>8507</v>
      </c>
      <c r="P1553" s="22" t="s">
        <v>15934</v>
      </c>
      <c r="Q1553" s="22">
        <v>92270</v>
      </c>
      <c r="R1553" s="22" t="s">
        <v>8508</v>
      </c>
      <c r="S1553" s="22" t="s">
        <v>8509</v>
      </c>
      <c r="X1553" s="26"/>
      <c r="Y1553" s="26"/>
    </row>
    <row r="1554" spans="1:25" ht="50" x14ac:dyDescent="0.25">
      <c r="A1554" s="21">
        <v>2187</v>
      </c>
      <c r="B1554" s="22" t="s">
        <v>15368</v>
      </c>
      <c r="C1554" s="22" t="s">
        <v>13428</v>
      </c>
      <c r="D1554" s="23" t="s">
        <v>8513</v>
      </c>
      <c r="E1554" s="24" t="s">
        <v>9081</v>
      </c>
      <c r="F1554" s="22" t="s">
        <v>8514</v>
      </c>
      <c r="G1554" s="23" t="s">
        <v>8515</v>
      </c>
      <c r="H1554" s="25" t="s">
        <v>15373</v>
      </c>
      <c r="I1554" s="22" t="s">
        <v>15374</v>
      </c>
      <c r="J1554" s="22" t="s">
        <v>15516</v>
      </c>
      <c r="K1554" s="26">
        <f t="shared" si="24"/>
        <v>750</v>
      </c>
      <c r="L1554" s="26" t="s">
        <v>9245</v>
      </c>
      <c r="O1554" s="22" t="s">
        <v>13436</v>
      </c>
      <c r="P1554" s="22" t="s">
        <v>13421</v>
      </c>
      <c r="Q1554" s="22">
        <v>92531</v>
      </c>
      <c r="R1554" s="22" t="s">
        <v>8516</v>
      </c>
      <c r="S1554" s="22" t="s">
        <v>13423</v>
      </c>
      <c r="X1554" s="26"/>
      <c r="Y1554" s="26"/>
    </row>
    <row r="1555" spans="1:25" ht="50" x14ac:dyDescent="0.25">
      <c r="A1555" s="21">
        <v>2188</v>
      </c>
      <c r="B1555" s="22" t="s">
        <v>15368</v>
      </c>
      <c r="C1555" s="22" t="s">
        <v>13428</v>
      </c>
      <c r="D1555" s="23" t="s">
        <v>8517</v>
      </c>
      <c r="E1555" s="24" t="s">
        <v>9081</v>
      </c>
      <c r="F1555" s="22" t="s">
        <v>8518</v>
      </c>
      <c r="G1555" s="23" t="s">
        <v>8519</v>
      </c>
      <c r="H1555" s="25" t="s">
        <v>15373</v>
      </c>
      <c r="I1555" s="22" t="s">
        <v>15374</v>
      </c>
      <c r="J1555" s="22" t="s">
        <v>15420</v>
      </c>
      <c r="K1555" s="26">
        <f t="shared" si="24"/>
        <v>1250</v>
      </c>
      <c r="L1555" s="26" t="s">
        <v>8520</v>
      </c>
      <c r="O1555" s="22" t="s">
        <v>13436</v>
      </c>
      <c r="P1555" s="22" t="s">
        <v>13421</v>
      </c>
      <c r="Q1555" s="22">
        <v>92530</v>
      </c>
      <c r="R1555" s="22" t="s">
        <v>13422</v>
      </c>
      <c r="S1555" s="22" t="s">
        <v>13423</v>
      </c>
      <c r="X1555" s="26"/>
      <c r="Y1555" s="26"/>
    </row>
    <row r="1556" spans="1:25" ht="37.5" x14ac:dyDescent="0.25">
      <c r="A1556" s="21">
        <v>2191</v>
      </c>
      <c r="B1556" s="22" t="s">
        <v>15368</v>
      </c>
      <c r="C1556" s="22" t="s">
        <v>8522</v>
      </c>
      <c r="D1556" s="23" t="s">
        <v>8523</v>
      </c>
      <c r="E1556" s="24" t="s">
        <v>9081</v>
      </c>
      <c r="F1556" s="22" t="s">
        <v>8524</v>
      </c>
      <c r="G1556" s="23" t="s">
        <v>8525</v>
      </c>
      <c r="H1556" s="25" t="s">
        <v>15373</v>
      </c>
      <c r="I1556" s="22" t="s">
        <v>15374</v>
      </c>
      <c r="J1556" s="22" t="s">
        <v>15062</v>
      </c>
      <c r="K1556" s="26">
        <f t="shared" si="24"/>
        <v>350</v>
      </c>
      <c r="L1556" s="26" t="s">
        <v>10669</v>
      </c>
      <c r="O1556" s="22" t="s">
        <v>8526</v>
      </c>
      <c r="P1556" s="22" t="s">
        <v>9195</v>
      </c>
      <c r="Q1556" s="22">
        <v>91436</v>
      </c>
      <c r="R1556" s="22" t="s">
        <v>8527</v>
      </c>
      <c r="S1556" s="22" t="s">
        <v>8528</v>
      </c>
      <c r="X1556" s="26"/>
      <c r="Y1556" s="26"/>
    </row>
    <row r="1557" spans="1:25" ht="50" x14ac:dyDescent="0.25">
      <c r="A1557" s="21">
        <v>2192</v>
      </c>
      <c r="B1557" s="22" t="s">
        <v>15368</v>
      </c>
      <c r="C1557" s="22" t="s">
        <v>8529</v>
      </c>
      <c r="D1557" s="23" t="s">
        <v>8530</v>
      </c>
      <c r="E1557" s="24" t="s">
        <v>10144</v>
      </c>
      <c r="F1557" s="22" t="s">
        <v>8531</v>
      </c>
      <c r="G1557" s="23" t="s">
        <v>8532</v>
      </c>
      <c r="H1557" s="25" t="s">
        <v>15373</v>
      </c>
      <c r="I1557" s="22" t="s">
        <v>15382</v>
      </c>
      <c r="J1557" s="22" t="s">
        <v>15391</v>
      </c>
      <c r="K1557" s="26">
        <f t="shared" si="24"/>
        <v>1500</v>
      </c>
      <c r="L1557" s="26" t="s">
        <v>10138</v>
      </c>
      <c r="O1557" s="22" t="s">
        <v>8533</v>
      </c>
      <c r="P1557" s="22" t="s">
        <v>16220</v>
      </c>
      <c r="Q1557" s="22">
        <v>92656</v>
      </c>
      <c r="R1557" s="22" t="s">
        <v>8534</v>
      </c>
      <c r="S1557" s="22" t="s">
        <v>8535</v>
      </c>
      <c r="X1557" s="26"/>
      <c r="Y1557" s="26"/>
    </row>
    <row r="1558" spans="1:25" ht="50" x14ac:dyDescent="0.25">
      <c r="A1558" s="21">
        <v>2193</v>
      </c>
      <c r="B1558" s="22" t="s">
        <v>15368</v>
      </c>
      <c r="C1558" s="22" t="s">
        <v>8536</v>
      </c>
      <c r="D1558" s="23" t="s">
        <v>8537</v>
      </c>
      <c r="E1558" s="24" t="s">
        <v>9081</v>
      </c>
      <c r="F1558" s="22" t="s">
        <v>8538</v>
      </c>
      <c r="G1558" s="23" t="s">
        <v>8539</v>
      </c>
      <c r="H1558" s="25" t="s">
        <v>15373</v>
      </c>
      <c r="I1558" s="22" t="s">
        <v>16907</v>
      </c>
      <c r="J1558" s="22" t="s">
        <v>15492</v>
      </c>
      <c r="K1558" s="26">
        <f t="shared" si="24"/>
        <v>400</v>
      </c>
      <c r="N1558" s="26" t="s">
        <v>9214</v>
      </c>
      <c r="O1558" s="22" t="s">
        <v>8540</v>
      </c>
      <c r="P1558" s="22" t="s">
        <v>16853</v>
      </c>
      <c r="Q1558" s="22">
        <v>92612</v>
      </c>
      <c r="R1558" s="22" t="s">
        <v>8541</v>
      </c>
      <c r="S1558" s="22" t="s">
        <v>8542</v>
      </c>
      <c r="X1558" s="26"/>
      <c r="Y1558" s="26"/>
    </row>
    <row r="1559" spans="1:25" ht="37.5" x14ac:dyDescent="0.25">
      <c r="A1559" s="21">
        <v>2194</v>
      </c>
      <c r="B1559" s="22" t="s">
        <v>15368</v>
      </c>
      <c r="C1559" s="22" t="s">
        <v>8543</v>
      </c>
      <c r="D1559" s="23">
        <v>372704</v>
      </c>
      <c r="E1559" s="24" t="s">
        <v>10135</v>
      </c>
      <c r="F1559" s="22" t="s">
        <v>8544</v>
      </c>
      <c r="G1559" s="23" t="s">
        <v>8545</v>
      </c>
      <c r="H1559" s="25" t="s">
        <v>15373</v>
      </c>
      <c r="I1559" s="22" t="s">
        <v>15374</v>
      </c>
      <c r="J1559" s="22" t="s">
        <v>12592</v>
      </c>
      <c r="K1559" s="26">
        <f t="shared" si="24"/>
        <v>1448</v>
      </c>
      <c r="N1559" s="26" t="s">
        <v>9342</v>
      </c>
      <c r="O1559" s="22" t="s">
        <v>11919</v>
      </c>
      <c r="P1559" s="22" t="s">
        <v>15376</v>
      </c>
      <c r="Q1559" s="22">
        <v>90017</v>
      </c>
      <c r="R1559" s="22" t="s">
        <v>8546</v>
      </c>
      <c r="S1559" s="22" t="s">
        <v>8547</v>
      </c>
      <c r="X1559" s="26"/>
      <c r="Y1559" s="26"/>
    </row>
    <row r="1560" spans="1:25" ht="37.5" x14ac:dyDescent="0.25">
      <c r="A1560" s="21">
        <v>2195</v>
      </c>
      <c r="B1560" s="22" t="s">
        <v>15368</v>
      </c>
      <c r="C1560" s="22" t="s">
        <v>8543</v>
      </c>
      <c r="D1560" s="23">
        <v>372705</v>
      </c>
      <c r="E1560" s="24" t="s">
        <v>10135</v>
      </c>
      <c r="F1560" s="22" t="s">
        <v>8548</v>
      </c>
      <c r="G1560" s="23" t="s">
        <v>8549</v>
      </c>
      <c r="H1560" s="25" t="s">
        <v>15373</v>
      </c>
      <c r="I1560" s="22" t="s">
        <v>15374</v>
      </c>
      <c r="J1560" s="22" t="s">
        <v>12592</v>
      </c>
      <c r="K1560" s="26">
        <f t="shared" si="24"/>
        <v>1448</v>
      </c>
      <c r="N1560" s="26" t="s">
        <v>9342</v>
      </c>
      <c r="O1560" s="22" t="s">
        <v>11919</v>
      </c>
      <c r="P1560" s="22" t="s">
        <v>15376</v>
      </c>
      <c r="Q1560" s="22">
        <v>90017</v>
      </c>
      <c r="R1560" s="22" t="s">
        <v>8546</v>
      </c>
      <c r="S1560" s="22" t="s">
        <v>8547</v>
      </c>
      <c r="X1560" s="26"/>
      <c r="Y1560" s="26"/>
    </row>
    <row r="1561" spans="1:25" ht="37.5" x14ac:dyDescent="0.25">
      <c r="A1561" s="21">
        <v>2196</v>
      </c>
      <c r="B1561" s="22" t="s">
        <v>15368</v>
      </c>
      <c r="C1561" s="22" t="s">
        <v>8543</v>
      </c>
      <c r="D1561" s="23" t="s">
        <v>8550</v>
      </c>
      <c r="E1561" s="24" t="s">
        <v>10135</v>
      </c>
      <c r="F1561" s="22" t="s">
        <v>8551</v>
      </c>
      <c r="G1561" s="23" t="s">
        <v>8552</v>
      </c>
      <c r="H1561" s="25" t="s">
        <v>15373</v>
      </c>
      <c r="I1561" s="22" t="s">
        <v>15374</v>
      </c>
      <c r="J1561" s="22" t="s">
        <v>12592</v>
      </c>
      <c r="K1561" s="26">
        <f t="shared" si="24"/>
        <v>1448</v>
      </c>
      <c r="N1561" s="26" t="s">
        <v>9342</v>
      </c>
      <c r="O1561" s="22" t="s">
        <v>11919</v>
      </c>
      <c r="P1561" s="22" t="s">
        <v>15376</v>
      </c>
      <c r="Q1561" s="22">
        <v>90017</v>
      </c>
      <c r="R1561" s="22" t="s">
        <v>8546</v>
      </c>
      <c r="S1561" s="22" t="s">
        <v>8547</v>
      </c>
      <c r="X1561" s="26"/>
      <c r="Y1561" s="26"/>
    </row>
    <row r="1562" spans="1:25" ht="37.5" x14ac:dyDescent="0.25">
      <c r="A1562" s="21">
        <v>2197</v>
      </c>
      <c r="B1562" s="22" t="s">
        <v>15368</v>
      </c>
      <c r="C1562" s="22" t="s">
        <v>8553</v>
      </c>
      <c r="D1562" s="23">
        <v>366621</v>
      </c>
      <c r="E1562" s="24">
        <v>2000</v>
      </c>
      <c r="F1562" s="22" t="s">
        <v>8554</v>
      </c>
      <c r="G1562" s="23" t="s">
        <v>8555</v>
      </c>
      <c r="H1562" s="25" t="s">
        <v>15373</v>
      </c>
      <c r="I1562" s="22" t="s">
        <v>15374</v>
      </c>
      <c r="J1562" s="22" t="s">
        <v>8556</v>
      </c>
      <c r="K1562" s="26">
        <f t="shared" si="24"/>
        <v>797.33333333333326</v>
      </c>
      <c r="N1562" s="26" t="s">
        <v>8557</v>
      </c>
      <c r="O1562" s="22" t="s">
        <v>8558</v>
      </c>
      <c r="P1562" s="22" t="s">
        <v>15376</v>
      </c>
      <c r="Q1562" s="22">
        <v>90010</v>
      </c>
      <c r="R1562" s="22" t="s">
        <v>8559</v>
      </c>
      <c r="S1562" s="22" t="s">
        <v>8560</v>
      </c>
      <c r="X1562" s="26"/>
      <c r="Y1562" s="26"/>
    </row>
    <row r="1563" spans="1:25" ht="50" x14ac:dyDescent="0.25">
      <c r="A1563" s="21">
        <v>2198</v>
      </c>
      <c r="B1563" s="22" t="s">
        <v>15368</v>
      </c>
      <c r="C1563" s="22" t="s">
        <v>8561</v>
      </c>
      <c r="D1563" s="23">
        <v>396284</v>
      </c>
      <c r="E1563" s="24" t="s">
        <v>10144</v>
      </c>
      <c r="F1563" s="22" t="s">
        <v>8562</v>
      </c>
      <c r="G1563" s="23" t="s">
        <v>8563</v>
      </c>
      <c r="H1563" s="25" t="s">
        <v>15373</v>
      </c>
      <c r="I1563" s="22" t="s">
        <v>15374</v>
      </c>
      <c r="J1563" s="22" t="s">
        <v>9230</v>
      </c>
      <c r="K1563" s="26">
        <f t="shared" si="24"/>
        <v>737.33333333333326</v>
      </c>
      <c r="N1563" s="26" t="s">
        <v>8564</v>
      </c>
      <c r="O1563" s="22" t="s">
        <v>9613</v>
      </c>
      <c r="P1563" s="22" t="s">
        <v>15376</v>
      </c>
      <c r="Q1563" s="22">
        <v>90017</v>
      </c>
      <c r="R1563" s="22" t="s">
        <v>9614</v>
      </c>
      <c r="S1563" s="22" t="s">
        <v>9615</v>
      </c>
      <c r="X1563" s="26"/>
      <c r="Y1563" s="26"/>
    </row>
    <row r="1564" spans="1:25" ht="50" x14ac:dyDescent="0.25">
      <c r="A1564" s="21">
        <v>2199</v>
      </c>
      <c r="B1564" s="22" t="s">
        <v>15368</v>
      </c>
      <c r="C1564" s="22" t="s">
        <v>8561</v>
      </c>
      <c r="D1564" s="23" t="s">
        <v>9616</v>
      </c>
      <c r="E1564" s="24" t="s">
        <v>10144</v>
      </c>
      <c r="F1564" s="22" t="s">
        <v>9617</v>
      </c>
      <c r="G1564" s="23" t="s">
        <v>9618</v>
      </c>
      <c r="H1564" s="25" t="s">
        <v>15373</v>
      </c>
      <c r="I1564" s="22" t="s">
        <v>15374</v>
      </c>
      <c r="J1564" s="22" t="s">
        <v>9619</v>
      </c>
      <c r="K1564" s="26">
        <f t="shared" si="24"/>
        <v>988</v>
      </c>
      <c r="N1564" s="26" t="s">
        <v>9495</v>
      </c>
      <c r="O1564" s="22" t="s">
        <v>9613</v>
      </c>
      <c r="P1564" s="22" t="s">
        <v>15376</v>
      </c>
      <c r="Q1564" s="22">
        <v>90017</v>
      </c>
      <c r="R1564" s="22" t="s">
        <v>9614</v>
      </c>
      <c r="S1564" s="22" t="s">
        <v>9615</v>
      </c>
      <c r="X1564" s="26"/>
      <c r="Y1564" s="26"/>
    </row>
    <row r="1565" spans="1:25" ht="50" x14ac:dyDescent="0.25">
      <c r="A1565" s="21">
        <v>2200</v>
      </c>
      <c r="B1565" s="22" t="s">
        <v>15368</v>
      </c>
      <c r="C1565" s="22" t="s">
        <v>8561</v>
      </c>
      <c r="D1565" s="23" t="s">
        <v>9620</v>
      </c>
      <c r="E1565" s="24" t="s">
        <v>10144</v>
      </c>
      <c r="F1565" s="22" t="s">
        <v>9621</v>
      </c>
      <c r="G1565" s="23" t="s">
        <v>9622</v>
      </c>
      <c r="H1565" s="25" t="s">
        <v>15373</v>
      </c>
      <c r="I1565" s="22" t="s">
        <v>15374</v>
      </c>
      <c r="J1565" s="22" t="s">
        <v>9230</v>
      </c>
      <c r="K1565" s="26">
        <f t="shared" si="24"/>
        <v>737.33333333333326</v>
      </c>
      <c r="N1565" s="26" t="s">
        <v>8564</v>
      </c>
      <c r="O1565" s="22" t="s">
        <v>9613</v>
      </c>
      <c r="P1565" s="22" t="s">
        <v>15376</v>
      </c>
      <c r="Q1565" s="22">
        <v>90017</v>
      </c>
      <c r="R1565" s="22" t="s">
        <v>9614</v>
      </c>
      <c r="S1565" s="22" t="s">
        <v>9615</v>
      </c>
      <c r="X1565" s="26"/>
      <c r="Y1565" s="26"/>
    </row>
    <row r="1566" spans="1:25" ht="50" x14ac:dyDescent="0.25">
      <c r="A1566" s="21">
        <v>2201</v>
      </c>
      <c r="B1566" s="22" t="s">
        <v>15368</v>
      </c>
      <c r="C1566" s="22" t="s">
        <v>8561</v>
      </c>
      <c r="D1566" s="23" t="s">
        <v>9623</v>
      </c>
      <c r="E1566" s="24" t="s">
        <v>10144</v>
      </c>
      <c r="F1566" s="22" t="s">
        <v>9624</v>
      </c>
      <c r="G1566" s="23" t="s">
        <v>9625</v>
      </c>
      <c r="H1566" s="25" t="s">
        <v>15373</v>
      </c>
      <c r="I1566" s="22" t="s">
        <v>15374</v>
      </c>
      <c r="J1566" s="22" t="s">
        <v>9626</v>
      </c>
      <c r="K1566" s="26">
        <f t="shared" si="24"/>
        <v>400</v>
      </c>
      <c r="N1566" s="26" t="s">
        <v>9214</v>
      </c>
      <c r="O1566" s="22" t="s">
        <v>9613</v>
      </c>
      <c r="P1566" s="22" t="s">
        <v>15376</v>
      </c>
      <c r="Q1566" s="22">
        <v>90017</v>
      </c>
      <c r="R1566" s="22" t="s">
        <v>9614</v>
      </c>
      <c r="S1566" s="22" t="s">
        <v>9615</v>
      </c>
      <c r="X1566" s="26"/>
      <c r="Y1566" s="26"/>
    </row>
    <row r="1567" spans="1:25" ht="37.5" x14ac:dyDescent="0.25">
      <c r="A1567" s="21">
        <v>2202</v>
      </c>
      <c r="B1567" s="22" t="s">
        <v>15368</v>
      </c>
      <c r="C1567" s="22" t="s">
        <v>9627</v>
      </c>
      <c r="D1567" s="23" t="s">
        <v>9628</v>
      </c>
      <c r="E1567" s="24" t="s">
        <v>9081</v>
      </c>
      <c r="F1567" s="22" t="s">
        <v>9629</v>
      </c>
      <c r="G1567" s="23" t="s">
        <v>9630</v>
      </c>
      <c r="H1567" s="25" t="s">
        <v>15373</v>
      </c>
      <c r="I1567" s="22" t="s">
        <v>15411</v>
      </c>
      <c r="J1567" s="22" t="s">
        <v>14492</v>
      </c>
      <c r="K1567" s="26">
        <f t="shared" si="24"/>
        <v>895</v>
      </c>
      <c r="L1567" s="26" t="s">
        <v>9631</v>
      </c>
      <c r="O1567" s="22" t="s">
        <v>9632</v>
      </c>
      <c r="P1567" s="22" t="s">
        <v>15435</v>
      </c>
      <c r="Q1567" s="22">
        <v>92626</v>
      </c>
      <c r="R1567" s="22" t="s">
        <v>9633</v>
      </c>
      <c r="S1567" s="22" t="s">
        <v>9634</v>
      </c>
      <c r="X1567" s="26"/>
      <c r="Y1567" s="26"/>
    </row>
    <row r="1568" spans="1:25" ht="37.5" x14ac:dyDescent="0.25">
      <c r="A1568" s="21">
        <v>2203</v>
      </c>
      <c r="B1568" s="22" t="s">
        <v>15368</v>
      </c>
      <c r="C1568" s="22" t="s">
        <v>9635</v>
      </c>
      <c r="D1568" s="23" t="s">
        <v>9636</v>
      </c>
      <c r="E1568" s="24" t="s">
        <v>9081</v>
      </c>
      <c r="F1568" s="22" t="s">
        <v>9637</v>
      </c>
      <c r="G1568" s="23" t="s">
        <v>9638</v>
      </c>
      <c r="H1568" s="25" t="s">
        <v>15373</v>
      </c>
      <c r="I1568" s="22" t="s">
        <v>14275</v>
      </c>
      <c r="J1568" s="22" t="s">
        <v>11722</v>
      </c>
      <c r="K1568" s="26">
        <f t="shared" si="24"/>
        <v>486.66666666666663</v>
      </c>
      <c r="N1568" s="26" t="s">
        <v>9515</v>
      </c>
      <c r="O1568" s="22" t="s">
        <v>9639</v>
      </c>
      <c r="P1568" s="22" t="s">
        <v>15683</v>
      </c>
      <c r="Q1568" s="22">
        <v>91355</v>
      </c>
      <c r="R1568" s="22" t="s">
        <v>9640</v>
      </c>
      <c r="S1568" s="22" t="s">
        <v>9641</v>
      </c>
      <c r="X1568" s="26"/>
      <c r="Y1568" s="26"/>
    </row>
    <row r="1569" spans="1:25" ht="37.5" x14ac:dyDescent="0.25">
      <c r="A1569" s="21">
        <v>2204</v>
      </c>
      <c r="B1569" s="22" t="s">
        <v>15368</v>
      </c>
      <c r="C1569" s="22" t="s">
        <v>9642</v>
      </c>
      <c r="D1569" s="23">
        <v>389210</v>
      </c>
      <c r="E1569" s="24">
        <v>2001</v>
      </c>
      <c r="F1569" s="22" t="s">
        <v>9643</v>
      </c>
      <c r="G1569" s="23" t="s">
        <v>9644</v>
      </c>
      <c r="H1569" s="25" t="s">
        <v>15373</v>
      </c>
      <c r="I1569" s="22" t="s">
        <v>15411</v>
      </c>
      <c r="K1569" s="26">
        <f t="shared" si="24"/>
        <v>366.66666666666663</v>
      </c>
      <c r="N1569" s="26" t="s">
        <v>9331</v>
      </c>
      <c r="O1569" s="22" t="s">
        <v>9645</v>
      </c>
      <c r="P1569" s="22" t="s">
        <v>15893</v>
      </c>
      <c r="Q1569" s="22">
        <v>92591</v>
      </c>
      <c r="R1569" s="22" t="s">
        <v>9646</v>
      </c>
      <c r="S1569" s="22" t="s">
        <v>9647</v>
      </c>
      <c r="X1569" s="26"/>
      <c r="Y1569" s="26"/>
    </row>
    <row r="1570" spans="1:25" ht="50" x14ac:dyDescent="0.25">
      <c r="A1570" s="21">
        <v>2205</v>
      </c>
      <c r="B1570" s="22" t="s">
        <v>15368</v>
      </c>
      <c r="C1570" s="22" t="s">
        <v>9648</v>
      </c>
      <c r="D1570" s="23" t="s">
        <v>9649</v>
      </c>
      <c r="E1570" s="24" t="s">
        <v>9081</v>
      </c>
      <c r="F1570" s="22" t="s">
        <v>9650</v>
      </c>
      <c r="G1570" s="23" t="s">
        <v>9651</v>
      </c>
      <c r="H1570" s="25" t="s">
        <v>15373</v>
      </c>
      <c r="I1570" s="22" t="s">
        <v>15374</v>
      </c>
      <c r="J1570" s="22" t="s">
        <v>15516</v>
      </c>
      <c r="K1570" s="26">
        <f t="shared" si="24"/>
        <v>800</v>
      </c>
      <c r="L1570" s="26" t="s">
        <v>10311</v>
      </c>
      <c r="O1570" s="22" t="s">
        <v>9652</v>
      </c>
      <c r="P1570" s="22" t="s">
        <v>14020</v>
      </c>
      <c r="Q1570" s="22">
        <v>92704</v>
      </c>
      <c r="R1570" s="22" t="s">
        <v>9653</v>
      </c>
      <c r="S1570" s="22" t="s">
        <v>9654</v>
      </c>
      <c r="X1570" s="26"/>
      <c r="Y1570" s="26"/>
    </row>
    <row r="1571" spans="1:25" ht="50" x14ac:dyDescent="0.25">
      <c r="A1571" s="21">
        <v>2206</v>
      </c>
      <c r="B1571" s="22" t="s">
        <v>15368</v>
      </c>
      <c r="C1571" s="22" t="s">
        <v>9655</v>
      </c>
      <c r="D1571" s="23" t="s">
        <v>9656</v>
      </c>
      <c r="E1571" s="24">
        <v>2002</v>
      </c>
      <c r="F1571" s="22" t="s">
        <v>9657</v>
      </c>
      <c r="G1571" s="23" t="s">
        <v>9658</v>
      </c>
      <c r="H1571" s="25" t="s">
        <v>15373</v>
      </c>
      <c r="I1571" s="22" t="s">
        <v>14275</v>
      </c>
      <c r="J1571" s="22" t="s">
        <v>9659</v>
      </c>
      <c r="K1571" s="26">
        <f t="shared" si="24"/>
        <v>498.66666666666663</v>
      </c>
      <c r="N1571" s="26" t="s">
        <v>9660</v>
      </c>
      <c r="O1571" s="22" t="s">
        <v>9661</v>
      </c>
      <c r="P1571" s="22" t="s">
        <v>14334</v>
      </c>
      <c r="Q1571" s="22">
        <v>91311</v>
      </c>
      <c r="R1571" s="22" t="s">
        <v>9662</v>
      </c>
      <c r="S1571" s="22" t="s">
        <v>9663</v>
      </c>
      <c r="X1571" s="26"/>
      <c r="Y1571" s="26"/>
    </row>
    <row r="1572" spans="1:25" ht="37.5" x14ac:dyDescent="0.25">
      <c r="A1572" s="21">
        <v>2207</v>
      </c>
      <c r="B1572" s="22" t="s">
        <v>15368</v>
      </c>
      <c r="C1572" s="22" t="s">
        <v>9664</v>
      </c>
      <c r="D1572" s="23" t="s">
        <v>9665</v>
      </c>
      <c r="E1572" s="24" t="s">
        <v>9081</v>
      </c>
      <c r="F1572" s="22" t="s">
        <v>9666</v>
      </c>
      <c r="G1572" s="23" t="s">
        <v>9667</v>
      </c>
      <c r="H1572" s="25" t="s">
        <v>15373</v>
      </c>
      <c r="I1572" s="22" t="s">
        <v>15382</v>
      </c>
      <c r="J1572" s="22" t="s">
        <v>16799</v>
      </c>
      <c r="K1572" s="26">
        <f t="shared" si="24"/>
        <v>503.33333333333331</v>
      </c>
      <c r="N1572" s="26" t="s">
        <v>10168</v>
      </c>
      <c r="O1572" s="22" t="s">
        <v>9668</v>
      </c>
      <c r="P1572" s="22" t="s">
        <v>15212</v>
      </c>
      <c r="Q1572" s="22">
        <v>92865</v>
      </c>
      <c r="R1572" s="22" t="s">
        <v>9669</v>
      </c>
      <c r="S1572" s="22" t="s">
        <v>9670</v>
      </c>
      <c r="X1572" s="26"/>
      <c r="Y1572" s="26"/>
    </row>
    <row r="1573" spans="1:25" ht="37.5" x14ac:dyDescent="0.25">
      <c r="A1573" s="21">
        <v>2208</v>
      </c>
      <c r="B1573" s="22" t="s">
        <v>15368</v>
      </c>
      <c r="C1573" s="22" t="s">
        <v>9671</v>
      </c>
      <c r="D1573" s="23" t="s">
        <v>9672</v>
      </c>
      <c r="E1573" s="24" t="s">
        <v>9081</v>
      </c>
      <c r="F1573" s="22" t="s">
        <v>9673</v>
      </c>
      <c r="G1573" s="23" t="s">
        <v>9674</v>
      </c>
      <c r="H1573" s="25" t="s">
        <v>16411</v>
      </c>
      <c r="I1573" s="22" t="s">
        <v>15374</v>
      </c>
      <c r="J1573" s="22" t="s">
        <v>9675</v>
      </c>
      <c r="K1573" s="26">
        <f t="shared" si="24"/>
        <v>723.33333333333326</v>
      </c>
      <c r="N1573" s="26" t="s">
        <v>9676</v>
      </c>
      <c r="O1573" s="22" t="s">
        <v>14964</v>
      </c>
      <c r="P1573" s="22" t="s">
        <v>15376</v>
      </c>
      <c r="Q1573" s="22">
        <v>90008</v>
      </c>
      <c r="R1573" s="22" t="s">
        <v>9677</v>
      </c>
      <c r="S1573" s="22" t="s">
        <v>9678</v>
      </c>
      <c r="X1573" s="26"/>
      <c r="Y1573" s="26"/>
    </row>
    <row r="1574" spans="1:25" ht="25" x14ac:dyDescent="0.25">
      <c r="A1574" s="21">
        <v>2209</v>
      </c>
      <c r="B1574" s="22" t="s">
        <v>15368</v>
      </c>
      <c r="C1574" s="22" t="s">
        <v>9679</v>
      </c>
      <c r="D1574" s="23" t="s">
        <v>9680</v>
      </c>
      <c r="E1574" s="24" t="s">
        <v>9081</v>
      </c>
      <c r="F1574" s="22" t="s">
        <v>9681</v>
      </c>
      <c r="G1574" s="23" t="s">
        <v>9682</v>
      </c>
      <c r="H1574" s="25" t="s">
        <v>15373</v>
      </c>
      <c r="I1574" s="22" t="s">
        <v>15411</v>
      </c>
      <c r="J1574" s="22" t="s">
        <v>9683</v>
      </c>
      <c r="K1574" s="26">
        <f t="shared" si="24"/>
        <v>996.66666666666663</v>
      </c>
      <c r="N1574" s="26" t="s">
        <v>9684</v>
      </c>
      <c r="O1574" s="22" t="s">
        <v>9685</v>
      </c>
      <c r="P1574" s="22" t="s">
        <v>15864</v>
      </c>
      <c r="Q1574" s="22">
        <v>92335</v>
      </c>
      <c r="R1574" s="22" t="s">
        <v>9686</v>
      </c>
      <c r="S1574" s="22" t="s">
        <v>9687</v>
      </c>
      <c r="X1574" s="26"/>
      <c r="Y1574" s="26"/>
    </row>
    <row r="1575" spans="1:25" ht="50" x14ac:dyDescent="0.25">
      <c r="A1575" s="21">
        <v>2210</v>
      </c>
      <c r="B1575" s="22" t="s">
        <v>15368</v>
      </c>
      <c r="C1575" s="22" t="s">
        <v>9688</v>
      </c>
      <c r="D1575" s="23" t="s">
        <v>9689</v>
      </c>
      <c r="E1575" s="24">
        <v>2002</v>
      </c>
      <c r="F1575" s="22" t="s">
        <v>9690</v>
      </c>
      <c r="G1575" s="23" t="s">
        <v>9691</v>
      </c>
      <c r="H1575" s="25" t="s">
        <v>15373</v>
      </c>
      <c r="I1575" s="22" t="s">
        <v>15374</v>
      </c>
      <c r="J1575" s="22" t="s">
        <v>15261</v>
      </c>
      <c r="K1575" s="26">
        <f t="shared" si="24"/>
        <v>500</v>
      </c>
      <c r="L1575" s="26" t="s">
        <v>10145</v>
      </c>
      <c r="O1575" s="22" t="s">
        <v>8636</v>
      </c>
      <c r="P1575" s="22" t="s">
        <v>16249</v>
      </c>
      <c r="Q1575" s="22">
        <v>91766</v>
      </c>
      <c r="R1575" s="22" t="s">
        <v>8637</v>
      </c>
      <c r="S1575" s="22" t="s">
        <v>8638</v>
      </c>
      <c r="X1575" s="26"/>
      <c r="Y1575" s="26"/>
    </row>
    <row r="1576" spans="1:25" ht="37.5" x14ac:dyDescent="0.25">
      <c r="A1576" s="21">
        <v>2211</v>
      </c>
      <c r="B1576" s="22" t="s">
        <v>15368</v>
      </c>
      <c r="C1576" s="22" t="s">
        <v>8639</v>
      </c>
      <c r="D1576" s="23" t="s">
        <v>8640</v>
      </c>
      <c r="E1576" s="24" t="s">
        <v>9081</v>
      </c>
      <c r="F1576" s="22" t="s">
        <v>8641</v>
      </c>
      <c r="G1576" s="23" t="s">
        <v>12401</v>
      </c>
      <c r="H1576" s="25" t="s">
        <v>15373</v>
      </c>
      <c r="I1576" s="22" t="s">
        <v>15382</v>
      </c>
      <c r="J1576" s="22" t="s">
        <v>16792</v>
      </c>
      <c r="K1576" s="26">
        <f t="shared" si="24"/>
        <v>356.66666666666663</v>
      </c>
      <c r="N1576" s="26" t="s">
        <v>9397</v>
      </c>
      <c r="O1576" s="22" t="s">
        <v>8642</v>
      </c>
      <c r="P1576" s="22" t="s">
        <v>15376</v>
      </c>
      <c r="Q1576" s="22">
        <v>90045</v>
      </c>
      <c r="R1576" s="22" t="s">
        <v>8643</v>
      </c>
      <c r="S1576" s="22" t="s">
        <v>8644</v>
      </c>
      <c r="X1576" s="26"/>
      <c r="Y1576" s="26"/>
    </row>
    <row r="1577" spans="1:25" ht="37.5" x14ac:dyDescent="0.25">
      <c r="A1577" s="21">
        <v>2212</v>
      </c>
      <c r="B1577" s="22" t="s">
        <v>15368</v>
      </c>
      <c r="C1577" s="22" t="s">
        <v>14880</v>
      </c>
      <c r="D1577" s="23" t="s">
        <v>8645</v>
      </c>
      <c r="E1577" s="24" t="s">
        <v>9081</v>
      </c>
      <c r="F1577" s="22" t="s">
        <v>8646</v>
      </c>
      <c r="G1577" s="23" t="s">
        <v>8647</v>
      </c>
      <c r="H1577" s="25" t="s">
        <v>15373</v>
      </c>
      <c r="I1577" s="22" t="s">
        <v>15382</v>
      </c>
      <c r="J1577" s="22" t="s">
        <v>16925</v>
      </c>
      <c r="K1577" s="26">
        <f t="shared" si="24"/>
        <v>1480</v>
      </c>
      <c r="N1577" s="26" t="s">
        <v>9104</v>
      </c>
      <c r="O1577" s="22" t="s">
        <v>14883</v>
      </c>
      <c r="P1577" s="22" t="s">
        <v>15376</v>
      </c>
      <c r="Q1577" s="22">
        <v>90035</v>
      </c>
      <c r="R1577" s="22" t="s">
        <v>14884</v>
      </c>
      <c r="S1577" s="22" t="s">
        <v>14885</v>
      </c>
      <c r="X1577" s="26"/>
      <c r="Y1577" s="26"/>
    </row>
    <row r="1578" spans="1:25" ht="50" x14ac:dyDescent="0.25">
      <c r="A1578" s="21">
        <v>2213</v>
      </c>
      <c r="B1578" s="22" t="s">
        <v>15368</v>
      </c>
      <c r="C1578" s="22" t="s">
        <v>8648</v>
      </c>
      <c r="D1578" s="23" t="s">
        <v>8649</v>
      </c>
      <c r="E1578" s="24" t="s">
        <v>10144</v>
      </c>
      <c r="F1578" s="22" t="s">
        <v>8650</v>
      </c>
      <c r="G1578" s="23" t="s">
        <v>8651</v>
      </c>
      <c r="H1578" s="25" t="s">
        <v>15373</v>
      </c>
      <c r="I1578" s="22" t="s">
        <v>15374</v>
      </c>
      <c r="J1578" s="22" t="s">
        <v>16869</v>
      </c>
      <c r="K1578" s="26">
        <f t="shared" si="24"/>
        <v>478.66666666666663</v>
      </c>
      <c r="N1578" s="26" t="s">
        <v>8652</v>
      </c>
      <c r="O1578" s="22" t="s">
        <v>8653</v>
      </c>
      <c r="P1578" s="22" t="s">
        <v>13211</v>
      </c>
      <c r="Q1578" s="22">
        <v>90745</v>
      </c>
      <c r="R1578" s="22" t="s">
        <v>8654</v>
      </c>
      <c r="S1578" s="22" t="s">
        <v>8655</v>
      </c>
      <c r="X1578" s="26"/>
      <c r="Y1578" s="26"/>
    </row>
    <row r="1579" spans="1:25" ht="37.5" x14ac:dyDescent="0.25">
      <c r="A1579" s="21">
        <v>2214</v>
      </c>
      <c r="B1579" s="22" t="s">
        <v>15368</v>
      </c>
      <c r="C1579" s="22" t="s">
        <v>8656</v>
      </c>
      <c r="D1579" s="23" t="s">
        <v>8657</v>
      </c>
      <c r="E1579" s="24" t="s">
        <v>9081</v>
      </c>
      <c r="F1579" s="22" t="s">
        <v>8658</v>
      </c>
      <c r="G1579" s="23" t="s">
        <v>8659</v>
      </c>
      <c r="H1579" s="25" t="s">
        <v>15373</v>
      </c>
      <c r="I1579" s="22" t="s">
        <v>15382</v>
      </c>
      <c r="J1579" s="22" t="s">
        <v>15391</v>
      </c>
      <c r="K1579" s="26">
        <f t="shared" si="24"/>
        <v>1480</v>
      </c>
      <c r="N1579" s="26" t="s">
        <v>9104</v>
      </c>
      <c r="O1579" s="22" t="s">
        <v>8660</v>
      </c>
      <c r="P1579" s="22" t="s">
        <v>16901</v>
      </c>
      <c r="Q1579" s="22">
        <v>91761</v>
      </c>
      <c r="R1579" s="22" t="s">
        <v>8661</v>
      </c>
      <c r="S1579" s="22" t="s">
        <v>8662</v>
      </c>
      <c r="X1579" s="26"/>
      <c r="Y1579" s="26"/>
    </row>
    <row r="1580" spans="1:25" ht="50" x14ac:dyDescent="0.25">
      <c r="A1580" s="21">
        <v>2215</v>
      </c>
      <c r="B1580" s="22" t="s">
        <v>15368</v>
      </c>
      <c r="C1580" s="22" t="s">
        <v>14905</v>
      </c>
      <c r="D1580" s="23" t="s">
        <v>8663</v>
      </c>
      <c r="E1580" s="24" t="s">
        <v>9081</v>
      </c>
      <c r="F1580" s="22" t="s">
        <v>8664</v>
      </c>
      <c r="G1580" s="23" t="s">
        <v>8665</v>
      </c>
      <c r="H1580" s="25" t="s">
        <v>15373</v>
      </c>
      <c r="I1580" s="22" t="s">
        <v>15374</v>
      </c>
      <c r="J1580" s="22" t="s">
        <v>15516</v>
      </c>
      <c r="K1580" s="26">
        <f t="shared" si="24"/>
        <v>750</v>
      </c>
      <c r="L1580" s="26" t="s">
        <v>9245</v>
      </c>
      <c r="O1580" s="22" t="s">
        <v>14908</v>
      </c>
      <c r="P1580" s="22" t="s">
        <v>16833</v>
      </c>
      <c r="Q1580" s="22">
        <v>90650</v>
      </c>
      <c r="R1580" s="22" t="s">
        <v>14909</v>
      </c>
      <c r="S1580" s="22" t="s">
        <v>8666</v>
      </c>
      <c r="X1580" s="26"/>
      <c r="Y1580" s="26"/>
    </row>
    <row r="1581" spans="1:25" ht="37.5" x14ac:dyDescent="0.25">
      <c r="A1581" s="21">
        <v>2216</v>
      </c>
      <c r="B1581" s="22" t="s">
        <v>15368</v>
      </c>
      <c r="C1581" s="22" t="s">
        <v>8667</v>
      </c>
      <c r="D1581" s="23">
        <v>393527</v>
      </c>
      <c r="E1581" s="24">
        <v>2001</v>
      </c>
      <c r="F1581" s="22" t="s">
        <v>8668</v>
      </c>
      <c r="G1581" s="23" t="s">
        <v>8669</v>
      </c>
      <c r="H1581" s="25" t="s">
        <v>15373</v>
      </c>
      <c r="I1581" s="22" t="s">
        <v>15374</v>
      </c>
      <c r="J1581" s="22" t="s">
        <v>10290</v>
      </c>
      <c r="K1581" s="26">
        <f t="shared" si="24"/>
        <v>739.33333333333326</v>
      </c>
      <c r="N1581" s="26" t="s">
        <v>8670</v>
      </c>
      <c r="O1581" s="22" t="s">
        <v>8671</v>
      </c>
      <c r="P1581" s="22" t="s">
        <v>13028</v>
      </c>
      <c r="Q1581" s="22">
        <v>91324</v>
      </c>
      <c r="R1581" s="22" t="s">
        <v>8672</v>
      </c>
      <c r="S1581" s="22" t="s">
        <v>8673</v>
      </c>
      <c r="X1581" s="26"/>
      <c r="Y1581" s="26"/>
    </row>
    <row r="1582" spans="1:25" ht="50" x14ac:dyDescent="0.25">
      <c r="A1582" s="21">
        <v>2217</v>
      </c>
      <c r="B1582" s="22" t="s">
        <v>15368</v>
      </c>
      <c r="C1582" s="22" t="s">
        <v>8674</v>
      </c>
      <c r="D1582" s="23" t="s">
        <v>8675</v>
      </c>
      <c r="E1582" s="24" t="s">
        <v>9328</v>
      </c>
      <c r="F1582" s="22" t="s">
        <v>8676</v>
      </c>
      <c r="G1582" s="23" t="s">
        <v>8677</v>
      </c>
      <c r="H1582" s="25" t="s">
        <v>15373</v>
      </c>
      <c r="I1582" s="22" t="s">
        <v>15411</v>
      </c>
      <c r="J1582" s="22" t="s">
        <v>15838</v>
      </c>
      <c r="K1582" s="26">
        <f t="shared" si="24"/>
        <v>303.33333333333331</v>
      </c>
      <c r="N1582" s="26" t="s">
        <v>8678</v>
      </c>
      <c r="O1582" s="22" t="s">
        <v>8679</v>
      </c>
      <c r="P1582" s="22" t="s">
        <v>15414</v>
      </c>
      <c r="Q1582" s="22">
        <v>91205</v>
      </c>
      <c r="R1582" s="22" t="s">
        <v>8680</v>
      </c>
      <c r="S1582" s="22" t="s">
        <v>14972</v>
      </c>
      <c r="X1582" s="26"/>
      <c r="Y1582" s="26"/>
    </row>
    <row r="1583" spans="1:25" ht="37.5" x14ac:dyDescent="0.25">
      <c r="A1583" s="21">
        <v>2218</v>
      </c>
      <c r="B1583" s="22" t="s">
        <v>15368</v>
      </c>
      <c r="C1583" s="22" t="s">
        <v>8681</v>
      </c>
      <c r="D1583" s="23" t="s">
        <v>8682</v>
      </c>
      <c r="E1583" s="24" t="s">
        <v>10144</v>
      </c>
      <c r="F1583" s="22" t="s">
        <v>8683</v>
      </c>
      <c r="G1583" s="23" t="s">
        <v>8684</v>
      </c>
      <c r="H1583" s="25" t="s">
        <v>15373</v>
      </c>
      <c r="I1583" s="22" t="s">
        <v>15374</v>
      </c>
      <c r="J1583" s="22" t="s">
        <v>9619</v>
      </c>
      <c r="K1583" s="26">
        <f t="shared" si="24"/>
        <v>1050</v>
      </c>
      <c r="N1583" s="26" t="s">
        <v>8685</v>
      </c>
      <c r="O1583" s="22" t="s">
        <v>8686</v>
      </c>
      <c r="P1583" s="22" t="s">
        <v>15414</v>
      </c>
      <c r="Q1583" s="22">
        <v>91203</v>
      </c>
      <c r="R1583" s="22" t="s">
        <v>8687</v>
      </c>
      <c r="S1583" s="22" t="s">
        <v>8688</v>
      </c>
      <c r="X1583" s="26"/>
      <c r="Y1583" s="26"/>
    </row>
    <row r="1584" spans="1:25" ht="37.5" x14ac:dyDescent="0.25">
      <c r="A1584" s="21">
        <v>2219</v>
      </c>
      <c r="B1584" s="22" t="s">
        <v>15368</v>
      </c>
      <c r="C1584" s="22" t="s">
        <v>8689</v>
      </c>
      <c r="D1584" s="23" t="s">
        <v>8690</v>
      </c>
      <c r="E1584" s="24" t="s">
        <v>9328</v>
      </c>
      <c r="F1584" s="22" t="s">
        <v>8691</v>
      </c>
      <c r="G1584" s="23" t="s">
        <v>8692</v>
      </c>
      <c r="H1584" s="25" t="s">
        <v>15373</v>
      </c>
      <c r="I1584" s="22" t="s">
        <v>15374</v>
      </c>
      <c r="J1584" s="22" t="s">
        <v>9230</v>
      </c>
      <c r="K1584" s="26">
        <f t="shared" si="24"/>
        <v>797.33333333333326</v>
      </c>
      <c r="N1584" s="26" t="s">
        <v>8557</v>
      </c>
      <c r="O1584" s="22" t="s">
        <v>8693</v>
      </c>
      <c r="P1584" s="22" t="s">
        <v>15740</v>
      </c>
      <c r="Q1584" s="22">
        <v>90831</v>
      </c>
      <c r="R1584" s="22" t="s">
        <v>8694</v>
      </c>
      <c r="S1584" s="22" t="s">
        <v>8695</v>
      </c>
      <c r="X1584" s="26"/>
      <c r="Y1584" s="26"/>
    </row>
    <row r="1585" spans="1:25" ht="50" x14ac:dyDescent="0.25">
      <c r="A1585" s="21">
        <v>2220</v>
      </c>
      <c r="B1585" s="22" t="s">
        <v>15368</v>
      </c>
      <c r="C1585" s="22" t="s">
        <v>15108</v>
      </c>
      <c r="D1585" s="23" t="s">
        <v>8696</v>
      </c>
      <c r="E1585" s="24">
        <v>2001</v>
      </c>
      <c r="F1585" s="22" t="s">
        <v>8697</v>
      </c>
      <c r="G1585" s="23" t="s">
        <v>8698</v>
      </c>
      <c r="H1585" s="25" t="s">
        <v>15373</v>
      </c>
      <c r="I1585" s="22" t="s">
        <v>15382</v>
      </c>
      <c r="J1585" s="22" t="s">
        <v>13380</v>
      </c>
      <c r="K1585" s="26">
        <f t="shared" si="24"/>
        <v>511</v>
      </c>
      <c r="L1585" s="26" t="s">
        <v>8699</v>
      </c>
      <c r="O1585" s="22" t="s">
        <v>8700</v>
      </c>
      <c r="P1585" s="22" t="s">
        <v>16786</v>
      </c>
      <c r="Q1585" s="22">
        <v>92802</v>
      </c>
      <c r="R1585" s="22" t="s">
        <v>8701</v>
      </c>
      <c r="S1585" s="22" t="s">
        <v>8702</v>
      </c>
      <c r="X1585" s="26"/>
      <c r="Y1585" s="26"/>
    </row>
    <row r="1586" spans="1:25" ht="50" x14ac:dyDescent="0.25">
      <c r="A1586" s="21">
        <v>2221</v>
      </c>
      <c r="B1586" s="22" t="s">
        <v>15368</v>
      </c>
      <c r="C1586" s="22" t="s">
        <v>8703</v>
      </c>
      <c r="D1586" s="23" t="s">
        <v>8704</v>
      </c>
      <c r="E1586" s="24" t="s">
        <v>9081</v>
      </c>
      <c r="F1586" s="22" t="s">
        <v>8705</v>
      </c>
      <c r="G1586" s="23" t="s">
        <v>8706</v>
      </c>
      <c r="H1586" s="25" t="s">
        <v>15373</v>
      </c>
      <c r="I1586" s="22" t="s">
        <v>15374</v>
      </c>
      <c r="J1586" s="22" t="s">
        <v>15400</v>
      </c>
      <c r="K1586" s="26">
        <f t="shared" si="24"/>
        <v>1204.6666666666665</v>
      </c>
      <c r="N1586" s="26" t="s">
        <v>8707</v>
      </c>
      <c r="O1586" s="22" t="s">
        <v>8708</v>
      </c>
      <c r="P1586" s="22" t="s">
        <v>15603</v>
      </c>
      <c r="Q1586" s="22">
        <v>90028</v>
      </c>
      <c r="R1586" s="22" t="s">
        <v>8709</v>
      </c>
      <c r="S1586" s="22" t="s">
        <v>8710</v>
      </c>
      <c r="X1586" s="26"/>
      <c r="Y1586" s="26"/>
    </row>
    <row r="1587" spans="1:25" ht="50" x14ac:dyDescent="0.25">
      <c r="A1587" s="21">
        <v>2222</v>
      </c>
      <c r="B1587" s="22" t="s">
        <v>15368</v>
      </c>
      <c r="C1587" s="22" t="s">
        <v>8703</v>
      </c>
      <c r="D1587" s="23" t="s">
        <v>8711</v>
      </c>
      <c r="E1587" s="24" t="s">
        <v>9081</v>
      </c>
      <c r="F1587" s="22" t="s">
        <v>8712</v>
      </c>
      <c r="G1587" s="23" t="s">
        <v>9752</v>
      </c>
      <c r="H1587" s="25" t="s">
        <v>15373</v>
      </c>
      <c r="I1587" s="22" t="s">
        <v>15374</v>
      </c>
      <c r="J1587" s="22" t="s">
        <v>15400</v>
      </c>
      <c r="K1587" s="26">
        <f t="shared" si="24"/>
        <v>1204.6666666666665</v>
      </c>
      <c r="N1587" s="26" t="s">
        <v>8707</v>
      </c>
      <c r="O1587" s="22" t="s">
        <v>8708</v>
      </c>
      <c r="P1587" s="22" t="s">
        <v>15603</v>
      </c>
      <c r="Q1587" s="22">
        <v>90028</v>
      </c>
      <c r="R1587" s="22" t="s">
        <v>8709</v>
      </c>
      <c r="S1587" s="22" t="s">
        <v>8710</v>
      </c>
      <c r="X1587" s="26"/>
      <c r="Y1587" s="26"/>
    </row>
    <row r="1588" spans="1:25" ht="37.5" x14ac:dyDescent="0.25">
      <c r="A1588" s="21">
        <v>2223</v>
      </c>
      <c r="B1588" s="22" t="s">
        <v>15368</v>
      </c>
      <c r="C1588" s="22" t="s">
        <v>9753</v>
      </c>
      <c r="D1588" s="23" t="s">
        <v>9754</v>
      </c>
      <c r="E1588" s="24" t="s">
        <v>9081</v>
      </c>
      <c r="F1588" s="22" t="s">
        <v>9755</v>
      </c>
      <c r="G1588" s="23" t="s">
        <v>9756</v>
      </c>
      <c r="H1588" s="25" t="s">
        <v>15373</v>
      </c>
      <c r="I1588" s="22" t="s">
        <v>15374</v>
      </c>
      <c r="J1588" s="22" t="s">
        <v>12592</v>
      </c>
      <c r="K1588" s="26">
        <f t="shared" si="24"/>
        <v>1448</v>
      </c>
      <c r="N1588" s="26" t="s">
        <v>9342</v>
      </c>
      <c r="O1588" s="22" t="s">
        <v>9757</v>
      </c>
      <c r="P1588" s="22" t="s">
        <v>14935</v>
      </c>
      <c r="Q1588" s="22">
        <v>92210</v>
      </c>
      <c r="R1588" s="22" t="s">
        <v>9758</v>
      </c>
      <c r="S1588" s="22" t="s">
        <v>9759</v>
      </c>
      <c r="X1588" s="26"/>
      <c r="Y1588" s="26"/>
    </row>
    <row r="1589" spans="1:25" ht="50" x14ac:dyDescent="0.25">
      <c r="A1589" s="21">
        <v>2224</v>
      </c>
      <c r="B1589" s="22" t="s">
        <v>15368</v>
      </c>
      <c r="C1589" s="22" t="s">
        <v>9760</v>
      </c>
      <c r="D1589" s="23" t="s">
        <v>9761</v>
      </c>
      <c r="E1589" s="24" t="s">
        <v>9081</v>
      </c>
      <c r="F1589" s="22" t="s">
        <v>9762</v>
      </c>
      <c r="G1589" s="23" t="s">
        <v>9763</v>
      </c>
      <c r="H1589" s="25" t="s">
        <v>15373</v>
      </c>
      <c r="I1589" s="22" t="s">
        <v>15382</v>
      </c>
      <c r="J1589" s="22" t="s">
        <v>16799</v>
      </c>
      <c r="K1589" s="26">
        <f t="shared" si="24"/>
        <v>503.33333333333331</v>
      </c>
      <c r="N1589" s="26" t="s">
        <v>10168</v>
      </c>
      <c r="O1589" s="22" t="s">
        <v>9764</v>
      </c>
      <c r="P1589" s="22" t="s">
        <v>14020</v>
      </c>
      <c r="Q1589" s="22">
        <v>92707</v>
      </c>
      <c r="R1589" s="22" t="s">
        <v>9765</v>
      </c>
      <c r="S1589" s="22" t="s">
        <v>9766</v>
      </c>
      <c r="X1589" s="26"/>
      <c r="Y1589" s="26"/>
    </row>
    <row r="1590" spans="1:25" ht="50" x14ac:dyDescent="0.25">
      <c r="A1590" s="21">
        <v>2225</v>
      </c>
      <c r="B1590" s="22" t="s">
        <v>15368</v>
      </c>
      <c r="C1590" s="22" t="s">
        <v>9760</v>
      </c>
      <c r="D1590" s="23" t="s">
        <v>9767</v>
      </c>
      <c r="E1590" s="24" t="s">
        <v>9081</v>
      </c>
      <c r="F1590" s="22" t="s">
        <v>9768</v>
      </c>
      <c r="G1590" s="23" t="s">
        <v>9769</v>
      </c>
      <c r="H1590" s="25" t="s">
        <v>15373</v>
      </c>
      <c r="I1590" s="22" t="s">
        <v>15382</v>
      </c>
      <c r="J1590" s="22" t="s">
        <v>16799</v>
      </c>
      <c r="K1590" s="26">
        <f t="shared" si="24"/>
        <v>503.33333333333331</v>
      </c>
      <c r="N1590" s="26" t="s">
        <v>10168</v>
      </c>
      <c r="O1590" s="22" t="s">
        <v>9764</v>
      </c>
      <c r="P1590" s="22" t="s">
        <v>14020</v>
      </c>
      <c r="Q1590" s="22">
        <v>92707</v>
      </c>
      <c r="R1590" s="22" t="s">
        <v>9765</v>
      </c>
      <c r="S1590" s="22" t="s">
        <v>9766</v>
      </c>
      <c r="X1590" s="26"/>
      <c r="Y1590" s="26"/>
    </row>
    <row r="1591" spans="1:25" ht="37.5" x14ac:dyDescent="0.25">
      <c r="A1591" s="21">
        <v>2229</v>
      </c>
      <c r="B1591" s="22" t="s">
        <v>15368</v>
      </c>
      <c r="C1591" s="22" t="s">
        <v>9770</v>
      </c>
      <c r="D1591" s="23" t="s">
        <v>9771</v>
      </c>
      <c r="E1591" s="24" t="s">
        <v>9081</v>
      </c>
      <c r="F1591" s="22" t="s">
        <v>9772</v>
      </c>
      <c r="G1591" s="23" t="s">
        <v>9773</v>
      </c>
      <c r="H1591" s="25" t="s">
        <v>15373</v>
      </c>
      <c r="I1591" s="22" t="s">
        <v>15382</v>
      </c>
      <c r="J1591" s="22" t="s">
        <v>9774</v>
      </c>
      <c r="K1591" s="26">
        <f t="shared" si="24"/>
        <v>1080</v>
      </c>
      <c r="N1591" s="26" t="s">
        <v>9775</v>
      </c>
      <c r="O1591" s="22" t="s">
        <v>9776</v>
      </c>
      <c r="P1591" s="22" t="s">
        <v>14020</v>
      </c>
      <c r="Q1591" s="22">
        <v>92705</v>
      </c>
      <c r="R1591" s="22" t="s">
        <v>9777</v>
      </c>
      <c r="S1591" s="22" t="s">
        <v>9778</v>
      </c>
      <c r="X1591" s="26"/>
      <c r="Y1591" s="26"/>
    </row>
    <row r="1592" spans="1:25" ht="50" x14ac:dyDescent="0.25">
      <c r="A1592" s="21">
        <v>2231</v>
      </c>
      <c r="B1592" s="22" t="s">
        <v>15368</v>
      </c>
      <c r="C1592" s="22" t="s">
        <v>9779</v>
      </c>
      <c r="D1592" s="23" t="s">
        <v>9780</v>
      </c>
      <c r="E1592" s="24">
        <v>2002</v>
      </c>
      <c r="F1592" s="22" t="s">
        <v>9781</v>
      </c>
      <c r="G1592" s="23" t="s">
        <v>9782</v>
      </c>
      <c r="H1592" s="25" t="s">
        <v>15373</v>
      </c>
      <c r="I1592" s="22" t="s">
        <v>15382</v>
      </c>
      <c r="J1592" s="22" t="s">
        <v>16450</v>
      </c>
      <c r="K1592" s="26">
        <f t="shared" si="24"/>
        <v>1112</v>
      </c>
      <c r="L1592" s="26" t="s">
        <v>9783</v>
      </c>
      <c r="O1592" s="22" t="s">
        <v>9784</v>
      </c>
      <c r="P1592" s="22" t="s">
        <v>16325</v>
      </c>
      <c r="Q1592" s="22">
        <v>91752</v>
      </c>
      <c r="R1592" s="22" t="s">
        <v>9785</v>
      </c>
      <c r="S1592" s="22" t="s">
        <v>9786</v>
      </c>
      <c r="X1592" s="26"/>
      <c r="Y1592" s="26"/>
    </row>
    <row r="1593" spans="1:25" ht="50" x14ac:dyDescent="0.25">
      <c r="A1593" s="21">
        <v>2232</v>
      </c>
      <c r="B1593" s="22" t="s">
        <v>15368</v>
      </c>
      <c r="C1593" s="22" t="s">
        <v>15244</v>
      </c>
      <c r="D1593" s="23" t="s">
        <v>9787</v>
      </c>
      <c r="E1593" s="24" t="s">
        <v>9788</v>
      </c>
      <c r="F1593" s="22" t="s">
        <v>9789</v>
      </c>
      <c r="G1593" s="23" t="s">
        <v>9790</v>
      </c>
      <c r="H1593" s="25" t="s">
        <v>15373</v>
      </c>
      <c r="I1593" s="22" t="s">
        <v>15374</v>
      </c>
      <c r="J1593" s="22" t="s">
        <v>9791</v>
      </c>
      <c r="K1593" s="26">
        <f t="shared" si="24"/>
        <v>593.33333333333326</v>
      </c>
      <c r="N1593" s="26" t="s">
        <v>13989</v>
      </c>
      <c r="O1593" s="22" t="s">
        <v>15248</v>
      </c>
      <c r="P1593" s="22" t="s">
        <v>16268</v>
      </c>
      <c r="Q1593" s="22">
        <v>91710</v>
      </c>
      <c r="R1593" s="22" t="s">
        <v>9792</v>
      </c>
      <c r="S1593" s="22" t="s">
        <v>9793</v>
      </c>
      <c r="X1593" s="26"/>
      <c r="Y1593" s="26"/>
    </row>
    <row r="1594" spans="1:25" ht="62.5" x14ac:dyDescent="0.25">
      <c r="A1594" s="21">
        <v>2233</v>
      </c>
      <c r="B1594" s="22" t="s">
        <v>15368</v>
      </c>
      <c r="C1594" s="22" t="s">
        <v>15249</v>
      </c>
      <c r="D1594" s="23" t="s">
        <v>9794</v>
      </c>
      <c r="E1594" s="24" t="s">
        <v>9081</v>
      </c>
      <c r="F1594" s="22" t="s">
        <v>9795</v>
      </c>
      <c r="G1594" s="23" t="s">
        <v>9796</v>
      </c>
      <c r="H1594" s="25" t="s">
        <v>16310</v>
      </c>
      <c r="I1594" s="22" t="s">
        <v>16160</v>
      </c>
      <c r="J1594" s="22" t="s">
        <v>9797</v>
      </c>
      <c r="K1594" s="26">
        <f t="shared" si="24"/>
        <v>500</v>
      </c>
      <c r="L1594" s="26" t="s">
        <v>10145</v>
      </c>
      <c r="O1594" s="22" t="s">
        <v>9798</v>
      </c>
      <c r="P1594" s="22" t="s">
        <v>16347</v>
      </c>
      <c r="Q1594" s="22">
        <v>91729</v>
      </c>
      <c r="R1594" s="22" t="s">
        <v>9799</v>
      </c>
      <c r="S1594" s="22" t="s">
        <v>9793</v>
      </c>
      <c r="X1594" s="26"/>
      <c r="Y1594" s="26"/>
    </row>
    <row r="1595" spans="1:25" ht="50" x14ac:dyDescent="0.25">
      <c r="A1595" s="21">
        <v>2235</v>
      </c>
      <c r="B1595" s="22" t="s">
        <v>15368</v>
      </c>
      <c r="C1595" s="22" t="s">
        <v>9800</v>
      </c>
      <c r="D1595" s="23" t="s">
        <v>9801</v>
      </c>
      <c r="E1595" s="24" t="s">
        <v>9081</v>
      </c>
      <c r="F1595" s="22" t="s">
        <v>9802</v>
      </c>
      <c r="G1595" s="23" t="s">
        <v>9803</v>
      </c>
      <c r="H1595" s="25" t="s">
        <v>15373</v>
      </c>
      <c r="I1595" s="22" t="s">
        <v>15411</v>
      </c>
      <c r="J1595" s="22" t="s">
        <v>16803</v>
      </c>
      <c r="K1595" s="26">
        <f t="shared" si="24"/>
        <v>1380</v>
      </c>
      <c r="L1595" s="26" t="s">
        <v>9804</v>
      </c>
      <c r="O1595" s="22" t="s">
        <v>9805</v>
      </c>
      <c r="P1595" s="22" t="s">
        <v>11944</v>
      </c>
      <c r="Q1595" s="22">
        <v>92563</v>
      </c>
      <c r="R1595" s="22" t="s">
        <v>9806</v>
      </c>
      <c r="S1595" s="22" t="s">
        <v>9807</v>
      </c>
      <c r="X1595" s="26"/>
      <c r="Y1595" s="26"/>
    </row>
    <row r="1596" spans="1:25" ht="37.5" x14ac:dyDescent="0.25">
      <c r="A1596" s="21">
        <v>2236</v>
      </c>
      <c r="B1596" s="22" t="s">
        <v>15368</v>
      </c>
      <c r="C1596" s="22" t="s">
        <v>9808</v>
      </c>
      <c r="D1596" s="23" t="s">
        <v>9809</v>
      </c>
      <c r="E1596" s="24" t="s">
        <v>9081</v>
      </c>
      <c r="F1596" s="22" t="s">
        <v>9810</v>
      </c>
      <c r="G1596" s="23" t="s">
        <v>9811</v>
      </c>
      <c r="H1596" s="25" t="s">
        <v>15373</v>
      </c>
      <c r="I1596" s="22" t="s">
        <v>15382</v>
      </c>
      <c r="J1596" s="22" t="s">
        <v>11107</v>
      </c>
      <c r="K1596" s="26">
        <f t="shared" si="24"/>
        <v>600</v>
      </c>
      <c r="N1596" s="26" t="s">
        <v>9812</v>
      </c>
      <c r="O1596" s="22" t="s">
        <v>9813</v>
      </c>
      <c r="P1596" s="22" t="s">
        <v>14942</v>
      </c>
      <c r="Q1596" s="22">
        <v>92630</v>
      </c>
      <c r="R1596" s="22" t="s">
        <v>13990</v>
      </c>
      <c r="S1596" s="22" t="s">
        <v>13991</v>
      </c>
      <c r="X1596" s="26"/>
      <c r="Y1596" s="26"/>
    </row>
    <row r="1597" spans="1:25" ht="37.5" x14ac:dyDescent="0.25">
      <c r="A1597" s="21">
        <v>2237</v>
      </c>
      <c r="B1597" s="22" t="s">
        <v>15368</v>
      </c>
      <c r="C1597" s="22" t="s">
        <v>9808</v>
      </c>
      <c r="D1597" s="23" t="s">
        <v>9814</v>
      </c>
      <c r="E1597" s="24" t="s">
        <v>9081</v>
      </c>
      <c r="F1597" s="22" t="s">
        <v>9815</v>
      </c>
      <c r="G1597" s="23" t="s">
        <v>8785</v>
      </c>
      <c r="H1597" s="25" t="s">
        <v>15373</v>
      </c>
      <c r="I1597" s="22" t="s">
        <v>15374</v>
      </c>
      <c r="J1597" s="22" t="s">
        <v>10290</v>
      </c>
      <c r="K1597" s="26">
        <f t="shared" si="24"/>
        <v>594.66666666666663</v>
      </c>
      <c r="N1597" s="26" t="s">
        <v>8786</v>
      </c>
      <c r="O1597" s="22" t="s">
        <v>9813</v>
      </c>
      <c r="P1597" s="22" t="s">
        <v>14942</v>
      </c>
      <c r="Q1597" s="22">
        <v>92630</v>
      </c>
      <c r="R1597" s="22" t="s">
        <v>13990</v>
      </c>
      <c r="S1597" s="22" t="s">
        <v>13991</v>
      </c>
      <c r="X1597" s="26"/>
      <c r="Y1597" s="26"/>
    </row>
    <row r="1598" spans="1:25" ht="37.5" x14ac:dyDescent="0.25">
      <c r="A1598" s="21">
        <v>2238</v>
      </c>
      <c r="B1598" s="22" t="s">
        <v>15368</v>
      </c>
      <c r="C1598" s="22" t="s">
        <v>12881</v>
      </c>
      <c r="D1598" s="23" t="s">
        <v>8787</v>
      </c>
      <c r="E1598" s="24" t="s">
        <v>10144</v>
      </c>
      <c r="F1598" s="22" t="s">
        <v>8788</v>
      </c>
      <c r="G1598" s="23" t="s">
        <v>8789</v>
      </c>
      <c r="H1598" s="25" t="s">
        <v>15373</v>
      </c>
      <c r="I1598" s="22" t="s">
        <v>15382</v>
      </c>
      <c r="J1598" s="22" t="s">
        <v>15955</v>
      </c>
      <c r="K1598" s="26">
        <f t="shared" si="24"/>
        <v>756.66666666666663</v>
      </c>
      <c r="N1598" s="26" t="s">
        <v>10812</v>
      </c>
      <c r="O1598" s="22" t="s">
        <v>12884</v>
      </c>
      <c r="P1598" s="22" t="s">
        <v>12885</v>
      </c>
      <c r="Q1598" s="22">
        <v>91335</v>
      </c>
      <c r="R1598" s="22" t="s">
        <v>12887</v>
      </c>
      <c r="S1598" s="22" t="s">
        <v>12888</v>
      </c>
      <c r="X1598" s="26"/>
      <c r="Y1598" s="26"/>
    </row>
    <row r="1599" spans="1:25" ht="37.5" x14ac:dyDescent="0.25">
      <c r="A1599" s="21">
        <v>2239</v>
      </c>
      <c r="B1599" s="22" t="s">
        <v>15368</v>
      </c>
      <c r="C1599" s="22" t="s">
        <v>14145</v>
      </c>
      <c r="D1599" s="23">
        <v>371054</v>
      </c>
      <c r="E1599" s="24" t="s">
        <v>10135</v>
      </c>
      <c r="F1599" s="22" t="s">
        <v>8790</v>
      </c>
      <c r="G1599" s="23" t="s">
        <v>8791</v>
      </c>
      <c r="H1599" s="25" t="s">
        <v>15373</v>
      </c>
      <c r="I1599" s="22" t="s">
        <v>15374</v>
      </c>
      <c r="J1599" s="22" t="s">
        <v>8792</v>
      </c>
      <c r="K1599" s="26">
        <f t="shared" si="24"/>
        <v>737.33333333333326</v>
      </c>
      <c r="N1599" s="26" t="s">
        <v>8564</v>
      </c>
      <c r="O1599" s="22" t="s">
        <v>14148</v>
      </c>
      <c r="P1599" s="22" t="s">
        <v>15393</v>
      </c>
      <c r="Q1599" s="22">
        <v>91367</v>
      </c>
      <c r="R1599" s="22" t="s">
        <v>8793</v>
      </c>
      <c r="S1599" s="22" t="s">
        <v>8794</v>
      </c>
      <c r="X1599" s="26"/>
      <c r="Y1599" s="26"/>
    </row>
    <row r="1600" spans="1:25" ht="37.5" x14ac:dyDescent="0.25">
      <c r="A1600" s="21">
        <v>2240</v>
      </c>
      <c r="B1600" s="22" t="s">
        <v>15368</v>
      </c>
      <c r="C1600" s="22" t="s">
        <v>14145</v>
      </c>
      <c r="D1600" s="23" t="s">
        <v>8795</v>
      </c>
      <c r="E1600" s="24" t="s">
        <v>9328</v>
      </c>
      <c r="F1600" s="22" t="s">
        <v>14172</v>
      </c>
      <c r="G1600" s="23" t="s">
        <v>8796</v>
      </c>
      <c r="H1600" s="25" t="s">
        <v>15373</v>
      </c>
      <c r="I1600" s="22" t="s">
        <v>15411</v>
      </c>
      <c r="J1600" s="22" t="s">
        <v>14158</v>
      </c>
      <c r="K1600" s="26">
        <f t="shared" si="24"/>
        <v>640</v>
      </c>
      <c r="N1600" s="26" t="s">
        <v>8797</v>
      </c>
      <c r="O1600" s="22" t="s">
        <v>14159</v>
      </c>
      <c r="P1600" s="22" t="s">
        <v>14160</v>
      </c>
      <c r="Q1600" s="22">
        <v>91402</v>
      </c>
      <c r="R1600" s="22" t="s">
        <v>14161</v>
      </c>
      <c r="S1600" s="22" t="s">
        <v>14162</v>
      </c>
      <c r="X1600" s="26"/>
      <c r="Y1600" s="26"/>
    </row>
    <row r="1601" spans="1:25" ht="50" x14ac:dyDescent="0.25">
      <c r="A1601" s="21">
        <v>2241</v>
      </c>
      <c r="B1601" s="22" t="s">
        <v>15368</v>
      </c>
      <c r="C1601" s="22" t="s">
        <v>8798</v>
      </c>
      <c r="D1601" s="23" t="s">
        <v>8799</v>
      </c>
      <c r="E1601" s="24" t="s">
        <v>9081</v>
      </c>
      <c r="F1601" s="22" t="s">
        <v>8800</v>
      </c>
      <c r="G1601" s="23" t="s">
        <v>8801</v>
      </c>
      <c r="H1601" s="25" t="s">
        <v>15373</v>
      </c>
      <c r="I1601" s="22" t="s">
        <v>15374</v>
      </c>
      <c r="J1601" s="22" t="s">
        <v>8802</v>
      </c>
      <c r="K1601" s="26">
        <f t="shared" si="24"/>
        <v>350</v>
      </c>
      <c r="L1601" s="26" t="s">
        <v>10669</v>
      </c>
      <c r="O1601" s="22" t="s">
        <v>8803</v>
      </c>
      <c r="P1601" s="22" t="s">
        <v>15703</v>
      </c>
      <c r="Q1601" s="22">
        <v>90245</v>
      </c>
      <c r="R1601" s="22" t="s">
        <v>8804</v>
      </c>
      <c r="S1601" s="22" t="s">
        <v>8805</v>
      </c>
      <c r="X1601" s="26"/>
      <c r="Y1601" s="26"/>
    </row>
    <row r="1602" spans="1:25" ht="37.5" x14ac:dyDescent="0.25">
      <c r="A1602" s="21">
        <v>2242</v>
      </c>
      <c r="B1602" s="22" t="s">
        <v>15368</v>
      </c>
      <c r="C1602" s="22" t="s">
        <v>14310</v>
      </c>
      <c r="D1602" s="23" t="s">
        <v>8806</v>
      </c>
      <c r="E1602" s="24">
        <v>1999</v>
      </c>
      <c r="F1602" s="22" t="s">
        <v>8807</v>
      </c>
      <c r="G1602" s="23" t="s">
        <v>8808</v>
      </c>
      <c r="H1602" s="25" t="s">
        <v>15373</v>
      </c>
      <c r="I1602" s="22" t="s">
        <v>15374</v>
      </c>
      <c r="J1602" s="22" t="s">
        <v>16121</v>
      </c>
      <c r="K1602" s="26">
        <f t="shared" ref="K1602:K1665" si="25">L1602+M1602*(2/3)+N1602*(2/3)</f>
        <v>593.33333333333326</v>
      </c>
      <c r="N1602" s="26" t="s">
        <v>13989</v>
      </c>
      <c r="O1602" s="22" t="s">
        <v>8809</v>
      </c>
      <c r="P1602" s="22" t="s">
        <v>8810</v>
      </c>
      <c r="Q1602" s="22">
        <v>91040</v>
      </c>
      <c r="R1602" s="22" t="s">
        <v>8811</v>
      </c>
      <c r="S1602" s="22" t="s">
        <v>8812</v>
      </c>
      <c r="X1602" s="26"/>
      <c r="Y1602" s="26"/>
    </row>
    <row r="1603" spans="1:25" ht="37.5" x14ac:dyDescent="0.25">
      <c r="A1603" s="21">
        <v>2243</v>
      </c>
      <c r="B1603" s="22" t="s">
        <v>15368</v>
      </c>
      <c r="C1603" s="22" t="s">
        <v>8813</v>
      </c>
      <c r="D1603" s="23" t="s">
        <v>8814</v>
      </c>
      <c r="E1603" s="24">
        <v>2001</v>
      </c>
      <c r="F1603" s="22" t="s">
        <v>8815</v>
      </c>
      <c r="G1603" s="23" t="s">
        <v>8816</v>
      </c>
      <c r="H1603" s="25" t="s">
        <v>15373</v>
      </c>
      <c r="I1603" s="22" t="s">
        <v>15374</v>
      </c>
      <c r="J1603" s="22" t="s">
        <v>15701</v>
      </c>
      <c r="K1603" s="26">
        <f t="shared" si="25"/>
        <v>400</v>
      </c>
      <c r="L1603" s="26" t="s">
        <v>15492</v>
      </c>
      <c r="O1603" s="22" t="s">
        <v>8817</v>
      </c>
      <c r="P1603" s="22" t="s">
        <v>9195</v>
      </c>
      <c r="Q1603" s="22">
        <v>91316</v>
      </c>
      <c r="R1603" s="22" t="s">
        <v>8818</v>
      </c>
      <c r="S1603" s="22" t="s">
        <v>8819</v>
      </c>
      <c r="X1603" s="26"/>
      <c r="Y1603" s="26"/>
    </row>
    <row r="1604" spans="1:25" ht="37.5" x14ac:dyDescent="0.25">
      <c r="A1604" s="21">
        <v>2244</v>
      </c>
      <c r="B1604" s="22" t="s">
        <v>15368</v>
      </c>
      <c r="C1604" s="22" t="s">
        <v>8813</v>
      </c>
      <c r="D1604" s="23" t="s">
        <v>8820</v>
      </c>
      <c r="E1604" s="24">
        <v>2001</v>
      </c>
      <c r="F1604" s="22" t="s">
        <v>8821</v>
      </c>
      <c r="G1604" s="23" t="s">
        <v>8822</v>
      </c>
      <c r="H1604" s="25" t="s">
        <v>15373</v>
      </c>
      <c r="I1604" s="22" t="s">
        <v>15374</v>
      </c>
      <c r="J1604" s="22" t="s">
        <v>15701</v>
      </c>
      <c r="K1604" s="26">
        <f t="shared" si="25"/>
        <v>400</v>
      </c>
      <c r="L1604" s="26" t="s">
        <v>15492</v>
      </c>
      <c r="O1604" s="22" t="s">
        <v>8817</v>
      </c>
      <c r="P1604" s="22" t="s">
        <v>9195</v>
      </c>
      <c r="Q1604" s="22">
        <v>91316</v>
      </c>
      <c r="R1604" s="22" t="s">
        <v>8818</v>
      </c>
      <c r="S1604" s="22" t="s">
        <v>8819</v>
      </c>
      <c r="X1604" s="26"/>
      <c r="Y1604" s="26"/>
    </row>
    <row r="1605" spans="1:25" ht="50" x14ac:dyDescent="0.25">
      <c r="A1605" s="21">
        <v>2245</v>
      </c>
      <c r="B1605" s="22" t="s">
        <v>15368</v>
      </c>
      <c r="C1605" s="22" t="s">
        <v>14343</v>
      </c>
      <c r="D1605" s="23" t="s">
        <v>8823</v>
      </c>
      <c r="E1605" s="24" t="s">
        <v>10144</v>
      </c>
      <c r="F1605" s="22" t="s">
        <v>8824</v>
      </c>
      <c r="G1605" s="23" t="s">
        <v>8825</v>
      </c>
      <c r="H1605" s="25" t="s">
        <v>15373</v>
      </c>
      <c r="I1605" s="22" t="s">
        <v>15382</v>
      </c>
      <c r="J1605" s="22" t="s">
        <v>15391</v>
      </c>
      <c r="K1605" s="26">
        <f t="shared" si="25"/>
        <v>1500</v>
      </c>
      <c r="L1605" s="26" t="s">
        <v>10138</v>
      </c>
      <c r="O1605" s="22" t="s">
        <v>14346</v>
      </c>
      <c r="P1605" s="22" t="s">
        <v>14347</v>
      </c>
      <c r="Q1605" s="22">
        <v>90291</v>
      </c>
      <c r="R1605" s="22" t="s">
        <v>14348</v>
      </c>
      <c r="S1605" s="22" t="s">
        <v>14349</v>
      </c>
      <c r="X1605" s="26"/>
      <c r="Y1605" s="26"/>
    </row>
    <row r="1606" spans="1:25" ht="37.5" x14ac:dyDescent="0.25">
      <c r="A1606" s="21">
        <v>2246</v>
      </c>
      <c r="B1606" s="22" t="s">
        <v>15368</v>
      </c>
      <c r="C1606" s="22" t="s">
        <v>13249</v>
      </c>
      <c r="D1606" s="23" t="s">
        <v>8826</v>
      </c>
      <c r="E1606" s="24" t="s">
        <v>9081</v>
      </c>
      <c r="F1606" s="22" t="s">
        <v>8827</v>
      </c>
      <c r="G1606" s="23" t="s">
        <v>8828</v>
      </c>
      <c r="H1606" s="25" t="s">
        <v>15373</v>
      </c>
      <c r="I1606" s="22" t="s">
        <v>15374</v>
      </c>
      <c r="J1606" s="22" t="s">
        <v>15701</v>
      </c>
      <c r="K1606" s="26">
        <f t="shared" si="25"/>
        <v>346</v>
      </c>
      <c r="N1606" s="26" t="s">
        <v>8829</v>
      </c>
      <c r="O1606" s="22" t="s">
        <v>13253</v>
      </c>
      <c r="P1606" s="22" t="s">
        <v>16901</v>
      </c>
      <c r="Q1606" s="22">
        <v>91761</v>
      </c>
      <c r="R1606" s="22" t="s">
        <v>13255</v>
      </c>
      <c r="S1606" s="22" t="s">
        <v>13256</v>
      </c>
      <c r="X1606" s="26"/>
      <c r="Y1606" s="26"/>
    </row>
    <row r="1607" spans="1:25" ht="50" x14ac:dyDescent="0.25">
      <c r="A1607" s="21">
        <v>2247</v>
      </c>
      <c r="B1607" s="22" t="s">
        <v>15368</v>
      </c>
      <c r="C1607" s="22" t="s">
        <v>13271</v>
      </c>
      <c r="D1607" s="23">
        <v>349364</v>
      </c>
      <c r="E1607" s="24">
        <v>1998</v>
      </c>
      <c r="F1607" s="22" t="s">
        <v>8830</v>
      </c>
      <c r="G1607" s="23" t="s">
        <v>7580</v>
      </c>
      <c r="H1607" s="25" t="s">
        <v>15373</v>
      </c>
      <c r="I1607" s="22" t="s">
        <v>15411</v>
      </c>
      <c r="J1607" s="22" t="s">
        <v>15877</v>
      </c>
      <c r="K1607" s="26">
        <f t="shared" si="25"/>
        <v>428.66666666666663</v>
      </c>
      <c r="N1607" s="26" t="s">
        <v>10149</v>
      </c>
      <c r="O1607" s="22" t="s">
        <v>7581</v>
      </c>
      <c r="P1607" s="22" t="s">
        <v>15376</v>
      </c>
      <c r="Q1607" s="22">
        <v>90012</v>
      </c>
      <c r="R1607" s="22" t="s">
        <v>7582</v>
      </c>
      <c r="S1607" s="22" t="s">
        <v>7583</v>
      </c>
      <c r="X1607" s="26"/>
      <c r="Y1607" s="26"/>
    </row>
    <row r="1608" spans="1:25" ht="50" x14ac:dyDescent="0.25">
      <c r="A1608" s="21">
        <v>2248</v>
      </c>
      <c r="B1608" s="22" t="s">
        <v>15368</v>
      </c>
      <c r="C1608" s="22" t="s">
        <v>13271</v>
      </c>
      <c r="D1608" s="23" t="s">
        <v>7584</v>
      </c>
      <c r="E1608" s="24" t="s">
        <v>9081</v>
      </c>
      <c r="F1608" s="22" t="s">
        <v>7585</v>
      </c>
      <c r="G1608" s="23" t="s">
        <v>7586</v>
      </c>
      <c r="H1608" s="25" t="s">
        <v>15373</v>
      </c>
      <c r="I1608" s="22" t="s">
        <v>15411</v>
      </c>
      <c r="J1608" s="22" t="s">
        <v>14684</v>
      </c>
      <c r="K1608" s="26">
        <f t="shared" si="25"/>
        <v>1160</v>
      </c>
      <c r="N1608" s="26" t="s">
        <v>7587</v>
      </c>
      <c r="O1608" s="22" t="s">
        <v>16832</v>
      </c>
      <c r="P1608" s="22" t="s">
        <v>15376</v>
      </c>
      <c r="Q1608" s="22">
        <v>90012</v>
      </c>
      <c r="R1608" s="22" t="s">
        <v>14302</v>
      </c>
      <c r="S1608" s="22" t="s">
        <v>14303</v>
      </c>
      <c r="X1608" s="26"/>
      <c r="Y1608" s="26"/>
    </row>
    <row r="1609" spans="1:25" ht="37.5" x14ac:dyDescent="0.25">
      <c r="A1609" s="21">
        <v>2249</v>
      </c>
      <c r="B1609" s="22" t="s">
        <v>15368</v>
      </c>
      <c r="C1609" s="22" t="s">
        <v>14464</v>
      </c>
      <c r="D1609" s="23">
        <v>355505</v>
      </c>
      <c r="E1609" s="24">
        <v>1999</v>
      </c>
      <c r="F1609" s="22" t="s">
        <v>7588</v>
      </c>
      <c r="G1609" s="23" t="s">
        <v>7589</v>
      </c>
      <c r="H1609" s="25" t="s">
        <v>15373</v>
      </c>
      <c r="I1609" s="22" t="s">
        <v>15382</v>
      </c>
      <c r="J1609" s="22" t="s">
        <v>16861</v>
      </c>
      <c r="K1609" s="26">
        <f t="shared" si="25"/>
        <v>1900</v>
      </c>
      <c r="L1609" s="26" t="s">
        <v>7590</v>
      </c>
      <c r="O1609" s="22" t="s">
        <v>7591</v>
      </c>
      <c r="P1609" s="22" t="s">
        <v>15376</v>
      </c>
      <c r="Q1609" s="22">
        <v>90012</v>
      </c>
      <c r="R1609" s="22" t="s">
        <v>7592</v>
      </c>
      <c r="S1609" s="22" t="s">
        <v>7593</v>
      </c>
      <c r="X1609" s="26"/>
      <c r="Y1609" s="26"/>
    </row>
    <row r="1610" spans="1:25" ht="50" x14ac:dyDescent="0.25">
      <c r="A1610" s="21">
        <v>2250</v>
      </c>
      <c r="B1610" s="22" t="s">
        <v>15368</v>
      </c>
      <c r="C1610" s="22" t="s">
        <v>14489</v>
      </c>
      <c r="D1610" s="23" t="s">
        <v>7594</v>
      </c>
      <c r="E1610" s="24" t="s">
        <v>10144</v>
      </c>
      <c r="F1610" s="22" t="s">
        <v>7595</v>
      </c>
      <c r="G1610" s="23" t="s">
        <v>7596</v>
      </c>
      <c r="H1610" s="25" t="s">
        <v>15373</v>
      </c>
      <c r="I1610" s="22" t="s">
        <v>15411</v>
      </c>
      <c r="J1610" s="22" t="s">
        <v>14492</v>
      </c>
      <c r="K1610" s="26">
        <f t="shared" si="25"/>
        <v>895</v>
      </c>
      <c r="L1610" s="26" t="s">
        <v>9631</v>
      </c>
      <c r="O1610" s="22" t="s">
        <v>14493</v>
      </c>
      <c r="P1610" s="22" t="s">
        <v>15376</v>
      </c>
      <c r="Q1610" s="22">
        <v>90012</v>
      </c>
      <c r="R1610" s="22" t="s">
        <v>14441</v>
      </c>
      <c r="S1610" s="22" t="s">
        <v>14442</v>
      </c>
      <c r="X1610" s="26"/>
      <c r="Y1610" s="26"/>
    </row>
    <row r="1611" spans="1:25" ht="50" x14ac:dyDescent="0.25">
      <c r="A1611" s="21">
        <v>2251</v>
      </c>
      <c r="B1611" s="22" t="s">
        <v>15368</v>
      </c>
      <c r="C1611" s="22" t="s">
        <v>14496</v>
      </c>
      <c r="D1611" s="23" t="s">
        <v>7597</v>
      </c>
      <c r="E1611" s="24" t="s">
        <v>10144</v>
      </c>
      <c r="F1611" s="22" t="s">
        <v>7598</v>
      </c>
      <c r="G1611" s="23" t="s">
        <v>7599</v>
      </c>
      <c r="H1611" s="25" t="s">
        <v>15373</v>
      </c>
      <c r="I1611" s="22" t="s">
        <v>15411</v>
      </c>
      <c r="J1611" s="22" t="s">
        <v>14492</v>
      </c>
      <c r="K1611" s="26">
        <f t="shared" si="25"/>
        <v>895</v>
      </c>
      <c r="L1611" s="26" t="s">
        <v>9631</v>
      </c>
      <c r="O1611" s="22" t="s">
        <v>14499</v>
      </c>
      <c r="P1611" s="22" t="s">
        <v>15376</v>
      </c>
      <c r="Q1611" s="22">
        <v>91304</v>
      </c>
      <c r="R1611" s="22" t="s">
        <v>14441</v>
      </c>
      <c r="S1611" s="22" t="s">
        <v>14442</v>
      </c>
      <c r="X1611" s="26"/>
      <c r="Y1611" s="26"/>
    </row>
    <row r="1612" spans="1:25" ht="37.5" x14ac:dyDescent="0.25">
      <c r="A1612" s="21">
        <v>2252</v>
      </c>
      <c r="B1612" s="22" t="s">
        <v>15368</v>
      </c>
      <c r="C1612" s="22" t="s">
        <v>7600</v>
      </c>
      <c r="D1612" s="23">
        <v>340555</v>
      </c>
      <c r="E1612" s="24">
        <v>1998</v>
      </c>
      <c r="F1612" s="22" t="s">
        <v>7601</v>
      </c>
      <c r="G1612" s="23" t="s">
        <v>7602</v>
      </c>
      <c r="H1612" s="25" t="s">
        <v>15373</v>
      </c>
      <c r="I1612" s="22" t="s">
        <v>15668</v>
      </c>
      <c r="J1612" s="22" t="s">
        <v>7603</v>
      </c>
      <c r="K1612" s="26">
        <f t="shared" si="25"/>
        <v>428.66666666666663</v>
      </c>
      <c r="N1612" s="26" t="s">
        <v>10149</v>
      </c>
      <c r="O1612" s="22" t="s">
        <v>7604</v>
      </c>
      <c r="P1612" s="22" t="s">
        <v>14711</v>
      </c>
      <c r="Q1612" s="22">
        <v>91406</v>
      </c>
      <c r="R1612" s="22" t="s">
        <v>7605</v>
      </c>
      <c r="S1612" s="22" t="s">
        <v>7606</v>
      </c>
      <c r="X1612" s="26"/>
      <c r="Y1612" s="26"/>
    </row>
    <row r="1613" spans="1:25" ht="37.5" x14ac:dyDescent="0.25">
      <c r="A1613" s="21">
        <v>2253</v>
      </c>
      <c r="B1613" s="22" t="s">
        <v>15368</v>
      </c>
      <c r="C1613" s="22" t="s">
        <v>7607</v>
      </c>
      <c r="D1613" s="23" t="s">
        <v>7608</v>
      </c>
      <c r="E1613" s="24" t="s">
        <v>9081</v>
      </c>
      <c r="F1613" s="22" t="s">
        <v>7609</v>
      </c>
      <c r="G1613" s="23" t="s">
        <v>7610</v>
      </c>
      <c r="H1613" s="25" t="s">
        <v>15373</v>
      </c>
      <c r="I1613" s="22" t="s">
        <v>15411</v>
      </c>
      <c r="J1613" s="22" t="s">
        <v>12942</v>
      </c>
      <c r="K1613" s="26">
        <f t="shared" si="25"/>
        <v>1233.3333333333333</v>
      </c>
      <c r="N1613" s="26" t="s">
        <v>7611</v>
      </c>
      <c r="O1613" s="22" t="s">
        <v>7612</v>
      </c>
      <c r="P1613" s="22" t="s">
        <v>15376</v>
      </c>
      <c r="Q1613" s="22">
        <v>90245</v>
      </c>
      <c r="R1613" s="22" t="s">
        <v>10800</v>
      </c>
      <c r="S1613" s="22" t="s">
        <v>10801</v>
      </c>
      <c r="X1613" s="26"/>
      <c r="Y1613" s="26"/>
    </row>
    <row r="1614" spans="1:25" ht="37.5" x14ac:dyDescent="0.25">
      <c r="A1614" s="21">
        <v>2254</v>
      </c>
      <c r="B1614" s="22" t="s">
        <v>15368</v>
      </c>
      <c r="C1614" s="22" t="s">
        <v>7613</v>
      </c>
      <c r="D1614" s="23" t="s">
        <v>7614</v>
      </c>
      <c r="E1614" s="24" t="s">
        <v>9081</v>
      </c>
      <c r="F1614" s="22" t="s">
        <v>7615</v>
      </c>
      <c r="G1614" s="23" t="s">
        <v>7616</v>
      </c>
      <c r="H1614" s="25" t="s">
        <v>15373</v>
      </c>
      <c r="I1614" s="22" t="s">
        <v>15374</v>
      </c>
      <c r="J1614" s="22" t="s">
        <v>10290</v>
      </c>
      <c r="K1614" s="26">
        <f t="shared" si="25"/>
        <v>536</v>
      </c>
      <c r="N1614" s="26" t="s">
        <v>7617</v>
      </c>
      <c r="O1614" s="22" t="s">
        <v>7618</v>
      </c>
      <c r="P1614" s="22" t="s">
        <v>16563</v>
      </c>
      <c r="Q1614" s="22">
        <v>90242</v>
      </c>
      <c r="R1614" s="22" t="s">
        <v>10800</v>
      </c>
      <c r="S1614" s="22" t="s">
        <v>10801</v>
      </c>
      <c r="X1614" s="26"/>
      <c r="Y1614" s="26"/>
    </row>
    <row r="1615" spans="1:25" ht="37.5" x14ac:dyDescent="0.25">
      <c r="A1615" s="21">
        <v>2255</v>
      </c>
      <c r="B1615" s="22" t="s">
        <v>15368</v>
      </c>
      <c r="C1615" s="22" t="s">
        <v>7619</v>
      </c>
      <c r="D1615" s="23" t="s">
        <v>7620</v>
      </c>
      <c r="E1615" s="24" t="s">
        <v>9081</v>
      </c>
      <c r="F1615" s="22" t="s">
        <v>7621</v>
      </c>
      <c r="G1615" s="23" t="s">
        <v>7622</v>
      </c>
      <c r="H1615" s="25" t="s">
        <v>15373</v>
      </c>
      <c r="I1615" s="22" t="s">
        <v>15411</v>
      </c>
      <c r="J1615" s="22" t="s">
        <v>7623</v>
      </c>
      <c r="K1615" s="26">
        <f t="shared" si="25"/>
        <v>640</v>
      </c>
      <c r="N1615" s="26" t="s">
        <v>8797</v>
      </c>
      <c r="O1615" s="22" t="s">
        <v>7624</v>
      </c>
      <c r="P1615" s="22" t="s">
        <v>15376</v>
      </c>
      <c r="Q1615" s="22">
        <v>90007</v>
      </c>
      <c r="R1615" s="22" t="s">
        <v>7625</v>
      </c>
      <c r="S1615" s="22" t="s">
        <v>10801</v>
      </c>
      <c r="X1615" s="26"/>
      <c r="Y1615" s="26"/>
    </row>
    <row r="1616" spans="1:25" ht="37.5" x14ac:dyDescent="0.25">
      <c r="A1616" s="21">
        <v>2256</v>
      </c>
      <c r="B1616" s="22" t="s">
        <v>15368</v>
      </c>
      <c r="C1616" s="22" t="s">
        <v>7626</v>
      </c>
      <c r="D1616" s="23" t="s">
        <v>7627</v>
      </c>
      <c r="E1616" s="24" t="s">
        <v>9081</v>
      </c>
      <c r="F1616" s="22" t="s">
        <v>7628</v>
      </c>
      <c r="G1616" s="23" t="s">
        <v>7629</v>
      </c>
      <c r="H1616" s="25" t="s">
        <v>15373</v>
      </c>
      <c r="I1616" s="22" t="s">
        <v>15411</v>
      </c>
      <c r="J1616" s="22" t="s">
        <v>16884</v>
      </c>
      <c r="K1616" s="26">
        <f t="shared" si="25"/>
        <v>420</v>
      </c>
      <c r="N1616" s="26" t="s">
        <v>7630</v>
      </c>
      <c r="O1616" s="22" t="s">
        <v>7631</v>
      </c>
      <c r="P1616" s="22" t="s">
        <v>15376</v>
      </c>
      <c r="Q1616" s="22">
        <v>90022</v>
      </c>
      <c r="R1616" s="22" t="s">
        <v>10800</v>
      </c>
      <c r="S1616" s="22" t="s">
        <v>10801</v>
      </c>
      <c r="X1616" s="26"/>
      <c r="Y1616" s="26"/>
    </row>
    <row r="1617" spans="1:25" ht="37.5" x14ac:dyDescent="0.25">
      <c r="A1617" s="21">
        <v>2257</v>
      </c>
      <c r="B1617" s="22" t="s">
        <v>15368</v>
      </c>
      <c r="C1617" s="22" t="s">
        <v>7632</v>
      </c>
      <c r="D1617" s="23" t="s">
        <v>7633</v>
      </c>
      <c r="E1617" s="24" t="s">
        <v>9081</v>
      </c>
      <c r="F1617" s="22" t="s">
        <v>7634</v>
      </c>
      <c r="G1617" s="23" t="s">
        <v>7635</v>
      </c>
      <c r="H1617" s="25" t="s">
        <v>15373</v>
      </c>
      <c r="I1617" s="22" t="s">
        <v>15411</v>
      </c>
      <c r="J1617" s="22" t="s">
        <v>14388</v>
      </c>
      <c r="K1617" s="26">
        <f t="shared" si="25"/>
        <v>640</v>
      </c>
      <c r="N1617" s="26" t="s">
        <v>8797</v>
      </c>
      <c r="O1617" s="22" t="s">
        <v>7636</v>
      </c>
      <c r="P1617" s="22" t="s">
        <v>15081</v>
      </c>
      <c r="Q1617" s="22">
        <v>90220</v>
      </c>
      <c r="R1617" s="22" t="s">
        <v>10800</v>
      </c>
      <c r="S1617" s="22" t="s">
        <v>10801</v>
      </c>
      <c r="X1617" s="26"/>
      <c r="Y1617" s="26"/>
    </row>
    <row r="1618" spans="1:25" ht="37.5" x14ac:dyDescent="0.25">
      <c r="A1618" s="21">
        <v>2258</v>
      </c>
      <c r="B1618" s="22" t="s">
        <v>15368</v>
      </c>
      <c r="C1618" s="22" t="s">
        <v>7637</v>
      </c>
      <c r="D1618" s="23" t="s">
        <v>7638</v>
      </c>
      <c r="E1618" s="24" t="s">
        <v>9081</v>
      </c>
      <c r="F1618" s="22" t="s">
        <v>7639</v>
      </c>
      <c r="G1618" s="23" t="s">
        <v>7640</v>
      </c>
      <c r="H1618" s="25" t="s">
        <v>15373</v>
      </c>
      <c r="I1618" s="22" t="s">
        <v>15411</v>
      </c>
      <c r="J1618" s="22" t="s">
        <v>16884</v>
      </c>
      <c r="K1618" s="26">
        <f t="shared" si="25"/>
        <v>383.33333333333331</v>
      </c>
      <c r="N1618" s="26" t="s">
        <v>7641</v>
      </c>
      <c r="O1618" s="22" t="s">
        <v>7642</v>
      </c>
      <c r="P1618" s="22" t="s">
        <v>16504</v>
      </c>
      <c r="Q1618" s="22">
        <v>90301</v>
      </c>
      <c r="R1618" s="22" t="s">
        <v>10800</v>
      </c>
      <c r="S1618" s="22" t="s">
        <v>10801</v>
      </c>
      <c r="X1618" s="26"/>
      <c r="Y1618" s="26"/>
    </row>
    <row r="1619" spans="1:25" ht="37.5" x14ac:dyDescent="0.25">
      <c r="A1619" s="21">
        <v>2259</v>
      </c>
      <c r="B1619" s="22" t="s">
        <v>15368</v>
      </c>
      <c r="C1619" s="22" t="s">
        <v>12267</v>
      </c>
      <c r="D1619" s="23">
        <v>385195</v>
      </c>
      <c r="E1619" s="24" t="s">
        <v>9081</v>
      </c>
      <c r="F1619" s="22" t="s">
        <v>7643</v>
      </c>
      <c r="G1619" s="23" t="s">
        <v>7644</v>
      </c>
      <c r="H1619" s="25" t="s">
        <v>15373</v>
      </c>
      <c r="I1619" s="22" t="s">
        <v>15374</v>
      </c>
      <c r="J1619" s="22" t="s">
        <v>14165</v>
      </c>
      <c r="K1619" s="26">
        <f t="shared" si="25"/>
        <v>1432.6666666666665</v>
      </c>
      <c r="N1619" s="26" t="s">
        <v>7645</v>
      </c>
      <c r="O1619" s="22" t="s">
        <v>7646</v>
      </c>
      <c r="P1619" s="22" t="s">
        <v>15376</v>
      </c>
      <c r="Q1619" s="22">
        <v>90012</v>
      </c>
      <c r="R1619" s="22" t="s">
        <v>7647</v>
      </c>
      <c r="S1619" s="22" t="s">
        <v>7648</v>
      </c>
      <c r="X1619" s="26"/>
      <c r="Y1619" s="26"/>
    </row>
    <row r="1620" spans="1:25" ht="37.5" x14ac:dyDescent="0.25">
      <c r="A1620" s="21">
        <v>2260</v>
      </c>
      <c r="B1620" s="22" t="s">
        <v>15368</v>
      </c>
      <c r="C1620" s="22" t="s">
        <v>12267</v>
      </c>
      <c r="D1620" s="23">
        <v>385196</v>
      </c>
      <c r="E1620" s="24" t="s">
        <v>9081</v>
      </c>
      <c r="F1620" s="22" t="s">
        <v>7649</v>
      </c>
      <c r="G1620" s="23" t="s">
        <v>7650</v>
      </c>
      <c r="H1620" s="25" t="s">
        <v>15373</v>
      </c>
      <c r="I1620" s="22" t="s">
        <v>15374</v>
      </c>
      <c r="J1620" s="22" t="s">
        <v>9230</v>
      </c>
      <c r="K1620" s="26">
        <f t="shared" si="25"/>
        <v>970.66666666666663</v>
      </c>
      <c r="N1620" s="26" t="s">
        <v>9471</v>
      </c>
      <c r="O1620" s="22" t="s">
        <v>7646</v>
      </c>
      <c r="P1620" s="22" t="s">
        <v>15376</v>
      </c>
      <c r="Q1620" s="22">
        <v>90012</v>
      </c>
      <c r="R1620" s="22" t="s">
        <v>7647</v>
      </c>
      <c r="S1620" s="22" t="s">
        <v>7648</v>
      </c>
      <c r="X1620" s="26"/>
      <c r="Y1620" s="26"/>
    </row>
    <row r="1621" spans="1:25" ht="37.5" x14ac:dyDescent="0.25">
      <c r="A1621" s="21">
        <v>2261</v>
      </c>
      <c r="B1621" s="22" t="s">
        <v>15368</v>
      </c>
      <c r="C1621" s="22" t="s">
        <v>12267</v>
      </c>
      <c r="D1621" s="23" t="s">
        <v>7651</v>
      </c>
      <c r="E1621" s="24" t="s">
        <v>9081</v>
      </c>
      <c r="F1621" s="22" t="s">
        <v>7652</v>
      </c>
      <c r="G1621" s="23" t="s">
        <v>7644</v>
      </c>
      <c r="H1621" s="25" t="s">
        <v>15373</v>
      </c>
      <c r="I1621" s="22" t="s">
        <v>15374</v>
      </c>
      <c r="J1621" s="22" t="s">
        <v>14165</v>
      </c>
      <c r="K1621" s="26">
        <f t="shared" si="25"/>
        <v>1432.6666666666665</v>
      </c>
      <c r="N1621" s="26" t="s">
        <v>7645</v>
      </c>
      <c r="O1621" s="22" t="s">
        <v>7646</v>
      </c>
      <c r="P1621" s="22" t="s">
        <v>15376</v>
      </c>
      <c r="Q1621" s="22">
        <v>90012</v>
      </c>
      <c r="R1621" s="22" t="s">
        <v>7647</v>
      </c>
      <c r="S1621" s="22" t="s">
        <v>7648</v>
      </c>
      <c r="X1621" s="26"/>
      <c r="Y1621" s="26"/>
    </row>
    <row r="1622" spans="1:25" ht="37.5" x14ac:dyDescent="0.25">
      <c r="A1622" s="21">
        <v>2262</v>
      </c>
      <c r="B1622" s="22" t="s">
        <v>15368</v>
      </c>
      <c r="C1622" s="22" t="s">
        <v>12267</v>
      </c>
      <c r="D1622" s="23" t="s">
        <v>7653</v>
      </c>
      <c r="E1622" s="24" t="s">
        <v>9081</v>
      </c>
      <c r="F1622" s="22" t="s">
        <v>7654</v>
      </c>
      <c r="G1622" s="23" t="s">
        <v>7644</v>
      </c>
      <c r="H1622" s="25" t="s">
        <v>15373</v>
      </c>
      <c r="I1622" s="22" t="s">
        <v>15374</v>
      </c>
      <c r="J1622" s="22" t="s">
        <v>14165</v>
      </c>
      <c r="K1622" s="26">
        <f t="shared" si="25"/>
        <v>1432.6666666666665</v>
      </c>
      <c r="N1622" s="26" t="s">
        <v>7645</v>
      </c>
      <c r="O1622" s="22" t="s">
        <v>7646</v>
      </c>
      <c r="P1622" s="22" t="s">
        <v>15376</v>
      </c>
      <c r="Q1622" s="22">
        <v>90012</v>
      </c>
      <c r="R1622" s="22" t="s">
        <v>7647</v>
      </c>
      <c r="S1622" s="22" t="s">
        <v>7648</v>
      </c>
      <c r="X1622" s="26"/>
      <c r="Y1622" s="26"/>
    </row>
    <row r="1623" spans="1:25" ht="37.5" x14ac:dyDescent="0.25">
      <c r="A1623" s="21">
        <v>2263</v>
      </c>
      <c r="B1623" s="22" t="s">
        <v>15368</v>
      </c>
      <c r="C1623" s="22" t="s">
        <v>7655</v>
      </c>
      <c r="D1623" s="23" t="s">
        <v>7656</v>
      </c>
      <c r="E1623" s="24" t="s">
        <v>9081</v>
      </c>
      <c r="F1623" s="22" t="s">
        <v>7657</v>
      </c>
      <c r="G1623" s="23" t="s">
        <v>7658</v>
      </c>
      <c r="H1623" s="25" t="s">
        <v>15373</v>
      </c>
      <c r="I1623" s="22" t="s">
        <v>15411</v>
      </c>
      <c r="J1623" s="22" t="s">
        <v>13372</v>
      </c>
      <c r="K1623" s="26">
        <f t="shared" si="25"/>
        <v>366.66666666666663</v>
      </c>
      <c r="N1623" s="26" t="s">
        <v>9331</v>
      </c>
      <c r="O1623" s="22" t="s">
        <v>7659</v>
      </c>
      <c r="P1623" s="22" t="s">
        <v>15376</v>
      </c>
      <c r="Q1623" s="22">
        <v>90012</v>
      </c>
      <c r="R1623" s="22" t="s">
        <v>10800</v>
      </c>
      <c r="S1623" s="22" t="s">
        <v>10801</v>
      </c>
      <c r="X1623" s="26"/>
      <c r="Y1623" s="26"/>
    </row>
    <row r="1624" spans="1:25" ht="37.5" x14ac:dyDescent="0.25">
      <c r="A1624" s="21">
        <v>2264</v>
      </c>
      <c r="B1624" s="22" t="s">
        <v>15368</v>
      </c>
      <c r="C1624" s="22" t="s">
        <v>7655</v>
      </c>
      <c r="D1624" s="23" t="s">
        <v>7660</v>
      </c>
      <c r="E1624" s="24" t="s">
        <v>9081</v>
      </c>
      <c r="F1624" s="22" t="s">
        <v>7661</v>
      </c>
      <c r="G1624" s="23" t="s">
        <v>8894</v>
      </c>
      <c r="H1624" s="25" t="s">
        <v>15373</v>
      </c>
      <c r="I1624" s="22" t="s">
        <v>15411</v>
      </c>
      <c r="J1624" s="22" t="s">
        <v>13372</v>
      </c>
      <c r="K1624" s="26">
        <f t="shared" si="25"/>
        <v>376.66666666666663</v>
      </c>
      <c r="N1624" s="26" t="s">
        <v>8895</v>
      </c>
      <c r="O1624" s="22" t="s">
        <v>7659</v>
      </c>
      <c r="P1624" s="22" t="s">
        <v>15376</v>
      </c>
      <c r="Q1624" s="22">
        <v>90012</v>
      </c>
      <c r="R1624" s="22" t="s">
        <v>10800</v>
      </c>
      <c r="S1624" s="22" t="s">
        <v>10801</v>
      </c>
      <c r="X1624" s="26"/>
      <c r="Y1624" s="26"/>
    </row>
    <row r="1625" spans="1:25" ht="37.5" x14ac:dyDescent="0.25">
      <c r="A1625" s="21">
        <v>2266</v>
      </c>
      <c r="B1625" s="22" t="s">
        <v>15368</v>
      </c>
      <c r="C1625" s="22" t="s">
        <v>8896</v>
      </c>
      <c r="D1625" s="23">
        <v>364456</v>
      </c>
      <c r="E1625" s="24">
        <v>2000</v>
      </c>
      <c r="F1625" s="22" t="s">
        <v>8897</v>
      </c>
      <c r="G1625" s="23" t="s">
        <v>8898</v>
      </c>
      <c r="H1625" s="25" t="s">
        <v>15373</v>
      </c>
      <c r="I1625" s="22" t="s">
        <v>15382</v>
      </c>
      <c r="J1625" s="22" t="s">
        <v>16784</v>
      </c>
      <c r="K1625" s="26">
        <f t="shared" si="25"/>
        <v>503.33333333333331</v>
      </c>
      <c r="N1625" s="26" t="s">
        <v>10168</v>
      </c>
      <c r="O1625" s="22" t="s">
        <v>8899</v>
      </c>
      <c r="P1625" s="22" t="s">
        <v>12938</v>
      </c>
      <c r="Q1625" s="22">
        <v>91331</v>
      </c>
      <c r="R1625" s="22" t="s">
        <v>8900</v>
      </c>
      <c r="S1625" s="22" t="s">
        <v>8901</v>
      </c>
      <c r="X1625" s="26"/>
      <c r="Y1625" s="26"/>
    </row>
    <row r="1626" spans="1:25" ht="50" x14ac:dyDescent="0.25">
      <c r="A1626" s="21">
        <v>2267</v>
      </c>
      <c r="B1626" s="22" t="s">
        <v>15368</v>
      </c>
      <c r="C1626" s="22" t="s">
        <v>8902</v>
      </c>
      <c r="D1626" s="23" t="s">
        <v>8903</v>
      </c>
      <c r="E1626" s="24" t="s">
        <v>9081</v>
      </c>
      <c r="F1626" s="22" t="s">
        <v>8904</v>
      </c>
      <c r="G1626" s="23" t="s">
        <v>8905</v>
      </c>
      <c r="H1626" s="25" t="s">
        <v>15373</v>
      </c>
      <c r="I1626" s="22" t="s">
        <v>15374</v>
      </c>
      <c r="J1626" s="22" t="s">
        <v>9619</v>
      </c>
      <c r="K1626" s="26">
        <f t="shared" si="25"/>
        <v>1050</v>
      </c>
      <c r="N1626" s="26" t="s">
        <v>8685</v>
      </c>
      <c r="O1626" s="22" t="s">
        <v>8906</v>
      </c>
      <c r="P1626" s="22" t="s">
        <v>11571</v>
      </c>
      <c r="Q1626" s="22">
        <v>90262</v>
      </c>
      <c r="R1626" s="22" t="s">
        <v>8907</v>
      </c>
      <c r="S1626" s="22" t="s">
        <v>8908</v>
      </c>
      <c r="X1626" s="26"/>
      <c r="Y1626" s="26"/>
    </row>
    <row r="1627" spans="1:25" ht="50" x14ac:dyDescent="0.25">
      <c r="A1627" s="21">
        <v>2268</v>
      </c>
      <c r="B1627" s="22" t="s">
        <v>15368</v>
      </c>
      <c r="C1627" s="22" t="s">
        <v>8902</v>
      </c>
      <c r="D1627" s="23" t="s">
        <v>8909</v>
      </c>
      <c r="E1627" s="24" t="s">
        <v>9081</v>
      </c>
      <c r="F1627" s="22" t="s">
        <v>8910</v>
      </c>
      <c r="G1627" s="23" t="s">
        <v>8911</v>
      </c>
      <c r="H1627" s="25" t="s">
        <v>15373</v>
      </c>
      <c r="I1627" s="22" t="s">
        <v>15374</v>
      </c>
      <c r="J1627" s="22" t="s">
        <v>9619</v>
      </c>
      <c r="K1627" s="26">
        <f t="shared" si="25"/>
        <v>2341.333333333333</v>
      </c>
      <c r="N1627" s="26" t="s">
        <v>9619</v>
      </c>
      <c r="O1627" s="22" t="s">
        <v>8906</v>
      </c>
      <c r="P1627" s="22" t="s">
        <v>11571</v>
      </c>
      <c r="Q1627" s="22">
        <v>90262</v>
      </c>
      <c r="R1627" s="22" t="s">
        <v>8907</v>
      </c>
      <c r="S1627" s="22" t="s">
        <v>8908</v>
      </c>
      <c r="X1627" s="26"/>
      <c r="Y1627" s="26"/>
    </row>
    <row r="1628" spans="1:25" ht="50" x14ac:dyDescent="0.25">
      <c r="A1628" s="21">
        <v>2269</v>
      </c>
      <c r="B1628" s="22" t="s">
        <v>15368</v>
      </c>
      <c r="C1628" s="22" t="s">
        <v>8902</v>
      </c>
      <c r="D1628" s="23" t="s">
        <v>8912</v>
      </c>
      <c r="E1628" s="24" t="s">
        <v>9081</v>
      </c>
      <c r="F1628" s="22" t="s">
        <v>8913</v>
      </c>
      <c r="G1628" s="23" t="s">
        <v>8914</v>
      </c>
      <c r="H1628" s="25" t="s">
        <v>15373</v>
      </c>
      <c r="I1628" s="22" t="s">
        <v>15374</v>
      </c>
      <c r="J1628" s="22" t="s">
        <v>9619</v>
      </c>
      <c r="K1628" s="26">
        <f t="shared" si="25"/>
        <v>2341.333333333333</v>
      </c>
      <c r="N1628" s="26" t="s">
        <v>9619</v>
      </c>
      <c r="O1628" s="22" t="s">
        <v>8906</v>
      </c>
      <c r="P1628" s="22" t="s">
        <v>11571</v>
      </c>
      <c r="Q1628" s="22">
        <v>90262</v>
      </c>
      <c r="R1628" s="22" t="s">
        <v>8907</v>
      </c>
      <c r="S1628" s="22" t="s">
        <v>8908</v>
      </c>
      <c r="X1628" s="26"/>
      <c r="Y1628" s="26"/>
    </row>
    <row r="1629" spans="1:25" ht="37.5" x14ac:dyDescent="0.25">
      <c r="A1629" s="21">
        <v>2270</v>
      </c>
      <c r="B1629" s="22" t="s">
        <v>15368</v>
      </c>
      <c r="C1629" s="22" t="s">
        <v>8915</v>
      </c>
      <c r="D1629" s="23" t="s">
        <v>8916</v>
      </c>
      <c r="E1629" s="24" t="s">
        <v>9081</v>
      </c>
      <c r="F1629" s="22" t="s">
        <v>8917</v>
      </c>
      <c r="G1629" s="23" t="s">
        <v>8918</v>
      </c>
      <c r="H1629" s="25" t="s">
        <v>15373</v>
      </c>
      <c r="I1629" s="22" t="s">
        <v>15382</v>
      </c>
      <c r="J1629" s="22" t="s">
        <v>14850</v>
      </c>
      <c r="K1629" s="26">
        <f t="shared" si="25"/>
        <v>356.66666666666663</v>
      </c>
      <c r="N1629" s="26" t="s">
        <v>9397</v>
      </c>
      <c r="O1629" s="22" t="s">
        <v>8919</v>
      </c>
      <c r="P1629" s="22" t="s">
        <v>16563</v>
      </c>
      <c r="Q1629" s="22">
        <v>90242</v>
      </c>
      <c r="R1629" s="22" t="s">
        <v>8920</v>
      </c>
      <c r="S1629" s="22" t="s">
        <v>8921</v>
      </c>
      <c r="X1629" s="26"/>
      <c r="Y1629" s="26"/>
    </row>
    <row r="1630" spans="1:25" ht="37.5" x14ac:dyDescent="0.25">
      <c r="A1630" s="21">
        <v>2271</v>
      </c>
      <c r="B1630" s="22" t="s">
        <v>15368</v>
      </c>
      <c r="C1630" s="22" t="s">
        <v>12318</v>
      </c>
      <c r="D1630" s="23" t="s">
        <v>8922</v>
      </c>
      <c r="E1630" s="24" t="s">
        <v>9081</v>
      </c>
      <c r="F1630" s="22" t="s">
        <v>8923</v>
      </c>
      <c r="G1630" s="23" t="s">
        <v>8924</v>
      </c>
      <c r="H1630" s="25" t="s">
        <v>15373</v>
      </c>
      <c r="I1630" s="22" t="s">
        <v>15374</v>
      </c>
      <c r="J1630" s="22" t="s">
        <v>10290</v>
      </c>
      <c r="K1630" s="26">
        <f t="shared" si="25"/>
        <v>400</v>
      </c>
      <c r="N1630" s="26" t="s">
        <v>9214</v>
      </c>
      <c r="O1630" s="22" t="s">
        <v>8925</v>
      </c>
      <c r="P1630" s="22" t="s">
        <v>16563</v>
      </c>
      <c r="Q1630" s="22">
        <v>90242</v>
      </c>
      <c r="R1630" s="22" t="s">
        <v>14591</v>
      </c>
      <c r="S1630" s="22" t="s">
        <v>8926</v>
      </c>
      <c r="X1630" s="26"/>
      <c r="Y1630" s="26"/>
    </row>
    <row r="1631" spans="1:25" ht="37.5" x14ac:dyDescent="0.25">
      <c r="A1631" s="21">
        <v>2272</v>
      </c>
      <c r="B1631" s="22" t="s">
        <v>15368</v>
      </c>
      <c r="C1631" s="22" t="s">
        <v>8927</v>
      </c>
      <c r="D1631" s="23">
        <v>385186</v>
      </c>
      <c r="E1631" s="24" t="s">
        <v>9081</v>
      </c>
      <c r="F1631" s="22" t="s">
        <v>8928</v>
      </c>
      <c r="G1631" s="23" t="s">
        <v>8929</v>
      </c>
      <c r="H1631" s="25" t="s">
        <v>15373</v>
      </c>
      <c r="I1631" s="22" t="s">
        <v>16160</v>
      </c>
      <c r="J1631" s="22" t="s">
        <v>8930</v>
      </c>
      <c r="K1631" s="26">
        <f t="shared" si="25"/>
        <v>453.33333333333331</v>
      </c>
      <c r="N1631" s="26" t="s">
        <v>8931</v>
      </c>
      <c r="O1631" s="22" t="s">
        <v>8932</v>
      </c>
      <c r="P1631" s="22" t="s">
        <v>15376</v>
      </c>
      <c r="Q1631" s="22">
        <v>90012</v>
      </c>
      <c r="R1631" s="22" t="s">
        <v>7647</v>
      </c>
      <c r="S1631" s="22" t="s">
        <v>7648</v>
      </c>
      <c r="X1631" s="26"/>
      <c r="Y1631" s="26"/>
    </row>
    <row r="1632" spans="1:25" ht="37.5" x14ac:dyDescent="0.25">
      <c r="A1632" s="21">
        <v>2273</v>
      </c>
      <c r="B1632" s="22" t="s">
        <v>15368</v>
      </c>
      <c r="C1632" s="22" t="s">
        <v>8927</v>
      </c>
      <c r="D1632" s="23" t="s">
        <v>8933</v>
      </c>
      <c r="E1632" s="24" t="s">
        <v>9081</v>
      </c>
      <c r="F1632" s="22" t="s">
        <v>8934</v>
      </c>
      <c r="G1632" s="23" t="s">
        <v>8935</v>
      </c>
      <c r="H1632" s="25" t="s">
        <v>15373</v>
      </c>
      <c r="I1632" s="22" t="s">
        <v>15411</v>
      </c>
      <c r="J1632" s="22" t="s">
        <v>8936</v>
      </c>
      <c r="K1632" s="26">
        <f t="shared" si="25"/>
        <v>850</v>
      </c>
      <c r="N1632" s="26" t="s">
        <v>8937</v>
      </c>
      <c r="O1632" s="22" t="s">
        <v>8932</v>
      </c>
      <c r="P1632" s="22" t="s">
        <v>15376</v>
      </c>
      <c r="Q1632" s="22">
        <v>90012</v>
      </c>
      <c r="R1632" s="22" t="s">
        <v>7647</v>
      </c>
      <c r="S1632" s="22" t="s">
        <v>7648</v>
      </c>
      <c r="X1632" s="26"/>
      <c r="Y1632" s="26"/>
    </row>
    <row r="1633" spans="1:25" ht="37.5" x14ac:dyDescent="0.25">
      <c r="A1633" s="21">
        <v>2274</v>
      </c>
      <c r="B1633" s="22" t="s">
        <v>15368</v>
      </c>
      <c r="C1633" s="22" t="s">
        <v>8927</v>
      </c>
      <c r="D1633" s="23" t="s">
        <v>8938</v>
      </c>
      <c r="E1633" s="24" t="s">
        <v>9081</v>
      </c>
      <c r="F1633" s="22" t="s">
        <v>8939</v>
      </c>
      <c r="G1633" s="23" t="s">
        <v>8940</v>
      </c>
      <c r="H1633" s="25" t="s">
        <v>15373</v>
      </c>
      <c r="I1633" s="22" t="s">
        <v>15411</v>
      </c>
      <c r="J1633" s="22" t="s">
        <v>14388</v>
      </c>
      <c r="K1633" s="26">
        <f t="shared" si="25"/>
        <v>680</v>
      </c>
      <c r="N1633" s="26" t="s">
        <v>8941</v>
      </c>
      <c r="O1633" s="22" t="s">
        <v>8932</v>
      </c>
      <c r="P1633" s="22" t="s">
        <v>15376</v>
      </c>
      <c r="Q1633" s="22">
        <v>90012</v>
      </c>
      <c r="R1633" s="22" t="s">
        <v>7647</v>
      </c>
      <c r="S1633" s="22" t="s">
        <v>7648</v>
      </c>
      <c r="X1633" s="26"/>
      <c r="Y1633" s="26"/>
    </row>
    <row r="1634" spans="1:25" ht="37.5" x14ac:dyDescent="0.25">
      <c r="A1634" s="21">
        <v>2275</v>
      </c>
      <c r="B1634" s="22" t="s">
        <v>15368</v>
      </c>
      <c r="C1634" s="22" t="s">
        <v>8942</v>
      </c>
      <c r="D1634" s="23">
        <v>385180</v>
      </c>
      <c r="E1634" s="24" t="s">
        <v>9081</v>
      </c>
      <c r="F1634" s="22" t="s">
        <v>8943</v>
      </c>
      <c r="G1634" s="23" t="s">
        <v>8944</v>
      </c>
      <c r="H1634" s="25" t="s">
        <v>15373</v>
      </c>
      <c r="I1634" s="22" t="s">
        <v>15411</v>
      </c>
      <c r="J1634" s="22" t="s">
        <v>14388</v>
      </c>
      <c r="K1634" s="26">
        <f t="shared" si="25"/>
        <v>770</v>
      </c>
      <c r="N1634" s="26" t="s">
        <v>8945</v>
      </c>
      <c r="O1634" s="22" t="s">
        <v>8946</v>
      </c>
      <c r="P1634" s="22" t="s">
        <v>15376</v>
      </c>
      <c r="Q1634" s="22">
        <v>90063</v>
      </c>
      <c r="R1634" s="22" t="s">
        <v>7647</v>
      </c>
      <c r="S1634" s="22" t="s">
        <v>7648</v>
      </c>
      <c r="X1634" s="26"/>
      <c r="Y1634" s="26"/>
    </row>
    <row r="1635" spans="1:25" ht="37.5" x14ac:dyDescent="0.25">
      <c r="A1635" s="21">
        <v>2276</v>
      </c>
      <c r="B1635" s="22" t="s">
        <v>15368</v>
      </c>
      <c r="C1635" s="22" t="s">
        <v>8942</v>
      </c>
      <c r="D1635" s="23">
        <v>385188</v>
      </c>
      <c r="E1635" s="24" t="s">
        <v>9081</v>
      </c>
      <c r="F1635" s="22" t="s">
        <v>8947</v>
      </c>
      <c r="G1635" s="23" t="s">
        <v>8948</v>
      </c>
      <c r="H1635" s="25" t="s">
        <v>15373</v>
      </c>
      <c r="I1635" s="22" t="s">
        <v>15374</v>
      </c>
      <c r="J1635" s="22" t="s">
        <v>14165</v>
      </c>
      <c r="K1635" s="26">
        <f t="shared" si="25"/>
        <v>1432.6666666666665</v>
      </c>
      <c r="N1635" s="26" t="s">
        <v>7645</v>
      </c>
      <c r="O1635" s="22" t="s">
        <v>12271</v>
      </c>
      <c r="P1635" s="22" t="s">
        <v>16414</v>
      </c>
      <c r="Q1635" s="22">
        <v>91384</v>
      </c>
      <c r="R1635" s="22" t="s">
        <v>8949</v>
      </c>
      <c r="S1635" s="22" t="s">
        <v>7648</v>
      </c>
      <c r="X1635" s="26"/>
      <c r="Y1635" s="26"/>
    </row>
    <row r="1636" spans="1:25" ht="37.5" x14ac:dyDescent="0.25">
      <c r="A1636" s="21">
        <v>2277</v>
      </c>
      <c r="B1636" s="22" t="s">
        <v>15368</v>
      </c>
      <c r="C1636" s="22" t="s">
        <v>8942</v>
      </c>
      <c r="D1636" s="23">
        <v>385189</v>
      </c>
      <c r="E1636" s="24" t="s">
        <v>9081</v>
      </c>
      <c r="F1636" s="22" t="s">
        <v>8950</v>
      </c>
      <c r="G1636" s="23" t="s">
        <v>8951</v>
      </c>
      <c r="H1636" s="25" t="s">
        <v>15373</v>
      </c>
      <c r="I1636" s="22" t="s">
        <v>15374</v>
      </c>
      <c r="J1636" s="22" t="s">
        <v>14165</v>
      </c>
      <c r="K1636" s="26">
        <f t="shared" si="25"/>
        <v>1432.6666666666665</v>
      </c>
      <c r="N1636" s="26" t="s">
        <v>7645</v>
      </c>
      <c r="O1636" s="22" t="s">
        <v>12271</v>
      </c>
      <c r="P1636" s="22" t="s">
        <v>16414</v>
      </c>
      <c r="Q1636" s="22">
        <v>91384</v>
      </c>
      <c r="R1636" s="22" t="s">
        <v>8949</v>
      </c>
      <c r="S1636" s="22" t="s">
        <v>7648</v>
      </c>
      <c r="X1636" s="26"/>
      <c r="Y1636" s="26"/>
    </row>
    <row r="1637" spans="1:25" ht="50" x14ac:dyDescent="0.25">
      <c r="A1637" s="21">
        <v>2278</v>
      </c>
      <c r="B1637" s="22" t="s">
        <v>15368</v>
      </c>
      <c r="C1637" s="22" t="s">
        <v>8942</v>
      </c>
      <c r="D1637" s="23">
        <v>385191</v>
      </c>
      <c r="E1637" s="24" t="s">
        <v>9081</v>
      </c>
      <c r="F1637" s="22" t="s">
        <v>8952</v>
      </c>
      <c r="G1637" s="23" t="s">
        <v>8953</v>
      </c>
      <c r="H1637" s="25" t="s">
        <v>15373</v>
      </c>
      <c r="I1637" s="22" t="s">
        <v>15411</v>
      </c>
      <c r="J1637" s="22" t="s">
        <v>16331</v>
      </c>
      <c r="K1637" s="26">
        <f t="shared" si="25"/>
        <v>730</v>
      </c>
      <c r="N1637" s="26" t="s">
        <v>8954</v>
      </c>
      <c r="O1637" s="22" t="s">
        <v>8955</v>
      </c>
      <c r="P1637" s="22" t="s">
        <v>12272</v>
      </c>
      <c r="Q1637" s="22">
        <v>91350</v>
      </c>
      <c r="R1637" s="22" t="s">
        <v>13361</v>
      </c>
      <c r="S1637" s="22" t="s">
        <v>13362</v>
      </c>
      <c r="X1637" s="26"/>
      <c r="Y1637" s="26"/>
    </row>
    <row r="1638" spans="1:25" ht="37.5" x14ac:dyDescent="0.25">
      <c r="A1638" s="21">
        <v>2279</v>
      </c>
      <c r="B1638" s="22" t="s">
        <v>15368</v>
      </c>
      <c r="C1638" s="22" t="s">
        <v>8942</v>
      </c>
      <c r="D1638" s="23" t="s">
        <v>8956</v>
      </c>
      <c r="E1638" s="24" t="s">
        <v>9081</v>
      </c>
      <c r="F1638" s="22" t="s">
        <v>8957</v>
      </c>
      <c r="G1638" s="23" t="s">
        <v>8958</v>
      </c>
      <c r="H1638" s="25" t="s">
        <v>15373</v>
      </c>
      <c r="I1638" s="22" t="s">
        <v>15411</v>
      </c>
      <c r="J1638" s="22" t="s">
        <v>14388</v>
      </c>
      <c r="K1638" s="26">
        <f t="shared" si="25"/>
        <v>770</v>
      </c>
      <c r="N1638" s="26" t="s">
        <v>8945</v>
      </c>
      <c r="O1638" s="22" t="s">
        <v>8946</v>
      </c>
      <c r="P1638" s="22" t="s">
        <v>15376</v>
      </c>
      <c r="Q1638" s="22">
        <v>90063</v>
      </c>
      <c r="R1638" s="22" t="s">
        <v>7647</v>
      </c>
      <c r="S1638" s="22" t="s">
        <v>7648</v>
      </c>
      <c r="X1638" s="26"/>
      <c r="Y1638" s="26"/>
    </row>
    <row r="1639" spans="1:25" ht="50" x14ac:dyDescent="0.25">
      <c r="A1639" s="21">
        <v>2280</v>
      </c>
      <c r="B1639" s="22" t="s">
        <v>15368</v>
      </c>
      <c r="C1639" s="22" t="s">
        <v>8942</v>
      </c>
      <c r="D1639" s="23" t="s">
        <v>8959</v>
      </c>
      <c r="E1639" s="24" t="s">
        <v>9081</v>
      </c>
      <c r="F1639" s="22" t="s">
        <v>8960</v>
      </c>
      <c r="G1639" s="23" t="s">
        <v>8961</v>
      </c>
      <c r="H1639" s="25" t="s">
        <v>15373</v>
      </c>
      <c r="I1639" s="22" t="s">
        <v>15411</v>
      </c>
      <c r="J1639" s="22" t="s">
        <v>16331</v>
      </c>
      <c r="K1639" s="26">
        <f t="shared" si="25"/>
        <v>730</v>
      </c>
      <c r="N1639" s="26" t="s">
        <v>8954</v>
      </c>
      <c r="O1639" s="22" t="s">
        <v>8955</v>
      </c>
      <c r="P1639" s="22" t="s">
        <v>12272</v>
      </c>
      <c r="Q1639" s="22">
        <v>91350</v>
      </c>
      <c r="R1639" s="22" t="s">
        <v>13361</v>
      </c>
      <c r="S1639" s="22" t="s">
        <v>13362</v>
      </c>
      <c r="X1639" s="26"/>
      <c r="Y1639" s="26"/>
    </row>
    <row r="1640" spans="1:25" ht="50" x14ac:dyDescent="0.25">
      <c r="A1640" s="21">
        <v>2281</v>
      </c>
      <c r="B1640" s="22" t="s">
        <v>15368</v>
      </c>
      <c r="C1640" s="22" t="s">
        <v>8942</v>
      </c>
      <c r="D1640" s="23" t="s">
        <v>8962</v>
      </c>
      <c r="E1640" s="24" t="s">
        <v>9081</v>
      </c>
      <c r="F1640" s="22" t="s">
        <v>8963</v>
      </c>
      <c r="G1640" s="23" t="s">
        <v>8964</v>
      </c>
      <c r="H1640" s="25" t="s">
        <v>15373</v>
      </c>
      <c r="I1640" s="22" t="s">
        <v>15411</v>
      </c>
      <c r="J1640" s="22" t="s">
        <v>16331</v>
      </c>
      <c r="K1640" s="26">
        <f t="shared" si="25"/>
        <v>730</v>
      </c>
      <c r="N1640" s="26" t="s">
        <v>8954</v>
      </c>
      <c r="O1640" s="22" t="s">
        <v>8955</v>
      </c>
      <c r="P1640" s="22" t="s">
        <v>12272</v>
      </c>
      <c r="Q1640" s="22">
        <v>91350</v>
      </c>
      <c r="R1640" s="22" t="s">
        <v>13361</v>
      </c>
      <c r="S1640" s="22" t="s">
        <v>13362</v>
      </c>
      <c r="X1640" s="26"/>
      <c r="Y1640" s="26"/>
    </row>
    <row r="1641" spans="1:25" ht="37.5" x14ac:dyDescent="0.25">
      <c r="A1641" s="21">
        <v>2282</v>
      </c>
      <c r="B1641" s="22" t="s">
        <v>15368</v>
      </c>
      <c r="C1641" s="22" t="s">
        <v>8965</v>
      </c>
      <c r="D1641" s="23" t="s">
        <v>8966</v>
      </c>
      <c r="E1641" s="24" t="s">
        <v>9081</v>
      </c>
      <c r="F1641" s="22" t="s">
        <v>8967</v>
      </c>
      <c r="G1641" s="23" t="s">
        <v>8968</v>
      </c>
      <c r="H1641" s="25" t="s">
        <v>15373</v>
      </c>
      <c r="I1641" s="22" t="s">
        <v>15411</v>
      </c>
      <c r="J1641" s="22" t="s">
        <v>16331</v>
      </c>
      <c r="K1641" s="26">
        <f t="shared" si="25"/>
        <v>729.33333333333326</v>
      </c>
      <c r="N1641" s="26" t="s">
        <v>8969</v>
      </c>
      <c r="O1641" s="22" t="s">
        <v>8970</v>
      </c>
      <c r="P1641" s="22" t="s">
        <v>14711</v>
      </c>
      <c r="Q1641" s="22">
        <v>91401</v>
      </c>
      <c r="R1641" s="22" t="s">
        <v>10800</v>
      </c>
      <c r="S1641" s="22" t="s">
        <v>10801</v>
      </c>
      <c r="X1641" s="26"/>
      <c r="Y1641" s="26"/>
    </row>
    <row r="1642" spans="1:25" ht="37.5" x14ac:dyDescent="0.25">
      <c r="A1642" s="21">
        <v>2283</v>
      </c>
      <c r="B1642" s="22" t="s">
        <v>15368</v>
      </c>
      <c r="C1642" s="22" t="s">
        <v>8965</v>
      </c>
      <c r="D1642" s="23" t="s">
        <v>8971</v>
      </c>
      <c r="E1642" s="24" t="s">
        <v>9081</v>
      </c>
      <c r="F1642" s="22" t="s">
        <v>8972</v>
      </c>
      <c r="G1642" s="23" t="s">
        <v>8973</v>
      </c>
      <c r="H1642" s="25" t="s">
        <v>15373</v>
      </c>
      <c r="I1642" s="22" t="s">
        <v>15411</v>
      </c>
      <c r="J1642" s="22" t="s">
        <v>16331</v>
      </c>
      <c r="K1642" s="26">
        <f t="shared" si="25"/>
        <v>729.33333333333326</v>
      </c>
      <c r="N1642" s="26" t="s">
        <v>8969</v>
      </c>
      <c r="O1642" s="22" t="s">
        <v>8970</v>
      </c>
      <c r="P1642" s="22" t="s">
        <v>14711</v>
      </c>
      <c r="Q1642" s="22">
        <v>91401</v>
      </c>
      <c r="R1642" s="22" t="s">
        <v>10800</v>
      </c>
      <c r="S1642" s="22" t="s">
        <v>10801</v>
      </c>
      <c r="X1642" s="26"/>
      <c r="Y1642" s="26"/>
    </row>
    <row r="1643" spans="1:25" ht="37.5" x14ac:dyDescent="0.25">
      <c r="A1643" s="21">
        <v>2284</v>
      </c>
      <c r="B1643" s="22" t="s">
        <v>15368</v>
      </c>
      <c r="C1643" s="22" t="s">
        <v>8974</v>
      </c>
      <c r="D1643" s="23" t="s">
        <v>8975</v>
      </c>
      <c r="E1643" s="24" t="s">
        <v>9081</v>
      </c>
      <c r="F1643" s="22" t="s">
        <v>8976</v>
      </c>
      <c r="G1643" s="23" t="s">
        <v>8977</v>
      </c>
      <c r="H1643" s="25" t="s">
        <v>15373</v>
      </c>
      <c r="I1643" s="22" t="s">
        <v>15374</v>
      </c>
      <c r="J1643" s="22" t="s">
        <v>9619</v>
      </c>
      <c r="K1643" s="26">
        <f t="shared" si="25"/>
        <v>1050</v>
      </c>
      <c r="N1643" s="26" t="s">
        <v>8685</v>
      </c>
      <c r="O1643" s="22" t="s">
        <v>8978</v>
      </c>
      <c r="P1643" s="22" t="s">
        <v>13360</v>
      </c>
      <c r="Q1643" s="22">
        <v>91754</v>
      </c>
      <c r="R1643" s="22" t="s">
        <v>10800</v>
      </c>
      <c r="S1643" s="22" t="s">
        <v>10801</v>
      </c>
      <c r="X1643" s="26"/>
      <c r="Y1643" s="26"/>
    </row>
    <row r="1644" spans="1:25" ht="37.5" x14ac:dyDescent="0.25">
      <c r="A1644" s="21">
        <v>2285</v>
      </c>
      <c r="B1644" s="22" t="s">
        <v>15368</v>
      </c>
      <c r="C1644" s="22" t="s">
        <v>13529</v>
      </c>
      <c r="D1644" s="23" t="s">
        <v>8979</v>
      </c>
      <c r="E1644" s="24" t="s">
        <v>8980</v>
      </c>
      <c r="F1644" s="22" t="s">
        <v>8981</v>
      </c>
      <c r="G1644" s="23" t="s">
        <v>8982</v>
      </c>
      <c r="H1644" s="25" t="s">
        <v>15373</v>
      </c>
      <c r="I1644" s="22" t="s">
        <v>15668</v>
      </c>
      <c r="J1644" s="22" t="s">
        <v>8983</v>
      </c>
      <c r="K1644" s="26">
        <f t="shared" si="25"/>
        <v>1250</v>
      </c>
      <c r="L1644" s="26" t="s">
        <v>8520</v>
      </c>
      <c r="O1644" s="22" t="s">
        <v>13532</v>
      </c>
      <c r="P1644" s="22" t="s">
        <v>15376</v>
      </c>
      <c r="Q1644" s="22">
        <v>90033</v>
      </c>
      <c r="R1644" s="22" t="s">
        <v>8984</v>
      </c>
      <c r="S1644" s="22" t="s">
        <v>8985</v>
      </c>
      <c r="X1644" s="26"/>
      <c r="Y1644" s="26"/>
    </row>
    <row r="1645" spans="1:25" ht="37.5" x14ac:dyDescent="0.25">
      <c r="A1645" s="21">
        <v>2286</v>
      </c>
      <c r="B1645" s="22" t="s">
        <v>15368</v>
      </c>
      <c r="C1645" s="22" t="s">
        <v>13529</v>
      </c>
      <c r="D1645" s="23" t="s">
        <v>8986</v>
      </c>
      <c r="E1645" s="24" t="s">
        <v>14508</v>
      </c>
      <c r="F1645" s="22" t="s">
        <v>8987</v>
      </c>
      <c r="G1645" s="23" t="s">
        <v>8988</v>
      </c>
      <c r="H1645" s="25" t="s">
        <v>15373</v>
      </c>
      <c r="I1645" s="22" t="s">
        <v>15668</v>
      </c>
      <c r="J1645" s="22" t="s">
        <v>8989</v>
      </c>
      <c r="K1645" s="26">
        <f t="shared" si="25"/>
        <v>1250</v>
      </c>
      <c r="L1645" s="26" t="s">
        <v>8520</v>
      </c>
      <c r="O1645" s="22" t="s">
        <v>13532</v>
      </c>
      <c r="P1645" s="22" t="s">
        <v>15376</v>
      </c>
      <c r="Q1645" s="22">
        <v>90033</v>
      </c>
      <c r="R1645" s="22" t="s">
        <v>8984</v>
      </c>
      <c r="S1645" s="22" t="s">
        <v>8985</v>
      </c>
      <c r="X1645" s="26"/>
      <c r="Y1645" s="26"/>
    </row>
    <row r="1646" spans="1:25" ht="50" x14ac:dyDescent="0.25">
      <c r="A1646" s="21">
        <v>2287</v>
      </c>
      <c r="B1646" s="22" t="s">
        <v>15368</v>
      </c>
      <c r="C1646" s="22" t="s">
        <v>8990</v>
      </c>
      <c r="D1646" s="23" t="s">
        <v>8991</v>
      </c>
      <c r="E1646" s="24" t="s">
        <v>9081</v>
      </c>
      <c r="F1646" s="22" t="s">
        <v>8992</v>
      </c>
      <c r="G1646" s="23" t="s">
        <v>8993</v>
      </c>
      <c r="H1646" s="25" t="s">
        <v>15373</v>
      </c>
      <c r="I1646" s="22" t="s">
        <v>15382</v>
      </c>
      <c r="J1646" s="22" t="s">
        <v>16792</v>
      </c>
      <c r="K1646" s="26">
        <f t="shared" si="25"/>
        <v>399</v>
      </c>
      <c r="L1646" s="26" t="s">
        <v>8994</v>
      </c>
      <c r="O1646" s="22" t="s">
        <v>8995</v>
      </c>
      <c r="P1646" s="22" t="s">
        <v>14020</v>
      </c>
      <c r="Q1646" s="22">
        <v>92704</v>
      </c>
      <c r="R1646" s="22" t="s">
        <v>8996</v>
      </c>
      <c r="S1646" s="22" t="s">
        <v>8997</v>
      </c>
      <c r="X1646" s="26"/>
      <c r="Y1646" s="26"/>
    </row>
    <row r="1647" spans="1:25" ht="50" x14ac:dyDescent="0.25">
      <c r="A1647" s="21">
        <v>2288</v>
      </c>
      <c r="B1647" s="22" t="s">
        <v>15368</v>
      </c>
      <c r="C1647" s="22" t="s">
        <v>8998</v>
      </c>
      <c r="D1647" s="23" t="s">
        <v>8999</v>
      </c>
      <c r="E1647" s="24" t="s">
        <v>9081</v>
      </c>
      <c r="F1647" s="22" t="s">
        <v>9000</v>
      </c>
      <c r="G1647" s="23" t="s">
        <v>9001</v>
      </c>
      <c r="H1647" s="25" t="s">
        <v>15373</v>
      </c>
      <c r="I1647" s="22" t="s">
        <v>15374</v>
      </c>
      <c r="J1647" s="22" t="s">
        <v>15261</v>
      </c>
      <c r="K1647" s="26">
        <f t="shared" si="25"/>
        <v>550</v>
      </c>
      <c r="L1647" s="26" t="s">
        <v>9331</v>
      </c>
      <c r="O1647" s="22" t="s">
        <v>9002</v>
      </c>
      <c r="P1647" s="22" t="s">
        <v>11259</v>
      </c>
      <c r="Q1647" s="22">
        <v>92544</v>
      </c>
      <c r="R1647" s="22" t="s">
        <v>9003</v>
      </c>
      <c r="S1647" s="22" t="s">
        <v>9004</v>
      </c>
      <c r="X1647" s="26"/>
      <c r="Y1647" s="26"/>
    </row>
    <row r="1648" spans="1:25" ht="50" x14ac:dyDescent="0.25">
      <c r="A1648" s="21">
        <v>2289</v>
      </c>
      <c r="B1648" s="22" t="s">
        <v>15368</v>
      </c>
      <c r="C1648" s="22" t="s">
        <v>13566</v>
      </c>
      <c r="D1648" s="23" t="s">
        <v>9005</v>
      </c>
      <c r="E1648" s="24" t="s">
        <v>9081</v>
      </c>
      <c r="F1648" s="22" t="s">
        <v>9006</v>
      </c>
      <c r="G1648" s="23" t="s">
        <v>9007</v>
      </c>
      <c r="H1648" s="25" t="s">
        <v>15373</v>
      </c>
      <c r="I1648" s="22" t="s">
        <v>15374</v>
      </c>
      <c r="J1648" s="22" t="s">
        <v>15701</v>
      </c>
      <c r="K1648" s="26">
        <f t="shared" si="25"/>
        <v>350</v>
      </c>
      <c r="L1648" s="26" t="s">
        <v>10669</v>
      </c>
      <c r="O1648" s="22" t="s">
        <v>13569</v>
      </c>
      <c r="P1648" s="22" t="s">
        <v>13563</v>
      </c>
      <c r="Q1648" s="22">
        <v>90712</v>
      </c>
      <c r="R1648" s="22" t="s">
        <v>9008</v>
      </c>
      <c r="S1648" s="22" t="s">
        <v>9009</v>
      </c>
      <c r="X1648" s="26"/>
      <c r="Y1648" s="26"/>
    </row>
    <row r="1649" spans="1:25" ht="37.5" x14ac:dyDescent="0.25">
      <c r="A1649" s="21">
        <v>2290</v>
      </c>
      <c r="B1649" s="22" t="s">
        <v>15368</v>
      </c>
      <c r="C1649" s="22" t="s">
        <v>9010</v>
      </c>
      <c r="D1649" s="23" t="s">
        <v>9011</v>
      </c>
      <c r="E1649" s="24" t="s">
        <v>10144</v>
      </c>
      <c r="F1649" s="22" t="s">
        <v>9012</v>
      </c>
      <c r="G1649" s="23" t="s">
        <v>9013</v>
      </c>
      <c r="H1649" s="25" t="s">
        <v>15373</v>
      </c>
      <c r="I1649" s="22" t="s">
        <v>15382</v>
      </c>
      <c r="J1649" s="22" t="s">
        <v>15955</v>
      </c>
      <c r="K1649" s="26">
        <f t="shared" si="25"/>
        <v>756.66666666666663</v>
      </c>
      <c r="N1649" s="26" t="s">
        <v>10812</v>
      </c>
      <c r="O1649" s="22" t="s">
        <v>9014</v>
      </c>
      <c r="P1649" s="22" t="s">
        <v>15422</v>
      </c>
      <c r="Q1649" s="22">
        <v>91504</v>
      </c>
      <c r="R1649" s="22" t="s">
        <v>9015</v>
      </c>
      <c r="S1649" s="22" t="s">
        <v>9016</v>
      </c>
      <c r="X1649" s="26"/>
      <c r="Y1649" s="26"/>
    </row>
    <row r="1650" spans="1:25" ht="50" x14ac:dyDescent="0.25">
      <c r="A1650" s="21">
        <v>2291</v>
      </c>
      <c r="B1650" s="22" t="s">
        <v>15368</v>
      </c>
      <c r="C1650" s="22" t="s">
        <v>9017</v>
      </c>
      <c r="D1650" s="23" t="s">
        <v>9018</v>
      </c>
      <c r="E1650" s="24" t="s">
        <v>9081</v>
      </c>
      <c r="F1650" s="22" t="s">
        <v>9019</v>
      </c>
      <c r="G1650" s="23" t="s">
        <v>9020</v>
      </c>
      <c r="H1650" s="25" t="s">
        <v>15373</v>
      </c>
      <c r="I1650" s="22" t="s">
        <v>14275</v>
      </c>
      <c r="J1650" s="22" t="s">
        <v>9659</v>
      </c>
      <c r="K1650" s="26">
        <f t="shared" si="25"/>
        <v>475.33333333333331</v>
      </c>
      <c r="N1650" s="26" t="s">
        <v>9556</v>
      </c>
      <c r="O1650" s="22" t="s">
        <v>9021</v>
      </c>
      <c r="P1650" s="22" t="s">
        <v>13360</v>
      </c>
      <c r="Q1650" s="22">
        <v>91754</v>
      </c>
      <c r="R1650" s="22" t="s">
        <v>9022</v>
      </c>
      <c r="S1650" s="22" t="s">
        <v>9023</v>
      </c>
      <c r="X1650" s="26"/>
      <c r="Y1650" s="26"/>
    </row>
    <row r="1651" spans="1:25" ht="37.5" x14ac:dyDescent="0.25">
      <c r="A1651" s="21">
        <v>2292</v>
      </c>
      <c r="B1651" s="22" t="s">
        <v>15368</v>
      </c>
      <c r="C1651" s="22" t="s">
        <v>9024</v>
      </c>
      <c r="D1651" s="23">
        <v>316585</v>
      </c>
      <c r="E1651" s="24">
        <v>1996</v>
      </c>
      <c r="F1651" s="22" t="s">
        <v>9025</v>
      </c>
      <c r="G1651" s="23" t="s">
        <v>9026</v>
      </c>
      <c r="H1651" s="25" t="s">
        <v>15373</v>
      </c>
      <c r="I1651" s="22" t="s">
        <v>15411</v>
      </c>
      <c r="J1651" s="22" t="s">
        <v>15669</v>
      </c>
      <c r="K1651" s="26">
        <f t="shared" si="25"/>
        <v>350</v>
      </c>
      <c r="L1651" s="26" t="s">
        <v>10669</v>
      </c>
      <c r="O1651" s="22" t="s">
        <v>9027</v>
      </c>
      <c r="P1651" s="22" t="s">
        <v>16313</v>
      </c>
      <c r="Q1651" s="22">
        <v>90732</v>
      </c>
      <c r="R1651" s="22" t="s">
        <v>9028</v>
      </c>
      <c r="S1651" s="22" t="s">
        <v>9029</v>
      </c>
      <c r="X1651" s="26"/>
      <c r="Y1651" s="26"/>
    </row>
    <row r="1652" spans="1:25" ht="25" x14ac:dyDescent="0.25">
      <c r="A1652" s="21">
        <v>2293</v>
      </c>
      <c r="B1652" s="22" t="s">
        <v>15368</v>
      </c>
      <c r="C1652" s="22" t="s">
        <v>9024</v>
      </c>
      <c r="D1652" s="23">
        <v>316587</v>
      </c>
      <c r="E1652" s="24">
        <v>1996</v>
      </c>
      <c r="F1652" s="22" t="s">
        <v>9030</v>
      </c>
      <c r="G1652" s="23" t="s">
        <v>9031</v>
      </c>
      <c r="H1652" s="25" t="s">
        <v>15373</v>
      </c>
      <c r="I1652" s="22" t="s">
        <v>15411</v>
      </c>
      <c r="J1652" s="22" t="s">
        <v>9032</v>
      </c>
      <c r="K1652" s="26">
        <f t="shared" si="25"/>
        <v>350</v>
      </c>
      <c r="L1652" s="26" t="s">
        <v>10669</v>
      </c>
      <c r="O1652" s="22" t="s">
        <v>9027</v>
      </c>
      <c r="P1652" s="22" t="s">
        <v>16313</v>
      </c>
      <c r="Q1652" s="22">
        <v>90732</v>
      </c>
      <c r="R1652" s="22" t="s">
        <v>9028</v>
      </c>
      <c r="S1652" s="22" t="s">
        <v>9029</v>
      </c>
      <c r="X1652" s="26"/>
      <c r="Y1652" s="26"/>
    </row>
    <row r="1653" spans="1:25" ht="37.5" x14ac:dyDescent="0.25">
      <c r="A1653" s="21">
        <v>2294</v>
      </c>
      <c r="B1653" s="22" t="s">
        <v>15368</v>
      </c>
      <c r="C1653" s="22" t="s">
        <v>13708</v>
      </c>
      <c r="D1653" s="23" t="s">
        <v>9033</v>
      </c>
      <c r="E1653" s="24" t="s">
        <v>9328</v>
      </c>
      <c r="F1653" s="22" t="s">
        <v>9034</v>
      </c>
      <c r="G1653" s="23" t="s">
        <v>9035</v>
      </c>
      <c r="H1653" s="25" t="s">
        <v>15373</v>
      </c>
      <c r="I1653" s="22" t="s">
        <v>15374</v>
      </c>
      <c r="J1653" s="22" t="s">
        <v>9791</v>
      </c>
      <c r="K1653" s="26">
        <f t="shared" si="25"/>
        <v>596.66666666666663</v>
      </c>
      <c r="N1653" s="26" t="s">
        <v>9631</v>
      </c>
      <c r="O1653" s="22" t="s">
        <v>13711</v>
      </c>
      <c r="P1653" s="22" t="s">
        <v>11522</v>
      </c>
      <c r="Q1653" s="22">
        <v>90638</v>
      </c>
      <c r="R1653" s="22" t="s">
        <v>13712</v>
      </c>
      <c r="S1653" s="22" t="s">
        <v>13713</v>
      </c>
      <c r="X1653" s="26"/>
      <c r="Y1653" s="26"/>
    </row>
    <row r="1654" spans="1:25" ht="50" x14ac:dyDescent="0.25">
      <c r="A1654" s="21">
        <v>2295</v>
      </c>
      <c r="B1654" s="22" t="s">
        <v>15368</v>
      </c>
      <c r="C1654" s="22" t="s">
        <v>9036</v>
      </c>
      <c r="D1654" s="23" t="s">
        <v>9037</v>
      </c>
      <c r="E1654" s="24" t="s">
        <v>9081</v>
      </c>
      <c r="F1654" s="22" t="s">
        <v>9038</v>
      </c>
      <c r="G1654" s="23" t="s">
        <v>9039</v>
      </c>
      <c r="H1654" s="25" t="s">
        <v>15373</v>
      </c>
      <c r="I1654" s="22" t="s">
        <v>14275</v>
      </c>
      <c r="J1654" s="22" t="s">
        <v>9040</v>
      </c>
      <c r="K1654" s="26">
        <f t="shared" si="25"/>
        <v>506</v>
      </c>
      <c r="N1654" s="26" t="s">
        <v>9041</v>
      </c>
      <c r="O1654" s="22" t="s">
        <v>9042</v>
      </c>
      <c r="P1654" s="22" t="s">
        <v>15376</v>
      </c>
      <c r="Q1654" s="22">
        <v>90017</v>
      </c>
      <c r="R1654" s="22" t="s">
        <v>9043</v>
      </c>
      <c r="S1654" s="22" t="s">
        <v>9044</v>
      </c>
      <c r="X1654" s="26"/>
      <c r="Y1654" s="26"/>
    </row>
    <row r="1655" spans="1:25" ht="37.5" x14ac:dyDescent="0.25">
      <c r="A1655" s="21">
        <v>2296</v>
      </c>
      <c r="B1655" s="22" t="s">
        <v>15368</v>
      </c>
      <c r="C1655" s="22" t="s">
        <v>9045</v>
      </c>
      <c r="D1655" s="23" t="s">
        <v>9046</v>
      </c>
      <c r="E1655" s="24" t="s">
        <v>9081</v>
      </c>
      <c r="F1655" s="22" t="s">
        <v>9047</v>
      </c>
      <c r="G1655" s="23" t="s">
        <v>9048</v>
      </c>
      <c r="H1655" s="25" t="s">
        <v>15373</v>
      </c>
      <c r="I1655" s="22" t="s">
        <v>15374</v>
      </c>
      <c r="J1655" s="22" t="s">
        <v>14709</v>
      </c>
      <c r="K1655" s="26">
        <f t="shared" si="25"/>
        <v>500</v>
      </c>
      <c r="L1655" s="26" t="s">
        <v>10145</v>
      </c>
      <c r="O1655" s="22" t="s">
        <v>7918</v>
      </c>
      <c r="P1655" s="22" t="s">
        <v>15376</v>
      </c>
      <c r="Q1655" s="22">
        <v>90063</v>
      </c>
      <c r="R1655" s="22" t="s">
        <v>7647</v>
      </c>
      <c r="S1655" s="22" t="s">
        <v>7648</v>
      </c>
      <c r="X1655" s="26"/>
      <c r="Y1655" s="26"/>
    </row>
    <row r="1656" spans="1:25" ht="50" x14ac:dyDescent="0.25">
      <c r="A1656" s="21">
        <v>2297</v>
      </c>
      <c r="B1656" s="22" t="s">
        <v>15368</v>
      </c>
      <c r="C1656" s="22" t="s">
        <v>9045</v>
      </c>
      <c r="D1656" s="23" t="s">
        <v>7919</v>
      </c>
      <c r="E1656" s="24" t="s">
        <v>9081</v>
      </c>
      <c r="F1656" s="22" t="s">
        <v>7920</v>
      </c>
      <c r="G1656" s="23" t="s">
        <v>7921</v>
      </c>
      <c r="H1656" s="25" t="s">
        <v>15373</v>
      </c>
      <c r="I1656" s="22" t="s">
        <v>15374</v>
      </c>
      <c r="J1656" s="22" t="s">
        <v>14709</v>
      </c>
      <c r="K1656" s="26">
        <f t="shared" si="25"/>
        <v>500</v>
      </c>
      <c r="L1656" s="26" t="s">
        <v>10145</v>
      </c>
      <c r="O1656" s="22" t="s">
        <v>7918</v>
      </c>
      <c r="P1656" s="22" t="s">
        <v>15376</v>
      </c>
      <c r="Q1656" s="22">
        <v>90063</v>
      </c>
      <c r="R1656" s="22" t="s">
        <v>7647</v>
      </c>
      <c r="S1656" s="22" t="s">
        <v>7648</v>
      </c>
      <c r="X1656" s="26"/>
      <c r="Y1656" s="26"/>
    </row>
    <row r="1657" spans="1:25" ht="50" x14ac:dyDescent="0.25">
      <c r="A1657" s="21">
        <v>2298</v>
      </c>
      <c r="B1657" s="22" t="s">
        <v>15368</v>
      </c>
      <c r="C1657" s="22" t="s">
        <v>9045</v>
      </c>
      <c r="D1657" s="23" t="s">
        <v>7922</v>
      </c>
      <c r="E1657" s="24" t="s">
        <v>9081</v>
      </c>
      <c r="F1657" s="22" t="s">
        <v>7923</v>
      </c>
      <c r="G1657" s="23" t="s">
        <v>7924</v>
      </c>
      <c r="H1657" s="25" t="s">
        <v>15373</v>
      </c>
      <c r="I1657" s="22" t="s">
        <v>15374</v>
      </c>
      <c r="J1657" s="22" t="s">
        <v>14709</v>
      </c>
      <c r="K1657" s="26">
        <f t="shared" si="25"/>
        <v>500</v>
      </c>
      <c r="L1657" s="26" t="s">
        <v>10145</v>
      </c>
      <c r="O1657" s="22" t="s">
        <v>7918</v>
      </c>
      <c r="P1657" s="22" t="s">
        <v>15376</v>
      </c>
      <c r="Q1657" s="22">
        <v>90063</v>
      </c>
      <c r="R1657" s="22" t="s">
        <v>7647</v>
      </c>
      <c r="S1657" s="22" t="s">
        <v>7648</v>
      </c>
      <c r="X1657" s="26"/>
      <c r="Y1657" s="26"/>
    </row>
    <row r="1658" spans="1:25" ht="25" x14ac:dyDescent="0.25">
      <c r="A1658" s="21">
        <v>2299</v>
      </c>
      <c r="B1658" s="22" t="s">
        <v>15368</v>
      </c>
      <c r="C1658" s="22" t="s">
        <v>13764</v>
      </c>
      <c r="D1658" s="23">
        <v>386008</v>
      </c>
      <c r="E1658" s="24" t="s">
        <v>9081</v>
      </c>
      <c r="F1658" s="22" t="s">
        <v>7925</v>
      </c>
      <c r="G1658" s="23" t="s">
        <v>7926</v>
      </c>
      <c r="H1658" s="25" t="s">
        <v>15373</v>
      </c>
      <c r="I1658" s="22" t="s">
        <v>15374</v>
      </c>
      <c r="J1658" s="22" t="s">
        <v>14165</v>
      </c>
      <c r="K1658" s="26">
        <f t="shared" si="25"/>
        <v>1434</v>
      </c>
      <c r="N1658" s="26" t="s">
        <v>7927</v>
      </c>
      <c r="O1658" s="22" t="s">
        <v>7928</v>
      </c>
      <c r="P1658" s="22" t="s">
        <v>15376</v>
      </c>
      <c r="Q1658" s="22">
        <v>90021</v>
      </c>
      <c r="R1658" s="22" t="s">
        <v>13768</v>
      </c>
      <c r="S1658" s="22" t="s">
        <v>13769</v>
      </c>
      <c r="X1658" s="26"/>
      <c r="Y1658" s="26"/>
    </row>
    <row r="1659" spans="1:25" ht="25" x14ac:dyDescent="0.25">
      <c r="A1659" s="21">
        <v>2300</v>
      </c>
      <c r="B1659" s="22" t="s">
        <v>15368</v>
      </c>
      <c r="C1659" s="22" t="s">
        <v>13764</v>
      </c>
      <c r="D1659" s="23">
        <v>386009</v>
      </c>
      <c r="E1659" s="24" t="s">
        <v>9081</v>
      </c>
      <c r="F1659" s="22" t="s">
        <v>7929</v>
      </c>
      <c r="G1659" s="23" t="s">
        <v>7930</v>
      </c>
      <c r="H1659" s="25" t="s">
        <v>15373</v>
      </c>
      <c r="I1659" s="22" t="s">
        <v>15374</v>
      </c>
      <c r="J1659" s="22" t="s">
        <v>14165</v>
      </c>
      <c r="K1659" s="26">
        <f t="shared" si="25"/>
        <v>1434</v>
      </c>
      <c r="N1659" s="26" t="s">
        <v>7927</v>
      </c>
      <c r="O1659" s="22" t="s">
        <v>7928</v>
      </c>
      <c r="P1659" s="22" t="s">
        <v>15376</v>
      </c>
      <c r="Q1659" s="22">
        <v>90021</v>
      </c>
      <c r="R1659" s="22" t="s">
        <v>13768</v>
      </c>
      <c r="S1659" s="22" t="s">
        <v>13769</v>
      </c>
      <c r="X1659" s="26"/>
      <c r="Y1659" s="26"/>
    </row>
    <row r="1660" spans="1:25" ht="75" x14ac:dyDescent="0.25">
      <c r="A1660" s="21">
        <v>2301</v>
      </c>
      <c r="B1660" s="22" t="s">
        <v>15368</v>
      </c>
      <c r="C1660" s="22" t="s">
        <v>13764</v>
      </c>
      <c r="D1660" s="23">
        <v>386188</v>
      </c>
      <c r="E1660" s="24" t="s">
        <v>9081</v>
      </c>
      <c r="F1660" s="22" t="s">
        <v>7931</v>
      </c>
      <c r="G1660" s="23" t="s">
        <v>7932</v>
      </c>
      <c r="H1660" s="25" t="s">
        <v>15373</v>
      </c>
      <c r="I1660" s="22" t="s">
        <v>15411</v>
      </c>
      <c r="J1660" s="22" t="s">
        <v>14467</v>
      </c>
      <c r="K1660" s="26">
        <f t="shared" si="25"/>
        <v>1600</v>
      </c>
      <c r="L1660" s="26" t="s">
        <v>7933</v>
      </c>
      <c r="O1660" s="22" t="s">
        <v>7934</v>
      </c>
      <c r="P1660" s="22" t="s">
        <v>15435</v>
      </c>
      <c r="Q1660" s="22">
        <v>92626</v>
      </c>
      <c r="R1660" s="22" t="s">
        <v>13768</v>
      </c>
      <c r="S1660" s="22" t="s">
        <v>13769</v>
      </c>
      <c r="X1660" s="26"/>
      <c r="Y1660" s="26"/>
    </row>
    <row r="1661" spans="1:25" ht="37.5" x14ac:dyDescent="0.25">
      <c r="A1661" s="21">
        <v>2302</v>
      </c>
      <c r="B1661" s="22" t="s">
        <v>15368</v>
      </c>
      <c r="C1661" s="22" t="s">
        <v>13764</v>
      </c>
      <c r="D1661" s="23">
        <v>386189</v>
      </c>
      <c r="E1661" s="24" t="s">
        <v>9081</v>
      </c>
      <c r="F1661" s="22" t="s">
        <v>7935</v>
      </c>
      <c r="G1661" s="23" t="s">
        <v>7936</v>
      </c>
      <c r="H1661" s="25" t="s">
        <v>15373</v>
      </c>
      <c r="I1661" s="22" t="s">
        <v>15411</v>
      </c>
      <c r="J1661" s="22" t="s">
        <v>12755</v>
      </c>
      <c r="K1661" s="26">
        <f t="shared" si="25"/>
        <v>1010</v>
      </c>
      <c r="N1661" s="26" t="s">
        <v>7937</v>
      </c>
      <c r="O1661" s="22" t="s">
        <v>7934</v>
      </c>
      <c r="P1661" s="22" t="s">
        <v>15435</v>
      </c>
      <c r="Q1661" s="22">
        <v>92626</v>
      </c>
      <c r="R1661" s="22" t="s">
        <v>13768</v>
      </c>
      <c r="S1661" s="22" t="s">
        <v>13769</v>
      </c>
      <c r="X1661" s="26"/>
      <c r="Y1661" s="26"/>
    </row>
    <row r="1662" spans="1:25" ht="37.5" x14ac:dyDescent="0.25">
      <c r="A1662" s="21">
        <v>2303</v>
      </c>
      <c r="B1662" s="22" t="s">
        <v>15368</v>
      </c>
      <c r="C1662" s="22" t="s">
        <v>13764</v>
      </c>
      <c r="D1662" s="23">
        <v>386190</v>
      </c>
      <c r="E1662" s="24" t="s">
        <v>9081</v>
      </c>
      <c r="F1662" s="22" t="s">
        <v>7938</v>
      </c>
      <c r="G1662" s="23" t="s">
        <v>7939</v>
      </c>
      <c r="H1662" s="25" t="s">
        <v>15373</v>
      </c>
      <c r="I1662" s="22" t="s">
        <v>15411</v>
      </c>
      <c r="J1662" s="22" t="s">
        <v>12755</v>
      </c>
      <c r="K1662" s="26">
        <f t="shared" si="25"/>
        <v>1010</v>
      </c>
      <c r="N1662" s="26" t="s">
        <v>7937</v>
      </c>
      <c r="O1662" s="22" t="s">
        <v>7934</v>
      </c>
      <c r="P1662" s="22" t="s">
        <v>15435</v>
      </c>
      <c r="Q1662" s="22">
        <v>92626</v>
      </c>
      <c r="R1662" s="22" t="s">
        <v>13768</v>
      </c>
      <c r="S1662" s="22" t="s">
        <v>13769</v>
      </c>
      <c r="X1662" s="26"/>
      <c r="Y1662" s="26"/>
    </row>
    <row r="1663" spans="1:25" ht="50" x14ac:dyDescent="0.25">
      <c r="A1663" s="21">
        <v>2304</v>
      </c>
      <c r="B1663" s="22" t="s">
        <v>15368</v>
      </c>
      <c r="C1663" s="22" t="s">
        <v>13764</v>
      </c>
      <c r="D1663" s="23">
        <v>386191</v>
      </c>
      <c r="E1663" s="24" t="s">
        <v>9081</v>
      </c>
      <c r="F1663" s="22" t="s">
        <v>7940</v>
      </c>
      <c r="G1663" s="23" t="s">
        <v>7941</v>
      </c>
      <c r="H1663" s="25" t="s">
        <v>15373</v>
      </c>
      <c r="I1663" s="22" t="s">
        <v>15411</v>
      </c>
      <c r="J1663" s="22" t="s">
        <v>14404</v>
      </c>
      <c r="K1663" s="26">
        <f t="shared" si="25"/>
        <v>1100</v>
      </c>
      <c r="L1663" s="26" t="s">
        <v>7942</v>
      </c>
      <c r="O1663" s="22" t="s">
        <v>7934</v>
      </c>
      <c r="P1663" s="22" t="s">
        <v>15435</v>
      </c>
      <c r="Q1663" s="22">
        <v>92626</v>
      </c>
      <c r="R1663" s="22" t="s">
        <v>13768</v>
      </c>
      <c r="S1663" s="22" t="s">
        <v>13769</v>
      </c>
      <c r="X1663" s="26"/>
      <c r="Y1663" s="26"/>
    </row>
    <row r="1664" spans="1:25" ht="25" x14ac:dyDescent="0.25">
      <c r="A1664" s="21">
        <v>2305</v>
      </c>
      <c r="B1664" s="22" t="s">
        <v>15368</v>
      </c>
      <c r="C1664" s="22" t="s">
        <v>13764</v>
      </c>
      <c r="D1664" s="23" t="s">
        <v>7943</v>
      </c>
      <c r="E1664" s="24" t="s">
        <v>9081</v>
      </c>
      <c r="F1664" s="22" t="s">
        <v>7944</v>
      </c>
      <c r="G1664" s="23" t="s">
        <v>7945</v>
      </c>
      <c r="H1664" s="25" t="s">
        <v>15373</v>
      </c>
      <c r="I1664" s="22" t="s">
        <v>15374</v>
      </c>
      <c r="J1664" s="22" t="s">
        <v>14165</v>
      </c>
      <c r="K1664" s="26">
        <f t="shared" si="25"/>
        <v>1434</v>
      </c>
      <c r="N1664" s="26" t="s">
        <v>7927</v>
      </c>
      <c r="O1664" s="22" t="s">
        <v>7928</v>
      </c>
      <c r="P1664" s="22" t="s">
        <v>15376</v>
      </c>
      <c r="Q1664" s="22">
        <v>90021</v>
      </c>
      <c r="R1664" s="22" t="s">
        <v>13768</v>
      </c>
      <c r="S1664" s="22" t="s">
        <v>13769</v>
      </c>
      <c r="X1664" s="26"/>
      <c r="Y1664" s="26"/>
    </row>
    <row r="1665" spans="1:25" ht="75" x14ac:dyDescent="0.25">
      <c r="A1665" s="21">
        <v>2306</v>
      </c>
      <c r="B1665" s="22" t="s">
        <v>15368</v>
      </c>
      <c r="C1665" s="22" t="s">
        <v>13764</v>
      </c>
      <c r="D1665" s="23" t="s">
        <v>7946</v>
      </c>
      <c r="E1665" s="24" t="s">
        <v>9081</v>
      </c>
      <c r="F1665" s="22" t="s">
        <v>7947</v>
      </c>
      <c r="G1665" s="23" t="s">
        <v>7932</v>
      </c>
      <c r="H1665" s="25" t="s">
        <v>15373</v>
      </c>
      <c r="I1665" s="22" t="s">
        <v>15411</v>
      </c>
      <c r="J1665" s="22" t="s">
        <v>14467</v>
      </c>
      <c r="K1665" s="26">
        <f t="shared" si="25"/>
        <v>1600</v>
      </c>
      <c r="L1665" s="26" t="s">
        <v>7933</v>
      </c>
      <c r="O1665" s="22" t="s">
        <v>7934</v>
      </c>
      <c r="P1665" s="22" t="s">
        <v>15435</v>
      </c>
      <c r="Q1665" s="22">
        <v>92626</v>
      </c>
      <c r="R1665" s="22" t="s">
        <v>13768</v>
      </c>
      <c r="S1665" s="22" t="s">
        <v>13769</v>
      </c>
      <c r="X1665" s="26"/>
      <c r="Y1665" s="26"/>
    </row>
    <row r="1666" spans="1:25" ht="37.5" x14ac:dyDescent="0.25">
      <c r="A1666" s="21">
        <v>2307</v>
      </c>
      <c r="B1666" s="22" t="s">
        <v>15368</v>
      </c>
      <c r="C1666" s="22" t="s">
        <v>7948</v>
      </c>
      <c r="D1666" s="23">
        <v>389021</v>
      </c>
      <c r="E1666" s="24">
        <v>2001</v>
      </c>
      <c r="F1666" s="22" t="s">
        <v>7949</v>
      </c>
      <c r="G1666" s="23" t="s">
        <v>9644</v>
      </c>
      <c r="H1666" s="25" t="s">
        <v>15373</v>
      </c>
      <c r="I1666" s="22" t="s">
        <v>15411</v>
      </c>
      <c r="J1666" s="22" t="s">
        <v>7950</v>
      </c>
      <c r="K1666" s="26">
        <f t="shared" ref="K1666:K1729" si="26">L1666+M1666*(2/3)+N1666*(2/3)</f>
        <v>366.66666666666663</v>
      </c>
      <c r="N1666" s="26" t="s">
        <v>9331</v>
      </c>
      <c r="O1666" s="22" t="s">
        <v>7951</v>
      </c>
      <c r="P1666" s="22" t="s">
        <v>15504</v>
      </c>
      <c r="Q1666" s="22">
        <v>91304</v>
      </c>
      <c r="R1666" s="22" t="s">
        <v>13783</v>
      </c>
      <c r="S1666" s="22" t="s">
        <v>13784</v>
      </c>
      <c r="X1666" s="26"/>
      <c r="Y1666" s="26"/>
    </row>
    <row r="1667" spans="1:25" ht="50" x14ac:dyDescent="0.25">
      <c r="A1667" s="21">
        <v>2308</v>
      </c>
      <c r="B1667" s="22" t="s">
        <v>15368</v>
      </c>
      <c r="C1667" s="22" t="s">
        <v>12722</v>
      </c>
      <c r="D1667" s="23">
        <v>397467</v>
      </c>
      <c r="E1667" s="24">
        <v>2002</v>
      </c>
      <c r="F1667" s="22" t="s">
        <v>7952</v>
      </c>
      <c r="G1667" s="23" t="s">
        <v>7953</v>
      </c>
      <c r="H1667" s="25" t="s">
        <v>15373</v>
      </c>
      <c r="I1667" s="22" t="s">
        <v>15411</v>
      </c>
      <c r="J1667" s="22" t="s">
        <v>16517</v>
      </c>
      <c r="K1667" s="26">
        <f t="shared" si="26"/>
        <v>410</v>
      </c>
      <c r="L1667" s="26" t="s">
        <v>7954</v>
      </c>
      <c r="O1667" s="22" t="s">
        <v>7955</v>
      </c>
      <c r="P1667" s="22" t="s">
        <v>15725</v>
      </c>
      <c r="Q1667" s="22">
        <v>90631</v>
      </c>
      <c r="R1667" s="22" t="s">
        <v>13783</v>
      </c>
      <c r="S1667" s="22" t="s">
        <v>13784</v>
      </c>
      <c r="X1667" s="26"/>
      <c r="Y1667" s="26"/>
    </row>
    <row r="1668" spans="1:25" ht="37.5" x14ac:dyDescent="0.25">
      <c r="A1668" s="21">
        <v>2309</v>
      </c>
      <c r="B1668" s="22" t="s">
        <v>15368</v>
      </c>
      <c r="C1668" s="22" t="s">
        <v>12722</v>
      </c>
      <c r="D1668" s="23" t="s">
        <v>7956</v>
      </c>
      <c r="E1668" s="24" t="s">
        <v>9081</v>
      </c>
      <c r="F1668" s="22" t="s">
        <v>7957</v>
      </c>
      <c r="G1668" s="23" t="s">
        <v>7958</v>
      </c>
      <c r="H1668" s="25" t="s">
        <v>15373</v>
      </c>
      <c r="I1668" s="22" t="s">
        <v>15411</v>
      </c>
      <c r="J1668" s="22" t="s">
        <v>16517</v>
      </c>
      <c r="K1668" s="26">
        <f t="shared" si="26"/>
        <v>366.66666666666663</v>
      </c>
      <c r="N1668" s="26" t="s">
        <v>9331</v>
      </c>
      <c r="O1668" s="22" t="s">
        <v>7959</v>
      </c>
      <c r="P1668" s="22" t="s">
        <v>11169</v>
      </c>
      <c r="Q1668" s="22">
        <v>92673</v>
      </c>
      <c r="R1668" s="22" t="s">
        <v>13783</v>
      </c>
      <c r="S1668" s="22" t="s">
        <v>13784</v>
      </c>
      <c r="X1668" s="26"/>
      <c r="Y1668" s="26"/>
    </row>
    <row r="1669" spans="1:25" ht="37.5" x14ac:dyDescent="0.25">
      <c r="A1669" s="21">
        <v>2310</v>
      </c>
      <c r="B1669" s="22" t="s">
        <v>15368</v>
      </c>
      <c r="C1669" s="22" t="s">
        <v>12722</v>
      </c>
      <c r="D1669" s="23" t="s">
        <v>7960</v>
      </c>
      <c r="E1669" s="24" t="s">
        <v>9081</v>
      </c>
      <c r="F1669" s="22" t="s">
        <v>7961</v>
      </c>
      <c r="G1669" s="23" t="s">
        <v>7962</v>
      </c>
      <c r="H1669" s="25" t="s">
        <v>15373</v>
      </c>
      <c r="I1669" s="22" t="s">
        <v>15411</v>
      </c>
      <c r="J1669" s="22" t="s">
        <v>7950</v>
      </c>
      <c r="K1669" s="26">
        <f t="shared" si="26"/>
        <v>366.66666666666663</v>
      </c>
      <c r="N1669" s="26" t="s">
        <v>9331</v>
      </c>
      <c r="O1669" s="22" t="s">
        <v>7963</v>
      </c>
      <c r="P1669" s="22" t="s">
        <v>16786</v>
      </c>
      <c r="Q1669" s="22">
        <v>92801</v>
      </c>
      <c r="R1669" s="22" t="s">
        <v>13783</v>
      </c>
      <c r="S1669" s="22" t="s">
        <v>13784</v>
      </c>
      <c r="X1669" s="26"/>
      <c r="Y1669" s="26"/>
    </row>
    <row r="1670" spans="1:25" ht="37.5" x14ac:dyDescent="0.25">
      <c r="A1670" s="21">
        <v>2311</v>
      </c>
      <c r="B1670" s="22" t="s">
        <v>15368</v>
      </c>
      <c r="C1670" s="22" t="s">
        <v>12722</v>
      </c>
      <c r="D1670" s="23" t="s">
        <v>7964</v>
      </c>
      <c r="E1670" s="24" t="s">
        <v>9081</v>
      </c>
      <c r="F1670" s="22" t="s">
        <v>7965</v>
      </c>
      <c r="G1670" s="23" t="s">
        <v>7966</v>
      </c>
      <c r="H1670" s="25" t="s">
        <v>15373</v>
      </c>
      <c r="I1670" s="22" t="s">
        <v>15411</v>
      </c>
      <c r="J1670" s="22" t="s">
        <v>16517</v>
      </c>
      <c r="K1670" s="26">
        <f t="shared" si="26"/>
        <v>366.66666666666663</v>
      </c>
      <c r="N1670" s="26" t="s">
        <v>9331</v>
      </c>
      <c r="O1670" s="22" t="s">
        <v>7967</v>
      </c>
      <c r="P1670" s="22" t="s">
        <v>15422</v>
      </c>
      <c r="Q1670" s="22">
        <v>91501</v>
      </c>
      <c r="R1670" s="22" t="s">
        <v>13783</v>
      </c>
      <c r="S1670" s="22" t="s">
        <v>13784</v>
      </c>
      <c r="X1670" s="26"/>
      <c r="Y1670" s="26"/>
    </row>
    <row r="1671" spans="1:25" ht="50" x14ac:dyDescent="0.25">
      <c r="A1671" s="21">
        <v>2312</v>
      </c>
      <c r="B1671" s="22" t="s">
        <v>15368</v>
      </c>
      <c r="C1671" s="22" t="s">
        <v>12722</v>
      </c>
      <c r="D1671" s="23" t="s">
        <v>7968</v>
      </c>
      <c r="E1671" s="24" t="s">
        <v>9081</v>
      </c>
      <c r="F1671" s="22" t="s">
        <v>7969</v>
      </c>
      <c r="G1671" s="23" t="s">
        <v>7970</v>
      </c>
      <c r="H1671" s="25" t="s">
        <v>15373</v>
      </c>
      <c r="I1671" s="22" t="s">
        <v>15411</v>
      </c>
      <c r="J1671" s="22" t="s">
        <v>16517</v>
      </c>
      <c r="K1671" s="26">
        <f t="shared" si="26"/>
        <v>410</v>
      </c>
      <c r="L1671" s="26" t="s">
        <v>7954</v>
      </c>
      <c r="O1671" s="22" t="s">
        <v>7971</v>
      </c>
      <c r="P1671" s="22" t="s">
        <v>12795</v>
      </c>
      <c r="Q1671" s="22">
        <v>91350</v>
      </c>
      <c r="R1671" s="22" t="s">
        <v>13783</v>
      </c>
      <c r="S1671" s="22" t="s">
        <v>13784</v>
      </c>
      <c r="X1671" s="26"/>
      <c r="Y1671" s="26"/>
    </row>
    <row r="1672" spans="1:25" ht="37.5" x14ac:dyDescent="0.25">
      <c r="A1672" s="21">
        <v>2313</v>
      </c>
      <c r="B1672" s="22" t="s">
        <v>15368</v>
      </c>
      <c r="C1672" s="22" t="s">
        <v>7972</v>
      </c>
      <c r="D1672" s="23" t="s">
        <v>7973</v>
      </c>
      <c r="E1672" s="24" t="s">
        <v>9081</v>
      </c>
      <c r="F1672" s="22" t="s">
        <v>7974</v>
      </c>
      <c r="G1672" s="23" t="s">
        <v>7975</v>
      </c>
      <c r="H1672" s="25" t="s">
        <v>15373</v>
      </c>
      <c r="I1672" s="22" t="s">
        <v>15635</v>
      </c>
      <c r="J1672" s="22" t="s">
        <v>7976</v>
      </c>
      <c r="K1672" s="26">
        <f t="shared" si="26"/>
        <v>600</v>
      </c>
      <c r="L1672" s="26" t="s">
        <v>9214</v>
      </c>
      <c r="O1672" s="22" t="s">
        <v>7977</v>
      </c>
      <c r="P1672" s="22" t="s">
        <v>16833</v>
      </c>
      <c r="Q1672" s="22">
        <v>90670</v>
      </c>
      <c r="R1672" s="22" t="s">
        <v>7978</v>
      </c>
      <c r="S1672" s="22" t="s">
        <v>7979</v>
      </c>
      <c r="X1672" s="26"/>
      <c r="Y1672" s="26"/>
    </row>
    <row r="1673" spans="1:25" ht="37.5" x14ac:dyDescent="0.25">
      <c r="A1673" s="21">
        <v>2314</v>
      </c>
      <c r="B1673" s="22" t="s">
        <v>15368</v>
      </c>
      <c r="C1673" s="22" t="s">
        <v>7980</v>
      </c>
      <c r="D1673" s="23" t="s">
        <v>7981</v>
      </c>
      <c r="E1673" s="24" t="s">
        <v>9081</v>
      </c>
      <c r="F1673" s="22" t="s">
        <v>7982</v>
      </c>
      <c r="G1673" s="23" t="s">
        <v>7983</v>
      </c>
      <c r="H1673" s="25" t="s">
        <v>15373</v>
      </c>
      <c r="I1673" s="22" t="s">
        <v>15382</v>
      </c>
      <c r="J1673" s="22" t="s">
        <v>14807</v>
      </c>
      <c r="K1673" s="26">
        <f t="shared" si="26"/>
        <v>373.33333333333331</v>
      </c>
      <c r="N1673" s="26" t="s">
        <v>8248</v>
      </c>
      <c r="O1673" s="22" t="s">
        <v>9107</v>
      </c>
      <c r="P1673" s="22" t="s">
        <v>14011</v>
      </c>
      <c r="Q1673" s="22">
        <v>90266</v>
      </c>
      <c r="R1673" s="22" t="s">
        <v>9108</v>
      </c>
      <c r="S1673" s="22" t="s">
        <v>9109</v>
      </c>
      <c r="X1673" s="26"/>
      <c r="Y1673" s="26"/>
    </row>
    <row r="1674" spans="1:25" ht="37.5" x14ac:dyDescent="0.25">
      <c r="A1674" s="21">
        <v>2315</v>
      </c>
      <c r="B1674" s="22" t="s">
        <v>15368</v>
      </c>
      <c r="C1674" s="22" t="s">
        <v>9110</v>
      </c>
      <c r="D1674" s="23">
        <v>345586</v>
      </c>
      <c r="E1674" s="24">
        <v>1998</v>
      </c>
      <c r="F1674" s="22" t="s">
        <v>9111</v>
      </c>
      <c r="G1674" s="23" t="s">
        <v>9112</v>
      </c>
      <c r="H1674" s="25" t="s">
        <v>15373</v>
      </c>
      <c r="I1674" s="22" t="s">
        <v>15411</v>
      </c>
      <c r="J1674" s="22" t="s">
        <v>9113</v>
      </c>
      <c r="K1674" s="26">
        <f t="shared" si="26"/>
        <v>366.66666666666663</v>
      </c>
      <c r="N1674" s="26" t="s">
        <v>9331</v>
      </c>
      <c r="O1674" s="22" t="s">
        <v>16832</v>
      </c>
      <c r="P1674" s="22" t="s">
        <v>15740</v>
      </c>
      <c r="Q1674" s="22">
        <v>90802</v>
      </c>
      <c r="R1674" s="22" t="s">
        <v>9114</v>
      </c>
      <c r="S1674" s="22" t="s">
        <v>9115</v>
      </c>
      <c r="X1674" s="26"/>
      <c r="Y1674" s="26"/>
    </row>
    <row r="1675" spans="1:25" ht="50" x14ac:dyDescent="0.25">
      <c r="A1675" s="21">
        <v>2316</v>
      </c>
      <c r="B1675" s="22" t="s">
        <v>15368</v>
      </c>
      <c r="C1675" s="22" t="s">
        <v>9116</v>
      </c>
      <c r="D1675" s="23" t="s">
        <v>9117</v>
      </c>
      <c r="E1675" s="24" t="s">
        <v>9081</v>
      </c>
      <c r="F1675" s="22" t="s">
        <v>9118</v>
      </c>
      <c r="G1675" s="23" t="s">
        <v>9119</v>
      </c>
      <c r="H1675" s="25" t="s">
        <v>15373</v>
      </c>
      <c r="I1675" s="22" t="s">
        <v>15382</v>
      </c>
      <c r="J1675" s="22" t="s">
        <v>12830</v>
      </c>
      <c r="K1675" s="26">
        <f t="shared" si="26"/>
        <v>640</v>
      </c>
      <c r="N1675" s="26" t="s">
        <v>8797</v>
      </c>
      <c r="O1675" s="22" t="s">
        <v>9120</v>
      </c>
      <c r="P1675" s="22" t="s">
        <v>11992</v>
      </c>
      <c r="Q1675" s="22">
        <v>90292</v>
      </c>
      <c r="R1675" s="22" t="s">
        <v>9121</v>
      </c>
      <c r="S1675" s="22" t="s">
        <v>9122</v>
      </c>
      <c r="X1675" s="26"/>
      <c r="Y1675" s="26"/>
    </row>
    <row r="1676" spans="1:25" ht="50" x14ac:dyDescent="0.25">
      <c r="A1676" s="21">
        <v>2317</v>
      </c>
      <c r="B1676" s="22" t="s">
        <v>15368</v>
      </c>
      <c r="C1676" s="22" t="s">
        <v>9123</v>
      </c>
      <c r="D1676" s="23" t="s">
        <v>9124</v>
      </c>
      <c r="E1676" s="24" t="s">
        <v>9081</v>
      </c>
      <c r="F1676" s="22" t="s">
        <v>9125</v>
      </c>
      <c r="G1676" s="23" t="s">
        <v>9126</v>
      </c>
      <c r="H1676" s="25" t="s">
        <v>15373</v>
      </c>
      <c r="I1676" s="22" t="s">
        <v>15374</v>
      </c>
      <c r="J1676" s="22" t="s">
        <v>10290</v>
      </c>
      <c r="K1676" s="26">
        <f t="shared" si="26"/>
        <v>499.33333333333331</v>
      </c>
      <c r="N1676" s="26" t="s">
        <v>9525</v>
      </c>
      <c r="O1676" s="22" t="s">
        <v>9127</v>
      </c>
      <c r="P1676" s="22" t="s">
        <v>16853</v>
      </c>
      <c r="Q1676" s="22">
        <v>92618</v>
      </c>
      <c r="R1676" s="22" t="s">
        <v>9128</v>
      </c>
      <c r="S1676" s="22" t="s">
        <v>9129</v>
      </c>
      <c r="X1676" s="26"/>
      <c r="Y1676" s="26"/>
    </row>
    <row r="1677" spans="1:25" ht="37.5" x14ac:dyDescent="0.25">
      <c r="A1677" s="21">
        <v>2318</v>
      </c>
      <c r="B1677" s="22" t="s">
        <v>15368</v>
      </c>
      <c r="C1677" s="22" t="s">
        <v>9130</v>
      </c>
      <c r="D1677" s="23" t="s">
        <v>9131</v>
      </c>
      <c r="E1677" s="24" t="s">
        <v>9081</v>
      </c>
      <c r="F1677" s="22" t="s">
        <v>9132</v>
      </c>
      <c r="G1677" s="23" t="s">
        <v>9133</v>
      </c>
      <c r="H1677" s="25" t="s">
        <v>15373</v>
      </c>
      <c r="I1677" s="22" t="s">
        <v>15411</v>
      </c>
      <c r="J1677" s="22" t="s">
        <v>9749</v>
      </c>
      <c r="K1677" s="26">
        <f t="shared" si="26"/>
        <v>423.33333333333331</v>
      </c>
      <c r="N1677" s="26" t="s">
        <v>9134</v>
      </c>
      <c r="O1677" s="22" t="s">
        <v>9135</v>
      </c>
      <c r="P1677" s="22" t="s">
        <v>16220</v>
      </c>
      <c r="Q1677" s="22">
        <v>92656</v>
      </c>
      <c r="R1677" s="22" t="s">
        <v>9136</v>
      </c>
      <c r="S1677" s="22" t="s">
        <v>9137</v>
      </c>
      <c r="X1677" s="26"/>
      <c r="Y1677" s="26"/>
    </row>
    <row r="1678" spans="1:25" ht="50" x14ac:dyDescent="0.25">
      <c r="A1678" s="21">
        <v>2321</v>
      </c>
      <c r="B1678" s="22" t="s">
        <v>15368</v>
      </c>
      <c r="C1678" s="22" t="s">
        <v>11710</v>
      </c>
      <c r="D1678" s="23" t="s">
        <v>9138</v>
      </c>
      <c r="E1678" s="24" t="s">
        <v>10144</v>
      </c>
      <c r="F1678" s="22" t="s">
        <v>9139</v>
      </c>
      <c r="G1678" s="23" t="s">
        <v>9140</v>
      </c>
      <c r="H1678" s="25" t="s">
        <v>15373</v>
      </c>
      <c r="I1678" s="22" t="s">
        <v>15374</v>
      </c>
      <c r="J1678" s="22" t="s">
        <v>11162</v>
      </c>
      <c r="K1678" s="26">
        <f t="shared" si="26"/>
        <v>344</v>
      </c>
      <c r="N1678" s="26">
        <v>516</v>
      </c>
      <c r="O1678" s="22" t="s">
        <v>11713</v>
      </c>
      <c r="P1678" s="22" t="s">
        <v>11714</v>
      </c>
      <c r="Q1678" s="22">
        <v>91608</v>
      </c>
      <c r="R1678" s="22" t="s">
        <v>11715</v>
      </c>
      <c r="S1678" s="22" t="s">
        <v>11716</v>
      </c>
      <c r="X1678" s="26"/>
      <c r="Y1678" s="26"/>
    </row>
    <row r="1679" spans="1:25" ht="37.5" x14ac:dyDescent="0.25">
      <c r="A1679" s="21">
        <v>2322</v>
      </c>
      <c r="B1679" s="22" t="s">
        <v>15368</v>
      </c>
      <c r="C1679" s="22" t="s">
        <v>9141</v>
      </c>
      <c r="D1679" s="23">
        <v>310697</v>
      </c>
      <c r="E1679" s="24">
        <v>1996</v>
      </c>
      <c r="F1679" s="22" t="s">
        <v>9142</v>
      </c>
      <c r="G1679" s="23" t="s">
        <v>9143</v>
      </c>
      <c r="H1679" s="25" t="s">
        <v>15373</v>
      </c>
      <c r="I1679" s="22" t="s">
        <v>15382</v>
      </c>
      <c r="J1679" s="22" t="s">
        <v>14807</v>
      </c>
      <c r="K1679" s="26">
        <f t="shared" si="26"/>
        <v>373.33333333333331</v>
      </c>
      <c r="N1679" s="26" t="s">
        <v>8248</v>
      </c>
      <c r="O1679" s="22" t="s">
        <v>9144</v>
      </c>
      <c r="P1679" s="22" t="s">
        <v>15081</v>
      </c>
      <c r="Q1679" s="22">
        <v>90220</v>
      </c>
      <c r="R1679" s="22" t="s">
        <v>9145</v>
      </c>
      <c r="S1679" s="22" t="s">
        <v>9146</v>
      </c>
      <c r="X1679" s="26"/>
      <c r="Y1679" s="26"/>
    </row>
    <row r="1680" spans="1:25" ht="37.5" x14ac:dyDescent="0.25">
      <c r="A1680" s="21">
        <v>2323</v>
      </c>
      <c r="B1680" s="22" t="s">
        <v>15368</v>
      </c>
      <c r="C1680" s="22" t="s">
        <v>9141</v>
      </c>
      <c r="D1680" s="23">
        <v>310698</v>
      </c>
      <c r="E1680" s="24">
        <v>1995</v>
      </c>
      <c r="F1680" s="22" t="s">
        <v>9147</v>
      </c>
      <c r="G1680" s="23" t="s">
        <v>9143</v>
      </c>
      <c r="H1680" s="25" t="s">
        <v>15373</v>
      </c>
      <c r="I1680" s="22" t="s">
        <v>15382</v>
      </c>
      <c r="J1680" s="22" t="s">
        <v>14807</v>
      </c>
      <c r="K1680" s="26">
        <f t="shared" si="26"/>
        <v>373.33333333333331</v>
      </c>
      <c r="N1680" s="26" t="s">
        <v>8248</v>
      </c>
      <c r="O1680" s="22" t="s">
        <v>9144</v>
      </c>
      <c r="P1680" s="22" t="s">
        <v>15081</v>
      </c>
      <c r="Q1680" s="22">
        <v>90220</v>
      </c>
      <c r="R1680" s="22" t="s">
        <v>9145</v>
      </c>
      <c r="S1680" s="22" t="s">
        <v>9146</v>
      </c>
      <c r="X1680" s="26"/>
      <c r="Y1680" s="26"/>
    </row>
    <row r="1681" spans="1:25" ht="50" x14ac:dyDescent="0.25">
      <c r="A1681" s="21">
        <v>2324</v>
      </c>
      <c r="B1681" s="22" t="s">
        <v>15368</v>
      </c>
      <c r="C1681" s="22" t="s">
        <v>11743</v>
      </c>
      <c r="D1681" s="23" t="s">
        <v>9148</v>
      </c>
      <c r="E1681" s="24" t="s">
        <v>9149</v>
      </c>
      <c r="F1681" s="22" t="s">
        <v>9150</v>
      </c>
      <c r="G1681" s="23" t="s">
        <v>9151</v>
      </c>
      <c r="H1681" s="25" t="s">
        <v>15373</v>
      </c>
      <c r="I1681" s="22" t="s">
        <v>15374</v>
      </c>
      <c r="J1681" s="22" t="s">
        <v>9619</v>
      </c>
      <c r="K1681" s="26">
        <f t="shared" si="26"/>
        <v>1452</v>
      </c>
      <c r="N1681" s="26" t="s">
        <v>9152</v>
      </c>
      <c r="O1681" s="22" t="s">
        <v>11746</v>
      </c>
      <c r="P1681" s="22" t="s">
        <v>15081</v>
      </c>
      <c r="Q1681" s="22">
        <v>90220</v>
      </c>
      <c r="R1681" s="22" t="s">
        <v>11747</v>
      </c>
      <c r="S1681" s="22" t="s">
        <v>11748</v>
      </c>
      <c r="X1681" s="26"/>
      <c r="Y1681" s="26"/>
    </row>
    <row r="1682" spans="1:25" ht="37.5" x14ac:dyDescent="0.25">
      <c r="A1682" s="21">
        <v>2325</v>
      </c>
      <c r="B1682" s="22" t="s">
        <v>15368</v>
      </c>
      <c r="C1682" s="22" t="s">
        <v>9153</v>
      </c>
      <c r="D1682" s="23" t="s">
        <v>9154</v>
      </c>
      <c r="E1682" s="24" t="s">
        <v>9081</v>
      </c>
      <c r="F1682" s="22" t="s">
        <v>9155</v>
      </c>
      <c r="G1682" s="23" t="s">
        <v>9156</v>
      </c>
      <c r="H1682" s="25" t="s">
        <v>15373</v>
      </c>
      <c r="I1682" s="22" t="s">
        <v>15374</v>
      </c>
      <c r="J1682" s="22" t="s">
        <v>9626</v>
      </c>
      <c r="K1682" s="26">
        <f t="shared" si="26"/>
        <v>358.66666666666663</v>
      </c>
      <c r="N1682" s="26" t="s">
        <v>9157</v>
      </c>
      <c r="O1682" s="22" t="s">
        <v>9158</v>
      </c>
      <c r="P1682" s="22" t="s">
        <v>16853</v>
      </c>
      <c r="Q1682" s="22">
        <v>92614</v>
      </c>
      <c r="R1682" s="22" t="s">
        <v>9159</v>
      </c>
      <c r="S1682" s="22" t="s">
        <v>9160</v>
      </c>
      <c r="X1682" s="26"/>
      <c r="Y1682" s="26"/>
    </row>
    <row r="1683" spans="1:25" ht="37.5" x14ac:dyDescent="0.25">
      <c r="A1683" s="21">
        <v>2326</v>
      </c>
      <c r="B1683" s="22" t="s">
        <v>15368</v>
      </c>
      <c r="C1683" s="22" t="s">
        <v>12836</v>
      </c>
      <c r="D1683" s="23">
        <v>389377</v>
      </c>
      <c r="E1683" s="24">
        <v>2001</v>
      </c>
      <c r="F1683" s="22" t="s">
        <v>9161</v>
      </c>
      <c r="G1683" s="23" t="s">
        <v>9162</v>
      </c>
      <c r="H1683" s="25" t="s">
        <v>15373</v>
      </c>
      <c r="I1683" s="22" t="s">
        <v>15374</v>
      </c>
      <c r="J1683" s="22" t="s">
        <v>15523</v>
      </c>
      <c r="K1683" s="26">
        <f t="shared" si="26"/>
        <v>680</v>
      </c>
      <c r="N1683" s="26" t="s">
        <v>8941</v>
      </c>
      <c r="O1683" s="22" t="s">
        <v>9163</v>
      </c>
      <c r="P1683" s="22" t="s">
        <v>15908</v>
      </c>
      <c r="Q1683" s="22">
        <v>92320</v>
      </c>
      <c r="R1683" s="22" t="s">
        <v>12993</v>
      </c>
      <c r="S1683" s="22" t="s">
        <v>12998</v>
      </c>
      <c r="X1683" s="26"/>
      <c r="Y1683" s="26"/>
    </row>
    <row r="1684" spans="1:25" ht="37.5" x14ac:dyDescent="0.25">
      <c r="A1684" s="21">
        <v>2327</v>
      </c>
      <c r="B1684" s="22" t="s">
        <v>15368</v>
      </c>
      <c r="C1684" s="22" t="s">
        <v>9164</v>
      </c>
      <c r="D1684" s="23" t="s">
        <v>9165</v>
      </c>
      <c r="E1684" s="24" t="s">
        <v>9081</v>
      </c>
      <c r="F1684" s="22" t="s">
        <v>9166</v>
      </c>
      <c r="G1684" s="23" t="s">
        <v>9167</v>
      </c>
      <c r="H1684" s="25" t="s">
        <v>15373</v>
      </c>
      <c r="I1684" s="22" t="s">
        <v>15374</v>
      </c>
      <c r="J1684" s="22" t="s">
        <v>10290</v>
      </c>
      <c r="K1684" s="26">
        <f t="shared" si="26"/>
        <v>363.33333333333331</v>
      </c>
      <c r="N1684" s="26" t="s">
        <v>9168</v>
      </c>
      <c r="O1684" s="22" t="s">
        <v>9169</v>
      </c>
      <c r="P1684" s="22" t="s">
        <v>14376</v>
      </c>
      <c r="Q1684" s="22">
        <v>90404</v>
      </c>
      <c r="R1684" s="22" t="s">
        <v>9170</v>
      </c>
      <c r="S1684" s="22" t="s">
        <v>9171</v>
      </c>
      <c r="X1684" s="26"/>
      <c r="Y1684" s="26"/>
    </row>
    <row r="1685" spans="1:25" ht="50" x14ac:dyDescent="0.25">
      <c r="A1685" s="21">
        <v>2328</v>
      </c>
      <c r="B1685" s="22" t="s">
        <v>15368</v>
      </c>
      <c r="C1685" s="22" t="s">
        <v>9164</v>
      </c>
      <c r="D1685" s="23" t="s">
        <v>9172</v>
      </c>
      <c r="E1685" s="24" t="s">
        <v>9081</v>
      </c>
      <c r="F1685" s="22" t="s">
        <v>9173</v>
      </c>
      <c r="G1685" s="23" t="s">
        <v>9174</v>
      </c>
      <c r="H1685" s="25" t="s">
        <v>15373</v>
      </c>
      <c r="I1685" s="22" t="s">
        <v>15374</v>
      </c>
      <c r="J1685" s="22" t="s">
        <v>9175</v>
      </c>
      <c r="K1685" s="26">
        <f t="shared" si="26"/>
        <v>387.33333333333331</v>
      </c>
      <c r="N1685" s="26" t="s">
        <v>9176</v>
      </c>
      <c r="O1685" s="22" t="s">
        <v>9169</v>
      </c>
      <c r="P1685" s="22" t="s">
        <v>14376</v>
      </c>
      <c r="Q1685" s="22">
        <v>90404</v>
      </c>
      <c r="R1685" s="22" t="s">
        <v>9170</v>
      </c>
      <c r="S1685" s="22" t="s">
        <v>9171</v>
      </c>
      <c r="X1685" s="26"/>
      <c r="Y1685" s="26"/>
    </row>
    <row r="1686" spans="1:25" ht="37.5" x14ac:dyDescent="0.25">
      <c r="A1686" s="21">
        <v>2329</v>
      </c>
      <c r="B1686" s="22" t="s">
        <v>15368</v>
      </c>
      <c r="C1686" s="22" t="s">
        <v>8073</v>
      </c>
      <c r="D1686" s="23" t="s">
        <v>8074</v>
      </c>
      <c r="E1686" s="24" t="s">
        <v>9081</v>
      </c>
      <c r="F1686" s="22" t="s">
        <v>8075</v>
      </c>
      <c r="G1686" s="23" t="s">
        <v>9372</v>
      </c>
      <c r="H1686" s="25" t="s">
        <v>15373</v>
      </c>
      <c r="I1686" s="22" t="s">
        <v>15382</v>
      </c>
      <c r="J1686" s="22" t="s">
        <v>12903</v>
      </c>
      <c r="K1686" s="26">
        <f t="shared" si="26"/>
        <v>2180</v>
      </c>
      <c r="L1686" s="26" t="s">
        <v>8076</v>
      </c>
      <c r="O1686" s="22" t="s">
        <v>8077</v>
      </c>
      <c r="P1686" s="22" t="s">
        <v>14160</v>
      </c>
      <c r="Q1686" s="22">
        <v>91402</v>
      </c>
      <c r="R1686" s="22" t="s">
        <v>8078</v>
      </c>
      <c r="S1686" s="22" t="s">
        <v>8079</v>
      </c>
      <c r="X1686" s="26"/>
      <c r="Y1686" s="26"/>
    </row>
    <row r="1687" spans="1:25" ht="50" x14ac:dyDescent="0.25">
      <c r="A1687" s="21">
        <v>2330</v>
      </c>
      <c r="B1687" s="22" t="s">
        <v>15368</v>
      </c>
      <c r="C1687" s="22" t="s">
        <v>8080</v>
      </c>
      <c r="D1687" s="23" t="s">
        <v>8081</v>
      </c>
      <c r="E1687" s="24" t="s">
        <v>10144</v>
      </c>
      <c r="F1687" s="22" t="s">
        <v>8082</v>
      </c>
      <c r="G1687" s="23" t="s">
        <v>8083</v>
      </c>
      <c r="H1687" s="25" t="s">
        <v>15373</v>
      </c>
      <c r="I1687" s="22" t="s">
        <v>15411</v>
      </c>
      <c r="J1687" s="22" t="s">
        <v>16331</v>
      </c>
      <c r="K1687" s="26">
        <f t="shared" si="26"/>
        <v>746.66666666666663</v>
      </c>
      <c r="N1687" s="26" t="s">
        <v>10158</v>
      </c>
      <c r="O1687" s="22" t="s">
        <v>8084</v>
      </c>
      <c r="P1687" s="22" t="s">
        <v>16249</v>
      </c>
      <c r="Q1687" s="22">
        <v>91766</v>
      </c>
      <c r="R1687" s="22" t="s">
        <v>8085</v>
      </c>
      <c r="S1687" s="22" t="s">
        <v>8086</v>
      </c>
      <c r="X1687" s="26"/>
      <c r="Y1687" s="26"/>
    </row>
    <row r="1688" spans="1:25" ht="37.5" x14ac:dyDescent="0.25">
      <c r="A1688" s="21">
        <v>2331</v>
      </c>
      <c r="B1688" s="22" t="s">
        <v>15368</v>
      </c>
      <c r="C1688" s="22" t="s">
        <v>8087</v>
      </c>
      <c r="D1688" s="23" t="s">
        <v>8088</v>
      </c>
      <c r="E1688" s="24" t="s">
        <v>9081</v>
      </c>
      <c r="F1688" s="22" t="s">
        <v>8089</v>
      </c>
      <c r="G1688" s="23" t="s">
        <v>8090</v>
      </c>
      <c r="H1688" s="25" t="s">
        <v>15373</v>
      </c>
      <c r="I1688" s="22" t="s">
        <v>15382</v>
      </c>
      <c r="J1688" s="22" t="s">
        <v>15723</v>
      </c>
      <c r="K1688" s="26">
        <f t="shared" si="26"/>
        <v>1480</v>
      </c>
      <c r="N1688" s="26" t="s">
        <v>9104</v>
      </c>
      <c r="O1688" s="22" t="s">
        <v>8091</v>
      </c>
      <c r="P1688" s="22" t="s">
        <v>16249</v>
      </c>
      <c r="Q1688" s="22">
        <v>91767</v>
      </c>
      <c r="R1688" s="22" t="s">
        <v>8092</v>
      </c>
      <c r="S1688" s="22" t="s">
        <v>8093</v>
      </c>
      <c r="X1688" s="26"/>
      <c r="Y1688" s="26"/>
    </row>
    <row r="1689" spans="1:25" ht="50" x14ac:dyDescent="0.25">
      <c r="A1689" s="21">
        <v>2333</v>
      </c>
      <c r="B1689" s="22" t="s">
        <v>15368</v>
      </c>
      <c r="C1689" s="22" t="s">
        <v>8094</v>
      </c>
      <c r="D1689" s="23" t="s">
        <v>8095</v>
      </c>
      <c r="E1689" s="24">
        <v>2001</v>
      </c>
      <c r="F1689" s="22" t="s">
        <v>8096</v>
      </c>
      <c r="G1689" s="23" t="s">
        <v>8097</v>
      </c>
      <c r="H1689" s="25" t="s">
        <v>15373</v>
      </c>
      <c r="I1689" s="22" t="s">
        <v>15411</v>
      </c>
      <c r="J1689" s="22" t="s">
        <v>8271</v>
      </c>
      <c r="K1689" s="26">
        <f t="shared" si="26"/>
        <v>835</v>
      </c>
      <c r="L1689" s="26" t="s">
        <v>8098</v>
      </c>
      <c r="O1689" s="22" t="s">
        <v>8099</v>
      </c>
      <c r="P1689" s="22" t="s">
        <v>16325</v>
      </c>
      <c r="Q1689" s="22">
        <v>91752</v>
      </c>
      <c r="R1689" s="22" t="s">
        <v>8100</v>
      </c>
      <c r="S1689" s="22" t="s">
        <v>8101</v>
      </c>
      <c r="X1689" s="26"/>
      <c r="Y1689" s="26"/>
    </row>
    <row r="1690" spans="1:25" ht="50" x14ac:dyDescent="0.25">
      <c r="A1690" s="21">
        <v>2334</v>
      </c>
      <c r="B1690" s="22" t="s">
        <v>15368</v>
      </c>
      <c r="C1690" s="22" t="s">
        <v>8102</v>
      </c>
      <c r="D1690" s="23">
        <v>394319</v>
      </c>
      <c r="E1690" s="24">
        <v>2001</v>
      </c>
      <c r="F1690" s="22" t="s">
        <v>8103</v>
      </c>
      <c r="G1690" s="23" t="s">
        <v>8104</v>
      </c>
      <c r="H1690" s="25" t="s">
        <v>15373</v>
      </c>
      <c r="I1690" s="22" t="s">
        <v>15382</v>
      </c>
      <c r="J1690" s="22" t="s">
        <v>15955</v>
      </c>
      <c r="K1690" s="26">
        <f t="shared" si="26"/>
        <v>756.66666666666663</v>
      </c>
      <c r="N1690" s="26" t="s">
        <v>10812</v>
      </c>
      <c r="O1690" s="22" t="s">
        <v>8105</v>
      </c>
      <c r="P1690" s="22" t="s">
        <v>15740</v>
      </c>
      <c r="Q1690" s="22">
        <v>90814</v>
      </c>
      <c r="R1690" s="22" t="s">
        <v>8106</v>
      </c>
      <c r="S1690" s="22" t="s">
        <v>8107</v>
      </c>
      <c r="X1690" s="26"/>
      <c r="Y1690" s="26"/>
    </row>
    <row r="1691" spans="1:25" ht="37.5" x14ac:dyDescent="0.25">
      <c r="A1691" s="21">
        <v>2335</v>
      </c>
      <c r="B1691" s="22" t="s">
        <v>15368</v>
      </c>
      <c r="C1691" s="22" t="s">
        <v>8108</v>
      </c>
      <c r="D1691" s="23">
        <v>370017</v>
      </c>
      <c r="E1691" s="24" t="s">
        <v>10135</v>
      </c>
      <c r="F1691" s="22" t="s">
        <v>8109</v>
      </c>
      <c r="G1691" s="23" t="s">
        <v>8110</v>
      </c>
      <c r="H1691" s="25" t="s">
        <v>15373</v>
      </c>
      <c r="I1691" s="22" t="s">
        <v>15374</v>
      </c>
      <c r="J1691" s="22" t="s">
        <v>14165</v>
      </c>
      <c r="K1691" s="26">
        <f t="shared" si="26"/>
        <v>1434</v>
      </c>
      <c r="N1691" s="26" t="s">
        <v>7927</v>
      </c>
      <c r="O1691" s="22" t="s">
        <v>8111</v>
      </c>
      <c r="P1691" s="22" t="s">
        <v>15376</v>
      </c>
      <c r="Q1691" s="22">
        <v>90033</v>
      </c>
      <c r="R1691" s="22" t="s">
        <v>8112</v>
      </c>
      <c r="S1691" s="22" t="s">
        <v>8113</v>
      </c>
      <c r="X1691" s="26"/>
      <c r="Y1691" s="26"/>
    </row>
    <row r="1692" spans="1:25" ht="37.5" x14ac:dyDescent="0.25">
      <c r="A1692" s="21">
        <v>2336</v>
      </c>
      <c r="B1692" s="22" t="s">
        <v>15368</v>
      </c>
      <c r="C1692" s="22" t="s">
        <v>8108</v>
      </c>
      <c r="D1692" s="23">
        <v>370018</v>
      </c>
      <c r="E1692" s="24">
        <v>2000</v>
      </c>
      <c r="F1692" s="22" t="s">
        <v>8114</v>
      </c>
      <c r="G1692" s="23" t="s">
        <v>8115</v>
      </c>
      <c r="H1692" s="25" t="s">
        <v>15373</v>
      </c>
      <c r="I1692" s="22" t="s">
        <v>15374</v>
      </c>
      <c r="J1692" s="22" t="s">
        <v>14165</v>
      </c>
      <c r="K1692" s="26">
        <f t="shared" si="26"/>
        <v>1434</v>
      </c>
      <c r="N1692" s="26" t="s">
        <v>7927</v>
      </c>
      <c r="O1692" s="22" t="s">
        <v>8111</v>
      </c>
      <c r="P1692" s="22" t="s">
        <v>15376</v>
      </c>
      <c r="Q1692" s="22">
        <v>90033</v>
      </c>
      <c r="R1692" s="22" t="s">
        <v>8112</v>
      </c>
      <c r="S1692" s="22" t="s">
        <v>8113</v>
      </c>
      <c r="X1692" s="26"/>
      <c r="Y1692" s="26"/>
    </row>
    <row r="1693" spans="1:25" ht="25" x14ac:dyDescent="0.25">
      <c r="A1693" s="21">
        <v>2337</v>
      </c>
      <c r="B1693" s="22" t="s">
        <v>15368</v>
      </c>
      <c r="C1693" s="22" t="s">
        <v>8116</v>
      </c>
      <c r="D1693" s="23" t="s">
        <v>8117</v>
      </c>
      <c r="E1693" s="24" t="s">
        <v>9081</v>
      </c>
      <c r="F1693" s="22" t="s">
        <v>8118</v>
      </c>
      <c r="G1693" s="23" t="s">
        <v>8119</v>
      </c>
      <c r="H1693" s="25" t="s">
        <v>15373</v>
      </c>
      <c r="I1693" s="22" t="s">
        <v>15382</v>
      </c>
      <c r="J1693" s="22" t="s">
        <v>8120</v>
      </c>
      <c r="K1693" s="26">
        <f t="shared" si="26"/>
        <v>893.33333333333326</v>
      </c>
      <c r="M1693" s="26" t="s">
        <v>8121</v>
      </c>
      <c r="O1693" s="22" t="s">
        <v>8122</v>
      </c>
      <c r="P1693" s="22" t="s">
        <v>8123</v>
      </c>
      <c r="Q1693" s="22">
        <v>90250</v>
      </c>
      <c r="R1693" s="22" t="s">
        <v>8124</v>
      </c>
      <c r="S1693" s="22" t="s">
        <v>8125</v>
      </c>
      <c r="X1693" s="26"/>
      <c r="Y1693" s="26"/>
    </row>
    <row r="1694" spans="1:25" ht="37.5" x14ac:dyDescent="0.25">
      <c r="A1694" s="21">
        <v>2338</v>
      </c>
      <c r="B1694" s="22" t="s">
        <v>15368</v>
      </c>
      <c r="C1694" s="22" t="s">
        <v>8126</v>
      </c>
      <c r="D1694" s="23" t="s">
        <v>8127</v>
      </c>
      <c r="E1694" s="24" t="s">
        <v>9081</v>
      </c>
      <c r="F1694" s="22" t="s">
        <v>8128</v>
      </c>
      <c r="G1694" s="23" t="s">
        <v>8129</v>
      </c>
      <c r="H1694" s="25" t="s">
        <v>15373</v>
      </c>
      <c r="I1694" s="22" t="s">
        <v>15374</v>
      </c>
      <c r="J1694" s="22" t="s">
        <v>8130</v>
      </c>
      <c r="K1694" s="26">
        <f t="shared" si="26"/>
        <v>742.66666666666663</v>
      </c>
      <c r="N1694" s="26" t="s">
        <v>8131</v>
      </c>
      <c r="O1694" s="22" t="s">
        <v>8132</v>
      </c>
      <c r="P1694" s="22" t="s">
        <v>16901</v>
      </c>
      <c r="Q1694" s="22">
        <v>91761</v>
      </c>
      <c r="R1694" s="22" t="s">
        <v>8133</v>
      </c>
      <c r="S1694" s="22" t="s">
        <v>8134</v>
      </c>
      <c r="X1694" s="26"/>
      <c r="Y1694" s="26"/>
    </row>
    <row r="1695" spans="1:25" ht="50" x14ac:dyDescent="0.25">
      <c r="A1695" s="21">
        <v>2339</v>
      </c>
      <c r="B1695" s="22" t="s">
        <v>15368</v>
      </c>
      <c r="C1695" s="22" t="s">
        <v>8135</v>
      </c>
      <c r="D1695" s="23" t="s">
        <v>8136</v>
      </c>
      <c r="E1695" s="24" t="s">
        <v>9081</v>
      </c>
      <c r="F1695" s="22" t="s">
        <v>8137</v>
      </c>
      <c r="G1695" s="23" t="s">
        <v>8138</v>
      </c>
      <c r="H1695" s="25" t="s">
        <v>15373</v>
      </c>
      <c r="I1695" s="22" t="s">
        <v>15382</v>
      </c>
      <c r="J1695" s="22" t="s">
        <v>16784</v>
      </c>
      <c r="K1695" s="26">
        <f t="shared" si="26"/>
        <v>503.33333333333331</v>
      </c>
      <c r="N1695" s="26" t="s">
        <v>10168</v>
      </c>
      <c r="O1695" s="22" t="s">
        <v>8139</v>
      </c>
      <c r="P1695" s="22" t="s">
        <v>15712</v>
      </c>
      <c r="Q1695" s="22">
        <v>90502</v>
      </c>
      <c r="R1695" s="22" t="s">
        <v>8140</v>
      </c>
      <c r="S1695" s="22" t="s">
        <v>8141</v>
      </c>
      <c r="X1695" s="26"/>
      <c r="Y1695" s="26"/>
    </row>
    <row r="1696" spans="1:25" ht="50" x14ac:dyDescent="0.25">
      <c r="A1696" s="21">
        <v>2340</v>
      </c>
      <c r="B1696" s="22" t="s">
        <v>15368</v>
      </c>
      <c r="C1696" s="22" t="s">
        <v>8142</v>
      </c>
      <c r="D1696" s="23" t="s">
        <v>8143</v>
      </c>
      <c r="E1696" s="24" t="s">
        <v>10135</v>
      </c>
      <c r="F1696" s="22" t="s">
        <v>8144</v>
      </c>
      <c r="G1696" s="23" t="s">
        <v>8145</v>
      </c>
      <c r="H1696" s="25" t="s">
        <v>15373</v>
      </c>
      <c r="I1696" s="22" t="s">
        <v>15374</v>
      </c>
      <c r="J1696" s="22" t="s">
        <v>8146</v>
      </c>
      <c r="K1696" s="26">
        <f t="shared" si="26"/>
        <v>571</v>
      </c>
      <c r="L1696" s="26" t="s">
        <v>8147</v>
      </c>
      <c r="O1696" s="22" t="s">
        <v>8148</v>
      </c>
      <c r="P1696" s="22" t="s">
        <v>15376</v>
      </c>
      <c r="Q1696" s="22">
        <v>90013</v>
      </c>
      <c r="R1696" s="22" t="s">
        <v>8149</v>
      </c>
      <c r="S1696" s="22" t="s">
        <v>8150</v>
      </c>
      <c r="X1696" s="26"/>
      <c r="Y1696" s="26"/>
    </row>
    <row r="1697" spans="1:25" ht="37.5" x14ac:dyDescent="0.25">
      <c r="A1697" s="21">
        <v>2341</v>
      </c>
      <c r="B1697" s="22" t="s">
        <v>15368</v>
      </c>
      <c r="C1697" s="22" t="s">
        <v>8151</v>
      </c>
      <c r="D1697" s="23">
        <v>330830</v>
      </c>
      <c r="E1697" s="24">
        <v>1997</v>
      </c>
      <c r="F1697" s="22" t="s">
        <v>8152</v>
      </c>
      <c r="G1697" s="23" t="s">
        <v>9252</v>
      </c>
      <c r="H1697" s="25" t="s">
        <v>15373</v>
      </c>
      <c r="I1697" s="22" t="s">
        <v>15374</v>
      </c>
      <c r="J1697" s="22" t="s">
        <v>16121</v>
      </c>
      <c r="K1697" s="26">
        <f t="shared" si="26"/>
        <v>536.66666666666663</v>
      </c>
      <c r="N1697" s="26" t="s">
        <v>9253</v>
      </c>
      <c r="O1697" s="22" t="s">
        <v>9254</v>
      </c>
      <c r="P1697" s="22" t="s">
        <v>15376</v>
      </c>
      <c r="Q1697" s="22">
        <v>90067</v>
      </c>
      <c r="R1697" s="22" t="s">
        <v>9255</v>
      </c>
      <c r="S1697" s="22" t="s">
        <v>9256</v>
      </c>
      <c r="X1697" s="26"/>
      <c r="Y1697" s="26"/>
    </row>
    <row r="1698" spans="1:25" ht="37.5" x14ac:dyDescent="0.25">
      <c r="A1698" s="21">
        <v>2342</v>
      </c>
      <c r="B1698" s="22" t="s">
        <v>15368</v>
      </c>
      <c r="C1698" s="22" t="s">
        <v>8151</v>
      </c>
      <c r="D1698" s="23">
        <v>330831</v>
      </c>
      <c r="E1698" s="24">
        <v>1997</v>
      </c>
      <c r="F1698" s="22" t="s">
        <v>9257</v>
      </c>
      <c r="G1698" s="23" t="s">
        <v>9258</v>
      </c>
      <c r="H1698" s="25" t="s">
        <v>15373</v>
      </c>
      <c r="I1698" s="22" t="s">
        <v>15374</v>
      </c>
      <c r="J1698" s="22" t="s">
        <v>16121</v>
      </c>
      <c r="K1698" s="26">
        <f t="shared" si="26"/>
        <v>536.66666666666663</v>
      </c>
      <c r="N1698" s="26" t="s">
        <v>9253</v>
      </c>
      <c r="O1698" s="22" t="s">
        <v>9254</v>
      </c>
      <c r="P1698" s="22" t="s">
        <v>15376</v>
      </c>
      <c r="Q1698" s="22">
        <v>90067</v>
      </c>
      <c r="R1698" s="22" t="s">
        <v>9255</v>
      </c>
      <c r="S1698" s="22" t="s">
        <v>9256</v>
      </c>
      <c r="X1698" s="26"/>
      <c r="Y1698" s="26"/>
    </row>
    <row r="1699" spans="1:25" ht="37.5" x14ac:dyDescent="0.25">
      <c r="A1699" s="21">
        <v>2343</v>
      </c>
      <c r="B1699" s="22" t="s">
        <v>15368</v>
      </c>
      <c r="C1699" s="22" t="s">
        <v>9259</v>
      </c>
      <c r="D1699" s="23" t="s">
        <v>9260</v>
      </c>
      <c r="E1699" s="24" t="s">
        <v>9081</v>
      </c>
      <c r="F1699" s="22" t="s">
        <v>9261</v>
      </c>
      <c r="G1699" s="23" t="s">
        <v>9262</v>
      </c>
      <c r="H1699" s="25" t="s">
        <v>15373</v>
      </c>
      <c r="I1699" s="22" t="s">
        <v>15374</v>
      </c>
      <c r="J1699" s="22" t="s">
        <v>9619</v>
      </c>
      <c r="K1699" s="26">
        <f t="shared" si="26"/>
        <v>988</v>
      </c>
      <c r="N1699" s="26" t="s">
        <v>9495</v>
      </c>
      <c r="O1699" s="22" t="s">
        <v>9263</v>
      </c>
      <c r="P1699" s="22" t="s">
        <v>15376</v>
      </c>
      <c r="Q1699" s="22">
        <v>90017</v>
      </c>
      <c r="R1699" s="22" t="s">
        <v>9264</v>
      </c>
      <c r="S1699" s="22" t="s">
        <v>9265</v>
      </c>
      <c r="X1699" s="26"/>
      <c r="Y1699" s="26"/>
    </row>
    <row r="1700" spans="1:25" ht="37.5" x14ac:dyDescent="0.25">
      <c r="A1700" s="21">
        <v>2344</v>
      </c>
      <c r="B1700" s="22" t="s">
        <v>15368</v>
      </c>
      <c r="C1700" s="22" t="s">
        <v>9259</v>
      </c>
      <c r="D1700" s="23" t="s">
        <v>9266</v>
      </c>
      <c r="E1700" s="24" t="s">
        <v>9081</v>
      </c>
      <c r="F1700" s="22" t="s">
        <v>9267</v>
      </c>
      <c r="G1700" s="23" t="s">
        <v>9268</v>
      </c>
      <c r="H1700" s="25" t="s">
        <v>15373</v>
      </c>
      <c r="I1700" s="22" t="s">
        <v>15374</v>
      </c>
      <c r="J1700" s="22" t="s">
        <v>10290</v>
      </c>
      <c r="K1700" s="26">
        <f t="shared" si="26"/>
        <v>453.33333333333331</v>
      </c>
      <c r="N1700" s="26" t="s">
        <v>8931</v>
      </c>
      <c r="O1700" s="22" t="s">
        <v>9263</v>
      </c>
      <c r="P1700" s="22" t="s">
        <v>15376</v>
      </c>
      <c r="Q1700" s="22">
        <v>90017</v>
      </c>
      <c r="R1700" s="22" t="s">
        <v>9264</v>
      </c>
      <c r="S1700" s="22" t="s">
        <v>9265</v>
      </c>
      <c r="X1700" s="26"/>
      <c r="Y1700" s="26"/>
    </row>
    <row r="1701" spans="1:25" ht="50" x14ac:dyDescent="0.25">
      <c r="A1701" s="21">
        <v>2345</v>
      </c>
      <c r="B1701" s="22" t="s">
        <v>15368</v>
      </c>
      <c r="C1701" s="22" t="s">
        <v>9259</v>
      </c>
      <c r="D1701" s="23" t="s">
        <v>9269</v>
      </c>
      <c r="E1701" s="24" t="s">
        <v>9081</v>
      </c>
      <c r="F1701" s="22" t="s">
        <v>9270</v>
      </c>
      <c r="G1701" s="23" t="s">
        <v>9271</v>
      </c>
      <c r="H1701" s="25" t="s">
        <v>15373</v>
      </c>
      <c r="I1701" s="22" t="s">
        <v>15374</v>
      </c>
      <c r="J1701" s="22" t="s">
        <v>15677</v>
      </c>
      <c r="K1701" s="26">
        <f t="shared" si="26"/>
        <v>2000</v>
      </c>
      <c r="L1701" s="26" t="s">
        <v>10135</v>
      </c>
      <c r="O1701" s="22" t="s">
        <v>9263</v>
      </c>
      <c r="P1701" s="22" t="s">
        <v>15376</v>
      </c>
      <c r="Q1701" s="22">
        <v>90017</v>
      </c>
      <c r="R1701" s="22" t="s">
        <v>9264</v>
      </c>
      <c r="S1701" s="22" t="s">
        <v>9265</v>
      </c>
      <c r="X1701" s="26"/>
      <c r="Y1701" s="26"/>
    </row>
    <row r="1702" spans="1:25" ht="50" x14ac:dyDescent="0.25">
      <c r="A1702" s="21">
        <v>2346</v>
      </c>
      <c r="B1702" s="22" t="s">
        <v>15368</v>
      </c>
      <c r="C1702" s="22" t="s">
        <v>9259</v>
      </c>
      <c r="D1702" s="23" t="s">
        <v>9272</v>
      </c>
      <c r="E1702" s="24" t="s">
        <v>9081</v>
      </c>
      <c r="F1702" s="22" t="s">
        <v>9273</v>
      </c>
      <c r="G1702" s="23" t="s">
        <v>9271</v>
      </c>
      <c r="H1702" s="25" t="s">
        <v>15373</v>
      </c>
      <c r="I1702" s="22" t="s">
        <v>15374</v>
      </c>
      <c r="J1702" s="22" t="s">
        <v>15677</v>
      </c>
      <c r="K1702" s="26">
        <f t="shared" si="26"/>
        <v>2000</v>
      </c>
      <c r="L1702" s="26" t="s">
        <v>10135</v>
      </c>
      <c r="O1702" s="22" t="s">
        <v>9263</v>
      </c>
      <c r="P1702" s="22" t="s">
        <v>15376</v>
      </c>
      <c r="Q1702" s="22">
        <v>90017</v>
      </c>
      <c r="R1702" s="22" t="s">
        <v>9264</v>
      </c>
      <c r="S1702" s="22" t="s">
        <v>9265</v>
      </c>
      <c r="X1702" s="26"/>
      <c r="Y1702" s="26"/>
    </row>
    <row r="1703" spans="1:25" ht="50" x14ac:dyDescent="0.25">
      <c r="A1703" s="21">
        <v>2347</v>
      </c>
      <c r="B1703" s="22" t="s">
        <v>15368</v>
      </c>
      <c r="C1703" s="22" t="s">
        <v>9259</v>
      </c>
      <c r="D1703" s="23" t="s">
        <v>9274</v>
      </c>
      <c r="E1703" s="24" t="s">
        <v>9081</v>
      </c>
      <c r="F1703" s="22" t="s">
        <v>9275</v>
      </c>
      <c r="G1703" s="23" t="s">
        <v>9276</v>
      </c>
      <c r="H1703" s="25" t="s">
        <v>15373</v>
      </c>
      <c r="I1703" s="22" t="s">
        <v>15374</v>
      </c>
      <c r="J1703" s="22" t="s">
        <v>15677</v>
      </c>
      <c r="K1703" s="26">
        <f t="shared" si="26"/>
        <v>2000</v>
      </c>
      <c r="L1703" s="26" t="s">
        <v>10135</v>
      </c>
      <c r="O1703" s="22" t="s">
        <v>9263</v>
      </c>
      <c r="P1703" s="22" t="s">
        <v>15376</v>
      </c>
      <c r="Q1703" s="22">
        <v>90017</v>
      </c>
      <c r="R1703" s="22" t="s">
        <v>9264</v>
      </c>
      <c r="S1703" s="22" t="s">
        <v>9265</v>
      </c>
      <c r="X1703" s="26"/>
      <c r="Y1703" s="26"/>
    </row>
    <row r="1704" spans="1:25" ht="37.5" x14ac:dyDescent="0.25">
      <c r="A1704" s="21">
        <v>2348</v>
      </c>
      <c r="B1704" s="22" t="s">
        <v>15368</v>
      </c>
      <c r="C1704" s="22" t="s">
        <v>9259</v>
      </c>
      <c r="D1704" s="23" t="s">
        <v>9277</v>
      </c>
      <c r="E1704" s="24" t="s">
        <v>9081</v>
      </c>
      <c r="F1704" s="22" t="s">
        <v>9278</v>
      </c>
      <c r="G1704" s="23" t="s">
        <v>9279</v>
      </c>
      <c r="H1704" s="25" t="s">
        <v>15373</v>
      </c>
      <c r="I1704" s="22" t="s">
        <v>15374</v>
      </c>
      <c r="J1704" s="22" t="s">
        <v>14165</v>
      </c>
      <c r="K1704" s="26">
        <f t="shared" si="26"/>
        <v>1890.6666666666665</v>
      </c>
      <c r="N1704" s="26" t="s">
        <v>9280</v>
      </c>
      <c r="O1704" s="22" t="s">
        <v>9263</v>
      </c>
      <c r="P1704" s="22" t="s">
        <v>15376</v>
      </c>
      <c r="Q1704" s="22">
        <v>90017</v>
      </c>
      <c r="R1704" s="22" t="s">
        <v>9264</v>
      </c>
      <c r="S1704" s="22" t="s">
        <v>9265</v>
      </c>
      <c r="X1704" s="26"/>
      <c r="Y1704" s="26"/>
    </row>
    <row r="1705" spans="1:25" ht="50" x14ac:dyDescent="0.25">
      <c r="A1705" s="21">
        <v>2351</v>
      </c>
      <c r="B1705" s="22" t="s">
        <v>15368</v>
      </c>
      <c r="C1705" s="22" t="s">
        <v>9281</v>
      </c>
      <c r="D1705" s="23" t="s">
        <v>9282</v>
      </c>
      <c r="E1705" s="24">
        <v>2002</v>
      </c>
      <c r="F1705" s="22" t="s">
        <v>9283</v>
      </c>
      <c r="G1705" s="23" t="s">
        <v>9284</v>
      </c>
      <c r="H1705" s="25" t="s">
        <v>15373</v>
      </c>
      <c r="I1705" s="22" t="s">
        <v>15374</v>
      </c>
      <c r="J1705" s="22" t="s">
        <v>9285</v>
      </c>
      <c r="K1705" s="26">
        <f t="shared" si="26"/>
        <v>750</v>
      </c>
      <c r="L1705" s="26" t="s">
        <v>9245</v>
      </c>
      <c r="O1705" s="22" t="s">
        <v>9286</v>
      </c>
      <c r="P1705" s="22" t="s">
        <v>16853</v>
      </c>
      <c r="Q1705" s="22">
        <v>92717</v>
      </c>
      <c r="R1705" s="22" t="s">
        <v>9287</v>
      </c>
      <c r="S1705" s="22" t="s">
        <v>9288</v>
      </c>
      <c r="X1705" s="26"/>
      <c r="Y1705" s="26"/>
    </row>
    <row r="1706" spans="1:25" ht="50" x14ac:dyDescent="0.25">
      <c r="A1706" s="21">
        <v>2352</v>
      </c>
      <c r="B1706" s="22" t="s">
        <v>15368</v>
      </c>
      <c r="C1706" s="22" t="s">
        <v>12324</v>
      </c>
      <c r="D1706" s="23" t="s">
        <v>9289</v>
      </c>
      <c r="E1706" s="24" t="s">
        <v>9290</v>
      </c>
      <c r="F1706" s="22" t="s">
        <v>9291</v>
      </c>
      <c r="G1706" s="23" t="s">
        <v>9292</v>
      </c>
      <c r="H1706" s="25" t="s">
        <v>15373</v>
      </c>
      <c r="I1706" s="22" t="s">
        <v>15374</v>
      </c>
      <c r="J1706" s="22" t="s">
        <v>9293</v>
      </c>
      <c r="K1706" s="26">
        <f t="shared" si="26"/>
        <v>1898</v>
      </c>
      <c r="N1706" s="26" t="s">
        <v>8506</v>
      </c>
      <c r="O1706" s="22" t="s">
        <v>12499</v>
      </c>
      <c r="P1706" s="22" t="s">
        <v>15376</v>
      </c>
      <c r="Q1706" s="22">
        <v>90013</v>
      </c>
      <c r="R1706" s="22" t="s">
        <v>12500</v>
      </c>
      <c r="S1706" s="22" t="s">
        <v>12501</v>
      </c>
      <c r="X1706" s="26"/>
      <c r="Y1706" s="26"/>
    </row>
    <row r="1707" spans="1:25" ht="50" x14ac:dyDescent="0.25">
      <c r="A1707" s="21">
        <v>2353</v>
      </c>
      <c r="B1707" s="22" t="s">
        <v>15368</v>
      </c>
      <c r="C1707" s="22" t="s">
        <v>12324</v>
      </c>
      <c r="D1707" s="23" t="s">
        <v>9294</v>
      </c>
      <c r="E1707" s="24" t="s">
        <v>9081</v>
      </c>
      <c r="F1707" s="22" t="s">
        <v>9295</v>
      </c>
      <c r="G1707" s="23" t="s">
        <v>9296</v>
      </c>
      <c r="H1707" s="25" t="s">
        <v>15373</v>
      </c>
      <c r="I1707" s="22" t="s">
        <v>15374</v>
      </c>
      <c r="J1707" s="22" t="s">
        <v>11368</v>
      </c>
      <c r="K1707" s="26">
        <f t="shared" si="26"/>
        <v>1000</v>
      </c>
      <c r="L1707" s="26" t="s">
        <v>9297</v>
      </c>
      <c r="O1707" s="22" t="s">
        <v>9298</v>
      </c>
      <c r="P1707" s="22" t="s">
        <v>16871</v>
      </c>
      <c r="Q1707" s="22">
        <v>91302</v>
      </c>
      <c r="R1707" s="22" t="s">
        <v>13503</v>
      </c>
      <c r="S1707" s="22" t="s">
        <v>13504</v>
      </c>
      <c r="X1707" s="26"/>
      <c r="Y1707" s="26"/>
    </row>
    <row r="1708" spans="1:25" ht="50" x14ac:dyDescent="0.25">
      <c r="A1708" s="21">
        <v>2354</v>
      </c>
      <c r="B1708" s="22" t="s">
        <v>15368</v>
      </c>
      <c r="C1708" s="22" t="s">
        <v>12324</v>
      </c>
      <c r="D1708" s="23" t="s">
        <v>9299</v>
      </c>
      <c r="E1708" s="24" t="s">
        <v>9081</v>
      </c>
      <c r="F1708" s="22" t="s">
        <v>9300</v>
      </c>
      <c r="G1708" s="23" t="s">
        <v>9301</v>
      </c>
      <c r="H1708" s="25" t="s">
        <v>15373</v>
      </c>
      <c r="I1708" s="22" t="s">
        <v>15374</v>
      </c>
      <c r="J1708" s="22" t="s">
        <v>12893</v>
      </c>
      <c r="K1708" s="26">
        <f t="shared" si="26"/>
        <v>1666</v>
      </c>
      <c r="N1708" s="26" t="s">
        <v>9302</v>
      </c>
      <c r="O1708" s="22" t="s">
        <v>9303</v>
      </c>
      <c r="P1708" s="22" t="s">
        <v>15376</v>
      </c>
      <c r="Q1708" s="22">
        <v>90044</v>
      </c>
      <c r="R1708" s="22" t="s">
        <v>9304</v>
      </c>
      <c r="S1708" s="22" t="s">
        <v>9305</v>
      </c>
      <c r="X1708" s="26"/>
      <c r="Y1708" s="26"/>
    </row>
    <row r="1709" spans="1:25" ht="37.5" x14ac:dyDescent="0.25">
      <c r="A1709" s="21">
        <v>2355</v>
      </c>
      <c r="B1709" s="22" t="s">
        <v>15368</v>
      </c>
      <c r="C1709" s="22" t="s">
        <v>12324</v>
      </c>
      <c r="D1709" s="23" t="s">
        <v>9306</v>
      </c>
      <c r="E1709" s="24" t="s">
        <v>9081</v>
      </c>
      <c r="F1709" s="22" t="s">
        <v>9307</v>
      </c>
      <c r="G1709" s="23" t="s">
        <v>9308</v>
      </c>
      <c r="H1709" s="25" t="s">
        <v>15373</v>
      </c>
      <c r="I1709" s="22" t="s">
        <v>15374</v>
      </c>
      <c r="J1709" s="22" t="s">
        <v>12592</v>
      </c>
      <c r="K1709" s="26">
        <f t="shared" si="26"/>
        <v>1448</v>
      </c>
      <c r="N1709" s="26" t="s">
        <v>9342</v>
      </c>
      <c r="O1709" s="22" t="s">
        <v>9309</v>
      </c>
      <c r="P1709" s="22" t="s">
        <v>8123</v>
      </c>
      <c r="Q1709" s="22">
        <v>91105</v>
      </c>
      <c r="R1709" s="22" t="s">
        <v>9304</v>
      </c>
      <c r="S1709" s="22" t="s">
        <v>9305</v>
      </c>
      <c r="X1709" s="26"/>
      <c r="Y1709" s="26"/>
    </row>
    <row r="1710" spans="1:25" ht="37.5" x14ac:dyDescent="0.25">
      <c r="A1710" s="21">
        <v>2356</v>
      </c>
      <c r="B1710" s="22" t="s">
        <v>15368</v>
      </c>
      <c r="C1710" s="22" t="s">
        <v>12324</v>
      </c>
      <c r="D1710" s="23" t="s">
        <v>9310</v>
      </c>
      <c r="E1710" s="24">
        <v>2001</v>
      </c>
      <c r="F1710" s="22" t="s">
        <v>9311</v>
      </c>
      <c r="G1710" s="23" t="s">
        <v>8241</v>
      </c>
      <c r="H1710" s="25" t="s">
        <v>15373</v>
      </c>
      <c r="I1710" s="22" t="s">
        <v>15374</v>
      </c>
      <c r="J1710" s="22" t="s">
        <v>11983</v>
      </c>
      <c r="K1710" s="26">
        <f t="shared" si="26"/>
        <v>986.66666666666663</v>
      </c>
      <c r="N1710" s="26" t="s">
        <v>10277</v>
      </c>
      <c r="O1710" s="22" t="s">
        <v>13481</v>
      </c>
      <c r="P1710" s="22" t="s">
        <v>14711</v>
      </c>
      <c r="Q1710" s="22">
        <v>91405</v>
      </c>
      <c r="R1710" s="22" t="s">
        <v>9304</v>
      </c>
      <c r="S1710" s="22" t="s">
        <v>9305</v>
      </c>
      <c r="X1710" s="26"/>
      <c r="Y1710" s="26"/>
    </row>
    <row r="1711" spans="1:25" ht="50" x14ac:dyDescent="0.25">
      <c r="A1711" s="21">
        <v>2357</v>
      </c>
      <c r="B1711" s="22" t="s">
        <v>15368</v>
      </c>
      <c r="C1711" s="22" t="s">
        <v>12324</v>
      </c>
      <c r="D1711" s="23" t="s">
        <v>8242</v>
      </c>
      <c r="E1711" s="24" t="s">
        <v>10144</v>
      </c>
      <c r="F1711" s="22" t="s">
        <v>8243</v>
      </c>
      <c r="G1711" s="23" t="s">
        <v>6976</v>
      </c>
      <c r="H1711" s="25" t="s">
        <v>15373</v>
      </c>
      <c r="I1711" s="22" t="s">
        <v>15374</v>
      </c>
      <c r="J1711" s="22" t="s">
        <v>12899</v>
      </c>
      <c r="K1711" s="26">
        <f t="shared" si="26"/>
        <v>1898</v>
      </c>
      <c r="N1711" s="26" t="s">
        <v>8506</v>
      </c>
      <c r="O1711" s="22" t="s">
        <v>12495</v>
      </c>
      <c r="P1711" s="22" t="s">
        <v>14711</v>
      </c>
      <c r="Q1711" s="22">
        <v>91405</v>
      </c>
      <c r="R1711" s="22" t="s">
        <v>9304</v>
      </c>
      <c r="S1711" s="22" t="s">
        <v>9305</v>
      </c>
      <c r="X1711" s="26"/>
      <c r="Y1711" s="26"/>
    </row>
    <row r="1712" spans="1:25" ht="37.5" x14ac:dyDescent="0.25">
      <c r="A1712" s="21">
        <v>2358</v>
      </c>
      <c r="B1712" s="22" t="s">
        <v>15368</v>
      </c>
      <c r="C1712" s="22" t="s">
        <v>6977</v>
      </c>
      <c r="D1712" s="23" t="s">
        <v>6978</v>
      </c>
      <c r="E1712" s="24" t="s">
        <v>10144</v>
      </c>
      <c r="F1712" s="22" t="s">
        <v>6979</v>
      </c>
      <c r="G1712" s="23" t="s">
        <v>6980</v>
      </c>
      <c r="H1712" s="25" t="s">
        <v>15373</v>
      </c>
      <c r="I1712" s="22" t="s">
        <v>15374</v>
      </c>
      <c r="J1712" s="22" t="s">
        <v>11368</v>
      </c>
      <c r="K1712" s="26">
        <f t="shared" si="26"/>
        <v>986.66666666666663</v>
      </c>
      <c r="N1712" s="26" t="s">
        <v>10277</v>
      </c>
      <c r="O1712" s="22" t="s">
        <v>6981</v>
      </c>
      <c r="P1712" s="22" t="s">
        <v>15048</v>
      </c>
      <c r="Q1712" s="22">
        <v>91803</v>
      </c>
      <c r="R1712" s="22" t="s">
        <v>9304</v>
      </c>
      <c r="S1712" s="22" t="s">
        <v>9305</v>
      </c>
      <c r="X1712" s="26"/>
      <c r="Y1712" s="26"/>
    </row>
    <row r="1713" spans="1:25" ht="50" x14ac:dyDescent="0.25">
      <c r="A1713" s="21">
        <v>2359</v>
      </c>
      <c r="B1713" s="22" t="s">
        <v>15368</v>
      </c>
      <c r="C1713" s="22" t="s">
        <v>6982</v>
      </c>
      <c r="D1713" s="23" t="s">
        <v>6983</v>
      </c>
      <c r="E1713" s="24" t="s">
        <v>10135</v>
      </c>
      <c r="F1713" s="22" t="s">
        <v>6984</v>
      </c>
      <c r="G1713" s="23" t="s">
        <v>6985</v>
      </c>
      <c r="H1713" s="25" t="s">
        <v>15373</v>
      </c>
      <c r="I1713" s="22" t="s">
        <v>15411</v>
      </c>
      <c r="J1713" s="22" t="s">
        <v>12830</v>
      </c>
      <c r="K1713" s="26">
        <f t="shared" si="26"/>
        <v>573.33333333333326</v>
      </c>
      <c r="N1713" s="26" t="s">
        <v>7950</v>
      </c>
      <c r="O1713" s="22" t="s">
        <v>6986</v>
      </c>
      <c r="P1713" s="22" t="s">
        <v>6987</v>
      </c>
      <c r="Q1713" s="22">
        <v>90069</v>
      </c>
      <c r="R1713" s="22" t="s">
        <v>6988</v>
      </c>
      <c r="S1713" s="22" t="s">
        <v>6989</v>
      </c>
      <c r="X1713" s="26"/>
      <c r="Y1713" s="26"/>
    </row>
    <row r="1714" spans="1:25" ht="50" x14ac:dyDescent="0.25">
      <c r="A1714" s="21">
        <v>2360</v>
      </c>
      <c r="B1714" s="22" t="s">
        <v>15368</v>
      </c>
      <c r="C1714" s="22" t="s">
        <v>10580</v>
      </c>
      <c r="D1714" s="23" t="s">
        <v>6990</v>
      </c>
      <c r="E1714" s="24" t="s">
        <v>9081</v>
      </c>
      <c r="F1714" s="22" t="s">
        <v>6991</v>
      </c>
      <c r="G1714" s="23" t="s">
        <v>6992</v>
      </c>
      <c r="H1714" s="25" t="s">
        <v>15373</v>
      </c>
      <c r="I1714" s="22" t="s">
        <v>15382</v>
      </c>
      <c r="J1714" s="22" t="s">
        <v>16792</v>
      </c>
      <c r="K1714" s="26">
        <f t="shared" si="26"/>
        <v>399</v>
      </c>
      <c r="L1714" s="26" t="s">
        <v>8994</v>
      </c>
      <c r="O1714" s="22" t="s">
        <v>12772</v>
      </c>
      <c r="P1714" s="22" t="s">
        <v>15537</v>
      </c>
      <c r="Q1714" s="22">
        <v>92660</v>
      </c>
      <c r="R1714" s="22" t="s">
        <v>6993</v>
      </c>
      <c r="S1714" s="22" t="s">
        <v>6994</v>
      </c>
      <c r="X1714" s="26"/>
      <c r="Y1714" s="26"/>
    </row>
    <row r="1715" spans="1:25" ht="37.5" x14ac:dyDescent="0.25">
      <c r="A1715" s="21">
        <v>2361</v>
      </c>
      <c r="B1715" s="22" t="s">
        <v>15368</v>
      </c>
      <c r="C1715" s="22" t="s">
        <v>6995</v>
      </c>
      <c r="D1715" s="23" t="s">
        <v>6996</v>
      </c>
      <c r="E1715" s="24" t="s">
        <v>9081</v>
      </c>
      <c r="F1715" s="22" t="s">
        <v>6997</v>
      </c>
      <c r="G1715" s="23" t="s">
        <v>6998</v>
      </c>
      <c r="H1715" s="25" t="s">
        <v>15373</v>
      </c>
      <c r="I1715" s="22" t="s">
        <v>15411</v>
      </c>
      <c r="J1715" s="22" t="s">
        <v>12201</v>
      </c>
      <c r="K1715" s="26">
        <f t="shared" si="26"/>
        <v>553.33333333333326</v>
      </c>
      <c r="N1715" s="26" t="s">
        <v>9533</v>
      </c>
      <c r="O1715" s="22" t="s">
        <v>6999</v>
      </c>
      <c r="P1715" s="22" t="s">
        <v>16228</v>
      </c>
      <c r="Q1715" s="22">
        <v>91744</v>
      </c>
      <c r="R1715" s="22" t="s">
        <v>7000</v>
      </c>
      <c r="S1715" s="22" t="s">
        <v>7001</v>
      </c>
      <c r="X1715" s="26"/>
      <c r="Y1715" s="26"/>
    </row>
    <row r="1716" spans="1:25" ht="37.5" x14ac:dyDescent="0.25">
      <c r="A1716" s="21">
        <v>2362</v>
      </c>
      <c r="B1716" s="22" t="s">
        <v>15368</v>
      </c>
      <c r="C1716" s="22" t="s">
        <v>6995</v>
      </c>
      <c r="D1716" s="23" t="s">
        <v>7002</v>
      </c>
      <c r="E1716" s="24" t="s">
        <v>9081</v>
      </c>
      <c r="F1716" s="22" t="s">
        <v>7003</v>
      </c>
      <c r="G1716" s="23" t="s">
        <v>7004</v>
      </c>
      <c r="H1716" s="25" t="s">
        <v>15373</v>
      </c>
      <c r="I1716" s="22" t="s">
        <v>15374</v>
      </c>
      <c r="J1716" s="22" t="s">
        <v>9791</v>
      </c>
      <c r="K1716" s="26">
        <f t="shared" si="26"/>
        <v>346.66666666666663</v>
      </c>
      <c r="N1716" s="26" t="s">
        <v>7005</v>
      </c>
      <c r="O1716" s="22" t="s">
        <v>6999</v>
      </c>
      <c r="P1716" s="22" t="s">
        <v>16228</v>
      </c>
      <c r="Q1716" s="22">
        <v>91744</v>
      </c>
      <c r="R1716" s="22" t="s">
        <v>7000</v>
      </c>
      <c r="S1716" s="22" t="s">
        <v>7001</v>
      </c>
      <c r="X1716" s="26"/>
      <c r="Y1716" s="26"/>
    </row>
    <row r="1717" spans="1:25" ht="37.5" x14ac:dyDescent="0.25">
      <c r="A1717" s="21">
        <v>2363</v>
      </c>
      <c r="B1717" s="22" t="s">
        <v>15368</v>
      </c>
      <c r="C1717" s="22" t="s">
        <v>7006</v>
      </c>
      <c r="D1717" s="23" t="s">
        <v>7007</v>
      </c>
      <c r="E1717" s="24" t="s">
        <v>9081</v>
      </c>
      <c r="F1717" s="22" t="s">
        <v>7008</v>
      </c>
      <c r="G1717" s="23" t="s">
        <v>7009</v>
      </c>
      <c r="H1717" s="25" t="s">
        <v>15373</v>
      </c>
      <c r="I1717" s="22" t="s">
        <v>14275</v>
      </c>
      <c r="J1717" s="22" t="s">
        <v>7010</v>
      </c>
      <c r="K1717" s="26">
        <f t="shared" si="26"/>
        <v>438.66666666666663</v>
      </c>
      <c r="N1717" s="26" t="s">
        <v>7011</v>
      </c>
      <c r="O1717" s="22" t="s">
        <v>7012</v>
      </c>
      <c r="P1717" s="22" t="s">
        <v>14733</v>
      </c>
      <c r="Q1717" s="22">
        <v>92821</v>
      </c>
      <c r="R1717" s="22" t="s">
        <v>7013</v>
      </c>
      <c r="S1717" s="22" t="s">
        <v>7014</v>
      </c>
      <c r="X1717" s="26"/>
      <c r="Y1717" s="26"/>
    </row>
    <row r="1718" spans="1:25" ht="37.5" x14ac:dyDescent="0.25">
      <c r="A1718" s="21">
        <v>2364</v>
      </c>
      <c r="B1718" s="22" t="s">
        <v>15368</v>
      </c>
      <c r="C1718" s="22" t="s">
        <v>7015</v>
      </c>
      <c r="D1718" s="23">
        <v>372052</v>
      </c>
      <c r="E1718" s="24" t="s">
        <v>10135</v>
      </c>
      <c r="F1718" s="22" t="s">
        <v>7016</v>
      </c>
      <c r="G1718" s="23" t="s">
        <v>7017</v>
      </c>
      <c r="H1718" s="25" t="s">
        <v>15373</v>
      </c>
      <c r="I1718" s="22" t="s">
        <v>15374</v>
      </c>
      <c r="J1718" s="22" t="s">
        <v>16121</v>
      </c>
      <c r="K1718" s="26">
        <f t="shared" si="26"/>
        <v>500</v>
      </c>
      <c r="N1718" s="26" t="s">
        <v>9245</v>
      </c>
      <c r="O1718" s="22" t="s">
        <v>7018</v>
      </c>
      <c r="P1718" s="22" t="s">
        <v>16853</v>
      </c>
      <c r="Q1718" s="22">
        <v>92612</v>
      </c>
      <c r="R1718" s="22" t="s">
        <v>7019</v>
      </c>
      <c r="S1718" s="22" t="s">
        <v>7020</v>
      </c>
      <c r="X1718" s="26"/>
      <c r="Y1718" s="26"/>
    </row>
    <row r="1719" spans="1:25" ht="37.5" x14ac:dyDescent="0.25">
      <c r="A1719" s="21">
        <v>2365</v>
      </c>
      <c r="B1719" s="22" t="s">
        <v>15368</v>
      </c>
      <c r="C1719" s="22" t="s">
        <v>7015</v>
      </c>
      <c r="D1719" s="23" t="s">
        <v>7021</v>
      </c>
      <c r="E1719" s="24" t="s">
        <v>10135</v>
      </c>
      <c r="F1719" s="22" t="s">
        <v>7022</v>
      </c>
      <c r="G1719" s="23" t="s">
        <v>7023</v>
      </c>
      <c r="H1719" s="25" t="s">
        <v>15373</v>
      </c>
      <c r="I1719" s="22" t="s">
        <v>15374</v>
      </c>
      <c r="J1719" s="22" t="s">
        <v>16121</v>
      </c>
      <c r="K1719" s="26">
        <f t="shared" si="26"/>
        <v>1448</v>
      </c>
      <c r="N1719" s="26" t="s">
        <v>9342</v>
      </c>
      <c r="O1719" s="22" t="s">
        <v>7018</v>
      </c>
      <c r="P1719" s="22" t="s">
        <v>16853</v>
      </c>
      <c r="Q1719" s="22">
        <v>92612</v>
      </c>
      <c r="R1719" s="22" t="s">
        <v>7019</v>
      </c>
      <c r="S1719" s="22" t="s">
        <v>7020</v>
      </c>
      <c r="X1719" s="26"/>
      <c r="Y1719" s="26"/>
    </row>
    <row r="1720" spans="1:25" ht="37.5" x14ac:dyDescent="0.25">
      <c r="A1720" s="21">
        <v>2366</v>
      </c>
      <c r="B1720" s="22" t="s">
        <v>15368</v>
      </c>
      <c r="C1720" s="22" t="s">
        <v>7015</v>
      </c>
      <c r="D1720" s="23" t="s">
        <v>7024</v>
      </c>
      <c r="E1720" s="24" t="s">
        <v>9081</v>
      </c>
      <c r="F1720" s="22" t="s">
        <v>7025</v>
      </c>
      <c r="G1720" s="23" t="s">
        <v>7026</v>
      </c>
      <c r="H1720" s="25" t="s">
        <v>15373</v>
      </c>
      <c r="I1720" s="22" t="s">
        <v>16160</v>
      </c>
      <c r="J1720" s="22" t="s">
        <v>7027</v>
      </c>
      <c r="K1720" s="26">
        <f t="shared" si="26"/>
        <v>1033.3333333333333</v>
      </c>
      <c r="N1720" s="26" t="s">
        <v>9355</v>
      </c>
      <c r="O1720" s="22" t="s">
        <v>7018</v>
      </c>
      <c r="P1720" s="22" t="s">
        <v>16853</v>
      </c>
      <c r="Q1720" s="22">
        <v>92612</v>
      </c>
      <c r="R1720" s="22" t="s">
        <v>7019</v>
      </c>
      <c r="S1720" s="22" t="s">
        <v>7020</v>
      </c>
      <c r="X1720" s="26"/>
      <c r="Y1720" s="26"/>
    </row>
    <row r="1721" spans="1:25" ht="37.5" x14ac:dyDescent="0.25">
      <c r="A1721" s="21">
        <v>2367</v>
      </c>
      <c r="B1721" s="22" t="s">
        <v>15368</v>
      </c>
      <c r="C1721" s="22" t="s">
        <v>7028</v>
      </c>
      <c r="D1721" s="23">
        <v>361138</v>
      </c>
      <c r="E1721" s="24">
        <v>1999</v>
      </c>
      <c r="F1721" s="22" t="s">
        <v>7029</v>
      </c>
      <c r="G1721" s="23" t="s">
        <v>7030</v>
      </c>
      <c r="H1721" s="25" t="s">
        <v>15373</v>
      </c>
      <c r="I1721" s="22" t="s">
        <v>15374</v>
      </c>
      <c r="J1721" s="22" t="s">
        <v>10290</v>
      </c>
      <c r="K1721" s="26">
        <f t="shared" si="26"/>
        <v>453.33333333333331</v>
      </c>
      <c r="N1721" s="26" t="s">
        <v>8931</v>
      </c>
      <c r="O1721" s="22" t="s">
        <v>7031</v>
      </c>
      <c r="P1721" s="22" t="s">
        <v>6987</v>
      </c>
      <c r="Q1721" s="22">
        <v>90069</v>
      </c>
      <c r="R1721" s="22" t="s">
        <v>7032</v>
      </c>
      <c r="S1721" s="22" t="s">
        <v>7033</v>
      </c>
      <c r="X1721" s="26"/>
      <c r="Y1721" s="26"/>
    </row>
    <row r="1722" spans="1:25" ht="37.5" x14ac:dyDescent="0.25">
      <c r="A1722" s="21">
        <v>2368</v>
      </c>
      <c r="B1722" s="22" t="s">
        <v>15368</v>
      </c>
      <c r="C1722" s="22" t="s">
        <v>7034</v>
      </c>
      <c r="D1722" s="23" t="s">
        <v>7035</v>
      </c>
      <c r="E1722" s="24" t="s">
        <v>9081</v>
      </c>
      <c r="F1722" s="22" t="s">
        <v>7036</v>
      </c>
      <c r="G1722" s="23" t="s">
        <v>7037</v>
      </c>
      <c r="H1722" s="25" t="s">
        <v>15373</v>
      </c>
      <c r="I1722" s="22" t="s">
        <v>15411</v>
      </c>
      <c r="J1722" s="22" t="s">
        <v>7038</v>
      </c>
      <c r="K1722" s="26">
        <f t="shared" si="26"/>
        <v>960</v>
      </c>
      <c r="N1722" s="26" t="s">
        <v>7039</v>
      </c>
      <c r="O1722" s="22" t="s">
        <v>7040</v>
      </c>
      <c r="P1722" s="22" t="s">
        <v>16249</v>
      </c>
      <c r="Q1722" s="22">
        <v>91767</v>
      </c>
      <c r="R1722" s="22" t="s">
        <v>7041</v>
      </c>
      <c r="S1722" s="22" t="s">
        <v>7042</v>
      </c>
      <c r="X1722" s="26"/>
      <c r="Y1722" s="26"/>
    </row>
    <row r="1723" spans="1:25" ht="37.5" x14ac:dyDescent="0.25">
      <c r="A1723" s="21">
        <v>2369</v>
      </c>
      <c r="B1723" s="22" t="s">
        <v>15368</v>
      </c>
      <c r="C1723" s="22" t="s">
        <v>7034</v>
      </c>
      <c r="D1723" s="23" t="s">
        <v>7043</v>
      </c>
      <c r="E1723" s="24" t="s">
        <v>9081</v>
      </c>
      <c r="F1723" s="22" t="s">
        <v>7044</v>
      </c>
      <c r="G1723" s="23" t="s">
        <v>7045</v>
      </c>
      <c r="H1723" s="25" t="s">
        <v>15373</v>
      </c>
      <c r="I1723" s="22" t="s">
        <v>15411</v>
      </c>
      <c r="J1723" s="22" t="s">
        <v>14684</v>
      </c>
      <c r="K1723" s="26">
        <f t="shared" si="26"/>
        <v>1045.3333333333333</v>
      </c>
      <c r="N1723" s="26" t="s">
        <v>7046</v>
      </c>
      <c r="O1723" s="22" t="s">
        <v>7040</v>
      </c>
      <c r="P1723" s="22" t="s">
        <v>16249</v>
      </c>
      <c r="Q1723" s="22">
        <v>91767</v>
      </c>
      <c r="R1723" s="22" t="s">
        <v>7041</v>
      </c>
      <c r="S1723" s="22" t="s">
        <v>7042</v>
      </c>
      <c r="X1723" s="26"/>
      <c r="Y1723" s="26"/>
    </row>
    <row r="1724" spans="1:25" ht="37.5" x14ac:dyDescent="0.25">
      <c r="A1724" s="21">
        <v>2370</v>
      </c>
      <c r="B1724" s="22" t="s">
        <v>15368</v>
      </c>
      <c r="C1724" s="22" t="s">
        <v>7034</v>
      </c>
      <c r="D1724" s="23" t="s">
        <v>7047</v>
      </c>
      <c r="E1724" s="24" t="s">
        <v>9081</v>
      </c>
      <c r="F1724" s="22" t="s">
        <v>7048</v>
      </c>
      <c r="G1724" s="23" t="s">
        <v>7037</v>
      </c>
      <c r="H1724" s="25" t="s">
        <v>15373</v>
      </c>
      <c r="I1724" s="22" t="s">
        <v>15411</v>
      </c>
      <c r="J1724" s="22" t="s">
        <v>7038</v>
      </c>
      <c r="K1724" s="26">
        <f t="shared" si="26"/>
        <v>960</v>
      </c>
      <c r="N1724" s="26" t="s">
        <v>7039</v>
      </c>
      <c r="O1724" s="22" t="s">
        <v>7040</v>
      </c>
      <c r="P1724" s="22" t="s">
        <v>16249</v>
      </c>
      <c r="Q1724" s="22">
        <v>91767</v>
      </c>
      <c r="R1724" s="22" t="s">
        <v>7041</v>
      </c>
      <c r="S1724" s="22" t="s">
        <v>7042</v>
      </c>
      <c r="X1724" s="26"/>
      <c r="Y1724" s="26"/>
    </row>
    <row r="1725" spans="1:25" ht="37.5" x14ac:dyDescent="0.25">
      <c r="A1725" s="21">
        <v>2372</v>
      </c>
      <c r="B1725" s="22" t="s">
        <v>15368</v>
      </c>
      <c r="C1725" s="22" t="s">
        <v>12939</v>
      </c>
      <c r="D1725" s="23" t="s">
        <v>7049</v>
      </c>
      <c r="E1725" s="24" t="s">
        <v>9081</v>
      </c>
      <c r="F1725" s="22" t="s">
        <v>7050</v>
      </c>
      <c r="G1725" s="23" t="s">
        <v>7051</v>
      </c>
      <c r="H1725" s="25" t="s">
        <v>15373</v>
      </c>
      <c r="I1725" s="22" t="s">
        <v>15411</v>
      </c>
      <c r="J1725" s="22" t="s">
        <v>15542</v>
      </c>
      <c r="K1725" s="26">
        <f t="shared" si="26"/>
        <v>631.33333333333326</v>
      </c>
      <c r="N1725" s="26" t="s">
        <v>15543</v>
      </c>
      <c r="O1725" s="22" t="s">
        <v>12943</v>
      </c>
      <c r="P1725" s="22" t="s">
        <v>15683</v>
      </c>
      <c r="Q1725" s="22">
        <v>91355</v>
      </c>
      <c r="R1725" s="22" t="s">
        <v>7052</v>
      </c>
      <c r="S1725" s="22" t="s">
        <v>7053</v>
      </c>
      <c r="X1725" s="26"/>
      <c r="Y1725" s="26"/>
    </row>
    <row r="1726" spans="1:25" ht="50" x14ac:dyDescent="0.25">
      <c r="A1726" s="21">
        <v>2373</v>
      </c>
      <c r="B1726" s="22" t="s">
        <v>15368</v>
      </c>
      <c r="C1726" s="22" t="s">
        <v>12939</v>
      </c>
      <c r="D1726" s="23" t="s">
        <v>7054</v>
      </c>
      <c r="E1726" s="24" t="s">
        <v>9081</v>
      </c>
      <c r="F1726" s="22" t="s">
        <v>7055</v>
      </c>
      <c r="G1726" s="23" t="s">
        <v>8097</v>
      </c>
      <c r="H1726" s="25" t="s">
        <v>15373</v>
      </c>
      <c r="I1726" s="22" t="s">
        <v>15411</v>
      </c>
      <c r="J1726" s="22" t="s">
        <v>8271</v>
      </c>
      <c r="K1726" s="26">
        <f t="shared" si="26"/>
        <v>556.66666666666663</v>
      </c>
      <c r="N1726" s="26" t="s">
        <v>8098</v>
      </c>
      <c r="O1726" s="22" t="s">
        <v>7056</v>
      </c>
      <c r="P1726" s="22" t="s">
        <v>15683</v>
      </c>
      <c r="Q1726" s="22">
        <v>91355</v>
      </c>
      <c r="R1726" s="22" t="s">
        <v>7052</v>
      </c>
      <c r="S1726" s="22" t="s">
        <v>7053</v>
      </c>
      <c r="X1726" s="26"/>
      <c r="Y1726" s="26"/>
    </row>
    <row r="1727" spans="1:25" ht="50" x14ac:dyDescent="0.25">
      <c r="A1727" s="21">
        <v>2374</v>
      </c>
      <c r="B1727" s="22" t="s">
        <v>15368</v>
      </c>
      <c r="C1727" s="22" t="s">
        <v>7057</v>
      </c>
      <c r="D1727" s="23" t="s">
        <v>7058</v>
      </c>
      <c r="E1727" s="24" t="s">
        <v>9081</v>
      </c>
      <c r="F1727" s="22" t="s">
        <v>7059</v>
      </c>
      <c r="G1727" s="23" t="s">
        <v>7060</v>
      </c>
      <c r="H1727" s="25" t="s">
        <v>15373</v>
      </c>
      <c r="I1727" s="22" t="s">
        <v>15411</v>
      </c>
      <c r="J1727" s="22" t="s">
        <v>16803</v>
      </c>
      <c r="K1727" s="26">
        <f t="shared" si="26"/>
        <v>1641</v>
      </c>
      <c r="L1727" s="26" t="s">
        <v>7061</v>
      </c>
      <c r="O1727" s="22" t="s">
        <v>7062</v>
      </c>
      <c r="P1727" s="22" t="s">
        <v>15683</v>
      </c>
      <c r="Q1727" s="22">
        <v>91355</v>
      </c>
      <c r="R1727" s="22" t="s">
        <v>7063</v>
      </c>
      <c r="S1727" s="22" t="s">
        <v>7064</v>
      </c>
      <c r="X1727" s="26"/>
      <c r="Y1727" s="26"/>
    </row>
    <row r="1728" spans="1:25" ht="37.5" x14ac:dyDescent="0.25">
      <c r="A1728" s="21">
        <v>2375</v>
      </c>
      <c r="B1728" s="22" t="s">
        <v>15368</v>
      </c>
      <c r="C1728" s="22" t="s">
        <v>7065</v>
      </c>
      <c r="D1728" s="23" t="s">
        <v>7066</v>
      </c>
      <c r="E1728" s="24">
        <v>2001</v>
      </c>
      <c r="F1728" s="22" t="s">
        <v>7067</v>
      </c>
      <c r="G1728" s="23" t="s">
        <v>8320</v>
      </c>
      <c r="H1728" s="25" t="s">
        <v>15373</v>
      </c>
      <c r="I1728" s="22" t="s">
        <v>15382</v>
      </c>
      <c r="J1728" s="22" t="s">
        <v>16792</v>
      </c>
      <c r="K1728" s="26">
        <f t="shared" si="26"/>
        <v>356.66666666666663</v>
      </c>
      <c r="N1728" s="26" t="s">
        <v>9397</v>
      </c>
      <c r="O1728" s="22" t="s">
        <v>8321</v>
      </c>
      <c r="P1728" s="22" t="s">
        <v>15393</v>
      </c>
      <c r="Q1728" s="22">
        <v>91367</v>
      </c>
      <c r="R1728" s="22" t="s">
        <v>8322</v>
      </c>
      <c r="S1728" s="22" t="s">
        <v>8323</v>
      </c>
      <c r="X1728" s="26"/>
      <c r="Y1728" s="26"/>
    </row>
    <row r="1729" spans="1:25" ht="25" x14ac:dyDescent="0.25">
      <c r="A1729" s="21">
        <v>2376</v>
      </c>
      <c r="B1729" s="22" t="s">
        <v>15368</v>
      </c>
      <c r="C1729" s="22" t="s">
        <v>8324</v>
      </c>
      <c r="D1729" s="23" t="s">
        <v>8325</v>
      </c>
      <c r="E1729" s="24">
        <v>2001</v>
      </c>
      <c r="F1729" s="22" t="s">
        <v>8326</v>
      </c>
      <c r="G1729" s="23" t="s">
        <v>8327</v>
      </c>
      <c r="H1729" s="25" t="s">
        <v>15373</v>
      </c>
      <c r="I1729" s="22" t="s">
        <v>15374</v>
      </c>
      <c r="J1729" s="22" t="s">
        <v>15420</v>
      </c>
      <c r="K1729" s="26">
        <f t="shared" si="26"/>
        <v>1117.3333333333333</v>
      </c>
      <c r="N1729" s="26" t="s">
        <v>8328</v>
      </c>
      <c r="O1729" s="22" t="s">
        <v>8329</v>
      </c>
      <c r="P1729" s="22" t="s">
        <v>13211</v>
      </c>
      <c r="Q1729" s="22">
        <v>90745</v>
      </c>
      <c r="R1729" s="22" t="s">
        <v>8330</v>
      </c>
      <c r="S1729" s="22" t="s">
        <v>8331</v>
      </c>
      <c r="X1729" s="26"/>
      <c r="Y1729" s="26"/>
    </row>
    <row r="1730" spans="1:25" ht="37.5" x14ac:dyDescent="0.25">
      <c r="A1730" s="21">
        <v>2377</v>
      </c>
      <c r="B1730" s="22" t="s">
        <v>15368</v>
      </c>
      <c r="C1730" s="22" t="s">
        <v>8332</v>
      </c>
      <c r="D1730" s="23" t="s">
        <v>8333</v>
      </c>
      <c r="E1730" s="24" t="s">
        <v>9081</v>
      </c>
      <c r="F1730" s="22" t="s">
        <v>8334</v>
      </c>
      <c r="G1730" s="23" t="s">
        <v>8335</v>
      </c>
      <c r="H1730" s="25" t="s">
        <v>15373</v>
      </c>
      <c r="I1730" s="22" t="s">
        <v>15374</v>
      </c>
      <c r="J1730" s="22" t="s">
        <v>10290</v>
      </c>
      <c r="K1730" s="26">
        <f t="shared" ref="K1730:K1793" si="27">L1730+M1730*(2/3)+N1730*(2/3)</f>
        <v>453.33333333333331</v>
      </c>
      <c r="N1730" s="26" t="s">
        <v>8931</v>
      </c>
      <c r="O1730" s="22" t="s">
        <v>8336</v>
      </c>
      <c r="P1730" s="22" t="s">
        <v>15435</v>
      </c>
      <c r="Q1730" s="22">
        <v>92626</v>
      </c>
      <c r="R1730" s="22" t="s">
        <v>8337</v>
      </c>
      <c r="S1730" s="22" t="s">
        <v>8338</v>
      </c>
      <c r="X1730" s="26"/>
      <c r="Y1730" s="26"/>
    </row>
    <row r="1731" spans="1:25" ht="37.5" x14ac:dyDescent="0.25">
      <c r="A1731" s="21">
        <v>2378</v>
      </c>
      <c r="B1731" s="22" t="s">
        <v>15368</v>
      </c>
      <c r="C1731" s="22" t="s">
        <v>8339</v>
      </c>
      <c r="D1731" s="23" t="s">
        <v>8340</v>
      </c>
      <c r="E1731" s="24" t="s">
        <v>9081</v>
      </c>
      <c r="F1731" s="22" t="s">
        <v>8341</v>
      </c>
      <c r="G1731" s="23" t="s">
        <v>8342</v>
      </c>
      <c r="H1731" s="25" t="s">
        <v>15373</v>
      </c>
      <c r="I1731" s="22" t="s">
        <v>15411</v>
      </c>
      <c r="J1731" s="22" t="s">
        <v>8343</v>
      </c>
      <c r="K1731" s="26">
        <f t="shared" si="27"/>
        <v>800</v>
      </c>
      <c r="N1731" s="26" t="s">
        <v>9098</v>
      </c>
      <c r="O1731" s="22" t="s">
        <v>8344</v>
      </c>
      <c r="P1731" s="22" t="s">
        <v>13471</v>
      </c>
      <c r="Q1731" s="22">
        <v>92675</v>
      </c>
      <c r="R1731" s="22" t="s">
        <v>8345</v>
      </c>
      <c r="S1731" s="22" t="s">
        <v>8346</v>
      </c>
      <c r="X1731" s="26"/>
      <c r="Y1731" s="26"/>
    </row>
    <row r="1732" spans="1:25" ht="37.5" x14ac:dyDescent="0.25">
      <c r="A1732" s="21">
        <v>2379</v>
      </c>
      <c r="B1732" s="22" t="s">
        <v>15368</v>
      </c>
      <c r="C1732" s="22" t="s">
        <v>8339</v>
      </c>
      <c r="D1732" s="23" t="s">
        <v>8347</v>
      </c>
      <c r="E1732" s="24" t="s">
        <v>9081</v>
      </c>
      <c r="F1732" s="22" t="s">
        <v>8348</v>
      </c>
      <c r="G1732" s="23" t="s">
        <v>8349</v>
      </c>
      <c r="H1732" s="25" t="s">
        <v>15373</v>
      </c>
      <c r="I1732" s="22" t="s">
        <v>15382</v>
      </c>
      <c r="J1732" s="22" t="s">
        <v>15391</v>
      </c>
      <c r="K1732" s="26">
        <f t="shared" si="27"/>
        <v>1480</v>
      </c>
      <c r="N1732" s="26" t="s">
        <v>9104</v>
      </c>
      <c r="O1732" s="22" t="s">
        <v>8344</v>
      </c>
      <c r="P1732" s="22" t="s">
        <v>13471</v>
      </c>
      <c r="Q1732" s="22">
        <v>92675</v>
      </c>
      <c r="R1732" s="22" t="s">
        <v>8345</v>
      </c>
      <c r="S1732" s="22" t="s">
        <v>8346</v>
      </c>
      <c r="X1732" s="26"/>
      <c r="Y1732" s="26"/>
    </row>
    <row r="1733" spans="1:25" ht="37.5" x14ac:dyDescent="0.25">
      <c r="A1733" s="21">
        <v>2380</v>
      </c>
      <c r="B1733" s="22" t="s">
        <v>15368</v>
      </c>
      <c r="C1733" s="22" t="s">
        <v>8339</v>
      </c>
      <c r="D1733" s="23" t="s">
        <v>8350</v>
      </c>
      <c r="E1733" s="24" t="s">
        <v>9081</v>
      </c>
      <c r="F1733" s="22" t="s">
        <v>8351</v>
      </c>
      <c r="G1733" s="23" t="s">
        <v>8352</v>
      </c>
      <c r="H1733" s="25" t="s">
        <v>15373</v>
      </c>
      <c r="I1733" s="22" t="s">
        <v>15411</v>
      </c>
      <c r="J1733" s="22" t="s">
        <v>8343</v>
      </c>
      <c r="K1733" s="26">
        <f t="shared" si="27"/>
        <v>900</v>
      </c>
      <c r="N1733" s="26" t="s">
        <v>8353</v>
      </c>
      <c r="O1733" s="22" t="s">
        <v>8344</v>
      </c>
      <c r="P1733" s="22" t="s">
        <v>13471</v>
      </c>
      <c r="Q1733" s="22">
        <v>92675</v>
      </c>
      <c r="R1733" s="22" t="s">
        <v>8345</v>
      </c>
      <c r="S1733" s="22" t="s">
        <v>8346</v>
      </c>
      <c r="X1733" s="26"/>
      <c r="Y1733" s="26"/>
    </row>
    <row r="1734" spans="1:25" ht="50" x14ac:dyDescent="0.25">
      <c r="A1734" s="21">
        <v>2381</v>
      </c>
      <c r="B1734" s="22" t="s">
        <v>15368</v>
      </c>
      <c r="C1734" s="22" t="s">
        <v>12968</v>
      </c>
      <c r="D1734" s="23" t="s">
        <v>8354</v>
      </c>
      <c r="E1734" s="24" t="s">
        <v>9081</v>
      </c>
      <c r="F1734" s="22" t="s">
        <v>8355</v>
      </c>
      <c r="G1734" s="23" t="s">
        <v>8356</v>
      </c>
      <c r="H1734" s="25" t="s">
        <v>15373</v>
      </c>
      <c r="I1734" s="22" t="s">
        <v>15374</v>
      </c>
      <c r="J1734" s="22" t="s">
        <v>15400</v>
      </c>
      <c r="K1734" s="26">
        <f t="shared" si="27"/>
        <v>1500</v>
      </c>
      <c r="L1734" s="26" t="s">
        <v>10138</v>
      </c>
      <c r="O1734" s="22" t="s">
        <v>11919</v>
      </c>
      <c r="P1734" s="22" t="s">
        <v>15376</v>
      </c>
      <c r="Q1734" s="22">
        <v>90017</v>
      </c>
      <c r="R1734" s="22" t="s">
        <v>11920</v>
      </c>
      <c r="S1734" s="22" t="s">
        <v>11921</v>
      </c>
      <c r="X1734" s="26"/>
      <c r="Y1734" s="26"/>
    </row>
    <row r="1735" spans="1:25" ht="50" x14ac:dyDescent="0.25">
      <c r="A1735" s="21">
        <v>2382</v>
      </c>
      <c r="B1735" s="22" t="s">
        <v>15368</v>
      </c>
      <c r="C1735" s="22" t="s">
        <v>12968</v>
      </c>
      <c r="D1735" s="23" t="s">
        <v>8357</v>
      </c>
      <c r="E1735" s="24" t="s">
        <v>9081</v>
      </c>
      <c r="F1735" s="22" t="s">
        <v>8358</v>
      </c>
      <c r="G1735" s="23" t="s">
        <v>8359</v>
      </c>
      <c r="H1735" s="25" t="s">
        <v>15373</v>
      </c>
      <c r="I1735" s="22" t="s">
        <v>15374</v>
      </c>
      <c r="J1735" s="22" t="s">
        <v>15400</v>
      </c>
      <c r="K1735" s="26">
        <f t="shared" si="27"/>
        <v>1500</v>
      </c>
      <c r="L1735" s="26" t="s">
        <v>10138</v>
      </c>
      <c r="O1735" s="22" t="s">
        <v>11919</v>
      </c>
      <c r="P1735" s="22" t="s">
        <v>15376</v>
      </c>
      <c r="Q1735" s="22">
        <v>90017</v>
      </c>
      <c r="R1735" s="22" t="s">
        <v>11920</v>
      </c>
      <c r="S1735" s="22" t="s">
        <v>11921</v>
      </c>
      <c r="X1735" s="26"/>
      <c r="Y1735" s="26"/>
    </row>
    <row r="1736" spans="1:25" ht="50" x14ac:dyDescent="0.25">
      <c r="A1736" s="21">
        <v>2383</v>
      </c>
      <c r="B1736" s="22" t="s">
        <v>15368</v>
      </c>
      <c r="C1736" s="22" t="s">
        <v>8360</v>
      </c>
      <c r="D1736" s="23" t="s">
        <v>8361</v>
      </c>
      <c r="E1736" s="24" t="s">
        <v>9081</v>
      </c>
      <c r="F1736" s="22" t="s">
        <v>8362</v>
      </c>
      <c r="G1736" s="23" t="s">
        <v>8363</v>
      </c>
      <c r="H1736" s="25" t="s">
        <v>15373</v>
      </c>
      <c r="I1736" s="22" t="s">
        <v>15411</v>
      </c>
      <c r="J1736" s="22" t="s">
        <v>13080</v>
      </c>
      <c r="K1736" s="26">
        <f t="shared" si="27"/>
        <v>452.66666666666663</v>
      </c>
      <c r="N1736" s="26" t="s">
        <v>8364</v>
      </c>
      <c r="O1736" s="22" t="s">
        <v>8365</v>
      </c>
      <c r="P1736" s="22" t="s">
        <v>16325</v>
      </c>
      <c r="Q1736" s="22">
        <v>91752</v>
      </c>
      <c r="R1736" s="22" t="s">
        <v>8366</v>
      </c>
      <c r="S1736" s="22" t="s">
        <v>8367</v>
      </c>
      <c r="X1736" s="26"/>
      <c r="Y1736" s="26"/>
    </row>
    <row r="1737" spans="1:25" ht="50" x14ac:dyDescent="0.25">
      <c r="A1737" s="21">
        <v>2384</v>
      </c>
      <c r="B1737" s="22" t="s">
        <v>15368</v>
      </c>
      <c r="C1737" s="22" t="s">
        <v>8368</v>
      </c>
      <c r="D1737" s="23" t="s">
        <v>8369</v>
      </c>
      <c r="E1737" s="24" t="s">
        <v>9081</v>
      </c>
      <c r="F1737" s="22" t="s">
        <v>8370</v>
      </c>
      <c r="G1737" s="23" t="s">
        <v>8371</v>
      </c>
      <c r="H1737" s="25" t="s">
        <v>15373</v>
      </c>
      <c r="I1737" s="22" t="s">
        <v>15411</v>
      </c>
      <c r="J1737" s="22" t="s">
        <v>8372</v>
      </c>
      <c r="K1737" s="26">
        <f t="shared" si="27"/>
        <v>571</v>
      </c>
      <c r="L1737" s="26" t="s">
        <v>8147</v>
      </c>
      <c r="O1737" s="22" t="s">
        <v>8373</v>
      </c>
      <c r="P1737" s="22" t="s">
        <v>13211</v>
      </c>
      <c r="Q1737" s="22">
        <v>90746</v>
      </c>
      <c r="R1737" s="22" t="s">
        <v>8374</v>
      </c>
      <c r="S1737" s="22" t="s">
        <v>8375</v>
      </c>
      <c r="X1737" s="26"/>
      <c r="Y1737" s="26"/>
    </row>
    <row r="1738" spans="1:25" ht="50" x14ac:dyDescent="0.25">
      <c r="A1738" s="21">
        <v>2386</v>
      </c>
      <c r="B1738" s="22" t="s">
        <v>15368</v>
      </c>
      <c r="C1738" s="22" t="s">
        <v>8376</v>
      </c>
      <c r="D1738" s="23" t="s">
        <v>8377</v>
      </c>
      <c r="E1738" s="24">
        <v>2001</v>
      </c>
      <c r="F1738" s="22" t="s">
        <v>8378</v>
      </c>
      <c r="G1738" s="23" t="s">
        <v>8379</v>
      </c>
      <c r="H1738" s="25" t="s">
        <v>15373</v>
      </c>
      <c r="I1738" s="22" t="s">
        <v>15411</v>
      </c>
      <c r="J1738" s="22" t="s">
        <v>8343</v>
      </c>
      <c r="K1738" s="26">
        <f t="shared" si="27"/>
        <v>900</v>
      </c>
      <c r="N1738" s="26" t="s">
        <v>8353</v>
      </c>
      <c r="O1738" s="22" t="s">
        <v>8380</v>
      </c>
      <c r="P1738" s="22" t="s">
        <v>15376</v>
      </c>
      <c r="Q1738" s="22">
        <v>90028</v>
      </c>
      <c r="R1738" s="22" t="s">
        <v>8381</v>
      </c>
      <c r="S1738" s="22" t="s">
        <v>8382</v>
      </c>
      <c r="X1738" s="26"/>
      <c r="Y1738" s="26"/>
    </row>
    <row r="1739" spans="1:25" ht="37.5" x14ac:dyDescent="0.25">
      <c r="A1739" s="21">
        <v>2387</v>
      </c>
      <c r="B1739" s="22" t="s">
        <v>15368</v>
      </c>
      <c r="C1739" s="22" t="s">
        <v>8383</v>
      </c>
      <c r="D1739" s="23" t="s">
        <v>8384</v>
      </c>
      <c r="E1739" s="24" t="s">
        <v>9081</v>
      </c>
      <c r="F1739" s="22" t="s">
        <v>8385</v>
      </c>
      <c r="G1739" s="23" t="s">
        <v>8386</v>
      </c>
      <c r="H1739" s="25" t="s">
        <v>15373</v>
      </c>
      <c r="I1739" s="22" t="s">
        <v>15374</v>
      </c>
      <c r="J1739" s="22" t="s">
        <v>14165</v>
      </c>
      <c r="K1739" s="26">
        <f t="shared" si="27"/>
        <v>1788</v>
      </c>
      <c r="N1739" s="26" t="s">
        <v>8387</v>
      </c>
      <c r="O1739" s="22" t="s">
        <v>8388</v>
      </c>
      <c r="P1739" s="22" t="s">
        <v>16794</v>
      </c>
      <c r="Q1739" s="22">
        <v>92509</v>
      </c>
      <c r="R1739" s="22" t="s">
        <v>8389</v>
      </c>
      <c r="S1739" s="22" t="s">
        <v>8390</v>
      </c>
      <c r="X1739" s="26"/>
      <c r="Y1739" s="26"/>
    </row>
    <row r="1740" spans="1:25" ht="50" x14ac:dyDescent="0.25">
      <c r="A1740" s="21">
        <v>2391</v>
      </c>
      <c r="B1740" s="22" t="s">
        <v>15368</v>
      </c>
      <c r="C1740" s="22" t="s">
        <v>8391</v>
      </c>
      <c r="D1740" s="23" t="s">
        <v>8392</v>
      </c>
      <c r="E1740" s="24" t="s">
        <v>9081</v>
      </c>
      <c r="F1740" s="22" t="s">
        <v>8393</v>
      </c>
      <c r="G1740" s="23" t="s">
        <v>8394</v>
      </c>
      <c r="H1740" s="25" t="s">
        <v>15373</v>
      </c>
      <c r="I1740" s="22" t="s">
        <v>15374</v>
      </c>
      <c r="J1740" s="22" t="s">
        <v>12893</v>
      </c>
      <c r="K1740" s="26">
        <f t="shared" si="27"/>
        <v>1898</v>
      </c>
      <c r="N1740" s="26" t="s">
        <v>8506</v>
      </c>
      <c r="O1740" s="22" t="s">
        <v>8395</v>
      </c>
      <c r="P1740" s="22" t="s">
        <v>14020</v>
      </c>
      <c r="Q1740" s="22">
        <v>92507</v>
      </c>
      <c r="R1740" s="22" t="s">
        <v>8396</v>
      </c>
      <c r="S1740" s="22" t="s">
        <v>8397</v>
      </c>
      <c r="X1740" s="26"/>
      <c r="Y1740" s="26"/>
    </row>
    <row r="1741" spans="1:25" ht="37.5" x14ac:dyDescent="0.25">
      <c r="A1741" s="21">
        <v>2393</v>
      </c>
      <c r="B1741" s="22" t="s">
        <v>15368</v>
      </c>
      <c r="C1741" s="22" t="s">
        <v>11127</v>
      </c>
      <c r="D1741" s="23" t="s">
        <v>8398</v>
      </c>
      <c r="E1741" s="24" t="s">
        <v>9081</v>
      </c>
      <c r="F1741" s="22" t="s">
        <v>8399</v>
      </c>
      <c r="G1741" s="23" t="s">
        <v>8400</v>
      </c>
      <c r="H1741" s="25" t="s">
        <v>15373</v>
      </c>
      <c r="I1741" s="22" t="s">
        <v>15382</v>
      </c>
      <c r="J1741" s="22" t="s">
        <v>15391</v>
      </c>
      <c r="K1741" s="26">
        <f t="shared" si="27"/>
        <v>1480</v>
      </c>
      <c r="N1741" s="26" t="s">
        <v>9104</v>
      </c>
      <c r="O1741" s="22" t="s">
        <v>11128</v>
      </c>
      <c r="P1741" s="22" t="s">
        <v>14376</v>
      </c>
      <c r="Q1741" s="22">
        <v>90404</v>
      </c>
      <c r="R1741" s="22" t="s">
        <v>11130</v>
      </c>
      <c r="S1741" s="22" t="s">
        <v>11131</v>
      </c>
      <c r="X1741" s="26"/>
      <c r="Y1741" s="26"/>
    </row>
    <row r="1742" spans="1:25" ht="37.5" x14ac:dyDescent="0.25">
      <c r="A1742" s="21">
        <v>2394</v>
      </c>
      <c r="B1742" s="22" t="s">
        <v>15368</v>
      </c>
      <c r="C1742" s="22" t="s">
        <v>8401</v>
      </c>
      <c r="D1742" s="23">
        <v>397646</v>
      </c>
      <c r="E1742" s="24">
        <v>2002</v>
      </c>
      <c r="F1742" s="22" t="s">
        <v>8402</v>
      </c>
      <c r="G1742" s="23" t="s">
        <v>8403</v>
      </c>
      <c r="H1742" s="25" t="s">
        <v>15373</v>
      </c>
      <c r="I1742" s="22" t="s">
        <v>15374</v>
      </c>
      <c r="J1742" s="22" t="s">
        <v>8404</v>
      </c>
      <c r="K1742" s="26">
        <f t="shared" si="27"/>
        <v>1001.3333333333333</v>
      </c>
      <c r="N1742" s="26" t="s">
        <v>8405</v>
      </c>
      <c r="O1742" s="22" t="s">
        <v>8406</v>
      </c>
      <c r="P1742" s="22" t="s">
        <v>16805</v>
      </c>
      <c r="Q1742" s="22">
        <v>90220</v>
      </c>
      <c r="R1742" s="22" t="s">
        <v>8407</v>
      </c>
      <c r="S1742" s="22" t="s">
        <v>8408</v>
      </c>
      <c r="X1742" s="26"/>
      <c r="Y1742" s="26"/>
    </row>
    <row r="1743" spans="1:25" ht="50" x14ac:dyDescent="0.25">
      <c r="A1743" s="21">
        <v>2395</v>
      </c>
      <c r="B1743" s="22" t="s">
        <v>15368</v>
      </c>
      <c r="C1743" s="22" t="s">
        <v>8409</v>
      </c>
      <c r="D1743" s="23" t="s">
        <v>8410</v>
      </c>
      <c r="E1743" s="24" t="s">
        <v>9081</v>
      </c>
      <c r="F1743" s="22" t="s">
        <v>8411</v>
      </c>
      <c r="G1743" s="23" t="s">
        <v>8412</v>
      </c>
      <c r="H1743" s="25" t="s">
        <v>15373</v>
      </c>
      <c r="I1743" s="22" t="s">
        <v>15411</v>
      </c>
      <c r="J1743" s="22" t="s">
        <v>8271</v>
      </c>
      <c r="K1743" s="26">
        <f t="shared" si="27"/>
        <v>746.66666666666663</v>
      </c>
      <c r="N1743" s="26" t="s">
        <v>10158</v>
      </c>
      <c r="O1743" s="22" t="s">
        <v>8413</v>
      </c>
      <c r="P1743" s="22" t="s">
        <v>15864</v>
      </c>
      <c r="Q1743" s="22">
        <v>92335</v>
      </c>
      <c r="R1743" s="22" t="s">
        <v>8414</v>
      </c>
      <c r="S1743" s="22" t="s">
        <v>8415</v>
      </c>
      <c r="X1743" s="26"/>
      <c r="Y1743" s="26"/>
    </row>
    <row r="1744" spans="1:25" ht="37.5" x14ac:dyDescent="0.25">
      <c r="A1744" s="21">
        <v>2396</v>
      </c>
      <c r="B1744" s="22" t="s">
        <v>15368</v>
      </c>
      <c r="C1744" s="22" t="s">
        <v>8416</v>
      </c>
      <c r="D1744" s="23">
        <v>344702</v>
      </c>
      <c r="E1744" s="24">
        <v>1998</v>
      </c>
      <c r="F1744" s="22" t="s">
        <v>8417</v>
      </c>
      <c r="G1744" s="23" t="s">
        <v>8418</v>
      </c>
      <c r="H1744" s="25" t="s">
        <v>15373</v>
      </c>
      <c r="I1744" s="22" t="s">
        <v>15411</v>
      </c>
      <c r="J1744" s="22" t="s">
        <v>16331</v>
      </c>
      <c r="K1744" s="26">
        <f t="shared" si="27"/>
        <v>730</v>
      </c>
      <c r="N1744" s="26" t="s">
        <v>8954</v>
      </c>
      <c r="O1744" s="22" t="s">
        <v>8419</v>
      </c>
      <c r="P1744" s="22" t="s">
        <v>14376</v>
      </c>
      <c r="Q1744" s="22">
        <v>90401</v>
      </c>
      <c r="R1744" s="22" t="s">
        <v>8420</v>
      </c>
      <c r="S1744" s="22" t="s">
        <v>8421</v>
      </c>
      <c r="X1744" s="26"/>
      <c r="Y1744" s="26"/>
    </row>
    <row r="1745" spans="1:25" ht="37.5" x14ac:dyDescent="0.25">
      <c r="A1745" s="21">
        <v>2398</v>
      </c>
      <c r="B1745" s="22" t="s">
        <v>15368</v>
      </c>
      <c r="C1745" s="22" t="s">
        <v>12405</v>
      </c>
      <c r="D1745" s="23" t="s">
        <v>8422</v>
      </c>
      <c r="E1745" s="24" t="s">
        <v>9081</v>
      </c>
      <c r="F1745" s="22" t="s">
        <v>8423</v>
      </c>
      <c r="G1745" s="23" t="s">
        <v>8424</v>
      </c>
      <c r="H1745" s="25" t="s">
        <v>15373</v>
      </c>
      <c r="I1745" s="22" t="s">
        <v>15382</v>
      </c>
      <c r="J1745" s="22" t="s">
        <v>15955</v>
      </c>
      <c r="K1745" s="26">
        <f t="shared" si="27"/>
        <v>756.66666666666663</v>
      </c>
      <c r="N1745" s="26" t="s">
        <v>10812</v>
      </c>
      <c r="O1745" s="22" t="s">
        <v>8425</v>
      </c>
      <c r="P1745" s="22" t="s">
        <v>15957</v>
      </c>
      <c r="Q1745" s="22">
        <v>90040</v>
      </c>
      <c r="R1745" s="22" t="s">
        <v>8426</v>
      </c>
      <c r="S1745" s="22" t="s">
        <v>8427</v>
      </c>
      <c r="X1745" s="26"/>
      <c r="Y1745" s="26"/>
    </row>
    <row r="1746" spans="1:25" ht="50" x14ac:dyDescent="0.25">
      <c r="A1746" s="21">
        <v>2399</v>
      </c>
      <c r="B1746" s="22" t="s">
        <v>15368</v>
      </c>
      <c r="C1746" s="22" t="s">
        <v>8428</v>
      </c>
      <c r="D1746" s="23" t="s">
        <v>8429</v>
      </c>
      <c r="E1746" s="24">
        <v>2002</v>
      </c>
      <c r="F1746" s="22" t="s">
        <v>8430</v>
      </c>
      <c r="G1746" s="23" t="s">
        <v>8431</v>
      </c>
      <c r="H1746" s="25" t="s">
        <v>15373</v>
      </c>
      <c r="I1746" s="22" t="s">
        <v>15382</v>
      </c>
      <c r="J1746" s="22" t="s">
        <v>16450</v>
      </c>
      <c r="K1746" s="26">
        <f t="shared" si="27"/>
        <v>1112</v>
      </c>
      <c r="L1746" s="26" t="s">
        <v>9783</v>
      </c>
      <c r="O1746" s="22" t="s">
        <v>8432</v>
      </c>
      <c r="P1746" s="22" t="s">
        <v>16228</v>
      </c>
      <c r="Q1746" s="22">
        <v>91745</v>
      </c>
      <c r="R1746" s="22" t="s">
        <v>8433</v>
      </c>
      <c r="S1746" s="22" t="s">
        <v>8434</v>
      </c>
      <c r="X1746" s="26"/>
      <c r="Y1746" s="26"/>
    </row>
    <row r="1747" spans="1:25" ht="37.5" x14ac:dyDescent="0.25">
      <c r="A1747" s="21">
        <v>2400</v>
      </c>
      <c r="B1747" s="22" t="s">
        <v>15368</v>
      </c>
      <c r="C1747" s="22" t="s">
        <v>8435</v>
      </c>
      <c r="D1747" s="23" t="s">
        <v>8436</v>
      </c>
      <c r="E1747" s="24" t="s">
        <v>8437</v>
      </c>
      <c r="F1747" s="22" t="s">
        <v>8438</v>
      </c>
      <c r="G1747" s="23" t="s">
        <v>8439</v>
      </c>
      <c r="H1747" s="25" t="s">
        <v>16310</v>
      </c>
      <c r="I1747" s="22" t="s">
        <v>8440</v>
      </c>
      <c r="J1747" s="22" t="s">
        <v>8441</v>
      </c>
      <c r="K1747" s="26">
        <f t="shared" si="27"/>
        <v>1333.3333333333333</v>
      </c>
      <c r="N1747" s="26" t="s">
        <v>10135</v>
      </c>
      <c r="O1747" s="22" t="s">
        <v>8442</v>
      </c>
      <c r="P1747" s="22" t="s">
        <v>16122</v>
      </c>
      <c r="Q1747" s="22">
        <v>90640</v>
      </c>
      <c r="R1747" s="22" t="s">
        <v>8443</v>
      </c>
      <c r="S1747" s="22" t="s">
        <v>8444</v>
      </c>
      <c r="X1747" s="26"/>
      <c r="Y1747" s="26"/>
    </row>
    <row r="1748" spans="1:25" ht="37.5" x14ac:dyDescent="0.25">
      <c r="A1748" s="21">
        <v>2401</v>
      </c>
      <c r="B1748" s="22" t="s">
        <v>15368</v>
      </c>
      <c r="C1748" s="22" t="s">
        <v>8445</v>
      </c>
      <c r="D1748" s="23">
        <v>360880</v>
      </c>
      <c r="E1748" s="24">
        <v>1999</v>
      </c>
      <c r="F1748" s="22" t="s">
        <v>8446</v>
      </c>
      <c r="G1748" s="23" t="s">
        <v>8447</v>
      </c>
      <c r="H1748" s="25" t="s">
        <v>15373</v>
      </c>
      <c r="I1748" s="22" t="s">
        <v>15382</v>
      </c>
      <c r="J1748" s="22" t="s">
        <v>8448</v>
      </c>
      <c r="K1748" s="26">
        <f t="shared" si="27"/>
        <v>356.66666666666663</v>
      </c>
      <c r="N1748" s="26" t="s">
        <v>9397</v>
      </c>
      <c r="O1748" s="22" t="s">
        <v>8449</v>
      </c>
      <c r="P1748" s="22" t="s">
        <v>15376</v>
      </c>
      <c r="Q1748" s="22">
        <v>90065</v>
      </c>
      <c r="R1748" s="22" t="s">
        <v>8450</v>
      </c>
      <c r="S1748" s="22" t="s">
        <v>8451</v>
      </c>
      <c r="X1748" s="26"/>
      <c r="Y1748" s="26"/>
    </row>
    <row r="1749" spans="1:25" ht="50" x14ac:dyDescent="0.25">
      <c r="A1749" s="21">
        <v>2402</v>
      </c>
      <c r="B1749" s="22" t="s">
        <v>15368</v>
      </c>
      <c r="C1749" s="22" t="s">
        <v>8452</v>
      </c>
      <c r="D1749" s="23" t="s">
        <v>8453</v>
      </c>
      <c r="E1749" s="24" t="s">
        <v>9081</v>
      </c>
      <c r="F1749" s="22" t="s">
        <v>8454</v>
      </c>
      <c r="G1749" s="23" t="s">
        <v>7970</v>
      </c>
      <c r="H1749" s="25" t="s">
        <v>15373</v>
      </c>
      <c r="I1749" s="22" t="s">
        <v>15411</v>
      </c>
      <c r="J1749" s="22" t="s">
        <v>16517</v>
      </c>
      <c r="K1749" s="26">
        <f t="shared" si="27"/>
        <v>410</v>
      </c>
      <c r="L1749" s="26" t="s">
        <v>7954</v>
      </c>
      <c r="O1749" s="22" t="s">
        <v>8455</v>
      </c>
      <c r="P1749" s="22" t="s">
        <v>15864</v>
      </c>
      <c r="Q1749" s="22">
        <v>92337</v>
      </c>
      <c r="R1749" s="22" t="s">
        <v>8456</v>
      </c>
      <c r="S1749" s="22" t="s">
        <v>8457</v>
      </c>
      <c r="X1749" s="26"/>
      <c r="Y1749" s="26"/>
    </row>
    <row r="1750" spans="1:25" ht="37.5" x14ac:dyDescent="0.25">
      <c r="A1750" s="21">
        <v>2403</v>
      </c>
      <c r="B1750" s="22" t="s">
        <v>15368</v>
      </c>
      <c r="C1750" s="22" t="s">
        <v>8458</v>
      </c>
      <c r="D1750" s="23" t="s">
        <v>8459</v>
      </c>
      <c r="E1750" s="24" t="s">
        <v>9081</v>
      </c>
      <c r="F1750" s="22" t="s">
        <v>8460</v>
      </c>
      <c r="G1750" s="23" t="s">
        <v>8461</v>
      </c>
      <c r="H1750" s="25" t="s">
        <v>15373</v>
      </c>
      <c r="I1750" s="22" t="s">
        <v>15382</v>
      </c>
      <c r="J1750" s="22" t="s">
        <v>13225</v>
      </c>
      <c r="K1750" s="26">
        <f t="shared" si="27"/>
        <v>506.66666666666663</v>
      </c>
      <c r="N1750" s="26" t="s">
        <v>8263</v>
      </c>
      <c r="O1750" s="22" t="s">
        <v>8462</v>
      </c>
      <c r="P1750" s="22" t="s">
        <v>14020</v>
      </c>
      <c r="Q1750" s="22">
        <v>92707</v>
      </c>
      <c r="R1750" s="22" t="s">
        <v>8463</v>
      </c>
      <c r="S1750" s="22" t="s">
        <v>8464</v>
      </c>
      <c r="X1750" s="26"/>
      <c r="Y1750" s="26"/>
    </row>
    <row r="1751" spans="1:25" ht="50" x14ac:dyDescent="0.25">
      <c r="A1751" s="21">
        <v>2404</v>
      </c>
      <c r="B1751" s="22" t="s">
        <v>15368</v>
      </c>
      <c r="C1751" s="22" t="s">
        <v>8465</v>
      </c>
      <c r="D1751" s="23" t="s">
        <v>8466</v>
      </c>
      <c r="E1751" s="24" t="s">
        <v>9081</v>
      </c>
      <c r="F1751" s="22" t="s">
        <v>8467</v>
      </c>
      <c r="G1751" s="23" t="s">
        <v>8468</v>
      </c>
      <c r="H1751" s="25" t="s">
        <v>15373</v>
      </c>
      <c r="I1751" s="22" t="s">
        <v>15382</v>
      </c>
      <c r="J1751" s="22" t="s">
        <v>12903</v>
      </c>
      <c r="K1751" s="26">
        <f t="shared" si="27"/>
        <v>2180</v>
      </c>
      <c r="L1751" s="26" t="s">
        <v>8076</v>
      </c>
      <c r="O1751" s="22" t="s">
        <v>8469</v>
      </c>
      <c r="P1751" s="22" t="s">
        <v>15376</v>
      </c>
      <c r="Q1751" s="22">
        <v>91007</v>
      </c>
      <c r="R1751" s="22" t="s">
        <v>8470</v>
      </c>
      <c r="S1751" s="22" t="s">
        <v>8471</v>
      </c>
      <c r="X1751" s="26"/>
      <c r="Y1751" s="26"/>
    </row>
    <row r="1752" spans="1:25" ht="50" x14ac:dyDescent="0.25">
      <c r="A1752" s="21">
        <v>2405</v>
      </c>
      <c r="B1752" s="22" t="s">
        <v>15368</v>
      </c>
      <c r="C1752" s="22" t="s">
        <v>8465</v>
      </c>
      <c r="D1752" s="23" t="s">
        <v>8472</v>
      </c>
      <c r="E1752" s="24" t="s">
        <v>9081</v>
      </c>
      <c r="F1752" s="22" t="s">
        <v>8473</v>
      </c>
      <c r="G1752" s="23" t="s">
        <v>8474</v>
      </c>
      <c r="H1752" s="25" t="s">
        <v>15373</v>
      </c>
      <c r="I1752" s="22" t="s">
        <v>15382</v>
      </c>
      <c r="J1752" s="22" t="s">
        <v>12903</v>
      </c>
      <c r="K1752" s="26">
        <f t="shared" si="27"/>
        <v>2180</v>
      </c>
      <c r="L1752" s="26" t="s">
        <v>8076</v>
      </c>
      <c r="O1752" s="22" t="s">
        <v>8469</v>
      </c>
      <c r="P1752" s="22" t="s">
        <v>15376</v>
      </c>
      <c r="Q1752" s="22">
        <v>91007</v>
      </c>
      <c r="R1752" s="22" t="s">
        <v>8470</v>
      </c>
      <c r="S1752" s="22" t="s">
        <v>8471</v>
      </c>
      <c r="X1752" s="26"/>
      <c r="Y1752" s="26"/>
    </row>
    <row r="1753" spans="1:25" ht="37.5" x14ac:dyDescent="0.25">
      <c r="A1753" s="21">
        <v>2406</v>
      </c>
      <c r="B1753" s="22" t="s">
        <v>15368</v>
      </c>
      <c r="C1753" s="22" t="s">
        <v>8475</v>
      </c>
      <c r="D1753" s="23" t="s">
        <v>8476</v>
      </c>
      <c r="E1753" s="24">
        <v>2002</v>
      </c>
      <c r="F1753" s="22" t="s">
        <v>8477</v>
      </c>
      <c r="G1753" s="23" t="s">
        <v>8478</v>
      </c>
      <c r="H1753" s="25" t="s">
        <v>15373</v>
      </c>
      <c r="I1753" s="22" t="s">
        <v>15374</v>
      </c>
      <c r="J1753" s="22" t="s">
        <v>14709</v>
      </c>
      <c r="K1753" s="26">
        <f t="shared" si="27"/>
        <v>700</v>
      </c>
      <c r="L1753" s="26" t="s">
        <v>8479</v>
      </c>
      <c r="O1753" s="22" t="s">
        <v>8480</v>
      </c>
      <c r="P1753" s="22" t="s">
        <v>15537</v>
      </c>
      <c r="Q1753" s="22">
        <v>92658</v>
      </c>
      <c r="R1753" s="22" t="s">
        <v>8481</v>
      </c>
      <c r="S1753" s="22" t="s">
        <v>8482</v>
      </c>
      <c r="X1753" s="26"/>
      <c r="Y1753" s="26"/>
    </row>
    <row r="1754" spans="1:25" ht="37.5" x14ac:dyDescent="0.25">
      <c r="A1754" s="21">
        <v>2407</v>
      </c>
      <c r="B1754" s="22" t="s">
        <v>15368</v>
      </c>
      <c r="C1754" s="22" t="s">
        <v>11586</v>
      </c>
      <c r="D1754" s="23">
        <v>369446</v>
      </c>
      <c r="E1754" s="24">
        <v>2000</v>
      </c>
      <c r="F1754" s="22" t="s">
        <v>8483</v>
      </c>
      <c r="G1754" s="23" t="s">
        <v>8484</v>
      </c>
      <c r="H1754" s="25" t="s">
        <v>15373</v>
      </c>
      <c r="I1754" s="22" t="s">
        <v>15382</v>
      </c>
      <c r="J1754" s="22" t="s">
        <v>15955</v>
      </c>
      <c r="K1754" s="26">
        <f t="shared" si="27"/>
        <v>756.66666666666663</v>
      </c>
      <c r="N1754" s="26" t="s">
        <v>10812</v>
      </c>
      <c r="O1754" s="22" t="s">
        <v>11589</v>
      </c>
      <c r="P1754" s="22" t="s">
        <v>15376</v>
      </c>
      <c r="Q1754" s="22">
        <v>90057</v>
      </c>
      <c r="R1754" s="22" t="s">
        <v>11590</v>
      </c>
      <c r="S1754" s="22" t="s">
        <v>11591</v>
      </c>
      <c r="X1754" s="26"/>
      <c r="Y1754" s="26"/>
    </row>
    <row r="1755" spans="1:25" ht="50" x14ac:dyDescent="0.25">
      <c r="A1755" s="21">
        <v>2408</v>
      </c>
      <c r="B1755" s="22" t="s">
        <v>15368</v>
      </c>
      <c r="C1755" s="22" t="s">
        <v>8485</v>
      </c>
      <c r="D1755" s="23">
        <v>365082</v>
      </c>
      <c r="E1755" s="24">
        <v>1999</v>
      </c>
      <c r="F1755" s="22" t="s">
        <v>8486</v>
      </c>
      <c r="G1755" s="23" t="s">
        <v>8487</v>
      </c>
      <c r="H1755" s="25" t="s">
        <v>16310</v>
      </c>
      <c r="I1755" s="22" t="s">
        <v>15382</v>
      </c>
      <c r="J1755" s="22" t="s">
        <v>8488</v>
      </c>
      <c r="K1755" s="26">
        <f t="shared" si="27"/>
        <v>313.33333333333331</v>
      </c>
      <c r="N1755" s="26" t="s">
        <v>8489</v>
      </c>
      <c r="O1755" s="22" t="s">
        <v>8490</v>
      </c>
      <c r="P1755" s="22" t="s">
        <v>8491</v>
      </c>
      <c r="Q1755" s="22">
        <v>92276</v>
      </c>
      <c r="R1755" s="22" t="s">
        <v>8492</v>
      </c>
      <c r="S1755" s="22" t="s">
        <v>8493</v>
      </c>
      <c r="X1755" s="26"/>
      <c r="Y1755" s="26"/>
    </row>
    <row r="1756" spans="1:25" ht="50" x14ac:dyDescent="0.25">
      <c r="A1756" s="21">
        <v>2409</v>
      </c>
      <c r="B1756" s="22" t="s">
        <v>15368</v>
      </c>
      <c r="C1756" s="22" t="s">
        <v>8494</v>
      </c>
      <c r="D1756" s="23" t="s">
        <v>8495</v>
      </c>
      <c r="E1756" s="24" t="s">
        <v>9081</v>
      </c>
      <c r="F1756" s="22" t="s">
        <v>8496</v>
      </c>
      <c r="G1756" s="23" t="s">
        <v>8497</v>
      </c>
      <c r="H1756" s="25" t="s">
        <v>15373</v>
      </c>
      <c r="I1756" s="22" t="s">
        <v>15382</v>
      </c>
      <c r="J1756" s="22" t="s">
        <v>8856</v>
      </c>
      <c r="K1756" s="26">
        <f t="shared" si="27"/>
        <v>600</v>
      </c>
      <c r="N1756" s="26" t="s">
        <v>9812</v>
      </c>
      <c r="O1756" s="22" t="s">
        <v>8498</v>
      </c>
      <c r="P1756" s="22" t="s">
        <v>16228</v>
      </c>
      <c r="Q1756" s="22">
        <v>91789</v>
      </c>
      <c r="R1756" s="22" t="s">
        <v>8499</v>
      </c>
      <c r="S1756" s="22" t="s">
        <v>8500</v>
      </c>
      <c r="X1756" s="26"/>
      <c r="Y1756" s="26"/>
    </row>
    <row r="1757" spans="1:25" ht="50" x14ac:dyDescent="0.25">
      <c r="A1757" s="21">
        <v>2410</v>
      </c>
      <c r="B1757" s="22" t="s">
        <v>15368</v>
      </c>
      <c r="C1757" s="22" t="s">
        <v>8494</v>
      </c>
      <c r="D1757" s="23" t="s">
        <v>8501</v>
      </c>
      <c r="E1757" s="24" t="s">
        <v>9081</v>
      </c>
      <c r="F1757" s="22" t="s">
        <v>8502</v>
      </c>
      <c r="G1757" s="23" t="s">
        <v>8503</v>
      </c>
      <c r="H1757" s="25" t="s">
        <v>15373</v>
      </c>
      <c r="I1757" s="22" t="s">
        <v>15411</v>
      </c>
      <c r="J1757" s="22" t="s">
        <v>10176</v>
      </c>
      <c r="K1757" s="26">
        <f t="shared" si="27"/>
        <v>1700</v>
      </c>
      <c r="N1757" s="26" t="s">
        <v>8504</v>
      </c>
      <c r="O1757" s="22" t="s">
        <v>8498</v>
      </c>
      <c r="P1757" s="22" t="s">
        <v>16228</v>
      </c>
      <c r="Q1757" s="22">
        <v>91789</v>
      </c>
      <c r="R1757" s="22" t="s">
        <v>8499</v>
      </c>
      <c r="S1757" s="22" t="s">
        <v>8500</v>
      </c>
      <c r="X1757" s="26"/>
      <c r="Y1757" s="26"/>
    </row>
    <row r="1758" spans="1:25" ht="37.5" x14ac:dyDescent="0.25">
      <c r="A1758" s="21">
        <v>2411</v>
      </c>
      <c r="B1758" s="22" t="s">
        <v>15368</v>
      </c>
      <c r="C1758" s="22" t="s">
        <v>7383</v>
      </c>
      <c r="D1758" s="23" t="s">
        <v>7384</v>
      </c>
      <c r="E1758" s="24" t="s">
        <v>9081</v>
      </c>
      <c r="F1758" s="22" t="s">
        <v>7385</v>
      </c>
      <c r="G1758" s="23" t="s">
        <v>7386</v>
      </c>
      <c r="H1758" s="25" t="s">
        <v>15373</v>
      </c>
      <c r="I1758" s="22" t="s">
        <v>15374</v>
      </c>
      <c r="J1758" s="22" t="s">
        <v>15918</v>
      </c>
      <c r="K1758" s="26">
        <f t="shared" si="27"/>
        <v>813.33333333333326</v>
      </c>
      <c r="N1758" s="26" t="s">
        <v>7387</v>
      </c>
      <c r="O1758" s="22" t="s">
        <v>7388</v>
      </c>
      <c r="P1758" s="22" t="s">
        <v>16500</v>
      </c>
      <c r="Q1758" s="22">
        <v>90247</v>
      </c>
      <c r="R1758" s="22" t="s">
        <v>7389</v>
      </c>
      <c r="S1758" s="22" t="s">
        <v>7390</v>
      </c>
      <c r="X1758" s="26"/>
      <c r="Y1758" s="26"/>
    </row>
    <row r="1759" spans="1:25" ht="37.5" x14ac:dyDescent="0.25">
      <c r="A1759" s="21">
        <v>2415</v>
      </c>
      <c r="B1759" s="22" t="s">
        <v>15368</v>
      </c>
      <c r="C1759" s="22" t="s">
        <v>7391</v>
      </c>
      <c r="D1759" s="23" t="s">
        <v>7392</v>
      </c>
      <c r="E1759" s="24" t="s">
        <v>9081</v>
      </c>
      <c r="F1759" s="22" t="s">
        <v>7393</v>
      </c>
      <c r="G1759" s="23" t="s">
        <v>7394</v>
      </c>
      <c r="H1759" s="25" t="s">
        <v>15373</v>
      </c>
      <c r="I1759" s="22" t="s">
        <v>15382</v>
      </c>
      <c r="J1759" s="22" t="s">
        <v>7395</v>
      </c>
      <c r="K1759" s="26">
        <f t="shared" si="27"/>
        <v>600</v>
      </c>
      <c r="N1759" s="26" t="s">
        <v>9812</v>
      </c>
      <c r="O1759" s="22" t="s">
        <v>7396</v>
      </c>
      <c r="P1759" s="22" t="s">
        <v>16504</v>
      </c>
      <c r="Q1759" s="22">
        <v>90301</v>
      </c>
      <c r="R1759" s="22" t="s">
        <v>7397</v>
      </c>
      <c r="S1759" s="22" t="s">
        <v>7398</v>
      </c>
      <c r="X1759" s="26"/>
      <c r="Y1759" s="26"/>
    </row>
    <row r="1760" spans="1:25" ht="50" x14ac:dyDescent="0.25">
      <c r="A1760" s="21">
        <v>2416</v>
      </c>
      <c r="B1760" s="22" t="s">
        <v>15368</v>
      </c>
      <c r="C1760" s="22" t="s">
        <v>7391</v>
      </c>
      <c r="D1760" s="23" t="s">
        <v>7399</v>
      </c>
      <c r="E1760" s="24" t="s">
        <v>9081</v>
      </c>
      <c r="F1760" s="22" t="s">
        <v>7400</v>
      </c>
      <c r="G1760" s="23" t="s">
        <v>7401</v>
      </c>
      <c r="H1760" s="25" t="s">
        <v>15373</v>
      </c>
      <c r="I1760" s="22" t="s">
        <v>15411</v>
      </c>
      <c r="J1760" s="22" t="s">
        <v>7402</v>
      </c>
      <c r="K1760" s="26">
        <f t="shared" si="27"/>
        <v>399.33333333333331</v>
      </c>
      <c r="N1760" s="26" t="s">
        <v>7403</v>
      </c>
      <c r="O1760" s="22" t="s">
        <v>7396</v>
      </c>
      <c r="P1760" s="22" t="s">
        <v>16504</v>
      </c>
      <c r="Q1760" s="22">
        <v>90301</v>
      </c>
      <c r="R1760" s="22" t="s">
        <v>7397</v>
      </c>
      <c r="S1760" s="22" t="s">
        <v>7398</v>
      </c>
      <c r="X1760" s="26"/>
      <c r="Y1760" s="26"/>
    </row>
    <row r="1761" spans="1:25" ht="37.5" x14ac:dyDescent="0.25">
      <c r="A1761" s="21">
        <v>2417</v>
      </c>
      <c r="B1761" s="22" t="s">
        <v>15368</v>
      </c>
      <c r="C1761" s="22" t="s">
        <v>7391</v>
      </c>
      <c r="D1761" s="23" t="s">
        <v>7404</v>
      </c>
      <c r="E1761" s="24" t="s">
        <v>9081</v>
      </c>
      <c r="F1761" s="22" t="s">
        <v>7405</v>
      </c>
      <c r="G1761" s="23" t="s">
        <v>7406</v>
      </c>
      <c r="H1761" s="25" t="s">
        <v>15373</v>
      </c>
      <c r="I1761" s="22" t="s">
        <v>15411</v>
      </c>
      <c r="J1761" s="22" t="s">
        <v>15542</v>
      </c>
      <c r="K1761" s="26">
        <f t="shared" si="27"/>
        <v>631.33333333333326</v>
      </c>
      <c r="N1761" s="26" t="s">
        <v>15543</v>
      </c>
      <c r="O1761" s="22" t="s">
        <v>7396</v>
      </c>
      <c r="P1761" s="22" t="s">
        <v>16504</v>
      </c>
      <c r="Q1761" s="22">
        <v>90301</v>
      </c>
      <c r="R1761" s="22" t="s">
        <v>7397</v>
      </c>
      <c r="S1761" s="22" t="s">
        <v>7398</v>
      </c>
      <c r="X1761" s="26"/>
      <c r="Y1761" s="26"/>
    </row>
    <row r="1762" spans="1:25" ht="50" x14ac:dyDescent="0.25">
      <c r="A1762" s="21">
        <v>2418</v>
      </c>
      <c r="B1762" s="22" t="s">
        <v>15368</v>
      </c>
      <c r="C1762" s="22" t="s">
        <v>7391</v>
      </c>
      <c r="D1762" s="23" t="s">
        <v>7407</v>
      </c>
      <c r="E1762" s="24" t="s">
        <v>9081</v>
      </c>
      <c r="F1762" s="22" t="s">
        <v>7408</v>
      </c>
      <c r="G1762" s="23" t="s">
        <v>7409</v>
      </c>
      <c r="H1762" s="25" t="s">
        <v>15373</v>
      </c>
      <c r="I1762" s="22" t="s">
        <v>15411</v>
      </c>
      <c r="J1762" s="22" t="s">
        <v>15877</v>
      </c>
      <c r="K1762" s="26">
        <f t="shared" si="27"/>
        <v>428.66666666666663</v>
      </c>
      <c r="N1762" s="26" t="s">
        <v>10149</v>
      </c>
      <c r="O1762" s="22" t="s">
        <v>7396</v>
      </c>
      <c r="P1762" s="22" t="s">
        <v>16504</v>
      </c>
      <c r="Q1762" s="22">
        <v>90301</v>
      </c>
      <c r="R1762" s="22" t="s">
        <v>7397</v>
      </c>
      <c r="S1762" s="22" t="s">
        <v>7398</v>
      </c>
      <c r="X1762" s="26"/>
      <c r="Y1762" s="26"/>
    </row>
    <row r="1763" spans="1:25" ht="50" x14ac:dyDescent="0.25">
      <c r="A1763" s="21">
        <v>2420</v>
      </c>
      <c r="B1763" s="22" t="s">
        <v>15368</v>
      </c>
      <c r="C1763" s="22" t="s">
        <v>10627</v>
      </c>
      <c r="D1763" s="23" t="s">
        <v>7410</v>
      </c>
      <c r="E1763" s="24" t="s">
        <v>10144</v>
      </c>
      <c r="F1763" s="22" t="s">
        <v>7411</v>
      </c>
      <c r="G1763" s="23" t="s">
        <v>7412</v>
      </c>
      <c r="H1763" s="25" t="s">
        <v>15373</v>
      </c>
      <c r="I1763" s="22" t="s">
        <v>15374</v>
      </c>
      <c r="J1763" s="22" t="s">
        <v>15701</v>
      </c>
      <c r="K1763" s="26">
        <f t="shared" si="27"/>
        <v>391.33333333333331</v>
      </c>
      <c r="N1763" s="26" t="s">
        <v>7413</v>
      </c>
      <c r="O1763" s="22" t="s">
        <v>7414</v>
      </c>
      <c r="P1763" s="22" t="s">
        <v>13502</v>
      </c>
      <c r="Q1763" s="22">
        <v>91304</v>
      </c>
      <c r="R1763" s="22" t="s">
        <v>10633</v>
      </c>
      <c r="S1763" s="22" t="s">
        <v>10634</v>
      </c>
      <c r="X1763" s="26"/>
      <c r="Y1763" s="26"/>
    </row>
    <row r="1764" spans="1:25" ht="37.5" x14ac:dyDescent="0.25">
      <c r="A1764" s="21">
        <v>2421</v>
      </c>
      <c r="B1764" s="22" t="s">
        <v>15368</v>
      </c>
      <c r="C1764" s="22" t="s">
        <v>7415</v>
      </c>
      <c r="D1764" s="23" t="s">
        <v>7416</v>
      </c>
      <c r="E1764" s="24" t="s">
        <v>9081</v>
      </c>
      <c r="F1764" s="22" t="s">
        <v>7417</v>
      </c>
      <c r="G1764" s="23" t="s">
        <v>7418</v>
      </c>
      <c r="H1764" s="25" t="s">
        <v>15373</v>
      </c>
      <c r="I1764" s="22" t="s">
        <v>15411</v>
      </c>
      <c r="J1764" s="22" t="s">
        <v>16517</v>
      </c>
      <c r="K1764" s="26">
        <f t="shared" si="27"/>
        <v>366.66666666666663</v>
      </c>
      <c r="N1764" s="26" t="s">
        <v>9331</v>
      </c>
      <c r="O1764" s="22" t="s">
        <v>7419</v>
      </c>
      <c r="P1764" s="22" t="s">
        <v>15376</v>
      </c>
      <c r="Q1764" s="22">
        <v>90017</v>
      </c>
      <c r="R1764" s="22" t="s">
        <v>7420</v>
      </c>
      <c r="S1764" s="22" t="s">
        <v>7421</v>
      </c>
      <c r="X1764" s="26"/>
      <c r="Y1764" s="26"/>
    </row>
    <row r="1765" spans="1:25" ht="37.5" x14ac:dyDescent="0.25">
      <c r="A1765" s="21">
        <v>2423</v>
      </c>
      <c r="B1765" s="22" t="s">
        <v>15368</v>
      </c>
      <c r="C1765" s="22" t="s">
        <v>7422</v>
      </c>
      <c r="D1765" s="23" t="s">
        <v>7423</v>
      </c>
      <c r="E1765" s="24" t="s">
        <v>9081</v>
      </c>
      <c r="F1765" s="22" t="s">
        <v>7424</v>
      </c>
      <c r="G1765" s="23" t="s">
        <v>7425</v>
      </c>
      <c r="H1765" s="25" t="s">
        <v>15373</v>
      </c>
      <c r="I1765" s="22" t="s">
        <v>15374</v>
      </c>
      <c r="J1765" s="22" t="s">
        <v>10290</v>
      </c>
      <c r="K1765" s="26">
        <f t="shared" si="27"/>
        <v>499.33333333333331</v>
      </c>
      <c r="N1765" s="26" t="s">
        <v>9525</v>
      </c>
      <c r="O1765" s="22" t="s">
        <v>7426</v>
      </c>
      <c r="P1765" s="22" t="s">
        <v>15376</v>
      </c>
      <c r="Q1765" s="22">
        <v>90024</v>
      </c>
      <c r="R1765" s="22" t="s">
        <v>7427</v>
      </c>
      <c r="S1765" s="22" t="s">
        <v>7428</v>
      </c>
      <c r="X1765" s="26"/>
      <c r="Y1765" s="26"/>
    </row>
    <row r="1766" spans="1:25" ht="50" x14ac:dyDescent="0.25">
      <c r="A1766" s="21">
        <v>2424</v>
      </c>
      <c r="B1766" s="22" t="s">
        <v>15368</v>
      </c>
      <c r="C1766" s="22" t="s">
        <v>7429</v>
      </c>
      <c r="D1766" s="23" t="s">
        <v>7430</v>
      </c>
      <c r="E1766" s="24" t="s">
        <v>9081</v>
      </c>
      <c r="F1766" s="22" t="s">
        <v>7431</v>
      </c>
      <c r="G1766" s="23" t="s">
        <v>7432</v>
      </c>
      <c r="H1766" s="25" t="s">
        <v>15373</v>
      </c>
      <c r="I1766" s="22" t="s">
        <v>15374</v>
      </c>
      <c r="J1766" s="22" t="s">
        <v>12893</v>
      </c>
      <c r="K1766" s="26">
        <f t="shared" si="27"/>
        <v>2000</v>
      </c>
      <c r="L1766" s="26" t="s">
        <v>10135</v>
      </c>
      <c r="O1766" s="22" t="s">
        <v>7433</v>
      </c>
      <c r="P1766" s="22" t="s">
        <v>16833</v>
      </c>
      <c r="Q1766" s="22">
        <v>90670</v>
      </c>
      <c r="R1766" s="22" t="s">
        <v>7434</v>
      </c>
      <c r="S1766" s="22" t="s">
        <v>7435</v>
      </c>
      <c r="X1766" s="26"/>
      <c r="Y1766" s="26"/>
    </row>
    <row r="1767" spans="1:25" ht="37.5" x14ac:dyDescent="0.25">
      <c r="A1767" s="21">
        <v>2425</v>
      </c>
      <c r="B1767" s="22" t="s">
        <v>15368</v>
      </c>
      <c r="C1767" s="22" t="s">
        <v>8565</v>
      </c>
      <c r="D1767" s="23" t="s">
        <v>8566</v>
      </c>
      <c r="E1767" s="24" t="s">
        <v>9081</v>
      </c>
      <c r="F1767" s="22" t="s">
        <v>8567</v>
      </c>
      <c r="G1767" s="23" t="s">
        <v>8816</v>
      </c>
      <c r="H1767" s="25" t="s">
        <v>15373</v>
      </c>
      <c r="I1767" s="22" t="s">
        <v>15374</v>
      </c>
      <c r="J1767" s="22" t="s">
        <v>15701</v>
      </c>
      <c r="K1767" s="26">
        <f t="shared" si="27"/>
        <v>400</v>
      </c>
      <c r="L1767" s="26" t="s">
        <v>15492</v>
      </c>
      <c r="O1767" s="22" t="s">
        <v>8568</v>
      </c>
      <c r="P1767" s="22" t="s">
        <v>16794</v>
      </c>
      <c r="Q1767" s="22">
        <v>92507</v>
      </c>
      <c r="R1767" s="22" t="s">
        <v>8569</v>
      </c>
      <c r="S1767" s="22" t="s">
        <v>8570</v>
      </c>
      <c r="X1767" s="26"/>
      <c r="Y1767" s="26"/>
    </row>
    <row r="1768" spans="1:25" ht="50" x14ac:dyDescent="0.25">
      <c r="A1768" s="21">
        <v>2426</v>
      </c>
      <c r="B1768" s="22" t="s">
        <v>15368</v>
      </c>
      <c r="C1768" s="22" t="s">
        <v>10730</v>
      </c>
      <c r="D1768" s="23" t="s">
        <v>8571</v>
      </c>
      <c r="E1768" s="24" t="s">
        <v>9328</v>
      </c>
      <c r="F1768" s="22" t="s">
        <v>8572</v>
      </c>
      <c r="G1768" s="23" t="s">
        <v>8573</v>
      </c>
      <c r="H1768" s="25" t="s">
        <v>15373</v>
      </c>
      <c r="I1768" s="22" t="s">
        <v>15382</v>
      </c>
      <c r="J1768" s="22" t="s">
        <v>16811</v>
      </c>
      <c r="K1768" s="26">
        <f t="shared" si="27"/>
        <v>356.66666666666663</v>
      </c>
      <c r="N1768" s="26" t="s">
        <v>9397</v>
      </c>
      <c r="O1768" s="22" t="s">
        <v>10733</v>
      </c>
      <c r="P1768" s="22" t="s">
        <v>16853</v>
      </c>
      <c r="Q1768" s="22">
        <v>92714</v>
      </c>
      <c r="R1768" s="22" t="s">
        <v>10734</v>
      </c>
      <c r="S1768" s="22" t="s">
        <v>10735</v>
      </c>
      <c r="X1768" s="26"/>
      <c r="Y1768" s="26"/>
    </row>
    <row r="1769" spans="1:25" ht="37.5" x14ac:dyDescent="0.25">
      <c r="A1769" s="21">
        <v>2427</v>
      </c>
      <c r="B1769" s="22" t="s">
        <v>15368</v>
      </c>
      <c r="C1769" s="22" t="s">
        <v>8574</v>
      </c>
      <c r="D1769" s="23" t="s">
        <v>8575</v>
      </c>
      <c r="E1769" s="24" t="s">
        <v>9081</v>
      </c>
      <c r="F1769" s="22" t="s">
        <v>8576</v>
      </c>
      <c r="G1769" s="23" t="s">
        <v>8577</v>
      </c>
      <c r="H1769" s="25" t="s">
        <v>15373</v>
      </c>
      <c r="I1769" s="22" t="s">
        <v>15374</v>
      </c>
      <c r="J1769" s="22" t="s">
        <v>16561</v>
      </c>
      <c r="K1769" s="26">
        <f t="shared" si="27"/>
        <v>391.33333333333331</v>
      </c>
      <c r="N1769" s="26" t="s">
        <v>7413</v>
      </c>
      <c r="O1769" s="22" t="s">
        <v>8578</v>
      </c>
      <c r="P1769" s="22" t="s">
        <v>15376</v>
      </c>
      <c r="Q1769" s="22">
        <v>90067</v>
      </c>
      <c r="R1769" s="22" t="s">
        <v>8579</v>
      </c>
      <c r="S1769" s="22" t="s">
        <v>8580</v>
      </c>
      <c r="X1769" s="26"/>
      <c r="Y1769" s="26"/>
    </row>
    <row r="1770" spans="1:25" ht="37.5" x14ac:dyDescent="0.25">
      <c r="A1770" s="21">
        <v>2428</v>
      </c>
      <c r="B1770" s="22" t="s">
        <v>15368</v>
      </c>
      <c r="C1770" s="22" t="s">
        <v>8581</v>
      </c>
      <c r="D1770" s="23" t="s">
        <v>8582</v>
      </c>
      <c r="E1770" s="24" t="s">
        <v>10144</v>
      </c>
      <c r="F1770" s="22" t="s">
        <v>8583</v>
      </c>
      <c r="G1770" s="23" t="s">
        <v>8584</v>
      </c>
      <c r="H1770" s="25" t="s">
        <v>15373</v>
      </c>
      <c r="I1770" s="22" t="s">
        <v>15374</v>
      </c>
      <c r="J1770" s="22" t="s">
        <v>8585</v>
      </c>
      <c r="K1770" s="26">
        <f t="shared" si="27"/>
        <v>300</v>
      </c>
      <c r="L1770" s="26" t="s">
        <v>8586</v>
      </c>
      <c r="O1770" s="22" t="s">
        <v>8587</v>
      </c>
      <c r="P1770" s="22" t="s">
        <v>13834</v>
      </c>
      <c r="Q1770" s="22">
        <v>90277</v>
      </c>
      <c r="R1770" s="22" t="s">
        <v>8588</v>
      </c>
      <c r="S1770" s="22" t="s">
        <v>8589</v>
      </c>
      <c r="X1770" s="26"/>
      <c r="Y1770" s="26"/>
    </row>
    <row r="1771" spans="1:25" ht="50" x14ac:dyDescent="0.25">
      <c r="A1771" s="21">
        <v>2430</v>
      </c>
      <c r="B1771" s="22" t="s">
        <v>15368</v>
      </c>
      <c r="C1771" s="22" t="s">
        <v>8590</v>
      </c>
      <c r="D1771" s="23" t="s">
        <v>8591</v>
      </c>
      <c r="E1771" s="24" t="s">
        <v>9081</v>
      </c>
      <c r="F1771" s="22" t="s">
        <v>8592</v>
      </c>
      <c r="G1771" s="23" t="s">
        <v>8593</v>
      </c>
      <c r="H1771" s="25" t="s">
        <v>15373</v>
      </c>
      <c r="I1771" s="22" t="s">
        <v>15374</v>
      </c>
      <c r="J1771" s="22" t="s">
        <v>12893</v>
      </c>
      <c r="K1771" s="26">
        <f t="shared" si="27"/>
        <v>1923.3333333333333</v>
      </c>
      <c r="N1771" s="26" t="s">
        <v>8594</v>
      </c>
      <c r="O1771" s="22" t="s">
        <v>8469</v>
      </c>
      <c r="P1771" s="22" t="s">
        <v>15376</v>
      </c>
      <c r="Q1771" s="22">
        <v>90012</v>
      </c>
      <c r="R1771" s="22" t="s">
        <v>8595</v>
      </c>
      <c r="S1771" s="22" t="s">
        <v>8596</v>
      </c>
      <c r="X1771" s="26"/>
      <c r="Y1771" s="26"/>
    </row>
    <row r="1772" spans="1:25" ht="50" x14ac:dyDescent="0.25">
      <c r="A1772" s="21">
        <v>2431</v>
      </c>
      <c r="B1772" s="22" t="s">
        <v>15368</v>
      </c>
      <c r="C1772" s="22" t="s">
        <v>8590</v>
      </c>
      <c r="D1772" s="23" t="s">
        <v>8597</v>
      </c>
      <c r="E1772" s="24" t="s">
        <v>9081</v>
      </c>
      <c r="F1772" s="22" t="s">
        <v>8598</v>
      </c>
      <c r="G1772" s="23" t="s">
        <v>8599</v>
      </c>
      <c r="H1772" s="25" t="s">
        <v>15373</v>
      </c>
      <c r="I1772" s="22" t="s">
        <v>15374</v>
      </c>
      <c r="J1772" s="22" t="s">
        <v>12893</v>
      </c>
      <c r="K1772" s="26">
        <f t="shared" si="27"/>
        <v>1923.3333333333333</v>
      </c>
      <c r="N1772" s="26" t="s">
        <v>8594</v>
      </c>
      <c r="O1772" s="22" t="s">
        <v>8469</v>
      </c>
      <c r="P1772" s="22" t="s">
        <v>15376</v>
      </c>
      <c r="Q1772" s="22">
        <v>90012</v>
      </c>
      <c r="R1772" s="22" t="s">
        <v>8595</v>
      </c>
      <c r="S1772" s="22" t="s">
        <v>8596</v>
      </c>
      <c r="X1772" s="26"/>
      <c r="Y1772" s="26"/>
    </row>
    <row r="1773" spans="1:25" ht="50" x14ac:dyDescent="0.25">
      <c r="A1773" s="21">
        <v>2432</v>
      </c>
      <c r="B1773" s="22" t="s">
        <v>15368</v>
      </c>
      <c r="C1773" s="22" t="s">
        <v>8590</v>
      </c>
      <c r="D1773" s="23" t="s">
        <v>8600</v>
      </c>
      <c r="E1773" s="24" t="s">
        <v>9081</v>
      </c>
      <c r="F1773" s="22" t="s">
        <v>8601</v>
      </c>
      <c r="G1773" s="23" t="s">
        <v>8602</v>
      </c>
      <c r="H1773" s="25" t="s">
        <v>15373</v>
      </c>
      <c r="I1773" s="22" t="s">
        <v>15374</v>
      </c>
      <c r="J1773" s="22" t="s">
        <v>12893</v>
      </c>
      <c r="K1773" s="26">
        <f t="shared" si="27"/>
        <v>1923.3333333333333</v>
      </c>
      <c r="N1773" s="26" t="s">
        <v>8594</v>
      </c>
      <c r="O1773" s="22" t="s">
        <v>8469</v>
      </c>
      <c r="P1773" s="22" t="s">
        <v>15376</v>
      </c>
      <c r="Q1773" s="22">
        <v>90012</v>
      </c>
      <c r="R1773" s="22" t="s">
        <v>8595</v>
      </c>
      <c r="S1773" s="22" t="s">
        <v>8596</v>
      </c>
      <c r="X1773" s="26"/>
      <c r="Y1773" s="26"/>
    </row>
    <row r="1774" spans="1:25" ht="37.5" x14ac:dyDescent="0.25">
      <c r="A1774" s="21">
        <v>2433</v>
      </c>
      <c r="B1774" s="22" t="s">
        <v>15368</v>
      </c>
      <c r="C1774" s="22" t="s">
        <v>8603</v>
      </c>
      <c r="D1774" s="23">
        <v>397549</v>
      </c>
      <c r="E1774" s="24">
        <v>2002</v>
      </c>
      <c r="F1774" s="22" t="s">
        <v>8604</v>
      </c>
      <c r="G1774" s="23" t="s">
        <v>8605</v>
      </c>
      <c r="H1774" s="25" t="s">
        <v>15373</v>
      </c>
      <c r="I1774" s="22" t="s">
        <v>15382</v>
      </c>
      <c r="J1774" s="22" t="s">
        <v>16799</v>
      </c>
      <c r="K1774" s="26">
        <f t="shared" si="27"/>
        <v>503.33333333333331</v>
      </c>
      <c r="N1774" s="26" t="s">
        <v>10168</v>
      </c>
      <c r="O1774" s="22" t="s">
        <v>8606</v>
      </c>
      <c r="P1774" s="22" t="s">
        <v>15376</v>
      </c>
      <c r="Q1774" s="22">
        <v>90024</v>
      </c>
      <c r="R1774" s="22" t="s">
        <v>8607</v>
      </c>
      <c r="S1774" s="22" t="s">
        <v>8608</v>
      </c>
      <c r="X1774" s="26"/>
      <c r="Y1774" s="26"/>
    </row>
    <row r="1775" spans="1:25" ht="37.5" x14ac:dyDescent="0.25">
      <c r="A1775" s="21">
        <v>2434</v>
      </c>
      <c r="B1775" s="22" t="s">
        <v>15368</v>
      </c>
      <c r="C1775" s="22" t="s">
        <v>8603</v>
      </c>
      <c r="D1775" s="23" t="s">
        <v>8609</v>
      </c>
      <c r="E1775" s="24">
        <v>2002</v>
      </c>
      <c r="F1775" s="22" t="s">
        <v>8610</v>
      </c>
      <c r="G1775" s="23" t="s">
        <v>8611</v>
      </c>
      <c r="H1775" s="25" t="s">
        <v>15373</v>
      </c>
      <c r="I1775" s="22" t="s">
        <v>15382</v>
      </c>
      <c r="J1775" s="22" t="s">
        <v>8612</v>
      </c>
      <c r="K1775" s="26">
        <f t="shared" si="27"/>
        <v>363.33333333333331</v>
      </c>
      <c r="N1775" s="26" t="s">
        <v>9168</v>
      </c>
      <c r="O1775" s="22" t="s">
        <v>8606</v>
      </c>
      <c r="P1775" s="22" t="s">
        <v>15376</v>
      </c>
      <c r="Q1775" s="22">
        <v>90024</v>
      </c>
      <c r="R1775" s="22" t="s">
        <v>8607</v>
      </c>
      <c r="S1775" s="22" t="s">
        <v>8608</v>
      </c>
      <c r="X1775" s="26"/>
      <c r="Y1775" s="26"/>
    </row>
    <row r="1776" spans="1:25" ht="37.5" x14ac:dyDescent="0.25">
      <c r="A1776" s="21">
        <v>2435</v>
      </c>
      <c r="B1776" s="22" t="s">
        <v>15368</v>
      </c>
      <c r="C1776" s="22" t="s">
        <v>8613</v>
      </c>
      <c r="D1776" s="23" t="s">
        <v>8614</v>
      </c>
      <c r="E1776" s="24" t="s">
        <v>10135</v>
      </c>
      <c r="F1776" s="22" t="s">
        <v>8615</v>
      </c>
      <c r="G1776" s="23" t="s">
        <v>8616</v>
      </c>
      <c r="H1776" s="25" t="s">
        <v>15373</v>
      </c>
      <c r="I1776" s="22" t="s">
        <v>15374</v>
      </c>
      <c r="J1776" s="22" t="s">
        <v>15400</v>
      </c>
      <c r="K1776" s="26">
        <f t="shared" si="27"/>
        <v>1204.6666666666665</v>
      </c>
      <c r="N1776" s="26" t="s">
        <v>8707</v>
      </c>
      <c r="O1776" s="22" t="s">
        <v>8617</v>
      </c>
      <c r="P1776" s="22" t="s">
        <v>14362</v>
      </c>
      <c r="Q1776" s="22">
        <v>90744</v>
      </c>
      <c r="R1776" s="22" t="s">
        <v>8618</v>
      </c>
      <c r="S1776" s="22" t="s">
        <v>8619</v>
      </c>
      <c r="X1776" s="26"/>
      <c r="Y1776" s="26"/>
    </row>
    <row r="1777" spans="1:25" ht="50" x14ac:dyDescent="0.25">
      <c r="A1777" s="21">
        <v>2437</v>
      </c>
      <c r="B1777" s="22" t="s">
        <v>15368</v>
      </c>
      <c r="C1777" s="22" t="s">
        <v>8620</v>
      </c>
      <c r="D1777" s="23" t="s">
        <v>8621</v>
      </c>
      <c r="E1777" s="24" t="s">
        <v>9081</v>
      </c>
      <c r="F1777" s="22" t="s">
        <v>8622</v>
      </c>
      <c r="G1777" s="23" t="s">
        <v>8623</v>
      </c>
      <c r="H1777" s="25" t="s">
        <v>15373</v>
      </c>
      <c r="I1777" s="22" t="s">
        <v>15411</v>
      </c>
      <c r="J1777" s="22" t="s">
        <v>15412</v>
      </c>
      <c r="K1777" s="26">
        <f t="shared" si="27"/>
        <v>553.33333333333326</v>
      </c>
      <c r="N1777" s="26" t="s">
        <v>9533</v>
      </c>
      <c r="O1777" s="22" t="s">
        <v>8624</v>
      </c>
      <c r="P1777" s="22" t="s">
        <v>15376</v>
      </c>
      <c r="Q1777" s="22">
        <v>90045</v>
      </c>
      <c r="R1777" s="22" t="s">
        <v>8625</v>
      </c>
      <c r="S1777" s="22" t="s">
        <v>8626</v>
      </c>
      <c r="X1777" s="26"/>
      <c r="Y1777" s="26"/>
    </row>
    <row r="1778" spans="1:25" ht="37.5" x14ac:dyDescent="0.25">
      <c r="A1778" s="21">
        <v>2438</v>
      </c>
      <c r="B1778" s="22" t="s">
        <v>15368</v>
      </c>
      <c r="C1778" s="22" t="s">
        <v>10958</v>
      </c>
      <c r="D1778" s="23" t="s">
        <v>8627</v>
      </c>
      <c r="E1778" s="24" t="s">
        <v>9081</v>
      </c>
      <c r="F1778" s="22" t="s">
        <v>8628</v>
      </c>
      <c r="G1778" s="23" t="s">
        <v>8629</v>
      </c>
      <c r="H1778" s="25" t="s">
        <v>15373</v>
      </c>
      <c r="I1778" s="22" t="s">
        <v>15374</v>
      </c>
      <c r="J1778" s="22" t="s">
        <v>8630</v>
      </c>
      <c r="K1778" s="26">
        <f t="shared" si="27"/>
        <v>1117.3333333333333</v>
      </c>
      <c r="N1778" s="26" t="s">
        <v>8328</v>
      </c>
      <c r="O1778" s="22" t="s">
        <v>10961</v>
      </c>
      <c r="P1778" s="22" t="s">
        <v>11598</v>
      </c>
      <c r="Q1778" s="22">
        <v>91016</v>
      </c>
      <c r="R1778" s="22" t="s">
        <v>8631</v>
      </c>
      <c r="S1778" s="22" t="s">
        <v>8632</v>
      </c>
      <c r="X1778" s="26"/>
      <c r="Y1778" s="26"/>
    </row>
    <row r="1779" spans="1:25" ht="50" x14ac:dyDescent="0.25">
      <c r="A1779" s="21">
        <v>2439</v>
      </c>
      <c r="B1779" s="22" t="s">
        <v>15368</v>
      </c>
      <c r="C1779" s="22" t="s">
        <v>8633</v>
      </c>
      <c r="D1779" s="23" t="s">
        <v>8634</v>
      </c>
      <c r="E1779" s="24" t="s">
        <v>9081</v>
      </c>
      <c r="F1779" s="22" t="s">
        <v>8635</v>
      </c>
      <c r="G1779" s="23" t="s">
        <v>7506</v>
      </c>
      <c r="H1779" s="25" t="s">
        <v>15373</v>
      </c>
      <c r="I1779" s="22" t="s">
        <v>15382</v>
      </c>
      <c r="J1779" s="22" t="s">
        <v>13380</v>
      </c>
      <c r="K1779" s="26">
        <f t="shared" si="27"/>
        <v>456.66666666666663</v>
      </c>
      <c r="N1779" s="26" t="s">
        <v>7507</v>
      </c>
      <c r="O1779" s="22" t="s">
        <v>7508</v>
      </c>
      <c r="P1779" s="22" t="s">
        <v>16794</v>
      </c>
      <c r="Q1779" s="22">
        <v>92507</v>
      </c>
      <c r="R1779" s="22" t="s">
        <v>7509</v>
      </c>
      <c r="S1779" s="22" t="s">
        <v>7510</v>
      </c>
      <c r="X1779" s="26"/>
      <c r="Y1779" s="26"/>
    </row>
    <row r="1780" spans="1:25" ht="37.5" x14ac:dyDescent="0.25">
      <c r="A1780" s="21">
        <v>2440</v>
      </c>
      <c r="B1780" s="22" t="s">
        <v>15368</v>
      </c>
      <c r="C1780" s="22" t="s">
        <v>7511</v>
      </c>
      <c r="D1780" s="23" t="s">
        <v>7512</v>
      </c>
      <c r="E1780" s="24" t="s">
        <v>9081</v>
      </c>
      <c r="F1780" s="22" t="s">
        <v>7513</v>
      </c>
      <c r="G1780" s="23" t="s">
        <v>7514</v>
      </c>
      <c r="H1780" s="25" t="s">
        <v>15373</v>
      </c>
      <c r="I1780" s="22" t="s">
        <v>15374</v>
      </c>
      <c r="J1780" s="22" t="s">
        <v>15420</v>
      </c>
      <c r="K1780" s="26">
        <f t="shared" si="27"/>
        <v>1061.3333333333333</v>
      </c>
      <c r="N1780" s="26" t="s">
        <v>7515</v>
      </c>
      <c r="O1780" s="22" t="s">
        <v>7516</v>
      </c>
      <c r="P1780" s="22" t="s">
        <v>14376</v>
      </c>
      <c r="Q1780" s="22">
        <v>90404</v>
      </c>
      <c r="R1780" s="22" t="s">
        <v>7517</v>
      </c>
      <c r="S1780" s="22" t="s">
        <v>7518</v>
      </c>
      <c r="X1780" s="26"/>
      <c r="Y1780" s="26"/>
    </row>
    <row r="1781" spans="1:25" ht="37.5" x14ac:dyDescent="0.25">
      <c r="A1781" s="21">
        <v>2441</v>
      </c>
      <c r="B1781" s="22" t="s">
        <v>15368</v>
      </c>
      <c r="C1781" s="22" t="s">
        <v>8874</v>
      </c>
      <c r="D1781" s="23" t="s">
        <v>7519</v>
      </c>
      <c r="E1781" s="24" t="s">
        <v>10135</v>
      </c>
      <c r="F1781" s="22" t="s">
        <v>7520</v>
      </c>
      <c r="G1781" s="23" t="s">
        <v>7521</v>
      </c>
      <c r="H1781" s="25" t="s">
        <v>15373</v>
      </c>
      <c r="I1781" s="22" t="s">
        <v>15411</v>
      </c>
      <c r="J1781" s="22" t="s">
        <v>16517</v>
      </c>
      <c r="K1781" s="26">
        <f t="shared" si="27"/>
        <v>366.66666666666663</v>
      </c>
      <c r="N1781" s="26" t="s">
        <v>9331</v>
      </c>
      <c r="O1781" s="22" t="s">
        <v>10883</v>
      </c>
      <c r="P1781" s="22" t="s">
        <v>15376</v>
      </c>
      <c r="Q1781" s="22">
        <v>90024</v>
      </c>
      <c r="R1781" s="22" t="s">
        <v>11130</v>
      </c>
      <c r="S1781" s="22" t="s">
        <v>11131</v>
      </c>
      <c r="X1781" s="26"/>
      <c r="Y1781" s="26"/>
    </row>
    <row r="1782" spans="1:25" ht="50" x14ac:dyDescent="0.25">
      <c r="A1782" s="21">
        <v>2442</v>
      </c>
      <c r="B1782" s="22" t="s">
        <v>15368</v>
      </c>
      <c r="C1782" s="22" t="s">
        <v>8874</v>
      </c>
      <c r="D1782" s="23" t="s">
        <v>7522</v>
      </c>
      <c r="E1782" s="24">
        <v>2002</v>
      </c>
      <c r="F1782" s="22" t="s">
        <v>7523</v>
      </c>
      <c r="G1782" s="23" t="s">
        <v>7524</v>
      </c>
      <c r="H1782" s="25" t="s">
        <v>15373</v>
      </c>
      <c r="I1782" s="22" t="s">
        <v>15382</v>
      </c>
      <c r="J1782" s="22" t="s">
        <v>16792</v>
      </c>
      <c r="K1782" s="26">
        <f t="shared" si="27"/>
        <v>399</v>
      </c>
      <c r="L1782" s="26" t="s">
        <v>8994</v>
      </c>
      <c r="O1782" s="22" t="s">
        <v>10883</v>
      </c>
      <c r="P1782" s="22" t="s">
        <v>15376</v>
      </c>
      <c r="Q1782" s="22">
        <v>90024</v>
      </c>
      <c r="R1782" s="22" t="s">
        <v>11130</v>
      </c>
      <c r="S1782" s="22" t="s">
        <v>11131</v>
      </c>
      <c r="X1782" s="26"/>
      <c r="Y1782" s="26"/>
    </row>
    <row r="1783" spans="1:25" ht="50" x14ac:dyDescent="0.25">
      <c r="A1783" s="21">
        <v>2443</v>
      </c>
      <c r="B1783" s="22" t="s">
        <v>15368</v>
      </c>
      <c r="C1783" s="22" t="s">
        <v>11022</v>
      </c>
      <c r="D1783" s="23">
        <v>389017</v>
      </c>
      <c r="E1783" s="24">
        <v>2001</v>
      </c>
      <c r="F1783" s="22" t="s">
        <v>7525</v>
      </c>
      <c r="G1783" s="23" t="s">
        <v>7060</v>
      </c>
      <c r="H1783" s="25" t="s">
        <v>15373</v>
      </c>
      <c r="I1783" s="22" t="s">
        <v>15411</v>
      </c>
      <c r="J1783" s="22" t="s">
        <v>16803</v>
      </c>
      <c r="K1783" s="26">
        <f t="shared" si="27"/>
        <v>1641</v>
      </c>
      <c r="L1783" s="26" t="s">
        <v>7061</v>
      </c>
      <c r="O1783" s="22" t="s">
        <v>11025</v>
      </c>
      <c r="P1783" s="22" t="s">
        <v>15376</v>
      </c>
      <c r="Q1783" s="22">
        <v>90033</v>
      </c>
      <c r="R1783" s="22" t="s">
        <v>11027</v>
      </c>
      <c r="S1783" s="22" t="s">
        <v>11015</v>
      </c>
      <c r="X1783" s="26"/>
      <c r="Y1783" s="26"/>
    </row>
    <row r="1784" spans="1:25" ht="50" x14ac:dyDescent="0.25">
      <c r="A1784" s="21">
        <v>2448</v>
      </c>
      <c r="B1784" s="22" t="s">
        <v>15368</v>
      </c>
      <c r="C1784" s="22" t="s">
        <v>7531</v>
      </c>
      <c r="D1784" s="23">
        <v>151427</v>
      </c>
      <c r="E1784" s="24" t="s">
        <v>7532</v>
      </c>
      <c r="F1784" s="22" t="s">
        <v>7533</v>
      </c>
      <c r="G1784" s="23" t="s">
        <v>7534</v>
      </c>
      <c r="H1784" s="25" t="s">
        <v>15373</v>
      </c>
      <c r="I1784" s="22" t="s">
        <v>15411</v>
      </c>
      <c r="J1784" s="22" t="s">
        <v>13372</v>
      </c>
      <c r="K1784" s="26">
        <f t="shared" si="27"/>
        <v>387.33333333333331</v>
      </c>
      <c r="N1784" s="26" t="s">
        <v>9176</v>
      </c>
      <c r="O1784" s="22" t="s">
        <v>7535</v>
      </c>
      <c r="P1784" s="22" t="s">
        <v>15414</v>
      </c>
      <c r="Q1784" s="22">
        <v>91208</v>
      </c>
      <c r="R1784" s="22" t="s">
        <v>7536</v>
      </c>
      <c r="S1784" s="22" t="s">
        <v>7537</v>
      </c>
      <c r="X1784" s="26"/>
      <c r="Y1784" s="26"/>
    </row>
    <row r="1785" spans="1:25" ht="50" x14ac:dyDescent="0.25">
      <c r="A1785" s="21">
        <v>2449</v>
      </c>
      <c r="B1785" s="22" t="s">
        <v>15368</v>
      </c>
      <c r="C1785" s="22" t="s">
        <v>7531</v>
      </c>
      <c r="D1785" s="23" t="s">
        <v>7538</v>
      </c>
      <c r="E1785" s="24" t="s">
        <v>7532</v>
      </c>
      <c r="F1785" s="22" t="s">
        <v>7539</v>
      </c>
      <c r="G1785" s="23" t="s">
        <v>7540</v>
      </c>
      <c r="H1785" s="25" t="s">
        <v>15373</v>
      </c>
      <c r="I1785" s="22" t="s">
        <v>15411</v>
      </c>
      <c r="J1785" s="22" t="s">
        <v>12830</v>
      </c>
      <c r="K1785" s="26">
        <f t="shared" si="27"/>
        <v>573.33333333333326</v>
      </c>
      <c r="N1785" s="26" t="s">
        <v>7950</v>
      </c>
      <c r="O1785" s="22" t="s">
        <v>7535</v>
      </c>
      <c r="P1785" s="22" t="s">
        <v>15414</v>
      </c>
      <c r="Q1785" s="22">
        <v>91208</v>
      </c>
      <c r="R1785" s="22" t="s">
        <v>7536</v>
      </c>
      <c r="S1785" s="22" t="s">
        <v>7537</v>
      </c>
      <c r="X1785" s="26"/>
      <c r="Y1785" s="26"/>
    </row>
    <row r="1786" spans="1:25" ht="37.5" x14ac:dyDescent="0.25">
      <c r="A1786" s="21">
        <v>2450</v>
      </c>
      <c r="B1786" s="22" t="s">
        <v>15368</v>
      </c>
      <c r="C1786" s="22" t="s">
        <v>10067</v>
      </c>
      <c r="D1786" s="23">
        <v>140748</v>
      </c>
      <c r="E1786" s="24">
        <v>1986</v>
      </c>
      <c r="F1786" s="22" t="s">
        <v>7541</v>
      </c>
      <c r="G1786" s="23" t="s">
        <v>7542</v>
      </c>
      <c r="H1786" s="25" t="s">
        <v>15373</v>
      </c>
      <c r="I1786" s="22" t="s">
        <v>15374</v>
      </c>
      <c r="J1786" s="22" t="s">
        <v>10290</v>
      </c>
      <c r="K1786" s="26">
        <f t="shared" si="27"/>
        <v>446.66666666666663</v>
      </c>
      <c r="N1786" s="26" t="s">
        <v>7543</v>
      </c>
      <c r="O1786" s="22" t="s">
        <v>7544</v>
      </c>
      <c r="P1786" s="22" t="s">
        <v>7545</v>
      </c>
      <c r="Q1786" s="22">
        <v>90503</v>
      </c>
      <c r="R1786" s="22" t="s">
        <v>7546</v>
      </c>
      <c r="S1786" s="22" t="s">
        <v>7547</v>
      </c>
      <c r="X1786" s="26"/>
      <c r="Y1786" s="26"/>
    </row>
    <row r="1787" spans="1:25" ht="37.5" x14ac:dyDescent="0.25">
      <c r="A1787" s="21">
        <v>2451</v>
      </c>
      <c r="B1787" s="22" t="s">
        <v>15368</v>
      </c>
      <c r="C1787" s="22" t="s">
        <v>10067</v>
      </c>
      <c r="D1787" s="23">
        <v>392221</v>
      </c>
      <c r="E1787" s="24">
        <v>2001</v>
      </c>
      <c r="F1787" s="22" t="s">
        <v>7548</v>
      </c>
      <c r="G1787" s="23" t="s">
        <v>7549</v>
      </c>
      <c r="H1787" s="25" t="s">
        <v>15373</v>
      </c>
      <c r="I1787" s="22" t="s">
        <v>15374</v>
      </c>
      <c r="J1787" s="22" t="s">
        <v>13590</v>
      </c>
      <c r="K1787" s="26">
        <f t="shared" si="27"/>
        <v>402</v>
      </c>
      <c r="N1787" s="26" t="s">
        <v>7550</v>
      </c>
      <c r="O1787" s="22" t="s">
        <v>7551</v>
      </c>
      <c r="P1787" s="22" t="s">
        <v>16268</v>
      </c>
      <c r="Q1787" s="22">
        <v>91710</v>
      </c>
      <c r="R1787" s="22" t="s">
        <v>10072</v>
      </c>
      <c r="S1787" s="22" t="s">
        <v>7552</v>
      </c>
      <c r="X1787" s="26"/>
      <c r="Y1787" s="26"/>
    </row>
    <row r="1788" spans="1:25" ht="50" x14ac:dyDescent="0.25">
      <c r="A1788" s="21">
        <v>2452</v>
      </c>
      <c r="B1788" s="22" t="s">
        <v>15368</v>
      </c>
      <c r="C1788" s="22" t="s">
        <v>10067</v>
      </c>
      <c r="D1788" s="23" t="s">
        <v>7553</v>
      </c>
      <c r="E1788" s="24" t="s">
        <v>9081</v>
      </c>
      <c r="F1788" s="22" t="s">
        <v>7554</v>
      </c>
      <c r="G1788" s="23" t="s">
        <v>7555</v>
      </c>
      <c r="H1788" s="25" t="s">
        <v>15373</v>
      </c>
      <c r="I1788" s="22" t="s">
        <v>15374</v>
      </c>
      <c r="J1788" s="22" t="s">
        <v>11368</v>
      </c>
      <c r="K1788" s="26">
        <f t="shared" si="27"/>
        <v>986.66666666666663</v>
      </c>
      <c r="N1788" s="26" t="s">
        <v>10277</v>
      </c>
      <c r="O1788" s="22" t="s">
        <v>7556</v>
      </c>
      <c r="P1788" s="22" t="s">
        <v>13125</v>
      </c>
      <c r="Q1788" s="22">
        <v>91789</v>
      </c>
      <c r="R1788" s="22" t="s">
        <v>10072</v>
      </c>
      <c r="S1788" s="22" t="s">
        <v>7552</v>
      </c>
      <c r="X1788" s="26"/>
      <c r="Y1788" s="26"/>
    </row>
    <row r="1789" spans="1:25" ht="50" x14ac:dyDescent="0.25">
      <c r="A1789" s="21">
        <v>2453</v>
      </c>
      <c r="B1789" s="22" t="s">
        <v>15368</v>
      </c>
      <c r="C1789" s="22" t="s">
        <v>10067</v>
      </c>
      <c r="D1789" s="23" t="s">
        <v>7557</v>
      </c>
      <c r="E1789" s="24" t="s">
        <v>9081</v>
      </c>
      <c r="F1789" s="22" t="s">
        <v>7558</v>
      </c>
      <c r="G1789" s="23" t="s">
        <v>7559</v>
      </c>
      <c r="H1789" s="25" t="s">
        <v>15373</v>
      </c>
      <c r="I1789" s="22" t="s">
        <v>15374</v>
      </c>
      <c r="J1789" s="22" t="s">
        <v>15701</v>
      </c>
      <c r="K1789" s="26">
        <f t="shared" si="27"/>
        <v>400</v>
      </c>
      <c r="L1789" s="26" t="s">
        <v>15492</v>
      </c>
      <c r="O1789" s="22" t="s">
        <v>7560</v>
      </c>
      <c r="P1789" s="22" t="s">
        <v>14653</v>
      </c>
      <c r="Q1789" s="22">
        <v>91773</v>
      </c>
      <c r="R1789" s="22" t="s">
        <v>10072</v>
      </c>
      <c r="S1789" s="22" t="s">
        <v>7552</v>
      </c>
      <c r="X1789" s="26"/>
      <c r="Y1789" s="26"/>
    </row>
    <row r="1790" spans="1:25" ht="50" x14ac:dyDescent="0.25">
      <c r="A1790" s="21">
        <v>2454</v>
      </c>
      <c r="B1790" s="22" t="s">
        <v>15368</v>
      </c>
      <c r="C1790" s="22" t="s">
        <v>10067</v>
      </c>
      <c r="D1790" s="23" t="s">
        <v>8713</v>
      </c>
      <c r="E1790" s="24" t="s">
        <v>9081</v>
      </c>
      <c r="F1790" s="22" t="s">
        <v>8714</v>
      </c>
      <c r="G1790" s="23" t="s">
        <v>8715</v>
      </c>
      <c r="H1790" s="25" t="s">
        <v>15373</v>
      </c>
      <c r="I1790" s="22" t="s">
        <v>15382</v>
      </c>
      <c r="J1790" s="22" t="s">
        <v>8716</v>
      </c>
      <c r="K1790" s="26">
        <f t="shared" si="27"/>
        <v>993.33333333333326</v>
      </c>
      <c r="N1790" s="26" t="s">
        <v>9186</v>
      </c>
      <c r="O1790" s="22" t="s">
        <v>10103</v>
      </c>
      <c r="P1790" s="22" t="s">
        <v>12938</v>
      </c>
      <c r="Q1790" s="22">
        <v>91331</v>
      </c>
      <c r="R1790" s="22" t="s">
        <v>7546</v>
      </c>
      <c r="S1790" s="22" t="s">
        <v>8717</v>
      </c>
      <c r="X1790" s="26"/>
      <c r="Y1790" s="26"/>
    </row>
    <row r="1791" spans="1:25" ht="37.5" x14ac:dyDescent="0.25">
      <c r="A1791" s="21">
        <v>2455</v>
      </c>
      <c r="B1791" s="22" t="s">
        <v>15368</v>
      </c>
      <c r="C1791" s="22" t="s">
        <v>10067</v>
      </c>
      <c r="D1791" s="23" t="s">
        <v>8718</v>
      </c>
      <c r="E1791" s="24" t="s">
        <v>9081</v>
      </c>
      <c r="F1791" s="22" t="s">
        <v>8719</v>
      </c>
      <c r="G1791" s="23" t="s">
        <v>8720</v>
      </c>
      <c r="H1791" s="25" t="s">
        <v>15373</v>
      </c>
      <c r="I1791" s="22" t="s">
        <v>15374</v>
      </c>
      <c r="J1791" s="22" t="s">
        <v>9619</v>
      </c>
      <c r="K1791" s="26">
        <f t="shared" si="27"/>
        <v>1058.6666666666665</v>
      </c>
      <c r="N1791" s="26" t="s">
        <v>14174</v>
      </c>
      <c r="O1791" s="22" t="s">
        <v>8721</v>
      </c>
      <c r="P1791" s="22" t="s">
        <v>15740</v>
      </c>
      <c r="Q1791" s="22">
        <v>90807</v>
      </c>
      <c r="R1791" s="22" t="s">
        <v>10228</v>
      </c>
      <c r="S1791" s="22" t="s">
        <v>10229</v>
      </c>
      <c r="X1791" s="26"/>
      <c r="Y1791" s="26"/>
    </row>
    <row r="1792" spans="1:25" ht="37.5" x14ac:dyDescent="0.25">
      <c r="A1792" s="21">
        <v>2456</v>
      </c>
      <c r="B1792" s="22" t="s">
        <v>15368</v>
      </c>
      <c r="C1792" s="22" t="s">
        <v>10067</v>
      </c>
      <c r="D1792" s="23" t="s">
        <v>8722</v>
      </c>
      <c r="E1792" s="24" t="s">
        <v>9081</v>
      </c>
      <c r="F1792" s="22" t="s">
        <v>8723</v>
      </c>
      <c r="G1792" s="23" t="s">
        <v>8724</v>
      </c>
      <c r="H1792" s="25" t="s">
        <v>15373</v>
      </c>
      <c r="I1792" s="22" t="s">
        <v>15374</v>
      </c>
      <c r="J1792" s="22" t="s">
        <v>15420</v>
      </c>
      <c r="K1792" s="26">
        <f t="shared" si="27"/>
        <v>1435.3333333333333</v>
      </c>
      <c r="N1792" s="26" t="s">
        <v>14166</v>
      </c>
      <c r="O1792" s="22" t="s">
        <v>8725</v>
      </c>
      <c r="P1792" s="22" t="s">
        <v>16249</v>
      </c>
      <c r="Q1792" s="22">
        <v>91766</v>
      </c>
      <c r="R1792" s="22" t="s">
        <v>10072</v>
      </c>
      <c r="S1792" s="22" t="s">
        <v>10073</v>
      </c>
      <c r="X1792" s="26"/>
      <c r="Y1792" s="26"/>
    </row>
    <row r="1793" spans="1:25" ht="37.5" x14ac:dyDescent="0.25">
      <c r="A1793" s="21">
        <v>2457</v>
      </c>
      <c r="B1793" s="22" t="s">
        <v>15368</v>
      </c>
      <c r="C1793" s="22" t="s">
        <v>10067</v>
      </c>
      <c r="D1793" s="23" t="s">
        <v>8726</v>
      </c>
      <c r="E1793" s="24" t="s">
        <v>9081</v>
      </c>
      <c r="F1793" s="22" t="s">
        <v>8727</v>
      </c>
      <c r="G1793" s="23" t="s">
        <v>8728</v>
      </c>
      <c r="H1793" s="25" t="s">
        <v>15373</v>
      </c>
      <c r="I1793" s="22" t="s">
        <v>15382</v>
      </c>
      <c r="J1793" s="22" t="s">
        <v>11215</v>
      </c>
      <c r="K1793" s="26">
        <f t="shared" si="27"/>
        <v>447</v>
      </c>
      <c r="N1793" s="26" t="s">
        <v>8729</v>
      </c>
      <c r="O1793" s="22" t="s">
        <v>8730</v>
      </c>
      <c r="P1793" s="22" t="s">
        <v>14290</v>
      </c>
      <c r="Q1793" s="22">
        <v>91711</v>
      </c>
      <c r="R1793" s="22" t="s">
        <v>10072</v>
      </c>
      <c r="S1793" s="22" t="s">
        <v>7552</v>
      </c>
      <c r="X1793" s="26"/>
      <c r="Y1793" s="26"/>
    </row>
    <row r="1794" spans="1:25" ht="50" x14ac:dyDescent="0.25">
      <c r="A1794" s="21">
        <v>2458</v>
      </c>
      <c r="B1794" s="22" t="s">
        <v>15368</v>
      </c>
      <c r="C1794" s="22" t="s">
        <v>10067</v>
      </c>
      <c r="D1794" s="23" t="s">
        <v>8731</v>
      </c>
      <c r="E1794" s="24" t="s">
        <v>9081</v>
      </c>
      <c r="F1794" s="22" t="s">
        <v>8732</v>
      </c>
      <c r="G1794" s="23" t="s">
        <v>8733</v>
      </c>
      <c r="H1794" s="25" t="s">
        <v>15373</v>
      </c>
      <c r="I1794" s="22" t="s">
        <v>15374</v>
      </c>
      <c r="J1794" s="22" t="s">
        <v>9619</v>
      </c>
      <c r="K1794" s="26">
        <f t="shared" ref="K1794:K1857" si="28">L1794+M1794*(2/3)+N1794*(2/3)</f>
        <v>894</v>
      </c>
      <c r="N1794" s="26" t="s">
        <v>8734</v>
      </c>
      <c r="O1794" s="22" t="s">
        <v>8735</v>
      </c>
      <c r="P1794" s="22" t="s">
        <v>14376</v>
      </c>
      <c r="Q1794" s="22">
        <v>90404</v>
      </c>
      <c r="R1794" s="22" t="s">
        <v>7546</v>
      </c>
      <c r="S1794" s="22" t="s">
        <v>7547</v>
      </c>
      <c r="X1794" s="26"/>
      <c r="Y1794" s="26"/>
    </row>
    <row r="1795" spans="1:25" ht="37.5" x14ac:dyDescent="0.25">
      <c r="A1795" s="21">
        <v>2459</v>
      </c>
      <c r="B1795" s="22" t="s">
        <v>15368</v>
      </c>
      <c r="C1795" s="22" t="s">
        <v>10067</v>
      </c>
      <c r="D1795" s="23" t="s">
        <v>8736</v>
      </c>
      <c r="E1795" s="24" t="s">
        <v>9081</v>
      </c>
      <c r="F1795" s="22" t="s">
        <v>8737</v>
      </c>
      <c r="G1795" s="23" t="s">
        <v>8738</v>
      </c>
      <c r="H1795" s="25" t="s">
        <v>15373</v>
      </c>
      <c r="I1795" s="22" t="s">
        <v>15374</v>
      </c>
      <c r="J1795" s="22" t="s">
        <v>14165</v>
      </c>
      <c r="K1795" s="26">
        <f t="shared" si="28"/>
        <v>1898</v>
      </c>
      <c r="N1795" s="26" t="s">
        <v>8506</v>
      </c>
      <c r="O1795" s="22" t="s">
        <v>8735</v>
      </c>
      <c r="P1795" s="22" t="s">
        <v>14376</v>
      </c>
      <c r="Q1795" s="22">
        <v>90404</v>
      </c>
      <c r="R1795" s="22" t="s">
        <v>7546</v>
      </c>
      <c r="S1795" s="22" t="s">
        <v>7547</v>
      </c>
      <c r="X1795" s="26"/>
      <c r="Y1795" s="26"/>
    </row>
    <row r="1796" spans="1:25" ht="50" x14ac:dyDescent="0.25">
      <c r="A1796" s="21">
        <v>2460</v>
      </c>
      <c r="B1796" s="22" t="s">
        <v>15368</v>
      </c>
      <c r="C1796" s="22" t="s">
        <v>10067</v>
      </c>
      <c r="D1796" s="23" t="s">
        <v>8739</v>
      </c>
      <c r="E1796" s="24" t="s">
        <v>9081</v>
      </c>
      <c r="F1796" s="22" t="s">
        <v>8740</v>
      </c>
      <c r="G1796" s="23" t="s">
        <v>8741</v>
      </c>
      <c r="H1796" s="25" t="s">
        <v>15373</v>
      </c>
      <c r="I1796" s="22" t="s">
        <v>15374</v>
      </c>
      <c r="J1796" s="22" t="s">
        <v>14709</v>
      </c>
      <c r="K1796" s="26">
        <f t="shared" si="28"/>
        <v>497.33333333333331</v>
      </c>
      <c r="N1796" s="26" t="s">
        <v>10190</v>
      </c>
      <c r="O1796" s="22" t="s">
        <v>8742</v>
      </c>
      <c r="P1796" s="22" t="s">
        <v>15740</v>
      </c>
      <c r="Q1796" s="22">
        <v>90808</v>
      </c>
      <c r="R1796" s="22" t="s">
        <v>10228</v>
      </c>
      <c r="S1796" s="22" t="s">
        <v>10229</v>
      </c>
      <c r="X1796" s="26"/>
      <c r="Y1796" s="26"/>
    </row>
    <row r="1797" spans="1:25" ht="37.5" x14ac:dyDescent="0.25">
      <c r="A1797" s="21">
        <v>2461</v>
      </c>
      <c r="B1797" s="22" t="s">
        <v>15368</v>
      </c>
      <c r="C1797" s="22" t="s">
        <v>10067</v>
      </c>
      <c r="D1797" s="23" t="s">
        <v>8743</v>
      </c>
      <c r="E1797" s="24" t="s">
        <v>9081</v>
      </c>
      <c r="F1797" s="22" t="s">
        <v>8744</v>
      </c>
      <c r="G1797" s="23" t="s">
        <v>8738</v>
      </c>
      <c r="H1797" s="25" t="s">
        <v>15373</v>
      </c>
      <c r="I1797" s="22" t="s">
        <v>15374</v>
      </c>
      <c r="J1797" s="22" t="s">
        <v>15677</v>
      </c>
      <c r="K1797" s="26">
        <f t="shared" si="28"/>
        <v>1898</v>
      </c>
      <c r="N1797" s="26" t="s">
        <v>8506</v>
      </c>
      <c r="O1797" s="22" t="s">
        <v>8745</v>
      </c>
      <c r="P1797" s="22" t="s">
        <v>15740</v>
      </c>
      <c r="Q1797" s="22">
        <v>90808</v>
      </c>
      <c r="R1797" s="22" t="s">
        <v>10228</v>
      </c>
      <c r="S1797" s="22" t="s">
        <v>10229</v>
      </c>
      <c r="X1797" s="26"/>
      <c r="Y1797" s="26"/>
    </row>
    <row r="1798" spans="1:25" ht="50" x14ac:dyDescent="0.25">
      <c r="A1798" s="21">
        <v>2462</v>
      </c>
      <c r="B1798" s="22" t="s">
        <v>15368</v>
      </c>
      <c r="C1798" s="22" t="s">
        <v>10067</v>
      </c>
      <c r="D1798" s="23" t="s">
        <v>8746</v>
      </c>
      <c r="E1798" s="24" t="s">
        <v>9081</v>
      </c>
      <c r="F1798" s="22" t="s">
        <v>8747</v>
      </c>
      <c r="G1798" s="23" t="s">
        <v>8748</v>
      </c>
      <c r="H1798" s="25" t="s">
        <v>15373</v>
      </c>
      <c r="I1798" s="22" t="s">
        <v>15374</v>
      </c>
      <c r="J1798" s="22" t="s">
        <v>9619</v>
      </c>
      <c r="K1798" s="26">
        <f t="shared" si="28"/>
        <v>894</v>
      </c>
      <c r="N1798" s="26" t="s">
        <v>8734</v>
      </c>
      <c r="O1798" s="22" t="s">
        <v>8749</v>
      </c>
      <c r="P1798" s="22" t="s">
        <v>15740</v>
      </c>
      <c r="Q1798" s="22">
        <v>90802</v>
      </c>
      <c r="R1798" s="22" t="s">
        <v>10228</v>
      </c>
      <c r="S1798" s="22" t="s">
        <v>10229</v>
      </c>
      <c r="X1798" s="26"/>
      <c r="Y1798" s="26"/>
    </row>
    <row r="1799" spans="1:25" ht="37.5" x14ac:dyDescent="0.25">
      <c r="A1799" s="21">
        <v>2463</v>
      </c>
      <c r="B1799" s="22" t="s">
        <v>15368</v>
      </c>
      <c r="C1799" s="22" t="s">
        <v>10067</v>
      </c>
      <c r="D1799" s="23" t="s">
        <v>8750</v>
      </c>
      <c r="E1799" s="24" t="s">
        <v>9081</v>
      </c>
      <c r="F1799" s="22" t="s">
        <v>8751</v>
      </c>
      <c r="G1799" s="23" t="s">
        <v>8738</v>
      </c>
      <c r="H1799" s="25" t="s">
        <v>15373</v>
      </c>
      <c r="I1799" s="22" t="s">
        <v>15374</v>
      </c>
      <c r="J1799" s="22" t="s">
        <v>15677</v>
      </c>
      <c r="K1799" s="26">
        <f t="shared" si="28"/>
        <v>1898</v>
      </c>
      <c r="N1799" s="26" t="s">
        <v>8506</v>
      </c>
      <c r="O1799" s="22" t="s">
        <v>8752</v>
      </c>
      <c r="P1799" s="22" t="s">
        <v>16901</v>
      </c>
      <c r="Q1799" s="22">
        <v>91762</v>
      </c>
      <c r="R1799" s="22" t="s">
        <v>10228</v>
      </c>
      <c r="S1799" s="22" t="s">
        <v>10229</v>
      </c>
      <c r="X1799" s="26"/>
      <c r="Y1799" s="26"/>
    </row>
    <row r="1800" spans="1:25" ht="50" x14ac:dyDescent="0.25">
      <c r="A1800" s="21">
        <v>2464</v>
      </c>
      <c r="B1800" s="22" t="s">
        <v>15368</v>
      </c>
      <c r="C1800" s="22" t="s">
        <v>10067</v>
      </c>
      <c r="D1800" s="23" t="s">
        <v>8753</v>
      </c>
      <c r="E1800" s="24" t="s">
        <v>9081</v>
      </c>
      <c r="F1800" s="22" t="s">
        <v>8754</v>
      </c>
      <c r="G1800" s="23" t="s">
        <v>8755</v>
      </c>
      <c r="H1800" s="25" t="s">
        <v>15373</v>
      </c>
      <c r="I1800" s="22" t="s">
        <v>15374</v>
      </c>
      <c r="J1800" s="22" t="s">
        <v>15400</v>
      </c>
      <c r="K1800" s="26">
        <f t="shared" si="28"/>
        <v>1435.3333333333333</v>
      </c>
      <c r="N1800" s="26" t="s">
        <v>14166</v>
      </c>
      <c r="O1800" s="22" t="s">
        <v>8756</v>
      </c>
      <c r="P1800" s="22" t="s">
        <v>16347</v>
      </c>
      <c r="Q1800" s="22">
        <v>91730</v>
      </c>
      <c r="R1800" s="22" t="s">
        <v>10072</v>
      </c>
      <c r="S1800" s="22" t="s">
        <v>7552</v>
      </c>
      <c r="X1800" s="26"/>
      <c r="Y1800" s="26"/>
    </row>
    <row r="1801" spans="1:25" ht="37.5" x14ac:dyDescent="0.25">
      <c r="A1801" s="21">
        <v>2465</v>
      </c>
      <c r="B1801" s="22" t="s">
        <v>15368</v>
      </c>
      <c r="C1801" s="22" t="s">
        <v>10067</v>
      </c>
      <c r="D1801" s="23" t="s">
        <v>8757</v>
      </c>
      <c r="E1801" s="24" t="s">
        <v>9081</v>
      </c>
      <c r="F1801" s="22" t="s">
        <v>8758</v>
      </c>
      <c r="G1801" s="23" t="s">
        <v>8738</v>
      </c>
      <c r="H1801" s="25" t="s">
        <v>15373</v>
      </c>
      <c r="I1801" s="22" t="s">
        <v>15374</v>
      </c>
      <c r="J1801" s="22" t="s">
        <v>15677</v>
      </c>
      <c r="K1801" s="26">
        <f t="shared" si="28"/>
        <v>1898</v>
      </c>
      <c r="N1801" s="26" t="s">
        <v>8506</v>
      </c>
      <c r="O1801" s="22" t="s">
        <v>8745</v>
      </c>
      <c r="P1801" s="22" t="s">
        <v>15740</v>
      </c>
      <c r="Q1801" s="22">
        <v>90808</v>
      </c>
      <c r="R1801" s="22" t="s">
        <v>10228</v>
      </c>
      <c r="S1801" s="22" t="s">
        <v>10229</v>
      </c>
      <c r="X1801" s="26"/>
      <c r="Y1801" s="26"/>
    </row>
    <row r="1802" spans="1:25" ht="37.5" x14ac:dyDescent="0.25">
      <c r="A1802" s="21">
        <v>2467</v>
      </c>
      <c r="B1802" s="22" t="s">
        <v>15368</v>
      </c>
      <c r="C1802" s="22" t="s">
        <v>10067</v>
      </c>
      <c r="D1802" s="23" t="s">
        <v>8759</v>
      </c>
      <c r="E1802" s="24" t="s">
        <v>9081</v>
      </c>
      <c r="F1802" s="22" t="s">
        <v>8760</v>
      </c>
      <c r="G1802" s="23" t="s">
        <v>8761</v>
      </c>
      <c r="H1802" s="25" t="s">
        <v>15373</v>
      </c>
      <c r="I1802" s="22" t="s">
        <v>15374</v>
      </c>
      <c r="J1802" s="22" t="s">
        <v>15677</v>
      </c>
      <c r="K1802" s="26">
        <f t="shared" si="28"/>
        <v>1678.6666666666665</v>
      </c>
      <c r="N1802" s="26" t="s">
        <v>8521</v>
      </c>
      <c r="O1802" s="22" t="s">
        <v>8762</v>
      </c>
      <c r="P1802" s="22" t="s">
        <v>15740</v>
      </c>
      <c r="Q1802" s="22">
        <v>90802</v>
      </c>
      <c r="R1802" s="22" t="s">
        <v>10228</v>
      </c>
      <c r="S1802" s="22" t="s">
        <v>10229</v>
      </c>
      <c r="X1802" s="26"/>
      <c r="Y1802" s="26"/>
    </row>
    <row r="1803" spans="1:25" ht="37.5" x14ac:dyDescent="0.25">
      <c r="A1803" s="21">
        <v>2468</v>
      </c>
      <c r="B1803" s="22" t="s">
        <v>15368</v>
      </c>
      <c r="C1803" s="22" t="s">
        <v>10067</v>
      </c>
      <c r="D1803" s="23" t="s">
        <v>8763</v>
      </c>
      <c r="E1803" s="24" t="s">
        <v>9081</v>
      </c>
      <c r="F1803" s="22" t="s">
        <v>8764</v>
      </c>
      <c r="G1803" s="23" t="s">
        <v>8765</v>
      </c>
      <c r="H1803" s="25" t="s">
        <v>15373</v>
      </c>
      <c r="I1803" s="22" t="s">
        <v>15411</v>
      </c>
      <c r="J1803" s="22" t="s">
        <v>16884</v>
      </c>
      <c r="K1803" s="26">
        <f t="shared" si="28"/>
        <v>357.33333333333331</v>
      </c>
      <c r="N1803" s="26" t="s">
        <v>9178</v>
      </c>
      <c r="O1803" s="22" t="s">
        <v>8766</v>
      </c>
      <c r="P1803" s="22" t="s">
        <v>15740</v>
      </c>
      <c r="Q1803" s="22">
        <v>90806</v>
      </c>
      <c r="R1803" s="22" t="s">
        <v>10228</v>
      </c>
      <c r="S1803" s="22" t="s">
        <v>10229</v>
      </c>
      <c r="X1803" s="26"/>
      <c r="Y1803" s="26"/>
    </row>
    <row r="1804" spans="1:25" ht="37.5" x14ac:dyDescent="0.25">
      <c r="A1804" s="21">
        <v>2469</v>
      </c>
      <c r="B1804" s="22" t="s">
        <v>15368</v>
      </c>
      <c r="C1804" s="22" t="s">
        <v>8767</v>
      </c>
      <c r="D1804" s="23" t="s">
        <v>8768</v>
      </c>
      <c r="E1804" s="24" t="s">
        <v>9081</v>
      </c>
      <c r="F1804" s="22" t="s">
        <v>8769</v>
      </c>
      <c r="G1804" s="23" t="s">
        <v>8770</v>
      </c>
      <c r="H1804" s="25" t="s">
        <v>15373</v>
      </c>
      <c r="I1804" s="22" t="s">
        <v>15382</v>
      </c>
      <c r="J1804" s="22" t="s">
        <v>16450</v>
      </c>
      <c r="K1804" s="26">
        <f t="shared" si="28"/>
        <v>993.33333333333326</v>
      </c>
      <c r="N1804" s="26" t="s">
        <v>9186</v>
      </c>
      <c r="O1804" s="22" t="s">
        <v>8771</v>
      </c>
      <c r="P1804" s="22" t="s">
        <v>10083</v>
      </c>
      <c r="Q1804" s="22">
        <v>90025</v>
      </c>
      <c r="R1804" s="22" t="s">
        <v>10228</v>
      </c>
      <c r="S1804" s="22" t="s">
        <v>10229</v>
      </c>
      <c r="X1804" s="26"/>
      <c r="Y1804" s="26"/>
    </row>
    <row r="1805" spans="1:25" ht="50" x14ac:dyDescent="0.25">
      <c r="A1805" s="21">
        <v>2470</v>
      </c>
      <c r="B1805" s="22" t="s">
        <v>15368</v>
      </c>
      <c r="C1805" s="22" t="s">
        <v>8772</v>
      </c>
      <c r="D1805" s="23" t="s">
        <v>8773</v>
      </c>
      <c r="E1805" s="24" t="s">
        <v>9081</v>
      </c>
      <c r="F1805" s="22" t="s">
        <v>8774</v>
      </c>
      <c r="G1805" s="23" t="s">
        <v>8775</v>
      </c>
      <c r="H1805" s="25" t="s">
        <v>15373</v>
      </c>
      <c r="I1805" s="22" t="s">
        <v>15382</v>
      </c>
      <c r="J1805" s="22" t="s">
        <v>11107</v>
      </c>
      <c r="K1805" s="26">
        <f t="shared" si="28"/>
        <v>600</v>
      </c>
      <c r="N1805" s="26" t="s">
        <v>9812</v>
      </c>
      <c r="O1805" s="22" t="s">
        <v>16832</v>
      </c>
      <c r="P1805" s="22" t="s">
        <v>8123</v>
      </c>
      <c r="Q1805" s="22">
        <v>90250</v>
      </c>
      <c r="R1805" s="22" t="s">
        <v>8776</v>
      </c>
      <c r="S1805" s="22" t="s">
        <v>8777</v>
      </c>
      <c r="X1805" s="26"/>
      <c r="Y1805" s="26"/>
    </row>
    <row r="1806" spans="1:25" ht="37.5" x14ac:dyDescent="0.25">
      <c r="A1806" s="21">
        <v>2471</v>
      </c>
      <c r="B1806" s="22" t="s">
        <v>15368</v>
      </c>
      <c r="C1806" s="22" t="s">
        <v>8778</v>
      </c>
      <c r="D1806" s="23" t="s">
        <v>8779</v>
      </c>
      <c r="E1806" s="24" t="s">
        <v>10135</v>
      </c>
      <c r="F1806" s="22" t="s">
        <v>8780</v>
      </c>
      <c r="G1806" s="23" t="s">
        <v>8781</v>
      </c>
      <c r="H1806" s="25" t="s">
        <v>15373</v>
      </c>
      <c r="I1806" s="22" t="s">
        <v>15374</v>
      </c>
      <c r="J1806" s="22" t="s">
        <v>15441</v>
      </c>
      <c r="K1806" s="26">
        <f t="shared" si="28"/>
        <v>500</v>
      </c>
      <c r="N1806" s="26" t="s">
        <v>9245</v>
      </c>
      <c r="O1806" s="22" t="s">
        <v>8782</v>
      </c>
      <c r="P1806" s="22" t="s">
        <v>15376</v>
      </c>
      <c r="Q1806" s="22">
        <v>90025</v>
      </c>
      <c r="R1806" s="22" t="s">
        <v>8783</v>
      </c>
      <c r="S1806" s="22" t="s">
        <v>8784</v>
      </c>
      <c r="X1806" s="26"/>
      <c r="Y1806" s="26"/>
    </row>
    <row r="1807" spans="1:25" ht="50" x14ac:dyDescent="0.25">
      <c r="A1807" s="21">
        <v>2472</v>
      </c>
      <c r="B1807" s="22" t="s">
        <v>15368</v>
      </c>
      <c r="C1807" s="22" t="s">
        <v>6398</v>
      </c>
      <c r="D1807" s="23">
        <v>388954</v>
      </c>
      <c r="E1807" s="24">
        <v>2001</v>
      </c>
      <c r="F1807" s="22" t="s">
        <v>6399</v>
      </c>
      <c r="G1807" s="23" t="s">
        <v>6400</v>
      </c>
      <c r="H1807" s="25" t="s">
        <v>15373</v>
      </c>
      <c r="I1807" s="22" t="s">
        <v>15411</v>
      </c>
      <c r="J1807" s="22" t="s">
        <v>8343</v>
      </c>
      <c r="K1807" s="26">
        <f t="shared" si="28"/>
        <v>1007</v>
      </c>
      <c r="L1807" s="26" t="s">
        <v>6401</v>
      </c>
      <c r="O1807" s="22" t="s">
        <v>6402</v>
      </c>
      <c r="P1807" s="22" t="s">
        <v>14376</v>
      </c>
      <c r="Q1807" s="22">
        <v>90404</v>
      </c>
      <c r="R1807" s="22" t="s">
        <v>10375</v>
      </c>
      <c r="S1807" s="22" t="s">
        <v>10371</v>
      </c>
      <c r="X1807" s="26"/>
      <c r="Y1807" s="26"/>
    </row>
    <row r="1808" spans="1:25" ht="37.5" x14ac:dyDescent="0.25">
      <c r="A1808" s="21">
        <v>2474</v>
      </c>
      <c r="B1808" s="22" t="s">
        <v>15368</v>
      </c>
      <c r="C1808" s="22" t="s">
        <v>6403</v>
      </c>
      <c r="D1808" s="23" t="s">
        <v>6404</v>
      </c>
      <c r="E1808" s="24" t="s">
        <v>9081</v>
      </c>
      <c r="F1808" s="22" t="s">
        <v>6405</v>
      </c>
      <c r="G1808" s="23" t="s">
        <v>6406</v>
      </c>
      <c r="H1808" s="25" t="s">
        <v>15373</v>
      </c>
      <c r="I1808" s="22" t="s">
        <v>15374</v>
      </c>
      <c r="J1808" s="22" t="s">
        <v>9230</v>
      </c>
      <c r="K1808" s="26">
        <f t="shared" si="28"/>
        <v>891.33333333333326</v>
      </c>
      <c r="N1808" s="26" t="s">
        <v>6407</v>
      </c>
      <c r="O1808" s="22" t="s">
        <v>6408</v>
      </c>
      <c r="P1808" s="22" t="s">
        <v>15740</v>
      </c>
      <c r="Q1808" s="22">
        <v>90810</v>
      </c>
      <c r="R1808" s="22" t="s">
        <v>6409</v>
      </c>
      <c r="S1808" s="22" t="s">
        <v>6410</v>
      </c>
      <c r="X1808" s="26"/>
      <c r="Y1808" s="26"/>
    </row>
    <row r="1809" spans="1:25" ht="37.5" x14ac:dyDescent="0.25">
      <c r="A1809" s="21">
        <v>2475</v>
      </c>
      <c r="B1809" s="22" t="s">
        <v>15368</v>
      </c>
      <c r="C1809" s="22" t="s">
        <v>6411</v>
      </c>
      <c r="D1809" s="23" t="s">
        <v>6412</v>
      </c>
      <c r="E1809" s="24" t="s">
        <v>9081</v>
      </c>
      <c r="F1809" s="22" t="s">
        <v>6413</v>
      </c>
      <c r="G1809" s="23" t="s">
        <v>6414</v>
      </c>
      <c r="H1809" s="25" t="s">
        <v>15373</v>
      </c>
      <c r="I1809" s="22" t="s">
        <v>6415</v>
      </c>
      <c r="J1809" s="22" t="s">
        <v>6416</v>
      </c>
      <c r="K1809" s="26">
        <f t="shared" si="28"/>
        <v>580</v>
      </c>
      <c r="N1809" s="26" t="s">
        <v>6417</v>
      </c>
      <c r="O1809" s="22" t="s">
        <v>6418</v>
      </c>
      <c r="P1809" s="22" t="s">
        <v>13834</v>
      </c>
      <c r="Q1809" s="22">
        <v>90278</v>
      </c>
      <c r="R1809" s="22" t="s">
        <v>6419</v>
      </c>
      <c r="S1809" s="22" t="s">
        <v>6420</v>
      </c>
      <c r="X1809" s="26"/>
      <c r="Y1809" s="26"/>
    </row>
    <row r="1810" spans="1:25" ht="50" x14ac:dyDescent="0.25">
      <c r="A1810" s="21">
        <v>2476</v>
      </c>
      <c r="B1810" s="22" t="s">
        <v>15368</v>
      </c>
      <c r="C1810" s="22" t="s">
        <v>6421</v>
      </c>
      <c r="D1810" s="23" t="s">
        <v>6422</v>
      </c>
      <c r="E1810" s="24" t="s">
        <v>9081</v>
      </c>
      <c r="F1810" s="22" t="s">
        <v>6423</v>
      </c>
      <c r="G1810" s="23" t="s">
        <v>6424</v>
      </c>
      <c r="H1810" s="25" t="s">
        <v>15373</v>
      </c>
      <c r="I1810" s="22" t="s">
        <v>15374</v>
      </c>
      <c r="J1810" s="22" t="s">
        <v>15701</v>
      </c>
      <c r="K1810" s="26">
        <f t="shared" si="28"/>
        <v>400</v>
      </c>
      <c r="L1810" s="26" t="s">
        <v>15492</v>
      </c>
      <c r="O1810" s="22" t="s">
        <v>6425</v>
      </c>
      <c r="P1810" s="22" t="s">
        <v>12474</v>
      </c>
      <c r="Q1810" s="22">
        <v>92376</v>
      </c>
      <c r="R1810" s="22" t="s">
        <v>6426</v>
      </c>
      <c r="S1810" s="22" t="s">
        <v>6427</v>
      </c>
      <c r="X1810" s="26"/>
      <c r="Y1810" s="26"/>
    </row>
    <row r="1811" spans="1:25" ht="50" x14ac:dyDescent="0.25">
      <c r="A1811" s="21">
        <v>2477</v>
      </c>
      <c r="B1811" s="22" t="s">
        <v>15368</v>
      </c>
      <c r="C1811" s="22" t="s">
        <v>6421</v>
      </c>
      <c r="D1811" s="23" t="s">
        <v>6428</v>
      </c>
      <c r="E1811" s="24" t="s">
        <v>9081</v>
      </c>
      <c r="F1811" s="22" t="s">
        <v>6429</v>
      </c>
      <c r="G1811" s="23" t="s">
        <v>6430</v>
      </c>
      <c r="H1811" s="25" t="s">
        <v>15373</v>
      </c>
      <c r="I1811" s="22" t="s">
        <v>15374</v>
      </c>
      <c r="J1811" s="22" t="s">
        <v>15701</v>
      </c>
      <c r="K1811" s="26">
        <f t="shared" si="28"/>
        <v>400</v>
      </c>
      <c r="L1811" s="26" t="s">
        <v>15492</v>
      </c>
      <c r="O1811" s="22" t="s">
        <v>6425</v>
      </c>
      <c r="P1811" s="22" t="s">
        <v>12474</v>
      </c>
      <c r="Q1811" s="22">
        <v>92376</v>
      </c>
      <c r="R1811" s="22" t="s">
        <v>6426</v>
      </c>
      <c r="S1811" s="22" t="s">
        <v>6427</v>
      </c>
      <c r="X1811" s="26"/>
      <c r="Y1811" s="26"/>
    </row>
    <row r="1812" spans="1:25" ht="37.5" x14ac:dyDescent="0.25">
      <c r="A1812" s="21">
        <v>2478</v>
      </c>
      <c r="B1812" s="22" t="s">
        <v>15368</v>
      </c>
      <c r="C1812" s="22" t="s">
        <v>6431</v>
      </c>
      <c r="D1812" s="23">
        <v>364889</v>
      </c>
      <c r="E1812" s="24">
        <v>2000</v>
      </c>
      <c r="F1812" s="22" t="s">
        <v>6432</v>
      </c>
      <c r="G1812" s="23" t="s">
        <v>8816</v>
      </c>
      <c r="H1812" s="25" t="s">
        <v>15373</v>
      </c>
      <c r="I1812" s="22" t="s">
        <v>15374</v>
      </c>
      <c r="J1812" s="22" t="s">
        <v>15701</v>
      </c>
      <c r="K1812" s="26">
        <f t="shared" si="28"/>
        <v>400</v>
      </c>
      <c r="L1812" s="26" t="s">
        <v>15492</v>
      </c>
      <c r="O1812" s="22" t="s">
        <v>6433</v>
      </c>
      <c r="P1812" s="22" t="s">
        <v>15118</v>
      </c>
      <c r="Q1812" s="22">
        <v>92399</v>
      </c>
      <c r="R1812" s="22" t="s">
        <v>6434</v>
      </c>
      <c r="S1812" s="22" t="s">
        <v>6435</v>
      </c>
      <c r="X1812" s="26"/>
      <c r="Y1812" s="26"/>
    </row>
    <row r="1813" spans="1:25" ht="50" x14ac:dyDescent="0.25">
      <c r="A1813" s="21">
        <v>2479</v>
      </c>
      <c r="B1813" s="22" t="s">
        <v>15368</v>
      </c>
      <c r="C1813" s="22" t="s">
        <v>10456</v>
      </c>
      <c r="D1813" s="23">
        <v>392630</v>
      </c>
      <c r="E1813" s="24">
        <v>2001</v>
      </c>
      <c r="F1813" s="22" t="s">
        <v>6436</v>
      </c>
      <c r="G1813" s="23" t="s">
        <v>6437</v>
      </c>
      <c r="H1813" s="25" t="s">
        <v>15373</v>
      </c>
      <c r="I1813" s="22" t="s">
        <v>15374</v>
      </c>
      <c r="J1813" s="22" t="s">
        <v>11368</v>
      </c>
      <c r="K1813" s="26">
        <f t="shared" si="28"/>
        <v>986.66666666666663</v>
      </c>
      <c r="N1813" s="26" t="s">
        <v>10277</v>
      </c>
      <c r="O1813" s="22" t="s">
        <v>10460</v>
      </c>
      <c r="P1813" s="22" t="s">
        <v>15376</v>
      </c>
      <c r="Q1813" s="22">
        <v>90033</v>
      </c>
      <c r="R1813" s="22" t="s">
        <v>6438</v>
      </c>
      <c r="S1813" s="22" t="s">
        <v>10462</v>
      </c>
      <c r="X1813" s="26"/>
      <c r="Y1813" s="26"/>
    </row>
    <row r="1814" spans="1:25" ht="50" x14ac:dyDescent="0.25">
      <c r="A1814" s="21">
        <v>2480</v>
      </c>
      <c r="B1814" s="22" t="s">
        <v>15368</v>
      </c>
      <c r="C1814" s="22" t="s">
        <v>10456</v>
      </c>
      <c r="D1814" s="23">
        <v>392631</v>
      </c>
      <c r="E1814" s="24">
        <v>2001</v>
      </c>
      <c r="F1814" s="22" t="s">
        <v>6439</v>
      </c>
      <c r="G1814" s="23" t="s">
        <v>6440</v>
      </c>
      <c r="H1814" s="25" t="s">
        <v>15373</v>
      </c>
      <c r="I1814" s="22" t="s">
        <v>15374</v>
      </c>
      <c r="J1814" s="22" t="s">
        <v>11368</v>
      </c>
      <c r="K1814" s="26">
        <f t="shared" si="28"/>
        <v>986.66666666666663</v>
      </c>
      <c r="N1814" s="26" t="s">
        <v>10277</v>
      </c>
      <c r="O1814" s="22" t="s">
        <v>10460</v>
      </c>
      <c r="P1814" s="22" t="s">
        <v>15376</v>
      </c>
      <c r="Q1814" s="22">
        <v>90033</v>
      </c>
      <c r="R1814" s="22" t="s">
        <v>6438</v>
      </c>
      <c r="S1814" s="22" t="s">
        <v>10462</v>
      </c>
      <c r="X1814" s="26"/>
      <c r="Y1814" s="26"/>
    </row>
    <row r="1815" spans="1:25" ht="50" x14ac:dyDescent="0.25">
      <c r="A1815" s="21">
        <v>2481</v>
      </c>
      <c r="B1815" s="22" t="s">
        <v>15368</v>
      </c>
      <c r="C1815" s="22" t="s">
        <v>10456</v>
      </c>
      <c r="D1815" s="23" t="s">
        <v>6441</v>
      </c>
      <c r="E1815" s="24">
        <v>2001</v>
      </c>
      <c r="F1815" s="22" t="s">
        <v>6442</v>
      </c>
      <c r="G1815" s="23" t="s">
        <v>6443</v>
      </c>
      <c r="H1815" s="25" t="s">
        <v>15373</v>
      </c>
      <c r="I1815" s="22" t="s">
        <v>15374</v>
      </c>
      <c r="J1815" s="22" t="s">
        <v>11368</v>
      </c>
      <c r="K1815" s="26">
        <f t="shared" si="28"/>
        <v>986.66666666666663</v>
      </c>
      <c r="N1815" s="26" t="s">
        <v>10277</v>
      </c>
      <c r="O1815" s="22" t="s">
        <v>10460</v>
      </c>
      <c r="P1815" s="22" t="s">
        <v>15376</v>
      </c>
      <c r="Q1815" s="22">
        <v>90033</v>
      </c>
      <c r="R1815" s="22" t="s">
        <v>6438</v>
      </c>
      <c r="S1815" s="22" t="s">
        <v>10462</v>
      </c>
      <c r="X1815" s="26"/>
      <c r="Y1815" s="26"/>
    </row>
    <row r="1816" spans="1:25" ht="50" x14ac:dyDescent="0.25">
      <c r="A1816" s="21">
        <v>2482</v>
      </c>
      <c r="B1816" s="22" t="s">
        <v>15368</v>
      </c>
      <c r="C1816" s="22" t="s">
        <v>6444</v>
      </c>
      <c r="D1816" s="23" t="s">
        <v>6445</v>
      </c>
      <c r="E1816" s="24" t="s">
        <v>9081</v>
      </c>
      <c r="F1816" s="22" t="s">
        <v>6446</v>
      </c>
      <c r="G1816" s="23" t="s">
        <v>8097</v>
      </c>
      <c r="H1816" s="25" t="s">
        <v>15373</v>
      </c>
      <c r="I1816" s="22" t="s">
        <v>15411</v>
      </c>
      <c r="J1816" s="22" t="s">
        <v>8271</v>
      </c>
      <c r="K1816" s="26">
        <f t="shared" si="28"/>
        <v>835</v>
      </c>
      <c r="L1816" s="26" t="s">
        <v>8098</v>
      </c>
      <c r="O1816" s="22" t="s">
        <v>6447</v>
      </c>
      <c r="P1816" s="22" t="s">
        <v>14890</v>
      </c>
      <c r="Q1816" s="22">
        <v>90608</v>
      </c>
      <c r="R1816" s="22" t="s">
        <v>6448</v>
      </c>
      <c r="S1816" s="22" t="s">
        <v>6449</v>
      </c>
      <c r="X1816" s="26"/>
      <c r="Y1816" s="26"/>
    </row>
    <row r="1817" spans="1:25" ht="37.5" x14ac:dyDescent="0.25">
      <c r="A1817" s="21">
        <v>2483</v>
      </c>
      <c r="B1817" s="22" t="s">
        <v>15368</v>
      </c>
      <c r="C1817" s="22" t="s">
        <v>6450</v>
      </c>
      <c r="D1817" s="23" t="s">
        <v>6451</v>
      </c>
      <c r="E1817" s="24">
        <v>2001</v>
      </c>
      <c r="F1817" s="22" t="s">
        <v>6452</v>
      </c>
      <c r="G1817" s="23" t="s">
        <v>6453</v>
      </c>
      <c r="H1817" s="25" t="s">
        <v>15373</v>
      </c>
      <c r="I1817" s="22" t="s">
        <v>15374</v>
      </c>
      <c r="J1817" s="22" t="s">
        <v>11368</v>
      </c>
      <c r="K1817" s="26">
        <f t="shared" si="28"/>
        <v>976.66666666666663</v>
      </c>
      <c r="N1817" s="26" t="s">
        <v>6454</v>
      </c>
      <c r="O1817" s="22" t="s">
        <v>6455</v>
      </c>
      <c r="P1817" s="22" t="s">
        <v>15376</v>
      </c>
      <c r="Q1817" s="22">
        <v>90066</v>
      </c>
      <c r="R1817" s="22" t="s">
        <v>6456</v>
      </c>
      <c r="S1817" s="22" t="s">
        <v>6457</v>
      </c>
      <c r="X1817" s="26"/>
      <c r="Y1817" s="26"/>
    </row>
    <row r="1818" spans="1:25" ht="37.5" x14ac:dyDescent="0.25">
      <c r="A1818" s="21">
        <v>2484</v>
      </c>
      <c r="B1818" s="22" t="s">
        <v>15368</v>
      </c>
      <c r="C1818" s="22" t="s">
        <v>6450</v>
      </c>
      <c r="D1818" s="23" t="s">
        <v>6458</v>
      </c>
      <c r="E1818" s="24">
        <v>2001</v>
      </c>
      <c r="F1818" s="22" t="s">
        <v>6459</v>
      </c>
      <c r="G1818" s="23" t="s">
        <v>6453</v>
      </c>
      <c r="H1818" s="25" t="s">
        <v>15373</v>
      </c>
      <c r="I1818" s="22" t="s">
        <v>15374</v>
      </c>
      <c r="J1818" s="22" t="s">
        <v>11368</v>
      </c>
      <c r="K1818" s="26">
        <f t="shared" si="28"/>
        <v>976.66666666666663</v>
      </c>
      <c r="N1818" s="26" t="s">
        <v>6454</v>
      </c>
      <c r="O1818" s="22" t="s">
        <v>6455</v>
      </c>
      <c r="P1818" s="22" t="s">
        <v>15376</v>
      </c>
      <c r="Q1818" s="22">
        <v>90066</v>
      </c>
      <c r="R1818" s="22" t="s">
        <v>6456</v>
      </c>
      <c r="S1818" s="22" t="s">
        <v>6457</v>
      </c>
      <c r="X1818" s="26"/>
      <c r="Y1818" s="26"/>
    </row>
    <row r="1819" spans="1:25" ht="50" x14ac:dyDescent="0.25">
      <c r="A1819" s="21">
        <v>2485</v>
      </c>
      <c r="B1819" s="22" t="s">
        <v>15368</v>
      </c>
      <c r="C1819" s="22" t="s">
        <v>6460</v>
      </c>
      <c r="D1819" s="23" t="s">
        <v>6461</v>
      </c>
      <c r="E1819" s="24" t="s">
        <v>9081</v>
      </c>
      <c r="F1819" s="22" t="s">
        <v>6462</v>
      </c>
      <c r="G1819" s="23" t="s">
        <v>6463</v>
      </c>
      <c r="H1819" s="25" t="s">
        <v>15373</v>
      </c>
      <c r="I1819" s="22" t="s">
        <v>15374</v>
      </c>
      <c r="J1819" s="22" t="s">
        <v>15677</v>
      </c>
      <c r="K1819" s="26">
        <f t="shared" si="28"/>
        <v>1898</v>
      </c>
      <c r="N1819" s="26" t="s">
        <v>8506</v>
      </c>
      <c r="O1819" s="22" t="s">
        <v>6464</v>
      </c>
      <c r="P1819" s="22" t="s">
        <v>16786</v>
      </c>
      <c r="Q1819" s="22">
        <v>92801</v>
      </c>
      <c r="R1819" s="22" t="s">
        <v>6465</v>
      </c>
      <c r="S1819" s="22" t="s">
        <v>6466</v>
      </c>
      <c r="X1819" s="26"/>
      <c r="Y1819" s="26"/>
    </row>
    <row r="1820" spans="1:25" ht="50" x14ac:dyDescent="0.25">
      <c r="A1820" s="21">
        <v>2486</v>
      </c>
      <c r="B1820" s="22" t="s">
        <v>15368</v>
      </c>
      <c r="C1820" s="22" t="s">
        <v>6460</v>
      </c>
      <c r="D1820" s="23" t="s">
        <v>6467</v>
      </c>
      <c r="E1820" s="24" t="s">
        <v>9081</v>
      </c>
      <c r="F1820" s="22" t="s">
        <v>6468</v>
      </c>
      <c r="G1820" s="23" t="s">
        <v>6469</v>
      </c>
      <c r="H1820" s="25" t="s">
        <v>15373</v>
      </c>
      <c r="I1820" s="22" t="s">
        <v>15374</v>
      </c>
      <c r="J1820" s="22" t="s">
        <v>15677</v>
      </c>
      <c r="K1820" s="26">
        <f t="shared" si="28"/>
        <v>1898</v>
      </c>
      <c r="N1820" s="26" t="s">
        <v>8506</v>
      </c>
      <c r="O1820" s="22" t="s">
        <v>6464</v>
      </c>
      <c r="P1820" s="22" t="s">
        <v>16786</v>
      </c>
      <c r="Q1820" s="22">
        <v>92801</v>
      </c>
      <c r="R1820" s="22" t="s">
        <v>6465</v>
      </c>
      <c r="S1820" s="22" t="s">
        <v>6466</v>
      </c>
      <c r="X1820" s="26"/>
      <c r="Y1820" s="26"/>
    </row>
    <row r="1821" spans="1:25" ht="50" x14ac:dyDescent="0.25">
      <c r="A1821" s="21">
        <v>2487</v>
      </c>
      <c r="B1821" s="22" t="s">
        <v>15368</v>
      </c>
      <c r="C1821" s="22" t="s">
        <v>6470</v>
      </c>
      <c r="D1821" s="23">
        <v>355395</v>
      </c>
      <c r="E1821" s="24">
        <v>1999</v>
      </c>
      <c r="F1821" s="22" t="s">
        <v>6471</v>
      </c>
      <c r="G1821" s="23" t="s">
        <v>7662</v>
      </c>
      <c r="H1821" s="25" t="s">
        <v>15373</v>
      </c>
      <c r="I1821" s="22" t="s">
        <v>15411</v>
      </c>
      <c r="J1821" s="22" t="s">
        <v>7663</v>
      </c>
      <c r="K1821" s="26">
        <f t="shared" si="28"/>
        <v>1900</v>
      </c>
      <c r="L1821" s="26" t="s">
        <v>7590</v>
      </c>
      <c r="O1821" s="22" t="s">
        <v>7664</v>
      </c>
      <c r="P1821" s="22" t="s">
        <v>16794</v>
      </c>
      <c r="Q1821" s="22">
        <v>92507</v>
      </c>
      <c r="R1821" s="22" t="s">
        <v>7665</v>
      </c>
      <c r="S1821" s="22" t="s">
        <v>7666</v>
      </c>
      <c r="X1821" s="26"/>
      <c r="Y1821" s="26"/>
    </row>
    <row r="1822" spans="1:25" ht="37.5" x14ac:dyDescent="0.25">
      <c r="A1822" s="21">
        <v>2489</v>
      </c>
      <c r="B1822" s="22" t="s">
        <v>15368</v>
      </c>
      <c r="C1822" s="22" t="s">
        <v>7667</v>
      </c>
      <c r="D1822" s="23" t="s">
        <v>7668</v>
      </c>
      <c r="E1822" s="24" t="s">
        <v>9081</v>
      </c>
      <c r="F1822" s="22" t="s">
        <v>7669</v>
      </c>
      <c r="G1822" s="23" t="s">
        <v>7670</v>
      </c>
      <c r="H1822" s="25" t="s">
        <v>15373</v>
      </c>
      <c r="I1822" s="22" t="s">
        <v>15374</v>
      </c>
      <c r="J1822" s="22" t="s">
        <v>16869</v>
      </c>
      <c r="K1822" s="26">
        <f t="shared" si="28"/>
        <v>363.33333333333331</v>
      </c>
      <c r="N1822" s="26" t="s">
        <v>9168</v>
      </c>
      <c r="O1822" s="22" t="s">
        <v>7671</v>
      </c>
      <c r="P1822" s="22" t="s">
        <v>14376</v>
      </c>
      <c r="Q1822" s="22">
        <v>90401</v>
      </c>
      <c r="R1822" s="22" t="s">
        <v>7672</v>
      </c>
      <c r="S1822" s="22" t="s">
        <v>7673</v>
      </c>
      <c r="X1822" s="26"/>
      <c r="Y1822" s="26"/>
    </row>
    <row r="1823" spans="1:25" ht="37.5" x14ac:dyDescent="0.25">
      <c r="A1823" s="21">
        <v>2490</v>
      </c>
      <c r="B1823" s="22" t="s">
        <v>15368</v>
      </c>
      <c r="C1823" s="22" t="s">
        <v>7674</v>
      </c>
      <c r="D1823" s="23">
        <v>354678</v>
      </c>
      <c r="E1823" s="24">
        <v>1999</v>
      </c>
      <c r="F1823" s="22" t="s">
        <v>7675</v>
      </c>
      <c r="G1823" s="23" t="s">
        <v>7676</v>
      </c>
      <c r="H1823" s="25" t="s">
        <v>15373</v>
      </c>
      <c r="I1823" s="22" t="s">
        <v>15374</v>
      </c>
      <c r="J1823" s="22" t="s">
        <v>15062</v>
      </c>
      <c r="K1823" s="26">
        <f t="shared" si="28"/>
        <v>346</v>
      </c>
      <c r="N1823" s="26" t="s">
        <v>8829</v>
      </c>
      <c r="O1823" s="22" t="s">
        <v>7677</v>
      </c>
      <c r="P1823" s="22" t="s">
        <v>15376</v>
      </c>
      <c r="Q1823" s="22">
        <v>90010</v>
      </c>
      <c r="R1823" s="22" t="s">
        <v>7678</v>
      </c>
      <c r="S1823" s="22" t="s">
        <v>7679</v>
      </c>
      <c r="X1823" s="26"/>
      <c r="Y1823" s="26"/>
    </row>
    <row r="1824" spans="1:25" ht="37.5" x14ac:dyDescent="0.25">
      <c r="A1824" s="21">
        <v>2491</v>
      </c>
      <c r="B1824" s="22" t="s">
        <v>15368</v>
      </c>
      <c r="C1824" s="22" t="s">
        <v>7680</v>
      </c>
      <c r="D1824" s="23" t="s">
        <v>7681</v>
      </c>
      <c r="E1824" s="24" t="s">
        <v>9081</v>
      </c>
      <c r="F1824" s="22" t="s">
        <v>7682</v>
      </c>
      <c r="G1824" s="23" t="s">
        <v>7683</v>
      </c>
      <c r="H1824" s="25" t="s">
        <v>15373</v>
      </c>
      <c r="I1824" s="22" t="s">
        <v>15374</v>
      </c>
      <c r="J1824" s="22" t="s">
        <v>16266</v>
      </c>
      <c r="K1824" s="26">
        <f t="shared" si="28"/>
        <v>356</v>
      </c>
      <c r="N1824" s="26" t="s">
        <v>9091</v>
      </c>
      <c r="O1824" s="22" t="s">
        <v>7684</v>
      </c>
      <c r="P1824" s="22" t="s">
        <v>14020</v>
      </c>
      <c r="Q1824" s="22">
        <v>92705</v>
      </c>
      <c r="R1824" s="22" t="s">
        <v>7685</v>
      </c>
      <c r="S1824" s="22" t="s">
        <v>7686</v>
      </c>
      <c r="X1824" s="26"/>
      <c r="Y1824" s="26"/>
    </row>
    <row r="1825" spans="1:25" ht="50" x14ac:dyDescent="0.25">
      <c r="A1825" s="21">
        <v>2492</v>
      </c>
      <c r="B1825" s="22" t="s">
        <v>15368</v>
      </c>
      <c r="C1825" s="22" t="s">
        <v>7687</v>
      </c>
      <c r="D1825" s="23">
        <v>405339</v>
      </c>
      <c r="E1825" s="24">
        <v>2002</v>
      </c>
      <c r="F1825" s="22" t="s">
        <v>7688</v>
      </c>
      <c r="G1825" s="23" t="s">
        <v>7689</v>
      </c>
      <c r="H1825" s="25" t="s">
        <v>15373</v>
      </c>
      <c r="I1825" s="22" t="s">
        <v>15382</v>
      </c>
      <c r="J1825" s="22" t="s">
        <v>16792</v>
      </c>
      <c r="K1825" s="26">
        <f t="shared" si="28"/>
        <v>399</v>
      </c>
      <c r="L1825" s="26">
        <v>399</v>
      </c>
      <c r="O1825" s="22" t="s">
        <v>7690</v>
      </c>
      <c r="P1825" s="22" t="s">
        <v>7691</v>
      </c>
      <c r="Q1825" s="22">
        <v>92612</v>
      </c>
      <c r="R1825" s="22" t="s">
        <v>7692</v>
      </c>
      <c r="S1825" s="22" t="s">
        <v>7693</v>
      </c>
      <c r="X1825" s="26"/>
      <c r="Y1825" s="26"/>
    </row>
    <row r="1826" spans="1:25" ht="37.5" x14ac:dyDescent="0.25">
      <c r="A1826" s="21">
        <v>2493</v>
      </c>
      <c r="B1826" s="22" t="s">
        <v>15368</v>
      </c>
      <c r="C1826" s="22" t="s">
        <v>7694</v>
      </c>
      <c r="D1826" s="23">
        <v>399055</v>
      </c>
      <c r="E1826" s="24">
        <v>2002</v>
      </c>
      <c r="F1826" s="22" t="s">
        <v>7695</v>
      </c>
      <c r="G1826" s="23" t="s">
        <v>7696</v>
      </c>
      <c r="H1826" s="25" t="s">
        <v>15373</v>
      </c>
      <c r="I1826" s="22" t="s">
        <v>15411</v>
      </c>
      <c r="J1826" s="22" t="s">
        <v>16884</v>
      </c>
      <c r="K1826" s="26">
        <f t="shared" si="28"/>
        <v>420</v>
      </c>
      <c r="N1826" s="26">
        <v>630</v>
      </c>
      <c r="O1826" s="22" t="s">
        <v>7697</v>
      </c>
      <c r="P1826" s="22" t="s">
        <v>7698</v>
      </c>
      <c r="Q1826" s="22">
        <v>92660</v>
      </c>
      <c r="R1826" s="22" t="s">
        <v>7699</v>
      </c>
      <c r="S1826" s="22" t="s">
        <v>7700</v>
      </c>
      <c r="X1826" s="26"/>
      <c r="Y1826" s="26"/>
    </row>
    <row r="1827" spans="1:25" ht="50" x14ac:dyDescent="0.25">
      <c r="A1827" s="21">
        <v>2495</v>
      </c>
      <c r="B1827" s="22" t="s">
        <v>15368</v>
      </c>
      <c r="C1827" s="22" t="s">
        <v>7702</v>
      </c>
      <c r="D1827" s="23">
        <v>398951</v>
      </c>
      <c r="E1827" s="24">
        <v>2002</v>
      </c>
      <c r="F1827" s="22" t="s">
        <v>7703</v>
      </c>
      <c r="G1827" s="23" t="s">
        <v>7704</v>
      </c>
      <c r="H1827" s="25" t="s">
        <v>15373</v>
      </c>
      <c r="I1827" s="22" t="s">
        <v>15411</v>
      </c>
      <c r="J1827" s="22" t="s">
        <v>13080</v>
      </c>
      <c r="K1827" s="26">
        <f t="shared" si="28"/>
        <v>606.66666666666663</v>
      </c>
      <c r="N1827" s="26">
        <v>910</v>
      </c>
      <c r="O1827" s="22" t="s">
        <v>7705</v>
      </c>
      <c r="P1827" s="22" t="s">
        <v>7706</v>
      </c>
      <c r="Q1827" s="22">
        <v>91761</v>
      </c>
      <c r="R1827" s="22" t="s">
        <v>7707</v>
      </c>
      <c r="S1827" s="22" t="s">
        <v>7708</v>
      </c>
      <c r="X1827" s="26"/>
      <c r="Y1827" s="26"/>
    </row>
    <row r="1828" spans="1:25" ht="37.5" x14ac:dyDescent="0.25">
      <c r="A1828" s="21">
        <v>2496</v>
      </c>
      <c r="B1828" s="22" t="s">
        <v>15368</v>
      </c>
      <c r="C1828" s="22" t="s">
        <v>7709</v>
      </c>
      <c r="D1828" s="23">
        <v>403486</v>
      </c>
      <c r="E1828" s="24">
        <v>2002</v>
      </c>
      <c r="F1828" s="22" t="s">
        <v>7710</v>
      </c>
      <c r="G1828" s="23" t="s">
        <v>7711</v>
      </c>
      <c r="H1828" s="25" t="s">
        <v>15373</v>
      </c>
      <c r="I1828" s="22" t="s">
        <v>15382</v>
      </c>
      <c r="J1828" s="22" t="s">
        <v>15723</v>
      </c>
      <c r="K1828" s="26">
        <f t="shared" si="28"/>
        <v>1233.3333333333333</v>
      </c>
      <c r="N1828" s="26">
        <v>1850</v>
      </c>
      <c r="O1828" s="22" t="s">
        <v>7712</v>
      </c>
      <c r="P1828" s="22" t="s">
        <v>7713</v>
      </c>
      <c r="Q1828" s="22">
        <v>92705</v>
      </c>
      <c r="R1828" s="22" t="s">
        <v>7714</v>
      </c>
      <c r="S1828" s="22" t="s">
        <v>7715</v>
      </c>
      <c r="X1828" s="26"/>
      <c r="Y1828" s="26"/>
    </row>
    <row r="1829" spans="1:25" ht="37.5" x14ac:dyDescent="0.25">
      <c r="A1829" s="21">
        <v>2497</v>
      </c>
      <c r="B1829" s="22" t="s">
        <v>15368</v>
      </c>
      <c r="C1829" s="22" t="s">
        <v>7716</v>
      </c>
      <c r="D1829" s="23">
        <v>399354</v>
      </c>
      <c r="E1829" s="24">
        <v>2002</v>
      </c>
      <c r="F1829" s="22" t="s">
        <v>7717</v>
      </c>
      <c r="G1829" s="23" t="s">
        <v>7718</v>
      </c>
      <c r="H1829" s="25" t="s">
        <v>15373</v>
      </c>
      <c r="I1829" s="22" t="s">
        <v>15382</v>
      </c>
      <c r="J1829" s="22" t="s">
        <v>16799</v>
      </c>
      <c r="K1829" s="26">
        <f t="shared" si="28"/>
        <v>503.33333333333331</v>
      </c>
      <c r="N1829" s="26">
        <v>755</v>
      </c>
      <c r="O1829" s="22" t="s">
        <v>7719</v>
      </c>
      <c r="P1829" s="22" t="s">
        <v>7720</v>
      </c>
      <c r="Q1829" s="22">
        <v>90220</v>
      </c>
      <c r="R1829" s="22" t="s">
        <v>7721</v>
      </c>
      <c r="S1829" s="22" t="s">
        <v>7722</v>
      </c>
      <c r="X1829" s="26"/>
      <c r="Y1829" s="26"/>
    </row>
    <row r="1830" spans="1:25" ht="50" x14ac:dyDescent="0.25">
      <c r="A1830" s="21">
        <v>2498</v>
      </c>
      <c r="B1830" s="22" t="s">
        <v>15368</v>
      </c>
      <c r="C1830" s="22" t="s">
        <v>7723</v>
      </c>
      <c r="D1830" s="23">
        <v>399342</v>
      </c>
      <c r="E1830" s="24">
        <v>2002</v>
      </c>
      <c r="F1830" s="22" t="s">
        <v>7724</v>
      </c>
      <c r="G1830" s="23" t="s">
        <v>7725</v>
      </c>
      <c r="H1830" s="25" t="s">
        <v>15373</v>
      </c>
      <c r="I1830" s="22" t="s">
        <v>15382</v>
      </c>
      <c r="J1830" s="22" t="s">
        <v>16450</v>
      </c>
      <c r="K1830" s="26">
        <f t="shared" si="28"/>
        <v>1112</v>
      </c>
      <c r="L1830" s="26">
        <v>1112</v>
      </c>
      <c r="O1830" s="22" t="s">
        <v>7726</v>
      </c>
      <c r="P1830" s="22" t="s">
        <v>7720</v>
      </c>
      <c r="Q1830" s="22">
        <v>90220</v>
      </c>
      <c r="R1830" s="22" t="s">
        <v>7727</v>
      </c>
      <c r="S1830" s="22" t="s">
        <v>7728</v>
      </c>
      <c r="X1830" s="26"/>
      <c r="Y1830" s="26"/>
    </row>
    <row r="1831" spans="1:25" ht="75" x14ac:dyDescent="0.25">
      <c r="A1831" s="21">
        <v>2499</v>
      </c>
      <c r="B1831" s="22" t="s">
        <v>15368</v>
      </c>
      <c r="C1831" s="22" t="s">
        <v>7729</v>
      </c>
      <c r="D1831" s="23">
        <v>403678</v>
      </c>
      <c r="E1831" s="24">
        <v>2002</v>
      </c>
      <c r="F1831" s="22" t="s">
        <v>7730</v>
      </c>
      <c r="G1831" s="23" t="s">
        <v>7731</v>
      </c>
      <c r="H1831" s="25" t="s">
        <v>16310</v>
      </c>
      <c r="I1831" s="22" t="s">
        <v>15374</v>
      </c>
      <c r="J1831" s="22" t="s">
        <v>7732</v>
      </c>
      <c r="K1831" s="26">
        <f t="shared" si="28"/>
        <v>460</v>
      </c>
      <c r="N1831" s="26">
        <v>690</v>
      </c>
      <c r="O1831" s="22" t="s">
        <v>7733</v>
      </c>
      <c r="P1831" s="22" t="s">
        <v>7734</v>
      </c>
      <c r="Q1831" s="22">
        <v>90255</v>
      </c>
      <c r="R1831" s="22" t="s">
        <v>7735</v>
      </c>
      <c r="S1831" s="22" t="s">
        <v>7736</v>
      </c>
      <c r="X1831" s="26"/>
      <c r="Y1831" s="26"/>
    </row>
    <row r="1832" spans="1:25" ht="50" x14ac:dyDescent="0.25">
      <c r="A1832" s="21">
        <v>10000</v>
      </c>
      <c r="B1832" s="22" t="s">
        <v>15368</v>
      </c>
      <c r="C1832" s="22" t="s">
        <v>7737</v>
      </c>
      <c r="D1832" s="23">
        <v>401245</v>
      </c>
      <c r="E1832" s="24">
        <v>2002</v>
      </c>
      <c r="F1832" s="22" t="s">
        <v>7738</v>
      </c>
      <c r="G1832" s="23" t="s">
        <v>7739</v>
      </c>
      <c r="H1832" s="25" t="s">
        <v>15373</v>
      </c>
      <c r="I1832" s="22" t="s">
        <v>15411</v>
      </c>
      <c r="J1832" s="22" t="s">
        <v>16517</v>
      </c>
      <c r="K1832" s="26">
        <f t="shared" si="28"/>
        <v>310</v>
      </c>
      <c r="L1832" s="26">
        <v>310</v>
      </c>
      <c r="O1832" s="22" t="s">
        <v>7740</v>
      </c>
      <c r="P1832" s="22" t="s">
        <v>7741</v>
      </c>
      <c r="Q1832" s="22">
        <v>90731</v>
      </c>
      <c r="R1832" s="22" t="s">
        <v>7742</v>
      </c>
      <c r="S1832" s="22" t="s">
        <v>7743</v>
      </c>
      <c r="X1832" s="26"/>
      <c r="Y1832" s="26"/>
    </row>
    <row r="1833" spans="1:25" ht="37.5" x14ac:dyDescent="0.25">
      <c r="A1833" s="21">
        <v>10001</v>
      </c>
      <c r="B1833" s="22" t="s">
        <v>15368</v>
      </c>
      <c r="C1833" s="22" t="s">
        <v>7744</v>
      </c>
      <c r="D1833" s="23">
        <v>397913</v>
      </c>
      <c r="E1833" s="24">
        <v>2002</v>
      </c>
      <c r="F1833" s="22" t="s">
        <v>7745</v>
      </c>
      <c r="G1833" s="23" t="s">
        <v>7746</v>
      </c>
      <c r="H1833" s="25" t="s">
        <v>15373</v>
      </c>
      <c r="I1833" s="22" t="s">
        <v>15382</v>
      </c>
      <c r="J1833" s="22" t="s">
        <v>15391</v>
      </c>
      <c r="K1833" s="26">
        <f t="shared" si="28"/>
        <v>1480</v>
      </c>
      <c r="N1833" s="26">
        <v>2220</v>
      </c>
      <c r="O1833" s="22" t="s">
        <v>7747</v>
      </c>
      <c r="P1833" s="22" t="s">
        <v>16853</v>
      </c>
      <c r="Q1833" s="22">
        <v>92614</v>
      </c>
      <c r="R1833" s="22" t="s">
        <v>7748</v>
      </c>
      <c r="S1833" s="22" t="s">
        <v>7749</v>
      </c>
      <c r="X1833" s="26"/>
      <c r="Y1833" s="26"/>
    </row>
    <row r="1834" spans="1:25" ht="37.5" x14ac:dyDescent="0.25">
      <c r="A1834" s="21">
        <v>10002</v>
      </c>
      <c r="B1834" s="22" t="s">
        <v>15368</v>
      </c>
      <c r="C1834" s="22" t="s">
        <v>7750</v>
      </c>
      <c r="D1834" s="23">
        <v>403838</v>
      </c>
      <c r="E1834" s="24">
        <v>2002</v>
      </c>
      <c r="F1834" s="22" t="s">
        <v>7751</v>
      </c>
      <c r="G1834" s="23" t="s">
        <v>9324</v>
      </c>
      <c r="H1834" s="25" t="s">
        <v>15373</v>
      </c>
      <c r="I1834" s="22" t="s">
        <v>15374</v>
      </c>
      <c r="J1834" s="22" t="s">
        <v>15701</v>
      </c>
      <c r="K1834" s="26">
        <f t="shared" si="28"/>
        <v>400</v>
      </c>
      <c r="L1834" s="26">
        <v>400</v>
      </c>
      <c r="O1834" s="22" t="s">
        <v>7752</v>
      </c>
      <c r="P1834" s="22" t="s">
        <v>7753</v>
      </c>
      <c r="Q1834" s="22">
        <v>90017</v>
      </c>
      <c r="R1834" s="22" t="s">
        <v>7754</v>
      </c>
      <c r="S1834" s="22" t="s">
        <v>7755</v>
      </c>
      <c r="X1834" s="26"/>
      <c r="Y1834" s="26"/>
    </row>
    <row r="1835" spans="1:25" ht="50" x14ac:dyDescent="0.25">
      <c r="A1835" s="21">
        <v>10003</v>
      </c>
      <c r="B1835" s="22" t="s">
        <v>15368</v>
      </c>
      <c r="C1835" s="22" t="s">
        <v>7756</v>
      </c>
      <c r="D1835" s="23">
        <v>402753</v>
      </c>
      <c r="E1835" s="24">
        <v>2002</v>
      </c>
      <c r="F1835" s="22" t="s">
        <v>7757</v>
      </c>
      <c r="G1835" s="23" t="s">
        <v>7758</v>
      </c>
      <c r="H1835" s="25" t="s">
        <v>15373</v>
      </c>
      <c r="I1835" s="22" t="s">
        <v>15374</v>
      </c>
      <c r="J1835" s="22" t="s">
        <v>16869</v>
      </c>
      <c r="K1835" s="26">
        <f t="shared" si="28"/>
        <v>503.33333333333331</v>
      </c>
      <c r="N1835" s="26">
        <v>755</v>
      </c>
      <c r="O1835" s="22" t="s">
        <v>7759</v>
      </c>
      <c r="P1835" s="22" t="s">
        <v>7760</v>
      </c>
      <c r="Q1835" s="22">
        <v>91101</v>
      </c>
      <c r="R1835" s="22" t="s">
        <v>7761</v>
      </c>
      <c r="S1835" s="22" t="s">
        <v>7762</v>
      </c>
      <c r="X1835" s="26"/>
      <c r="Y1835" s="26"/>
    </row>
    <row r="1836" spans="1:25" ht="37.5" x14ac:dyDescent="0.25">
      <c r="A1836" s="21">
        <v>10004</v>
      </c>
      <c r="B1836" s="22" t="s">
        <v>15368</v>
      </c>
      <c r="C1836" s="22" t="s">
        <v>7763</v>
      </c>
      <c r="D1836" s="23">
        <v>355428</v>
      </c>
      <c r="E1836" s="24">
        <v>1999</v>
      </c>
      <c r="F1836" s="22" t="s">
        <v>7764</v>
      </c>
      <c r="G1836" s="23" t="s">
        <v>7765</v>
      </c>
      <c r="H1836" s="25" t="s">
        <v>15373</v>
      </c>
      <c r="I1836" s="22" t="s">
        <v>15374</v>
      </c>
      <c r="J1836" s="22">
        <v>3512</v>
      </c>
      <c r="K1836" s="26">
        <f t="shared" si="28"/>
        <v>1190.6666666666665</v>
      </c>
      <c r="N1836" s="26">
        <v>1786</v>
      </c>
      <c r="O1836" s="22" t="s">
        <v>7766</v>
      </c>
      <c r="P1836" s="22" t="s">
        <v>7767</v>
      </c>
      <c r="Q1836" s="22">
        <v>90623</v>
      </c>
      <c r="R1836" s="22" t="s">
        <v>7768</v>
      </c>
      <c r="S1836" s="22" t="s">
        <v>7769</v>
      </c>
      <c r="X1836" s="26"/>
      <c r="Y1836" s="26"/>
    </row>
    <row r="1837" spans="1:25" ht="50" x14ac:dyDescent="0.25">
      <c r="A1837" s="21">
        <v>10005</v>
      </c>
      <c r="B1837" s="22" t="s">
        <v>15368</v>
      </c>
      <c r="C1837" s="22" t="s">
        <v>7770</v>
      </c>
      <c r="D1837" s="23">
        <v>403021</v>
      </c>
      <c r="E1837" s="24">
        <v>2002</v>
      </c>
      <c r="F1837" s="22" t="s">
        <v>7771</v>
      </c>
      <c r="G1837" s="23" t="s">
        <v>7772</v>
      </c>
      <c r="H1837" s="25" t="s">
        <v>15373</v>
      </c>
      <c r="I1837" s="22" t="s">
        <v>15382</v>
      </c>
      <c r="J1837" s="22" t="s">
        <v>14642</v>
      </c>
      <c r="K1837" s="26">
        <f t="shared" si="28"/>
        <v>756.66666666666663</v>
      </c>
      <c r="N1837" s="26">
        <v>1135</v>
      </c>
      <c r="O1837" s="22" t="s">
        <v>7773</v>
      </c>
      <c r="P1837" s="22" t="s">
        <v>7760</v>
      </c>
      <c r="Q1837" s="22">
        <v>91103</v>
      </c>
      <c r="R1837" s="22" t="s">
        <v>7774</v>
      </c>
      <c r="S1837" s="22" t="s">
        <v>7775</v>
      </c>
      <c r="X1837" s="26"/>
      <c r="Y1837" s="26"/>
    </row>
    <row r="1838" spans="1:25" ht="37.5" x14ac:dyDescent="0.25">
      <c r="A1838" s="21">
        <v>10006</v>
      </c>
      <c r="B1838" s="22" t="s">
        <v>15368</v>
      </c>
      <c r="C1838" s="22" t="s">
        <v>7776</v>
      </c>
      <c r="D1838" s="23">
        <v>399500</v>
      </c>
      <c r="E1838" s="24">
        <v>2002</v>
      </c>
      <c r="F1838" s="22" t="s">
        <v>7777</v>
      </c>
      <c r="G1838" s="23" t="s">
        <v>7778</v>
      </c>
      <c r="H1838" s="25" t="s">
        <v>15373</v>
      </c>
      <c r="I1838" s="22" t="s">
        <v>15382</v>
      </c>
      <c r="J1838" s="22" t="s">
        <v>7779</v>
      </c>
      <c r="K1838" s="26">
        <f t="shared" si="28"/>
        <v>1948</v>
      </c>
      <c r="N1838" s="26">
        <v>2922</v>
      </c>
      <c r="O1838" s="22" t="s">
        <v>7780</v>
      </c>
      <c r="P1838" s="22" t="s">
        <v>7781</v>
      </c>
      <c r="Q1838" s="22">
        <v>90245</v>
      </c>
      <c r="R1838" s="22" t="s">
        <v>7782</v>
      </c>
      <c r="S1838" s="22" t="s">
        <v>7783</v>
      </c>
      <c r="X1838" s="26"/>
      <c r="Y1838" s="26"/>
    </row>
    <row r="1839" spans="1:25" ht="37.5" x14ac:dyDescent="0.25">
      <c r="A1839" s="21">
        <v>10007</v>
      </c>
      <c r="B1839" s="22" t="s">
        <v>15368</v>
      </c>
      <c r="C1839" s="22" t="s">
        <v>7784</v>
      </c>
      <c r="D1839" s="23">
        <v>243212</v>
      </c>
      <c r="E1839" s="24">
        <v>1991</v>
      </c>
      <c r="F1839" s="22" t="s">
        <v>7785</v>
      </c>
      <c r="G1839" s="23" t="s">
        <v>7786</v>
      </c>
      <c r="H1839" s="25" t="s">
        <v>15373</v>
      </c>
      <c r="I1839" s="22" t="s">
        <v>15411</v>
      </c>
      <c r="J1839" s="22" t="s">
        <v>14773</v>
      </c>
      <c r="K1839" s="26">
        <f t="shared" si="28"/>
        <v>1010</v>
      </c>
      <c r="N1839" s="26">
        <v>1515</v>
      </c>
      <c r="O1839" s="22" t="s">
        <v>7787</v>
      </c>
      <c r="P1839" s="22" t="s">
        <v>7788</v>
      </c>
      <c r="Q1839" s="22">
        <v>91505</v>
      </c>
      <c r="R1839" s="22" t="s">
        <v>7789</v>
      </c>
      <c r="S1839" s="22" t="s">
        <v>7790</v>
      </c>
      <c r="X1839" s="26"/>
      <c r="Y1839" s="26"/>
    </row>
    <row r="1840" spans="1:25" ht="37.5" x14ac:dyDescent="0.25">
      <c r="A1840" s="21">
        <v>10008</v>
      </c>
      <c r="B1840" s="22" t="s">
        <v>15368</v>
      </c>
      <c r="C1840" s="22" t="s">
        <v>7791</v>
      </c>
      <c r="D1840" s="23">
        <v>400454</v>
      </c>
      <c r="E1840" s="24">
        <v>2002</v>
      </c>
      <c r="F1840" s="22" t="s">
        <v>7792</v>
      </c>
      <c r="G1840" s="23" t="s">
        <v>7793</v>
      </c>
      <c r="H1840" s="25" t="s">
        <v>15373</v>
      </c>
      <c r="I1840" s="22" t="s">
        <v>15635</v>
      </c>
      <c r="J1840" s="22" t="s">
        <v>7794</v>
      </c>
      <c r="K1840" s="26">
        <f t="shared" si="28"/>
        <v>756.66666666666663</v>
      </c>
      <c r="N1840" s="26">
        <v>1135</v>
      </c>
      <c r="O1840" s="22" t="s">
        <v>7795</v>
      </c>
      <c r="P1840" s="22" t="s">
        <v>7796</v>
      </c>
      <c r="Q1840" s="22">
        <v>90040</v>
      </c>
      <c r="R1840" s="22" t="s">
        <v>7797</v>
      </c>
      <c r="S1840" s="22" t="s">
        <v>7798</v>
      </c>
      <c r="X1840" s="26"/>
      <c r="Y1840" s="26"/>
    </row>
    <row r="1841" spans="1:25" ht="37.5" x14ac:dyDescent="0.25">
      <c r="A1841" s="21">
        <v>10009</v>
      </c>
      <c r="B1841" s="22" t="s">
        <v>15368</v>
      </c>
      <c r="C1841" s="22" t="s">
        <v>7799</v>
      </c>
      <c r="D1841" s="23">
        <v>367293</v>
      </c>
      <c r="E1841" s="24">
        <v>2000</v>
      </c>
      <c r="F1841" s="22" t="s">
        <v>7800</v>
      </c>
      <c r="G1841" s="23" t="s">
        <v>7801</v>
      </c>
      <c r="H1841" s="25" t="s">
        <v>15373</v>
      </c>
      <c r="I1841" s="22" t="s">
        <v>7802</v>
      </c>
      <c r="J1841" s="22" t="s">
        <v>7803</v>
      </c>
      <c r="K1841" s="26">
        <f t="shared" si="28"/>
        <v>424</v>
      </c>
      <c r="N1841" s="26">
        <v>636</v>
      </c>
      <c r="O1841" s="22" t="s">
        <v>7804</v>
      </c>
      <c r="P1841" s="22" t="s">
        <v>7805</v>
      </c>
      <c r="Q1841" s="22">
        <v>91310</v>
      </c>
      <c r="R1841" s="22" t="s">
        <v>7806</v>
      </c>
      <c r="S1841" s="22" t="s">
        <v>7807</v>
      </c>
      <c r="X1841" s="26"/>
      <c r="Y1841" s="26"/>
    </row>
    <row r="1842" spans="1:25" ht="37.5" x14ac:dyDescent="0.25">
      <c r="A1842" s="21">
        <v>10010</v>
      </c>
      <c r="B1842" s="22" t="s">
        <v>15368</v>
      </c>
      <c r="C1842" s="22" t="s">
        <v>7808</v>
      </c>
      <c r="D1842" s="23">
        <v>399692</v>
      </c>
      <c r="E1842" s="24">
        <v>2002</v>
      </c>
      <c r="F1842" s="22" t="s">
        <v>7809</v>
      </c>
      <c r="G1842" s="23" t="s">
        <v>7810</v>
      </c>
      <c r="H1842" s="25" t="s">
        <v>15373</v>
      </c>
      <c r="I1842" s="22" t="s">
        <v>15374</v>
      </c>
      <c r="J1842" s="22" t="s">
        <v>7811</v>
      </c>
      <c r="K1842" s="26">
        <f t="shared" si="28"/>
        <v>714.66666666666663</v>
      </c>
      <c r="N1842" s="26">
        <v>1072</v>
      </c>
      <c r="O1842" s="22" t="s">
        <v>7812</v>
      </c>
      <c r="P1842" s="22" t="s">
        <v>7813</v>
      </c>
      <c r="Q1842" s="22">
        <v>90503</v>
      </c>
      <c r="R1842" s="22" t="s">
        <v>7814</v>
      </c>
      <c r="S1842" s="22" t="s">
        <v>7815</v>
      </c>
      <c r="X1842" s="26"/>
      <c r="Y1842" s="26"/>
    </row>
    <row r="1843" spans="1:25" ht="37.5" x14ac:dyDescent="0.25">
      <c r="A1843" s="21">
        <v>10011</v>
      </c>
      <c r="B1843" s="22" t="s">
        <v>15368</v>
      </c>
      <c r="C1843" s="22" t="s">
        <v>7816</v>
      </c>
      <c r="D1843" s="23">
        <v>397569</v>
      </c>
      <c r="E1843" s="24">
        <v>2002</v>
      </c>
      <c r="F1843" s="22" t="s">
        <v>7817</v>
      </c>
      <c r="G1843" s="23" t="s">
        <v>10276</v>
      </c>
      <c r="H1843" s="25" t="s">
        <v>15373</v>
      </c>
      <c r="I1843" s="22" t="s">
        <v>15374</v>
      </c>
      <c r="J1843" s="22" t="s">
        <v>11368</v>
      </c>
      <c r="K1843" s="26">
        <f t="shared" si="28"/>
        <v>986.66666666666663</v>
      </c>
      <c r="N1843" s="26">
        <v>1480</v>
      </c>
      <c r="O1843" s="22" t="s">
        <v>7818</v>
      </c>
      <c r="P1843" s="22" t="s">
        <v>16833</v>
      </c>
      <c r="Q1843" s="22">
        <v>90670</v>
      </c>
      <c r="R1843" s="22" t="s">
        <v>9409</v>
      </c>
      <c r="S1843" s="22" t="s">
        <v>9410</v>
      </c>
      <c r="X1843" s="26"/>
      <c r="Y1843" s="26"/>
    </row>
    <row r="1844" spans="1:25" ht="50" x14ac:dyDescent="0.25">
      <c r="A1844" s="21">
        <v>10012</v>
      </c>
      <c r="B1844" s="22" t="s">
        <v>15368</v>
      </c>
      <c r="C1844" s="22" t="s">
        <v>7819</v>
      </c>
      <c r="D1844" s="23">
        <v>387480</v>
      </c>
      <c r="E1844" s="24">
        <v>2001</v>
      </c>
      <c r="F1844" s="22" t="s">
        <v>7820</v>
      </c>
      <c r="G1844" s="23" t="s">
        <v>7821</v>
      </c>
      <c r="H1844" s="25" t="s">
        <v>15373</v>
      </c>
      <c r="I1844" s="22" t="s">
        <v>15411</v>
      </c>
      <c r="J1844" s="22" t="s">
        <v>16517</v>
      </c>
      <c r="K1844" s="26">
        <f t="shared" si="28"/>
        <v>550</v>
      </c>
      <c r="L1844" s="26">
        <v>550</v>
      </c>
      <c r="O1844" s="22" t="s">
        <v>7822</v>
      </c>
      <c r="P1844" s="22" t="s">
        <v>14290</v>
      </c>
      <c r="Q1844" s="22">
        <v>91711</v>
      </c>
      <c r="R1844" s="22" t="s">
        <v>7823</v>
      </c>
      <c r="S1844" s="22" t="s">
        <v>7824</v>
      </c>
      <c r="X1844" s="26"/>
      <c r="Y1844" s="26"/>
    </row>
    <row r="1845" spans="1:25" ht="37.5" x14ac:dyDescent="0.25">
      <c r="A1845" s="21">
        <v>10013</v>
      </c>
      <c r="B1845" s="22" t="s">
        <v>15368</v>
      </c>
      <c r="C1845" s="22" t="s">
        <v>7825</v>
      </c>
      <c r="D1845" s="23">
        <v>403251</v>
      </c>
      <c r="E1845" s="24">
        <v>2002</v>
      </c>
      <c r="F1845" s="22" t="s">
        <v>7826</v>
      </c>
      <c r="G1845" s="23" t="s">
        <v>7827</v>
      </c>
      <c r="H1845" s="25" t="s">
        <v>15373</v>
      </c>
      <c r="I1845" s="22" t="s">
        <v>15382</v>
      </c>
      <c r="J1845" s="22" t="s">
        <v>7828</v>
      </c>
      <c r="K1845" s="26">
        <f t="shared" si="28"/>
        <v>600</v>
      </c>
      <c r="M1845" s="26">
        <v>900</v>
      </c>
      <c r="O1845" s="22" t="s">
        <v>7829</v>
      </c>
      <c r="P1845" s="22" t="s">
        <v>7753</v>
      </c>
      <c r="Q1845" s="22">
        <v>90058</v>
      </c>
      <c r="R1845" s="22" t="s">
        <v>7830</v>
      </c>
      <c r="S1845" s="22" t="s">
        <v>7831</v>
      </c>
      <c r="X1845" s="26"/>
      <c r="Y1845" s="26"/>
    </row>
    <row r="1846" spans="1:25" ht="50" x14ac:dyDescent="0.25">
      <c r="A1846" s="21">
        <v>10014</v>
      </c>
      <c r="B1846" s="22" t="s">
        <v>15368</v>
      </c>
      <c r="C1846" s="22" t="s">
        <v>7832</v>
      </c>
      <c r="D1846" s="23">
        <v>401554</v>
      </c>
      <c r="E1846" s="24">
        <v>2002</v>
      </c>
      <c r="F1846" s="22" t="s">
        <v>7833</v>
      </c>
      <c r="G1846" s="23" t="s">
        <v>7834</v>
      </c>
      <c r="H1846" s="25" t="s">
        <v>15373</v>
      </c>
      <c r="I1846" s="22" t="s">
        <v>15374</v>
      </c>
      <c r="J1846" s="22" t="s">
        <v>15062</v>
      </c>
      <c r="K1846" s="26">
        <f t="shared" si="28"/>
        <v>346</v>
      </c>
      <c r="M1846" s="26">
        <v>519</v>
      </c>
      <c r="O1846" s="22" t="s">
        <v>7835</v>
      </c>
      <c r="P1846" s="22" t="s">
        <v>7753</v>
      </c>
      <c r="Q1846" s="22">
        <v>90012</v>
      </c>
      <c r="R1846" s="22" t="s">
        <v>7836</v>
      </c>
      <c r="S1846" s="22" t="s">
        <v>7837</v>
      </c>
      <c r="X1846" s="26"/>
      <c r="Y1846" s="26"/>
    </row>
    <row r="1847" spans="1:25" ht="25" x14ac:dyDescent="0.25">
      <c r="A1847" s="21">
        <v>10015</v>
      </c>
      <c r="B1847" s="22" t="s">
        <v>15368</v>
      </c>
      <c r="C1847" s="22" t="s">
        <v>7838</v>
      </c>
      <c r="D1847" s="23">
        <v>338937</v>
      </c>
      <c r="E1847" s="24">
        <v>1998</v>
      </c>
      <c r="F1847" s="22" t="s">
        <v>7839</v>
      </c>
      <c r="G1847" s="23" t="s">
        <v>7840</v>
      </c>
      <c r="H1847" s="25" t="s">
        <v>15373</v>
      </c>
      <c r="I1847" s="22" t="s">
        <v>15374</v>
      </c>
      <c r="J1847" s="22">
        <v>3516</v>
      </c>
      <c r="K1847" s="26">
        <f t="shared" si="28"/>
        <v>1033.3333333333333</v>
      </c>
      <c r="N1847" s="26">
        <v>1550</v>
      </c>
      <c r="O1847" s="22" t="s">
        <v>7841</v>
      </c>
      <c r="P1847" s="22" t="s">
        <v>7842</v>
      </c>
      <c r="Q1847" s="22">
        <v>91302</v>
      </c>
      <c r="R1847" s="22" t="s">
        <v>7843</v>
      </c>
      <c r="S1847" s="22" t="s">
        <v>7844</v>
      </c>
      <c r="X1847" s="26"/>
      <c r="Y1847" s="26"/>
    </row>
    <row r="1848" spans="1:25" ht="50" x14ac:dyDescent="0.25">
      <c r="A1848" s="21">
        <v>10016</v>
      </c>
      <c r="B1848" s="22" t="s">
        <v>15368</v>
      </c>
      <c r="C1848" s="22" t="s">
        <v>7845</v>
      </c>
      <c r="D1848" s="23">
        <v>398700</v>
      </c>
      <c r="E1848" s="24">
        <v>2002</v>
      </c>
      <c r="F1848" s="22" t="s">
        <v>7846</v>
      </c>
      <c r="G1848" s="23" t="s">
        <v>7847</v>
      </c>
      <c r="H1848" s="25" t="s">
        <v>15373</v>
      </c>
      <c r="I1848" s="22" t="s">
        <v>15374</v>
      </c>
      <c r="J1848" s="22" t="s">
        <v>15701</v>
      </c>
      <c r="K1848" s="26">
        <f t="shared" si="28"/>
        <v>400</v>
      </c>
      <c r="L1848" s="26">
        <v>400</v>
      </c>
      <c r="O1848" s="22" t="s">
        <v>7848</v>
      </c>
      <c r="P1848" s="22" t="s">
        <v>7849</v>
      </c>
      <c r="Q1848" s="22">
        <v>92656</v>
      </c>
      <c r="R1848" s="22" t="s">
        <v>7850</v>
      </c>
      <c r="S1848" s="22" t="s">
        <v>7851</v>
      </c>
      <c r="X1848" s="26"/>
      <c r="Y1848" s="26"/>
    </row>
    <row r="1849" spans="1:25" ht="75" x14ac:dyDescent="0.25">
      <c r="A1849" s="21">
        <v>10017</v>
      </c>
      <c r="B1849" s="22" t="s">
        <v>15368</v>
      </c>
      <c r="C1849" s="22" t="s">
        <v>7852</v>
      </c>
      <c r="D1849" s="23">
        <v>390872</v>
      </c>
      <c r="E1849" s="24">
        <v>2001</v>
      </c>
      <c r="F1849" s="22" t="s">
        <v>7853</v>
      </c>
      <c r="G1849" s="23" t="s">
        <v>7854</v>
      </c>
      <c r="H1849" s="25" t="s">
        <v>16310</v>
      </c>
      <c r="I1849" s="22" t="s">
        <v>15374</v>
      </c>
      <c r="J1849" s="22" t="s">
        <v>7855</v>
      </c>
      <c r="K1849" s="26">
        <f t="shared" si="28"/>
        <v>791</v>
      </c>
      <c r="L1849" s="26">
        <v>791</v>
      </c>
      <c r="O1849" s="22" t="s">
        <v>7856</v>
      </c>
      <c r="P1849" s="22" t="s">
        <v>7857</v>
      </c>
      <c r="Q1849" s="22">
        <v>92325</v>
      </c>
      <c r="R1849" s="22" t="s">
        <v>7858</v>
      </c>
      <c r="S1849" s="22" t="s">
        <v>7859</v>
      </c>
      <c r="X1849" s="26"/>
      <c r="Y1849" s="26"/>
    </row>
    <row r="1850" spans="1:25" ht="50" x14ac:dyDescent="0.25">
      <c r="A1850" s="21">
        <v>10018</v>
      </c>
      <c r="B1850" s="22" t="s">
        <v>15368</v>
      </c>
      <c r="C1850" s="22" t="s">
        <v>7860</v>
      </c>
      <c r="D1850" s="23">
        <v>397692</v>
      </c>
      <c r="E1850" s="24">
        <v>2002</v>
      </c>
      <c r="F1850" s="22" t="s">
        <v>7861</v>
      </c>
      <c r="G1850" s="23" t="s">
        <v>7862</v>
      </c>
      <c r="H1850" s="25" t="s">
        <v>15373</v>
      </c>
      <c r="I1850" s="22" t="s">
        <v>15374</v>
      </c>
      <c r="J1850" s="22" t="s">
        <v>14709</v>
      </c>
      <c r="K1850" s="26">
        <f t="shared" si="28"/>
        <v>597.33333333333326</v>
      </c>
      <c r="N1850" s="26">
        <v>896</v>
      </c>
      <c r="O1850" s="22" t="s">
        <v>7863</v>
      </c>
      <c r="P1850" s="22" t="s">
        <v>7864</v>
      </c>
      <c r="Q1850" s="22">
        <v>91729</v>
      </c>
      <c r="R1850" s="22" t="s">
        <v>7865</v>
      </c>
      <c r="S1850" s="22" t="s">
        <v>7866</v>
      </c>
      <c r="X1850" s="26"/>
      <c r="Y1850" s="26"/>
    </row>
    <row r="1851" spans="1:25" ht="50" x14ac:dyDescent="0.25">
      <c r="A1851" s="21">
        <v>10019</v>
      </c>
      <c r="B1851" s="22" t="s">
        <v>15368</v>
      </c>
      <c r="C1851" s="22" t="s">
        <v>7860</v>
      </c>
      <c r="D1851" s="23">
        <v>401243</v>
      </c>
      <c r="E1851" s="24">
        <v>2002</v>
      </c>
      <c r="F1851" s="22" t="s">
        <v>7867</v>
      </c>
      <c r="G1851" s="23" t="s">
        <v>7868</v>
      </c>
      <c r="H1851" s="25" t="s">
        <v>15373</v>
      </c>
      <c r="I1851" s="22" t="s">
        <v>15374</v>
      </c>
      <c r="J1851" s="22" t="s">
        <v>7869</v>
      </c>
      <c r="K1851" s="26">
        <f t="shared" si="28"/>
        <v>357.33333333333331</v>
      </c>
      <c r="N1851" s="26">
        <v>536</v>
      </c>
      <c r="O1851" s="22" t="s">
        <v>7870</v>
      </c>
      <c r="P1851" s="22" t="s">
        <v>7864</v>
      </c>
      <c r="Q1851" s="22">
        <v>91739</v>
      </c>
      <c r="R1851" s="22" t="s">
        <v>7865</v>
      </c>
      <c r="S1851" s="22" t="s">
        <v>7866</v>
      </c>
      <c r="X1851" s="26"/>
      <c r="Y1851" s="26"/>
    </row>
    <row r="1852" spans="1:25" ht="50" x14ac:dyDescent="0.25">
      <c r="A1852" s="21">
        <v>10020</v>
      </c>
      <c r="B1852" s="22" t="s">
        <v>15368</v>
      </c>
      <c r="C1852" s="22" t="s">
        <v>7871</v>
      </c>
      <c r="D1852" s="23">
        <v>397691</v>
      </c>
      <c r="E1852" s="24">
        <v>2002</v>
      </c>
      <c r="F1852" s="22" t="s">
        <v>7872</v>
      </c>
      <c r="G1852" s="23" t="s">
        <v>7873</v>
      </c>
      <c r="H1852" s="25" t="s">
        <v>15373</v>
      </c>
      <c r="I1852" s="22" t="s">
        <v>15374</v>
      </c>
      <c r="J1852" s="22" t="s">
        <v>14709</v>
      </c>
      <c r="K1852" s="26">
        <f t="shared" si="28"/>
        <v>597.33333333333326</v>
      </c>
      <c r="N1852" s="26">
        <v>896</v>
      </c>
      <c r="O1852" s="22" t="s">
        <v>7874</v>
      </c>
      <c r="P1852" s="22" t="s">
        <v>7864</v>
      </c>
      <c r="Q1852" s="22">
        <v>91739</v>
      </c>
      <c r="R1852" s="22" t="s">
        <v>7865</v>
      </c>
      <c r="S1852" s="22" t="s">
        <v>7866</v>
      </c>
      <c r="X1852" s="26"/>
      <c r="Y1852" s="26"/>
    </row>
    <row r="1853" spans="1:25" ht="50" x14ac:dyDescent="0.25">
      <c r="A1853" s="21">
        <v>10021</v>
      </c>
      <c r="B1853" s="22" t="s">
        <v>15368</v>
      </c>
      <c r="C1853" s="22" t="s">
        <v>10677</v>
      </c>
      <c r="D1853" s="23">
        <v>303611</v>
      </c>
      <c r="E1853" s="24">
        <v>1995</v>
      </c>
      <c r="F1853" s="22" t="s">
        <v>7875</v>
      </c>
      <c r="G1853" s="23" t="s">
        <v>7876</v>
      </c>
      <c r="H1853" s="25" t="s">
        <v>15373</v>
      </c>
      <c r="I1853" s="22" t="s">
        <v>15374</v>
      </c>
      <c r="J1853" s="22" t="s">
        <v>15918</v>
      </c>
      <c r="K1853" s="26">
        <f t="shared" si="28"/>
        <v>900</v>
      </c>
      <c r="L1853" s="26">
        <v>900</v>
      </c>
      <c r="O1853" s="22" t="s">
        <v>7877</v>
      </c>
      <c r="P1853" s="22" t="s">
        <v>16786</v>
      </c>
      <c r="Q1853" s="22">
        <v>92802</v>
      </c>
      <c r="R1853" s="22" t="s">
        <v>7878</v>
      </c>
      <c r="S1853" s="22" t="s">
        <v>7879</v>
      </c>
      <c r="X1853" s="26"/>
      <c r="Y1853" s="26"/>
    </row>
    <row r="1854" spans="1:25" ht="50" x14ac:dyDescent="0.25">
      <c r="A1854" s="21">
        <v>10022</v>
      </c>
      <c r="B1854" s="22" t="s">
        <v>15368</v>
      </c>
      <c r="C1854" s="22" t="s">
        <v>7880</v>
      </c>
      <c r="D1854" s="23">
        <v>402141</v>
      </c>
      <c r="E1854" s="24">
        <v>2002</v>
      </c>
      <c r="F1854" s="22" t="s">
        <v>7881</v>
      </c>
      <c r="G1854" s="23" t="s">
        <v>7882</v>
      </c>
      <c r="H1854" s="25" t="s">
        <v>15373</v>
      </c>
      <c r="I1854" s="22" t="s">
        <v>15374</v>
      </c>
      <c r="K1854" s="26">
        <f t="shared" si="28"/>
        <v>399.33333333333331</v>
      </c>
      <c r="N1854" s="26">
        <v>599</v>
      </c>
      <c r="O1854" s="22" t="s">
        <v>7883</v>
      </c>
      <c r="P1854" s="22" t="s">
        <v>7884</v>
      </c>
      <c r="Q1854" s="22">
        <v>90210</v>
      </c>
      <c r="R1854" s="22" t="s">
        <v>7885</v>
      </c>
      <c r="S1854" s="22" t="s">
        <v>7886</v>
      </c>
      <c r="X1854" s="26"/>
      <c r="Y1854" s="26"/>
    </row>
    <row r="1855" spans="1:25" ht="37.5" x14ac:dyDescent="0.25">
      <c r="A1855" s="21">
        <v>10023</v>
      </c>
      <c r="B1855" s="22" t="s">
        <v>15368</v>
      </c>
      <c r="C1855" s="22" t="s">
        <v>7887</v>
      </c>
      <c r="D1855" s="23">
        <v>402191</v>
      </c>
      <c r="E1855" s="24">
        <v>2002</v>
      </c>
      <c r="F1855" s="22" t="s">
        <v>7888</v>
      </c>
      <c r="G1855" s="23" t="s">
        <v>7889</v>
      </c>
      <c r="H1855" s="25" t="s">
        <v>15373</v>
      </c>
      <c r="I1855" s="22" t="s">
        <v>15374</v>
      </c>
      <c r="J1855" s="22">
        <v>3412</v>
      </c>
      <c r="K1855" s="26">
        <f t="shared" si="28"/>
        <v>593.33333333333326</v>
      </c>
      <c r="N1855" s="26">
        <v>890</v>
      </c>
      <c r="O1855" s="22" t="s">
        <v>7890</v>
      </c>
      <c r="P1855" s="22" t="s">
        <v>7753</v>
      </c>
      <c r="Q1855" s="22">
        <v>90067</v>
      </c>
      <c r="R1855" s="22" t="s">
        <v>7891</v>
      </c>
      <c r="S1855" s="22" t="s">
        <v>7892</v>
      </c>
      <c r="X1855" s="26"/>
      <c r="Y1855" s="26"/>
    </row>
    <row r="1856" spans="1:25" ht="37.5" x14ac:dyDescent="0.25">
      <c r="A1856" s="21">
        <v>10024</v>
      </c>
      <c r="B1856" s="22" t="s">
        <v>15368</v>
      </c>
      <c r="C1856" s="22" t="s">
        <v>7887</v>
      </c>
      <c r="D1856" s="23">
        <v>402653</v>
      </c>
      <c r="E1856" s="24">
        <v>2002</v>
      </c>
      <c r="F1856" s="22" t="s">
        <v>7893</v>
      </c>
      <c r="G1856" s="23" t="s">
        <v>7889</v>
      </c>
      <c r="H1856" s="25" t="s">
        <v>15373</v>
      </c>
      <c r="I1856" s="22" t="s">
        <v>15374</v>
      </c>
      <c r="J1856" s="22">
        <v>3412</v>
      </c>
      <c r="K1856" s="26">
        <f t="shared" si="28"/>
        <v>593.33333333333326</v>
      </c>
      <c r="N1856" s="26">
        <v>890</v>
      </c>
      <c r="O1856" s="22" t="s">
        <v>7890</v>
      </c>
      <c r="P1856" s="22" t="s">
        <v>7753</v>
      </c>
      <c r="Q1856" s="22">
        <v>90067</v>
      </c>
      <c r="R1856" s="22" t="s">
        <v>7891</v>
      </c>
      <c r="S1856" s="22" t="s">
        <v>7892</v>
      </c>
      <c r="X1856" s="26"/>
      <c r="Y1856" s="26"/>
    </row>
    <row r="1857" spans="1:25" ht="37.5" x14ac:dyDescent="0.25">
      <c r="A1857" s="21">
        <v>10025</v>
      </c>
      <c r="B1857" s="22" t="s">
        <v>15368</v>
      </c>
      <c r="C1857" s="22" t="s">
        <v>7894</v>
      </c>
      <c r="D1857" s="23">
        <v>386291</v>
      </c>
      <c r="E1857" s="24">
        <v>2001</v>
      </c>
      <c r="F1857" s="22" t="s">
        <v>7895</v>
      </c>
      <c r="G1857" s="23" t="s">
        <v>7896</v>
      </c>
      <c r="H1857" s="25" t="s">
        <v>15373</v>
      </c>
      <c r="I1857" s="22" t="s">
        <v>15411</v>
      </c>
      <c r="J1857" s="22" t="s">
        <v>14492</v>
      </c>
      <c r="K1857" s="26">
        <f t="shared" si="28"/>
        <v>800</v>
      </c>
      <c r="M1857" s="26">
        <v>1200</v>
      </c>
      <c r="O1857" s="22" t="s">
        <v>7897</v>
      </c>
      <c r="P1857" s="22" t="s">
        <v>15740</v>
      </c>
      <c r="Q1857" s="22">
        <v>90805</v>
      </c>
      <c r="R1857" s="22" t="s">
        <v>7898</v>
      </c>
      <c r="S1857" s="22" t="s">
        <v>7899</v>
      </c>
      <c r="X1857" s="26"/>
      <c r="Y1857" s="26"/>
    </row>
    <row r="1858" spans="1:25" ht="37.5" x14ac:dyDescent="0.25">
      <c r="A1858" s="21">
        <v>10026</v>
      </c>
      <c r="B1858" s="22" t="s">
        <v>15368</v>
      </c>
      <c r="C1858" s="22" t="s">
        <v>7894</v>
      </c>
      <c r="D1858" s="23">
        <v>386292</v>
      </c>
      <c r="E1858" s="24">
        <v>2001</v>
      </c>
      <c r="F1858" s="22" t="s">
        <v>7900</v>
      </c>
      <c r="G1858" s="23" t="s">
        <v>7896</v>
      </c>
      <c r="H1858" s="25" t="s">
        <v>15373</v>
      </c>
      <c r="I1858" s="22" t="s">
        <v>15411</v>
      </c>
      <c r="J1858" s="22" t="s">
        <v>14492</v>
      </c>
      <c r="K1858" s="26">
        <f t="shared" ref="K1858:K1921" si="29">L1858+M1858*(2/3)+N1858*(2/3)</f>
        <v>800</v>
      </c>
      <c r="M1858" s="26">
        <v>1200</v>
      </c>
      <c r="O1858" s="22" t="s">
        <v>7897</v>
      </c>
      <c r="P1858" s="22" t="s">
        <v>15740</v>
      </c>
      <c r="Q1858" s="22">
        <v>90805</v>
      </c>
      <c r="R1858" s="22" t="s">
        <v>7898</v>
      </c>
      <c r="S1858" s="22" t="s">
        <v>7899</v>
      </c>
      <c r="X1858" s="26"/>
      <c r="Y1858" s="26"/>
    </row>
    <row r="1859" spans="1:25" ht="37.5" x14ac:dyDescent="0.25">
      <c r="A1859" s="21">
        <v>10028</v>
      </c>
      <c r="B1859" s="22" t="s">
        <v>15368</v>
      </c>
      <c r="C1859" s="22" t="s">
        <v>7903</v>
      </c>
      <c r="D1859" s="23">
        <v>404406</v>
      </c>
      <c r="E1859" s="24">
        <v>2002</v>
      </c>
      <c r="F1859" s="22" t="s">
        <v>7904</v>
      </c>
      <c r="G1859" s="23" t="s">
        <v>7905</v>
      </c>
      <c r="H1859" s="25" t="s">
        <v>15373</v>
      </c>
      <c r="I1859" s="22" t="s">
        <v>15374</v>
      </c>
      <c r="J1859" s="22" t="s">
        <v>14709</v>
      </c>
      <c r="K1859" s="26">
        <f t="shared" si="29"/>
        <v>497.33333333333331</v>
      </c>
      <c r="N1859" s="26">
        <v>746</v>
      </c>
      <c r="O1859" s="22" t="s">
        <v>7863</v>
      </c>
      <c r="P1859" s="22" t="s">
        <v>7906</v>
      </c>
      <c r="Q1859" s="22">
        <v>92630</v>
      </c>
      <c r="R1859" s="22" t="s">
        <v>7907</v>
      </c>
      <c r="S1859" s="22" t="s">
        <v>7908</v>
      </c>
      <c r="X1859" s="26"/>
      <c r="Y1859" s="26"/>
    </row>
    <row r="1860" spans="1:25" ht="37.5" x14ac:dyDescent="0.25">
      <c r="A1860" s="21">
        <v>10029</v>
      </c>
      <c r="B1860" s="22" t="s">
        <v>15368</v>
      </c>
      <c r="C1860" s="22" t="s">
        <v>7909</v>
      </c>
      <c r="D1860" s="23">
        <v>402678</v>
      </c>
      <c r="E1860" s="24">
        <v>2002</v>
      </c>
      <c r="F1860" s="22" t="s">
        <v>7910</v>
      </c>
      <c r="G1860" s="23" t="s">
        <v>7911</v>
      </c>
      <c r="H1860" s="25" t="s">
        <v>15373</v>
      </c>
      <c r="I1860" s="22" t="s">
        <v>15382</v>
      </c>
      <c r="J1860" s="22" t="s">
        <v>13225</v>
      </c>
      <c r="K1860" s="26">
        <f t="shared" si="29"/>
        <v>506.66666666666663</v>
      </c>
      <c r="N1860" s="26">
        <v>760</v>
      </c>
      <c r="O1860" s="22" t="s">
        <v>7912</v>
      </c>
      <c r="P1860" s="22" t="s">
        <v>7913</v>
      </c>
      <c r="Q1860" s="22">
        <v>92651</v>
      </c>
      <c r="R1860" s="22" t="s">
        <v>7914</v>
      </c>
      <c r="S1860" s="22" t="s">
        <v>7915</v>
      </c>
      <c r="X1860" s="26"/>
      <c r="Y1860" s="26"/>
    </row>
    <row r="1861" spans="1:25" ht="50" x14ac:dyDescent="0.25">
      <c r="A1861" s="21">
        <v>10030</v>
      </c>
      <c r="B1861" s="22" t="s">
        <v>15368</v>
      </c>
      <c r="C1861" s="22" t="s">
        <v>7916</v>
      </c>
      <c r="D1861" s="23">
        <v>403907</v>
      </c>
      <c r="E1861" s="24">
        <v>2002</v>
      </c>
      <c r="F1861" s="22" t="s">
        <v>7917</v>
      </c>
      <c r="G1861" s="23" t="s">
        <v>6951</v>
      </c>
      <c r="H1861" s="25" t="s">
        <v>15373</v>
      </c>
      <c r="I1861" s="22" t="s">
        <v>15411</v>
      </c>
      <c r="J1861" s="22" t="s">
        <v>8343</v>
      </c>
      <c r="K1861" s="26">
        <f t="shared" si="29"/>
        <v>996.66666666666663</v>
      </c>
      <c r="N1861" s="26">
        <v>1495</v>
      </c>
      <c r="O1861" s="22" t="s">
        <v>6952</v>
      </c>
      <c r="P1861" s="22" t="s">
        <v>7913</v>
      </c>
      <c r="Q1861" s="22">
        <v>92821</v>
      </c>
      <c r="R1861" s="22" t="s">
        <v>6953</v>
      </c>
      <c r="S1861" s="22" t="s">
        <v>6954</v>
      </c>
      <c r="X1861" s="26"/>
      <c r="Y1861" s="26"/>
    </row>
    <row r="1862" spans="1:25" ht="37.5" x14ac:dyDescent="0.25">
      <c r="A1862" s="21">
        <v>10031</v>
      </c>
      <c r="B1862" s="22" t="s">
        <v>15368</v>
      </c>
      <c r="C1862" s="22" t="s">
        <v>6955</v>
      </c>
      <c r="D1862" s="23">
        <v>402110</v>
      </c>
      <c r="E1862" s="24">
        <v>2002</v>
      </c>
      <c r="F1862" s="22" t="s">
        <v>6956</v>
      </c>
      <c r="G1862" s="23" t="s">
        <v>6957</v>
      </c>
      <c r="H1862" s="25" t="s">
        <v>15373</v>
      </c>
      <c r="I1862" s="22" t="s">
        <v>15411</v>
      </c>
      <c r="J1862" s="22" t="s">
        <v>16517</v>
      </c>
      <c r="K1862" s="26">
        <f t="shared" si="29"/>
        <v>310</v>
      </c>
      <c r="L1862" s="26">
        <v>310</v>
      </c>
      <c r="O1862" s="22" t="s">
        <v>6958</v>
      </c>
      <c r="P1862" s="22" t="s">
        <v>6959</v>
      </c>
      <c r="Q1862" s="22">
        <v>92833</v>
      </c>
      <c r="R1862" s="22" t="s">
        <v>6960</v>
      </c>
      <c r="S1862" s="22" t="s">
        <v>6961</v>
      </c>
      <c r="X1862" s="26"/>
      <c r="Y1862" s="26"/>
    </row>
    <row r="1863" spans="1:25" ht="37.5" x14ac:dyDescent="0.25">
      <c r="A1863" s="21">
        <v>10032</v>
      </c>
      <c r="B1863" s="22" t="s">
        <v>15368</v>
      </c>
      <c r="C1863" s="22" t="s">
        <v>6962</v>
      </c>
      <c r="D1863" s="23">
        <v>399462</v>
      </c>
      <c r="E1863" s="24">
        <v>2002</v>
      </c>
      <c r="F1863" s="22" t="s">
        <v>6963</v>
      </c>
      <c r="G1863" s="23" t="s">
        <v>6964</v>
      </c>
      <c r="H1863" s="25" t="s">
        <v>15373</v>
      </c>
      <c r="I1863" s="22" t="s">
        <v>15374</v>
      </c>
      <c r="J1863" s="22" t="s">
        <v>6965</v>
      </c>
      <c r="K1863" s="26">
        <f t="shared" si="29"/>
        <v>1898</v>
      </c>
      <c r="N1863" s="26">
        <v>2847</v>
      </c>
      <c r="O1863" s="22" t="s">
        <v>6966</v>
      </c>
      <c r="P1863" s="22" t="s">
        <v>7691</v>
      </c>
      <c r="Q1863" s="22">
        <v>92614</v>
      </c>
      <c r="R1863" s="22" t="s">
        <v>6967</v>
      </c>
      <c r="S1863" s="22" t="s">
        <v>6968</v>
      </c>
      <c r="X1863" s="26"/>
      <c r="Y1863" s="26"/>
    </row>
    <row r="1864" spans="1:25" ht="37.5" x14ac:dyDescent="0.25">
      <c r="A1864" s="21">
        <v>10033</v>
      </c>
      <c r="B1864" s="22" t="s">
        <v>15368</v>
      </c>
      <c r="C1864" s="22" t="s">
        <v>6962</v>
      </c>
      <c r="D1864" s="23">
        <v>399463</v>
      </c>
      <c r="E1864" s="24">
        <v>2002</v>
      </c>
      <c r="F1864" s="22" t="s">
        <v>6969</v>
      </c>
      <c r="G1864" s="23" t="s">
        <v>6970</v>
      </c>
      <c r="H1864" s="25" t="s">
        <v>15373</v>
      </c>
      <c r="I1864" s="22" t="s">
        <v>15374</v>
      </c>
      <c r="J1864" s="22" t="s">
        <v>6965</v>
      </c>
      <c r="K1864" s="26">
        <f t="shared" si="29"/>
        <v>1898</v>
      </c>
      <c r="N1864" s="26">
        <v>2847</v>
      </c>
      <c r="O1864" s="22" t="s">
        <v>6966</v>
      </c>
      <c r="P1864" s="22" t="s">
        <v>7691</v>
      </c>
      <c r="Q1864" s="22">
        <v>92614</v>
      </c>
      <c r="R1864" s="22" t="s">
        <v>6967</v>
      </c>
      <c r="S1864" s="22" t="s">
        <v>6968</v>
      </c>
      <c r="X1864" s="26"/>
      <c r="Y1864" s="26"/>
    </row>
    <row r="1865" spans="1:25" ht="37.5" x14ac:dyDescent="0.25">
      <c r="A1865" s="21">
        <v>10034</v>
      </c>
      <c r="B1865" s="22" t="s">
        <v>15368</v>
      </c>
      <c r="C1865" s="22" t="s">
        <v>6962</v>
      </c>
      <c r="D1865" s="23">
        <v>399464</v>
      </c>
      <c r="E1865" s="24">
        <v>2002</v>
      </c>
      <c r="F1865" s="22" t="s">
        <v>6971</v>
      </c>
      <c r="G1865" s="23" t="s">
        <v>6972</v>
      </c>
      <c r="H1865" s="25" t="s">
        <v>15373</v>
      </c>
      <c r="I1865" s="22" t="s">
        <v>15374</v>
      </c>
      <c r="J1865" s="22" t="s">
        <v>6965</v>
      </c>
      <c r="K1865" s="26">
        <f t="shared" si="29"/>
        <v>1898</v>
      </c>
      <c r="N1865" s="26">
        <v>2847</v>
      </c>
      <c r="O1865" s="22" t="s">
        <v>6966</v>
      </c>
      <c r="P1865" s="22" t="s">
        <v>7691</v>
      </c>
      <c r="Q1865" s="22">
        <v>92614</v>
      </c>
      <c r="R1865" s="22" t="s">
        <v>6967</v>
      </c>
      <c r="S1865" s="22" t="s">
        <v>6968</v>
      </c>
      <c r="X1865" s="26"/>
      <c r="Y1865" s="26"/>
    </row>
    <row r="1866" spans="1:25" ht="37.5" x14ac:dyDescent="0.25">
      <c r="A1866" s="21">
        <v>10035</v>
      </c>
      <c r="B1866" s="22" t="s">
        <v>15368</v>
      </c>
      <c r="C1866" s="22" t="s">
        <v>6962</v>
      </c>
      <c r="D1866" s="23">
        <v>399465</v>
      </c>
      <c r="E1866" s="24">
        <v>2002</v>
      </c>
      <c r="F1866" s="22" t="s">
        <v>6973</v>
      </c>
      <c r="G1866" s="23" t="s">
        <v>6974</v>
      </c>
      <c r="H1866" s="25" t="s">
        <v>15373</v>
      </c>
      <c r="I1866" s="22" t="s">
        <v>15374</v>
      </c>
      <c r="J1866" s="22" t="s">
        <v>6965</v>
      </c>
      <c r="K1866" s="26">
        <f t="shared" si="29"/>
        <v>1898</v>
      </c>
      <c r="N1866" s="26">
        <v>2847</v>
      </c>
      <c r="O1866" s="22" t="s">
        <v>6966</v>
      </c>
      <c r="P1866" s="22" t="s">
        <v>7691</v>
      </c>
      <c r="Q1866" s="22">
        <v>92614</v>
      </c>
      <c r="R1866" s="22" t="s">
        <v>6967</v>
      </c>
      <c r="S1866" s="22" t="s">
        <v>6968</v>
      </c>
      <c r="X1866" s="26"/>
      <c r="Y1866" s="26"/>
    </row>
    <row r="1867" spans="1:25" ht="37.5" x14ac:dyDescent="0.25">
      <c r="A1867" s="21">
        <v>10036</v>
      </c>
      <c r="B1867" s="22" t="s">
        <v>15368</v>
      </c>
      <c r="C1867" s="22" t="s">
        <v>6962</v>
      </c>
      <c r="D1867" s="23">
        <v>399467</v>
      </c>
      <c r="E1867" s="24">
        <v>2002</v>
      </c>
      <c r="F1867" s="22" t="s">
        <v>6975</v>
      </c>
      <c r="G1867" s="23" t="s">
        <v>5713</v>
      </c>
      <c r="H1867" s="25" t="s">
        <v>15373</v>
      </c>
      <c r="I1867" s="22" t="s">
        <v>15374</v>
      </c>
      <c r="J1867" s="22" t="s">
        <v>6965</v>
      </c>
      <c r="K1867" s="26">
        <f t="shared" si="29"/>
        <v>1898</v>
      </c>
      <c r="N1867" s="26">
        <v>2847</v>
      </c>
      <c r="O1867" s="22" t="s">
        <v>6966</v>
      </c>
      <c r="P1867" s="22" t="s">
        <v>7691</v>
      </c>
      <c r="Q1867" s="22">
        <v>92614</v>
      </c>
      <c r="R1867" s="22" t="s">
        <v>6967</v>
      </c>
      <c r="S1867" s="22" t="s">
        <v>6968</v>
      </c>
      <c r="X1867" s="26"/>
      <c r="Y1867" s="26"/>
    </row>
    <row r="1868" spans="1:25" ht="37.5" x14ac:dyDescent="0.25">
      <c r="A1868" s="21">
        <v>10037</v>
      </c>
      <c r="B1868" s="22" t="s">
        <v>15368</v>
      </c>
      <c r="C1868" s="22" t="s">
        <v>6962</v>
      </c>
      <c r="D1868" s="23">
        <v>399468</v>
      </c>
      <c r="E1868" s="24">
        <v>2002</v>
      </c>
      <c r="F1868" s="22" t="s">
        <v>5714</v>
      </c>
      <c r="G1868" s="23" t="s">
        <v>5715</v>
      </c>
      <c r="H1868" s="25" t="s">
        <v>15373</v>
      </c>
      <c r="I1868" s="22" t="s">
        <v>15374</v>
      </c>
      <c r="J1868" s="22" t="s">
        <v>6965</v>
      </c>
      <c r="K1868" s="26">
        <f t="shared" si="29"/>
        <v>1898</v>
      </c>
      <c r="N1868" s="26">
        <v>2847</v>
      </c>
      <c r="O1868" s="22" t="s">
        <v>6966</v>
      </c>
      <c r="P1868" s="22" t="s">
        <v>7691</v>
      </c>
      <c r="Q1868" s="22">
        <v>92614</v>
      </c>
      <c r="R1868" s="22" t="s">
        <v>6967</v>
      </c>
      <c r="S1868" s="22" t="s">
        <v>6968</v>
      </c>
      <c r="X1868" s="26"/>
      <c r="Y1868" s="26"/>
    </row>
    <row r="1869" spans="1:25" ht="37.5" x14ac:dyDescent="0.25">
      <c r="A1869" s="21">
        <v>10038</v>
      </c>
      <c r="B1869" s="22" t="s">
        <v>15368</v>
      </c>
      <c r="C1869" s="22" t="s">
        <v>6962</v>
      </c>
      <c r="D1869" s="23">
        <v>399470</v>
      </c>
      <c r="E1869" s="24">
        <v>2002</v>
      </c>
      <c r="F1869" s="22" t="s">
        <v>5716</v>
      </c>
      <c r="G1869" s="23" t="s">
        <v>5717</v>
      </c>
      <c r="H1869" s="25" t="s">
        <v>15373</v>
      </c>
      <c r="I1869" s="22" t="s">
        <v>15374</v>
      </c>
      <c r="J1869" s="22" t="s">
        <v>6965</v>
      </c>
      <c r="K1869" s="26">
        <f t="shared" si="29"/>
        <v>1898</v>
      </c>
      <c r="N1869" s="26">
        <v>2847</v>
      </c>
      <c r="O1869" s="22" t="s">
        <v>6966</v>
      </c>
      <c r="P1869" s="22" t="s">
        <v>7691</v>
      </c>
      <c r="Q1869" s="22">
        <v>92614</v>
      </c>
      <c r="R1869" s="22" t="s">
        <v>6967</v>
      </c>
      <c r="S1869" s="22" t="s">
        <v>6968</v>
      </c>
      <c r="X1869" s="26"/>
      <c r="Y1869" s="26"/>
    </row>
    <row r="1870" spans="1:25" ht="37.5" x14ac:dyDescent="0.25">
      <c r="A1870" s="21">
        <v>10039</v>
      </c>
      <c r="B1870" s="22" t="s">
        <v>15368</v>
      </c>
      <c r="C1870" s="22" t="s">
        <v>6962</v>
      </c>
      <c r="D1870" s="23">
        <v>399471</v>
      </c>
      <c r="E1870" s="24">
        <v>2002</v>
      </c>
      <c r="F1870" s="22" t="s">
        <v>5718</v>
      </c>
      <c r="G1870" s="23" t="s">
        <v>5719</v>
      </c>
      <c r="H1870" s="25" t="s">
        <v>15373</v>
      </c>
      <c r="I1870" s="22" t="s">
        <v>15374</v>
      </c>
      <c r="J1870" s="22" t="s">
        <v>6965</v>
      </c>
      <c r="K1870" s="26">
        <f t="shared" si="29"/>
        <v>1898</v>
      </c>
      <c r="N1870" s="26">
        <v>2847</v>
      </c>
      <c r="O1870" s="22" t="s">
        <v>6966</v>
      </c>
      <c r="P1870" s="22" t="s">
        <v>7691</v>
      </c>
      <c r="Q1870" s="22">
        <v>92614</v>
      </c>
      <c r="R1870" s="22" t="s">
        <v>6967</v>
      </c>
      <c r="S1870" s="22" t="s">
        <v>6968</v>
      </c>
      <c r="X1870" s="26"/>
      <c r="Y1870" s="26"/>
    </row>
    <row r="1871" spans="1:25" ht="37.5" x14ac:dyDescent="0.25">
      <c r="A1871" s="21">
        <v>10040</v>
      </c>
      <c r="B1871" s="22" t="s">
        <v>15368</v>
      </c>
      <c r="C1871" s="22" t="s">
        <v>6962</v>
      </c>
      <c r="D1871" s="23">
        <v>399472</v>
      </c>
      <c r="E1871" s="24">
        <v>2002</v>
      </c>
      <c r="F1871" s="22" t="s">
        <v>5720</v>
      </c>
      <c r="G1871" s="23" t="s">
        <v>5721</v>
      </c>
      <c r="H1871" s="25" t="s">
        <v>15373</v>
      </c>
      <c r="I1871" s="22" t="s">
        <v>15374</v>
      </c>
      <c r="J1871" s="22" t="s">
        <v>6965</v>
      </c>
      <c r="K1871" s="26">
        <f t="shared" si="29"/>
        <v>1898</v>
      </c>
      <c r="N1871" s="26">
        <v>2847</v>
      </c>
      <c r="O1871" s="22" t="s">
        <v>6966</v>
      </c>
      <c r="P1871" s="22" t="s">
        <v>7691</v>
      </c>
      <c r="Q1871" s="22">
        <v>92614</v>
      </c>
      <c r="R1871" s="22" t="s">
        <v>6967</v>
      </c>
      <c r="S1871" s="22" t="s">
        <v>6968</v>
      </c>
      <c r="X1871" s="26"/>
      <c r="Y1871" s="26"/>
    </row>
    <row r="1872" spans="1:25" ht="37.5" x14ac:dyDescent="0.25">
      <c r="A1872" s="21">
        <v>10041</v>
      </c>
      <c r="B1872" s="22" t="s">
        <v>15368</v>
      </c>
      <c r="C1872" s="22" t="s">
        <v>6962</v>
      </c>
      <c r="D1872" s="23">
        <v>399475</v>
      </c>
      <c r="E1872" s="24">
        <v>2002</v>
      </c>
      <c r="F1872" s="22" t="s">
        <v>5722</v>
      </c>
      <c r="G1872" s="23" t="s">
        <v>5723</v>
      </c>
      <c r="H1872" s="25" t="s">
        <v>15373</v>
      </c>
      <c r="I1872" s="22" t="s">
        <v>15374</v>
      </c>
      <c r="J1872" s="22" t="s">
        <v>6965</v>
      </c>
      <c r="K1872" s="26">
        <f t="shared" si="29"/>
        <v>1898</v>
      </c>
      <c r="N1872" s="26">
        <v>2847</v>
      </c>
      <c r="O1872" s="22" t="s">
        <v>6966</v>
      </c>
      <c r="P1872" s="22" t="s">
        <v>7691</v>
      </c>
      <c r="Q1872" s="22">
        <v>92614</v>
      </c>
      <c r="R1872" s="22" t="s">
        <v>6967</v>
      </c>
      <c r="S1872" s="22" t="s">
        <v>6968</v>
      </c>
      <c r="X1872" s="26"/>
      <c r="Y1872" s="26"/>
    </row>
    <row r="1873" spans="1:25" ht="37.5" x14ac:dyDescent="0.25">
      <c r="A1873" s="21">
        <v>10042</v>
      </c>
      <c r="B1873" s="22" t="s">
        <v>15368</v>
      </c>
      <c r="C1873" s="22" t="s">
        <v>5724</v>
      </c>
      <c r="D1873" s="23">
        <v>399291</v>
      </c>
      <c r="E1873" s="24">
        <v>2002</v>
      </c>
      <c r="F1873" s="22" t="s">
        <v>5725</v>
      </c>
      <c r="G1873" s="23" t="s">
        <v>5726</v>
      </c>
      <c r="H1873" s="25" t="s">
        <v>15373</v>
      </c>
      <c r="I1873" s="22" t="s">
        <v>15411</v>
      </c>
      <c r="J1873" s="22" t="s">
        <v>16331</v>
      </c>
      <c r="K1873" s="26">
        <f t="shared" si="29"/>
        <v>730</v>
      </c>
      <c r="N1873" s="26">
        <v>1095</v>
      </c>
      <c r="O1873" s="22" t="s">
        <v>5727</v>
      </c>
      <c r="P1873" s="22" t="s">
        <v>7753</v>
      </c>
      <c r="Q1873" s="22">
        <v>90045</v>
      </c>
      <c r="R1873" s="22" t="s">
        <v>5728</v>
      </c>
      <c r="S1873" s="22" t="s">
        <v>5729</v>
      </c>
      <c r="X1873" s="26"/>
      <c r="Y1873" s="26"/>
    </row>
    <row r="1874" spans="1:25" ht="37.5" x14ac:dyDescent="0.25">
      <c r="A1874" s="21">
        <v>10043</v>
      </c>
      <c r="B1874" s="22" t="s">
        <v>15368</v>
      </c>
      <c r="C1874" s="22" t="s">
        <v>5730</v>
      </c>
      <c r="D1874" s="23">
        <v>185582</v>
      </c>
      <c r="E1874" s="24">
        <v>1989</v>
      </c>
      <c r="F1874" s="22" t="s">
        <v>5731</v>
      </c>
      <c r="G1874" s="23" t="s">
        <v>5732</v>
      </c>
      <c r="H1874" s="25" t="s">
        <v>15373</v>
      </c>
      <c r="I1874" s="22" t="s">
        <v>15374</v>
      </c>
      <c r="J1874" s="22">
        <v>3412</v>
      </c>
      <c r="K1874" s="26">
        <f t="shared" si="29"/>
        <v>347.33333333333331</v>
      </c>
      <c r="N1874" s="26">
        <v>521</v>
      </c>
      <c r="O1874" s="22" t="s">
        <v>5733</v>
      </c>
      <c r="P1874" s="22" t="s">
        <v>5734</v>
      </c>
      <c r="Q1874" s="22">
        <v>90745</v>
      </c>
      <c r="R1874" s="22" t="s">
        <v>5735</v>
      </c>
      <c r="S1874" s="22" t="s">
        <v>5736</v>
      </c>
      <c r="X1874" s="26"/>
      <c r="Y1874" s="26"/>
    </row>
    <row r="1875" spans="1:25" ht="50" x14ac:dyDescent="0.25">
      <c r="A1875" s="21">
        <v>10044</v>
      </c>
      <c r="B1875" s="22" t="s">
        <v>15368</v>
      </c>
      <c r="C1875" s="22" t="s">
        <v>5737</v>
      </c>
      <c r="D1875" s="23">
        <v>402536</v>
      </c>
      <c r="E1875" s="24">
        <v>2002</v>
      </c>
      <c r="F1875" s="22" t="s">
        <v>5738</v>
      </c>
      <c r="G1875" s="23" t="s">
        <v>5739</v>
      </c>
      <c r="H1875" s="25" t="s">
        <v>15373</v>
      </c>
      <c r="I1875" s="22" t="s">
        <v>15635</v>
      </c>
      <c r="J1875" s="22" t="s">
        <v>5740</v>
      </c>
      <c r="K1875" s="26">
        <f t="shared" si="29"/>
        <v>375.33333333333331</v>
      </c>
      <c r="N1875" s="26">
        <v>563</v>
      </c>
      <c r="O1875" s="22" t="s">
        <v>5741</v>
      </c>
      <c r="P1875" s="22" t="s">
        <v>5742</v>
      </c>
      <c r="Q1875" s="22">
        <v>91710</v>
      </c>
      <c r="R1875" s="22" t="s">
        <v>5743</v>
      </c>
      <c r="S1875" s="22" t="s">
        <v>5744</v>
      </c>
      <c r="X1875" s="26"/>
      <c r="Y1875" s="26"/>
    </row>
    <row r="1876" spans="1:25" ht="37.5" x14ac:dyDescent="0.25">
      <c r="A1876" s="21">
        <v>10045</v>
      </c>
      <c r="B1876" s="22" t="s">
        <v>15368</v>
      </c>
      <c r="C1876" s="22" t="s">
        <v>5745</v>
      </c>
      <c r="D1876" s="23">
        <v>401534</v>
      </c>
      <c r="E1876" s="24">
        <v>2002</v>
      </c>
      <c r="F1876" s="22" t="s">
        <v>5746</v>
      </c>
      <c r="G1876" s="23" t="s">
        <v>5747</v>
      </c>
      <c r="H1876" s="25" t="s">
        <v>15373</v>
      </c>
      <c r="I1876" s="22" t="s">
        <v>15382</v>
      </c>
      <c r="J1876" s="22" t="s">
        <v>16792</v>
      </c>
      <c r="K1876" s="26">
        <f t="shared" si="29"/>
        <v>399</v>
      </c>
      <c r="L1876" s="26">
        <v>399</v>
      </c>
      <c r="O1876" s="22" t="s">
        <v>5748</v>
      </c>
      <c r="P1876" s="22" t="s">
        <v>5749</v>
      </c>
      <c r="Q1876" s="22">
        <v>92806</v>
      </c>
      <c r="R1876" s="22" t="s">
        <v>5750</v>
      </c>
      <c r="S1876" s="22" t="s">
        <v>5751</v>
      </c>
      <c r="X1876" s="26"/>
      <c r="Y1876" s="26"/>
    </row>
    <row r="1877" spans="1:25" ht="37.5" x14ac:dyDescent="0.25">
      <c r="A1877" s="21">
        <v>10046</v>
      </c>
      <c r="B1877" s="22" t="s">
        <v>15368</v>
      </c>
      <c r="C1877" s="22" t="s">
        <v>5752</v>
      </c>
      <c r="D1877" s="23">
        <v>401224</v>
      </c>
      <c r="E1877" s="24">
        <v>2002</v>
      </c>
      <c r="F1877" s="22" t="s">
        <v>5753</v>
      </c>
      <c r="G1877" s="23" t="s">
        <v>5754</v>
      </c>
      <c r="H1877" s="25" t="s">
        <v>15373</v>
      </c>
      <c r="I1877" s="22" t="s">
        <v>15374</v>
      </c>
      <c r="J1877" s="22" t="s">
        <v>10081</v>
      </c>
      <c r="K1877" s="26">
        <f t="shared" si="29"/>
        <v>613.33333333333326</v>
      </c>
      <c r="N1877" s="26">
        <v>920</v>
      </c>
      <c r="O1877" s="22" t="s">
        <v>5755</v>
      </c>
      <c r="P1877" s="22" t="s">
        <v>5756</v>
      </c>
      <c r="Q1877" s="22">
        <v>90638</v>
      </c>
      <c r="R1877" s="22" t="s">
        <v>5757</v>
      </c>
      <c r="S1877" s="22" t="s">
        <v>5758</v>
      </c>
      <c r="X1877" s="26"/>
      <c r="Y1877" s="26"/>
    </row>
    <row r="1878" spans="1:25" ht="50" x14ac:dyDescent="0.25">
      <c r="A1878" s="21">
        <v>10047</v>
      </c>
      <c r="B1878" s="22" t="s">
        <v>15368</v>
      </c>
      <c r="C1878" s="22" t="s">
        <v>5759</v>
      </c>
      <c r="D1878" s="23">
        <v>399719</v>
      </c>
      <c r="E1878" s="24">
        <v>2002</v>
      </c>
      <c r="F1878" s="22" t="s">
        <v>5760</v>
      </c>
      <c r="G1878" s="23" t="s">
        <v>5761</v>
      </c>
      <c r="H1878" s="25" t="s">
        <v>15373</v>
      </c>
      <c r="I1878" s="22" t="s">
        <v>15374</v>
      </c>
      <c r="J1878" s="22" t="s">
        <v>16869</v>
      </c>
      <c r="K1878" s="26">
        <f t="shared" si="29"/>
        <v>536.66666666666663</v>
      </c>
      <c r="N1878" s="26">
        <v>805</v>
      </c>
      <c r="O1878" s="22" t="s">
        <v>5762</v>
      </c>
      <c r="P1878" s="22" t="s">
        <v>7691</v>
      </c>
      <c r="Q1878" s="22">
        <v>92612</v>
      </c>
      <c r="R1878" s="22" t="s">
        <v>5763</v>
      </c>
      <c r="S1878" s="22" t="s">
        <v>5764</v>
      </c>
      <c r="X1878" s="26"/>
      <c r="Y1878" s="26"/>
    </row>
    <row r="1879" spans="1:25" ht="50" x14ac:dyDescent="0.25">
      <c r="A1879" s="21">
        <v>10048</v>
      </c>
      <c r="B1879" s="22" t="s">
        <v>15368</v>
      </c>
      <c r="C1879" s="22" t="s">
        <v>5765</v>
      </c>
      <c r="D1879" s="23">
        <v>402921</v>
      </c>
      <c r="E1879" s="24">
        <v>2002</v>
      </c>
      <c r="F1879" s="22" t="s">
        <v>5766</v>
      </c>
      <c r="G1879" s="23" t="s">
        <v>7984</v>
      </c>
      <c r="H1879" s="25" t="s">
        <v>15373</v>
      </c>
      <c r="I1879" s="22" t="s">
        <v>15382</v>
      </c>
      <c r="J1879" s="22" t="s">
        <v>13225</v>
      </c>
      <c r="K1879" s="26">
        <f t="shared" si="29"/>
        <v>600</v>
      </c>
      <c r="N1879" s="26">
        <v>900</v>
      </c>
      <c r="O1879" s="22" t="s">
        <v>7985</v>
      </c>
      <c r="P1879" s="22" t="s">
        <v>7753</v>
      </c>
      <c r="Q1879" s="22">
        <v>90016</v>
      </c>
      <c r="R1879" s="22" t="s">
        <v>7986</v>
      </c>
      <c r="S1879" s="22" t="s">
        <v>7987</v>
      </c>
      <c r="X1879" s="26"/>
      <c r="Y1879" s="26"/>
    </row>
    <row r="1880" spans="1:25" ht="50" x14ac:dyDescent="0.25">
      <c r="A1880" s="21">
        <v>10049</v>
      </c>
      <c r="B1880" s="22" t="s">
        <v>15368</v>
      </c>
      <c r="C1880" s="22" t="s">
        <v>7988</v>
      </c>
      <c r="D1880" s="23">
        <v>404910</v>
      </c>
      <c r="E1880" s="24">
        <v>2002</v>
      </c>
      <c r="F1880" s="22" t="s">
        <v>7989</v>
      </c>
      <c r="G1880" s="23" t="s">
        <v>7990</v>
      </c>
      <c r="H1880" s="25" t="s">
        <v>15373</v>
      </c>
      <c r="I1880" s="22" t="s">
        <v>15411</v>
      </c>
      <c r="J1880" s="22" t="s">
        <v>14492</v>
      </c>
      <c r="K1880" s="26">
        <f t="shared" si="29"/>
        <v>895</v>
      </c>
      <c r="L1880" s="26">
        <v>895</v>
      </c>
      <c r="O1880" s="22" t="s">
        <v>7991</v>
      </c>
      <c r="P1880" s="22" t="s">
        <v>7992</v>
      </c>
      <c r="Q1880" s="22">
        <v>91711</v>
      </c>
      <c r="R1880" s="22" t="s">
        <v>7993</v>
      </c>
      <c r="S1880" s="22" t="s">
        <v>7994</v>
      </c>
      <c r="X1880" s="26"/>
      <c r="Y1880" s="26"/>
    </row>
    <row r="1881" spans="1:25" ht="50" x14ac:dyDescent="0.25">
      <c r="A1881" s="21">
        <v>10050</v>
      </c>
      <c r="B1881" s="22" t="s">
        <v>15368</v>
      </c>
      <c r="C1881" s="22" t="s">
        <v>7995</v>
      </c>
      <c r="D1881" s="23">
        <v>398764</v>
      </c>
      <c r="E1881" s="24">
        <v>2002</v>
      </c>
      <c r="F1881" s="22" t="s">
        <v>7996</v>
      </c>
      <c r="G1881" s="23" t="s">
        <v>7997</v>
      </c>
      <c r="H1881" s="25" t="s">
        <v>15373</v>
      </c>
      <c r="I1881" s="22" t="s">
        <v>15374</v>
      </c>
      <c r="J1881" s="22" t="s">
        <v>9791</v>
      </c>
      <c r="K1881" s="26">
        <f t="shared" si="29"/>
        <v>500</v>
      </c>
      <c r="L1881" s="26">
        <v>500</v>
      </c>
      <c r="O1881" s="22" t="s">
        <v>7998</v>
      </c>
      <c r="P1881" s="22" t="s">
        <v>7999</v>
      </c>
      <c r="Q1881" s="22">
        <v>91023</v>
      </c>
      <c r="R1881" s="22" t="s">
        <v>8000</v>
      </c>
      <c r="S1881" s="22" t="s">
        <v>8001</v>
      </c>
      <c r="X1881" s="26"/>
      <c r="Y1881" s="26"/>
    </row>
    <row r="1882" spans="1:25" ht="37.5" x14ac:dyDescent="0.25">
      <c r="A1882" s="21">
        <v>10051</v>
      </c>
      <c r="B1882" s="22" t="s">
        <v>15368</v>
      </c>
      <c r="C1882" s="22" t="s">
        <v>8002</v>
      </c>
      <c r="D1882" s="23">
        <v>398150</v>
      </c>
      <c r="E1882" s="24">
        <v>2002</v>
      </c>
      <c r="F1882" s="22" t="s">
        <v>8003</v>
      </c>
      <c r="G1882" s="23" t="s">
        <v>8004</v>
      </c>
      <c r="H1882" s="25" t="s">
        <v>15373</v>
      </c>
      <c r="I1882" s="22" t="s">
        <v>15374</v>
      </c>
      <c r="J1882" s="22" t="s">
        <v>15441</v>
      </c>
      <c r="K1882" s="26">
        <f t="shared" si="29"/>
        <v>482.66666666666663</v>
      </c>
      <c r="N1882" s="26">
        <v>724</v>
      </c>
      <c r="O1882" s="22" t="s">
        <v>8005</v>
      </c>
      <c r="P1882" s="22" t="s">
        <v>15376</v>
      </c>
      <c r="Q1882" s="22">
        <v>90056</v>
      </c>
      <c r="R1882" s="22" t="s">
        <v>8006</v>
      </c>
      <c r="S1882" s="22" t="s">
        <v>8007</v>
      </c>
      <c r="X1882" s="26"/>
      <c r="Y1882" s="26"/>
    </row>
    <row r="1883" spans="1:25" ht="37.5" x14ac:dyDescent="0.25">
      <c r="A1883" s="21">
        <v>10052</v>
      </c>
      <c r="B1883" s="22" t="s">
        <v>15368</v>
      </c>
      <c r="C1883" s="22" t="s">
        <v>8008</v>
      </c>
      <c r="D1883" s="23">
        <v>403689</v>
      </c>
      <c r="E1883" s="24">
        <v>2002</v>
      </c>
      <c r="F1883" s="22" t="s">
        <v>8009</v>
      </c>
      <c r="G1883" s="23" t="s">
        <v>8010</v>
      </c>
      <c r="H1883" s="25" t="s">
        <v>15373</v>
      </c>
      <c r="I1883" s="22" t="s">
        <v>15382</v>
      </c>
      <c r="J1883" s="22" t="s">
        <v>16811</v>
      </c>
      <c r="K1883" s="26">
        <f t="shared" si="29"/>
        <v>356.66666666666663</v>
      </c>
      <c r="N1883" s="26">
        <v>535</v>
      </c>
      <c r="O1883" s="22" t="s">
        <v>8011</v>
      </c>
      <c r="P1883" s="22" t="s">
        <v>8012</v>
      </c>
      <c r="Q1883" s="22">
        <v>90630</v>
      </c>
      <c r="R1883" s="22" t="s">
        <v>8013</v>
      </c>
      <c r="S1883" s="22" t="s">
        <v>8014</v>
      </c>
      <c r="X1883" s="26"/>
      <c r="Y1883" s="26"/>
    </row>
    <row r="1884" spans="1:25" ht="50" x14ac:dyDescent="0.25">
      <c r="A1884" s="21">
        <v>10053</v>
      </c>
      <c r="B1884" s="22" t="s">
        <v>15368</v>
      </c>
      <c r="C1884" s="22" t="s">
        <v>8015</v>
      </c>
      <c r="D1884" s="23">
        <v>328040</v>
      </c>
      <c r="E1884" s="24">
        <v>1997</v>
      </c>
      <c r="F1884" s="22" t="s">
        <v>8016</v>
      </c>
      <c r="G1884" s="23" t="s">
        <v>8017</v>
      </c>
      <c r="H1884" s="25" t="s">
        <v>15373</v>
      </c>
      <c r="I1884" s="22" t="s">
        <v>15374</v>
      </c>
      <c r="J1884" s="22">
        <v>3508</v>
      </c>
      <c r="K1884" s="26">
        <f t="shared" si="29"/>
        <v>712.66666666666663</v>
      </c>
      <c r="N1884" s="26">
        <v>1069</v>
      </c>
      <c r="O1884" s="22" t="s">
        <v>8018</v>
      </c>
      <c r="P1884" s="22" t="s">
        <v>8019</v>
      </c>
      <c r="Q1884" s="22">
        <v>91803</v>
      </c>
      <c r="R1884" s="22" t="s">
        <v>8020</v>
      </c>
      <c r="S1884" s="22" t="s">
        <v>8021</v>
      </c>
      <c r="X1884" s="26"/>
      <c r="Y1884" s="26"/>
    </row>
    <row r="1885" spans="1:25" ht="50" x14ac:dyDescent="0.25">
      <c r="A1885" s="21">
        <v>10054</v>
      </c>
      <c r="B1885" s="22" t="s">
        <v>15368</v>
      </c>
      <c r="C1885" s="22" t="s">
        <v>8022</v>
      </c>
      <c r="D1885" s="23">
        <v>403915</v>
      </c>
      <c r="E1885" s="24">
        <v>2002</v>
      </c>
      <c r="F1885" s="22" t="s">
        <v>8023</v>
      </c>
      <c r="G1885" s="23" t="s">
        <v>8024</v>
      </c>
      <c r="H1885" s="25" t="s">
        <v>15373</v>
      </c>
      <c r="I1885" s="22" t="s">
        <v>15382</v>
      </c>
      <c r="J1885" s="22" t="s">
        <v>8025</v>
      </c>
      <c r="K1885" s="26">
        <f t="shared" si="29"/>
        <v>356.66666666666663</v>
      </c>
      <c r="N1885" s="26">
        <v>535</v>
      </c>
      <c r="O1885" s="22" t="s">
        <v>8026</v>
      </c>
      <c r="P1885" s="22" t="s">
        <v>7753</v>
      </c>
      <c r="Q1885" s="22">
        <v>90068</v>
      </c>
      <c r="R1885" s="22" t="s">
        <v>8027</v>
      </c>
      <c r="S1885" s="22" t="s">
        <v>8028</v>
      </c>
      <c r="X1885" s="26"/>
      <c r="Y1885" s="26"/>
    </row>
    <row r="1886" spans="1:25" ht="50" x14ac:dyDescent="0.25">
      <c r="A1886" s="21">
        <v>10055</v>
      </c>
      <c r="B1886" s="22" t="s">
        <v>15368</v>
      </c>
      <c r="C1886" s="22" t="s">
        <v>8029</v>
      </c>
      <c r="D1886" s="23">
        <v>404802</v>
      </c>
      <c r="E1886" s="24">
        <v>2002</v>
      </c>
      <c r="F1886" s="22" t="s">
        <v>8030</v>
      </c>
      <c r="G1886" s="23" t="s">
        <v>8031</v>
      </c>
      <c r="H1886" s="25" t="s">
        <v>15373</v>
      </c>
      <c r="I1886" s="22" t="s">
        <v>15374</v>
      </c>
      <c r="J1886" s="22">
        <v>3512</v>
      </c>
      <c r="K1886" s="26">
        <f t="shared" si="29"/>
        <v>1452</v>
      </c>
      <c r="N1886" s="26">
        <v>2178</v>
      </c>
      <c r="O1886" s="22" t="s">
        <v>8032</v>
      </c>
      <c r="P1886" s="22" t="s">
        <v>7753</v>
      </c>
      <c r="Q1886" s="22">
        <v>90025</v>
      </c>
      <c r="R1886" s="22" t="s">
        <v>8033</v>
      </c>
      <c r="S1886" s="22" t="s">
        <v>8034</v>
      </c>
      <c r="X1886" s="26"/>
      <c r="Y1886" s="26"/>
    </row>
    <row r="1887" spans="1:25" ht="25" x14ac:dyDescent="0.25">
      <c r="A1887" s="21">
        <v>10056</v>
      </c>
      <c r="B1887" s="22" t="s">
        <v>15368</v>
      </c>
      <c r="C1887" s="22" t="s">
        <v>8035</v>
      </c>
      <c r="D1887" s="23">
        <v>401206</v>
      </c>
      <c r="E1887" s="24">
        <v>2002</v>
      </c>
      <c r="F1887" s="22" t="s">
        <v>8036</v>
      </c>
      <c r="G1887" s="23" t="s">
        <v>8037</v>
      </c>
      <c r="H1887" s="25" t="s">
        <v>15373</v>
      </c>
      <c r="I1887" s="22" t="s">
        <v>15374</v>
      </c>
      <c r="J1887" s="22" t="s">
        <v>16311</v>
      </c>
      <c r="K1887" s="26">
        <f t="shared" si="29"/>
        <v>1917.3333333333333</v>
      </c>
      <c r="N1887" s="26">
        <v>2876</v>
      </c>
      <c r="O1887" s="22" t="s">
        <v>8038</v>
      </c>
      <c r="P1887" s="22" t="s">
        <v>7753</v>
      </c>
      <c r="Q1887" s="22">
        <v>90012</v>
      </c>
      <c r="R1887" s="22" t="s">
        <v>8039</v>
      </c>
      <c r="S1887" s="22" t="s">
        <v>8040</v>
      </c>
      <c r="X1887" s="26"/>
      <c r="Y1887" s="26"/>
    </row>
    <row r="1888" spans="1:25" ht="50" x14ac:dyDescent="0.25">
      <c r="A1888" s="21">
        <v>10057</v>
      </c>
      <c r="B1888" s="22" t="s">
        <v>15368</v>
      </c>
      <c r="C1888" s="22" t="s">
        <v>8041</v>
      </c>
      <c r="D1888" s="23">
        <v>401388</v>
      </c>
      <c r="E1888" s="24">
        <v>2002</v>
      </c>
      <c r="F1888" s="22" t="s">
        <v>8042</v>
      </c>
      <c r="G1888" s="23" t="s">
        <v>8043</v>
      </c>
      <c r="H1888" s="25" t="s">
        <v>15373</v>
      </c>
      <c r="I1888" s="22" t="s">
        <v>15411</v>
      </c>
      <c r="J1888" s="22" t="s">
        <v>16517</v>
      </c>
      <c r="K1888" s="26">
        <f t="shared" si="29"/>
        <v>366.66666666666663</v>
      </c>
      <c r="N1888" s="26">
        <v>550</v>
      </c>
      <c r="O1888" s="22" t="s">
        <v>8044</v>
      </c>
      <c r="P1888" s="22" t="s">
        <v>8045</v>
      </c>
      <c r="Q1888" s="22">
        <v>90660</v>
      </c>
      <c r="R1888" s="22" t="s">
        <v>8046</v>
      </c>
      <c r="S1888" s="22" t="s">
        <v>8047</v>
      </c>
      <c r="X1888" s="26"/>
      <c r="Y1888" s="26"/>
    </row>
    <row r="1889" spans="1:25" ht="50" x14ac:dyDescent="0.25">
      <c r="A1889" s="21">
        <v>10058</v>
      </c>
      <c r="B1889" s="22" t="s">
        <v>15368</v>
      </c>
      <c r="C1889" s="22" t="s">
        <v>8048</v>
      </c>
      <c r="D1889" s="23">
        <v>402860</v>
      </c>
      <c r="E1889" s="24">
        <v>2002</v>
      </c>
      <c r="F1889" s="22" t="s">
        <v>8049</v>
      </c>
      <c r="G1889" s="23" t="s">
        <v>8050</v>
      </c>
      <c r="H1889" s="25" t="s">
        <v>15373</v>
      </c>
      <c r="I1889" s="22" t="s">
        <v>15411</v>
      </c>
      <c r="J1889" s="22" t="s">
        <v>9749</v>
      </c>
      <c r="K1889" s="26">
        <f t="shared" si="29"/>
        <v>474</v>
      </c>
      <c r="L1889" s="26">
        <v>474</v>
      </c>
      <c r="O1889" s="22" t="s">
        <v>8051</v>
      </c>
      <c r="P1889" s="22" t="s">
        <v>8052</v>
      </c>
      <c r="Q1889" s="22">
        <v>92562</v>
      </c>
      <c r="R1889" s="22" t="s">
        <v>8046</v>
      </c>
      <c r="S1889" s="22" t="s">
        <v>8047</v>
      </c>
      <c r="X1889" s="26"/>
      <c r="Y1889" s="26"/>
    </row>
    <row r="1890" spans="1:25" ht="50" x14ac:dyDescent="0.25">
      <c r="A1890" s="21">
        <v>10059</v>
      </c>
      <c r="B1890" s="22" t="s">
        <v>15368</v>
      </c>
      <c r="C1890" s="22" t="s">
        <v>8048</v>
      </c>
      <c r="D1890" s="23">
        <v>406455</v>
      </c>
      <c r="E1890" s="24">
        <v>2002</v>
      </c>
      <c r="F1890" s="22" t="s">
        <v>8053</v>
      </c>
      <c r="G1890" s="23" t="s">
        <v>8050</v>
      </c>
      <c r="H1890" s="25" t="s">
        <v>15373</v>
      </c>
      <c r="I1890" s="22" t="s">
        <v>15411</v>
      </c>
      <c r="J1890" s="22" t="s">
        <v>9749</v>
      </c>
      <c r="K1890" s="26">
        <f t="shared" si="29"/>
        <v>474</v>
      </c>
      <c r="L1890" s="26">
        <v>474</v>
      </c>
      <c r="O1890" s="22" t="s">
        <v>8054</v>
      </c>
      <c r="P1890" s="22" t="s">
        <v>11271</v>
      </c>
      <c r="Q1890" s="22">
        <v>92553</v>
      </c>
      <c r="R1890" s="22" t="s">
        <v>8046</v>
      </c>
      <c r="S1890" s="22" t="s">
        <v>8055</v>
      </c>
      <c r="X1890" s="26"/>
      <c r="Y1890" s="26"/>
    </row>
    <row r="1891" spans="1:25" ht="50" x14ac:dyDescent="0.25">
      <c r="A1891" s="21">
        <v>10061</v>
      </c>
      <c r="B1891" s="22" t="s">
        <v>15368</v>
      </c>
      <c r="C1891" s="22" t="s">
        <v>8058</v>
      </c>
      <c r="D1891" s="23">
        <v>401427</v>
      </c>
      <c r="E1891" s="24">
        <v>2002</v>
      </c>
      <c r="F1891" s="22" t="s">
        <v>8059</v>
      </c>
      <c r="G1891" s="23" t="s">
        <v>8060</v>
      </c>
      <c r="H1891" s="25" t="s">
        <v>15373</v>
      </c>
      <c r="I1891" s="22" t="s">
        <v>15374</v>
      </c>
      <c r="J1891" s="22" t="s">
        <v>15516</v>
      </c>
      <c r="K1891" s="26">
        <f t="shared" si="29"/>
        <v>800</v>
      </c>
      <c r="L1891" s="26">
        <v>800</v>
      </c>
      <c r="O1891" s="22" t="s">
        <v>8061</v>
      </c>
      <c r="P1891" s="22" t="s">
        <v>7713</v>
      </c>
      <c r="Q1891" s="22">
        <v>92705</v>
      </c>
      <c r="R1891" s="22" t="s">
        <v>8062</v>
      </c>
      <c r="S1891" s="22" t="s">
        <v>8063</v>
      </c>
      <c r="X1891" s="26"/>
      <c r="Y1891" s="26"/>
    </row>
    <row r="1892" spans="1:25" ht="50" x14ac:dyDescent="0.25">
      <c r="A1892" s="21">
        <v>10062</v>
      </c>
      <c r="B1892" s="22" t="s">
        <v>15368</v>
      </c>
      <c r="C1892" s="22" t="s">
        <v>8064</v>
      </c>
      <c r="D1892" s="23">
        <v>403908</v>
      </c>
      <c r="E1892" s="24">
        <v>2002</v>
      </c>
      <c r="F1892" s="22" t="s">
        <v>8065</v>
      </c>
      <c r="G1892" s="23" t="s">
        <v>8066</v>
      </c>
      <c r="H1892" s="25" t="s">
        <v>15373</v>
      </c>
      <c r="I1892" s="22" t="s">
        <v>15374</v>
      </c>
      <c r="J1892" s="22" t="s">
        <v>11368</v>
      </c>
      <c r="K1892" s="26">
        <f t="shared" si="29"/>
        <v>1000</v>
      </c>
      <c r="L1892" s="26">
        <v>1000</v>
      </c>
      <c r="O1892" s="22" t="s">
        <v>8067</v>
      </c>
      <c r="P1892" s="22" t="s">
        <v>8068</v>
      </c>
      <c r="Q1892" s="22">
        <v>92240</v>
      </c>
      <c r="R1892" s="22" t="s">
        <v>8069</v>
      </c>
      <c r="S1892" s="22" t="s">
        <v>8070</v>
      </c>
      <c r="X1892" s="26"/>
      <c r="Y1892" s="26"/>
    </row>
    <row r="1893" spans="1:25" ht="50" x14ac:dyDescent="0.25">
      <c r="A1893" s="21">
        <v>10063</v>
      </c>
      <c r="B1893" s="22" t="s">
        <v>15368</v>
      </c>
      <c r="C1893" s="22" t="s">
        <v>8071</v>
      </c>
      <c r="D1893" s="23">
        <v>402949</v>
      </c>
      <c r="E1893" s="24">
        <v>2002</v>
      </c>
      <c r="F1893" s="22" t="s">
        <v>8072</v>
      </c>
      <c r="G1893" s="23" t="s">
        <v>5767</v>
      </c>
      <c r="H1893" s="25" t="s">
        <v>15373</v>
      </c>
      <c r="I1893" s="22" t="s">
        <v>15374</v>
      </c>
      <c r="J1893" s="22">
        <v>3456</v>
      </c>
      <c r="K1893" s="26">
        <f t="shared" si="29"/>
        <v>456.66666666666663</v>
      </c>
      <c r="N1893" s="26">
        <v>685</v>
      </c>
      <c r="O1893" s="22" t="s">
        <v>5768</v>
      </c>
      <c r="P1893" s="22" t="s">
        <v>8052</v>
      </c>
      <c r="Q1893" s="22">
        <v>92562</v>
      </c>
      <c r="R1893" s="22" t="s">
        <v>5769</v>
      </c>
      <c r="S1893" s="22" t="s">
        <v>5770</v>
      </c>
      <c r="X1893" s="26"/>
      <c r="Y1893" s="26"/>
    </row>
    <row r="1894" spans="1:25" ht="37.5" x14ac:dyDescent="0.25">
      <c r="A1894" s="21">
        <v>10064</v>
      </c>
      <c r="B1894" s="22" t="s">
        <v>15368</v>
      </c>
      <c r="C1894" s="22" t="s">
        <v>9840</v>
      </c>
      <c r="D1894" s="23">
        <v>392880</v>
      </c>
      <c r="E1894" s="24">
        <v>2001</v>
      </c>
      <c r="F1894" s="22" t="s">
        <v>5771</v>
      </c>
      <c r="G1894" s="23" t="s">
        <v>5772</v>
      </c>
      <c r="H1894" s="25" t="s">
        <v>15373</v>
      </c>
      <c r="I1894" s="22" t="s">
        <v>15382</v>
      </c>
      <c r="J1894" s="22" t="s">
        <v>15723</v>
      </c>
      <c r="K1894" s="26">
        <f t="shared" si="29"/>
        <v>566.66666666666663</v>
      </c>
      <c r="N1894" s="26">
        <v>850</v>
      </c>
      <c r="O1894" s="22" t="s">
        <v>9843</v>
      </c>
      <c r="P1894" s="22" t="s">
        <v>15376</v>
      </c>
      <c r="Q1894" s="22">
        <v>90064</v>
      </c>
      <c r="R1894" s="22" t="s">
        <v>9844</v>
      </c>
      <c r="S1894" s="22" t="s">
        <v>9845</v>
      </c>
      <c r="X1894" s="26"/>
      <c r="Y1894" s="26"/>
    </row>
    <row r="1895" spans="1:25" ht="37.5" x14ac:dyDescent="0.25">
      <c r="A1895" s="21">
        <v>10065</v>
      </c>
      <c r="B1895" s="22" t="s">
        <v>15368</v>
      </c>
      <c r="C1895" s="22" t="s">
        <v>5773</v>
      </c>
      <c r="D1895" s="23">
        <v>402607</v>
      </c>
      <c r="E1895" s="24">
        <v>2002</v>
      </c>
      <c r="F1895" s="22" t="s">
        <v>5774</v>
      </c>
      <c r="G1895" s="23" t="s">
        <v>5775</v>
      </c>
      <c r="H1895" s="25" t="s">
        <v>15373</v>
      </c>
      <c r="I1895" s="22" t="s">
        <v>15382</v>
      </c>
      <c r="J1895" s="22" t="s">
        <v>14807</v>
      </c>
      <c r="K1895" s="26">
        <f t="shared" si="29"/>
        <v>373.33333333333331</v>
      </c>
      <c r="N1895" s="26">
        <v>560</v>
      </c>
      <c r="O1895" s="22" t="s">
        <v>5776</v>
      </c>
      <c r="P1895" s="22" t="s">
        <v>5777</v>
      </c>
      <c r="Q1895" s="22">
        <v>91203</v>
      </c>
      <c r="R1895" s="22" t="s">
        <v>5778</v>
      </c>
      <c r="S1895" s="22" t="s">
        <v>5779</v>
      </c>
      <c r="X1895" s="26"/>
      <c r="Y1895" s="26"/>
    </row>
    <row r="1896" spans="1:25" ht="50" x14ac:dyDescent="0.25">
      <c r="A1896" s="21">
        <v>10066</v>
      </c>
      <c r="B1896" s="22" t="s">
        <v>15368</v>
      </c>
      <c r="C1896" s="22" t="s">
        <v>5780</v>
      </c>
      <c r="D1896" s="23">
        <v>400806</v>
      </c>
      <c r="E1896" s="24">
        <v>2002</v>
      </c>
      <c r="F1896" s="22" t="s">
        <v>5781</v>
      </c>
      <c r="G1896" s="23" t="s">
        <v>5782</v>
      </c>
      <c r="H1896" s="25" t="s">
        <v>15373</v>
      </c>
      <c r="I1896" s="22" t="s">
        <v>15374</v>
      </c>
      <c r="J1896" s="22" t="s">
        <v>12893</v>
      </c>
      <c r="K1896" s="26">
        <f t="shared" si="29"/>
        <v>1898</v>
      </c>
      <c r="N1896" s="26">
        <v>2847</v>
      </c>
      <c r="O1896" s="22" t="s">
        <v>8057</v>
      </c>
      <c r="P1896" s="22" t="s">
        <v>7753</v>
      </c>
      <c r="Q1896" s="22">
        <v>90017</v>
      </c>
      <c r="R1896" s="22" t="s">
        <v>5783</v>
      </c>
      <c r="S1896" s="22" t="s">
        <v>5784</v>
      </c>
      <c r="X1896" s="26"/>
      <c r="Y1896" s="26"/>
    </row>
    <row r="1897" spans="1:25" ht="50" x14ac:dyDescent="0.25">
      <c r="A1897" s="21">
        <v>10069</v>
      </c>
      <c r="B1897" s="22" t="s">
        <v>15368</v>
      </c>
      <c r="C1897" s="22" t="s">
        <v>5789</v>
      </c>
      <c r="D1897" s="23">
        <v>383094</v>
      </c>
      <c r="E1897" s="24">
        <v>2001</v>
      </c>
      <c r="F1897" s="22" t="s">
        <v>5790</v>
      </c>
      <c r="G1897" s="23" t="s">
        <v>5791</v>
      </c>
      <c r="H1897" s="25" t="s">
        <v>15373</v>
      </c>
      <c r="I1897" s="22" t="s">
        <v>15374</v>
      </c>
      <c r="J1897" s="22" t="s">
        <v>15400</v>
      </c>
      <c r="K1897" s="26">
        <f t="shared" si="29"/>
        <v>1500</v>
      </c>
      <c r="L1897" s="26">
        <v>1500</v>
      </c>
      <c r="O1897" s="22" t="s">
        <v>5792</v>
      </c>
      <c r="P1897" s="22" t="s">
        <v>7842</v>
      </c>
      <c r="Q1897" s="22">
        <v>91302</v>
      </c>
      <c r="R1897" s="22" t="s">
        <v>5793</v>
      </c>
      <c r="S1897" s="22" t="s">
        <v>5794</v>
      </c>
      <c r="X1897" s="26"/>
      <c r="Y1897" s="26"/>
    </row>
    <row r="1898" spans="1:25" ht="37.5" x14ac:dyDescent="0.25">
      <c r="A1898" s="21">
        <v>10071</v>
      </c>
      <c r="B1898" s="22" t="s">
        <v>15368</v>
      </c>
      <c r="C1898" s="22" t="s">
        <v>5789</v>
      </c>
      <c r="D1898" s="23">
        <v>398627</v>
      </c>
      <c r="E1898" s="24">
        <v>2002</v>
      </c>
      <c r="F1898" s="22" t="s">
        <v>5799</v>
      </c>
      <c r="G1898" s="23" t="s">
        <v>5800</v>
      </c>
      <c r="H1898" s="25" t="s">
        <v>15373</v>
      </c>
      <c r="I1898" s="22" t="s">
        <v>15374</v>
      </c>
      <c r="J1898" s="22">
        <v>3512</v>
      </c>
      <c r="K1898" s="26">
        <f t="shared" si="29"/>
        <v>1206.6666666666665</v>
      </c>
      <c r="N1898" s="26">
        <v>1810</v>
      </c>
      <c r="O1898" s="22" t="s">
        <v>5801</v>
      </c>
      <c r="P1898" s="22" t="s">
        <v>5802</v>
      </c>
      <c r="Q1898" s="22">
        <v>92675</v>
      </c>
      <c r="R1898" s="22" t="s">
        <v>5797</v>
      </c>
      <c r="S1898" s="22" t="s">
        <v>5798</v>
      </c>
      <c r="X1898" s="26"/>
      <c r="Y1898" s="26"/>
    </row>
    <row r="1899" spans="1:25" ht="37.5" x14ac:dyDescent="0.25">
      <c r="A1899" s="21">
        <v>10072</v>
      </c>
      <c r="B1899" s="22" t="s">
        <v>15368</v>
      </c>
      <c r="C1899" s="22" t="s">
        <v>5789</v>
      </c>
      <c r="D1899" s="23">
        <v>398895</v>
      </c>
      <c r="E1899" s="24">
        <v>2002</v>
      </c>
      <c r="F1899" s="22" t="s">
        <v>5803</v>
      </c>
      <c r="G1899" s="23" t="s">
        <v>5804</v>
      </c>
      <c r="H1899" s="25" t="s">
        <v>15373</v>
      </c>
      <c r="I1899" s="22" t="s">
        <v>15374</v>
      </c>
      <c r="J1899" s="22" t="s">
        <v>12899</v>
      </c>
      <c r="K1899" s="26">
        <f t="shared" si="29"/>
        <v>1898</v>
      </c>
      <c r="N1899" s="26">
        <v>2847</v>
      </c>
      <c r="O1899" s="22" t="s">
        <v>5795</v>
      </c>
      <c r="P1899" s="22" t="s">
        <v>5796</v>
      </c>
      <c r="Q1899" s="22">
        <v>91605</v>
      </c>
      <c r="R1899" s="22" t="s">
        <v>5797</v>
      </c>
      <c r="S1899" s="22" t="s">
        <v>5798</v>
      </c>
      <c r="X1899" s="26"/>
      <c r="Y1899" s="26"/>
    </row>
    <row r="1900" spans="1:25" ht="50" x14ac:dyDescent="0.25">
      <c r="A1900" s="21">
        <v>10074</v>
      </c>
      <c r="B1900" s="22" t="s">
        <v>15368</v>
      </c>
      <c r="C1900" s="22" t="s">
        <v>5805</v>
      </c>
      <c r="D1900" s="23">
        <v>404035</v>
      </c>
      <c r="E1900" s="24">
        <v>2002</v>
      </c>
      <c r="F1900" s="22" t="s">
        <v>5806</v>
      </c>
      <c r="G1900" s="23" t="s">
        <v>5807</v>
      </c>
      <c r="H1900" s="25" t="s">
        <v>15373</v>
      </c>
      <c r="I1900" s="22" t="s">
        <v>15411</v>
      </c>
      <c r="J1900" s="22" t="s">
        <v>13080</v>
      </c>
      <c r="K1900" s="26">
        <f t="shared" si="29"/>
        <v>679</v>
      </c>
      <c r="L1900" s="26">
        <v>679</v>
      </c>
      <c r="O1900" s="22" t="s">
        <v>5808</v>
      </c>
      <c r="P1900" s="22" t="s">
        <v>5809</v>
      </c>
      <c r="Q1900" s="22">
        <v>92648</v>
      </c>
      <c r="R1900" s="22" t="s">
        <v>5810</v>
      </c>
      <c r="S1900" s="22" t="s">
        <v>5811</v>
      </c>
      <c r="X1900" s="26"/>
      <c r="Y1900" s="26"/>
    </row>
    <row r="1901" spans="1:25" ht="37.5" x14ac:dyDescent="0.25">
      <c r="A1901" s="21">
        <v>10075</v>
      </c>
      <c r="B1901" s="22" t="s">
        <v>15368</v>
      </c>
      <c r="C1901" s="22" t="s">
        <v>5812</v>
      </c>
      <c r="D1901" s="23">
        <v>386792</v>
      </c>
      <c r="E1901" s="24">
        <v>2001</v>
      </c>
      <c r="F1901" s="22" t="s">
        <v>5813</v>
      </c>
      <c r="G1901" s="23" t="s">
        <v>5814</v>
      </c>
      <c r="H1901" s="25" t="s">
        <v>15373</v>
      </c>
      <c r="I1901" s="22" t="s">
        <v>16907</v>
      </c>
      <c r="J1901" s="22" t="s">
        <v>7068</v>
      </c>
      <c r="K1901" s="26">
        <f t="shared" si="29"/>
        <v>750</v>
      </c>
      <c r="L1901" s="26">
        <v>750</v>
      </c>
      <c r="O1901" s="22" t="s">
        <v>7069</v>
      </c>
      <c r="P1901" s="22" t="s">
        <v>16249</v>
      </c>
      <c r="Q1901" s="22">
        <v>91766</v>
      </c>
      <c r="R1901" s="22" t="s">
        <v>7070</v>
      </c>
      <c r="S1901" s="22" t="s">
        <v>7071</v>
      </c>
      <c r="X1901" s="26"/>
      <c r="Y1901" s="26"/>
    </row>
    <row r="1902" spans="1:25" ht="50" x14ac:dyDescent="0.25">
      <c r="A1902" s="21">
        <v>10076</v>
      </c>
      <c r="B1902" s="22" t="s">
        <v>15368</v>
      </c>
      <c r="C1902" s="22" t="s">
        <v>7072</v>
      </c>
      <c r="D1902" s="23">
        <v>402167</v>
      </c>
      <c r="E1902" s="24">
        <v>2002</v>
      </c>
      <c r="F1902" s="22" t="s">
        <v>7073</v>
      </c>
      <c r="G1902" s="23" t="s">
        <v>7074</v>
      </c>
      <c r="H1902" s="25" t="s">
        <v>15373</v>
      </c>
      <c r="I1902" s="22" t="s">
        <v>15374</v>
      </c>
      <c r="J1902" s="22" t="s">
        <v>15420</v>
      </c>
      <c r="K1902" s="26">
        <f t="shared" si="29"/>
        <v>1250</v>
      </c>
      <c r="L1902" s="26">
        <v>1250</v>
      </c>
      <c r="O1902" s="22" t="s">
        <v>7075</v>
      </c>
      <c r="P1902" s="22" t="s">
        <v>7076</v>
      </c>
      <c r="Q1902" s="22">
        <v>90710</v>
      </c>
      <c r="R1902" s="22" t="s">
        <v>7077</v>
      </c>
      <c r="S1902" s="22" t="s">
        <v>7078</v>
      </c>
      <c r="X1902" s="26"/>
      <c r="Y1902" s="26"/>
    </row>
    <row r="1903" spans="1:25" ht="37.5" x14ac:dyDescent="0.25">
      <c r="A1903" s="21">
        <v>10077</v>
      </c>
      <c r="B1903" s="22" t="s">
        <v>15368</v>
      </c>
      <c r="C1903" s="22" t="s">
        <v>7079</v>
      </c>
      <c r="D1903" s="23">
        <v>401754</v>
      </c>
      <c r="E1903" s="24">
        <v>2002</v>
      </c>
      <c r="F1903" s="22" t="s">
        <v>7080</v>
      </c>
      <c r="G1903" s="23" t="s">
        <v>7081</v>
      </c>
      <c r="H1903" s="25" t="s">
        <v>15373</v>
      </c>
      <c r="I1903" s="22" t="s">
        <v>15382</v>
      </c>
      <c r="J1903" s="22" t="s">
        <v>12903</v>
      </c>
      <c r="K1903" s="26">
        <f t="shared" si="29"/>
        <v>2180</v>
      </c>
      <c r="L1903" s="26">
        <v>2180</v>
      </c>
      <c r="O1903" s="22" t="s">
        <v>7082</v>
      </c>
      <c r="P1903" s="22" t="s">
        <v>7083</v>
      </c>
      <c r="Q1903" s="22">
        <v>90280</v>
      </c>
      <c r="R1903" s="22" t="s">
        <v>7084</v>
      </c>
      <c r="S1903" s="22" t="s">
        <v>7085</v>
      </c>
      <c r="X1903" s="26"/>
      <c r="Y1903" s="26"/>
    </row>
    <row r="1904" spans="1:25" ht="50" x14ac:dyDescent="0.25">
      <c r="A1904" s="21">
        <v>10078</v>
      </c>
      <c r="B1904" s="22" t="s">
        <v>15368</v>
      </c>
      <c r="C1904" s="22" t="s">
        <v>7086</v>
      </c>
      <c r="D1904" s="23">
        <v>403727</v>
      </c>
      <c r="E1904" s="24">
        <v>2002</v>
      </c>
      <c r="F1904" s="22" t="s">
        <v>7087</v>
      </c>
      <c r="G1904" s="23" t="s">
        <v>7088</v>
      </c>
      <c r="H1904" s="25" t="s">
        <v>15373</v>
      </c>
      <c r="I1904" s="22" t="s">
        <v>15374</v>
      </c>
      <c r="J1904" s="22" t="s">
        <v>15677</v>
      </c>
      <c r="K1904" s="26">
        <f t="shared" si="29"/>
        <v>1345.3333333333333</v>
      </c>
      <c r="N1904" s="26">
        <v>2018</v>
      </c>
      <c r="O1904" s="22" t="s">
        <v>8153</v>
      </c>
      <c r="P1904" s="22" t="s">
        <v>11271</v>
      </c>
      <c r="Q1904" s="22">
        <v>92555</v>
      </c>
      <c r="R1904" s="22" t="s">
        <v>8154</v>
      </c>
      <c r="S1904" s="22" t="s">
        <v>8155</v>
      </c>
      <c r="X1904" s="26"/>
      <c r="Y1904" s="26"/>
    </row>
    <row r="1905" spans="1:25" ht="50" x14ac:dyDescent="0.25">
      <c r="A1905" s="21">
        <v>10079</v>
      </c>
      <c r="B1905" s="22" t="s">
        <v>15368</v>
      </c>
      <c r="C1905" s="22" t="s">
        <v>7086</v>
      </c>
      <c r="D1905" s="23">
        <v>403734</v>
      </c>
      <c r="E1905" s="24">
        <v>2002</v>
      </c>
      <c r="F1905" s="22" t="s">
        <v>8156</v>
      </c>
      <c r="G1905" s="23" t="s">
        <v>8157</v>
      </c>
      <c r="H1905" s="25" t="s">
        <v>15373</v>
      </c>
      <c r="I1905" s="22" t="s">
        <v>15374</v>
      </c>
      <c r="J1905" s="22" t="s">
        <v>15677</v>
      </c>
      <c r="K1905" s="26">
        <f t="shared" si="29"/>
        <v>1345.3333333333333</v>
      </c>
      <c r="N1905" s="26">
        <v>2018</v>
      </c>
      <c r="O1905" s="22" t="s">
        <v>8153</v>
      </c>
      <c r="P1905" s="22" t="s">
        <v>11271</v>
      </c>
      <c r="Q1905" s="22">
        <v>92555</v>
      </c>
      <c r="R1905" s="22" t="s">
        <v>8154</v>
      </c>
      <c r="S1905" s="22" t="s">
        <v>8155</v>
      </c>
      <c r="X1905" s="26"/>
      <c r="Y1905" s="26"/>
    </row>
    <row r="1906" spans="1:25" ht="50" x14ac:dyDescent="0.25">
      <c r="A1906" s="21">
        <v>10080</v>
      </c>
      <c r="B1906" s="22" t="s">
        <v>15368</v>
      </c>
      <c r="C1906" s="22" t="s">
        <v>7086</v>
      </c>
      <c r="D1906" s="23">
        <v>403736</v>
      </c>
      <c r="E1906" s="24">
        <v>2002</v>
      </c>
      <c r="F1906" s="22" t="s">
        <v>8158</v>
      </c>
      <c r="G1906" s="23" t="s">
        <v>8159</v>
      </c>
      <c r="H1906" s="25" t="s">
        <v>15373</v>
      </c>
      <c r="I1906" s="22" t="s">
        <v>15374</v>
      </c>
      <c r="J1906" s="22" t="s">
        <v>15677</v>
      </c>
      <c r="K1906" s="26">
        <f t="shared" si="29"/>
        <v>1345.3333333333333</v>
      </c>
      <c r="N1906" s="26">
        <v>2018</v>
      </c>
      <c r="O1906" s="22" t="s">
        <v>8153</v>
      </c>
      <c r="P1906" s="22" t="s">
        <v>11271</v>
      </c>
      <c r="Q1906" s="22">
        <v>92555</v>
      </c>
      <c r="R1906" s="22" t="s">
        <v>8154</v>
      </c>
      <c r="S1906" s="22" t="s">
        <v>8155</v>
      </c>
      <c r="X1906" s="26"/>
      <c r="Y1906" s="26"/>
    </row>
    <row r="1907" spans="1:25" ht="50" x14ac:dyDescent="0.25">
      <c r="A1907" s="21">
        <v>10081</v>
      </c>
      <c r="B1907" s="22" t="s">
        <v>15368</v>
      </c>
      <c r="C1907" s="22" t="s">
        <v>8160</v>
      </c>
      <c r="D1907" s="23">
        <v>402611</v>
      </c>
      <c r="E1907" s="24">
        <v>2002</v>
      </c>
      <c r="F1907" s="22" t="s">
        <v>8161</v>
      </c>
      <c r="G1907" s="23" t="s">
        <v>8162</v>
      </c>
      <c r="H1907" s="25" t="s">
        <v>15373</v>
      </c>
      <c r="I1907" s="22" t="s">
        <v>15382</v>
      </c>
      <c r="J1907" s="22" t="s">
        <v>8163</v>
      </c>
      <c r="K1907" s="26">
        <f t="shared" si="29"/>
        <v>356.66666666666663</v>
      </c>
      <c r="N1907" s="26">
        <v>535</v>
      </c>
      <c r="O1907" s="22" t="s">
        <v>8164</v>
      </c>
      <c r="P1907" s="22" t="s">
        <v>8165</v>
      </c>
      <c r="Q1907" s="22">
        <v>92691</v>
      </c>
      <c r="R1907" s="22" t="s">
        <v>8166</v>
      </c>
      <c r="S1907" s="22" t="s">
        <v>8167</v>
      </c>
      <c r="X1907" s="26"/>
      <c r="Y1907" s="26"/>
    </row>
    <row r="1908" spans="1:25" ht="50" x14ac:dyDescent="0.25">
      <c r="A1908" s="21">
        <v>10083</v>
      </c>
      <c r="B1908" s="22" t="s">
        <v>15368</v>
      </c>
      <c r="C1908" s="22" t="s">
        <v>8173</v>
      </c>
      <c r="D1908" s="23">
        <v>404956</v>
      </c>
      <c r="E1908" s="24">
        <v>2002</v>
      </c>
      <c r="F1908" s="22" t="s">
        <v>8174</v>
      </c>
      <c r="G1908" s="23" t="s">
        <v>8175</v>
      </c>
      <c r="H1908" s="25" t="s">
        <v>15373</v>
      </c>
      <c r="I1908" s="22" t="s">
        <v>8176</v>
      </c>
      <c r="J1908" s="22" t="s">
        <v>12216</v>
      </c>
      <c r="K1908" s="26">
        <f t="shared" si="29"/>
        <v>345.33333333333331</v>
      </c>
      <c r="N1908" s="26">
        <v>518</v>
      </c>
      <c r="O1908" s="22" t="s">
        <v>8177</v>
      </c>
      <c r="P1908" s="22" t="s">
        <v>8178</v>
      </c>
      <c r="Q1908" s="22">
        <v>92316</v>
      </c>
      <c r="R1908" s="22" t="s">
        <v>8179</v>
      </c>
      <c r="S1908" s="22" t="s">
        <v>8180</v>
      </c>
      <c r="X1908" s="26"/>
      <c r="Y1908" s="26"/>
    </row>
    <row r="1909" spans="1:25" ht="37.5" x14ac:dyDescent="0.25">
      <c r="A1909" s="21">
        <v>10084</v>
      </c>
      <c r="B1909" s="22" t="s">
        <v>15368</v>
      </c>
      <c r="C1909" s="22" t="s">
        <v>8181</v>
      </c>
      <c r="D1909" s="23">
        <v>390292</v>
      </c>
      <c r="E1909" s="24">
        <v>2001</v>
      </c>
      <c r="F1909" s="22" t="s">
        <v>8182</v>
      </c>
      <c r="G1909" s="23" t="s">
        <v>8183</v>
      </c>
      <c r="H1909" s="25" t="s">
        <v>15373</v>
      </c>
      <c r="I1909" s="22" t="s">
        <v>15374</v>
      </c>
      <c r="J1909" s="22" t="s">
        <v>15261</v>
      </c>
      <c r="K1909" s="26">
        <f t="shared" si="29"/>
        <v>495.33333333333331</v>
      </c>
      <c r="N1909" s="26">
        <v>743</v>
      </c>
      <c r="O1909" s="22" t="s">
        <v>8184</v>
      </c>
      <c r="P1909" s="22" t="s">
        <v>8185</v>
      </c>
      <c r="Q1909" s="22">
        <v>92583</v>
      </c>
      <c r="R1909" s="22" t="s">
        <v>8186</v>
      </c>
      <c r="S1909" s="22" t="s">
        <v>8187</v>
      </c>
      <c r="X1909" s="26"/>
      <c r="Y1909" s="26"/>
    </row>
    <row r="1910" spans="1:25" ht="50" x14ac:dyDescent="0.25">
      <c r="A1910" s="21">
        <v>10085</v>
      </c>
      <c r="B1910" s="22" t="s">
        <v>15368</v>
      </c>
      <c r="C1910" s="22" t="s">
        <v>8188</v>
      </c>
      <c r="D1910" s="23">
        <v>397645</v>
      </c>
      <c r="E1910" s="24">
        <v>2002</v>
      </c>
      <c r="F1910" s="22" t="s">
        <v>8189</v>
      </c>
      <c r="G1910" s="23" t="s">
        <v>8190</v>
      </c>
      <c r="H1910" s="25" t="s">
        <v>15373</v>
      </c>
      <c r="I1910" s="22" t="s">
        <v>15382</v>
      </c>
      <c r="J1910" s="22" t="s">
        <v>16450</v>
      </c>
      <c r="K1910" s="26">
        <f t="shared" si="29"/>
        <v>993.33333333333326</v>
      </c>
      <c r="N1910" s="26">
        <v>1490</v>
      </c>
      <c r="O1910" s="22" t="s">
        <v>8191</v>
      </c>
      <c r="P1910" s="22" t="s">
        <v>8123</v>
      </c>
      <c r="Q1910" s="22">
        <v>90250</v>
      </c>
      <c r="R1910" s="22" t="s">
        <v>8192</v>
      </c>
      <c r="S1910" s="22" t="s">
        <v>8193</v>
      </c>
      <c r="X1910" s="26"/>
      <c r="Y1910" s="26"/>
    </row>
    <row r="1911" spans="1:25" ht="50" x14ac:dyDescent="0.25">
      <c r="A1911" s="21">
        <v>10086</v>
      </c>
      <c r="B1911" s="22" t="s">
        <v>15368</v>
      </c>
      <c r="C1911" s="22" t="s">
        <v>8194</v>
      </c>
      <c r="D1911" s="23">
        <v>401733</v>
      </c>
      <c r="E1911" s="24">
        <v>2002</v>
      </c>
      <c r="F1911" s="22" t="s">
        <v>8195</v>
      </c>
      <c r="G1911" s="23" t="s">
        <v>8196</v>
      </c>
      <c r="H1911" s="25" t="s">
        <v>16310</v>
      </c>
      <c r="I1911" s="22" t="s">
        <v>16160</v>
      </c>
      <c r="J1911" s="22" t="s">
        <v>9593</v>
      </c>
      <c r="K1911" s="26">
        <f t="shared" si="29"/>
        <v>424</v>
      </c>
      <c r="N1911" s="26">
        <v>636</v>
      </c>
      <c r="O1911" s="22" t="s">
        <v>8197</v>
      </c>
      <c r="P1911" s="22" t="s">
        <v>7083</v>
      </c>
      <c r="Q1911" s="22">
        <v>90280</v>
      </c>
      <c r="R1911" s="22" t="s">
        <v>8198</v>
      </c>
      <c r="S1911" s="22" t="s">
        <v>8199</v>
      </c>
      <c r="X1911" s="26"/>
      <c r="Y1911" s="26"/>
    </row>
    <row r="1912" spans="1:25" ht="37.5" x14ac:dyDescent="0.25">
      <c r="A1912" s="21">
        <v>10087</v>
      </c>
      <c r="B1912" s="22" t="s">
        <v>15368</v>
      </c>
      <c r="C1912" s="22" t="s">
        <v>8200</v>
      </c>
      <c r="D1912" s="23">
        <v>205818</v>
      </c>
      <c r="E1912" s="24">
        <v>1989</v>
      </c>
      <c r="F1912" s="22" t="s">
        <v>8201</v>
      </c>
      <c r="G1912" s="23" t="s">
        <v>8202</v>
      </c>
      <c r="H1912" s="25" t="s">
        <v>15373</v>
      </c>
      <c r="I1912" s="22" t="s">
        <v>15374</v>
      </c>
      <c r="J1912" s="22" t="s">
        <v>16869</v>
      </c>
      <c r="K1912" s="26">
        <f t="shared" si="29"/>
        <v>503.33333333333331</v>
      </c>
      <c r="N1912" s="26">
        <v>755</v>
      </c>
      <c r="O1912" s="22" t="s">
        <v>8203</v>
      </c>
      <c r="P1912" s="22" t="s">
        <v>5749</v>
      </c>
      <c r="Q1912" s="22">
        <v>92801</v>
      </c>
      <c r="R1912" s="22" t="s">
        <v>8204</v>
      </c>
      <c r="S1912" s="22" t="s">
        <v>8205</v>
      </c>
      <c r="X1912" s="26"/>
      <c r="Y1912" s="26"/>
    </row>
    <row r="1913" spans="1:25" ht="37.5" x14ac:dyDescent="0.25">
      <c r="A1913" s="21">
        <v>10088</v>
      </c>
      <c r="B1913" s="22" t="s">
        <v>15368</v>
      </c>
      <c r="C1913" s="22" t="s">
        <v>8200</v>
      </c>
      <c r="D1913" s="23">
        <v>355113</v>
      </c>
      <c r="E1913" s="24">
        <v>1999</v>
      </c>
      <c r="F1913" s="22" t="s">
        <v>8206</v>
      </c>
      <c r="G1913" s="23" t="s">
        <v>8207</v>
      </c>
      <c r="H1913" s="25" t="s">
        <v>15373</v>
      </c>
      <c r="I1913" s="22" t="s">
        <v>15382</v>
      </c>
      <c r="J1913" s="22" t="s">
        <v>16925</v>
      </c>
      <c r="K1913" s="26">
        <f t="shared" si="29"/>
        <v>1480</v>
      </c>
      <c r="N1913" s="26">
        <v>2220</v>
      </c>
      <c r="O1913" s="22" t="s">
        <v>8203</v>
      </c>
      <c r="P1913" s="22" t="s">
        <v>5749</v>
      </c>
      <c r="Q1913" s="22">
        <v>92801</v>
      </c>
      <c r="R1913" s="22" t="s">
        <v>8204</v>
      </c>
      <c r="S1913" s="22" t="s">
        <v>8205</v>
      </c>
      <c r="X1913" s="26"/>
      <c r="Y1913" s="26"/>
    </row>
    <row r="1914" spans="1:25" ht="50" x14ac:dyDescent="0.25">
      <c r="A1914" s="21">
        <v>10089</v>
      </c>
      <c r="B1914" s="22" t="s">
        <v>15368</v>
      </c>
      <c r="C1914" s="22" t="s">
        <v>8208</v>
      </c>
      <c r="D1914" s="23">
        <v>326790</v>
      </c>
      <c r="E1914" s="24">
        <v>1997</v>
      </c>
      <c r="F1914" s="22" t="s">
        <v>8209</v>
      </c>
      <c r="G1914" s="23" t="s">
        <v>8210</v>
      </c>
      <c r="H1914" s="25" t="s">
        <v>15373</v>
      </c>
      <c r="I1914" s="22" t="s">
        <v>15374</v>
      </c>
      <c r="J1914" s="22" t="s">
        <v>14709</v>
      </c>
      <c r="K1914" s="26">
        <f t="shared" si="29"/>
        <v>500</v>
      </c>
      <c r="L1914" s="26">
        <v>500</v>
      </c>
      <c r="O1914" s="22" t="s">
        <v>8211</v>
      </c>
      <c r="P1914" s="22" t="s">
        <v>7788</v>
      </c>
      <c r="Q1914" s="22">
        <v>91504</v>
      </c>
      <c r="R1914" s="22" t="s">
        <v>8212</v>
      </c>
      <c r="S1914" s="22" t="s">
        <v>8213</v>
      </c>
      <c r="X1914" s="26"/>
      <c r="Y1914" s="26"/>
    </row>
    <row r="1915" spans="1:25" ht="50" x14ac:dyDescent="0.25">
      <c r="A1915" s="21">
        <v>10090</v>
      </c>
      <c r="B1915" s="22" t="s">
        <v>15368</v>
      </c>
      <c r="C1915" s="22" t="s">
        <v>8214</v>
      </c>
      <c r="D1915" s="23">
        <v>400550</v>
      </c>
      <c r="E1915" s="24">
        <v>2002</v>
      </c>
      <c r="F1915" s="22" t="s">
        <v>8215</v>
      </c>
      <c r="G1915" s="23" t="s">
        <v>8216</v>
      </c>
      <c r="H1915" s="25" t="s">
        <v>15373</v>
      </c>
      <c r="I1915" s="22" t="s">
        <v>15382</v>
      </c>
      <c r="J1915" s="22" t="s">
        <v>16799</v>
      </c>
      <c r="K1915" s="26">
        <f t="shared" si="29"/>
        <v>503.33333333333331</v>
      </c>
      <c r="N1915" s="26">
        <v>755</v>
      </c>
      <c r="O1915" s="22" t="s">
        <v>8217</v>
      </c>
      <c r="P1915" s="22" t="s">
        <v>8218</v>
      </c>
      <c r="Q1915" s="22">
        <v>92262</v>
      </c>
      <c r="R1915" s="22" t="s">
        <v>8219</v>
      </c>
      <c r="S1915" s="22" t="s">
        <v>8220</v>
      </c>
      <c r="X1915" s="26"/>
      <c r="Y1915" s="26"/>
    </row>
    <row r="1916" spans="1:25" ht="37.5" x14ac:dyDescent="0.25">
      <c r="A1916" s="21">
        <v>10091</v>
      </c>
      <c r="B1916" s="22" t="s">
        <v>15368</v>
      </c>
      <c r="C1916" s="22" t="s">
        <v>8221</v>
      </c>
      <c r="D1916" s="23">
        <v>398034</v>
      </c>
      <c r="E1916" s="24">
        <v>2002</v>
      </c>
      <c r="F1916" s="22" t="s">
        <v>8222</v>
      </c>
      <c r="G1916" s="23" t="s">
        <v>8223</v>
      </c>
      <c r="H1916" s="25" t="s">
        <v>15373</v>
      </c>
      <c r="I1916" s="22" t="s">
        <v>15382</v>
      </c>
      <c r="J1916" s="22" t="s">
        <v>15383</v>
      </c>
      <c r="K1916" s="26">
        <f t="shared" si="29"/>
        <v>800</v>
      </c>
      <c r="N1916" s="26">
        <v>1200</v>
      </c>
      <c r="O1916" s="22" t="s">
        <v>8224</v>
      </c>
      <c r="P1916" s="22" t="s">
        <v>5749</v>
      </c>
      <c r="Q1916" s="22">
        <v>92805</v>
      </c>
      <c r="R1916" s="22" t="s">
        <v>8225</v>
      </c>
      <c r="S1916" s="22" t="s">
        <v>8226</v>
      </c>
      <c r="X1916" s="26"/>
      <c r="Y1916" s="26"/>
    </row>
    <row r="1917" spans="1:25" ht="50" x14ac:dyDescent="0.25">
      <c r="A1917" s="21">
        <v>10092</v>
      </c>
      <c r="B1917" s="22" t="s">
        <v>15368</v>
      </c>
      <c r="C1917" s="22" t="s">
        <v>8227</v>
      </c>
      <c r="D1917" s="23">
        <v>399167</v>
      </c>
      <c r="E1917" s="24">
        <v>2002</v>
      </c>
      <c r="F1917" s="22" t="s">
        <v>8228</v>
      </c>
      <c r="G1917" s="23" t="s">
        <v>8229</v>
      </c>
      <c r="H1917" s="25" t="s">
        <v>15373</v>
      </c>
      <c r="I1917" s="22" t="s">
        <v>15635</v>
      </c>
      <c r="J1917" s="22" t="s">
        <v>8230</v>
      </c>
      <c r="K1917" s="26">
        <f t="shared" si="29"/>
        <v>505.33333333333331</v>
      </c>
      <c r="N1917" s="26">
        <v>758</v>
      </c>
      <c r="O1917" s="22" t="s">
        <v>8231</v>
      </c>
      <c r="P1917" s="22" t="s">
        <v>7753</v>
      </c>
      <c r="Q1917" s="22">
        <v>90071</v>
      </c>
      <c r="R1917" s="22" t="s">
        <v>8232</v>
      </c>
      <c r="S1917" s="22" t="s">
        <v>8233</v>
      </c>
      <c r="X1917" s="26"/>
      <c r="Y1917" s="26"/>
    </row>
    <row r="1918" spans="1:25" ht="50" x14ac:dyDescent="0.25">
      <c r="A1918" s="21">
        <v>10093</v>
      </c>
      <c r="B1918" s="22" t="s">
        <v>15368</v>
      </c>
      <c r="C1918" s="22" t="s">
        <v>8234</v>
      </c>
      <c r="D1918" s="23">
        <v>342919</v>
      </c>
      <c r="E1918" s="24">
        <v>1998</v>
      </c>
      <c r="F1918" s="22" t="s">
        <v>8235</v>
      </c>
      <c r="G1918" s="23" t="s">
        <v>8236</v>
      </c>
      <c r="H1918" s="25" t="s">
        <v>15373</v>
      </c>
      <c r="I1918" s="22" t="s">
        <v>15374</v>
      </c>
      <c r="J1918" s="22">
        <v>3412</v>
      </c>
      <c r="K1918" s="26">
        <f t="shared" si="29"/>
        <v>500</v>
      </c>
      <c r="L1918" s="26">
        <v>500</v>
      </c>
      <c r="O1918" s="22" t="s">
        <v>8237</v>
      </c>
      <c r="P1918" s="22" t="s">
        <v>8238</v>
      </c>
      <c r="Q1918" s="22">
        <v>91367</v>
      </c>
      <c r="R1918" s="22" t="s">
        <v>8239</v>
      </c>
      <c r="S1918" s="22" t="s">
        <v>8240</v>
      </c>
      <c r="X1918" s="26"/>
      <c r="Y1918" s="26"/>
    </row>
    <row r="1919" spans="1:25" ht="50" x14ac:dyDescent="0.25">
      <c r="A1919" s="21">
        <v>10094</v>
      </c>
      <c r="B1919" s="22" t="s">
        <v>15368</v>
      </c>
      <c r="C1919" s="22" t="s">
        <v>7089</v>
      </c>
      <c r="D1919" s="23">
        <v>403813</v>
      </c>
      <c r="E1919" s="24">
        <v>2002</v>
      </c>
      <c r="F1919" s="22" t="s">
        <v>7090</v>
      </c>
      <c r="G1919" s="23" t="s">
        <v>7091</v>
      </c>
      <c r="H1919" s="25" t="s">
        <v>15373</v>
      </c>
      <c r="I1919" s="22" t="s">
        <v>15382</v>
      </c>
      <c r="J1919" s="22" t="s">
        <v>16450</v>
      </c>
      <c r="K1919" s="26">
        <f t="shared" si="29"/>
        <v>993.33333333333326</v>
      </c>
      <c r="N1919" s="26">
        <v>1490</v>
      </c>
      <c r="O1919" s="22" t="s">
        <v>7092</v>
      </c>
      <c r="P1919" s="22" t="s">
        <v>5796</v>
      </c>
      <c r="Q1919" s="22">
        <v>91606</v>
      </c>
      <c r="R1919" s="22" t="s">
        <v>7093</v>
      </c>
      <c r="S1919" s="22" t="s">
        <v>7094</v>
      </c>
      <c r="X1919" s="26"/>
      <c r="Y1919" s="26"/>
    </row>
    <row r="1920" spans="1:25" ht="50" x14ac:dyDescent="0.25">
      <c r="A1920" s="21">
        <v>10095</v>
      </c>
      <c r="B1920" s="22" t="s">
        <v>15368</v>
      </c>
      <c r="C1920" s="22" t="s">
        <v>7095</v>
      </c>
      <c r="D1920" s="23">
        <v>401736</v>
      </c>
      <c r="E1920" s="24">
        <v>2002</v>
      </c>
      <c r="F1920" s="22" t="s">
        <v>7096</v>
      </c>
      <c r="G1920" s="23" t="s">
        <v>7097</v>
      </c>
      <c r="H1920" s="25" t="s">
        <v>15373</v>
      </c>
      <c r="I1920" s="22" t="s">
        <v>15411</v>
      </c>
      <c r="J1920" s="22" t="s">
        <v>16884</v>
      </c>
      <c r="K1920" s="26">
        <f t="shared" si="29"/>
        <v>420</v>
      </c>
      <c r="N1920" s="26">
        <v>630</v>
      </c>
      <c r="O1920" s="22" t="s">
        <v>7098</v>
      </c>
      <c r="P1920" s="22" t="s">
        <v>7753</v>
      </c>
      <c r="Q1920" s="22">
        <v>90024</v>
      </c>
      <c r="R1920" s="22" t="s">
        <v>7099</v>
      </c>
      <c r="S1920" s="22" t="s">
        <v>7100</v>
      </c>
      <c r="X1920" s="26"/>
      <c r="Y1920" s="26"/>
    </row>
    <row r="1921" spans="1:25" ht="50" x14ac:dyDescent="0.25">
      <c r="A1921" s="21">
        <v>10097</v>
      </c>
      <c r="B1921" s="22" t="s">
        <v>15368</v>
      </c>
      <c r="C1921" s="22" t="s">
        <v>7101</v>
      </c>
      <c r="D1921" s="23">
        <v>402137</v>
      </c>
      <c r="E1921" s="24">
        <v>2002</v>
      </c>
      <c r="F1921" s="22" t="s">
        <v>7102</v>
      </c>
      <c r="G1921" s="23" t="s">
        <v>8050</v>
      </c>
      <c r="H1921" s="25" t="s">
        <v>15373</v>
      </c>
      <c r="I1921" s="22" t="s">
        <v>15411</v>
      </c>
      <c r="J1921" s="22" t="s">
        <v>9749</v>
      </c>
      <c r="K1921" s="26">
        <f t="shared" si="29"/>
        <v>474</v>
      </c>
      <c r="L1921" s="26">
        <v>474</v>
      </c>
      <c r="O1921" s="22" t="s">
        <v>7103</v>
      </c>
      <c r="P1921" s="22" t="s">
        <v>7813</v>
      </c>
      <c r="Q1921" s="22">
        <v>90501</v>
      </c>
      <c r="R1921" s="22" t="s">
        <v>7104</v>
      </c>
      <c r="S1921" s="22" t="s">
        <v>7105</v>
      </c>
      <c r="X1921" s="26"/>
      <c r="Y1921" s="26"/>
    </row>
    <row r="1922" spans="1:25" ht="37.5" x14ac:dyDescent="0.25">
      <c r="A1922" s="21">
        <v>10098</v>
      </c>
      <c r="B1922" s="22" t="s">
        <v>15368</v>
      </c>
      <c r="C1922" s="22" t="s">
        <v>7106</v>
      </c>
      <c r="D1922" s="23">
        <v>400395</v>
      </c>
      <c r="E1922" s="24">
        <v>2002</v>
      </c>
      <c r="F1922" s="22" t="s">
        <v>7107</v>
      </c>
      <c r="G1922" s="23" t="s">
        <v>7108</v>
      </c>
      <c r="H1922" s="25" t="s">
        <v>15373</v>
      </c>
      <c r="I1922" s="22" t="s">
        <v>15374</v>
      </c>
      <c r="J1922" s="22">
        <v>3412</v>
      </c>
      <c r="K1922" s="26">
        <f t="shared" ref="K1922:K1985" si="30">L1922+M1922*(2/3)+N1922*(2/3)</f>
        <v>593.33333333333326</v>
      </c>
      <c r="N1922" s="26">
        <v>890</v>
      </c>
      <c r="O1922" s="22" t="s">
        <v>7109</v>
      </c>
      <c r="P1922" s="22" t="s">
        <v>8238</v>
      </c>
      <c r="Q1922" s="22">
        <v>91367</v>
      </c>
      <c r="R1922" s="22" t="s">
        <v>7110</v>
      </c>
      <c r="S1922" s="22" t="s">
        <v>7111</v>
      </c>
      <c r="X1922" s="26"/>
      <c r="Y1922" s="26"/>
    </row>
    <row r="1923" spans="1:25" ht="37.5" x14ac:dyDescent="0.25">
      <c r="A1923" s="21">
        <v>10099</v>
      </c>
      <c r="B1923" s="22" t="s">
        <v>15368</v>
      </c>
      <c r="C1923" s="22" t="s">
        <v>7106</v>
      </c>
      <c r="D1923" s="23">
        <v>400397</v>
      </c>
      <c r="E1923" s="24">
        <v>2002</v>
      </c>
      <c r="F1923" s="22" t="s">
        <v>7112</v>
      </c>
      <c r="G1923" s="23" t="s">
        <v>7113</v>
      </c>
      <c r="H1923" s="25" t="s">
        <v>15373</v>
      </c>
      <c r="I1923" s="22" t="s">
        <v>15374</v>
      </c>
      <c r="J1923" s="22">
        <v>3412</v>
      </c>
      <c r="K1923" s="26">
        <f t="shared" si="30"/>
        <v>593.33333333333326</v>
      </c>
      <c r="N1923" s="26">
        <v>890</v>
      </c>
      <c r="O1923" s="22" t="s">
        <v>7109</v>
      </c>
      <c r="P1923" s="22" t="s">
        <v>8238</v>
      </c>
      <c r="Q1923" s="22">
        <v>91367</v>
      </c>
      <c r="R1923" s="22" t="s">
        <v>7110</v>
      </c>
      <c r="S1923" s="22" t="s">
        <v>7111</v>
      </c>
      <c r="X1923" s="26"/>
      <c r="Y1923" s="26"/>
    </row>
    <row r="1924" spans="1:25" ht="37.5" x14ac:dyDescent="0.25">
      <c r="A1924" s="21">
        <v>10100</v>
      </c>
      <c r="B1924" s="22" t="s">
        <v>15368</v>
      </c>
      <c r="C1924" s="22" t="s">
        <v>7114</v>
      </c>
      <c r="D1924" s="23">
        <v>398173</v>
      </c>
      <c r="E1924" s="24">
        <v>2002</v>
      </c>
      <c r="F1924" s="22" t="s">
        <v>7115</v>
      </c>
      <c r="G1924" s="23" t="s">
        <v>7116</v>
      </c>
      <c r="H1924" s="25" t="s">
        <v>15373</v>
      </c>
      <c r="I1924" s="22" t="s">
        <v>15374</v>
      </c>
      <c r="J1924" s="22">
        <v>3412</v>
      </c>
      <c r="K1924" s="26">
        <f t="shared" si="30"/>
        <v>499.33333333333331</v>
      </c>
      <c r="N1924" s="26">
        <v>749</v>
      </c>
      <c r="O1924" s="22" t="s">
        <v>7117</v>
      </c>
      <c r="P1924" s="22" t="s">
        <v>7713</v>
      </c>
      <c r="Q1924" s="22">
        <v>92701</v>
      </c>
      <c r="R1924" s="22" t="s">
        <v>7118</v>
      </c>
      <c r="S1924" s="22" t="s">
        <v>7119</v>
      </c>
      <c r="X1924" s="26"/>
      <c r="Y1924" s="26"/>
    </row>
    <row r="1925" spans="1:25" ht="50" x14ac:dyDescent="0.25">
      <c r="A1925" s="21">
        <v>10101</v>
      </c>
      <c r="B1925" s="22" t="s">
        <v>15368</v>
      </c>
      <c r="C1925" s="22" t="s">
        <v>11082</v>
      </c>
      <c r="D1925" s="23">
        <v>387099</v>
      </c>
      <c r="E1925" s="24">
        <v>2001</v>
      </c>
      <c r="F1925" s="22" t="s">
        <v>7120</v>
      </c>
      <c r="G1925" s="23" t="s">
        <v>7121</v>
      </c>
      <c r="H1925" s="25" t="s">
        <v>15373</v>
      </c>
      <c r="I1925" s="22" t="s">
        <v>15382</v>
      </c>
      <c r="J1925" s="22" t="s">
        <v>14642</v>
      </c>
      <c r="K1925" s="26">
        <f t="shared" si="30"/>
        <v>1135</v>
      </c>
      <c r="L1925" s="26">
        <v>1135</v>
      </c>
      <c r="O1925" s="22" t="s">
        <v>9950</v>
      </c>
      <c r="P1925" s="22" t="s">
        <v>15740</v>
      </c>
      <c r="Q1925" s="22">
        <v>90822</v>
      </c>
      <c r="R1925" s="22" t="s">
        <v>7122</v>
      </c>
      <c r="S1925" s="22" t="s">
        <v>7123</v>
      </c>
      <c r="X1925" s="26"/>
      <c r="Y1925" s="26"/>
    </row>
    <row r="1926" spans="1:25" ht="50" x14ac:dyDescent="0.25">
      <c r="A1926" s="21">
        <v>10102</v>
      </c>
      <c r="B1926" s="22" t="s">
        <v>15368</v>
      </c>
      <c r="C1926" s="22" t="s">
        <v>11082</v>
      </c>
      <c r="D1926" s="23">
        <v>401098</v>
      </c>
      <c r="E1926" s="24">
        <v>2002</v>
      </c>
      <c r="F1926" s="22" t="s">
        <v>7124</v>
      </c>
      <c r="G1926" s="23" t="s">
        <v>7125</v>
      </c>
      <c r="H1926" s="25" t="s">
        <v>15373</v>
      </c>
      <c r="I1926" s="22" t="s">
        <v>15382</v>
      </c>
      <c r="J1926" s="22" t="s">
        <v>16450</v>
      </c>
      <c r="K1926" s="26">
        <f t="shared" si="30"/>
        <v>993.33333333333326</v>
      </c>
      <c r="N1926" s="26">
        <v>1490</v>
      </c>
      <c r="O1926" s="22" t="s">
        <v>7126</v>
      </c>
      <c r="P1926" s="22" t="s">
        <v>7127</v>
      </c>
      <c r="Q1926" s="22">
        <v>90822</v>
      </c>
      <c r="R1926" s="22" t="s">
        <v>7128</v>
      </c>
      <c r="S1926" s="22" t="s">
        <v>7129</v>
      </c>
      <c r="X1926" s="26"/>
      <c r="Y1926" s="26"/>
    </row>
    <row r="1927" spans="1:25" ht="37.5" x14ac:dyDescent="0.25">
      <c r="A1927" s="21">
        <v>10103</v>
      </c>
      <c r="B1927" s="22" t="s">
        <v>15368</v>
      </c>
      <c r="C1927" s="22" t="s">
        <v>7130</v>
      </c>
      <c r="D1927" s="23">
        <v>400759</v>
      </c>
      <c r="E1927" s="24">
        <v>2002</v>
      </c>
      <c r="F1927" s="22" t="s">
        <v>7131</v>
      </c>
      <c r="G1927" s="23" t="s">
        <v>7132</v>
      </c>
      <c r="H1927" s="25" t="s">
        <v>15373</v>
      </c>
      <c r="I1927" s="22" t="s">
        <v>15382</v>
      </c>
      <c r="J1927" s="22" t="s">
        <v>16450</v>
      </c>
      <c r="K1927" s="26">
        <f t="shared" si="30"/>
        <v>1112</v>
      </c>
      <c r="L1927" s="26">
        <v>1112</v>
      </c>
      <c r="O1927" s="22" t="s">
        <v>7133</v>
      </c>
      <c r="P1927" s="22" t="s">
        <v>7134</v>
      </c>
      <c r="Q1927" s="22">
        <v>90278</v>
      </c>
      <c r="R1927" s="22" t="s">
        <v>7135</v>
      </c>
      <c r="S1927" s="22" t="s">
        <v>7136</v>
      </c>
      <c r="X1927" s="26"/>
      <c r="Y1927" s="26"/>
    </row>
    <row r="1928" spans="1:25" ht="37.5" x14ac:dyDescent="0.25">
      <c r="A1928" s="21">
        <v>10104</v>
      </c>
      <c r="B1928" s="22" t="s">
        <v>15368</v>
      </c>
      <c r="C1928" s="22" t="s">
        <v>7130</v>
      </c>
      <c r="D1928" s="23">
        <v>402546</v>
      </c>
      <c r="E1928" s="24">
        <v>2002</v>
      </c>
      <c r="F1928" s="22" t="s">
        <v>7137</v>
      </c>
      <c r="G1928" s="23" t="s">
        <v>7138</v>
      </c>
      <c r="H1928" s="25" t="s">
        <v>15373</v>
      </c>
      <c r="I1928" s="22" t="s">
        <v>15374</v>
      </c>
      <c r="J1928" s="22" t="s">
        <v>15441</v>
      </c>
      <c r="K1928" s="26">
        <f t="shared" si="30"/>
        <v>526</v>
      </c>
      <c r="N1928" s="26">
        <v>789</v>
      </c>
      <c r="O1928" s="22" t="s">
        <v>7139</v>
      </c>
      <c r="P1928" s="22" t="s">
        <v>7140</v>
      </c>
      <c r="Q1928" s="22">
        <v>90601</v>
      </c>
      <c r="R1928" s="22" t="s">
        <v>7141</v>
      </c>
      <c r="S1928" s="22" t="s">
        <v>7142</v>
      </c>
      <c r="X1928" s="26"/>
      <c r="Y1928" s="26"/>
    </row>
    <row r="1929" spans="1:25" ht="50" x14ac:dyDescent="0.25">
      <c r="A1929" s="21">
        <v>10105</v>
      </c>
      <c r="B1929" s="22" t="s">
        <v>15368</v>
      </c>
      <c r="C1929" s="22" t="s">
        <v>7130</v>
      </c>
      <c r="D1929" s="23">
        <v>402572</v>
      </c>
      <c r="E1929" s="24">
        <v>2002</v>
      </c>
      <c r="F1929" s="22" t="s">
        <v>7143</v>
      </c>
      <c r="G1929" s="23" t="s">
        <v>7144</v>
      </c>
      <c r="H1929" s="25" t="s">
        <v>15373</v>
      </c>
      <c r="I1929" s="22" t="s">
        <v>15374</v>
      </c>
      <c r="J1929" s="22" t="s">
        <v>9237</v>
      </c>
      <c r="K1929" s="26">
        <f t="shared" si="30"/>
        <v>503.33333333333331</v>
      </c>
      <c r="N1929" s="26">
        <v>755</v>
      </c>
      <c r="O1929" s="22" t="s">
        <v>7145</v>
      </c>
      <c r="P1929" s="22" t="s">
        <v>7146</v>
      </c>
      <c r="Q1929" s="22">
        <v>90024</v>
      </c>
      <c r="R1929" s="22" t="s">
        <v>7147</v>
      </c>
      <c r="S1929" s="22" t="s">
        <v>7148</v>
      </c>
      <c r="X1929" s="26"/>
      <c r="Y1929" s="26"/>
    </row>
    <row r="1930" spans="1:25" ht="37.5" x14ac:dyDescent="0.25">
      <c r="A1930" s="21">
        <v>10106</v>
      </c>
      <c r="B1930" s="22" t="s">
        <v>15368</v>
      </c>
      <c r="C1930" s="22" t="s">
        <v>7149</v>
      </c>
      <c r="D1930" s="23">
        <v>402580</v>
      </c>
      <c r="E1930" s="24">
        <v>2002</v>
      </c>
      <c r="F1930" s="22" t="s">
        <v>7150</v>
      </c>
      <c r="G1930" s="23" t="s">
        <v>7151</v>
      </c>
      <c r="H1930" s="25" t="s">
        <v>15373</v>
      </c>
      <c r="I1930" s="22" t="s">
        <v>15374</v>
      </c>
      <c r="J1930" s="22" t="s">
        <v>16561</v>
      </c>
      <c r="K1930" s="26">
        <f t="shared" si="30"/>
        <v>346</v>
      </c>
      <c r="N1930" s="26">
        <v>519</v>
      </c>
      <c r="O1930" s="22" t="s">
        <v>7152</v>
      </c>
      <c r="P1930" s="22" t="s">
        <v>7153</v>
      </c>
      <c r="Q1930" s="22">
        <v>90038</v>
      </c>
      <c r="R1930" s="22" t="s">
        <v>7154</v>
      </c>
      <c r="S1930" s="22" t="s">
        <v>7155</v>
      </c>
      <c r="X1930" s="26"/>
      <c r="Y1930" s="26"/>
    </row>
    <row r="1931" spans="1:25" ht="37.5" x14ac:dyDescent="0.25">
      <c r="A1931" s="21">
        <v>10107</v>
      </c>
      <c r="B1931" s="22" t="s">
        <v>15368</v>
      </c>
      <c r="C1931" s="22" t="s">
        <v>7156</v>
      </c>
      <c r="D1931" s="23">
        <v>402586</v>
      </c>
      <c r="E1931" s="24">
        <v>2002</v>
      </c>
      <c r="F1931" s="22" t="s">
        <v>7157</v>
      </c>
      <c r="G1931" s="23" t="s">
        <v>7158</v>
      </c>
      <c r="H1931" s="25" t="s">
        <v>15373</v>
      </c>
      <c r="I1931" s="22" t="s">
        <v>15374</v>
      </c>
      <c r="J1931" s="22">
        <v>3412</v>
      </c>
      <c r="K1931" s="26">
        <f t="shared" si="30"/>
        <v>543.33333333333326</v>
      </c>
      <c r="N1931" s="26">
        <v>815</v>
      </c>
      <c r="O1931" s="22" t="s">
        <v>7159</v>
      </c>
      <c r="P1931" s="22" t="s">
        <v>7999</v>
      </c>
      <c r="Q1931" s="22">
        <v>91001</v>
      </c>
      <c r="R1931" s="22" t="s">
        <v>7160</v>
      </c>
      <c r="S1931" s="22" t="s">
        <v>7161</v>
      </c>
      <c r="X1931" s="26"/>
      <c r="Y1931" s="26"/>
    </row>
    <row r="1932" spans="1:25" ht="37.5" x14ac:dyDescent="0.25">
      <c r="A1932" s="21">
        <v>10108</v>
      </c>
      <c r="B1932" s="22" t="s">
        <v>15368</v>
      </c>
      <c r="C1932" s="22" t="s">
        <v>7162</v>
      </c>
      <c r="D1932" s="23">
        <v>402551</v>
      </c>
      <c r="E1932" s="24">
        <v>2002</v>
      </c>
      <c r="F1932" s="22" t="s">
        <v>7163</v>
      </c>
      <c r="G1932" s="23" t="s">
        <v>7164</v>
      </c>
      <c r="H1932" s="25" t="s">
        <v>15373</v>
      </c>
      <c r="I1932" s="22" t="s">
        <v>7165</v>
      </c>
      <c r="J1932" s="22" t="s">
        <v>7166</v>
      </c>
      <c r="K1932" s="26">
        <f t="shared" si="30"/>
        <v>411.33333333333331</v>
      </c>
      <c r="N1932" s="26">
        <v>617</v>
      </c>
      <c r="O1932" s="22" t="s">
        <v>7167</v>
      </c>
      <c r="P1932" s="22" t="s">
        <v>7788</v>
      </c>
      <c r="Q1932" s="22">
        <v>91522</v>
      </c>
      <c r="R1932" s="22" t="s">
        <v>7168</v>
      </c>
      <c r="S1932" s="22" t="s">
        <v>7169</v>
      </c>
      <c r="X1932" s="26"/>
      <c r="Y1932" s="26"/>
    </row>
    <row r="1933" spans="1:25" ht="50" x14ac:dyDescent="0.25">
      <c r="A1933" s="21">
        <v>10109</v>
      </c>
      <c r="B1933" s="22" t="s">
        <v>15368</v>
      </c>
      <c r="C1933" s="22" t="s">
        <v>7170</v>
      </c>
      <c r="D1933" s="23">
        <v>402596</v>
      </c>
      <c r="E1933" s="24">
        <v>2002</v>
      </c>
      <c r="F1933" s="22" t="s">
        <v>7171</v>
      </c>
      <c r="G1933" s="23" t="s">
        <v>7172</v>
      </c>
      <c r="H1933" s="25" t="s">
        <v>15373</v>
      </c>
      <c r="I1933" s="22" t="s">
        <v>15374</v>
      </c>
      <c r="J1933" s="22">
        <v>3412</v>
      </c>
      <c r="K1933" s="26">
        <f t="shared" si="30"/>
        <v>413.33333333333331</v>
      </c>
      <c r="N1933" s="26">
        <v>620</v>
      </c>
      <c r="O1933" s="22" t="s">
        <v>7173</v>
      </c>
      <c r="P1933" s="22" t="s">
        <v>7140</v>
      </c>
      <c r="Q1933" s="22">
        <v>90601</v>
      </c>
      <c r="R1933" s="22" t="s">
        <v>7174</v>
      </c>
      <c r="S1933" s="22" t="s">
        <v>7175</v>
      </c>
      <c r="X1933" s="26"/>
      <c r="Y1933" s="26"/>
    </row>
    <row r="1934" spans="1:25" ht="50" x14ac:dyDescent="0.25">
      <c r="A1934" s="21">
        <v>10110</v>
      </c>
      <c r="B1934" s="22" t="s">
        <v>15368</v>
      </c>
      <c r="C1934" s="22" t="s">
        <v>7170</v>
      </c>
      <c r="D1934" s="23">
        <v>402598</v>
      </c>
      <c r="E1934" s="24">
        <v>2002</v>
      </c>
      <c r="F1934" s="22" t="s">
        <v>7176</v>
      </c>
      <c r="G1934" s="23" t="s">
        <v>7177</v>
      </c>
      <c r="H1934" s="25" t="s">
        <v>15373</v>
      </c>
      <c r="I1934" s="22" t="s">
        <v>15374</v>
      </c>
      <c r="J1934" s="22" t="s">
        <v>15677</v>
      </c>
      <c r="K1934" s="26">
        <f t="shared" si="30"/>
        <v>1434</v>
      </c>
      <c r="N1934" s="26">
        <v>2151</v>
      </c>
      <c r="O1934" s="22" t="s">
        <v>7173</v>
      </c>
      <c r="P1934" s="22" t="s">
        <v>7140</v>
      </c>
      <c r="Q1934" s="22">
        <v>90601</v>
      </c>
      <c r="R1934" s="22" t="s">
        <v>7174</v>
      </c>
      <c r="S1934" s="22" t="s">
        <v>7175</v>
      </c>
      <c r="X1934" s="26"/>
      <c r="Y1934" s="26"/>
    </row>
    <row r="1935" spans="1:25" ht="50" x14ac:dyDescent="0.25">
      <c r="A1935" s="21">
        <v>10111</v>
      </c>
      <c r="B1935" s="22" t="s">
        <v>15368</v>
      </c>
      <c r="C1935" s="22" t="s">
        <v>7178</v>
      </c>
      <c r="D1935" s="23">
        <v>400611</v>
      </c>
      <c r="E1935" s="24">
        <v>2002</v>
      </c>
      <c r="F1935" s="22" t="s">
        <v>7179</v>
      </c>
      <c r="G1935" s="23" t="s">
        <v>7181</v>
      </c>
      <c r="H1935" s="25" t="s">
        <v>15373</v>
      </c>
      <c r="I1935" s="22" t="s">
        <v>15374</v>
      </c>
      <c r="J1935" s="22" t="s">
        <v>16869</v>
      </c>
      <c r="K1935" s="26">
        <f t="shared" si="30"/>
        <v>596</v>
      </c>
      <c r="N1935" s="26">
        <v>894</v>
      </c>
      <c r="O1935" s="22" t="s">
        <v>5762</v>
      </c>
      <c r="P1935" s="22" t="s">
        <v>7753</v>
      </c>
      <c r="Q1935" s="22">
        <v>90011</v>
      </c>
      <c r="R1935" s="22" t="s">
        <v>7182</v>
      </c>
      <c r="S1935" s="22" t="s">
        <v>7183</v>
      </c>
      <c r="X1935" s="26"/>
      <c r="Y1935" s="26"/>
    </row>
    <row r="1936" spans="1:25" ht="50" x14ac:dyDescent="0.25">
      <c r="A1936" s="21">
        <v>10112</v>
      </c>
      <c r="B1936" s="22" t="s">
        <v>15368</v>
      </c>
      <c r="C1936" s="22" t="s">
        <v>7178</v>
      </c>
      <c r="D1936" s="23">
        <v>400613</v>
      </c>
      <c r="E1936" s="24">
        <v>2002</v>
      </c>
      <c r="F1936" s="22" t="s">
        <v>7184</v>
      </c>
      <c r="G1936" s="23" t="s">
        <v>7185</v>
      </c>
      <c r="H1936" s="25" t="s">
        <v>15373</v>
      </c>
      <c r="I1936" s="22" t="s">
        <v>15374</v>
      </c>
      <c r="J1936" s="22" t="s">
        <v>15701</v>
      </c>
      <c r="K1936" s="26">
        <f t="shared" si="30"/>
        <v>353.33333333333331</v>
      </c>
      <c r="N1936" s="26">
        <v>530</v>
      </c>
      <c r="O1936" s="22" t="s">
        <v>5762</v>
      </c>
      <c r="P1936" s="22" t="s">
        <v>7753</v>
      </c>
      <c r="Q1936" s="22">
        <v>90011</v>
      </c>
      <c r="R1936" s="22" t="s">
        <v>7182</v>
      </c>
      <c r="S1936" s="22" t="s">
        <v>7183</v>
      </c>
      <c r="X1936" s="26"/>
      <c r="Y1936" s="26"/>
    </row>
    <row r="1937" spans="1:25" ht="50" x14ac:dyDescent="0.25">
      <c r="A1937" s="21">
        <v>10113</v>
      </c>
      <c r="B1937" s="22" t="s">
        <v>15368</v>
      </c>
      <c r="C1937" s="22" t="s">
        <v>7186</v>
      </c>
      <c r="D1937" s="23" t="s">
        <v>7187</v>
      </c>
      <c r="E1937" s="24">
        <v>1982</v>
      </c>
      <c r="F1937" s="22" t="s">
        <v>7188</v>
      </c>
      <c r="G1937" s="23" t="s">
        <v>7189</v>
      </c>
      <c r="H1937" s="25" t="s">
        <v>15373</v>
      </c>
      <c r="I1937" s="22" t="s">
        <v>15411</v>
      </c>
      <c r="J1937" s="22" t="s">
        <v>14158</v>
      </c>
      <c r="K1937" s="26">
        <f t="shared" si="30"/>
        <v>600</v>
      </c>
      <c r="L1937" s="26">
        <v>600</v>
      </c>
      <c r="O1937" s="22" t="s">
        <v>7190</v>
      </c>
      <c r="P1937" s="22" t="s">
        <v>7753</v>
      </c>
      <c r="Q1937" s="22">
        <v>90071</v>
      </c>
      <c r="R1937" s="22" t="s">
        <v>7191</v>
      </c>
      <c r="S1937" s="22" t="s">
        <v>7192</v>
      </c>
      <c r="X1937" s="26"/>
      <c r="Y1937" s="26"/>
    </row>
    <row r="1938" spans="1:25" ht="37.5" x14ac:dyDescent="0.25">
      <c r="A1938" s="21">
        <v>10114</v>
      </c>
      <c r="B1938" s="22" t="s">
        <v>15368</v>
      </c>
      <c r="C1938" s="22" t="s">
        <v>7193</v>
      </c>
      <c r="D1938" s="23">
        <v>367635</v>
      </c>
      <c r="E1938" s="24">
        <v>2000</v>
      </c>
      <c r="F1938" s="22" t="s">
        <v>7194</v>
      </c>
      <c r="G1938" s="23" t="s">
        <v>7195</v>
      </c>
      <c r="H1938" s="25" t="s">
        <v>15373</v>
      </c>
      <c r="I1938" s="22" t="s">
        <v>15374</v>
      </c>
      <c r="J1938" s="22" t="s">
        <v>7196</v>
      </c>
      <c r="K1938" s="26">
        <f t="shared" si="30"/>
        <v>393.33333333333331</v>
      </c>
      <c r="N1938" s="26">
        <v>590</v>
      </c>
      <c r="O1938" s="22" t="s">
        <v>7197</v>
      </c>
      <c r="P1938" s="22" t="s">
        <v>15376</v>
      </c>
      <c r="Q1938" s="22">
        <v>90010</v>
      </c>
      <c r="R1938" s="22" t="s">
        <v>7198</v>
      </c>
      <c r="S1938" s="22" t="s">
        <v>7199</v>
      </c>
      <c r="X1938" s="26"/>
      <c r="Y1938" s="26"/>
    </row>
    <row r="1939" spans="1:25" ht="37.5" x14ac:dyDescent="0.25">
      <c r="A1939" s="21">
        <v>10115</v>
      </c>
      <c r="B1939" s="22" t="s">
        <v>15368</v>
      </c>
      <c r="C1939" s="22" t="s">
        <v>10503</v>
      </c>
      <c r="D1939" s="23">
        <v>389765</v>
      </c>
      <c r="E1939" s="24">
        <v>2001</v>
      </c>
      <c r="F1939" s="22" t="s">
        <v>7200</v>
      </c>
      <c r="G1939" s="23" t="s">
        <v>7201</v>
      </c>
      <c r="H1939" s="25" t="s">
        <v>15373</v>
      </c>
      <c r="I1939" s="22" t="s">
        <v>15382</v>
      </c>
      <c r="J1939" s="22" t="s">
        <v>16811</v>
      </c>
      <c r="K1939" s="26">
        <f t="shared" si="30"/>
        <v>535</v>
      </c>
      <c r="L1939" s="26">
        <v>535</v>
      </c>
      <c r="O1939" s="22" t="s">
        <v>7202</v>
      </c>
      <c r="P1939" s="22" t="s">
        <v>15376</v>
      </c>
      <c r="Q1939" s="22">
        <v>90017</v>
      </c>
      <c r="R1939" s="22" t="s">
        <v>9074</v>
      </c>
      <c r="S1939" s="22" t="s">
        <v>9075</v>
      </c>
      <c r="X1939" s="26"/>
      <c r="Y1939" s="26"/>
    </row>
    <row r="1940" spans="1:25" ht="37.5" x14ac:dyDescent="0.25">
      <c r="A1940" s="21">
        <v>10116</v>
      </c>
      <c r="B1940" s="22" t="s">
        <v>15368</v>
      </c>
      <c r="C1940" s="22" t="s">
        <v>7203</v>
      </c>
      <c r="D1940" s="23">
        <v>402837</v>
      </c>
      <c r="E1940" s="24">
        <v>2002</v>
      </c>
      <c r="F1940" s="22" t="s">
        <v>7204</v>
      </c>
      <c r="G1940" s="23" t="s">
        <v>7205</v>
      </c>
      <c r="H1940" s="25" t="s">
        <v>15373</v>
      </c>
      <c r="I1940" s="22" t="s">
        <v>15411</v>
      </c>
      <c r="J1940" s="22" t="s">
        <v>15451</v>
      </c>
      <c r="K1940" s="26">
        <f t="shared" si="30"/>
        <v>553.33333333333326</v>
      </c>
      <c r="N1940" s="26">
        <v>830</v>
      </c>
      <c r="O1940" s="22" t="s">
        <v>7206</v>
      </c>
      <c r="P1940" s="22" t="s">
        <v>7753</v>
      </c>
      <c r="Q1940" s="22">
        <v>90071</v>
      </c>
      <c r="R1940" s="22" t="s">
        <v>7207</v>
      </c>
      <c r="S1940" s="22" t="s">
        <v>7208</v>
      </c>
      <c r="X1940" s="26"/>
      <c r="Y1940" s="26"/>
    </row>
    <row r="1941" spans="1:25" ht="50" x14ac:dyDescent="0.25">
      <c r="A1941" s="21">
        <v>10117</v>
      </c>
      <c r="B1941" s="22" t="s">
        <v>15368</v>
      </c>
      <c r="C1941" s="22" t="s">
        <v>7209</v>
      </c>
      <c r="D1941" s="23">
        <v>403532</v>
      </c>
      <c r="E1941" s="24">
        <v>2002</v>
      </c>
      <c r="F1941" s="22" t="s">
        <v>7210</v>
      </c>
      <c r="G1941" s="23" t="s">
        <v>7211</v>
      </c>
      <c r="H1941" s="25" t="s">
        <v>15373</v>
      </c>
      <c r="I1941" s="22" t="s">
        <v>15411</v>
      </c>
      <c r="J1941" s="22" t="s">
        <v>16517</v>
      </c>
      <c r="K1941" s="26">
        <f t="shared" si="30"/>
        <v>366.66666666666663</v>
      </c>
      <c r="N1941" s="26">
        <v>550</v>
      </c>
      <c r="O1941" s="22" t="s">
        <v>7212</v>
      </c>
      <c r="P1941" s="22" t="s">
        <v>7213</v>
      </c>
      <c r="Q1941" s="22">
        <v>90401</v>
      </c>
      <c r="R1941" s="22" t="s">
        <v>7214</v>
      </c>
      <c r="S1941" s="22" t="s">
        <v>7215</v>
      </c>
      <c r="X1941" s="26"/>
      <c r="Y1941" s="26"/>
    </row>
    <row r="1942" spans="1:25" ht="37.5" x14ac:dyDescent="0.25">
      <c r="A1942" s="21">
        <v>10118</v>
      </c>
      <c r="B1942" s="22" t="s">
        <v>15368</v>
      </c>
      <c r="C1942" s="22" t="s">
        <v>7216</v>
      </c>
      <c r="D1942" s="23">
        <v>401747</v>
      </c>
      <c r="E1942" s="24">
        <v>2002</v>
      </c>
      <c r="F1942" s="22" t="s">
        <v>7217</v>
      </c>
      <c r="G1942" s="23" t="s">
        <v>7218</v>
      </c>
      <c r="H1942" s="25" t="s">
        <v>15373</v>
      </c>
      <c r="I1942" s="22" t="s">
        <v>15374</v>
      </c>
      <c r="J1942" s="22">
        <v>3508</v>
      </c>
      <c r="K1942" s="26">
        <f>L1942+M1942*(2/3)+N1942*(2/3)</f>
        <v>737.33333333333326</v>
      </c>
      <c r="N1942" s="26">
        <v>1106</v>
      </c>
      <c r="O1942" s="22" t="s">
        <v>7219</v>
      </c>
      <c r="P1942" s="22" t="s">
        <v>7753</v>
      </c>
      <c r="Q1942" s="22">
        <v>90067</v>
      </c>
      <c r="R1942" s="22" t="s">
        <v>7220</v>
      </c>
      <c r="S1942" s="22" t="s">
        <v>7221</v>
      </c>
      <c r="X1942" s="26"/>
      <c r="Y1942" s="26"/>
    </row>
    <row r="1943" spans="1:25" ht="50" x14ac:dyDescent="0.25">
      <c r="A1943" s="21">
        <v>10119</v>
      </c>
      <c r="B1943" s="22" t="s">
        <v>15368</v>
      </c>
      <c r="C1943" s="22" t="s">
        <v>7222</v>
      </c>
      <c r="D1943" s="23">
        <v>407296</v>
      </c>
      <c r="E1943" s="24">
        <v>2002</v>
      </c>
      <c r="F1943" s="22" t="s">
        <v>7223</v>
      </c>
      <c r="G1943" s="23" t="s">
        <v>7224</v>
      </c>
      <c r="H1943" s="25" t="s">
        <v>15373</v>
      </c>
      <c r="I1943" s="22" t="s">
        <v>15411</v>
      </c>
      <c r="J1943" s="22" t="s">
        <v>16437</v>
      </c>
      <c r="K1943" s="26">
        <f t="shared" si="30"/>
        <v>1263.3333333333333</v>
      </c>
      <c r="N1943" s="26">
        <v>1895</v>
      </c>
      <c r="O1943" s="22" t="s">
        <v>7225</v>
      </c>
      <c r="P1943" s="22" t="s">
        <v>7753</v>
      </c>
      <c r="Q1943" s="22">
        <v>90067</v>
      </c>
      <c r="R1943" s="22" t="s">
        <v>7226</v>
      </c>
      <c r="S1943" s="22" t="s">
        <v>7227</v>
      </c>
      <c r="X1943" s="26"/>
      <c r="Y1943" s="26"/>
    </row>
    <row r="1944" spans="1:25" ht="50" x14ac:dyDescent="0.25">
      <c r="A1944" s="21">
        <v>10120</v>
      </c>
      <c r="B1944" s="22" t="s">
        <v>15368</v>
      </c>
      <c r="C1944" s="22" t="s">
        <v>7228</v>
      </c>
      <c r="D1944" s="23">
        <v>409039</v>
      </c>
      <c r="E1944" s="24">
        <v>2002</v>
      </c>
      <c r="F1944" s="22" t="s">
        <v>7229</v>
      </c>
      <c r="G1944" s="23" t="s">
        <v>7230</v>
      </c>
      <c r="H1944" s="25" t="s">
        <v>15373</v>
      </c>
      <c r="I1944" s="22" t="s">
        <v>15374</v>
      </c>
      <c r="J1944" s="22" t="s">
        <v>14709</v>
      </c>
      <c r="K1944" s="26">
        <f t="shared" si="30"/>
        <v>700</v>
      </c>
      <c r="L1944" s="26">
        <v>700</v>
      </c>
      <c r="O1944" s="22" t="s">
        <v>7901</v>
      </c>
      <c r="P1944" s="22" t="s">
        <v>7902</v>
      </c>
      <c r="Q1944" s="22">
        <v>91773</v>
      </c>
      <c r="R1944" s="22" t="s">
        <v>7231</v>
      </c>
      <c r="S1944" s="22" t="s">
        <v>7232</v>
      </c>
      <c r="X1944" s="26"/>
      <c r="Y1944" s="26"/>
    </row>
    <row r="1945" spans="1:25" ht="50" x14ac:dyDescent="0.25">
      <c r="A1945" s="21">
        <v>10121</v>
      </c>
      <c r="B1945" s="22" t="s">
        <v>15368</v>
      </c>
      <c r="C1945" s="22" t="s">
        <v>7233</v>
      </c>
      <c r="D1945" s="23">
        <v>410047</v>
      </c>
      <c r="E1945" s="24">
        <v>2002</v>
      </c>
      <c r="F1945" s="22" t="s">
        <v>7234</v>
      </c>
      <c r="G1945" s="23" t="s">
        <v>7235</v>
      </c>
      <c r="H1945" s="25" t="s">
        <v>15373</v>
      </c>
      <c r="I1945" s="22" t="s">
        <v>15374</v>
      </c>
      <c r="J1945" s="22" t="s">
        <v>15701</v>
      </c>
      <c r="K1945" s="26">
        <f t="shared" si="30"/>
        <v>350</v>
      </c>
      <c r="L1945" s="26">
        <v>350</v>
      </c>
      <c r="O1945" s="22" t="s">
        <v>7236</v>
      </c>
      <c r="P1945" s="22" t="s">
        <v>7237</v>
      </c>
      <c r="Q1945" s="22">
        <v>91362</v>
      </c>
      <c r="R1945" s="22" t="s">
        <v>7238</v>
      </c>
      <c r="S1945" s="22" t="s">
        <v>7239</v>
      </c>
      <c r="X1945" s="26"/>
      <c r="Y1945" s="26"/>
    </row>
    <row r="1946" spans="1:25" ht="50" x14ac:dyDescent="0.25">
      <c r="A1946" s="21">
        <v>10122</v>
      </c>
      <c r="B1946" s="22" t="s">
        <v>15368</v>
      </c>
      <c r="C1946" s="22" t="s">
        <v>7240</v>
      </c>
      <c r="D1946" s="23">
        <v>406419</v>
      </c>
      <c r="E1946" s="24">
        <v>2002</v>
      </c>
      <c r="F1946" s="22" t="s">
        <v>7241</v>
      </c>
      <c r="G1946" s="23" t="s">
        <v>7242</v>
      </c>
      <c r="H1946" s="25" t="s">
        <v>15373</v>
      </c>
      <c r="I1946" s="22" t="s">
        <v>15374</v>
      </c>
      <c r="J1946" s="22" t="s">
        <v>15261</v>
      </c>
      <c r="K1946" s="26">
        <f t="shared" si="30"/>
        <v>500</v>
      </c>
      <c r="L1946" s="26">
        <v>500</v>
      </c>
      <c r="O1946" s="22" t="s">
        <v>7243</v>
      </c>
      <c r="P1946" s="22" t="s">
        <v>7788</v>
      </c>
      <c r="Q1946" s="22">
        <v>91505</v>
      </c>
      <c r="R1946" s="22" t="s">
        <v>7244</v>
      </c>
      <c r="S1946" s="22" t="s">
        <v>7245</v>
      </c>
      <c r="X1946" s="26"/>
      <c r="Y1946" s="26"/>
    </row>
    <row r="1947" spans="1:25" ht="37.5" x14ac:dyDescent="0.25">
      <c r="A1947" s="21">
        <v>10123</v>
      </c>
      <c r="B1947" s="22" t="s">
        <v>15368</v>
      </c>
      <c r="C1947" s="22" t="s">
        <v>7246</v>
      </c>
      <c r="D1947" s="23">
        <v>387433</v>
      </c>
      <c r="E1947" s="24">
        <v>2001</v>
      </c>
      <c r="F1947" s="22" t="s">
        <v>7247</v>
      </c>
      <c r="G1947" s="23" t="s">
        <v>7248</v>
      </c>
      <c r="H1947" s="25" t="s">
        <v>15373</v>
      </c>
      <c r="I1947" s="22" t="s">
        <v>15411</v>
      </c>
      <c r="J1947" s="22" t="s">
        <v>15451</v>
      </c>
      <c r="K1947" s="26">
        <f t="shared" si="30"/>
        <v>553.33333333333326</v>
      </c>
      <c r="N1947" s="26">
        <v>830</v>
      </c>
      <c r="O1947" s="22" t="s">
        <v>7249</v>
      </c>
      <c r="P1947" s="22" t="s">
        <v>5749</v>
      </c>
      <c r="Q1947" s="22">
        <v>92801</v>
      </c>
      <c r="R1947" s="22" t="s">
        <v>7250</v>
      </c>
      <c r="S1947" s="22" t="s">
        <v>7251</v>
      </c>
      <c r="X1947" s="26"/>
      <c r="Y1947" s="26"/>
    </row>
    <row r="1948" spans="1:25" ht="37.5" x14ac:dyDescent="0.25">
      <c r="A1948" s="21">
        <v>10124</v>
      </c>
      <c r="B1948" s="22" t="s">
        <v>15368</v>
      </c>
      <c r="C1948" s="22" t="s">
        <v>7246</v>
      </c>
      <c r="D1948" s="23">
        <v>387434</v>
      </c>
      <c r="E1948" s="24">
        <v>2001</v>
      </c>
      <c r="F1948" s="22" t="s">
        <v>7252</v>
      </c>
      <c r="G1948" s="23" t="s">
        <v>7253</v>
      </c>
      <c r="H1948" s="25" t="s">
        <v>15373</v>
      </c>
      <c r="I1948" s="22" t="s">
        <v>15411</v>
      </c>
      <c r="J1948" s="22" t="s">
        <v>15451</v>
      </c>
      <c r="K1948" s="26">
        <f t="shared" si="30"/>
        <v>553.33333333333326</v>
      </c>
      <c r="N1948" s="26">
        <v>830</v>
      </c>
      <c r="O1948" s="22" t="s">
        <v>7249</v>
      </c>
      <c r="P1948" s="22" t="s">
        <v>5749</v>
      </c>
      <c r="Q1948" s="22">
        <v>92801</v>
      </c>
      <c r="R1948" s="22" t="s">
        <v>7250</v>
      </c>
      <c r="S1948" s="22" t="s">
        <v>7251</v>
      </c>
      <c r="X1948" s="26"/>
      <c r="Y1948" s="26"/>
    </row>
    <row r="1949" spans="1:25" ht="50" x14ac:dyDescent="0.25">
      <c r="A1949" s="21">
        <v>10125</v>
      </c>
      <c r="B1949" s="22" t="s">
        <v>15368</v>
      </c>
      <c r="C1949" s="22" t="s">
        <v>7254</v>
      </c>
      <c r="D1949" s="23">
        <v>386857</v>
      </c>
      <c r="E1949" s="24">
        <v>2001</v>
      </c>
      <c r="F1949" s="22" t="s">
        <v>7255</v>
      </c>
      <c r="G1949" s="23" t="s">
        <v>7256</v>
      </c>
      <c r="H1949" s="25" t="s">
        <v>15373</v>
      </c>
      <c r="I1949" s="22" t="s">
        <v>15382</v>
      </c>
      <c r="J1949" s="22" t="s">
        <v>7257</v>
      </c>
      <c r="K1949" s="26">
        <f t="shared" si="30"/>
        <v>400</v>
      </c>
      <c r="N1949" s="26">
        <v>600</v>
      </c>
      <c r="O1949" s="22" t="s">
        <v>7258</v>
      </c>
      <c r="P1949" s="22" t="s">
        <v>7259</v>
      </c>
      <c r="Q1949" s="22">
        <v>90230</v>
      </c>
      <c r="R1949" s="22" t="s">
        <v>7260</v>
      </c>
      <c r="S1949" s="22" t="s">
        <v>7261</v>
      </c>
      <c r="X1949" s="26"/>
      <c r="Y1949" s="26"/>
    </row>
    <row r="1950" spans="1:25" ht="50" x14ac:dyDescent="0.25">
      <c r="A1950" s="21">
        <v>10126</v>
      </c>
      <c r="B1950" s="22" t="s">
        <v>15368</v>
      </c>
      <c r="C1950" s="22" t="s">
        <v>7262</v>
      </c>
      <c r="D1950" s="23">
        <v>403555</v>
      </c>
      <c r="E1950" s="24">
        <v>2002</v>
      </c>
      <c r="F1950" s="22" t="s">
        <v>7263</v>
      </c>
      <c r="G1950" s="23" t="s">
        <v>7264</v>
      </c>
      <c r="H1950" s="25" t="s">
        <v>15373</v>
      </c>
      <c r="I1950" s="22" t="s">
        <v>15411</v>
      </c>
      <c r="J1950" s="22" t="s">
        <v>14404</v>
      </c>
      <c r="K1950" s="26">
        <f t="shared" si="30"/>
        <v>724</v>
      </c>
      <c r="L1950" s="26">
        <v>724</v>
      </c>
      <c r="O1950" s="22" t="s">
        <v>7265</v>
      </c>
      <c r="P1950" s="22" t="s">
        <v>7266</v>
      </c>
      <c r="Q1950" s="22">
        <v>92627</v>
      </c>
      <c r="R1950" s="22" t="s">
        <v>7267</v>
      </c>
      <c r="S1950" s="22" t="s">
        <v>7268</v>
      </c>
      <c r="X1950" s="26"/>
      <c r="Y1950" s="26"/>
    </row>
    <row r="1951" spans="1:25" ht="50" x14ac:dyDescent="0.25">
      <c r="A1951" s="21">
        <v>10127</v>
      </c>
      <c r="B1951" s="22" t="s">
        <v>15368</v>
      </c>
      <c r="C1951" s="22" t="s">
        <v>7269</v>
      </c>
      <c r="D1951" s="23">
        <v>404673</v>
      </c>
      <c r="E1951" s="24">
        <v>2002</v>
      </c>
      <c r="F1951" s="22" t="s">
        <v>7270</v>
      </c>
      <c r="G1951" s="23" t="s">
        <v>7271</v>
      </c>
      <c r="H1951" s="25" t="s">
        <v>15373</v>
      </c>
      <c r="I1951" s="22" t="s">
        <v>15411</v>
      </c>
      <c r="J1951" s="22" t="s">
        <v>16517</v>
      </c>
      <c r="K1951" s="26">
        <f t="shared" si="30"/>
        <v>366.66666666666663</v>
      </c>
      <c r="N1951" s="26">
        <v>550</v>
      </c>
      <c r="O1951" s="22" t="s">
        <v>7272</v>
      </c>
      <c r="P1951" s="22" t="s">
        <v>7273</v>
      </c>
      <c r="Q1951" s="22">
        <v>91355</v>
      </c>
      <c r="R1951" s="22" t="s">
        <v>7274</v>
      </c>
      <c r="S1951" s="22" t="s">
        <v>7275</v>
      </c>
      <c r="X1951" s="26"/>
      <c r="Y1951" s="26"/>
    </row>
    <row r="1952" spans="1:25" ht="50" x14ac:dyDescent="0.25">
      <c r="A1952" s="21">
        <v>10128</v>
      </c>
      <c r="B1952" s="22" t="s">
        <v>15368</v>
      </c>
      <c r="C1952" s="22" t="s">
        <v>7276</v>
      </c>
      <c r="D1952" s="23">
        <v>406803</v>
      </c>
      <c r="E1952" s="24">
        <v>2002</v>
      </c>
      <c r="F1952" s="22" t="s">
        <v>7277</v>
      </c>
      <c r="G1952" s="23" t="s">
        <v>7278</v>
      </c>
      <c r="H1952" s="25" t="s">
        <v>15373</v>
      </c>
      <c r="I1952" s="22" t="s">
        <v>15374</v>
      </c>
      <c r="J1952" s="22" t="s">
        <v>14709</v>
      </c>
      <c r="K1952" s="26">
        <f t="shared" si="30"/>
        <v>500</v>
      </c>
      <c r="L1952" s="26">
        <v>500</v>
      </c>
      <c r="O1952" s="22" t="s">
        <v>7279</v>
      </c>
      <c r="P1952" s="22" t="s">
        <v>8238</v>
      </c>
      <c r="Q1952" s="22">
        <v>91367</v>
      </c>
      <c r="R1952" s="22" t="s">
        <v>7280</v>
      </c>
      <c r="S1952" s="22" t="s">
        <v>7281</v>
      </c>
      <c r="X1952" s="26"/>
      <c r="Y1952" s="26"/>
    </row>
    <row r="1953" spans="1:25" ht="37.5" x14ac:dyDescent="0.25">
      <c r="A1953" s="21">
        <v>10129</v>
      </c>
      <c r="B1953" s="22" t="s">
        <v>15368</v>
      </c>
      <c r="C1953" s="22" t="s">
        <v>7282</v>
      </c>
      <c r="D1953" s="23">
        <v>406230</v>
      </c>
      <c r="E1953" s="24">
        <v>2002</v>
      </c>
      <c r="F1953" s="22" t="s">
        <v>7283</v>
      </c>
      <c r="G1953" s="23" t="s">
        <v>7284</v>
      </c>
      <c r="H1953" s="25" t="s">
        <v>15373</v>
      </c>
      <c r="I1953" s="22" t="s">
        <v>15374</v>
      </c>
      <c r="J1953" s="22" t="s">
        <v>16899</v>
      </c>
      <c r="K1953" s="26">
        <f t="shared" si="30"/>
        <v>503.33333333333331</v>
      </c>
      <c r="N1953" s="26">
        <v>755</v>
      </c>
      <c r="O1953" s="22" t="s">
        <v>7285</v>
      </c>
      <c r="P1953" s="22" t="s">
        <v>7884</v>
      </c>
      <c r="Q1953" s="22">
        <v>90210</v>
      </c>
      <c r="R1953" s="22" t="s">
        <v>7885</v>
      </c>
      <c r="S1953" s="22" t="s">
        <v>7886</v>
      </c>
      <c r="X1953" s="26"/>
      <c r="Y1953" s="26"/>
    </row>
    <row r="1954" spans="1:25" ht="50" x14ac:dyDescent="0.25">
      <c r="A1954" s="21">
        <v>10130</v>
      </c>
      <c r="B1954" s="22" t="s">
        <v>15368</v>
      </c>
      <c r="C1954" s="22" t="s">
        <v>7286</v>
      </c>
      <c r="D1954" s="23">
        <v>401211</v>
      </c>
      <c r="E1954" s="24">
        <v>2002</v>
      </c>
      <c r="F1954" s="22" t="s">
        <v>7287</v>
      </c>
      <c r="G1954" s="23" t="s">
        <v>7288</v>
      </c>
      <c r="H1954" s="25" t="s">
        <v>15373</v>
      </c>
      <c r="I1954" s="22" t="s">
        <v>15374</v>
      </c>
      <c r="J1954" s="22">
        <v>3406</v>
      </c>
      <c r="K1954" s="26">
        <f t="shared" si="30"/>
        <v>391.33333333333331</v>
      </c>
      <c r="N1954" s="26">
        <v>587</v>
      </c>
      <c r="O1954" s="22" t="s">
        <v>7289</v>
      </c>
      <c r="P1954" s="22" t="s">
        <v>7753</v>
      </c>
      <c r="Q1954" s="22">
        <v>90404</v>
      </c>
      <c r="R1954" s="22" t="s">
        <v>7290</v>
      </c>
      <c r="S1954" s="22" t="s">
        <v>7291</v>
      </c>
      <c r="X1954" s="26"/>
      <c r="Y1954" s="26"/>
    </row>
    <row r="1955" spans="1:25" ht="50" x14ac:dyDescent="0.25">
      <c r="A1955" s="21">
        <v>10131</v>
      </c>
      <c r="B1955" s="22" t="s">
        <v>15368</v>
      </c>
      <c r="C1955" s="22" t="s">
        <v>7292</v>
      </c>
      <c r="D1955" s="23">
        <v>405964</v>
      </c>
      <c r="E1955" s="24">
        <v>2002</v>
      </c>
      <c r="F1955" s="22" t="s">
        <v>7293</v>
      </c>
      <c r="G1955" s="23" t="s">
        <v>7294</v>
      </c>
      <c r="H1955" s="25" t="s">
        <v>15373</v>
      </c>
      <c r="I1955" s="22" t="s">
        <v>15411</v>
      </c>
      <c r="J1955" s="22" t="s">
        <v>16517</v>
      </c>
      <c r="K1955" s="26">
        <f t="shared" si="30"/>
        <v>326.66666666666663</v>
      </c>
      <c r="N1955" s="26">
        <v>490</v>
      </c>
      <c r="O1955" s="22" t="s">
        <v>7295</v>
      </c>
      <c r="P1955" s="22" t="s">
        <v>7296</v>
      </c>
      <c r="Q1955" s="22">
        <v>92230</v>
      </c>
      <c r="R1955" s="22" t="s">
        <v>7297</v>
      </c>
      <c r="S1955" s="22" t="s">
        <v>7298</v>
      </c>
      <c r="X1955" s="26"/>
      <c r="Y1955" s="26"/>
    </row>
    <row r="1956" spans="1:25" ht="50" x14ac:dyDescent="0.25">
      <c r="A1956" s="21">
        <v>10132</v>
      </c>
      <c r="B1956" s="22" t="s">
        <v>15368</v>
      </c>
      <c r="C1956" s="22" t="s">
        <v>7299</v>
      </c>
      <c r="D1956" s="23">
        <v>406360</v>
      </c>
      <c r="E1956" s="24">
        <v>2002</v>
      </c>
      <c r="F1956" s="22" t="s">
        <v>7300</v>
      </c>
      <c r="G1956" s="23" t="s">
        <v>7301</v>
      </c>
      <c r="H1956" s="25" t="s">
        <v>15373</v>
      </c>
      <c r="I1956" s="22" t="s">
        <v>15374</v>
      </c>
      <c r="J1956" s="22" t="s">
        <v>15420</v>
      </c>
      <c r="K1956" s="26">
        <f t="shared" si="30"/>
        <v>1250</v>
      </c>
      <c r="L1956" s="26">
        <v>1250</v>
      </c>
      <c r="O1956" s="22" t="s">
        <v>7302</v>
      </c>
      <c r="P1956" s="22" t="s">
        <v>7781</v>
      </c>
      <c r="Q1956" s="22">
        <v>90245</v>
      </c>
      <c r="R1956" s="22" t="s">
        <v>7303</v>
      </c>
      <c r="S1956" s="22" t="s">
        <v>7304</v>
      </c>
      <c r="X1956" s="26"/>
      <c r="Y1956" s="26"/>
    </row>
    <row r="1957" spans="1:25" ht="50" x14ac:dyDescent="0.25">
      <c r="A1957" s="21">
        <v>10133</v>
      </c>
      <c r="B1957" s="22" t="s">
        <v>15368</v>
      </c>
      <c r="C1957" s="22" t="s">
        <v>7299</v>
      </c>
      <c r="D1957" s="23">
        <v>406361</v>
      </c>
      <c r="E1957" s="24">
        <v>2002</v>
      </c>
      <c r="F1957" s="22" t="s">
        <v>7305</v>
      </c>
      <c r="G1957" s="23" t="s">
        <v>7306</v>
      </c>
      <c r="H1957" s="25" t="s">
        <v>15373</v>
      </c>
      <c r="I1957" s="22" t="s">
        <v>15374</v>
      </c>
      <c r="J1957" s="22" t="s">
        <v>15420</v>
      </c>
      <c r="K1957" s="26">
        <f t="shared" si="30"/>
        <v>1250</v>
      </c>
      <c r="L1957" s="26">
        <v>1250</v>
      </c>
      <c r="O1957" s="22" t="s">
        <v>7302</v>
      </c>
      <c r="P1957" s="22" t="s">
        <v>7781</v>
      </c>
      <c r="Q1957" s="22">
        <v>90245</v>
      </c>
      <c r="R1957" s="22" t="s">
        <v>7303</v>
      </c>
      <c r="S1957" s="22" t="s">
        <v>7304</v>
      </c>
      <c r="X1957" s="26"/>
      <c r="Y1957" s="26"/>
    </row>
    <row r="1958" spans="1:25" ht="50" x14ac:dyDescent="0.25">
      <c r="A1958" s="21">
        <v>10134</v>
      </c>
      <c r="B1958" s="22" t="s">
        <v>15368</v>
      </c>
      <c r="C1958" s="22" t="s">
        <v>7299</v>
      </c>
      <c r="D1958" s="23">
        <v>406362</v>
      </c>
      <c r="E1958" s="24">
        <v>2002</v>
      </c>
      <c r="F1958" s="22" t="s">
        <v>7307</v>
      </c>
      <c r="G1958" s="23" t="s">
        <v>7308</v>
      </c>
      <c r="H1958" s="25" t="s">
        <v>15373</v>
      </c>
      <c r="I1958" s="22" t="s">
        <v>15374</v>
      </c>
      <c r="J1958" s="22" t="s">
        <v>15420</v>
      </c>
      <c r="K1958" s="26">
        <f t="shared" si="30"/>
        <v>1250</v>
      </c>
      <c r="L1958" s="26">
        <v>1250</v>
      </c>
      <c r="O1958" s="22" t="s">
        <v>7302</v>
      </c>
      <c r="P1958" s="22" t="s">
        <v>7781</v>
      </c>
      <c r="Q1958" s="22">
        <v>90245</v>
      </c>
      <c r="R1958" s="22" t="s">
        <v>7303</v>
      </c>
      <c r="S1958" s="22" t="s">
        <v>7304</v>
      </c>
      <c r="X1958" s="26"/>
      <c r="Y1958" s="26"/>
    </row>
    <row r="1959" spans="1:25" ht="50" x14ac:dyDescent="0.25">
      <c r="A1959" s="21">
        <v>10135</v>
      </c>
      <c r="B1959" s="22" t="s">
        <v>15368</v>
      </c>
      <c r="C1959" s="22" t="s">
        <v>7299</v>
      </c>
      <c r="D1959" s="23">
        <v>406363</v>
      </c>
      <c r="E1959" s="24">
        <v>2002</v>
      </c>
      <c r="F1959" s="22" t="s">
        <v>7309</v>
      </c>
      <c r="G1959" s="23" t="s">
        <v>7310</v>
      </c>
      <c r="H1959" s="25" t="s">
        <v>15373</v>
      </c>
      <c r="I1959" s="22" t="s">
        <v>15374</v>
      </c>
      <c r="J1959" s="22" t="s">
        <v>15420</v>
      </c>
      <c r="K1959" s="26">
        <f t="shared" si="30"/>
        <v>1250</v>
      </c>
      <c r="L1959" s="26">
        <v>1250</v>
      </c>
      <c r="O1959" s="22" t="s">
        <v>7302</v>
      </c>
      <c r="P1959" s="22" t="s">
        <v>7781</v>
      </c>
      <c r="Q1959" s="22">
        <v>90245</v>
      </c>
      <c r="R1959" s="22" t="s">
        <v>7303</v>
      </c>
      <c r="S1959" s="22" t="s">
        <v>7304</v>
      </c>
      <c r="X1959" s="26"/>
      <c r="Y1959" s="26"/>
    </row>
    <row r="1960" spans="1:25" ht="50" x14ac:dyDescent="0.25">
      <c r="A1960" s="21">
        <v>10136</v>
      </c>
      <c r="B1960" s="22" t="s">
        <v>15368</v>
      </c>
      <c r="C1960" s="22" t="s">
        <v>7299</v>
      </c>
      <c r="D1960" s="23">
        <v>406364</v>
      </c>
      <c r="E1960" s="24">
        <v>2002</v>
      </c>
      <c r="F1960" s="22" t="s">
        <v>7311</v>
      </c>
      <c r="G1960" s="23" t="s">
        <v>7312</v>
      </c>
      <c r="H1960" s="25" t="s">
        <v>15373</v>
      </c>
      <c r="I1960" s="22" t="s">
        <v>15374</v>
      </c>
      <c r="J1960" s="22" t="s">
        <v>15420</v>
      </c>
      <c r="K1960" s="26">
        <f t="shared" si="30"/>
        <v>1250</v>
      </c>
      <c r="L1960" s="26">
        <v>1250</v>
      </c>
      <c r="O1960" s="22" t="s">
        <v>7302</v>
      </c>
      <c r="P1960" s="22" t="s">
        <v>7781</v>
      </c>
      <c r="Q1960" s="22">
        <v>90245</v>
      </c>
      <c r="R1960" s="22" t="s">
        <v>7303</v>
      </c>
      <c r="S1960" s="22" t="s">
        <v>7304</v>
      </c>
      <c r="X1960" s="26"/>
      <c r="Y1960" s="26"/>
    </row>
    <row r="1961" spans="1:25" ht="50" x14ac:dyDescent="0.25">
      <c r="A1961" s="21">
        <v>10137</v>
      </c>
      <c r="B1961" s="22" t="s">
        <v>15368</v>
      </c>
      <c r="C1961" s="22" t="s">
        <v>7313</v>
      </c>
      <c r="D1961" s="23">
        <v>406359</v>
      </c>
      <c r="E1961" s="24">
        <v>2002</v>
      </c>
      <c r="F1961" s="22" t="s">
        <v>7314</v>
      </c>
      <c r="G1961" s="23" t="s">
        <v>7315</v>
      </c>
      <c r="H1961" s="25" t="s">
        <v>15373</v>
      </c>
      <c r="I1961" s="22" t="s">
        <v>15374</v>
      </c>
      <c r="J1961" s="22" t="s">
        <v>15516</v>
      </c>
      <c r="K1961" s="26">
        <f t="shared" si="30"/>
        <v>750</v>
      </c>
      <c r="L1961" s="26">
        <v>750</v>
      </c>
      <c r="O1961" s="22" t="s">
        <v>7316</v>
      </c>
      <c r="P1961" s="22" t="s">
        <v>5749</v>
      </c>
      <c r="Q1961" s="22">
        <v>92805</v>
      </c>
      <c r="R1961" s="22" t="s">
        <v>7317</v>
      </c>
      <c r="S1961" s="22" t="s">
        <v>7318</v>
      </c>
      <c r="X1961" s="26"/>
      <c r="Y1961" s="26"/>
    </row>
    <row r="1962" spans="1:25" ht="50" x14ac:dyDescent="0.25">
      <c r="A1962" s="21">
        <v>10138</v>
      </c>
      <c r="B1962" s="22" t="s">
        <v>15368</v>
      </c>
      <c r="C1962" s="22" t="s">
        <v>7319</v>
      </c>
      <c r="D1962" s="23">
        <v>215440</v>
      </c>
      <c r="E1962" s="24">
        <v>1989</v>
      </c>
      <c r="F1962" s="22" t="s">
        <v>9329</v>
      </c>
      <c r="G1962" s="23" t="s">
        <v>7320</v>
      </c>
      <c r="H1962" s="25" t="s">
        <v>15373</v>
      </c>
      <c r="I1962" s="22" t="s">
        <v>15382</v>
      </c>
      <c r="J1962" s="22" t="s">
        <v>9330</v>
      </c>
      <c r="K1962" s="26">
        <f t="shared" si="30"/>
        <v>366.66666666666663</v>
      </c>
      <c r="N1962" s="26">
        <v>550</v>
      </c>
      <c r="O1962" s="22" t="s">
        <v>7321</v>
      </c>
      <c r="P1962" s="22" t="s">
        <v>7788</v>
      </c>
      <c r="Q1962" s="22">
        <v>91504</v>
      </c>
      <c r="R1962" s="22" t="s">
        <v>7322</v>
      </c>
      <c r="S1962" s="22" t="s">
        <v>7323</v>
      </c>
      <c r="X1962" s="26"/>
      <c r="Y1962" s="26"/>
    </row>
    <row r="1963" spans="1:25" ht="50" x14ac:dyDescent="0.25">
      <c r="A1963" s="21">
        <v>10139</v>
      </c>
      <c r="B1963" s="22" t="s">
        <v>15368</v>
      </c>
      <c r="C1963" s="22" t="s">
        <v>7319</v>
      </c>
      <c r="D1963" s="23">
        <v>215441</v>
      </c>
      <c r="E1963" s="24">
        <v>1989</v>
      </c>
      <c r="F1963" s="22" t="s">
        <v>9332</v>
      </c>
      <c r="G1963" s="23" t="s">
        <v>7324</v>
      </c>
      <c r="H1963" s="25" t="s">
        <v>15373</v>
      </c>
      <c r="I1963" s="22" t="s">
        <v>15382</v>
      </c>
      <c r="J1963" s="22" t="s">
        <v>9330</v>
      </c>
      <c r="K1963" s="26">
        <f t="shared" si="30"/>
        <v>366.66666666666663</v>
      </c>
      <c r="N1963" s="26">
        <v>550</v>
      </c>
      <c r="O1963" s="22" t="s">
        <v>7321</v>
      </c>
      <c r="P1963" s="22" t="s">
        <v>7788</v>
      </c>
      <c r="Q1963" s="22">
        <v>91504</v>
      </c>
      <c r="R1963" s="22" t="s">
        <v>7322</v>
      </c>
      <c r="S1963" s="22" t="s">
        <v>7323</v>
      </c>
      <c r="X1963" s="26"/>
      <c r="Y1963" s="26"/>
    </row>
    <row r="1964" spans="1:25" ht="50" x14ac:dyDescent="0.25">
      <c r="A1964" s="21">
        <v>10140</v>
      </c>
      <c r="B1964" s="22" t="s">
        <v>15368</v>
      </c>
      <c r="C1964" s="22" t="s">
        <v>7319</v>
      </c>
      <c r="D1964" s="23">
        <v>215442</v>
      </c>
      <c r="E1964" s="24">
        <v>1989</v>
      </c>
      <c r="F1964" s="22" t="s">
        <v>9333</v>
      </c>
      <c r="G1964" s="23" t="s">
        <v>7324</v>
      </c>
      <c r="H1964" s="25" t="s">
        <v>15373</v>
      </c>
      <c r="I1964" s="22" t="s">
        <v>15382</v>
      </c>
      <c r="J1964" s="22" t="s">
        <v>9330</v>
      </c>
      <c r="K1964" s="26">
        <f t="shared" si="30"/>
        <v>366.66666666666663</v>
      </c>
      <c r="N1964" s="26">
        <v>550</v>
      </c>
      <c r="O1964" s="22" t="s">
        <v>7321</v>
      </c>
      <c r="P1964" s="22" t="s">
        <v>7788</v>
      </c>
      <c r="Q1964" s="22">
        <v>91504</v>
      </c>
      <c r="R1964" s="22" t="s">
        <v>7322</v>
      </c>
      <c r="S1964" s="22" t="s">
        <v>7323</v>
      </c>
      <c r="X1964" s="26"/>
      <c r="Y1964" s="26"/>
    </row>
    <row r="1965" spans="1:25" ht="50" x14ac:dyDescent="0.25">
      <c r="A1965" s="21">
        <v>10141</v>
      </c>
      <c r="B1965" s="22" t="s">
        <v>15368</v>
      </c>
      <c r="C1965" s="22" t="s">
        <v>7325</v>
      </c>
      <c r="D1965" s="23">
        <v>409216</v>
      </c>
      <c r="E1965" s="24">
        <v>2002</v>
      </c>
      <c r="F1965" s="22" t="s">
        <v>7326</v>
      </c>
      <c r="G1965" s="23" t="s">
        <v>7327</v>
      </c>
      <c r="H1965" s="25" t="s">
        <v>15373</v>
      </c>
      <c r="I1965" s="22" t="s">
        <v>15374</v>
      </c>
      <c r="J1965" s="22" t="s">
        <v>14709</v>
      </c>
      <c r="K1965" s="26">
        <f t="shared" si="30"/>
        <v>500</v>
      </c>
      <c r="L1965" s="26">
        <v>500</v>
      </c>
      <c r="O1965" s="22" t="s">
        <v>7328</v>
      </c>
      <c r="P1965" s="22" t="s">
        <v>7753</v>
      </c>
      <c r="Q1965" s="22">
        <v>90017</v>
      </c>
      <c r="R1965" s="22" t="s">
        <v>7329</v>
      </c>
      <c r="S1965" s="22" t="s">
        <v>7330</v>
      </c>
      <c r="X1965" s="26"/>
      <c r="Y1965" s="26"/>
    </row>
    <row r="1966" spans="1:25" ht="62.5" x14ac:dyDescent="0.25">
      <c r="A1966" s="21">
        <v>10142</v>
      </c>
      <c r="B1966" s="22" t="s">
        <v>15368</v>
      </c>
      <c r="C1966" s="22" t="s">
        <v>7325</v>
      </c>
      <c r="D1966" s="23">
        <v>409217</v>
      </c>
      <c r="E1966" s="24">
        <v>2002</v>
      </c>
      <c r="F1966" s="22" t="s">
        <v>7331</v>
      </c>
      <c r="G1966" s="23" t="s">
        <v>7332</v>
      </c>
      <c r="H1966" s="25" t="s">
        <v>15373</v>
      </c>
      <c r="I1966" s="22" t="s">
        <v>15374</v>
      </c>
      <c r="J1966" s="22" t="s">
        <v>15420</v>
      </c>
      <c r="K1966" s="26">
        <f t="shared" si="30"/>
        <v>1448</v>
      </c>
      <c r="N1966" s="26">
        <v>2172</v>
      </c>
      <c r="O1966" s="22" t="s">
        <v>7328</v>
      </c>
      <c r="P1966" s="22" t="s">
        <v>7753</v>
      </c>
      <c r="Q1966" s="22">
        <v>90017</v>
      </c>
      <c r="R1966" s="22" t="s">
        <v>7329</v>
      </c>
      <c r="S1966" s="22" t="s">
        <v>7330</v>
      </c>
      <c r="X1966" s="26"/>
      <c r="Y1966" s="26"/>
    </row>
    <row r="1967" spans="1:25" ht="62.5" x14ac:dyDescent="0.25">
      <c r="A1967" s="21">
        <v>10143</v>
      </c>
      <c r="B1967" s="22" t="s">
        <v>15368</v>
      </c>
      <c r="C1967" s="22" t="s">
        <v>7325</v>
      </c>
      <c r="D1967" s="23">
        <v>409638</v>
      </c>
      <c r="E1967" s="24">
        <v>2002</v>
      </c>
      <c r="F1967" s="22" t="s">
        <v>7333</v>
      </c>
      <c r="G1967" s="23" t="s">
        <v>7334</v>
      </c>
      <c r="H1967" s="25" t="s">
        <v>15373</v>
      </c>
      <c r="I1967" s="22" t="s">
        <v>15374</v>
      </c>
      <c r="J1967" s="22" t="s">
        <v>15420</v>
      </c>
      <c r="K1967" s="26">
        <f t="shared" si="30"/>
        <v>1448</v>
      </c>
      <c r="N1967" s="26">
        <v>2172</v>
      </c>
      <c r="O1967" s="22" t="s">
        <v>7328</v>
      </c>
      <c r="P1967" s="22" t="s">
        <v>7753</v>
      </c>
      <c r="Q1967" s="22">
        <v>90017</v>
      </c>
      <c r="R1967" s="22" t="s">
        <v>7329</v>
      </c>
      <c r="S1967" s="22" t="s">
        <v>7330</v>
      </c>
      <c r="X1967" s="26"/>
      <c r="Y1967" s="26"/>
    </row>
    <row r="1968" spans="1:25" ht="62.5" x14ac:dyDescent="0.25">
      <c r="A1968" s="21">
        <v>10144</v>
      </c>
      <c r="B1968" s="22" t="s">
        <v>15368</v>
      </c>
      <c r="C1968" s="22" t="s">
        <v>7325</v>
      </c>
      <c r="D1968" s="23">
        <v>409639</v>
      </c>
      <c r="E1968" s="24">
        <v>2002</v>
      </c>
      <c r="F1968" s="22" t="s">
        <v>7335</v>
      </c>
      <c r="G1968" s="23" t="s">
        <v>7336</v>
      </c>
      <c r="H1968" s="25" t="s">
        <v>15373</v>
      </c>
      <c r="I1968" s="22" t="s">
        <v>15374</v>
      </c>
      <c r="J1968" s="22" t="s">
        <v>15420</v>
      </c>
      <c r="K1968" s="26">
        <f t="shared" si="30"/>
        <v>1448</v>
      </c>
      <c r="N1968" s="26">
        <v>2172</v>
      </c>
      <c r="O1968" s="22" t="s">
        <v>7328</v>
      </c>
      <c r="P1968" s="22" t="s">
        <v>7753</v>
      </c>
      <c r="Q1968" s="22">
        <v>90017</v>
      </c>
      <c r="R1968" s="22" t="s">
        <v>7329</v>
      </c>
      <c r="S1968" s="22" t="s">
        <v>7330</v>
      </c>
      <c r="X1968" s="26"/>
      <c r="Y1968" s="26"/>
    </row>
    <row r="1969" spans="1:25" ht="50" x14ac:dyDescent="0.25">
      <c r="A1969" s="21">
        <v>10145</v>
      </c>
      <c r="B1969" s="22" t="s">
        <v>15368</v>
      </c>
      <c r="C1969" s="22" t="s">
        <v>7337</v>
      </c>
      <c r="D1969" s="23">
        <v>409923</v>
      </c>
      <c r="E1969" s="24">
        <v>2002</v>
      </c>
      <c r="F1969" s="22" t="s">
        <v>7338</v>
      </c>
      <c r="G1969" s="23" t="s">
        <v>7339</v>
      </c>
      <c r="H1969" s="25" t="s">
        <v>15373</v>
      </c>
      <c r="I1969" s="22" t="s">
        <v>15382</v>
      </c>
      <c r="J1969" s="22" t="s">
        <v>16784</v>
      </c>
      <c r="K1969" s="26">
        <f t="shared" si="30"/>
        <v>503.33333333333331</v>
      </c>
      <c r="N1969" s="26">
        <v>755</v>
      </c>
      <c r="O1969" s="22" t="s">
        <v>7340</v>
      </c>
      <c r="P1969" s="22" t="s">
        <v>7753</v>
      </c>
      <c r="Q1969" s="22">
        <v>90040</v>
      </c>
      <c r="R1969" s="22" t="s">
        <v>7341</v>
      </c>
      <c r="S1969" s="22" t="s">
        <v>7342</v>
      </c>
      <c r="X1969" s="26"/>
      <c r="Y1969" s="26"/>
    </row>
    <row r="1970" spans="1:25" ht="50" x14ac:dyDescent="0.25">
      <c r="A1970" s="21">
        <v>10146</v>
      </c>
      <c r="B1970" s="22" t="s">
        <v>15368</v>
      </c>
      <c r="C1970" s="22" t="s">
        <v>7343</v>
      </c>
      <c r="D1970" s="23">
        <v>402334</v>
      </c>
      <c r="E1970" s="24">
        <v>2002</v>
      </c>
      <c r="F1970" s="22" t="s">
        <v>7344</v>
      </c>
      <c r="G1970" s="23" t="s">
        <v>7345</v>
      </c>
      <c r="H1970" s="25" t="s">
        <v>15373</v>
      </c>
      <c r="I1970" s="22" t="s">
        <v>15374</v>
      </c>
      <c r="J1970" s="22" t="s">
        <v>15400</v>
      </c>
      <c r="K1970" s="26">
        <f t="shared" si="30"/>
        <v>1250</v>
      </c>
      <c r="L1970" s="26">
        <v>1250</v>
      </c>
      <c r="O1970" s="22" t="s">
        <v>7346</v>
      </c>
      <c r="P1970" s="22" t="s">
        <v>7753</v>
      </c>
      <c r="Q1970" s="22">
        <v>90027</v>
      </c>
      <c r="R1970" s="22" t="s">
        <v>7347</v>
      </c>
      <c r="S1970" s="22" t="s">
        <v>7348</v>
      </c>
      <c r="X1970" s="26"/>
      <c r="Y1970" s="26"/>
    </row>
    <row r="1971" spans="1:25" ht="37.5" x14ac:dyDescent="0.25">
      <c r="A1971" s="21">
        <v>10147</v>
      </c>
      <c r="B1971" s="22" t="s">
        <v>15368</v>
      </c>
      <c r="C1971" s="22" t="s">
        <v>7349</v>
      </c>
      <c r="D1971" s="23">
        <v>408393</v>
      </c>
      <c r="E1971" s="24">
        <v>2002</v>
      </c>
      <c r="F1971" s="22" t="s">
        <v>7350</v>
      </c>
      <c r="G1971" s="23" t="s">
        <v>7351</v>
      </c>
      <c r="H1971" s="25" t="s">
        <v>15373</v>
      </c>
      <c r="I1971" s="22" t="s">
        <v>15374</v>
      </c>
      <c r="J1971" s="22">
        <v>3412</v>
      </c>
      <c r="K1971" s="26">
        <f t="shared" si="30"/>
        <v>499.33333333333331</v>
      </c>
      <c r="N1971" s="26">
        <v>749</v>
      </c>
      <c r="O1971" s="22" t="s">
        <v>7352</v>
      </c>
      <c r="P1971" s="22" t="s">
        <v>7753</v>
      </c>
      <c r="Q1971" s="22">
        <v>90027</v>
      </c>
      <c r="R1971" s="22" t="s">
        <v>7353</v>
      </c>
      <c r="S1971" s="22" t="s">
        <v>7354</v>
      </c>
      <c r="X1971" s="26"/>
      <c r="Y1971" s="26"/>
    </row>
    <row r="1972" spans="1:25" ht="50" x14ac:dyDescent="0.25">
      <c r="A1972" s="21">
        <v>10148</v>
      </c>
      <c r="B1972" s="22" t="s">
        <v>15368</v>
      </c>
      <c r="C1972" s="22" t="s">
        <v>7355</v>
      </c>
      <c r="D1972" s="23">
        <v>406524</v>
      </c>
      <c r="E1972" s="24">
        <v>2002</v>
      </c>
      <c r="F1972" s="22" t="s">
        <v>7356</v>
      </c>
      <c r="G1972" s="23" t="s">
        <v>7357</v>
      </c>
      <c r="H1972" s="25" t="s">
        <v>15373</v>
      </c>
      <c r="I1972" s="22" t="s">
        <v>15382</v>
      </c>
      <c r="J1972" s="22" t="s">
        <v>16450</v>
      </c>
      <c r="K1972" s="26">
        <f t="shared" si="30"/>
        <v>993.33333333333326</v>
      </c>
      <c r="N1972" s="26">
        <v>1490</v>
      </c>
      <c r="O1972" s="22" t="s">
        <v>7358</v>
      </c>
      <c r="P1972" s="22" t="s">
        <v>7213</v>
      </c>
      <c r="Q1972" s="22">
        <v>90401</v>
      </c>
      <c r="R1972" s="22" t="s">
        <v>7359</v>
      </c>
      <c r="S1972" s="22" t="s">
        <v>7360</v>
      </c>
      <c r="X1972" s="26"/>
      <c r="Y1972" s="26"/>
    </row>
    <row r="1973" spans="1:25" ht="50" x14ac:dyDescent="0.25">
      <c r="A1973" s="21">
        <v>10149</v>
      </c>
      <c r="B1973" s="22" t="s">
        <v>15368</v>
      </c>
      <c r="C1973" s="22" t="s">
        <v>7355</v>
      </c>
      <c r="D1973" s="23">
        <v>406526</v>
      </c>
      <c r="E1973" s="24">
        <v>2002</v>
      </c>
      <c r="F1973" s="22" t="s">
        <v>7361</v>
      </c>
      <c r="G1973" s="23" t="s">
        <v>7362</v>
      </c>
      <c r="H1973" s="25" t="s">
        <v>15373</v>
      </c>
      <c r="I1973" s="22" t="s">
        <v>15382</v>
      </c>
      <c r="J1973" s="22" t="s">
        <v>16450</v>
      </c>
      <c r="K1973" s="26">
        <f t="shared" si="30"/>
        <v>993.33333333333326</v>
      </c>
      <c r="N1973" s="26">
        <v>1490</v>
      </c>
      <c r="O1973" s="22" t="s">
        <v>7358</v>
      </c>
      <c r="P1973" s="22" t="s">
        <v>7213</v>
      </c>
      <c r="Q1973" s="22">
        <v>90401</v>
      </c>
      <c r="R1973" s="22" t="s">
        <v>7359</v>
      </c>
      <c r="S1973" s="22" t="s">
        <v>7360</v>
      </c>
      <c r="X1973" s="26"/>
      <c r="Y1973" s="26"/>
    </row>
    <row r="1974" spans="1:25" ht="50" x14ac:dyDescent="0.25">
      <c r="A1974" s="21">
        <v>10150</v>
      </c>
      <c r="B1974" s="22" t="s">
        <v>15368</v>
      </c>
      <c r="C1974" s="22" t="s">
        <v>7355</v>
      </c>
      <c r="D1974" s="23">
        <v>406527</v>
      </c>
      <c r="E1974" s="24">
        <v>2002</v>
      </c>
      <c r="F1974" s="22" t="s">
        <v>7363</v>
      </c>
      <c r="G1974" s="23" t="s">
        <v>7364</v>
      </c>
      <c r="H1974" s="25" t="s">
        <v>15373</v>
      </c>
      <c r="I1974" s="22" t="s">
        <v>15382</v>
      </c>
      <c r="J1974" s="22" t="s">
        <v>16450</v>
      </c>
      <c r="K1974" s="26">
        <f t="shared" si="30"/>
        <v>993.33333333333326</v>
      </c>
      <c r="N1974" s="26">
        <v>1490</v>
      </c>
      <c r="O1974" s="22" t="s">
        <v>7358</v>
      </c>
      <c r="P1974" s="22" t="s">
        <v>7213</v>
      </c>
      <c r="Q1974" s="22">
        <v>90401</v>
      </c>
      <c r="R1974" s="22" t="s">
        <v>7359</v>
      </c>
      <c r="S1974" s="22" t="s">
        <v>7360</v>
      </c>
      <c r="X1974" s="26"/>
      <c r="Y1974" s="26"/>
    </row>
    <row r="1975" spans="1:25" ht="37.5" x14ac:dyDescent="0.25">
      <c r="A1975" s="21">
        <v>10151</v>
      </c>
      <c r="B1975" s="22" t="s">
        <v>15368</v>
      </c>
      <c r="C1975" s="22" t="s">
        <v>7365</v>
      </c>
      <c r="D1975" s="23">
        <v>409023</v>
      </c>
      <c r="E1975" s="24">
        <v>2002</v>
      </c>
      <c r="F1975" s="22" t="s">
        <v>7366</v>
      </c>
      <c r="G1975" s="23" t="s">
        <v>7367</v>
      </c>
      <c r="H1975" s="25" t="s">
        <v>15373</v>
      </c>
      <c r="I1975" s="22" t="s">
        <v>15411</v>
      </c>
      <c r="J1975" s="22" t="s">
        <v>9749</v>
      </c>
      <c r="K1975" s="26">
        <f t="shared" si="30"/>
        <v>423.33333333333331</v>
      </c>
      <c r="N1975" s="26">
        <v>635</v>
      </c>
      <c r="O1975" s="22" t="s">
        <v>7368</v>
      </c>
      <c r="P1975" s="22" t="s">
        <v>7369</v>
      </c>
      <c r="Q1975" s="22">
        <v>92260</v>
      </c>
      <c r="R1975" s="22" t="s">
        <v>7370</v>
      </c>
      <c r="S1975" s="22" t="s">
        <v>7371</v>
      </c>
      <c r="X1975" s="26"/>
      <c r="Y1975" s="26"/>
    </row>
    <row r="1976" spans="1:25" ht="50" x14ac:dyDescent="0.25">
      <c r="A1976" s="21">
        <v>10152</v>
      </c>
      <c r="B1976" s="22" t="s">
        <v>15368</v>
      </c>
      <c r="C1976" s="22" t="s">
        <v>7372</v>
      </c>
      <c r="D1976" s="23">
        <v>407618</v>
      </c>
      <c r="E1976" s="24">
        <v>2002</v>
      </c>
      <c r="F1976" s="22" t="s">
        <v>7373</v>
      </c>
      <c r="G1976" s="23" t="s">
        <v>7374</v>
      </c>
      <c r="H1976" s="25" t="s">
        <v>15373</v>
      </c>
      <c r="I1976" s="22" t="s">
        <v>15374</v>
      </c>
      <c r="J1976" s="22" t="s">
        <v>15400</v>
      </c>
      <c r="K1976" s="26">
        <f t="shared" si="30"/>
        <v>1500</v>
      </c>
      <c r="L1976" s="26">
        <v>1500</v>
      </c>
      <c r="O1976" s="22" t="s">
        <v>7375</v>
      </c>
      <c r="P1976" s="22" t="s">
        <v>7376</v>
      </c>
      <c r="Q1976" s="22">
        <v>90703</v>
      </c>
      <c r="R1976" s="22" t="s">
        <v>7377</v>
      </c>
      <c r="S1976" s="22" t="s">
        <v>7378</v>
      </c>
      <c r="X1976" s="26"/>
      <c r="Y1976" s="26"/>
    </row>
    <row r="1977" spans="1:25" ht="50" x14ac:dyDescent="0.25">
      <c r="A1977" s="21">
        <v>10153</v>
      </c>
      <c r="B1977" s="22" t="s">
        <v>15368</v>
      </c>
      <c r="C1977" s="22" t="s">
        <v>7372</v>
      </c>
      <c r="D1977" s="23">
        <v>407619</v>
      </c>
      <c r="E1977" s="24">
        <v>2002</v>
      </c>
      <c r="F1977" s="22" t="s">
        <v>7379</v>
      </c>
      <c r="G1977" s="23" t="s">
        <v>7380</v>
      </c>
      <c r="H1977" s="25" t="s">
        <v>15373</v>
      </c>
      <c r="I1977" s="22" t="s">
        <v>15374</v>
      </c>
      <c r="J1977" s="22" t="s">
        <v>14709</v>
      </c>
      <c r="K1977" s="26">
        <f t="shared" si="30"/>
        <v>497.33333333333331</v>
      </c>
      <c r="N1977" s="26">
        <v>746</v>
      </c>
      <c r="O1977" s="22" t="s">
        <v>7375</v>
      </c>
      <c r="P1977" s="22" t="s">
        <v>7376</v>
      </c>
      <c r="Q1977" s="22">
        <v>90703</v>
      </c>
      <c r="R1977" s="22" t="s">
        <v>7377</v>
      </c>
      <c r="S1977" s="22" t="s">
        <v>7378</v>
      </c>
      <c r="X1977" s="26"/>
      <c r="Y1977" s="26"/>
    </row>
    <row r="1978" spans="1:25" ht="50" x14ac:dyDescent="0.25">
      <c r="A1978" s="21">
        <v>10154</v>
      </c>
      <c r="B1978" s="22" t="s">
        <v>15368</v>
      </c>
      <c r="C1978" s="22" t="s">
        <v>7381</v>
      </c>
      <c r="D1978" s="23">
        <v>410345</v>
      </c>
      <c r="E1978" s="24">
        <v>2003</v>
      </c>
      <c r="F1978" s="22" t="s">
        <v>7382</v>
      </c>
      <c r="G1978" s="23" t="s">
        <v>6674</v>
      </c>
      <c r="H1978" s="25" t="s">
        <v>15373</v>
      </c>
      <c r="I1978" s="22" t="s">
        <v>15374</v>
      </c>
      <c r="J1978" s="22" t="s">
        <v>15261</v>
      </c>
      <c r="K1978" s="26">
        <f t="shared" si="30"/>
        <v>500</v>
      </c>
      <c r="L1978" s="26">
        <v>500</v>
      </c>
      <c r="O1978" s="22" t="s">
        <v>6675</v>
      </c>
      <c r="P1978" s="22" t="s">
        <v>7753</v>
      </c>
      <c r="Q1978" s="22">
        <v>90045</v>
      </c>
      <c r="R1978" s="22" t="s">
        <v>6676</v>
      </c>
      <c r="S1978" s="22" t="s">
        <v>6677</v>
      </c>
      <c r="X1978" s="26"/>
      <c r="Y1978" s="26"/>
    </row>
    <row r="1979" spans="1:25" ht="50" x14ac:dyDescent="0.25">
      <c r="A1979" s="21">
        <v>10155</v>
      </c>
      <c r="B1979" s="22" t="s">
        <v>15368</v>
      </c>
      <c r="C1979" s="22" t="s">
        <v>7860</v>
      </c>
      <c r="D1979" s="23">
        <v>409482</v>
      </c>
      <c r="E1979" s="24">
        <v>2002</v>
      </c>
      <c r="F1979" s="22" t="s">
        <v>6678</v>
      </c>
      <c r="G1979" s="23" t="s">
        <v>6679</v>
      </c>
      <c r="H1979" s="25" t="s">
        <v>15373</v>
      </c>
      <c r="I1979" s="22" t="s">
        <v>15374</v>
      </c>
      <c r="J1979" s="22" t="s">
        <v>7869</v>
      </c>
      <c r="K1979" s="26">
        <f t="shared" si="30"/>
        <v>500</v>
      </c>
      <c r="L1979" s="26">
        <v>500</v>
      </c>
      <c r="O1979" s="22" t="s">
        <v>6680</v>
      </c>
      <c r="P1979" s="22" t="s">
        <v>7864</v>
      </c>
      <c r="Q1979" s="22">
        <v>91729</v>
      </c>
      <c r="R1979" s="22" t="s">
        <v>6681</v>
      </c>
      <c r="S1979" s="22" t="s">
        <v>6682</v>
      </c>
      <c r="X1979" s="26"/>
      <c r="Y1979" s="26"/>
    </row>
    <row r="1980" spans="1:25" ht="50" x14ac:dyDescent="0.25">
      <c r="A1980" s="21">
        <v>10156</v>
      </c>
      <c r="B1980" s="22" t="s">
        <v>15368</v>
      </c>
      <c r="C1980" s="22" t="s">
        <v>6683</v>
      </c>
      <c r="D1980" s="23">
        <v>409890</v>
      </c>
      <c r="E1980" s="24">
        <v>2002</v>
      </c>
      <c r="F1980" s="22" t="s">
        <v>6684</v>
      </c>
      <c r="G1980" s="23" t="s">
        <v>6685</v>
      </c>
      <c r="H1980" s="25" t="s">
        <v>15373</v>
      </c>
      <c r="I1980" s="22" t="s">
        <v>16160</v>
      </c>
      <c r="J1980" s="22" t="s">
        <v>6686</v>
      </c>
      <c r="K1980" s="26">
        <f t="shared" si="30"/>
        <v>1100</v>
      </c>
      <c r="L1980" s="26">
        <v>1100</v>
      </c>
      <c r="O1980" s="22" t="s">
        <v>6687</v>
      </c>
      <c r="P1980" s="22" t="s">
        <v>7753</v>
      </c>
      <c r="Q1980" s="22">
        <v>90071</v>
      </c>
      <c r="R1980" s="22" t="s">
        <v>6688</v>
      </c>
      <c r="S1980" s="22" t="s">
        <v>6689</v>
      </c>
      <c r="X1980" s="26"/>
      <c r="Y1980" s="26"/>
    </row>
    <row r="1981" spans="1:25" ht="50" x14ac:dyDescent="0.25">
      <c r="A1981" s="21">
        <v>10157</v>
      </c>
      <c r="B1981" s="22" t="s">
        <v>15368</v>
      </c>
      <c r="C1981" s="22" t="s">
        <v>6683</v>
      </c>
      <c r="D1981" s="23">
        <v>409891</v>
      </c>
      <c r="E1981" s="24">
        <v>2002</v>
      </c>
      <c r="F1981" s="22" t="s">
        <v>6690</v>
      </c>
      <c r="G1981" s="23" t="s">
        <v>6691</v>
      </c>
      <c r="H1981" s="25" t="s">
        <v>15373</v>
      </c>
      <c r="I1981" s="22" t="s">
        <v>16160</v>
      </c>
      <c r="J1981" s="22" t="s">
        <v>6686</v>
      </c>
      <c r="K1981" s="26">
        <f t="shared" si="30"/>
        <v>1100</v>
      </c>
      <c r="L1981" s="26">
        <v>1100</v>
      </c>
      <c r="O1981" s="22" t="s">
        <v>6687</v>
      </c>
      <c r="P1981" s="22" t="s">
        <v>7753</v>
      </c>
      <c r="Q1981" s="22">
        <v>90071</v>
      </c>
      <c r="R1981" s="22" t="s">
        <v>6688</v>
      </c>
      <c r="S1981" s="22" t="s">
        <v>6689</v>
      </c>
      <c r="X1981" s="26"/>
      <c r="Y1981" s="26"/>
    </row>
    <row r="1982" spans="1:25" ht="50" x14ac:dyDescent="0.25">
      <c r="A1982" s="21">
        <v>10158</v>
      </c>
      <c r="B1982" s="22" t="s">
        <v>15368</v>
      </c>
      <c r="C1982" s="22" t="s">
        <v>6692</v>
      </c>
      <c r="D1982" s="23">
        <v>409651</v>
      </c>
      <c r="E1982" s="24">
        <v>2002</v>
      </c>
      <c r="F1982" s="22" t="s">
        <v>6693</v>
      </c>
      <c r="G1982" s="23" t="s">
        <v>6694</v>
      </c>
      <c r="H1982" s="25" t="s">
        <v>15373</v>
      </c>
      <c r="I1982" s="22" t="s">
        <v>15374</v>
      </c>
      <c r="J1982" s="22" t="s">
        <v>16856</v>
      </c>
      <c r="K1982" s="26">
        <f t="shared" si="30"/>
        <v>733.33333333333326</v>
      </c>
      <c r="N1982" s="26">
        <v>1100</v>
      </c>
      <c r="O1982" s="22" t="s">
        <v>6695</v>
      </c>
      <c r="P1982" s="22" t="s">
        <v>8238</v>
      </c>
      <c r="Q1982" s="22">
        <v>91367</v>
      </c>
      <c r="R1982" s="22" t="s">
        <v>6696</v>
      </c>
      <c r="S1982" s="22" t="s">
        <v>6697</v>
      </c>
      <c r="X1982" s="26"/>
      <c r="Y1982" s="26"/>
    </row>
    <row r="1983" spans="1:25" ht="50" x14ac:dyDescent="0.25">
      <c r="A1983" s="21">
        <v>10159</v>
      </c>
      <c r="B1983" s="22" t="s">
        <v>15368</v>
      </c>
      <c r="C1983" s="22" t="s">
        <v>6692</v>
      </c>
      <c r="D1983" s="23">
        <v>409668</v>
      </c>
      <c r="E1983" s="24">
        <v>2002</v>
      </c>
      <c r="F1983" s="22" t="s">
        <v>6698</v>
      </c>
      <c r="G1983" s="23" t="s">
        <v>6699</v>
      </c>
      <c r="H1983" s="25" t="s">
        <v>15373</v>
      </c>
      <c r="I1983" s="22" t="s">
        <v>15374</v>
      </c>
      <c r="J1983" s="22" t="s">
        <v>10125</v>
      </c>
      <c r="K1983" s="26">
        <f t="shared" si="30"/>
        <v>494</v>
      </c>
      <c r="N1983" s="26">
        <v>741</v>
      </c>
      <c r="O1983" s="22" t="s">
        <v>6700</v>
      </c>
      <c r="P1983" s="22" t="s">
        <v>8238</v>
      </c>
      <c r="Q1983" s="22">
        <v>91367</v>
      </c>
      <c r="R1983" s="22" t="s">
        <v>6696</v>
      </c>
      <c r="S1983" s="22" t="s">
        <v>6701</v>
      </c>
      <c r="X1983" s="26"/>
      <c r="Y1983" s="26"/>
    </row>
    <row r="1984" spans="1:25" ht="50" x14ac:dyDescent="0.25">
      <c r="A1984" s="21">
        <v>10160</v>
      </c>
      <c r="B1984" s="22" t="s">
        <v>15368</v>
      </c>
      <c r="C1984" s="22" t="s">
        <v>6702</v>
      </c>
      <c r="D1984" s="23">
        <v>409658</v>
      </c>
      <c r="E1984" s="24">
        <v>2002</v>
      </c>
      <c r="F1984" s="22" t="s">
        <v>6703</v>
      </c>
      <c r="G1984" s="23" t="s">
        <v>6704</v>
      </c>
      <c r="H1984" s="25" t="s">
        <v>15373</v>
      </c>
      <c r="I1984" s="22" t="s">
        <v>15374</v>
      </c>
      <c r="J1984" s="22" t="s">
        <v>7701</v>
      </c>
      <c r="K1984" s="26">
        <f t="shared" si="30"/>
        <v>1202.6666666666665</v>
      </c>
      <c r="N1984" s="26">
        <v>1804</v>
      </c>
      <c r="O1984" s="22" t="s">
        <v>8237</v>
      </c>
      <c r="P1984" s="22" t="s">
        <v>8238</v>
      </c>
      <c r="Q1984" s="22">
        <v>91367</v>
      </c>
      <c r="R1984" s="22" t="s">
        <v>6696</v>
      </c>
      <c r="S1984" s="22" t="s">
        <v>6701</v>
      </c>
      <c r="X1984" s="26"/>
      <c r="Y1984" s="26"/>
    </row>
    <row r="1985" spans="1:25" ht="50" x14ac:dyDescent="0.25">
      <c r="A1985" s="21">
        <v>10161</v>
      </c>
      <c r="B1985" s="22" t="s">
        <v>15368</v>
      </c>
      <c r="C1985" s="22" t="s">
        <v>6702</v>
      </c>
      <c r="D1985" s="23">
        <v>409666</v>
      </c>
      <c r="E1985" s="24">
        <v>2002</v>
      </c>
      <c r="F1985" s="22" t="s">
        <v>6705</v>
      </c>
      <c r="G1985" s="23" t="s">
        <v>6706</v>
      </c>
      <c r="H1985" s="25" t="s">
        <v>15373</v>
      </c>
      <c r="I1985" s="22" t="s">
        <v>15374</v>
      </c>
      <c r="J1985" s="22">
        <v>3512</v>
      </c>
      <c r="K1985" s="26">
        <f t="shared" si="30"/>
        <v>988</v>
      </c>
      <c r="N1985" s="26">
        <v>1482</v>
      </c>
      <c r="O1985" s="22" t="s">
        <v>6707</v>
      </c>
      <c r="P1985" s="22" t="s">
        <v>8238</v>
      </c>
      <c r="Q1985" s="22">
        <v>91367</v>
      </c>
      <c r="R1985" s="22" t="s">
        <v>6696</v>
      </c>
      <c r="S1985" s="22" t="s">
        <v>6701</v>
      </c>
      <c r="X1985" s="26"/>
      <c r="Y1985" s="26"/>
    </row>
    <row r="1986" spans="1:25" ht="50" x14ac:dyDescent="0.25">
      <c r="A1986" s="21">
        <v>10162</v>
      </c>
      <c r="B1986" s="22" t="s">
        <v>15368</v>
      </c>
      <c r="C1986" s="22" t="s">
        <v>6702</v>
      </c>
      <c r="D1986" s="23">
        <v>409667</v>
      </c>
      <c r="E1986" s="24">
        <v>2002</v>
      </c>
      <c r="F1986" s="22" t="s">
        <v>6708</v>
      </c>
      <c r="G1986" s="23" t="s">
        <v>6709</v>
      </c>
      <c r="H1986" s="25" t="s">
        <v>15373</v>
      </c>
      <c r="I1986" s="22" t="s">
        <v>15374</v>
      </c>
      <c r="J1986" s="22">
        <v>3412</v>
      </c>
      <c r="K1986" s="26">
        <f t="shared" ref="K1986:K2049" si="31">L1986+M1986*(2/3)+N1986*(2/3)</f>
        <v>458.66666666666663</v>
      </c>
      <c r="N1986" s="26">
        <v>688</v>
      </c>
      <c r="O1986" s="22" t="s">
        <v>6710</v>
      </c>
      <c r="P1986" s="22" t="s">
        <v>8238</v>
      </c>
      <c r="Q1986" s="22">
        <v>91367</v>
      </c>
      <c r="R1986" s="22" t="s">
        <v>6696</v>
      </c>
      <c r="S1986" s="22" t="s">
        <v>6701</v>
      </c>
      <c r="X1986" s="26"/>
      <c r="Y1986" s="26"/>
    </row>
    <row r="1987" spans="1:25" ht="37.5" x14ac:dyDescent="0.25">
      <c r="A1987" s="21">
        <v>10163</v>
      </c>
      <c r="B1987" s="22" t="s">
        <v>15368</v>
      </c>
      <c r="C1987" s="22" t="s">
        <v>6711</v>
      </c>
      <c r="D1987" s="23">
        <v>409709</v>
      </c>
      <c r="E1987" s="24">
        <v>2002</v>
      </c>
      <c r="F1987" s="22" t="s">
        <v>6712</v>
      </c>
      <c r="G1987" s="23" t="s">
        <v>6713</v>
      </c>
      <c r="H1987" s="25" t="s">
        <v>15373</v>
      </c>
      <c r="I1987" s="22" t="s">
        <v>15374</v>
      </c>
      <c r="J1987" s="22" t="s">
        <v>14709</v>
      </c>
      <c r="K1987" s="26">
        <f t="shared" si="31"/>
        <v>513.33333333333326</v>
      </c>
      <c r="N1987" s="26">
        <v>770</v>
      </c>
      <c r="O1987" s="22" t="s">
        <v>6714</v>
      </c>
      <c r="P1987" s="22" t="s">
        <v>7788</v>
      </c>
      <c r="Q1987" s="22">
        <v>91505</v>
      </c>
      <c r="R1987" s="22" t="s">
        <v>6715</v>
      </c>
      <c r="S1987" s="22" t="s">
        <v>6716</v>
      </c>
      <c r="X1987" s="26"/>
      <c r="Y1987" s="26"/>
    </row>
    <row r="1988" spans="1:25" ht="50" x14ac:dyDescent="0.25">
      <c r="A1988" s="21">
        <v>10164</v>
      </c>
      <c r="B1988" s="22" t="s">
        <v>15368</v>
      </c>
      <c r="C1988" s="22" t="s">
        <v>6717</v>
      </c>
      <c r="D1988" s="23">
        <v>408571</v>
      </c>
      <c r="E1988" s="24">
        <v>2002</v>
      </c>
      <c r="F1988" s="22" t="s">
        <v>6718</v>
      </c>
      <c r="G1988" s="23" t="s">
        <v>6719</v>
      </c>
      <c r="H1988" s="25" t="s">
        <v>15373</v>
      </c>
      <c r="I1988" s="22" t="s">
        <v>15411</v>
      </c>
      <c r="J1988" s="22" t="s">
        <v>15744</v>
      </c>
      <c r="K1988" s="26">
        <f t="shared" si="31"/>
        <v>834.66666666666663</v>
      </c>
      <c r="N1988" s="26">
        <v>1252</v>
      </c>
      <c r="O1988" s="22" t="s">
        <v>6720</v>
      </c>
      <c r="P1988" s="22" t="s">
        <v>7753</v>
      </c>
      <c r="Q1988" s="22">
        <v>90033</v>
      </c>
      <c r="R1988" s="22" t="s">
        <v>6721</v>
      </c>
      <c r="S1988" s="22" t="s">
        <v>6722</v>
      </c>
      <c r="X1988" s="26"/>
      <c r="Y1988" s="26"/>
    </row>
    <row r="1989" spans="1:25" ht="50" x14ac:dyDescent="0.25">
      <c r="A1989" s="21">
        <v>10165</v>
      </c>
      <c r="B1989" s="22" t="s">
        <v>15368</v>
      </c>
      <c r="C1989" s="22" t="s">
        <v>6717</v>
      </c>
      <c r="D1989" s="23">
        <v>410274</v>
      </c>
      <c r="E1989" s="24">
        <v>2003</v>
      </c>
      <c r="F1989" s="22" t="s">
        <v>6723</v>
      </c>
      <c r="G1989" s="23" t="s">
        <v>6724</v>
      </c>
      <c r="H1989" s="25" t="s">
        <v>15373</v>
      </c>
      <c r="I1989" s="22" t="s">
        <v>15382</v>
      </c>
      <c r="J1989" s="22" t="s">
        <v>6725</v>
      </c>
      <c r="K1989" s="26">
        <f t="shared" si="31"/>
        <v>686.66666666666663</v>
      </c>
      <c r="N1989" s="26">
        <v>1030</v>
      </c>
      <c r="O1989" s="22" t="s">
        <v>6720</v>
      </c>
      <c r="P1989" s="22" t="s">
        <v>7753</v>
      </c>
      <c r="Q1989" s="22">
        <v>90033</v>
      </c>
      <c r="R1989" s="22" t="s">
        <v>6721</v>
      </c>
      <c r="S1989" s="22" t="s">
        <v>6722</v>
      </c>
      <c r="X1989" s="26"/>
      <c r="Y1989" s="26"/>
    </row>
    <row r="1990" spans="1:25" ht="50" x14ac:dyDescent="0.25">
      <c r="A1990" s="21">
        <v>10166</v>
      </c>
      <c r="B1990" s="22" t="s">
        <v>15368</v>
      </c>
      <c r="C1990" s="22" t="s">
        <v>6726</v>
      </c>
      <c r="D1990" s="23">
        <v>409617</v>
      </c>
      <c r="E1990" s="24">
        <v>2002</v>
      </c>
      <c r="F1990" s="22" t="s">
        <v>6727</v>
      </c>
      <c r="G1990" s="23" t="s">
        <v>6728</v>
      </c>
      <c r="H1990" s="25" t="s">
        <v>15373</v>
      </c>
      <c r="I1990" s="22" t="s">
        <v>15411</v>
      </c>
      <c r="J1990" s="22" t="s">
        <v>16517</v>
      </c>
      <c r="K1990" s="26">
        <f t="shared" si="31"/>
        <v>410</v>
      </c>
      <c r="L1990" s="26">
        <v>410</v>
      </c>
      <c r="O1990" s="22" t="s">
        <v>6729</v>
      </c>
      <c r="P1990" s="22" t="s">
        <v>7753</v>
      </c>
      <c r="Q1990" s="22">
        <v>90045</v>
      </c>
      <c r="R1990" s="22" t="s">
        <v>6730</v>
      </c>
      <c r="S1990" s="22" t="s">
        <v>6731</v>
      </c>
      <c r="X1990" s="26"/>
      <c r="Y1990" s="26"/>
    </row>
    <row r="1991" spans="1:25" ht="50" x14ac:dyDescent="0.25">
      <c r="A1991" s="21">
        <v>10167</v>
      </c>
      <c r="B1991" s="22" t="s">
        <v>15368</v>
      </c>
      <c r="C1991" s="22" t="s">
        <v>6732</v>
      </c>
      <c r="D1991" s="23">
        <v>404809</v>
      </c>
      <c r="E1991" s="24">
        <v>2002</v>
      </c>
      <c r="F1991" s="22" t="s">
        <v>6733</v>
      </c>
      <c r="G1991" s="23" t="s">
        <v>6734</v>
      </c>
      <c r="H1991" s="25" t="s">
        <v>15373</v>
      </c>
      <c r="I1991" s="22" t="s">
        <v>15374</v>
      </c>
      <c r="J1991" s="22" t="s">
        <v>15400</v>
      </c>
      <c r="K1991" s="26">
        <f t="shared" si="31"/>
        <v>1436.6666666666665</v>
      </c>
      <c r="N1991" s="26">
        <v>2155</v>
      </c>
      <c r="O1991" s="22" t="s">
        <v>6735</v>
      </c>
      <c r="P1991" s="22" t="s">
        <v>7864</v>
      </c>
      <c r="Q1991" s="22">
        <v>91730</v>
      </c>
      <c r="R1991" s="22" t="s">
        <v>6736</v>
      </c>
      <c r="S1991" s="22" t="s">
        <v>6737</v>
      </c>
      <c r="X1991" s="26"/>
      <c r="Y1991" s="26"/>
    </row>
    <row r="1992" spans="1:25" ht="50" x14ac:dyDescent="0.25">
      <c r="A1992" s="21">
        <v>10168</v>
      </c>
      <c r="B1992" s="22" t="s">
        <v>15368</v>
      </c>
      <c r="C1992" s="22" t="s">
        <v>6738</v>
      </c>
      <c r="D1992" s="23">
        <v>392993</v>
      </c>
      <c r="E1992" s="24">
        <v>2001</v>
      </c>
      <c r="F1992" s="22" t="s">
        <v>8538</v>
      </c>
      <c r="G1992" s="23" t="s">
        <v>6739</v>
      </c>
      <c r="H1992" s="25" t="s">
        <v>15373</v>
      </c>
      <c r="I1992" s="22" t="s">
        <v>16907</v>
      </c>
      <c r="J1992" s="22">
        <v>400</v>
      </c>
      <c r="K1992" s="26">
        <f t="shared" si="31"/>
        <v>400</v>
      </c>
      <c r="N1992" s="26">
        <v>600</v>
      </c>
      <c r="O1992" s="22" t="s">
        <v>6740</v>
      </c>
      <c r="P1992" s="22" t="s">
        <v>7691</v>
      </c>
      <c r="Q1992" s="22">
        <v>92612</v>
      </c>
      <c r="R1992" s="22" t="s">
        <v>6741</v>
      </c>
      <c r="S1992" s="22" t="s">
        <v>6742</v>
      </c>
      <c r="X1992" s="26"/>
      <c r="Y1992" s="26"/>
    </row>
    <row r="1993" spans="1:25" ht="50" x14ac:dyDescent="0.25">
      <c r="A1993" s="21">
        <v>10169</v>
      </c>
      <c r="B1993" s="22" t="s">
        <v>15368</v>
      </c>
      <c r="C1993" s="22" t="s">
        <v>9664</v>
      </c>
      <c r="D1993" s="23">
        <v>394756</v>
      </c>
      <c r="E1993" s="24">
        <v>2001</v>
      </c>
      <c r="F1993" s="22" t="s">
        <v>9666</v>
      </c>
      <c r="G1993" s="23" t="s">
        <v>6743</v>
      </c>
      <c r="H1993" s="25" t="s">
        <v>15373</v>
      </c>
      <c r="I1993" s="22" t="s">
        <v>15382</v>
      </c>
      <c r="J1993" s="22" t="s">
        <v>16799</v>
      </c>
      <c r="K1993" s="26">
        <f t="shared" si="31"/>
        <v>503.33333333333331</v>
      </c>
      <c r="N1993" s="26">
        <v>755</v>
      </c>
      <c r="O1993" s="22" t="s">
        <v>6744</v>
      </c>
      <c r="P1993" s="22" t="s">
        <v>8170</v>
      </c>
      <c r="Q1993" s="22">
        <v>92865</v>
      </c>
      <c r="R1993" s="22" t="s">
        <v>6745</v>
      </c>
      <c r="S1993" s="22" t="s">
        <v>6746</v>
      </c>
      <c r="X1993" s="26"/>
      <c r="Y1993" s="26"/>
    </row>
    <row r="1994" spans="1:25" ht="37.5" x14ac:dyDescent="0.25">
      <c r="A1994" s="21">
        <v>10170</v>
      </c>
      <c r="B1994" s="22" t="s">
        <v>15368</v>
      </c>
      <c r="C1994" s="22" t="s">
        <v>7436</v>
      </c>
      <c r="D1994" s="23">
        <v>408770</v>
      </c>
      <c r="E1994" s="24">
        <v>2002</v>
      </c>
      <c r="F1994" s="22" t="s">
        <v>7437</v>
      </c>
      <c r="G1994" s="23" t="s">
        <v>7438</v>
      </c>
      <c r="H1994" s="25" t="s">
        <v>15373</v>
      </c>
      <c r="I1994" s="22" t="s">
        <v>15382</v>
      </c>
      <c r="J1994" s="22" t="s">
        <v>7439</v>
      </c>
      <c r="K1994" s="26">
        <f t="shared" si="31"/>
        <v>425.33333333333331</v>
      </c>
      <c r="N1994" s="26">
        <v>638</v>
      </c>
      <c r="O1994" s="22" t="s">
        <v>7440</v>
      </c>
      <c r="P1994" s="22" t="s">
        <v>7441</v>
      </c>
      <c r="Q1994" s="22">
        <v>90640</v>
      </c>
      <c r="R1994" s="22" t="s">
        <v>7442</v>
      </c>
      <c r="S1994" s="22" t="s">
        <v>7443</v>
      </c>
      <c r="X1994" s="26"/>
      <c r="Y1994" s="26"/>
    </row>
    <row r="1995" spans="1:25" ht="50" x14ac:dyDescent="0.25">
      <c r="A1995" s="21">
        <v>10171</v>
      </c>
      <c r="B1995" s="22" t="s">
        <v>15368</v>
      </c>
      <c r="C1995" s="22" t="s">
        <v>7444</v>
      </c>
      <c r="D1995" s="23">
        <v>405451</v>
      </c>
      <c r="E1995" s="24">
        <v>2002</v>
      </c>
      <c r="F1995" s="22" t="s">
        <v>7445</v>
      </c>
      <c r="G1995" s="23" t="s">
        <v>7446</v>
      </c>
      <c r="H1995" s="25" t="s">
        <v>15373</v>
      </c>
      <c r="I1995" s="22" t="s">
        <v>15411</v>
      </c>
      <c r="J1995" s="22" t="s">
        <v>16803</v>
      </c>
      <c r="K1995" s="26">
        <f t="shared" si="31"/>
        <v>1466.6666666666665</v>
      </c>
      <c r="N1995" s="26">
        <v>2200</v>
      </c>
      <c r="O1995" s="22" t="s">
        <v>7447</v>
      </c>
      <c r="P1995" s="22" t="s">
        <v>7753</v>
      </c>
      <c r="Q1995" s="22">
        <v>90025</v>
      </c>
      <c r="R1995" s="22" t="s">
        <v>7448</v>
      </c>
      <c r="S1995" s="22" t="s">
        <v>7449</v>
      </c>
      <c r="X1995" s="26"/>
      <c r="Y1995" s="26"/>
    </row>
    <row r="1996" spans="1:25" ht="50" x14ac:dyDescent="0.25">
      <c r="A1996" s="21">
        <v>10173</v>
      </c>
      <c r="B1996" s="22" t="s">
        <v>15368</v>
      </c>
      <c r="C1996" s="22" t="s">
        <v>7451</v>
      </c>
      <c r="D1996" s="23">
        <v>364107</v>
      </c>
      <c r="E1996" s="24">
        <v>1999</v>
      </c>
      <c r="F1996" s="22" t="s">
        <v>7452</v>
      </c>
      <c r="G1996" s="23" t="s">
        <v>7339</v>
      </c>
      <c r="H1996" s="25" t="s">
        <v>15373</v>
      </c>
      <c r="I1996" s="22" t="s">
        <v>15382</v>
      </c>
      <c r="J1996" s="22" t="s">
        <v>16784</v>
      </c>
      <c r="K1996" s="26">
        <f t="shared" si="31"/>
        <v>503.33333333333331</v>
      </c>
      <c r="N1996" s="26">
        <v>755</v>
      </c>
      <c r="O1996" s="22" t="s">
        <v>7453</v>
      </c>
      <c r="P1996" s="22" t="s">
        <v>7454</v>
      </c>
      <c r="Q1996" s="22">
        <v>91403</v>
      </c>
      <c r="R1996" s="22" t="s">
        <v>7455</v>
      </c>
      <c r="S1996" s="22" t="s">
        <v>7456</v>
      </c>
      <c r="X1996" s="26"/>
      <c r="Y1996" s="26"/>
    </row>
    <row r="1997" spans="1:25" ht="50" x14ac:dyDescent="0.25">
      <c r="A1997" s="21">
        <v>10174</v>
      </c>
      <c r="B1997" s="22" t="s">
        <v>15368</v>
      </c>
      <c r="C1997" s="22" t="s">
        <v>7457</v>
      </c>
      <c r="D1997" s="23">
        <v>405410</v>
      </c>
      <c r="E1997" s="24">
        <v>2002</v>
      </c>
      <c r="F1997" s="22" t="s">
        <v>7458</v>
      </c>
      <c r="G1997" s="23" t="s">
        <v>7459</v>
      </c>
      <c r="H1997" s="25" t="s">
        <v>15373</v>
      </c>
      <c r="I1997" s="22" t="s">
        <v>15382</v>
      </c>
      <c r="J1997" s="22" t="s">
        <v>15046</v>
      </c>
      <c r="K1997" s="26">
        <f t="shared" si="31"/>
        <v>893.33333333333326</v>
      </c>
      <c r="N1997" s="26">
        <v>1340</v>
      </c>
      <c r="O1997" s="22" t="s">
        <v>7460</v>
      </c>
      <c r="P1997" s="22" t="s">
        <v>7753</v>
      </c>
      <c r="Q1997" s="22">
        <v>90036</v>
      </c>
      <c r="R1997" s="22" t="s">
        <v>7461</v>
      </c>
      <c r="S1997" s="22" t="s">
        <v>7462</v>
      </c>
      <c r="X1997" s="26"/>
      <c r="Y1997" s="26"/>
    </row>
    <row r="1998" spans="1:25" ht="50" x14ac:dyDescent="0.25">
      <c r="A1998" s="21">
        <v>10175</v>
      </c>
      <c r="B1998" s="22" t="s">
        <v>15368</v>
      </c>
      <c r="C1998" s="22" t="s">
        <v>7463</v>
      </c>
      <c r="D1998" s="23">
        <v>407149</v>
      </c>
      <c r="E1998" s="24">
        <v>2002</v>
      </c>
      <c r="F1998" s="22" t="s">
        <v>7464</v>
      </c>
      <c r="G1998" s="23" t="s">
        <v>7465</v>
      </c>
      <c r="H1998" s="25" t="s">
        <v>15373</v>
      </c>
      <c r="I1998" s="22" t="s">
        <v>15374</v>
      </c>
      <c r="J1998" s="22" t="s">
        <v>12893</v>
      </c>
      <c r="K1998" s="26">
        <f t="shared" si="31"/>
        <v>1898</v>
      </c>
      <c r="N1998" s="26">
        <v>2847</v>
      </c>
      <c r="O1998" s="22" t="s">
        <v>7466</v>
      </c>
      <c r="P1998" s="22" t="s">
        <v>5749</v>
      </c>
      <c r="Q1998" s="22">
        <v>92807</v>
      </c>
      <c r="R1998" s="22" t="s">
        <v>7467</v>
      </c>
      <c r="S1998" s="22" t="s">
        <v>7468</v>
      </c>
      <c r="X1998" s="26"/>
      <c r="Y1998" s="26"/>
    </row>
    <row r="1999" spans="1:25" ht="50" x14ac:dyDescent="0.25">
      <c r="A1999" s="21">
        <v>10176</v>
      </c>
      <c r="B1999" s="22" t="s">
        <v>15368</v>
      </c>
      <c r="C1999" s="22" t="s">
        <v>7463</v>
      </c>
      <c r="D1999" s="23">
        <v>407150</v>
      </c>
      <c r="E1999" s="24">
        <v>2002</v>
      </c>
      <c r="F1999" s="22" t="s">
        <v>7469</v>
      </c>
      <c r="G1999" s="23" t="s">
        <v>7470</v>
      </c>
      <c r="H1999" s="25" t="s">
        <v>15373</v>
      </c>
      <c r="I1999" s="22" t="s">
        <v>15374</v>
      </c>
      <c r="J1999" s="22" t="s">
        <v>12893</v>
      </c>
      <c r="K1999" s="26">
        <f t="shared" si="31"/>
        <v>1898</v>
      </c>
      <c r="N1999" s="26">
        <v>2847</v>
      </c>
      <c r="O1999" s="22" t="s">
        <v>7466</v>
      </c>
      <c r="P1999" s="22" t="s">
        <v>5749</v>
      </c>
      <c r="Q1999" s="22">
        <v>92807</v>
      </c>
      <c r="R1999" s="22" t="s">
        <v>7467</v>
      </c>
      <c r="S1999" s="22" t="s">
        <v>7468</v>
      </c>
      <c r="X1999" s="26"/>
      <c r="Y1999" s="26"/>
    </row>
    <row r="2000" spans="1:25" ht="50" x14ac:dyDescent="0.25">
      <c r="A2000" s="21">
        <v>10177</v>
      </c>
      <c r="B2000" s="22" t="s">
        <v>15368</v>
      </c>
      <c r="C2000" s="22" t="s">
        <v>7471</v>
      </c>
      <c r="D2000" s="23">
        <v>410217</v>
      </c>
      <c r="E2000" s="24">
        <v>2002</v>
      </c>
      <c r="F2000" s="22" t="s">
        <v>7472</v>
      </c>
      <c r="G2000" s="23" t="s">
        <v>7473</v>
      </c>
      <c r="H2000" s="25" t="s">
        <v>15373</v>
      </c>
      <c r="I2000" s="22" t="s">
        <v>15374</v>
      </c>
      <c r="J2000" s="22" t="s">
        <v>15441</v>
      </c>
      <c r="K2000" s="26">
        <f t="shared" si="31"/>
        <v>452.66666666666663</v>
      </c>
      <c r="N2000" s="26">
        <v>679</v>
      </c>
      <c r="O2000" s="22" t="s">
        <v>7474</v>
      </c>
      <c r="P2000" s="22" t="s">
        <v>5756</v>
      </c>
      <c r="Q2000" s="22">
        <v>90638</v>
      </c>
      <c r="R2000" s="22" t="s">
        <v>7475</v>
      </c>
      <c r="S2000" s="22" t="s">
        <v>7476</v>
      </c>
      <c r="X2000" s="26"/>
      <c r="Y2000" s="26"/>
    </row>
    <row r="2001" spans="1:25" ht="50" x14ac:dyDescent="0.25">
      <c r="A2001" s="21">
        <v>10178</v>
      </c>
      <c r="B2001" s="22" t="s">
        <v>15368</v>
      </c>
      <c r="C2001" s="22" t="s">
        <v>7477</v>
      </c>
      <c r="D2001" s="23">
        <v>410327</v>
      </c>
      <c r="E2001" s="24">
        <v>2002</v>
      </c>
      <c r="F2001" s="22" t="s">
        <v>7478</v>
      </c>
      <c r="G2001" s="23" t="s">
        <v>7479</v>
      </c>
      <c r="H2001" s="25" t="s">
        <v>15373</v>
      </c>
      <c r="I2001" s="22" t="s">
        <v>15374</v>
      </c>
      <c r="J2001" s="22" t="s">
        <v>15701</v>
      </c>
      <c r="K2001" s="26">
        <f t="shared" si="31"/>
        <v>400</v>
      </c>
      <c r="L2001" s="26">
        <v>400</v>
      </c>
      <c r="O2001" s="22" t="s">
        <v>7480</v>
      </c>
      <c r="P2001" s="22" t="s">
        <v>7753</v>
      </c>
      <c r="Q2001" s="22">
        <v>90028</v>
      </c>
      <c r="R2001" s="22" t="s">
        <v>7481</v>
      </c>
      <c r="S2001" s="22" t="s">
        <v>7482</v>
      </c>
      <c r="X2001" s="26"/>
      <c r="Y2001" s="26"/>
    </row>
    <row r="2002" spans="1:25" ht="50" x14ac:dyDescent="0.25">
      <c r="A2002" s="21">
        <v>10179</v>
      </c>
      <c r="B2002" s="22" t="s">
        <v>15368</v>
      </c>
      <c r="C2002" s="22" t="s">
        <v>7483</v>
      </c>
      <c r="D2002" s="23">
        <v>403741</v>
      </c>
      <c r="E2002" s="24">
        <v>2002</v>
      </c>
      <c r="F2002" s="22" t="s">
        <v>7484</v>
      </c>
      <c r="G2002" s="23" t="s">
        <v>7485</v>
      </c>
      <c r="H2002" s="25" t="s">
        <v>15373</v>
      </c>
      <c r="I2002" s="22" t="s">
        <v>15411</v>
      </c>
      <c r="J2002" s="22" t="s">
        <v>16276</v>
      </c>
      <c r="K2002" s="26">
        <f t="shared" si="31"/>
        <v>378.66666666666663</v>
      </c>
      <c r="N2002" s="26">
        <v>568</v>
      </c>
      <c r="O2002" s="22" t="s">
        <v>7486</v>
      </c>
      <c r="P2002" s="22" t="s">
        <v>7487</v>
      </c>
      <c r="Q2002" s="22">
        <v>91765</v>
      </c>
      <c r="R2002" s="22" t="s">
        <v>7488</v>
      </c>
      <c r="S2002" s="22" t="s">
        <v>7489</v>
      </c>
      <c r="X2002" s="26"/>
      <c r="Y2002" s="26"/>
    </row>
    <row r="2003" spans="1:25" ht="50" x14ac:dyDescent="0.25">
      <c r="A2003" s="21">
        <v>10180</v>
      </c>
      <c r="B2003" s="22" t="s">
        <v>15368</v>
      </c>
      <c r="C2003" s="22" t="s">
        <v>7490</v>
      </c>
      <c r="D2003" s="23">
        <v>408023</v>
      </c>
      <c r="E2003" s="24">
        <v>2002</v>
      </c>
      <c r="F2003" s="22" t="s">
        <v>7491</v>
      </c>
      <c r="G2003" s="23" t="s">
        <v>7492</v>
      </c>
      <c r="H2003" s="25" t="s">
        <v>15373</v>
      </c>
      <c r="I2003" s="22" t="s">
        <v>15374</v>
      </c>
      <c r="J2003" s="22" t="s">
        <v>15420</v>
      </c>
      <c r="K2003" s="26">
        <f t="shared" si="31"/>
        <v>1061.3333333333333</v>
      </c>
      <c r="N2003" s="26">
        <v>1592</v>
      </c>
      <c r="O2003" s="22" t="s">
        <v>7493</v>
      </c>
      <c r="P2003" s="22" t="s">
        <v>7753</v>
      </c>
      <c r="Q2003" s="22">
        <v>90071</v>
      </c>
      <c r="R2003" s="22" t="s">
        <v>7494</v>
      </c>
      <c r="S2003" s="22" t="s">
        <v>7495</v>
      </c>
      <c r="X2003" s="26"/>
      <c r="Y2003" s="26"/>
    </row>
    <row r="2004" spans="1:25" ht="50" x14ac:dyDescent="0.25">
      <c r="A2004" s="21">
        <v>10181</v>
      </c>
      <c r="B2004" s="22" t="s">
        <v>15368</v>
      </c>
      <c r="C2004" s="22" t="s">
        <v>7496</v>
      </c>
      <c r="D2004" s="23">
        <v>407035</v>
      </c>
      <c r="E2004" s="24">
        <v>2002</v>
      </c>
      <c r="F2004" s="22" t="s">
        <v>7497</v>
      </c>
      <c r="G2004" s="23" t="s">
        <v>7498</v>
      </c>
      <c r="H2004" s="25" t="s">
        <v>15373</v>
      </c>
      <c r="I2004" s="22" t="s">
        <v>15411</v>
      </c>
      <c r="J2004" s="22" t="s">
        <v>15451</v>
      </c>
      <c r="K2004" s="26">
        <f t="shared" si="31"/>
        <v>553.33333333333326</v>
      </c>
      <c r="N2004" s="26">
        <v>830</v>
      </c>
      <c r="O2004" s="22" t="s">
        <v>7499</v>
      </c>
      <c r="P2004" s="22" t="s">
        <v>7753</v>
      </c>
      <c r="Q2004" s="22">
        <v>90037</v>
      </c>
      <c r="R2004" s="22" t="s">
        <v>7494</v>
      </c>
      <c r="S2004" s="22" t="s">
        <v>7495</v>
      </c>
      <c r="X2004" s="26"/>
      <c r="Y2004" s="26"/>
    </row>
    <row r="2005" spans="1:25" ht="50" x14ac:dyDescent="0.25">
      <c r="A2005" s="21">
        <v>10182</v>
      </c>
      <c r="B2005" s="22" t="s">
        <v>15368</v>
      </c>
      <c r="C2005" s="22" t="s">
        <v>7496</v>
      </c>
      <c r="D2005" s="23">
        <v>407036</v>
      </c>
      <c r="E2005" s="24">
        <v>2002</v>
      </c>
      <c r="F2005" s="22" t="s">
        <v>7500</v>
      </c>
      <c r="G2005" s="23" t="s">
        <v>7501</v>
      </c>
      <c r="H2005" s="25" t="s">
        <v>15373</v>
      </c>
      <c r="I2005" s="22" t="s">
        <v>15411</v>
      </c>
      <c r="J2005" s="22" t="s">
        <v>15451</v>
      </c>
      <c r="K2005" s="26">
        <f t="shared" si="31"/>
        <v>553.33333333333326</v>
      </c>
      <c r="N2005" s="26">
        <v>830</v>
      </c>
      <c r="O2005" s="22" t="s">
        <v>7499</v>
      </c>
      <c r="P2005" s="22" t="s">
        <v>7753</v>
      </c>
      <c r="Q2005" s="22">
        <v>90037</v>
      </c>
      <c r="R2005" s="22" t="s">
        <v>7494</v>
      </c>
      <c r="S2005" s="22" t="s">
        <v>7495</v>
      </c>
      <c r="X2005" s="26"/>
      <c r="Y2005" s="26"/>
    </row>
    <row r="2006" spans="1:25" ht="50" x14ac:dyDescent="0.25">
      <c r="A2006" s="21">
        <v>10183</v>
      </c>
      <c r="B2006" s="22" t="s">
        <v>15368</v>
      </c>
      <c r="C2006" s="22" t="s">
        <v>7496</v>
      </c>
      <c r="D2006" s="23">
        <v>407037</v>
      </c>
      <c r="E2006" s="24">
        <v>2002</v>
      </c>
      <c r="F2006" s="22" t="s">
        <v>7502</v>
      </c>
      <c r="G2006" s="23" t="s">
        <v>7503</v>
      </c>
      <c r="H2006" s="25" t="s">
        <v>15373</v>
      </c>
      <c r="I2006" s="22" t="s">
        <v>15411</v>
      </c>
      <c r="J2006" s="22" t="s">
        <v>15451</v>
      </c>
      <c r="K2006" s="26">
        <f t="shared" si="31"/>
        <v>553.33333333333326</v>
      </c>
      <c r="N2006" s="26">
        <v>830</v>
      </c>
      <c r="O2006" s="22" t="s">
        <v>7499</v>
      </c>
      <c r="P2006" s="22" t="s">
        <v>7753</v>
      </c>
      <c r="Q2006" s="22">
        <v>90037</v>
      </c>
      <c r="R2006" s="22" t="s">
        <v>7494</v>
      </c>
      <c r="S2006" s="22" t="s">
        <v>7495</v>
      </c>
      <c r="X2006" s="26"/>
      <c r="Y2006" s="26"/>
    </row>
    <row r="2007" spans="1:25" ht="50" x14ac:dyDescent="0.25">
      <c r="A2007" s="21">
        <v>10184</v>
      </c>
      <c r="B2007" s="22" t="s">
        <v>15368</v>
      </c>
      <c r="C2007" s="22" t="s">
        <v>7504</v>
      </c>
      <c r="D2007" s="23">
        <v>349359</v>
      </c>
      <c r="E2007" s="24">
        <v>1998</v>
      </c>
      <c r="F2007" s="22" t="s">
        <v>7505</v>
      </c>
      <c r="G2007" s="23" t="s">
        <v>6747</v>
      </c>
      <c r="H2007" s="25" t="s">
        <v>15373</v>
      </c>
      <c r="I2007" s="22" t="s">
        <v>15411</v>
      </c>
      <c r="J2007" s="22" t="s">
        <v>15877</v>
      </c>
      <c r="K2007" s="26">
        <f t="shared" si="31"/>
        <v>428.66666666666663</v>
      </c>
      <c r="N2007" s="26">
        <v>643</v>
      </c>
      <c r="O2007" s="22" t="s">
        <v>6748</v>
      </c>
      <c r="P2007" s="22" t="s">
        <v>7146</v>
      </c>
      <c r="Q2007" s="22">
        <v>90025</v>
      </c>
      <c r="R2007" s="22" t="s">
        <v>6749</v>
      </c>
      <c r="S2007" s="22" t="s">
        <v>6750</v>
      </c>
      <c r="X2007" s="26"/>
      <c r="Y2007" s="26"/>
    </row>
    <row r="2008" spans="1:25" ht="50" x14ac:dyDescent="0.25">
      <c r="A2008" s="21">
        <v>10185</v>
      </c>
      <c r="B2008" s="22" t="s">
        <v>15368</v>
      </c>
      <c r="C2008" s="22" t="s">
        <v>7504</v>
      </c>
      <c r="D2008" s="23">
        <v>403520</v>
      </c>
      <c r="E2008" s="24">
        <v>2002</v>
      </c>
      <c r="F2008" s="22" t="s">
        <v>6751</v>
      </c>
      <c r="G2008" s="23" t="s">
        <v>6752</v>
      </c>
      <c r="H2008" s="25" t="s">
        <v>15373</v>
      </c>
      <c r="I2008" s="22" t="s">
        <v>15411</v>
      </c>
      <c r="J2008" s="22" t="s">
        <v>12508</v>
      </c>
      <c r="K2008" s="26">
        <f t="shared" si="31"/>
        <v>506.66666666666663</v>
      </c>
      <c r="N2008" s="26">
        <v>760</v>
      </c>
      <c r="O2008" s="22" t="s">
        <v>6753</v>
      </c>
      <c r="P2008" s="22" t="s">
        <v>7753</v>
      </c>
      <c r="Q2008" s="22">
        <v>90012</v>
      </c>
      <c r="R2008" s="22" t="s">
        <v>6754</v>
      </c>
      <c r="S2008" s="22" t="s">
        <v>6755</v>
      </c>
      <c r="X2008" s="26"/>
      <c r="Y2008" s="26"/>
    </row>
    <row r="2009" spans="1:25" ht="50" x14ac:dyDescent="0.25">
      <c r="A2009" s="21">
        <v>10186</v>
      </c>
      <c r="B2009" s="22" t="s">
        <v>15368</v>
      </c>
      <c r="C2009" s="22" t="s">
        <v>7504</v>
      </c>
      <c r="D2009" s="23">
        <v>403526</v>
      </c>
      <c r="E2009" s="24">
        <v>2002</v>
      </c>
      <c r="F2009" s="22" t="s">
        <v>6756</v>
      </c>
      <c r="G2009" s="23" t="s">
        <v>6757</v>
      </c>
      <c r="H2009" s="25" t="s">
        <v>15373</v>
      </c>
      <c r="I2009" s="22" t="s">
        <v>15411</v>
      </c>
      <c r="J2009" s="22" t="s">
        <v>12508</v>
      </c>
      <c r="K2009" s="26">
        <f t="shared" si="31"/>
        <v>506.66666666666663</v>
      </c>
      <c r="N2009" s="26">
        <v>760</v>
      </c>
      <c r="O2009" s="22" t="s">
        <v>6753</v>
      </c>
      <c r="P2009" s="22" t="s">
        <v>7753</v>
      </c>
      <c r="Q2009" s="22">
        <v>90012</v>
      </c>
      <c r="R2009" s="22" t="s">
        <v>6754</v>
      </c>
      <c r="S2009" s="22" t="s">
        <v>6755</v>
      </c>
      <c r="X2009" s="26"/>
      <c r="Y2009" s="26"/>
    </row>
    <row r="2010" spans="1:25" ht="50" x14ac:dyDescent="0.25">
      <c r="A2010" s="21">
        <v>10187</v>
      </c>
      <c r="B2010" s="22" t="s">
        <v>15368</v>
      </c>
      <c r="C2010" s="22" t="s">
        <v>7504</v>
      </c>
      <c r="D2010" s="23">
        <v>407728</v>
      </c>
      <c r="E2010" s="24">
        <v>2002</v>
      </c>
      <c r="F2010" s="22" t="s">
        <v>6758</v>
      </c>
      <c r="G2010" s="23" t="s">
        <v>6759</v>
      </c>
      <c r="H2010" s="25" t="s">
        <v>15373</v>
      </c>
      <c r="I2010" s="22" t="s">
        <v>15382</v>
      </c>
      <c r="J2010" s="22" t="s">
        <v>16784</v>
      </c>
      <c r="K2010" s="26">
        <f t="shared" si="31"/>
        <v>503.33333333333331</v>
      </c>
      <c r="N2010" s="26">
        <v>755</v>
      </c>
      <c r="O2010" s="22" t="s">
        <v>6760</v>
      </c>
      <c r="P2010" s="22" t="s">
        <v>7753</v>
      </c>
      <c r="Q2010" s="22">
        <v>90068</v>
      </c>
      <c r="R2010" s="22" t="s">
        <v>6761</v>
      </c>
      <c r="S2010" s="22" t="s">
        <v>6762</v>
      </c>
      <c r="X2010" s="26"/>
      <c r="Y2010" s="26"/>
    </row>
    <row r="2011" spans="1:25" ht="50" x14ac:dyDescent="0.25">
      <c r="A2011" s="21">
        <v>10188</v>
      </c>
      <c r="B2011" s="22" t="s">
        <v>15368</v>
      </c>
      <c r="C2011" s="22" t="s">
        <v>7504</v>
      </c>
      <c r="D2011" s="23">
        <v>408286</v>
      </c>
      <c r="E2011" s="24">
        <v>2002</v>
      </c>
      <c r="F2011" s="22" t="s">
        <v>6763</v>
      </c>
      <c r="G2011" s="23" t="s">
        <v>6764</v>
      </c>
      <c r="H2011" s="25" t="s">
        <v>15373</v>
      </c>
      <c r="I2011" s="22" t="s">
        <v>15374</v>
      </c>
      <c r="J2011" s="22" t="s">
        <v>15420</v>
      </c>
      <c r="K2011" s="26">
        <f t="shared" si="31"/>
        <v>988</v>
      </c>
      <c r="N2011" s="26">
        <v>1482</v>
      </c>
      <c r="O2011" s="22" t="s">
        <v>6765</v>
      </c>
      <c r="P2011" s="22" t="s">
        <v>7753</v>
      </c>
      <c r="Q2011" s="22">
        <v>90012</v>
      </c>
      <c r="R2011" s="22" t="s">
        <v>7494</v>
      </c>
      <c r="S2011" s="22" t="s">
        <v>7495</v>
      </c>
      <c r="X2011" s="26"/>
      <c r="Y2011" s="26"/>
    </row>
    <row r="2012" spans="1:25" ht="50" x14ac:dyDescent="0.25">
      <c r="A2012" s="21">
        <v>10189</v>
      </c>
      <c r="B2012" s="22" t="s">
        <v>15368</v>
      </c>
      <c r="C2012" s="22" t="s">
        <v>6766</v>
      </c>
      <c r="D2012" s="23">
        <v>406632</v>
      </c>
      <c r="E2012" s="24">
        <v>2002</v>
      </c>
      <c r="F2012" s="22" t="s">
        <v>6767</v>
      </c>
      <c r="G2012" s="23" t="s">
        <v>6768</v>
      </c>
      <c r="H2012" s="25" t="s">
        <v>15373</v>
      </c>
      <c r="I2012" s="22" t="s">
        <v>15411</v>
      </c>
      <c r="J2012" s="22" t="s">
        <v>8271</v>
      </c>
      <c r="K2012" s="26">
        <f t="shared" si="31"/>
        <v>835</v>
      </c>
      <c r="L2012" s="26">
        <v>835</v>
      </c>
      <c r="O2012" s="22" t="s">
        <v>6769</v>
      </c>
      <c r="P2012" s="22" t="s">
        <v>6770</v>
      </c>
      <c r="Q2012" s="22">
        <v>91750</v>
      </c>
      <c r="R2012" s="22" t="s">
        <v>6771</v>
      </c>
      <c r="S2012" s="22" t="s">
        <v>6772</v>
      </c>
      <c r="X2012" s="26"/>
      <c r="Y2012" s="26"/>
    </row>
    <row r="2013" spans="1:25" ht="37.5" x14ac:dyDescent="0.25">
      <c r="A2013" s="21">
        <v>10190</v>
      </c>
      <c r="B2013" s="22" t="s">
        <v>15368</v>
      </c>
      <c r="C2013" s="22" t="s">
        <v>6773</v>
      </c>
      <c r="D2013" s="23">
        <v>406634</v>
      </c>
      <c r="E2013" s="24">
        <v>2002</v>
      </c>
      <c r="F2013" s="22" t="s">
        <v>6774</v>
      </c>
      <c r="G2013" s="23" t="s">
        <v>6775</v>
      </c>
      <c r="H2013" s="25" t="s">
        <v>15373</v>
      </c>
      <c r="I2013" s="22" t="s">
        <v>14275</v>
      </c>
      <c r="J2013" s="22" t="s">
        <v>6776</v>
      </c>
      <c r="K2013" s="26">
        <f t="shared" si="31"/>
        <v>351.33333333333331</v>
      </c>
      <c r="N2013" s="26">
        <v>527</v>
      </c>
      <c r="O2013" s="22" t="s">
        <v>6777</v>
      </c>
      <c r="P2013" s="22" t="s">
        <v>7842</v>
      </c>
      <c r="Q2013" s="22">
        <v>90012</v>
      </c>
      <c r="R2013" s="22" t="s">
        <v>6771</v>
      </c>
      <c r="S2013" s="22" t="s">
        <v>6772</v>
      </c>
      <c r="X2013" s="26"/>
      <c r="Y2013" s="26"/>
    </row>
    <row r="2014" spans="1:25" ht="37.5" x14ac:dyDescent="0.25">
      <c r="A2014" s="21">
        <v>10191</v>
      </c>
      <c r="B2014" s="22" t="s">
        <v>15368</v>
      </c>
      <c r="C2014" s="22" t="s">
        <v>6778</v>
      </c>
      <c r="D2014" s="23">
        <v>406633</v>
      </c>
      <c r="E2014" s="24">
        <v>2002</v>
      </c>
      <c r="F2014" s="22" t="s">
        <v>6779</v>
      </c>
      <c r="G2014" s="23" t="s">
        <v>6780</v>
      </c>
      <c r="H2014" s="25" t="s">
        <v>15373</v>
      </c>
      <c r="I2014" s="22" t="s">
        <v>14275</v>
      </c>
      <c r="J2014" s="22" t="s">
        <v>11722</v>
      </c>
      <c r="K2014" s="26">
        <f t="shared" si="31"/>
        <v>506</v>
      </c>
      <c r="N2014" s="26">
        <v>759</v>
      </c>
      <c r="O2014" s="22" t="s">
        <v>6781</v>
      </c>
      <c r="P2014" s="22" t="s">
        <v>6782</v>
      </c>
      <c r="Q2014" s="22">
        <v>90063</v>
      </c>
      <c r="R2014" s="22" t="s">
        <v>6771</v>
      </c>
      <c r="S2014" s="22" t="s">
        <v>6783</v>
      </c>
      <c r="X2014" s="26"/>
      <c r="Y2014" s="26"/>
    </row>
    <row r="2015" spans="1:25" ht="50" x14ac:dyDescent="0.25">
      <c r="A2015" s="21">
        <v>10192</v>
      </c>
      <c r="B2015" s="22" t="s">
        <v>15368</v>
      </c>
      <c r="C2015" s="22" t="s">
        <v>6784</v>
      </c>
      <c r="D2015" s="23">
        <v>383318</v>
      </c>
      <c r="E2015" s="24">
        <v>2001</v>
      </c>
      <c r="F2015" s="22" t="s">
        <v>6785</v>
      </c>
      <c r="G2015" s="23" t="s">
        <v>6786</v>
      </c>
      <c r="H2015" s="25" t="s">
        <v>15373</v>
      </c>
      <c r="I2015" s="22" t="s">
        <v>15411</v>
      </c>
      <c r="J2015" s="22" t="s">
        <v>14979</v>
      </c>
      <c r="K2015" s="26">
        <f t="shared" si="31"/>
        <v>503.33333333333331</v>
      </c>
      <c r="N2015" s="26">
        <v>755</v>
      </c>
      <c r="O2015" s="22" t="s">
        <v>6787</v>
      </c>
      <c r="P2015" s="22" t="s">
        <v>6788</v>
      </c>
      <c r="Q2015" s="22">
        <v>92651</v>
      </c>
      <c r="R2015" s="22" t="s">
        <v>6789</v>
      </c>
      <c r="S2015" s="22" t="s">
        <v>6790</v>
      </c>
      <c r="X2015" s="26"/>
      <c r="Y2015" s="26"/>
    </row>
    <row r="2016" spans="1:25" ht="50" x14ac:dyDescent="0.25">
      <c r="A2016" s="21">
        <v>10193</v>
      </c>
      <c r="B2016" s="22" t="s">
        <v>15368</v>
      </c>
      <c r="C2016" s="22" t="s">
        <v>6791</v>
      </c>
      <c r="D2016" s="23">
        <v>408248</v>
      </c>
      <c r="E2016" s="24">
        <v>2002</v>
      </c>
      <c r="F2016" s="22" t="s">
        <v>6792</v>
      </c>
      <c r="G2016" s="23" t="s">
        <v>6793</v>
      </c>
      <c r="H2016" s="25" t="s">
        <v>15373</v>
      </c>
      <c r="I2016" s="22" t="s">
        <v>15382</v>
      </c>
      <c r="J2016" s="22" t="s">
        <v>6794</v>
      </c>
      <c r="K2016" s="26">
        <f t="shared" si="31"/>
        <v>356.66666666666663</v>
      </c>
      <c r="N2016" s="26">
        <v>535</v>
      </c>
      <c r="O2016" s="22" t="s">
        <v>6795</v>
      </c>
      <c r="P2016" s="22" t="s">
        <v>7127</v>
      </c>
      <c r="Q2016" s="22">
        <v>90815</v>
      </c>
      <c r="R2016" s="22" t="s">
        <v>6796</v>
      </c>
      <c r="S2016" s="22" t="s">
        <v>6797</v>
      </c>
      <c r="X2016" s="26"/>
      <c r="Y2016" s="26"/>
    </row>
    <row r="2017" spans="1:25" ht="50" x14ac:dyDescent="0.25">
      <c r="A2017" s="21">
        <v>10194</v>
      </c>
      <c r="B2017" s="22" t="s">
        <v>15368</v>
      </c>
      <c r="C2017" s="22" t="s">
        <v>6798</v>
      </c>
      <c r="D2017" s="23">
        <v>349948</v>
      </c>
      <c r="E2017" s="24">
        <v>1999</v>
      </c>
      <c r="F2017" s="22" t="s">
        <v>6799</v>
      </c>
      <c r="G2017" s="23" t="s">
        <v>7339</v>
      </c>
      <c r="H2017" s="25" t="s">
        <v>15373</v>
      </c>
      <c r="I2017" s="22" t="s">
        <v>15382</v>
      </c>
      <c r="J2017" s="22" t="s">
        <v>16784</v>
      </c>
      <c r="K2017" s="26">
        <f t="shared" si="31"/>
        <v>503.33333333333331</v>
      </c>
      <c r="N2017" s="26">
        <v>755</v>
      </c>
      <c r="O2017" s="22" t="s">
        <v>6800</v>
      </c>
      <c r="P2017" s="22" t="s">
        <v>7753</v>
      </c>
      <c r="Q2017" s="22">
        <v>90026</v>
      </c>
      <c r="R2017" s="22" t="s">
        <v>6801</v>
      </c>
      <c r="S2017" s="22" t="s">
        <v>6802</v>
      </c>
      <c r="X2017" s="26"/>
      <c r="Y2017" s="26"/>
    </row>
    <row r="2018" spans="1:25" ht="50" x14ac:dyDescent="0.25">
      <c r="A2018" s="21">
        <v>10195</v>
      </c>
      <c r="B2018" s="22" t="s">
        <v>15368</v>
      </c>
      <c r="C2018" s="22" t="s">
        <v>6803</v>
      </c>
      <c r="D2018" s="23">
        <v>400407</v>
      </c>
      <c r="E2018" s="24">
        <v>2002</v>
      </c>
      <c r="F2018" s="22" t="s">
        <v>6804</v>
      </c>
      <c r="G2018" s="23" t="s">
        <v>6805</v>
      </c>
      <c r="H2018" s="25" t="s">
        <v>15373</v>
      </c>
      <c r="I2018" s="22" t="s">
        <v>15374</v>
      </c>
      <c r="J2018" s="22" t="s">
        <v>15420</v>
      </c>
      <c r="K2018" s="26">
        <f t="shared" si="31"/>
        <v>988</v>
      </c>
      <c r="N2018" s="26">
        <v>1482</v>
      </c>
      <c r="O2018" s="22" t="s">
        <v>6806</v>
      </c>
      <c r="P2018" s="22" t="s">
        <v>7753</v>
      </c>
      <c r="Q2018" s="22">
        <v>90017</v>
      </c>
      <c r="R2018" s="22" t="s">
        <v>6807</v>
      </c>
      <c r="S2018" s="22" t="s">
        <v>6808</v>
      </c>
      <c r="X2018" s="26"/>
      <c r="Y2018" s="26"/>
    </row>
    <row r="2019" spans="1:25" ht="50" x14ac:dyDescent="0.25">
      <c r="A2019" s="21">
        <v>10196</v>
      </c>
      <c r="B2019" s="22" t="s">
        <v>15368</v>
      </c>
      <c r="C2019" s="22" t="s">
        <v>6809</v>
      </c>
      <c r="D2019" s="23">
        <v>409179</v>
      </c>
      <c r="E2019" s="24">
        <v>2002</v>
      </c>
      <c r="F2019" s="22" t="s">
        <v>6810</v>
      </c>
      <c r="G2019" s="23" t="s">
        <v>6811</v>
      </c>
      <c r="H2019" s="25" t="s">
        <v>15373</v>
      </c>
      <c r="I2019" s="22" t="s">
        <v>15374</v>
      </c>
      <c r="J2019" s="22" t="s">
        <v>15400</v>
      </c>
      <c r="K2019" s="26">
        <f t="shared" si="31"/>
        <v>1500</v>
      </c>
      <c r="L2019" s="26">
        <v>1500</v>
      </c>
      <c r="O2019" s="22" t="s">
        <v>6812</v>
      </c>
      <c r="P2019" s="22" t="s">
        <v>7864</v>
      </c>
      <c r="Q2019" s="22">
        <v>91730</v>
      </c>
      <c r="R2019" s="22" t="s">
        <v>6813</v>
      </c>
      <c r="S2019" s="22" t="s">
        <v>6814</v>
      </c>
      <c r="X2019" s="26"/>
      <c r="Y2019" s="26"/>
    </row>
    <row r="2020" spans="1:25" ht="50" x14ac:dyDescent="0.25">
      <c r="A2020" s="21">
        <v>10197</v>
      </c>
      <c r="B2020" s="22" t="s">
        <v>15368</v>
      </c>
      <c r="C2020" s="22" t="s">
        <v>13234</v>
      </c>
      <c r="D2020" s="23">
        <v>410104</v>
      </c>
      <c r="E2020" s="24">
        <v>2002</v>
      </c>
      <c r="F2020" s="22" t="s">
        <v>6815</v>
      </c>
      <c r="G2020" s="23" t="s">
        <v>6816</v>
      </c>
      <c r="H2020" s="25" t="s">
        <v>15373</v>
      </c>
      <c r="I2020" s="22" t="s">
        <v>15382</v>
      </c>
      <c r="J2020" s="22" t="s">
        <v>15695</v>
      </c>
      <c r="K2020" s="26">
        <f t="shared" si="31"/>
        <v>506.66666666666663</v>
      </c>
      <c r="N2020" s="26">
        <v>760</v>
      </c>
      <c r="O2020" s="22" t="s">
        <v>6817</v>
      </c>
      <c r="P2020" s="22" t="s">
        <v>7753</v>
      </c>
      <c r="Q2020" s="22">
        <v>90067</v>
      </c>
      <c r="R2020" s="22" t="s">
        <v>6818</v>
      </c>
      <c r="S2020" s="22" t="s">
        <v>6819</v>
      </c>
      <c r="X2020" s="26"/>
      <c r="Y2020" s="26"/>
    </row>
    <row r="2021" spans="1:25" ht="50" x14ac:dyDescent="0.25">
      <c r="A2021" s="21">
        <v>10198</v>
      </c>
      <c r="B2021" s="22" t="s">
        <v>15368</v>
      </c>
      <c r="C2021" s="22" t="s">
        <v>6820</v>
      </c>
      <c r="D2021" s="23">
        <v>408166</v>
      </c>
      <c r="E2021" s="24">
        <v>2002</v>
      </c>
      <c r="F2021" s="22" t="s">
        <v>6821</v>
      </c>
      <c r="G2021" s="23" t="s">
        <v>6811</v>
      </c>
      <c r="H2021" s="25" t="s">
        <v>15373</v>
      </c>
      <c r="I2021" s="22" t="s">
        <v>15374</v>
      </c>
      <c r="J2021" s="22" t="s">
        <v>15400</v>
      </c>
      <c r="K2021" s="26">
        <f t="shared" si="31"/>
        <v>1500</v>
      </c>
      <c r="L2021" s="26">
        <v>1500</v>
      </c>
      <c r="O2021" s="22" t="s">
        <v>6822</v>
      </c>
      <c r="P2021" s="22" t="s">
        <v>6823</v>
      </c>
      <c r="Q2021" s="22">
        <v>92708</v>
      </c>
      <c r="R2021" s="22" t="s">
        <v>6824</v>
      </c>
      <c r="S2021" s="22" t="s">
        <v>6825</v>
      </c>
      <c r="X2021" s="26"/>
      <c r="Y2021" s="26"/>
    </row>
    <row r="2022" spans="1:25" ht="50" x14ac:dyDescent="0.25">
      <c r="A2022" s="21">
        <v>10199</v>
      </c>
      <c r="B2022" s="22" t="s">
        <v>15368</v>
      </c>
      <c r="C2022" s="22" t="s">
        <v>6820</v>
      </c>
      <c r="D2022" s="23">
        <v>408168</v>
      </c>
      <c r="E2022" s="24">
        <v>2002</v>
      </c>
      <c r="F2022" s="22" t="s">
        <v>6826</v>
      </c>
      <c r="G2022" s="23" t="s">
        <v>6827</v>
      </c>
      <c r="H2022" s="25" t="s">
        <v>15373</v>
      </c>
      <c r="I2022" s="22" t="s">
        <v>15382</v>
      </c>
      <c r="J2022" s="22" t="s">
        <v>15391</v>
      </c>
      <c r="K2022" s="26">
        <f t="shared" si="31"/>
        <v>1500</v>
      </c>
      <c r="L2022" s="26">
        <v>1500</v>
      </c>
      <c r="O2022" s="22" t="s">
        <v>6822</v>
      </c>
      <c r="P2022" s="22" t="s">
        <v>6823</v>
      </c>
      <c r="Q2022" s="22">
        <v>92708</v>
      </c>
      <c r="R2022" s="22" t="s">
        <v>6824</v>
      </c>
      <c r="S2022" s="22" t="s">
        <v>6825</v>
      </c>
      <c r="X2022" s="26"/>
      <c r="Y2022" s="26"/>
    </row>
    <row r="2023" spans="1:25" ht="50" x14ac:dyDescent="0.25">
      <c r="A2023" s="21">
        <v>10200</v>
      </c>
      <c r="B2023" s="22" t="s">
        <v>15368</v>
      </c>
      <c r="C2023" s="22" t="s">
        <v>6820</v>
      </c>
      <c r="D2023" s="23">
        <v>408169</v>
      </c>
      <c r="E2023" s="24">
        <v>2002</v>
      </c>
      <c r="F2023" s="22" t="s">
        <v>6828</v>
      </c>
      <c r="G2023" s="23" t="s">
        <v>6829</v>
      </c>
      <c r="H2023" s="25" t="s">
        <v>15373</v>
      </c>
      <c r="I2023" s="22" t="s">
        <v>15411</v>
      </c>
      <c r="J2023" s="22" t="s">
        <v>16803</v>
      </c>
      <c r="K2023" s="26">
        <f t="shared" si="31"/>
        <v>1466.6666666666665</v>
      </c>
      <c r="N2023" s="26">
        <v>2200</v>
      </c>
      <c r="O2023" s="22" t="s">
        <v>6822</v>
      </c>
      <c r="P2023" s="22" t="s">
        <v>6823</v>
      </c>
      <c r="Q2023" s="22">
        <v>92708</v>
      </c>
      <c r="R2023" s="22" t="s">
        <v>6824</v>
      </c>
      <c r="S2023" s="22" t="s">
        <v>6825</v>
      </c>
      <c r="X2023" s="26"/>
      <c r="Y2023" s="26"/>
    </row>
    <row r="2024" spans="1:25" ht="50" x14ac:dyDescent="0.25">
      <c r="A2024" s="21">
        <v>10210</v>
      </c>
      <c r="B2024" s="22" t="s">
        <v>15368</v>
      </c>
      <c r="C2024" s="22" t="s">
        <v>5789</v>
      </c>
      <c r="D2024" s="23">
        <v>408455</v>
      </c>
      <c r="E2024" s="24">
        <v>2002</v>
      </c>
      <c r="F2024" s="22" t="s">
        <v>7561</v>
      </c>
      <c r="G2024" s="23" t="s">
        <v>7562</v>
      </c>
      <c r="H2024" s="25" t="s">
        <v>15373</v>
      </c>
      <c r="I2024" s="22" t="s">
        <v>15374</v>
      </c>
      <c r="J2024" s="22" t="s">
        <v>11368</v>
      </c>
      <c r="K2024" s="26">
        <f t="shared" si="31"/>
        <v>1000</v>
      </c>
      <c r="L2024" s="26">
        <v>1000</v>
      </c>
      <c r="O2024" s="22" t="s">
        <v>7563</v>
      </c>
      <c r="P2024" s="22" t="s">
        <v>7753</v>
      </c>
      <c r="Q2024" s="22">
        <v>90018</v>
      </c>
      <c r="R2024" s="22" t="s">
        <v>7564</v>
      </c>
      <c r="S2024" s="22" t="s">
        <v>7565</v>
      </c>
      <c r="X2024" s="26"/>
      <c r="Y2024" s="26"/>
    </row>
    <row r="2025" spans="1:25" ht="50" x14ac:dyDescent="0.25">
      <c r="A2025" s="21">
        <v>10211</v>
      </c>
      <c r="B2025" s="22" t="s">
        <v>15368</v>
      </c>
      <c r="C2025" s="22" t="s">
        <v>7566</v>
      </c>
      <c r="D2025" s="23">
        <v>403417</v>
      </c>
      <c r="E2025" s="24">
        <v>2002</v>
      </c>
      <c r="F2025" s="22" t="s">
        <v>7567</v>
      </c>
      <c r="G2025" s="23" t="s">
        <v>7568</v>
      </c>
      <c r="H2025" s="25" t="s">
        <v>15373</v>
      </c>
      <c r="I2025" s="22" t="s">
        <v>15374</v>
      </c>
      <c r="J2025" s="22">
        <v>3512</v>
      </c>
      <c r="K2025" s="26">
        <f t="shared" si="31"/>
        <v>1474</v>
      </c>
      <c r="N2025" s="26">
        <v>2211</v>
      </c>
      <c r="O2025" s="22" t="s">
        <v>5762</v>
      </c>
      <c r="P2025" s="22" t="s">
        <v>7569</v>
      </c>
      <c r="Q2025" s="22">
        <v>94583</v>
      </c>
      <c r="R2025" s="22" t="s">
        <v>7570</v>
      </c>
      <c r="S2025" s="22" t="s">
        <v>5798</v>
      </c>
      <c r="X2025" s="26"/>
      <c r="Y2025" s="26"/>
    </row>
    <row r="2026" spans="1:25" ht="50" x14ac:dyDescent="0.25">
      <c r="A2026" s="21">
        <v>10212</v>
      </c>
      <c r="B2026" s="22" t="s">
        <v>15368</v>
      </c>
      <c r="C2026" s="22" t="s">
        <v>7566</v>
      </c>
      <c r="D2026" s="23">
        <v>403419</v>
      </c>
      <c r="E2026" s="24">
        <v>2002</v>
      </c>
      <c r="F2026" s="22" t="s">
        <v>7571</v>
      </c>
      <c r="G2026" s="23" t="s">
        <v>7572</v>
      </c>
      <c r="H2026" s="25" t="s">
        <v>15373</v>
      </c>
      <c r="I2026" s="22" t="s">
        <v>15374</v>
      </c>
      <c r="J2026" s="22">
        <v>3508</v>
      </c>
      <c r="K2026" s="26">
        <f t="shared" si="31"/>
        <v>752.66666666666663</v>
      </c>
      <c r="N2026" s="26">
        <v>1129</v>
      </c>
      <c r="O2026" s="22" t="s">
        <v>5762</v>
      </c>
      <c r="P2026" s="22" t="s">
        <v>7569</v>
      </c>
      <c r="Q2026" s="22">
        <v>94583</v>
      </c>
      <c r="R2026" s="22" t="s">
        <v>7570</v>
      </c>
      <c r="S2026" s="22" t="s">
        <v>5798</v>
      </c>
      <c r="X2026" s="26"/>
      <c r="Y2026" s="26"/>
    </row>
    <row r="2027" spans="1:25" ht="50" x14ac:dyDescent="0.25">
      <c r="A2027" s="21">
        <v>10213</v>
      </c>
      <c r="B2027" s="22" t="s">
        <v>15368</v>
      </c>
      <c r="C2027" s="22" t="s">
        <v>7566</v>
      </c>
      <c r="D2027" s="23">
        <v>403420</v>
      </c>
      <c r="E2027" s="24">
        <v>2002</v>
      </c>
      <c r="F2027" s="22" t="s">
        <v>7573</v>
      </c>
      <c r="G2027" s="23" t="s">
        <v>7574</v>
      </c>
      <c r="H2027" s="25" t="s">
        <v>15373</v>
      </c>
      <c r="I2027" s="22" t="s">
        <v>15374</v>
      </c>
      <c r="J2027" s="22">
        <v>3508</v>
      </c>
      <c r="K2027" s="26">
        <f t="shared" si="31"/>
        <v>752.66666666666663</v>
      </c>
      <c r="N2027" s="26">
        <v>1129</v>
      </c>
      <c r="O2027" s="22" t="s">
        <v>5762</v>
      </c>
      <c r="P2027" s="22" t="s">
        <v>7569</v>
      </c>
      <c r="Q2027" s="22">
        <v>94583</v>
      </c>
      <c r="R2027" s="22" t="s">
        <v>7570</v>
      </c>
      <c r="S2027" s="22" t="s">
        <v>5798</v>
      </c>
      <c r="X2027" s="26"/>
      <c r="Y2027" s="26"/>
    </row>
    <row r="2028" spans="1:25" ht="50" x14ac:dyDescent="0.25">
      <c r="A2028" s="21">
        <v>10214</v>
      </c>
      <c r="B2028" s="22" t="s">
        <v>15368</v>
      </c>
      <c r="C2028" s="22" t="s">
        <v>7575</v>
      </c>
      <c r="D2028" s="23">
        <v>407066</v>
      </c>
      <c r="E2028" s="24">
        <v>2002</v>
      </c>
      <c r="F2028" s="22" t="s">
        <v>7576</v>
      </c>
      <c r="G2028" s="23" t="s">
        <v>7577</v>
      </c>
      <c r="H2028" s="25" t="s">
        <v>15373</v>
      </c>
      <c r="I2028" s="22" t="s">
        <v>15374</v>
      </c>
      <c r="J2028" s="22" t="s">
        <v>15516</v>
      </c>
      <c r="K2028" s="26">
        <f t="shared" si="31"/>
        <v>800</v>
      </c>
      <c r="L2028" s="26">
        <v>800</v>
      </c>
      <c r="O2028" s="22" t="s">
        <v>7578</v>
      </c>
      <c r="P2028" s="22" t="s">
        <v>7753</v>
      </c>
      <c r="Q2028" s="22">
        <v>90065</v>
      </c>
      <c r="R2028" s="22" t="s">
        <v>7579</v>
      </c>
      <c r="S2028" s="22" t="s">
        <v>6372</v>
      </c>
      <c r="X2028" s="26"/>
      <c r="Y2028" s="26"/>
    </row>
    <row r="2029" spans="1:25" ht="50" x14ac:dyDescent="0.25">
      <c r="A2029" s="21">
        <v>10215</v>
      </c>
      <c r="B2029" s="22" t="s">
        <v>15368</v>
      </c>
      <c r="C2029" s="22" t="s">
        <v>6373</v>
      </c>
      <c r="D2029" s="23">
        <v>364969</v>
      </c>
      <c r="E2029" s="24">
        <v>2000</v>
      </c>
      <c r="F2029" s="22" t="s">
        <v>6374</v>
      </c>
      <c r="G2029" s="23" t="s">
        <v>6375</v>
      </c>
      <c r="H2029" s="25" t="s">
        <v>15373</v>
      </c>
      <c r="I2029" s="22" t="s">
        <v>15382</v>
      </c>
      <c r="J2029" s="22" t="s">
        <v>12903</v>
      </c>
      <c r="K2029" s="26">
        <f t="shared" si="31"/>
        <v>1994.6666666666665</v>
      </c>
      <c r="N2029" s="26">
        <v>2992</v>
      </c>
      <c r="O2029" s="22" t="s">
        <v>6376</v>
      </c>
      <c r="P2029" s="22" t="s">
        <v>6377</v>
      </c>
      <c r="Q2029" s="22">
        <v>90292</v>
      </c>
      <c r="R2029" s="22" t="s">
        <v>6378</v>
      </c>
      <c r="S2029" s="22" t="s">
        <v>6379</v>
      </c>
      <c r="X2029" s="26"/>
      <c r="Y2029" s="26"/>
    </row>
    <row r="2030" spans="1:25" ht="37.5" x14ac:dyDescent="0.25">
      <c r="A2030" s="21">
        <v>10216</v>
      </c>
      <c r="B2030" s="22" t="s">
        <v>15368</v>
      </c>
      <c r="C2030" s="22" t="s">
        <v>6380</v>
      </c>
      <c r="D2030" s="23">
        <v>403756</v>
      </c>
      <c r="E2030" s="24">
        <v>2002</v>
      </c>
      <c r="F2030" s="22" t="s">
        <v>6381</v>
      </c>
      <c r="G2030" s="23" t="s">
        <v>6382</v>
      </c>
      <c r="H2030" s="25" t="s">
        <v>15373</v>
      </c>
      <c r="I2030" s="22" t="s">
        <v>15709</v>
      </c>
      <c r="J2030" s="22" t="s">
        <v>15636</v>
      </c>
      <c r="K2030" s="26">
        <f t="shared" si="31"/>
        <v>567.33333333333326</v>
      </c>
      <c r="N2030" s="26">
        <v>851</v>
      </c>
      <c r="O2030" s="22" t="s">
        <v>6383</v>
      </c>
      <c r="P2030" s="22" t="s">
        <v>7134</v>
      </c>
      <c r="Q2030" s="22">
        <v>90277</v>
      </c>
      <c r="R2030" s="22" t="s">
        <v>6384</v>
      </c>
      <c r="S2030" s="22" t="s">
        <v>6385</v>
      </c>
      <c r="X2030" s="26"/>
      <c r="Y2030" s="26"/>
    </row>
    <row r="2031" spans="1:25" ht="50" x14ac:dyDescent="0.25">
      <c r="A2031" s="21">
        <v>10217</v>
      </c>
      <c r="B2031" s="22" t="s">
        <v>15368</v>
      </c>
      <c r="C2031" s="22" t="s">
        <v>6386</v>
      </c>
      <c r="D2031" s="23">
        <v>411359</v>
      </c>
      <c r="E2031" s="24">
        <v>2003</v>
      </c>
      <c r="F2031" s="22" t="s">
        <v>6387</v>
      </c>
      <c r="G2031" s="23" t="s">
        <v>6388</v>
      </c>
      <c r="H2031" s="25" t="s">
        <v>15373</v>
      </c>
      <c r="I2031" s="22" t="s">
        <v>15374</v>
      </c>
      <c r="J2031" s="22" t="s">
        <v>15420</v>
      </c>
      <c r="K2031" s="26">
        <f t="shared" si="31"/>
        <v>1250</v>
      </c>
      <c r="L2031" s="26">
        <v>1250</v>
      </c>
      <c r="O2031" s="22" t="s">
        <v>6389</v>
      </c>
      <c r="P2031" s="22" t="s">
        <v>5802</v>
      </c>
      <c r="Q2031" s="22">
        <v>92675</v>
      </c>
      <c r="R2031" s="22" t="s">
        <v>6390</v>
      </c>
      <c r="S2031" s="22" t="s">
        <v>6391</v>
      </c>
      <c r="X2031" s="26"/>
      <c r="Y2031" s="26"/>
    </row>
    <row r="2032" spans="1:25" ht="50" x14ac:dyDescent="0.25">
      <c r="A2032" s="21">
        <v>10218</v>
      </c>
      <c r="B2032" s="22" t="s">
        <v>15368</v>
      </c>
      <c r="C2032" s="22" t="s">
        <v>6386</v>
      </c>
      <c r="D2032" s="23">
        <v>411360</v>
      </c>
      <c r="E2032" s="24">
        <v>2003</v>
      </c>
      <c r="F2032" s="22" t="s">
        <v>6392</v>
      </c>
      <c r="G2032" s="23" t="s">
        <v>7562</v>
      </c>
      <c r="H2032" s="25" t="s">
        <v>15373</v>
      </c>
      <c r="I2032" s="22" t="s">
        <v>15374</v>
      </c>
      <c r="J2032" s="22" t="s">
        <v>11368</v>
      </c>
      <c r="K2032" s="26">
        <f t="shared" si="31"/>
        <v>1000</v>
      </c>
      <c r="L2032" s="26">
        <v>1000</v>
      </c>
      <c r="O2032" s="22" t="s">
        <v>6389</v>
      </c>
      <c r="P2032" s="22" t="s">
        <v>5802</v>
      </c>
      <c r="Q2032" s="22">
        <v>92675</v>
      </c>
      <c r="R2032" s="22" t="s">
        <v>6390</v>
      </c>
      <c r="S2032" s="22" t="s">
        <v>6391</v>
      </c>
      <c r="X2032" s="26"/>
      <c r="Y2032" s="26"/>
    </row>
    <row r="2033" spans="1:25" ht="50" x14ac:dyDescent="0.25">
      <c r="A2033" s="21">
        <v>10219</v>
      </c>
      <c r="B2033" s="22" t="s">
        <v>15368</v>
      </c>
      <c r="C2033" s="22" t="s">
        <v>6393</v>
      </c>
      <c r="D2033" s="23">
        <v>405432</v>
      </c>
      <c r="E2033" s="24">
        <v>2002</v>
      </c>
      <c r="F2033" s="22" t="s">
        <v>6394</v>
      </c>
      <c r="G2033" s="23" t="s">
        <v>6395</v>
      </c>
      <c r="H2033" s="25" t="s">
        <v>15373</v>
      </c>
      <c r="I2033" s="22" t="s">
        <v>15411</v>
      </c>
      <c r="J2033" s="22" t="s">
        <v>15068</v>
      </c>
      <c r="K2033" s="26">
        <f t="shared" si="31"/>
        <v>730</v>
      </c>
      <c r="N2033" s="26">
        <v>1095</v>
      </c>
      <c r="O2033" s="22" t="s">
        <v>6396</v>
      </c>
      <c r="P2033" s="22" t="s">
        <v>7788</v>
      </c>
      <c r="Q2033" s="22">
        <v>91505</v>
      </c>
      <c r="R2033" s="22" t="s">
        <v>6397</v>
      </c>
      <c r="S2033" s="22" t="s">
        <v>6830</v>
      </c>
      <c r="X2033" s="26"/>
      <c r="Y2033" s="26"/>
    </row>
    <row r="2034" spans="1:25" ht="100" x14ac:dyDescent="0.25">
      <c r="A2034" s="21">
        <v>10220</v>
      </c>
      <c r="B2034" s="22" t="s">
        <v>15368</v>
      </c>
      <c r="C2034" s="22" t="s">
        <v>6831</v>
      </c>
      <c r="D2034" s="23">
        <v>407100</v>
      </c>
      <c r="E2034" s="24">
        <v>2002</v>
      </c>
      <c r="F2034" s="22" t="s">
        <v>6832</v>
      </c>
      <c r="G2034" s="23" t="s">
        <v>6833</v>
      </c>
      <c r="H2034" s="25" t="s">
        <v>6834</v>
      </c>
      <c r="I2034" s="22" t="s">
        <v>15374</v>
      </c>
      <c r="J2034" s="22" t="s">
        <v>9428</v>
      </c>
      <c r="K2034" s="26">
        <f t="shared" si="31"/>
        <v>414.66666666666663</v>
      </c>
      <c r="N2034" s="26">
        <v>622</v>
      </c>
      <c r="O2034" s="22" t="s">
        <v>6835</v>
      </c>
      <c r="P2034" s="22" t="s">
        <v>6836</v>
      </c>
      <c r="Q2034" s="22">
        <v>91765</v>
      </c>
      <c r="R2034" s="22" t="s">
        <v>6837</v>
      </c>
      <c r="S2034" s="22" t="s">
        <v>6838</v>
      </c>
      <c r="X2034" s="26"/>
      <c r="Y2034" s="26"/>
    </row>
    <row r="2035" spans="1:25" ht="50" x14ac:dyDescent="0.25">
      <c r="A2035" s="21">
        <v>10221</v>
      </c>
      <c r="B2035" s="22" t="s">
        <v>15368</v>
      </c>
      <c r="C2035" s="22" t="s">
        <v>6839</v>
      </c>
      <c r="D2035" s="23">
        <v>407030</v>
      </c>
      <c r="E2035" s="24">
        <v>2002</v>
      </c>
      <c r="F2035" s="22" t="s">
        <v>6840</v>
      </c>
      <c r="G2035" s="23" t="s">
        <v>6841</v>
      </c>
      <c r="H2035" s="25" t="s">
        <v>15373</v>
      </c>
      <c r="I2035" s="22" t="s">
        <v>15374</v>
      </c>
      <c r="J2035" s="22" t="s">
        <v>15400</v>
      </c>
      <c r="K2035" s="26">
        <f t="shared" si="31"/>
        <v>1250</v>
      </c>
      <c r="L2035" s="26">
        <v>1250</v>
      </c>
      <c r="O2035" s="22" t="s">
        <v>6842</v>
      </c>
      <c r="P2035" s="22" t="s">
        <v>6843</v>
      </c>
      <c r="Q2035" s="22">
        <v>91355</v>
      </c>
      <c r="R2035" s="22" t="s">
        <v>6844</v>
      </c>
      <c r="S2035" s="22" t="s">
        <v>6845</v>
      </c>
      <c r="X2035" s="26"/>
      <c r="Y2035" s="26"/>
    </row>
    <row r="2036" spans="1:25" ht="50" x14ac:dyDescent="0.25">
      <c r="A2036" s="21">
        <v>10222</v>
      </c>
      <c r="B2036" s="22" t="s">
        <v>15368</v>
      </c>
      <c r="C2036" s="22" t="s">
        <v>6839</v>
      </c>
      <c r="D2036" s="23">
        <v>407031</v>
      </c>
      <c r="E2036" s="24">
        <v>2002</v>
      </c>
      <c r="F2036" s="22" t="s">
        <v>6846</v>
      </c>
      <c r="G2036" s="23" t="s">
        <v>6841</v>
      </c>
      <c r="H2036" s="25" t="s">
        <v>15373</v>
      </c>
      <c r="I2036" s="22" t="s">
        <v>15374</v>
      </c>
      <c r="J2036" s="22" t="s">
        <v>15400</v>
      </c>
      <c r="K2036" s="26">
        <f t="shared" si="31"/>
        <v>1250</v>
      </c>
      <c r="L2036" s="26">
        <v>1250</v>
      </c>
      <c r="O2036" s="22" t="s">
        <v>6842</v>
      </c>
      <c r="P2036" s="22" t="s">
        <v>6843</v>
      </c>
      <c r="Q2036" s="22">
        <v>91355</v>
      </c>
      <c r="R2036" s="22" t="s">
        <v>6844</v>
      </c>
      <c r="S2036" s="22" t="s">
        <v>6845</v>
      </c>
      <c r="X2036" s="26"/>
      <c r="Y2036" s="26"/>
    </row>
    <row r="2037" spans="1:25" ht="50" x14ac:dyDescent="0.25">
      <c r="A2037" s="21">
        <v>10223</v>
      </c>
      <c r="B2037" s="22" t="s">
        <v>15368</v>
      </c>
      <c r="C2037" s="22" t="s">
        <v>6847</v>
      </c>
      <c r="D2037" s="23">
        <v>403465</v>
      </c>
      <c r="E2037" s="24">
        <v>2002</v>
      </c>
      <c r="F2037" s="22" t="s">
        <v>6848</v>
      </c>
      <c r="G2037" s="23" t="s">
        <v>6849</v>
      </c>
      <c r="H2037" s="25" t="s">
        <v>15373</v>
      </c>
      <c r="I2037" s="22" t="s">
        <v>15382</v>
      </c>
      <c r="J2037" s="22" t="s">
        <v>15955</v>
      </c>
      <c r="K2037" s="26">
        <f t="shared" si="31"/>
        <v>756.66666666666663</v>
      </c>
      <c r="N2037" s="26">
        <v>1135</v>
      </c>
      <c r="O2037" s="22" t="s">
        <v>6850</v>
      </c>
      <c r="P2037" s="22" t="s">
        <v>6851</v>
      </c>
      <c r="Q2037" s="22">
        <v>91723</v>
      </c>
      <c r="R2037" s="22" t="s">
        <v>6852</v>
      </c>
      <c r="S2037" s="22" t="s">
        <v>6853</v>
      </c>
      <c r="X2037" s="26"/>
      <c r="Y2037" s="26"/>
    </row>
    <row r="2038" spans="1:25" ht="50" x14ac:dyDescent="0.25">
      <c r="A2038" s="21">
        <v>10224</v>
      </c>
      <c r="B2038" s="22" t="s">
        <v>15368</v>
      </c>
      <c r="C2038" s="22" t="s">
        <v>6854</v>
      </c>
      <c r="D2038" s="23">
        <v>379504</v>
      </c>
      <c r="E2038" s="24">
        <v>2000</v>
      </c>
      <c r="F2038" s="22" t="s">
        <v>8835</v>
      </c>
      <c r="G2038" s="23" t="s">
        <v>6855</v>
      </c>
      <c r="H2038" s="25" t="s">
        <v>15373</v>
      </c>
      <c r="I2038" s="22" t="s">
        <v>15374</v>
      </c>
      <c r="J2038" s="22" t="s">
        <v>15420</v>
      </c>
      <c r="K2038" s="26">
        <f t="shared" si="31"/>
        <v>1200.6666666666665</v>
      </c>
      <c r="N2038" s="26">
        <v>1801</v>
      </c>
      <c r="O2038" s="22" t="s">
        <v>6856</v>
      </c>
      <c r="P2038" s="22" t="s">
        <v>6857</v>
      </c>
      <c r="Q2038" s="22">
        <v>92501</v>
      </c>
      <c r="R2038" s="22" t="s">
        <v>6858</v>
      </c>
      <c r="S2038" s="22" t="s">
        <v>6859</v>
      </c>
      <c r="X2038" s="26"/>
      <c r="Y2038" s="26"/>
    </row>
    <row r="2039" spans="1:25" ht="50" x14ac:dyDescent="0.25">
      <c r="A2039" s="21">
        <v>10225</v>
      </c>
      <c r="B2039" s="22" t="s">
        <v>15368</v>
      </c>
      <c r="C2039" s="22" t="s">
        <v>6860</v>
      </c>
      <c r="D2039" s="23">
        <v>400968</v>
      </c>
      <c r="E2039" s="24">
        <v>2002</v>
      </c>
      <c r="F2039" s="22" t="s">
        <v>6861</v>
      </c>
      <c r="G2039" s="23" t="s">
        <v>6862</v>
      </c>
      <c r="H2039" s="25" t="s">
        <v>15373</v>
      </c>
      <c r="I2039" s="22" t="s">
        <v>15374</v>
      </c>
      <c r="J2039" s="22" t="s">
        <v>12893</v>
      </c>
      <c r="K2039" s="26">
        <f t="shared" si="31"/>
        <v>2000</v>
      </c>
      <c r="L2039" s="26">
        <v>2000</v>
      </c>
      <c r="O2039" s="22" t="s">
        <v>6863</v>
      </c>
      <c r="P2039" s="22" t="s">
        <v>6857</v>
      </c>
      <c r="Q2039" s="22">
        <v>92507</v>
      </c>
      <c r="R2039" s="22" t="s">
        <v>6864</v>
      </c>
      <c r="S2039" s="22" t="s">
        <v>6865</v>
      </c>
      <c r="X2039" s="26"/>
      <c r="Y2039" s="26"/>
    </row>
    <row r="2040" spans="1:25" ht="50" x14ac:dyDescent="0.25">
      <c r="A2040" s="21">
        <v>10226</v>
      </c>
      <c r="B2040" s="22" t="s">
        <v>15368</v>
      </c>
      <c r="C2040" s="22" t="s">
        <v>6860</v>
      </c>
      <c r="D2040" s="23">
        <v>400978</v>
      </c>
      <c r="E2040" s="24">
        <v>2002</v>
      </c>
      <c r="F2040" s="22" t="s">
        <v>6866</v>
      </c>
      <c r="G2040" s="23" t="s">
        <v>6867</v>
      </c>
      <c r="H2040" s="25" t="s">
        <v>15373</v>
      </c>
      <c r="I2040" s="22" t="s">
        <v>15374</v>
      </c>
      <c r="J2040" s="22" t="s">
        <v>12893</v>
      </c>
      <c r="K2040" s="26">
        <f t="shared" si="31"/>
        <v>2000</v>
      </c>
      <c r="L2040" s="26">
        <v>2000</v>
      </c>
      <c r="O2040" s="22" t="s">
        <v>6863</v>
      </c>
      <c r="P2040" s="22" t="s">
        <v>6857</v>
      </c>
      <c r="Q2040" s="22">
        <v>92507</v>
      </c>
      <c r="R2040" s="22" t="s">
        <v>6864</v>
      </c>
      <c r="S2040" s="22" t="s">
        <v>6865</v>
      </c>
      <c r="X2040" s="26"/>
      <c r="Y2040" s="26"/>
    </row>
    <row r="2041" spans="1:25" ht="50" x14ac:dyDescent="0.25">
      <c r="A2041" s="21">
        <v>10227</v>
      </c>
      <c r="B2041" s="22" t="s">
        <v>15368</v>
      </c>
      <c r="C2041" s="22" t="s">
        <v>6860</v>
      </c>
      <c r="D2041" s="23">
        <v>400984</v>
      </c>
      <c r="E2041" s="24">
        <v>2002</v>
      </c>
      <c r="F2041" s="22" t="s">
        <v>6868</v>
      </c>
      <c r="G2041" s="23" t="s">
        <v>6869</v>
      </c>
      <c r="H2041" s="25" t="s">
        <v>15373</v>
      </c>
      <c r="I2041" s="22" t="s">
        <v>15374</v>
      </c>
      <c r="J2041" s="22" t="s">
        <v>12893</v>
      </c>
      <c r="K2041" s="26">
        <f t="shared" si="31"/>
        <v>2000</v>
      </c>
      <c r="L2041" s="26">
        <v>2000</v>
      </c>
      <c r="O2041" s="22" t="s">
        <v>6863</v>
      </c>
      <c r="P2041" s="22" t="s">
        <v>6857</v>
      </c>
      <c r="Q2041" s="22">
        <v>92507</v>
      </c>
      <c r="R2041" s="22" t="s">
        <v>6864</v>
      </c>
      <c r="S2041" s="22" t="s">
        <v>6865</v>
      </c>
      <c r="X2041" s="26"/>
      <c r="Y2041" s="26"/>
    </row>
    <row r="2042" spans="1:25" ht="50" x14ac:dyDescent="0.25">
      <c r="A2042" s="21">
        <v>10228</v>
      </c>
      <c r="B2042" s="22" t="s">
        <v>15368</v>
      </c>
      <c r="C2042" s="22" t="s">
        <v>6860</v>
      </c>
      <c r="D2042" s="23">
        <v>407027</v>
      </c>
      <c r="E2042" s="24">
        <v>2002</v>
      </c>
      <c r="F2042" s="22" t="s">
        <v>6870</v>
      </c>
      <c r="G2042" s="23" t="s">
        <v>6871</v>
      </c>
      <c r="H2042" s="25" t="s">
        <v>15373</v>
      </c>
      <c r="I2042" s="22" t="s">
        <v>15382</v>
      </c>
      <c r="J2042" s="22" t="s">
        <v>12903</v>
      </c>
      <c r="K2042" s="26">
        <f t="shared" si="31"/>
        <v>1948</v>
      </c>
      <c r="N2042" s="26">
        <v>2922</v>
      </c>
      <c r="O2042" s="22" t="s">
        <v>6863</v>
      </c>
      <c r="P2042" s="22" t="s">
        <v>6857</v>
      </c>
      <c r="Q2042" s="22">
        <v>92507</v>
      </c>
      <c r="R2042" s="22" t="s">
        <v>6864</v>
      </c>
      <c r="S2042" s="22" t="s">
        <v>6865</v>
      </c>
      <c r="X2042" s="26"/>
      <c r="Y2042" s="26"/>
    </row>
    <row r="2043" spans="1:25" ht="50" x14ac:dyDescent="0.25">
      <c r="A2043" s="21">
        <v>10229</v>
      </c>
      <c r="B2043" s="22" t="s">
        <v>15368</v>
      </c>
      <c r="C2043" s="22" t="s">
        <v>6860</v>
      </c>
      <c r="D2043" s="23">
        <v>407028</v>
      </c>
      <c r="E2043" s="24">
        <v>2002</v>
      </c>
      <c r="F2043" s="22" t="s">
        <v>6872</v>
      </c>
      <c r="G2043" s="23" t="s">
        <v>6873</v>
      </c>
      <c r="H2043" s="25" t="s">
        <v>15373</v>
      </c>
      <c r="I2043" s="22" t="s">
        <v>15382</v>
      </c>
      <c r="J2043" s="22" t="s">
        <v>12903</v>
      </c>
      <c r="K2043" s="26">
        <f t="shared" si="31"/>
        <v>1948</v>
      </c>
      <c r="N2043" s="26">
        <v>2922</v>
      </c>
      <c r="O2043" s="22" t="s">
        <v>6863</v>
      </c>
      <c r="P2043" s="22" t="s">
        <v>6857</v>
      </c>
      <c r="Q2043" s="22">
        <v>92507</v>
      </c>
      <c r="R2043" s="22" t="s">
        <v>6864</v>
      </c>
      <c r="S2043" s="22" t="s">
        <v>6865</v>
      </c>
      <c r="X2043" s="26"/>
      <c r="Y2043" s="26"/>
    </row>
    <row r="2044" spans="1:25" ht="50" x14ac:dyDescent="0.25">
      <c r="A2044" s="21">
        <v>10230</v>
      </c>
      <c r="B2044" s="22" t="s">
        <v>15368</v>
      </c>
      <c r="C2044" s="22" t="s">
        <v>6874</v>
      </c>
      <c r="D2044" s="23">
        <v>407087</v>
      </c>
      <c r="E2044" s="24">
        <v>2002</v>
      </c>
      <c r="F2044" s="22" t="s">
        <v>6875</v>
      </c>
      <c r="G2044" s="23" t="s">
        <v>6876</v>
      </c>
      <c r="H2044" s="25" t="s">
        <v>15373</v>
      </c>
      <c r="I2044" s="22" t="s">
        <v>15374</v>
      </c>
      <c r="J2044" s="22" t="s">
        <v>12893</v>
      </c>
      <c r="K2044" s="26">
        <f t="shared" si="31"/>
        <v>2000</v>
      </c>
      <c r="L2044" s="26">
        <v>2000</v>
      </c>
      <c r="O2044" s="22" t="s">
        <v>6877</v>
      </c>
      <c r="P2044" s="22" t="s">
        <v>7753</v>
      </c>
      <c r="Q2044" s="22">
        <v>90012</v>
      </c>
      <c r="R2044" s="22" t="s">
        <v>6878</v>
      </c>
      <c r="S2044" s="22" t="s">
        <v>6879</v>
      </c>
      <c r="X2044" s="26"/>
      <c r="Y2044" s="26"/>
    </row>
    <row r="2045" spans="1:25" ht="50" x14ac:dyDescent="0.25">
      <c r="A2045" s="21">
        <v>10231</v>
      </c>
      <c r="B2045" s="22" t="s">
        <v>15368</v>
      </c>
      <c r="C2045" s="22" t="s">
        <v>6880</v>
      </c>
      <c r="D2045" s="23">
        <v>403545</v>
      </c>
      <c r="E2045" s="24">
        <v>2002</v>
      </c>
      <c r="F2045" s="22" t="s">
        <v>6881</v>
      </c>
      <c r="G2045" s="23" t="s">
        <v>6882</v>
      </c>
      <c r="H2045" s="25" t="s">
        <v>15373</v>
      </c>
      <c r="I2045" s="22" t="s">
        <v>15382</v>
      </c>
      <c r="J2045" s="22" t="s">
        <v>16861</v>
      </c>
      <c r="K2045" s="26">
        <f t="shared" si="31"/>
        <v>400</v>
      </c>
      <c r="N2045" s="26">
        <v>600</v>
      </c>
      <c r="O2045" s="22" t="s">
        <v>6883</v>
      </c>
      <c r="P2045" s="22" t="s">
        <v>7713</v>
      </c>
      <c r="Q2045" s="22">
        <v>92701</v>
      </c>
      <c r="R2045" s="22" t="s">
        <v>6884</v>
      </c>
      <c r="S2045" s="22" t="s">
        <v>6885</v>
      </c>
      <c r="X2045" s="26"/>
      <c r="Y2045" s="26"/>
    </row>
    <row r="2046" spans="1:25" ht="50" x14ac:dyDescent="0.25">
      <c r="A2046" s="21">
        <v>10232</v>
      </c>
      <c r="B2046" s="22" t="s">
        <v>15368</v>
      </c>
      <c r="C2046" s="22" t="s">
        <v>6886</v>
      </c>
      <c r="D2046" s="23">
        <v>244222</v>
      </c>
      <c r="E2046" s="24">
        <v>1991</v>
      </c>
      <c r="F2046" s="22" t="s">
        <v>6887</v>
      </c>
      <c r="G2046" s="23" t="s">
        <v>6888</v>
      </c>
      <c r="H2046" s="25" t="s">
        <v>15373</v>
      </c>
      <c r="I2046" s="22" t="s">
        <v>15374</v>
      </c>
      <c r="J2046" s="22" t="s">
        <v>15731</v>
      </c>
      <c r="K2046" s="26">
        <f t="shared" si="31"/>
        <v>1201.3333333333333</v>
      </c>
      <c r="N2046" s="26">
        <v>1802</v>
      </c>
      <c r="O2046" s="22" t="s">
        <v>6889</v>
      </c>
      <c r="P2046" s="22" t="s">
        <v>7706</v>
      </c>
      <c r="Q2046" s="22">
        <v>91761</v>
      </c>
      <c r="R2046" s="22" t="s">
        <v>6890</v>
      </c>
      <c r="S2046" s="22" t="s">
        <v>6891</v>
      </c>
      <c r="X2046" s="26"/>
      <c r="Y2046" s="26"/>
    </row>
    <row r="2047" spans="1:25" ht="50" x14ac:dyDescent="0.25">
      <c r="A2047" s="21">
        <v>10233</v>
      </c>
      <c r="B2047" s="22" t="s">
        <v>15368</v>
      </c>
      <c r="C2047" s="22" t="s">
        <v>6886</v>
      </c>
      <c r="D2047" s="23">
        <v>244223</v>
      </c>
      <c r="E2047" s="24">
        <v>1991</v>
      </c>
      <c r="F2047" s="22" t="s">
        <v>10940</v>
      </c>
      <c r="G2047" s="23" t="s">
        <v>6888</v>
      </c>
      <c r="H2047" s="25" t="s">
        <v>15373</v>
      </c>
      <c r="I2047" s="22" t="s">
        <v>15374</v>
      </c>
      <c r="J2047" s="22" t="s">
        <v>15731</v>
      </c>
      <c r="K2047" s="26">
        <f t="shared" si="31"/>
        <v>1201.3333333333333</v>
      </c>
      <c r="N2047" s="26">
        <v>1802</v>
      </c>
      <c r="O2047" s="22" t="s">
        <v>6889</v>
      </c>
      <c r="P2047" s="22" t="s">
        <v>7706</v>
      </c>
      <c r="Q2047" s="22">
        <v>91761</v>
      </c>
      <c r="R2047" s="22" t="s">
        <v>6890</v>
      </c>
      <c r="S2047" s="22" t="s">
        <v>6891</v>
      </c>
      <c r="X2047" s="26"/>
      <c r="Y2047" s="26"/>
    </row>
    <row r="2048" spans="1:25" ht="50" x14ac:dyDescent="0.25">
      <c r="A2048" s="21">
        <v>10234</v>
      </c>
      <c r="B2048" s="22" t="s">
        <v>15368</v>
      </c>
      <c r="C2048" s="22" t="s">
        <v>6886</v>
      </c>
      <c r="D2048" s="23">
        <v>244224</v>
      </c>
      <c r="E2048" s="24">
        <v>1991</v>
      </c>
      <c r="F2048" s="22" t="s">
        <v>10945</v>
      </c>
      <c r="G2048" s="23" t="s">
        <v>6888</v>
      </c>
      <c r="H2048" s="25" t="s">
        <v>15373</v>
      </c>
      <c r="I2048" s="22" t="s">
        <v>15374</v>
      </c>
      <c r="J2048" s="22" t="s">
        <v>15731</v>
      </c>
      <c r="K2048" s="26">
        <f t="shared" si="31"/>
        <v>1201.3333333333333</v>
      </c>
      <c r="N2048" s="26">
        <v>1802</v>
      </c>
      <c r="O2048" s="22" t="s">
        <v>6889</v>
      </c>
      <c r="P2048" s="22" t="s">
        <v>7706</v>
      </c>
      <c r="Q2048" s="22">
        <v>91761</v>
      </c>
      <c r="R2048" s="22" t="s">
        <v>6890</v>
      </c>
      <c r="S2048" s="22" t="s">
        <v>6891</v>
      </c>
      <c r="X2048" s="26"/>
      <c r="Y2048" s="26"/>
    </row>
    <row r="2049" spans="1:25" ht="50" x14ac:dyDescent="0.25">
      <c r="A2049" s="21">
        <v>10235</v>
      </c>
      <c r="B2049" s="22" t="s">
        <v>15368</v>
      </c>
      <c r="C2049" s="22" t="s">
        <v>6892</v>
      </c>
      <c r="D2049" s="23">
        <v>408140</v>
      </c>
      <c r="E2049" s="24">
        <v>2002</v>
      </c>
      <c r="F2049" s="22" t="s">
        <v>6893</v>
      </c>
      <c r="G2049" s="23" t="s">
        <v>6894</v>
      </c>
      <c r="H2049" s="25" t="s">
        <v>15373</v>
      </c>
      <c r="I2049" s="22" t="s">
        <v>15374</v>
      </c>
      <c r="J2049" s="22" t="s">
        <v>12893</v>
      </c>
      <c r="K2049" s="26">
        <f t="shared" si="31"/>
        <v>2000</v>
      </c>
      <c r="L2049" s="26">
        <v>2000</v>
      </c>
      <c r="O2049" s="22" t="s">
        <v>6895</v>
      </c>
      <c r="P2049" s="22" t="s">
        <v>7753</v>
      </c>
      <c r="Q2049" s="22">
        <v>90024</v>
      </c>
      <c r="R2049" s="22" t="s">
        <v>6896</v>
      </c>
      <c r="S2049" s="22" t="s">
        <v>6897</v>
      </c>
      <c r="X2049" s="26"/>
      <c r="Y2049" s="26"/>
    </row>
    <row r="2050" spans="1:25" ht="50" x14ac:dyDescent="0.25">
      <c r="A2050" s="21">
        <v>10236</v>
      </c>
      <c r="B2050" s="22" t="s">
        <v>15368</v>
      </c>
      <c r="C2050" s="22" t="s">
        <v>6892</v>
      </c>
      <c r="D2050" s="23">
        <v>408141</v>
      </c>
      <c r="E2050" s="24">
        <v>2002</v>
      </c>
      <c r="F2050" s="22" t="s">
        <v>6898</v>
      </c>
      <c r="G2050" s="23" t="s">
        <v>6899</v>
      </c>
      <c r="H2050" s="25" t="s">
        <v>15373</v>
      </c>
      <c r="I2050" s="22" t="s">
        <v>15374</v>
      </c>
      <c r="J2050" s="22" t="s">
        <v>12893</v>
      </c>
      <c r="K2050" s="26">
        <f t="shared" ref="K2050:K2112" si="32">L2050+M2050*(2/3)+N2050*(2/3)</f>
        <v>2000</v>
      </c>
      <c r="L2050" s="26">
        <v>2000</v>
      </c>
      <c r="O2050" s="22" t="s">
        <v>6895</v>
      </c>
      <c r="P2050" s="22" t="s">
        <v>7753</v>
      </c>
      <c r="Q2050" s="22">
        <v>90024</v>
      </c>
      <c r="R2050" s="22" t="s">
        <v>6896</v>
      </c>
      <c r="S2050" s="22" t="s">
        <v>6897</v>
      </c>
      <c r="X2050" s="26"/>
      <c r="Y2050" s="26"/>
    </row>
    <row r="2051" spans="1:25" ht="50" x14ac:dyDescent="0.25">
      <c r="A2051" s="21">
        <v>10237</v>
      </c>
      <c r="B2051" s="22" t="s">
        <v>15368</v>
      </c>
      <c r="C2051" s="22" t="s">
        <v>6892</v>
      </c>
      <c r="D2051" s="23">
        <v>408142</v>
      </c>
      <c r="E2051" s="24">
        <v>2002</v>
      </c>
      <c r="F2051" s="22" t="s">
        <v>6900</v>
      </c>
      <c r="G2051" s="23" t="s">
        <v>6901</v>
      </c>
      <c r="H2051" s="25" t="s">
        <v>15373</v>
      </c>
      <c r="I2051" s="22" t="s">
        <v>15374</v>
      </c>
      <c r="J2051" s="22" t="s">
        <v>12893</v>
      </c>
      <c r="K2051" s="26">
        <f t="shared" si="32"/>
        <v>2000</v>
      </c>
      <c r="L2051" s="26">
        <v>2000</v>
      </c>
      <c r="O2051" s="22" t="s">
        <v>6895</v>
      </c>
      <c r="P2051" s="22" t="s">
        <v>7753</v>
      </c>
      <c r="Q2051" s="22">
        <v>90024</v>
      </c>
      <c r="R2051" s="22" t="s">
        <v>6896</v>
      </c>
      <c r="S2051" s="22" t="s">
        <v>6897</v>
      </c>
      <c r="X2051" s="26"/>
      <c r="Y2051" s="26"/>
    </row>
    <row r="2052" spans="1:25" ht="50" x14ac:dyDescent="0.25">
      <c r="A2052" s="21">
        <v>10238</v>
      </c>
      <c r="B2052" s="22" t="s">
        <v>15368</v>
      </c>
      <c r="C2052" s="22" t="s">
        <v>6892</v>
      </c>
      <c r="D2052" s="23">
        <v>408143</v>
      </c>
      <c r="E2052" s="24">
        <v>2002</v>
      </c>
      <c r="F2052" s="22" t="s">
        <v>6902</v>
      </c>
      <c r="G2052" s="23" t="s">
        <v>6903</v>
      </c>
      <c r="H2052" s="25" t="s">
        <v>15373</v>
      </c>
      <c r="I2052" s="22" t="s">
        <v>15374</v>
      </c>
      <c r="J2052" s="22" t="s">
        <v>12893</v>
      </c>
      <c r="K2052" s="26">
        <f t="shared" si="32"/>
        <v>2000</v>
      </c>
      <c r="L2052" s="26">
        <v>2000</v>
      </c>
      <c r="O2052" s="22" t="s">
        <v>6895</v>
      </c>
      <c r="P2052" s="22" t="s">
        <v>7753</v>
      </c>
      <c r="Q2052" s="22">
        <v>90024</v>
      </c>
      <c r="R2052" s="22" t="s">
        <v>6896</v>
      </c>
      <c r="S2052" s="22" t="s">
        <v>6897</v>
      </c>
      <c r="X2052" s="26"/>
      <c r="Y2052" s="26"/>
    </row>
    <row r="2053" spans="1:25" ht="50" x14ac:dyDescent="0.25">
      <c r="A2053" s="21">
        <v>10239</v>
      </c>
      <c r="B2053" s="22" t="s">
        <v>15368</v>
      </c>
      <c r="C2053" s="22" t="s">
        <v>6904</v>
      </c>
      <c r="D2053" s="23">
        <v>408404</v>
      </c>
      <c r="E2053" s="24">
        <v>2002</v>
      </c>
      <c r="F2053" s="22" t="s">
        <v>6905</v>
      </c>
      <c r="G2053" s="23" t="s">
        <v>6906</v>
      </c>
      <c r="H2053" s="25" t="s">
        <v>15373</v>
      </c>
      <c r="I2053" s="22" t="s">
        <v>15374</v>
      </c>
      <c r="J2053" s="22" t="s">
        <v>15420</v>
      </c>
      <c r="K2053" s="26">
        <f t="shared" si="32"/>
        <v>1250</v>
      </c>
      <c r="L2053" s="26">
        <v>1250</v>
      </c>
      <c r="O2053" s="22" t="s">
        <v>6907</v>
      </c>
      <c r="P2053" s="22" t="s">
        <v>7753</v>
      </c>
      <c r="Q2053" s="22">
        <v>90067</v>
      </c>
      <c r="R2053" s="22" t="s">
        <v>6908</v>
      </c>
      <c r="S2053" s="22" t="s">
        <v>6909</v>
      </c>
      <c r="X2053" s="26"/>
      <c r="Y2053" s="26"/>
    </row>
    <row r="2054" spans="1:25" ht="50" x14ac:dyDescent="0.25">
      <c r="A2054" s="21">
        <v>10240</v>
      </c>
      <c r="B2054" s="22" t="s">
        <v>15368</v>
      </c>
      <c r="C2054" s="22" t="s">
        <v>6904</v>
      </c>
      <c r="D2054" s="23">
        <v>408405</v>
      </c>
      <c r="E2054" s="24">
        <v>2002</v>
      </c>
      <c r="F2054" s="22" t="s">
        <v>6910</v>
      </c>
      <c r="G2054" s="23" t="s">
        <v>6911</v>
      </c>
      <c r="H2054" s="25" t="s">
        <v>15373</v>
      </c>
      <c r="I2054" s="22" t="s">
        <v>15374</v>
      </c>
      <c r="J2054" s="22" t="s">
        <v>14709</v>
      </c>
      <c r="K2054" s="26">
        <f t="shared" si="32"/>
        <v>600</v>
      </c>
      <c r="L2054" s="26">
        <v>600</v>
      </c>
      <c r="O2054" s="22" t="s">
        <v>6907</v>
      </c>
      <c r="P2054" s="22" t="s">
        <v>7753</v>
      </c>
      <c r="Q2054" s="22">
        <v>90067</v>
      </c>
      <c r="R2054" s="22" t="s">
        <v>6908</v>
      </c>
      <c r="S2054" s="22" t="s">
        <v>6909</v>
      </c>
      <c r="X2054" s="26"/>
      <c r="Y2054" s="26"/>
    </row>
    <row r="2055" spans="1:25" ht="50" x14ac:dyDescent="0.25">
      <c r="A2055" s="21">
        <v>10241</v>
      </c>
      <c r="B2055" s="22" t="s">
        <v>15368</v>
      </c>
      <c r="C2055" s="22" t="s">
        <v>6912</v>
      </c>
      <c r="D2055" s="23">
        <v>407987</v>
      </c>
      <c r="E2055" s="24">
        <v>2002</v>
      </c>
      <c r="F2055" s="22" t="s">
        <v>6913</v>
      </c>
      <c r="G2055" s="23" t="s">
        <v>6914</v>
      </c>
      <c r="H2055" s="25" t="s">
        <v>15373</v>
      </c>
      <c r="I2055" s="22" t="s">
        <v>15411</v>
      </c>
      <c r="J2055" s="22" t="s">
        <v>8146</v>
      </c>
      <c r="K2055" s="26">
        <f t="shared" si="32"/>
        <v>571</v>
      </c>
      <c r="L2055" s="26">
        <v>571</v>
      </c>
      <c r="O2055" s="22" t="s">
        <v>6915</v>
      </c>
      <c r="P2055" s="22" t="s">
        <v>7691</v>
      </c>
      <c r="Q2055" s="22">
        <v>92612</v>
      </c>
      <c r="R2055" s="22" t="s">
        <v>6916</v>
      </c>
      <c r="S2055" s="22" t="s">
        <v>6917</v>
      </c>
      <c r="X2055" s="26"/>
      <c r="Y2055" s="26"/>
    </row>
    <row r="2056" spans="1:25" ht="50" x14ac:dyDescent="0.25">
      <c r="A2056" s="21">
        <v>10242</v>
      </c>
      <c r="B2056" s="22" t="s">
        <v>15368</v>
      </c>
      <c r="C2056" s="22" t="s">
        <v>6918</v>
      </c>
      <c r="D2056" s="23">
        <v>403531</v>
      </c>
      <c r="E2056" s="24">
        <v>2002</v>
      </c>
      <c r="F2056" s="22" t="s">
        <v>6919</v>
      </c>
      <c r="G2056" s="23" t="s">
        <v>6920</v>
      </c>
      <c r="H2056" s="25" t="s">
        <v>15373</v>
      </c>
      <c r="I2056" s="22" t="s">
        <v>15374</v>
      </c>
      <c r="J2056" s="22" t="s">
        <v>6921</v>
      </c>
      <c r="K2056" s="26">
        <f t="shared" si="32"/>
        <v>566.66666666666663</v>
      </c>
      <c r="N2056" s="26">
        <v>850</v>
      </c>
      <c r="O2056" s="22" t="s">
        <v>7863</v>
      </c>
      <c r="P2056" s="22" t="s">
        <v>6922</v>
      </c>
      <c r="Q2056" s="22">
        <v>92377</v>
      </c>
      <c r="R2056" s="22" t="s">
        <v>6923</v>
      </c>
      <c r="S2056" s="22" t="s">
        <v>6924</v>
      </c>
      <c r="X2056" s="26"/>
      <c r="Y2056" s="26"/>
    </row>
    <row r="2057" spans="1:25" ht="50" x14ac:dyDescent="0.25">
      <c r="A2057" s="21">
        <v>10243</v>
      </c>
      <c r="B2057" s="22" t="s">
        <v>15368</v>
      </c>
      <c r="C2057" s="22" t="s">
        <v>7130</v>
      </c>
      <c r="D2057" s="23">
        <v>410129</v>
      </c>
      <c r="E2057" s="24">
        <v>2002</v>
      </c>
      <c r="F2057" s="22" t="s">
        <v>6925</v>
      </c>
      <c r="G2057" s="23" t="s">
        <v>6926</v>
      </c>
      <c r="H2057" s="25" t="s">
        <v>15373</v>
      </c>
      <c r="I2057" s="22" t="s">
        <v>15382</v>
      </c>
      <c r="J2057" s="22" t="s">
        <v>16450</v>
      </c>
      <c r="K2057" s="26">
        <f t="shared" si="32"/>
        <v>993.33333333333326</v>
      </c>
      <c r="N2057" s="26">
        <v>1490</v>
      </c>
      <c r="O2057" s="22" t="s">
        <v>6927</v>
      </c>
      <c r="P2057" s="22" t="s">
        <v>5809</v>
      </c>
      <c r="Q2057" s="22">
        <v>92646</v>
      </c>
      <c r="R2057" s="22" t="s">
        <v>6928</v>
      </c>
      <c r="S2057" s="22" t="s">
        <v>6929</v>
      </c>
      <c r="X2057" s="26"/>
      <c r="Y2057" s="26"/>
    </row>
    <row r="2058" spans="1:25" ht="50" x14ac:dyDescent="0.25">
      <c r="A2058" s="21">
        <v>10244</v>
      </c>
      <c r="B2058" s="22" t="s">
        <v>15368</v>
      </c>
      <c r="C2058" s="22" t="s">
        <v>7130</v>
      </c>
      <c r="D2058" s="23">
        <v>410130</v>
      </c>
      <c r="E2058" s="24">
        <v>2002</v>
      </c>
      <c r="F2058" s="22" t="s">
        <v>6930</v>
      </c>
      <c r="G2058" s="23" t="s">
        <v>7562</v>
      </c>
      <c r="H2058" s="25" t="s">
        <v>15373</v>
      </c>
      <c r="I2058" s="22" t="s">
        <v>15374</v>
      </c>
      <c r="J2058" s="22" t="s">
        <v>11368</v>
      </c>
      <c r="K2058" s="26">
        <f t="shared" si="32"/>
        <v>1000</v>
      </c>
      <c r="L2058" s="26">
        <v>1000</v>
      </c>
      <c r="O2058" s="22" t="s">
        <v>6931</v>
      </c>
      <c r="P2058" s="22" t="s">
        <v>6932</v>
      </c>
      <c r="Q2058" s="22">
        <v>90242</v>
      </c>
      <c r="R2058" s="22" t="s">
        <v>6928</v>
      </c>
      <c r="S2058" s="22" t="s">
        <v>6929</v>
      </c>
      <c r="X2058" s="26"/>
      <c r="Y2058" s="26"/>
    </row>
    <row r="2059" spans="1:25" ht="50" x14ac:dyDescent="0.25">
      <c r="A2059" s="21">
        <v>10245</v>
      </c>
      <c r="B2059" s="22" t="s">
        <v>15368</v>
      </c>
      <c r="C2059" s="22" t="s">
        <v>6933</v>
      </c>
      <c r="D2059" s="23">
        <v>408710</v>
      </c>
      <c r="E2059" s="24">
        <v>2002</v>
      </c>
      <c r="F2059" s="22" t="s">
        <v>6934</v>
      </c>
      <c r="G2059" s="23" t="s">
        <v>6935</v>
      </c>
      <c r="H2059" s="25" t="s">
        <v>15373</v>
      </c>
      <c r="I2059" s="22" t="s">
        <v>15382</v>
      </c>
      <c r="J2059" s="22" t="s">
        <v>16450</v>
      </c>
      <c r="K2059" s="26">
        <f t="shared" si="32"/>
        <v>993.33333333333326</v>
      </c>
      <c r="N2059" s="26">
        <v>1490</v>
      </c>
      <c r="O2059" s="22" t="s">
        <v>6936</v>
      </c>
      <c r="P2059" s="22" t="s">
        <v>6377</v>
      </c>
      <c r="Q2059" s="22">
        <v>90292</v>
      </c>
      <c r="R2059" s="22" t="s">
        <v>6937</v>
      </c>
      <c r="S2059" s="22" t="s">
        <v>6938</v>
      </c>
      <c r="X2059" s="26"/>
      <c r="Y2059" s="26"/>
    </row>
    <row r="2060" spans="1:25" ht="50" x14ac:dyDescent="0.25">
      <c r="A2060" s="21">
        <v>10246</v>
      </c>
      <c r="B2060" s="22" t="s">
        <v>15368</v>
      </c>
      <c r="C2060" s="22" t="s">
        <v>6939</v>
      </c>
      <c r="D2060" s="23">
        <v>405969</v>
      </c>
      <c r="E2060" s="24">
        <v>2002</v>
      </c>
      <c r="F2060" s="22" t="s">
        <v>6940</v>
      </c>
      <c r="G2060" s="23" t="s">
        <v>6941</v>
      </c>
      <c r="H2060" s="25" t="s">
        <v>15373</v>
      </c>
      <c r="I2060" s="22" t="s">
        <v>15374</v>
      </c>
      <c r="J2060" s="22" t="s">
        <v>15918</v>
      </c>
      <c r="K2060" s="26">
        <f t="shared" si="32"/>
        <v>891.33333333333326</v>
      </c>
      <c r="N2060" s="26">
        <v>1337</v>
      </c>
      <c r="O2060" s="22" t="s">
        <v>6942</v>
      </c>
      <c r="P2060" s="22" t="s">
        <v>7753</v>
      </c>
      <c r="Q2060" s="22">
        <v>90013</v>
      </c>
      <c r="R2060" s="22" t="s">
        <v>6943</v>
      </c>
      <c r="S2060" s="22" t="s">
        <v>6944</v>
      </c>
      <c r="X2060" s="26"/>
      <c r="Y2060" s="26"/>
    </row>
    <row r="2061" spans="1:25" ht="50" x14ac:dyDescent="0.25">
      <c r="A2061" s="21">
        <v>10247</v>
      </c>
      <c r="B2061" s="22" t="s">
        <v>15368</v>
      </c>
      <c r="C2061" s="22" t="s">
        <v>6945</v>
      </c>
      <c r="D2061" s="23">
        <v>411204</v>
      </c>
      <c r="E2061" s="24">
        <v>2003</v>
      </c>
      <c r="F2061" s="22" t="s">
        <v>6946</v>
      </c>
      <c r="G2061" s="23" t="s">
        <v>6947</v>
      </c>
      <c r="H2061" s="25" t="s">
        <v>15373</v>
      </c>
      <c r="I2061" s="22" t="s">
        <v>15382</v>
      </c>
      <c r="J2061" s="22" t="s">
        <v>16792</v>
      </c>
      <c r="K2061" s="26">
        <f t="shared" si="32"/>
        <v>356.66666666666663</v>
      </c>
      <c r="N2061" s="26">
        <v>535</v>
      </c>
      <c r="O2061" s="22" t="s">
        <v>6948</v>
      </c>
      <c r="P2061" s="22" t="s">
        <v>8238</v>
      </c>
      <c r="Q2061" s="22">
        <v>91367</v>
      </c>
      <c r="R2061" s="22" t="s">
        <v>6949</v>
      </c>
      <c r="S2061" s="22" t="s">
        <v>6950</v>
      </c>
      <c r="X2061" s="26"/>
      <c r="Y2061" s="26"/>
    </row>
    <row r="2062" spans="1:25" ht="37.5" x14ac:dyDescent="0.25">
      <c r="A2062" s="21">
        <v>10248</v>
      </c>
      <c r="B2062" s="22" t="s">
        <v>15368</v>
      </c>
      <c r="C2062" s="22" t="s">
        <v>7216</v>
      </c>
      <c r="D2062" s="23">
        <v>401748</v>
      </c>
      <c r="E2062" s="24">
        <v>2003</v>
      </c>
      <c r="F2062" s="22" t="s">
        <v>6084</v>
      </c>
      <c r="G2062" s="23" t="s">
        <v>6085</v>
      </c>
      <c r="H2062" s="25" t="s">
        <v>15373</v>
      </c>
      <c r="I2062" s="22" t="s">
        <v>15374</v>
      </c>
      <c r="J2062" s="22">
        <v>3508</v>
      </c>
      <c r="K2062" s="26">
        <f t="shared" si="32"/>
        <v>737.33333333333326</v>
      </c>
      <c r="N2062" s="26">
        <v>1106</v>
      </c>
      <c r="O2062" s="22" t="s">
        <v>7219</v>
      </c>
      <c r="P2062" s="22" t="s">
        <v>7753</v>
      </c>
      <c r="Q2062" s="22">
        <v>90067</v>
      </c>
      <c r="R2062" s="22" t="s">
        <v>7220</v>
      </c>
      <c r="S2062" s="22" t="s">
        <v>7221</v>
      </c>
      <c r="X2062" s="26"/>
      <c r="Y2062" s="26"/>
    </row>
    <row r="2063" spans="1:25" ht="37.5" x14ac:dyDescent="0.25">
      <c r="A2063" s="21">
        <v>10249</v>
      </c>
      <c r="B2063" s="22" t="s">
        <v>15368</v>
      </c>
      <c r="C2063" s="22" t="s">
        <v>6086</v>
      </c>
      <c r="D2063" s="23">
        <v>413634</v>
      </c>
      <c r="E2063" s="24">
        <v>2003</v>
      </c>
      <c r="F2063" s="22" t="s">
        <v>6087</v>
      </c>
      <c r="G2063" s="23" t="s">
        <v>6088</v>
      </c>
      <c r="H2063" s="25" t="s">
        <v>15373</v>
      </c>
      <c r="I2063" s="22" t="s">
        <v>15411</v>
      </c>
      <c r="J2063" s="22" t="s">
        <v>8146</v>
      </c>
      <c r="K2063" s="26">
        <f t="shared" si="32"/>
        <v>510</v>
      </c>
      <c r="N2063" s="26">
        <v>765</v>
      </c>
      <c r="O2063" s="22" t="s">
        <v>6089</v>
      </c>
      <c r="P2063" s="22" t="s">
        <v>7753</v>
      </c>
      <c r="Q2063" s="22">
        <v>90017</v>
      </c>
      <c r="R2063" s="22" t="s">
        <v>6090</v>
      </c>
      <c r="S2063" s="22" t="s">
        <v>6091</v>
      </c>
      <c r="X2063" s="26"/>
      <c r="Y2063" s="26"/>
    </row>
    <row r="2064" spans="1:25" ht="50" x14ac:dyDescent="0.25">
      <c r="A2064" s="21">
        <v>10250</v>
      </c>
      <c r="B2064" s="22" t="s">
        <v>15368</v>
      </c>
      <c r="C2064" s="22" t="s">
        <v>6092</v>
      </c>
      <c r="D2064" s="23">
        <v>413757</v>
      </c>
      <c r="E2064" s="24">
        <v>2003</v>
      </c>
      <c r="F2064" s="22" t="s">
        <v>6093</v>
      </c>
      <c r="G2064" s="23" t="s">
        <v>6094</v>
      </c>
      <c r="H2064" s="25" t="s">
        <v>15373</v>
      </c>
      <c r="I2064" s="22" t="s">
        <v>15374</v>
      </c>
      <c r="J2064" s="22" t="s">
        <v>14709</v>
      </c>
      <c r="K2064" s="26">
        <f t="shared" si="32"/>
        <v>600</v>
      </c>
      <c r="L2064" s="26">
        <v>600</v>
      </c>
      <c r="O2064" s="22" t="s">
        <v>6095</v>
      </c>
      <c r="P2064" s="22" t="s">
        <v>7376</v>
      </c>
      <c r="Q2064" s="22">
        <v>90703</v>
      </c>
      <c r="R2064" s="22" t="s">
        <v>6096</v>
      </c>
      <c r="S2064" s="22" t="s">
        <v>6097</v>
      </c>
      <c r="X2064" s="26"/>
      <c r="Y2064" s="26"/>
    </row>
    <row r="2065" spans="1:25" ht="37.5" x14ac:dyDescent="0.25">
      <c r="A2065" s="21">
        <v>10251</v>
      </c>
      <c r="B2065" s="22" t="s">
        <v>15368</v>
      </c>
      <c r="C2065" s="22" t="s">
        <v>6098</v>
      </c>
      <c r="D2065" s="23">
        <v>229382</v>
      </c>
      <c r="E2065" s="24">
        <v>2003</v>
      </c>
      <c r="F2065" s="22" t="s">
        <v>6099</v>
      </c>
      <c r="G2065" s="23" t="s">
        <v>6100</v>
      </c>
      <c r="H2065" s="25" t="s">
        <v>15373</v>
      </c>
      <c r="I2065" s="22" t="s">
        <v>6101</v>
      </c>
      <c r="J2065" s="22" t="s">
        <v>6668</v>
      </c>
      <c r="K2065" s="26">
        <f t="shared" si="32"/>
        <v>756.66666666666663</v>
      </c>
      <c r="N2065" s="26">
        <v>1135</v>
      </c>
      <c r="O2065" s="22" t="s">
        <v>6102</v>
      </c>
      <c r="P2065" s="22" t="s">
        <v>7691</v>
      </c>
      <c r="Q2065" s="22">
        <v>92612</v>
      </c>
      <c r="R2065" s="22" t="s">
        <v>6103</v>
      </c>
      <c r="S2065" s="22" t="s">
        <v>6104</v>
      </c>
      <c r="X2065" s="26"/>
      <c r="Y2065" s="26"/>
    </row>
    <row r="2066" spans="1:25" ht="37.5" x14ac:dyDescent="0.25">
      <c r="A2066" s="21">
        <v>10252</v>
      </c>
      <c r="B2066" s="22" t="s">
        <v>15368</v>
      </c>
      <c r="C2066" s="22" t="s">
        <v>6098</v>
      </c>
      <c r="D2066" s="23">
        <v>229383</v>
      </c>
      <c r="E2066" s="24">
        <v>2003</v>
      </c>
      <c r="F2066" s="22" t="s">
        <v>6105</v>
      </c>
      <c r="G2066" s="23" t="s">
        <v>6106</v>
      </c>
      <c r="H2066" s="25" t="s">
        <v>15373</v>
      </c>
      <c r="I2066" s="22" t="s">
        <v>6101</v>
      </c>
      <c r="J2066" s="22" t="s">
        <v>6668</v>
      </c>
      <c r="K2066" s="26">
        <f t="shared" si="32"/>
        <v>756.66666666666663</v>
      </c>
      <c r="N2066" s="26">
        <v>1135</v>
      </c>
      <c r="O2066" s="22" t="s">
        <v>6102</v>
      </c>
      <c r="P2066" s="22" t="s">
        <v>7691</v>
      </c>
      <c r="Q2066" s="22">
        <v>92612</v>
      </c>
      <c r="R2066" s="22" t="s">
        <v>6103</v>
      </c>
      <c r="S2066" s="22" t="s">
        <v>6104</v>
      </c>
      <c r="X2066" s="26"/>
      <c r="Y2066" s="26"/>
    </row>
    <row r="2067" spans="1:25" ht="37.5" x14ac:dyDescent="0.25">
      <c r="A2067" s="21">
        <v>10253</v>
      </c>
      <c r="B2067" s="22" t="s">
        <v>15368</v>
      </c>
      <c r="C2067" s="22" t="s">
        <v>6107</v>
      </c>
      <c r="D2067" s="23">
        <v>412305</v>
      </c>
      <c r="E2067" s="24">
        <v>2003</v>
      </c>
      <c r="F2067" s="22" t="s">
        <v>6108</v>
      </c>
      <c r="G2067" s="23" t="s">
        <v>6109</v>
      </c>
      <c r="H2067" s="25" t="s">
        <v>15373</v>
      </c>
      <c r="I2067" s="22" t="s">
        <v>15411</v>
      </c>
      <c r="J2067" s="22" t="s">
        <v>12830</v>
      </c>
      <c r="K2067" s="26">
        <f t="shared" si="32"/>
        <v>640</v>
      </c>
      <c r="N2067" s="26">
        <v>960</v>
      </c>
      <c r="O2067" s="22" t="s">
        <v>6110</v>
      </c>
      <c r="P2067" s="22" t="s">
        <v>7753</v>
      </c>
      <c r="Q2067" s="22">
        <v>90006</v>
      </c>
      <c r="R2067" s="22" t="s">
        <v>6111</v>
      </c>
      <c r="S2067" s="22" t="s">
        <v>6112</v>
      </c>
      <c r="X2067" s="26"/>
      <c r="Y2067" s="26"/>
    </row>
    <row r="2068" spans="1:25" ht="37.5" x14ac:dyDescent="0.25">
      <c r="A2068" s="21">
        <v>10254</v>
      </c>
      <c r="B2068" s="22" t="s">
        <v>15368</v>
      </c>
      <c r="C2068" s="22" t="s">
        <v>6113</v>
      </c>
      <c r="D2068" s="23">
        <v>411567</v>
      </c>
      <c r="E2068" s="24">
        <v>2003</v>
      </c>
      <c r="F2068" s="22" t="s">
        <v>6114</v>
      </c>
      <c r="G2068" s="23" t="s">
        <v>6115</v>
      </c>
      <c r="H2068" s="25" t="s">
        <v>15373</v>
      </c>
      <c r="I2068" s="22" t="s">
        <v>6101</v>
      </c>
      <c r="J2068" s="22" t="s">
        <v>16811</v>
      </c>
      <c r="K2068" s="26">
        <f t="shared" si="32"/>
        <v>356.66666666666663</v>
      </c>
      <c r="N2068" s="26">
        <v>535</v>
      </c>
      <c r="O2068" s="22" t="s">
        <v>6116</v>
      </c>
      <c r="P2068" s="22" t="s">
        <v>6117</v>
      </c>
      <c r="Q2068" s="22">
        <v>91011</v>
      </c>
      <c r="R2068" s="22" t="s">
        <v>6118</v>
      </c>
      <c r="S2068" s="22" t="s">
        <v>6119</v>
      </c>
      <c r="X2068" s="26"/>
      <c r="Y2068" s="26"/>
    </row>
    <row r="2069" spans="1:25" ht="50" x14ac:dyDescent="0.25">
      <c r="A2069" s="21">
        <v>10255</v>
      </c>
      <c r="B2069" s="22" t="s">
        <v>15368</v>
      </c>
      <c r="C2069" s="22" t="s">
        <v>6120</v>
      </c>
      <c r="D2069" s="23">
        <v>414841</v>
      </c>
      <c r="E2069" s="24">
        <v>2003</v>
      </c>
      <c r="F2069" s="22" t="s">
        <v>6121</v>
      </c>
      <c r="G2069" s="23" t="s">
        <v>6122</v>
      </c>
      <c r="H2069" s="25" t="s">
        <v>15373</v>
      </c>
      <c r="I2069" s="22" t="s">
        <v>15374</v>
      </c>
      <c r="J2069" s="22" t="s">
        <v>15701</v>
      </c>
      <c r="K2069" s="26">
        <f t="shared" si="32"/>
        <v>391.33333333333331</v>
      </c>
      <c r="N2069" s="26">
        <v>587</v>
      </c>
      <c r="O2069" s="22" t="s">
        <v>6123</v>
      </c>
      <c r="P2069" s="22" t="s">
        <v>8170</v>
      </c>
      <c r="Q2069" s="22">
        <v>92868</v>
      </c>
      <c r="R2069" s="22" t="s">
        <v>6124</v>
      </c>
      <c r="S2069" s="22" t="s">
        <v>6125</v>
      </c>
      <c r="X2069" s="26"/>
      <c r="Y2069" s="26"/>
    </row>
    <row r="2070" spans="1:25" ht="50" x14ac:dyDescent="0.25">
      <c r="A2070" s="21">
        <v>10256</v>
      </c>
      <c r="B2070" s="22" t="s">
        <v>15368</v>
      </c>
      <c r="C2070" s="22" t="s">
        <v>6126</v>
      </c>
      <c r="D2070" s="23">
        <v>413135</v>
      </c>
      <c r="E2070" s="24">
        <v>2003</v>
      </c>
      <c r="F2070" s="22" t="s">
        <v>6127</v>
      </c>
      <c r="G2070" s="23" t="s">
        <v>6128</v>
      </c>
      <c r="H2070" s="25" t="s">
        <v>15373</v>
      </c>
      <c r="I2070" s="22" t="s">
        <v>6101</v>
      </c>
      <c r="J2070" s="22" t="s">
        <v>15031</v>
      </c>
      <c r="K2070" s="26">
        <f t="shared" si="32"/>
        <v>993.33333333333326</v>
      </c>
      <c r="N2070" s="26">
        <v>1490</v>
      </c>
      <c r="O2070" s="22" t="s">
        <v>6129</v>
      </c>
      <c r="P2070" s="22" t="s">
        <v>7864</v>
      </c>
      <c r="Q2070" s="22">
        <v>91730</v>
      </c>
      <c r="R2070" s="22" t="s">
        <v>6130</v>
      </c>
      <c r="S2070" s="22" t="s">
        <v>6131</v>
      </c>
      <c r="X2070" s="26"/>
      <c r="Y2070" s="26"/>
    </row>
    <row r="2071" spans="1:25" ht="37.5" x14ac:dyDescent="0.25">
      <c r="A2071" s="21">
        <v>10257</v>
      </c>
      <c r="B2071" s="22" t="s">
        <v>15368</v>
      </c>
      <c r="C2071" s="22" t="s">
        <v>7750</v>
      </c>
      <c r="D2071" s="23">
        <v>403838</v>
      </c>
      <c r="E2071" s="24">
        <v>2003</v>
      </c>
      <c r="F2071" s="22" t="s">
        <v>7751</v>
      </c>
      <c r="G2071" s="23" t="s">
        <v>8816</v>
      </c>
      <c r="H2071" s="25" t="s">
        <v>15373</v>
      </c>
      <c r="I2071" s="22" t="s">
        <v>15374</v>
      </c>
      <c r="J2071" s="22" t="s">
        <v>15701</v>
      </c>
      <c r="K2071" s="26">
        <f t="shared" si="32"/>
        <v>400</v>
      </c>
      <c r="L2071" s="26">
        <v>400</v>
      </c>
      <c r="O2071" s="22" t="s">
        <v>7752</v>
      </c>
      <c r="P2071" s="22" t="s">
        <v>7753</v>
      </c>
      <c r="Q2071" s="22">
        <v>90017</v>
      </c>
      <c r="R2071" s="22" t="s">
        <v>7754</v>
      </c>
      <c r="S2071" s="22" t="s">
        <v>7755</v>
      </c>
      <c r="X2071" s="26"/>
      <c r="Y2071" s="26"/>
    </row>
    <row r="2072" spans="1:25" ht="37.5" x14ac:dyDescent="0.25">
      <c r="A2072" s="21">
        <v>10258</v>
      </c>
      <c r="B2072" s="22" t="s">
        <v>15368</v>
      </c>
      <c r="C2072" s="22" t="s">
        <v>6132</v>
      </c>
      <c r="D2072" s="23">
        <v>410856</v>
      </c>
      <c r="E2072" s="24">
        <v>2003</v>
      </c>
      <c r="F2072" s="22" t="s">
        <v>6133</v>
      </c>
      <c r="G2072" s="23" t="s">
        <v>6134</v>
      </c>
      <c r="H2072" s="25" t="s">
        <v>15373</v>
      </c>
      <c r="I2072" s="22" t="s">
        <v>15374</v>
      </c>
      <c r="J2072" s="22" t="s">
        <v>16561</v>
      </c>
      <c r="K2072" s="26">
        <f t="shared" si="32"/>
        <v>357.33333333333331</v>
      </c>
      <c r="N2072" s="26">
        <v>536</v>
      </c>
      <c r="O2072" s="22" t="s">
        <v>6135</v>
      </c>
      <c r="P2072" s="22" t="s">
        <v>7760</v>
      </c>
      <c r="Q2072" s="22">
        <v>91101</v>
      </c>
      <c r="R2072" s="22" t="s">
        <v>6136</v>
      </c>
      <c r="S2072" s="22" t="s">
        <v>7762</v>
      </c>
      <c r="X2072" s="26"/>
      <c r="Y2072" s="26"/>
    </row>
    <row r="2073" spans="1:25" ht="37.5" x14ac:dyDescent="0.25">
      <c r="A2073" s="21">
        <v>10259</v>
      </c>
      <c r="B2073" s="22" t="s">
        <v>15368</v>
      </c>
      <c r="C2073" s="22" t="s">
        <v>6137</v>
      </c>
      <c r="D2073" s="23">
        <v>412220</v>
      </c>
      <c r="E2073" s="24">
        <v>2003</v>
      </c>
      <c r="F2073" s="22" t="s">
        <v>6138</v>
      </c>
      <c r="G2073" s="23" t="s">
        <v>6139</v>
      </c>
      <c r="H2073" s="25" t="s">
        <v>15373</v>
      </c>
      <c r="I2073" s="22" t="s">
        <v>6101</v>
      </c>
      <c r="J2073" s="22" t="s">
        <v>15779</v>
      </c>
      <c r="K2073" s="26">
        <f t="shared" si="32"/>
        <v>400</v>
      </c>
      <c r="N2073" s="26">
        <v>600</v>
      </c>
      <c r="O2073" s="22" t="s">
        <v>6140</v>
      </c>
      <c r="P2073" s="22" t="s">
        <v>7813</v>
      </c>
      <c r="Q2073" s="22">
        <v>90502</v>
      </c>
      <c r="R2073" s="22" t="s">
        <v>6141</v>
      </c>
      <c r="S2073" s="22" t="s">
        <v>6142</v>
      </c>
      <c r="X2073" s="26"/>
      <c r="Y2073" s="26"/>
    </row>
    <row r="2074" spans="1:25" ht="50" x14ac:dyDescent="0.25">
      <c r="A2074" s="21">
        <v>10260</v>
      </c>
      <c r="B2074" s="22" t="s">
        <v>15368</v>
      </c>
      <c r="C2074" s="22" t="s">
        <v>6672</v>
      </c>
      <c r="D2074" s="23">
        <v>412711</v>
      </c>
      <c r="E2074" s="24">
        <v>2003</v>
      </c>
      <c r="F2074" s="22" t="s">
        <v>6143</v>
      </c>
      <c r="G2074" s="23" t="s">
        <v>6144</v>
      </c>
      <c r="H2074" s="25" t="s">
        <v>15373</v>
      </c>
      <c r="I2074" s="22" t="s">
        <v>15374</v>
      </c>
      <c r="J2074" s="22" t="s">
        <v>15420</v>
      </c>
      <c r="K2074" s="26">
        <f t="shared" si="32"/>
        <v>988</v>
      </c>
      <c r="N2074" s="26">
        <v>1482</v>
      </c>
      <c r="O2074" s="22" t="s">
        <v>6145</v>
      </c>
      <c r="P2074" s="22" t="s">
        <v>7753</v>
      </c>
      <c r="Q2074" s="22">
        <v>90071</v>
      </c>
      <c r="R2074" s="22" t="s">
        <v>6146</v>
      </c>
      <c r="S2074" s="22" t="s">
        <v>6147</v>
      </c>
      <c r="X2074" s="26"/>
      <c r="Y2074" s="26"/>
    </row>
    <row r="2075" spans="1:25" ht="25" x14ac:dyDescent="0.25">
      <c r="A2075" s="21">
        <v>10261</v>
      </c>
      <c r="B2075" s="22" t="s">
        <v>15368</v>
      </c>
      <c r="C2075" s="22" t="s">
        <v>6148</v>
      </c>
      <c r="D2075" s="23">
        <v>345032</v>
      </c>
      <c r="E2075" s="24">
        <v>2003</v>
      </c>
      <c r="F2075" s="22" t="s">
        <v>14657</v>
      </c>
      <c r="G2075" s="23" t="s">
        <v>6149</v>
      </c>
      <c r="H2075" s="25" t="s">
        <v>15373</v>
      </c>
      <c r="I2075" s="22" t="s">
        <v>15382</v>
      </c>
      <c r="J2075" s="22" t="s">
        <v>14659</v>
      </c>
      <c r="K2075" s="26">
        <f t="shared" si="32"/>
        <v>500</v>
      </c>
      <c r="N2075" s="26">
        <v>750</v>
      </c>
      <c r="O2075" s="22" t="s">
        <v>6150</v>
      </c>
      <c r="P2075" s="22" t="s">
        <v>7691</v>
      </c>
      <c r="Q2075" s="22">
        <v>92614</v>
      </c>
      <c r="R2075" s="22" t="s">
        <v>6151</v>
      </c>
      <c r="S2075" s="22" t="s">
        <v>6152</v>
      </c>
      <c r="X2075" s="26"/>
      <c r="Y2075" s="26"/>
    </row>
    <row r="2076" spans="1:25" ht="37.5" x14ac:dyDescent="0.25">
      <c r="A2076" s="21">
        <v>10262</v>
      </c>
      <c r="B2076" s="22" t="s">
        <v>15368</v>
      </c>
      <c r="C2076" s="22" t="s">
        <v>6153</v>
      </c>
      <c r="D2076" s="23">
        <v>413877</v>
      </c>
      <c r="E2076" s="24">
        <v>2003</v>
      </c>
      <c r="F2076" s="22" t="s">
        <v>6154</v>
      </c>
      <c r="G2076" s="23" t="s">
        <v>8871</v>
      </c>
      <c r="H2076" s="25" t="s">
        <v>15373</v>
      </c>
      <c r="I2076" s="22" t="s">
        <v>15374</v>
      </c>
      <c r="J2076" s="22" t="s">
        <v>12893</v>
      </c>
      <c r="K2076" s="26">
        <f t="shared" si="32"/>
        <v>1898</v>
      </c>
      <c r="N2076" s="26">
        <v>2847</v>
      </c>
      <c r="O2076" s="22" t="s">
        <v>6155</v>
      </c>
      <c r="P2076" s="22" t="s">
        <v>7753</v>
      </c>
      <c r="Q2076" s="22">
        <v>90039</v>
      </c>
      <c r="R2076" s="22" t="s">
        <v>6156</v>
      </c>
      <c r="S2076" s="22" t="s">
        <v>6157</v>
      </c>
      <c r="X2076" s="26"/>
      <c r="Y2076" s="26"/>
    </row>
    <row r="2077" spans="1:25" ht="37.5" x14ac:dyDescent="0.25">
      <c r="A2077" s="21">
        <v>10263</v>
      </c>
      <c r="B2077" s="22" t="s">
        <v>15368</v>
      </c>
      <c r="C2077" s="22" t="s">
        <v>6153</v>
      </c>
      <c r="D2077" s="23">
        <v>398370</v>
      </c>
      <c r="E2077" s="24">
        <v>2003</v>
      </c>
      <c r="G2077" s="23" t="s">
        <v>6158</v>
      </c>
      <c r="H2077" s="25" t="s">
        <v>15373</v>
      </c>
      <c r="I2077" s="22" t="s">
        <v>15382</v>
      </c>
      <c r="J2077" s="22" t="s">
        <v>14703</v>
      </c>
      <c r="K2077" s="26">
        <f t="shared" si="32"/>
        <v>415</v>
      </c>
      <c r="L2077" s="26">
        <v>415</v>
      </c>
      <c r="O2077" s="22" t="s">
        <v>6155</v>
      </c>
      <c r="P2077" s="22" t="s">
        <v>7753</v>
      </c>
      <c r="Q2077" s="22">
        <v>90039</v>
      </c>
      <c r="R2077" s="22" t="s">
        <v>6156</v>
      </c>
      <c r="S2077" s="22" t="s">
        <v>6157</v>
      </c>
      <c r="X2077" s="26"/>
      <c r="Y2077" s="26"/>
    </row>
    <row r="2078" spans="1:25" ht="37.5" x14ac:dyDescent="0.25">
      <c r="A2078" s="21">
        <v>10264</v>
      </c>
      <c r="B2078" s="22" t="s">
        <v>15368</v>
      </c>
      <c r="C2078" s="22" t="s">
        <v>6159</v>
      </c>
      <c r="D2078" s="23">
        <v>379765</v>
      </c>
      <c r="E2078" s="24">
        <v>2003</v>
      </c>
      <c r="F2078" s="22" t="s">
        <v>14714</v>
      </c>
      <c r="G2078" s="23" t="s">
        <v>6160</v>
      </c>
      <c r="H2078" s="25" t="s">
        <v>15373</v>
      </c>
      <c r="I2078" s="22" t="s">
        <v>6101</v>
      </c>
      <c r="J2078" s="22" t="s">
        <v>14716</v>
      </c>
      <c r="K2078" s="26">
        <f t="shared" si="32"/>
        <v>600</v>
      </c>
      <c r="N2078" s="26">
        <v>900</v>
      </c>
      <c r="O2078" s="22" t="s">
        <v>6161</v>
      </c>
      <c r="P2078" s="22" t="s">
        <v>7691</v>
      </c>
      <c r="Q2078" s="22">
        <v>92606</v>
      </c>
      <c r="R2078" s="22" t="s">
        <v>6162</v>
      </c>
      <c r="S2078" s="22" t="s">
        <v>6163</v>
      </c>
      <c r="X2078" s="26"/>
      <c r="Y2078" s="26"/>
    </row>
    <row r="2079" spans="1:25" ht="50" x14ac:dyDescent="0.25">
      <c r="A2079" s="21">
        <v>10265</v>
      </c>
      <c r="B2079" s="22" t="s">
        <v>15368</v>
      </c>
      <c r="C2079" s="22" t="s">
        <v>6164</v>
      </c>
      <c r="D2079" s="23">
        <v>399179</v>
      </c>
      <c r="E2079" s="24">
        <v>2003</v>
      </c>
      <c r="G2079" s="23" t="s">
        <v>6165</v>
      </c>
      <c r="H2079" s="25" t="s">
        <v>15373</v>
      </c>
      <c r="I2079" s="22" t="s">
        <v>15382</v>
      </c>
      <c r="J2079" s="22" t="s">
        <v>6166</v>
      </c>
      <c r="K2079" s="26">
        <f t="shared" si="32"/>
        <v>533.33333333333326</v>
      </c>
      <c r="M2079" s="26">
        <v>800</v>
      </c>
      <c r="O2079" s="22" t="s">
        <v>6167</v>
      </c>
      <c r="P2079" s="22" t="s">
        <v>6168</v>
      </c>
      <c r="Q2079" s="22">
        <v>92315</v>
      </c>
      <c r="R2079" s="22" t="s">
        <v>6169</v>
      </c>
      <c r="S2079" s="22" t="s">
        <v>6170</v>
      </c>
      <c r="X2079" s="26"/>
      <c r="Y2079" s="26"/>
    </row>
    <row r="2080" spans="1:25" ht="37.5" x14ac:dyDescent="0.25">
      <c r="A2080" s="21">
        <v>10266</v>
      </c>
      <c r="B2080" s="22" t="s">
        <v>15368</v>
      </c>
      <c r="C2080" s="22" t="s">
        <v>6171</v>
      </c>
      <c r="D2080" s="23">
        <v>409903</v>
      </c>
      <c r="E2080" s="24">
        <v>2003</v>
      </c>
      <c r="F2080" s="22" t="s">
        <v>6172</v>
      </c>
      <c r="G2080" s="23" t="s">
        <v>6173</v>
      </c>
      <c r="H2080" s="25" t="s">
        <v>15373</v>
      </c>
      <c r="I2080" s="22" t="s">
        <v>15382</v>
      </c>
      <c r="J2080" s="22" t="s">
        <v>16170</v>
      </c>
      <c r="K2080" s="26">
        <f t="shared" si="32"/>
        <v>492</v>
      </c>
      <c r="N2080" s="26">
        <v>738</v>
      </c>
      <c r="O2080" s="22" t="s">
        <v>6174</v>
      </c>
      <c r="P2080" s="22" t="s">
        <v>7781</v>
      </c>
      <c r="Q2080" s="22">
        <v>90245</v>
      </c>
      <c r="R2080" s="22" t="s">
        <v>7782</v>
      </c>
      <c r="S2080" s="22" t="s">
        <v>7783</v>
      </c>
      <c r="X2080" s="26"/>
      <c r="Y2080" s="26"/>
    </row>
    <row r="2081" spans="1:25" ht="37.5" x14ac:dyDescent="0.25">
      <c r="A2081" s="21">
        <v>10267</v>
      </c>
      <c r="B2081" s="22" t="s">
        <v>15368</v>
      </c>
      <c r="C2081" s="22" t="s">
        <v>6175</v>
      </c>
      <c r="D2081" s="23">
        <v>402827</v>
      </c>
      <c r="E2081" s="24">
        <v>2003</v>
      </c>
      <c r="F2081" s="22" t="s">
        <v>6176</v>
      </c>
      <c r="G2081" s="23" t="s">
        <v>6177</v>
      </c>
      <c r="H2081" s="25" t="s">
        <v>15373</v>
      </c>
      <c r="I2081" s="22" t="s">
        <v>15374</v>
      </c>
      <c r="J2081" s="22" t="s">
        <v>16869</v>
      </c>
      <c r="K2081" s="26">
        <f t="shared" si="32"/>
        <v>600</v>
      </c>
      <c r="L2081" s="26">
        <v>600</v>
      </c>
      <c r="O2081" s="22" t="s">
        <v>6178</v>
      </c>
      <c r="P2081" s="22" t="s">
        <v>7788</v>
      </c>
      <c r="Q2081" s="22">
        <v>91502</v>
      </c>
      <c r="R2081" s="22" t="s">
        <v>6179</v>
      </c>
      <c r="S2081" s="22" t="s">
        <v>6180</v>
      </c>
      <c r="X2081" s="26"/>
      <c r="Y2081" s="26"/>
    </row>
    <row r="2082" spans="1:25" ht="50" x14ac:dyDescent="0.25">
      <c r="A2082" s="21">
        <v>10268</v>
      </c>
      <c r="B2082" s="22" t="s">
        <v>15368</v>
      </c>
      <c r="C2082" s="22" t="s">
        <v>7784</v>
      </c>
      <c r="D2082" s="23">
        <v>416750</v>
      </c>
      <c r="E2082" s="24">
        <v>2003</v>
      </c>
      <c r="F2082" s="22" t="s">
        <v>6181</v>
      </c>
      <c r="G2082" s="23" t="s">
        <v>6182</v>
      </c>
      <c r="H2082" s="25" t="s">
        <v>15373</v>
      </c>
      <c r="I2082" s="22" t="s">
        <v>15374</v>
      </c>
      <c r="J2082" s="22" t="s">
        <v>11368</v>
      </c>
      <c r="K2082" s="26">
        <f t="shared" si="32"/>
        <v>1000</v>
      </c>
      <c r="L2082" s="26">
        <v>1000</v>
      </c>
      <c r="O2082" s="22" t="s">
        <v>6183</v>
      </c>
      <c r="P2082" s="22" t="s">
        <v>7788</v>
      </c>
      <c r="Q2082" s="22">
        <v>91505</v>
      </c>
      <c r="R2082" s="22" t="s">
        <v>7789</v>
      </c>
      <c r="S2082" s="22" t="s">
        <v>7790</v>
      </c>
      <c r="X2082" s="26"/>
      <c r="Y2082" s="26"/>
    </row>
    <row r="2083" spans="1:25" ht="37.5" x14ac:dyDescent="0.25">
      <c r="A2083" s="21">
        <v>10269</v>
      </c>
      <c r="B2083" s="22" t="s">
        <v>15368</v>
      </c>
      <c r="C2083" s="22" t="s">
        <v>6184</v>
      </c>
      <c r="D2083" s="23">
        <v>411668</v>
      </c>
      <c r="E2083" s="24">
        <v>2003</v>
      </c>
      <c r="F2083" s="22" t="s">
        <v>6185</v>
      </c>
      <c r="G2083" s="23" t="s">
        <v>6186</v>
      </c>
      <c r="H2083" s="25" t="s">
        <v>15373</v>
      </c>
      <c r="I2083" s="22" t="s">
        <v>15374</v>
      </c>
      <c r="J2083" s="22" t="s">
        <v>16561</v>
      </c>
      <c r="K2083" s="26">
        <f t="shared" si="32"/>
        <v>348.66666666666663</v>
      </c>
      <c r="N2083" s="26">
        <v>523</v>
      </c>
      <c r="O2083" s="22" t="s">
        <v>7863</v>
      </c>
      <c r="P2083" s="22" t="s">
        <v>6836</v>
      </c>
      <c r="Q2083" s="22">
        <v>91765</v>
      </c>
      <c r="R2083" s="22" t="s">
        <v>6187</v>
      </c>
      <c r="S2083" s="22" t="s">
        <v>6188</v>
      </c>
      <c r="X2083" s="26"/>
      <c r="Y2083" s="26"/>
    </row>
    <row r="2084" spans="1:25" ht="50" x14ac:dyDescent="0.25">
      <c r="A2084" s="21">
        <v>10270</v>
      </c>
      <c r="B2084" s="22" t="s">
        <v>15368</v>
      </c>
      <c r="C2084" s="22" t="s">
        <v>6184</v>
      </c>
      <c r="D2084" s="23">
        <v>411663</v>
      </c>
      <c r="E2084" s="24">
        <v>2003</v>
      </c>
      <c r="F2084" s="22" t="s">
        <v>6189</v>
      </c>
      <c r="G2084" s="23" t="s">
        <v>6190</v>
      </c>
      <c r="H2084" s="25" t="s">
        <v>15373</v>
      </c>
      <c r="I2084" s="22" t="s">
        <v>15374</v>
      </c>
      <c r="J2084" s="22" t="s">
        <v>14709</v>
      </c>
      <c r="K2084" s="26">
        <f t="shared" si="32"/>
        <v>593.33333333333326</v>
      </c>
      <c r="N2084" s="26">
        <v>890</v>
      </c>
      <c r="O2084" s="22" t="s">
        <v>7863</v>
      </c>
      <c r="P2084" s="22" t="s">
        <v>6836</v>
      </c>
      <c r="Q2084" s="22">
        <v>91765</v>
      </c>
      <c r="R2084" s="22" t="s">
        <v>6187</v>
      </c>
      <c r="S2084" s="22" t="s">
        <v>6188</v>
      </c>
      <c r="X2084" s="26"/>
      <c r="Y2084" s="26"/>
    </row>
    <row r="2085" spans="1:25" ht="50" x14ac:dyDescent="0.25">
      <c r="A2085" s="21">
        <v>10271</v>
      </c>
      <c r="B2085" s="22" t="s">
        <v>15368</v>
      </c>
      <c r="C2085" s="22" t="s">
        <v>6191</v>
      </c>
      <c r="D2085" s="23">
        <v>415481</v>
      </c>
      <c r="E2085" s="24">
        <v>2003</v>
      </c>
      <c r="F2085" s="22" t="s">
        <v>6192</v>
      </c>
      <c r="G2085" s="23" t="s">
        <v>6193</v>
      </c>
      <c r="H2085" s="25" t="s">
        <v>15373</v>
      </c>
      <c r="I2085" s="22" t="s">
        <v>6101</v>
      </c>
      <c r="J2085" s="22" t="s">
        <v>16861</v>
      </c>
      <c r="K2085" s="26">
        <f t="shared" si="32"/>
        <v>400</v>
      </c>
      <c r="N2085" s="26">
        <v>600</v>
      </c>
      <c r="O2085" s="22" t="s">
        <v>6194</v>
      </c>
      <c r="P2085" s="22" t="s">
        <v>7706</v>
      </c>
      <c r="Q2085" s="22">
        <v>91764</v>
      </c>
      <c r="R2085" s="22" t="s">
        <v>6195</v>
      </c>
      <c r="S2085" s="22" t="s">
        <v>6196</v>
      </c>
      <c r="X2085" s="26"/>
      <c r="Y2085" s="26"/>
    </row>
    <row r="2086" spans="1:25" ht="37.5" x14ac:dyDescent="0.25">
      <c r="A2086" s="21">
        <v>10272</v>
      </c>
      <c r="B2086" s="22" t="s">
        <v>15368</v>
      </c>
      <c r="C2086" s="22" t="s">
        <v>15042</v>
      </c>
      <c r="D2086" s="23">
        <v>411968</v>
      </c>
      <c r="E2086" s="24">
        <v>2003</v>
      </c>
      <c r="F2086" s="22" t="s">
        <v>6197</v>
      </c>
      <c r="G2086" s="23" t="s">
        <v>6198</v>
      </c>
      <c r="H2086" s="25" t="s">
        <v>15373</v>
      </c>
      <c r="I2086" s="22" t="s">
        <v>15709</v>
      </c>
      <c r="J2086" s="22" t="s">
        <v>6199</v>
      </c>
      <c r="K2086" s="26">
        <f t="shared" si="32"/>
        <v>1180</v>
      </c>
      <c r="N2086" s="26">
        <v>1770</v>
      </c>
      <c r="O2086" s="22" t="s">
        <v>6200</v>
      </c>
      <c r="P2086" s="22" t="s">
        <v>7753</v>
      </c>
      <c r="Q2086" s="22">
        <v>90015</v>
      </c>
      <c r="R2086" s="22" t="s">
        <v>6201</v>
      </c>
      <c r="S2086" s="22" t="s">
        <v>6202</v>
      </c>
      <c r="X2086" s="26"/>
      <c r="Y2086" s="26"/>
    </row>
    <row r="2087" spans="1:25" ht="50" x14ac:dyDescent="0.25">
      <c r="A2087" s="21">
        <v>10273</v>
      </c>
      <c r="B2087" s="22" t="s">
        <v>15368</v>
      </c>
      <c r="C2087" s="22" t="s">
        <v>15042</v>
      </c>
      <c r="D2087" s="23">
        <v>412699</v>
      </c>
      <c r="E2087" s="24">
        <v>2003</v>
      </c>
      <c r="F2087" s="22" t="s">
        <v>6203</v>
      </c>
      <c r="G2087" s="23" t="s">
        <v>6204</v>
      </c>
      <c r="H2087" s="25" t="s">
        <v>15373</v>
      </c>
      <c r="I2087" s="22" t="s">
        <v>15374</v>
      </c>
      <c r="J2087" s="22">
        <v>3512</v>
      </c>
      <c r="K2087" s="26">
        <f t="shared" si="32"/>
        <v>1028.6666666666665</v>
      </c>
      <c r="N2087" s="26">
        <v>1543</v>
      </c>
      <c r="O2087" s="22" t="s">
        <v>6200</v>
      </c>
      <c r="P2087" s="22" t="s">
        <v>7753</v>
      </c>
      <c r="Q2087" s="22">
        <v>90015</v>
      </c>
      <c r="R2087" s="22" t="s">
        <v>6201</v>
      </c>
      <c r="S2087" s="22" t="s">
        <v>6202</v>
      </c>
      <c r="X2087" s="26"/>
      <c r="Y2087" s="26"/>
    </row>
    <row r="2088" spans="1:25" ht="50" x14ac:dyDescent="0.25">
      <c r="A2088" s="21">
        <v>10274</v>
      </c>
      <c r="B2088" s="22" t="s">
        <v>15368</v>
      </c>
      <c r="C2088" s="22" t="s">
        <v>15042</v>
      </c>
      <c r="D2088" s="23">
        <v>412700</v>
      </c>
      <c r="E2088" s="24">
        <v>2003</v>
      </c>
      <c r="F2088" s="22" t="s">
        <v>6205</v>
      </c>
      <c r="G2088" s="23" t="s">
        <v>6206</v>
      </c>
      <c r="H2088" s="25" t="s">
        <v>15373</v>
      </c>
      <c r="I2088" s="22" t="s">
        <v>15374</v>
      </c>
      <c r="J2088" s="22">
        <v>3512</v>
      </c>
      <c r="K2088" s="26">
        <f t="shared" si="32"/>
        <v>1028.6666666666665</v>
      </c>
      <c r="N2088" s="26">
        <v>1543</v>
      </c>
      <c r="O2088" s="22" t="s">
        <v>6200</v>
      </c>
      <c r="P2088" s="22" t="s">
        <v>7753</v>
      </c>
      <c r="Q2088" s="22">
        <v>90015</v>
      </c>
      <c r="R2088" s="22" t="s">
        <v>6201</v>
      </c>
      <c r="S2088" s="22" t="s">
        <v>6202</v>
      </c>
      <c r="X2088" s="26"/>
      <c r="Y2088" s="26"/>
    </row>
    <row r="2089" spans="1:25" ht="37.5" x14ac:dyDescent="0.25">
      <c r="A2089" s="21">
        <v>10275</v>
      </c>
      <c r="B2089" s="22" t="s">
        <v>15368</v>
      </c>
      <c r="C2089" s="22" t="s">
        <v>6207</v>
      </c>
      <c r="D2089" s="23">
        <v>415432</v>
      </c>
      <c r="E2089" s="24">
        <v>2003</v>
      </c>
      <c r="F2089" s="22" t="s">
        <v>6208</v>
      </c>
      <c r="G2089" s="23" t="s">
        <v>6209</v>
      </c>
      <c r="H2089" s="25" t="s">
        <v>15373</v>
      </c>
      <c r="I2089" s="22" t="s">
        <v>15709</v>
      </c>
      <c r="J2089" s="22" t="s">
        <v>6210</v>
      </c>
      <c r="K2089" s="26">
        <f t="shared" si="32"/>
        <v>539.33333333333326</v>
      </c>
      <c r="N2089" s="26">
        <v>809</v>
      </c>
      <c r="O2089" s="22" t="s">
        <v>6211</v>
      </c>
      <c r="P2089" s="22" t="s">
        <v>7813</v>
      </c>
      <c r="Q2089" s="22">
        <v>90503</v>
      </c>
      <c r="R2089" s="22" t="s">
        <v>6212</v>
      </c>
      <c r="S2089" s="22" t="s">
        <v>6213</v>
      </c>
      <c r="X2089" s="26"/>
      <c r="Y2089" s="26"/>
    </row>
    <row r="2090" spans="1:25" ht="50" x14ac:dyDescent="0.25">
      <c r="A2090" s="21">
        <v>10276</v>
      </c>
      <c r="B2090" s="22" t="s">
        <v>15368</v>
      </c>
      <c r="C2090" s="22" t="s">
        <v>6214</v>
      </c>
      <c r="D2090" s="23">
        <v>410733</v>
      </c>
      <c r="E2090" s="24">
        <v>2003</v>
      </c>
      <c r="F2090" s="22" t="s">
        <v>6215</v>
      </c>
      <c r="G2090" s="23" t="s">
        <v>6216</v>
      </c>
      <c r="H2090" s="25" t="s">
        <v>15373</v>
      </c>
      <c r="I2090" s="22" t="s">
        <v>15411</v>
      </c>
      <c r="J2090" s="22" t="s">
        <v>10176</v>
      </c>
      <c r="K2090" s="26">
        <f t="shared" si="32"/>
        <v>1956.6666666666665</v>
      </c>
      <c r="N2090" s="26">
        <v>2935</v>
      </c>
      <c r="O2090" s="22" t="s">
        <v>6217</v>
      </c>
      <c r="P2090" s="22" t="s">
        <v>7753</v>
      </c>
      <c r="Q2090" s="22">
        <v>90048</v>
      </c>
      <c r="R2090" s="22" t="s">
        <v>6218</v>
      </c>
      <c r="S2090" s="22" t="s">
        <v>6219</v>
      </c>
      <c r="X2090" s="26"/>
      <c r="Y2090" s="26"/>
    </row>
    <row r="2091" spans="1:25" ht="50" x14ac:dyDescent="0.25">
      <c r="A2091" s="21">
        <v>10277</v>
      </c>
      <c r="B2091" s="22" t="s">
        <v>15368</v>
      </c>
      <c r="C2091" s="22" t="s">
        <v>6214</v>
      </c>
      <c r="D2091" s="23">
        <v>410735</v>
      </c>
      <c r="E2091" s="24">
        <v>2003</v>
      </c>
      <c r="F2091" s="22" t="s">
        <v>6220</v>
      </c>
      <c r="G2091" s="23" t="s">
        <v>6221</v>
      </c>
      <c r="H2091" s="25" t="s">
        <v>15373</v>
      </c>
      <c r="I2091" s="22" t="s">
        <v>15411</v>
      </c>
      <c r="J2091" s="22" t="s">
        <v>10176</v>
      </c>
      <c r="K2091" s="26">
        <f t="shared" si="32"/>
        <v>1956.6666666666665</v>
      </c>
      <c r="N2091" s="26">
        <v>2935</v>
      </c>
      <c r="O2091" s="22" t="s">
        <v>6217</v>
      </c>
      <c r="P2091" s="22" t="s">
        <v>7753</v>
      </c>
      <c r="Q2091" s="22">
        <v>90048</v>
      </c>
      <c r="R2091" s="22" t="s">
        <v>6218</v>
      </c>
      <c r="S2091" s="22" t="s">
        <v>6219</v>
      </c>
      <c r="X2091" s="26"/>
      <c r="Y2091" s="26"/>
    </row>
    <row r="2092" spans="1:25" ht="50" x14ac:dyDescent="0.25">
      <c r="A2092" s="21">
        <v>10278</v>
      </c>
      <c r="B2092" s="22" t="s">
        <v>15368</v>
      </c>
      <c r="C2092" s="22" t="s">
        <v>6214</v>
      </c>
      <c r="D2092" s="23">
        <v>410736</v>
      </c>
      <c r="E2092" s="24">
        <v>2003</v>
      </c>
      <c r="F2092" s="22" t="s">
        <v>6222</v>
      </c>
      <c r="G2092" s="23" t="s">
        <v>6223</v>
      </c>
      <c r="H2092" s="25" t="s">
        <v>15373</v>
      </c>
      <c r="I2092" s="22" t="s">
        <v>15411</v>
      </c>
      <c r="J2092" s="22" t="s">
        <v>10176</v>
      </c>
      <c r="K2092" s="26">
        <f t="shared" si="32"/>
        <v>1956.6666666666665</v>
      </c>
      <c r="N2092" s="26">
        <v>2935</v>
      </c>
      <c r="O2092" s="22" t="s">
        <v>6217</v>
      </c>
      <c r="P2092" s="22" t="s">
        <v>7753</v>
      </c>
      <c r="Q2092" s="22">
        <v>90048</v>
      </c>
      <c r="R2092" s="22" t="s">
        <v>6218</v>
      </c>
      <c r="S2092" s="22" t="s">
        <v>6219</v>
      </c>
      <c r="X2092" s="26"/>
      <c r="Y2092" s="26"/>
    </row>
    <row r="2093" spans="1:25" ht="50" x14ac:dyDescent="0.25">
      <c r="A2093" s="21">
        <v>10279</v>
      </c>
      <c r="B2093" s="22" t="s">
        <v>15368</v>
      </c>
      <c r="C2093" s="22" t="s">
        <v>6214</v>
      </c>
      <c r="D2093" s="23">
        <v>410737</v>
      </c>
      <c r="E2093" s="24">
        <v>2003</v>
      </c>
      <c r="F2093" s="22" t="s">
        <v>6224</v>
      </c>
      <c r="G2093" s="23" t="s">
        <v>6225</v>
      </c>
      <c r="H2093" s="25" t="s">
        <v>15373</v>
      </c>
      <c r="I2093" s="22" t="s">
        <v>15411</v>
      </c>
      <c r="J2093" s="22" t="s">
        <v>10176</v>
      </c>
      <c r="K2093" s="26">
        <f t="shared" si="32"/>
        <v>1956.6666666666665</v>
      </c>
      <c r="N2093" s="26">
        <v>2935</v>
      </c>
      <c r="O2093" s="22" t="s">
        <v>6217</v>
      </c>
      <c r="P2093" s="22" t="s">
        <v>7753</v>
      </c>
      <c r="Q2093" s="22">
        <v>90048</v>
      </c>
      <c r="R2093" s="22" t="s">
        <v>6218</v>
      </c>
      <c r="S2093" s="22" t="s">
        <v>6219</v>
      </c>
      <c r="X2093" s="26"/>
      <c r="Y2093" s="26"/>
    </row>
    <row r="2094" spans="1:25" ht="37.5" x14ac:dyDescent="0.25">
      <c r="A2094" s="21">
        <v>10280</v>
      </c>
      <c r="B2094" s="22" t="s">
        <v>15368</v>
      </c>
      <c r="C2094" s="22" t="s">
        <v>6226</v>
      </c>
      <c r="D2094" s="23">
        <v>417290</v>
      </c>
      <c r="E2094" s="24">
        <v>2003</v>
      </c>
      <c r="F2094" s="22" t="s">
        <v>6227</v>
      </c>
      <c r="G2094" s="23" t="s">
        <v>6228</v>
      </c>
      <c r="H2094" s="25" t="s">
        <v>15373</v>
      </c>
      <c r="I2094" s="22" t="s">
        <v>15374</v>
      </c>
      <c r="J2094" s="22" t="s">
        <v>16121</v>
      </c>
      <c r="K2094" s="26">
        <f t="shared" si="32"/>
        <v>536.66666666666663</v>
      </c>
      <c r="N2094" s="26">
        <v>805</v>
      </c>
      <c r="O2094" s="22" t="s">
        <v>6229</v>
      </c>
      <c r="P2094" s="22" t="s">
        <v>7753</v>
      </c>
      <c r="Q2094" s="22">
        <v>90006</v>
      </c>
      <c r="R2094" s="22" t="s">
        <v>6230</v>
      </c>
      <c r="S2094" s="22" t="s">
        <v>6231</v>
      </c>
      <c r="X2094" s="26"/>
      <c r="Y2094" s="26"/>
    </row>
    <row r="2095" spans="1:25" ht="50" x14ac:dyDescent="0.25">
      <c r="A2095" s="21">
        <v>10281</v>
      </c>
      <c r="B2095" s="22" t="s">
        <v>15368</v>
      </c>
      <c r="C2095" s="22" t="s">
        <v>6232</v>
      </c>
      <c r="D2095" s="23">
        <v>413142</v>
      </c>
      <c r="E2095" s="24">
        <v>2003</v>
      </c>
      <c r="F2095" s="22" t="s">
        <v>6233</v>
      </c>
      <c r="G2095" s="23" t="s">
        <v>6234</v>
      </c>
      <c r="H2095" s="25" t="s">
        <v>15373</v>
      </c>
      <c r="I2095" s="22" t="s">
        <v>15411</v>
      </c>
      <c r="J2095" s="22" t="s">
        <v>8343</v>
      </c>
      <c r="K2095" s="26">
        <f t="shared" si="32"/>
        <v>996.66666666666663</v>
      </c>
      <c r="N2095" s="26">
        <v>1495</v>
      </c>
      <c r="O2095" s="22" t="s">
        <v>6235</v>
      </c>
      <c r="P2095" s="22" t="s">
        <v>5777</v>
      </c>
      <c r="Q2095" s="22">
        <v>91206</v>
      </c>
      <c r="R2095" s="22" t="s">
        <v>6236</v>
      </c>
      <c r="S2095" s="22" t="s">
        <v>6237</v>
      </c>
      <c r="X2095" s="26"/>
      <c r="Y2095" s="26"/>
    </row>
    <row r="2096" spans="1:25" ht="50" x14ac:dyDescent="0.25">
      <c r="A2096" s="21">
        <v>10282</v>
      </c>
      <c r="B2096" s="22" t="s">
        <v>15368</v>
      </c>
      <c r="C2096" s="22" t="s">
        <v>6232</v>
      </c>
      <c r="D2096" s="23">
        <v>413143</v>
      </c>
      <c r="E2096" s="24">
        <v>2003</v>
      </c>
      <c r="F2096" s="22" t="s">
        <v>6238</v>
      </c>
      <c r="G2096" s="23" t="s">
        <v>6239</v>
      </c>
      <c r="H2096" s="25" t="s">
        <v>15373</v>
      </c>
      <c r="I2096" s="22" t="s">
        <v>15411</v>
      </c>
      <c r="J2096" s="22" t="s">
        <v>8343</v>
      </c>
      <c r="K2096" s="26">
        <f t="shared" si="32"/>
        <v>996.66666666666663</v>
      </c>
      <c r="N2096" s="26">
        <v>1495</v>
      </c>
      <c r="O2096" s="22" t="s">
        <v>6235</v>
      </c>
      <c r="P2096" s="22" t="s">
        <v>5777</v>
      </c>
      <c r="Q2096" s="22">
        <v>91206</v>
      </c>
      <c r="R2096" s="22" t="s">
        <v>6236</v>
      </c>
      <c r="S2096" s="22" t="s">
        <v>6237</v>
      </c>
      <c r="X2096" s="26"/>
      <c r="Y2096" s="26"/>
    </row>
    <row r="2097" spans="1:25" ht="50" x14ac:dyDescent="0.25">
      <c r="A2097" s="21">
        <v>10283</v>
      </c>
      <c r="B2097" s="22" t="s">
        <v>15368</v>
      </c>
      <c r="C2097" s="22" t="s">
        <v>6240</v>
      </c>
      <c r="D2097" s="23">
        <v>411413</v>
      </c>
      <c r="E2097" s="24">
        <v>2003</v>
      </c>
      <c r="F2097" s="22" t="s">
        <v>6241</v>
      </c>
      <c r="G2097" s="23" t="s">
        <v>6242</v>
      </c>
      <c r="H2097" s="25" t="s">
        <v>15373</v>
      </c>
      <c r="I2097" s="22" t="s">
        <v>15411</v>
      </c>
      <c r="J2097" s="22" t="s">
        <v>13080</v>
      </c>
      <c r="K2097" s="26">
        <f t="shared" si="32"/>
        <v>679</v>
      </c>
      <c r="L2097" s="26">
        <v>679</v>
      </c>
      <c r="O2097" s="22" t="s">
        <v>6243</v>
      </c>
      <c r="P2097" s="22" t="s">
        <v>6857</v>
      </c>
      <c r="Q2097" s="22">
        <v>92501</v>
      </c>
      <c r="R2097" s="22" t="s">
        <v>6244</v>
      </c>
      <c r="S2097" s="22" t="s">
        <v>6245</v>
      </c>
      <c r="X2097" s="26"/>
      <c r="Y2097" s="26"/>
    </row>
    <row r="2098" spans="1:25" ht="50" x14ac:dyDescent="0.25">
      <c r="A2098" s="21">
        <v>10284</v>
      </c>
      <c r="B2098" s="22" t="s">
        <v>15368</v>
      </c>
      <c r="C2098" s="22" t="s">
        <v>6246</v>
      </c>
      <c r="D2098" s="23">
        <v>420560</v>
      </c>
      <c r="E2098" s="24">
        <v>2003</v>
      </c>
      <c r="F2098" s="22" t="s">
        <v>6247</v>
      </c>
      <c r="G2098" s="23" t="s">
        <v>6248</v>
      </c>
      <c r="H2098" s="25" t="s">
        <v>15373</v>
      </c>
      <c r="I2098" s="22" t="s">
        <v>14275</v>
      </c>
      <c r="J2098" s="22" t="s">
        <v>6776</v>
      </c>
      <c r="K2098" s="26">
        <f t="shared" si="32"/>
        <v>338</v>
      </c>
      <c r="N2098" s="26">
        <v>507</v>
      </c>
      <c r="O2098" s="22" t="s">
        <v>6249</v>
      </c>
      <c r="P2098" s="22" t="s">
        <v>7760</v>
      </c>
      <c r="Q2098" s="22">
        <v>91107</v>
      </c>
      <c r="R2098" s="22" t="s">
        <v>6250</v>
      </c>
      <c r="S2098" s="22" t="s">
        <v>6251</v>
      </c>
      <c r="X2098" s="26"/>
      <c r="Y2098" s="26"/>
    </row>
    <row r="2099" spans="1:25" ht="50" x14ac:dyDescent="0.25">
      <c r="A2099" s="21">
        <v>10285</v>
      </c>
      <c r="B2099" s="22" t="s">
        <v>15368</v>
      </c>
      <c r="C2099" s="22" t="s">
        <v>6252</v>
      </c>
      <c r="D2099" s="23">
        <v>413074</v>
      </c>
      <c r="E2099" s="24">
        <v>2003</v>
      </c>
      <c r="F2099" s="22" t="s">
        <v>6253</v>
      </c>
      <c r="G2099" s="23" t="s">
        <v>6254</v>
      </c>
      <c r="H2099" s="25" t="s">
        <v>15373</v>
      </c>
      <c r="I2099" s="22" t="s">
        <v>15374</v>
      </c>
      <c r="J2099" s="22" t="s">
        <v>15677</v>
      </c>
      <c r="K2099" s="26">
        <f t="shared" si="32"/>
        <v>1898</v>
      </c>
      <c r="N2099" s="26">
        <v>2847</v>
      </c>
      <c r="O2099" s="22" t="s">
        <v>6255</v>
      </c>
      <c r="P2099" s="22" t="s">
        <v>6256</v>
      </c>
      <c r="Q2099" s="22">
        <v>92880</v>
      </c>
      <c r="R2099" s="22" t="s">
        <v>6257</v>
      </c>
      <c r="S2099" s="22" t="s">
        <v>6258</v>
      </c>
      <c r="X2099" s="26"/>
      <c r="Y2099" s="26"/>
    </row>
    <row r="2100" spans="1:25" ht="50" x14ac:dyDescent="0.25">
      <c r="A2100" s="21">
        <v>10286</v>
      </c>
      <c r="B2100" s="22" t="s">
        <v>15368</v>
      </c>
      <c r="C2100" s="22" t="s">
        <v>6252</v>
      </c>
      <c r="D2100" s="23">
        <v>413073</v>
      </c>
      <c r="E2100" s="24">
        <v>2003</v>
      </c>
      <c r="F2100" s="22" t="s">
        <v>6259</v>
      </c>
      <c r="G2100" s="23" t="s">
        <v>9276</v>
      </c>
      <c r="H2100" s="25" t="s">
        <v>15373</v>
      </c>
      <c r="I2100" s="22" t="s">
        <v>15374</v>
      </c>
      <c r="J2100" s="22" t="s">
        <v>15677</v>
      </c>
      <c r="K2100" s="26">
        <f t="shared" si="32"/>
        <v>2000</v>
      </c>
      <c r="L2100" s="26">
        <v>2000</v>
      </c>
      <c r="O2100" s="22" t="s">
        <v>6255</v>
      </c>
      <c r="P2100" s="22" t="s">
        <v>6256</v>
      </c>
      <c r="Q2100" s="22">
        <v>92880</v>
      </c>
      <c r="R2100" s="22" t="s">
        <v>6257</v>
      </c>
      <c r="S2100" s="22" t="s">
        <v>6258</v>
      </c>
      <c r="X2100" s="26"/>
      <c r="Y2100" s="26"/>
    </row>
    <row r="2101" spans="1:25" ht="50" x14ac:dyDescent="0.25">
      <c r="A2101" s="21">
        <v>10287</v>
      </c>
      <c r="B2101" s="22" t="s">
        <v>15368</v>
      </c>
      <c r="C2101" s="22" t="s">
        <v>6260</v>
      </c>
      <c r="D2101" s="23">
        <v>413603</v>
      </c>
      <c r="E2101" s="24">
        <v>2003</v>
      </c>
      <c r="F2101" s="22" t="s">
        <v>6261</v>
      </c>
      <c r="G2101" s="23" t="s">
        <v>6262</v>
      </c>
      <c r="H2101" s="25" t="s">
        <v>15373</v>
      </c>
      <c r="I2101" s="22" t="s">
        <v>6101</v>
      </c>
      <c r="J2101" s="22" t="s">
        <v>15391</v>
      </c>
      <c r="K2101" s="26">
        <f t="shared" si="32"/>
        <v>1480</v>
      </c>
      <c r="N2101" s="26">
        <v>2220</v>
      </c>
      <c r="O2101" s="22" t="s">
        <v>6263</v>
      </c>
      <c r="P2101" s="22" t="s">
        <v>6264</v>
      </c>
      <c r="Q2101" s="22">
        <v>91301</v>
      </c>
      <c r="R2101" s="22" t="s">
        <v>6265</v>
      </c>
      <c r="S2101" s="22" t="s">
        <v>6266</v>
      </c>
      <c r="X2101" s="26"/>
      <c r="Y2101" s="26"/>
    </row>
    <row r="2102" spans="1:25" ht="50" x14ac:dyDescent="0.25">
      <c r="A2102" s="21">
        <v>10288</v>
      </c>
      <c r="B2102" s="22" t="s">
        <v>15368</v>
      </c>
      <c r="C2102" s="22" t="s">
        <v>6267</v>
      </c>
      <c r="D2102" s="23">
        <v>413591</v>
      </c>
      <c r="E2102" s="24">
        <v>2003</v>
      </c>
      <c r="F2102" s="22" t="s">
        <v>6268</v>
      </c>
      <c r="G2102" s="23" t="s">
        <v>6269</v>
      </c>
      <c r="H2102" s="25" t="s">
        <v>15373</v>
      </c>
      <c r="I2102" s="22" t="s">
        <v>15411</v>
      </c>
      <c r="J2102" s="22" t="s">
        <v>8146</v>
      </c>
      <c r="K2102" s="26">
        <f t="shared" si="32"/>
        <v>510</v>
      </c>
      <c r="N2102" s="26">
        <v>765</v>
      </c>
      <c r="O2102" s="22" t="s">
        <v>6270</v>
      </c>
      <c r="P2102" s="22" t="s">
        <v>6271</v>
      </c>
      <c r="Q2102" s="22">
        <v>92840</v>
      </c>
      <c r="R2102" s="22" t="s">
        <v>6272</v>
      </c>
      <c r="S2102" s="22" t="s">
        <v>6273</v>
      </c>
      <c r="X2102" s="26"/>
      <c r="Y2102" s="26"/>
    </row>
    <row r="2103" spans="1:25" ht="37.5" x14ac:dyDescent="0.25">
      <c r="A2103" s="21">
        <v>10289</v>
      </c>
      <c r="B2103" s="22" t="s">
        <v>15368</v>
      </c>
      <c r="C2103" s="22" t="s">
        <v>6274</v>
      </c>
      <c r="D2103" s="23">
        <v>411999</v>
      </c>
      <c r="E2103" s="24">
        <v>2003</v>
      </c>
      <c r="F2103" s="22" t="s">
        <v>6275</v>
      </c>
      <c r="G2103" s="23" t="s">
        <v>6276</v>
      </c>
      <c r="H2103" s="25" t="s">
        <v>15373</v>
      </c>
      <c r="I2103" s="22" t="s">
        <v>15374</v>
      </c>
      <c r="J2103" s="22">
        <v>3412</v>
      </c>
      <c r="K2103" s="26">
        <f t="shared" si="32"/>
        <v>503.33333333333331</v>
      </c>
      <c r="N2103" s="26">
        <v>755</v>
      </c>
      <c r="O2103" s="22" t="s">
        <v>6277</v>
      </c>
      <c r="P2103" s="22" t="s">
        <v>7127</v>
      </c>
      <c r="Q2103" s="22">
        <v>90802</v>
      </c>
      <c r="R2103" s="22" t="s">
        <v>6278</v>
      </c>
      <c r="S2103" s="22" t="s">
        <v>6279</v>
      </c>
      <c r="X2103" s="26"/>
      <c r="Y2103" s="26"/>
    </row>
    <row r="2104" spans="1:25" ht="37.5" x14ac:dyDescent="0.25">
      <c r="A2104" s="21">
        <v>10290</v>
      </c>
      <c r="B2104" s="22" t="s">
        <v>15368</v>
      </c>
      <c r="C2104" s="22" t="s">
        <v>6280</v>
      </c>
      <c r="D2104" s="23">
        <v>412302</v>
      </c>
      <c r="E2104" s="24">
        <v>2003</v>
      </c>
      <c r="F2104" s="22" t="s">
        <v>6281</v>
      </c>
      <c r="G2104" s="23" t="s">
        <v>6282</v>
      </c>
      <c r="H2104" s="25" t="s">
        <v>16310</v>
      </c>
      <c r="I2104" s="22" t="s">
        <v>15374</v>
      </c>
      <c r="J2104" s="22" t="s">
        <v>6283</v>
      </c>
      <c r="K2104" s="26">
        <f t="shared" si="32"/>
        <v>414.66666666666663</v>
      </c>
      <c r="N2104" s="26">
        <v>622</v>
      </c>
      <c r="O2104" s="22" t="s">
        <v>6284</v>
      </c>
      <c r="P2104" s="22" t="s">
        <v>5749</v>
      </c>
      <c r="Q2104" s="22">
        <v>92802</v>
      </c>
      <c r="R2104" s="22" t="s">
        <v>6285</v>
      </c>
      <c r="S2104" s="22" t="s">
        <v>6286</v>
      </c>
      <c r="X2104" s="26"/>
      <c r="Y2104" s="26"/>
    </row>
    <row r="2105" spans="1:25" ht="37.5" x14ac:dyDescent="0.25">
      <c r="A2105" s="21">
        <v>10291</v>
      </c>
      <c r="B2105" s="22" t="s">
        <v>15368</v>
      </c>
      <c r="C2105" s="22" t="s">
        <v>6287</v>
      </c>
      <c r="D2105" s="23">
        <v>415351</v>
      </c>
      <c r="E2105" s="24">
        <v>2003</v>
      </c>
      <c r="F2105" s="22" t="s">
        <v>6288</v>
      </c>
      <c r="G2105" s="23" t="s">
        <v>6289</v>
      </c>
      <c r="H2105" s="25" t="s">
        <v>15373</v>
      </c>
      <c r="I2105" s="22" t="s">
        <v>6101</v>
      </c>
      <c r="J2105" s="22" t="s">
        <v>6290</v>
      </c>
      <c r="K2105" s="26">
        <f t="shared" si="32"/>
        <v>423.33333333333331</v>
      </c>
      <c r="N2105" s="26">
        <v>635</v>
      </c>
      <c r="O2105" s="22" t="s">
        <v>6291</v>
      </c>
      <c r="P2105" s="22" t="s">
        <v>7753</v>
      </c>
      <c r="Q2105" s="22">
        <v>90022</v>
      </c>
      <c r="R2105" s="22" t="s">
        <v>6292</v>
      </c>
      <c r="S2105" s="22" t="s">
        <v>6293</v>
      </c>
      <c r="X2105" s="26"/>
      <c r="Y2105" s="26"/>
    </row>
    <row r="2106" spans="1:25" ht="37.5" x14ac:dyDescent="0.25">
      <c r="A2106" s="21">
        <v>10292</v>
      </c>
      <c r="B2106" s="22" t="s">
        <v>15368</v>
      </c>
      <c r="C2106" s="22" t="s">
        <v>6294</v>
      </c>
      <c r="D2106" s="23">
        <v>411551</v>
      </c>
      <c r="E2106" s="24">
        <v>2003</v>
      </c>
      <c r="F2106" s="22" t="s">
        <v>6295</v>
      </c>
      <c r="G2106" s="23" t="s">
        <v>6296</v>
      </c>
      <c r="H2106" s="25" t="s">
        <v>15373</v>
      </c>
      <c r="I2106" s="22" t="s">
        <v>6101</v>
      </c>
      <c r="J2106" s="22" t="s">
        <v>16784</v>
      </c>
      <c r="K2106" s="26">
        <f t="shared" si="32"/>
        <v>503.33333333333331</v>
      </c>
      <c r="N2106" s="26">
        <v>755</v>
      </c>
      <c r="O2106" s="22" t="s">
        <v>6297</v>
      </c>
      <c r="P2106" s="22" t="s">
        <v>7127</v>
      </c>
      <c r="Q2106" s="22">
        <v>90806</v>
      </c>
      <c r="R2106" s="22" t="s">
        <v>6298</v>
      </c>
      <c r="S2106" s="22" t="s">
        <v>6299</v>
      </c>
      <c r="X2106" s="26"/>
      <c r="Y2106" s="26"/>
    </row>
    <row r="2107" spans="1:25" ht="50" x14ac:dyDescent="0.25">
      <c r="A2107" s="21">
        <v>10293</v>
      </c>
      <c r="B2107" s="22" t="s">
        <v>15368</v>
      </c>
      <c r="C2107" s="22" t="s">
        <v>6300</v>
      </c>
      <c r="D2107" s="23">
        <v>412733</v>
      </c>
      <c r="E2107" s="24">
        <v>2003</v>
      </c>
      <c r="F2107" s="22" t="s">
        <v>6301</v>
      </c>
      <c r="G2107" s="23" t="s">
        <v>6302</v>
      </c>
      <c r="H2107" s="25" t="s">
        <v>15373</v>
      </c>
      <c r="I2107" s="22" t="s">
        <v>15374</v>
      </c>
      <c r="J2107" s="22" t="s">
        <v>15918</v>
      </c>
      <c r="K2107" s="26">
        <f t="shared" si="32"/>
        <v>1000</v>
      </c>
      <c r="L2107" s="26">
        <v>1000</v>
      </c>
      <c r="O2107" s="22" t="s">
        <v>6303</v>
      </c>
      <c r="P2107" s="22" t="s">
        <v>7753</v>
      </c>
      <c r="Q2107" s="22">
        <v>90012</v>
      </c>
      <c r="R2107" s="22" t="s">
        <v>6304</v>
      </c>
      <c r="S2107" s="22" t="s">
        <v>6305</v>
      </c>
      <c r="X2107" s="26"/>
      <c r="Y2107" s="26"/>
    </row>
    <row r="2108" spans="1:25" ht="50" x14ac:dyDescent="0.25">
      <c r="A2108" s="21">
        <v>10295</v>
      </c>
      <c r="B2108" s="22" t="s">
        <v>15368</v>
      </c>
      <c r="C2108" s="22" t="s">
        <v>6306</v>
      </c>
      <c r="D2108" s="23">
        <v>413390</v>
      </c>
      <c r="E2108" s="24">
        <v>2003</v>
      </c>
      <c r="F2108" s="22" t="s">
        <v>6307</v>
      </c>
      <c r="G2108" s="23" t="s">
        <v>6308</v>
      </c>
      <c r="H2108" s="25" t="s">
        <v>15373</v>
      </c>
      <c r="I2108" s="22" t="s">
        <v>6101</v>
      </c>
      <c r="J2108" s="22" t="s">
        <v>15640</v>
      </c>
      <c r="K2108" s="26">
        <f t="shared" si="32"/>
        <v>993.33333333333326</v>
      </c>
      <c r="N2108" s="26">
        <v>1490</v>
      </c>
      <c r="O2108" s="22" t="s">
        <v>6309</v>
      </c>
      <c r="P2108" s="22" t="s">
        <v>7753</v>
      </c>
      <c r="Q2108" s="22">
        <v>90017</v>
      </c>
      <c r="R2108" s="22" t="s">
        <v>6310</v>
      </c>
      <c r="S2108" s="22" t="s">
        <v>6311</v>
      </c>
      <c r="X2108" s="26"/>
      <c r="Y2108" s="26"/>
    </row>
    <row r="2109" spans="1:25" ht="37.5" x14ac:dyDescent="0.25">
      <c r="A2109" s="21">
        <v>10296</v>
      </c>
      <c r="B2109" s="22" t="s">
        <v>15368</v>
      </c>
      <c r="C2109" s="22" t="s">
        <v>6312</v>
      </c>
      <c r="D2109" s="23">
        <v>401187</v>
      </c>
      <c r="E2109" s="24">
        <v>2003</v>
      </c>
      <c r="F2109" s="22" t="s">
        <v>6313</v>
      </c>
      <c r="G2109" s="23" t="s">
        <v>6314</v>
      </c>
      <c r="H2109" s="25" t="s">
        <v>15373</v>
      </c>
      <c r="I2109" s="22" t="s">
        <v>6101</v>
      </c>
      <c r="J2109" s="22" t="s">
        <v>16799</v>
      </c>
      <c r="K2109" s="26">
        <f t="shared" si="32"/>
        <v>503.33333333333331</v>
      </c>
      <c r="N2109" s="26">
        <v>755</v>
      </c>
      <c r="O2109" s="22" t="s">
        <v>6315</v>
      </c>
      <c r="P2109" s="22" t="s">
        <v>7691</v>
      </c>
      <c r="Q2109" s="22">
        <v>92618</v>
      </c>
      <c r="R2109" s="22" t="s">
        <v>6316</v>
      </c>
      <c r="S2109" s="22" t="s">
        <v>6317</v>
      </c>
      <c r="X2109" s="26"/>
      <c r="Y2109" s="26"/>
    </row>
    <row r="2110" spans="1:25" ht="50" x14ac:dyDescent="0.25">
      <c r="A2110" s="21">
        <v>10297</v>
      </c>
      <c r="B2110" s="22" t="s">
        <v>15368</v>
      </c>
      <c r="C2110" s="22" t="s">
        <v>6318</v>
      </c>
      <c r="D2110" s="23">
        <v>408744</v>
      </c>
      <c r="E2110" s="24">
        <v>2003</v>
      </c>
      <c r="F2110" s="22" t="s">
        <v>6319</v>
      </c>
      <c r="G2110" s="23" t="s">
        <v>6320</v>
      </c>
      <c r="H2110" s="25" t="s">
        <v>15373</v>
      </c>
      <c r="I2110" s="22" t="s">
        <v>15411</v>
      </c>
      <c r="J2110" s="22" t="s">
        <v>8343</v>
      </c>
      <c r="K2110" s="26">
        <f t="shared" si="32"/>
        <v>996.66666666666663</v>
      </c>
      <c r="N2110" s="26">
        <v>1495</v>
      </c>
      <c r="O2110" s="22" t="s">
        <v>6321</v>
      </c>
      <c r="P2110" s="22" t="s">
        <v>7753</v>
      </c>
      <c r="Q2110" s="22">
        <v>90067</v>
      </c>
      <c r="R2110" s="22" t="s">
        <v>6322</v>
      </c>
      <c r="S2110" s="22" t="s">
        <v>6323</v>
      </c>
      <c r="X2110" s="26"/>
      <c r="Y2110" s="26"/>
    </row>
    <row r="2111" spans="1:25" ht="50" x14ac:dyDescent="0.25">
      <c r="A2111" s="21">
        <v>10298</v>
      </c>
      <c r="B2111" s="22" t="s">
        <v>15368</v>
      </c>
      <c r="C2111" s="22" t="s">
        <v>6324</v>
      </c>
      <c r="D2111" s="23">
        <v>412788</v>
      </c>
      <c r="E2111" s="24">
        <v>2003</v>
      </c>
      <c r="F2111" s="22" t="s">
        <v>6325</v>
      </c>
      <c r="G2111" s="23" t="s">
        <v>6326</v>
      </c>
      <c r="H2111" s="25" t="s">
        <v>15373</v>
      </c>
      <c r="I2111" s="22" t="s">
        <v>15411</v>
      </c>
      <c r="J2111" s="22" t="s">
        <v>16276</v>
      </c>
      <c r="K2111" s="26">
        <f t="shared" si="32"/>
        <v>378.66666666666663</v>
      </c>
      <c r="N2111" s="26">
        <v>568</v>
      </c>
      <c r="O2111" s="22" t="s">
        <v>6327</v>
      </c>
      <c r="P2111" s="22" t="s">
        <v>7753</v>
      </c>
      <c r="Q2111" s="22">
        <v>90038</v>
      </c>
      <c r="R2111" s="22" t="s">
        <v>6328</v>
      </c>
      <c r="S2111" s="22" t="s">
        <v>6329</v>
      </c>
      <c r="X2111" s="26"/>
      <c r="Y2111" s="26"/>
    </row>
    <row r="2112" spans="1:25" ht="50" x14ac:dyDescent="0.25">
      <c r="A2112" s="21">
        <v>10299</v>
      </c>
      <c r="B2112" s="22" t="s">
        <v>15368</v>
      </c>
      <c r="C2112" s="22" t="s">
        <v>6330</v>
      </c>
      <c r="D2112" s="23">
        <v>412752</v>
      </c>
      <c r="E2112" s="24">
        <v>2003</v>
      </c>
      <c r="F2112" s="22" t="s">
        <v>6331</v>
      </c>
      <c r="G2112" s="23" t="s">
        <v>6332</v>
      </c>
      <c r="H2112" s="25" t="s">
        <v>15373</v>
      </c>
      <c r="I2112" s="22" t="s">
        <v>15411</v>
      </c>
      <c r="J2112" s="22" t="s">
        <v>16276</v>
      </c>
      <c r="K2112" s="26">
        <f t="shared" si="32"/>
        <v>378.66666666666663</v>
      </c>
      <c r="N2112" s="26">
        <v>568</v>
      </c>
      <c r="O2112" s="22" t="s">
        <v>6333</v>
      </c>
      <c r="P2112" s="22" t="s">
        <v>7753</v>
      </c>
      <c r="Q2112" s="22">
        <v>90017</v>
      </c>
      <c r="R2112" s="22" t="s">
        <v>6334</v>
      </c>
      <c r="S2112" s="22" t="s">
        <v>6335</v>
      </c>
      <c r="X2112" s="26"/>
      <c r="Y2112" s="26"/>
    </row>
    <row r="2113" spans="1:25" ht="50" x14ac:dyDescent="0.25">
      <c r="A2113" s="21">
        <v>10300</v>
      </c>
      <c r="B2113" s="22" t="s">
        <v>15368</v>
      </c>
      <c r="C2113" s="22" t="s">
        <v>6336</v>
      </c>
      <c r="D2113" s="23">
        <v>414174</v>
      </c>
      <c r="E2113" s="24">
        <v>2003</v>
      </c>
      <c r="F2113" s="22" t="s">
        <v>6337</v>
      </c>
      <c r="G2113" s="23" t="s">
        <v>6338</v>
      </c>
      <c r="H2113" s="25" t="s">
        <v>15373</v>
      </c>
      <c r="I2113" s="22" t="s">
        <v>15411</v>
      </c>
      <c r="J2113" s="22" t="s">
        <v>16517</v>
      </c>
      <c r="K2113" s="26">
        <f t="shared" ref="K2113:K2176" si="33">L2113+M2113*(2/3)+N2113*(2/3)</f>
        <v>366.66666666666663</v>
      </c>
      <c r="N2113" s="26">
        <v>550</v>
      </c>
      <c r="O2113" s="22" t="s">
        <v>6339</v>
      </c>
      <c r="P2113" s="22" t="s">
        <v>6959</v>
      </c>
      <c r="Q2113" s="22">
        <v>92832</v>
      </c>
      <c r="R2113" s="22" t="s">
        <v>6340</v>
      </c>
      <c r="S2113" s="22" t="s">
        <v>6341</v>
      </c>
      <c r="X2113" s="26"/>
      <c r="Y2113" s="26"/>
    </row>
    <row r="2114" spans="1:25" ht="50" x14ac:dyDescent="0.25">
      <c r="A2114" s="21">
        <v>10301</v>
      </c>
      <c r="B2114" s="22" t="s">
        <v>15368</v>
      </c>
      <c r="C2114" s="22" t="s">
        <v>6669</v>
      </c>
      <c r="D2114" s="23">
        <v>411711</v>
      </c>
      <c r="E2114" s="24">
        <v>2003</v>
      </c>
      <c r="F2114" s="22" t="s">
        <v>6342</v>
      </c>
      <c r="G2114" s="23" t="s">
        <v>6343</v>
      </c>
      <c r="H2114" s="25" t="s">
        <v>15373</v>
      </c>
      <c r="I2114" s="22" t="s">
        <v>15411</v>
      </c>
      <c r="J2114" s="22" t="s">
        <v>16331</v>
      </c>
      <c r="K2114" s="26">
        <f t="shared" si="33"/>
        <v>730</v>
      </c>
      <c r="N2114" s="26">
        <v>1095</v>
      </c>
      <c r="O2114" s="22" t="s">
        <v>6344</v>
      </c>
      <c r="P2114" s="22" t="s">
        <v>7753</v>
      </c>
      <c r="Q2114" s="22">
        <v>90012</v>
      </c>
      <c r="R2114" s="22" t="s">
        <v>6345</v>
      </c>
      <c r="S2114" s="22" t="s">
        <v>6346</v>
      </c>
      <c r="X2114" s="26"/>
      <c r="Y2114" s="26"/>
    </row>
    <row r="2115" spans="1:25" ht="50" x14ac:dyDescent="0.25">
      <c r="A2115" s="21">
        <v>10302</v>
      </c>
      <c r="B2115" s="22" t="s">
        <v>15368</v>
      </c>
      <c r="C2115" s="22" t="s">
        <v>6669</v>
      </c>
      <c r="D2115" s="23">
        <v>411712</v>
      </c>
      <c r="E2115" s="24">
        <v>2003</v>
      </c>
      <c r="F2115" s="22" t="s">
        <v>6347</v>
      </c>
      <c r="G2115" s="23" t="s">
        <v>6348</v>
      </c>
      <c r="H2115" s="25" t="s">
        <v>15373</v>
      </c>
      <c r="I2115" s="22" t="s">
        <v>15411</v>
      </c>
      <c r="J2115" s="22" t="s">
        <v>16331</v>
      </c>
      <c r="K2115" s="26">
        <f t="shared" si="33"/>
        <v>730</v>
      </c>
      <c r="N2115" s="26">
        <v>1095</v>
      </c>
      <c r="O2115" s="22" t="s">
        <v>6344</v>
      </c>
      <c r="P2115" s="22" t="s">
        <v>7753</v>
      </c>
      <c r="Q2115" s="22">
        <v>90012</v>
      </c>
      <c r="R2115" s="22" t="s">
        <v>6345</v>
      </c>
      <c r="S2115" s="22" t="s">
        <v>6346</v>
      </c>
      <c r="X2115" s="26"/>
      <c r="Y2115" s="26"/>
    </row>
    <row r="2116" spans="1:25" ht="50" x14ac:dyDescent="0.25">
      <c r="A2116" s="21">
        <v>10303</v>
      </c>
      <c r="B2116" s="22" t="s">
        <v>15368</v>
      </c>
      <c r="C2116" s="22" t="s">
        <v>6349</v>
      </c>
      <c r="D2116" s="23">
        <v>418791</v>
      </c>
      <c r="E2116" s="24">
        <v>2003</v>
      </c>
      <c r="F2116" s="22" t="s">
        <v>6350</v>
      </c>
      <c r="G2116" s="23" t="s">
        <v>6351</v>
      </c>
      <c r="H2116" s="25" t="s">
        <v>15373</v>
      </c>
      <c r="I2116" s="22" t="s">
        <v>6101</v>
      </c>
      <c r="J2116" s="22" t="s">
        <v>15689</v>
      </c>
      <c r="K2116" s="26">
        <f t="shared" si="33"/>
        <v>600</v>
      </c>
      <c r="L2116" s="26">
        <v>600</v>
      </c>
      <c r="O2116" s="22" t="s">
        <v>6352</v>
      </c>
      <c r="P2116" s="22" t="s">
        <v>7691</v>
      </c>
      <c r="Q2116" s="22">
        <v>92614</v>
      </c>
      <c r="R2116" s="22" t="s">
        <v>6353</v>
      </c>
      <c r="S2116" s="22" t="s">
        <v>7450</v>
      </c>
      <c r="X2116" s="26"/>
      <c r="Y2116" s="26"/>
    </row>
    <row r="2117" spans="1:25" ht="50" x14ac:dyDescent="0.25">
      <c r="A2117" s="21">
        <v>10304</v>
      </c>
      <c r="B2117" s="22" t="s">
        <v>15368</v>
      </c>
      <c r="C2117" s="22" t="s">
        <v>6354</v>
      </c>
      <c r="D2117" s="23">
        <v>420042</v>
      </c>
      <c r="E2117" s="24">
        <v>2003</v>
      </c>
      <c r="F2117" s="22" t="s">
        <v>6355</v>
      </c>
      <c r="G2117" s="23" t="s">
        <v>6356</v>
      </c>
      <c r="H2117" s="25" t="s">
        <v>15373</v>
      </c>
      <c r="I2117" s="22" t="s">
        <v>15374</v>
      </c>
      <c r="J2117" s="22" t="s">
        <v>6357</v>
      </c>
      <c r="K2117" s="26">
        <f t="shared" si="33"/>
        <v>350</v>
      </c>
      <c r="L2117" s="26">
        <v>350</v>
      </c>
      <c r="O2117" s="22" t="s">
        <v>6358</v>
      </c>
      <c r="P2117" s="22" t="s">
        <v>7237</v>
      </c>
      <c r="Q2117" s="22">
        <v>91362</v>
      </c>
      <c r="R2117" s="22" t="s">
        <v>6359</v>
      </c>
      <c r="S2117" s="22" t="s">
        <v>6360</v>
      </c>
      <c r="X2117" s="26"/>
      <c r="Y2117" s="26"/>
    </row>
    <row r="2118" spans="1:25" ht="50" x14ac:dyDescent="0.25">
      <c r="A2118" s="21">
        <v>10305</v>
      </c>
      <c r="B2118" s="22" t="s">
        <v>15368</v>
      </c>
      <c r="C2118" s="22" t="s">
        <v>6361</v>
      </c>
      <c r="D2118" s="23">
        <v>413982</v>
      </c>
      <c r="E2118" s="24">
        <v>2003</v>
      </c>
      <c r="F2118" s="22" t="s">
        <v>6362</v>
      </c>
      <c r="G2118" s="23" t="s">
        <v>6363</v>
      </c>
      <c r="H2118" s="25" t="s">
        <v>15373</v>
      </c>
      <c r="I2118" s="22" t="s">
        <v>15374</v>
      </c>
      <c r="J2118" s="22" t="s">
        <v>12893</v>
      </c>
      <c r="K2118" s="26">
        <f t="shared" si="33"/>
        <v>1750</v>
      </c>
      <c r="L2118" s="26">
        <v>1750</v>
      </c>
      <c r="O2118" s="22" t="s">
        <v>6364</v>
      </c>
      <c r="P2118" s="22" t="s">
        <v>7698</v>
      </c>
      <c r="Q2118" s="22">
        <v>92658</v>
      </c>
      <c r="R2118" s="22" t="s">
        <v>6365</v>
      </c>
      <c r="S2118" s="22" t="s">
        <v>6366</v>
      </c>
      <c r="X2118" s="26"/>
      <c r="Y2118" s="26"/>
    </row>
    <row r="2119" spans="1:25" ht="50" x14ac:dyDescent="0.25">
      <c r="A2119" s="21">
        <v>10306</v>
      </c>
      <c r="B2119" s="22" t="s">
        <v>15368</v>
      </c>
      <c r="C2119" s="22" t="s">
        <v>6361</v>
      </c>
      <c r="D2119" s="23">
        <v>417418</v>
      </c>
      <c r="E2119" s="24">
        <v>2003</v>
      </c>
      <c r="F2119" s="22" t="s">
        <v>6367</v>
      </c>
      <c r="G2119" s="23" t="s">
        <v>6368</v>
      </c>
      <c r="H2119" s="25" t="s">
        <v>15373</v>
      </c>
      <c r="I2119" s="22" t="s">
        <v>15374</v>
      </c>
      <c r="J2119" s="22" t="s">
        <v>15677</v>
      </c>
      <c r="K2119" s="26">
        <f t="shared" si="33"/>
        <v>1678.6666666666665</v>
      </c>
      <c r="N2119" s="26">
        <v>2518</v>
      </c>
      <c r="O2119" s="22" t="s">
        <v>6364</v>
      </c>
      <c r="P2119" s="22" t="s">
        <v>7698</v>
      </c>
      <c r="Q2119" s="22">
        <v>92658</v>
      </c>
      <c r="R2119" s="22" t="s">
        <v>6365</v>
      </c>
      <c r="S2119" s="22" t="s">
        <v>6366</v>
      </c>
      <c r="X2119" s="26"/>
      <c r="Y2119" s="26"/>
    </row>
    <row r="2120" spans="1:25" ht="50" x14ac:dyDescent="0.25">
      <c r="A2120" s="21">
        <v>10307</v>
      </c>
      <c r="B2120" s="22" t="s">
        <v>15368</v>
      </c>
      <c r="C2120" s="22" t="s">
        <v>6361</v>
      </c>
      <c r="D2120" s="23">
        <v>417420</v>
      </c>
      <c r="E2120" s="24">
        <v>2003</v>
      </c>
      <c r="F2120" s="22" t="s">
        <v>6369</v>
      </c>
      <c r="G2120" s="23" t="s">
        <v>6370</v>
      </c>
      <c r="H2120" s="25" t="s">
        <v>15373</v>
      </c>
      <c r="I2120" s="22" t="s">
        <v>15374</v>
      </c>
      <c r="J2120" s="22" t="s">
        <v>15677</v>
      </c>
      <c r="K2120" s="26">
        <f t="shared" si="33"/>
        <v>1678.6666666666665</v>
      </c>
      <c r="N2120" s="26">
        <v>2518</v>
      </c>
      <c r="O2120" s="22" t="s">
        <v>6364</v>
      </c>
      <c r="P2120" s="22" t="s">
        <v>7698</v>
      </c>
      <c r="Q2120" s="22">
        <v>92658</v>
      </c>
      <c r="R2120" s="22" t="s">
        <v>6365</v>
      </c>
      <c r="S2120" s="22" t="s">
        <v>6366</v>
      </c>
      <c r="X2120" s="26"/>
      <c r="Y2120" s="26"/>
    </row>
    <row r="2121" spans="1:25" ht="50" x14ac:dyDescent="0.25">
      <c r="A2121" s="21">
        <v>10308</v>
      </c>
      <c r="B2121" s="22" t="s">
        <v>15368</v>
      </c>
      <c r="C2121" s="22" t="s">
        <v>6361</v>
      </c>
      <c r="D2121" s="23">
        <v>417421</v>
      </c>
      <c r="E2121" s="24">
        <v>2003</v>
      </c>
      <c r="F2121" s="22" t="s">
        <v>6371</v>
      </c>
      <c r="G2121" s="23" t="s">
        <v>5151</v>
      </c>
      <c r="H2121" s="25" t="s">
        <v>15373</v>
      </c>
      <c r="I2121" s="22" t="s">
        <v>15374</v>
      </c>
      <c r="J2121" s="22" t="s">
        <v>15677</v>
      </c>
      <c r="K2121" s="26">
        <f t="shared" si="33"/>
        <v>1678.6666666666665</v>
      </c>
      <c r="N2121" s="26">
        <v>2518</v>
      </c>
      <c r="O2121" s="22" t="s">
        <v>6364</v>
      </c>
      <c r="P2121" s="22" t="s">
        <v>7698</v>
      </c>
      <c r="Q2121" s="22">
        <v>92658</v>
      </c>
      <c r="R2121" s="22" t="s">
        <v>6365</v>
      </c>
      <c r="S2121" s="22" t="s">
        <v>6366</v>
      </c>
      <c r="X2121" s="26"/>
      <c r="Y2121" s="26"/>
    </row>
    <row r="2122" spans="1:25" ht="50" x14ac:dyDescent="0.25">
      <c r="A2122" s="21">
        <v>10309</v>
      </c>
      <c r="B2122" s="22" t="s">
        <v>15368</v>
      </c>
      <c r="C2122" s="22" t="s">
        <v>6361</v>
      </c>
      <c r="D2122" s="23">
        <v>417423</v>
      </c>
      <c r="E2122" s="24">
        <v>2003</v>
      </c>
      <c r="F2122" s="22" t="s">
        <v>5152</v>
      </c>
      <c r="G2122" s="23" t="s">
        <v>5153</v>
      </c>
      <c r="H2122" s="25" t="s">
        <v>15373</v>
      </c>
      <c r="I2122" s="22" t="s">
        <v>15374</v>
      </c>
      <c r="J2122" s="22" t="s">
        <v>15677</v>
      </c>
      <c r="K2122" s="26">
        <f t="shared" si="33"/>
        <v>1678.6666666666665</v>
      </c>
      <c r="N2122" s="26">
        <v>2518</v>
      </c>
      <c r="O2122" s="22" t="s">
        <v>6364</v>
      </c>
      <c r="P2122" s="22" t="s">
        <v>7698</v>
      </c>
      <c r="Q2122" s="22">
        <v>92658</v>
      </c>
      <c r="R2122" s="22" t="s">
        <v>6365</v>
      </c>
      <c r="S2122" s="22" t="s">
        <v>6366</v>
      </c>
      <c r="X2122" s="26"/>
      <c r="Y2122" s="26"/>
    </row>
    <row r="2123" spans="1:25" ht="50" x14ac:dyDescent="0.25">
      <c r="A2123" s="21">
        <v>10310</v>
      </c>
      <c r="B2123" s="22" t="s">
        <v>15368</v>
      </c>
      <c r="C2123" s="22" t="s">
        <v>13912</v>
      </c>
      <c r="D2123" s="23">
        <v>419895</v>
      </c>
      <c r="E2123" s="24">
        <v>2003</v>
      </c>
      <c r="F2123" s="22" t="s">
        <v>5154</v>
      </c>
      <c r="G2123" s="23" t="s">
        <v>5155</v>
      </c>
      <c r="H2123" s="25" t="s">
        <v>15373</v>
      </c>
      <c r="I2123" s="22" t="s">
        <v>15411</v>
      </c>
      <c r="J2123" s="22" t="s">
        <v>14492</v>
      </c>
      <c r="K2123" s="26">
        <f t="shared" si="33"/>
        <v>800</v>
      </c>
      <c r="N2123" s="26">
        <v>1200</v>
      </c>
      <c r="O2123" s="22" t="s">
        <v>5156</v>
      </c>
      <c r="P2123" s="22" t="s">
        <v>5157</v>
      </c>
      <c r="Q2123" s="22">
        <v>91108</v>
      </c>
      <c r="R2123" s="22" t="s">
        <v>5158</v>
      </c>
      <c r="S2123" s="22" t="s">
        <v>5159</v>
      </c>
      <c r="X2123" s="26"/>
      <c r="Y2123" s="26"/>
    </row>
    <row r="2124" spans="1:25" ht="50" x14ac:dyDescent="0.25">
      <c r="A2124" s="21">
        <v>10311</v>
      </c>
      <c r="B2124" s="22" t="s">
        <v>15368</v>
      </c>
      <c r="C2124" s="22" t="s">
        <v>13912</v>
      </c>
      <c r="D2124" s="23">
        <v>419897</v>
      </c>
      <c r="E2124" s="24">
        <v>2003</v>
      </c>
      <c r="F2124" s="22" t="s">
        <v>5160</v>
      </c>
      <c r="G2124" s="23" t="s">
        <v>5161</v>
      </c>
      <c r="H2124" s="25" t="s">
        <v>15373</v>
      </c>
      <c r="I2124" s="22" t="s">
        <v>15374</v>
      </c>
      <c r="J2124" s="22" t="s">
        <v>15701</v>
      </c>
      <c r="K2124" s="26">
        <f t="shared" si="33"/>
        <v>391.33333333333331</v>
      </c>
      <c r="N2124" s="26">
        <v>587</v>
      </c>
      <c r="O2124" s="22" t="s">
        <v>5156</v>
      </c>
      <c r="P2124" s="22" t="s">
        <v>5157</v>
      </c>
      <c r="Q2124" s="22">
        <v>91108</v>
      </c>
      <c r="R2124" s="22" t="s">
        <v>5158</v>
      </c>
      <c r="S2124" s="22" t="s">
        <v>5159</v>
      </c>
      <c r="X2124" s="26"/>
      <c r="Y2124" s="26"/>
    </row>
    <row r="2125" spans="1:25" ht="37.5" x14ac:dyDescent="0.25">
      <c r="A2125" s="21">
        <v>10312</v>
      </c>
      <c r="B2125" s="22" t="s">
        <v>15368</v>
      </c>
      <c r="C2125" s="22" t="s">
        <v>5162</v>
      </c>
      <c r="D2125" s="23">
        <v>414265</v>
      </c>
      <c r="E2125" s="24">
        <v>2003</v>
      </c>
      <c r="F2125" s="22" t="s">
        <v>5163</v>
      </c>
      <c r="G2125" s="23" t="s">
        <v>8816</v>
      </c>
      <c r="H2125" s="25" t="s">
        <v>15373</v>
      </c>
      <c r="I2125" s="22" t="s">
        <v>15374</v>
      </c>
      <c r="J2125" s="22" t="s">
        <v>15701</v>
      </c>
      <c r="K2125" s="26">
        <f t="shared" si="33"/>
        <v>400</v>
      </c>
      <c r="L2125" s="26">
        <v>400</v>
      </c>
      <c r="O2125" s="22" t="s">
        <v>5164</v>
      </c>
      <c r="P2125" s="22" t="s">
        <v>7691</v>
      </c>
      <c r="Q2125" s="22">
        <v>92618</v>
      </c>
      <c r="R2125" s="22" t="s">
        <v>5165</v>
      </c>
      <c r="S2125" s="22" t="s">
        <v>5166</v>
      </c>
      <c r="X2125" s="26"/>
      <c r="Y2125" s="26"/>
    </row>
    <row r="2126" spans="1:25" ht="37.5" x14ac:dyDescent="0.25">
      <c r="A2126" s="21">
        <v>10313</v>
      </c>
      <c r="B2126" s="22" t="s">
        <v>15368</v>
      </c>
      <c r="C2126" s="22" t="s">
        <v>5167</v>
      </c>
      <c r="D2126" s="23">
        <v>383488</v>
      </c>
      <c r="E2126" s="24">
        <v>2003</v>
      </c>
      <c r="F2126" s="22" t="s">
        <v>9772</v>
      </c>
      <c r="G2126" s="23" t="s">
        <v>9773</v>
      </c>
      <c r="H2126" s="25" t="s">
        <v>15373</v>
      </c>
      <c r="I2126" s="22" t="s">
        <v>6101</v>
      </c>
      <c r="J2126" s="22" t="s">
        <v>9774</v>
      </c>
      <c r="K2126" s="26">
        <f t="shared" si="33"/>
        <v>1080</v>
      </c>
      <c r="N2126" s="26">
        <v>1620</v>
      </c>
      <c r="O2126" s="22" t="s">
        <v>5168</v>
      </c>
      <c r="P2126" s="22" t="s">
        <v>7713</v>
      </c>
      <c r="Q2126" s="22">
        <v>92705</v>
      </c>
      <c r="R2126" s="22" t="s">
        <v>5169</v>
      </c>
      <c r="S2126" s="22" t="s">
        <v>5170</v>
      </c>
      <c r="X2126" s="26"/>
      <c r="Y2126" s="26"/>
    </row>
    <row r="2127" spans="1:25" ht="50" x14ac:dyDescent="0.25">
      <c r="A2127" s="21">
        <v>10314</v>
      </c>
      <c r="B2127" s="22" t="s">
        <v>15368</v>
      </c>
      <c r="C2127" s="22" t="s">
        <v>5167</v>
      </c>
      <c r="D2127" s="23">
        <v>418095</v>
      </c>
      <c r="E2127" s="24">
        <v>2003</v>
      </c>
      <c r="F2127" s="22" t="s">
        <v>5171</v>
      </c>
      <c r="G2127" s="23" t="s">
        <v>5172</v>
      </c>
      <c r="H2127" s="25" t="s">
        <v>15373</v>
      </c>
      <c r="I2127" s="22" t="s">
        <v>6101</v>
      </c>
      <c r="J2127" s="22" t="s">
        <v>15391</v>
      </c>
      <c r="K2127" s="26">
        <f t="shared" si="33"/>
        <v>1500</v>
      </c>
      <c r="L2127" s="26">
        <v>1500</v>
      </c>
      <c r="O2127" s="22" t="s">
        <v>5168</v>
      </c>
      <c r="P2127" s="22" t="s">
        <v>7713</v>
      </c>
      <c r="Q2127" s="22">
        <v>92705</v>
      </c>
      <c r="R2127" s="22" t="s">
        <v>5169</v>
      </c>
      <c r="S2127" s="22" t="s">
        <v>5170</v>
      </c>
      <c r="X2127" s="26"/>
      <c r="Y2127" s="26"/>
    </row>
    <row r="2128" spans="1:25" ht="50" x14ac:dyDescent="0.25">
      <c r="A2128" s="21">
        <v>10315</v>
      </c>
      <c r="B2128" s="22" t="s">
        <v>15368</v>
      </c>
      <c r="C2128" s="22" t="s">
        <v>5173</v>
      </c>
      <c r="D2128" s="23">
        <v>412594</v>
      </c>
      <c r="E2128" s="24">
        <v>2003</v>
      </c>
      <c r="F2128" s="22" t="s">
        <v>5174</v>
      </c>
      <c r="G2128" s="23" t="s">
        <v>5175</v>
      </c>
      <c r="H2128" s="25" t="s">
        <v>15373</v>
      </c>
      <c r="I2128" s="22" t="s">
        <v>15374</v>
      </c>
      <c r="J2128" s="22" t="s">
        <v>15701</v>
      </c>
      <c r="K2128" s="26">
        <f t="shared" si="33"/>
        <v>346</v>
      </c>
      <c r="N2128" s="26">
        <v>519</v>
      </c>
      <c r="O2128" s="22" t="s">
        <v>5176</v>
      </c>
      <c r="P2128" s="22" t="s">
        <v>7753</v>
      </c>
      <c r="Q2128" s="22">
        <v>90071</v>
      </c>
      <c r="R2128" s="22" t="s">
        <v>5177</v>
      </c>
      <c r="S2128" s="22" t="s">
        <v>5178</v>
      </c>
      <c r="X2128" s="26"/>
      <c r="Y2128" s="26"/>
    </row>
    <row r="2129" spans="1:25" ht="50" x14ac:dyDescent="0.25">
      <c r="A2129" s="21">
        <v>10316</v>
      </c>
      <c r="B2129" s="22" t="s">
        <v>15368</v>
      </c>
      <c r="C2129" s="22" t="s">
        <v>6670</v>
      </c>
      <c r="D2129" s="23">
        <v>414599</v>
      </c>
      <c r="E2129" s="24">
        <v>2003</v>
      </c>
      <c r="F2129" s="22" t="s">
        <v>5179</v>
      </c>
      <c r="G2129" s="23" t="s">
        <v>5180</v>
      </c>
      <c r="H2129" s="25" t="s">
        <v>15373</v>
      </c>
      <c r="I2129" s="22" t="s">
        <v>15374</v>
      </c>
      <c r="J2129" s="22" t="s">
        <v>14709</v>
      </c>
      <c r="K2129" s="26">
        <f t="shared" si="33"/>
        <v>453.33333333333331</v>
      </c>
      <c r="N2129" s="26">
        <v>680</v>
      </c>
      <c r="O2129" s="22" t="s">
        <v>5181</v>
      </c>
      <c r="P2129" s="22" t="s">
        <v>7753</v>
      </c>
      <c r="Q2129" s="22">
        <v>90027</v>
      </c>
      <c r="R2129" s="22" t="s">
        <v>5182</v>
      </c>
      <c r="S2129" s="22" t="s">
        <v>5183</v>
      </c>
      <c r="X2129" s="26"/>
      <c r="Y2129" s="26"/>
    </row>
    <row r="2130" spans="1:25" ht="37.5" x14ac:dyDescent="0.25">
      <c r="A2130" s="21">
        <v>10317</v>
      </c>
      <c r="B2130" s="22" t="s">
        <v>15368</v>
      </c>
      <c r="C2130" s="22" t="s">
        <v>6671</v>
      </c>
      <c r="D2130" s="23">
        <v>413430</v>
      </c>
      <c r="E2130" s="24">
        <v>2003</v>
      </c>
      <c r="F2130" s="22" t="s">
        <v>5184</v>
      </c>
      <c r="G2130" s="23" t="s">
        <v>6296</v>
      </c>
      <c r="H2130" s="25" t="s">
        <v>15373</v>
      </c>
      <c r="I2130" s="22" t="s">
        <v>6101</v>
      </c>
      <c r="J2130" s="22" t="s">
        <v>16784</v>
      </c>
      <c r="K2130" s="26">
        <f t="shared" si="33"/>
        <v>503.33333333333331</v>
      </c>
      <c r="N2130" s="26">
        <v>755</v>
      </c>
      <c r="O2130" s="22" t="s">
        <v>5185</v>
      </c>
      <c r="P2130" s="22" t="s">
        <v>7760</v>
      </c>
      <c r="Q2130" s="22">
        <v>91101</v>
      </c>
      <c r="R2130" s="22" t="s">
        <v>5186</v>
      </c>
      <c r="S2130" s="22" t="s">
        <v>5187</v>
      </c>
      <c r="X2130" s="26"/>
      <c r="Y2130" s="26"/>
    </row>
    <row r="2131" spans="1:25" ht="37.5" x14ac:dyDescent="0.25">
      <c r="A2131" s="21">
        <v>10318</v>
      </c>
      <c r="B2131" s="22" t="s">
        <v>15368</v>
      </c>
      <c r="C2131" s="22" t="s">
        <v>5188</v>
      </c>
      <c r="D2131" s="23">
        <v>389052</v>
      </c>
      <c r="E2131" s="24">
        <v>2003</v>
      </c>
      <c r="F2131" s="22" t="s">
        <v>5189</v>
      </c>
      <c r="G2131" s="23" t="s">
        <v>5190</v>
      </c>
      <c r="H2131" s="25" t="s">
        <v>15373</v>
      </c>
      <c r="I2131" s="22" t="s">
        <v>15382</v>
      </c>
      <c r="J2131" s="22" t="s">
        <v>15391</v>
      </c>
      <c r="K2131" s="26">
        <f t="shared" si="33"/>
        <v>1480</v>
      </c>
      <c r="N2131" s="26">
        <v>2220</v>
      </c>
      <c r="O2131" s="22" t="s">
        <v>5191</v>
      </c>
      <c r="P2131" s="22" t="s">
        <v>6782</v>
      </c>
      <c r="Q2131" s="22">
        <v>91350</v>
      </c>
      <c r="R2131" s="22" t="s">
        <v>5192</v>
      </c>
      <c r="S2131" s="22" t="s">
        <v>5193</v>
      </c>
      <c r="X2131" s="26"/>
      <c r="Y2131" s="26"/>
    </row>
    <row r="2132" spans="1:25" ht="37.5" x14ac:dyDescent="0.25">
      <c r="A2132" s="21">
        <v>10319</v>
      </c>
      <c r="B2132" s="22" t="s">
        <v>15368</v>
      </c>
      <c r="C2132" s="22" t="s">
        <v>5188</v>
      </c>
      <c r="D2132" s="23">
        <v>389054</v>
      </c>
      <c r="E2132" s="24">
        <v>2003</v>
      </c>
      <c r="F2132" s="22" t="s">
        <v>5194</v>
      </c>
      <c r="G2132" s="23" t="s">
        <v>5190</v>
      </c>
      <c r="H2132" s="25" t="s">
        <v>15373</v>
      </c>
      <c r="I2132" s="22" t="s">
        <v>15382</v>
      </c>
      <c r="J2132" s="22" t="s">
        <v>15391</v>
      </c>
      <c r="K2132" s="26">
        <f t="shared" si="33"/>
        <v>1480</v>
      </c>
      <c r="N2132" s="26">
        <v>2220</v>
      </c>
      <c r="O2132" s="22" t="s">
        <v>5191</v>
      </c>
      <c r="P2132" s="22" t="s">
        <v>6782</v>
      </c>
      <c r="Q2132" s="22">
        <v>91350</v>
      </c>
      <c r="R2132" s="22" t="s">
        <v>5192</v>
      </c>
      <c r="S2132" s="22" t="s">
        <v>5193</v>
      </c>
      <c r="X2132" s="26"/>
      <c r="Y2132" s="26"/>
    </row>
    <row r="2133" spans="1:25" ht="37.5" x14ac:dyDescent="0.25">
      <c r="A2133" s="21">
        <v>10320</v>
      </c>
      <c r="B2133" s="22" t="s">
        <v>15368</v>
      </c>
      <c r="C2133" s="22" t="s">
        <v>5195</v>
      </c>
      <c r="D2133" s="23">
        <v>413342</v>
      </c>
      <c r="E2133" s="24">
        <v>2003</v>
      </c>
      <c r="F2133" s="22" t="s">
        <v>5196</v>
      </c>
      <c r="G2133" s="23" t="s">
        <v>5197</v>
      </c>
      <c r="H2133" s="25" t="s">
        <v>15373</v>
      </c>
      <c r="I2133" s="22" t="s">
        <v>15374</v>
      </c>
      <c r="J2133" s="22" t="s">
        <v>15441</v>
      </c>
      <c r="K2133" s="26">
        <f t="shared" si="33"/>
        <v>482.66666666666663</v>
      </c>
      <c r="N2133" s="26">
        <v>724</v>
      </c>
      <c r="O2133" s="22" t="s">
        <v>5198</v>
      </c>
      <c r="P2133" s="22" t="s">
        <v>7713</v>
      </c>
      <c r="Q2133" s="22">
        <v>92707</v>
      </c>
      <c r="R2133" s="22" t="s">
        <v>5199</v>
      </c>
      <c r="S2133" s="22" t="s">
        <v>5200</v>
      </c>
      <c r="X2133" s="26"/>
      <c r="Y2133" s="26"/>
    </row>
    <row r="2134" spans="1:25" ht="25" x14ac:dyDescent="0.25">
      <c r="A2134" s="21">
        <v>10321</v>
      </c>
      <c r="B2134" s="22" t="s">
        <v>15368</v>
      </c>
      <c r="C2134" s="22" t="s">
        <v>5201</v>
      </c>
      <c r="D2134" s="23">
        <v>402201</v>
      </c>
      <c r="E2134" s="24">
        <v>2003</v>
      </c>
      <c r="F2134" s="22" t="s">
        <v>5202</v>
      </c>
      <c r="G2134" s="23" t="s">
        <v>5203</v>
      </c>
      <c r="H2134" s="25" t="s">
        <v>15373</v>
      </c>
      <c r="I2134" s="22" t="s">
        <v>15374</v>
      </c>
      <c r="J2134" s="22" t="s">
        <v>12899</v>
      </c>
      <c r="K2134" s="26">
        <f t="shared" si="33"/>
        <v>1898</v>
      </c>
      <c r="M2134" s="26">
        <v>2847</v>
      </c>
      <c r="O2134" s="22" t="s">
        <v>5204</v>
      </c>
      <c r="P2134" s="22" t="s">
        <v>5205</v>
      </c>
      <c r="Q2134" s="22">
        <v>90621</v>
      </c>
      <c r="R2134" s="22" t="s">
        <v>5206</v>
      </c>
      <c r="S2134" s="22" t="s">
        <v>5207</v>
      </c>
      <c r="X2134" s="26"/>
      <c r="Y2134" s="26"/>
    </row>
    <row r="2135" spans="1:25" ht="50" x14ac:dyDescent="0.25">
      <c r="A2135" s="21">
        <v>10322</v>
      </c>
      <c r="B2135" s="22" t="s">
        <v>15368</v>
      </c>
      <c r="C2135" s="22" t="s">
        <v>5208</v>
      </c>
      <c r="D2135" s="23">
        <v>418190</v>
      </c>
      <c r="E2135" s="24">
        <v>2003</v>
      </c>
      <c r="F2135" s="22" t="s">
        <v>5209</v>
      </c>
      <c r="G2135" s="23" t="s">
        <v>5210</v>
      </c>
      <c r="H2135" s="25" t="s">
        <v>15373</v>
      </c>
      <c r="I2135" s="22" t="s">
        <v>15411</v>
      </c>
      <c r="J2135" s="22" t="s">
        <v>13080</v>
      </c>
      <c r="K2135" s="26">
        <f t="shared" si="33"/>
        <v>606.66666666666663</v>
      </c>
      <c r="N2135" s="26">
        <v>910</v>
      </c>
      <c r="O2135" s="22" t="s">
        <v>5211</v>
      </c>
      <c r="P2135" s="22" t="s">
        <v>7999</v>
      </c>
      <c r="Q2135" s="22">
        <v>91023</v>
      </c>
      <c r="R2135" s="22" t="s">
        <v>5212</v>
      </c>
      <c r="S2135" s="22" t="s">
        <v>5213</v>
      </c>
      <c r="X2135" s="26"/>
      <c r="Y2135" s="26"/>
    </row>
    <row r="2136" spans="1:25" ht="37.5" x14ac:dyDescent="0.25">
      <c r="A2136" s="21">
        <v>10323</v>
      </c>
      <c r="B2136" s="22" t="s">
        <v>15368</v>
      </c>
      <c r="C2136" s="22" t="s">
        <v>6662</v>
      </c>
      <c r="D2136" s="23">
        <v>241261</v>
      </c>
      <c r="E2136" s="24">
        <v>2003</v>
      </c>
      <c r="F2136" s="22" t="s">
        <v>6663</v>
      </c>
      <c r="G2136" s="23" t="s">
        <v>5214</v>
      </c>
      <c r="H2136" s="25" t="s">
        <v>15373</v>
      </c>
      <c r="I2136" s="22" t="s">
        <v>6101</v>
      </c>
      <c r="J2136" s="22" t="s">
        <v>16925</v>
      </c>
      <c r="K2136" s="26">
        <f t="shared" si="33"/>
        <v>1480</v>
      </c>
      <c r="N2136" s="26">
        <v>2220</v>
      </c>
      <c r="O2136" s="22" t="s">
        <v>5215</v>
      </c>
      <c r="P2136" s="22" t="s">
        <v>6666</v>
      </c>
      <c r="Q2136" s="22">
        <v>91344</v>
      </c>
      <c r="R2136" s="22" t="s">
        <v>5216</v>
      </c>
      <c r="S2136" s="22" t="s">
        <v>5217</v>
      </c>
      <c r="X2136" s="26"/>
      <c r="Y2136" s="26"/>
    </row>
    <row r="2137" spans="1:25" ht="50" x14ac:dyDescent="0.25">
      <c r="A2137" s="21">
        <v>10324</v>
      </c>
      <c r="B2137" s="22" t="s">
        <v>15368</v>
      </c>
      <c r="C2137" s="22" t="s">
        <v>5218</v>
      </c>
      <c r="D2137" s="23">
        <v>417726</v>
      </c>
      <c r="E2137" s="24">
        <v>2003</v>
      </c>
      <c r="F2137" s="22" t="s">
        <v>5219</v>
      </c>
      <c r="G2137" s="23" t="s">
        <v>5220</v>
      </c>
      <c r="H2137" s="25" t="s">
        <v>15373</v>
      </c>
      <c r="I2137" s="22" t="s">
        <v>15411</v>
      </c>
      <c r="J2137" s="22" t="s">
        <v>14684</v>
      </c>
      <c r="K2137" s="26">
        <f t="shared" si="33"/>
        <v>1053.3333333333333</v>
      </c>
      <c r="N2137" s="26">
        <v>1580</v>
      </c>
      <c r="O2137" s="22" t="s">
        <v>5221</v>
      </c>
      <c r="P2137" s="22" t="s">
        <v>7753</v>
      </c>
      <c r="Q2137" s="22">
        <v>90004</v>
      </c>
      <c r="R2137" s="22" t="s">
        <v>7494</v>
      </c>
      <c r="S2137" s="22" t="s">
        <v>7495</v>
      </c>
      <c r="X2137" s="26"/>
      <c r="Y2137" s="26"/>
    </row>
    <row r="2138" spans="1:25" ht="37.5" x14ac:dyDescent="0.25">
      <c r="A2138" s="21">
        <v>10325</v>
      </c>
      <c r="B2138" s="22" t="s">
        <v>15368</v>
      </c>
      <c r="C2138" s="22" t="s">
        <v>5222</v>
      </c>
      <c r="D2138" s="23">
        <v>256264</v>
      </c>
      <c r="E2138" s="24">
        <v>2003</v>
      </c>
      <c r="F2138" s="22" t="s">
        <v>13370</v>
      </c>
      <c r="G2138" s="23" t="s">
        <v>5223</v>
      </c>
      <c r="H2138" s="25" t="s">
        <v>15373</v>
      </c>
      <c r="I2138" s="22" t="s">
        <v>15411</v>
      </c>
      <c r="J2138" s="22" t="s">
        <v>5224</v>
      </c>
      <c r="K2138" s="26">
        <f t="shared" si="33"/>
        <v>380</v>
      </c>
      <c r="M2138" s="26">
        <v>570</v>
      </c>
      <c r="O2138" s="22" t="s">
        <v>5225</v>
      </c>
      <c r="P2138" s="22" t="s">
        <v>7753</v>
      </c>
      <c r="Q2138" s="22">
        <v>90012</v>
      </c>
      <c r="R2138" s="22" t="s">
        <v>5226</v>
      </c>
      <c r="S2138" s="22" t="s">
        <v>5227</v>
      </c>
      <c r="X2138" s="26"/>
      <c r="Y2138" s="26"/>
    </row>
    <row r="2139" spans="1:25" ht="50" x14ac:dyDescent="0.25">
      <c r="A2139" s="21">
        <v>10326</v>
      </c>
      <c r="B2139" s="22" t="s">
        <v>15368</v>
      </c>
      <c r="C2139" s="22" t="s">
        <v>5228</v>
      </c>
      <c r="D2139" s="23">
        <v>417345</v>
      </c>
      <c r="E2139" s="24">
        <v>2003</v>
      </c>
      <c r="F2139" s="22" t="s">
        <v>5229</v>
      </c>
      <c r="G2139" s="23" t="s">
        <v>5230</v>
      </c>
      <c r="H2139" s="25" t="s">
        <v>15373</v>
      </c>
      <c r="I2139" s="22" t="s">
        <v>15374</v>
      </c>
      <c r="J2139" s="22" t="s">
        <v>12899</v>
      </c>
      <c r="K2139" s="26">
        <f t="shared" si="33"/>
        <v>2000</v>
      </c>
      <c r="L2139" s="26">
        <v>2000</v>
      </c>
      <c r="O2139" s="22" t="s">
        <v>5231</v>
      </c>
      <c r="P2139" s="22" t="s">
        <v>5734</v>
      </c>
      <c r="Q2139" s="22">
        <v>90745</v>
      </c>
      <c r="R2139" s="22" t="s">
        <v>5232</v>
      </c>
      <c r="S2139" s="22" t="s">
        <v>14633</v>
      </c>
      <c r="X2139" s="26"/>
      <c r="Y2139" s="26"/>
    </row>
    <row r="2140" spans="1:25" ht="50" x14ac:dyDescent="0.25">
      <c r="A2140" s="21">
        <v>10327</v>
      </c>
      <c r="B2140" s="22" t="s">
        <v>15368</v>
      </c>
      <c r="C2140" s="22" t="s">
        <v>5233</v>
      </c>
      <c r="D2140" s="23">
        <v>412803</v>
      </c>
      <c r="E2140" s="24">
        <v>2003</v>
      </c>
      <c r="F2140" s="22" t="s">
        <v>5234</v>
      </c>
      <c r="G2140" s="23" t="s">
        <v>5235</v>
      </c>
      <c r="H2140" s="25" t="s">
        <v>15373</v>
      </c>
      <c r="I2140" s="22" t="s">
        <v>15411</v>
      </c>
      <c r="J2140" s="22" t="s">
        <v>13637</v>
      </c>
      <c r="K2140" s="26">
        <f t="shared" si="33"/>
        <v>1166.6666666666665</v>
      </c>
      <c r="N2140" s="26">
        <v>1750</v>
      </c>
      <c r="O2140" s="22" t="s">
        <v>5236</v>
      </c>
      <c r="P2140" s="22" t="s">
        <v>7813</v>
      </c>
      <c r="Q2140" s="22">
        <v>90503</v>
      </c>
      <c r="R2140" s="22" t="s">
        <v>5237</v>
      </c>
      <c r="S2140" s="22" t="s">
        <v>5238</v>
      </c>
      <c r="X2140" s="26"/>
      <c r="Y2140" s="26"/>
    </row>
    <row r="2141" spans="1:25" ht="50" x14ac:dyDescent="0.25">
      <c r="A2141" s="21">
        <v>10328</v>
      </c>
      <c r="B2141" s="22" t="s">
        <v>15368</v>
      </c>
      <c r="C2141" s="22" t="s">
        <v>5233</v>
      </c>
      <c r="D2141" s="23">
        <v>412800</v>
      </c>
      <c r="E2141" s="24">
        <v>2003</v>
      </c>
      <c r="F2141" s="22" t="s">
        <v>5239</v>
      </c>
      <c r="G2141" s="23" t="s">
        <v>5240</v>
      </c>
      <c r="H2141" s="25" t="s">
        <v>15373</v>
      </c>
      <c r="I2141" s="22" t="s">
        <v>15411</v>
      </c>
      <c r="J2141" s="22" t="s">
        <v>16331</v>
      </c>
      <c r="K2141" s="26">
        <f t="shared" si="33"/>
        <v>730</v>
      </c>
      <c r="N2141" s="26">
        <v>1095</v>
      </c>
      <c r="O2141" s="22" t="s">
        <v>5236</v>
      </c>
      <c r="P2141" s="22" t="s">
        <v>7813</v>
      </c>
      <c r="Q2141" s="22">
        <v>90503</v>
      </c>
      <c r="R2141" s="22" t="s">
        <v>5237</v>
      </c>
      <c r="S2141" s="22" t="s">
        <v>5238</v>
      </c>
      <c r="X2141" s="26"/>
      <c r="Y2141" s="26"/>
    </row>
    <row r="2142" spans="1:25" ht="50" x14ac:dyDescent="0.25">
      <c r="A2142" s="21">
        <v>10329</v>
      </c>
      <c r="B2142" s="22" t="s">
        <v>15368</v>
      </c>
      <c r="C2142" s="22" t="s">
        <v>5233</v>
      </c>
      <c r="D2142" s="23">
        <v>412799</v>
      </c>
      <c r="E2142" s="24">
        <v>2003</v>
      </c>
      <c r="F2142" s="22" t="s">
        <v>5241</v>
      </c>
      <c r="G2142" s="23" t="s">
        <v>5242</v>
      </c>
      <c r="H2142" s="25" t="s">
        <v>15373</v>
      </c>
      <c r="I2142" s="22" t="s">
        <v>15411</v>
      </c>
      <c r="J2142" s="22" t="s">
        <v>16331</v>
      </c>
      <c r="K2142" s="26">
        <f t="shared" si="33"/>
        <v>730</v>
      </c>
      <c r="N2142" s="26">
        <v>1095</v>
      </c>
      <c r="O2142" s="22" t="s">
        <v>5236</v>
      </c>
      <c r="P2142" s="22" t="s">
        <v>7813</v>
      </c>
      <c r="Q2142" s="22">
        <v>90503</v>
      </c>
      <c r="R2142" s="22" t="s">
        <v>5237</v>
      </c>
      <c r="S2142" s="22" t="s">
        <v>5238</v>
      </c>
      <c r="X2142" s="26"/>
      <c r="Y2142" s="26"/>
    </row>
    <row r="2143" spans="1:25" ht="50" x14ac:dyDescent="0.25">
      <c r="A2143" s="21">
        <v>10330</v>
      </c>
      <c r="B2143" s="22" t="s">
        <v>15368</v>
      </c>
      <c r="C2143" s="22" t="s">
        <v>5233</v>
      </c>
      <c r="D2143" s="23">
        <v>412802</v>
      </c>
      <c r="E2143" s="24">
        <v>2003</v>
      </c>
      <c r="F2143" s="22" t="s">
        <v>5243</v>
      </c>
      <c r="G2143" s="23" t="s">
        <v>5244</v>
      </c>
      <c r="H2143" s="25" t="s">
        <v>15373</v>
      </c>
      <c r="I2143" s="22" t="s">
        <v>15411</v>
      </c>
      <c r="J2143" s="22" t="s">
        <v>16331</v>
      </c>
      <c r="K2143" s="26">
        <f t="shared" si="33"/>
        <v>730</v>
      </c>
      <c r="N2143" s="26">
        <v>1095</v>
      </c>
      <c r="O2143" s="22" t="s">
        <v>5236</v>
      </c>
      <c r="P2143" s="22" t="s">
        <v>7813</v>
      </c>
      <c r="Q2143" s="22">
        <v>90503</v>
      </c>
      <c r="R2143" s="22" t="s">
        <v>5237</v>
      </c>
      <c r="S2143" s="22" t="s">
        <v>5238</v>
      </c>
      <c r="X2143" s="26"/>
      <c r="Y2143" s="26"/>
    </row>
    <row r="2144" spans="1:25" ht="37.5" x14ac:dyDescent="0.25">
      <c r="A2144" s="21">
        <v>10331</v>
      </c>
      <c r="B2144" s="22" t="s">
        <v>15368</v>
      </c>
      <c r="C2144" s="22" t="s">
        <v>5245</v>
      </c>
      <c r="D2144" s="23">
        <v>412622</v>
      </c>
      <c r="E2144" s="24">
        <v>2003</v>
      </c>
      <c r="F2144" s="22" t="s">
        <v>5246</v>
      </c>
      <c r="G2144" s="23" t="s">
        <v>5247</v>
      </c>
      <c r="H2144" s="25" t="s">
        <v>15373</v>
      </c>
      <c r="I2144" s="22" t="s">
        <v>6101</v>
      </c>
      <c r="J2144" s="22" t="s">
        <v>15829</v>
      </c>
      <c r="K2144" s="26">
        <f t="shared" si="33"/>
        <v>993.33333333333326</v>
      </c>
      <c r="N2144" s="26">
        <v>1490</v>
      </c>
      <c r="O2144" s="22" t="s">
        <v>5248</v>
      </c>
      <c r="P2144" s="22" t="s">
        <v>8238</v>
      </c>
      <c r="Q2144" s="22">
        <v>91367</v>
      </c>
      <c r="R2144" s="22" t="s">
        <v>5249</v>
      </c>
      <c r="S2144" s="22" t="s">
        <v>5250</v>
      </c>
      <c r="X2144" s="26"/>
      <c r="Y2144" s="26"/>
    </row>
    <row r="2145" spans="1:25" ht="37.5" x14ac:dyDescent="0.25">
      <c r="A2145" s="21">
        <v>10332</v>
      </c>
      <c r="B2145" s="22" t="s">
        <v>15368</v>
      </c>
      <c r="C2145" s="22" t="s">
        <v>5245</v>
      </c>
      <c r="D2145" s="23">
        <v>412624</v>
      </c>
      <c r="E2145" s="24">
        <v>2003</v>
      </c>
      <c r="F2145" s="22" t="s">
        <v>5251</v>
      </c>
      <c r="G2145" s="23" t="s">
        <v>6472</v>
      </c>
      <c r="H2145" s="25" t="s">
        <v>15373</v>
      </c>
      <c r="I2145" s="22" t="s">
        <v>6101</v>
      </c>
      <c r="J2145" s="22" t="s">
        <v>15829</v>
      </c>
      <c r="K2145" s="26">
        <f t="shared" si="33"/>
        <v>993.33333333333326</v>
      </c>
      <c r="N2145" s="26">
        <v>1490</v>
      </c>
      <c r="O2145" s="22" t="s">
        <v>5248</v>
      </c>
      <c r="P2145" s="22" t="s">
        <v>8238</v>
      </c>
      <c r="Q2145" s="22">
        <v>91367</v>
      </c>
      <c r="R2145" s="22" t="s">
        <v>5249</v>
      </c>
      <c r="S2145" s="22" t="s">
        <v>5250</v>
      </c>
      <c r="X2145" s="26"/>
      <c r="Y2145" s="26"/>
    </row>
    <row r="2146" spans="1:25" ht="50" x14ac:dyDescent="0.25">
      <c r="A2146" s="21">
        <v>10333</v>
      </c>
      <c r="B2146" s="22" t="s">
        <v>15368</v>
      </c>
      <c r="C2146" s="22" t="s">
        <v>6473</v>
      </c>
      <c r="D2146" s="23">
        <v>418008</v>
      </c>
      <c r="E2146" s="24">
        <v>2003</v>
      </c>
      <c r="F2146" s="22" t="s">
        <v>6474</v>
      </c>
      <c r="G2146" s="23" t="s">
        <v>5230</v>
      </c>
      <c r="H2146" s="25" t="s">
        <v>15373</v>
      </c>
      <c r="I2146" s="22" t="s">
        <v>15374</v>
      </c>
      <c r="J2146" s="22" t="s">
        <v>12893</v>
      </c>
      <c r="K2146" s="26">
        <f t="shared" si="33"/>
        <v>2000</v>
      </c>
      <c r="L2146" s="26">
        <v>2000</v>
      </c>
      <c r="O2146" s="22" t="s">
        <v>6475</v>
      </c>
      <c r="P2146" s="22" t="s">
        <v>7760</v>
      </c>
      <c r="Q2146" s="22">
        <v>91101</v>
      </c>
      <c r="R2146" s="22" t="s">
        <v>7377</v>
      </c>
      <c r="S2146" s="22" t="s">
        <v>6476</v>
      </c>
      <c r="X2146" s="26"/>
      <c r="Y2146" s="26"/>
    </row>
    <row r="2147" spans="1:25" ht="50" x14ac:dyDescent="0.25">
      <c r="A2147" s="21">
        <v>10334</v>
      </c>
      <c r="B2147" s="22" t="s">
        <v>15368</v>
      </c>
      <c r="C2147" s="22" t="s">
        <v>6477</v>
      </c>
      <c r="D2147" s="23">
        <v>413462</v>
      </c>
      <c r="E2147" s="24">
        <v>2003</v>
      </c>
      <c r="F2147" s="22" t="s">
        <v>6478</v>
      </c>
      <c r="G2147" s="23" t="s">
        <v>6479</v>
      </c>
      <c r="H2147" s="25" t="s">
        <v>15373</v>
      </c>
      <c r="I2147" s="22" t="s">
        <v>6101</v>
      </c>
      <c r="J2147" s="22" t="s">
        <v>16861</v>
      </c>
      <c r="K2147" s="26">
        <f t="shared" si="33"/>
        <v>400</v>
      </c>
      <c r="N2147" s="26">
        <v>600</v>
      </c>
      <c r="O2147" s="22" t="s">
        <v>6480</v>
      </c>
      <c r="P2147" s="22" t="s">
        <v>7753</v>
      </c>
      <c r="Q2147" s="22">
        <v>90017</v>
      </c>
      <c r="R2147" s="22" t="s">
        <v>6481</v>
      </c>
      <c r="S2147" s="22" t="s">
        <v>6482</v>
      </c>
      <c r="X2147" s="26"/>
      <c r="Y2147" s="26"/>
    </row>
    <row r="2148" spans="1:25" ht="37.5" x14ac:dyDescent="0.25">
      <c r="A2148" s="21">
        <v>10335</v>
      </c>
      <c r="B2148" s="22" t="s">
        <v>15368</v>
      </c>
      <c r="C2148" s="22" t="s">
        <v>8056</v>
      </c>
      <c r="D2148" s="23">
        <v>415105</v>
      </c>
      <c r="E2148" s="24">
        <v>2003</v>
      </c>
      <c r="F2148" s="22" t="s">
        <v>6483</v>
      </c>
      <c r="G2148" s="23" t="s">
        <v>6484</v>
      </c>
      <c r="H2148" s="25" t="s">
        <v>15373</v>
      </c>
      <c r="I2148" s="22" t="s">
        <v>15374</v>
      </c>
      <c r="J2148" s="22">
        <v>3412</v>
      </c>
      <c r="K2148" s="26">
        <f t="shared" si="33"/>
        <v>499.33333333333331</v>
      </c>
      <c r="N2148" s="26">
        <v>749</v>
      </c>
      <c r="O2148" s="22" t="s">
        <v>6485</v>
      </c>
      <c r="P2148" s="22" t="s">
        <v>7454</v>
      </c>
      <c r="Q2148" s="22">
        <v>91403</v>
      </c>
      <c r="R2148" s="22" t="s">
        <v>6943</v>
      </c>
      <c r="S2148" s="22" t="s">
        <v>6944</v>
      </c>
      <c r="X2148" s="26"/>
      <c r="Y2148" s="26"/>
    </row>
    <row r="2149" spans="1:25" ht="37.5" x14ac:dyDescent="0.25">
      <c r="A2149" s="21">
        <v>10336</v>
      </c>
      <c r="B2149" s="22" t="s">
        <v>15368</v>
      </c>
      <c r="C2149" s="22" t="s">
        <v>8056</v>
      </c>
      <c r="D2149" s="23">
        <v>415104</v>
      </c>
      <c r="E2149" s="24">
        <v>2003</v>
      </c>
      <c r="F2149" s="22" t="s">
        <v>6486</v>
      </c>
      <c r="G2149" s="23" t="s">
        <v>6487</v>
      </c>
      <c r="H2149" s="25" t="s">
        <v>15373</v>
      </c>
      <c r="I2149" s="22" t="s">
        <v>15374</v>
      </c>
      <c r="J2149" s="22">
        <v>3412</v>
      </c>
      <c r="K2149" s="26">
        <f t="shared" si="33"/>
        <v>593.33333333333326</v>
      </c>
      <c r="N2149" s="26">
        <v>890</v>
      </c>
      <c r="O2149" s="22" t="s">
        <v>6485</v>
      </c>
      <c r="P2149" s="22" t="s">
        <v>7454</v>
      </c>
      <c r="Q2149" s="22">
        <v>91403</v>
      </c>
      <c r="R2149" s="22" t="s">
        <v>6943</v>
      </c>
      <c r="S2149" s="22" t="s">
        <v>6944</v>
      </c>
      <c r="X2149" s="26"/>
      <c r="Y2149" s="26"/>
    </row>
    <row r="2150" spans="1:25" ht="50" x14ac:dyDescent="0.25">
      <c r="A2150" s="21">
        <v>10337</v>
      </c>
      <c r="B2150" s="22" t="s">
        <v>15368</v>
      </c>
      <c r="C2150" s="22" t="s">
        <v>6488</v>
      </c>
      <c r="D2150" s="23">
        <v>418812</v>
      </c>
      <c r="E2150" s="24">
        <v>2003</v>
      </c>
      <c r="F2150" s="22" t="s">
        <v>6489</v>
      </c>
      <c r="G2150" s="23" t="s">
        <v>6490</v>
      </c>
      <c r="H2150" s="25" t="s">
        <v>15373</v>
      </c>
      <c r="I2150" s="22" t="s">
        <v>15374</v>
      </c>
      <c r="J2150" s="22" t="s">
        <v>6491</v>
      </c>
      <c r="K2150" s="26">
        <f t="shared" si="33"/>
        <v>503.33333333333331</v>
      </c>
      <c r="N2150" s="26">
        <v>755</v>
      </c>
      <c r="O2150" s="22" t="s">
        <v>6492</v>
      </c>
      <c r="P2150" s="22" t="s">
        <v>7127</v>
      </c>
      <c r="Q2150" s="22">
        <v>90802</v>
      </c>
      <c r="R2150" s="22" t="s">
        <v>6493</v>
      </c>
      <c r="S2150" s="22" t="s">
        <v>6494</v>
      </c>
      <c r="X2150" s="26"/>
      <c r="Y2150" s="26"/>
    </row>
    <row r="2151" spans="1:25" ht="37.5" x14ac:dyDescent="0.25">
      <c r="A2151" s="21">
        <v>10338</v>
      </c>
      <c r="B2151" s="22" t="s">
        <v>15368</v>
      </c>
      <c r="C2151" s="22" t="s">
        <v>6495</v>
      </c>
      <c r="D2151" s="23">
        <v>408003</v>
      </c>
      <c r="E2151" s="24">
        <v>2003</v>
      </c>
      <c r="F2151" s="22" t="s">
        <v>6496</v>
      </c>
      <c r="G2151" s="23" t="s">
        <v>6497</v>
      </c>
      <c r="H2151" s="25" t="s">
        <v>15373</v>
      </c>
      <c r="I2151" s="22" t="s">
        <v>15411</v>
      </c>
      <c r="J2151" s="22" t="s">
        <v>16517</v>
      </c>
      <c r="K2151" s="26">
        <f t="shared" si="33"/>
        <v>366.66666666666663</v>
      </c>
      <c r="N2151" s="26">
        <v>550</v>
      </c>
      <c r="O2151" s="22" t="s">
        <v>6498</v>
      </c>
      <c r="P2151" s="22" t="s">
        <v>7760</v>
      </c>
      <c r="Q2151" s="22">
        <v>91108</v>
      </c>
      <c r="R2151" s="22" t="s">
        <v>6499</v>
      </c>
      <c r="S2151" s="22" t="s">
        <v>6500</v>
      </c>
      <c r="X2151" s="26"/>
      <c r="Y2151" s="26"/>
    </row>
    <row r="2152" spans="1:25" ht="50" x14ac:dyDescent="0.25">
      <c r="A2152" s="21">
        <v>10339</v>
      </c>
      <c r="B2152" s="22" t="s">
        <v>15368</v>
      </c>
      <c r="C2152" s="22" t="s">
        <v>6501</v>
      </c>
      <c r="D2152" s="23">
        <v>417363</v>
      </c>
      <c r="E2152" s="24">
        <v>2003</v>
      </c>
      <c r="F2152" s="22" t="s">
        <v>6502</v>
      </c>
      <c r="G2152" s="23" t="s">
        <v>6503</v>
      </c>
      <c r="H2152" s="25" t="s">
        <v>15373</v>
      </c>
      <c r="I2152" s="22" t="s">
        <v>15411</v>
      </c>
      <c r="J2152" s="22" t="s">
        <v>6673</v>
      </c>
      <c r="K2152" s="26">
        <f t="shared" si="33"/>
        <v>606.66666666666663</v>
      </c>
      <c r="N2152" s="26">
        <v>910</v>
      </c>
      <c r="O2152" s="22" t="s">
        <v>6504</v>
      </c>
      <c r="P2152" s="22" t="s">
        <v>7698</v>
      </c>
      <c r="Q2152" s="22">
        <v>92652</v>
      </c>
      <c r="R2152" s="22" t="s">
        <v>6505</v>
      </c>
      <c r="S2152" s="22" t="s">
        <v>6506</v>
      </c>
      <c r="X2152" s="26"/>
      <c r="Y2152" s="26"/>
    </row>
    <row r="2153" spans="1:25" ht="37.5" x14ac:dyDescent="0.25">
      <c r="A2153" s="21">
        <v>10340</v>
      </c>
      <c r="B2153" s="22" t="s">
        <v>15368</v>
      </c>
      <c r="C2153" s="22" t="s">
        <v>6507</v>
      </c>
      <c r="D2153" s="23">
        <v>398553</v>
      </c>
      <c r="E2153" s="24">
        <v>2003</v>
      </c>
      <c r="F2153" s="22" t="s">
        <v>6508</v>
      </c>
      <c r="G2153" s="23" t="s">
        <v>6509</v>
      </c>
      <c r="H2153" s="25" t="s">
        <v>15373</v>
      </c>
      <c r="I2153" s="22" t="s">
        <v>15374</v>
      </c>
      <c r="J2153" s="22" t="s">
        <v>12899</v>
      </c>
      <c r="K2153" s="26">
        <f t="shared" si="33"/>
        <v>1750</v>
      </c>
      <c r="M2153" s="26">
        <v>2625</v>
      </c>
      <c r="O2153" s="22" t="s">
        <v>6510</v>
      </c>
      <c r="P2153" s="22" t="s">
        <v>7698</v>
      </c>
      <c r="Q2153" s="22">
        <v>92660</v>
      </c>
      <c r="R2153" s="22" t="s">
        <v>6511</v>
      </c>
      <c r="S2153" s="22" t="s">
        <v>6512</v>
      </c>
      <c r="X2153" s="26"/>
      <c r="Y2153" s="26"/>
    </row>
    <row r="2154" spans="1:25" ht="37.5" x14ac:dyDescent="0.25">
      <c r="A2154" s="21">
        <v>10341</v>
      </c>
      <c r="B2154" s="22" t="s">
        <v>15368</v>
      </c>
      <c r="C2154" s="22" t="s">
        <v>6507</v>
      </c>
      <c r="D2154" s="23">
        <v>398562</v>
      </c>
      <c r="E2154" s="24">
        <v>2003</v>
      </c>
      <c r="F2154" s="22" t="s">
        <v>6513</v>
      </c>
      <c r="G2154" s="23" t="s">
        <v>6509</v>
      </c>
      <c r="H2154" s="25" t="s">
        <v>15373</v>
      </c>
      <c r="I2154" s="22" t="s">
        <v>15374</v>
      </c>
      <c r="J2154" s="22" t="s">
        <v>12899</v>
      </c>
      <c r="K2154" s="26">
        <f t="shared" si="33"/>
        <v>1750</v>
      </c>
      <c r="M2154" s="26">
        <v>2625</v>
      </c>
      <c r="O2154" s="22" t="s">
        <v>6510</v>
      </c>
      <c r="P2154" s="22" t="s">
        <v>7698</v>
      </c>
      <c r="Q2154" s="22">
        <v>92660</v>
      </c>
      <c r="R2154" s="22" t="s">
        <v>6511</v>
      </c>
      <c r="S2154" s="22" t="s">
        <v>6512</v>
      </c>
      <c r="X2154" s="26"/>
      <c r="Y2154" s="26"/>
    </row>
    <row r="2155" spans="1:25" ht="37.5" x14ac:dyDescent="0.25">
      <c r="A2155" s="21">
        <v>10342</v>
      </c>
      <c r="B2155" s="22" t="s">
        <v>15368</v>
      </c>
      <c r="C2155" s="22" t="s">
        <v>6514</v>
      </c>
      <c r="D2155" s="23">
        <v>411549</v>
      </c>
      <c r="E2155" s="24">
        <v>2003</v>
      </c>
      <c r="F2155" s="22" t="s">
        <v>6515</v>
      </c>
      <c r="G2155" s="23" t="s">
        <v>6516</v>
      </c>
      <c r="H2155" s="25" t="s">
        <v>15373</v>
      </c>
      <c r="I2155" s="22" t="s">
        <v>15411</v>
      </c>
      <c r="J2155" s="22" t="s">
        <v>15451</v>
      </c>
      <c r="K2155" s="26">
        <f t="shared" si="33"/>
        <v>553.33333333333326</v>
      </c>
      <c r="N2155" s="26">
        <v>830</v>
      </c>
      <c r="O2155" s="22" t="s">
        <v>6517</v>
      </c>
      <c r="P2155" s="22" t="s">
        <v>7691</v>
      </c>
      <c r="Q2155" s="22">
        <v>92614</v>
      </c>
      <c r="R2155" s="22" t="s">
        <v>6518</v>
      </c>
      <c r="S2155" s="22" t="s">
        <v>6519</v>
      </c>
      <c r="X2155" s="26"/>
      <c r="Y2155" s="26"/>
    </row>
    <row r="2156" spans="1:25" ht="25" x14ac:dyDescent="0.25">
      <c r="A2156" s="21">
        <v>10343</v>
      </c>
      <c r="B2156" s="22" t="s">
        <v>15368</v>
      </c>
      <c r="C2156" s="22" t="s">
        <v>6520</v>
      </c>
      <c r="D2156" s="23">
        <v>413453</v>
      </c>
      <c r="E2156" s="24">
        <v>2003</v>
      </c>
      <c r="F2156" s="22" t="s">
        <v>6521</v>
      </c>
      <c r="G2156" s="23" t="s">
        <v>6522</v>
      </c>
      <c r="H2156" s="25" t="s">
        <v>15373</v>
      </c>
      <c r="I2156" s="22" t="s">
        <v>6101</v>
      </c>
      <c r="J2156" s="22" t="s">
        <v>8120</v>
      </c>
      <c r="K2156" s="26">
        <f t="shared" si="33"/>
        <v>893.33333333333326</v>
      </c>
      <c r="N2156" s="26">
        <v>1340</v>
      </c>
      <c r="O2156" s="22" t="s">
        <v>6523</v>
      </c>
      <c r="P2156" s="22" t="s">
        <v>6524</v>
      </c>
      <c r="Q2156" s="22">
        <v>90250</v>
      </c>
      <c r="R2156" s="22" t="s">
        <v>6525</v>
      </c>
      <c r="S2156" s="22" t="s">
        <v>6526</v>
      </c>
      <c r="X2156" s="26"/>
      <c r="Y2156" s="26"/>
    </row>
    <row r="2157" spans="1:25" ht="37.5" x14ac:dyDescent="0.25">
      <c r="A2157" s="21">
        <v>10344</v>
      </c>
      <c r="B2157" s="22" t="s">
        <v>15368</v>
      </c>
      <c r="C2157" s="22" t="s">
        <v>6527</v>
      </c>
      <c r="D2157" s="23">
        <v>403034</v>
      </c>
      <c r="E2157" s="24">
        <v>2003</v>
      </c>
      <c r="F2157" s="22" t="s">
        <v>6528</v>
      </c>
      <c r="G2157" s="23" t="s">
        <v>6529</v>
      </c>
      <c r="H2157" s="25" t="s">
        <v>15373</v>
      </c>
      <c r="I2157" s="22" t="s">
        <v>15374</v>
      </c>
      <c r="J2157" s="22">
        <v>3508</v>
      </c>
      <c r="K2157" s="26">
        <f t="shared" si="33"/>
        <v>893.33333333333326</v>
      </c>
      <c r="N2157" s="26">
        <v>1340</v>
      </c>
      <c r="O2157" s="22" t="s">
        <v>6530</v>
      </c>
      <c r="P2157" s="22" t="s">
        <v>7781</v>
      </c>
      <c r="Q2157" s="22">
        <v>90245</v>
      </c>
      <c r="R2157" s="22" t="s">
        <v>6531</v>
      </c>
      <c r="S2157" s="22" t="s">
        <v>6532</v>
      </c>
      <c r="X2157" s="26"/>
      <c r="Y2157" s="26"/>
    </row>
    <row r="2158" spans="1:25" ht="37.5" x14ac:dyDescent="0.25">
      <c r="A2158" s="21">
        <v>10345</v>
      </c>
      <c r="B2158" s="22" t="s">
        <v>15368</v>
      </c>
      <c r="C2158" s="22" t="s">
        <v>6533</v>
      </c>
      <c r="D2158" s="23">
        <v>289924</v>
      </c>
      <c r="E2158" s="24">
        <v>2003</v>
      </c>
      <c r="F2158" s="22" t="s">
        <v>6534</v>
      </c>
      <c r="G2158" s="23" t="s">
        <v>6535</v>
      </c>
      <c r="H2158" s="25" t="s">
        <v>15373</v>
      </c>
      <c r="I2158" s="22" t="s">
        <v>15411</v>
      </c>
      <c r="J2158" s="22" t="s">
        <v>12201</v>
      </c>
      <c r="K2158" s="26">
        <f t="shared" si="33"/>
        <v>553.33333333333326</v>
      </c>
      <c r="N2158" s="26">
        <v>830</v>
      </c>
      <c r="O2158" s="22" t="s">
        <v>7863</v>
      </c>
      <c r="P2158" s="22" t="s">
        <v>7781</v>
      </c>
      <c r="Q2158" s="22">
        <v>90245</v>
      </c>
      <c r="R2158" s="22" t="s">
        <v>6536</v>
      </c>
      <c r="S2158" s="22" t="s">
        <v>6532</v>
      </c>
      <c r="X2158" s="26"/>
      <c r="Y2158" s="26"/>
    </row>
    <row r="2159" spans="1:25" ht="50" x14ac:dyDescent="0.25">
      <c r="A2159" s="21">
        <v>10346</v>
      </c>
      <c r="B2159" s="22" t="s">
        <v>15368</v>
      </c>
      <c r="C2159" s="22" t="s">
        <v>6537</v>
      </c>
      <c r="D2159" s="23">
        <v>413422</v>
      </c>
      <c r="E2159" s="24">
        <v>2003</v>
      </c>
      <c r="F2159" s="22" t="s">
        <v>6538</v>
      </c>
      <c r="G2159" s="23" t="s">
        <v>6539</v>
      </c>
      <c r="H2159" s="25" t="s">
        <v>15373</v>
      </c>
      <c r="I2159" s="22" t="s">
        <v>15411</v>
      </c>
      <c r="J2159" s="22" t="s">
        <v>8343</v>
      </c>
      <c r="K2159" s="26">
        <f t="shared" si="33"/>
        <v>1115</v>
      </c>
      <c r="L2159" s="26">
        <v>1115</v>
      </c>
      <c r="O2159" s="22" t="s">
        <v>6540</v>
      </c>
      <c r="P2159" s="22" t="s">
        <v>7691</v>
      </c>
      <c r="Q2159" s="22">
        <v>92602</v>
      </c>
      <c r="R2159" s="22" t="s">
        <v>6541</v>
      </c>
      <c r="S2159" s="22" t="s">
        <v>6542</v>
      </c>
      <c r="X2159" s="26"/>
      <c r="Y2159" s="26"/>
    </row>
    <row r="2160" spans="1:25" ht="50" x14ac:dyDescent="0.25">
      <c r="A2160" s="21">
        <v>10347</v>
      </c>
      <c r="B2160" s="22" t="s">
        <v>15368</v>
      </c>
      <c r="C2160" s="22" t="s">
        <v>6820</v>
      </c>
      <c r="D2160" s="23">
        <v>416603</v>
      </c>
      <c r="E2160" s="24">
        <v>2003</v>
      </c>
      <c r="F2160" s="22" t="s">
        <v>6543</v>
      </c>
      <c r="G2160" s="23" t="s">
        <v>6544</v>
      </c>
      <c r="H2160" s="25" t="s">
        <v>15373</v>
      </c>
      <c r="I2160" s="22" t="s">
        <v>6101</v>
      </c>
      <c r="J2160" s="22" t="s">
        <v>12903</v>
      </c>
      <c r="K2160" s="26">
        <f t="shared" si="33"/>
        <v>2180</v>
      </c>
      <c r="L2160" s="26">
        <v>2180</v>
      </c>
      <c r="O2160" s="22" t="s">
        <v>6545</v>
      </c>
      <c r="P2160" s="22" t="s">
        <v>5809</v>
      </c>
      <c r="Q2160" s="22">
        <v>92646</v>
      </c>
      <c r="R2160" s="22" t="s">
        <v>6824</v>
      </c>
      <c r="S2160" s="22" t="s">
        <v>6825</v>
      </c>
      <c r="X2160" s="26"/>
      <c r="Y2160" s="26"/>
    </row>
    <row r="2161" spans="1:25" ht="50" x14ac:dyDescent="0.25">
      <c r="A2161" s="21">
        <v>10348</v>
      </c>
      <c r="B2161" s="22" t="s">
        <v>15368</v>
      </c>
      <c r="C2161" s="22" t="s">
        <v>6820</v>
      </c>
      <c r="D2161" s="23">
        <v>416604</v>
      </c>
      <c r="E2161" s="24">
        <v>2003</v>
      </c>
      <c r="F2161" s="22" t="s">
        <v>6546</v>
      </c>
      <c r="G2161" s="23" t="s">
        <v>6547</v>
      </c>
      <c r="H2161" s="25" t="s">
        <v>15373</v>
      </c>
      <c r="I2161" s="22" t="s">
        <v>6101</v>
      </c>
      <c r="J2161" s="22" t="s">
        <v>12903</v>
      </c>
      <c r="K2161" s="26">
        <f t="shared" si="33"/>
        <v>2180</v>
      </c>
      <c r="L2161" s="26">
        <v>2180</v>
      </c>
      <c r="O2161" s="22" t="s">
        <v>6545</v>
      </c>
      <c r="P2161" s="22" t="s">
        <v>5809</v>
      </c>
      <c r="Q2161" s="22">
        <v>92646</v>
      </c>
      <c r="R2161" s="22" t="s">
        <v>6824</v>
      </c>
      <c r="S2161" s="22" t="s">
        <v>6825</v>
      </c>
      <c r="X2161" s="26"/>
      <c r="Y2161" s="26"/>
    </row>
    <row r="2162" spans="1:25" ht="50" x14ac:dyDescent="0.25">
      <c r="A2162" s="21">
        <v>10349</v>
      </c>
      <c r="B2162" s="22" t="s">
        <v>15368</v>
      </c>
      <c r="C2162" s="22" t="s">
        <v>6820</v>
      </c>
      <c r="D2162" s="23">
        <v>416605</v>
      </c>
      <c r="E2162" s="24">
        <v>2003</v>
      </c>
      <c r="F2162" s="22" t="s">
        <v>6548</v>
      </c>
      <c r="G2162" s="23" t="s">
        <v>6549</v>
      </c>
      <c r="H2162" s="25" t="s">
        <v>15373</v>
      </c>
      <c r="I2162" s="22" t="s">
        <v>6101</v>
      </c>
      <c r="J2162" s="22" t="s">
        <v>12903</v>
      </c>
      <c r="K2162" s="26">
        <f t="shared" si="33"/>
        <v>2180</v>
      </c>
      <c r="L2162" s="26">
        <v>2180</v>
      </c>
      <c r="O2162" s="22" t="s">
        <v>6545</v>
      </c>
      <c r="P2162" s="22" t="s">
        <v>5809</v>
      </c>
      <c r="Q2162" s="22">
        <v>92646</v>
      </c>
      <c r="R2162" s="22" t="s">
        <v>6824</v>
      </c>
      <c r="S2162" s="22" t="s">
        <v>6825</v>
      </c>
      <c r="X2162" s="26"/>
      <c r="Y2162" s="26"/>
    </row>
    <row r="2163" spans="1:25" ht="50" x14ac:dyDescent="0.25">
      <c r="A2163" s="21">
        <v>10350</v>
      </c>
      <c r="B2163" s="22" t="s">
        <v>15368</v>
      </c>
      <c r="C2163" s="22" t="s">
        <v>6820</v>
      </c>
      <c r="D2163" s="23">
        <v>416606</v>
      </c>
      <c r="E2163" s="24">
        <v>2003</v>
      </c>
      <c r="F2163" s="22" t="s">
        <v>6550</v>
      </c>
      <c r="G2163" s="23" t="s">
        <v>6551</v>
      </c>
      <c r="H2163" s="25" t="s">
        <v>15373</v>
      </c>
      <c r="I2163" s="22" t="s">
        <v>15411</v>
      </c>
      <c r="J2163" s="22" t="s">
        <v>10176</v>
      </c>
      <c r="K2163" s="26">
        <f t="shared" si="33"/>
        <v>2190</v>
      </c>
      <c r="L2163" s="26">
        <v>2190</v>
      </c>
      <c r="O2163" s="22" t="s">
        <v>6545</v>
      </c>
      <c r="P2163" s="22" t="s">
        <v>5809</v>
      </c>
      <c r="Q2163" s="22">
        <v>92646</v>
      </c>
      <c r="R2163" s="22" t="s">
        <v>6824</v>
      </c>
      <c r="S2163" s="22" t="s">
        <v>6825</v>
      </c>
      <c r="X2163" s="26"/>
      <c r="Y2163" s="26"/>
    </row>
    <row r="2164" spans="1:25" ht="50" x14ac:dyDescent="0.25">
      <c r="A2164" s="21">
        <v>10351</v>
      </c>
      <c r="B2164" s="22" t="s">
        <v>15368</v>
      </c>
      <c r="C2164" s="22" t="s">
        <v>6820</v>
      </c>
      <c r="D2164" s="23">
        <v>416607</v>
      </c>
      <c r="E2164" s="24">
        <v>2003</v>
      </c>
      <c r="F2164" s="22" t="s">
        <v>6552</v>
      </c>
      <c r="G2164" s="23" t="s">
        <v>6572</v>
      </c>
      <c r="H2164" s="25" t="s">
        <v>15373</v>
      </c>
      <c r="I2164" s="22" t="s">
        <v>15411</v>
      </c>
      <c r="J2164" s="22" t="s">
        <v>10176</v>
      </c>
      <c r="K2164" s="26">
        <f t="shared" si="33"/>
        <v>2190</v>
      </c>
      <c r="L2164" s="26">
        <v>2190</v>
      </c>
      <c r="O2164" s="22" t="s">
        <v>6545</v>
      </c>
      <c r="P2164" s="22" t="s">
        <v>5809</v>
      </c>
      <c r="Q2164" s="22">
        <v>92646</v>
      </c>
      <c r="R2164" s="22" t="s">
        <v>6824</v>
      </c>
      <c r="S2164" s="22" t="s">
        <v>6825</v>
      </c>
      <c r="X2164" s="26"/>
      <c r="Y2164" s="26"/>
    </row>
    <row r="2165" spans="1:25" ht="50" x14ac:dyDescent="0.25">
      <c r="A2165" s="21">
        <v>10352</v>
      </c>
      <c r="B2165" s="22" t="s">
        <v>15368</v>
      </c>
      <c r="C2165" s="22" t="s">
        <v>6820</v>
      </c>
      <c r="D2165" s="23">
        <v>416608</v>
      </c>
      <c r="E2165" s="24">
        <v>2003</v>
      </c>
      <c r="F2165" s="22" t="s">
        <v>6573</v>
      </c>
      <c r="G2165" s="23" t="s">
        <v>6574</v>
      </c>
      <c r="H2165" s="25" t="s">
        <v>15373</v>
      </c>
      <c r="I2165" s="22" t="s">
        <v>15411</v>
      </c>
      <c r="J2165" s="22" t="s">
        <v>10176</v>
      </c>
      <c r="K2165" s="26">
        <f t="shared" si="33"/>
        <v>2190</v>
      </c>
      <c r="L2165" s="26">
        <v>2190</v>
      </c>
      <c r="O2165" s="22" t="s">
        <v>6545</v>
      </c>
      <c r="P2165" s="22" t="s">
        <v>5809</v>
      </c>
      <c r="Q2165" s="22">
        <v>92646</v>
      </c>
      <c r="R2165" s="22" t="s">
        <v>6824</v>
      </c>
      <c r="S2165" s="22" t="s">
        <v>6825</v>
      </c>
      <c r="X2165" s="26"/>
      <c r="Y2165" s="26"/>
    </row>
    <row r="2166" spans="1:25" ht="50" x14ac:dyDescent="0.25">
      <c r="A2166" s="21">
        <v>10353</v>
      </c>
      <c r="B2166" s="22" t="s">
        <v>15368</v>
      </c>
      <c r="C2166" s="22" t="s">
        <v>6820</v>
      </c>
      <c r="D2166" s="23">
        <v>416609</v>
      </c>
      <c r="E2166" s="24">
        <v>2003</v>
      </c>
      <c r="F2166" s="22" t="s">
        <v>6575</v>
      </c>
      <c r="G2166" s="23" t="s">
        <v>6576</v>
      </c>
      <c r="H2166" s="25" t="s">
        <v>15373</v>
      </c>
      <c r="I2166" s="22" t="s">
        <v>15374</v>
      </c>
      <c r="J2166" s="22" t="s">
        <v>12893</v>
      </c>
      <c r="K2166" s="26">
        <f t="shared" si="33"/>
        <v>2000</v>
      </c>
      <c r="L2166" s="26">
        <v>2000</v>
      </c>
      <c r="O2166" s="22" t="s">
        <v>6545</v>
      </c>
      <c r="P2166" s="22" t="s">
        <v>5809</v>
      </c>
      <c r="Q2166" s="22">
        <v>92646</v>
      </c>
      <c r="R2166" s="22" t="s">
        <v>6824</v>
      </c>
      <c r="S2166" s="22" t="s">
        <v>6825</v>
      </c>
      <c r="X2166" s="26"/>
      <c r="Y2166" s="26"/>
    </row>
    <row r="2167" spans="1:25" ht="50" x14ac:dyDescent="0.25">
      <c r="A2167" s="21">
        <v>10354</v>
      </c>
      <c r="B2167" s="22" t="s">
        <v>15368</v>
      </c>
      <c r="C2167" s="22" t="s">
        <v>6820</v>
      </c>
      <c r="D2167" s="23">
        <v>416610</v>
      </c>
      <c r="E2167" s="24">
        <v>2003</v>
      </c>
      <c r="F2167" s="22" t="s">
        <v>6577</v>
      </c>
      <c r="G2167" s="23" t="s">
        <v>6578</v>
      </c>
      <c r="H2167" s="25" t="s">
        <v>15373</v>
      </c>
      <c r="I2167" s="22" t="s">
        <v>15374</v>
      </c>
      <c r="J2167" s="22" t="s">
        <v>12893</v>
      </c>
      <c r="K2167" s="26">
        <f t="shared" si="33"/>
        <v>2000</v>
      </c>
      <c r="L2167" s="26">
        <v>2000</v>
      </c>
      <c r="O2167" s="22" t="s">
        <v>6545</v>
      </c>
      <c r="P2167" s="22" t="s">
        <v>5809</v>
      </c>
      <c r="Q2167" s="22">
        <v>92646</v>
      </c>
      <c r="R2167" s="22" t="s">
        <v>6824</v>
      </c>
      <c r="S2167" s="22" t="s">
        <v>6825</v>
      </c>
      <c r="X2167" s="26"/>
      <c r="Y2167" s="26"/>
    </row>
    <row r="2168" spans="1:25" ht="50" x14ac:dyDescent="0.25">
      <c r="A2168" s="21">
        <v>10355</v>
      </c>
      <c r="B2168" s="22" t="s">
        <v>15368</v>
      </c>
      <c r="C2168" s="22" t="s">
        <v>6820</v>
      </c>
      <c r="D2168" s="23">
        <v>416611</v>
      </c>
      <c r="E2168" s="24">
        <v>2003</v>
      </c>
      <c r="F2168" s="22" t="s">
        <v>6579</v>
      </c>
      <c r="G2168" s="23" t="s">
        <v>6580</v>
      </c>
      <c r="H2168" s="25" t="s">
        <v>15373</v>
      </c>
      <c r="I2168" s="22" t="s">
        <v>15374</v>
      </c>
      <c r="J2168" s="22" t="s">
        <v>12893</v>
      </c>
      <c r="K2168" s="26">
        <f t="shared" si="33"/>
        <v>2000</v>
      </c>
      <c r="L2168" s="26">
        <v>2000</v>
      </c>
      <c r="O2168" s="22" t="s">
        <v>6545</v>
      </c>
      <c r="P2168" s="22" t="s">
        <v>5809</v>
      </c>
      <c r="Q2168" s="22">
        <v>92646</v>
      </c>
      <c r="R2168" s="22" t="s">
        <v>6824</v>
      </c>
      <c r="S2168" s="22" t="s">
        <v>6825</v>
      </c>
      <c r="X2168" s="26"/>
      <c r="Y2168" s="26"/>
    </row>
    <row r="2169" spans="1:25" ht="37.5" x14ac:dyDescent="0.25">
      <c r="A2169" s="21">
        <v>10356</v>
      </c>
      <c r="B2169" s="22" t="s">
        <v>15368</v>
      </c>
      <c r="C2169" s="22" t="s">
        <v>9281</v>
      </c>
      <c r="D2169" s="23">
        <v>415459</v>
      </c>
      <c r="E2169" s="24">
        <v>2003</v>
      </c>
      <c r="F2169" s="22" t="s">
        <v>6581</v>
      </c>
      <c r="G2169" s="23" t="s">
        <v>6582</v>
      </c>
      <c r="H2169" s="25" t="s">
        <v>15373</v>
      </c>
      <c r="I2169" s="22" t="s">
        <v>6101</v>
      </c>
      <c r="J2169" s="22" t="s">
        <v>15955</v>
      </c>
      <c r="K2169" s="26">
        <f t="shared" si="33"/>
        <v>756.66666666666663</v>
      </c>
      <c r="N2169" s="26">
        <v>1135</v>
      </c>
      <c r="O2169" s="22" t="s">
        <v>6583</v>
      </c>
      <c r="P2169" s="22" t="s">
        <v>7713</v>
      </c>
      <c r="Q2169" s="22">
        <v>92701</v>
      </c>
      <c r="R2169" s="22" t="s">
        <v>7850</v>
      </c>
      <c r="S2169" s="22" t="s">
        <v>7851</v>
      </c>
      <c r="X2169" s="26"/>
      <c r="Y2169" s="26"/>
    </row>
    <row r="2170" spans="1:25" ht="37.5" x14ac:dyDescent="0.25">
      <c r="A2170" s="21">
        <v>10357</v>
      </c>
      <c r="B2170" s="22" t="s">
        <v>15368</v>
      </c>
      <c r="C2170" s="22" t="s">
        <v>5789</v>
      </c>
      <c r="D2170" s="23">
        <v>324902</v>
      </c>
      <c r="E2170" s="24">
        <v>2003</v>
      </c>
      <c r="F2170" s="22" t="s">
        <v>6584</v>
      </c>
      <c r="G2170" s="23" t="s">
        <v>6585</v>
      </c>
      <c r="H2170" s="25" t="s">
        <v>15373</v>
      </c>
      <c r="I2170" s="22" t="s">
        <v>15374</v>
      </c>
      <c r="J2170" s="22" t="s">
        <v>16869</v>
      </c>
      <c r="K2170" s="26">
        <f t="shared" si="33"/>
        <v>800</v>
      </c>
      <c r="N2170" s="26">
        <v>1200</v>
      </c>
      <c r="O2170" s="22" t="s">
        <v>6586</v>
      </c>
      <c r="P2170" s="22" t="s">
        <v>6587</v>
      </c>
      <c r="Q2170" s="22">
        <v>91214</v>
      </c>
      <c r="R2170" s="22" t="s">
        <v>6588</v>
      </c>
      <c r="S2170" s="22" t="s">
        <v>6589</v>
      </c>
      <c r="X2170" s="26"/>
      <c r="Y2170" s="26"/>
    </row>
    <row r="2171" spans="1:25" ht="50" x14ac:dyDescent="0.25">
      <c r="A2171" s="21">
        <v>10358</v>
      </c>
      <c r="B2171" s="22" t="s">
        <v>15368</v>
      </c>
      <c r="C2171" s="22" t="s">
        <v>5789</v>
      </c>
      <c r="D2171" s="23">
        <v>417561</v>
      </c>
      <c r="E2171" s="24">
        <v>2003</v>
      </c>
      <c r="F2171" s="22" t="s">
        <v>6590</v>
      </c>
      <c r="G2171" s="23" t="s">
        <v>6591</v>
      </c>
      <c r="H2171" s="25" t="s">
        <v>15373</v>
      </c>
      <c r="I2171" s="22" t="s">
        <v>15411</v>
      </c>
      <c r="J2171" s="22" t="s">
        <v>15744</v>
      </c>
      <c r="K2171" s="26">
        <f t="shared" si="33"/>
        <v>821.33333333333326</v>
      </c>
      <c r="N2171" s="26">
        <v>1232</v>
      </c>
      <c r="O2171" s="22" t="s">
        <v>6592</v>
      </c>
      <c r="P2171" s="22" t="s">
        <v>6593</v>
      </c>
      <c r="Q2171" s="22">
        <v>92656</v>
      </c>
      <c r="R2171" s="22" t="s">
        <v>6594</v>
      </c>
      <c r="S2171" s="22" t="s">
        <v>6595</v>
      </c>
      <c r="X2171" s="26"/>
      <c r="Y2171" s="26"/>
    </row>
    <row r="2172" spans="1:25" ht="37.5" x14ac:dyDescent="0.25">
      <c r="A2172" s="21">
        <v>10359</v>
      </c>
      <c r="B2172" s="22" t="s">
        <v>15368</v>
      </c>
      <c r="C2172" s="22" t="s">
        <v>5789</v>
      </c>
      <c r="D2172" s="23">
        <v>420302</v>
      </c>
      <c r="E2172" s="24">
        <v>2003</v>
      </c>
      <c r="F2172" s="22" t="s">
        <v>6596</v>
      </c>
      <c r="G2172" s="23" t="s">
        <v>6597</v>
      </c>
      <c r="H2172" s="25" t="s">
        <v>15373</v>
      </c>
      <c r="I2172" s="22" t="s">
        <v>15374</v>
      </c>
      <c r="J2172" s="22" t="s">
        <v>6667</v>
      </c>
      <c r="K2172" s="26">
        <f t="shared" si="33"/>
        <v>402</v>
      </c>
      <c r="N2172" s="26">
        <v>603</v>
      </c>
      <c r="O2172" s="22" t="s">
        <v>6598</v>
      </c>
      <c r="P2172" s="22" t="s">
        <v>6117</v>
      </c>
      <c r="Q2172" s="22">
        <v>91011</v>
      </c>
      <c r="R2172" s="22" t="s">
        <v>6599</v>
      </c>
      <c r="S2172" s="22" t="s">
        <v>6600</v>
      </c>
      <c r="X2172" s="26"/>
      <c r="Y2172" s="26"/>
    </row>
    <row r="2173" spans="1:25" ht="50" x14ac:dyDescent="0.25">
      <c r="A2173" s="21">
        <v>10360</v>
      </c>
      <c r="B2173" s="22" t="s">
        <v>15368</v>
      </c>
      <c r="C2173" s="22" t="s">
        <v>6601</v>
      </c>
      <c r="D2173" s="23">
        <v>415122</v>
      </c>
      <c r="E2173" s="24">
        <v>2003</v>
      </c>
      <c r="F2173" s="22" t="s">
        <v>6602</v>
      </c>
      <c r="G2173" s="23" t="s">
        <v>6603</v>
      </c>
      <c r="H2173" s="25" t="s">
        <v>15373</v>
      </c>
      <c r="I2173" s="22" t="s">
        <v>15374</v>
      </c>
      <c r="J2173" s="22" t="s">
        <v>14555</v>
      </c>
      <c r="K2173" s="26">
        <f t="shared" si="33"/>
        <v>346</v>
      </c>
      <c r="N2173" s="26">
        <v>519</v>
      </c>
      <c r="O2173" s="22" t="s">
        <v>6604</v>
      </c>
      <c r="P2173" s="22" t="s">
        <v>7760</v>
      </c>
      <c r="Q2173" s="22">
        <v>91101</v>
      </c>
      <c r="R2173" s="22" t="s">
        <v>6605</v>
      </c>
      <c r="S2173" s="22" t="s">
        <v>6606</v>
      </c>
      <c r="X2173" s="26"/>
      <c r="Y2173" s="26"/>
    </row>
    <row r="2174" spans="1:25" ht="37.5" x14ac:dyDescent="0.25">
      <c r="A2174" s="21">
        <v>10361</v>
      </c>
      <c r="B2174" s="22" t="s">
        <v>15368</v>
      </c>
      <c r="C2174" s="22" t="s">
        <v>6607</v>
      </c>
      <c r="D2174" s="23">
        <v>402461</v>
      </c>
      <c r="E2174" s="24">
        <v>2003</v>
      </c>
      <c r="F2174" s="22" t="s">
        <v>6608</v>
      </c>
      <c r="G2174" s="23" t="s">
        <v>6609</v>
      </c>
      <c r="H2174" s="25" t="s">
        <v>15373</v>
      </c>
      <c r="I2174" s="22" t="s">
        <v>15374</v>
      </c>
      <c r="J2174" s="22" t="s">
        <v>15701</v>
      </c>
      <c r="K2174" s="26">
        <f t="shared" si="33"/>
        <v>350</v>
      </c>
      <c r="L2174" s="26">
        <v>350</v>
      </c>
      <c r="O2174" s="22" t="s">
        <v>6610</v>
      </c>
      <c r="P2174" s="22" t="s">
        <v>7760</v>
      </c>
      <c r="Q2174" s="22">
        <v>91105</v>
      </c>
      <c r="R2174" s="22" t="s">
        <v>6611</v>
      </c>
      <c r="S2174" s="22" t="s">
        <v>6612</v>
      </c>
      <c r="X2174" s="26"/>
      <c r="Y2174" s="26"/>
    </row>
    <row r="2175" spans="1:25" ht="37.5" x14ac:dyDescent="0.25">
      <c r="A2175" s="21">
        <v>10362</v>
      </c>
      <c r="B2175" s="22" t="s">
        <v>15368</v>
      </c>
      <c r="C2175" s="22" t="s">
        <v>6613</v>
      </c>
      <c r="D2175" s="23">
        <v>416712</v>
      </c>
      <c r="E2175" s="24">
        <v>2003</v>
      </c>
      <c r="F2175" s="22" t="s">
        <v>6614</v>
      </c>
      <c r="G2175" s="23" t="s">
        <v>6615</v>
      </c>
      <c r="H2175" s="25" t="s">
        <v>15373</v>
      </c>
      <c r="I2175" s="22" t="s">
        <v>15374</v>
      </c>
      <c r="J2175" s="22" t="s">
        <v>12899</v>
      </c>
      <c r="K2175" s="26">
        <f t="shared" si="33"/>
        <v>1666</v>
      </c>
      <c r="N2175" s="26">
        <v>2499</v>
      </c>
      <c r="O2175" s="22" t="s">
        <v>6616</v>
      </c>
      <c r="P2175" s="22" t="s">
        <v>7788</v>
      </c>
      <c r="Q2175" s="22">
        <v>91505</v>
      </c>
      <c r="R2175" s="22" t="s">
        <v>6617</v>
      </c>
      <c r="S2175" s="22" t="s">
        <v>6618</v>
      </c>
      <c r="X2175" s="26"/>
      <c r="Y2175" s="26"/>
    </row>
    <row r="2176" spans="1:25" ht="25" x14ac:dyDescent="0.25">
      <c r="A2176" s="21">
        <v>10363</v>
      </c>
      <c r="B2176" s="22" t="s">
        <v>15368</v>
      </c>
      <c r="C2176" s="22" t="s">
        <v>6619</v>
      </c>
      <c r="D2176" s="23">
        <v>404136</v>
      </c>
      <c r="E2176" s="24">
        <v>2003</v>
      </c>
      <c r="F2176" s="22" t="s">
        <v>6620</v>
      </c>
      <c r="G2176" s="23" t="s">
        <v>6621</v>
      </c>
      <c r="H2176" s="25" t="s">
        <v>15373</v>
      </c>
      <c r="I2176" s="22" t="s">
        <v>15411</v>
      </c>
      <c r="J2176" s="22" t="s">
        <v>16884</v>
      </c>
      <c r="K2176" s="26">
        <f t="shared" si="33"/>
        <v>420</v>
      </c>
      <c r="M2176" s="26">
        <v>630</v>
      </c>
      <c r="O2176" s="22" t="s">
        <v>6622</v>
      </c>
      <c r="P2176" s="22" t="s">
        <v>7781</v>
      </c>
      <c r="Q2176" s="22">
        <v>90245</v>
      </c>
      <c r="R2176" s="22" t="s">
        <v>6623</v>
      </c>
      <c r="S2176" s="22" t="s">
        <v>6624</v>
      </c>
      <c r="X2176" s="26"/>
      <c r="Y2176" s="26"/>
    </row>
    <row r="2177" spans="1:25" ht="25" x14ac:dyDescent="0.25">
      <c r="A2177" s="21">
        <v>10364</v>
      </c>
      <c r="B2177" s="22" t="s">
        <v>15368</v>
      </c>
      <c r="C2177" s="22" t="s">
        <v>6619</v>
      </c>
      <c r="D2177" s="23">
        <v>404137</v>
      </c>
      <c r="E2177" s="24">
        <v>2003</v>
      </c>
      <c r="F2177" s="22" t="s">
        <v>6625</v>
      </c>
      <c r="G2177" s="23" t="s">
        <v>6626</v>
      </c>
      <c r="H2177" s="25" t="s">
        <v>15373</v>
      </c>
      <c r="I2177" s="22" t="s">
        <v>15411</v>
      </c>
      <c r="J2177" s="22" t="s">
        <v>14684</v>
      </c>
      <c r="K2177" s="26">
        <f t="shared" ref="K2177:K2240" si="34">L2177+M2177*(2/3)+N2177*(2/3)</f>
        <v>1030</v>
      </c>
      <c r="M2177" s="26">
        <v>1545</v>
      </c>
      <c r="O2177" s="22" t="s">
        <v>6622</v>
      </c>
      <c r="P2177" s="22" t="s">
        <v>7781</v>
      </c>
      <c r="Q2177" s="22">
        <v>90245</v>
      </c>
      <c r="R2177" s="22" t="s">
        <v>6623</v>
      </c>
      <c r="S2177" s="22" t="s">
        <v>6624</v>
      </c>
      <c r="X2177" s="26"/>
      <c r="Y2177" s="26"/>
    </row>
    <row r="2178" spans="1:25" ht="25" x14ac:dyDescent="0.25">
      <c r="A2178" s="21">
        <v>10365</v>
      </c>
      <c r="B2178" s="22" t="s">
        <v>15368</v>
      </c>
      <c r="C2178" s="22" t="s">
        <v>6619</v>
      </c>
      <c r="D2178" s="23">
        <v>404138</v>
      </c>
      <c r="E2178" s="24">
        <v>2003</v>
      </c>
      <c r="F2178" s="22" t="s">
        <v>6627</v>
      </c>
      <c r="G2178" s="23" t="s">
        <v>6626</v>
      </c>
      <c r="H2178" s="25" t="s">
        <v>15373</v>
      </c>
      <c r="I2178" s="22" t="s">
        <v>15411</v>
      </c>
      <c r="J2178" s="22" t="s">
        <v>14684</v>
      </c>
      <c r="K2178" s="26">
        <f t="shared" si="34"/>
        <v>1030</v>
      </c>
      <c r="M2178" s="26">
        <v>1545</v>
      </c>
      <c r="O2178" s="22" t="s">
        <v>6622</v>
      </c>
      <c r="P2178" s="22" t="s">
        <v>7781</v>
      </c>
      <c r="Q2178" s="22">
        <v>90245</v>
      </c>
      <c r="R2178" s="22" t="s">
        <v>6623</v>
      </c>
      <c r="S2178" s="22" t="s">
        <v>6624</v>
      </c>
      <c r="X2178" s="26"/>
      <c r="Y2178" s="26"/>
    </row>
    <row r="2179" spans="1:25" ht="37.5" x14ac:dyDescent="0.25">
      <c r="A2179" s="21">
        <v>10366</v>
      </c>
      <c r="B2179" s="22" t="s">
        <v>15368</v>
      </c>
      <c r="C2179" s="22" t="s">
        <v>6619</v>
      </c>
      <c r="D2179" s="23">
        <v>404142</v>
      </c>
      <c r="E2179" s="24">
        <v>2003</v>
      </c>
      <c r="F2179" s="22" t="s">
        <v>6628</v>
      </c>
      <c r="G2179" s="23" t="s">
        <v>6629</v>
      </c>
      <c r="H2179" s="25" t="s">
        <v>15373</v>
      </c>
      <c r="I2179" s="22" t="s">
        <v>16421</v>
      </c>
      <c r="J2179" s="22" t="s">
        <v>6630</v>
      </c>
      <c r="K2179" s="26">
        <f t="shared" si="34"/>
        <v>347.33333333333331</v>
      </c>
      <c r="N2179" s="26">
        <v>521</v>
      </c>
      <c r="O2179" s="22" t="s">
        <v>6622</v>
      </c>
      <c r="P2179" s="22" t="s">
        <v>7781</v>
      </c>
      <c r="Q2179" s="22">
        <v>90245</v>
      </c>
      <c r="R2179" s="22" t="s">
        <v>6623</v>
      </c>
      <c r="S2179" s="22" t="s">
        <v>6624</v>
      </c>
      <c r="X2179" s="26"/>
      <c r="Y2179" s="26"/>
    </row>
    <row r="2180" spans="1:25" ht="37.5" x14ac:dyDescent="0.25">
      <c r="A2180" s="21">
        <v>10367</v>
      </c>
      <c r="B2180" s="22" t="s">
        <v>15368</v>
      </c>
      <c r="C2180" s="22" t="s">
        <v>6619</v>
      </c>
      <c r="D2180" s="23">
        <v>404143</v>
      </c>
      <c r="E2180" s="24">
        <v>2003</v>
      </c>
      <c r="F2180" s="22" t="s">
        <v>6631</v>
      </c>
      <c r="G2180" s="23" t="s">
        <v>6632</v>
      </c>
      <c r="H2180" s="25" t="s">
        <v>15373</v>
      </c>
      <c r="I2180" s="22" t="s">
        <v>15374</v>
      </c>
      <c r="J2180" s="22" t="s">
        <v>14709</v>
      </c>
      <c r="K2180" s="26">
        <f t="shared" si="34"/>
        <v>600</v>
      </c>
      <c r="L2180" s="26">
        <v>600</v>
      </c>
      <c r="O2180" s="22" t="s">
        <v>6622</v>
      </c>
      <c r="P2180" s="22" t="s">
        <v>7781</v>
      </c>
      <c r="Q2180" s="22">
        <v>90245</v>
      </c>
      <c r="R2180" s="22" t="s">
        <v>6623</v>
      </c>
      <c r="S2180" s="22" t="s">
        <v>6624</v>
      </c>
      <c r="X2180" s="26"/>
      <c r="Y2180" s="26"/>
    </row>
    <row r="2181" spans="1:25" ht="37.5" x14ac:dyDescent="0.25">
      <c r="A2181" s="21">
        <v>10368</v>
      </c>
      <c r="B2181" s="22" t="s">
        <v>15368</v>
      </c>
      <c r="C2181" s="22" t="s">
        <v>6619</v>
      </c>
      <c r="D2181" s="23">
        <v>404144</v>
      </c>
      <c r="E2181" s="24">
        <v>2003</v>
      </c>
      <c r="F2181" s="22" t="s">
        <v>6633</v>
      </c>
      <c r="G2181" s="23" t="s">
        <v>6634</v>
      </c>
      <c r="H2181" s="25" t="s">
        <v>15373</v>
      </c>
      <c r="I2181" s="22" t="s">
        <v>15382</v>
      </c>
      <c r="J2181" s="22" t="s">
        <v>15955</v>
      </c>
      <c r="K2181" s="26">
        <f t="shared" si="34"/>
        <v>750</v>
      </c>
      <c r="L2181" s="26">
        <v>750</v>
      </c>
      <c r="O2181" s="22" t="s">
        <v>6622</v>
      </c>
      <c r="P2181" s="22" t="s">
        <v>7781</v>
      </c>
      <c r="Q2181" s="22">
        <v>90245</v>
      </c>
      <c r="R2181" s="22" t="s">
        <v>6623</v>
      </c>
      <c r="S2181" s="22" t="s">
        <v>6624</v>
      </c>
      <c r="X2181" s="26"/>
      <c r="Y2181" s="26"/>
    </row>
    <row r="2182" spans="1:25" ht="37.5" x14ac:dyDescent="0.25">
      <c r="A2182" s="21">
        <v>10369</v>
      </c>
      <c r="B2182" s="22" t="s">
        <v>15368</v>
      </c>
      <c r="C2182" s="22" t="s">
        <v>6635</v>
      </c>
      <c r="D2182" s="23">
        <v>217012</v>
      </c>
      <c r="E2182" s="24">
        <v>2003</v>
      </c>
      <c r="F2182" s="22" t="s">
        <v>12015</v>
      </c>
      <c r="G2182" s="23" t="s">
        <v>6636</v>
      </c>
      <c r="H2182" s="25" t="s">
        <v>15373</v>
      </c>
      <c r="I2182" s="22" t="s">
        <v>12017</v>
      </c>
      <c r="J2182" s="22" t="s">
        <v>6637</v>
      </c>
      <c r="K2182" s="26">
        <f t="shared" si="34"/>
        <v>357.33333333333331</v>
      </c>
      <c r="N2182" s="26">
        <v>536</v>
      </c>
      <c r="O2182" s="22" t="s">
        <v>6638</v>
      </c>
      <c r="P2182" s="22" t="s">
        <v>6857</v>
      </c>
      <c r="Q2182" s="22">
        <v>92501</v>
      </c>
      <c r="R2182" s="22" t="s">
        <v>6639</v>
      </c>
      <c r="S2182" s="22" t="s">
        <v>6640</v>
      </c>
      <c r="X2182" s="26"/>
      <c r="Y2182" s="26"/>
    </row>
    <row r="2183" spans="1:25" ht="50" x14ac:dyDescent="0.25">
      <c r="A2183" s="21">
        <v>10370</v>
      </c>
      <c r="B2183" s="22" t="s">
        <v>15368</v>
      </c>
      <c r="C2183" s="22" t="s">
        <v>6641</v>
      </c>
      <c r="D2183" s="23">
        <v>409657</v>
      </c>
      <c r="E2183" s="24">
        <v>2003</v>
      </c>
      <c r="F2183" s="22" t="s">
        <v>6642</v>
      </c>
      <c r="G2183" s="23" t="s">
        <v>6643</v>
      </c>
      <c r="H2183" s="25" t="s">
        <v>15373</v>
      </c>
      <c r="I2183" s="22" t="s">
        <v>15382</v>
      </c>
      <c r="J2183" s="22" t="s">
        <v>14642</v>
      </c>
      <c r="K2183" s="26">
        <f t="shared" si="34"/>
        <v>666.66666666666663</v>
      </c>
      <c r="N2183" s="26">
        <v>1000</v>
      </c>
      <c r="O2183" s="22" t="s">
        <v>5785</v>
      </c>
      <c r="P2183" s="22" t="s">
        <v>5786</v>
      </c>
      <c r="Q2183" s="22">
        <v>92567</v>
      </c>
      <c r="R2183" s="22" t="s">
        <v>5787</v>
      </c>
      <c r="S2183" s="22" t="s">
        <v>5788</v>
      </c>
      <c r="X2183" s="26"/>
      <c r="Y2183" s="26"/>
    </row>
    <row r="2184" spans="1:25" ht="50" x14ac:dyDescent="0.25">
      <c r="A2184" s="21">
        <v>10371</v>
      </c>
      <c r="B2184" s="22" t="s">
        <v>15368</v>
      </c>
      <c r="C2184" s="22" t="s">
        <v>6641</v>
      </c>
      <c r="D2184" s="23">
        <v>409660</v>
      </c>
      <c r="E2184" s="24">
        <v>2003</v>
      </c>
      <c r="F2184" s="22" t="s">
        <v>6644</v>
      </c>
      <c r="G2184" s="23" t="s">
        <v>6643</v>
      </c>
      <c r="H2184" s="25" t="s">
        <v>15373</v>
      </c>
      <c r="I2184" s="22" t="s">
        <v>15382</v>
      </c>
      <c r="J2184" s="22" t="s">
        <v>14642</v>
      </c>
      <c r="K2184" s="26">
        <f t="shared" si="34"/>
        <v>666.66666666666663</v>
      </c>
      <c r="N2184" s="26">
        <v>1000</v>
      </c>
      <c r="O2184" s="22" t="s">
        <v>5785</v>
      </c>
      <c r="P2184" s="22" t="s">
        <v>5786</v>
      </c>
      <c r="Q2184" s="22">
        <v>92567</v>
      </c>
      <c r="R2184" s="22" t="s">
        <v>5787</v>
      </c>
      <c r="S2184" s="22" t="s">
        <v>5788</v>
      </c>
      <c r="X2184" s="26"/>
      <c r="Y2184" s="26"/>
    </row>
    <row r="2185" spans="1:25" ht="37.5" x14ac:dyDescent="0.25">
      <c r="A2185" s="21">
        <v>10372</v>
      </c>
      <c r="B2185" s="22" t="s">
        <v>15368</v>
      </c>
      <c r="C2185" s="22" t="s">
        <v>6645</v>
      </c>
      <c r="D2185" s="23">
        <v>414060</v>
      </c>
      <c r="E2185" s="24">
        <v>2003</v>
      </c>
      <c r="F2185" s="22" t="s">
        <v>6646</v>
      </c>
      <c r="G2185" s="23" t="s">
        <v>8816</v>
      </c>
      <c r="H2185" s="25" t="s">
        <v>15373</v>
      </c>
      <c r="I2185" s="22" t="s">
        <v>15374</v>
      </c>
      <c r="J2185" s="22">
        <v>3406</v>
      </c>
      <c r="K2185" s="26">
        <f t="shared" si="34"/>
        <v>400</v>
      </c>
      <c r="L2185" s="26">
        <v>400</v>
      </c>
      <c r="O2185" s="22" t="s">
        <v>6647</v>
      </c>
      <c r="P2185" s="22" t="s">
        <v>7753</v>
      </c>
      <c r="Q2185" s="22">
        <v>90071</v>
      </c>
      <c r="R2185" s="22" t="s">
        <v>6648</v>
      </c>
      <c r="S2185" s="22" t="s">
        <v>6649</v>
      </c>
      <c r="X2185" s="26"/>
      <c r="Y2185" s="26"/>
    </row>
    <row r="2186" spans="1:25" ht="37.5" x14ac:dyDescent="0.25">
      <c r="A2186" s="21">
        <v>10373</v>
      </c>
      <c r="B2186" s="22" t="s">
        <v>15368</v>
      </c>
      <c r="C2186" s="22" t="s">
        <v>8168</v>
      </c>
      <c r="D2186" s="23">
        <v>419678</v>
      </c>
      <c r="E2186" s="24">
        <v>2003</v>
      </c>
      <c r="F2186" s="22" t="s">
        <v>6650</v>
      </c>
      <c r="G2186" s="23" t="s">
        <v>6651</v>
      </c>
      <c r="H2186" s="25" t="s">
        <v>15373</v>
      </c>
      <c r="I2186" s="22" t="s">
        <v>15374</v>
      </c>
      <c r="J2186" s="22">
        <v>3512</v>
      </c>
      <c r="K2186" s="26">
        <f t="shared" si="34"/>
        <v>1212</v>
      </c>
      <c r="N2186" s="26">
        <v>1818</v>
      </c>
      <c r="O2186" s="22" t="s">
        <v>8169</v>
      </c>
      <c r="P2186" s="22" t="s">
        <v>8170</v>
      </c>
      <c r="Q2186" s="22">
        <v>92868</v>
      </c>
      <c r="R2186" s="22" t="s">
        <v>8171</v>
      </c>
      <c r="S2186" s="22" t="s">
        <v>8172</v>
      </c>
      <c r="X2186" s="26"/>
      <c r="Y2186" s="26"/>
    </row>
    <row r="2187" spans="1:25" ht="50" x14ac:dyDescent="0.25">
      <c r="A2187" s="21">
        <v>10374</v>
      </c>
      <c r="B2187" s="22" t="s">
        <v>15368</v>
      </c>
      <c r="C2187" s="22" t="s">
        <v>8168</v>
      </c>
      <c r="D2187" s="23">
        <v>408556</v>
      </c>
      <c r="E2187" s="24">
        <v>2003</v>
      </c>
      <c r="F2187" s="22" t="s">
        <v>6652</v>
      </c>
      <c r="G2187" s="23" t="s">
        <v>6653</v>
      </c>
      <c r="H2187" s="25" t="s">
        <v>15373</v>
      </c>
      <c r="I2187" s="22" t="s">
        <v>15374</v>
      </c>
      <c r="J2187" s="22" t="s">
        <v>15420</v>
      </c>
      <c r="K2187" s="26">
        <f t="shared" si="34"/>
        <v>1212</v>
      </c>
      <c r="N2187" s="26">
        <v>1818</v>
      </c>
      <c r="O2187" s="22" t="s">
        <v>6654</v>
      </c>
      <c r="P2187" s="22" t="s">
        <v>8170</v>
      </c>
      <c r="Q2187" s="22">
        <v>92868</v>
      </c>
      <c r="R2187" s="22" t="s">
        <v>6655</v>
      </c>
      <c r="S2187" s="22" t="s">
        <v>6656</v>
      </c>
      <c r="X2187" s="26"/>
      <c r="Y2187" s="26"/>
    </row>
    <row r="2188" spans="1:25" ht="37.5" x14ac:dyDescent="0.25">
      <c r="A2188" s="21">
        <v>10375</v>
      </c>
      <c r="B2188" s="22" t="s">
        <v>15368</v>
      </c>
      <c r="C2188" s="22" t="s">
        <v>8168</v>
      </c>
      <c r="D2188" s="23">
        <v>409995</v>
      </c>
      <c r="E2188" s="24">
        <v>2003</v>
      </c>
      <c r="F2188" s="22" t="s">
        <v>6657</v>
      </c>
      <c r="G2188" s="23" t="s">
        <v>6658</v>
      </c>
      <c r="H2188" s="25" t="s">
        <v>15373</v>
      </c>
      <c r="I2188" s="22" t="s">
        <v>15374</v>
      </c>
      <c r="J2188" s="22" t="s">
        <v>15420</v>
      </c>
      <c r="K2188" s="26">
        <f t="shared" si="34"/>
        <v>1212</v>
      </c>
      <c r="N2188" s="26">
        <v>1818</v>
      </c>
      <c r="O2188" s="22" t="s">
        <v>6654</v>
      </c>
      <c r="P2188" s="22" t="s">
        <v>8170</v>
      </c>
      <c r="Q2188" s="22">
        <v>92868</v>
      </c>
      <c r="R2188" s="22" t="s">
        <v>6655</v>
      </c>
      <c r="S2188" s="22" t="s">
        <v>6656</v>
      </c>
      <c r="X2188" s="26"/>
      <c r="Y2188" s="26"/>
    </row>
    <row r="2189" spans="1:25" ht="37.5" x14ac:dyDescent="0.25">
      <c r="A2189" s="21">
        <v>10376</v>
      </c>
      <c r="B2189" s="22" t="s">
        <v>15368</v>
      </c>
      <c r="C2189" s="22" t="s">
        <v>8168</v>
      </c>
      <c r="D2189" s="23">
        <v>409996</v>
      </c>
      <c r="E2189" s="24">
        <v>2003</v>
      </c>
      <c r="F2189" s="22" t="s">
        <v>6659</v>
      </c>
      <c r="G2189" s="23" t="s">
        <v>6660</v>
      </c>
      <c r="H2189" s="25" t="s">
        <v>15373</v>
      </c>
      <c r="I2189" s="22" t="s">
        <v>15374</v>
      </c>
      <c r="J2189" s="22" t="s">
        <v>15420</v>
      </c>
      <c r="K2189" s="26">
        <f t="shared" si="34"/>
        <v>1190</v>
      </c>
      <c r="L2189" s="26">
        <v>1190</v>
      </c>
      <c r="O2189" s="22" t="s">
        <v>6654</v>
      </c>
      <c r="P2189" s="22" t="s">
        <v>8170</v>
      </c>
      <c r="Q2189" s="22">
        <v>92868</v>
      </c>
      <c r="R2189" s="22" t="s">
        <v>6655</v>
      </c>
      <c r="S2189" s="22" t="s">
        <v>6656</v>
      </c>
      <c r="X2189" s="26"/>
      <c r="Y2189" s="26"/>
    </row>
    <row r="2190" spans="1:25" ht="37.5" x14ac:dyDescent="0.25">
      <c r="A2190" s="21">
        <v>10377</v>
      </c>
      <c r="B2190" s="22" t="s">
        <v>15368</v>
      </c>
      <c r="C2190" s="22" t="s">
        <v>6661</v>
      </c>
      <c r="D2190" s="23">
        <v>413622</v>
      </c>
      <c r="E2190" s="24">
        <v>2003</v>
      </c>
      <c r="F2190" s="22" t="s">
        <v>7180</v>
      </c>
      <c r="G2190" s="23" t="s">
        <v>5895</v>
      </c>
      <c r="H2190" s="25" t="s">
        <v>15373</v>
      </c>
      <c r="I2190" s="22" t="s">
        <v>15411</v>
      </c>
      <c r="J2190" s="22" t="s">
        <v>14979</v>
      </c>
      <c r="K2190" s="26">
        <f t="shared" si="34"/>
        <v>553.33333333333326</v>
      </c>
      <c r="N2190" s="26">
        <v>830</v>
      </c>
      <c r="O2190" s="22" t="s">
        <v>5896</v>
      </c>
      <c r="P2190" s="22" t="s">
        <v>7753</v>
      </c>
      <c r="Q2190" s="22">
        <v>90045</v>
      </c>
      <c r="R2190" s="22" t="s">
        <v>5897</v>
      </c>
      <c r="S2190" s="22" t="s">
        <v>5898</v>
      </c>
      <c r="X2190" s="26"/>
      <c r="Y2190" s="26"/>
    </row>
    <row r="2191" spans="1:25" ht="37.5" x14ac:dyDescent="0.25">
      <c r="A2191" s="21">
        <v>10378</v>
      </c>
      <c r="B2191" s="22" t="s">
        <v>15368</v>
      </c>
      <c r="C2191" s="22" t="s">
        <v>5899</v>
      </c>
      <c r="D2191" s="23">
        <v>413891</v>
      </c>
      <c r="E2191" s="24">
        <v>2003</v>
      </c>
      <c r="F2191" s="22" t="s">
        <v>5900</v>
      </c>
      <c r="G2191" s="23" t="s">
        <v>5901</v>
      </c>
      <c r="H2191" s="25" t="s">
        <v>15373</v>
      </c>
      <c r="I2191" s="22" t="s">
        <v>15374</v>
      </c>
      <c r="J2191" s="22">
        <v>3406</v>
      </c>
      <c r="K2191" s="26">
        <f t="shared" si="34"/>
        <v>346</v>
      </c>
      <c r="N2191" s="26">
        <v>519</v>
      </c>
      <c r="O2191" s="22" t="s">
        <v>5902</v>
      </c>
      <c r="P2191" s="22" t="s">
        <v>5796</v>
      </c>
      <c r="Q2191" s="22">
        <v>91601</v>
      </c>
      <c r="R2191" s="22" t="s">
        <v>5903</v>
      </c>
      <c r="S2191" s="22" t="s">
        <v>5904</v>
      </c>
      <c r="X2191" s="26"/>
      <c r="Y2191" s="26"/>
    </row>
    <row r="2192" spans="1:25" ht="37.5" x14ac:dyDescent="0.25">
      <c r="A2192" s="21">
        <v>10379</v>
      </c>
      <c r="B2192" s="22" t="s">
        <v>15368</v>
      </c>
      <c r="C2192" s="22" t="s">
        <v>5905</v>
      </c>
      <c r="D2192" s="23">
        <v>416329</v>
      </c>
      <c r="E2192" s="24">
        <v>2003</v>
      </c>
      <c r="F2192" s="22" t="s">
        <v>5906</v>
      </c>
      <c r="G2192" s="23" t="s">
        <v>5907</v>
      </c>
      <c r="H2192" s="25" t="s">
        <v>15373</v>
      </c>
      <c r="I2192" s="22" t="s">
        <v>15374</v>
      </c>
      <c r="J2192" s="22" t="s">
        <v>15400</v>
      </c>
      <c r="K2192" s="26">
        <f t="shared" si="34"/>
        <v>1435.3333333333333</v>
      </c>
      <c r="N2192" s="26">
        <v>2153</v>
      </c>
      <c r="O2192" s="22" t="s">
        <v>5908</v>
      </c>
      <c r="P2192" s="22" t="s">
        <v>7753</v>
      </c>
      <c r="Q2192" s="22">
        <v>90015</v>
      </c>
      <c r="R2192" s="22" t="s">
        <v>5909</v>
      </c>
      <c r="S2192" s="22" t="s">
        <v>5910</v>
      </c>
      <c r="X2192" s="26"/>
      <c r="Y2192" s="26"/>
    </row>
    <row r="2193" spans="1:25" ht="37.5" x14ac:dyDescent="0.25">
      <c r="A2193" s="21">
        <v>10380</v>
      </c>
      <c r="B2193" s="22" t="s">
        <v>15368</v>
      </c>
      <c r="C2193" s="22" t="s">
        <v>5905</v>
      </c>
      <c r="D2193" s="23">
        <v>416330</v>
      </c>
      <c r="E2193" s="24">
        <v>2003</v>
      </c>
      <c r="F2193" s="22" t="s">
        <v>5911</v>
      </c>
      <c r="G2193" s="23" t="s">
        <v>5907</v>
      </c>
      <c r="H2193" s="25" t="s">
        <v>15373</v>
      </c>
      <c r="I2193" s="22" t="s">
        <v>15374</v>
      </c>
      <c r="J2193" s="22" t="s">
        <v>15400</v>
      </c>
      <c r="K2193" s="26">
        <f t="shared" si="34"/>
        <v>1435.3333333333333</v>
      </c>
      <c r="N2193" s="26">
        <v>2153</v>
      </c>
      <c r="O2193" s="22" t="s">
        <v>5908</v>
      </c>
      <c r="P2193" s="22" t="s">
        <v>7753</v>
      </c>
      <c r="Q2193" s="22">
        <v>90015</v>
      </c>
      <c r="R2193" s="22" t="s">
        <v>5909</v>
      </c>
      <c r="S2193" s="22" t="s">
        <v>5910</v>
      </c>
      <c r="X2193" s="26"/>
      <c r="Y2193" s="26"/>
    </row>
    <row r="2194" spans="1:25" ht="50" x14ac:dyDescent="0.25">
      <c r="A2194" s="21">
        <v>10381</v>
      </c>
      <c r="B2194" s="22" t="s">
        <v>15368</v>
      </c>
      <c r="C2194" s="22" t="s">
        <v>5912</v>
      </c>
      <c r="D2194" s="23">
        <v>416786</v>
      </c>
      <c r="E2194" s="24">
        <v>2003</v>
      </c>
      <c r="F2194" s="22" t="s">
        <v>5913</v>
      </c>
      <c r="G2194" s="23" t="s">
        <v>5914</v>
      </c>
      <c r="H2194" s="25" t="s">
        <v>15373</v>
      </c>
      <c r="I2194" s="22" t="s">
        <v>6101</v>
      </c>
      <c r="J2194" s="22" t="s">
        <v>14983</v>
      </c>
      <c r="K2194" s="26">
        <f t="shared" si="34"/>
        <v>456.66666666666663</v>
      </c>
      <c r="N2194" s="26">
        <v>685</v>
      </c>
      <c r="O2194" s="22" t="s">
        <v>5915</v>
      </c>
      <c r="P2194" s="22" t="s">
        <v>5916</v>
      </c>
      <c r="Q2194" s="22">
        <v>92336</v>
      </c>
      <c r="R2194" s="22" t="s">
        <v>5917</v>
      </c>
      <c r="S2194" s="22" t="s">
        <v>5918</v>
      </c>
      <c r="X2194" s="26"/>
      <c r="Y2194" s="26"/>
    </row>
    <row r="2195" spans="1:25" ht="50" x14ac:dyDescent="0.25">
      <c r="A2195" s="21">
        <v>10382</v>
      </c>
      <c r="B2195" s="22" t="s">
        <v>15368</v>
      </c>
      <c r="C2195" s="22" t="s">
        <v>5919</v>
      </c>
      <c r="D2195" s="23">
        <v>416143</v>
      </c>
      <c r="E2195" s="24">
        <v>2003</v>
      </c>
      <c r="F2195" s="22" t="s">
        <v>5920</v>
      </c>
      <c r="G2195" s="23" t="s">
        <v>5921</v>
      </c>
      <c r="H2195" s="25" t="s">
        <v>15373</v>
      </c>
      <c r="I2195" s="22" t="s">
        <v>15374</v>
      </c>
      <c r="J2195" s="22" t="s">
        <v>12893</v>
      </c>
      <c r="K2195" s="26">
        <f t="shared" si="34"/>
        <v>2000</v>
      </c>
      <c r="L2195" s="26">
        <v>2000</v>
      </c>
      <c r="O2195" s="22" t="s">
        <v>5922</v>
      </c>
      <c r="P2195" s="22" t="s">
        <v>7753</v>
      </c>
      <c r="Q2195" s="22">
        <v>90014</v>
      </c>
      <c r="R2195" s="22" t="s">
        <v>5923</v>
      </c>
      <c r="S2195" s="22" t="s">
        <v>5924</v>
      </c>
      <c r="X2195" s="26"/>
      <c r="Y2195" s="26"/>
    </row>
    <row r="2196" spans="1:25" ht="50" x14ac:dyDescent="0.25">
      <c r="A2196" s="21">
        <v>10383</v>
      </c>
      <c r="B2196" s="22" t="s">
        <v>15368</v>
      </c>
      <c r="C2196" s="22" t="s">
        <v>5919</v>
      </c>
      <c r="D2196" s="23">
        <v>417688</v>
      </c>
      <c r="E2196" s="24">
        <v>2003</v>
      </c>
      <c r="F2196" s="22" t="s">
        <v>5925</v>
      </c>
      <c r="G2196" s="23" t="s">
        <v>5926</v>
      </c>
      <c r="H2196" s="25" t="s">
        <v>15373</v>
      </c>
      <c r="I2196" s="22" t="s">
        <v>15374</v>
      </c>
      <c r="J2196" s="22" t="s">
        <v>12893</v>
      </c>
      <c r="K2196" s="26">
        <f t="shared" si="34"/>
        <v>2000</v>
      </c>
      <c r="L2196" s="26">
        <v>2000</v>
      </c>
      <c r="O2196" s="22" t="s">
        <v>5922</v>
      </c>
      <c r="P2196" s="22" t="s">
        <v>7753</v>
      </c>
      <c r="Q2196" s="22">
        <v>90014</v>
      </c>
      <c r="R2196" s="22" t="s">
        <v>5923</v>
      </c>
      <c r="S2196" s="22" t="s">
        <v>5924</v>
      </c>
      <c r="X2196" s="26"/>
      <c r="Y2196" s="26"/>
    </row>
    <row r="2197" spans="1:25" ht="50" x14ac:dyDescent="0.25">
      <c r="A2197" s="21">
        <v>10384</v>
      </c>
      <c r="B2197" s="22" t="s">
        <v>15368</v>
      </c>
      <c r="C2197" s="22" t="s">
        <v>5919</v>
      </c>
      <c r="D2197" s="23">
        <v>417687</v>
      </c>
      <c r="E2197" s="24">
        <v>2003</v>
      </c>
      <c r="F2197" s="22" t="s">
        <v>5927</v>
      </c>
      <c r="G2197" s="23" t="s">
        <v>5928</v>
      </c>
      <c r="H2197" s="25" t="s">
        <v>15373</v>
      </c>
      <c r="I2197" s="22" t="s">
        <v>15374</v>
      </c>
      <c r="J2197" s="22" t="s">
        <v>12893</v>
      </c>
      <c r="K2197" s="26">
        <f t="shared" si="34"/>
        <v>2000</v>
      </c>
      <c r="L2197" s="26">
        <v>2000</v>
      </c>
      <c r="O2197" s="22" t="s">
        <v>5922</v>
      </c>
      <c r="P2197" s="22" t="s">
        <v>7753</v>
      </c>
      <c r="Q2197" s="22">
        <v>90014</v>
      </c>
      <c r="R2197" s="22" t="s">
        <v>5923</v>
      </c>
      <c r="S2197" s="22" t="s">
        <v>5924</v>
      </c>
      <c r="X2197" s="26"/>
      <c r="Y2197" s="26"/>
    </row>
    <row r="2198" spans="1:25" ht="50" x14ac:dyDescent="0.25">
      <c r="A2198" s="21">
        <v>10385</v>
      </c>
      <c r="B2198" s="22" t="s">
        <v>15368</v>
      </c>
      <c r="C2198" s="22" t="s">
        <v>5929</v>
      </c>
      <c r="D2198" s="23">
        <v>420072</v>
      </c>
      <c r="E2198" s="24">
        <v>2003</v>
      </c>
      <c r="F2198" s="22" t="s">
        <v>5930</v>
      </c>
      <c r="G2198" s="23" t="s">
        <v>5931</v>
      </c>
      <c r="H2198" s="25" t="s">
        <v>15373</v>
      </c>
      <c r="I2198" s="22" t="s">
        <v>15374</v>
      </c>
      <c r="J2198" s="22" t="s">
        <v>12893</v>
      </c>
      <c r="K2198" s="26">
        <f t="shared" si="34"/>
        <v>2000</v>
      </c>
      <c r="L2198" s="26">
        <v>2000</v>
      </c>
      <c r="O2198" s="22" t="s">
        <v>5932</v>
      </c>
      <c r="P2198" s="22" t="s">
        <v>7781</v>
      </c>
      <c r="Q2198" s="22">
        <v>90245</v>
      </c>
      <c r="R2198" s="22" t="s">
        <v>5933</v>
      </c>
      <c r="S2198" s="22" t="s">
        <v>5934</v>
      </c>
      <c r="X2198" s="26"/>
      <c r="Y2198" s="26"/>
    </row>
    <row r="2199" spans="1:25" ht="50" x14ac:dyDescent="0.25">
      <c r="A2199" s="21">
        <v>10386</v>
      </c>
      <c r="B2199" s="22" t="s">
        <v>15368</v>
      </c>
      <c r="C2199" s="22" t="s">
        <v>5935</v>
      </c>
      <c r="D2199" s="23">
        <v>416552</v>
      </c>
      <c r="E2199" s="24">
        <v>2003</v>
      </c>
      <c r="F2199" s="22" t="s">
        <v>5936</v>
      </c>
      <c r="G2199" s="23" t="s">
        <v>5937</v>
      </c>
      <c r="H2199" s="25" t="s">
        <v>15373</v>
      </c>
      <c r="I2199" s="22" t="s">
        <v>14275</v>
      </c>
      <c r="J2199" s="22" t="s">
        <v>11722</v>
      </c>
      <c r="K2199" s="26">
        <f t="shared" si="34"/>
        <v>504.66666666666663</v>
      </c>
      <c r="N2199" s="26">
        <v>757</v>
      </c>
      <c r="O2199" s="22" t="s">
        <v>5938</v>
      </c>
      <c r="P2199" s="22" t="s">
        <v>5939</v>
      </c>
      <c r="Q2199" s="22">
        <v>91304</v>
      </c>
      <c r="R2199" s="22" t="s">
        <v>5940</v>
      </c>
      <c r="S2199" s="22" t="s">
        <v>5941</v>
      </c>
      <c r="X2199" s="26"/>
      <c r="Y2199" s="26"/>
    </row>
    <row r="2200" spans="1:25" ht="37.5" x14ac:dyDescent="0.25">
      <c r="A2200" s="21">
        <v>10387</v>
      </c>
      <c r="B2200" s="22" t="s">
        <v>15368</v>
      </c>
      <c r="C2200" s="22" t="s">
        <v>5935</v>
      </c>
      <c r="D2200" s="23">
        <v>407063</v>
      </c>
      <c r="E2200" s="24">
        <v>2003</v>
      </c>
      <c r="F2200" s="22" t="s">
        <v>5942</v>
      </c>
      <c r="G2200" s="23" t="s">
        <v>5943</v>
      </c>
      <c r="H2200" s="25" t="s">
        <v>15373</v>
      </c>
      <c r="I2200" s="22" t="s">
        <v>15374</v>
      </c>
      <c r="J2200" s="22" t="s">
        <v>15420</v>
      </c>
      <c r="K2200" s="26">
        <f t="shared" si="34"/>
        <v>1200.6666666666665</v>
      </c>
      <c r="N2200" s="26">
        <v>1801</v>
      </c>
      <c r="O2200" s="22" t="s">
        <v>5944</v>
      </c>
      <c r="P2200" s="22" t="s">
        <v>5945</v>
      </c>
      <c r="Q2200" s="22">
        <v>90740</v>
      </c>
      <c r="R2200" s="22" t="s">
        <v>5946</v>
      </c>
      <c r="S2200" s="22" t="s">
        <v>5947</v>
      </c>
      <c r="X2200" s="26"/>
      <c r="Y2200" s="26"/>
    </row>
    <row r="2201" spans="1:25" ht="37.5" x14ac:dyDescent="0.25">
      <c r="A2201" s="21">
        <v>10388</v>
      </c>
      <c r="B2201" s="22" t="s">
        <v>15368</v>
      </c>
      <c r="C2201" s="22" t="s">
        <v>5935</v>
      </c>
      <c r="D2201" s="23">
        <v>408627</v>
      </c>
      <c r="E2201" s="24">
        <v>2003</v>
      </c>
      <c r="F2201" s="22" t="s">
        <v>5948</v>
      </c>
      <c r="G2201" s="23" t="s">
        <v>5949</v>
      </c>
      <c r="H2201" s="25" t="s">
        <v>15373</v>
      </c>
      <c r="I2201" s="22" t="s">
        <v>15374</v>
      </c>
      <c r="J2201" s="22" t="s">
        <v>10095</v>
      </c>
      <c r="K2201" s="26">
        <f t="shared" si="34"/>
        <v>446.66666666666663</v>
      </c>
      <c r="N2201" s="26">
        <v>670</v>
      </c>
      <c r="O2201" s="22" t="s">
        <v>5944</v>
      </c>
      <c r="P2201" s="22" t="s">
        <v>5945</v>
      </c>
      <c r="Q2201" s="22">
        <v>90740</v>
      </c>
      <c r="R2201" s="22" t="s">
        <v>5946</v>
      </c>
      <c r="S2201" s="22" t="s">
        <v>5947</v>
      </c>
      <c r="X2201" s="26"/>
      <c r="Y2201" s="26"/>
    </row>
    <row r="2202" spans="1:25" ht="37.5" x14ac:dyDescent="0.25">
      <c r="A2202" s="21">
        <v>10389</v>
      </c>
      <c r="B2202" s="22" t="s">
        <v>15368</v>
      </c>
      <c r="C2202" s="22" t="s">
        <v>5935</v>
      </c>
      <c r="D2202" s="23">
        <v>408628</v>
      </c>
      <c r="E2202" s="24">
        <v>2003</v>
      </c>
      <c r="F2202" s="22" t="s">
        <v>5950</v>
      </c>
      <c r="G2202" s="23" t="s">
        <v>5951</v>
      </c>
      <c r="H2202" s="25" t="s">
        <v>15373</v>
      </c>
      <c r="I2202" s="22" t="s">
        <v>15374</v>
      </c>
      <c r="J2202" s="22" t="s">
        <v>15460</v>
      </c>
      <c r="K2202" s="26">
        <f t="shared" si="34"/>
        <v>873.33333333333326</v>
      </c>
      <c r="N2202" s="26">
        <v>1310</v>
      </c>
      <c r="O2202" s="22" t="s">
        <v>5944</v>
      </c>
      <c r="P2202" s="22" t="s">
        <v>5945</v>
      </c>
      <c r="Q2202" s="22">
        <v>90740</v>
      </c>
      <c r="R2202" s="22" t="s">
        <v>5946</v>
      </c>
      <c r="S2202" s="22" t="s">
        <v>5947</v>
      </c>
      <c r="X2202" s="26"/>
      <c r="Y2202" s="26"/>
    </row>
    <row r="2203" spans="1:25" ht="37.5" x14ac:dyDescent="0.25">
      <c r="A2203" s="21">
        <v>10390</v>
      </c>
      <c r="B2203" s="22" t="s">
        <v>15368</v>
      </c>
      <c r="C2203" s="22" t="s">
        <v>5935</v>
      </c>
      <c r="D2203" s="23">
        <v>408629</v>
      </c>
      <c r="E2203" s="24">
        <v>2003</v>
      </c>
      <c r="F2203" s="22" t="s">
        <v>5952</v>
      </c>
      <c r="G2203" s="23" t="s">
        <v>5951</v>
      </c>
      <c r="H2203" s="25" t="s">
        <v>15373</v>
      </c>
      <c r="I2203" s="22" t="s">
        <v>15374</v>
      </c>
      <c r="J2203" s="22" t="s">
        <v>15460</v>
      </c>
      <c r="K2203" s="26">
        <f t="shared" si="34"/>
        <v>873.33333333333326</v>
      </c>
      <c r="N2203" s="26">
        <v>1310</v>
      </c>
      <c r="O2203" s="22" t="s">
        <v>5944</v>
      </c>
      <c r="P2203" s="22" t="s">
        <v>5945</v>
      </c>
      <c r="Q2203" s="22">
        <v>90740</v>
      </c>
      <c r="R2203" s="22" t="s">
        <v>5946</v>
      </c>
      <c r="S2203" s="22" t="s">
        <v>5947</v>
      </c>
      <c r="X2203" s="26"/>
      <c r="Y2203" s="26"/>
    </row>
    <row r="2204" spans="1:25" ht="37.5" x14ac:dyDescent="0.25">
      <c r="A2204" s="21">
        <v>10391</v>
      </c>
      <c r="B2204" s="22" t="s">
        <v>15368</v>
      </c>
      <c r="C2204" s="22" t="s">
        <v>5935</v>
      </c>
      <c r="D2204" s="23">
        <v>408630</v>
      </c>
      <c r="E2204" s="24">
        <v>2003</v>
      </c>
      <c r="F2204" s="22" t="s">
        <v>5953</v>
      </c>
      <c r="G2204" s="23" t="s">
        <v>5951</v>
      </c>
      <c r="H2204" s="25" t="s">
        <v>15373</v>
      </c>
      <c r="I2204" s="22" t="s">
        <v>15374</v>
      </c>
      <c r="J2204" s="22" t="s">
        <v>15460</v>
      </c>
      <c r="K2204" s="26">
        <f t="shared" si="34"/>
        <v>873.33333333333326</v>
      </c>
      <c r="N2204" s="26">
        <v>1310</v>
      </c>
      <c r="O2204" s="22" t="s">
        <v>5944</v>
      </c>
      <c r="P2204" s="22" t="s">
        <v>5945</v>
      </c>
      <c r="Q2204" s="22">
        <v>90740</v>
      </c>
      <c r="R2204" s="22" t="s">
        <v>5946</v>
      </c>
      <c r="S2204" s="22" t="s">
        <v>5947</v>
      </c>
      <c r="X2204" s="26"/>
      <c r="Y2204" s="26"/>
    </row>
    <row r="2205" spans="1:25" ht="37.5" x14ac:dyDescent="0.25">
      <c r="A2205" s="21">
        <v>10392</v>
      </c>
      <c r="B2205" s="22" t="s">
        <v>15368</v>
      </c>
      <c r="C2205" s="22" t="s">
        <v>5935</v>
      </c>
      <c r="D2205" s="23">
        <v>408631</v>
      </c>
      <c r="E2205" s="24">
        <v>2003</v>
      </c>
      <c r="F2205" s="22" t="s">
        <v>5954</v>
      </c>
      <c r="G2205" s="23" t="s">
        <v>5951</v>
      </c>
      <c r="H2205" s="25" t="s">
        <v>15373</v>
      </c>
      <c r="I2205" s="22" t="s">
        <v>15374</v>
      </c>
      <c r="J2205" s="22" t="s">
        <v>15460</v>
      </c>
      <c r="K2205" s="26">
        <f t="shared" si="34"/>
        <v>873.33333333333326</v>
      </c>
      <c r="N2205" s="26">
        <v>1310</v>
      </c>
      <c r="O2205" s="22" t="s">
        <v>5944</v>
      </c>
      <c r="P2205" s="22" t="s">
        <v>5945</v>
      </c>
      <c r="Q2205" s="22">
        <v>90740</v>
      </c>
      <c r="R2205" s="22" t="s">
        <v>5946</v>
      </c>
      <c r="S2205" s="22" t="s">
        <v>5947</v>
      </c>
      <c r="X2205" s="26"/>
      <c r="Y2205" s="26"/>
    </row>
    <row r="2206" spans="1:25" ht="37.5" x14ac:dyDescent="0.25">
      <c r="A2206" s="21">
        <v>10393</v>
      </c>
      <c r="B2206" s="22" t="s">
        <v>15368</v>
      </c>
      <c r="C2206" s="22" t="s">
        <v>5935</v>
      </c>
      <c r="D2206" s="23">
        <v>408632</v>
      </c>
      <c r="E2206" s="24">
        <v>2003</v>
      </c>
      <c r="F2206" s="22" t="s">
        <v>5955</v>
      </c>
      <c r="G2206" s="23" t="s">
        <v>5951</v>
      </c>
      <c r="H2206" s="25" t="s">
        <v>15373</v>
      </c>
      <c r="I2206" s="22" t="s">
        <v>15374</v>
      </c>
      <c r="J2206" s="22" t="s">
        <v>15460</v>
      </c>
      <c r="K2206" s="26">
        <f t="shared" si="34"/>
        <v>873.33333333333326</v>
      </c>
      <c r="N2206" s="26">
        <v>1310</v>
      </c>
      <c r="O2206" s="22" t="s">
        <v>5944</v>
      </c>
      <c r="P2206" s="22" t="s">
        <v>5945</v>
      </c>
      <c r="Q2206" s="22">
        <v>90740</v>
      </c>
      <c r="R2206" s="22" t="s">
        <v>5946</v>
      </c>
      <c r="S2206" s="22" t="s">
        <v>5947</v>
      </c>
      <c r="X2206" s="26"/>
      <c r="Y2206" s="26"/>
    </row>
    <row r="2207" spans="1:25" ht="37.5" x14ac:dyDescent="0.25">
      <c r="A2207" s="21">
        <v>10394</v>
      </c>
      <c r="B2207" s="22" t="s">
        <v>15368</v>
      </c>
      <c r="C2207" s="22" t="s">
        <v>5935</v>
      </c>
      <c r="D2207" s="23">
        <v>408633</v>
      </c>
      <c r="E2207" s="24">
        <v>2003</v>
      </c>
      <c r="F2207" s="22" t="s">
        <v>5956</v>
      </c>
      <c r="G2207" s="23" t="s">
        <v>5957</v>
      </c>
      <c r="H2207" s="25" t="s">
        <v>15373</v>
      </c>
      <c r="I2207" s="22" t="s">
        <v>15374</v>
      </c>
      <c r="J2207" s="22">
        <v>3512</v>
      </c>
      <c r="K2207" s="26">
        <f>L2207+M2207*(2/3)+N2207*(2/3)</f>
        <v>988</v>
      </c>
      <c r="N2207" s="26">
        <v>1482</v>
      </c>
      <c r="O2207" s="22" t="s">
        <v>5944</v>
      </c>
      <c r="P2207" s="22" t="s">
        <v>5945</v>
      </c>
      <c r="Q2207" s="22">
        <v>90740</v>
      </c>
      <c r="R2207" s="22" t="s">
        <v>5946</v>
      </c>
      <c r="S2207" s="22" t="s">
        <v>5947</v>
      </c>
      <c r="X2207" s="26"/>
      <c r="Y2207" s="26"/>
    </row>
    <row r="2208" spans="1:25" ht="37.5" x14ac:dyDescent="0.25">
      <c r="A2208" s="21">
        <v>10395</v>
      </c>
      <c r="B2208" s="22" t="s">
        <v>15368</v>
      </c>
      <c r="C2208" s="22" t="s">
        <v>5935</v>
      </c>
      <c r="D2208" s="23">
        <v>408634</v>
      </c>
      <c r="E2208" s="24">
        <v>2003</v>
      </c>
      <c r="F2208" s="22" t="s">
        <v>5958</v>
      </c>
      <c r="G2208" s="23" t="s">
        <v>5957</v>
      </c>
      <c r="H2208" s="25" t="s">
        <v>15373</v>
      </c>
      <c r="I2208" s="22" t="s">
        <v>15374</v>
      </c>
      <c r="J2208" s="22">
        <v>3512</v>
      </c>
      <c r="K2208" s="26">
        <f>L2208+M2208*(2/3)+N2208*(2/3)</f>
        <v>988</v>
      </c>
      <c r="N2208" s="26">
        <v>1482</v>
      </c>
      <c r="O2208" s="22" t="s">
        <v>5944</v>
      </c>
      <c r="P2208" s="22" t="s">
        <v>5945</v>
      </c>
      <c r="Q2208" s="22">
        <v>90740</v>
      </c>
      <c r="R2208" s="22" t="s">
        <v>5946</v>
      </c>
      <c r="S2208" s="22" t="s">
        <v>5947</v>
      </c>
      <c r="X2208" s="26"/>
      <c r="Y2208" s="26"/>
    </row>
    <row r="2209" spans="1:25" ht="37.5" x14ac:dyDescent="0.25">
      <c r="A2209" s="21">
        <v>10396</v>
      </c>
      <c r="B2209" s="22" t="s">
        <v>15368</v>
      </c>
      <c r="C2209" s="22" t="s">
        <v>5935</v>
      </c>
      <c r="D2209" s="23">
        <v>408635</v>
      </c>
      <c r="E2209" s="24">
        <v>2003</v>
      </c>
      <c r="F2209" s="22" t="s">
        <v>5959</v>
      </c>
      <c r="G2209" s="23" t="s">
        <v>5957</v>
      </c>
      <c r="H2209" s="25" t="s">
        <v>15373</v>
      </c>
      <c r="I2209" s="22" t="s">
        <v>15374</v>
      </c>
      <c r="J2209" s="22">
        <v>3512</v>
      </c>
      <c r="K2209" s="26">
        <f t="shared" si="34"/>
        <v>988</v>
      </c>
      <c r="N2209" s="26">
        <v>1482</v>
      </c>
      <c r="O2209" s="22" t="s">
        <v>5944</v>
      </c>
      <c r="P2209" s="22" t="s">
        <v>5945</v>
      </c>
      <c r="Q2209" s="22">
        <v>90740</v>
      </c>
      <c r="R2209" s="22" t="s">
        <v>5946</v>
      </c>
      <c r="S2209" s="22" t="s">
        <v>5947</v>
      </c>
      <c r="X2209" s="26"/>
      <c r="Y2209" s="26"/>
    </row>
    <row r="2210" spans="1:25" ht="37.5" x14ac:dyDescent="0.25">
      <c r="A2210" s="21">
        <v>10397</v>
      </c>
      <c r="B2210" s="22" t="s">
        <v>15368</v>
      </c>
      <c r="C2210" s="22" t="s">
        <v>5935</v>
      </c>
      <c r="D2210" s="23">
        <v>408636</v>
      </c>
      <c r="E2210" s="24">
        <v>2003</v>
      </c>
      <c r="F2210" s="22" t="s">
        <v>5960</v>
      </c>
      <c r="G2210" s="23" t="s">
        <v>5961</v>
      </c>
      <c r="H2210" s="25" t="s">
        <v>15373</v>
      </c>
      <c r="I2210" s="22" t="s">
        <v>15374</v>
      </c>
      <c r="J2210" s="22" t="s">
        <v>9791</v>
      </c>
      <c r="K2210" s="26">
        <f>L2210+M2210*(2/3)+N2210*(2/3)</f>
        <v>533.33333333333326</v>
      </c>
      <c r="N2210" s="26">
        <v>800</v>
      </c>
      <c r="O2210" s="22" t="s">
        <v>5944</v>
      </c>
      <c r="P2210" s="22" t="s">
        <v>5945</v>
      </c>
      <c r="Q2210" s="22">
        <v>90740</v>
      </c>
      <c r="R2210" s="22" t="s">
        <v>5946</v>
      </c>
      <c r="S2210" s="22" t="s">
        <v>5947</v>
      </c>
      <c r="X2210" s="26"/>
      <c r="Y2210" s="26"/>
    </row>
    <row r="2211" spans="1:25" ht="50" x14ac:dyDescent="0.25">
      <c r="A2211" s="21">
        <v>10398</v>
      </c>
      <c r="B2211" s="22" t="s">
        <v>15368</v>
      </c>
      <c r="C2211" s="22" t="s">
        <v>5962</v>
      </c>
      <c r="D2211" s="23">
        <v>413802</v>
      </c>
      <c r="E2211" s="24">
        <v>2003</v>
      </c>
      <c r="F2211" s="22" t="s">
        <v>5963</v>
      </c>
      <c r="G2211" s="23" t="s">
        <v>5964</v>
      </c>
      <c r="H2211" s="25" t="s">
        <v>15373</v>
      </c>
      <c r="I2211" s="22" t="s">
        <v>15411</v>
      </c>
      <c r="J2211" s="22" t="s">
        <v>15744</v>
      </c>
      <c r="K2211" s="26">
        <f>L2211+M2211*(2/3)+N2211*(2/3)</f>
        <v>821.33333333333326</v>
      </c>
      <c r="N2211" s="26">
        <v>1232</v>
      </c>
      <c r="O2211" s="22" t="s">
        <v>5965</v>
      </c>
      <c r="P2211" s="22" t="s">
        <v>7753</v>
      </c>
      <c r="Q2211" s="22">
        <v>90012</v>
      </c>
      <c r="R2211" s="22" t="s">
        <v>5966</v>
      </c>
      <c r="S2211" s="22" t="s">
        <v>5967</v>
      </c>
      <c r="X2211" s="26"/>
      <c r="Y2211" s="26"/>
    </row>
    <row r="2212" spans="1:25" ht="50" x14ac:dyDescent="0.25">
      <c r="A2212" s="21">
        <v>10399</v>
      </c>
      <c r="B2212" s="22" t="s">
        <v>15368</v>
      </c>
      <c r="C2212" s="22" t="s">
        <v>5968</v>
      </c>
      <c r="D2212" s="23">
        <v>406806</v>
      </c>
      <c r="E2212" s="24">
        <v>2003</v>
      </c>
      <c r="F2212" s="22" t="s">
        <v>5969</v>
      </c>
      <c r="G2212" s="23" t="s">
        <v>5970</v>
      </c>
      <c r="H2212" s="25" t="s">
        <v>15373</v>
      </c>
      <c r="I2212" s="22" t="s">
        <v>15374</v>
      </c>
      <c r="J2212" s="22" t="s">
        <v>15400</v>
      </c>
      <c r="K2212" s="26">
        <f>L2212+M2212*(2/3)+N2212*(2/3)</f>
        <v>1350</v>
      </c>
      <c r="N2212" s="26">
        <v>2025</v>
      </c>
      <c r="O2212" s="22" t="s">
        <v>5971</v>
      </c>
      <c r="P2212" s="22" t="s">
        <v>7788</v>
      </c>
      <c r="Q2212" s="22">
        <v>91521</v>
      </c>
      <c r="R2212" s="22" t="s">
        <v>5972</v>
      </c>
      <c r="S2212" s="22" t="s">
        <v>5973</v>
      </c>
      <c r="X2212" s="26"/>
      <c r="Y2212" s="26"/>
    </row>
    <row r="2213" spans="1:25" ht="37.5" x14ac:dyDescent="0.25">
      <c r="A2213" s="21">
        <v>10400</v>
      </c>
      <c r="B2213" s="22" t="s">
        <v>15368</v>
      </c>
      <c r="C2213" s="22" t="s">
        <v>5974</v>
      </c>
      <c r="D2213" s="23">
        <v>414085</v>
      </c>
      <c r="E2213" s="24">
        <v>2003</v>
      </c>
      <c r="F2213" s="22" t="s">
        <v>5975</v>
      </c>
      <c r="G2213" s="23" t="s">
        <v>5976</v>
      </c>
      <c r="H2213" s="25" t="s">
        <v>15373</v>
      </c>
      <c r="I2213" s="22" t="s">
        <v>6101</v>
      </c>
      <c r="J2213" s="22" t="s">
        <v>16861</v>
      </c>
      <c r="K2213" s="26">
        <f t="shared" si="34"/>
        <v>413.33333333333331</v>
      </c>
      <c r="N2213" s="26">
        <v>620</v>
      </c>
      <c r="O2213" s="22" t="s">
        <v>5977</v>
      </c>
      <c r="P2213" s="22" t="s">
        <v>7760</v>
      </c>
      <c r="Q2213" s="22">
        <v>91101</v>
      </c>
      <c r="R2213" s="22" t="s">
        <v>5978</v>
      </c>
      <c r="S2213" s="22" t="s">
        <v>5979</v>
      </c>
      <c r="X2213" s="26"/>
      <c r="Y2213" s="26"/>
    </row>
    <row r="2214" spans="1:25" ht="37.5" x14ac:dyDescent="0.25">
      <c r="A2214" s="21">
        <v>10401</v>
      </c>
      <c r="B2214" s="22" t="s">
        <v>15368</v>
      </c>
      <c r="C2214" s="22" t="s">
        <v>5980</v>
      </c>
      <c r="D2214" s="23">
        <v>413697</v>
      </c>
      <c r="E2214" s="24">
        <v>2003</v>
      </c>
      <c r="F2214" s="22" t="s">
        <v>5981</v>
      </c>
      <c r="G2214" s="23" t="s">
        <v>5982</v>
      </c>
      <c r="H2214" s="25" t="s">
        <v>15373</v>
      </c>
      <c r="I2214" s="22" t="s">
        <v>15374</v>
      </c>
      <c r="J2214" s="22" t="s">
        <v>16360</v>
      </c>
      <c r="K2214" s="26">
        <f t="shared" si="34"/>
        <v>1034.6666666666665</v>
      </c>
      <c r="N2214" s="26">
        <v>1552</v>
      </c>
      <c r="O2214" s="22" t="s">
        <v>5983</v>
      </c>
      <c r="P2214" s="22" t="s">
        <v>7753</v>
      </c>
      <c r="Q2214" s="22">
        <v>90071</v>
      </c>
      <c r="R2214" s="22" t="s">
        <v>5984</v>
      </c>
      <c r="S2214" s="22" t="s">
        <v>5985</v>
      </c>
      <c r="X2214" s="26"/>
      <c r="Y2214" s="26"/>
    </row>
    <row r="2215" spans="1:25" ht="37.5" x14ac:dyDescent="0.25">
      <c r="A2215" s="21">
        <v>10402</v>
      </c>
      <c r="B2215" s="22" t="s">
        <v>15368</v>
      </c>
      <c r="C2215" s="22" t="s">
        <v>5980</v>
      </c>
      <c r="D2215" s="23">
        <v>413698</v>
      </c>
      <c r="E2215" s="24">
        <v>2003</v>
      </c>
      <c r="F2215" s="22" t="s">
        <v>5986</v>
      </c>
      <c r="G2215" s="23" t="s">
        <v>5987</v>
      </c>
      <c r="H2215" s="25" t="s">
        <v>15373</v>
      </c>
      <c r="I2215" s="22" t="s">
        <v>16160</v>
      </c>
      <c r="J2215" s="22" t="s">
        <v>5988</v>
      </c>
      <c r="K2215" s="26">
        <f t="shared" si="34"/>
        <v>1034.6666666666665</v>
      </c>
      <c r="N2215" s="26">
        <v>1552</v>
      </c>
      <c r="O2215" s="22" t="s">
        <v>5983</v>
      </c>
      <c r="P2215" s="22" t="s">
        <v>7753</v>
      </c>
      <c r="Q2215" s="22">
        <v>90071</v>
      </c>
      <c r="R2215" s="22" t="s">
        <v>5984</v>
      </c>
      <c r="S2215" s="22" t="s">
        <v>5985</v>
      </c>
      <c r="X2215" s="26"/>
      <c r="Y2215" s="26"/>
    </row>
    <row r="2216" spans="1:25" ht="37.5" x14ac:dyDescent="0.25">
      <c r="A2216" s="21">
        <v>10403</v>
      </c>
      <c r="B2216" s="22" t="s">
        <v>15368</v>
      </c>
      <c r="C2216" s="22" t="s">
        <v>5980</v>
      </c>
      <c r="D2216" s="23">
        <v>413699</v>
      </c>
      <c r="E2216" s="24">
        <v>2003</v>
      </c>
      <c r="F2216" s="22" t="s">
        <v>5989</v>
      </c>
      <c r="G2216" s="23" t="s">
        <v>5987</v>
      </c>
      <c r="H2216" s="25" t="s">
        <v>15373</v>
      </c>
      <c r="I2216" s="22" t="s">
        <v>16160</v>
      </c>
      <c r="J2216" s="22" t="s">
        <v>5988</v>
      </c>
      <c r="K2216" s="26">
        <f t="shared" si="34"/>
        <v>1034.6666666666665</v>
      </c>
      <c r="N2216" s="26">
        <v>1552</v>
      </c>
      <c r="O2216" s="22" t="s">
        <v>5983</v>
      </c>
      <c r="P2216" s="22" t="s">
        <v>7753</v>
      </c>
      <c r="Q2216" s="22">
        <v>90071</v>
      </c>
      <c r="R2216" s="22" t="s">
        <v>5984</v>
      </c>
      <c r="S2216" s="22" t="s">
        <v>5985</v>
      </c>
      <c r="X2216" s="26"/>
      <c r="Y2216" s="26"/>
    </row>
    <row r="2217" spans="1:25" ht="50" x14ac:dyDescent="0.25">
      <c r="A2217" s="21">
        <v>10404</v>
      </c>
      <c r="B2217" s="22" t="s">
        <v>15368</v>
      </c>
      <c r="C2217" s="22" t="s">
        <v>5990</v>
      </c>
      <c r="D2217" s="23">
        <v>415254</v>
      </c>
      <c r="E2217" s="24">
        <v>2003</v>
      </c>
      <c r="F2217" s="22" t="s">
        <v>5991</v>
      </c>
      <c r="G2217" s="23" t="s">
        <v>5992</v>
      </c>
      <c r="H2217" s="25" t="s">
        <v>15373</v>
      </c>
      <c r="I2217" s="22" t="s">
        <v>15374</v>
      </c>
      <c r="J2217" s="22" t="s">
        <v>15701</v>
      </c>
      <c r="K2217" s="26">
        <f t="shared" si="34"/>
        <v>400</v>
      </c>
      <c r="L2217" s="26">
        <v>400</v>
      </c>
      <c r="O2217" s="22" t="s">
        <v>5993</v>
      </c>
      <c r="P2217" s="22" t="s">
        <v>7134</v>
      </c>
      <c r="Q2217" s="22">
        <v>90277</v>
      </c>
      <c r="R2217" s="22" t="s">
        <v>5994</v>
      </c>
      <c r="S2217" s="22" t="s">
        <v>5995</v>
      </c>
      <c r="X2217" s="26"/>
      <c r="Y2217" s="26"/>
    </row>
    <row r="2218" spans="1:25" ht="37.5" x14ac:dyDescent="0.25">
      <c r="A2218" s="21">
        <v>10405</v>
      </c>
      <c r="B2218" s="22" t="s">
        <v>15368</v>
      </c>
      <c r="C2218" s="22" t="s">
        <v>5996</v>
      </c>
      <c r="D2218" s="23">
        <v>268195</v>
      </c>
      <c r="E2218" s="24">
        <v>2003</v>
      </c>
      <c r="F2218" s="22" t="s">
        <v>10765</v>
      </c>
      <c r="G2218" s="23" t="s">
        <v>5997</v>
      </c>
      <c r="H2218" s="25" t="s">
        <v>15373</v>
      </c>
      <c r="I2218" s="22" t="s">
        <v>15411</v>
      </c>
      <c r="J2218" s="22" t="s">
        <v>10767</v>
      </c>
      <c r="K2218" s="26">
        <f>L2218+M2218*(2/3)+N2218*(2/3)</f>
        <v>360</v>
      </c>
      <c r="N2218" s="26">
        <v>540</v>
      </c>
      <c r="O2218" s="22" t="s">
        <v>5998</v>
      </c>
      <c r="P2218" s="22" t="s">
        <v>11271</v>
      </c>
      <c r="Q2218" s="22">
        <v>92553</v>
      </c>
      <c r="R2218" s="22" t="s">
        <v>5999</v>
      </c>
      <c r="S2218" s="22" t="s">
        <v>6000</v>
      </c>
      <c r="X2218" s="26"/>
      <c r="Y2218" s="26"/>
    </row>
    <row r="2219" spans="1:25" ht="37.5" x14ac:dyDescent="0.25">
      <c r="A2219" s="21">
        <v>10406</v>
      </c>
      <c r="B2219" s="22" t="s">
        <v>15368</v>
      </c>
      <c r="C2219" s="22" t="s">
        <v>5996</v>
      </c>
      <c r="D2219" s="23">
        <v>268197</v>
      </c>
      <c r="E2219" s="24">
        <v>2003</v>
      </c>
      <c r="F2219" s="22" t="s">
        <v>10771</v>
      </c>
      <c r="G2219" s="23" t="s">
        <v>5997</v>
      </c>
      <c r="H2219" s="25" t="s">
        <v>15373</v>
      </c>
      <c r="I2219" s="22" t="s">
        <v>15411</v>
      </c>
      <c r="J2219" s="22" t="s">
        <v>10767</v>
      </c>
      <c r="K2219" s="26">
        <f>L2219+M2219*(2/3)+N2219*(2/3)</f>
        <v>360</v>
      </c>
      <c r="N2219" s="26">
        <v>540</v>
      </c>
      <c r="O2219" s="22" t="s">
        <v>5998</v>
      </c>
      <c r="P2219" s="22" t="s">
        <v>11271</v>
      </c>
      <c r="Q2219" s="22">
        <v>92553</v>
      </c>
      <c r="R2219" s="22" t="s">
        <v>5999</v>
      </c>
      <c r="S2219" s="22" t="s">
        <v>6000</v>
      </c>
      <c r="X2219" s="26"/>
      <c r="Y2219" s="26"/>
    </row>
    <row r="2220" spans="1:25" ht="25" x14ac:dyDescent="0.25">
      <c r="A2220" s="21">
        <v>10407</v>
      </c>
      <c r="B2220" s="22" t="s">
        <v>15368</v>
      </c>
      <c r="C2220" s="22" t="s">
        <v>6001</v>
      </c>
      <c r="D2220" s="23">
        <v>404192</v>
      </c>
      <c r="E2220" s="24">
        <v>2003</v>
      </c>
      <c r="F2220" s="22" t="s">
        <v>6002</v>
      </c>
      <c r="G2220" s="23" t="s">
        <v>6003</v>
      </c>
      <c r="H2220" s="25" t="s">
        <v>15373</v>
      </c>
      <c r="I2220" s="22" t="s">
        <v>15382</v>
      </c>
      <c r="J2220" s="22" t="s">
        <v>6004</v>
      </c>
      <c r="K2220" s="26">
        <f>L2220+M2220*(2/3)+N2220*(2/3)</f>
        <v>456.66666666666663</v>
      </c>
      <c r="M2220" s="26">
        <v>685</v>
      </c>
      <c r="O2220" s="22" t="s">
        <v>6005</v>
      </c>
      <c r="P2220" s="22" t="s">
        <v>7134</v>
      </c>
      <c r="Q2220" s="22">
        <v>90278</v>
      </c>
      <c r="R2220" s="22" t="s">
        <v>6006</v>
      </c>
      <c r="S2220" s="22" t="s">
        <v>6007</v>
      </c>
      <c r="X2220" s="26"/>
      <c r="Y2220" s="26"/>
    </row>
    <row r="2221" spans="1:25" ht="37.5" x14ac:dyDescent="0.25">
      <c r="A2221" s="21">
        <v>10408</v>
      </c>
      <c r="B2221" s="22" t="s">
        <v>15368</v>
      </c>
      <c r="C2221" s="22" t="s">
        <v>6008</v>
      </c>
      <c r="D2221" s="23">
        <v>403866</v>
      </c>
      <c r="E2221" s="24">
        <v>2003</v>
      </c>
      <c r="F2221" s="22" t="s">
        <v>6009</v>
      </c>
      <c r="G2221" s="23" t="s">
        <v>6010</v>
      </c>
      <c r="H2221" s="25" t="s">
        <v>15373</v>
      </c>
      <c r="I2221" s="22" t="s">
        <v>15635</v>
      </c>
      <c r="J2221" s="22" t="s">
        <v>7794</v>
      </c>
      <c r="K2221" s="26">
        <f>L2221+M2221*(2/3)+N2221*(2/3)</f>
        <v>756.66666666666663</v>
      </c>
      <c r="N2221" s="26">
        <v>1135</v>
      </c>
      <c r="O2221" s="22" t="s">
        <v>6011</v>
      </c>
      <c r="P2221" s="22" t="s">
        <v>7753</v>
      </c>
      <c r="Q2221" s="22">
        <v>90073</v>
      </c>
      <c r="R2221" s="22" t="s">
        <v>6012</v>
      </c>
      <c r="S2221" s="22" t="s">
        <v>6013</v>
      </c>
      <c r="X2221" s="26"/>
      <c r="Y2221" s="26"/>
    </row>
    <row r="2222" spans="1:25" ht="50" x14ac:dyDescent="0.25">
      <c r="A2222" s="21">
        <v>10409</v>
      </c>
      <c r="B2222" s="22" t="s">
        <v>15368</v>
      </c>
      <c r="C2222" s="22" t="s">
        <v>6014</v>
      </c>
      <c r="D2222" s="23">
        <v>411434</v>
      </c>
      <c r="E2222" s="24">
        <v>2003</v>
      </c>
      <c r="F2222" s="22" t="s">
        <v>6015</v>
      </c>
      <c r="G2222" s="23" t="s">
        <v>6016</v>
      </c>
      <c r="H2222" s="25" t="s">
        <v>15373</v>
      </c>
      <c r="I2222" s="22" t="s">
        <v>15635</v>
      </c>
      <c r="J2222" s="22" t="s">
        <v>6017</v>
      </c>
      <c r="K2222" s="26">
        <f t="shared" si="34"/>
        <v>375.33333333333331</v>
      </c>
      <c r="N2222" s="26">
        <v>563</v>
      </c>
      <c r="O2222" s="22" t="s">
        <v>6018</v>
      </c>
      <c r="P2222" s="22" t="s">
        <v>7273</v>
      </c>
      <c r="Q2222" s="22">
        <v>91355</v>
      </c>
      <c r="R2222" s="22" t="s">
        <v>6019</v>
      </c>
      <c r="S2222" s="22" t="s">
        <v>6020</v>
      </c>
      <c r="X2222" s="26"/>
      <c r="Y2222" s="26"/>
    </row>
    <row r="2223" spans="1:25" ht="37.5" x14ac:dyDescent="0.25">
      <c r="A2223" s="21">
        <v>10410</v>
      </c>
      <c r="B2223" s="22" t="s">
        <v>15368</v>
      </c>
      <c r="C2223" s="22" t="s">
        <v>6021</v>
      </c>
      <c r="D2223" s="23">
        <v>415143</v>
      </c>
      <c r="E2223" s="24">
        <v>2003</v>
      </c>
      <c r="F2223" s="22" t="s">
        <v>6022</v>
      </c>
      <c r="G2223" s="23" t="s">
        <v>6023</v>
      </c>
      <c r="H2223" s="25" t="s">
        <v>15373</v>
      </c>
      <c r="I2223" s="22" t="s">
        <v>15374</v>
      </c>
      <c r="J2223" s="22">
        <v>3512</v>
      </c>
      <c r="K2223" s="26">
        <f t="shared" si="34"/>
        <v>1190.6666666666665</v>
      </c>
      <c r="N2223" s="26">
        <v>1786</v>
      </c>
      <c r="O2223" s="22" t="s">
        <v>6024</v>
      </c>
      <c r="P2223" s="22" t="s">
        <v>7753</v>
      </c>
      <c r="Q2223" s="22">
        <v>90071</v>
      </c>
      <c r="R2223" s="22" t="s">
        <v>6025</v>
      </c>
      <c r="S2223" s="22" t="s">
        <v>6026</v>
      </c>
      <c r="X2223" s="26"/>
      <c r="Y2223" s="26"/>
    </row>
    <row r="2224" spans="1:25" ht="37.5" x14ac:dyDescent="0.25">
      <c r="A2224" s="21">
        <v>10411</v>
      </c>
      <c r="B2224" s="22" t="s">
        <v>15368</v>
      </c>
      <c r="C2224" s="22" t="s">
        <v>6027</v>
      </c>
      <c r="D2224" s="23">
        <v>414393</v>
      </c>
      <c r="E2224" s="24">
        <v>2003</v>
      </c>
      <c r="F2224" s="22" t="s">
        <v>6028</v>
      </c>
      <c r="G2224" s="23" t="s">
        <v>6029</v>
      </c>
      <c r="H2224" s="25" t="s">
        <v>15373</v>
      </c>
      <c r="I2224" s="22" t="s">
        <v>15411</v>
      </c>
      <c r="J2224" s="22" t="s">
        <v>6030</v>
      </c>
      <c r="K2224" s="26">
        <f>L2224+M2224*(2/3)+N2224*(2/3)</f>
        <v>746.66666666666663</v>
      </c>
      <c r="N2224" s="26">
        <v>1120</v>
      </c>
      <c r="O2224" s="22" t="s">
        <v>6031</v>
      </c>
      <c r="P2224" s="22" t="s">
        <v>6032</v>
      </c>
      <c r="Q2224" s="22">
        <v>91608</v>
      </c>
      <c r="R2224" s="22" t="s">
        <v>6033</v>
      </c>
      <c r="S2224" s="22" t="s">
        <v>6034</v>
      </c>
      <c r="X2224" s="26"/>
      <c r="Y2224" s="26"/>
    </row>
    <row r="2225" spans="1:25" ht="37.5" x14ac:dyDescent="0.25">
      <c r="A2225" s="21">
        <v>10412</v>
      </c>
      <c r="B2225" s="22" t="s">
        <v>15368</v>
      </c>
      <c r="C2225" s="22" t="s">
        <v>6892</v>
      </c>
      <c r="D2225" s="23">
        <v>408454</v>
      </c>
      <c r="E2225" s="24">
        <v>2003</v>
      </c>
      <c r="F2225" s="22" t="s">
        <v>6035</v>
      </c>
      <c r="G2225" s="23" t="s">
        <v>6036</v>
      </c>
      <c r="H2225" s="25" t="s">
        <v>15373</v>
      </c>
      <c r="I2225" s="22" t="s">
        <v>15374</v>
      </c>
      <c r="J2225" s="22" t="s">
        <v>12893</v>
      </c>
      <c r="K2225" s="26">
        <f t="shared" si="34"/>
        <v>1898</v>
      </c>
      <c r="N2225" s="26">
        <v>2847</v>
      </c>
      <c r="O2225" s="22" t="s">
        <v>6895</v>
      </c>
      <c r="P2225" s="22" t="s">
        <v>7753</v>
      </c>
      <c r="Q2225" s="22">
        <v>90024</v>
      </c>
      <c r="R2225" s="22" t="s">
        <v>6896</v>
      </c>
      <c r="S2225" s="22" t="s">
        <v>6897</v>
      </c>
      <c r="X2225" s="26"/>
      <c r="Y2225" s="26"/>
    </row>
    <row r="2226" spans="1:25" ht="50" x14ac:dyDescent="0.25">
      <c r="A2226" s="21">
        <v>10413</v>
      </c>
      <c r="B2226" s="22" t="s">
        <v>15368</v>
      </c>
      <c r="C2226" s="22" t="s">
        <v>6037</v>
      </c>
      <c r="D2226" s="23">
        <v>413750</v>
      </c>
      <c r="E2226" s="24">
        <v>2003</v>
      </c>
      <c r="F2226" s="22" t="s">
        <v>6038</v>
      </c>
      <c r="G2226" s="23" t="s">
        <v>6039</v>
      </c>
      <c r="H2226" s="25" t="s">
        <v>15373</v>
      </c>
      <c r="I2226" s="22" t="s">
        <v>15374</v>
      </c>
      <c r="J2226" s="22" t="s">
        <v>15420</v>
      </c>
      <c r="K2226" s="26">
        <f t="shared" si="34"/>
        <v>1250</v>
      </c>
      <c r="L2226" s="26">
        <v>1250</v>
      </c>
      <c r="O2226" s="22" t="s">
        <v>6040</v>
      </c>
      <c r="P2226" s="22" t="s">
        <v>6857</v>
      </c>
      <c r="Q2226" s="22">
        <v>92521</v>
      </c>
      <c r="R2226" s="22" t="s">
        <v>6041</v>
      </c>
      <c r="S2226" s="22" t="s">
        <v>6042</v>
      </c>
      <c r="X2226" s="26"/>
      <c r="Y2226" s="26"/>
    </row>
    <row r="2227" spans="1:25" ht="37.5" x14ac:dyDescent="0.25">
      <c r="A2227" s="21">
        <v>10414</v>
      </c>
      <c r="B2227" s="22" t="s">
        <v>15368</v>
      </c>
      <c r="C2227" s="22" t="s">
        <v>11022</v>
      </c>
      <c r="D2227" s="23">
        <v>420481</v>
      </c>
      <c r="E2227" s="24">
        <v>2003</v>
      </c>
      <c r="F2227" s="22" t="s">
        <v>6043</v>
      </c>
      <c r="G2227" s="23" t="s">
        <v>6044</v>
      </c>
      <c r="H2227" s="25" t="s">
        <v>15373</v>
      </c>
      <c r="I2227" s="22" t="s">
        <v>15374</v>
      </c>
      <c r="J2227" s="22" t="s">
        <v>6357</v>
      </c>
      <c r="K2227" s="26">
        <f t="shared" si="34"/>
        <v>357.33333333333331</v>
      </c>
      <c r="N2227" s="26">
        <v>536</v>
      </c>
      <c r="O2227" s="22" t="s">
        <v>6045</v>
      </c>
      <c r="P2227" s="22" t="s">
        <v>7753</v>
      </c>
      <c r="Q2227" s="22">
        <v>90033</v>
      </c>
      <c r="R2227" s="22" t="s">
        <v>6046</v>
      </c>
      <c r="S2227" s="22" t="s">
        <v>6047</v>
      </c>
      <c r="X2227" s="26"/>
      <c r="Y2227" s="26"/>
    </row>
    <row r="2228" spans="1:25" ht="37.5" x14ac:dyDescent="0.25">
      <c r="A2228" s="21">
        <v>10415</v>
      </c>
      <c r="B2228" s="22" t="s">
        <v>15368</v>
      </c>
      <c r="C2228" s="22" t="s">
        <v>6048</v>
      </c>
      <c r="D2228" s="23">
        <v>408956</v>
      </c>
      <c r="E2228" s="24">
        <v>2003</v>
      </c>
      <c r="F2228" s="22" t="s">
        <v>6049</v>
      </c>
      <c r="G2228" s="23" t="s">
        <v>7527</v>
      </c>
      <c r="H2228" s="25" t="s">
        <v>15373</v>
      </c>
      <c r="I2228" s="22" t="s">
        <v>7528</v>
      </c>
      <c r="J2228" s="22" t="s">
        <v>7529</v>
      </c>
      <c r="K2228" s="26">
        <f t="shared" si="34"/>
        <v>476.66666666666663</v>
      </c>
      <c r="N2228" s="26" t="s">
        <v>7530</v>
      </c>
      <c r="O2228" s="22" t="s">
        <v>6050</v>
      </c>
      <c r="P2228" s="22" t="s">
        <v>6857</v>
      </c>
      <c r="Q2228" s="22">
        <v>92518</v>
      </c>
      <c r="R2228" s="22" t="s">
        <v>6051</v>
      </c>
      <c r="S2228" s="22" t="s">
        <v>6052</v>
      </c>
      <c r="X2228" s="26"/>
      <c r="Y2228" s="26"/>
    </row>
    <row r="2229" spans="1:25" ht="37.5" x14ac:dyDescent="0.25">
      <c r="A2229" s="21">
        <v>10416</v>
      </c>
      <c r="B2229" s="22" t="s">
        <v>15368</v>
      </c>
      <c r="C2229" s="22" t="s">
        <v>6048</v>
      </c>
      <c r="D2229" s="23">
        <v>408959</v>
      </c>
      <c r="E2229" s="24">
        <v>2003</v>
      </c>
      <c r="F2229" s="22" t="s">
        <v>6053</v>
      </c>
      <c r="G2229" s="23" t="s">
        <v>7526</v>
      </c>
      <c r="H2229" s="25" t="s">
        <v>15373</v>
      </c>
      <c r="I2229" s="22" t="s">
        <v>15374</v>
      </c>
      <c r="J2229" s="22" t="s">
        <v>15701</v>
      </c>
      <c r="K2229" s="26">
        <f t="shared" si="34"/>
        <v>391.33333333333331</v>
      </c>
      <c r="N2229" s="26" t="s">
        <v>7413</v>
      </c>
      <c r="O2229" s="22" t="s">
        <v>6050</v>
      </c>
      <c r="P2229" s="22" t="s">
        <v>6857</v>
      </c>
      <c r="Q2229" s="22">
        <v>92518</v>
      </c>
      <c r="R2229" s="22" t="s">
        <v>6051</v>
      </c>
      <c r="S2229" s="22" t="s">
        <v>6052</v>
      </c>
      <c r="X2229" s="26"/>
      <c r="Y2229" s="26"/>
    </row>
    <row r="2230" spans="1:25" ht="37.5" x14ac:dyDescent="0.25">
      <c r="A2230" s="21">
        <v>10417</v>
      </c>
      <c r="B2230" s="22" t="s">
        <v>15368</v>
      </c>
      <c r="C2230" s="22" t="s">
        <v>6054</v>
      </c>
      <c r="D2230" s="23">
        <v>420183</v>
      </c>
      <c r="E2230" s="24">
        <v>2003</v>
      </c>
      <c r="F2230" s="22" t="s">
        <v>6055</v>
      </c>
      <c r="G2230" s="23" t="s">
        <v>9667</v>
      </c>
      <c r="H2230" s="25" t="s">
        <v>15373</v>
      </c>
      <c r="I2230" s="22" t="s">
        <v>6101</v>
      </c>
      <c r="J2230" s="22" t="s">
        <v>16799</v>
      </c>
      <c r="K2230" s="26">
        <f t="shared" si="34"/>
        <v>503.33333333333331</v>
      </c>
      <c r="N2230" s="26">
        <v>755</v>
      </c>
      <c r="O2230" s="22" t="s">
        <v>6056</v>
      </c>
      <c r="P2230" s="22" t="s">
        <v>7753</v>
      </c>
      <c r="Q2230" s="22">
        <v>90017</v>
      </c>
      <c r="R2230" s="22" t="s">
        <v>6057</v>
      </c>
      <c r="S2230" s="22" t="s">
        <v>6058</v>
      </c>
      <c r="X2230" s="26"/>
      <c r="Y2230" s="26"/>
    </row>
    <row r="2231" spans="1:25" ht="50" x14ac:dyDescent="0.25">
      <c r="A2231" s="21">
        <v>10418</v>
      </c>
      <c r="B2231" s="22" t="s">
        <v>15368</v>
      </c>
      <c r="C2231" s="22" t="s">
        <v>7130</v>
      </c>
      <c r="D2231" s="23">
        <v>415041</v>
      </c>
      <c r="E2231" s="24">
        <v>2003</v>
      </c>
      <c r="F2231" s="22" t="s">
        <v>6059</v>
      </c>
      <c r="G2231" s="23" t="s">
        <v>6060</v>
      </c>
      <c r="H2231" s="25" t="s">
        <v>15373</v>
      </c>
      <c r="I2231" s="22" t="s">
        <v>6101</v>
      </c>
      <c r="J2231" s="22" t="s">
        <v>16792</v>
      </c>
      <c r="K2231" s="26">
        <f t="shared" si="34"/>
        <v>356.66666666666663</v>
      </c>
      <c r="N2231" s="26">
        <v>535</v>
      </c>
      <c r="O2231" s="22" t="s">
        <v>6061</v>
      </c>
      <c r="P2231" s="22" t="s">
        <v>6062</v>
      </c>
      <c r="Q2231" s="22">
        <v>92382</v>
      </c>
      <c r="R2231" s="22" t="s">
        <v>6063</v>
      </c>
      <c r="S2231" s="22" t="s">
        <v>6064</v>
      </c>
      <c r="X2231" s="26"/>
      <c r="Y2231" s="26"/>
    </row>
    <row r="2232" spans="1:25" ht="50" x14ac:dyDescent="0.25">
      <c r="A2232" s="21">
        <v>10419</v>
      </c>
      <c r="B2232" s="22" t="s">
        <v>15368</v>
      </c>
      <c r="C2232" s="22" t="s">
        <v>6065</v>
      </c>
      <c r="D2232" s="23">
        <v>415424</v>
      </c>
      <c r="E2232" s="24">
        <v>2003</v>
      </c>
      <c r="F2232" s="22" t="s">
        <v>6066</v>
      </c>
      <c r="G2232" s="23" t="s">
        <v>6338</v>
      </c>
      <c r="H2232" s="25" t="s">
        <v>15373</v>
      </c>
      <c r="I2232" s="22" t="s">
        <v>15411</v>
      </c>
      <c r="J2232" s="22" t="s">
        <v>16517</v>
      </c>
      <c r="K2232" s="26">
        <f t="shared" si="34"/>
        <v>366.66666666666663</v>
      </c>
      <c r="N2232" s="26">
        <v>550</v>
      </c>
      <c r="O2232" s="22" t="s">
        <v>6067</v>
      </c>
      <c r="P2232" s="22" t="s">
        <v>7753</v>
      </c>
      <c r="Q2232" s="22">
        <v>90058</v>
      </c>
      <c r="R2232" s="22" t="s">
        <v>6068</v>
      </c>
      <c r="S2232" s="22" t="s">
        <v>6069</v>
      </c>
      <c r="X2232" s="26"/>
      <c r="Y2232" s="26"/>
    </row>
    <row r="2233" spans="1:25" ht="37.5" x14ac:dyDescent="0.25">
      <c r="A2233" s="21">
        <v>10420</v>
      </c>
      <c r="B2233" s="22" t="s">
        <v>15368</v>
      </c>
      <c r="C2233" s="22" t="s">
        <v>6070</v>
      </c>
      <c r="D2233" s="23">
        <v>415848</v>
      </c>
      <c r="E2233" s="24">
        <v>2003</v>
      </c>
      <c r="F2233" s="22" t="s">
        <v>6071</v>
      </c>
      <c r="G2233" s="23" t="s">
        <v>6072</v>
      </c>
      <c r="H2233" s="25" t="s">
        <v>15373</v>
      </c>
      <c r="I2233" s="22" t="s">
        <v>15374</v>
      </c>
      <c r="J2233" s="22">
        <v>3412</v>
      </c>
      <c r="K2233" s="26">
        <f t="shared" si="34"/>
        <v>593.33333333333326</v>
      </c>
      <c r="N2233" s="26">
        <v>890</v>
      </c>
      <c r="O2233" s="22" t="s">
        <v>6073</v>
      </c>
      <c r="P2233" s="22" t="s">
        <v>5777</v>
      </c>
      <c r="Q2233" s="22">
        <v>91203</v>
      </c>
      <c r="R2233" s="22" t="s">
        <v>6074</v>
      </c>
      <c r="S2233" s="22" t="s">
        <v>6075</v>
      </c>
      <c r="X2233" s="26"/>
      <c r="Y2233" s="26"/>
    </row>
    <row r="2234" spans="1:25" ht="50" x14ac:dyDescent="0.25">
      <c r="A2234" s="21">
        <v>10421</v>
      </c>
      <c r="B2234" s="22" t="s">
        <v>15368</v>
      </c>
      <c r="C2234" s="22" t="s">
        <v>6076</v>
      </c>
      <c r="D2234" s="23">
        <v>418772</v>
      </c>
      <c r="E2234" s="24">
        <v>2003</v>
      </c>
      <c r="F2234" s="22" t="s">
        <v>6077</v>
      </c>
      <c r="G2234" s="23" t="s">
        <v>6078</v>
      </c>
      <c r="H2234" s="25" t="s">
        <v>15373</v>
      </c>
      <c r="I2234" s="22" t="s">
        <v>15374</v>
      </c>
      <c r="J2234" s="22" t="s">
        <v>6357</v>
      </c>
      <c r="K2234" s="26">
        <f t="shared" si="34"/>
        <v>350</v>
      </c>
      <c r="L2234" s="26">
        <v>350</v>
      </c>
      <c r="O2234" s="22" t="s">
        <v>6079</v>
      </c>
      <c r="P2234" s="22" t="s">
        <v>6080</v>
      </c>
      <c r="Q2234" s="22">
        <v>92399</v>
      </c>
      <c r="R2234" s="22" t="s">
        <v>6081</v>
      </c>
      <c r="S2234" s="22" t="s">
        <v>6082</v>
      </c>
      <c r="X2234" s="26"/>
      <c r="Y2234" s="26"/>
    </row>
    <row r="2235" spans="1:25" ht="37.5" x14ac:dyDescent="0.25">
      <c r="A2235" s="21">
        <v>2500</v>
      </c>
      <c r="B2235" s="22" t="s">
        <v>15346</v>
      </c>
      <c r="C2235" s="22" t="s">
        <v>16929</v>
      </c>
      <c r="F2235" s="22" t="s">
        <v>16930</v>
      </c>
      <c r="G2235" s="23" t="s">
        <v>16931</v>
      </c>
      <c r="H2235" s="25" t="s">
        <v>15373</v>
      </c>
      <c r="I2235" s="22" t="s">
        <v>15382</v>
      </c>
      <c r="J2235" s="22" t="s">
        <v>16932</v>
      </c>
      <c r="K2235" s="26">
        <f t="shared" si="34"/>
        <v>500</v>
      </c>
      <c r="L2235" s="26">
        <v>500</v>
      </c>
      <c r="O2235" s="22" t="s">
        <v>16933</v>
      </c>
      <c r="P2235" s="22" t="s">
        <v>16934</v>
      </c>
      <c r="Q2235" s="22" t="s">
        <v>16935</v>
      </c>
      <c r="S2235" s="22" t="s">
        <v>16936</v>
      </c>
      <c r="T2235" s="22">
        <v>8.17</v>
      </c>
      <c r="U2235" s="22">
        <v>0.38</v>
      </c>
      <c r="X2235" s="26"/>
      <c r="Y2235" s="26"/>
    </row>
    <row r="2236" spans="1:25" ht="25" x14ac:dyDescent="0.25">
      <c r="A2236" s="21">
        <v>2501</v>
      </c>
      <c r="B2236" s="22" t="s">
        <v>15346</v>
      </c>
      <c r="C2236" s="22" t="s">
        <v>16937</v>
      </c>
      <c r="F2236" s="22" t="s">
        <v>16938</v>
      </c>
      <c r="G2236" s="23" t="s">
        <v>16939</v>
      </c>
      <c r="H2236" s="25" t="s">
        <v>16310</v>
      </c>
      <c r="I2236" s="22" t="s">
        <v>15374</v>
      </c>
      <c r="J2236" s="22" t="s">
        <v>16311</v>
      </c>
      <c r="K2236" s="26">
        <f t="shared" si="34"/>
        <v>332</v>
      </c>
      <c r="N2236" s="26">
        <v>498</v>
      </c>
      <c r="O2236" s="22" t="s">
        <v>16940</v>
      </c>
      <c r="P2236" s="22" t="s">
        <v>16941</v>
      </c>
      <c r="S2236" s="22" t="s">
        <v>16942</v>
      </c>
      <c r="T2236" s="22">
        <v>6.9</v>
      </c>
      <c r="U2236" s="22">
        <v>0.4</v>
      </c>
      <c r="X2236" s="26"/>
      <c r="Y2236" s="26"/>
    </row>
    <row r="2237" spans="1:25" ht="50" x14ac:dyDescent="0.25">
      <c r="A2237" s="21">
        <v>2502</v>
      </c>
      <c r="B2237" s="22" t="s">
        <v>15346</v>
      </c>
      <c r="C2237" s="22" t="s">
        <v>16937</v>
      </c>
      <c r="F2237" s="22" t="s">
        <v>16943</v>
      </c>
      <c r="G2237" s="23" t="s">
        <v>16944</v>
      </c>
      <c r="H2237" s="25" t="s">
        <v>15373</v>
      </c>
      <c r="I2237" s="22" t="s">
        <v>15374</v>
      </c>
      <c r="J2237" s="22">
        <v>3516</v>
      </c>
      <c r="K2237" s="26">
        <f t="shared" si="34"/>
        <v>1500</v>
      </c>
      <c r="L2237" s="26">
        <v>1500</v>
      </c>
      <c r="O2237" s="22" t="s">
        <v>16945</v>
      </c>
      <c r="P2237" s="22" t="s">
        <v>16946</v>
      </c>
      <c r="S2237" s="22" t="s">
        <v>16942</v>
      </c>
      <c r="X2237" s="26"/>
      <c r="Y2237" s="26"/>
    </row>
    <row r="2238" spans="1:25" ht="50" x14ac:dyDescent="0.25">
      <c r="A2238" s="21">
        <v>2503</v>
      </c>
      <c r="B2238" s="22" t="s">
        <v>15346</v>
      </c>
      <c r="C2238" s="22" t="s">
        <v>16937</v>
      </c>
      <c r="F2238" s="22" t="s">
        <v>16947</v>
      </c>
      <c r="G2238" s="23" t="s">
        <v>16948</v>
      </c>
      <c r="H2238" s="25" t="s">
        <v>15373</v>
      </c>
      <c r="I2238" s="22" t="s">
        <v>16311</v>
      </c>
      <c r="J2238" s="22" t="s">
        <v>16311</v>
      </c>
      <c r="K2238" s="26">
        <f t="shared" si="34"/>
        <v>593.33333333333326</v>
      </c>
      <c r="N2238" s="26">
        <v>890</v>
      </c>
      <c r="O2238" s="22" t="s">
        <v>16945</v>
      </c>
      <c r="P2238" s="22" t="s">
        <v>16949</v>
      </c>
      <c r="S2238" s="22" t="s">
        <v>16942</v>
      </c>
      <c r="X2238" s="26"/>
      <c r="Y2238" s="26"/>
    </row>
    <row r="2239" spans="1:25" ht="50" x14ac:dyDescent="0.25">
      <c r="A2239" s="21">
        <v>2504</v>
      </c>
      <c r="B2239" s="22" t="s">
        <v>15346</v>
      </c>
      <c r="C2239" s="22" t="s">
        <v>16950</v>
      </c>
      <c r="F2239" s="22" t="s">
        <v>16951</v>
      </c>
      <c r="G2239" s="23" t="s">
        <v>16952</v>
      </c>
      <c r="H2239" s="25" t="s">
        <v>15373</v>
      </c>
      <c r="I2239" s="22" t="s">
        <v>16907</v>
      </c>
      <c r="J2239" s="22" t="s">
        <v>16953</v>
      </c>
      <c r="K2239" s="26">
        <f t="shared" si="34"/>
        <v>750</v>
      </c>
      <c r="L2239" s="26">
        <v>750</v>
      </c>
      <c r="O2239" s="22" t="s">
        <v>16954</v>
      </c>
      <c r="P2239" s="22" t="s">
        <v>16955</v>
      </c>
      <c r="Q2239" s="22" t="s">
        <v>16956</v>
      </c>
      <c r="S2239" s="22" t="s">
        <v>16957</v>
      </c>
      <c r="X2239" s="26"/>
      <c r="Y2239" s="26"/>
    </row>
    <row r="2240" spans="1:25" ht="37.5" x14ac:dyDescent="0.25">
      <c r="A2240" s="21">
        <v>2505</v>
      </c>
      <c r="B2240" s="22" t="s">
        <v>15346</v>
      </c>
      <c r="C2240" s="22" t="s">
        <v>16958</v>
      </c>
      <c r="F2240" s="22" t="s">
        <v>16959</v>
      </c>
      <c r="G2240" s="23" t="s">
        <v>16960</v>
      </c>
      <c r="H2240" s="25" t="s">
        <v>15373</v>
      </c>
      <c r="I2240" s="22" t="s">
        <v>15382</v>
      </c>
      <c r="J2240" s="22" t="s">
        <v>14850</v>
      </c>
      <c r="K2240" s="26">
        <f t="shared" si="34"/>
        <v>300</v>
      </c>
      <c r="L2240" s="26">
        <v>300</v>
      </c>
      <c r="O2240" s="22" t="s">
        <v>16961</v>
      </c>
      <c r="P2240" s="22" t="s">
        <v>16955</v>
      </c>
      <c r="Q2240" s="22" t="s">
        <v>16962</v>
      </c>
      <c r="S2240" s="22" t="s">
        <v>16963</v>
      </c>
      <c r="X2240" s="26"/>
      <c r="Y2240" s="26"/>
    </row>
    <row r="2241" spans="1:25" ht="25" x14ac:dyDescent="0.25">
      <c r="A2241" s="21">
        <v>2506</v>
      </c>
      <c r="B2241" s="22" t="s">
        <v>15346</v>
      </c>
      <c r="C2241" s="22" t="s">
        <v>16964</v>
      </c>
      <c r="F2241" s="22" t="s">
        <v>16965</v>
      </c>
      <c r="G2241" s="23" t="s">
        <v>16966</v>
      </c>
      <c r="H2241" s="25" t="s">
        <v>15373</v>
      </c>
      <c r="I2241" s="22" t="s">
        <v>15411</v>
      </c>
      <c r="J2241" s="22" t="s">
        <v>16306</v>
      </c>
      <c r="K2241" s="26">
        <f t="shared" ref="K2241:K2304" si="35">L2241+M2241*(2/3)+N2241*(2/3)</f>
        <v>320</v>
      </c>
      <c r="M2241" s="26">
        <v>480</v>
      </c>
      <c r="O2241" s="22" t="s">
        <v>16967</v>
      </c>
      <c r="P2241" s="22" t="s">
        <v>16968</v>
      </c>
      <c r="Q2241" s="22" t="s">
        <v>16969</v>
      </c>
      <c r="S2241" s="22" t="s">
        <v>16970</v>
      </c>
      <c r="X2241" s="26"/>
      <c r="Y2241" s="26"/>
    </row>
    <row r="2242" spans="1:25" ht="50" x14ac:dyDescent="0.25">
      <c r="A2242" s="21">
        <v>2507</v>
      </c>
      <c r="B2242" s="22" t="s">
        <v>15346</v>
      </c>
      <c r="C2242" s="22" t="s">
        <v>16971</v>
      </c>
      <c r="F2242" s="22" t="s">
        <v>16972</v>
      </c>
      <c r="G2242" s="23" t="s">
        <v>16973</v>
      </c>
      <c r="H2242" s="25" t="s">
        <v>15373</v>
      </c>
      <c r="I2242" s="22" t="s">
        <v>15374</v>
      </c>
      <c r="J2242" s="22">
        <v>3412</v>
      </c>
      <c r="K2242" s="26">
        <f t="shared" si="35"/>
        <v>600</v>
      </c>
      <c r="L2242" s="26">
        <v>600</v>
      </c>
      <c r="O2242" s="22" t="s">
        <v>16974</v>
      </c>
      <c r="P2242" s="22" t="s">
        <v>16955</v>
      </c>
      <c r="Q2242" s="22" t="s">
        <v>16975</v>
      </c>
      <c r="S2242" s="22" t="s">
        <v>16976</v>
      </c>
      <c r="X2242" s="26"/>
      <c r="Y2242" s="26"/>
    </row>
    <row r="2243" spans="1:25" ht="25" x14ac:dyDescent="0.25">
      <c r="A2243" s="21">
        <v>2508</v>
      </c>
      <c r="B2243" s="22" t="s">
        <v>15346</v>
      </c>
      <c r="C2243" s="22" t="s">
        <v>16971</v>
      </c>
      <c r="F2243" s="22" t="s">
        <v>16977</v>
      </c>
      <c r="G2243" s="23" t="s">
        <v>16978</v>
      </c>
      <c r="H2243" s="25" t="s">
        <v>15373</v>
      </c>
      <c r="I2243" s="22" t="s">
        <v>15374</v>
      </c>
      <c r="J2243" s="22" t="s">
        <v>16979</v>
      </c>
      <c r="K2243" s="26">
        <f t="shared" si="35"/>
        <v>300</v>
      </c>
      <c r="L2243" s="26">
        <v>300</v>
      </c>
      <c r="O2243" s="22" t="s">
        <v>16980</v>
      </c>
      <c r="P2243" s="22" t="s">
        <v>16955</v>
      </c>
      <c r="Q2243" s="22" t="s">
        <v>16975</v>
      </c>
      <c r="S2243" s="22" t="s">
        <v>16981</v>
      </c>
      <c r="X2243" s="26"/>
      <c r="Y2243" s="26"/>
    </row>
    <row r="2244" spans="1:25" ht="25" x14ac:dyDescent="0.25">
      <c r="A2244" s="21">
        <v>2509</v>
      </c>
      <c r="B2244" s="22" t="s">
        <v>15346</v>
      </c>
      <c r="C2244" s="22" t="s">
        <v>16971</v>
      </c>
      <c r="F2244" s="22" t="s">
        <v>16982</v>
      </c>
      <c r="G2244" s="23" t="s">
        <v>16983</v>
      </c>
      <c r="H2244" s="25" t="s">
        <v>15373</v>
      </c>
      <c r="I2244" s="22" t="s">
        <v>15374</v>
      </c>
      <c r="J2244" s="22" t="s">
        <v>16377</v>
      </c>
      <c r="K2244" s="26">
        <f t="shared" si="35"/>
        <v>400</v>
      </c>
      <c r="L2244" s="26">
        <v>400</v>
      </c>
      <c r="O2244" s="22" t="s">
        <v>16984</v>
      </c>
      <c r="P2244" s="22" t="s">
        <v>16985</v>
      </c>
      <c r="Q2244" s="22" t="s">
        <v>16986</v>
      </c>
      <c r="S2244" s="22" t="s">
        <v>16987</v>
      </c>
      <c r="X2244" s="26"/>
      <c r="Y2244" s="26"/>
    </row>
    <row r="2245" spans="1:25" ht="25" x14ac:dyDescent="0.25">
      <c r="A2245" s="21">
        <v>2510</v>
      </c>
      <c r="B2245" s="22" t="s">
        <v>15346</v>
      </c>
      <c r="C2245" s="22" t="s">
        <v>16971</v>
      </c>
      <c r="F2245" s="22" t="s">
        <v>16988</v>
      </c>
      <c r="G2245" s="23" t="s">
        <v>16989</v>
      </c>
      <c r="H2245" s="25" t="s">
        <v>15373</v>
      </c>
      <c r="I2245" s="22" t="s">
        <v>16311</v>
      </c>
      <c r="J2245" s="22" t="s">
        <v>16311</v>
      </c>
      <c r="K2245" s="26">
        <f t="shared" si="35"/>
        <v>350</v>
      </c>
      <c r="L2245" s="26">
        <v>350</v>
      </c>
      <c r="O2245" s="22" t="s">
        <v>16990</v>
      </c>
      <c r="P2245" s="22" t="s">
        <v>16991</v>
      </c>
      <c r="Q2245" s="22" t="s">
        <v>16992</v>
      </c>
      <c r="S2245" s="22" t="s">
        <v>16993</v>
      </c>
      <c r="X2245" s="26"/>
      <c r="Y2245" s="26"/>
    </row>
    <row r="2246" spans="1:25" ht="50" x14ac:dyDescent="0.25">
      <c r="A2246" s="21">
        <v>2511</v>
      </c>
      <c r="B2246" s="22" t="s">
        <v>15346</v>
      </c>
      <c r="C2246" s="22" t="s">
        <v>16994</v>
      </c>
      <c r="F2246" s="22" t="s">
        <v>16995</v>
      </c>
      <c r="G2246" s="23" t="s">
        <v>16996</v>
      </c>
      <c r="H2246" s="25" t="s">
        <v>15373</v>
      </c>
      <c r="I2246" s="22" t="s">
        <v>15411</v>
      </c>
      <c r="J2246" s="22" t="s">
        <v>16311</v>
      </c>
      <c r="K2246" s="26">
        <f t="shared" si="35"/>
        <v>900</v>
      </c>
      <c r="L2246" s="26">
        <v>900</v>
      </c>
      <c r="O2246" s="22" t="s">
        <v>16997</v>
      </c>
      <c r="P2246" s="22" t="s">
        <v>16998</v>
      </c>
      <c r="Q2246" s="22" t="s">
        <v>16999</v>
      </c>
      <c r="S2246" s="22" t="s">
        <v>17000</v>
      </c>
      <c r="X2246" s="26"/>
      <c r="Y2246" s="26"/>
    </row>
    <row r="2247" spans="1:25" ht="50" x14ac:dyDescent="0.25">
      <c r="A2247" s="21">
        <v>2512</v>
      </c>
      <c r="B2247" s="22" t="s">
        <v>15346</v>
      </c>
      <c r="C2247" s="22" t="s">
        <v>17001</v>
      </c>
      <c r="F2247" s="22" t="s">
        <v>17002</v>
      </c>
      <c r="G2247" s="23" t="s">
        <v>17003</v>
      </c>
      <c r="H2247" s="25" t="s">
        <v>15373</v>
      </c>
      <c r="I2247" s="22" t="s">
        <v>15374</v>
      </c>
      <c r="J2247" s="22" t="s">
        <v>15191</v>
      </c>
      <c r="K2247" s="26">
        <f t="shared" si="35"/>
        <v>820</v>
      </c>
      <c r="L2247" s="26">
        <v>820</v>
      </c>
      <c r="O2247" s="22" t="s">
        <v>17004</v>
      </c>
      <c r="P2247" s="22" t="s">
        <v>16998</v>
      </c>
      <c r="Q2247" s="22" t="s">
        <v>17005</v>
      </c>
      <c r="S2247" s="22" t="s">
        <v>17006</v>
      </c>
      <c r="X2247" s="26"/>
      <c r="Y2247" s="26"/>
    </row>
    <row r="2248" spans="1:25" ht="25" x14ac:dyDescent="0.25">
      <c r="A2248" s="21">
        <v>2513</v>
      </c>
      <c r="B2248" s="22" t="s">
        <v>15346</v>
      </c>
      <c r="C2248" s="22" t="s">
        <v>17007</v>
      </c>
      <c r="F2248" s="22" t="s">
        <v>17008</v>
      </c>
      <c r="G2248" s="23" t="s">
        <v>17009</v>
      </c>
      <c r="H2248" s="25" t="s">
        <v>15373</v>
      </c>
      <c r="I2248" s="22" t="s">
        <v>15374</v>
      </c>
      <c r="J2248" s="22">
        <v>3412</v>
      </c>
      <c r="K2248" s="26">
        <f t="shared" si="35"/>
        <v>786.66666666666663</v>
      </c>
      <c r="M2248" s="26">
        <v>1180</v>
      </c>
      <c r="O2248" s="22" t="s">
        <v>17010</v>
      </c>
      <c r="P2248" s="22" t="s">
        <v>16998</v>
      </c>
      <c r="Q2248" s="22" t="s">
        <v>17011</v>
      </c>
      <c r="S2248" s="22" t="s">
        <v>17012</v>
      </c>
      <c r="X2248" s="26"/>
      <c r="Y2248" s="26"/>
    </row>
    <row r="2249" spans="1:25" ht="25" x14ac:dyDescent="0.25">
      <c r="A2249" s="21">
        <v>2514</v>
      </c>
      <c r="B2249" s="22" t="s">
        <v>15346</v>
      </c>
      <c r="C2249" s="22" t="s">
        <v>17007</v>
      </c>
      <c r="F2249" s="22" t="s">
        <v>17013</v>
      </c>
      <c r="G2249" s="23" t="s">
        <v>17009</v>
      </c>
      <c r="H2249" s="25" t="s">
        <v>15373</v>
      </c>
      <c r="I2249" s="22" t="s">
        <v>15374</v>
      </c>
      <c r="J2249" s="22">
        <v>3412</v>
      </c>
      <c r="K2249" s="26">
        <f t="shared" si="35"/>
        <v>786.66666666666663</v>
      </c>
      <c r="M2249" s="26">
        <v>1180</v>
      </c>
      <c r="O2249" s="22" t="s">
        <v>17010</v>
      </c>
      <c r="P2249" s="22" t="s">
        <v>16998</v>
      </c>
      <c r="Q2249" s="22" t="s">
        <v>17011</v>
      </c>
      <c r="S2249" s="22" t="s">
        <v>17012</v>
      </c>
      <c r="X2249" s="26"/>
      <c r="Y2249" s="26"/>
    </row>
    <row r="2250" spans="1:25" ht="37.5" x14ac:dyDescent="0.25">
      <c r="A2250" s="21">
        <v>2515</v>
      </c>
      <c r="B2250" s="22" t="s">
        <v>15346</v>
      </c>
      <c r="C2250" s="22" t="s">
        <v>17014</v>
      </c>
      <c r="F2250" s="22" t="s">
        <v>17015</v>
      </c>
      <c r="G2250" s="23" t="s">
        <v>17016</v>
      </c>
      <c r="H2250" s="25" t="s">
        <v>15373</v>
      </c>
      <c r="I2250" s="22" t="s">
        <v>15374</v>
      </c>
      <c r="J2250" s="22" t="s">
        <v>15420</v>
      </c>
      <c r="K2250" s="26">
        <f t="shared" si="35"/>
        <v>1153.3333333333333</v>
      </c>
      <c r="N2250" s="26">
        <v>1730</v>
      </c>
      <c r="O2250" s="22" t="s">
        <v>17017</v>
      </c>
      <c r="P2250" s="22" t="s">
        <v>16998</v>
      </c>
      <c r="Q2250" s="22" t="s">
        <v>16999</v>
      </c>
      <c r="S2250" s="22" t="s">
        <v>17018</v>
      </c>
      <c r="X2250" s="26"/>
      <c r="Y2250" s="26"/>
    </row>
    <row r="2251" spans="1:25" ht="37.5" x14ac:dyDescent="0.25">
      <c r="A2251" s="21">
        <v>2516</v>
      </c>
      <c r="B2251" s="22" t="s">
        <v>15346</v>
      </c>
      <c r="C2251" s="22" t="s">
        <v>17014</v>
      </c>
      <c r="F2251" s="22" t="s">
        <v>17019</v>
      </c>
      <c r="G2251" s="23" t="s">
        <v>17016</v>
      </c>
      <c r="H2251" s="25" t="s">
        <v>15373</v>
      </c>
      <c r="I2251" s="22" t="s">
        <v>15374</v>
      </c>
      <c r="J2251" s="22" t="s">
        <v>15420</v>
      </c>
      <c r="K2251" s="26">
        <f t="shared" si="35"/>
        <v>1153.3333333333333</v>
      </c>
      <c r="N2251" s="26">
        <v>1730</v>
      </c>
      <c r="O2251" s="22" t="s">
        <v>17017</v>
      </c>
      <c r="P2251" s="22" t="s">
        <v>16998</v>
      </c>
      <c r="Q2251" s="22" t="s">
        <v>16999</v>
      </c>
      <c r="S2251" s="22" t="s">
        <v>17018</v>
      </c>
      <c r="X2251" s="26"/>
      <c r="Y2251" s="26"/>
    </row>
    <row r="2252" spans="1:25" ht="37.5" x14ac:dyDescent="0.25">
      <c r="A2252" s="21">
        <v>2517</v>
      </c>
      <c r="B2252" s="22" t="s">
        <v>15346</v>
      </c>
      <c r="C2252" s="22" t="s">
        <v>17014</v>
      </c>
      <c r="F2252" s="22" t="s">
        <v>17020</v>
      </c>
      <c r="G2252" s="23" t="s">
        <v>17016</v>
      </c>
      <c r="H2252" s="25" t="s">
        <v>15373</v>
      </c>
      <c r="I2252" s="22" t="s">
        <v>15374</v>
      </c>
      <c r="J2252" s="22" t="s">
        <v>15420</v>
      </c>
      <c r="K2252" s="26">
        <f t="shared" si="35"/>
        <v>1153.3333333333333</v>
      </c>
      <c r="N2252" s="26">
        <v>1730</v>
      </c>
      <c r="O2252" s="22" t="s">
        <v>17017</v>
      </c>
      <c r="P2252" s="22" t="s">
        <v>16998</v>
      </c>
      <c r="Q2252" s="22" t="s">
        <v>16999</v>
      </c>
      <c r="S2252" s="22" t="s">
        <v>17018</v>
      </c>
      <c r="X2252" s="26"/>
      <c r="Y2252" s="26"/>
    </row>
    <row r="2253" spans="1:25" ht="50" x14ac:dyDescent="0.25">
      <c r="A2253" s="21">
        <v>2518</v>
      </c>
      <c r="B2253" s="22" t="s">
        <v>15346</v>
      </c>
      <c r="C2253" s="22" t="s">
        <v>17021</v>
      </c>
      <c r="F2253" s="22" t="s">
        <v>17022</v>
      </c>
      <c r="G2253" s="23" t="s">
        <v>17023</v>
      </c>
      <c r="H2253" s="25" t="s">
        <v>15373</v>
      </c>
      <c r="I2253" s="22" t="s">
        <v>15382</v>
      </c>
      <c r="J2253" s="22" t="s">
        <v>14850</v>
      </c>
      <c r="K2253" s="26">
        <f t="shared" si="35"/>
        <v>300</v>
      </c>
      <c r="L2253" s="26">
        <v>300</v>
      </c>
      <c r="O2253" s="22" t="s">
        <v>17024</v>
      </c>
      <c r="P2253" s="22" t="s">
        <v>16998</v>
      </c>
      <c r="Q2253" s="22" t="s">
        <v>17025</v>
      </c>
      <c r="S2253" s="22" t="s">
        <v>17026</v>
      </c>
      <c r="X2253" s="26"/>
      <c r="Y2253" s="26"/>
    </row>
    <row r="2254" spans="1:25" ht="25" x14ac:dyDescent="0.25">
      <c r="A2254" s="21">
        <v>2519</v>
      </c>
      <c r="B2254" s="22" t="s">
        <v>15346</v>
      </c>
      <c r="C2254" s="22" t="s">
        <v>17027</v>
      </c>
      <c r="F2254" s="22" t="s">
        <v>17028</v>
      </c>
      <c r="G2254" s="23" t="s">
        <v>17029</v>
      </c>
      <c r="H2254" s="25" t="s">
        <v>16310</v>
      </c>
      <c r="I2254" s="22" t="s">
        <v>16160</v>
      </c>
      <c r="J2254" s="22" t="s">
        <v>16311</v>
      </c>
      <c r="K2254" s="26">
        <f t="shared" si="35"/>
        <v>666.66666666666663</v>
      </c>
      <c r="N2254" s="26">
        <v>1000</v>
      </c>
      <c r="O2254" s="22" t="s">
        <v>16945</v>
      </c>
      <c r="P2254" s="22" t="s">
        <v>16941</v>
      </c>
      <c r="S2254" s="22" t="s">
        <v>17030</v>
      </c>
      <c r="X2254" s="26"/>
      <c r="Y2254" s="26"/>
    </row>
    <row r="2255" spans="1:25" ht="37.5" x14ac:dyDescent="0.25">
      <c r="A2255" s="21">
        <v>2520</v>
      </c>
      <c r="B2255" s="22" t="s">
        <v>15346</v>
      </c>
      <c r="C2255" s="22" t="s">
        <v>17031</v>
      </c>
      <c r="F2255" s="22" t="s">
        <v>17032</v>
      </c>
      <c r="G2255" s="23" t="s">
        <v>17033</v>
      </c>
      <c r="H2255" s="25" t="s">
        <v>15373</v>
      </c>
      <c r="I2255" s="22" t="s">
        <v>15382</v>
      </c>
      <c r="J2255" s="22" t="s">
        <v>15391</v>
      </c>
      <c r="K2255" s="26">
        <f t="shared" si="35"/>
        <v>1500</v>
      </c>
      <c r="L2255" s="26">
        <v>1500</v>
      </c>
      <c r="O2255" s="22" t="s">
        <v>17034</v>
      </c>
      <c r="P2255" s="22" t="s">
        <v>17035</v>
      </c>
      <c r="Q2255" s="22" t="s">
        <v>17036</v>
      </c>
      <c r="S2255" s="22" t="s">
        <v>17037</v>
      </c>
      <c r="X2255" s="26"/>
      <c r="Y2255" s="26"/>
    </row>
    <row r="2256" spans="1:25" ht="37.5" x14ac:dyDescent="0.25">
      <c r="A2256" s="21">
        <v>2521</v>
      </c>
      <c r="B2256" s="22" t="s">
        <v>15346</v>
      </c>
      <c r="C2256" s="22" t="s">
        <v>17038</v>
      </c>
      <c r="F2256" s="22" t="s">
        <v>17039</v>
      </c>
      <c r="G2256" s="23" t="s">
        <v>17040</v>
      </c>
      <c r="H2256" s="25" t="s">
        <v>15373</v>
      </c>
      <c r="I2256" s="22" t="s">
        <v>15374</v>
      </c>
      <c r="J2256" s="22" t="s">
        <v>15677</v>
      </c>
      <c r="K2256" s="26">
        <f t="shared" si="35"/>
        <v>1922.6666666666665</v>
      </c>
      <c r="M2256" s="26">
        <v>2884</v>
      </c>
      <c r="O2256" s="22" t="s">
        <v>17041</v>
      </c>
      <c r="P2256" s="22" t="s">
        <v>17042</v>
      </c>
      <c r="Q2256" s="22" t="s">
        <v>17043</v>
      </c>
      <c r="R2256" s="22" t="s">
        <v>17044</v>
      </c>
      <c r="S2256" s="22" t="s">
        <v>17045</v>
      </c>
      <c r="X2256" s="26"/>
      <c r="Y2256" s="26"/>
    </row>
    <row r="2257" spans="1:25" ht="37.5" x14ac:dyDescent="0.25">
      <c r="A2257" s="21">
        <v>2522</v>
      </c>
      <c r="B2257" s="22" t="s">
        <v>15346</v>
      </c>
      <c r="C2257" s="22" t="s">
        <v>17038</v>
      </c>
      <c r="F2257" s="22" t="s">
        <v>17046</v>
      </c>
      <c r="G2257" s="23" t="s">
        <v>17040</v>
      </c>
      <c r="H2257" s="25" t="s">
        <v>15373</v>
      </c>
      <c r="I2257" s="22" t="s">
        <v>15374</v>
      </c>
      <c r="J2257" s="22" t="s">
        <v>15677</v>
      </c>
      <c r="K2257" s="26">
        <f t="shared" si="35"/>
        <v>1922.6666666666665</v>
      </c>
      <c r="M2257" s="26">
        <v>2884</v>
      </c>
      <c r="O2257" s="22" t="s">
        <v>17041</v>
      </c>
      <c r="P2257" s="22" t="s">
        <v>17042</v>
      </c>
      <c r="Q2257" s="22" t="s">
        <v>17043</v>
      </c>
      <c r="R2257" s="22" t="s">
        <v>17044</v>
      </c>
      <c r="S2257" s="22" t="s">
        <v>17045</v>
      </c>
      <c r="X2257" s="26"/>
      <c r="Y2257" s="26"/>
    </row>
    <row r="2258" spans="1:25" ht="37.5" x14ac:dyDescent="0.25">
      <c r="A2258" s="21">
        <v>2523</v>
      </c>
      <c r="B2258" s="22" t="s">
        <v>15346</v>
      </c>
      <c r="C2258" s="22" t="s">
        <v>17047</v>
      </c>
      <c r="F2258" s="22" t="s">
        <v>17048</v>
      </c>
      <c r="G2258" s="23" t="s">
        <v>17049</v>
      </c>
      <c r="H2258" s="25" t="s">
        <v>15373</v>
      </c>
      <c r="I2258" s="22" t="s">
        <v>15374</v>
      </c>
      <c r="J2258" s="22" t="s">
        <v>16311</v>
      </c>
      <c r="K2258" s="26">
        <f t="shared" si="35"/>
        <v>2000</v>
      </c>
      <c r="L2258" s="26">
        <v>2000</v>
      </c>
      <c r="O2258" s="22" t="s">
        <v>17050</v>
      </c>
      <c r="P2258" s="22" t="s">
        <v>17051</v>
      </c>
      <c r="Q2258" s="22" t="s">
        <v>17052</v>
      </c>
      <c r="R2258" s="22" t="s">
        <v>17053</v>
      </c>
      <c r="S2258" s="22" t="s">
        <v>17054</v>
      </c>
      <c r="X2258" s="26"/>
      <c r="Y2258" s="26"/>
    </row>
    <row r="2259" spans="1:25" ht="37.5" x14ac:dyDescent="0.25">
      <c r="A2259" s="21">
        <v>2524</v>
      </c>
      <c r="B2259" s="22" t="s">
        <v>15346</v>
      </c>
      <c r="C2259" s="22" t="s">
        <v>17047</v>
      </c>
      <c r="F2259" s="22" t="s">
        <v>17055</v>
      </c>
      <c r="G2259" s="23" t="s">
        <v>17056</v>
      </c>
      <c r="H2259" s="25" t="s">
        <v>15373</v>
      </c>
      <c r="I2259" s="22" t="s">
        <v>15374</v>
      </c>
      <c r="J2259" s="22" t="s">
        <v>16311</v>
      </c>
      <c r="K2259" s="26">
        <f t="shared" si="35"/>
        <v>2000</v>
      </c>
      <c r="L2259" s="26">
        <v>2000</v>
      </c>
      <c r="O2259" s="22" t="s">
        <v>17050</v>
      </c>
      <c r="P2259" s="22" t="s">
        <v>17051</v>
      </c>
      <c r="Q2259" s="22" t="s">
        <v>17052</v>
      </c>
      <c r="R2259" s="22" t="s">
        <v>17053</v>
      </c>
      <c r="S2259" s="22" t="s">
        <v>17054</v>
      </c>
      <c r="X2259" s="26"/>
      <c r="Y2259" s="26"/>
    </row>
    <row r="2260" spans="1:25" ht="50" x14ac:dyDescent="0.25">
      <c r="A2260" s="21">
        <v>2525</v>
      </c>
      <c r="B2260" s="22" t="s">
        <v>15346</v>
      </c>
      <c r="C2260" s="22" t="s">
        <v>17057</v>
      </c>
      <c r="F2260" s="22" t="s">
        <v>17058</v>
      </c>
      <c r="G2260" s="23" t="s">
        <v>17059</v>
      </c>
      <c r="H2260" s="25" t="s">
        <v>15373</v>
      </c>
      <c r="I2260" s="22" t="s">
        <v>15374</v>
      </c>
      <c r="J2260" s="22" t="s">
        <v>15701</v>
      </c>
      <c r="K2260" s="26">
        <f t="shared" si="35"/>
        <v>400</v>
      </c>
      <c r="L2260" s="26">
        <v>400</v>
      </c>
      <c r="O2260" s="22" t="s">
        <v>17060</v>
      </c>
      <c r="P2260" s="22" t="s">
        <v>17061</v>
      </c>
      <c r="Q2260" s="22" t="s">
        <v>17062</v>
      </c>
      <c r="S2260" s="22" t="s">
        <v>17063</v>
      </c>
      <c r="X2260" s="26"/>
      <c r="Y2260" s="26"/>
    </row>
    <row r="2261" spans="1:25" ht="37.5" x14ac:dyDescent="0.25">
      <c r="A2261" s="21">
        <v>2526</v>
      </c>
      <c r="B2261" s="22" t="s">
        <v>15346</v>
      </c>
      <c r="C2261" s="22" t="s">
        <v>17057</v>
      </c>
      <c r="F2261" s="22" t="s">
        <v>17064</v>
      </c>
      <c r="G2261" s="23" t="s">
        <v>17065</v>
      </c>
      <c r="H2261" s="25" t="s">
        <v>15373</v>
      </c>
      <c r="I2261" s="22" t="s">
        <v>15374</v>
      </c>
      <c r="J2261" s="22" t="s">
        <v>17066</v>
      </c>
      <c r="K2261" s="26">
        <f t="shared" si="35"/>
        <v>2000</v>
      </c>
      <c r="L2261" s="26">
        <v>2000</v>
      </c>
      <c r="O2261" s="22" t="s">
        <v>17067</v>
      </c>
      <c r="P2261" s="22" t="s">
        <v>17061</v>
      </c>
      <c r="Q2261" s="22">
        <v>93210</v>
      </c>
      <c r="R2261" s="22" t="s">
        <v>17068</v>
      </c>
      <c r="S2261" s="22" t="s">
        <v>17069</v>
      </c>
      <c r="X2261" s="26"/>
      <c r="Y2261" s="26"/>
    </row>
    <row r="2262" spans="1:25" ht="37.5" x14ac:dyDescent="0.25">
      <c r="A2262" s="21">
        <v>2527</v>
      </c>
      <c r="B2262" s="22" t="s">
        <v>15346</v>
      </c>
      <c r="C2262" s="22" t="s">
        <v>17057</v>
      </c>
      <c r="F2262" s="22" t="s">
        <v>17070</v>
      </c>
      <c r="G2262" s="23" t="s">
        <v>17065</v>
      </c>
      <c r="H2262" s="25" t="s">
        <v>15373</v>
      </c>
      <c r="I2262" s="22" t="s">
        <v>15374</v>
      </c>
      <c r="J2262" s="22" t="s">
        <v>17066</v>
      </c>
      <c r="K2262" s="26">
        <f t="shared" si="35"/>
        <v>2000</v>
      </c>
      <c r="L2262" s="26">
        <v>2000</v>
      </c>
      <c r="O2262" s="22" t="s">
        <v>17060</v>
      </c>
      <c r="P2262" s="22" t="s">
        <v>17061</v>
      </c>
      <c r="Q2262" s="22">
        <v>93210</v>
      </c>
      <c r="R2262" s="22" t="s">
        <v>17068</v>
      </c>
      <c r="S2262" s="22" t="s">
        <v>17069</v>
      </c>
      <c r="X2262" s="26"/>
      <c r="Y2262" s="26"/>
    </row>
    <row r="2263" spans="1:25" ht="50" x14ac:dyDescent="0.25">
      <c r="A2263" s="21">
        <v>2528</v>
      </c>
      <c r="B2263" s="22" t="s">
        <v>15346</v>
      </c>
      <c r="C2263" s="22" t="s">
        <v>17057</v>
      </c>
      <c r="F2263" s="22" t="s">
        <v>17071</v>
      </c>
      <c r="G2263" s="23" t="s">
        <v>17072</v>
      </c>
      <c r="H2263" s="25" t="s">
        <v>15373</v>
      </c>
      <c r="I2263" s="22" t="s">
        <v>15374</v>
      </c>
      <c r="J2263" s="22" t="s">
        <v>15701</v>
      </c>
      <c r="K2263" s="26">
        <f t="shared" si="35"/>
        <v>400</v>
      </c>
      <c r="L2263" s="26">
        <v>400</v>
      </c>
      <c r="O2263" s="22" t="s">
        <v>17060</v>
      </c>
      <c r="P2263" s="22" t="s">
        <v>17061</v>
      </c>
      <c r="Q2263" s="22" t="s">
        <v>17062</v>
      </c>
      <c r="S2263" s="22" t="s">
        <v>17063</v>
      </c>
      <c r="X2263" s="26"/>
      <c r="Y2263" s="26"/>
    </row>
    <row r="2264" spans="1:25" ht="50" x14ac:dyDescent="0.25">
      <c r="A2264" s="21">
        <v>2529</v>
      </c>
      <c r="B2264" s="22" t="s">
        <v>15346</v>
      </c>
      <c r="C2264" s="22" t="s">
        <v>17057</v>
      </c>
      <c r="F2264" s="22" t="s">
        <v>17073</v>
      </c>
      <c r="G2264" s="23" t="s">
        <v>17074</v>
      </c>
      <c r="H2264" s="25" t="s">
        <v>15373</v>
      </c>
      <c r="I2264" s="22" t="s">
        <v>15374</v>
      </c>
      <c r="J2264" s="22" t="s">
        <v>15701</v>
      </c>
      <c r="K2264" s="26">
        <f t="shared" si="35"/>
        <v>400</v>
      </c>
      <c r="L2264" s="26">
        <v>400</v>
      </c>
      <c r="O2264" s="22" t="s">
        <v>17060</v>
      </c>
      <c r="P2264" s="22" t="s">
        <v>17061</v>
      </c>
      <c r="Q2264" s="22" t="s">
        <v>17062</v>
      </c>
      <c r="S2264" s="22" t="s">
        <v>17063</v>
      </c>
      <c r="X2264" s="26"/>
      <c r="Y2264" s="26"/>
    </row>
    <row r="2265" spans="1:25" ht="37.5" x14ac:dyDescent="0.25">
      <c r="A2265" s="21">
        <v>2530</v>
      </c>
      <c r="B2265" s="22" t="s">
        <v>15346</v>
      </c>
      <c r="C2265" s="22" t="s">
        <v>17075</v>
      </c>
      <c r="F2265" s="22" t="s">
        <v>17076</v>
      </c>
      <c r="G2265" s="23" t="s">
        <v>17077</v>
      </c>
      <c r="H2265" s="25" t="s">
        <v>15373</v>
      </c>
      <c r="I2265" s="22" t="s">
        <v>15382</v>
      </c>
      <c r="J2265" s="22" t="s">
        <v>17078</v>
      </c>
      <c r="K2265" s="26">
        <f t="shared" si="35"/>
        <v>993.33333333333326</v>
      </c>
      <c r="N2265" s="26">
        <v>1490</v>
      </c>
      <c r="O2265" s="22" t="s">
        <v>17079</v>
      </c>
      <c r="P2265" s="22" t="s">
        <v>17080</v>
      </c>
      <c r="Q2265" s="22" t="s">
        <v>17081</v>
      </c>
      <c r="R2265" s="22" t="s">
        <v>17082</v>
      </c>
      <c r="S2265" s="22" t="s">
        <v>17083</v>
      </c>
      <c r="X2265" s="26"/>
      <c r="Y2265" s="26"/>
    </row>
    <row r="2266" spans="1:25" ht="37.5" x14ac:dyDescent="0.25">
      <c r="A2266" s="21">
        <v>2531</v>
      </c>
      <c r="B2266" s="22" t="s">
        <v>15346</v>
      </c>
      <c r="C2266" s="22" t="s">
        <v>17075</v>
      </c>
      <c r="F2266" s="22" t="s">
        <v>17084</v>
      </c>
      <c r="G2266" s="23" t="s">
        <v>17085</v>
      </c>
      <c r="H2266" s="25" t="s">
        <v>15373</v>
      </c>
      <c r="I2266" s="22" t="s">
        <v>15382</v>
      </c>
      <c r="J2266" s="22" t="s">
        <v>17078</v>
      </c>
      <c r="K2266" s="26">
        <f t="shared" si="35"/>
        <v>993.33333333333326</v>
      </c>
      <c r="N2266" s="26">
        <v>1490</v>
      </c>
      <c r="O2266" s="22" t="s">
        <v>17079</v>
      </c>
      <c r="P2266" s="22" t="s">
        <v>17080</v>
      </c>
      <c r="Q2266" s="22" t="s">
        <v>17081</v>
      </c>
      <c r="R2266" s="22" t="s">
        <v>17082</v>
      </c>
      <c r="S2266" s="22" t="s">
        <v>17083</v>
      </c>
      <c r="X2266" s="26"/>
      <c r="Y2266" s="26"/>
    </row>
    <row r="2267" spans="1:25" ht="37.5" x14ac:dyDescent="0.25">
      <c r="A2267" s="21">
        <v>2532</v>
      </c>
      <c r="B2267" s="22" t="s">
        <v>15346</v>
      </c>
      <c r="C2267" s="22" t="s">
        <v>17075</v>
      </c>
      <c r="F2267" s="22" t="s">
        <v>17086</v>
      </c>
      <c r="G2267" s="23" t="s">
        <v>17087</v>
      </c>
      <c r="H2267" s="25" t="s">
        <v>15373</v>
      </c>
      <c r="I2267" s="22" t="s">
        <v>15382</v>
      </c>
      <c r="J2267" s="22" t="s">
        <v>17078</v>
      </c>
      <c r="K2267" s="26">
        <f t="shared" si="35"/>
        <v>994</v>
      </c>
      <c r="N2267" s="26">
        <v>1491</v>
      </c>
      <c r="O2267" s="22" t="s">
        <v>17079</v>
      </c>
      <c r="P2267" s="22" t="s">
        <v>17080</v>
      </c>
      <c r="Q2267" s="22" t="s">
        <v>17081</v>
      </c>
      <c r="R2267" s="22" t="s">
        <v>17082</v>
      </c>
      <c r="S2267" s="22" t="s">
        <v>17083</v>
      </c>
      <c r="X2267" s="26"/>
      <c r="Y2267" s="26"/>
    </row>
    <row r="2268" spans="1:25" ht="37.5" x14ac:dyDescent="0.25">
      <c r="A2268" s="21">
        <v>2533</v>
      </c>
      <c r="B2268" s="22" t="s">
        <v>15346</v>
      </c>
      <c r="C2268" s="22" t="s">
        <v>17075</v>
      </c>
      <c r="F2268" s="22" t="s">
        <v>17088</v>
      </c>
      <c r="G2268" s="23" t="s">
        <v>17089</v>
      </c>
      <c r="H2268" s="25" t="s">
        <v>15373</v>
      </c>
      <c r="I2268" s="22" t="s">
        <v>15374</v>
      </c>
      <c r="J2268" s="22" t="s">
        <v>15420</v>
      </c>
      <c r="K2268" s="26">
        <f t="shared" si="35"/>
        <v>1062</v>
      </c>
      <c r="N2268" s="26">
        <v>1593</v>
      </c>
      <c r="O2268" s="22" t="s">
        <v>17079</v>
      </c>
      <c r="P2268" s="22" t="s">
        <v>17080</v>
      </c>
      <c r="Q2268" s="22" t="s">
        <v>17081</v>
      </c>
      <c r="R2268" s="22" t="s">
        <v>17082</v>
      </c>
      <c r="S2268" s="22" t="s">
        <v>17083</v>
      </c>
      <c r="X2268" s="26"/>
      <c r="Y2268" s="26"/>
    </row>
    <row r="2269" spans="1:25" ht="50" x14ac:dyDescent="0.25">
      <c r="A2269" s="21">
        <v>2534</v>
      </c>
      <c r="B2269" s="22" t="s">
        <v>15346</v>
      </c>
      <c r="C2269" s="22" t="s">
        <v>17090</v>
      </c>
      <c r="F2269" s="22" t="s">
        <v>17091</v>
      </c>
      <c r="G2269" s="23" t="s">
        <v>17092</v>
      </c>
      <c r="H2269" s="25" t="s">
        <v>15373</v>
      </c>
      <c r="I2269" s="22" t="s">
        <v>15374</v>
      </c>
      <c r="J2269" s="22" t="s">
        <v>12893</v>
      </c>
      <c r="K2269" s="26">
        <f t="shared" si="35"/>
        <v>2000</v>
      </c>
      <c r="L2269" s="26">
        <v>2000</v>
      </c>
      <c r="O2269" s="22" t="s">
        <v>17093</v>
      </c>
      <c r="P2269" s="22" t="s">
        <v>17080</v>
      </c>
      <c r="Q2269" s="22">
        <v>93212</v>
      </c>
      <c r="R2269" s="22" t="s">
        <v>17094</v>
      </c>
      <c r="S2269" s="22" t="s">
        <v>17095</v>
      </c>
      <c r="X2269" s="26"/>
      <c r="Y2269" s="26"/>
    </row>
    <row r="2270" spans="1:25" ht="50" x14ac:dyDescent="0.25">
      <c r="A2270" s="21">
        <v>2535</v>
      </c>
      <c r="B2270" s="22" t="s">
        <v>15346</v>
      </c>
      <c r="C2270" s="22" t="s">
        <v>17090</v>
      </c>
      <c r="F2270" s="22" t="s">
        <v>17096</v>
      </c>
      <c r="G2270" s="23" t="s">
        <v>17092</v>
      </c>
      <c r="H2270" s="25" t="s">
        <v>15373</v>
      </c>
      <c r="I2270" s="22" t="s">
        <v>15374</v>
      </c>
      <c r="J2270" s="22" t="s">
        <v>12893</v>
      </c>
      <c r="K2270" s="26">
        <f t="shared" si="35"/>
        <v>2000</v>
      </c>
      <c r="L2270" s="26">
        <v>2000</v>
      </c>
      <c r="O2270" s="22" t="s">
        <v>17093</v>
      </c>
      <c r="P2270" s="22" t="s">
        <v>17080</v>
      </c>
      <c r="Q2270" s="22">
        <v>93212</v>
      </c>
      <c r="R2270" s="22" t="s">
        <v>17094</v>
      </c>
      <c r="S2270" s="22" t="s">
        <v>17095</v>
      </c>
      <c r="X2270" s="26"/>
      <c r="Y2270" s="26"/>
    </row>
    <row r="2271" spans="1:25" ht="50" x14ac:dyDescent="0.25">
      <c r="A2271" s="21">
        <v>2536</v>
      </c>
      <c r="B2271" s="22" t="s">
        <v>15346</v>
      </c>
      <c r="C2271" s="22" t="s">
        <v>17090</v>
      </c>
      <c r="F2271" s="22" t="s">
        <v>17097</v>
      </c>
      <c r="G2271" s="23" t="s">
        <v>17092</v>
      </c>
      <c r="H2271" s="25" t="s">
        <v>15373</v>
      </c>
      <c r="I2271" s="22" t="s">
        <v>15374</v>
      </c>
      <c r="J2271" s="22" t="s">
        <v>12893</v>
      </c>
      <c r="K2271" s="26">
        <f t="shared" si="35"/>
        <v>2000</v>
      </c>
      <c r="L2271" s="26">
        <v>2000</v>
      </c>
      <c r="O2271" s="22" t="s">
        <v>17093</v>
      </c>
      <c r="P2271" s="22" t="s">
        <v>17080</v>
      </c>
      <c r="Q2271" s="22">
        <v>93212</v>
      </c>
      <c r="R2271" s="22" t="s">
        <v>17094</v>
      </c>
      <c r="S2271" s="22" t="s">
        <v>17095</v>
      </c>
      <c r="X2271" s="26"/>
      <c r="Y2271" s="26"/>
    </row>
    <row r="2272" spans="1:25" ht="50" x14ac:dyDescent="0.25">
      <c r="A2272" s="21">
        <v>2537</v>
      </c>
      <c r="B2272" s="22" t="s">
        <v>15346</v>
      </c>
      <c r="C2272" s="22" t="s">
        <v>17090</v>
      </c>
      <c r="F2272" s="22" t="s">
        <v>17098</v>
      </c>
      <c r="G2272" s="23" t="s">
        <v>17092</v>
      </c>
      <c r="H2272" s="25" t="s">
        <v>15373</v>
      </c>
      <c r="I2272" s="22" t="s">
        <v>15374</v>
      </c>
      <c r="J2272" s="22" t="s">
        <v>12893</v>
      </c>
      <c r="K2272" s="26">
        <f t="shared" si="35"/>
        <v>2000</v>
      </c>
      <c r="L2272" s="26">
        <v>2000</v>
      </c>
      <c r="O2272" s="22" t="s">
        <v>17093</v>
      </c>
      <c r="P2272" s="22" t="s">
        <v>17080</v>
      </c>
      <c r="Q2272" s="22">
        <v>93212</v>
      </c>
      <c r="R2272" s="22" t="s">
        <v>17094</v>
      </c>
      <c r="S2272" s="22" t="s">
        <v>17095</v>
      </c>
      <c r="X2272" s="26"/>
      <c r="Y2272" s="26"/>
    </row>
    <row r="2273" spans="1:25" ht="62.5" x14ac:dyDescent="0.25">
      <c r="A2273" s="21">
        <v>2538</v>
      </c>
      <c r="B2273" s="22" t="s">
        <v>15346</v>
      </c>
      <c r="C2273" s="22" t="s">
        <v>17090</v>
      </c>
      <c r="F2273" s="22" t="s">
        <v>17099</v>
      </c>
      <c r="G2273" s="23" t="s">
        <v>17100</v>
      </c>
      <c r="H2273" s="25" t="s">
        <v>15373</v>
      </c>
      <c r="I2273" s="22" t="s">
        <v>15374</v>
      </c>
      <c r="J2273" s="22" t="s">
        <v>16869</v>
      </c>
      <c r="K2273" s="26">
        <f t="shared" si="35"/>
        <v>600</v>
      </c>
      <c r="L2273" s="26">
        <v>600</v>
      </c>
      <c r="O2273" s="22" t="s">
        <v>17093</v>
      </c>
      <c r="P2273" s="22" t="s">
        <v>17080</v>
      </c>
      <c r="Q2273" s="22">
        <v>93212</v>
      </c>
      <c r="R2273" s="22" t="s">
        <v>17094</v>
      </c>
      <c r="S2273" s="22" t="s">
        <v>17095</v>
      </c>
      <c r="X2273" s="26"/>
      <c r="Y2273" s="26"/>
    </row>
    <row r="2274" spans="1:25" ht="50" x14ac:dyDescent="0.25">
      <c r="A2274" s="21">
        <v>2539</v>
      </c>
      <c r="B2274" s="22" t="s">
        <v>15346</v>
      </c>
      <c r="C2274" s="22" t="s">
        <v>17101</v>
      </c>
      <c r="F2274" s="22" t="s">
        <v>17102</v>
      </c>
      <c r="G2274" s="23" t="s">
        <v>17103</v>
      </c>
      <c r="H2274" s="25" t="s">
        <v>15373</v>
      </c>
      <c r="I2274" s="22" t="s">
        <v>15374</v>
      </c>
      <c r="J2274" s="22" t="s">
        <v>17066</v>
      </c>
      <c r="K2274" s="26">
        <f t="shared" si="35"/>
        <v>2000</v>
      </c>
      <c r="L2274" s="26">
        <v>2000</v>
      </c>
      <c r="O2274" s="22" t="s">
        <v>17104</v>
      </c>
      <c r="P2274" s="22" t="s">
        <v>17105</v>
      </c>
      <c r="Q2274" s="22" t="s">
        <v>17106</v>
      </c>
      <c r="R2274" s="22" t="s">
        <v>17107</v>
      </c>
      <c r="S2274" s="22" t="s">
        <v>17108</v>
      </c>
      <c r="X2274" s="26"/>
      <c r="Y2274" s="26"/>
    </row>
    <row r="2275" spans="1:25" ht="50" x14ac:dyDescent="0.25">
      <c r="A2275" s="21">
        <v>2540</v>
      </c>
      <c r="B2275" s="22" t="s">
        <v>15346</v>
      </c>
      <c r="C2275" s="22" t="s">
        <v>17101</v>
      </c>
      <c r="F2275" s="22" t="s">
        <v>17109</v>
      </c>
      <c r="G2275" s="23" t="s">
        <v>17110</v>
      </c>
      <c r="H2275" s="25" t="s">
        <v>15373</v>
      </c>
      <c r="I2275" s="22" t="s">
        <v>15374</v>
      </c>
      <c r="J2275" s="22" t="s">
        <v>17066</v>
      </c>
      <c r="K2275" s="26">
        <f t="shared" si="35"/>
        <v>2000</v>
      </c>
      <c r="L2275" s="26">
        <v>2000</v>
      </c>
      <c r="O2275" s="22" t="s">
        <v>17104</v>
      </c>
      <c r="P2275" s="22" t="s">
        <v>17105</v>
      </c>
      <c r="Q2275" s="22" t="s">
        <v>17106</v>
      </c>
      <c r="R2275" s="22" t="s">
        <v>17107</v>
      </c>
      <c r="S2275" s="22" t="s">
        <v>17108</v>
      </c>
      <c r="X2275" s="26"/>
      <c r="Y2275" s="26"/>
    </row>
    <row r="2276" spans="1:25" ht="37.5" x14ac:dyDescent="0.25">
      <c r="A2276" s="21">
        <v>2541</v>
      </c>
      <c r="B2276" s="22" t="s">
        <v>15346</v>
      </c>
      <c r="C2276" s="22" t="s">
        <v>17101</v>
      </c>
      <c r="F2276" s="22" t="s">
        <v>17111</v>
      </c>
      <c r="G2276" s="23" t="s">
        <v>17112</v>
      </c>
      <c r="H2276" s="25" t="s">
        <v>15373</v>
      </c>
      <c r="I2276" s="22" t="s">
        <v>15374</v>
      </c>
      <c r="J2276" s="22" t="s">
        <v>15701</v>
      </c>
      <c r="K2276" s="26">
        <f t="shared" si="35"/>
        <v>350</v>
      </c>
      <c r="L2276" s="26">
        <v>350</v>
      </c>
      <c r="O2276" s="22" t="s">
        <v>17104</v>
      </c>
      <c r="P2276" s="22" t="s">
        <v>17105</v>
      </c>
      <c r="Q2276" s="22" t="s">
        <v>17113</v>
      </c>
      <c r="R2276" s="22" t="s">
        <v>17107</v>
      </c>
      <c r="S2276" s="22" t="s">
        <v>17108</v>
      </c>
      <c r="X2276" s="26"/>
      <c r="Y2276" s="26"/>
    </row>
    <row r="2277" spans="1:25" ht="37.5" x14ac:dyDescent="0.25">
      <c r="A2277" s="21">
        <v>2542</v>
      </c>
      <c r="B2277" s="22" t="s">
        <v>15346</v>
      </c>
      <c r="C2277" s="22" t="s">
        <v>17101</v>
      </c>
      <c r="F2277" s="22" t="s">
        <v>17114</v>
      </c>
      <c r="G2277" s="23" t="s">
        <v>17115</v>
      </c>
      <c r="H2277" s="25" t="s">
        <v>15373</v>
      </c>
      <c r="I2277" s="22" t="s">
        <v>15374</v>
      </c>
      <c r="J2277" s="22" t="s">
        <v>15701</v>
      </c>
      <c r="K2277" s="26">
        <f t="shared" si="35"/>
        <v>350</v>
      </c>
      <c r="L2277" s="26">
        <v>350</v>
      </c>
      <c r="O2277" s="22" t="s">
        <v>17104</v>
      </c>
      <c r="P2277" s="22" t="s">
        <v>17105</v>
      </c>
      <c r="Q2277" s="22" t="s">
        <v>17113</v>
      </c>
      <c r="R2277" s="22" t="s">
        <v>17107</v>
      </c>
      <c r="S2277" s="22" t="s">
        <v>17108</v>
      </c>
      <c r="X2277" s="26"/>
      <c r="Y2277" s="26"/>
    </row>
    <row r="2278" spans="1:25" ht="37.5" x14ac:dyDescent="0.25">
      <c r="A2278" s="21">
        <v>2543</v>
      </c>
      <c r="B2278" s="22" t="s">
        <v>15346</v>
      </c>
      <c r="C2278" s="22" t="s">
        <v>17116</v>
      </c>
      <c r="F2278" s="22" t="s">
        <v>17117</v>
      </c>
      <c r="G2278" s="23" t="s">
        <v>17118</v>
      </c>
      <c r="H2278" s="25" t="s">
        <v>15373</v>
      </c>
      <c r="I2278" s="22" t="s">
        <v>15374</v>
      </c>
      <c r="J2278" s="22" t="s">
        <v>16869</v>
      </c>
      <c r="K2278" s="26">
        <f t="shared" si="35"/>
        <v>500</v>
      </c>
      <c r="L2278" s="26">
        <v>500</v>
      </c>
      <c r="O2278" s="22" t="s">
        <v>17119</v>
      </c>
      <c r="P2278" s="22" t="s">
        <v>16955</v>
      </c>
      <c r="Q2278" s="22" t="s">
        <v>17120</v>
      </c>
      <c r="S2278" s="22" t="s">
        <v>17121</v>
      </c>
      <c r="X2278" s="26"/>
      <c r="Y2278" s="26"/>
    </row>
    <row r="2279" spans="1:25" ht="25" x14ac:dyDescent="0.25">
      <c r="A2279" s="21">
        <v>2544</v>
      </c>
      <c r="B2279" s="22" t="s">
        <v>15346</v>
      </c>
      <c r="C2279" s="22" t="s">
        <v>17122</v>
      </c>
      <c r="F2279" s="22" t="s">
        <v>17123</v>
      </c>
      <c r="G2279" s="23" t="s">
        <v>17124</v>
      </c>
      <c r="H2279" s="25" t="s">
        <v>15373</v>
      </c>
      <c r="I2279" s="22" t="s">
        <v>15411</v>
      </c>
      <c r="J2279" s="22" t="s">
        <v>15838</v>
      </c>
      <c r="K2279" s="26">
        <f t="shared" si="35"/>
        <v>400</v>
      </c>
      <c r="M2279" s="26">
        <v>600</v>
      </c>
      <c r="O2279" s="22" t="s">
        <v>17125</v>
      </c>
      <c r="P2279" s="22" t="s">
        <v>16985</v>
      </c>
      <c r="Q2279" s="22" t="s">
        <v>17126</v>
      </c>
      <c r="S2279" s="22" t="s">
        <v>17127</v>
      </c>
      <c r="X2279" s="26"/>
      <c r="Y2279" s="26"/>
    </row>
    <row r="2280" spans="1:25" ht="37.5" x14ac:dyDescent="0.25">
      <c r="A2280" s="21">
        <v>2545</v>
      </c>
      <c r="B2280" s="22" t="s">
        <v>15346</v>
      </c>
      <c r="C2280" s="22" t="s">
        <v>17122</v>
      </c>
      <c r="F2280" s="22" t="s">
        <v>17128</v>
      </c>
      <c r="G2280" s="23" t="s">
        <v>17129</v>
      </c>
      <c r="H2280" s="25" t="s">
        <v>15373</v>
      </c>
      <c r="I2280" s="22" t="s">
        <v>15374</v>
      </c>
      <c r="J2280" s="22" t="s">
        <v>15701</v>
      </c>
      <c r="K2280" s="26">
        <f t="shared" si="35"/>
        <v>350</v>
      </c>
      <c r="L2280" s="26">
        <v>350</v>
      </c>
      <c r="O2280" s="22" t="s">
        <v>17125</v>
      </c>
      <c r="P2280" s="22" t="s">
        <v>16985</v>
      </c>
      <c r="Q2280" s="22" t="s">
        <v>17126</v>
      </c>
      <c r="S2280" s="22" t="s">
        <v>17127</v>
      </c>
      <c r="X2280" s="26"/>
      <c r="Y2280" s="26"/>
    </row>
    <row r="2281" spans="1:25" ht="37.5" x14ac:dyDescent="0.25">
      <c r="A2281" s="21">
        <v>2546</v>
      </c>
      <c r="B2281" s="22" t="s">
        <v>15346</v>
      </c>
      <c r="C2281" s="22" t="s">
        <v>17130</v>
      </c>
      <c r="F2281" s="22" t="s">
        <v>17131</v>
      </c>
      <c r="G2281" s="23" t="s">
        <v>17132</v>
      </c>
      <c r="H2281" s="25" t="s">
        <v>15373</v>
      </c>
      <c r="I2281" s="22" t="s">
        <v>15374</v>
      </c>
      <c r="J2281" s="22">
        <v>3508</v>
      </c>
      <c r="K2281" s="26">
        <f t="shared" si="35"/>
        <v>800</v>
      </c>
      <c r="L2281" s="26">
        <v>800</v>
      </c>
      <c r="O2281" s="22" t="s">
        <v>17133</v>
      </c>
      <c r="P2281" s="22" t="s">
        <v>17134</v>
      </c>
      <c r="Q2281" s="22" t="s">
        <v>17135</v>
      </c>
      <c r="S2281" s="22" t="s">
        <v>17136</v>
      </c>
      <c r="X2281" s="26"/>
      <c r="Y2281" s="26"/>
    </row>
    <row r="2282" spans="1:25" ht="25" x14ac:dyDescent="0.25">
      <c r="A2282" s="21">
        <v>2547</v>
      </c>
      <c r="B2282" s="22" t="s">
        <v>15346</v>
      </c>
      <c r="C2282" s="22" t="s">
        <v>17137</v>
      </c>
      <c r="F2282" s="22" t="s">
        <v>17138</v>
      </c>
      <c r="G2282" s="23" t="s">
        <v>17139</v>
      </c>
      <c r="H2282" s="25" t="s">
        <v>15373</v>
      </c>
      <c r="I2282" s="22" t="s">
        <v>15374</v>
      </c>
      <c r="J2282" s="22" t="s">
        <v>17140</v>
      </c>
      <c r="K2282" s="26">
        <f t="shared" si="35"/>
        <v>800</v>
      </c>
      <c r="M2282" s="26">
        <v>1200</v>
      </c>
      <c r="O2282" s="22" t="s">
        <v>17141</v>
      </c>
      <c r="P2282" s="22" t="s">
        <v>16985</v>
      </c>
      <c r="Q2282" s="22" t="s">
        <v>17142</v>
      </c>
      <c r="S2282" s="22" t="s">
        <v>17143</v>
      </c>
      <c r="X2282" s="26"/>
      <c r="Y2282" s="26"/>
    </row>
    <row r="2283" spans="1:25" ht="25" x14ac:dyDescent="0.25">
      <c r="A2283" s="21">
        <v>2548</v>
      </c>
      <c r="B2283" s="22" t="s">
        <v>15346</v>
      </c>
      <c r="C2283" s="22" t="s">
        <v>17137</v>
      </c>
      <c r="F2283" s="22" t="s">
        <v>17144</v>
      </c>
      <c r="G2283" s="23" t="s">
        <v>17145</v>
      </c>
      <c r="H2283" s="25" t="s">
        <v>15373</v>
      </c>
      <c r="I2283" s="22" t="s">
        <v>15374</v>
      </c>
      <c r="J2283" s="22" t="s">
        <v>17140</v>
      </c>
      <c r="K2283" s="26">
        <f t="shared" si="35"/>
        <v>800</v>
      </c>
      <c r="M2283" s="26">
        <v>1200</v>
      </c>
      <c r="O2283" s="22" t="s">
        <v>17141</v>
      </c>
      <c r="P2283" s="22" t="s">
        <v>16985</v>
      </c>
      <c r="Q2283" s="22" t="s">
        <v>17142</v>
      </c>
      <c r="S2283" s="22" t="s">
        <v>17143</v>
      </c>
      <c r="X2283" s="26"/>
      <c r="Y2283" s="26"/>
    </row>
    <row r="2284" spans="1:25" ht="25" x14ac:dyDescent="0.25">
      <c r="A2284" s="21">
        <v>2549</v>
      </c>
      <c r="B2284" s="22" t="s">
        <v>15346</v>
      </c>
      <c r="C2284" s="22" t="s">
        <v>17137</v>
      </c>
      <c r="F2284" s="22" t="s">
        <v>17146</v>
      </c>
      <c r="G2284" s="23" t="s">
        <v>17147</v>
      </c>
      <c r="H2284" s="25" t="s">
        <v>15373</v>
      </c>
      <c r="I2284" s="22" t="s">
        <v>15374</v>
      </c>
      <c r="J2284" s="22" t="s">
        <v>17140</v>
      </c>
      <c r="K2284" s="26">
        <f t="shared" si="35"/>
        <v>800</v>
      </c>
      <c r="M2284" s="26">
        <v>1200</v>
      </c>
      <c r="O2284" s="22" t="s">
        <v>17141</v>
      </c>
      <c r="P2284" s="22" t="s">
        <v>16985</v>
      </c>
      <c r="Q2284" s="22" t="s">
        <v>17142</v>
      </c>
      <c r="S2284" s="22" t="s">
        <v>17143</v>
      </c>
      <c r="X2284" s="26"/>
      <c r="Y2284" s="26"/>
    </row>
    <row r="2285" spans="1:25" ht="37.5" x14ac:dyDescent="0.25">
      <c r="A2285" s="21">
        <v>2550</v>
      </c>
      <c r="B2285" s="22" t="s">
        <v>15346</v>
      </c>
      <c r="C2285" s="22" t="s">
        <v>17148</v>
      </c>
      <c r="F2285" s="22" t="s">
        <v>17149</v>
      </c>
      <c r="G2285" s="23" t="s">
        <v>17150</v>
      </c>
      <c r="H2285" s="25" t="s">
        <v>15373</v>
      </c>
      <c r="I2285" s="22" t="s">
        <v>16311</v>
      </c>
      <c r="J2285" s="22" t="s">
        <v>16311</v>
      </c>
      <c r="K2285" s="26">
        <f t="shared" si="35"/>
        <v>350</v>
      </c>
      <c r="L2285" s="26">
        <v>350</v>
      </c>
      <c r="O2285" s="22" t="s">
        <v>17151</v>
      </c>
      <c r="P2285" s="22" t="s">
        <v>16998</v>
      </c>
      <c r="Q2285" s="22" t="s">
        <v>17152</v>
      </c>
      <c r="S2285" s="22" t="s">
        <v>17153</v>
      </c>
      <c r="X2285" s="26"/>
      <c r="Y2285" s="26"/>
    </row>
    <row r="2286" spans="1:25" ht="37.5" x14ac:dyDescent="0.25">
      <c r="A2286" s="21">
        <v>2551</v>
      </c>
      <c r="B2286" s="22" t="s">
        <v>15346</v>
      </c>
      <c r="C2286" s="22" t="s">
        <v>17154</v>
      </c>
      <c r="F2286" s="22" t="s">
        <v>17155</v>
      </c>
      <c r="G2286" s="23" t="s">
        <v>17156</v>
      </c>
      <c r="H2286" s="25" t="s">
        <v>15373</v>
      </c>
      <c r="I2286" s="22" t="s">
        <v>15411</v>
      </c>
      <c r="J2286" s="22">
        <v>149</v>
      </c>
      <c r="K2286" s="26">
        <f t="shared" si="35"/>
        <v>1100</v>
      </c>
      <c r="L2286" s="26">
        <v>1100</v>
      </c>
      <c r="O2286" s="22" t="s">
        <v>17157</v>
      </c>
      <c r="P2286" s="22" t="s">
        <v>17158</v>
      </c>
      <c r="Q2286" s="22" t="s">
        <v>17159</v>
      </c>
      <c r="S2286" s="22" t="s">
        <v>17160</v>
      </c>
      <c r="X2286" s="26"/>
      <c r="Y2286" s="26"/>
    </row>
    <row r="2287" spans="1:25" ht="37.5" x14ac:dyDescent="0.25">
      <c r="A2287" s="21">
        <v>2552</v>
      </c>
      <c r="B2287" s="22" t="s">
        <v>15346</v>
      </c>
      <c r="C2287" s="22" t="s">
        <v>17161</v>
      </c>
      <c r="F2287" s="22" t="s">
        <v>17162</v>
      </c>
      <c r="G2287" s="23" t="s">
        <v>17163</v>
      </c>
      <c r="H2287" s="25" t="s">
        <v>15373</v>
      </c>
      <c r="I2287" s="22" t="s">
        <v>15382</v>
      </c>
      <c r="J2287" s="22" t="s">
        <v>17164</v>
      </c>
      <c r="K2287" s="26">
        <f t="shared" si="35"/>
        <v>993.33333333333326</v>
      </c>
      <c r="M2287" s="26">
        <v>1490</v>
      </c>
      <c r="O2287" s="22" t="s">
        <v>17165</v>
      </c>
      <c r="P2287" s="22" t="s">
        <v>17105</v>
      </c>
      <c r="Q2287" s="22" t="s">
        <v>17113</v>
      </c>
      <c r="R2287" s="22" t="s">
        <v>17166</v>
      </c>
      <c r="S2287" s="22" t="s">
        <v>17167</v>
      </c>
      <c r="X2287" s="26"/>
      <c r="Y2287" s="26"/>
    </row>
    <row r="2288" spans="1:25" ht="37.5" x14ac:dyDescent="0.25">
      <c r="A2288" s="21">
        <v>2553</v>
      </c>
      <c r="B2288" s="22" t="s">
        <v>15346</v>
      </c>
      <c r="C2288" s="22" t="s">
        <v>17161</v>
      </c>
      <c r="F2288" s="22" t="s">
        <v>17168</v>
      </c>
      <c r="G2288" s="23" t="s">
        <v>17169</v>
      </c>
      <c r="H2288" s="25" t="s">
        <v>15373</v>
      </c>
      <c r="I2288" s="22" t="s">
        <v>15382</v>
      </c>
      <c r="J2288" s="22" t="s">
        <v>17164</v>
      </c>
      <c r="K2288" s="26">
        <f t="shared" si="35"/>
        <v>993.33333333333326</v>
      </c>
      <c r="M2288" s="26">
        <v>1490</v>
      </c>
      <c r="O2288" s="22" t="s">
        <v>17165</v>
      </c>
      <c r="P2288" s="22" t="s">
        <v>17105</v>
      </c>
      <c r="Q2288" s="22" t="s">
        <v>17113</v>
      </c>
      <c r="R2288" s="22" t="s">
        <v>17166</v>
      </c>
      <c r="S2288" s="22" t="s">
        <v>17167</v>
      </c>
      <c r="X2288" s="26"/>
      <c r="Y2288" s="26"/>
    </row>
    <row r="2289" spans="1:25" ht="37.5" x14ac:dyDescent="0.25">
      <c r="A2289" s="21">
        <v>2554</v>
      </c>
      <c r="B2289" s="22" t="s">
        <v>15346</v>
      </c>
      <c r="C2289" s="22" t="s">
        <v>17161</v>
      </c>
      <c r="F2289" s="22" t="s">
        <v>17170</v>
      </c>
      <c r="G2289" s="23" t="s">
        <v>17171</v>
      </c>
      <c r="H2289" s="25" t="s">
        <v>15373</v>
      </c>
      <c r="I2289" s="22" t="s">
        <v>15382</v>
      </c>
      <c r="J2289" s="22" t="s">
        <v>14659</v>
      </c>
      <c r="K2289" s="26">
        <f t="shared" si="35"/>
        <v>500</v>
      </c>
      <c r="L2289" s="26">
        <v>500</v>
      </c>
      <c r="O2289" s="22" t="s">
        <v>17165</v>
      </c>
      <c r="P2289" s="22" t="s">
        <v>17105</v>
      </c>
      <c r="Q2289" s="22" t="s">
        <v>17113</v>
      </c>
      <c r="R2289" s="22" t="s">
        <v>17166</v>
      </c>
      <c r="S2289" s="22" t="s">
        <v>17167</v>
      </c>
      <c r="X2289" s="26"/>
      <c r="Y2289" s="26"/>
    </row>
    <row r="2290" spans="1:25" ht="37.5" x14ac:dyDescent="0.25">
      <c r="A2290" s="21">
        <v>2555</v>
      </c>
      <c r="B2290" s="22" t="s">
        <v>15346</v>
      </c>
      <c r="C2290" s="22" t="s">
        <v>17172</v>
      </c>
      <c r="F2290" s="22" t="s">
        <v>17173</v>
      </c>
      <c r="G2290" s="23" t="s">
        <v>17174</v>
      </c>
      <c r="H2290" s="25" t="s">
        <v>15373</v>
      </c>
      <c r="I2290" s="22" t="s">
        <v>15411</v>
      </c>
      <c r="J2290" s="22" t="s">
        <v>16437</v>
      </c>
      <c r="K2290" s="26">
        <f t="shared" si="35"/>
        <v>1279.3333333333333</v>
      </c>
      <c r="M2290" s="26">
        <v>1919</v>
      </c>
      <c r="O2290" s="22" t="s">
        <v>17175</v>
      </c>
      <c r="P2290" s="22" t="s">
        <v>17176</v>
      </c>
      <c r="Q2290" s="22" t="s">
        <v>17177</v>
      </c>
      <c r="S2290" s="22" t="s">
        <v>17178</v>
      </c>
      <c r="X2290" s="26"/>
      <c r="Y2290" s="26"/>
    </row>
    <row r="2291" spans="1:25" ht="37.5" x14ac:dyDescent="0.25">
      <c r="A2291" s="21">
        <v>2556</v>
      </c>
      <c r="B2291" s="22" t="s">
        <v>15346</v>
      </c>
      <c r="C2291" s="22" t="s">
        <v>17179</v>
      </c>
      <c r="F2291" s="22" t="s">
        <v>17180</v>
      </c>
      <c r="G2291" s="23" t="s">
        <v>17181</v>
      </c>
      <c r="H2291" s="25" t="s">
        <v>15373</v>
      </c>
      <c r="I2291" s="22" t="s">
        <v>15374</v>
      </c>
      <c r="J2291" s="22" t="s">
        <v>16121</v>
      </c>
      <c r="K2291" s="26">
        <f t="shared" si="35"/>
        <v>620</v>
      </c>
      <c r="L2291" s="26">
        <v>620</v>
      </c>
      <c r="O2291" s="22" t="s">
        <v>17182</v>
      </c>
      <c r="P2291" s="22" t="s">
        <v>17105</v>
      </c>
      <c r="Q2291" s="22" t="s">
        <v>17113</v>
      </c>
      <c r="S2291" s="22" t="s">
        <v>17183</v>
      </c>
      <c r="X2291" s="26"/>
      <c r="Y2291" s="26"/>
    </row>
    <row r="2292" spans="1:25" ht="37.5" x14ac:dyDescent="0.25">
      <c r="A2292" s="21">
        <v>2557</v>
      </c>
      <c r="B2292" s="22" t="s">
        <v>15346</v>
      </c>
      <c r="C2292" s="22" t="s">
        <v>17179</v>
      </c>
      <c r="F2292" s="22" t="s">
        <v>17184</v>
      </c>
      <c r="G2292" s="23" t="s">
        <v>17185</v>
      </c>
      <c r="H2292" s="25" t="s">
        <v>15373</v>
      </c>
      <c r="I2292" s="22" t="s">
        <v>15374</v>
      </c>
      <c r="J2292" s="22" t="s">
        <v>16121</v>
      </c>
      <c r="K2292" s="26">
        <f t="shared" si="35"/>
        <v>620</v>
      </c>
      <c r="L2292" s="26">
        <v>620</v>
      </c>
      <c r="O2292" s="22" t="s">
        <v>17182</v>
      </c>
      <c r="P2292" s="22" t="s">
        <v>17105</v>
      </c>
      <c r="Q2292" s="22" t="s">
        <v>17113</v>
      </c>
      <c r="S2292" s="22" t="s">
        <v>17183</v>
      </c>
      <c r="X2292" s="26"/>
      <c r="Y2292" s="26"/>
    </row>
    <row r="2293" spans="1:25" ht="25" x14ac:dyDescent="0.25">
      <c r="A2293" s="21">
        <v>2558</v>
      </c>
      <c r="B2293" s="22" t="s">
        <v>15346</v>
      </c>
      <c r="C2293" s="22" t="s">
        <v>17186</v>
      </c>
      <c r="F2293" s="22" t="s">
        <v>17187</v>
      </c>
      <c r="G2293" s="23" t="s">
        <v>17188</v>
      </c>
      <c r="H2293" s="25" t="s">
        <v>15373</v>
      </c>
      <c r="I2293" s="22" t="s">
        <v>15382</v>
      </c>
      <c r="J2293" s="22" t="s">
        <v>17189</v>
      </c>
      <c r="K2293" s="26">
        <f t="shared" si="35"/>
        <v>400</v>
      </c>
      <c r="M2293" s="26">
        <v>600</v>
      </c>
      <c r="O2293" s="22" t="s">
        <v>16945</v>
      </c>
      <c r="P2293" s="22" t="s">
        <v>16949</v>
      </c>
      <c r="S2293" s="22" t="s">
        <v>17190</v>
      </c>
      <c r="X2293" s="26"/>
      <c r="Y2293" s="26"/>
    </row>
    <row r="2294" spans="1:25" ht="37.5" x14ac:dyDescent="0.25">
      <c r="A2294" s="21">
        <v>2559</v>
      </c>
      <c r="B2294" s="22" t="s">
        <v>15346</v>
      </c>
      <c r="C2294" s="22" t="s">
        <v>17191</v>
      </c>
      <c r="F2294" s="22" t="s">
        <v>17192</v>
      </c>
      <c r="G2294" s="23" t="s">
        <v>17193</v>
      </c>
      <c r="H2294" s="25" t="s">
        <v>15373</v>
      </c>
      <c r="I2294" s="22" t="s">
        <v>15411</v>
      </c>
      <c r="J2294" s="22" t="s">
        <v>17194</v>
      </c>
      <c r="K2294" s="26">
        <f t="shared" si="35"/>
        <v>1956.6666666666665</v>
      </c>
      <c r="M2294" s="26">
        <v>2935</v>
      </c>
      <c r="O2294" s="22" t="s">
        <v>17195</v>
      </c>
      <c r="P2294" s="22" t="s">
        <v>16991</v>
      </c>
      <c r="Q2294" s="22" t="s">
        <v>17196</v>
      </c>
      <c r="S2294" s="22" t="s">
        <v>16976</v>
      </c>
      <c r="X2294" s="26"/>
      <c r="Y2294" s="26"/>
    </row>
    <row r="2295" spans="1:25" ht="25" x14ac:dyDescent="0.25">
      <c r="A2295" s="21">
        <v>2560</v>
      </c>
      <c r="B2295" s="22" t="s">
        <v>15346</v>
      </c>
      <c r="C2295" s="22" t="s">
        <v>17197</v>
      </c>
      <c r="F2295" s="22" t="s">
        <v>17198</v>
      </c>
      <c r="G2295" s="23" t="s">
        <v>17199</v>
      </c>
      <c r="H2295" s="25" t="s">
        <v>15373</v>
      </c>
      <c r="I2295" s="22" t="s">
        <v>15382</v>
      </c>
      <c r="J2295" s="22" t="s">
        <v>16569</v>
      </c>
      <c r="K2295" s="26">
        <f t="shared" si="35"/>
        <v>400</v>
      </c>
      <c r="L2295" s="26">
        <v>400</v>
      </c>
      <c r="O2295" s="22" t="s">
        <v>17200</v>
      </c>
      <c r="P2295" s="22" t="s">
        <v>17201</v>
      </c>
      <c r="Q2295" s="22" t="s">
        <v>17202</v>
      </c>
      <c r="S2295" s="22" t="s">
        <v>17203</v>
      </c>
      <c r="X2295" s="26"/>
      <c r="Y2295" s="26"/>
    </row>
    <row r="2296" spans="1:25" ht="37.5" x14ac:dyDescent="0.25">
      <c r="A2296" s="21">
        <v>2561</v>
      </c>
      <c r="B2296" s="22" t="s">
        <v>15346</v>
      </c>
      <c r="C2296" s="22" t="s">
        <v>17204</v>
      </c>
      <c r="F2296" s="22" t="s">
        <v>17205</v>
      </c>
      <c r="G2296" s="23" t="s">
        <v>17206</v>
      </c>
      <c r="H2296" s="25" t="s">
        <v>15373</v>
      </c>
      <c r="I2296" s="22" t="s">
        <v>15382</v>
      </c>
      <c r="J2296" s="22" t="s">
        <v>16311</v>
      </c>
      <c r="K2296" s="26">
        <f t="shared" si="35"/>
        <v>600</v>
      </c>
      <c r="L2296" s="26">
        <v>600</v>
      </c>
      <c r="O2296" s="22" t="s">
        <v>17207</v>
      </c>
      <c r="P2296" s="22" t="s">
        <v>17080</v>
      </c>
      <c r="Q2296" s="22" t="s">
        <v>17081</v>
      </c>
      <c r="S2296" s="22" t="s">
        <v>17208</v>
      </c>
      <c r="X2296" s="26"/>
      <c r="Y2296" s="26"/>
    </row>
    <row r="2297" spans="1:25" ht="37.5" x14ac:dyDescent="0.25">
      <c r="A2297" s="21">
        <v>2562</v>
      </c>
      <c r="B2297" s="22" t="s">
        <v>15346</v>
      </c>
      <c r="C2297" s="22" t="s">
        <v>17209</v>
      </c>
      <c r="F2297" s="22" t="s">
        <v>17210</v>
      </c>
      <c r="G2297" s="23" t="s">
        <v>17211</v>
      </c>
      <c r="H2297" s="25" t="s">
        <v>15373</v>
      </c>
      <c r="I2297" s="22" t="s">
        <v>15382</v>
      </c>
      <c r="J2297" s="22" t="s">
        <v>17212</v>
      </c>
      <c r="K2297" s="26">
        <f t="shared" si="35"/>
        <v>500</v>
      </c>
      <c r="L2297" s="26">
        <v>500</v>
      </c>
      <c r="O2297" s="22" t="s">
        <v>17213</v>
      </c>
      <c r="P2297" s="22" t="s">
        <v>17042</v>
      </c>
      <c r="Q2297" s="22" t="s">
        <v>17043</v>
      </c>
      <c r="S2297" s="22" t="s">
        <v>16976</v>
      </c>
      <c r="X2297" s="26"/>
      <c r="Y2297" s="26"/>
    </row>
    <row r="2298" spans="1:25" ht="37.5" x14ac:dyDescent="0.25">
      <c r="A2298" s="21">
        <v>2563</v>
      </c>
      <c r="B2298" s="22" t="s">
        <v>15346</v>
      </c>
      <c r="C2298" s="22" t="s">
        <v>17209</v>
      </c>
      <c r="F2298" s="22" t="s">
        <v>17214</v>
      </c>
      <c r="G2298" s="23" t="s">
        <v>17215</v>
      </c>
      <c r="H2298" s="25" t="s">
        <v>15373</v>
      </c>
      <c r="I2298" s="22" t="s">
        <v>15382</v>
      </c>
      <c r="J2298" s="22" t="s">
        <v>17216</v>
      </c>
      <c r="K2298" s="26">
        <f t="shared" si="35"/>
        <v>400</v>
      </c>
      <c r="L2298" s="26">
        <v>400</v>
      </c>
      <c r="O2298" s="22" t="s">
        <v>17217</v>
      </c>
      <c r="P2298" s="22" t="s">
        <v>17042</v>
      </c>
      <c r="Q2298" s="22" t="s">
        <v>17043</v>
      </c>
      <c r="S2298" s="22" t="s">
        <v>16976</v>
      </c>
      <c r="X2298" s="26"/>
      <c r="Y2298" s="26"/>
    </row>
    <row r="2299" spans="1:25" ht="37.5" x14ac:dyDescent="0.25">
      <c r="A2299" s="21">
        <v>2564</v>
      </c>
      <c r="B2299" s="22" t="s">
        <v>15346</v>
      </c>
      <c r="C2299" s="22" t="s">
        <v>17209</v>
      </c>
      <c r="F2299" s="22" t="s">
        <v>17218</v>
      </c>
      <c r="G2299" s="23" t="s">
        <v>17219</v>
      </c>
      <c r="H2299" s="25" t="s">
        <v>15373</v>
      </c>
      <c r="I2299" s="22" t="s">
        <v>15382</v>
      </c>
      <c r="J2299" s="22" t="s">
        <v>17220</v>
      </c>
      <c r="K2299" s="26">
        <f t="shared" si="35"/>
        <v>400</v>
      </c>
      <c r="L2299" s="26">
        <v>400</v>
      </c>
      <c r="O2299" s="22" t="s">
        <v>17221</v>
      </c>
      <c r="P2299" s="22" t="s">
        <v>17042</v>
      </c>
      <c r="Q2299" s="22" t="s">
        <v>17043</v>
      </c>
      <c r="S2299" s="22" t="s">
        <v>16976</v>
      </c>
      <c r="X2299" s="26"/>
      <c r="Y2299" s="26"/>
    </row>
    <row r="2300" spans="1:25" ht="37.5" x14ac:dyDescent="0.25">
      <c r="A2300" s="21">
        <v>2565</v>
      </c>
      <c r="B2300" s="22" t="s">
        <v>15346</v>
      </c>
      <c r="C2300" s="22" t="s">
        <v>17222</v>
      </c>
      <c r="F2300" s="22" t="s">
        <v>17223</v>
      </c>
      <c r="G2300" s="23" t="s">
        <v>17224</v>
      </c>
      <c r="H2300" s="25" t="s">
        <v>15373</v>
      </c>
      <c r="I2300" s="22" t="s">
        <v>15374</v>
      </c>
      <c r="J2300" s="22">
        <v>3412</v>
      </c>
      <c r="K2300" s="26">
        <f t="shared" si="35"/>
        <v>600</v>
      </c>
      <c r="L2300" s="26">
        <v>600</v>
      </c>
      <c r="O2300" s="22" t="s">
        <v>17225</v>
      </c>
      <c r="P2300" s="22" t="s">
        <v>16955</v>
      </c>
      <c r="Q2300" s="22" t="s">
        <v>17226</v>
      </c>
      <c r="S2300" s="22" t="s">
        <v>17227</v>
      </c>
      <c r="X2300" s="26"/>
      <c r="Y2300" s="26"/>
    </row>
    <row r="2301" spans="1:25" ht="25" x14ac:dyDescent="0.25">
      <c r="A2301" s="21">
        <v>2566</v>
      </c>
      <c r="B2301" s="22" t="s">
        <v>15346</v>
      </c>
      <c r="C2301" s="22" t="s">
        <v>17228</v>
      </c>
      <c r="F2301" s="22" t="s">
        <v>17229</v>
      </c>
      <c r="G2301" s="23" t="s">
        <v>17230</v>
      </c>
      <c r="H2301" s="25" t="s">
        <v>15373</v>
      </c>
      <c r="I2301" s="22" t="s">
        <v>15374</v>
      </c>
      <c r="J2301" s="22">
        <v>3412</v>
      </c>
      <c r="K2301" s="26">
        <f t="shared" si="35"/>
        <v>450</v>
      </c>
      <c r="L2301" s="26">
        <v>450</v>
      </c>
      <c r="O2301" s="22" t="s">
        <v>17231</v>
      </c>
      <c r="P2301" s="22" t="s">
        <v>16955</v>
      </c>
      <c r="Q2301" s="22" t="s">
        <v>17232</v>
      </c>
      <c r="S2301" s="22" t="s">
        <v>17233</v>
      </c>
      <c r="X2301" s="26"/>
      <c r="Y2301" s="26"/>
    </row>
    <row r="2302" spans="1:25" ht="37.5" x14ac:dyDescent="0.25">
      <c r="A2302" s="21">
        <v>2567</v>
      </c>
      <c r="B2302" s="22" t="s">
        <v>15346</v>
      </c>
      <c r="C2302" s="22" t="s">
        <v>17228</v>
      </c>
      <c r="F2302" s="22" t="s">
        <v>17234</v>
      </c>
      <c r="G2302" s="23" t="s">
        <v>17235</v>
      </c>
      <c r="H2302" s="25" t="s">
        <v>15373</v>
      </c>
      <c r="I2302" s="22" t="s">
        <v>15374</v>
      </c>
      <c r="J2302" s="22">
        <v>3406</v>
      </c>
      <c r="K2302" s="26">
        <f t="shared" si="35"/>
        <v>322.66666666666663</v>
      </c>
      <c r="M2302" s="26">
        <v>484</v>
      </c>
      <c r="O2302" s="22" t="s">
        <v>17236</v>
      </c>
      <c r="P2302" s="22" t="s">
        <v>16955</v>
      </c>
      <c r="Q2302" s="22" t="s">
        <v>16975</v>
      </c>
      <c r="S2302" s="22" t="s">
        <v>17237</v>
      </c>
      <c r="X2302" s="26"/>
      <c r="Y2302" s="26"/>
    </row>
    <row r="2303" spans="1:25" ht="25" x14ac:dyDescent="0.25">
      <c r="A2303" s="21">
        <v>2568</v>
      </c>
      <c r="B2303" s="22" t="s">
        <v>15346</v>
      </c>
      <c r="C2303" s="22" t="s">
        <v>17228</v>
      </c>
      <c r="F2303" s="22" t="s">
        <v>17238</v>
      </c>
      <c r="G2303" s="23" t="s">
        <v>17239</v>
      </c>
      <c r="H2303" s="25" t="s">
        <v>15373</v>
      </c>
      <c r="I2303" s="22" t="s">
        <v>15374</v>
      </c>
      <c r="J2303" s="22">
        <v>3406</v>
      </c>
      <c r="K2303" s="26">
        <f t="shared" si="35"/>
        <v>400</v>
      </c>
      <c r="L2303" s="26">
        <v>400</v>
      </c>
      <c r="O2303" s="22" t="s">
        <v>17240</v>
      </c>
      <c r="P2303" s="22" t="s">
        <v>16955</v>
      </c>
      <c r="Q2303" s="22" t="s">
        <v>17241</v>
      </c>
      <c r="S2303" s="22" t="s">
        <v>17237</v>
      </c>
      <c r="X2303" s="26"/>
      <c r="Y2303" s="26"/>
    </row>
    <row r="2304" spans="1:25" ht="37.5" x14ac:dyDescent="0.25">
      <c r="A2304" s="21">
        <v>2569</v>
      </c>
      <c r="B2304" s="22" t="s">
        <v>15346</v>
      </c>
      <c r="C2304" s="22" t="s">
        <v>17228</v>
      </c>
      <c r="F2304" s="22" t="s">
        <v>17242</v>
      </c>
      <c r="G2304" s="23" t="s">
        <v>17243</v>
      </c>
      <c r="H2304" s="25" t="s">
        <v>15373</v>
      </c>
      <c r="I2304" s="22" t="s">
        <v>15374</v>
      </c>
      <c r="J2304" s="22">
        <v>3406</v>
      </c>
      <c r="K2304" s="26">
        <f t="shared" si="35"/>
        <v>340</v>
      </c>
      <c r="L2304" s="26">
        <v>340</v>
      </c>
      <c r="O2304" s="22" t="s">
        <v>17244</v>
      </c>
      <c r="P2304" s="22" t="s">
        <v>16955</v>
      </c>
      <c r="Q2304" s="22" t="s">
        <v>17245</v>
      </c>
      <c r="S2304" s="22" t="s">
        <v>17237</v>
      </c>
      <c r="X2304" s="26"/>
      <c r="Y2304" s="26"/>
    </row>
    <row r="2305" spans="1:25" ht="37.5" x14ac:dyDescent="0.25">
      <c r="A2305" s="21">
        <v>2570</v>
      </c>
      <c r="B2305" s="22" t="s">
        <v>15346</v>
      </c>
      <c r="C2305" s="22" t="s">
        <v>17228</v>
      </c>
      <c r="F2305" s="22" t="s">
        <v>17246</v>
      </c>
      <c r="G2305" s="23" t="s">
        <v>17247</v>
      </c>
      <c r="H2305" s="25" t="s">
        <v>15373</v>
      </c>
      <c r="I2305" s="22" t="s">
        <v>15374</v>
      </c>
      <c r="J2305" s="22">
        <v>3406</v>
      </c>
      <c r="K2305" s="26">
        <f t="shared" ref="K2305:K2368" si="36">L2305+M2305*(2/3)+N2305*(2/3)</f>
        <v>300</v>
      </c>
      <c r="L2305" s="26">
        <v>300</v>
      </c>
      <c r="O2305" s="22" t="s">
        <v>17248</v>
      </c>
      <c r="P2305" s="22" t="s">
        <v>16955</v>
      </c>
      <c r="Q2305" s="22" t="s">
        <v>17249</v>
      </c>
      <c r="S2305" s="22" t="s">
        <v>17237</v>
      </c>
      <c r="X2305" s="26"/>
      <c r="Y2305" s="26"/>
    </row>
    <row r="2306" spans="1:25" ht="25" x14ac:dyDescent="0.25">
      <c r="A2306" s="21">
        <v>2571</v>
      </c>
      <c r="B2306" s="22" t="s">
        <v>15346</v>
      </c>
      <c r="C2306" s="22" t="s">
        <v>17228</v>
      </c>
      <c r="F2306" s="22" t="s">
        <v>17250</v>
      </c>
      <c r="G2306" s="23" t="s">
        <v>17251</v>
      </c>
      <c r="H2306" s="25" t="s">
        <v>15373</v>
      </c>
      <c r="I2306" s="22" t="s">
        <v>16311</v>
      </c>
      <c r="J2306" s="22" t="s">
        <v>16311</v>
      </c>
      <c r="K2306" s="26">
        <f t="shared" si="36"/>
        <v>322.66666666666663</v>
      </c>
      <c r="M2306" s="26">
        <v>484</v>
      </c>
      <c r="O2306" s="22" t="s">
        <v>17252</v>
      </c>
      <c r="P2306" s="22" t="s">
        <v>16955</v>
      </c>
      <c r="Q2306" s="22" t="s">
        <v>17245</v>
      </c>
      <c r="S2306" s="22" t="s">
        <v>17237</v>
      </c>
      <c r="X2306" s="26"/>
      <c r="Y2306" s="26"/>
    </row>
    <row r="2307" spans="1:25" ht="37.5" x14ac:dyDescent="0.25">
      <c r="A2307" s="21">
        <v>2572</v>
      </c>
      <c r="B2307" s="22" t="s">
        <v>15346</v>
      </c>
      <c r="C2307" s="22" t="s">
        <v>17228</v>
      </c>
      <c r="F2307" s="22" t="s">
        <v>17253</v>
      </c>
      <c r="G2307" s="23" t="s">
        <v>17254</v>
      </c>
      <c r="H2307" s="25" t="s">
        <v>15373</v>
      </c>
      <c r="I2307" s="22" t="s">
        <v>15374</v>
      </c>
      <c r="J2307" s="22">
        <v>3406</v>
      </c>
      <c r="K2307" s="26">
        <f t="shared" si="36"/>
        <v>346</v>
      </c>
      <c r="M2307" s="26">
        <v>519</v>
      </c>
      <c r="O2307" s="22" t="s">
        <v>17255</v>
      </c>
      <c r="P2307" s="22" t="s">
        <v>16955</v>
      </c>
      <c r="Q2307" s="22" t="s">
        <v>17256</v>
      </c>
      <c r="S2307" s="22" t="s">
        <v>17237</v>
      </c>
      <c r="X2307" s="26"/>
      <c r="Y2307" s="26"/>
    </row>
    <row r="2308" spans="1:25" ht="37.5" x14ac:dyDescent="0.25">
      <c r="A2308" s="21">
        <v>2573</v>
      </c>
      <c r="B2308" s="22" t="s">
        <v>15346</v>
      </c>
      <c r="C2308" s="22" t="s">
        <v>17228</v>
      </c>
      <c r="F2308" s="22" t="s">
        <v>17257</v>
      </c>
      <c r="G2308" s="23" t="s">
        <v>17258</v>
      </c>
      <c r="H2308" s="25" t="s">
        <v>15373</v>
      </c>
      <c r="I2308" s="22" t="s">
        <v>15382</v>
      </c>
      <c r="J2308" s="22" t="s">
        <v>16811</v>
      </c>
      <c r="K2308" s="26">
        <f t="shared" si="36"/>
        <v>350</v>
      </c>
      <c r="L2308" s="26">
        <v>350</v>
      </c>
      <c r="O2308" s="22" t="s">
        <v>17259</v>
      </c>
      <c r="P2308" s="22" t="s">
        <v>16955</v>
      </c>
      <c r="Q2308" s="22" t="s">
        <v>17226</v>
      </c>
      <c r="S2308" s="22" t="s">
        <v>17237</v>
      </c>
      <c r="X2308" s="26"/>
      <c r="Y2308" s="26"/>
    </row>
    <row r="2309" spans="1:25" ht="25" x14ac:dyDescent="0.25">
      <c r="A2309" s="21">
        <v>2574</v>
      </c>
      <c r="B2309" s="22" t="s">
        <v>15346</v>
      </c>
      <c r="C2309" s="22" t="s">
        <v>17260</v>
      </c>
      <c r="F2309" s="22" t="s">
        <v>17261</v>
      </c>
      <c r="G2309" s="23" t="s">
        <v>17262</v>
      </c>
      <c r="H2309" s="25" t="s">
        <v>15373</v>
      </c>
      <c r="I2309" s="22" t="s">
        <v>15374</v>
      </c>
      <c r="J2309" s="22" t="s">
        <v>16899</v>
      </c>
      <c r="K2309" s="26">
        <f t="shared" si="36"/>
        <v>500</v>
      </c>
      <c r="L2309" s="26">
        <v>500</v>
      </c>
      <c r="O2309" s="22" t="s">
        <v>17263</v>
      </c>
      <c r="P2309" s="22" t="s">
        <v>17264</v>
      </c>
      <c r="Q2309" s="22" t="s">
        <v>17265</v>
      </c>
      <c r="S2309" s="22" t="s">
        <v>17266</v>
      </c>
      <c r="X2309" s="26"/>
      <c r="Y2309" s="26"/>
    </row>
    <row r="2310" spans="1:25" ht="37.5" x14ac:dyDescent="0.25">
      <c r="A2310" s="21">
        <v>2575</v>
      </c>
      <c r="B2310" s="22" t="s">
        <v>15346</v>
      </c>
      <c r="C2310" s="22" t="s">
        <v>17267</v>
      </c>
      <c r="F2310" s="22" t="s">
        <v>17268</v>
      </c>
      <c r="G2310" s="23" t="s">
        <v>17269</v>
      </c>
      <c r="H2310" s="25" t="s">
        <v>15373</v>
      </c>
      <c r="I2310" s="22" t="s">
        <v>15374</v>
      </c>
      <c r="J2310" s="22" t="s">
        <v>17270</v>
      </c>
      <c r="K2310" s="26">
        <f t="shared" si="36"/>
        <v>300</v>
      </c>
      <c r="L2310" s="26">
        <v>300</v>
      </c>
      <c r="O2310" s="22" t="s">
        <v>17271</v>
      </c>
      <c r="P2310" s="22" t="s">
        <v>17264</v>
      </c>
      <c r="Q2310" s="22" t="s">
        <v>17265</v>
      </c>
      <c r="S2310" s="22" t="s">
        <v>17272</v>
      </c>
      <c r="X2310" s="26"/>
      <c r="Y2310" s="26"/>
    </row>
    <row r="2311" spans="1:25" ht="37.5" x14ac:dyDescent="0.25">
      <c r="A2311" s="21">
        <v>2576</v>
      </c>
      <c r="B2311" s="22" t="s">
        <v>15346</v>
      </c>
      <c r="C2311" s="22" t="s">
        <v>17273</v>
      </c>
      <c r="F2311" s="22" t="s">
        <v>17274</v>
      </c>
      <c r="G2311" s="23" t="s">
        <v>17275</v>
      </c>
      <c r="H2311" s="25" t="s">
        <v>15373</v>
      </c>
      <c r="I2311" s="22" t="s">
        <v>15374</v>
      </c>
      <c r="J2311" s="22" t="s">
        <v>16377</v>
      </c>
      <c r="K2311" s="26">
        <f t="shared" si="36"/>
        <v>300</v>
      </c>
      <c r="L2311" s="26">
        <v>300</v>
      </c>
      <c r="O2311" s="22" t="s">
        <v>17276</v>
      </c>
      <c r="P2311" s="22" t="s">
        <v>17264</v>
      </c>
      <c r="Q2311" s="22" t="s">
        <v>17277</v>
      </c>
      <c r="S2311" s="22" t="s">
        <v>17272</v>
      </c>
      <c r="X2311" s="26"/>
      <c r="Y2311" s="26"/>
    </row>
    <row r="2312" spans="1:25" ht="37.5" x14ac:dyDescent="0.25">
      <c r="A2312" s="21">
        <v>2577</v>
      </c>
      <c r="B2312" s="22" t="s">
        <v>15346</v>
      </c>
      <c r="C2312" s="22" t="s">
        <v>17278</v>
      </c>
      <c r="F2312" s="22" t="s">
        <v>17279</v>
      </c>
      <c r="G2312" s="23" t="s">
        <v>17280</v>
      </c>
      <c r="H2312" s="25" t="s">
        <v>15373</v>
      </c>
      <c r="I2312" s="22" t="s">
        <v>15411</v>
      </c>
      <c r="J2312" s="22" t="s">
        <v>17281</v>
      </c>
      <c r="K2312" s="26">
        <f t="shared" si="36"/>
        <v>300</v>
      </c>
      <c r="L2312" s="26">
        <v>300</v>
      </c>
      <c r="O2312" s="22" t="s">
        <v>17282</v>
      </c>
      <c r="P2312" s="22" t="s">
        <v>17283</v>
      </c>
      <c r="Q2312" s="22" t="s">
        <v>17284</v>
      </c>
      <c r="S2312" s="22" t="s">
        <v>16976</v>
      </c>
      <c r="X2312" s="26"/>
      <c r="Y2312" s="26"/>
    </row>
    <row r="2313" spans="1:25" ht="37.5" x14ac:dyDescent="0.25">
      <c r="A2313" s="21">
        <v>2578</v>
      </c>
      <c r="B2313" s="22" t="s">
        <v>15346</v>
      </c>
      <c r="C2313" s="22" t="s">
        <v>17285</v>
      </c>
      <c r="F2313" s="22" t="s">
        <v>17286</v>
      </c>
      <c r="G2313" s="23" t="s">
        <v>17287</v>
      </c>
      <c r="H2313" s="25" t="s">
        <v>15373</v>
      </c>
      <c r="I2313" s="22" t="s">
        <v>15374</v>
      </c>
      <c r="J2313" s="22" t="s">
        <v>17288</v>
      </c>
      <c r="K2313" s="26">
        <f t="shared" si="36"/>
        <v>400</v>
      </c>
      <c r="L2313" s="26">
        <v>400</v>
      </c>
      <c r="O2313" s="22" t="s">
        <v>17289</v>
      </c>
      <c r="P2313" s="22" t="s">
        <v>16934</v>
      </c>
      <c r="Q2313" s="22" t="s">
        <v>16935</v>
      </c>
      <c r="S2313" s="22" t="s">
        <v>17290</v>
      </c>
      <c r="X2313" s="26"/>
      <c r="Y2313" s="26"/>
    </row>
    <row r="2314" spans="1:25" ht="37.5" x14ac:dyDescent="0.25">
      <c r="A2314" s="21">
        <v>2579</v>
      </c>
      <c r="B2314" s="22" t="s">
        <v>15346</v>
      </c>
      <c r="C2314" s="22" t="s">
        <v>17291</v>
      </c>
      <c r="F2314" s="22" t="s">
        <v>17292</v>
      </c>
      <c r="G2314" s="23" t="s">
        <v>17293</v>
      </c>
      <c r="H2314" s="25" t="s">
        <v>15373</v>
      </c>
      <c r="I2314" s="22" t="s">
        <v>15374</v>
      </c>
      <c r="J2314" s="22" t="s">
        <v>17294</v>
      </c>
      <c r="K2314" s="26">
        <f t="shared" si="36"/>
        <v>1206.6666666666665</v>
      </c>
      <c r="L2314" s="26">
        <v>600</v>
      </c>
      <c r="N2314" s="26">
        <v>910</v>
      </c>
      <c r="O2314" s="22" t="s">
        <v>17295</v>
      </c>
      <c r="P2314" s="22" t="s">
        <v>16934</v>
      </c>
      <c r="Q2314" s="22" t="s">
        <v>17296</v>
      </c>
      <c r="S2314" s="22" t="s">
        <v>17297</v>
      </c>
      <c r="X2314" s="26"/>
      <c r="Y2314" s="26"/>
    </row>
    <row r="2315" spans="1:25" ht="37.5" x14ac:dyDescent="0.25">
      <c r="A2315" s="21">
        <v>2580</v>
      </c>
      <c r="B2315" s="22" t="s">
        <v>15346</v>
      </c>
      <c r="C2315" s="22" t="s">
        <v>17298</v>
      </c>
      <c r="F2315" s="22" t="s">
        <v>17299</v>
      </c>
      <c r="G2315" s="23" t="s">
        <v>17300</v>
      </c>
      <c r="H2315" s="25" t="s">
        <v>15373</v>
      </c>
      <c r="I2315" s="22" t="s">
        <v>15382</v>
      </c>
      <c r="J2315" s="22" t="s">
        <v>14850</v>
      </c>
      <c r="K2315" s="26">
        <f t="shared" si="36"/>
        <v>300</v>
      </c>
      <c r="L2315" s="26">
        <v>300</v>
      </c>
      <c r="O2315" s="22" t="s">
        <v>17301</v>
      </c>
      <c r="P2315" s="22" t="s">
        <v>17302</v>
      </c>
      <c r="Q2315" s="22" t="s">
        <v>17303</v>
      </c>
      <c r="S2315" s="22" t="s">
        <v>17304</v>
      </c>
      <c r="X2315" s="26"/>
      <c r="Y2315" s="26"/>
    </row>
    <row r="2316" spans="1:25" ht="37.5" x14ac:dyDescent="0.25">
      <c r="A2316" s="21">
        <v>2581</v>
      </c>
      <c r="B2316" s="22" t="s">
        <v>15346</v>
      </c>
      <c r="C2316" s="22" t="s">
        <v>17305</v>
      </c>
      <c r="F2316" s="22" t="s">
        <v>17306</v>
      </c>
      <c r="G2316" s="23" t="s">
        <v>17307</v>
      </c>
      <c r="H2316" s="25" t="s">
        <v>15373</v>
      </c>
      <c r="I2316" s="22" t="s">
        <v>17308</v>
      </c>
      <c r="J2316" s="22">
        <v>65000</v>
      </c>
      <c r="K2316" s="26">
        <f t="shared" si="36"/>
        <v>466.66666666666663</v>
      </c>
      <c r="M2316" s="26">
        <v>700</v>
      </c>
      <c r="O2316" s="22" t="s">
        <v>17309</v>
      </c>
      <c r="P2316" s="22" t="s">
        <v>16985</v>
      </c>
      <c r="Q2316" s="22" t="s">
        <v>17126</v>
      </c>
      <c r="S2316" s="22" t="s">
        <v>17310</v>
      </c>
      <c r="X2316" s="26"/>
      <c r="Y2316" s="26"/>
    </row>
    <row r="2317" spans="1:25" ht="37.5" x14ac:dyDescent="0.25">
      <c r="A2317" s="21">
        <v>2582</v>
      </c>
      <c r="B2317" s="22" t="s">
        <v>15346</v>
      </c>
      <c r="C2317" s="22" t="s">
        <v>17311</v>
      </c>
      <c r="F2317" s="22" t="s">
        <v>17312</v>
      </c>
      <c r="G2317" s="23" t="s">
        <v>17313</v>
      </c>
      <c r="H2317" s="25" t="s">
        <v>15373</v>
      </c>
      <c r="I2317" s="22" t="s">
        <v>15374</v>
      </c>
      <c r="J2317" s="22" t="s">
        <v>16377</v>
      </c>
      <c r="K2317" s="26">
        <f t="shared" si="36"/>
        <v>350</v>
      </c>
      <c r="L2317" s="26">
        <v>350</v>
      </c>
      <c r="O2317" s="22" t="s">
        <v>17314</v>
      </c>
      <c r="P2317" s="22" t="s">
        <v>17315</v>
      </c>
      <c r="Q2317" s="22" t="s">
        <v>17316</v>
      </c>
      <c r="S2317" s="22" t="s">
        <v>17317</v>
      </c>
      <c r="X2317" s="26"/>
      <c r="Y2317" s="26"/>
    </row>
    <row r="2318" spans="1:25" ht="37.5" x14ac:dyDescent="0.25">
      <c r="A2318" s="21">
        <v>2583</v>
      </c>
      <c r="B2318" s="22" t="s">
        <v>15346</v>
      </c>
      <c r="C2318" s="22" t="s">
        <v>17311</v>
      </c>
      <c r="F2318" s="22" t="s">
        <v>17318</v>
      </c>
      <c r="G2318" s="23" t="s">
        <v>17319</v>
      </c>
      <c r="H2318" s="25" t="s">
        <v>15373</v>
      </c>
      <c r="I2318" s="22" t="s">
        <v>17320</v>
      </c>
      <c r="J2318" s="22" t="s">
        <v>17321</v>
      </c>
      <c r="K2318" s="26">
        <f t="shared" si="36"/>
        <v>1400</v>
      </c>
      <c r="M2318" s="26">
        <v>2100</v>
      </c>
      <c r="O2318" s="22" t="s">
        <v>17322</v>
      </c>
      <c r="P2318" s="22" t="s">
        <v>17315</v>
      </c>
      <c r="Q2318" s="22" t="s">
        <v>17316</v>
      </c>
      <c r="S2318" s="22" t="s">
        <v>17323</v>
      </c>
      <c r="X2318" s="26"/>
      <c r="Y2318" s="26"/>
    </row>
    <row r="2319" spans="1:25" ht="25" x14ac:dyDescent="0.25">
      <c r="A2319" s="21">
        <v>2584</v>
      </c>
      <c r="B2319" s="22" t="s">
        <v>15346</v>
      </c>
      <c r="C2319" s="22" t="s">
        <v>17311</v>
      </c>
      <c r="F2319" s="22" t="s">
        <v>17324</v>
      </c>
      <c r="G2319" s="23" t="s">
        <v>17325</v>
      </c>
      <c r="H2319" s="25" t="s">
        <v>15373</v>
      </c>
      <c r="I2319" s="22" t="s">
        <v>15709</v>
      </c>
      <c r="J2319" s="22" t="s">
        <v>17326</v>
      </c>
      <c r="K2319" s="26">
        <f t="shared" si="36"/>
        <v>400</v>
      </c>
      <c r="L2319" s="26">
        <v>400</v>
      </c>
      <c r="O2319" s="22" t="s">
        <v>17327</v>
      </c>
      <c r="P2319" s="22" t="s">
        <v>17315</v>
      </c>
      <c r="Q2319" s="22" t="s">
        <v>17316</v>
      </c>
      <c r="S2319" s="22" t="s">
        <v>17328</v>
      </c>
      <c r="X2319" s="26"/>
      <c r="Y2319" s="26"/>
    </row>
    <row r="2320" spans="1:25" ht="37.5" x14ac:dyDescent="0.25">
      <c r="A2320" s="21">
        <v>2585</v>
      </c>
      <c r="B2320" s="22" t="s">
        <v>15346</v>
      </c>
      <c r="C2320" s="22" t="s">
        <v>17329</v>
      </c>
      <c r="F2320" s="22" t="s">
        <v>17330</v>
      </c>
      <c r="G2320" s="23" t="s">
        <v>17331</v>
      </c>
      <c r="H2320" s="25" t="s">
        <v>15373</v>
      </c>
      <c r="I2320" s="22" t="s">
        <v>15374</v>
      </c>
      <c r="J2320" s="22" t="s">
        <v>17332</v>
      </c>
      <c r="K2320" s="26">
        <f t="shared" si="36"/>
        <v>400</v>
      </c>
      <c r="L2320" s="26">
        <v>400</v>
      </c>
      <c r="O2320" s="22" t="s">
        <v>17333</v>
      </c>
      <c r="P2320" s="22" t="s">
        <v>17334</v>
      </c>
      <c r="Q2320" s="22" t="s">
        <v>17335</v>
      </c>
      <c r="S2320" s="22" t="s">
        <v>17336</v>
      </c>
      <c r="X2320" s="26"/>
      <c r="Y2320" s="26"/>
    </row>
    <row r="2321" spans="1:25" ht="25" x14ac:dyDescent="0.25">
      <c r="A2321" s="21">
        <v>2586</v>
      </c>
      <c r="B2321" s="22" t="s">
        <v>15346</v>
      </c>
      <c r="C2321" s="22" t="s">
        <v>17337</v>
      </c>
      <c r="F2321" s="22" t="s">
        <v>17338</v>
      </c>
      <c r="G2321" s="23" t="s">
        <v>17339</v>
      </c>
      <c r="H2321" s="25" t="s">
        <v>15373</v>
      </c>
      <c r="I2321" s="22" t="s">
        <v>17340</v>
      </c>
      <c r="J2321" s="22" t="s">
        <v>16311</v>
      </c>
      <c r="K2321" s="26">
        <f t="shared" si="36"/>
        <v>300</v>
      </c>
      <c r="L2321" s="26">
        <v>300</v>
      </c>
      <c r="O2321" s="22" t="s">
        <v>17341</v>
      </c>
      <c r="P2321" s="22" t="s">
        <v>16934</v>
      </c>
      <c r="Q2321" s="22" t="s">
        <v>16935</v>
      </c>
      <c r="S2321" s="22" t="s">
        <v>17342</v>
      </c>
      <c r="X2321" s="26"/>
      <c r="Y2321" s="26"/>
    </row>
    <row r="2322" spans="1:25" ht="25" x14ac:dyDescent="0.25">
      <c r="A2322" s="21">
        <v>2587</v>
      </c>
      <c r="B2322" s="22" t="s">
        <v>15346</v>
      </c>
      <c r="C2322" s="22" t="s">
        <v>17343</v>
      </c>
      <c r="F2322" s="22" t="s">
        <v>17344</v>
      </c>
      <c r="G2322" s="23" t="s">
        <v>17345</v>
      </c>
      <c r="H2322" s="25" t="s">
        <v>15373</v>
      </c>
      <c r="I2322" s="22" t="s">
        <v>15374</v>
      </c>
      <c r="J2322" s="22">
        <v>3512</v>
      </c>
      <c r="K2322" s="26">
        <f t="shared" si="36"/>
        <v>1000</v>
      </c>
      <c r="L2322" s="26">
        <v>1000</v>
      </c>
      <c r="O2322" s="22" t="s">
        <v>17346</v>
      </c>
      <c r="P2322" s="22" t="s">
        <v>17201</v>
      </c>
      <c r="Q2322" s="22" t="s">
        <v>17232</v>
      </c>
      <c r="S2322" s="22" t="s">
        <v>17347</v>
      </c>
      <c r="X2322" s="26"/>
      <c r="Y2322" s="26"/>
    </row>
    <row r="2323" spans="1:25" ht="25" x14ac:dyDescent="0.25">
      <c r="A2323" s="21">
        <v>2588</v>
      </c>
      <c r="B2323" s="22" t="s">
        <v>15346</v>
      </c>
      <c r="C2323" s="22" t="s">
        <v>17348</v>
      </c>
      <c r="F2323" s="22" t="s">
        <v>17349</v>
      </c>
      <c r="G2323" s="23" t="s">
        <v>17350</v>
      </c>
      <c r="H2323" s="25" t="s">
        <v>15373</v>
      </c>
      <c r="I2323" s="22" t="s">
        <v>15382</v>
      </c>
      <c r="J2323" s="22" t="s">
        <v>16861</v>
      </c>
      <c r="K2323" s="26">
        <f t="shared" si="36"/>
        <v>400</v>
      </c>
      <c r="M2323" s="26">
        <v>600</v>
      </c>
      <c r="O2323" s="22" t="s">
        <v>17351</v>
      </c>
      <c r="P2323" s="22" t="s">
        <v>17061</v>
      </c>
      <c r="Q2323" s="22" t="s">
        <v>17062</v>
      </c>
      <c r="S2323" s="22" t="s">
        <v>17352</v>
      </c>
      <c r="X2323" s="26"/>
      <c r="Y2323" s="26"/>
    </row>
    <row r="2324" spans="1:25" ht="37.5" x14ac:dyDescent="0.25">
      <c r="A2324" s="21">
        <v>2589</v>
      </c>
      <c r="B2324" s="22" t="s">
        <v>15346</v>
      </c>
      <c r="C2324" s="22" t="s">
        <v>17353</v>
      </c>
      <c r="F2324" s="22" t="s">
        <v>17354</v>
      </c>
      <c r="G2324" s="23" t="s">
        <v>17355</v>
      </c>
      <c r="H2324" s="25" t="s">
        <v>15373</v>
      </c>
      <c r="I2324" s="22" t="s">
        <v>15374</v>
      </c>
      <c r="J2324" s="22" t="s">
        <v>16869</v>
      </c>
      <c r="K2324" s="26">
        <f t="shared" si="36"/>
        <v>500</v>
      </c>
      <c r="L2324" s="26">
        <v>500</v>
      </c>
      <c r="O2324" s="22" t="s">
        <v>17356</v>
      </c>
      <c r="P2324" s="22" t="s">
        <v>16955</v>
      </c>
      <c r="Q2324" s="22" t="s">
        <v>17357</v>
      </c>
      <c r="S2324" s="22" t="s">
        <v>16976</v>
      </c>
      <c r="X2324" s="26"/>
      <c r="Y2324" s="26"/>
    </row>
    <row r="2325" spans="1:25" ht="50" x14ac:dyDescent="0.25">
      <c r="A2325" s="21">
        <v>2590</v>
      </c>
      <c r="B2325" s="22" t="s">
        <v>15346</v>
      </c>
      <c r="C2325" s="22" t="s">
        <v>17358</v>
      </c>
      <c r="F2325" s="22" t="s">
        <v>17359</v>
      </c>
      <c r="G2325" s="23" t="s">
        <v>17360</v>
      </c>
      <c r="H2325" s="25" t="s">
        <v>15373</v>
      </c>
      <c r="I2325" s="22" t="s">
        <v>15382</v>
      </c>
      <c r="J2325" s="22" t="s">
        <v>16569</v>
      </c>
      <c r="K2325" s="26">
        <f t="shared" si="36"/>
        <v>400</v>
      </c>
      <c r="L2325" s="26">
        <v>400</v>
      </c>
      <c r="O2325" s="22" t="s">
        <v>17361</v>
      </c>
      <c r="P2325" s="22" t="s">
        <v>17362</v>
      </c>
      <c r="Q2325" s="22" t="s">
        <v>17363</v>
      </c>
      <c r="S2325" s="22" t="s">
        <v>16976</v>
      </c>
      <c r="X2325" s="26"/>
      <c r="Y2325" s="26"/>
    </row>
    <row r="2326" spans="1:25" ht="25" x14ac:dyDescent="0.25">
      <c r="A2326" s="21">
        <v>2591</v>
      </c>
      <c r="B2326" s="22" t="s">
        <v>15346</v>
      </c>
      <c r="C2326" s="22" t="s">
        <v>17364</v>
      </c>
      <c r="F2326" s="22" t="s">
        <v>17365</v>
      </c>
      <c r="G2326" s="23" t="s">
        <v>17366</v>
      </c>
      <c r="H2326" s="25" t="s">
        <v>15373</v>
      </c>
      <c r="I2326" s="22" t="s">
        <v>15374</v>
      </c>
      <c r="J2326" s="22">
        <v>3412</v>
      </c>
      <c r="K2326" s="26">
        <f t="shared" si="36"/>
        <v>600</v>
      </c>
      <c r="L2326" s="26">
        <v>600</v>
      </c>
      <c r="O2326" s="22" t="s">
        <v>17367</v>
      </c>
      <c r="P2326" s="22" t="s">
        <v>16991</v>
      </c>
      <c r="Q2326" s="22" t="s">
        <v>17368</v>
      </c>
      <c r="S2326" s="22" t="s">
        <v>17369</v>
      </c>
      <c r="X2326" s="26"/>
      <c r="Y2326" s="26"/>
    </row>
    <row r="2327" spans="1:25" ht="25" x14ac:dyDescent="0.25">
      <c r="A2327" s="21">
        <v>2592</v>
      </c>
      <c r="B2327" s="22" t="s">
        <v>15346</v>
      </c>
      <c r="C2327" s="22" t="s">
        <v>17370</v>
      </c>
      <c r="F2327" s="22" t="s">
        <v>17371</v>
      </c>
      <c r="G2327" s="23" t="s">
        <v>17372</v>
      </c>
      <c r="H2327" s="25" t="s">
        <v>15373</v>
      </c>
      <c r="I2327" s="22" t="s">
        <v>16311</v>
      </c>
      <c r="J2327" s="22" t="s">
        <v>16311</v>
      </c>
      <c r="K2327" s="26">
        <f t="shared" si="36"/>
        <v>631.33333333333326</v>
      </c>
      <c r="N2327" s="26">
        <v>947</v>
      </c>
      <c r="O2327" s="22" t="s">
        <v>17373</v>
      </c>
      <c r="P2327" s="22" t="s">
        <v>16991</v>
      </c>
      <c r="Q2327" s="22" t="s">
        <v>17368</v>
      </c>
      <c r="S2327" s="22" t="s">
        <v>17374</v>
      </c>
      <c r="X2327" s="26"/>
      <c r="Y2327" s="26"/>
    </row>
    <row r="2328" spans="1:25" ht="25" x14ac:dyDescent="0.25">
      <c r="A2328" s="21">
        <v>2593</v>
      </c>
      <c r="B2328" s="22" t="s">
        <v>15346</v>
      </c>
      <c r="C2328" s="22" t="s">
        <v>17375</v>
      </c>
      <c r="F2328" s="22" t="s">
        <v>17376</v>
      </c>
      <c r="G2328" s="23" t="s">
        <v>17377</v>
      </c>
      <c r="H2328" s="25" t="s">
        <v>15373</v>
      </c>
      <c r="I2328" s="22" t="s">
        <v>15374</v>
      </c>
      <c r="J2328" s="22">
        <v>3412</v>
      </c>
      <c r="K2328" s="26">
        <f t="shared" si="36"/>
        <v>593.33333333333326</v>
      </c>
      <c r="N2328" s="26">
        <v>890</v>
      </c>
      <c r="O2328" s="22" t="s">
        <v>17378</v>
      </c>
      <c r="P2328" s="22" t="s">
        <v>16985</v>
      </c>
      <c r="Q2328" s="22" t="s">
        <v>17126</v>
      </c>
      <c r="S2328" s="22" t="s">
        <v>17379</v>
      </c>
      <c r="X2328" s="26"/>
      <c r="Y2328" s="26"/>
    </row>
    <row r="2329" spans="1:25" ht="25" x14ac:dyDescent="0.25">
      <c r="A2329" s="21">
        <v>2594</v>
      </c>
      <c r="B2329" s="22" t="s">
        <v>15346</v>
      </c>
      <c r="C2329" s="22" t="s">
        <v>17380</v>
      </c>
      <c r="F2329" s="22" t="s">
        <v>17381</v>
      </c>
      <c r="G2329" s="23" t="s">
        <v>17382</v>
      </c>
      <c r="H2329" s="25" t="s">
        <v>15373</v>
      </c>
      <c r="I2329" s="22" t="s">
        <v>15411</v>
      </c>
      <c r="J2329" s="22" t="s">
        <v>17383</v>
      </c>
      <c r="K2329" s="26">
        <f t="shared" si="36"/>
        <v>300</v>
      </c>
      <c r="L2329" s="26">
        <v>300</v>
      </c>
      <c r="O2329" s="22" t="s">
        <v>17384</v>
      </c>
      <c r="P2329" s="22" t="s">
        <v>16985</v>
      </c>
      <c r="Q2329" s="22" t="s">
        <v>17385</v>
      </c>
      <c r="S2329" s="22" t="s">
        <v>17386</v>
      </c>
      <c r="X2329" s="26"/>
      <c r="Y2329" s="26"/>
    </row>
    <row r="2330" spans="1:25" ht="37.5" x14ac:dyDescent="0.25">
      <c r="A2330" s="21">
        <v>2595</v>
      </c>
      <c r="B2330" s="22" t="s">
        <v>15346</v>
      </c>
      <c r="C2330" s="22" t="s">
        <v>17387</v>
      </c>
      <c r="F2330" s="22" t="s">
        <v>17388</v>
      </c>
      <c r="G2330" s="23" t="s">
        <v>17389</v>
      </c>
      <c r="H2330" s="25" t="s">
        <v>15373</v>
      </c>
      <c r="I2330" s="22" t="s">
        <v>15382</v>
      </c>
      <c r="J2330" s="22" t="s">
        <v>17390</v>
      </c>
      <c r="K2330" s="26">
        <f t="shared" si="36"/>
        <v>723.33333333333326</v>
      </c>
      <c r="N2330" s="26">
        <v>1085</v>
      </c>
      <c r="O2330" s="22" t="s">
        <v>17391</v>
      </c>
      <c r="P2330" s="22" t="s">
        <v>17315</v>
      </c>
      <c r="Q2330" s="22" t="s">
        <v>17316</v>
      </c>
      <c r="S2330" s="22" t="s">
        <v>17392</v>
      </c>
      <c r="X2330" s="26"/>
      <c r="Y2330" s="26"/>
    </row>
    <row r="2331" spans="1:25" ht="37.5" x14ac:dyDescent="0.25">
      <c r="A2331" s="21">
        <v>2596</v>
      </c>
      <c r="B2331" s="22" t="s">
        <v>15346</v>
      </c>
      <c r="C2331" s="22" t="s">
        <v>17387</v>
      </c>
      <c r="F2331" s="22" t="s">
        <v>17393</v>
      </c>
      <c r="G2331" s="23" t="s">
        <v>17394</v>
      </c>
      <c r="H2331" s="25" t="s">
        <v>15373</v>
      </c>
      <c r="I2331" s="22" t="s">
        <v>15382</v>
      </c>
      <c r="J2331" s="22" t="s">
        <v>17395</v>
      </c>
      <c r="K2331" s="26">
        <f t="shared" si="36"/>
        <v>723.33333333333326</v>
      </c>
      <c r="N2331" s="26">
        <v>1085</v>
      </c>
      <c r="O2331" s="22" t="s">
        <v>17391</v>
      </c>
      <c r="P2331" s="22" t="s">
        <v>17315</v>
      </c>
      <c r="Q2331" s="22" t="s">
        <v>17316</v>
      </c>
      <c r="S2331" s="22" t="s">
        <v>17392</v>
      </c>
      <c r="X2331" s="26"/>
      <c r="Y2331" s="26"/>
    </row>
    <row r="2332" spans="1:25" ht="25" x14ac:dyDescent="0.25">
      <c r="A2332" s="21">
        <v>2597</v>
      </c>
      <c r="B2332" s="22" t="s">
        <v>15346</v>
      </c>
      <c r="C2332" s="22" t="s">
        <v>17387</v>
      </c>
      <c r="F2332" s="22" t="s">
        <v>17396</v>
      </c>
      <c r="G2332" s="23" t="s">
        <v>17397</v>
      </c>
      <c r="H2332" s="25" t="s">
        <v>15373</v>
      </c>
      <c r="I2332" s="22" t="s">
        <v>14275</v>
      </c>
      <c r="J2332" s="22" t="s">
        <v>16311</v>
      </c>
      <c r="K2332" s="26">
        <f t="shared" si="36"/>
        <v>300</v>
      </c>
      <c r="L2332" s="26">
        <v>300</v>
      </c>
      <c r="O2332" s="22" t="s">
        <v>17391</v>
      </c>
      <c r="P2332" s="22" t="s">
        <v>17315</v>
      </c>
      <c r="Q2332" s="22" t="s">
        <v>17316</v>
      </c>
      <c r="S2332" s="22" t="s">
        <v>17392</v>
      </c>
      <c r="X2332" s="26"/>
      <c r="Y2332" s="26"/>
    </row>
    <row r="2333" spans="1:25" ht="25" x14ac:dyDescent="0.25">
      <c r="A2333" s="21">
        <v>2598</v>
      </c>
      <c r="B2333" s="22" t="s">
        <v>15346</v>
      </c>
      <c r="C2333" s="22" t="s">
        <v>17398</v>
      </c>
      <c r="F2333" s="22" t="s">
        <v>17399</v>
      </c>
      <c r="G2333" s="23" t="s">
        <v>17400</v>
      </c>
      <c r="H2333" s="25" t="s">
        <v>15373</v>
      </c>
      <c r="I2333" s="22" t="s">
        <v>15382</v>
      </c>
      <c r="J2333" s="22" t="s">
        <v>16311</v>
      </c>
      <c r="K2333" s="26">
        <f t="shared" si="36"/>
        <v>423.33333333333331</v>
      </c>
      <c r="M2333" s="26">
        <v>635</v>
      </c>
      <c r="O2333" s="22" t="s">
        <v>17401</v>
      </c>
      <c r="P2333" s="22" t="s">
        <v>17402</v>
      </c>
      <c r="Q2333" s="22" t="s">
        <v>16999</v>
      </c>
      <c r="S2333" s="22" t="s">
        <v>17403</v>
      </c>
      <c r="X2333" s="26"/>
      <c r="Y2333" s="26"/>
    </row>
    <row r="2334" spans="1:25" ht="25" x14ac:dyDescent="0.25">
      <c r="A2334" s="21">
        <v>2599</v>
      </c>
      <c r="B2334" s="22" t="s">
        <v>15346</v>
      </c>
      <c r="C2334" s="22" t="s">
        <v>17398</v>
      </c>
      <c r="F2334" s="22" t="s">
        <v>17404</v>
      </c>
      <c r="G2334" s="23" t="s">
        <v>17405</v>
      </c>
      <c r="H2334" s="25" t="s">
        <v>15373</v>
      </c>
      <c r="I2334" s="22" t="s">
        <v>15411</v>
      </c>
      <c r="J2334" s="22" t="s">
        <v>16311</v>
      </c>
      <c r="K2334" s="26">
        <f t="shared" si="36"/>
        <v>333.33333333333331</v>
      </c>
      <c r="M2334" s="26">
        <v>500</v>
      </c>
      <c r="O2334" s="22" t="s">
        <v>17401</v>
      </c>
      <c r="P2334" s="22" t="s">
        <v>17402</v>
      </c>
      <c r="Q2334" s="22" t="s">
        <v>16999</v>
      </c>
      <c r="S2334" s="22" t="s">
        <v>17403</v>
      </c>
      <c r="X2334" s="26"/>
      <c r="Y2334" s="26"/>
    </row>
    <row r="2335" spans="1:25" ht="37.5" x14ac:dyDescent="0.25">
      <c r="A2335" s="21">
        <v>2600</v>
      </c>
      <c r="B2335" s="22" t="s">
        <v>15346</v>
      </c>
      <c r="C2335" s="22" t="s">
        <v>17406</v>
      </c>
      <c r="F2335" s="22" t="s">
        <v>17407</v>
      </c>
      <c r="G2335" s="23" t="s">
        <v>17408</v>
      </c>
      <c r="H2335" s="25" t="s">
        <v>15373</v>
      </c>
      <c r="I2335" s="22" t="s">
        <v>15411</v>
      </c>
      <c r="J2335" s="22" t="s">
        <v>10989</v>
      </c>
      <c r="K2335" s="26">
        <f t="shared" si="36"/>
        <v>400</v>
      </c>
      <c r="L2335" s="26">
        <v>400</v>
      </c>
      <c r="O2335" s="22" t="s">
        <v>17409</v>
      </c>
      <c r="P2335" s="22" t="s">
        <v>16968</v>
      </c>
      <c r="Q2335" s="22" t="s">
        <v>16969</v>
      </c>
      <c r="S2335" s="22" t="s">
        <v>17410</v>
      </c>
      <c r="X2335" s="26"/>
      <c r="Y2335" s="26"/>
    </row>
    <row r="2336" spans="1:25" ht="50" x14ac:dyDescent="0.25">
      <c r="A2336" s="21">
        <v>2601</v>
      </c>
      <c r="B2336" s="22" t="s">
        <v>15346</v>
      </c>
      <c r="C2336" s="22" t="s">
        <v>15976</v>
      </c>
      <c r="F2336" s="22" t="s">
        <v>15977</v>
      </c>
      <c r="G2336" s="23" t="s">
        <v>15978</v>
      </c>
      <c r="H2336" s="25" t="s">
        <v>15373</v>
      </c>
      <c r="I2336" s="22" t="s">
        <v>15411</v>
      </c>
      <c r="J2336" s="22" t="s">
        <v>14773</v>
      </c>
      <c r="K2336" s="26">
        <f t="shared" si="36"/>
        <v>1100</v>
      </c>
      <c r="L2336" s="26">
        <v>1100</v>
      </c>
      <c r="O2336" s="22" t="s">
        <v>15979</v>
      </c>
      <c r="P2336" s="22" t="s">
        <v>16934</v>
      </c>
      <c r="Q2336" s="22" t="s">
        <v>15980</v>
      </c>
      <c r="S2336" s="22" t="s">
        <v>15981</v>
      </c>
      <c r="X2336" s="26"/>
      <c r="Y2336" s="26"/>
    </row>
    <row r="2337" spans="1:25" ht="50" x14ac:dyDescent="0.25">
      <c r="A2337" s="21">
        <v>2602</v>
      </c>
      <c r="B2337" s="22" t="s">
        <v>15346</v>
      </c>
      <c r="C2337" s="22" t="s">
        <v>15976</v>
      </c>
      <c r="F2337" s="22" t="s">
        <v>15982</v>
      </c>
      <c r="G2337" s="23" t="s">
        <v>15978</v>
      </c>
      <c r="H2337" s="25" t="s">
        <v>15373</v>
      </c>
      <c r="I2337" s="22" t="s">
        <v>15411</v>
      </c>
      <c r="J2337" s="22" t="s">
        <v>14773</v>
      </c>
      <c r="K2337" s="26">
        <f t="shared" si="36"/>
        <v>1100</v>
      </c>
      <c r="L2337" s="26">
        <v>1100</v>
      </c>
      <c r="O2337" s="22" t="s">
        <v>15979</v>
      </c>
      <c r="P2337" s="22" t="s">
        <v>16934</v>
      </c>
      <c r="Q2337" s="22" t="s">
        <v>15980</v>
      </c>
      <c r="S2337" s="22" t="s">
        <v>15981</v>
      </c>
      <c r="X2337" s="26"/>
      <c r="Y2337" s="26"/>
    </row>
    <row r="2338" spans="1:25" ht="50" x14ac:dyDescent="0.25">
      <c r="A2338" s="21">
        <v>2603</v>
      </c>
      <c r="B2338" s="22" t="s">
        <v>15346</v>
      </c>
      <c r="C2338" s="22" t="s">
        <v>15976</v>
      </c>
      <c r="F2338" s="22" t="s">
        <v>15983</v>
      </c>
      <c r="G2338" s="23" t="s">
        <v>15978</v>
      </c>
      <c r="H2338" s="25" t="s">
        <v>15373</v>
      </c>
      <c r="I2338" s="22" t="s">
        <v>15411</v>
      </c>
      <c r="J2338" s="22" t="s">
        <v>14773</v>
      </c>
      <c r="K2338" s="26">
        <f t="shared" si="36"/>
        <v>1100</v>
      </c>
      <c r="L2338" s="26">
        <v>1100</v>
      </c>
      <c r="O2338" s="22" t="s">
        <v>15979</v>
      </c>
      <c r="P2338" s="22" t="s">
        <v>16934</v>
      </c>
      <c r="Q2338" s="22" t="s">
        <v>15980</v>
      </c>
      <c r="S2338" s="22" t="s">
        <v>15981</v>
      </c>
      <c r="X2338" s="26"/>
      <c r="Y2338" s="26"/>
    </row>
    <row r="2339" spans="1:25" ht="37.5" x14ac:dyDescent="0.25">
      <c r="A2339" s="21">
        <v>2604</v>
      </c>
      <c r="B2339" s="22" t="s">
        <v>15346</v>
      </c>
      <c r="C2339" s="22" t="s">
        <v>15984</v>
      </c>
      <c r="F2339" s="22" t="s">
        <v>15985</v>
      </c>
      <c r="G2339" s="23" t="s">
        <v>15986</v>
      </c>
      <c r="H2339" s="25" t="s">
        <v>15373</v>
      </c>
      <c r="I2339" s="22" t="s">
        <v>15374</v>
      </c>
      <c r="J2339" s="22" t="s">
        <v>11983</v>
      </c>
      <c r="K2339" s="26">
        <f t="shared" si="36"/>
        <v>1000</v>
      </c>
      <c r="L2339" s="26">
        <v>1000</v>
      </c>
      <c r="O2339" s="22" t="s">
        <v>15987</v>
      </c>
      <c r="P2339" s="22" t="s">
        <v>16955</v>
      </c>
      <c r="Q2339" s="22" t="s">
        <v>15988</v>
      </c>
      <c r="S2339" s="22" t="s">
        <v>15989</v>
      </c>
      <c r="X2339" s="26"/>
      <c r="Y2339" s="26"/>
    </row>
    <row r="2340" spans="1:25" ht="37.5" x14ac:dyDescent="0.25">
      <c r="A2340" s="21">
        <v>2605</v>
      </c>
      <c r="B2340" s="22" t="s">
        <v>15346</v>
      </c>
      <c r="C2340" s="22" t="s">
        <v>15990</v>
      </c>
      <c r="F2340" s="22" t="s">
        <v>15991</v>
      </c>
      <c r="G2340" s="23" t="s">
        <v>15992</v>
      </c>
      <c r="H2340" s="25" t="s">
        <v>15373</v>
      </c>
      <c r="I2340" s="22" t="s">
        <v>15374</v>
      </c>
      <c r="J2340" s="22">
        <v>3406</v>
      </c>
      <c r="K2340" s="26">
        <f t="shared" si="36"/>
        <v>300</v>
      </c>
      <c r="L2340" s="26">
        <v>300</v>
      </c>
      <c r="O2340" s="22" t="s">
        <v>15993</v>
      </c>
      <c r="P2340" s="22" t="s">
        <v>16955</v>
      </c>
      <c r="Q2340" s="22" t="s">
        <v>15988</v>
      </c>
      <c r="S2340" s="22" t="s">
        <v>15989</v>
      </c>
      <c r="X2340" s="26"/>
      <c r="Y2340" s="26"/>
    </row>
    <row r="2341" spans="1:25" ht="37.5" x14ac:dyDescent="0.25">
      <c r="A2341" s="21">
        <v>2606</v>
      </c>
      <c r="B2341" s="22" t="s">
        <v>15346</v>
      </c>
      <c r="C2341" s="22" t="s">
        <v>15994</v>
      </c>
      <c r="F2341" s="22" t="s">
        <v>15995</v>
      </c>
      <c r="G2341" s="23" t="s">
        <v>15996</v>
      </c>
      <c r="H2341" s="25" t="s">
        <v>15373</v>
      </c>
      <c r="I2341" s="22" t="s">
        <v>15374</v>
      </c>
      <c r="J2341" s="22" t="s">
        <v>15191</v>
      </c>
      <c r="K2341" s="26">
        <f t="shared" si="36"/>
        <v>750</v>
      </c>
      <c r="L2341" s="26">
        <v>750</v>
      </c>
      <c r="O2341" s="22" t="s">
        <v>15997</v>
      </c>
      <c r="P2341" s="22" t="s">
        <v>17334</v>
      </c>
      <c r="Q2341" s="22" t="s">
        <v>15998</v>
      </c>
      <c r="S2341" s="22" t="s">
        <v>15999</v>
      </c>
      <c r="X2341" s="26"/>
      <c r="Y2341" s="26"/>
    </row>
    <row r="2342" spans="1:25" ht="37.5" x14ac:dyDescent="0.25">
      <c r="A2342" s="21">
        <v>2607</v>
      </c>
      <c r="B2342" s="22" t="s">
        <v>15346</v>
      </c>
      <c r="C2342" s="22" t="s">
        <v>15994</v>
      </c>
      <c r="F2342" s="22" t="s">
        <v>16000</v>
      </c>
      <c r="G2342" s="23" t="s">
        <v>16001</v>
      </c>
      <c r="H2342" s="25" t="s">
        <v>15373</v>
      </c>
      <c r="I2342" s="22" t="s">
        <v>15374</v>
      </c>
      <c r="J2342" s="22" t="s">
        <v>15191</v>
      </c>
      <c r="K2342" s="26">
        <f t="shared" si="36"/>
        <v>750</v>
      </c>
      <c r="L2342" s="26">
        <v>750</v>
      </c>
      <c r="O2342" s="22" t="s">
        <v>15997</v>
      </c>
      <c r="P2342" s="22" t="s">
        <v>17334</v>
      </c>
      <c r="Q2342" s="22" t="s">
        <v>15998</v>
      </c>
      <c r="S2342" s="22" t="s">
        <v>15999</v>
      </c>
      <c r="X2342" s="26"/>
      <c r="Y2342" s="26"/>
    </row>
    <row r="2343" spans="1:25" ht="25" x14ac:dyDescent="0.25">
      <c r="A2343" s="21">
        <v>2608</v>
      </c>
      <c r="B2343" s="22" t="s">
        <v>15346</v>
      </c>
      <c r="C2343" s="22" t="s">
        <v>16002</v>
      </c>
      <c r="F2343" s="22" t="s">
        <v>16003</v>
      </c>
      <c r="G2343" s="23" t="s">
        <v>16004</v>
      </c>
      <c r="H2343" s="25" t="s">
        <v>15373</v>
      </c>
      <c r="I2343" s="22" t="s">
        <v>15382</v>
      </c>
      <c r="J2343" s="22" t="s">
        <v>16005</v>
      </c>
      <c r="K2343" s="26">
        <f t="shared" si="36"/>
        <v>310</v>
      </c>
      <c r="N2343" s="26">
        <v>465</v>
      </c>
      <c r="O2343" s="22" t="s">
        <v>16006</v>
      </c>
      <c r="P2343" s="22" t="s">
        <v>17061</v>
      </c>
      <c r="Q2343" s="22" t="s">
        <v>17062</v>
      </c>
      <c r="S2343" s="22" t="s">
        <v>16007</v>
      </c>
      <c r="X2343" s="26"/>
      <c r="Y2343" s="26"/>
    </row>
    <row r="2344" spans="1:25" ht="50" x14ac:dyDescent="0.25">
      <c r="A2344" s="21">
        <v>2609</v>
      </c>
      <c r="B2344" s="22" t="s">
        <v>15346</v>
      </c>
      <c r="C2344" s="22" t="s">
        <v>16008</v>
      </c>
      <c r="F2344" s="22" t="s">
        <v>16009</v>
      </c>
      <c r="G2344" s="23" t="s">
        <v>16010</v>
      </c>
      <c r="H2344" s="25" t="s">
        <v>15373</v>
      </c>
      <c r="I2344" s="22" t="s">
        <v>15374</v>
      </c>
      <c r="J2344" s="22">
        <v>3412</v>
      </c>
      <c r="K2344" s="26">
        <f t="shared" si="36"/>
        <v>739.33333333333326</v>
      </c>
      <c r="M2344" s="26">
        <v>1109</v>
      </c>
      <c r="O2344" s="22" t="s">
        <v>16011</v>
      </c>
      <c r="P2344" s="22" t="s">
        <v>16012</v>
      </c>
      <c r="Q2344" s="22" t="s">
        <v>16013</v>
      </c>
      <c r="S2344" s="22" t="s">
        <v>16014</v>
      </c>
      <c r="X2344" s="26"/>
      <c r="Y2344" s="26"/>
    </row>
    <row r="2345" spans="1:25" ht="25" x14ac:dyDescent="0.25">
      <c r="A2345" s="21">
        <v>2610</v>
      </c>
      <c r="B2345" s="22" t="s">
        <v>15346</v>
      </c>
      <c r="C2345" s="22" t="s">
        <v>16015</v>
      </c>
      <c r="F2345" s="22" t="s">
        <v>16016</v>
      </c>
      <c r="G2345" s="23" t="s">
        <v>16017</v>
      </c>
      <c r="H2345" s="25" t="s">
        <v>15373</v>
      </c>
      <c r="I2345" s="22" t="s">
        <v>15374</v>
      </c>
      <c r="J2345" s="22" t="s">
        <v>16561</v>
      </c>
      <c r="K2345" s="26">
        <f t="shared" si="36"/>
        <v>356</v>
      </c>
      <c r="M2345" s="26">
        <v>534</v>
      </c>
      <c r="O2345" s="22" t="s">
        <v>16018</v>
      </c>
      <c r="P2345" s="22" t="s">
        <v>16019</v>
      </c>
      <c r="Q2345" s="22" t="s">
        <v>16020</v>
      </c>
      <c r="S2345" s="22" t="s">
        <v>16021</v>
      </c>
      <c r="X2345" s="26"/>
      <c r="Y2345" s="26"/>
    </row>
    <row r="2346" spans="1:25" ht="37.5" x14ac:dyDescent="0.25">
      <c r="A2346" s="21">
        <v>2611</v>
      </c>
      <c r="B2346" s="22" t="s">
        <v>15346</v>
      </c>
      <c r="C2346" s="22" t="s">
        <v>16022</v>
      </c>
      <c r="F2346" s="22" t="s">
        <v>16023</v>
      </c>
      <c r="G2346" s="23" t="s">
        <v>16024</v>
      </c>
      <c r="H2346" s="25" t="s">
        <v>15373</v>
      </c>
      <c r="I2346" s="22" t="s">
        <v>15374</v>
      </c>
      <c r="J2346" s="22">
        <v>3516</v>
      </c>
      <c r="K2346" s="26">
        <f t="shared" si="36"/>
        <v>1750</v>
      </c>
      <c r="L2346" s="26">
        <v>1750</v>
      </c>
      <c r="O2346" s="22" t="s">
        <v>16025</v>
      </c>
      <c r="P2346" s="22" t="s">
        <v>16955</v>
      </c>
      <c r="Q2346" s="22" t="s">
        <v>16026</v>
      </c>
      <c r="S2346" s="22" t="s">
        <v>16027</v>
      </c>
      <c r="X2346" s="26"/>
      <c r="Y2346" s="26"/>
    </row>
    <row r="2347" spans="1:25" ht="37.5" x14ac:dyDescent="0.25">
      <c r="A2347" s="21">
        <v>2612</v>
      </c>
      <c r="B2347" s="22" t="s">
        <v>15346</v>
      </c>
      <c r="C2347" s="22" t="s">
        <v>16022</v>
      </c>
      <c r="F2347" s="22" t="s">
        <v>16028</v>
      </c>
      <c r="G2347" s="23" t="s">
        <v>16029</v>
      </c>
      <c r="H2347" s="25" t="s">
        <v>15373</v>
      </c>
      <c r="I2347" s="22" t="s">
        <v>15374</v>
      </c>
      <c r="J2347" s="22">
        <v>3516</v>
      </c>
      <c r="K2347" s="26">
        <f t="shared" si="36"/>
        <v>1730</v>
      </c>
      <c r="L2347" s="26">
        <v>1730</v>
      </c>
      <c r="O2347" s="22" t="s">
        <v>16025</v>
      </c>
      <c r="P2347" s="22" t="s">
        <v>16955</v>
      </c>
      <c r="Q2347" s="22" t="s">
        <v>16026</v>
      </c>
      <c r="S2347" s="22" t="s">
        <v>16027</v>
      </c>
      <c r="X2347" s="26"/>
      <c r="Y2347" s="26"/>
    </row>
    <row r="2348" spans="1:25" ht="37.5" x14ac:dyDescent="0.25">
      <c r="A2348" s="21">
        <v>2613</v>
      </c>
      <c r="B2348" s="22" t="s">
        <v>15346</v>
      </c>
      <c r="C2348" s="22" t="s">
        <v>16030</v>
      </c>
      <c r="F2348" s="22" t="s">
        <v>16031</v>
      </c>
      <c r="G2348" s="23" t="s">
        <v>16032</v>
      </c>
      <c r="H2348" s="25" t="s">
        <v>15373</v>
      </c>
      <c r="I2348" s="22" t="s">
        <v>15374</v>
      </c>
      <c r="J2348" s="22" t="s">
        <v>10081</v>
      </c>
      <c r="K2348" s="26">
        <f t="shared" si="36"/>
        <v>750</v>
      </c>
      <c r="L2348" s="26">
        <v>750</v>
      </c>
      <c r="O2348" s="22" t="s">
        <v>16033</v>
      </c>
      <c r="P2348" s="22" t="s">
        <v>16955</v>
      </c>
      <c r="Q2348" s="22" t="s">
        <v>17249</v>
      </c>
      <c r="S2348" s="22" t="s">
        <v>16034</v>
      </c>
      <c r="X2348" s="26"/>
      <c r="Y2348" s="26"/>
    </row>
    <row r="2349" spans="1:25" ht="37.5" x14ac:dyDescent="0.25">
      <c r="A2349" s="21">
        <v>2614</v>
      </c>
      <c r="B2349" s="22" t="s">
        <v>15346</v>
      </c>
      <c r="C2349" s="22" t="s">
        <v>16030</v>
      </c>
      <c r="F2349" s="22" t="s">
        <v>16035</v>
      </c>
      <c r="G2349" s="23" t="s">
        <v>16036</v>
      </c>
      <c r="H2349" s="25" t="s">
        <v>15373</v>
      </c>
      <c r="I2349" s="22" t="s">
        <v>15374</v>
      </c>
      <c r="J2349" s="22">
        <v>3406</v>
      </c>
      <c r="K2349" s="26">
        <f t="shared" si="36"/>
        <v>300</v>
      </c>
      <c r="L2349" s="26">
        <v>300</v>
      </c>
      <c r="O2349" s="22" t="s">
        <v>16037</v>
      </c>
      <c r="P2349" s="22" t="s">
        <v>16955</v>
      </c>
      <c r="Q2349" s="22" t="s">
        <v>16026</v>
      </c>
      <c r="S2349" s="22" t="s">
        <v>16034</v>
      </c>
      <c r="X2349" s="26"/>
      <c r="Y2349" s="26"/>
    </row>
    <row r="2350" spans="1:25" ht="37.5" x14ac:dyDescent="0.25">
      <c r="A2350" s="21">
        <v>2615</v>
      </c>
      <c r="B2350" s="22" t="s">
        <v>15346</v>
      </c>
      <c r="C2350" s="22" t="s">
        <v>16030</v>
      </c>
      <c r="F2350" s="22" t="s">
        <v>16038</v>
      </c>
      <c r="G2350" s="23" t="s">
        <v>16039</v>
      </c>
      <c r="H2350" s="25" t="s">
        <v>15373</v>
      </c>
      <c r="I2350" s="22" t="s">
        <v>15382</v>
      </c>
      <c r="J2350" s="22" t="s">
        <v>14716</v>
      </c>
      <c r="K2350" s="26">
        <f t="shared" si="36"/>
        <v>500</v>
      </c>
      <c r="L2350" s="26">
        <v>500</v>
      </c>
      <c r="O2350" s="22" t="s">
        <v>16040</v>
      </c>
      <c r="P2350" s="22" t="s">
        <v>16955</v>
      </c>
      <c r="Q2350" s="22" t="s">
        <v>16026</v>
      </c>
      <c r="S2350" s="22" t="s">
        <v>16034</v>
      </c>
      <c r="X2350" s="26"/>
      <c r="Y2350" s="26"/>
    </row>
    <row r="2351" spans="1:25" ht="50" x14ac:dyDescent="0.25">
      <c r="A2351" s="21">
        <v>2616</v>
      </c>
      <c r="B2351" s="22" t="s">
        <v>15346</v>
      </c>
      <c r="C2351" s="22" t="s">
        <v>16030</v>
      </c>
      <c r="F2351" s="22" t="s">
        <v>16041</v>
      </c>
      <c r="G2351" s="23" t="s">
        <v>16042</v>
      </c>
      <c r="H2351" s="25" t="s">
        <v>15373</v>
      </c>
      <c r="I2351" s="22" t="s">
        <v>15411</v>
      </c>
      <c r="J2351" s="22" t="s">
        <v>15068</v>
      </c>
      <c r="K2351" s="26">
        <f t="shared" si="36"/>
        <v>750</v>
      </c>
      <c r="L2351" s="26">
        <v>750</v>
      </c>
      <c r="O2351" s="22" t="s">
        <v>16043</v>
      </c>
      <c r="P2351" s="22" t="s">
        <v>16955</v>
      </c>
      <c r="Q2351" s="22" t="s">
        <v>16026</v>
      </c>
      <c r="S2351" s="22" t="s">
        <v>16034</v>
      </c>
      <c r="X2351" s="26"/>
      <c r="Y2351" s="26"/>
    </row>
    <row r="2352" spans="1:25" ht="37.5" x14ac:dyDescent="0.25">
      <c r="A2352" s="21">
        <v>2617</v>
      </c>
      <c r="B2352" s="22" t="s">
        <v>15346</v>
      </c>
      <c r="C2352" s="22" t="s">
        <v>16030</v>
      </c>
      <c r="F2352" s="22" t="s">
        <v>16044</v>
      </c>
      <c r="G2352" s="23" t="s">
        <v>16045</v>
      </c>
      <c r="H2352" s="25" t="s">
        <v>15373</v>
      </c>
      <c r="I2352" s="22" t="s">
        <v>15374</v>
      </c>
      <c r="J2352" s="22">
        <v>3512</v>
      </c>
      <c r="K2352" s="26">
        <f t="shared" si="36"/>
        <v>1100</v>
      </c>
      <c r="L2352" s="26">
        <v>1100</v>
      </c>
      <c r="O2352" s="22" t="s">
        <v>16043</v>
      </c>
      <c r="P2352" s="22" t="s">
        <v>16955</v>
      </c>
      <c r="Q2352" s="22" t="s">
        <v>16026</v>
      </c>
      <c r="S2352" s="22" t="s">
        <v>16034</v>
      </c>
      <c r="X2352" s="26"/>
      <c r="Y2352" s="26"/>
    </row>
    <row r="2353" spans="1:25" ht="37.5" x14ac:dyDescent="0.25">
      <c r="A2353" s="21">
        <v>2618</v>
      </c>
      <c r="B2353" s="22" t="s">
        <v>15346</v>
      </c>
      <c r="C2353" s="22" t="s">
        <v>16046</v>
      </c>
      <c r="F2353" s="22" t="s">
        <v>16047</v>
      </c>
      <c r="G2353" s="23" t="s">
        <v>16048</v>
      </c>
      <c r="H2353" s="25" t="s">
        <v>15373</v>
      </c>
      <c r="I2353" s="22" t="s">
        <v>15374</v>
      </c>
      <c r="J2353" s="22" t="s">
        <v>9175</v>
      </c>
      <c r="K2353" s="26">
        <f t="shared" si="36"/>
        <v>371</v>
      </c>
      <c r="L2353" s="26">
        <v>371</v>
      </c>
      <c r="O2353" s="22" t="s">
        <v>16049</v>
      </c>
      <c r="P2353" s="22" t="s">
        <v>16955</v>
      </c>
      <c r="Q2353" s="22" t="s">
        <v>17357</v>
      </c>
      <c r="S2353" s="22" t="s">
        <v>16050</v>
      </c>
      <c r="X2353" s="26"/>
      <c r="Y2353" s="26"/>
    </row>
    <row r="2354" spans="1:25" ht="37.5" x14ac:dyDescent="0.25">
      <c r="A2354" s="21">
        <v>2619</v>
      </c>
      <c r="B2354" s="22" t="s">
        <v>15346</v>
      </c>
      <c r="C2354" s="22" t="s">
        <v>16051</v>
      </c>
      <c r="F2354" s="22" t="s">
        <v>16052</v>
      </c>
      <c r="G2354" s="23" t="s">
        <v>16053</v>
      </c>
      <c r="H2354" s="25" t="s">
        <v>15373</v>
      </c>
      <c r="I2354" s="22" t="s">
        <v>15374</v>
      </c>
      <c r="J2354" s="22">
        <v>3516</v>
      </c>
      <c r="K2354" s="26">
        <f t="shared" si="36"/>
        <v>1750</v>
      </c>
      <c r="L2354" s="26">
        <v>1750</v>
      </c>
      <c r="O2354" s="22" t="s">
        <v>16054</v>
      </c>
      <c r="P2354" s="22" t="s">
        <v>16955</v>
      </c>
      <c r="Q2354" s="22" t="s">
        <v>17256</v>
      </c>
      <c r="S2354" s="22" t="s">
        <v>16055</v>
      </c>
      <c r="X2354" s="26"/>
      <c r="Y2354" s="26"/>
    </row>
    <row r="2355" spans="1:25" ht="37.5" x14ac:dyDescent="0.25">
      <c r="A2355" s="21">
        <v>2620</v>
      </c>
      <c r="B2355" s="22" t="s">
        <v>15346</v>
      </c>
      <c r="C2355" s="22" t="s">
        <v>16051</v>
      </c>
      <c r="F2355" s="22" t="s">
        <v>16056</v>
      </c>
      <c r="G2355" s="23" t="s">
        <v>16057</v>
      </c>
      <c r="H2355" s="25" t="s">
        <v>15373</v>
      </c>
      <c r="I2355" s="22" t="s">
        <v>15382</v>
      </c>
      <c r="J2355" s="22" t="s">
        <v>17220</v>
      </c>
      <c r="K2355" s="26">
        <f t="shared" si="36"/>
        <v>350</v>
      </c>
      <c r="L2355" s="26">
        <v>350</v>
      </c>
      <c r="O2355" s="22" t="s">
        <v>16054</v>
      </c>
      <c r="P2355" s="22" t="s">
        <v>16955</v>
      </c>
      <c r="Q2355" s="22" t="s">
        <v>17256</v>
      </c>
      <c r="S2355" s="22" t="s">
        <v>16055</v>
      </c>
      <c r="X2355" s="26"/>
      <c r="Y2355" s="26"/>
    </row>
    <row r="2356" spans="1:25" ht="50" x14ac:dyDescent="0.25">
      <c r="A2356" s="21">
        <v>2621</v>
      </c>
      <c r="B2356" s="22" t="s">
        <v>15346</v>
      </c>
      <c r="C2356" s="22" t="s">
        <v>16058</v>
      </c>
      <c r="F2356" s="22" t="s">
        <v>16059</v>
      </c>
      <c r="G2356" s="23" t="s">
        <v>16060</v>
      </c>
      <c r="H2356" s="25" t="s">
        <v>15373</v>
      </c>
      <c r="I2356" s="22" t="s">
        <v>15374</v>
      </c>
      <c r="J2356" s="22" t="s">
        <v>16061</v>
      </c>
      <c r="K2356" s="26">
        <f t="shared" si="36"/>
        <v>724</v>
      </c>
      <c r="L2356" s="26">
        <v>724</v>
      </c>
      <c r="O2356" s="22" t="s">
        <v>16062</v>
      </c>
      <c r="P2356" s="22" t="s">
        <v>16934</v>
      </c>
      <c r="Q2356" s="22" t="s">
        <v>16935</v>
      </c>
      <c r="S2356" s="22" t="s">
        <v>16063</v>
      </c>
      <c r="X2356" s="26"/>
      <c r="Y2356" s="26"/>
    </row>
    <row r="2357" spans="1:25" ht="50" x14ac:dyDescent="0.25">
      <c r="A2357" s="21">
        <v>2622</v>
      </c>
      <c r="B2357" s="22" t="s">
        <v>15346</v>
      </c>
      <c r="C2357" s="22" t="s">
        <v>16058</v>
      </c>
      <c r="F2357" s="22" t="s">
        <v>16064</v>
      </c>
      <c r="G2357" s="23" t="s">
        <v>16065</v>
      </c>
      <c r="H2357" s="25" t="s">
        <v>15373</v>
      </c>
      <c r="I2357" s="22" t="s">
        <v>15374</v>
      </c>
      <c r="J2357" s="22" t="s">
        <v>16061</v>
      </c>
      <c r="K2357" s="26">
        <f t="shared" si="36"/>
        <v>724</v>
      </c>
      <c r="L2357" s="26">
        <v>724</v>
      </c>
      <c r="O2357" s="22" t="s">
        <v>16062</v>
      </c>
      <c r="P2357" s="22" t="s">
        <v>16934</v>
      </c>
      <c r="Q2357" s="22" t="s">
        <v>16935</v>
      </c>
      <c r="S2357" s="22" t="s">
        <v>16063</v>
      </c>
      <c r="X2357" s="26"/>
      <c r="Y2357" s="26"/>
    </row>
    <row r="2358" spans="1:25" ht="50" x14ac:dyDescent="0.25">
      <c r="A2358" s="21">
        <v>2623</v>
      </c>
      <c r="B2358" s="22" t="s">
        <v>15346</v>
      </c>
      <c r="C2358" s="22" t="s">
        <v>16058</v>
      </c>
      <c r="F2358" s="22" t="s">
        <v>16066</v>
      </c>
      <c r="G2358" s="23" t="s">
        <v>16067</v>
      </c>
      <c r="H2358" s="25" t="s">
        <v>15373</v>
      </c>
      <c r="I2358" s="22" t="s">
        <v>15374</v>
      </c>
      <c r="J2358" s="22" t="s">
        <v>16061</v>
      </c>
      <c r="K2358" s="26">
        <f t="shared" si="36"/>
        <v>724</v>
      </c>
      <c r="L2358" s="26">
        <v>724</v>
      </c>
      <c r="O2358" s="22" t="s">
        <v>16062</v>
      </c>
      <c r="P2358" s="22" t="s">
        <v>16934</v>
      </c>
      <c r="Q2358" s="22" t="s">
        <v>16935</v>
      </c>
      <c r="S2358" s="22" t="s">
        <v>16063</v>
      </c>
      <c r="X2358" s="26"/>
      <c r="Y2358" s="26"/>
    </row>
    <row r="2359" spans="1:25" ht="25" x14ac:dyDescent="0.25">
      <c r="A2359" s="21">
        <v>2624</v>
      </c>
      <c r="B2359" s="22" t="s">
        <v>15346</v>
      </c>
      <c r="C2359" s="22" t="s">
        <v>16068</v>
      </c>
      <c r="F2359" s="22" t="s">
        <v>16069</v>
      </c>
      <c r="G2359" s="23" t="s">
        <v>16070</v>
      </c>
      <c r="H2359" s="25" t="s">
        <v>15373</v>
      </c>
      <c r="I2359" s="22" t="s">
        <v>15374</v>
      </c>
      <c r="J2359" s="22">
        <v>3512</v>
      </c>
      <c r="K2359" s="26">
        <f t="shared" si="36"/>
        <v>1250</v>
      </c>
      <c r="L2359" s="26">
        <v>1250</v>
      </c>
      <c r="O2359" s="22" t="s">
        <v>16071</v>
      </c>
      <c r="P2359" s="22" t="s">
        <v>16955</v>
      </c>
      <c r="Q2359" s="22" t="s">
        <v>16975</v>
      </c>
      <c r="S2359" s="22" t="s">
        <v>16072</v>
      </c>
      <c r="X2359" s="26"/>
      <c r="Y2359" s="26"/>
    </row>
    <row r="2360" spans="1:25" ht="25" x14ac:dyDescent="0.25">
      <c r="A2360" s="21">
        <v>2625</v>
      </c>
      <c r="B2360" s="22" t="s">
        <v>15346</v>
      </c>
      <c r="C2360" s="22" t="s">
        <v>16073</v>
      </c>
      <c r="F2360" s="22" t="s">
        <v>16074</v>
      </c>
      <c r="G2360" s="23" t="s">
        <v>16075</v>
      </c>
      <c r="H2360" s="25" t="s">
        <v>15373</v>
      </c>
      <c r="I2360" s="22" t="s">
        <v>16311</v>
      </c>
      <c r="J2360" s="22" t="s">
        <v>16311</v>
      </c>
      <c r="K2360" s="26">
        <f t="shared" si="36"/>
        <v>406</v>
      </c>
      <c r="M2360" s="26">
        <v>609</v>
      </c>
      <c r="O2360" s="22" t="s">
        <v>16076</v>
      </c>
      <c r="P2360" s="22" t="s">
        <v>16077</v>
      </c>
      <c r="Q2360" s="22" t="s">
        <v>17011</v>
      </c>
      <c r="S2360" s="22" t="s">
        <v>16078</v>
      </c>
      <c r="X2360" s="26"/>
      <c r="Y2360" s="26"/>
    </row>
    <row r="2361" spans="1:25" ht="37.5" x14ac:dyDescent="0.25">
      <c r="A2361" s="21">
        <v>2626</v>
      </c>
      <c r="B2361" s="22" t="s">
        <v>15346</v>
      </c>
      <c r="C2361" s="22" t="s">
        <v>16079</v>
      </c>
      <c r="F2361" s="22" t="s">
        <v>16080</v>
      </c>
      <c r="G2361" s="23" t="s">
        <v>16081</v>
      </c>
      <c r="H2361" s="25" t="s">
        <v>15373</v>
      </c>
      <c r="I2361" s="22" t="s">
        <v>15374</v>
      </c>
      <c r="J2361" s="22">
        <v>3412</v>
      </c>
      <c r="K2361" s="26">
        <f t="shared" si="36"/>
        <v>520</v>
      </c>
      <c r="L2361" s="26">
        <v>520</v>
      </c>
      <c r="O2361" s="22" t="s">
        <v>16082</v>
      </c>
      <c r="P2361" s="22" t="s">
        <v>16083</v>
      </c>
      <c r="Q2361" s="22" t="s">
        <v>16084</v>
      </c>
      <c r="S2361" s="22" t="s">
        <v>16085</v>
      </c>
      <c r="X2361" s="26"/>
      <c r="Y2361" s="26"/>
    </row>
    <row r="2362" spans="1:25" ht="25" x14ac:dyDescent="0.25">
      <c r="A2362" s="21">
        <v>2627</v>
      </c>
      <c r="B2362" s="22" t="s">
        <v>15346</v>
      </c>
      <c r="C2362" s="22" t="s">
        <v>16079</v>
      </c>
      <c r="F2362" s="22" t="s">
        <v>16086</v>
      </c>
      <c r="G2362" s="23" t="s">
        <v>16087</v>
      </c>
      <c r="H2362" s="25" t="s">
        <v>15373</v>
      </c>
      <c r="I2362" s="22" t="s">
        <v>16311</v>
      </c>
      <c r="J2362" s="22" t="s">
        <v>16311</v>
      </c>
      <c r="K2362" s="26">
        <f t="shared" si="36"/>
        <v>373.33333333333331</v>
      </c>
      <c r="M2362" s="26">
        <v>560</v>
      </c>
      <c r="O2362" s="22" t="s">
        <v>16088</v>
      </c>
      <c r="P2362" s="22" t="s">
        <v>16968</v>
      </c>
      <c r="Q2362" s="22" t="s">
        <v>16969</v>
      </c>
      <c r="S2362" s="22" t="s">
        <v>16089</v>
      </c>
      <c r="X2362" s="26"/>
      <c r="Y2362" s="26"/>
    </row>
    <row r="2363" spans="1:25" ht="37.5" x14ac:dyDescent="0.25">
      <c r="A2363" s="21">
        <v>2628</v>
      </c>
      <c r="B2363" s="22" t="s">
        <v>15346</v>
      </c>
      <c r="C2363" s="22" t="s">
        <v>16079</v>
      </c>
      <c r="F2363" s="22" t="s">
        <v>16090</v>
      </c>
      <c r="G2363" s="23" t="s">
        <v>16091</v>
      </c>
      <c r="H2363" s="25" t="s">
        <v>15373</v>
      </c>
      <c r="I2363" s="22" t="s">
        <v>15374</v>
      </c>
      <c r="J2363" s="22">
        <v>3412</v>
      </c>
      <c r="K2363" s="26">
        <f t="shared" si="36"/>
        <v>500</v>
      </c>
      <c r="L2363" s="26">
        <v>500</v>
      </c>
      <c r="O2363" s="22" t="s">
        <v>16088</v>
      </c>
      <c r="P2363" s="22" t="s">
        <v>16968</v>
      </c>
      <c r="Q2363" s="22" t="s">
        <v>16969</v>
      </c>
      <c r="S2363" s="22" t="s">
        <v>16089</v>
      </c>
      <c r="X2363" s="26"/>
      <c r="Y2363" s="26"/>
    </row>
    <row r="2364" spans="1:25" ht="25" x14ac:dyDescent="0.25">
      <c r="A2364" s="21">
        <v>2629</v>
      </c>
      <c r="B2364" s="22" t="s">
        <v>15346</v>
      </c>
      <c r="C2364" s="22" t="s">
        <v>16092</v>
      </c>
      <c r="F2364" s="22" t="s">
        <v>16093</v>
      </c>
      <c r="G2364" s="23" t="s">
        <v>16094</v>
      </c>
      <c r="H2364" s="25" t="s">
        <v>15373</v>
      </c>
      <c r="I2364" s="22" t="s">
        <v>15382</v>
      </c>
      <c r="J2364" s="22">
        <v>7421</v>
      </c>
      <c r="K2364" s="26">
        <f t="shared" si="36"/>
        <v>750</v>
      </c>
      <c r="L2364" s="26">
        <v>750</v>
      </c>
      <c r="O2364" s="22" t="s">
        <v>16095</v>
      </c>
      <c r="P2364" s="22" t="s">
        <v>16096</v>
      </c>
      <c r="Q2364" s="22" t="s">
        <v>16097</v>
      </c>
      <c r="S2364" s="22" t="s">
        <v>16098</v>
      </c>
      <c r="X2364" s="26"/>
      <c r="Y2364" s="26"/>
    </row>
    <row r="2365" spans="1:25" ht="25" x14ac:dyDescent="0.25">
      <c r="A2365" s="21">
        <v>2630</v>
      </c>
      <c r="B2365" s="22" t="s">
        <v>15346</v>
      </c>
      <c r="C2365" s="22" t="s">
        <v>16092</v>
      </c>
      <c r="F2365" s="22" t="s">
        <v>16099</v>
      </c>
      <c r="G2365" s="23" t="s">
        <v>16100</v>
      </c>
      <c r="H2365" s="25" t="s">
        <v>15373</v>
      </c>
      <c r="I2365" s="22" t="s">
        <v>15382</v>
      </c>
      <c r="J2365" s="22">
        <v>7421</v>
      </c>
      <c r="K2365" s="26">
        <f t="shared" si="36"/>
        <v>750</v>
      </c>
      <c r="L2365" s="26">
        <v>750</v>
      </c>
      <c r="O2365" s="22" t="s">
        <v>16095</v>
      </c>
      <c r="P2365" s="22" t="s">
        <v>16096</v>
      </c>
      <c r="Q2365" s="22" t="s">
        <v>16097</v>
      </c>
      <c r="S2365" s="22" t="s">
        <v>16098</v>
      </c>
      <c r="X2365" s="26"/>
      <c r="Y2365" s="26"/>
    </row>
    <row r="2366" spans="1:25" ht="25" x14ac:dyDescent="0.25">
      <c r="A2366" s="21">
        <v>2631</v>
      </c>
      <c r="B2366" s="22" t="s">
        <v>15346</v>
      </c>
      <c r="C2366" s="22" t="s">
        <v>16092</v>
      </c>
      <c r="F2366" s="22" t="s">
        <v>16101</v>
      </c>
      <c r="G2366" s="23" t="s">
        <v>16102</v>
      </c>
      <c r="H2366" s="25" t="s">
        <v>15373</v>
      </c>
      <c r="I2366" s="22" t="s">
        <v>15382</v>
      </c>
      <c r="J2366" s="22">
        <v>7421</v>
      </c>
      <c r="K2366" s="26">
        <f t="shared" si="36"/>
        <v>750</v>
      </c>
      <c r="L2366" s="26">
        <v>750</v>
      </c>
      <c r="O2366" s="22" t="s">
        <v>16095</v>
      </c>
      <c r="P2366" s="22" t="s">
        <v>16096</v>
      </c>
      <c r="Q2366" s="22" t="s">
        <v>16097</v>
      </c>
      <c r="S2366" s="22" t="s">
        <v>16098</v>
      </c>
      <c r="X2366" s="26"/>
      <c r="Y2366" s="26"/>
    </row>
    <row r="2367" spans="1:25" ht="37.5" x14ac:dyDescent="0.25">
      <c r="A2367" s="21">
        <v>2632</v>
      </c>
      <c r="B2367" s="22" t="s">
        <v>15346</v>
      </c>
      <c r="C2367" s="22" t="s">
        <v>16103</v>
      </c>
      <c r="F2367" s="22" t="s">
        <v>16104</v>
      </c>
      <c r="G2367" s="23" t="s">
        <v>16105</v>
      </c>
      <c r="H2367" s="25" t="s">
        <v>15373</v>
      </c>
      <c r="I2367" s="22" t="s">
        <v>15374</v>
      </c>
      <c r="J2367" s="22" t="s">
        <v>15441</v>
      </c>
      <c r="K2367" s="26">
        <f t="shared" si="36"/>
        <v>500</v>
      </c>
      <c r="L2367" s="26">
        <v>500</v>
      </c>
      <c r="O2367" s="22" t="s">
        <v>16106</v>
      </c>
      <c r="P2367" s="22" t="s">
        <v>17176</v>
      </c>
      <c r="Q2367" s="22" t="s">
        <v>17177</v>
      </c>
      <c r="S2367" s="22" t="s">
        <v>16107</v>
      </c>
      <c r="X2367" s="26"/>
      <c r="Y2367" s="26"/>
    </row>
    <row r="2368" spans="1:25" ht="37.5" x14ac:dyDescent="0.25">
      <c r="A2368" s="21">
        <v>2633</v>
      </c>
      <c r="B2368" s="22" t="s">
        <v>15346</v>
      </c>
      <c r="C2368" s="22" t="s">
        <v>16103</v>
      </c>
      <c r="F2368" s="22" t="s">
        <v>16108</v>
      </c>
      <c r="G2368" s="23" t="s">
        <v>17555</v>
      </c>
      <c r="H2368" s="25" t="s">
        <v>15373</v>
      </c>
      <c r="I2368" s="22" t="s">
        <v>15374</v>
      </c>
      <c r="J2368" s="22" t="s">
        <v>17556</v>
      </c>
      <c r="K2368" s="26">
        <f t="shared" si="36"/>
        <v>350</v>
      </c>
      <c r="L2368" s="26">
        <v>350</v>
      </c>
      <c r="O2368" s="22" t="s">
        <v>16106</v>
      </c>
      <c r="P2368" s="22" t="s">
        <v>17176</v>
      </c>
      <c r="Q2368" s="22" t="s">
        <v>17177</v>
      </c>
      <c r="S2368" s="22" t="s">
        <v>16107</v>
      </c>
      <c r="X2368" s="26"/>
      <c r="Y2368" s="26"/>
    </row>
    <row r="2369" spans="1:25" ht="25" x14ac:dyDescent="0.25">
      <c r="A2369" s="21">
        <v>2634</v>
      </c>
      <c r="B2369" s="22" t="s">
        <v>15346</v>
      </c>
      <c r="C2369" s="22" t="s">
        <v>17557</v>
      </c>
      <c r="F2369" s="22" t="s">
        <v>17558</v>
      </c>
      <c r="G2369" s="23" t="s">
        <v>17559</v>
      </c>
      <c r="H2369" s="25" t="s">
        <v>15373</v>
      </c>
      <c r="I2369" s="22" t="s">
        <v>15374</v>
      </c>
      <c r="J2369" s="22">
        <v>3412</v>
      </c>
      <c r="K2369" s="26">
        <f t="shared" ref="K2369:K2432" si="37">L2369+M2369*(2/3)+N2369*(2/3)</f>
        <v>475</v>
      </c>
      <c r="L2369" s="26">
        <v>475</v>
      </c>
      <c r="O2369" s="22" t="s">
        <v>17560</v>
      </c>
      <c r="P2369" s="22" t="s">
        <v>17176</v>
      </c>
      <c r="Q2369" s="22" t="s">
        <v>17177</v>
      </c>
      <c r="S2369" s="22" t="s">
        <v>17561</v>
      </c>
      <c r="X2369" s="26"/>
      <c r="Y2369" s="26"/>
    </row>
    <row r="2370" spans="1:25" ht="25" x14ac:dyDescent="0.25">
      <c r="A2370" s="21">
        <v>2635</v>
      </c>
      <c r="B2370" s="22" t="s">
        <v>15346</v>
      </c>
      <c r="C2370" s="22" t="s">
        <v>17562</v>
      </c>
      <c r="F2370" s="22" t="s">
        <v>17563</v>
      </c>
      <c r="G2370" s="23" t="s">
        <v>17564</v>
      </c>
      <c r="H2370" s="25" t="s">
        <v>15373</v>
      </c>
      <c r="I2370" s="22" t="s">
        <v>15382</v>
      </c>
      <c r="J2370" s="22" t="s">
        <v>14850</v>
      </c>
      <c r="K2370" s="26">
        <f t="shared" si="37"/>
        <v>300</v>
      </c>
      <c r="L2370" s="26">
        <v>300</v>
      </c>
      <c r="O2370" s="22" t="s">
        <v>17565</v>
      </c>
      <c r="P2370" s="22" t="s">
        <v>17176</v>
      </c>
      <c r="Q2370" s="22" t="s">
        <v>17177</v>
      </c>
      <c r="S2370" s="22" t="s">
        <v>17566</v>
      </c>
      <c r="X2370" s="26"/>
      <c r="Y2370" s="26"/>
    </row>
    <row r="2371" spans="1:25" ht="37.5" x14ac:dyDescent="0.25">
      <c r="A2371" s="21">
        <v>2636</v>
      </c>
      <c r="B2371" s="22" t="s">
        <v>15346</v>
      </c>
      <c r="C2371" s="22" t="s">
        <v>17567</v>
      </c>
      <c r="F2371" s="22" t="s">
        <v>17568</v>
      </c>
      <c r="G2371" s="23" t="s">
        <v>17569</v>
      </c>
      <c r="H2371" s="25" t="s">
        <v>15373</v>
      </c>
      <c r="I2371" s="22" t="s">
        <v>15382</v>
      </c>
      <c r="J2371" s="22" t="s">
        <v>17570</v>
      </c>
      <c r="K2371" s="26">
        <f t="shared" si="37"/>
        <v>350</v>
      </c>
      <c r="L2371" s="26">
        <v>350</v>
      </c>
      <c r="O2371" s="22" t="s">
        <v>17571</v>
      </c>
      <c r="P2371" s="22" t="s">
        <v>17572</v>
      </c>
      <c r="Q2371" s="22" t="s">
        <v>17573</v>
      </c>
      <c r="S2371" s="22" t="s">
        <v>17574</v>
      </c>
      <c r="X2371" s="26"/>
      <c r="Y2371" s="26"/>
    </row>
    <row r="2372" spans="1:25" ht="37.5" x14ac:dyDescent="0.25">
      <c r="A2372" s="21">
        <v>2637</v>
      </c>
      <c r="B2372" s="22" t="s">
        <v>15346</v>
      </c>
      <c r="C2372" s="22" t="s">
        <v>17575</v>
      </c>
      <c r="F2372" s="22" t="s">
        <v>17576</v>
      </c>
      <c r="G2372" s="23" t="s">
        <v>17577</v>
      </c>
      <c r="H2372" s="25" t="s">
        <v>15373</v>
      </c>
      <c r="I2372" s="22" t="s">
        <v>15411</v>
      </c>
      <c r="J2372" s="22" t="s">
        <v>15856</v>
      </c>
      <c r="K2372" s="26">
        <f t="shared" si="37"/>
        <v>350</v>
      </c>
      <c r="L2372" s="26">
        <v>350</v>
      </c>
      <c r="O2372" s="22" t="s">
        <v>17578</v>
      </c>
      <c r="P2372" s="22" t="s">
        <v>17579</v>
      </c>
      <c r="Q2372" s="22" t="s">
        <v>17580</v>
      </c>
      <c r="S2372" s="22" t="s">
        <v>17581</v>
      </c>
      <c r="X2372" s="26"/>
      <c r="Y2372" s="26"/>
    </row>
    <row r="2373" spans="1:25" ht="37.5" x14ac:dyDescent="0.25">
      <c r="A2373" s="21">
        <v>2638</v>
      </c>
      <c r="B2373" s="22" t="s">
        <v>15346</v>
      </c>
      <c r="C2373" s="22" t="s">
        <v>17575</v>
      </c>
      <c r="F2373" s="22" t="s">
        <v>17582</v>
      </c>
      <c r="G2373" s="23" t="s">
        <v>17583</v>
      </c>
      <c r="H2373" s="25" t="s">
        <v>15373</v>
      </c>
      <c r="I2373" s="22" t="s">
        <v>15411</v>
      </c>
      <c r="J2373" s="22" t="s">
        <v>14979</v>
      </c>
      <c r="K2373" s="26">
        <f t="shared" si="37"/>
        <v>455</v>
      </c>
      <c r="L2373" s="26">
        <v>455</v>
      </c>
      <c r="O2373" s="22" t="s">
        <v>17578</v>
      </c>
      <c r="P2373" s="22" t="s">
        <v>17579</v>
      </c>
      <c r="Q2373" s="22" t="s">
        <v>17580</v>
      </c>
      <c r="S2373" s="22" t="s">
        <v>17581</v>
      </c>
      <c r="X2373" s="26"/>
      <c r="Y2373" s="26"/>
    </row>
    <row r="2374" spans="1:25" ht="37.5" x14ac:dyDescent="0.25">
      <c r="A2374" s="21">
        <v>2639</v>
      </c>
      <c r="B2374" s="22" t="s">
        <v>15346</v>
      </c>
      <c r="C2374" s="22" t="s">
        <v>17584</v>
      </c>
      <c r="F2374" s="22" t="s">
        <v>17585</v>
      </c>
      <c r="G2374" s="23" t="s">
        <v>17586</v>
      </c>
      <c r="H2374" s="25" t="s">
        <v>15373</v>
      </c>
      <c r="I2374" s="22" t="s">
        <v>15374</v>
      </c>
      <c r="J2374" s="22">
        <v>3406</v>
      </c>
      <c r="K2374" s="26">
        <f t="shared" si="37"/>
        <v>312.66666666666663</v>
      </c>
      <c r="M2374" s="26">
        <v>469</v>
      </c>
      <c r="O2374" s="22" t="s">
        <v>17587</v>
      </c>
      <c r="P2374" s="22" t="s">
        <v>17588</v>
      </c>
      <c r="Q2374" s="22" t="s">
        <v>17589</v>
      </c>
      <c r="S2374" s="22" t="s">
        <v>17590</v>
      </c>
      <c r="X2374" s="26"/>
      <c r="Y2374" s="26"/>
    </row>
    <row r="2375" spans="1:25" ht="37.5" x14ac:dyDescent="0.25">
      <c r="A2375" s="21">
        <v>2640</v>
      </c>
      <c r="B2375" s="22" t="s">
        <v>15346</v>
      </c>
      <c r="C2375" s="22" t="s">
        <v>17591</v>
      </c>
      <c r="F2375" s="22" t="s">
        <v>17592</v>
      </c>
      <c r="G2375" s="23" t="s">
        <v>17593</v>
      </c>
      <c r="H2375" s="25" t="s">
        <v>15373</v>
      </c>
      <c r="I2375" s="22" t="s">
        <v>15382</v>
      </c>
      <c r="J2375" s="22" t="s">
        <v>17594</v>
      </c>
      <c r="K2375" s="26">
        <f t="shared" si="37"/>
        <v>500</v>
      </c>
      <c r="L2375" s="26">
        <v>500</v>
      </c>
      <c r="O2375" s="22" t="s">
        <v>17595</v>
      </c>
      <c r="P2375" s="22" t="s">
        <v>17596</v>
      </c>
      <c r="Q2375" s="22" t="s">
        <v>17597</v>
      </c>
      <c r="S2375" s="22" t="s">
        <v>17598</v>
      </c>
      <c r="X2375" s="26"/>
      <c r="Y2375" s="26"/>
    </row>
    <row r="2376" spans="1:25" ht="37.5" x14ac:dyDescent="0.25">
      <c r="A2376" s="21">
        <v>2641</v>
      </c>
      <c r="B2376" s="22" t="s">
        <v>15346</v>
      </c>
      <c r="C2376" s="22" t="s">
        <v>17599</v>
      </c>
      <c r="F2376" s="22" t="s">
        <v>17600</v>
      </c>
      <c r="G2376" s="23" t="s">
        <v>17601</v>
      </c>
      <c r="H2376" s="25" t="s">
        <v>15373</v>
      </c>
      <c r="I2376" s="22" t="s">
        <v>15374</v>
      </c>
      <c r="J2376" s="22">
        <v>3508</v>
      </c>
      <c r="K2376" s="26">
        <f t="shared" si="37"/>
        <v>700</v>
      </c>
      <c r="L2376" s="26">
        <v>700</v>
      </c>
      <c r="O2376" s="22" t="s">
        <v>17602</v>
      </c>
      <c r="P2376" s="22" t="s">
        <v>16955</v>
      </c>
      <c r="Q2376" s="22" t="s">
        <v>17603</v>
      </c>
      <c r="S2376" s="22" t="s">
        <v>17604</v>
      </c>
      <c r="X2376" s="26"/>
      <c r="Y2376" s="26"/>
    </row>
    <row r="2377" spans="1:25" ht="37.5" x14ac:dyDescent="0.25">
      <c r="A2377" s="21">
        <v>2642</v>
      </c>
      <c r="B2377" s="22" t="s">
        <v>15346</v>
      </c>
      <c r="C2377" s="22" t="s">
        <v>17599</v>
      </c>
      <c r="F2377" s="22" t="s">
        <v>17605</v>
      </c>
      <c r="G2377" s="23" t="s">
        <v>17606</v>
      </c>
      <c r="H2377" s="25" t="s">
        <v>15373</v>
      </c>
      <c r="I2377" s="22" t="s">
        <v>15374</v>
      </c>
      <c r="J2377" s="22">
        <v>3508</v>
      </c>
      <c r="K2377" s="26">
        <f t="shared" si="37"/>
        <v>700</v>
      </c>
      <c r="L2377" s="26">
        <v>700</v>
      </c>
      <c r="O2377" s="22" t="s">
        <v>17602</v>
      </c>
      <c r="P2377" s="22" t="s">
        <v>16955</v>
      </c>
      <c r="Q2377" s="22" t="s">
        <v>17603</v>
      </c>
      <c r="S2377" s="22" t="s">
        <v>17604</v>
      </c>
      <c r="X2377" s="26"/>
      <c r="Y2377" s="26"/>
    </row>
    <row r="2378" spans="1:25" ht="37.5" x14ac:dyDescent="0.25">
      <c r="A2378" s="21">
        <v>2643</v>
      </c>
      <c r="B2378" s="22" t="s">
        <v>15346</v>
      </c>
      <c r="C2378" s="22" t="s">
        <v>17599</v>
      </c>
      <c r="F2378" s="22" t="s">
        <v>17607</v>
      </c>
      <c r="G2378" s="23" t="s">
        <v>17608</v>
      </c>
      <c r="H2378" s="25" t="s">
        <v>15373</v>
      </c>
      <c r="I2378" s="22" t="s">
        <v>15374</v>
      </c>
      <c r="J2378" s="22">
        <v>3508</v>
      </c>
      <c r="K2378" s="26">
        <f t="shared" si="37"/>
        <v>700</v>
      </c>
      <c r="L2378" s="26">
        <v>700</v>
      </c>
      <c r="O2378" s="22" t="s">
        <v>17602</v>
      </c>
      <c r="P2378" s="22" t="s">
        <v>16955</v>
      </c>
      <c r="Q2378" s="22" t="s">
        <v>17603</v>
      </c>
      <c r="S2378" s="22" t="s">
        <v>17604</v>
      </c>
      <c r="X2378" s="26"/>
      <c r="Y2378" s="26"/>
    </row>
    <row r="2379" spans="1:25" ht="37.5" x14ac:dyDescent="0.25">
      <c r="A2379" s="21">
        <v>2644</v>
      </c>
      <c r="B2379" s="22" t="s">
        <v>15346</v>
      </c>
      <c r="C2379" s="22" t="s">
        <v>17599</v>
      </c>
      <c r="F2379" s="22" t="s">
        <v>17609</v>
      </c>
      <c r="G2379" s="23" t="s">
        <v>17610</v>
      </c>
      <c r="H2379" s="25" t="s">
        <v>15373</v>
      </c>
      <c r="I2379" s="22" t="s">
        <v>15374</v>
      </c>
      <c r="J2379" s="22">
        <v>3508</v>
      </c>
      <c r="K2379" s="26">
        <f t="shared" si="37"/>
        <v>700</v>
      </c>
      <c r="L2379" s="26">
        <v>700</v>
      </c>
      <c r="O2379" s="22" t="s">
        <v>17602</v>
      </c>
      <c r="P2379" s="22" t="s">
        <v>16955</v>
      </c>
      <c r="Q2379" s="22" t="s">
        <v>17603</v>
      </c>
      <c r="S2379" s="22" t="s">
        <v>17604</v>
      </c>
      <c r="X2379" s="26"/>
      <c r="Y2379" s="26"/>
    </row>
    <row r="2380" spans="1:25" ht="37.5" x14ac:dyDescent="0.25">
      <c r="A2380" s="21">
        <v>2645</v>
      </c>
      <c r="B2380" s="22" t="s">
        <v>15346</v>
      </c>
      <c r="C2380" s="22" t="s">
        <v>17611</v>
      </c>
      <c r="F2380" s="22" t="s">
        <v>17612</v>
      </c>
      <c r="G2380" s="23" t="s">
        <v>17613</v>
      </c>
      <c r="H2380" s="25" t="s">
        <v>15373</v>
      </c>
      <c r="I2380" s="22" t="s">
        <v>15374</v>
      </c>
      <c r="J2380" s="22">
        <v>3508</v>
      </c>
      <c r="K2380" s="26">
        <f t="shared" si="37"/>
        <v>976.66666666666663</v>
      </c>
      <c r="M2380" s="26">
        <v>1465</v>
      </c>
      <c r="O2380" s="22" t="s">
        <v>17614</v>
      </c>
      <c r="P2380" s="22" t="s">
        <v>16985</v>
      </c>
      <c r="Q2380" s="22" t="s">
        <v>16986</v>
      </c>
      <c r="S2380" s="22" t="s">
        <v>17615</v>
      </c>
      <c r="X2380" s="26"/>
      <c r="Y2380" s="26"/>
    </row>
    <row r="2381" spans="1:25" ht="37.5" x14ac:dyDescent="0.25">
      <c r="A2381" s="21">
        <v>2646</v>
      </c>
      <c r="B2381" s="22" t="s">
        <v>15346</v>
      </c>
      <c r="C2381" s="22" t="s">
        <v>17616</v>
      </c>
      <c r="F2381" s="22" t="s">
        <v>17617</v>
      </c>
      <c r="G2381" s="23" t="s">
        <v>17618</v>
      </c>
      <c r="H2381" s="25" t="s">
        <v>15373</v>
      </c>
      <c r="I2381" s="22" t="s">
        <v>15374</v>
      </c>
      <c r="J2381" s="22">
        <v>3508</v>
      </c>
      <c r="K2381" s="26">
        <f t="shared" si="37"/>
        <v>1000</v>
      </c>
      <c r="L2381" s="26">
        <v>1000</v>
      </c>
      <c r="O2381" s="22" t="s">
        <v>17619</v>
      </c>
      <c r="P2381" s="22" t="s">
        <v>16991</v>
      </c>
      <c r="Q2381" s="22" t="s">
        <v>16992</v>
      </c>
      <c r="S2381" s="22" t="s">
        <v>17620</v>
      </c>
      <c r="X2381" s="26"/>
      <c r="Y2381" s="26"/>
    </row>
    <row r="2382" spans="1:25" ht="37.5" x14ac:dyDescent="0.25">
      <c r="A2382" s="21">
        <v>2647</v>
      </c>
      <c r="B2382" s="22" t="s">
        <v>15346</v>
      </c>
      <c r="C2382" s="22" t="s">
        <v>17616</v>
      </c>
      <c r="F2382" s="22" t="s">
        <v>17621</v>
      </c>
      <c r="G2382" s="23" t="s">
        <v>17622</v>
      </c>
      <c r="H2382" s="25" t="s">
        <v>15373</v>
      </c>
      <c r="I2382" s="22" t="s">
        <v>15374</v>
      </c>
      <c r="J2382" s="22">
        <v>3508</v>
      </c>
      <c r="K2382" s="26">
        <f t="shared" si="37"/>
        <v>1000</v>
      </c>
      <c r="L2382" s="26">
        <v>1000</v>
      </c>
      <c r="O2382" s="22" t="s">
        <v>17619</v>
      </c>
      <c r="P2382" s="22" t="s">
        <v>16991</v>
      </c>
      <c r="Q2382" s="22" t="s">
        <v>16992</v>
      </c>
      <c r="S2382" s="22" t="s">
        <v>17620</v>
      </c>
      <c r="X2382" s="26"/>
      <c r="Y2382" s="26"/>
    </row>
    <row r="2383" spans="1:25" ht="37.5" x14ac:dyDescent="0.25">
      <c r="A2383" s="21">
        <v>2648</v>
      </c>
      <c r="B2383" s="22" t="s">
        <v>15346</v>
      </c>
      <c r="C2383" s="22" t="s">
        <v>17623</v>
      </c>
      <c r="F2383" s="22" t="s">
        <v>17624</v>
      </c>
      <c r="G2383" s="23" t="s">
        <v>17625</v>
      </c>
      <c r="H2383" s="25" t="s">
        <v>15373</v>
      </c>
      <c r="I2383" s="22" t="s">
        <v>15374</v>
      </c>
      <c r="J2383" s="22">
        <v>3512</v>
      </c>
      <c r="K2383" s="26">
        <f t="shared" si="37"/>
        <v>895</v>
      </c>
      <c r="L2383" s="26">
        <v>895</v>
      </c>
      <c r="O2383" s="22" t="s">
        <v>17626</v>
      </c>
      <c r="P2383" s="22" t="s">
        <v>16998</v>
      </c>
      <c r="Q2383" s="22" t="s">
        <v>16999</v>
      </c>
      <c r="S2383" s="22" t="s">
        <v>17627</v>
      </c>
      <c r="X2383" s="26"/>
      <c r="Y2383" s="26"/>
    </row>
    <row r="2384" spans="1:25" ht="37.5" x14ac:dyDescent="0.25">
      <c r="A2384" s="21">
        <v>2649</v>
      </c>
      <c r="B2384" s="22" t="s">
        <v>15346</v>
      </c>
      <c r="C2384" s="22" t="s">
        <v>17623</v>
      </c>
      <c r="F2384" s="22" t="s">
        <v>17628</v>
      </c>
      <c r="G2384" s="23" t="s">
        <v>17629</v>
      </c>
      <c r="H2384" s="25" t="s">
        <v>15373</v>
      </c>
      <c r="I2384" s="22" t="s">
        <v>15411</v>
      </c>
      <c r="J2384" s="22" t="s">
        <v>16311</v>
      </c>
      <c r="K2384" s="26">
        <f t="shared" si="37"/>
        <v>400</v>
      </c>
      <c r="L2384" s="26">
        <v>400</v>
      </c>
      <c r="O2384" s="22" t="s">
        <v>17626</v>
      </c>
      <c r="P2384" s="22" t="s">
        <v>16998</v>
      </c>
      <c r="Q2384" s="22" t="s">
        <v>16999</v>
      </c>
      <c r="S2384" s="22" t="s">
        <v>17627</v>
      </c>
      <c r="X2384" s="26"/>
      <c r="Y2384" s="26"/>
    </row>
    <row r="2385" spans="1:25" ht="37.5" x14ac:dyDescent="0.25">
      <c r="A2385" s="21">
        <v>2650</v>
      </c>
      <c r="B2385" s="22" t="s">
        <v>15346</v>
      </c>
      <c r="C2385" s="22" t="s">
        <v>17623</v>
      </c>
      <c r="F2385" s="22" t="s">
        <v>17630</v>
      </c>
      <c r="G2385" s="23" t="s">
        <v>17631</v>
      </c>
      <c r="H2385" s="25" t="s">
        <v>15373</v>
      </c>
      <c r="I2385" s="22" t="s">
        <v>15382</v>
      </c>
      <c r="J2385" s="22" t="s">
        <v>16311</v>
      </c>
      <c r="K2385" s="26">
        <f t="shared" si="37"/>
        <v>356.66666666666663</v>
      </c>
      <c r="M2385" s="26">
        <v>535</v>
      </c>
      <c r="O2385" s="22" t="s">
        <v>17632</v>
      </c>
      <c r="P2385" s="22" t="s">
        <v>16998</v>
      </c>
      <c r="Q2385" s="22" t="s">
        <v>17633</v>
      </c>
      <c r="S2385" s="22" t="s">
        <v>17627</v>
      </c>
      <c r="X2385" s="26"/>
      <c r="Y2385" s="26"/>
    </row>
    <row r="2386" spans="1:25" ht="37.5" x14ac:dyDescent="0.25">
      <c r="A2386" s="21">
        <v>2651</v>
      </c>
      <c r="B2386" s="22" t="s">
        <v>15346</v>
      </c>
      <c r="C2386" s="22" t="s">
        <v>17623</v>
      </c>
      <c r="F2386" s="22" t="s">
        <v>17634</v>
      </c>
      <c r="G2386" s="23" t="s">
        <v>17635</v>
      </c>
      <c r="H2386" s="25" t="s">
        <v>15373</v>
      </c>
      <c r="I2386" s="22" t="s">
        <v>17636</v>
      </c>
      <c r="J2386" s="22" t="s">
        <v>17637</v>
      </c>
      <c r="K2386" s="26">
        <f t="shared" si="37"/>
        <v>333.33333333333331</v>
      </c>
      <c r="M2386" s="26">
        <v>500</v>
      </c>
      <c r="O2386" s="22" t="s">
        <v>17638</v>
      </c>
      <c r="P2386" s="22" t="s">
        <v>16998</v>
      </c>
      <c r="Q2386" s="22" t="s">
        <v>17152</v>
      </c>
      <c r="S2386" s="22" t="s">
        <v>17627</v>
      </c>
      <c r="X2386" s="26"/>
      <c r="Y2386" s="26"/>
    </row>
    <row r="2387" spans="1:25" ht="37.5" x14ac:dyDescent="0.25">
      <c r="A2387" s="21">
        <v>2652</v>
      </c>
      <c r="B2387" s="22" t="s">
        <v>15346</v>
      </c>
      <c r="C2387" s="22" t="s">
        <v>17623</v>
      </c>
      <c r="F2387" s="22" t="s">
        <v>17639</v>
      </c>
      <c r="G2387" s="23" t="s">
        <v>17640</v>
      </c>
      <c r="H2387" s="25" t="s">
        <v>15373</v>
      </c>
      <c r="I2387" s="22" t="s">
        <v>15382</v>
      </c>
      <c r="J2387" s="22" t="s">
        <v>14642</v>
      </c>
      <c r="K2387" s="26">
        <f t="shared" si="37"/>
        <v>750</v>
      </c>
      <c r="L2387" s="26">
        <v>750</v>
      </c>
      <c r="O2387" s="22" t="s">
        <v>17626</v>
      </c>
      <c r="P2387" s="22" t="s">
        <v>16998</v>
      </c>
      <c r="Q2387" s="22" t="s">
        <v>16999</v>
      </c>
      <c r="S2387" s="22" t="s">
        <v>17627</v>
      </c>
      <c r="X2387" s="26"/>
      <c r="Y2387" s="26"/>
    </row>
    <row r="2388" spans="1:25" ht="37.5" x14ac:dyDescent="0.25">
      <c r="A2388" s="21">
        <v>2653</v>
      </c>
      <c r="B2388" s="22" t="s">
        <v>15346</v>
      </c>
      <c r="C2388" s="22" t="s">
        <v>17641</v>
      </c>
      <c r="F2388" s="22" t="s">
        <v>17642</v>
      </c>
      <c r="G2388" s="23" t="s">
        <v>17643</v>
      </c>
      <c r="H2388" s="25" t="s">
        <v>15373</v>
      </c>
      <c r="I2388" s="22" t="s">
        <v>15374</v>
      </c>
      <c r="J2388" s="22" t="s">
        <v>15460</v>
      </c>
      <c r="K2388" s="26">
        <f t="shared" si="37"/>
        <v>780</v>
      </c>
      <c r="L2388" s="26">
        <v>780</v>
      </c>
      <c r="O2388" s="22" t="s">
        <v>17644</v>
      </c>
      <c r="P2388" s="22" t="s">
        <v>16998</v>
      </c>
      <c r="Q2388" s="22" t="s">
        <v>17011</v>
      </c>
      <c r="S2388" s="22" t="s">
        <v>17645</v>
      </c>
      <c r="X2388" s="26"/>
      <c r="Y2388" s="26"/>
    </row>
    <row r="2389" spans="1:25" ht="25" x14ac:dyDescent="0.25">
      <c r="A2389" s="21">
        <v>2654</v>
      </c>
      <c r="B2389" s="22" t="s">
        <v>15346</v>
      </c>
      <c r="C2389" s="22" t="s">
        <v>17646</v>
      </c>
      <c r="F2389" s="22" t="s">
        <v>17647</v>
      </c>
      <c r="G2389" s="23" t="s">
        <v>17648</v>
      </c>
      <c r="H2389" s="25" t="s">
        <v>15373</v>
      </c>
      <c r="I2389" s="22" t="s">
        <v>16311</v>
      </c>
      <c r="J2389" s="22" t="s">
        <v>16311</v>
      </c>
      <c r="K2389" s="26">
        <f t="shared" si="37"/>
        <v>625</v>
      </c>
      <c r="L2389" s="26">
        <v>625</v>
      </c>
      <c r="O2389" s="22" t="s">
        <v>17649</v>
      </c>
      <c r="P2389" s="22" t="s">
        <v>16998</v>
      </c>
      <c r="Q2389" s="22" t="s">
        <v>16999</v>
      </c>
      <c r="S2389" s="22" t="s">
        <v>17650</v>
      </c>
      <c r="X2389" s="26"/>
      <c r="Y2389" s="26"/>
    </row>
    <row r="2390" spans="1:25" ht="37.5" x14ac:dyDescent="0.25">
      <c r="A2390" s="21">
        <v>2655</v>
      </c>
      <c r="B2390" s="22" t="s">
        <v>15346</v>
      </c>
      <c r="C2390" s="22" t="s">
        <v>17651</v>
      </c>
      <c r="F2390" s="22" t="s">
        <v>17652</v>
      </c>
      <c r="G2390" s="23" t="s">
        <v>17653</v>
      </c>
      <c r="H2390" s="25" t="s">
        <v>15373</v>
      </c>
      <c r="I2390" s="22" t="s">
        <v>15382</v>
      </c>
      <c r="J2390" s="22" t="s">
        <v>17654</v>
      </c>
      <c r="K2390" s="26">
        <f t="shared" si="37"/>
        <v>756.66666666666663</v>
      </c>
      <c r="N2390" s="26">
        <v>1135</v>
      </c>
      <c r="O2390" s="22" t="s">
        <v>17655</v>
      </c>
      <c r="P2390" s="22" t="s">
        <v>16998</v>
      </c>
      <c r="Q2390" s="22" t="s">
        <v>17633</v>
      </c>
      <c r="S2390" s="22" t="s">
        <v>17656</v>
      </c>
      <c r="X2390" s="26"/>
      <c r="Y2390" s="26"/>
    </row>
    <row r="2391" spans="1:25" ht="25" x14ac:dyDescent="0.25">
      <c r="A2391" s="21">
        <v>2656</v>
      </c>
      <c r="B2391" s="22" t="s">
        <v>15346</v>
      </c>
      <c r="C2391" s="22" t="s">
        <v>17651</v>
      </c>
      <c r="F2391" s="22" t="s">
        <v>17657</v>
      </c>
      <c r="G2391" s="23" t="s">
        <v>17658</v>
      </c>
      <c r="H2391" s="25" t="s">
        <v>15373</v>
      </c>
      <c r="I2391" s="22" t="s">
        <v>15374</v>
      </c>
      <c r="J2391" s="22" t="s">
        <v>15918</v>
      </c>
      <c r="K2391" s="26">
        <f t="shared" si="37"/>
        <v>750</v>
      </c>
      <c r="L2391" s="26">
        <v>750</v>
      </c>
      <c r="O2391" s="22" t="s">
        <v>17655</v>
      </c>
      <c r="P2391" s="22" t="s">
        <v>16998</v>
      </c>
      <c r="Q2391" s="22" t="s">
        <v>17633</v>
      </c>
      <c r="S2391" s="22" t="s">
        <v>17656</v>
      </c>
      <c r="X2391" s="26"/>
      <c r="Y2391" s="26"/>
    </row>
    <row r="2392" spans="1:25" ht="37.5" x14ac:dyDescent="0.25">
      <c r="A2392" s="21">
        <v>2657</v>
      </c>
      <c r="B2392" s="22" t="s">
        <v>15346</v>
      </c>
      <c r="C2392" s="22" t="s">
        <v>17651</v>
      </c>
      <c r="F2392" s="22" t="s">
        <v>17659</v>
      </c>
      <c r="G2392" s="23" t="s">
        <v>17660</v>
      </c>
      <c r="H2392" s="25" t="s">
        <v>15373</v>
      </c>
      <c r="I2392" s="22" t="s">
        <v>15374</v>
      </c>
      <c r="J2392" s="22">
        <v>3412</v>
      </c>
      <c r="K2392" s="26">
        <f t="shared" si="37"/>
        <v>750</v>
      </c>
      <c r="L2392" s="26">
        <v>750</v>
      </c>
      <c r="O2392" s="22" t="s">
        <v>17655</v>
      </c>
      <c r="P2392" s="22" t="s">
        <v>16998</v>
      </c>
      <c r="Q2392" s="22" t="s">
        <v>17633</v>
      </c>
      <c r="S2392" s="22" t="s">
        <v>17656</v>
      </c>
      <c r="X2392" s="26"/>
      <c r="Y2392" s="26"/>
    </row>
    <row r="2393" spans="1:25" ht="25" x14ac:dyDescent="0.25">
      <c r="A2393" s="21">
        <v>2658</v>
      </c>
      <c r="B2393" s="22" t="s">
        <v>15346</v>
      </c>
      <c r="C2393" s="22" t="s">
        <v>17661</v>
      </c>
      <c r="F2393" s="22" t="s">
        <v>17662</v>
      </c>
      <c r="G2393" s="23" t="s">
        <v>17663</v>
      </c>
      <c r="H2393" s="25" t="s">
        <v>15373</v>
      </c>
      <c r="I2393" s="22" t="s">
        <v>15411</v>
      </c>
      <c r="J2393" s="22" t="s">
        <v>15838</v>
      </c>
      <c r="K2393" s="26">
        <f t="shared" si="37"/>
        <v>314</v>
      </c>
      <c r="M2393" s="26">
        <v>471</v>
      </c>
      <c r="O2393" s="22" t="s">
        <v>17664</v>
      </c>
      <c r="P2393" s="22" t="s">
        <v>16998</v>
      </c>
      <c r="Q2393" s="22" t="s">
        <v>17665</v>
      </c>
      <c r="S2393" s="22" t="s">
        <v>17666</v>
      </c>
      <c r="X2393" s="26"/>
      <c r="Y2393" s="26"/>
    </row>
    <row r="2394" spans="1:25" ht="37.5" x14ac:dyDescent="0.25">
      <c r="A2394" s="21">
        <v>2659</v>
      </c>
      <c r="B2394" s="22" t="s">
        <v>15346</v>
      </c>
      <c r="C2394" s="22" t="s">
        <v>17667</v>
      </c>
      <c r="F2394" s="22" t="s">
        <v>17668</v>
      </c>
      <c r="G2394" s="23" t="s">
        <v>17669</v>
      </c>
      <c r="H2394" s="25" t="s">
        <v>15373</v>
      </c>
      <c r="I2394" s="22" t="s">
        <v>15374</v>
      </c>
      <c r="J2394" s="22">
        <v>3406</v>
      </c>
      <c r="K2394" s="26">
        <f t="shared" si="37"/>
        <v>300</v>
      </c>
      <c r="L2394" s="26">
        <v>300</v>
      </c>
      <c r="O2394" s="22" t="s">
        <v>17670</v>
      </c>
      <c r="P2394" s="22" t="s">
        <v>16083</v>
      </c>
      <c r="Q2394" s="22" t="s">
        <v>17671</v>
      </c>
      <c r="S2394" s="22" t="s">
        <v>16976</v>
      </c>
      <c r="X2394" s="26"/>
      <c r="Y2394" s="26"/>
    </row>
    <row r="2395" spans="1:25" ht="62.5" x14ac:dyDescent="0.25">
      <c r="A2395" s="21">
        <v>2660</v>
      </c>
      <c r="B2395" s="22" t="s">
        <v>15346</v>
      </c>
      <c r="C2395" s="22" t="s">
        <v>17672</v>
      </c>
      <c r="F2395" s="22" t="s">
        <v>17673</v>
      </c>
      <c r="G2395" s="23" t="s">
        <v>17674</v>
      </c>
      <c r="H2395" s="25" t="s">
        <v>15373</v>
      </c>
      <c r="I2395" s="22" t="s">
        <v>15374</v>
      </c>
      <c r="J2395" s="22">
        <v>3412</v>
      </c>
      <c r="K2395" s="26">
        <f t="shared" si="37"/>
        <v>600</v>
      </c>
      <c r="L2395" s="26">
        <v>600</v>
      </c>
      <c r="O2395" s="22" t="s">
        <v>17675</v>
      </c>
      <c r="P2395" s="22" t="s">
        <v>17676</v>
      </c>
      <c r="Q2395" s="22">
        <v>93262</v>
      </c>
      <c r="S2395" s="22" t="s">
        <v>17677</v>
      </c>
      <c r="X2395" s="26"/>
      <c r="Y2395" s="26"/>
    </row>
    <row r="2396" spans="1:25" ht="50" x14ac:dyDescent="0.25">
      <c r="A2396" s="21">
        <v>2661</v>
      </c>
      <c r="B2396" s="22" t="s">
        <v>15346</v>
      </c>
      <c r="C2396" s="22" t="s">
        <v>17678</v>
      </c>
      <c r="F2396" s="22" t="s">
        <v>17679</v>
      </c>
      <c r="G2396" s="23" t="s">
        <v>17680</v>
      </c>
      <c r="H2396" s="25" t="s">
        <v>15373</v>
      </c>
      <c r="I2396" s="22" t="s">
        <v>15411</v>
      </c>
      <c r="J2396" s="22" t="s">
        <v>12949</v>
      </c>
      <c r="K2396" s="26">
        <f t="shared" si="37"/>
        <v>755</v>
      </c>
      <c r="L2396" s="26">
        <v>755</v>
      </c>
      <c r="O2396" s="22" t="s">
        <v>17681</v>
      </c>
      <c r="P2396" s="22" t="s">
        <v>17682</v>
      </c>
      <c r="Q2396" s="22" t="s">
        <v>17683</v>
      </c>
      <c r="S2396" s="22" t="s">
        <v>17684</v>
      </c>
      <c r="X2396" s="26"/>
      <c r="Y2396" s="26"/>
    </row>
    <row r="2397" spans="1:25" ht="25" x14ac:dyDescent="0.25">
      <c r="A2397" s="21">
        <v>2662</v>
      </c>
      <c r="B2397" s="22" t="s">
        <v>15346</v>
      </c>
      <c r="C2397" s="22" t="s">
        <v>17685</v>
      </c>
      <c r="F2397" s="22" t="s">
        <v>17686</v>
      </c>
      <c r="G2397" s="23" t="s">
        <v>17687</v>
      </c>
      <c r="H2397" s="25" t="s">
        <v>15373</v>
      </c>
      <c r="I2397" s="22" t="s">
        <v>16907</v>
      </c>
      <c r="J2397" s="22" t="s">
        <v>16311</v>
      </c>
      <c r="K2397" s="26">
        <f t="shared" si="37"/>
        <v>400</v>
      </c>
      <c r="M2397" s="26">
        <v>600</v>
      </c>
      <c r="O2397" s="22" t="s">
        <v>17688</v>
      </c>
      <c r="P2397" s="22" t="s">
        <v>17689</v>
      </c>
      <c r="Q2397" s="22" t="s">
        <v>17690</v>
      </c>
      <c r="S2397" s="22" t="s">
        <v>17691</v>
      </c>
      <c r="X2397" s="26"/>
      <c r="Y2397" s="26"/>
    </row>
    <row r="2398" spans="1:25" ht="37.5" x14ac:dyDescent="0.25">
      <c r="A2398" s="21">
        <v>2663</v>
      </c>
      <c r="B2398" s="22" t="s">
        <v>15346</v>
      </c>
      <c r="C2398" s="22" t="s">
        <v>17692</v>
      </c>
      <c r="F2398" s="22" t="s">
        <v>17693</v>
      </c>
      <c r="G2398" s="23" t="s">
        <v>17694</v>
      </c>
      <c r="H2398" s="25" t="s">
        <v>15373</v>
      </c>
      <c r="I2398" s="22" t="s">
        <v>15374</v>
      </c>
      <c r="J2398" s="22" t="s">
        <v>15701</v>
      </c>
      <c r="K2398" s="26">
        <f t="shared" si="37"/>
        <v>350</v>
      </c>
      <c r="L2398" s="26">
        <v>350</v>
      </c>
      <c r="O2398" s="22" t="s">
        <v>18248</v>
      </c>
      <c r="P2398" s="22" t="s">
        <v>18249</v>
      </c>
      <c r="Q2398" s="22" t="s">
        <v>16975</v>
      </c>
      <c r="S2398" s="22" t="s">
        <v>18250</v>
      </c>
      <c r="X2398" s="26"/>
      <c r="Y2398" s="26"/>
    </row>
    <row r="2399" spans="1:25" ht="25" x14ac:dyDescent="0.25">
      <c r="A2399" s="21">
        <v>2664</v>
      </c>
      <c r="B2399" s="22" t="s">
        <v>15346</v>
      </c>
      <c r="C2399" s="22" t="s">
        <v>18251</v>
      </c>
      <c r="F2399" s="22" t="s">
        <v>18252</v>
      </c>
      <c r="G2399" s="23" t="s">
        <v>18253</v>
      </c>
      <c r="H2399" s="25" t="s">
        <v>15373</v>
      </c>
      <c r="I2399" s="22" t="s">
        <v>15382</v>
      </c>
      <c r="J2399" s="22" t="s">
        <v>16811</v>
      </c>
      <c r="K2399" s="26">
        <f t="shared" si="37"/>
        <v>350</v>
      </c>
      <c r="L2399" s="26">
        <v>350</v>
      </c>
      <c r="O2399" s="22" t="s">
        <v>18254</v>
      </c>
      <c r="P2399" s="22" t="s">
        <v>18255</v>
      </c>
      <c r="Q2399" s="22" t="s">
        <v>18256</v>
      </c>
      <c r="S2399" s="22" t="s">
        <v>18257</v>
      </c>
      <c r="X2399" s="26"/>
      <c r="Y2399" s="26"/>
    </row>
    <row r="2400" spans="1:25" ht="50" x14ac:dyDescent="0.25">
      <c r="A2400" s="21">
        <v>2665</v>
      </c>
      <c r="B2400" s="22" t="s">
        <v>15346</v>
      </c>
      <c r="C2400" s="22" t="s">
        <v>18258</v>
      </c>
      <c r="F2400" s="22" t="s">
        <v>18259</v>
      </c>
      <c r="G2400" s="23" t="s">
        <v>18260</v>
      </c>
      <c r="H2400" s="25" t="s">
        <v>15373</v>
      </c>
      <c r="I2400" s="22" t="s">
        <v>15382</v>
      </c>
      <c r="J2400" s="22" t="s">
        <v>16311</v>
      </c>
      <c r="K2400" s="26">
        <f t="shared" si="37"/>
        <v>300</v>
      </c>
      <c r="L2400" s="26">
        <v>300</v>
      </c>
      <c r="O2400" s="22" t="s">
        <v>18261</v>
      </c>
      <c r="P2400" s="22" t="s">
        <v>16998</v>
      </c>
      <c r="Q2400" s="22" t="s">
        <v>18262</v>
      </c>
      <c r="S2400" s="22" t="s">
        <v>18263</v>
      </c>
      <c r="X2400" s="26"/>
      <c r="Y2400" s="26"/>
    </row>
    <row r="2401" spans="1:25" ht="62.5" x14ac:dyDescent="0.25">
      <c r="A2401" s="21">
        <v>2666</v>
      </c>
      <c r="B2401" s="22" t="s">
        <v>15346</v>
      </c>
      <c r="C2401" s="22" t="s">
        <v>17695</v>
      </c>
      <c r="F2401" s="22" t="s">
        <v>17696</v>
      </c>
      <c r="G2401" s="23" t="s">
        <v>17697</v>
      </c>
      <c r="H2401" s="25" t="s">
        <v>15373</v>
      </c>
      <c r="I2401" s="22" t="s">
        <v>15411</v>
      </c>
      <c r="J2401" s="22" t="s">
        <v>17698</v>
      </c>
      <c r="K2401" s="26">
        <f t="shared" si="37"/>
        <v>300</v>
      </c>
      <c r="L2401" s="26">
        <v>300</v>
      </c>
      <c r="O2401" s="22" t="s">
        <v>17699</v>
      </c>
      <c r="P2401" s="22" t="s">
        <v>16998</v>
      </c>
      <c r="Q2401" s="22" t="s">
        <v>16999</v>
      </c>
      <c r="S2401" s="22" t="s">
        <v>17700</v>
      </c>
      <c r="X2401" s="26"/>
      <c r="Y2401" s="26"/>
    </row>
    <row r="2402" spans="1:25" ht="25" x14ac:dyDescent="0.25">
      <c r="A2402" s="21">
        <v>2667</v>
      </c>
      <c r="B2402" s="22" t="s">
        <v>15346</v>
      </c>
      <c r="C2402" s="22" t="s">
        <v>17701</v>
      </c>
      <c r="F2402" s="22" t="s">
        <v>17702</v>
      </c>
      <c r="G2402" s="23" t="s">
        <v>17703</v>
      </c>
      <c r="H2402" s="25" t="s">
        <v>15373</v>
      </c>
      <c r="I2402" s="22" t="s">
        <v>15374</v>
      </c>
      <c r="J2402" s="22" t="s">
        <v>17288</v>
      </c>
      <c r="K2402" s="26">
        <f t="shared" si="37"/>
        <v>300</v>
      </c>
      <c r="L2402" s="26">
        <v>300</v>
      </c>
      <c r="O2402" s="22" t="s">
        <v>17704</v>
      </c>
      <c r="P2402" s="22" t="s">
        <v>17176</v>
      </c>
      <c r="Q2402" s="22" t="s">
        <v>17177</v>
      </c>
      <c r="S2402" s="22" t="s">
        <v>17705</v>
      </c>
      <c r="X2402" s="26"/>
      <c r="Y2402" s="26"/>
    </row>
    <row r="2403" spans="1:25" ht="37.5" x14ac:dyDescent="0.25">
      <c r="A2403" s="21">
        <v>2668</v>
      </c>
      <c r="B2403" s="22" t="s">
        <v>15346</v>
      </c>
      <c r="C2403" s="22" t="s">
        <v>17701</v>
      </c>
      <c r="F2403" s="22" t="s">
        <v>17706</v>
      </c>
      <c r="G2403" s="23" t="s">
        <v>17707</v>
      </c>
      <c r="H2403" s="25" t="s">
        <v>15373</v>
      </c>
      <c r="I2403" s="22" t="s">
        <v>15374</v>
      </c>
      <c r="J2403" s="22" t="s">
        <v>17288</v>
      </c>
      <c r="K2403" s="26">
        <f t="shared" si="37"/>
        <v>300</v>
      </c>
      <c r="L2403" s="26">
        <v>300</v>
      </c>
      <c r="O2403" s="22" t="s">
        <v>17708</v>
      </c>
      <c r="P2403" s="22" t="s">
        <v>17283</v>
      </c>
      <c r="Q2403" s="22" t="s">
        <v>17284</v>
      </c>
      <c r="S2403" s="22" t="s">
        <v>16976</v>
      </c>
      <c r="X2403" s="26"/>
      <c r="Y2403" s="26"/>
    </row>
    <row r="2404" spans="1:25" ht="50" x14ac:dyDescent="0.25">
      <c r="A2404" s="21">
        <v>2669</v>
      </c>
      <c r="B2404" s="22" t="s">
        <v>15346</v>
      </c>
      <c r="C2404" s="22" t="s">
        <v>17709</v>
      </c>
      <c r="F2404" s="22" t="s">
        <v>17710</v>
      </c>
      <c r="G2404" s="23" t="s">
        <v>17711</v>
      </c>
      <c r="H2404" s="25" t="s">
        <v>15373</v>
      </c>
      <c r="I2404" s="22" t="s">
        <v>15374</v>
      </c>
      <c r="J2404" s="22">
        <v>3406</v>
      </c>
      <c r="K2404" s="26">
        <f t="shared" si="37"/>
        <v>300</v>
      </c>
      <c r="L2404" s="26">
        <v>300</v>
      </c>
      <c r="O2404" s="22" t="s">
        <v>17712</v>
      </c>
      <c r="P2404" s="22" t="s">
        <v>17713</v>
      </c>
      <c r="Q2404" s="22" t="s">
        <v>17714</v>
      </c>
      <c r="S2404" s="22" t="s">
        <v>16976</v>
      </c>
      <c r="X2404" s="26"/>
      <c r="Y2404" s="26"/>
    </row>
    <row r="2405" spans="1:25" ht="25" x14ac:dyDescent="0.25">
      <c r="A2405" s="21">
        <v>2670</v>
      </c>
      <c r="B2405" s="22" t="s">
        <v>15346</v>
      </c>
      <c r="C2405" s="22" t="s">
        <v>17709</v>
      </c>
      <c r="F2405" s="22" t="s">
        <v>17715</v>
      </c>
      <c r="G2405" s="23" t="s">
        <v>17716</v>
      </c>
      <c r="H2405" s="25" t="s">
        <v>15373</v>
      </c>
      <c r="I2405" s="22" t="s">
        <v>15374</v>
      </c>
      <c r="J2405" s="22" t="s">
        <v>17288</v>
      </c>
      <c r="K2405" s="26">
        <f t="shared" si="37"/>
        <v>300</v>
      </c>
      <c r="L2405" s="26">
        <v>300</v>
      </c>
      <c r="O2405" s="22" t="s">
        <v>17717</v>
      </c>
      <c r="P2405" s="22" t="s">
        <v>16998</v>
      </c>
      <c r="Q2405" s="22" t="s">
        <v>18262</v>
      </c>
      <c r="S2405" s="22" t="s">
        <v>16976</v>
      </c>
      <c r="X2405" s="26"/>
      <c r="Y2405" s="26"/>
    </row>
    <row r="2406" spans="1:25" ht="25" x14ac:dyDescent="0.25">
      <c r="A2406" s="21">
        <v>2671</v>
      </c>
      <c r="B2406" s="22" t="s">
        <v>15346</v>
      </c>
      <c r="C2406" s="22" t="s">
        <v>17718</v>
      </c>
      <c r="F2406" s="22" t="s">
        <v>17719</v>
      </c>
      <c r="G2406" s="23" t="s">
        <v>17720</v>
      </c>
      <c r="H2406" s="25" t="s">
        <v>15373</v>
      </c>
      <c r="I2406" s="22" t="s">
        <v>17721</v>
      </c>
      <c r="J2406" s="22" t="s">
        <v>16311</v>
      </c>
      <c r="K2406" s="26">
        <f t="shared" si="37"/>
        <v>500</v>
      </c>
      <c r="L2406" s="26">
        <v>500</v>
      </c>
      <c r="O2406" s="22" t="s">
        <v>17722</v>
      </c>
      <c r="P2406" s="22" t="s">
        <v>17723</v>
      </c>
      <c r="Q2406" s="22" t="s">
        <v>17724</v>
      </c>
      <c r="S2406" s="22" t="s">
        <v>17725</v>
      </c>
      <c r="X2406" s="26"/>
      <c r="Y2406" s="26"/>
    </row>
    <row r="2407" spans="1:25" ht="37.5" x14ac:dyDescent="0.25">
      <c r="A2407" s="21">
        <v>2672</v>
      </c>
      <c r="B2407" s="22" t="s">
        <v>15346</v>
      </c>
      <c r="C2407" s="22" t="s">
        <v>17726</v>
      </c>
      <c r="F2407" s="22" t="s">
        <v>17727</v>
      </c>
      <c r="G2407" s="23" t="s">
        <v>17728</v>
      </c>
      <c r="H2407" s="25" t="s">
        <v>15373</v>
      </c>
      <c r="I2407" s="22" t="s">
        <v>15374</v>
      </c>
      <c r="J2407" s="22">
        <v>3412</v>
      </c>
      <c r="K2407" s="26">
        <f t="shared" si="37"/>
        <v>520</v>
      </c>
      <c r="L2407" s="26">
        <v>520</v>
      </c>
      <c r="O2407" s="22" t="s">
        <v>17729</v>
      </c>
      <c r="P2407" s="22" t="s">
        <v>17264</v>
      </c>
      <c r="Q2407" s="22" t="s">
        <v>17265</v>
      </c>
      <c r="S2407" s="22" t="s">
        <v>17730</v>
      </c>
      <c r="X2407" s="26"/>
      <c r="Y2407" s="26"/>
    </row>
    <row r="2408" spans="1:25" ht="37.5" x14ac:dyDescent="0.25">
      <c r="A2408" s="21">
        <v>2673</v>
      </c>
      <c r="B2408" s="22" t="s">
        <v>15346</v>
      </c>
      <c r="C2408" s="22" t="s">
        <v>17726</v>
      </c>
      <c r="F2408" s="22" t="s">
        <v>17731</v>
      </c>
      <c r="G2408" s="23" t="s">
        <v>17732</v>
      </c>
      <c r="H2408" s="25" t="s">
        <v>15373</v>
      </c>
      <c r="I2408" s="22" t="s">
        <v>15374</v>
      </c>
      <c r="J2408" s="22">
        <v>3412</v>
      </c>
      <c r="K2408" s="26">
        <f t="shared" si="37"/>
        <v>520</v>
      </c>
      <c r="L2408" s="26">
        <v>520</v>
      </c>
      <c r="O2408" s="22" t="s">
        <v>17729</v>
      </c>
      <c r="P2408" s="22" t="s">
        <v>17264</v>
      </c>
      <c r="Q2408" s="22" t="s">
        <v>17265</v>
      </c>
      <c r="S2408" s="22" t="s">
        <v>17730</v>
      </c>
      <c r="X2408" s="26"/>
      <c r="Y2408" s="26"/>
    </row>
    <row r="2409" spans="1:25" ht="37.5" x14ac:dyDescent="0.25">
      <c r="A2409" s="21">
        <v>2674</v>
      </c>
      <c r="B2409" s="22" t="s">
        <v>15346</v>
      </c>
      <c r="C2409" s="22" t="s">
        <v>17733</v>
      </c>
      <c r="F2409" s="22" t="s">
        <v>17734</v>
      </c>
      <c r="G2409" s="23" t="s">
        <v>17735</v>
      </c>
      <c r="H2409" s="25" t="s">
        <v>15373</v>
      </c>
      <c r="I2409" s="22" t="s">
        <v>15411</v>
      </c>
      <c r="J2409" s="22" t="s">
        <v>16517</v>
      </c>
      <c r="K2409" s="26">
        <f t="shared" si="37"/>
        <v>355</v>
      </c>
      <c r="L2409" s="26">
        <v>355</v>
      </c>
      <c r="O2409" s="22" t="s">
        <v>17736</v>
      </c>
      <c r="P2409" s="22" t="s">
        <v>16998</v>
      </c>
      <c r="Q2409" s="22" t="s">
        <v>17011</v>
      </c>
      <c r="S2409" s="22" t="s">
        <v>16976</v>
      </c>
      <c r="X2409" s="26"/>
      <c r="Y2409" s="26"/>
    </row>
    <row r="2410" spans="1:25" ht="37.5" x14ac:dyDescent="0.25">
      <c r="A2410" s="21">
        <v>2675</v>
      </c>
      <c r="B2410" s="22" t="s">
        <v>15346</v>
      </c>
      <c r="C2410" s="22" t="s">
        <v>17737</v>
      </c>
      <c r="F2410" s="22" t="s">
        <v>17738</v>
      </c>
      <c r="G2410" s="23" t="s">
        <v>17739</v>
      </c>
      <c r="H2410" s="25" t="s">
        <v>15373</v>
      </c>
      <c r="I2410" s="22" t="s">
        <v>15411</v>
      </c>
      <c r="J2410" s="22" t="s">
        <v>15542</v>
      </c>
      <c r="K2410" s="26">
        <f t="shared" si="37"/>
        <v>600</v>
      </c>
      <c r="L2410" s="26">
        <v>600</v>
      </c>
      <c r="O2410" s="22" t="s">
        <v>17740</v>
      </c>
      <c r="P2410" s="22" t="s">
        <v>17741</v>
      </c>
      <c r="Q2410" s="22" t="s">
        <v>17742</v>
      </c>
      <c r="S2410" s="22" t="s">
        <v>17743</v>
      </c>
      <c r="X2410" s="26"/>
      <c r="Y2410" s="26"/>
    </row>
    <row r="2411" spans="1:25" ht="25" x14ac:dyDescent="0.25">
      <c r="A2411" s="21">
        <v>2676</v>
      </c>
      <c r="B2411" s="22" t="s">
        <v>15346</v>
      </c>
      <c r="C2411" s="22" t="s">
        <v>17744</v>
      </c>
      <c r="F2411" s="22" t="s">
        <v>17745</v>
      </c>
      <c r="G2411" s="23" t="s">
        <v>17746</v>
      </c>
      <c r="H2411" s="25" t="s">
        <v>15373</v>
      </c>
      <c r="I2411" s="22" t="s">
        <v>15374</v>
      </c>
      <c r="J2411" s="22">
        <v>3408</v>
      </c>
      <c r="K2411" s="26">
        <f t="shared" si="37"/>
        <v>536.66666666666663</v>
      </c>
      <c r="M2411" s="26">
        <v>805</v>
      </c>
      <c r="O2411" s="22" t="s">
        <v>17747</v>
      </c>
      <c r="P2411" s="22" t="s">
        <v>17158</v>
      </c>
      <c r="Q2411" s="22" t="s">
        <v>17748</v>
      </c>
      <c r="S2411" s="22" t="s">
        <v>17749</v>
      </c>
      <c r="X2411" s="26"/>
      <c r="Y2411" s="26"/>
    </row>
    <row r="2412" spans="1:25" ht="25" x14ac:dyDescent="0.25">
      <c r="A2412" s="21">
        <v>2677</v>
      </c>
      <c r="B2412" s="22" t="s">
        <v>15346</v>
      </c>
      <c r="C2412" s="22" t="s">
        <v>17750</v>
      </c>
      <c r="F2412" s="22" t="s">
        <v>17751</v>
      </c>
      <c r="G2412" s="23" t="s">
        <v>17752</v>
      </c>
      <c r="H2412" s="25" t="s">
        <v>15373</v>
      </c>
      <c r="I2412" s="22" t="s">
        <v>15382</v>
      </c>
      <c r="J2412" s="22" t="s">
        <v>16861</v>
      </c>
      <c r="K2412" s="26">
        <f t="shared" si="37"/>
        <v>400</v>
      </c>
      <c r="L2412" s="26">
        <v>400</v>
      </c>
      <c r="O2412" s="22" t="s">
        <v>17753</v>
      </c>
      <c r="P2412" s="22" t="s">
        <v>17158</v>
      </c>
      <c r="Q2412" s="22" t="s">
        <v>17159</v>
      </c>
      <c r="S2412" s="22" t="s">
        <v>17754</v>
      </c>
      <c r="X2412" s="26"/>
      <c r="Y2412" s="26"/>
    </row>
    <row r="2413" spans="1:25" ht="50" x14ac:dyDescent="0.25">
      <c r="A2413" s="21">
        <v>2678</v>
      </c>
      <c r="B2413" s="22" t="s">
        <v>15346</v>
      </c>
      <c r="C2413" s="22" t="s">
        <v>17755</v>
      </c>
      <c r="F2413" s="22" t="s">
        <v>17756</v>
      </c>
      <c r="G2413" s="23" t="s">
        <v>17757</v>
      </c>
      <c r="H2413" s="25" t="s">
        <v>15373</v>
      </c>
      <c r="I2413" s="22" t="s">
        <v>15374</v>
      </c>
      <c r="J2413" s="22" t="s">
        <v>17288</v>
      </c>
      <c r="K2413" s="26">
        <f t="shared" si="37"/>
        <v>400</v>
      </c>
      <c r="L2413" s="26">
        <v>400</v>
      </c>
      <c r="O2413" s="22" t="s">
        <v>17758</v>
      </c>
      <c r="P2413" s="22" t="s">
        <v>16955</v>
      </c>
      <c r="Q2413" s="22" t="s">
        <v>16956</v>
      </c>
      <c r="S2413" s="22" t="s">
        <v>17759</v>
      </c>
      <c r="X2413" s="26"/>
      <c r="Y2413" s="26"/>
    </row>
    <row r="2414" spans="1:25" ht="50" x14ac:dyDescent="0.25">
      <c r="A2414" s="21">
        <v>2679</v>
      </c>
      <c r="B2414" s="22" t="s">
        <v>15346</v>
      </c>
      <c r="C2414" s="22" t="s">
        <v>17760</v>
      </c>
      <c r="F2414" s="22" t="s">
        <v>17761</v>
      </c>
      <c r="G2414" s="23" t="s">
        <v>17762</v>
      </c>
      <c r="H2414" s="25" t="s">
        <v>15373</v>
      </c>
      <c r="I2414" s="22" t="s">
        <v>15374</v>
      </c>
      <c r="J2414" s="22">
        <v>3406</v>
      </c>
      <c r="K2414" s="26">
        <f t="shared" si="37"/>
        <v>300</v>
      </c>
      <c r="L2414" s="26">
        <v>300</v>
      </c>
      <c r="O2414" s="22" t="s">
        <v>17763</v>
      </c>
      <c r="P2414" s="22" t="s">
        <v>17764</v>
      </c>
      <c r="Q2414" s="22" t="s">
        <v>17765</v>
      </c>
      <c r="S2414" s="22" t="s">
        <v>17766</v>
      </c>
      <c r="X2414" s="26"/>
      <c r="Y2414" s="26"/>
    </row>
    <row r="2415" spans="1:25" ht="25" x14ac:dyDescent="0.25">
      <c r="A2415" s="21">
        <v>2680</v>
      </c>
      <c r="B2415" s="22" t="s">
        <v>15346</v>
      </c>
      <c r="C2415" s="22" t="s">
        <v>17767</v>
      </c>
      <c r="F2415" s="22" t="s">
        <v>17768</v>
      </c>
      <c r="G2415" s="23" t="s">
        <v>17769</v>
      </c>
      <c r="H2415" s="25" t="s">
        <v>15373</v>
      </c>
      <c r="I2415" s="22" t="s">
        <v>15374</v>
      </c>
      <c r="J2415" s="22" t="s">
        <v>13525</v>
      </c>
      <c r="K2415" s="26">
        <f t="shared" si="37"/>
        <v>433.33333333333331</v>
      </c>
      <c r="M2415" s="26">
        <v>650</v>
      </c>
      <c r="O2415" s="22" t="s">
        <v>17770</v>
      </c>
      <c r="P2415" s="22" t="s">
        <v>17264</v>
      </c>
      <c r="Q2415" s="22" t="s">
        <v>17771</v>
      </c>
      <c r="S2415" s="22" t="s">
        <v>17772</v>
      </c>
      <c r="X2415" s="26"/>
      <c r="Y2415" s="26"/>
    </row>
    <row r="2416" spans="1:25" ht="37.5" x14ac:dyDescent="0.25">
      <c r="A2416" s="21">
        <v>2681</v>
      </c>
      <c r="B2416" s="22" t="s">
        <v>15346</v>
      </c>
      <c r="C2416" s="22" t="s">
        <v>17773</v>
      </c>
      <c r="F2416" s="22" t="s">
        <v>17774</v>
      </c>
      <c r="G2416" s="23" t="s">
        <v>17775</v>
      </c>
      <c r="H2416" s="25" t="s">
        <v>15373</v>
      </c>
      <c r="I2416" s="22" t="s">
        <v>15382</v>
      </c>
      <c r="J2416" s="22" t="s">
        <v>14850</v>
      </c>
      <c r="K2416" s="26">
        <f t="shared" si="37"/>
        <v>300</v>
      </c>
      <c r="L2416" s="26">
        <v>300</v>
      </c>
      <c r="O2416" s="22" t="s">
        <v>17776</v>
      </c>
      <c r="P2416" s="22" t="s">
        <v>17315</v>
      </c>
      <c r="Q2416" s="22" t="s">
        <v>17777</v>
      </c>
      <c r="S2416" s="22" t="s">
        <v>17778</v>
      </c>
      <c r="X2416" s="26"/>
      <c r="Y2416" s="26"/>
    </row>
    <row r="2417" spans="1:25" ht="37.5" x14ac:dyDescent="0.25">
      <c r="A2417" s="21">
        <v>2682</v>
      </c>
      <c r="B2417" s="22" t="s">
        <v>15346</v>
      </c>
      <c r="C2417" s="22" t="s">
        <v>17779</v>
      </c>
      <c r="F2417" s="22" t="s">
        <v>17780</v>
      </c>
      <c r="G2417" s="23" t="s">
        <v>17781</v>
      </c>
      <c r="H2417" s="25" t="s">
        <v>15373</v>
      </c>
      <c r="I2417" s="22" t="s">
        <v>15374</v>
      </c>
      <c r="J2417" s="22" t="s">
        <v>15420</v>
      </c>
      <c r="K2417" s="26">
        <f t="shared" si="37"/>
        <v>1444.6666666666665</v>
      </c>
      <c r="M2417" s="26">
        <v>2167</v>
      </c>
      <c r="O2417" s="22" t="s">
        <v>17782</v>
      </c>
      <c r="P2417" s="22" t="s">
        <v>16934</v>
      </c>
      <c r="Q2417" s="22" t="s">
        <v>17783</v>
      </c>
      <c r="S2417" s="22" t="s">
        <v>17784</v>
      </c>
      <c r="X2417" s="26"/>
      <c r="Y2417" s="26"/>
    </row>
    <row r="2418" spans="1:25" ht="37.5" x14ac:dyDescent="0.25">
      <c r="A2418" s="21">
        <v>2683</v>
      </c>
      <c r="B2418" s="22" t="s">
        <v>15346</v>
      </c>
      <c r="C2418" s="22" t="s">
        <v>17779</v>
      </c>
      <c r="F2418" s="22" t="s">
        <v>17785</v>
      </c>
      <c r="G2418" s="23" t="s">
        <v>17786</v>
      </c>
      <c r="H2418" s="25" t="s">
        <v>15373</v>
      </c>
      <c r="I2418" s="22" t="s">
        <v>15374</v>
      </c>
      <c r="J2418" s="22" t="s">
        <v>15420</v>
      </c>
      <c r="K2418" s="26">
        <f t="shared" si="37"/>
        <v>1444.6666666666665</v>
      </c>
      <c r="M2418" s="26">
        <v>2167</v>
      </c>
      <c r="O2418" s="22" t="s">
        <v>17782</v>
      </c>
      <c r="P2418" s="22" t="s">
        <v>16934</v>
      </c>
      <c r="Q2418" s="22" t="s">
        <v>17783</v>
      </c>
      <c r="S2418" s="22" t="s">
        <v>17784</v>
      </c>
      <c r="X2418" s="26"/>
      <c r="Y2418" s="26"/>
    </row>
    <row r="2419" spans="1:25" ht="37.5" x14ac:dyDescent="0.25">
      <c r="A2419" s="21">
        <v>2684</v>
      </c>
      <c r="B2419" s="22" t="s">
        <v>15346</v>
      </c>
      <c r="C2419" s="22" t="s">
        <v>17787</v>
      </c>
      <c r="F2419" s="22" t="s">
        <v>17788</v>
      </c>
      <c r="G2419" s="23" t="s">
        <v>17789</v>
      </c>
      <c r="H2419" s="25" t="s">
        <v>15373</v>
      </c>
      <c r="I2419" s="22" t="s">
        <v>15374</v>
      </c>
      <c r="J2419" s="22">
        <v>3412</v>
      </c>
      <c r="K2419" s="26">
        <f t="shared" si="37"/>
        <v>750</v>
      </c>
      <c r="L2419" s="26">
        <v>750</v>
      </c>
      <c r="O2419" s="22" t="s">
        <v>17790</v>
      </c>
      <c r="P2419" s="22" t="s">
        <v>17791</v>
      </c>
      <c r="Q2419" s="22" t="s">
        <v>17792</v>
      </c>
      <c r="S2419" s="22" t="s">
        <v>17793</v>
      </c>
      <c r="X2419" s="26"/>
      <c r="Y2419" s="26"/>
    </row>
    <row r="2420" spans="1:25" ht="37.5" x14ac:dyDescent="0.25">
      <c r="A2420" s="21">
        <v>2685</v>
      </c>
      <c r="B2420" s="22" t="s">
        <v>15346</v>
      </c>
      <c r="C2420" s="22" t="s">
        <v>17794</v>
      </c>
      <c r="F2420" s="22" t="s">
        <v>17795</v>
      </c>
      <c r="G2420" s="23" t="s">
        <v>17796</v>
      </c>
      <c r="H2420" s="25" t="s">
        <v>15373</v>
      </c>
      <c r="I2420" s="22" t="s">
        <v>15382</v>
      </c>
      <c r="J2420" s="22" t="s">
        <v>16811</v>
      </c>
      <c r="K2420" s="26">
        <f t="shared" si="37"/>
        <v>350</v>
      </c>
      <c r="L2420" s="26">
        <v>350</v>
      </c>
      <c r="O2420" s="22" t="s">
        <v>17797</v>
      </c>
      <c r="P2420" s="22" t="s">
        <v>16083</v>
      </c>
      <c r="Q2420" s="22" t="s">
        <v>17671</v>
      </c>
      <c r="S2420" s="22" t="s">
        <v>17798</v>
      </c>
      <c r="X2420" s="26"/>
      <c r="Y2420" s="26"/>
    </row>
    <row r="2421" spans="1:25" ht="37.5" x14ac:dyDescent="0.25">
      <c r="A2421" s="21">
        <v>2686</v>
      </c>
      <c r="B2421" s="22" t="s">
        <v>15346</v>
      </c>
      <c r="C2421" s="22" t="s">
        <v>17799</v>
      </c>
      <c r="F2421" s="22" t="s">
        <v>17800</v>
      </c>
      <c r="G2421" s="23" t="s">
        <v>17801</v>
      </c>
      <c r="H2421" s="25" t="s">
        <v>15373</v>
      </c>
      <c r="I2421" s="22" t="s">
        <v>15382</v>
      </c>
      <c r="J2421" s="22" t="s">
        <v>17802</v>
      </c>
      <c r="K2421" s="26">
        <f t="shared" si="37"/>
        <v>500</v>
      </c>
      <c r="L2421" s="26">
        <v>500</v>
      </c>
      <c r="O2421" s="22" t="s">
        <v>17803</v>
      </c>
      <c r="P2421" s="22" t="s">
        <v>17804</v>
      </c>
      <c r="Q2421" s="22" t="s">
        <v>17805</v>
      </c>
      <c r="S2421" s="22" t="s">
        <v>17806</v>
      </c>
      <c r="X2421" s="26"/>
      <c r="Y2421" s="26"/>
    </row>
    <row r="2422" spans="1:25" ht="37.5" x14ac:dyDescent="0.25">
      <c r="A2422" s="21">
        <v>2687</v>
      </c>
      <c r="B2422" s="22" t="s">
        <v>15346</v>
      </c>
      <c r="C2422" s="22" t="s">
        <v>17807</v>
      </c>
      <c r="F2422" s="22" t="s">
        <v>17808</v>
      </c>
      <c r="G2422" s="23" t="s">
        <v>17809</v>
      </c>
      <c r="H2422" s="25" t="s">
        <v>15373</v>
      </c>
      <c r="I2422" s="22" t="s">
        <v>15374</v>
      </c>
      <c r="J2422" s="22">
        <v>3412</v>
      </c>
      <c r="K2422" s="26">
        <f t="shared" si="37"/>
        <v>600</v>
      </c>
      <c r="L2422" s="26">
        <v>600</v>
      </c>
      <c r="O2422" s="22" t="s">
        <v>17810</v>
      </c>
      <c r="P2422" s="22" t="s">
        <v>16998</v>
      </c>
      <c r="Q2422" s="22" t="s">
        <v>16999</v>
      </c>
      <c r="S2422" s="22" t="s">
        <v>17811</v>
      </c>
      <c r="X2422" s="26"/>
      <c r="Y2422" s="26"/>
    </row>
    <row r="2423" spans="1:25" ht="25" x14ac:dyDescent="0.25">
      <c r="A2423" s="21">
        <v>2688</v>
      </c>
      <c r="B2423" s="22" t="s">
        <v>15346</v>
      </c>
      <c r="C2423" s="22" t="s">
        <v>17807</v>
      </c>
      <c r="F2423" s="22" t="s">
        <v>17812</v>
      </c>
      <c r="G2423" s="23" t="s">
        <v>17813</v>
      </c>
      <c r="H2423" s="25" t="s">
        <v>15373</v>
      </c>
      <c r="I2423" s="22" t="s">
        <v>15374</v>
      </c>
      <c r="J2423" s="22">
        <v>3512</v>
      </c>
      <c r="K2423" s="26">
        <f t="shared" si="37"/>
        <v>1100</v>
      </c>
      <c r="L2423" s="26">
        <v>1100</v>
      </c>
      <c r="O2423" s="22" t="s">
        <v>17814</v>
      </c>
      <c r="P2423" s="22" t="s">
        <v>16998</v>
      </c>
      <c r="Q2423" s="22" t="s">
        <v>17025</v>
      </c>
      <c r="S2423" s="22" t="s">
        <v>17811</v>
      </c>
      <c r="X2423" s="26"/>
      <c r="Y2423" s="26"/>
    </row>
    <row r="2424" spans="1:25" ht="37.5" x14ac:dyDescent="0.25">
      <c r="A2424" s="21">
        <v>2689</v>
      </c>
      <c r="B2424" s="22" t="s">
        <v>15346</v>
      </c>
      <c r="C2424" s="22" t="s">
        <v>17815</v>
      </c>
      <c r="F2424" s="22" t="s">
        <v>17816</v>
      </c>
      <c r="G2424" s="23" t="s">
        <v>17817</v>
      </c>
      <c r="H2424" s="25" t="s">
        <v>15373</v>
      </c>
      <c r="I2424" s="22" t="s">
        <v>15374</v>
      </c>
      <c r="J2424" s="22">
        <v>3406</v>
      </c>
      <c r="K2424" s="26">
        <f t="shared" si="37"/>
        <v>400</v>
      </c>
      <c r="L2424" s="26">
        <v>400</v>
      </c>
      <c r="O2424" s="22" t="s">
        <v>17818</v>
      </c>
      <c r="P2424" s="22" t="s">
        <v>16012</v>
      </c>
      <c r="Q2424" s="22" t="s">
        <v>16013</v>
      </c>
      <c r="S2424" s="22" t="s">
        <v>17819</v>
      </c>
      <c r="X2424" s="26"/>
      <c r="Y2424" s="26"/>
    </row>
    <row r="2425" spans="1:25" ht="37.5" x14ac:dyDescent="0.25">
      <c r="A2425" s="21">
        <v>2690</v>
      </c>
      <c r="B2425" s="22" t="s">
        <v>15346</v>
      </c>
      <c r="C2425" s="22" t="s">
        <v>17820</v>
      </c>
      <c r="F2425" s="22" t="s">
        <v>17821</v>
      </c>
      <c r="G2425" s="23" t="s">
        <v>17822</v>
      </c>
      <c r="H2425" s="25" t="s">
        <v>15373</v>
      </c>
      <c r="I2425" s="22" t="s">
        <v>15411</v>
      </c>
      <c r="J2425" s="22" t="s">
        <v>17823</v>
      </c>
      <c r="K2425" s="26">
        <f t="shared" si="37"/>
        <v>1500</v>
      </c>
      <c r="L2425" s="26">
        <v>1500</v>
      </c>
      <c r="O2425" s="22" t="s">
        <v>17824</v>
      </c>
      <c r="P2425" s="22" t="s">
        <v>17825</v>
      </c>
      <c r="Q2425" s="22" t="s">
        <v>17826</v>
      </c>
      <c r="S2425" s="22" t="s">
        <v>17827</v>
      </c>
      <c r="X2425" s="26"/>
      <c r="Y2425" s="26"/>
    </row>
    <row r="2426" spans="1:25" ht="62.5" x14ac:dyDescent="0.25">
      <c r="A2426" s="21">
        <v>2691</v>
      </c>
      <c r="B2426" s="22" t="s">
        <v>15346</v>
      </c>
      <c r="C2426" s="22" t="s">
        <v>17828</v>
      </c>
      <c r="F2426" s="22" t="s">
        <v>17829</v>
      </c>
      <c r="G2426" s="23" t="s">
        <v>17830</v>
      </c>
      <c r="H2426" s="25" t="s">
        <v>15373</v>
      </c>
      <c r="I2426" s="22" t="s">
        <v>15382</v>
      </c>
      <c r="J2426" s="22" t="s">
        <v>16811</v>
      </c>
      <c r="K2426" s="26">
        <f t="shared" si="37"/>
        <v>350</v>
      </c>
      <c r="L2426" s="26">
        <v>350</v>
      </c>
      <c r="O2426" s="22" t="s">
        <v>17831</v>
      </c>
      <c r="P2426" s="22" t="s">
        <v>16955</v>
      </c>
      <c r="Q2426" s="22" t="s">
        <v>15988</v>
      </c>
      <c r="S2426" s="22" t="s">
        <v>17832</v>
      </c>
      <c r="X2426" s="26"/>
      <c r="Y2426" s="26"/>
    </row>
    <row r="2427" spans="1:25" ht="37.5" x14ac:dyDescent="0.25">
      <c r="A2427" s="21">
        <v>2692</v>
      </c>
      <c r="B2427" s="22" t="s">
        <v>15346</v>
      </c>
      <c r="C2427" s="22" t="s">
        <v>17833</v>
      </c>
      <c r="F2427" s="22" t="s">
        <v>17834</v>
      </c>
      <c r="G2427" s="23" t="s">
        <v>17835</v>
      </c>
      <c r="H2427" s="25" t="s">
        <v>15373</v>
      </c>
      <c r="I2427" s="22" t="s">
        <v>15374</v>
      </c>
      <c r="J2427" s="22" t="s">
        <v>9175</v>
      </c>
      <c r="K2427" s="26">
        <f t="shared" si="37"/>
        <v>324.66666666666663</v>
      </c>
      <c r="M2427" s="26">
        <v>487</v>
      </c>
      <c r="O2427" s="22" t="s">
        <v>17836</v>
      </c>
      <c r="P2427" s="22" t="s">
        <v>17837</v>
      </c>
      <c r="Q2427" s="22" t="s">
        <v>17838</v>
      </c>
      <c r="S2427" s="22" t="s">
        <v>17839</v>
      </c>
      <c r="X2427" s="26"/>
      <c r="Y2427" s="26"/>
    </row>
    <row r="2428" spans="1:25" ht="37.5" x14ac:dyDescent="0.25">
      <c r="A2428" s="21">
        <v>2693</v>
      </c>
      <c r="B2428" s="22" t="s">
        <v>15346</v>
      </c>
      <c r="C2428" s="22" t="s">
        <v>17833</v>
      </c>
      <c r="F2428" s="22" t="s">
        <v>17840</v>
      </c>
      <c r="G2428" s="23" t="s">
        <v>17841</v>
      </c>
      <c r="H2428" s="25" t="s">
        <v>15373</v>
      </c>
      <c r="I2428" s="22" t="s">
        <v>15374</v>
      </c>
      <c r="J2428" s="22">
        <v>3412</v>
      </c>
      <c r="K2428" s="26">
        <f t="shared" si="37"/>
        <v>530.66666666666663</v>
      </c>
      <c r="M2428" s="26">
        <v>796</v>
      </c>
      <c r="O2428" s="22" t="s">
        <v>17836</v>
      </c>
      <c r="P2428" s="22" t="s">
        <v>17837</v>
      </c>
      <c r="Q2428" s="22" t="s">
        <v>17838</v>
      </c>
      <c r="S2428" s="22" t="s">
        <v>17839</v>
      </c>
      <c r="X2428" s="26"/>
      <c r="Y2428" s="26"/>
    </row>
    <row r="2429" spans="1:25" ht="37.5" x14ac:dyDescent="0.25">
      <c r="A2429" s="21">
        <v>2694</v>
      </c>
      <c r="B2429" s="22" t="s">
        <v>15346</v>
      </c>
      <c r="C2429" s="22" t="s">
        <v>17833</v>
      </c>
      <c r="F2429" s="22" t="s">
        <v>17842</v>
      </c>
      <c r="G2429" s="23" t="s">
        <v>17843</v>
      </c>
      <c r="H2429" s="25" t="s">
        <v>15373</v>
      </c>
      <c r="I2429" s="22" t="s">
        <v>15374</v>
      </c>
      <c r="J2429" s="22">
        <v>3412</v>
      </c>
      <c r="K2429" s="26">
        <f t="shared" si="37"/>
        <v>499.33333333333331</v>
      </c>
      <c r="M2429" s="26">
        <v>749</v>
      </c>
      <c r="O2429" s="22" t="s">
        <v>17836</v>
      </c>
      <c r="P2429" s="22" t="s">
        <v>17837</v>
      </c>
      <c r="Q2429" s="22" t="s">
        <v>17838</v>
      </c>
      <c r="S2429" s="22" t="s">
        <v>17839</v>
      </c>
      <c r="X2429" s="26"/>
      <c r="Y2429" s="26"/>
    </row>
    <row r="2430" spans="1:25" ht="50" x14ac:dyDescent="0.25">
      <c r="A2430" s="21">
        <v>2695</v>
      </c>
      <c r="B2430" s="22" t="s">
        <v>15346</v>
      </c>
      <c r="C2430" s="22" t="s">
        <v>17833</v>
      </c>
      <c r="F2430" s="22" t="s">
        <v>17844</v>
      </c>
      <c r="G2430" s="23" t="s">
        <v>17845</v>
      </c>
      <c r="H2430" s="25" t="s">
        <v>15373</v>
      </c>
      <c r="I2430" s="22" t="s">
        <v>15374</v>
      </c>
      <c r="J2430" s="22" t="s">
        <v>13590</v>
      </c>
      <c r="K2430" s="26">
        <f t="shared" si="37"/>
        <v>365</v>
      </c>
      <c r="L2430" s="26">
        <v>365</v>
      </c>
      <c r="O2430" s="22" t="s">
        <v>17836</v>
      </c>
      <c r="P2430" s="22" t="s">
        <v>17837</v>
      </c>
      <c r="Q2430" s="22" t="s">
        <v>17838</v>
      </c>
      <c r="S2430" s="22" t="s">
        <v>17846</v>
      </c>
      <c r="X2430" s="26"/>
      <c r="Y2430" s="26"/>
    </row>
    <row r="2431" spans="1:25" ht="37.5" x14ac:dyDescent="0.25">
      <c r="A2431" s="21">
        <v>2696</v>
      </c>
      <c r="B2431" s="22" t="s">
        <v>15346</v>
      </c>
      <c r="C2431" s="22" t="s">
        <v>17833</v>
      </c>
      <c r="F2431" s="22" t="s">
        <v>17847</v>
      </c>
      <c r="G2431" s="23" t="s">
        <v>17848</v>
      </c>
      <c r="H2431" s="25" t="s">
        <v>15373</v>
      </c>
      <c r="I2431" s="22" t="s">
        <v>15411</v>
      </c>
      <c r="J2431" s="22" t="s">
        <v>13002</v>
      </c>
      <c r="K2431" s="26">
        <f t="shared" si="37"/>
        <v>1000</v>
      </c>
      <c r="L2431" s="26">
        <v>1000</v>
      </c>
      <c r="O2431" s="22" t="s">
        <v>17836</v>
      </c>
      <c r="P2431" s="22" t="s">
        <v>17837</v>
      </c>
      <c r="Q2431" s="22" t="s">
        <v>17838</v>
      </c>
      <c r="S2431" s="22" t="s">
        <v>17846</v>
      </c>
      <c r="X2431" s="26"/>
      <c r="Y2431" s="26"/>
    </row>
    <row r="2432" spans="1:25" ht="37.5" x14ac:dyDescent="0.25">
      <c r="A2432" s="21">
        <v>2697</v>
      </c>
      <c r="B2432" s="22" t="s">
        <v>15346</v>
      </c>
      <c r="C2432" s="22" t="s">
        <v>17833</v>
      </c>
      <c r="F2432" s="22" t="s">
        <v>17849</v>
      </c>
      <c r="G2432" s="23" t="s">
        <v>17850</v>
      </c>
      <c r="H2432" s="25" t="s">
        <v>15373</v>
      </c>
      <c r="I2432" s="22" t="s">
        <v>15411</v>
      </c>
      <c r="J2432" s="22">
        <v>8123700</v>
      </c>
      <c r="K2432" s="26">
        <f t="shared" si="37"/>
        <v>390.66666666666663</v>
      </c>
      <c r="M2432" s="26">
        <v>586</v>
      </c>
      <c r="O2432" s="22" t="s">
        <v>17836</v>
      </c>
      <c r="P2432" s="22" t="s">
        <v>17837</v>
      </c>
      <c r="Q2432" s="22" t="s">
        <v>17838</v>
      </c>
      <c r="S2432" s="22" t="s">
        <v>17846</v>
      </c>
      <c r="X2432" s="26"/>
      <c r="Y2432" s="26"/>
    </row>
    <row r="2433" spans="1:25" ht="37.5" x14ac:dyDescent="0.25">
      <c r="A2433" s="21">
        <v>2698</v>
      </c>
      <c r="B2433" s="22" t="s">
        <v>15346</v>
      </c>
      <c r="C2433" s="22" t="s">
        <v>17833</v>
      </c>
      <c r="F2433" s="22" t="s">
        <v>17851</v>
      </c>
      <c r="G2433" s="23" t="s">
        <v>17848</v>
      </c>
      <c r="H2433" s="25" t="s">
        <v>15373</v>
      </c>
      <c r="I2433" s="22" t="s">
        <v>15411</v>
      </c>
      <c r="J2433" s="22" t="s">
        <v>13002</v>
      </c>
      <c r="K2433" s="26">
        <f t="shared" ref="K2433:K2496" si="38">L2433+M2433*(2/3)+N2433*(2/3)</f>
        <v>1000</v>
      </c>
      <c r="L2433" s="26">
        <v>1000</v>
      </c>
      <c r="O2433" s="22" t="s">
        <v>17836</v>
      </c>
      <c r="P2433" s="22" t="s">
        <v>17837</v>
      </c>
      <c r="Q2433" s="22" t="s">
        <v>17838</v>
      </c>
      <c r="S2433" s="22" t="s">
        <v>17846</v>
      </c>
      <c r="X2433" s="26"/>
      <c r="Y2433" s="26"/>
    </row>
    <row r="2434" spans="1:25" ht="25" x14ac:dyDescent="0.25">
      <c r="A2434" s="21">
        <v>2699</v>
      </c>
      <c r="B2434" s="22" t="s">
        <v>15346</v>
      </c>
      <c r="C2434" s="22" t="s">
        <v>17852</v>
      </c>
      <c r="F2434" s="22" t="s">
        <v>17853</v>
      </c>
      <c r="G2434" s="23" t="s">
        <v>17854</v>
      </c>
      <c r="H2434" s="25" t="s">
        <v>15373</v>
      </c>
      <c r="I2434" s="22" t="s">
        <v>16311</v>
      </c>
      <c r="J2434" s="22" t="s">
        <v>16311</v>
      </c>
      <c r="K2434" s="26">
        <f t="shared" si="38"/>
        <v>300</v>
      </c>
      <c r="M2434" s="26">
        <v>450</v>
      </c>
      <c r="O2434" s="22" t="s">
        <v>17855</v>
      </c>
      <c r="P2434" s="22" t="s">
        <v>16998</v>
      </c>
      <c r="Q2434" s="22" t="s">
        <v>17011</v>
      </c>
      <c r="S2434" s="22" t="s">
        <v>17856</v>
      </c>
      <c r="X2434" s="26"/>
      <c r="Y2434" s="26"/>
    </row>
    <row r="2435" spans="1:25" ht="25" x14ac:dyDescent="0.25">
      <c r="A2435" s="21">
        <v>2700</v>
      </c>
      <c r="B2435" s="22" t="s">
        <v>15346</v>
      </c>
      <c r="C2435" s="22" t="s">
        <v>17857</v>
      </c>
      <c r="F2435" s="22" t="s">
        <v>17858</v>
      </c>
      <c r="G2435" s="23" t="s">
        <v>17859</v>
      </c>
      <c r="H2435" s="25" t="s">
        <v>15373</v>
      </c>
      <c r="I2435" s="22" t="s">
        <v>15374</v>
      </c>
      <c r="J2435" s="22">
        <v>3412</v>
      </c>
      <c r="K2435" s="26">
        <f t="shared" si="38"/>
        <v>482</v>
      </c>
      <c r="M2435" s="26">
        <v>723</v>
      </c>
      <c r="O2435" s="22" t="s">
        <v>17860</v>
      </c>
      <c r="P2435" s="22" t="s">
        <v>16985</v>
      </c>
      <c r="Q2435" s="22" t="s">
        <v>17861</v>
      </c>
      <c r="S2435" s="22" t="s">
        <v>17862</v>
      </c>
      <c r="X2435" s="26"/>
      <c r="Y2435" s="26"/>
    </row>
    <row r="2436" spans="1:25" ht="37.5" x14ac:dyDescent="0.25">
      <c r="A2436" s="21">
        <v>2701</v>
      </c>
      <c r="B2436" s="22" t="s">
        <v>15346</v>
      </c>
      <c r="C2436" s="22" t="s">
        <v>17863</v>
      </c>
      <c r="F2436" s="22" t="s">
        <v>17864</v>
      </c>
      <c r="G2436" s="23" t="s">
        <v>17865</v>
      </c>
      <c r="H2436" s="25" t="s">
        <v>16310</v>
      </c>
      <c r="I2436" s="22" t="s">
        <v>16160</v>
      </c>
      <c r="J2436" s="22" t="s">
        <v>17866</v>
      </c>
      <c r="K2436" s="26">
        <f t="shared" si="38"/>
        <v>1000</v>
      </c>
      <c r="L2436" s="26">
        <v>1000</v>
      </c>
      <c r="O2436" s="22" t="s">
        <v>17867</v>
      </c>
      <c r="P2436" s="22" t="s">
        <v>16985</v>
      </c>
      <c r="Q2436" s="22" t="s">
        <v>17868</v>
      </c>
      <c r="S2436" s="22" t="s">
        <v>17869</v>
      </c>
      <c r="X2436" s="26"/>
      <c r="Y2436" s="26"/>
    </row>
    <row r="2437" spans="1:25" ht="25" x14ac:dyDescent="0.25">
      <c r="A2437" s="21">
        <v>2702</v>
      </c>
      <c r="B2437" s="22" t="s">
        <v>15346</v>
      </c>
      <c r="C2437" s="22" t="s">
        <v>17870</v>
      </c>
      <c r="F2437" s="22" t="s">
        <v>17871</v>
      </c>
      <c r="G2437" s="23" t="s">
        <v>17872</v>
      </c>
      <c r="H2437" s="25" t="s">
        <v>16310</v>
      </c>
      <c r="I2437" s="22" t="s">
        <v>16160</v>
      </c>
      <c r="J2437" s="22" t="s">
        <v>16311</v>
      </c>
      <c r="K2437" s="26">
        <f t="shared" si="38"/>
        <v>515.33333333333326</v>
      </c>
      <c r="N2437" s="26">
        <v>773</v>
      </c>
      <c r="O2437" s="22" t="s">
        <v>16940</v>
      </c>
      <c r="P2437" s="22" t="s">
        <v>16941</v>
      </c>
      <c r="S2437" s="22" t="s">
        <v>17873</v>
      </c>
      <c r="X2437" s="26"/>
      <c r="Y2437" s="26"/>
    </row>
    <row r="2438" spans="1:25" ht="25" x14ac:dyDescent="0.25">
      <c r="A2438" s="21">
        <v>2703</v>
      </c>
      <c r="B2438" s="22" t="s">
        <v>15346</v>
      </c>
      <c r="C2438" s="22" t="s">
        <v>17874</v>
      </c>
      <c r="F2438" s="22" t="s">
        <v>17875</v>
      </c>
      <c r="G2438" s="23" t="s">
        <v>17876</v>
      </c>
      <c r="H2438" s="25" t="s">
        <v>15373</v>
      </c>
      <c r="I2438" s="22" t="s">
        <v>15374</v>
      </c>
      <c r="J2438" s="22" t="s">
        <v>16311</v>
      </c>
      <c r="K2438" s="26">
        <f t="shared" si="38"/>
        <v>500</v>
      </c>
      <c r="N2438" s="26">
        <v>750</v>
      </c>
      <c r="O2438" s="22" t="s">
        <v>17877</v>
      </c>
      <c r="P2438" s="22" t="s">
        <v>16998</v>
      </c>
      <c r="Q2438" s="22" t="s">
        <v>17878</v>
      </c>
      <c r="S2438" s="22" t="s">
        <v>17879</v>
      </c>
      <c r="X2438" s="26"/>
      <c r="Y2438" s="26"/>
    </row>
    <row r="2439" spans="1:25" ht="25" x14ac:dyDescent="0.25">
      <c r="A2439" s="21">
        <v>2704</v>
      </c>
      <c r="B2439" s="22" t="s">
        <v>15346</v>
      </c>
      <c r="C2439" s="22" t="s">
        <v>17880</v>
      </c>
      <c r="F2439" s="22" t="s">
        <v>17881</v>
      </c>
      <c r="G2439" s="23" t="s">
        <v>17882</v>
      </c>
      <c r="H2439" s="25" t="s">
        <v>15373</v>
      </c>
      <c r="I2439" s="22" t="s">
        <v>16311</v>
      </c>
      <c r="J2439" s="22" t="s">
        <v>16311</v>
      </c>
      <c r="K2439" s="26">
        <f t="shared" si="38"/>
        <v>350</v>
      </c>
      <c r="L2439" s="26">
        <v>350</v>
      </c>
      <c r="O2439" s="22" t="s">
        <v>17883</v>
      </c>
      <c r="P2439" s="22" t="s">
        <v>16955</v>
      </c>
      <c r="Q2439" s="22" t="s">
        <v>16956</v>
      </c>
      <c r="S2439" s="22" t="s">
        <v>17884</v>
      </c>
      <c r="X2439" s="26"/>
      <c r="Y2439" s="26"/>
    </row>
    <row r="2440" spans="1:25" ht="25" x14ac:dyDescent="0.25">
      <c r="A2440" s="21">
        <v>2705</v>
      </c>
      <c r="B2440" s="22" t="s">
        <v>15346</v>
      </c>
      <c r="C2440" s="22" t="s">
        <v>17885</v>
      </c>
      <c r="F2440" s="22" t="s">
        <v>17886</v>
      </c>
      <c r="G2440" s="23" t="s">
        <v>17887</v>
      </c>
      <c r="H2440" s="25" t="s">
        <v>15373</v>
      </c>
      <c r="I2440" s="22" t="s">
        <v>15411</v>
      </c>
      <c r="J2440" s="22" t="s">
        <v>15877</v>
      </c>
      <c r="K2440" s="26">
        <f t="shared" si="38"/>
        <v>400</v>
      </c>
      <c r="L2440" s="26">
        <v>400</v>
      </c>
      <c r="O2440" s="22" t="s">
        <v>17888</v>
      </c>
      <c r="P2440" s="22" t="s">
        <v>17315</v>
      </c>
      <c r="Q2440" s="22" t="s">
        <v>17316</v>
      </c>
      <c r="S2440" s="22" t="s">
        <v>17889</v>
      </c>
      <c r="X2440" s="26"/>
      <c r="Y2440" s="26"/>
    </row>
    <row r="2441" spans="1:25" ht="25" x14ac:dyDescent="0.25">
      <c r="A2441" s="21">
        <v>2706</v>
      </c>
      <c r="B2441" s="22" t="s">
        <v>15346</v>
      </c>
      <c r="C2441" s="22" t="s">
        <v>17890</v>
      </c>
      <c r="F2441" s="22" t="s">
        <v>17891</v>
      </c>
      <c r="G2441" s="23" t="s">
        <v>17892</v>
      </c>
      <c r="H2441" s="25" t="s">
        <v>15373</v>
      </c>
      <c r="I2441" s="22" t="s">
        <v>15374</v>
      </c>
      <c r="J2441" s="22" t="s">
        <v>15701</v>
      </c>
      <c r="K2441" s="26">
        <f t="shared" si="38"/>
        <v>350</v>
      </c>
      <c r="L2441" s="26">
        <v>350</v>
      </c>
      <c r="O2441" s="22" t="s">
        <v>17893</v>
      </c>
      <c r="P2441" s="22" t="s">
        <v>17315</v>
      </c>
      <c r="Q2441" s="22" t="s">
        <v>17316</v>
      </c>
      <c r="S2441" s="22" t="s">
        <v>17894</v>
      </c>
      <c r="X2441" s="26"/>
      <c r="Y2441" s="26"/>
    </row>
    <row r="2442" spans="1:25" ht="37.5" x14ac:dyDescent="0.25">
      <c r="A2442" s="21">
        <v>2707</v>
      </c>
      <c r="B2442" s="22" t="s">
        <v>15346</v>
      </c>
      <c r="C2442" s="22" t="s">
        <v>5789</v>
      </c>
      <c r="F2442" s="22" t="s">
        <v>17895</v>
      </c>
      <c r="G2442" s="23" t="s">
        <v>17896</v>
      </c>
      <c r="H2442" s="25" t="s">
        <v>15373</v>
      </c>
      <c r="I2442" s="22" t="s">
        <v>15411</v>
      </c>
      <c r="J2442" s="22" t="s">
        <v>15068</v>
      </c>
      <c r="K2442" s="26">
        <f t="shared" si="38"/>
        <v>600</v>
      </c>
      <c r="L2442" s="26">
        <v>600</v>
      </c>
      <c r="O2442" s="22" t="s">
        <v>17897</v>
      </c>
      <c r="P2442" s="22" t="s">
        <v>17201</v>
      </c>
      <c r="Q2442" s="22" t="s">
        <v>17898</v>
      </c>
      <c r="S2442" s="22" t="s">
        <v>17899</v>
      </c>
      <c r="X2442" s="26"/>
      <c r="Y2442" s="26"/>
    </row>
    <row r="2443" spans="1:25" ht="25" x14ac:dyDescent="0.25">
      <c r="A2443" s="21">
        <v>2708</v>
      </c>
      <c r="B2443" s="22" t="s">
        <v>15346</v>
      </c>
      <c r="C2443" s="22" t="s">
        <v>5789</v>
      </c>
      <c r="F2443" s="22" t="s">
        <v>17900</v>
      </c>
      <c r="G2443" s="23" t="s">
        <v>17901</v>
      </c>
      <c r="H2443" s="25" t="s">
        <v>15373</v>
      </c>
      <c r="I2443" s="22" t="s">
        <v>15411</v>
      </c>
      <c r="J2443" s="22" t="s">
        <v>15744</v>
      </c>
      <c r="K2443" s="26">
        <f t="shared" si="38"/>
        <v>650</v>
      </c>
      <c r="L2443" s="26">
        <v>650</v>
      </c>
      <c r="O2443" s="22" t="s">
        <v>17902</v>
      </c>
      <c r="P2443" s="22" t="s">
        <v>16955</v>
      </c>
      <c r="Q2443" s="22" t="s">
        <v>16975</v>
      </c>
      <c r="S2443" s="22" t="s">
        <v>17899</v>
      </c>
      <c r="X2443" s="26"/>
      <c r="Y2443" s="26"/>
    </row>
    <row r="2444" spans="1:25" ht="37.5" x14ac:dyDescent="0.25">
      <c r="A2444" s="21">
        <v>2709</v>
      </c>
      <c r="B2444" s="22" t="s">
        <v>15346</v>
      </c>
      <c r="C2444" s="22" t="s">
        <v>5789</v>
      </c>
      <c r="F2444" s="22" t="s">
        <v>17903</v>
      </c>
      <c r="G2444" s="23" t="s">
        <v>17904</v>
      </c>
      <c r="H2444" s="25" t="s">
        <v>15373</v>
      </c>
      <c r="I2444" s="22" t="s">
        <v>15411</v>
      </c>
      <c r="J2444" s="22" t="s">
        <v>17905</v>
      </c>
      <c r="K2444" s="26">
        <f t="shared" si="38"/>
        <v>320</v>
      </c>
      <c r="L2444" s="26">
        <v>320</v>
      </c>
      <c r="O2444" s="22" t="s">
        <v>17906</v>
      </c>
      <c r="P2444" s="22" t="s">
        <v>17158</v>
      </c>
      <c r="Q2444" s="22" t="s">
        <v>17159</v>
      </c>
      <c r="S2444" s="22" t="s">
        <v>17899</v>
      </c>
      <c r="X2444" s="26"/>
      <c r="Y2444" s="26"/>
    </row>
    <row r="2445" spans="1:25" ht="37.5" x14ac:dyDescent="0.25">
      <c r="A2445" s="21">
        <v>2710</v>
      </c>
      <c r="B2445" s="22" t="s">
        <v>15346</v>
      </c>
      <c r="C2445" s="22" t="s">
        <v>5789</v>
      </c>
      <c r="F2445" s="22" t="s">
        <v>17907</v>
      </c>
      <c r="G2445" s="23" t="s">
        <v>17908</v>
      </c>
      <c r="H2445" s="25" t="s">
        <v>15373</v>
      </c>
      <c r="I2445" s="22" t="s">
        <v>15382</v>
      </c>
      <c r="J2445" s="22" t="s">
        <v>14807</v>
      </c>
      <c r="K2445" s="26">
        <f t="shared" si="38"/>
        <v>350</v>
      </c>
      <c r="L2445" s="26">
        <v>350</v>
      </c>
      <c r="O2445" s="22" t="s">
        <v>17909</v>
      </c>
      <c r="P2445" s="22" t="s">
        <v>16955</v>
      </c>
      <c r="Q2445" s="22" t="s">
        <v>16962</v>
      </c>
      <c r="S2445" s="22" t="s">
        <v>17899</v>
      </c>
      <c r="X2445" s="26"/>
      <c r="Y2445" s="26"/>
    </row>
    <row r="2446" spans="1:25" ht="25" x14ac:dyDescent="0.25">
      <c r="A2446" s="21">
        <v>2711</v>
      </c>
      <c r="B2446" s="22" t="s">
        <v>15346</v>
      </c>
      <c r="C2446" s="22" t="s">
        <v>5789</v>
      </c>
      <c r="F2446" s="22" t="s">
        <v>17910</v>
      </c>
      <c r="G2446" s="23" t="s">
        <v>17911</v>
      </c>
      <c r="H2446" s="25" t="s">
        <v>15373</v>
      </c>
      <c r="I2446" s="22" t="s">
        <v>17912</v>
      </c>
      <c r="J2446" s="22" t="s">
        <v>17913</v>
      </c>
      <c r="K2446" s="26">
        <f t="shared" si="38"/>
        <v>750</v>
      </c>
      <c r="L2446" s="26">
        <v>750</v>
      </c>
      <c r="O2446" s="22" t="s">
        <v>17914</v>
      </c>
      <c r="P2446" s="22" t="s">
        <v>16985</v>
      </c>
      <c r="Q2446" s="22" t="s">
        <v>17142</v>
      </c>
      <c r="S2446" s="22" t="s">
        <v>17899</v>
      </c>
      <c r="X2446" s="26"/>
      <c r="Y2446" s="26"/>
    </row>
    <row r="2447" spans="1:25" ht="25" x14ac:dyDescent="0.25">
      <c r="A2447" s="21">
        <v>2712</v>
      </c>
      <c r="B2447" s="22" t="s">
        <v>15346</v>
      </c>
      <c r="C2447" s="22" t="s">
        <v>5789</v>
      </c>
      <c r="F2447" s="22" t="s">
        <v>17915</v>
      </c>
      <c r="G2447" s="23" t="s">
        <v>17911</v>
      </c>
      <c r="H2447" s="25" t="s">
        <v>15373</v>
      </c>
      <c r="I2447" s="22" t="s">
        <v>17912</v>
      </c>
      <c r="J2447" s="22" t="s">
        <v>17913</v>
      </c>
      <c r="K2447" s="26">
        <f t="shared" si="38"/>
        <v>750</v>
      </c>
      <c r="L2447" s="26">
        <v>750</v>
      </c>
      <c r="O2447" s="22" t="s">
        <v>17914</v>
      </c>
      <c r="P2447" s="22" t="s">
        <v>16985</v>
      </c>
      <c r="Q2447" s="22" t="s">
        <v>17142</v>
      </c>
      <c r="S2447" s="22" t="s">
        <v>17899</v>
      </c>
      <c r="X2447" s="26"/>
      <c r="Y2447" s="26"/>
    </row>
    <row r="2448" spans="1:25" ht="37.5" x14ac:dyDescent="0.25">
      <c r="A2448" s="21">
        <v>2713</v>
      </c>
      <c r="B2448" s="22" t="s">
        <v>15346</v>
      </c>
      <c r="C2448" s="22" t="s">
        <v>5789</v>
      </c>
      <c r="F2448" s="22" t="s">
        <v>17916</v>
      </c>
      <c r="G2448" s="23" t="s">
        <v>17917</v>
      </c>
      <c r="H2448" s="25" t="s">
        <v>15373</v>
      </c>
      <c r="I2448" s="22" t="s">
        <v>15411</v>
      </c>
      <c r="J2448" s="22" t="s">
        <v>17698</v>
      </c>
      <c r="K2448" s="26">
        <f t="shared" si="38"/>
        <v>300</v>
      </c>
      <c r="L2448" s="26">
        <v>300</v>
      </c>
      <c r="O2448" s="22" t="s">
        <v>17918</v>
      </c>
      <c r="P2448" s="22" t="s">
        <v>17315</v>
      </c>
      <c r="Q2448" s="22" t="s">
        <v>17316</v>
      </c>
      <c r="S2448" s="22" t="s">
        <v>17899</v>
      </c>
      <c r="X2448" s="26"/>
      <c r="Y2448" s="26"/>
    </row>
    <row r="2449" spans="1:25" ht="37.5" x14ac:dyDescent="0.25">
      <c r="A2449" s="21">
        <v>2714</v>
      </c>
      <c r="B2449" s="22" t="s">
        <v>15346</v>
      </c>
      <c r="C2449" s="22" t="s">
        <v>5789</v>
      </c>
      <c r="F2449" s="22" t="s">
        <v>17919</v>
      </c>
      <c r="G2449" s="23" t="s">
        <v>17920</v>
      </c>
      <c r="H2449" s="25" t="s">
        <v>15373</v>
      </c>
      <c r="I2449" s="22" t="s">
        <v>15411</v>
      </c>
      <c r="J2449" s="22" t="s">
        <v>16331</v>
      </c>
      <c r="K2449" s="26">
        <f t="shared" si="38"/>
        <v>650</v>
      </c>
      <c r="L2449" s="26">
        <v>650</v>
      </c>
      <c r="O2449" s="22" t="s">
        <v>17921</v>
      </c>
      <c r="P2449" s="22" t="s">
        <v>16985</v>
      </c>
      <c r="Q2449" s="22" t="s">
        <v>17922</v>
      </c>
      <c r="S2449" s="22" t="s">
        <v>17899</v>
      </c>
      <c r="X2449" s="26"/>
      <c r="Y2449" s="26"/>
    </row>
    <row r="2450" spans="1:25" ht="50" x14ac:dyDescent="0.25">
      <c r="A2450" s="21">
        <v>2715</v>
      </c>
      <c r="B2450" s="22" t="s">
        <v>15346</v>
      </c>
      <c r="C2450" s="22" t="s">
        <v>5789</v>
      </c>
      <c r="F2450" s="22" t="s">
        <v>17923</v>
      </c>
      <c r="G2450" s="23" t="s">
        <v>17924</v>
      </c>
      <c r="H2450" s="25" t="s">
        <v>15373</v>
      </c>
      <c r="I2450" s="22" t="s">
        <v>15411</v>
      </c>
      <c r="J2450" s="22" t="s">
        <v>13484</v>
      </c>
      <c r="K2450" s="26">
        <f t="shared" si="38"/>
        <v>1635</v>
      </c>
      <c r="L2450" s="26">
        <v>1635</v>
      </c>
      <c r="O2450" s="22" t="s">
        <v>17914</v>
      </c>
      <c r="P2450" s="22" t="s">
        <v>16985</v>
      </c>
      <c r="Q2450" s="22" t="s">
        <v>17142</v>
      </c>
      <c r="S2450" s="22" t="s">
        <v>17899</v>
      </c>
      <c r="X2450" s="26"/>
      <c r="Y2450" s="26"/>
    </row>
    <row r="2451" spans="1:25" ht="37.5" x14ac:dyDescent="0.25">
      <c r="A2451" s="21">
        <v>2716</v>
      </c>
      <c r="B2451" s="22" t="s">
        <v>15346</v>
      </c>
      <c r="C2451" s="22" t="s">
        <v>5789</v>
      </c>
      <c r="F2451" s="22" t="s">
        <v>17925</v>
      </c>
      <c r="G2451" s="23" t="s">
        <v>17926</v>
      </c>
      <c r="H2451" s="25" t="s">
        <v>15373</v>
      </c>
      <c r="I2451" s="22" t="s">
        <v>15374</v>
      </c>
      <c r="J2451" s="22" t="s">
        <v>17927</v>
      </c>
      <c r="K2451" s="26">
        <f t="shared" si="38"/>
        <v>1680</v>
      </c>
      <c r="M2451" s="26">
        <v>2520</v>
      </c>
      <c r="O2451" s="22" t="s">
        <v>17928</v>
      </c>
      <c r="P2451" s="22" t="s">
        <v>16934</v>
      </c>
      <c r="Q2451" s="22" t="s">
        <v>16935</v>
      </c>
      <c r="S2451" s="22" t="s">
        <v>17899</v>
      </c>
      <c r="X2451" s="26"/>
      <c r="Y2451" s="26"/>
    </row>
    <row r="2452" spans="1:25" ht="37.5" x14ac:dyDescent="0.25">
      <c r="A2452" s="21">
        <v>2717</v>
      </c>
      <c r="B2452" s="22" t="s">
        <v>15346</v>
      </c>
      <c r="C2452" s="22" t="s">
        <v>5789</v>
      </c>
      <c r="F2452" s="22" t="s">
        <v>17929</v>
      </c>
      <c r="G2452" s="23" t="s">
        <v>17930</v>
      </c>
      <c r="H2452" s="25" t="s">
        <v>15373</v>
      </c>
      <c r="I2452" s="22" t="s">
        <v>15411</v>
      </c>
      <c r="J2452" s="22" t="s">
        <v>16884</v>
      </c>
      <c r="K2452" s="26">
        <f t="shared" si="38"/>
        <v>470</v>
      </c>
      <c r="L2452" s="26">
        <v>470</v>
      </c>
      <c r="O2452" s="22" t="s">
        <v>17931</v>
      </c>
      <c r="P2452" s="22" t="s">
        <v>16985</v>
      </c>
      <c r="Q2452" s="22" t="s">
        <v>17922</v>
      </c>
      <c r="S2452" s="22" t="s">
        <v>17899</v>
      </c>
      <c r="X2452" s="26"/>
      <c r="Y2452" s="26"/>
    </row>
    <row r="2453" spans="1:25" ht="25" x14ac:dyDescent="0.25">
      <c r="A2453" s="21">
        <v>2718</v>
      </c>
      <c r="B2453" s="22" t="s">
        <v>15346</v>
      </c>
      <c r="C2453" s="22" t="s">
        <v>5789</v>
      </c>
      <c r="F2453" s="22" t="s">
        <v>17932</v>
      </c>
      <c r="G2453" s="23" t="s">
        <v>17933</v>
      </c>
      <c r="H2453" s="25" t="s">
        <v>15373</v>
      </c>
      <c r="I2453" s="22" t="s">
        <v>16311</v>
      </c>
      <c r="J2453" s="22" t="s">
        <v>16311</v>
      </c>
      <c r="K2453" s="26">
        <f t="shared" si="38"/>
        <v>350</v>
      </c>
      <c r="L2453" s="26">
        <v>350</v>
      </c>
      <c r="O2453" s="22" t="s">
        <v>17934</v>
      </c>
      <c r="P2453" s="22" t="s">
        <v>16998</v>
      </c>
      <c r="Q2453" s="22" t="s">
        <v>17025</v>
      </c>
      <c r="S2453" s="22" t="s">
        <v>17899</v>
      </c>
      <c r="X2453" s="26"/>
      <c r="Y2453" s="26"/>
    </row>
    <row r="2454" spans="1:25" ht="25" x14ac:dyDescent="0.25">
      <c r="A2454" s="21">
        <v>2719</v>
      </c>
      <c r="B2454" s="22" t="s">
        <v>15346</v>
      </c>
      <c r="C2454" s="22" t="s">
        <v>5789</v>
      </c>
      <c r="F2454" s="22" t="s">
        <v>17935</v>
      </c>
      <c r="G2454" s="23" t="s">
        <v>17936</v>
      </c>
      <c r="H2454" s="25" t="s">
        <v>15373</v>
      </c>
      <c r="I2454" s="22" t="s">
        <v>15411</v>
      </c>
      <c r="J2454" s="22" t="s">
        <v>15412</v>
      </c>
      <c r="K2454" s="26">
        <f t="shared" si="38"/>
        <v>500</v>
      </c>
      <c r="L2454" s="26">
        <v>500</v>
      </c>
      <c r="O2454" s="22" t="s">
        <v>17937</v>
      </c>
      <c r="P2454" s="22" t="s">
        <v>16991</v>
      </c>
      <c r="Q2454" s="22" t="s">
        <v>17938</v>
      </c>
      <c r="S2454" s="22" t="s">
        <v>17899</v>
      </c>
      <c r="X2454" s="26"/>
      <c r="Y2454" s="26"/>
    </row>
    <row r="2455" spans="1:25" ht="25" x14ac:dyDescent="0.25">
      <c r="A2455" s="21">
        <v>2720</v>
      </c>
      <c r="B2455" s="22" t="s">
        <v>15346</v>
      </c>
      <c r="C2455" s="22" t="s">
        <v>5789</v>
      </c>
      <c r="F2455" s="22" t="s">
        <v>17939</v>
      </c>
      <c r="G2455" s="23" t="s">
        <v>17940</v>
      </c>
      <c r="H2455" s="25" t="s">
        <v>15373</v>
      </c>
      <c r="I2455" s="22" t="s">
        <v>16311</v>
      </c>
      <c r="J2455" s="22" t="s">
        <v>16311</v>
      </c>
      <c r="K2455" s="26">
        <f t="shared" si="38"/>
        <v>320</v>
      </c>
      <c r="L2455" s="26">
        <v>320</v>
      </c>
      <c r="O2455" s="22" t="s">
        <v>17941</v>
      </c>
      <c r="P2455" s="22" t="s">
        <v>17689</v>
      </c>
      <c r="Q2455" s="22" t="s">
        <v>17942</v>
      </c>
      <c r="S2455" s="22" t="s">
        <v>17899</v>
      </c>
      <c r="X2455" s="26"/>
      <c r="Y2455" s="26"/>
    </row>
    <row r="2456" spans="1:25" ht="25" x14ac:dyDescent="0.25">
      <c r="A2456" s="21">
        <v>2721</v>
      </c>
      <c r="B2456" s="22" t="s">
        <v>15346</v>
      </c>
      <c r="C2456" s="22" t="s">
        <v>5789</v>
      </c>
      <c r="F2456" s="22" t="s">
        <v>17943</v>
      </c>
      <c r="G2456" s="23" t="s">
        <v>17944</v>
      </c>
      <c r="H2456" s="25" t="s">
        <v>15373</v>
      </c>
      <c r="I2456" s="22" t="s">
        <v>16311</v>
      </c>
      <c r="J2456" s="22" t="s">
        <v>16311</v>
      </c>
      <c r="K2456" s="26">
        <f t="shared" si="38"/>
        <v>450</v>
      </c>
      <c r="L2456" s="26">
        <v>450</v>
      </c>
      <c r="O2456" s="22" t="s">
        <v>17945</v>
      </c>
      <c r="P2456" s="22" t="s">
        <v>16998</v>
      </c>
      <c r="Q2456" s="22" t="s">
        <v>17946</v>
      </c>
      <c r="S2456" s="22" t="s">
        <v>17899</v>
      </c>
      <c r="X2456" s="26"/>
      <c r="Y2456" s="26"/>
    </row>
    <row r="2457" spans="1:25" ht="25" x14ac:dyDescent="0.25">
      <c r="A2457" s="21">
        <v>2722</v>
      </c>
      <c r="B2457" s="22" t="s">
        <v>15346</v>
      </c>
      <c r="C2457" s="22" t="s">
        <v>5789</v>
      </c>
      <c r="F2457" s="22" t="s">
        <v>17947</v>
      </c>
      <c r="G2457" s="23" t="s">
        <v>17948</v>
      </c>
      <c r="H2457" s="25" t="s">
        <v>15373</v>
      </c>
      <c r="I2457" s="22" t="s">
        <v>15411</v>
      </c>
      <c r="J2457" s="22" t="s">
        <v>16311</v>
      </c>
      <c r="K2457" s="26">
        <f t="shared" si="38"/>
        <v>1200</v>
      </c>
      <c r="L2457" s="26">
        <v>1200</v>
      </c>
      <c r="O2457" s="22" t="s">
        <v>17949</v>
      </c>
      <c r="P2457" s="22" t="s">
        <v>16998</v>
      </c>
      <c r="Q2457" s="22" t="s">
        <v>16999</v>
      </c>
      <c r="S2457" s="22" t="s">
        <v>17899</v>
      </c>
      <c r="X2457" s="26"/>
      <c r="Y2457" s="26"/>
    </row>
    <row r="2458" spans="1:25" ht="37.5" x14ac:dyDescent="0.25">
      <c r="A2458" s="21">
        <v>2723</v>
      </c>
      <c r="B2458" s="22" t="s">
        <v>15346</v>
      </c>
      <c r="C2458" s="22" t="s">
        <v>17950</v>
      </c>
      <c r="F2458" s="22" t="s">
        <v>17951</v>
      </c>
      <c r="G2458" s="23" t="s">
        <v>17952</v>
      </c>
      <c r="H2458" s="25" t="s">
        <v>15373</v>
      </c>
      <c r="I2458" s="22" t="s">
        <v>15374</v>
      </c>
      <c r="J2458" s="22" t="s">
        <v>15677</v>
      </c>
      <c r="K2458" s="26">
        <f t="shared" si="38"/>
        <v>1500</v>
      </c>
      <c r="L2458" s="26">
        <v>1500</v>
      </c>
      <c r="O2458" s="22" t="s">
        <v>17953</v>
      </c>
      <c r="P2458" s="22" t="s">
        <v>17954</v>
      </c>
      <c r="Q2458" s="22" t="s">
        <v>17597</v>
      </c>
      <c r="S2458" s="22" t="s">
        <v>16976</v>
      </c>
      <c r="X2458" s="26"/>
      <c r="Y2458" s="26"/>
    </row>
    <row r="2459" spans="1:25" ht="37.5" x14ac:dyDescent="0.25">
      <c r="A2459" s="21">
        <v>2724</v>
      </c>
      <c r="B2459" s="22" t="s">
        <v>15346</v>
      </c>
      <c r="C2459" s="22" t="s">
        <v>17955</v>
      </c>
      <c r="F2459" s="22" t="s">
        <v>17956</v>
      </c>
      <c r="G2459" s="23" t="s">
        <v>17957</v>
      </c>
      <c r="H2459" s="25" t="s">
        <v>15373</v>
      </c>
      <c r="I2459" s="22" t="s">
        <v>15374</v>
      </c>
      <c r="J2459" s="22">
        <v>3412</v>
      </c>
      <c r="K2459" s="26">
        <f t="shared" si="38"/>
        <v>750</v>
      </c>
      <c r="L2459" s="26">
        <v>750</v>
      </c>
      <c r="O2459" s="22" t="s">
        <v>17958</v>
      </c>
      <c r="P2459" s="22" t="s">
        <v>16955</v>
      </c>
      <c r="Q2459" s="22" t="s">
        <v>16026</v>
      </c>
      <c r="S2459" s="22" t="s">
        <v>17959</v>
      </c>
      <c r="X2459" s="26"/>
      <c r="Y2459" s="26"/>
    </row>
    <row r="2460" spans="1:25" ht="50" x14ac:dyDescent="0.25">
      <c r="A2460" s="21">
        <v>2725</v>
      </c>
      <c r="B2460" s="22" t="s">
        <v>15346</v>
      </c>
      <c r="C2460" s="22" t="s">
        <v>17955</v>
      </c>
      <c r="F2460" s="22" t="s">
        <v>17960</v>
      </c>
      <c r="G2460" s="23" t="s">
        <v>17961</v>
      </c>
      <c r="H2460" s="25" t="s">
        <v>15373</v>
      </c>
      <c r="I2460" s="22" t="s">
        <v>15374</v>
      </c>
      <c r="J2460" s="22">
        <v>3412</v>
      </c>
      <c r="K2460" s="26">
        <f t="shared" si="38"/>
        <v>520</v>
      </c>
      <c r="L2460" s="26">
        <v>520</v>
      </c>
      <c r="O2460" s="22" t="s">
        <v>17962</v>
      </c>
      <c r="P2460" s="22" t="s">
        <v>17963</v>
      </c>
      <c r="Q2460" s="22" t="s">
        <v>17964</v>
      </c>
      <c r="S2460" s="22" t="s">
        <v>17965</v>
      </c>
      <c r="X2460" s="26"/>
      <c r="Y2460" s="26"/>
    </row>
    <row r="2461" spans="1:25" ht="50" x14ac:dyDescent="0.25">
      <c r="A2461" s="21">
        <v>2726</v>
      </c>
      <c r="B2461" s="22" t="s">
        <v>15346</v>
      </c>
      <c r="C2461" s="22" t="s">
        <v>17955</v>
      </c>
      <c r="F2461" s="22" t="s">
        <v>17966</v>
      </c>
      <c r="G2461" s="23" t="s">
        <v>17967</v>
      </c>
      <c r="H2461" s="25" t="s">
        <v>15373</v>
      </c>
      <c r="I2461" s="22" t="s">
        <v>15374</v>
      </c>
      <c r="J2461" s="22">
        <v>3412</v>
      </c>
      <c r="K2461" s="26">
        <f t="shared" si="38"/>
        <v>500</v>
      </c>
      <c r="L2461" s="26">
        <v>500</v>
      </c>
      <c r="O2461" s="22" t="s">
        <v>17968</v>
      </c>
      <c r="P2461" s="22" t="s">
        <v>17963</v>
      </c>
      <c r="Q2461" s="22" t="s">
        <v>17964</v>
      </c>
      <c r="S2461" s="22" t="s">
        <v>17969</v>
      </c>
      <c r="X2461" s="26"/>
      <c r="Y2461" s="26"/>
    </row>
    <row r="2462" spans="1:25" ht="50" x14ac:dyDescent="0.25">
      <c r="A2462" s="21">
        <v>2727</v>
      </c>
      <c r="B2462" s="22" t="s">
        <v>15346</v>
      </c>
      <c r="C2462" s="22" t="s">
        <v>17955</v>
      </c>
      <c r="F2462" s="22" t="s">
        <v>17970</v>
      </c>
      <c r="G2462" s="23" t="s">
        <v>17971</v>
      </c>
      <c r="H2462" s="25" t="s">
        <v>15373</v>
      </c>
      <c r="I2462" s="22" t="s">
        <v>15374</v>
      </c>
      <c r="J2462" s="22">
        <v>3412</v>
      </c>
      <c r="K2462" s="26">
        <f t="shared" si="38"/>
        <v>520</v>
      </c>
      <c r="L2462" s="26">
        <v>520</v>
      </c>
      <c r="O2462" s="22" t="s">
        <v>17972</v>
      </c>
      <c r="P2462" s="22" t="s">
        <v>17963</v>
      </c>
      <c r="Q2462" s="22" t="s">
        <v>17964</v>
      </c>
      <c r="S2462" s="22" t="s">
        <v>17969</v>
      </c>
      <c r="X2462" s="26"/>
      <c r="Y2462" s="26"/>
    </row>
    <row r="2463" spans="1:25" ht="37.5" x14ac:dyDescent="0.25">
      <c r="A2463" s="21">
        <v>2728</v>
      </c>
      <c r="B2463" s="22" t="s">
        <v>15346</v>
      </c>
      <c r="C2463" s="22" t="s">
        <v>17973</v>
      </c>
      <c r="F2463" s="22" t="s">
        <v>17974</v>
      </c>
      <c r="G2463" s="23" t="s">
        <v>17975</v>
      </c>
      <c r="H2463" s="25" t="s">
        <v>16310</v>
      </c>
      <c r="I2463" s="22" t="s">
        <v>15374</v>
      </c>
      <c r="J2463" s="22" t="s">
        <v>17976</v>
      </c>
      <c r="K2463" s="26">
        <f t="shared" si="38"/>
        <v>416.66666666666663</v>
      </c>
      <c r="N2463" s="26">
        <v>625</v>
      </c>
      <c r="O2463" s="22" t="s">
        <v>17977</v>
      </c>
      <c r="P2463" s="22" t="s">
        <v>17978</v>
      </c>
      <c r="Q2463" s="22" t="s">
        <v>17979</v>
      </c>
      <c r="S2463" s="22" t="s">
        <v>17980</v>
      </c>
      <c r="X2463" s="26"/>
      <c r="Y2463" s="26"/>
    </row>
    <row r="2464" spans="1:25" ht="37.5" x14ac:dyDescent="0.25">
      <c r="A2464" s="21">
        <v>2729</v>
      </c>
      <c r="B2464" s="22" t="s">
        <v>15346</v>
      </c>
      <c r="C2464" s="22" t="s">
        <v>17973</v>
      </c>
      <c r="F2464" s="22" t="s">
        <v>17981</v>
      </c>
      <c r="G2464" s="23" t="s">
        <v>17982</v>
      </c>
      <c r="H2464" s="25" t="s">
        <v>16310</v>
      </c>
      <c r="I2464" s="22" t="s">
        <v>15374</v>
      </c>
      <c r="J2464" s="22" t="s">
        <v>17976</v>
      </c>
      <c r="K2464" s="26">
        <f t="shared" si="38"/>
        <v>416.66666666666663</v>
      </c>
      <c r="N2464" s="26">
        <v>625</v>
      </c>
      <c r="O2464" s="22" t="s">
        <v>17977</v>
      </c>
      <c r="P2464" s="22" t="s">
        <v>17978</v>
      </c>
      <c r="Q2464" s="22" t="s">
        <v>17979</v>
      </c>
      <c r="S2464" s="22" t="s">
        <v>17980</v>
      </c>
      <c r="X2464" s="26"/>
      <c r="Y2464" s="26"/>
    </row>
    <row r="2465" spans="1:25" ht="37.5" x14ac:dyDescent="0.25">
      <c r="A2465" s="21">
        <v>2730</v>
      </c>
      <c r="B2465" s="22" t="s">
        <v>15346</v>
      </c>
      <c r="C2465" s="22" t="s">
        <v>17973</v>
      </c>
      <c r="F2465" s="22" t="s">
        <v>17983</v>
      </c>
      <c r="G2465" s="23" t="s">
        <v>17984</v>
      </c>
      <c r="H2465" s="25" t="s">
        <v>16310</v>
      </c>
      <c r="I2465" s="22" t="s">
        <v>15374</v>
      </c>
      <c r="J2465" s="22" t="s">
        <v>17976</v>
      </c>
      <c r="K2465" s="26">
        <f t="shared" si="38"/>
        <v>416.66666666666663</v>
      </c>
      <c r="N2465" s="26">
        <v>625</v>
      </c>
      <c r="O2465" s="22" t="s">
        <v>17977</v>
      </c>
      <c r="P2465" s="22" t="s">
        <v>17978</v>
      </c>
      <c r="Q2465" s="22" t="s">
        <v>17979</v>
      </c>
      <c r="S2465" s="22" t="s">
        <v>17980</v>
      </c>
      <c r="X2465" s="26"/>
      <c r="Y2465" s="26"/>
    </row>
    <row r="2466" spans="1:25" ht="37.5" x14ac:dyDescent="0.25">
      <c r="A2466" s="21">
        <v>2731</v>
      </c>
      <c r="B2466" s="22" t="s">
        <v>15346</v>
      </c>
      <c r="C2466" s="22" t="s">
        <v>17973</v>
      </c>
      <c r="F2466" s="22" t="s">
        <v>17985</v>
      </c>
      <c r="G2466" s="23" t="s">
        <v>17986</v>
      </c>
      <c r="H2466" s="25" t="s">
        <v>16310</v>
      </c>
      <c r="I2466" s="22" t="s">
        <v>15374</v>
      </c>
      <c r="J2466" s="22" t="s">
        <v>17976</v>
      </c>
      <c r="K2466" s="26">
        <f t="shared" si="38"/>
        <v>416.66666666666663</v>
      </c>
      <c r="N2466" s="26">
        <v>625</v>
      </c>
      <c r="O2466" s="22" t="s">
        <v>17977</v>
      </c>
      <c r="P2466" s="22" t="s">
        <v>17978</v>
      </c>
      <c r="Q2466" s="22" t="s">
        <v>17979</v>
      </c>
      <c r="S2466" s="22" t="s">
        <v>17980</v>
      </c>
      <c r="X2466" s="26"/>
      <c r="Y2466" s="26"/>
    </row>
    <row r="2467" spans="1:25" ht="25" x14ac:dyDescent="0.25">
      <c r="A2467" s="21">
        <v>2732</v>
      </c>
      <c r="B2467" s="22" t="s">
        <v>15346</v>
      </c>
      <c r="C2467" s="22" t="s">
        <v>17987</v>
      </c>
      <c r="F2467" s="22" t="s">
        <v>17988</v>
      </c>
      <c r="G2467" s="23" t="s">
        <v>17989</v>
      </c>
      <c r="H2467" s="25" t="s">
        <v>15373</v>
      </c>
      <c r="I2467" s="22" t="s">
        <v>15382</v>
      </c>
      <c r="J2467" s="22" t="s">
        <v>13380</v>
      </c>
      <c r="K2467" s="26">
        <f t="shared" si="38"/>
        <v>450</v>
      </c>
      <c r="L2467" s="26">
        <v>450</v>
      </c>
      <c r="O2467" s="22" t="s">
        <v>17990</v>
      </c>
      <c r="P2467" s="22" t="s">
        <v>16985</v>
      </c>
      <c r="Q2467" s="22" t="s">
        <v>16986</v>
      </c>
      <c r="S2467" s="22" t="s">
        <v>16976</v>
      </c>
      <c r="X2467" s="26"/>
      <c r="Y2467" s="26"/>
    </row>
    <row r="2468" spans="1:25" ht="25" x14ac:dyDescent="0.25">
      <c r="A2468" s="21">
        <v>2733</v>
      </c>
      <c r="B2468" s="22" t="s">
        <v>15346</v>
      </c>
      <c r="C2468" s="22" t="s">
        <v>17991</v>
      </c>
      <c r="F2468" s="22" t="s">
        <v>17992</v>
      </c>
      <c r="G2468" s="23" t="s">
        <v>17993</v>
      </c>
      <c r="H2468" s="25" t="s">
        <v>15373</v>
      </c>
      <c r="I2468" s="22" t="s">
        <v>15374</v>
      </c>
      <c r="J2468" s="22" t="s">
        <v>15460</v>
      </c>
      <c r="K2468" s="26">
        <f t="shared" si="38"/>
        <v>666.66666666666663</v>
      </c>
      <c r="N2468" s="26">
        <v>1000</v>
      </c>
      <c r="O2468" s="22" t="s">
        <v>17994</v>
      </c>
      <c r="P2468" s="22" t="s">
        <v>17995</v>
      </c>
      <c r="Q2468" s="22" t="s">
        <v>17996</v>
      </c>
      <c r="S2468" s="22" t="s">
        <v>17997</v>
      </c>
      <c r="X2468" s="26"/>
      <c r="Y2468" s="26"/>
    </row>
    <row r="2469" spans="1:25" ht="25" x14ac:dyDescent="0.25">
      <c r="A2469" s="21">
        <v>2734</v>
      </c>
      <c r="B2469" s="22" t="s">
        <v>15346</v>
      </c>
      <c r="C2469" s="22" t="s">
        <v>17991</v>
      </c>
      <c r="F2469" s="22" t="s">
        <v>17998</v>
      </c>
      <c r="G2469" s="23" t="s">
        <v>17999</v>
      </c>
      <c r="H2469" s="25" t="s">
        <v>15373</v>
      </c>
      <c r="I2469" s="22" t="s">
        <v>15374</v>
      </c>
      <c r="J2469" s="22" t="s">
        <v>15460</v>
      </c>
      <c r="K2469" s="26">
        <f t="shared" si="38"/>
        <v>666.66666666666663</v>
      </c>
      <c r="N2469" s="26">
        <v>1000</v>
      </c>
      <c r="O2469" s="22" t="s">
        <v>18000</v>
      </c>
      <c r="P2469" s="22" t="s">
        <v>17402</v>
      </c>
      <c r="Q2469" s="22" t="s">
        <v>16999</v>
      </c>
      <c r="S2469" s="22" t="s">
        <v>17997</v>
      </c>
      <c r="X2469" s="26"/>
      <c r="Y2469" s="26"/>
    </row>
    <row r="2470" spans="1:25" ht="37.5" x14ac:dyDescent="0.25">
      <c r="A2470" s="21">
        <v>2735</v>
      </c>
      <c r="B2470" s="22" t="s">
        <v>15346</v>
      </c>
      <c r="C2470" s="22" t="s">
        <v>18001</v>
      </c>
      <c r="F2470" s="22" t="s">
        <v>18002</v>
      </c>
      <c r="G2470" s="23" t="s">
        <v>18003</v>
      </c>
      <c r="H2470" s="25" t="s">
        <v>15373</v>
      </c>
      <c r="I2470" s="22" t="s">
        <v>15411</v>
      </c>
      <c r="J2470" s="22" t="s">
        <v>12830</v>
      </c>
      <c r="K2470" s="26">
        <f t="shared" si="38"/>
        <v>650</v>
      </c>
      <c r="L2470" s="26">
        <v>650</v>
      </c>
      <c r="O2470" s="22" t="s">
        <v>18004</v>
      </c>
      <c r="P2470" s="22" t="s">
        <v>16985</v>
      </c>
      <c r="Q2470" s="22" t="s">
        <v>18005</v>
      </c>
      <c r="S2470" s="22" t="s">
        <v>18006</v>
      </c>
      <c r="X2470" s="26"/>
      <c r="Y2470" s="26"/>
    </row>
    <row r="2471" spans="1:25" ht="37.5" x14ac:dyDescent="0.25">
      <c r="A2471" s="21">
        <v>2736</v>
      </c>
      <c r="B2471" s="22" t="s">
        <v>15346</v>
      </c>
      <c r="C2471" s="22" t="s">
        <v>18007</v>
      </c>
      <c r="F2471" s="22" t="s">
        <v>18008</v>
      </c>
      <c r="G2471" s="23" t="s">
        <v>18009</v>
      </c>
      <c r="H2471" s="25" t="s">
        <v>15373</v>
      </c>
      <c r="I2471" s="22" t="s">
        <v>15374</v>
      </c>
      <c r="J2471" s="22" t="s">
        <v>14306</v>
      </c>
      <c r="K2471" s="26">
        <f t="shared" si="38"/>
        <v>500</v>
      </c>
      <c r="L2471" s="26">
        <v>500</v>
      </c>
      <c r="O2471" s="22" t="s">
        <v>18010</v>
      </c>
      <c r="P2471" s="22" t="s">
        <v>16955</v>
      </c>
      <c r="Q2471" s="22" t="s">
        <v>17683</v>
      </c>
      <c r="S2471" s="22" t="s">
        <v>18011</v>
      </c>
      <c r="X2471" s="26"/>
      <c r="Y2471" s="26"/>
    </row>
    <row r="2472" spans="1:25" ht="50" x14ac:dyDescent="0.25">
      <c r="A2472" s="21">
        <v>2737</v>
      </c>
      <c r="B2472" s="22" t="s">
        <v>15346</v>
      </c>
      <c r="C2472" s="22" t="s">
        <v>18012</v>
      </c>
      <c r="F2472" s="22" t="s">
        <v>18013</v>
      </c>
      <c r="G2472" s="23" t="s">
        <v>18014</v>
      </c>
      <c r="H2472" s="25" t="s">
        <v>15373</v>
      </c>
      <c r="I2472" s="22" t="s">
        <v>15382</v>
      </c>
      <c r="J2472" s="22" t="s">
        <v>14850</v>
      </c>
      <c r="K2472" s="26">
        <f t="shared" si="38"/>
        <v>310</v>
      </c>
      <c r="M2472" s="26">
        <v>465</v>
      </c>
      <c r="O2472" s="22" t="s">
        <v>18015</v>
      </c>
      <c r="P2472" s="22" t="s">
        <v>16941</v>
      </c>
      <c r="S2472" s="22" t="s">
        <v>18016</v>
      </c>
      <c r="X2472" s="26"/>
      <c r="Y2472" s="26"/>
    </row>
    <row r="2473" spans="1:25" ht="25" x14ac:dyDescent="0.25">
      <c r="A2473" s="21">
        <v>2738</v>
      </c>
      <c r="B2473" s="22" t="s">
        <v>15346</v>
      </c>
      <c r="C2473" s="22" t="s">
        <v>18017</v>
      </c>
      <c r="F2473" s="22" t="s">
        <v>18018</v>
      </c>
      <c r="G2473" s="23" t="s">
        <v>18019</v>
      </c>
      <c r="H2473" s="25" t="s">
        <v>15373</v>
      </c>
      <c r="I2473" s="22" t="s">
        <v>15374</v>
      </c>
      <c r="J2473" s="22" t="s">
        <v>13590</v>
      </c>
      <c r="K2473" s="26">
        <f t="shared" si="38"/>
        <v>400</v>
      </c>
      <c r="L2473" s="26">
        <v>400</v>
      </c>
      <c r="O2473" s="22" t="s">
        <v>18020</v>
      </c>
      <c r="P2473" s="22" t="s">
        <v>16985</v>
      </c>
      <c r="Q2473" s="22" t="s">
        <v>17126</v>
      </c>
      <c r="S2473" s="22" t="s">
        <v>18021</v>
      </c>
      <c r="X2473" s="26"/>
      <c r="Y2473" s="26"/>
    </row>
    <row r="2474" spans="1:25" ht="37.5" x14ac:dyDescent="0.25">
      <c r="A2474" s="21">
        <v>2739</v>
      </c>
      <c r="B2474" s="22" t="s">
        <v>15346</v>
      </c>
      <c r="C2474" s="22" t="s">
        <v>18022</v>
      </c>
      <c r="F2474" s="22" t="s">
        <v>18023</v>
      </c>
      <c r="G2474" s="23" t="s">
        <v>18024</v>
      </c>
      <c r="H2474" s="25" t="s">
        <v>15373</v>
      </c>
      <c r="I2474" s="22" t="s">
        <v>15411</v>
      </c>
      <c r="J2474" s="22" t="s">
        <v>12755</v>
      </c>
      <c r="K2474" s="26">
        <f t="shared" si="38"/>
        <v>1050</v>
      </c>
      <c r="L2474" s="26">
        <v>1050</v>
      </c>
      <c r="O2474" s="22" t="s">
        <v>18025</v>
      </c>
      <c r="P2474" s="22" t="s">
        <v>18026</v>
      </c>
      <c r="Q2474" s="22" t="s">
        <v>18027</v>
      </c>
      <c r="S2474" s="22" t="s">
        <v>18028</v>
      </c>
      <c r="X2474" s="26"/>
      <c r="Y2474" s="26"/>
    </row>
    <row r="2475" spans="1:25" ht="37.5" x14ac:dyDescent="0.25">
      <c r="A2475" s="21">
        <v>2740</v>
      </c>
      <c r="B2475" s="22" t="s">
        <v>15346</v>
      </c>
      <c r="C2475" s="22" t="s">
        <v>18022</v>
      </c>
      <c r="F2475" s="22" t="s">
        <v>18029</v>
      </c>
      <c r="G2475" s="23" t="s">
        <v>18030</v>
      </c>
      <c r="H2475" s="25" t="s">
        <v>15373</v>
      </c>
      <c r="I2475" s="22" t="s">
        <v>15411</v>
      </c>
      <c r="J2475" s="22" t="s">
        <v>12755</v>
      </c>
      <c r="K2475" s="26">
        <f t="shared" si="38"/>
        <v>1050</v>
      </c>
      <c r="L2475" s="26">
        <v>1050</v>
      </c>
      <c r="O2475" s="22" t="s">
        <v>18025</v>
      </c>
      <c r="P2475" s="22" t="s">
        <v>18026</v>
      </c>
      <c r="Q2475" s="22" t="s">
        <v>18027</v>
      </c>
      <c r="S2475" s="22" t="s">
        <v>18028</v>
      </c>
      <c r="X2475" s="26"/>
      <c r="Y2475" s="26"/>
    </row>
    <row r="2476" spans="1:25" ht="37.5" x14ac:dyDescent="0.25">
      <c r="A2476" s="21">
        <v>2741</v>
      </c>
      <c r="B2476" s="22" t="s">
        <v>15346</v>
      </c>
      <c r="C2476" s="22" t="s">
        <v>18031</v>
      </c>
      <c r="F2476" s="22" t="s">
        <v>18032</v>
      </c>
      <c r="G2476" s="23" t="s">
        <v>18033</v>
      </c>
      <c r="H2476" s="25" t="s">
        <v>15373</v>
      </c>
      <c r="I2476" s="22" t="s">
        <v>15411</v>
      </c>
      <c r="J2476" s="22" t="s">
        <v>18034</v>
      </c>
      <c r="K2476" s="26">
        <f t="shared" si="38"/>
        <v>1051.3333333333333</v>
      </c>
      <c r="M2476" s="26">
        <v>1577</v>
      </c>
      <c r="O2476" s="22" t="s">
        <v>18035</v>
      </c>
      <c r="P2476" s="22" t="s">
        <v>16955</v>
      </c>
      <c r="Q2476" s="22" t="s">
        <v>16956</v>
      </c>
      <c r="S2476" s="22" t="s">
        <v>18036</v>
      </c>
      <c r="X2476" s="26"/>
      <c r="Y2476" s="26"/>
    </row>
    <row r="2477" spans="1:25" ht="37.5" x14ac:dyDescent="0.25">
      <c r="A2477" s="21">
        <v>2742</v>
      </c>
      <c r="B2477" s="22" t="s">
        <v>15346</v>
      </c>
      <c r="C2477" s="22" t="s">
        <v>18031</v>
      </c>
      <c r="F2477" s="22" t="s">
        <v>18037</v>
      </c>
      <c r="G2477" s="23" t="s">
        <v>18038</v>
      </c>
      <c r="H2477" s="25" t="s">
        <v>15373</v>
      </c>
      <c r="I2477" s="22" t="s">
        <v>15411</v>
      </c>
      <c r="J2477" s="22" t="s">
        <v>18039</v>
      </c>
      <c r="K2477" s="26">
        <f t="shared" si="38"/>
        <v>1050</v>
      </c>
      <c r="L2477" s="26">
        <v>1050</v>
      </c>
      <c r="O2477" s="22" t="s">
        <v>18035</v>
      </c>
      <c r="P2477" s="22" t="s">
        <v>16955</v>
      </c>
      <c r="Q2477" s="22" t="s">
        <v>16956</v>
      </c>
      <c r="S2477" s="22" t="s">
        <v>18036</v>
      </c>
      <c r="X2477" s="26"/>
      <c r="Y2477" s="26"/>
    </row>
    <row r="2478" spans="1:25" ht="37.5" x14ac:dyDescent="0.25">
      <c r="A2478" s="21">
        <v>2743</v>
      </c>
      <c r="B2478" s="22" t="s">
        <v>15346</v>
      </c>
      <c r="C2478" s="22" t="s">
        <v>18031</v>
      </c>
      <c r="F2478" s="22" t="s">
        <v>18040</v>
      </c>
      <c r="G2478" s="23" t="s">
        <v>18041</v>
      </c>
      <c r="H2478" s="25" t="s">
        <v>15373</v>
      </c>
      <c r="I2478" s="22" t="s">
        <v>15374</v>
      </c>
      <c r="J2478" s="22">
        <v>3512</v>
      </c>
      <c r="K2478" s="26">
        <f t="shared" si="38"/>
        <v>1250</v>
      </c>
      <c r="L2478" s="26">
        <v>1250</v>
      </c>
      <c r="O2478" s="22" t="s">
        <v>18035</v>
      </c>
      <c r="P2478" s="22" t="s">
        <v>16955</v>
      </c>
      <c r="Q2478" s="22" t="s">
        <v>16956</v>
      </c>
      <c r="S2478" s="22" t="s">
        <v>18036</v>
      </c>
      <c r="X2478" s="26"/>
      <c r="Y2478" s="26"/>
    </row>
    <row r="2479" spans="1:25" ht="37.5" x14ac:dyDescent="0.25">
      <c r="A2479" s="21">
        <v>2744</v>
      </c>
      <c r="B2479" s="22" t="s">
        <v>15346</v>
      </c>
      <c r="C2479" s="22" t="s">
        <v>18042</v>
      </c>
      <c r="F2479" s="22" t="s">
        <v>18043</v>
      </c>
      <c r="G2479" s="23" t="s">
        <v>18044</v>
      </c>
      <c r="H2479" s="25" t="s">
        <v>15373</v>
      </c>
      <c r="I2479" s="22" t="s">
        <v>15374</v>
      </c>
      <c r="J2479" s="22">
        <v>3412</v>
      </c>
      <c r="K2479" s="26">
        <f t="shared" si="38"/>
        <v>499.33333333333331</v>
      </c>
      <c r="M2479" s="26">
        <v>749</v>
      </c>
      <c r="O2479" s="22" t="s">
        <v>18045</v>
      </c>
      <c r="P2479" s="22" t="s">
        <v>16955</v>
      </c>
      <c r="Q2479" s="22" t="s">
        <v>17603</v>
      </c>
      <c r="S2479" s="22" t="s">
        <v>18046</v>
      </c>
      <c r="X2479" s="26"/>
      <c r="Y2479" s="26"/>
    </row>
    <row r="2480" spans="1:25" ht="37.5" x14ac:dyDescent="0.25">
      <c r="A2480" s="21">
        <v>2745</v>
      </c>
      <c r="B2480" s="22" t="s">
        <v>15346</v>
      </c>
      <c r="C2480" s="22" t="s">
        <v>18042</v>
      </c>
      <c r="F2480" s="22" t="s">
        <v>18047</v>
      </c>
      <c r="G2480" s="23" t="s">
        <v>18048</v>
      </c>
      <c r="H2480" s="25" t="s">
        <v>15373</v>
      </c>
      <c r="I2480" s="22" t="s">
        <v>15374</v>
      </c>
      <c r="J2480" s="22">
        <v>3412</v>
      </c>
      <c r="K2480" s="26">
        <f t="shared" si="38"/>
        <v>499.33333333333331</v>
      </c>
      <c r="M2480" s="26">
        <v>749</v>
      </c>
      <c r="O2480" s="22" t="s">
        <v>18045</v>
      </c>
      <c r="P2480" s="22" t="s">
        <v>16955</v>
      </c>
      <c r="Q2480" s="22" t="s">
        <v>17603</v>
      </c>
      <c r="S2480" s="22" t="s">
        <v>18046</v>
      </c>
      <c r="X2480" s="26"/>
      <c r="Y2480" s="26"/>
    </row>
    <row r="2481" spans="1:25" ht="37.5" x14ac:dyDescent="0.25">
      <c r="A2481" s="21">
        <v>2746</v>
      </c>
      <c r="B2481" s="22" t="s">
        <v>15346</v>
      </c>
      <c r="C2481" s="22" t="s">
        <v>18042</v>
      </c>
      <c r="F2481" s="22" t="s">
        <v>18049</v>
      </c>
      <c r="G2481" s="23" t="s">
        <v>18050</v>
      </c>
      <c r="H2481" s="25" t="s">
        <v>15373</v>
      </c>
      <c r="I2481" s="22" t="s">
        <v>15374</v>
      </c>
      <c r="J2481" s="22">
        <v>3516</v>
      </c>
      <c r="K2481" s="26">
        <f t="shared" si="38"/>
        <v>1898</v>
      </c>
      <c r="M2481" s="26">
        <v>2847</v>
      </c>
      <c r="O2481" s="22" t="s">
        <v>18045</v>
      </c>
      <c r="P2481" s="22" t="s">
        <v>16955</v>
      </c>
      <c r="Q2481" s="22" t="s">
        <v>17603</v>
      </c>
      <c r="S2481" s="22" t="s">
        <v>18046</v>
      </c>
      <c r="X2481" s="26"/>
      <c r="Y2481" s="26"/>
    </row>
    <row r="2482" spans="1:25" ht="37.5" x14ac:dyDescent="0.25">
      <c r="A2482" s="21">
        <v>2747</v>
      </c>
      <c r="B2482" s="22" t="s">
        <v>15346</v>
      </c>
      <c r="C2482" s="22" t="s">
        <v>18042</v>
      </c>
      <c r="F2482" s="22" t="s">
        <v>18051</v>
      </c>
      <c r="G2482" s="23" t="s">
        <v>18052</v>
      </c>
      <c r="H2482" s="25" t="s">
        <v>15373</v>
      </c>
      <c r="I2482" s="22" t="s">
        <v>15374</v>
      </c>
      <c r="J2482" s="22" t="s">
        <v>16121</v>
      </c>
      <c r="K2482" s="26">
        <f t="shared" si="38"/>
        <v>536.66666666666663</v>
      </c>
      <c r="M2482" s="26">
        <v>805</v>
      </c>
      <c r="O2482" s="22" t="s">
        <v>18045</v>
      </c>
      <c r="P2482" s="22" t="s">
        <v>16955</v>
      </c>
      <c r="Q2482" s="22" t="s">
        <v>17603</v>
      </c>
      <c r="S2482" s="22" t="s">
        <v>18046</v>
      </c>
      <c r="X2482" s="26"/>
      <c r="Y2482" s="26"/>
    </row>
    <row r="2483" spans="1:25" ht="37.5" x14ac:dyDescent="0.25">
      <c r="A2483" s="21">
        <v>2748</v>
      </c>
      <c r="B2483" s="22" t="s">
        <v>15346</v>
      </c>
      <c r="C2483" s="22" t="s">
        <v>18042</v>
      </c>
      <c r="F2483" s="22" t="s">
        <v>18053</v>
      </c>
      <c r="G2483" s="23" t="s">
        <v>18054</v>
      </c>
      <c r="H2483" s="25" t="s">
        <v>15373</v>
      </c>
      <c r="I2483" s="22" t="s">
        <v>15374</v>
      </c>
      <c r="J2483" s="22" t="s">
        <v>16121</v>
      </c>
      <c r="K2483" s="26">
        <f t="shared" si="38"/>
        <v>536.66666666666663</v>
      </c>
      <c r="M2483" s="26">
        <v>805</v>
      </c>
      <c r="O2483" s="22" t="s">
        <v>18045</v>
      </c>
      <c r="P2483" s="22" t="s">
        <v>16955</v>
      </c>
      <c r="Q2483" s="22" t="s">
        <v>17603</v>
      </c>
      <c r="S2483" s="22" t="s">
        <v>18046</v>
      </c>
      <c r="X2483" s="26"/>
      <c r="Y2483" s="26"/>
    </row>
    <row r="2484" spans="1:25" ht="37.5" x14ac:dyDescent="0.25">
      <c r="A2484" s="21">
        <v>2749</v>
      </c>
      <c r="B2484" s="22" t="s">
        <v>15346</v>
      </c>
      <c r="C2484" s="22" t="s">
        <v>18042</v>
      </c>
      <c r="F2484" s="22" t="s">
        <v>18055</v>
      </c>
      <c r="G2484" s="23" t="s">
        <v>18056</v>
      </c>
      <c r="H2484" s="25" t="s">
        <v>15373</v>
      </c>
      <c r="I2484" s="22" t="s">
        <v>15374</v>
      </c>
      <c r="J2484" s="22">
        <v>3412</v>
      </c>
      <c r="K2484" s="26">
        <f t="shared" si="38"/>
        <v>600</v>
      </c>
      <c r="L2484" s="26">
        <v>600</v>
      </c>
      <c r="O2484" s="22" t="s">
        <v>18057</v>
      </c>
      <c r="P2484" s="22" t="s">
        <v>16955</v>
      </c>
      <c r="Q2484" s="22" t="s">
        <v>17603</v>
      </c>
      <c r="S2484" s="22" t="s">
        <v>18058</v>
      </c>
      <c r="X2484" s="26"/>
      <c r="Y2484" s="26"/>
    </row>
    <row r="2485" spans="1:25" ht="25" x14ac:dyDescent="0.25">
      <c r="A2485" s="21">
        <v>2750</v>
      </c>
      <c r="B2485" s="22" t="s">
        <v>15346</v>
      </c>
      <c r="C2485" s="22" t="s">
        <v>18059</v>
      </c>
      <c r="F2485" s="22" t="s">
        <v>18060</v>
      </c>
      <c r="G2485" s="23" t="s">
        <v>18061</v>
      </c>
      <c r="H2485" s="25" t="s">
        <v>15373</v>
      </c>
      <c r="I2485" s="22" t="s">
        <v>15382</v>
      </c>
      <c r="J2485" s="22" t="s">
        <v>18062</v>
      </c>
      <c r="K2485" s="26">
        <f t="shared" si="38"/>
        <v>423.33333333333331</v>
      </c>
      <c r="M2485" s="26">
        <v>635</v>
      </c>
      <c r="O2485" s="22" t="s">
        <v>18063</v>
      </c>
      <c r="P2485" s="22" t="s">
        <v>16998</v>
      </c>
      <c r="Q2485" s="22" t="s">
        <v>16999</v>
      </c>
      <c r="S2485" s="22" t="s">
        <v>18064</v>
      </c>
      <c r="X2485" s="26"/>
      <c r="Y2485" s="26"/>
    </row>
    <row r="2486" spans="1:25" ht="25" x14ac:dyDescent="0.25">
      <c r="A2486" s="21">
        <v>2751</v>
      </c>
      <c r="B2486" s="22" t="s">
        <v>15346</v>
      </c>
      <c r="C2486" s="22" t="s">
        <v>18059</v>
      </c>
      <c r="F2486" s="22" t="s">
        <v>18065</v>
      </c>
      <c r="G2486" s="23" t="s">
        <v>18066</v>
      </c>
      <c r="H2486" s="25" t="s">
        <v>15373</v>
      </c>
      <c r="I2486" s="22" t="s">
        <v>15382</v>
      </c>
      <c r="J2486" s="22" t="s">
        <v>16311</v>
      </c>
      <c r="K2486" s="26">
        <f t="shared" si="38"/>
        <v>1250</v>
      </c>
      <c r="L2486" s="26">
        <v>1250</v>
      </c>
      <c r="O2486" s="22" t="s">
        <v>18063</v>
      </c>
      <c r="P2486" s="22" t="s">
        <v>16998</v>
      </c>
      <c r="Q2486" s="22" t="s">
        <v>16999</v>
      </c>
      <c r="S2486" s="22" t="s">
        <v>18064</v>
      </c>
      <c r="X2486" s="26"/>
      <c r="Y2486" s="26"/>
    </row>
    <row r="2487" spans="1:25" ht="25" x14ac:dyDescent="0.25">
      <c r="A2487" s="21">
        <v>2752</v>
      </c>
      <c r="B2487" s="22" t="s">
        <v>15346</v>
      </c>
      <c r="C2487" s="22" t="s">
        <v>18067</v>
      </c>
      <c r="F2487" s="22" t="s">
        <v>18068</v>
      </c>
      <c r="G2487" s="23" t="s">
        <v>18069</v>
      </c>
      <c r="H2487" s="25" t="s">
        <v>15373</v>
      </c>
      <c r="I2487" s="22" t="s">
        <v>15382</v>
      </c>
      <c r="J2487" s="22" t="s">
        <v>14369</v>
      </c>
      <c r="K2487" s="26">
        <f t="shared" si="38"/>
        <v>800</v>
      </c>
      <c r="M2487" s="26">
        <v>1200</v>
      </c>
      <c r="O2487" s="22" t="s">
        <v>18070</v>
      </c>
      <c r="P2487" s="22" t="s">
        <v>18071</v>
      </c>
      <c r="Q2487" s="22" t="s">
        <v>18072</v>
      </c>
      <c r="S2487" s="22" t="s">
        <v>18073</v>
      </c>
      <c r="X2487" s="26"/>
      <c r="Y2487" s="26"/>
    </row>
    <row r="2488" spans="1:25" ht="25" x14ac:dyDescent="0.25">
      <c r="A2488" s="21">
        <v>2753</v>
      </c>
      <c r="B2488" s="22" t="s">
        <v>15346</v>
      </c>
      <c r="C2488" s="22" t="s">
        <v>18067</v>
      </c>
      <c r="F2488" s="22" t="s">
        <v>18074</v>
      </c>
      <c r="G2488" s="23" t="s">
        <v>18075</v>
      </c>
      <c r="H2488" s="25" t="s">
        <v>15373</v>
      </c>
      <c r="I2488" s="22" t="s">
        <v>15382</v>
      </c>
      <c r="J2488" s="22" t="s">
        <v>14369</v>
      </c>
      <c r="K2488" s="26">
        <f t="shared" si="38"/>
        <v>800</v>
      </c>
      <c r="M2488" s="26">
        <v>1200</v>
      </c>
      <c r="O2488" s="22" t="s">
        <v>18070</v>
      </c>
      <c r="P2488" s="22" t="s">
        <v>18071</v>
      </c>
      <c r="Q2488" s="22" t="s">
        <v>18072</v>
      </c>
      <c r="S2488" s="22" t="s">
        <v>18073</v>
      </c>
      <c r="X2488" s="26"/>
      <c r="Y2488" s="26"/>
    </row>
    <row r="2489" spans="1:25" ht="37.5" x14ac:dyDescent="0.25">
      <c r="A2489" s="21">
        <v>2754</v>
      </c>
      <c r="B2489" s="22" t="s">
        <v>15346</v>
      </c>
      <c r="C2489" s="22" t="s">
        <v>18076</v>
      </c>
      <c r="F2489" s="22" t="s">
        <v>18077</v>
      </c>
      <c r="G2489" s="23" t="s">
        <v>18078</v>
      </c>
      <c r="H2489" s="25" t="s">
        <v>15373</v>
      </c>
      <c r="I2489" s="22" t="s">
        <v>15411</v>
      </c>
      <c r="J2489" s="22" t="s">
        <v>13484</v>
      </c>
      <c r="K2489" s="26">
        <f t="shared" si="38"/>
        <v>1500</v>
      </c>
      <c r="L2489" s="26">
        <v>1500</v>
      </c>
      <c r="O2489" s="22" t="s">
        <v>18079</v>
      </c>
      <c r="P2489" s="22" t="s">
        <v>18071</v>
      </c>
      <c r="Q2489" s="22" t="s">
        <v>18072</v>
      </c>
      <c r="S2489" s="22" t="s">
        <v>18080</v>
      </c>
      <c r="X2489" s="26"/>
      <c r="Y2489" s="26"/>
    </row>
    <row r="2490" spans="1:25" ht="37.5" x14ac:dyDescent="0.25">
      <c r="A2490" s="21">
        <v>2755</v>
      </c>
      <c r="B2490" s="22" t="s">
        <v>15346</v>
      </c>
      <c r="C2490" s="22" t="s">
        <v>18076</v>
      </c>
      <c r="F2490" s="22" t="s">
        <v>18081</v>
      </c>
      <c r="G2490" s="23" t="s">
        <v>18082</v>
      </c>
      <c r="H2490" s="25" t="s">
        <v>15373</v>
      </c>
      <c r="I2490" s="22" t="s">
        <v>15411</v>
      </c>
      <c r="J2490" s="22" t="s">
        <v>13484</v>
      </c>
      <c r="K2490" s="26">
        <f t="shared" si="38"/>
        <v>1500</v>
      </c>
      <c r="L2490" s="26">
        <v>1500</v>
      </c>
      <c r="O2490" s="22" t="s">
        <v>18079</v>
      </c>
      <c r="P2490" s="22" t="s">
        <v>18071</v>
      </c>
      <c r="Q2490" s="22" t="s">
        <v>18072</v>
      </c>
      <c r="S2490" s="22" t="s">
        <v>18080</v>
      </c>
      <c r="X2490" s="26"/>
      <c r="Y2490" s="26"/>
    </row>
    <row r="2491" spans="1:25" ht="25" x14ac:dyDescent="0.25">
      <c r="A2491" s="21">
        <v>2756</v>
      </c>
      <c r="B2491" s="22" t="s">
        <v>15346</v>
      </c>
      <c r="C2491" s="22" t="s">
        <v>18083</v>
      </c>
      <c r="F2491" s="22" t="s">
        <v>18084</v>
      </c>
      <c r="G2491" s="23" t="s">
        <v>18085</v>
      </c>
      <c r="H2491" s="25" t="s">
        <v>15373</v>
      </c>
      <c r="I2491" s="22" t="s">
        <v>15382</v>
      </c>
      <c r="J2491" s="22" t="s">
        <v>16861</v>
      </c>
      <c r="K2491" s="26">
        <f t="shared" si="38"/>
        <v>400</v>
      </c>
      <c r="L2491" s="26">
        <v>400</v>
      </c>
      <c r="O2491" s="22" t="s">
        <v>18086</v>
      </c>
      <c r="P2491" s="22" t="s">
        <v>16955</v>
      </c>
      <c r="Q2491" s="22" t="s">
        <v>17603</v>
      </c>
      <c r="S2491" s="22" t="s">
        <v>18087</v>
      </c>
      <c r="X2491" s="26"/>
      <c r="Y2491" s="26"/>
    </row>
    <row r="2492" spans="1:25" ht="37.5" x14ac:dyDescent="0.25">
      <c r="A2492" s="21">
        <v>2757</v>
      </c>
      <c r="B2492" s="22" t="s">
        <v>15346</v>
      </c>
      <c r="C2492" s="22" t="s">
        <v>18088</v>
      </c>
      <c r="F2492" s="22" t="s">
        <v>18089</v>
      </c>
      <c r="G2492" s="23" t="s">
        <v>18090</v>
      </c>
      <c r="H2492" s="25" t="s">
        <v>15373</v>
      </c>
      <c r="I2492" s="22" t="s">
        <v>15374</v>
      </c>
      <c r="J2492" s="22" t="s">
        <v>13590</v>
      </c>
      <c r="K2492" s="26">
        <f t="shared" si="38"/>
        <v>308.66666666666663</v>
      </c>
      <c r="M2492" s="26">
        <v>463</v>
      </c>
      <c r="P2492" s="22" t="s">
        <v>18091</v>
      </c>
      <c r="Q2492" s="22">
        <v>93271</v>
      </c>
      <c r="S2492" s="22" t="s">
        <v>18092</v>
      </c>
      <c r="X2492" s="26"/>
      <c r="Y2492" s="26"/>
    </row>
    <row r="2493" spans="1:25" ht="50" x14ac:dyDescent="0.25">
      <c r="A2493" s="21">
        <v>2758</v>
      </c>
      <c r="B2493" s="22" t="s">
        <v>15346</v>
      </c>
      <c r="C2493" s="22" t="s">
        <v>18093</v>
      </c>
      <c r="F2493" s="22" t="s">
        <v>18094</v>
      </c>
      <c r="G2493" s="23" t="s">
        <v>18095</v>
      </c>
      <c r="H2493" s="25" t="s">
        <v>15373</v>
      </c>
      <c r="I2493" s="22" t="s">
        <v>15411</v>
      </c>
      <c r="J2493" s="22">
        <v>912370306</v>
      </c>
      <c r="K2493" s="26">
        <f t="shared" si="38"/>
        <v>1050</v>
      </c>
      <c r="L2493" s="26">
        <v>1050</v>
      </c>
      <c r="O2493" s="22" t="s">
        <v>18096</v>
      </c>
      <c r="P2493" s="22" t="s">
        <v>18097</v>
      </c>
      <c r="Q2493" s="22" t="s">
        <v>18098</v>
      </c>
      <c r="S2493" s="22" t="s">
        <v>18099</v>
      </c>
      <c r="X2493" s="26"/>
      <c r="Y2493" s="26"/>
    </row>
    <row r="2494" spans="1:25" ht="37.5" x14ac:dyDescent="0.25">
      <c r="A2494" s="21">
        <v>2759</v>
      </c>
      <c r="B2494" s="22" t="s">
        <v>15346</v>
      </c>
      <c r="C2494" s="22" t="s">
        <v>18100</v>
      </c>
      <c r="F2494" s="22" t="s">
        <v>18101</v>
      </c>
      <c r="G2494" s="23" t="s">
        <v>18102</v>
      </c>
      <c r="H2494" s="25" t="s">
        <v>15373</v>
      </c>
      <c r="I2494" s="22" t="s">
        <v>15411</v>
      </c>
      <c r="J2494" s="22" t="s">
        <v>17281</v>
      </c>
      <c r="K2494" s="26">
        <f t="shared" si="38"/>
        <v>315</v>
      </c>
      <c r="L2494" s="26">
        <v>315</v>
      </c>
      <c r="O2494" s="22" t="s">
        <v>18103</v>
      </c>
      <c r="P2494" s="22" t="s">
        <v>18104</v>
      </c>
      <c r="Q2494" s="22" t="s">
        <v>18105</v>
      </c>
      <c r="S2494" s="22" t="s">
        <v>18106</v>
      </c>
      <c r="X2494" s="26"/>
      <c r="Y2494" s="26"/>
    </row>
    <row r="2495" spans="1:25" ht="50" x14ac:dyDescent="0.25">
      <c r="A2495" s="21">
        <v>2760</v>
      </c>
      <c r="B2495" s="22" t="s">
        <v>15346</v>
      </c>
      <c r="C2495" s="22" t="s">
        <v>18107</v>
      </c>
      <c r="F2495" s="22" t="s">
        <v>18108</v>
      </c>
      <c r="G2495" s="23" t="s">
        <v>18109</v>
      </c>
      <c r="H2495" s="25" t="s">
        <v>15373</v>
      </c>
      <c r="I2495" s="22" t="s">
        <v>16311</v>
      </c>
      <c r="J2495" s="22" t="s">
        <v>16311</v>
      </c>
      <c r="K2495" s="26">
        <f t="shared" si="38"/>
        <v>900</v>
      </c>
      <c r="L2495" s="26">
        <v>900</v>
      </c>
      <c r="O2495" s="22" t="s">
        <v>18110</v>
      </c>
      <c r="P2495" s="22" t="s">
        <v>18026</v>
      </c>
      <c r="Q2495" s="22" t="s">
        <v>18111</v>
      </c>
      <c r="S2495" s="22" t="s">
        <v>18112</v>
      </c>
      <c r="X2495" s="26"/>
      <c r="Y2495" s="26"/>
    </row>
    <row r="2496" spans="1:25" ht="50" x14ac:dyDescent="0.25">
      <c r="A2496" s="21">
        <v>2761</v>
      </c>
      <c r="B2496" s="22" t="s">
        <v>15346</v>
      </c>
      <c r="C2496" s="22" t="s">
        <v>18107</v>
      </c>
      <c r="F2496" s="22" t="s">
        <v>18113</v>
      </c>
      <c r="G2496" s="23" t="s">
        <v>18109</v>
      </c>
      <c r="H2496" s="25" t="s">
        <v>15373</v>
      </c>
      <c r="I2496" s="22" t="s">
        <v>16311</v>
      </c>
      <c r="J2496" s="22" t="s">
        <v>16311</v>
      </c>
      <c r="K2496" s="26">
        <f t="shared" si="38"/>
        <v>900</v>
      </c>
      <c r="L2496" s="26">
        <v>900</v>
      </c>
      <c r="O2496" s="22" t="s">
        <v>18110</v>
      </c>
      <c r="P2496" s="22" t="s">
        <v>18026</v>
      </c>
      <c r="Q2496" s="22" t="s">
        <v>18111</v>
      </c>
      <c r="S2496" s="22" t="s">
        <v>18112</v>
      </c>
      <c r="X2496" s="26"/>
      <c r="Y2496" s="26"/>
    </row>
    <row r="2497" spans="1:25" ht="25" x14ac:dyDescent="0.25">
      <c r="A2497" s="21">
        <v>2762</v>
      </c>
      <c r="B2497" s="22" t="s">
        <v>15346</v>
      </c>
      <c r="C2497" s="22" t="s">
        <v>18107</v>
      </c>
      <c r="F2497" s="22" t="s">
        <v>18114</v>
      </c>
      <c r="G2497" s="23" t="s">
        <v>18115</v>
      </c>
      <c r="H2497" s="25" t="s">
        <v>15373</v>
      </c>
      <c r="I2497" s="22" t="s">
        <v>16311</v>
      </c>
      <c r="J2497" s="22" t="s">
        <v>16311</v>
      </c>
      <c r="K2497" s="26">
        <f t="shared" ref="K2497:K2560" si="39">L2497+M2497*(2/3)+N2497*(2/3)</f>
        <v>300</v>
      </c>
      <c r="L2497" s="26">
        <v>300</v>
      </c>
      <c r="O2497" s="22" t="s">
        <v>18110</v>
      </c>
      <c r="P2497" s="22" t="s">
        <v>18026</v>
      </c>
      <c r="Q2497" s="22" t="s">
        <v>18111</v>
      </c>
      <c r="S2497" s="22" t="s">
        <v>18112</v>
      </c>
      <c r="X2497" s="26"/>
      <c r="Y2497" s="26"/>
    </row>
    <row r="2498" spans="1:25" ht="25" x14ac:dyDescent="0.25">
      <c r="A2498" s="21">
        <v>2763</v>
      </c>
      <c r="B2498" s="22" t="s">
        <v>15346</v>
      </c>
      <c r="C2498" s="22" t="s">
        <v>18116</v>
      </c>
      <c r="F2498" s="22" t="s">
        <v>18117</v>
      </c>
      <c r="G2498" s="23" t="s">
        <v>18118</v>
      </c>
      <c r="H2498" s="25" t="s">
        <v>15373</v>
      </c>
      <c r="I2498" s="22" t="s">
        <v>15382</v>
      </c>
      <c r="J2498" s="22" t="s">
        <v>14659</v>
      </c>
      <c r="K2498" s="26">
        <f t="shared" si="39"/>
        <v>560</v>
      </c>
      <c r="L2498" s="26">
        <v>560</v>
      </c>
      <c r="O2498" s="22" t="s">
        <v>18119</v>
      </c>
      <c r="P2498" s="22" t="s">
        <v>18120</v>
      </c>
      <c r="Q2498" s="22" t="s">
        <v>18256</v>
      </c>
      <c r="S2498" s="22" t="s">
        <v>18121</v>
      </c>
      <c r="X2498" s="26"/>
      <c r="Y2498" s="26"/>
    </row>
    <row r="2499" spans="1:25" ht="37.5" x14ac:dyDescent="0.25">
      <c r="A2499" s="21">
        <v>2764</v>
      </c>
      <c r="B2499" s="22" t="s">
        <v>15346</v>
      </c>
      <c r="C2499" s="22" t="s">
        <v>18122</v>
      </c>
      <c r="F2499" s="22" t="s">
        <v>18123</v>
      </c>
      <c r="G2499" s="23" t="s">
        <v>18124</v>
      </c>
      <c r="H2499" s="25" t="s">
        <v>15373</v>
      </c>
      <c r="I2499" s="22" t="s">
        <v>15382</v>
      </c>
      <c r="J2499" s="22" t="s">
        <v>18125</v>
      </c>
      <c r="K2499" s="26">
        <f t="shared" si="39"/>
        <v>835</v>
      </c>
      <c r="L2499" s="26">
        <v>835</v>
      </c>
      <c r="O2499" s="22" t="s">
        <v>18126</v>
      </c>
      <c r="P2499" s="22" t="s">
        <v>16985</v>
      </c>
      <c r="Q2499" s="22" t="s">
        <v>18005</v>
      </c>
      <c r="S2499" s="22" t="s">
        <v>16976</v>
      </c>
      <c r="X2499" s="26"/>
      <c r="Y2499" s="26"/>
    </row>
    <row r="2500" spans="1:25" ht="37.5" x14ac:dyDescent="0.25">
      <c r="A2500" s="21">
        <v>2765</v>
      </c>
      <c r="B2500" s="22" t="s">
        <v>15346</v>
      </c>
      <c r="C2500" s="22" t="s">
        <v>18122</v>
      </c>
      <c r="F2500" s="22" t="s">
        <v>18127</v>
      </c>
      <c r="G2500" s="23" t="s">
        <v>18128</v>
      </c>
      <c r="H2500" s="25" t="s">
        <v>15373</v>
      </c>
      <c r="I2500" s="22" t="s">
        <v>15374</v>
      </c>
      <c r="J2500" s="22">
        <v>3412</v>
      </c>
      <c r="K2500" s="26">
        <f t="shared" si="39"/>
        <v>455</v>
      </c>
      <c r="L2500" s="26">
        <v>455</v>
      </c>
      <c r="O2500" s="22" t="s">
        <v>18126</v>
      </c>
      <c r="P2500" s="22" t="s">
        <v>16985</v>
      </c>
      <c r="Q2500" s="22" t="s">
        <v>18005</v>
      </c>
      <c r="S2500" s="22" t="s">
        <v>16976</v>
      </c>
      <c r="X2500" s="26"/>
      <c r="Y2500" s="26"/>
    </row>
    <row r="2501" spans="1:25" ht="37.5" x14ac:dyDescent="0.25">
      <c r="A2501" s="21">
        <v>2766</v>
      </c>
      <c r="B2501" s="22" t="s">
        <v>15346</v>
      </c>
      <c r="C2501" s="22" t="s">
        <v>18122</v>
      </c>
      <c r="F2501" s="22" t="s">
        <v>18129</v>
      </c>
      <c r="G2501" s="23" t="s">
        <v>18130</v>
      </c>
      <c r="H2501" s="25" t="s">
        <v>15373</v>
      </c>
      <c r="I2501" s="22" t="s">
        <v>15374</v>
      </c>
      <c r="J2501" s="22">
        <v>3508</v>
      </c>
      <c r="K2501" s="26">
        <f t="shared" si="39"/>
        <v>750</v>
      </c>
      <c r="L2501" s="26">
        <v>750</v>
      </c>
      <c r="O2501" s="22" t="s">
        <v>18126</v>
      </c>
      <c r="P2501" s="22" t="s">
        <v>16985</v>
      </c>
      <c r="Q2501" s="22" t="s">
        <v>18005</v>
      </c>
      <c r="S2501" s="22" t="s">
        <v>16976</v>
      </c>
      <c r="X2501" s="26"/>
      <c r="Y2501" s="26"/>
    </row>
    <row r="2502" spans="1:25" ht="25" x14ac:dyDescent="0.25">
      <c r="A2502" s="21">
        <v>2767</v>
      </c>
      <c r="B2502" s="22" t="s">
        <v>15346</v>
      </c>
      <c r="C2502" s="22" t="s">
        <v>18122</v>
      </c>
      <c r="F2502" s="22" t="s">
        <v>18131</v>
      </c>
      <c r="G2502" s="23" t="s">
        <v>18132</v>
      </c>
      <c r="H2502" s="25" t="s">
        <v>15373</v>
      </c>
      <c r="I2502" s="22" t="s">
        <v>15382</v>
      </c>
      <c r="J2502" s="22" t="s">
        <v>15723</v>
      </c>
      <c r="K2502" s="26">
        <f t="shared" si="39"/>
        <v>1250</v>
      </c>
      <c r="L2502" s="26">
        <v>1250</v>
      </c>
      <c r="O2502" s="22" t="s">
        <v>18126</v>
      </c>
      <c r="P2502" s="22" t="s">
        <v>16985</v>
      </c>
      <c r="Q2502" s="22" t="s">
        <v>18005</v>
      </c>
      <c r="S2502" s="22" t="s">
        <v>16976</v>
      </c>
      <c r="X2502" s="26"/>
      <c r="Y2502" s="26"/>
    </row>
    <row r="2503" spans="1:25" ht="25" x14ac:dyDescent="0.25">
      <c r="A2503" s="21">
        <v>2768</v>
      </c>
      <c r="B2503" s="22" t="s">
        <v>15346</v>
      </c>
      <c r="C2503" s="22" t="s">
        <v>18133</v>
      </c>
      <c r="F2503" s="22" t="s">
        <v>18134</v>
      </c>
      <c r="G2503" s="23" t="s">
        <v>18135</v>
      </c>
      <c r="H2503" s="25" t="s">
        <v>15373</v>
      </c>
      <c r="I2503" s="22" t="s">
        <v>15374</v>
      </c>
      <c r="J2503" s="22">
        <v>3412</v>
      </c>
      <c r="K2503" s="26">
        <f t="shared" si="39"/>
        <v>600</v>
      </c>
      <c r="L2503" s="26">
        <v>600</v>
      </c>
      <c r="O2503" s="22" t="s">
        <v>18136</v>
      </c>
      <c r="P2503" s="22" t="s">
        <v>16968</v>
      </c>
      <c r="Q2503" s="22" t="s">
        <v>16969</v>
      </c>
      <c r="S2503" s="22" t="s">
        <v>18137</v>
      </c>
      <c r="X2503" s="26"/>
      <c r="Y2503" s="26"/>
    </row>
    <row r="2504" spans="1:25" ht="37.5" x14ac:dyDescent="0.25">
      <c r="A2504" s="21">
        <v>2769</v>
      </c>
      <c r="B2504" s="22" t="s">
        <v>15346</v>
      </c>
      <c r="C2504" s="22" t="s">
        <v>18138</v>
      </c>
      <c r="F2504" s="22" t="s">
        <v>18139</v>
      </c>
      <c r="G2504" s="23" t="s">
        <v>16643</v>
      </c>
      <c r="H2504" s="25" t="s">
        <v>15373</v>
      </c>
      <c r="I2504" s="22" t="s">
        <v>15374</v>
      </c>
      <c r="J2504" s="22">
        <v>3412</v>
      </c>
      <c r="K2504" s="26">
        <f t="shared" si="39"/>
        <v>455</v>
      </c>
      <c r="L2504" s="26">
        <v>455</v>
      </c>
      <c r="O2504" s="22" t="s">
        <v>16644</v>
      </c>
      <c r="P2504" s="22" t="s">
        <v>16934</v>
      </c>
      <c r="Q2504" s="22" t="s">
        <v>17296</v>
      </c>
      <c r="S2504" s="22" t="s">
        <v>16645</v>
      </c>
      <c r="X2504" s="26"/>
      <c r="Y2504" s="26"/>
    </row>
    <row r="2505" spans="1:25" ht="37.5" x14ac:dyDescent="0.25">
      <c r="A2505" s="21">
        <v>2770</v>
      </c>
      <c r="B2505" s="22" t="s">
        <v>15346</v>
      </c>
      <c r="C2505" s="22" t="s">
        <v>18138</v>
      </c>
      <c r="F2505" s="22" t="s">
        <v>16646</v>
      </c>
      <c r="G2505" s="23" t="s">
        <v>16647</v>
      </c>
      <c r="H2505" s="25" t="s">
        <v>15373</v>
      </c>
      <c r="I2505" s="22" t="s">
        <v>15374</v>
      </c>
      <c r="J2505" s="22">
        <v>3412</v>
      </c>
      <c r="K2505" s="26">
        <f t="shared" si="39"/>
        <v>500</v>
      </c>
      <c r="L2505" s="26">
        <v>500</v>
      </c>
      <c r="O2505" s="22" t="s">
        <v>16644</v>
      </c>
      <c r="P2505" s="22" t="s">
        <v>16934</v>
      </c>
      <c r="Q2505" s="22" t="s">
        <v>17296</v>
      </c>
      <c r="S2505" s="22" t="s">
        <v>16645</v>
      </c>
      <c r="X2505" s="26"/>
      <c r="Y2505" s="26"/>
    </row>
    <row r="2506" spans="1:25" ht="37.5" x14ac:dyDescent="0.25">
      <c r="A2506" s="21">
        <v>2771</v>
      </c>
      <c r="B2506" s="22" t="s">
        <v>15346</v>
      </c>
      <c r="C2506" s="22" t="s">
        <v>16648</v>
      </c>
      <c r="F2506" s="22" t="s">
        <v>16649</v>
      </c>
      <c r="G2506" s="23" t="s">
        <v>16650</v>
      </c>
      <c r="H2506" s="25" t="s">
        <v>15373</v>
      </c>
      <c r="I2506" s="22" t="s">
        <v>15374</v>
      </c>
      <c r="J2506" s="22" t="s">
        <v>13525</v>
      </c>
      <c r="K2506" s="26">
        <f t="shared" si="39"/>
        <v>400</v>
      </c>
      <c r="L2506" s="26">
        <v>400</v>
      </c>
      <c r="O2506" s="22" t="s">
        <v>16651</v>
      </c>
      <c r="P2506" s="22" t="s">
        <v>16934</v>
      </c>
      <c r="Q2506" s="22" t="s">
        <v>15980</v>
      </c>
      <c r="S2506" s="22" t="s">
        <v>16652</v>
      </c>
      <c r="X2506" s="26"/>
      <c r="Y2506" s="26"/>
    </row>
    <row r="2507" spans="1:25" ht="37.5" x14ac:dyDescent="0.25">
      <c r="A2507" s="21">
        <v>2772</v>
      </c>
      <c r="B2507" s="22" t="s">
        <v>15346</v>
      </c>
      <c r="C2507" s="22" t="s">
        <v>16653</v>
      </c>
      <c r="F2507" s="22" t="s">
        <v>16654</v>
      </c>
      <c r="G2507" s="23" t="s">
        <v>16655</v>
      </c>
      <c r="H2507" s="25" t="s">
        <v>15373</v>
      </c>
      <c r="I2507" s="22" t="s">
        <v>15374</v>
      </c>
      <c r="J2507" s="22" t="s">
        <v>9707</v>
      </c>
      <c r="K2507" s="26">
        <f t="shared" si="39"/>
        <v>600</v>
      </c>
      <c r="L2507" s="26">
        <v>600</v>
      </c>
      <c r="O2507" s="22" t="s">
        <v>16656</v>
      </c>
      <c r="P2507" s="22" t="s">
        <v>16934</v>
      </c>
      <c r="Q2507" s="22" t="s">
        <v>17783</v>
      </c>
      <c r="S2507" s="22" t="s">
        <v>16657</v>
      </c>
      <c r="X2507" s="26"/>
      <c r="Y2507" s="26"/>
    </row>
    <row r="2508" spans="1:25" ht="37.5" x14ac:dyDescent="0.25">
      <c r="A2508" s="21">
        <v>2773</v>
      </c>
      <c r="B2508" s="22" t="s">
        <v>15346</v>
      </c>
      <c r="C2508" s="22" t="s">
        <v>16658</v>
      </c>
      <c r="F2508" s="22" t="s">
        <v>16659</v>
      </c>
      <c r="G2508" s="23" t="s">
        <v>16660</v>
      </c>
      <c r="H2508" s="25" t="s">
        <v>16661</v>
      </c>
      <c r="I2508" s="22" t="s">
        <v>15374</v>
      </c>
      <c r="J2508" s="22" t="s">
        <v>9895</v>
      </c>
      <c r="K2508" s="26">
        <f t="shared" si="39"/>
        <v>370</v>
      </c>
      <c r="L2508" s="26">
        <v>370</v>
      </c>
      <c r="O2508" s="22" t="s">
        <v>16662</v>
      </c>
      <c r="P2508" s="22" t="s">
        <v>17158</v>
      </c>
      <c r="Q2508" s="22" t="s">
        <v>16663</v>
      </c>
      <c r="S2508" s="22" t="s">
        <v>16664</v>
      </c>
      <c r="X2508" s="26"/>
      <c r="Y2508" s="26"/>
    </row>
    <row r="2509" spans="1:25" ht="37.5" x14ac:dyDescent="0.25">
      <c r="A2509" s="21">
        <v>2774</v>
      </c>
      <c r="B2509" s="22" t="s">
        <v>15346</v>
      </c>
      <c r="C2509" s="22" t="s">
        <v>16665</v>
      </c>
      <c r="F2509" s="22" t="s">
        <v>16666</v>
      </c>
      <c r="G2509" s="23" t="s">
        <v>16667</v>
      </c>
      <c r="H2509" s="25" t="s">
        <v>15373</v>
      </c>
      <c r="I2509" s="22" t="s">
        <v>15374</v>
      </c>
      <c r="J2509" s="22" t="s">
        <v>16899</v>
      </c>
      <c r="K2509" s="26">
        <f t="shared" si="39"/>
        <v>499.33333333333331</v>
      </c>
      <c r="N2509" s="26">
        <v>749</v>
      </c>
      <c r="O2509" s="22" t="s">
        <v>16668</v>
      </c>
      <c r="P2509" s="22" t="s">
        <v>16998</v>
      </c>
      <c r="Q2509" s="22" t="s">
        <v>17878</v>
      </c>
      <c r="S2509" s="22" t="s">
        <v>16669</v>
      </c>
      <c r="X2509" s="26"/>
      <c r="Y2509" s="26"/>
    </row>
    <row r="2510" spans="1:25" ht="37.5" x14ac:dyDescent="0.25">
      <c r="A2510" s="21">
        <v>2775</v>
      </c>
      <c r="B2510" s="22" t="s">
        <v>15346</v>
      </c>
      <c r="C2510" s="22" t="s">
        <v>16670</v>
      </c>
      <c r="F2510" s="22" t="s">
        <v>16671</v>
      </c>
      <c r="G2510" s="23" t="s">
        <v>16672</v>
      </c>
      <c r="H2510" s="25" t="s">
        <v>15373</v>
      </c>
      <c r="I2510" s="22" t="s">
        <v>15411</v>
      </c>
      <c r="J2510" s="22" t="s">
        <v>16311</v>
      </c>
      <c r="K2510" s="26">
        <f t="shared" si="39"/>
        <v>506.66666666666663</v>
      </c>
      <c r="N2510" s="26">
        <v>760</v>
      </c>
      <c r="O2510" s="22" t="s">
        <v>16673</v>
      </c>
      <c r="P2510" s="22" t="s">
        <v>16985</v>
      </c>
      <c r="Q2510" s="22" t="s">
        <v>17868</v>
      </c>
      <c r="S2510" s="22" t="s">
        <v>16674</v>
      </c>
      <c r="X2510" s="26"/>
      <c r="Y2510" s="26"/>
    </row>
    <row r="2511" spans="1:25" ht="25" x14ac:dyDescent="0.25">
      <c r="A2511" s="21">
        <v>2776</v>
      </c>
      <c r="B2511" s="22" t="s">
        <v>15346</v>
      </c>
      <c r="C2511" s="22" t="s">
        <v>16675</v>
      </c>
      <c r="F2511" s="22" t="s">
        <v>16676</v>
      </c>
      <c r="G2511" s="23" t="s">
        <v>16677</v>
      </c>
      <c r="H2511" s="25" t="s">
        <v>15373</v>
      </c>
      <c r="I2511" s="22" t="s">
        <v>15374</v>
      </c>
      <c r="J2511" s="22">
        <v>3512</v>
      </c>
      <c r="K2511" s="26">
        <f t="shared" si="39"/>
        <v>1318.6666666666665</v>
      </c>
      <c r="M2511" s="26">
        <v>1978</v>
      </c>
      <c r="O2511" s="22" t="s">
        <v>16678</v>
      </c>
      <c r="P2511" s="22" t="s">
        <v>16985</v>
      </c>
      <c r="Q2511" s="22" t="s">
        <v>18005</v>
      </c>
      <c r="S2511" s="22" t="s">
        <v>16976</v>
      </c>
      <c r="X2511" s="26"/>
      <c r="Y2511" s="26"/>
    </row>
    <row r="2512" spans="1:25" ht="25" x14ac:dyDescent="0.25">
      <c r="A2512" s="21">
        <v>2777</v>
      </c>
      <c r="B2512" s="22" t="s">
        <v>15346</v>
      </c>
      <c r="C2512" s="22" t="s">
        <v>16679</v>
      </c>
      <c r="F2512" s="22" t="s">
        <v>16680</v>
      </c>
      <c r="G2512" s="23" t="s">
        <v>16681</v>
      </c>
      <c r="H2512" s="25" t="s">
        <v>15373</v>
      </c>
      <c r="I2512" s="22" t="s">
        <v>15374</v>
      </c>
      <c r="J2512" s="22" t="s">
        <v>16682</v>
      </c>
      <c r="K2512" s="26">
        <f t="shared" si="39"/>
        <v>300</v>
      </c>
      <c r="M2512" s="26">
        <v>450</v>
      </c>
      <c r="O2512" s="22" t="s">
        <v>16683</v>
      </c>
      <c r="P2512" s="22" t="s">
        <v>16985</v>
      </c>
      <c r="Q2512" s="22" t="s">
        <v>17385</v>
      </c>
      <c r="S2512" s="22" t="s">
        <v>16684</v>
      </c>
      <c r="X2512" s="26"/>
      <c r="Y2512" s="26"/>
    </row>
    <row r="2513" spans="1:25" ht="37.5" x14ac:dyDescent="0.25">
      <c r="A2513" s="21">
        <v>2778</v>
      </c>
      <c r="B2513" s="22" t="s">
        <v>15346</v>
      </c>
      <c r="C2513" s="22" t="s">
        <v>16679</v>
      </c>
      <c r="F2513" s="22" t="s">
        <v>16685</v>
      </c>
      <c r="G2513" s="23" t="s">
        <v>16686</v>
      </c>
      <c r="H2513" s="25" t="s">
        <v>15373</v>
      </c>
      <c r="I2513" s="22" t="s">
        <v>15374</v>
      </c>
      <c r="J2513" s="22" t="s">
        <v>15701</v>
      </c>
      <c r="K2513" s="26">
        <f t="shared" si="39"/>
        <v>300</v>
      </c>
      <c r="M2513" s="26">
        <v>450</v>
      </c>
      <c r="O2513" s="22" t="s">
        <v>16683</v>
      </c>
      <c r="P2513" s="22" t="s">
        <v>16985</v>
      </c>
      <c r="Q2513" s="22" t="s">
        <v>17385</v>
      </c>
      <c r="S2513" s="22" t="s">
        <v>16684</v>
      </c>
      <c r="X2513" s="26"/>
      <c r="Y2513" s="26"/>
    </row>
    <row r="2514" spans="1:25" ht="37.5" x14ac:dyDescent="0.25">
      <c r="A2514" s="21">
        <v>2779</v>
      </c>
      <c r="B2514" s="22" t="s">
        <v>15346</v>
      </c>
      <c r="C2514" s="22" t="s">
        <v>16679</v>
      </c>
      <c r="F2514" s="22" t="s">
        <v>16687</v>
      </c>
      <c r="G2514" s="23" t="s">
        <v>16688</v>
      </c>
      <c r="H2514" s="25" t="s">
        <v>15373</v>
      </c>
      <c r="I2514" s="22" t="s">
        <v>15374</v>
      </c>
      <c r="J2514" s="22" t="s">
        <v>16377</v>
      </c>
      <c r="K2514" s="26">
        <f t="shared" si="39"/>
        <v>300</v>
      </c>
      <c r="M2514" s="26">
        <v>450</v>
      </c>
      <c r="O2514" s="22" t="s">
        <v>16683</v>
      </c>
      <c r="P2514" s="22" t="s">
        <v>16985</v>
      </c>
      <c r="Q2514" s="22" t="s">
        <v>17385</v>
      </c>
      <c r="S2514" s="22" t="s">
        <v>16684</v>
      </c>
      <c r="X2514" s="26"/>
      <c r="Y2514" s="26"/>
    </row>
    <row r="2515" spans="1:25" ht="50" x14ac:dyDescent="0.25">
      <c r="A2515" s="21">
        <v>2780</v>
      </c>
      <c r="B2515" s="22" t="s">
        <v>15346</v>
      </c>
      <c r="C2515" s="22" t="s">
        <v>16689</v>
      </c>
      <c r="F2515" s="22" t="s">
        <v>16690</v>
      </c>
      <c r="G2515" s="23" t="s">
        <v>16691</v>
      </c>
      <c r="H2515" s="25" t="s">
        <v>15373</v>
      </c>
      <c r="I2515" s="22" t="s">
        <v>15382</v>
      </c>
      <c r="J2515" s="22" t="s">
        <v>16792</v>
      </c>
      <c r="K2515" s="26">
        <f t="shared" si="39"/>
        <v>350</v>
      </c>
      <c r="L2515" s="26">
        <v>350</v>
      </c>
      <c r="O2515" s="22" t="s">
        <v>16692</v>
      </c>
      <c r="P2515" s="22" t="s">
        <v>17134</v>
      </c>
      <c r="Q2515" s="22" t="s">
        <v>17135</v>
      </c>
      <c r="S2515" s="22" t="s">
        <v>16693</v>
      </c>
      <c r="X2515" s="26"/>
      <c r="Y2515" s="26"/>
    </row>
    <row r="2516" spans="1:25" ht="37.5" x14ac:dyDescent="0.25">
      <c r="A2516" s="21">
        <v>2781</v>
      </c>
      <c r="B2516" s="22" t="s">
        <v>15346</v>
      </c>
      <c r="C2516" s="22" t="s">
        <v>16694</v>
      </c>
      <c r="F2516" s="22" t="s">
        <v>16695</v>
      </c>
      <c r="G2516" s="23" t="s">
        <v>16696</v>
      </c>
      <c r="H2516" s="25" t="s">
        <v>15373</v>
      </c>
      <c r="I2516" s="22" t="s">
        <v>15374</v>
      </c>
      <c r="J2516" s="22">
        <v>3408</v>
      </c>
      <c r="K2516" s="26">
        <f t="shared" si="39"/>
        <v>450</v>
      </c>
      <c r="L2516" s="26">
        <v>450</v>
      </c>
      <c r="O2516" s="22" t="s">
        <v>16697</v>
      </c>
      <c r="P2516" s="22" t="s">
        <v>16934</v>
      </c>
      <c r="Q2516" s="22" t="s">
        <v>16935</v>
      </c>
      <c r="S2516" s="22" t="s">
        <v>16698</v>
      </c>
      <c r="X2516" s="26"/>
      <c r="Y2516" s="26"/>
    </row>
    <row r="2517" spans="1:25" ht="37.5" x14ac:dyDescent="0.25">
      <c r="A2517" s="21">
        <v>2782</v>
      </c>
      <c r="B2517" s="22" t="s">
        <v>15346</v>
      </c>
      <c r="C2517" s="22" t="s">
        <v>16699</v>
      </c>
      <c r="F2517" s="22" t="s">
        <v>16700</v>
      </c>
      <c r="G2517" s="23" t="s">
        <v>16701</v>
      </c>
      <c r="H2517" s="25" t="s">
        <v>15373</v>
      </c>
      <c r="I2517" s="22" t="s">
        <v>15374</v>
      </c>
      <c r="J2517" s="22" t="s">
        <v>16121</v>
      </c>
      <c r="K2517" s="26">
        <f t="shared" si="39"/>
        <v>615</v>
      </c>
      <c r="L2517" s="26">
        <v>615</v>
      </c>
      <c r="O2517" s="22" t="s">
        <v>16702</v>
      </c>
      <c r="P2517" s="22" t="s">
        <v>17689</v>
      </c>
      <c r="Q2517" s="22" t="s">
        <v>17942</v>
      </c>
      <c r="S2517" s="22" t="s">
        <v>16703</v>
      </c>
      <c r="X2517" s="26"/>
      <c r="Y2517" s="26"/>
    </row>
    <row r="2518" spans="1:25" ht="37.5" x14ac:dyDescent="0.25">
      <c r="A2518" s="21">
        <v>2783</v>
      </c>
      <c r="B2518" s="22" t="s">
        <v>15346</v>
      </c>
      <c r="C2518" s="22" t="s">
        <v>16704</v>
      </c>
      <c r="F2518" s="22" t="s">
        <v>16705</v>
      </c>
      <c r="G2518" s="23" t="s">
        <v>16706</v>
      </c>
      <c r="H2518" s="25" t="s">
        <v>15373</v>
      </c>
      <c r="I2518" s="22" t="s">
        <v>15382</v>
      </c>
      <c r="J2518" s="22" t="s">
        <v>13380</v>
      </c>
      <c r="K2518" s="26">
        <f t="shared" si="39"/>
        <v>450</v>
      </c>
      <c r="L2518" s="26">
        <v>450</v>
      </c>
      <c r="O2518" s="22" t="s">
        <v>16707</v>
      </c>
      <c r="P2518" s="22" t="s">
        <v>16708</v>
      </c>
      <c r="Q2518" s="22" t="s">
        <v>16709</v>
      </c>
      <c r="S2518" s="22" t="s">
        <v>16976</v>
      </c>
      <c r="X2518" s="26"/>
      <c r="Y2518" s="26"/>
    </row>
    <row r="2519" spans="1:25" ht="50" x14ac:dyDescent="0.25">
      <c r="A2519" s="21">
        <v>2784</v>
      </c>
      <c r="B2519" s="22" t="s">
        <v>15346</v>
      </c>
      <c r="C2519" s="22" t="s">
        <v>16710</v>
      </c>
      <c r="F2519" s="22" t="s">
        <v>16711</v>
      </c>
      <c r="G2519" s="23" t="s">
        <v>16712</v>
      </c>
      <c r="H2519" s="25" t="s">
        <v>15373</v>
      </c>
      <c r="I2519" s="22" t="s">
        <v>15374</v>
      </c>
      <c r="J2519" s="22">
        <v>3508</v>
      </c>
      <c r="K2519" s="26">
        <f t="shared" si="39"/>
        <v>765</v>
      </c>
      <c r="L2519" s="26">
        <v>765</v>
      </c>
      <c r="O2519" s="22" t="s">
        <v>16713</v>
      </c>
      <c r="P2519" s="22" t="s">
        <v>16985</v>
      </c>
      <c r="Q2519" s="22" t="s">
        <v>16714</v>
      </c>
      <c r="S2519" s="22" t="s">
        <v>16715</v>
      </c>
      <c r="X2519" s="26"/>
      <c r="Y2519" s="26"/>
    </row>
    <row r="2520" spans="1:25" ht="37.5" x14ac:dyDescent="0.25">
      <c r="A2520" s="21">
        <v>2785</v>
      </c>
      <c r="B2520" s="22" t="s">
        <v>15346</v>
      </c>
      <c r="C2520" s="22" t="s">
        <v>16716</v>
      </c>
      <c r="F2520" s="22" t="s">
        <v>16717</v>
      </c>
      <c r="G2520" s="23" t="s">
        <v>16718</v>
      </c>
      <c r="H2520" s="25" t="s">
        <v>15373</v>
      </c>
      <c r="I2520" s="22" t="s">
        <v>15382</v>
      </c>
      <c r="J2520" s="22" t="s">
        <v>15391</v>
      </c>
      <c r="K2520" s="26">
        <f t="shared" si="39"/>
        <v>1500</v>
      </c>
      <c r="L2520" s="26">
        <v>1500</v>
      </c>
      <c r="O2520" s="22" t="s">
        <v>16719</v>
      </c>
      <c r="P2520" s="22" t="s">
        <v>17954</v>
      </c>
      <c r="Q2520" s="22" t="s">
        <v>17597</v>
      </c>
      <c r="S2520" s="22" t="s">
        <v>16720</v>
      </c>
      <c r="X2520" s="26"/>
      <c r="Y2520" s="26"/>
    </row>
    <row r="2521" spans="1:25" ht="25" x14ac:dyDescent="0.25">
      <c r="A2521" s="21">
        <v>2786</v>
      </c>
      <c r="B2521" s="22" t="s">
        <v>15346</v>
      </c>
      <c r="C2521" s="22" t="s">
        <v>16721</v>
      </c>
      <c r="F2521" s="22" t="s">
        <v>16722</v>
      </c>
      <c r="G2521" s="23" t="s">
        <v>16723</v>
      </c>
      <c r="H2521" s="25" t="s">
        <v>15373</v>
      </c>
      <c r="I2521" s="22" t="s">
        <v>15374</v>
      </c>
      <c r="J2521" s="22" t="s">
        <v>16311</v>
      </c>
      <c r="K2521" s="26">
        <f t="shared" si="39"/>
        <v>750</v>
      </c>
      <c r="L2521" s="26">
        <v>750</v>
      </c>
      <c r="O2521" s="22" t="s">
        <v>16724</v>
      </c>
      <c r="P2521" s="22" t="s">
        <v>16955</v>
      </c>
      <c r="Q2521" s="22" t="s">
        <v>17249</v>
      </c>
      <c r="S2521" s="22" t="s">
        <v>16725</v>
      </c>
      <c r="X2521" s="26"/>
      <c r="Y2521" s="26"/>
    </row>
    <row r="2522" spans="1:25" ht="25" x14ac:dyDescent="0.25">
      <c r="A2522" s="21">
        <v>2787</v>
      </c>
      <c r="B2522" s="22" t="s">
        <v>15346</v>
      </c>
      <c r="C2522" s="22" t="s">
        <v>16721</v>
      </c>
      <c r="F2522" s="22" t="s">
        <v>16726</v>
      </c>
      <c r="G2522" s="23" t="s">
        <v>16727</v>
      </c>
      <c r="H2522" s="25" t="s">
        <v>15373</v>
      </c>
      <c r="I2522" s="22" t="s">
        <v>15374</v>
      </c>
      <c r="J2522" s="22" t="s">
        <v>16311</v>
      </c>
      <c r="K2522" s="26">
        <f t="shared" si="39"/>
        <v>750</v>
      </c>
      <c r="L2522" s="26">
        <v>750</v>
      </c>
      <c r="O2522" s="22" t="s">
        <v>16724</v>
      </c>
      <c r="P2522" s="22" t="s">
        <v>16955</v>
      </c>
      <c r="Q2522" s="22" t="s">
        <v>17249</v>
      </c>
      <c r="S2522" s="22" t="s">
        <v>16725</v>
      </c>
      <c r="X2522" s="26"/>
      <c r="Y2522" s="26"/>
    </row>
    <row r="2523" spans="1:25" ht="37.5" x14ac:dyDescent="0.25">
      <c r="A2523" s="21">
        <v>2788</v>
      </c>
      <c r="B2523" s="22" t="s">
        <v>15346</v>
      </c>
      <c r="C2523" s="22" t="s">
        <v>16728</v>
      </c>
      <c r="F2523" s="22" t="s">
        <v>16729</v>
      </c>
      <c r="G2523" s="23" t="s">
        <v>16730</v>
      </c>
      <c r="H2523" s="25" t="s">
        <v>15373</v>
      </c>
      <c r="I2523" s="22" t="s">
        <v>15374</v>
      </c>
      <c r="J2523" s="22" t="s">
        <v>16731</v>
      </c>
      <c r="K2523" s="26">
        <f t="shared" si="39"/>
        <v>303.33333333333331</v>
      </c>
      <c r="M2523" s="26">
        <v>455</v>
      </c>
      <c r="O2523" s="22" t="s">
        <v>16732</v>
      </c>
      <c r="P2523" s="22" t="s">
        <v>16955</v>
      </c>
      <c r="Q2523" s="22" t="s">
        <v>17245</v>
      </c>
      <c r="S2523" s="22" t="s">
        <v>16733</v>
      </c>
      <c r="X2523" s="26"/>
      <c r="Y2523" s="26"/>
    </row>
    <row r="2524" spans="1:25" ht="50" x14ac:dyDescent="0.25">
      <c r="A2524" s="21">
        <v>2789</v>
      </c>
      <c r="B2524" s="22" t="s">
        <v>15346</v>
      </c>
      <c r="C2524" s="22" t="s">
        <v>16728</v>
      </c>
      <c r="F2524" s="22" t="s">
        <v>16734</v>
      </c>
      <c r="G2524" s="23" t="s">
        <v>16735</v>
      </c>
      <c r="H2524" s="25" t="s">
        <v>15373</v>
      </c>
      <c r="I2524" s="22" t="s">
        <v>15382</v>
      </c>
      <c r="J2524" s="22" t="s">
        <v>16736</v>
      </c>
      <c r="K2524" s="26">
        <f t="shared" si="39"/>
        <v>357.33333333333331</v>
      </c>
      <c r="M2524" s="26">
        <v>536</v>
      </c>
      <c r="O2524" s="22" t="s">
        <v>16732</v>
      </c>
      <c r="P2524" s="22" t="s">
        <v>16955</v>
      </c>
      <c r="Q2524" s="22" t="s">
        <v>17245</v>
      </c>
      <c r="S2524" s="22" t="s">
        <v>16733</v>
      </c>
      <c r="X2524" s="26"/>
      <c r="Y2524" s="26"/>
    </row>
    <row r="2525" spans="1:25" ht="37.5" x14ac:dyDescent="0.25">
      <c r="A2525" s="21">
        <v>2790</v>
      </c>
      <c r="B2525" s="22" t="s">
        <v>15346</v>
      </c>
      <c r="C2525" s="22" t="s">
        <v>16728</v>
      </c>
      <c r="F2525" s="22" t="s">
        <v>16737</v>
      </c>
      <c r="G2525" s="23" t="s">
        <v>16738</v>
      </c>
      <c r="H2525" s="25" t="s">
        <v>15373</v>
      </c>
      <c r="I2525" s="22" t="s">
        <v>15374</v>
      </c>
      <c r="J2525" s="22" t="s">
        <v>16739</v>
      </c>
      <c r="K2525" s="26">
        <f t="shared" si="39"/>
        <v>324.66666666666663</v>
      </c>
      <c r="M2525" s="26">
        <v>487</v>
      </c>
      <c r="O2525" s="22" t="s">
        <v>16732</v>
      </c>
      <c r="P2525" s="22" t="s">
        <v>16955</v>
      </c>
      <c r="Q2525" s="22" t="s">
        <v>17245</v>
      </c>
      <c r="S2525" s="22" t="s">
        <v>16733</v>
      </c>
      <c r="X2525" s="26"/>
      <c r="Y2525" s="26"/>
    </row>
    <row r="2526" spans="1:25" ht="25" x14ac:dyDescent="0.25">
      <c r="A2526" s="21">
        <v>2791</v>
      </c>
      <c r="B2526" s="22" t="s">
        <v>15346</v>
      </c>
      <c r="C2526" s="22" t="s">
        <v>16728</v>
      </c>
      <c r="F2526" s="22" t="s">
        <v>16740</v>
      </c>
      <c r="G2526" s="23" t="s">
        <v>16741</v>
      </c>
      <c r="H2526" s="25" t="s">
        <v>15373</v>
      </c>
      <c r="I2526" s="22" t="s">
        <v>15382</v>
      </c>
      <c r="J2526" s="22" t="s">
        <v>16742</v>
      </c>
      <c r="K2526" s="26">
        <f t="shared" si="39"/>
        <v>750</v>
      </c>
      <c r="L2526" s="26">
        <v>750</v>
      </c>
      <c r="O2526" s="22" t="s">
        <v>16732</v>
      </c>
      <c r="P2526" s="22" t="s">
        <v>16955</v>
      </c>
      <c r="Q2526" s="22" t="s">
        <v>17245</v>
      </c>
      <c r="S2526" s="22" t="s">
        <v>16733</v>
      </c>
      <c r="X2526" s="26"/>
      <c r="Y2526" s="26"/>
    </row>
    <row r="2527" spans="1:25" ht="25" x14ac:dyDescent="0.25">
      <c r="A2527" s="21">
        <v>2792</v>
      </c>
      <c r="B2527" s="22" t="s">
        <v>15346</v>
      </c>
      <c r="C2527" s="22" t="s">
        <v>16743</v>
      </c>
      <c r="F2527" s="22" t="s">
        <v>16744</v>
      </c>
      <c r="G2527" s="23" t="s">
        <v>16745</v>
      </c>
      <c r="H2527" s="25" t="s">
        <v>15373</v>
      </c>
      <c r="I2527" s="22" t="s">
        <v>15374</v>
      </c>
      <c r="J2527" s="22">
        <v>3512</v>
      </c>
      <c r="K2527" s="26">
        <f t="shared" si="39"/>
        <v>1250</v>
      </c>
      <c r="L2527" s="26">
        <v>1250</v>
      </c>
      <c r="O2527" s="22" t="s">
        <v>16746</v>
      </c>
      <c r="P2527" s="22" t="s">
        <v>17158</v>
      </c>
      <c r="Q2527" s="22" t="s">
        <v>16663</v>
      </c>
      <c r="S2527" s="22" t="s">
        <v>16747</v>
      </c>
      <c r="X2527" s="26"/>
      <c r="Y2527" s="26"/>
    </row>
    <row r="2528" spans="1:25" ht="25" x14ac:dyDescent="0.25">
      <c r="A2528" s="21">
        <v>2793</v>
      </c>
      <c r="B2528" s="22" t="s">
        <v>15346</v>
      </c>
      <c r="C2528" s="22" t="s">
        <v>16743</v>
      </c>
      <c r="F2528" s="22" t="s">
        <v>16748</v>
      </c>
      <c r="G2528" s="23" t="s">
        <v>16745</v>
      </c>
      <c r="H2528" s="25" t="s">
        <v>15373</v>
      </c>
      <c r="I2528" s="22" t="s">
        <v>15374</v>
      </c>
      <c r="J2528" s="22">
        <v>3512</v>
      </c>
      <c r="K2528" s="26">
        <f t="shared" si="39"/>
        <v>1250</v>
      </c>
      <c r="L2528" s="26">
        <v>1250</v>
      </c>
      <c r="O2528" s="22" t="s">
        <v>16746</v>
      </c>
      <c r="P2528" s="22" t="s">
        <v>17158</v>
      </c>
      <c r="Q2528" s="22" t="s">
        <v>16663</v>
      </c>
      <c r="S2528" s="22" t="s">
        <v>16747</v>
      </c>
      <c r="X2528" s="26"/>
      <c r="Y2528" s="26"/>
    </row>
    <row r="2529" spans="1:25" ht="25" x14ac:dyDescent="0.25">
      <c r="A2529" s="21">
        <v>2794</v>
      </c>
      <c r="B2529" s="22" t="s">
        <v>15346</v>
      </c>
      <c r="C2529" s="22" t="s">
        <v>16743</v>
      </c>
      <c r="F2529" s="22" t="s">
        <v>16749</v>
      </c>
      <c r="G2529" s="23" t="s">
        <v>16745</v>
      </c>
      <c r="H2529" s="25" t="s">
        <v>15373</v>
      </c>
      <c r="I2529" s="22" t="s">
        <v>15374</v>
      </c>
      <c r="J2529" s="22">
        <v>3512</v>
      </c>
      <c r="K2529" s="26">
        <f t="shared" si="39"/>
        <v>1250</v>
      </c>
      <c r="L2529" s="26">
        <v>1250</v>
      </c>
      <c r="O2529" s="22" t="s">
        <v>16746</v>
      </c>
      <c r="P2529" s="22" t="s">
        <v>17158</v>
      </c>
      <c r="Q2529" s="22" t="s">
        <v>16663</v>
      </c>
      <c r="S2529" s="22" t="s">
        <v>16747</v>
      </c>
      <c r="X2529" s="26"/>
      <c r="Y2529" s="26"/>
    </row>
    <row r="2530" spans="1:25" ht="25" x14ac:dyDescent="0.25">
      <c r="A2530" s="21">
        <v>2795</v>
      </c>
      <c r="B2530" s="22" t="s">
        <v>15346</v>
      </c>
      <c r="C2530" s="22" t="s">
        <v>16743</v>
      </c>
      <c r="F2530" s="22" t="s">
        <v>16750</v>
      </c>
      <c r="G2530" s="23" t="s">
        <v>16745</v>
      </c>
      <c r="H2530" s="25" t="s">
        <v>15373</v>
      </c>
      <c r="I2530" s="22" t="s">
        <v>15374</v>
      </c>
      <c r="J2530" s="22">
        <v>3512</v>
      </c>
      <c r="K2530" s="26">
        <f t="shared" si="39"/>
        <v>1250</v>
      </c>
      <c r="L2530" s="26">
        <v>1250</v>
      </c>
      <c r="O2530" s="22" t="s">
        <v>16746</v>
      </c>
      <c r="P2530" s="22" t="s">
        <v>17158</v>
      </c>
      <c r="Q2530" s="22" t="s">
        <v>16663</v>
      </c>
      <c r="S2530" s="22" t="s">
        <v>16747</v>
      </c>
      <c r="X2530" s="26"/>
      <c r="Y2530" s="26"/>
    </row>
    <row r="2531" spans="1:25" ht="37.5" x14ac:dyDescent="0.25">
      <c r="A2531" s="21">
        <v>2796</v>
      </c>
      <c r="B2531" s="22" t="s">
        <v>15346</v>
      </c>
      <c r="C2531" s="22" t="s">
        <v>16751</v>
      </c>
      <c r="F2531" s="22" t="s">
        <v>16752</v>
      </c>
      <c r="G2531" s="23" t="s">
        <v>16753</v>
      </c>
      <c r="H2531" s="25" t="s">
        <v>15373</v>
      </c>
      <c r="I2531" s="22" t="s">
        <v>15374</v>
      </c>
      <c r="J2531" s="22" t="s">
        <v>16121</v>
      </c>
      <c r="K2531" s="26">
        <f t="shared" si="39"/>
        <v>545</v>
      </c>
      <c r="L2531" s="26">
        <v>545</v>
      </c>
      <c r="O2531" s="22" t="s">
        <v>16754</v>
      </c>
      <c r="P2531" s="22" t="s">
        <v>16991</v>
      </c>
      <c r="Q2531" s="22" t="s">
        <v>17368</v>
      </c>
      <c r="S2531" s="22" t="s">
        <v>16755</v>
      </c>
      <c r="X2531" s="26"/>
      <c r="Y2531" s="26"/>
    </row>
    <row r="2532" spans="1:25" ht="25" x14ac:dyDescent="0.25">
      <c r="A2532" s="21">
        <v>2797</v>
      </c>
      <c r="B2532" s="22" t="s">
        <v>15346</v>
      </c>
      <c r="C2532" s="22" t="s">
        <v>16751</v>
      </c>
      <c r="F2532" s="22" t="s">
        <v>16756</v>
      </c>
      <c r="G2532" s="23" t="s">
        <v>16757</v>
      </c>
      <c r="H2532" s="25" t="s">
        <v>15373</v>
      </c>
      <c r="I2532" s="22" t="s">
        <v>16907</v>
      </c>
      <c r="J2532" s="22" t="s">
        <v>16311</v>
      </c>
      <c r="K2532" s="26">
        <f t="shared" si="39"/>
        <v>900</v>
      </c>
      <c r="L2532" s="26">
        <v>900</v>
      </c>
      <c r="O2532" s="22" t="s">
        <v>16754</v>
      </c>
      <c r="P2532" s="22" t="s">
        <v>16991</v>
      </c>
      <c r="Q2532" s="22" t="s">
        <v>17368</v>
      </c>
      <c r="S2532" s="22" t="s">
        <v>16755</v>
      </c>
      <c r="X2532" s="26"/>
      <c r="Y2532" s="26"/>
    </row>
    <row r="2533" spans="1:25" ht="25" x14ac:dyDescent="0.25">
      <c r="A2533" s="21">
        <v>2798</v>
      </c>
      <c r="B2533" s="22" t="s">
        <v>15346</v>
      </c>
      <c r="C2533" s="22" t="s">
        <v>16758</v>
      </c>
      <c r="F2533" s="22" t="s">
        <v>16759</v>
      </c>
      <c r="G2533" s="23" t="s">
        <v>16760</v>
      </c>
      <c r="H2533" s="25" t="s">
        <v>15373</v>
      </c>
      <c r="I2533" s="22" t="s">
        <v>16160</v>
      </c>
      <c r="J2533" s="22" t="s">
        <v>16761</v>
      </c>
      <c r="K2533" s="26">
        <f t="shared" si="39"/>
        <v>500</v>
      </c>
      <c r="L2533" s="26">
        <v>500</v>
      </c>
      <c r="O2533" s="22" t="s">
        <v>16762</v>
      </c>
      <c r="P2533" s="22" t="s">
        <v>17176</v>
      </c>
      <c r="Q2533" s="22" t="s">
        <v>17177</v>
      </c>
      <c r="S2533" s="22" t="s">
        <v>16763</v>
      </c>
      <c r="X2533" s="26"/>
      <c r="Y2533" s="26"/>
    </row>
    <row r="2534" spans="1:25" ht="25" x14ac:dyDescent="0.25">
      <c r="A2534" s="21">
        <v>2799</v>
      </c>
      <c r="B2534" s="22" t="s">
        <v>15346</v>
      </c>
      <c r="C2534" s="22" t="s">
        <v>16764</v>
      </c>
      <c r="F2534" s="22" t="s">
        <v>16765</v>
      </c>
      <c r="G2534" s="23" t="s">
        <v>16766</v>
      </c>
      <c r="H2534" s="25" t="s">
        <v>15373</v>
      </c>
      <c r="I2534" s="22" t="s">
        <v>16311</v>
      </c>
      <c r="J2534" s="22" t="s">
        <v>16311</v>
      </c>
      <c r="K2534" s="26">
        <f t="shared" si="39"/>
        <v>1432.6666666666665</v>
      </c>
      <c r="M2534" s="26">
        <v>2149</v>
      </c>
      <c r="O2534" s="22" t="s">
        <v>16767</v>
      </c>
      <c r="P2534" s="22" t="s">
        <v>16985</v>
      </c>
      <c r="Q2534" s="22" t="s">
        <v>17142</v>
      </c>
      <c r="S2534" s="22" t="s">
        <v>16768</v>
      </c>
      <c r="X2534" s="26"/>
      <c r="Y2534" s="26"/>
    </row>
    <row r="2535" spans="1:25" ht="37.5" x14ac:dyDescent="0.25">
      <c r="A2535" s="21">
        <v>2800</v>
      </c>
      <c r="B2535" s="22" t="s">
        <v>15346</v>
      </c>
      <c r="C2535" s="22" t="s">
        <v>16769</v>
      </c>
      <c r="F2535" s="22" t="s">
        <v>16770</v>
      </c>
      <c r="G2535" s="23" t="s">
        <v>16771</v>
      </c>
      <c r="H2535" s="25" t="s">
        <v>15373</v>
      </c>
      <c r="I2535" s="22" t="s">
        <v>15411</v>
      </c>
      <c r="J2535" s="22" t="s">
        <v>15412</v>
      </c>
      <c r="K2535" s="26">
        <f t="shared" si="39"/>
        <v>600</v>
      </c>
      <c r="L2535" s="26">
        <v>600</v>
      </c>
      <c r="O2535" s="22" t="s">
        <v>16772</v>
      </c>
      <c r="P2535" s="22" t="s">
        <v>17315</v>
      </c>
      <c r="Q2535" s="22" t="s">
        <v>17316</v>
      </c>
      <c r="S2535" s="22" t="s">
        <v>16773</v>
      </c>
      <c r="X2535" s="26"/>
      <c r="Y2535" s="26"/>
    </row>
    <row r="2536" spans="1:25" ht="37.5" x14ac:dyDescent="0.25">
      <c r="A2536" s="21">
        <v>2801</v>
      </c>
      <c r="B2536" s="22" t="s">
        <v>15346</v>
      </c>
      <c r="C2536" s="22" t="s">
        <v>16774</v>
      </c>
      <c r="F2536" s="22" t="s">
        <v>16775</v>
      </c>
      <c r="G2536" s="23" t="s">
        <v>16776</v>
      </c>
      <c r="H2536" s="25" t="s">
        <v>15373</v>
      </c>
      <c r="I2536" s="22" t="s">
        <v>14275</v>
      </c>
      <c r="J2536" s="22" t="s">
        <v>18264</v>
      </c>
      <c r="K2536" s="26">
        <f t="shared" si="39"/>
        <v>500</v>
      </c>
      <c r="L2536" s="26">
        <v>500</v>
      </c>
      <c r="O2536" s="22" t="s">
        <v>18265</v>
      </c>
      <c r="P2536" s="22" t="s">
        <v>16955</v>
      </c>
      <c r="Q2536" s="22" t="s">
        <v>15988</v>
      </c>
      <c r="S2536" s="22" t="s">
        <v>18266</v>
      </c>
      <c r="X2536" s="26"/>
      <c r="Y2536" s="26"/>
    </row>
    <row r="2537" spans="1:25" ht="37.5" x14ac:dyDescent="0.25">
      <c r="A2537" s="21">
        <v>2802</v>
      </c>
      <c r="B2537" s="22" t="s">
        <v>15346</v>
      </c>
      <c r="C2537" s="22" t="s">
        <v>18267</v>
      </c>
      <c r="F2537" s="22" t="s">
        <v>18268</v>
      </c>
      <c r="G2537" s="23" t="s">
        <v>18269</v>
      </c>
      <c r="H2537" s="25" t="s">
        <v>15373</v>
      </c>
      <c r="I2537" s="22" t="s">
        <v>15411</v>
      </c>
      <c r="J2537" s="22" t="s">
        <v>15041</v>
      </c>
      <c r="K2537" s="26">
        <f t="shared" si="39"/>
        <v>1000</v>
      </c>
      <c r="L2537" s="26">
        <v>1000</v>
      </c>
      <c r="O2537" s="22" t="s">
        <v>18270</v>
      </c>
      <c r="P2537" s="22" t="s">
        <v>16934</v>
      </c>
      <c r="Q2537" s="22" t="s">
        <v>16935</v>
      </c>
      <c r="S2537" s="22" t="s">
        <v>18271</v>
      </c>
      <c r="X2537" s="26"/>
      <c r="Y2537" s="26"/>
    </row>
    <row r="2538" spans="1:25" ht="37.5" x14ac:dyDescent="0.25">
      <c r="A2538" s="21">
        <v>2803</v>
      </c>
      <c r="B2538" s="22" t="s">
        <v>15346</v>
      </c>
      <c r="C2538" s="22" t="s">
        <v>18272</v>
      </c>
      <c r="F2538" s="22" t="s">
        <v>18273</v>
      </c>
      <c r="G2538" s="23" t="s">
        <v>18274</v>
      </c>
      <c r="H2538" s="25" t="s">
        <v>15373</v>
      </c>
      <c r="I2538" s="22" t="s">
        <v>15411</v>
      </c>
      <c r="J2538" s="22" t="s">
        <v>15744</v>
      </c>
      <c r="K2538" s="26">
        <f t="shared" si="39"/>
        <v>825</v>
      </c>
      <c r="L2538" s="26">
        <v>825</v>
      </c>
      <c r="O2538" s="22" t="s">
        <v>18275</v>
      </c>
      <c r="P2538" s="22" t="s">
        <v>16998</v>
      </c>
      <c r="Q2538" s="22" t="s">
        <v>16999</v>
      </c>
      <c r="S2538" s="22" t="s">
        <v>16976</v>
      </c>
      <c r="X2538" s="26"/>
      <c r="Y2538" s="26"/>
    </row>
    <row r="2539" spans="1:25" ht="25" x14ac:dyDescent="0.25">
      <c r="A2539" s="21">
        <v>2804</v>
      </c>
      <c r="B2539" s="22" t="s">
        <v>15346</v>
      </c>
      <c r="C2539" s="22" t="s">
        <v>17027</v>
      </c>
      <c r="F2539" s="22" t="s">
        <v>18276</v>
      </c>
      <c r="G2539" s="23" t="s">
        <v>17029</v>
      </c>
      <c r="H2539" s="25" t="s">
        <v>16310</v>
      </c>
      <c r="I2539" s="22" t="s">
        <v>16160</v>
      </c>
      <c r="J2539" s="22" t="s">
        <v>16311</v>
      </c>
      <c r="K2539" s="26">
        <f t="shared" si="39"/>
        <v>666.66666666666663</v>
      </c>
      <c r="N2539" s="26">
        <v>1000</v>
      </c>
      <c r="O2539" s="22" t="s">
        <v>16945</v>
      </c>
      <c r="P2539" s="22" t="s">
        <v>16976</v>
      </c>
      <c r="Q2539" s="22" t="s">
        <v>18277</v>
      </c>
      <c r="S2539" s="22" t="s">
        <v>17030</v>
      </c>
      <c r="X2539" s="26"/>
      <c r="Y2539" s="26"/>
    </row>
    <row r="2540" spans="1:25" ht="25" x14ac:dyDescent="0.25">
      <c r="A2540" s="21">
        <v>2805</v>
      </c>
      <c r="B2540" s="22" t="s">
        <v>15346</v>
      </c>
      <c r="C2540" s="22" t="s">
        <v>17186</v>
      </c>
      <c r="F2540" s="22" t="s">
        <v>18278</v>
      </c>
      <c r="G2540" s="23" t="s">
        <v>17188</v>
      </c>
      <c r="H2540" s="25" t="s">
        <v>15373</v>
      </c>
      <c r="I2540" s="22" t="s">
        <v>15382</v>
      </c>
      <c r="J2540" s="22" t="s">
        <v>17189</v>
      </c>
      <c r="K2540" s="26">
        <f t="shared" si="39"/>
        <v>400</v>
      </c>
      <c r="M2540" s="26">
        <v>600</v>
      </c>
      <c r="O2540" s="22" t="s">
        <v>16945</v>
      </c>
      <c r="P2540" s="22" t="s">
        <v>18279</v>
      </c>
      <c r="Q2540" s="22" t="s">
        <v>18277</v>
      </c>
      <c r="S2540" s="22" t="s">
        <v>17190</v>
      </c>
      <c r="X2540" s="26"/>
      <c r="Y2540" s="26"/>
    </row>
    <row r="2541" spans="1:25" ht="25" x14ac:dyDescent="0.25">
      <c r="A2541" s="21">
        <v>2806</v>
      </c>
      <c r="B2541" s="22" t="s">
        <v>15346</v>
      </c>
      <c r="C2541" s="22" t="s">
        <v>18280</v>
      </c>
      <c r="F2541" s="22" t="s">
        <v>18281</v>
      </c>
      <c r="G2541" s="23" t="s">
        <v>18282</v>
      </c>
      <c r="H2541" s="25" t="s">
        <v>15373</v>
      </c>
      <c r="I2541" s="22" t="s">
        <v>15374</v>
      </c>
      <c r="J2541" s="22" t="s">
        <v>16311</v>
      </c>
      <c r="K2541" s="26">
        <f t="shared" si="39"/>
        <v>346</v>
      </c>
      <c r="N2541" s="26">
        <v>519</v>
      </c>
      <c r="O2541" s="22" t="s">
        <v>18283</v>
      </c>
      <c r="P2541" s="22" t="s">
        <v>18284</v>
      </c>
      <c r="Q2541" s="22" t="s">
        <v>18005</v>
      </c>
      <c r="S2541" s="22" t="s">
        <v>18285</v>
      </c>
      <c r="X2541" s="26"/>
      <c r="Y2541" s="26"/>
    </row>
    <row r="2542" spans="1:25" ht="25" x14ac:dyDescent="0.25">
      <c r="A2542" s="21">
        <v>2807</v>
      </c>
      <c r="B2542" s="22" t="s">
        <v>15346</v>
      </c>
      <c r="C2542" s="22" t="s">
        <v>18280</v>
      </c>
      <c r="F2542" s="22" t="s">
        <v>18286</v>
      </c>
      <c r="G2542" s="23" t="s">
        <v>18287</v>
      </c>
      <c r="H2542" s="25" t="s">
        <v>15373</v>
      </c>
      <c r="I2542" s="22" t="s">
        <v>15374</v>
      </c>
      <c r="J2542" s="22" t="s">
        <v>16311</v>
      </c>
      <c r="K2542" s="26">
        <f t="shared" si="39"/>
        <v>499.33333333333331</v>
      </c>
      <c r="N2542" s="26">
        <v>749</v>
      </c>
      <c r="O2542" s="22" t="s">
        <v>18288</v>
      </c>
      <c r="P2542" s="22" t="s">
        <v>18284</v>
      </c>
      <c r="Q2542" s="22" t="s">
        <v>18005</v>
      </c>
      <c r="S2542" s="22" t="s">
        <v>18285</v>
      </c>
      <c r="X2542" s="26"/>
      <c r="Y2542" s="26"/>
    </row>
    <row r="2543" spans="1:25" ht="37.5" x14ac:dyDescent="0.25">
      <c r="A2543" s="21">
        <v>2808</v>
      </c>
      <c r="B2543" s="22" t="s">
        <v>15346</v>
      </c>
      <c r="C2543" s="22" t="s">
        <v>18289</v>
      </c>
      <c r="F2543" s="22" t="s">
        <v>18290</v>
      </c>
      <c r="G2543" s="23" t="s">
        <v>18291</v>
      </c>
      <c r="H2543" s="25" t="s">
        <v>15373</v>
      </c>
      <c r="I2543" s="22" t="s">
        <v>15374</v>
      </c>
      <c r="J2543" s="22">
        <v>3406</v>
      </c>
      <c r="K2543" s="26">
        <f t="shared" si="39"/>
        <v>400</v>
      </c>
      <c r="L2543" s="26">
        <v>400</v>
      </c>
      <c r="O2543" s="22" t="s">
        <v>18292</v>
      </c>
      <c r="P2543" s="22" t="s">
        <v>18293</v>
      </c>
      <c r="Q2543" s="22" t="s">
        <v>18294</v>
      </c>
      <c r="S2543" s="22" t="s">
        <v>18295</v>
      </c>
      <c r="X2543" s="26"/>
      <c r="Y2543" s="26"/>
    </row>
    <row r="2544" spans="1:25" ht="37.5" x14ac:dyDescent="0.25">
      <c r="A2544" s="21">
        <v>2809</v>
      </c>
      <c r="B2544" s="22" t="s">
        <v>15346</v>
      </c>
      <c r="C2544" s="22" t="s">
        <v>17616</v>
      </c>
      <c r="F2544" s="22" t="s">
        <v>18296</v>
      </c>
      <c r="G2544" s="23" t="s">
        <v>18297</v>
      </c>
      <c r="H2544" s="25" t="s">
        <v>15373</v>
      </c>
      <c r="I2544" s="22" t="s">
        <v>15374</v>
      </c>
      <c r="J2544" s="22">
        <v>3406</v>
      </c>
      <c r="K2544" s="26">
        <f t="shared" si="39"/>
        <v>400</v>
      </c>
      <c r="L2544" s="26">
        <v>400</v>
      </c>
      <c r="O2544" s="22" t="s">
        <v>17619</v>
      </c>
      <c r="P2544" s="22" t="s">
        <v>18298</v>
      </c>
      <c r="Q2544" s="22" t="s">
        <v>18299</v>
      </c>
      <c r="S2544" s="22" t="s">
        <v>17620</v>
      </c>
      <c r="X2544" s="26"/>
      <c r="Y2544" s="26"/>
    </row>
    <row r="2545" spans="1:25" ht="37.5" x14ac:dyDescent="0.25">
      <c r="A2545" s="21">
        <v>2810</v>
      </c>
      <c r="B2545" s="22" t="s">
        <v>15346</v>
      </c>
      <c r="C2545" s="22" t="s">
        <v>8048</v>
      </c>
      <c r="F2545" s="22" t="s">
        <v>18300</v>
      </c>
      <c r="G2545" s="23" t="s">
        <v>18301</v>
      </c>
      <c r="H2545" s="25" t="s">
        <v>15373</v>
      </c>
      <c r="I2545" s="22" t="s">
        <v>15411</v>
      </c>
      <c r="J2545" s="22">
        <v>560</v>
      </c>
      <c r="K2545" s="26">
        <f t="shared" si="39"/>
        <v>366.66666666666663</v>
      </c>
      <c r="M2545" s="26">
        <v>550</v>
      </c>
      <c r="O2545" s="22" t="s">
        <v>18302</v>
      </c>
      <c r="P2545" s="22" t="s">
        <v>18303</v>
      </c>
      <c r="Q2545" s="22" t="s">
        <v>18304</v>
      </c>
      <c r="S2545" s="22" t="s">
        <v>16976</v>
      </c>
      <c r="X2545" s="26"/>
      <c r="Y2545" s="26"/>
    </row>
    <row r="2546" spans="1:25" ht="25" x14ac:dyDescent="0.25">
      <c r="A2546" s="21">
        <v>2811</v>
      </c>
      <c r="B2546" s="22" t="s">
        <v>15346</v>
      </c>
      <c r="C2546" s="22" t="s">
        <v>17870</v>
      </c>
      <c r="F2546" s="22" t="s">
        <v>18305</v>
      </c>
      <c r="G2546" s="23" t="s">
        <v>17872</v>
      </c>
      <c r="H2546" s="25" t="s">
        <v>16310</v>
      </c>
      <c r="I2546" s="22" t="s">
        <v>16160</v>
      </c>
      <c r="J2546" s="22" t="s">
        <v>16311</v>
      </c>
      <c r="K2546" s="26">
        <f t="shared" si="39"/>
        <v>515.33333333333326</v>
      </c>
      <c r="N2546" s="26">
        <v>773</v>
      </c>
      <c r="O2546" s="22" t="s">
        <v>16940</v>
      </c>
      <c r="P2546" s="22" t="s">
        <v>16976</v>
      </c>
      <c r="Q2546" s="22" t="s">
        <v>18277</v>
      </c>
      <c r="S2546" s="22" t="s">
        <v>17873</v>
      </c>
      <c r="X2546" s="26"/>
      <c r="Y2546" s="26"/>
    </row>
    <row r="2547" spans="1:25" ht="25" x14ac:dyDescent="0.25">
      <c r="A2547" s="21">
        <v>2812</v>
      </c>
      <c r="B2547" s="22" t="s">
        <v>15346</v>
      </c>
      <c r="C2547" s="22" t="s">
        <v>17870</v>
      </c>
      <c r="F2547" s="22" t="s">
        <v>18306</v>
      </c>
      <c r="G2547" s="23" t="s">
        <v>18307</v>
      </c>
      <c r="H2547" s="25" t="s">
        <v>15373</v>
      </c>
      <c r="I2547" s="22" t="s">
        <v>15374</v>
      </c>
      <c r="J2547" s="22">
        <v>3512</v>
      </c>
      <c r="K2547" s="26">
        <f t="shared" si="39"/>
        <v>1000</v>
      </c>
      <c r="L2547" s="26">
        <v>1000</v>
      </c>
      <c r="O2547" s="22" t="s">
        <v>18308</v>
      </c>
      <c r="P2547" s="22" t="s">
        <v>18309</v>
      </c>
      <c r="Q2547" s="22">
        <v>93276</v>
      </c>
      <c r="S2547" s="22" t="s">
        <v>17873</v>
      </c>
      <c r="X2547" s="26"/>
      <c r="Y2547" s="26"/>
    </row>
    <row r="2548" spans="1:25" ht="25" x14ac:dyDescent="0.25">
      <c r="A2548" s="21">
        <v>2813</v>
      </c>
      <c r="B2548" s="22" t="s">
        <v>15346</v>
      </c>
      <c r="C2548" s="22" t="s">
        <v>18310</v>
      </c>
      <c r="E2548" s="24">
        <v>2001</v>
      </c>
      <c r="F2548" s="22" t="s">
        <v>18311</v>
      </c>
      <c r="G2548" s="23" t="s">
        <v>18312</v>
      </c>
      <c r="H2548" s="25" t="s">
        <v>15373</v>
      </c>
      <c r="I2548" s="22" t="s">
        <v>15382</v>
      </c>
      <c r="J2548" s="22" t="s">
        <v>15391</v>
      </c>
      <c r="K2548" s="26">
        <f t="shared" si="39"/>
        <v>1500</v>
      </c>
      <c r="L2548" s="26">
        <v>1500</v>
      </c>
      <c r="O2548" s="22" t="s">
        <v>18313</v>
      </c>
      <c r="P2548" s="22" t="s">
        <v>18303</v>
      </c>
      <c r="Q2548" s="22">
        <v>93711</v>
      </c>
      <c r="S2548" s="22" t="s">
        <v>16976</v>
      </c>
      <c r="X2548" s="26"/>
      <c r="Y2548" s="26"/>
    </row>
    <row r="2549" spans="1:25" ht="37.5" x14ac:dyDescent="0.25">
      <c r="A2549" s="21">
        <v>2814</v>
      </c>
      <c r="B2549" s="22" t="s">
        <v>15346</v>
      </c>
      <c r="C2549" s="22" t="s">
        <v>18314</v>
      </c>
      <c r="E2549" s="24">
        <v>2001</v>
      </c>
      <c r="F2549" s="22" t="s">
        <v>18315</v>
      </c>
      <c r="G2549" s="23" t="s">
        <v>18316</v>
      </c>
      <c r="H2549" s="25" t="s">
        <v>15373</v>
      </c>
      <c r="I2549" s="22" t="s">
        <v>15382</v>
      </c>
      <c r="J2549" s="22" t="s">
        <v>18317</v>
      </c>
      <c r="K2549" s="26">
        <f t="shared" si="39"/>
        <v>300</v>
      </c>
      <c r="L2549" s="26">
        <v>300</v>
      </c>
      <c r="O2549" s="22" t="s">
        <v>18318</v>
      </c>
      <c r="P2549" s="22" t="s">
        <v>18293</v>
      </c>
      <c r="Q2549" s="22" t="s">
        <v>18319</v>
      </c>
      <c r="S2549" s="22" t="s">
        <v>16976</v>
      </c>
      <c r="X2549" s="26"/>
      <c r="Y2549" s="26"/>
    </row>
    <row r="2550" spans="1:25" ht="50" x14ac:dyDescent="0.25">
      <c r="A2550" s="21">
        <v>2815</v>
      </c>
      <c r="B2550" s="22" t="s">
        <v>15346</v>
      </c>
      <c r="C2550" s="22" t="s">
        <v>18320</v>
      </c>
      <c r="E2550" s="24">
        <v>2001</v>
      </c>
      <c r="F2550" s="22" t="s">
        <v>18321</v>
      </c>
      <c r="G2550" s="23" t="s">
        <v>18322</v>
      </c>
      <c r="H2550" s="25" t="s">
        <v>15373</v>
      </c>
      <c r="I2550" s="22" t="s">
        <v>18323</v>
      </c>
      <c r="J2550" s="22" t="s">
        <v>14492</v>
      </c>
      <c r="K2550" s="26">
        <f t="shared" si="39"/>
        <v>800</v>
      </c>
      <c r="M2550" s="26">
        <v>1200</v>
      </c>
      <c r="O2550" s="22" t="s">
        <v>18324</v>
      </c>
      <c r="P2550" s="22" t="s">
        <v>18325</v>
      </c>
      <c r="Q2550" s="22">
        <v>93215</v>
      </c>
      <c r="S2550" s="22" t="s">
        <v>18326</v>
      </c>
      <c r="X2550" s="26"/>
      <c r="Y2550" s="26"/>
    </row>
    <row r="2551" spans="1:25" ht="25" x14ac:dyDescent="0.25">
      <c r="A2551" s="21">
        <v>2816</v>
      </c>
      <c r="B2551" s="22" t="s">
        <v>15346</v>
      </c>
      <c r="C2551" s="22" t="s">
        <v>18327</v>
      </c>
      <c r="E2551" s="24">
        <v>2001</v>
      </c>
      <c r="F2551" s="22" t="s">
        <v>18328</v>
      </c>
      <c r="G2551" s="23" t="s">
        <v>18329</v>
      </c>
      <c r="H2551" s="25" t="s">
        <v>15373</v>
      </c>
      <c r="I2551" s="22" t="s">
        <v>15374</v>
      </c>
      <c r="J2551" s="22">
        <v>3406</v>
      </c>
      <c r="K2551" s="26">
        <f t="shared" si="39"/>
        <v>400</v>
      </c>
      <c r="L2551" s="26">
        <v>400</v>
      </c>
      <c r="O2551" s="22" t="s">
        <v>18330</v>
      </c>
      <c r="P2551" s="22" t="s">
        <v>18331</v>
      </c>
      <c r="Q2551" s="22" t="s">
        <v>18332</v>
      </c>
      <c r="S2551" s="22" t="s">
        <v>18333</v>
      </c>
      <c r="X2551" s="26"/>
      <c r="Y2551" s="26"/>
    </row>
    <row r="2552" spans="1:25" ht="25" x14ac:dyDescent="0.25">
      <c r="A2552" s="21">
        <v>2817</v>
      </c>
      <c r="B2552" s="22" t="s">
        <v>15346</v>
      </c>
      <c r="C2552" s="22" t="s">
        <v>16971</v>
      </c>
      <c r="E2552" s="24">
        <v>2001</v>
      </c>
      <c r="F2552" s="22" t="s">
        <v>18334</v>
      </c>
      <c r="G2552" s="23" t="s">
        <v>18335</v>
      </c>
      <c r="H2552" s="25" t="s">
        <v>15373</v>
      </c>
      <c r="I2552" s="22" t="s">
        <v>15374</v>
      </c>
      <c r="J2552" s="22">
        <v>3406</v>
      </c>
      <c r="K2552" s="26">
        <f t="shared" si="39"/>
        <v>350</v>
      </c>
      <c r="L2552" s="26">
        <v>350</v>
      </c>
      <c r="O2552" s="22" t="s">
        <v>18336</v>
      </c>
      <c r="P2552" s="22" t="s">
        <v>18303</v>
      </c>
      <c r="Q2552" s="22" t="s">
        <v>18337</v>
      </c>
      <c r="S2552" s="22" t="s">
        <v>18338</v>
      </c>
      <c r="X2552" s="26"/>
      <c r="Y2552" s="26"/>
    </row>
    <row r="2553" spans="1:25" ht="75" x14ac:dyDescent="0.25">
      <c r="A2553" s="21">
        <v>2818</v>
      </c>
      <c r="B2553" s="22" t="s">
        <v>15346</v>
      </c>
      <c r="C2553" s="22" t="s">
        <v>18339</v>
      </c>
      <c r="E2553" s="24">
        <v>2001</v>
      </c>
      <c r="F2553" s="22" t="s">
        <v>18340</v>
      </c>
      <c r="G2553" s="23" t="s">
        <v>18341</v>
      </c>
      <c r="H2553" s="25" t="s">
        <v>15373</v>
      </c>
      <c r="I2553" s="22" t="s">
        <v>15374</v>
      </c>
      <c r="J2553" s="22">
        <v>3406</v>
      </c>
      <c r="K2553" s="26">
        <f t="shared" si="39"/>
        <v>400</v>
      </c>
      <c r="L2553" s="26">
        <v>400</v>
      </c>
      <c r="O2553" s="22" t="s">
        <v>18342</v>
      </c>
      <c r="P2553" s="22" t="s">
        <v>18343</v>
      </c>
      <c r="Q2553" s="22" t="s">
        <v>18344</v>
      </c>
      <c r="S2553" s="22" t="s">
        <v>18338</v>
      </c>
      <c r="X2553" s="26"/>
      <c r="Y2553" s="26"/>
    </row>
    <row r="2554" spans="1:25" ht="62.5" x14ac:dyDescent="0.25">
      <c r="A2554" s="21">
        <v>2819</v>
      </c>
      <c r="B2554" s="22" t="s">
        <v>15346</v>
      </c>
      <c r="C2554" s="22" t="s">
        <v>18345</v>
      </c>
      <c r="E2554" s="24">
        <v>2001</v>
      </c>
      <c r="F2554" s="22" t="s">
        <v>18346</v>
      </c>
      <c r="G2554" s="23" t="s">
        <v>18347</v>
      </c>
      <c r="H2554" s="25" t="s">
        <v>15373</v>
      </c>
      <c r="I2554" s="22" t="s">
        <v>15374</v>
      </c>
      <c r="J2554" s="22" t="s">
        <v>16377</v>
      </c>
      <c r="K2554" s="26">
        <f t="shared" si="39"/>
        <v>300</v>
      </c>
      <c r="L2554" s="26">
        <v>300</v>
      </c>
      <c r="O2554" s="22" t="s">
        <v>18348</v>
      </c>
      <c r="P2554" s="22" t="s">
        <v>18303</v>
      </c>
      <c r="Q2554" s="22" t="s">
        <v>16026</v>
      </c>
      <c r="S2554" s="22" t="s">
        <v>18349</v>
      </c>
      <c r="X2554" s="26"/>
      <c r="Y2554" s="26"/>
    </row>
    <row r="2555" spans="1:25" ht="37.5" x14ac:dyDescent="0.25">
      <c r="A2555" s="21">
        <v>2820</v>
      </c>
      <c r="B2555" s="22" t="s">
        <v>15346</v>
      </c>
      <c r="C2555" s="22" t="s">
        <v>18350</v>
      </c>
      <c r="E2555" s="24">
        <v>2000</v>
      </c>
      <c r="F2555" s="22" t="s">
        <v>18351</v>
      </c>
      <c r="G2555" s="23" t="s">
        <v>18352</v>
      </c>
      <c r="H2555" s="25" t="s">
        <v>15373</v>
      </c>
      <c r="I2555" s="22" t="s">
        <v>15374</v>
      </c>
      <c r="J2555" s="22" t="s">
        <v>11983</v>
      </c>
      <c r="K2555" s="26">
        <f t="shared" si="39"/>
        <v>1000</v>
      </c>
      <c r="L2555" s="26">
        <v>1000</v>
      </c>
      <c r="O2555" s="22" t="s">
        <v>18353</v>
      </c>
      <c r="P2555" s="22" t="s">
        <v>18303</v>
      </c>
      <c r="Q2555" s="22">
        <v>93711</v>
      </c>
      <c r="S2555" s="22" t="s">
        <v>16976</v>
      </c>
      <c r="X2555" s="26"/>
      <c r="Y2555" s="26"/>
    </row>
    <row r="2556" spans="1:25" ht="37.5" x14ac:dyDescent="0.25">
      <c r="A2556" s="21">
        <v>2821</v>
      </c>
      <c r="B2556" s="22" t="s">
        <v>15346</v>
      </c>
      <c r="C2556" s="22" t="s">
        <v>18354</v>
      </c>
      <c r="E2556" s="24">
        <v>2001</v>
      </c>
      <c r="F2556" s="22" t="s">
        <v>18355</v>
      </c>
      <c r="G2556" s="23" t="s">
        <v>18356</v>
      </c>
      <c r="H2556" s="25" t="s">
        <v>15373</v>
      </c>
      <c r="I2556" s="22" t="s">
        <v>15382</v>
      </c>
      <c r="J2556" s="22" t="s">
        <v>12903</v>
      </c>
      <c r="K2556" s="26">
        <f t="shared" si="39"/>
        <v>2000</v>
      </c>
      <c r="L2556" s="26">
        <v>2000</v>
      </c>
      <c r="O2556" s="22" t="s">
        <v>18357</v>
      </c>
      <c r="P2556" s="22" t="s">
        <v>18303</v>
      </c>
      <c r="Q2556" s="22" t="s">
        <v>17256</v>
      </c>
      <c r="S2556" s="22" t="s">
        <v>18358</v>
      </c>
      <c r="X2556" s="26"/>
      <c r="Y2556" s="26"/>
    </row>
    <row r="2557" spans="1:25" ht="37.5" x14ac:dyDescent="0.25">
      <c r="A2557" s="21">
        <v>2822</v>
      </c>
      <c r="B2557" s="22" t="s">
        <v>15346</v>
      </c>
      <c r="C2557" s="22" t="s">
        <v>18359</v>
      </c>
      <c r="E2557" s="24">
        <v>2001</v>
      </c>
      <c r="F2557" s="22" t="s">
        <v>18360</v>
      </c>
      <c r="G2557" s="23" t="s">
        <v>18361</v>
      </c>
      <c r="H2557" s="25" t="s">
        <v>15373</v>
      </c>
      <c r="I2557" s="22" t="s">
        <v>15374</v>
      </c>
      <c r="J2557" s="22">
        <v>3412</v>
      </c>
      <c r="K2557" s="26">
        <f t="shared" si="39"/>
        <v>650</v>
      </c>
      <c r="L2557" s="26">
        <v>650</v>
      </c>
      <c r="O2557" s="22" t="s">
        <v>18362</v>
      </c>
      <c r="P2557" s="22" t="s">
        <v>18363</v>
      </c>
      <c r="Q2557" s="22" t="s">
        <v>18364</v>
      </c>
      <c r="S2557" s="22" t="s">
        <v>16976</v>
      </c>
      <c r="X2557" s="26"/>
      <c r="Y2557" s="26"/>
    </row>
    <row r="2558" spans="1:25" ht="37.5" x14ac:dyDescent="0.25">
      <c r="A2558" s="21">
        <v>2823</v>
      </c>
      <c r="B2558" s="22" t="s">
        <v>15346</v>
      </c>
      <c r="C2558" s="22" t="s">
        <v>18359</v>
      </c>
      <c r="E2558" s="24">
        <v>2001</v>
      </c>
      <c r="F2558" s="22" t="s">
        <v>18365</v>
      </c>
      <c r="G2558" s="23" t="s">
        <v>18361</v>
      </c>
      <c r="H2558" s="25" t="s">
        <v>15373</v>
      </c>
      <c r="I2558" s="22" t="s">
        <v>15374</v>
      </c>
      <c r="J2558" s="22">
        <v>3412</v>
      </c>
      <c r="K2558" s="26">
        <f t="shared" si="39"/>
        <v>650</v>
      </c>
      <c r="L2558" s="26">
        <v>650</v>
      </c>
      <c r="O2558" s="22" t="s">
        <v>18362</v>
      </c>
      <c r="P2558" s="22" t="s">
        <v>18363</v>
      </c>
      <c r="Q2558" s="22" t="s">
        <v>18366</v>
      </c>
      <c r="X2558" s="26"/>
      <c r="Y2558" s="26"/>
    </row>
    <row r="2559" spans="1:25" ht="25" x14ac:dyDescent="0.25">
      <c r="A2559" s="21">
        <v>2824</v>
      </c>
      <c r="B2559" s="22" t="s">
        <v>15346</v>
      </c>
      <c r="C2559" s="22" t="s">
        <v>18367</v>
      </c>
      <c r="E2559" s="24">
        <v>2002</v>
      </c>
      <c r="F2559" s="22" t="s">
        <v>18368</v>
      </c>
      <c r="G2559" s="23" t="s">
        <v>18369</v>
      </c>
      <c r="H2559" s="25" t="s">
        <v>15373</v>
      </c>
      <c r="I2559" s="22" t="s">
        <v>14275</v>
      </c>
      <c r="J2559" s="22" t="s">
        <v>12216</v>
      </c>
      <c r="K2559" s="26">
        <f t="shared" si="39"/>
        <v>392</v>
      </c>
      <c r="L2559" s="26">
        <v>392</v>
      </c>
      <c r="O2559" s="22" t="s">
        <v>18370</v>
      </c>
      <c r="P2559" s="22" t="s">
        <v>18371</v>
      </c>
      <c r="Q2559" s="22" t="s">
        <v>18372</v>
      </c>
      <c r="S2559" s="22" t="s">
        <v>18373</v>
      </c>
      <c r="X2559" s="26"/>
      <c r="Y2559" s="26"/>
    </row>
    <row r="2560" spans="1:25" ht="62.5" x14ac:dyDescent="0.25">
      <c r="A2560" s="21">
        <v>2825</v>
      </c>
      <c r="B2560" s="22" t="s">
        <v>15346</v>
      </c>
      <c r="C2560" s="22" t="s">
        <v>18374</v>
      </c>
      <c r="E2560" s="24">
        <v>2001</v>
      </c>
      <c r="F2560" s="22" t="s">
        <v>18375</v>
      </c>
      <c r="G2560" s="23" t="s">
        <v>18376</v>
      </c>
      <c r="H2560" s="25" t="s">
        <v>15373</v>
      </c>
      <c r="I2560" s="22" t="s">
        <v>15374</v>
      </c>
      <c r="J2560" s="22" t="s">
        <v>15677</v>
      </c>
      <c r="K2560" s="26">
        <f t="shared" si="39"/>
        <v>2000</v>
      </c>
      <c r="L2560" s="26">
        <v>2000</v>
      </c>
      <c r="O2560" s="22" t="s">
        <v>17041</v>
      </c>
      <c r="P2560" s="22" t="s">
        <v>18325</v>
      </c>
      <c r="Q2560" s="22">
        <v>93215</v>
      </c>
      <c r="S2560" s="22" t="s">
        <v>18377</v>
      </c>
      <c r="X2560" s="26"/>
      <c r="Y2560" s="26"/>
    </row>
    <row r="2561" spans="1:25" ht="62.5" x14ac:dyDescent="0.25">
      <c r="A2561" s="21">
        <v>2826</v>
      </c>
      <c r="B2561" s="22" t="s">
        <v>15346</v>
      </c>
      <c r="C2561" s="22" t="s">
        <v>18374</v>
      </c>
      <c r="E2561" s="24">
        <v>2001</v>
      </c>
      <c r="F2561" s="22" t="s">
        <v>18378</v>
      </c>
      <c r="G2561" s="23" t="s">
        <v>18379</v>
      </c>
      <c r="H2561" s="25" t="s">
        <v>15373</v>
      </c>
      <c r="I2561" s="22" t="s">
        <v>15374</v>
      </c>
      <c r="J2561" s="22" t="s">
        <v>15677</v>
      </c>
      <c r="K2561" s="26">
        <f t="shared" ref="K2561:K2624" si="40">L2561+M2561*(2/3)+N2561*(2/3)</f>
        <v>2000</v>
      </c>
      <c r="L2561" s="26">
        <v>2000</v>
      </c>
      <c r="O2561" s="22" t="s">
        <v>17041</v>
      </c>
      <c r="P2561" s="22" t="s">
        <v>18325</v>
      </c>
      <c r="Q2561" s="22">
        <v>93215</v>
      </c>
      <c r="S2561" s="22" t="s">
        <v>18377</v>
      </c>
      <c r="X2561" s="26"/>
      <c r="Y2561" s="26"/>
    </row>
    <row r="2562" spans="1:25" ht="25" x14ac:dyDescent="0.25">
      <c r="A2562" s="21">
        <v>2827</v>
      </c>
      <c r="B2562" s="22" t="s">
        <v>15346</v>
      </c>
      <c r="C2562" s="22" t="s">
        <v>18380</v>
      </c>
      <c r="E2562" s="24">
        <v>2001</v>
      </c>
      <c r="F2562" s="22" t="s">
        <v>18381</v>
      </c>
      <c r="G2562" s="23" t="s">
        <v>18382</v>
      </c>
      <c r="H2562" s="25" t="s">
        <v>15373</v>
      </c>
      <c r="I2562" s="22" t="s">
        <v>15382</v>
      </c>
      <c r="J2562" s="22" t="s">
        <v>15391</v>
      </c>
      <c r="K2562" s="26">
        <f t="shared" si="40"/>
        <v>1500</v>
      </c>
      <c r="L2562" s="26">
        <v>1500</v>
      </c>
      <c r="O2562" s="22" t="s">
        <v>18383</v>
      </c>
      <c r="P2562" s="22" t="s">
        <v>18303</v>
      </c>
      <c r="Q2562" s="22" t="s">
        <v>18384</v>
      </c>
      <c r="S2562" s="22" t="s">
        <v>18385</v>
      </c>
      <c r="X2562" s="26"/>
      <c r="Y2562" s="26"/>
    </row>
    <row r="2563" spans="1:25" ht="37.5" x14ac:dyDescent="0.25">
      <c r="A2563" s="21">
        <v>2828</v>
      </c>
      <c r="B2563" s="22" t="s">
        <v>15346</v>
      </c>
      <c r="C2563" s="22" t="s">
        <v>18380</v>
      </c>
      <c r="E2563" s="24">
        <v>2001</v>
      </c>
      <c r="F2563" s="22" t="s">
        <v>18386</v>
      </c>
      <c r="G2563" s="23" t="s">
        <v>18387</v>
      </c>
      <c r="H2563" s="25" t="s">
        <v>15373</v>
      </c>
      <c r="I2563" s="22" t="s">
        <v>15382</v>
      </c>
      <c r="J2563" s="22" t="s">
        <v>15391</v>
      </c>
      <c r="K2563" s="26">
        <f t="shared" si="40"/>
        <v>1850</v>
      </c>
      <c r="L2563" s="26">
        <v>1850</v>
      </c>
      <c r="O2563" s="22" t="s">
        <v>18388</v>
      </c>
      <c r="P2563" s="22" t="s">
        <v>18389</v>
      </c>
      <c r="Q2563" s="22" t="s">
        <v>18390</v>
      </c>
      <c r="S2563" s="22" t="s">
        <v>18391</v>
      </c>
      <c r="X2563" s="26"/>
      <c r="Y2563" s="26"/>
    </row>
    <row r="2564" spans="1:25" ht="37.5" x14ac:dyDescent="0.25">
      <c r="A2564" s="21">
        <v>2829</v>
      </c>
      <c r="B2564" s="22" t="s">
        <v>15346</v>
      </c>
      <c r="C2564" s="22" t="s">
        <v>17137</v>
      </c>
      <c r="E2564" s="24">
        <v>2001</v>
      </c>
      <c r="F2564" s="22" t="s">
        <v>18392</v>
      </c>
      <c r="G2564" s="23" t="s">
        <v>18393</v>
      </c>
      <c r="H2564" s="25" t="s">
        <v>15373</v>
      </c>
      <c r="I2564" s="22" t="s">
        <v>15382</v>
      </c>
      <c r="J2564" s="22" t="s">
        <v>16569</v>
      </c>
      <c r="K2564" s="26">
        <f t="shared" si="40"/>
        <v>403.33333333333331</v>
      </c>
      <c r="N2564" s="26">
        <v>605</v>
      </c>
      <c r="O2564" s="22" t="s">
        <v>18394</v>
      </c>
      <c r="P2564" s="22" t="s">
        <v>18389</v>
      </c>
      <c r="Q2564" s="22" t="s">
        <v>18395</v>
      </c>
      <c r="S2564" s="22" t="s">
        <v>18396</v>
      </c>
      <c r="X2564" s="26"/>
      <c r="Y2564" s="26"/>
    </row>
    <row r="2565" spans="1:25" ht="37.5" x14ac:dyDescent="0.25">
      <c r="A2565" s="21">
        <v>2830</v>
      </c>
      <c r="B2565" s="22" t="s">
        <v>15346</v>
      </c>
      <c r="C2565" s="22" t="s">
        <v>18397</v>
      </c>
      <c r="E2565" s="24">
        <v>2001</v>
      </c>
      <c r="F2565" s="22" t="s">
        <v>18398</v>
      </c>
      <c r="G2565" s="23" t="s">
        <v>18399</v>
      </c>
      <c r="H2565" s="25" t="s">
        <v>15373</v>
      </c>
      <c r="I2565" s="22" t="s">
        <v>15382</v>
      </c>
      <c r="J2565" s="22" t="s">
        <v>16792</v>
      </c>
      <c r="K2565" s="26">
        <f t="shared" si="40"/>
        <v>300</v>
      </c>
      <c r="L2565" s="26">
        <v>300</v>
      </c>
      <c r="O2565" s="22" t="s">
        <v>18400</v>
      </c>
      <c r="P2565" s="22" t="s">
        <v>18401</v>
      </c>
      <c r="Q2565" s="22" t="s">
        <v>18402</v>
      </c>
      <c r="S2565" s="22" t="s">
        <v>18338</v>
      </c>
      <c r="X2565" s="26"/>
      <c r="Y2565" s="26"/>
    </row>
    <row r="2566" spans="1:25" ht="37.5" x14ac:dyDescent="0.25">
      <c r="A2566" s="21">
        <v>2831</v>
      </c>
      <c r="B2566" s="22" t="s">
        <v>15346</v>
      </c>
      <c r="C2566" s="22" t="s">
        <v>18403</v>
      </c>
      <c r="E2566" s="24">
        <v>2001</v>
      </c>
      <c r="F2566" s="22" t="s">
        <v>18404</v>
      </c>
      <c r="G2566" s="23" t="s">
        <v>18405</v>
      </c>
      <c r="H2566" s="25" t="s">
        <v>15373</v>
      </c>
      <c r="I2566" s="22" t="s">
        <v>14275</v>
      </c>
      <c r="J2566" s="22" t="s">
        <v>18406</v>
      </c>
      <c r="K2566" s="26">
        <f t="shared" si="40"/>
        <v>450</v>
      </c>
      <c r="L2566" s="26">
        <v>450</v>
      </c>
      <c r="O2566" s="22" t="s">
        <v>18407</v>
      </c>
      <c r="P2566" s="22" t="s">
        <v>18408</v>
      </c>
      <c r="Q2566" s="22" t="s">
        <v>18409</v>
      </c>
      <c r="S2566" s="22" t="s">
        <v>16976</v>
      </c>
      <c r="X2566" s="26"/>
      <c r="Y2566" s="26"/>
    </row>
    <row r="2567" spans="1:25" ht="25" x14ac:dyDescent="0.25">
      <c r="A2567" s="21">
        <v>2832</v>
      </c>
      <c r="B2567" s="22" t="s">
        <v>15346</v>
      </c>
      <c r="C2567" s="22" t="s">
        <v>17222</v>
      </c>
      <c r="E2567" s="24">
        <v>2000</v>
      </c>
      <c r="F2567" s="22" t="s">
        <v>18410</v>
      </c>
      <c r="G2567" s="23" t="s">
        <v>18411</v>
      </c>
      <c r="H2567" s="25" t="s">
        <v>15373</v>
      </c>
      <c r="I2567" s="22" t="s">
        <v>15374</v>
      </c>
      <c r="J2567" s="22">
        <v>3412</v>
      </c>
      <c r="K2567" s="26">
        <f t="shared" si="40"/>
        <v>750</v>
      </c>
      <c r="L2567" s="26">
        <v>750</v>
      </c>
      <c r="O2567" s="22" t="s">
        <v>18412</v>
      </c>
      <c r="P2567" s="22" t="s">
        <v>18303</v>
      </c>
      <c r="Q2567" s="22" t="s">
        <v>18337</v>
      </c>
      <c r="S2567" s="22" t="s">
        <v>17227</v>
      </c>
      <c r="X2567" s="26"/>
      <c r="Y2567" s="26"/>
    </row>
    <row r="2568" spans="1:25" ht="25" x14ac:dyDescent="0.25">
      <c r="A2568" s="21">
        <v>2833</v>
      </c>
      <c r="B2568" s="22" t="s">
        <v>15346</v>
      </c>
      <c r="C2568" s="22" t="s">
        <v>17278</v>
      </c>
      <c r="E2568" s="24">
        <v>2001</v>
      </c>
      <c r="F2568" s="22" t="s">
        <v>18413</v>
      </c>
      <c r="G2568" s="23" t="s">
        <v>18414</v>
      </c>
      <c r="H2568" s="25" t="s">
        <v>15373</v>
      </c>
      <c r="I2568" s="22" t="s">
        <v>15382</v>
      </c>
      <c r="J2568" s="22" t="s">
        <v>18415</v>
      </c>
      <c r="K2568" s="26">
        <f t="shared" si="40"/>
        <v>450</v>
      </c>
      <c r="L2568" s="26">
        <v>450</v>
      </c>
      <c r="O2568" s="22" t="s">
        <v>18416</v>
      </c>
      <c r="P2568" s="22" t="s">
        <v>18417</v>
      </c>
      <c r="Q2568" s="22">
        <v>95340</v>
      </c>
      <c r="S2568" s="22" t="s">
        <v>16976</v>
      </c>
      <c r="X2568" s="26"/>
      <c r="Y2568" s="26"/>
    </row>
    <row r="2569" spans="1:25" ht="37.5" x14ac:dyDescent="0.25">
      <c r="A2569" s="21">
        <v>2834</v>
      </c>
      <c r="B2569" s="22" t="s">
        <v>15346</v>
      </c>
      <c r="C2569" s="22" t="s">
        <v>17278</v>
      </c>
      <c r="E2569" s="24">
        <v>2001</v>
      </c>
      <c r="F2569" s="22" t="s">
        <v>18418</v>
      </c>
      <c r="G2569" s="23" t="s">
        <v>18420</v>
      </c>
      <c r="H2569" s="25" t="s">
        <v>15373</v>
      </c>
      <c r="I2569" s="22" t="s">
        <v>15382</v>
      </c>
      <c r="J2569" s="22" t="s">
        <v>18421</v>
      </c>
      <c r="K2569" s="26">
        <f t="shared" si="40"/>
        <v>450</v>
      </c>
      <c r="L2569" s="26">
        <v>450</v>
      </c>
      <c r="O2569" s="22" t="s">
        <v>18422</v>
      </c>
      <c r="P2569" s="22" t="s">
        <v>18417</v>
      </c>
      <c r="Q2569" s="22">
        <v>95340</v>
      </c>
      <c r="S2569" s="22" t="s">
        <v>16976</v>
      </c>
      <c r="X2569" s="26"/>
      <c r="Y2569" s="26"/>
    </row>
    <row r="2570" spans="1:25" ht="37.5" x14ac:dyDescent="0.25">
      <c r="A2570" s="21">
        <v>2835</v>
      </c>
      <c r="B2570" s="22" t="s">
        <v>15346</v>
      </c>
      <c r="C2570" s="22" t="s">
        <v>17278</v>
      </c>
      <c r="E2570" s="24">
        <v>2001</v>
      </c>
      <c r="F2570" s="22" t="s">
        <v>18423</v>
      </c>
      <c r="G2570" s="23" t="s">
        <v>18424</v>
      </c>
      <c r="H2570" s="25" t="s">
        <v>15373</v>
      </c>
      <c r="I2570" s="22" t="s">
        <v>15382</v>
      </c>
      <c r="J2570" s="22" t="s">
        <v>18421</v>
      </c>
      <c r="K2570" s="26">
        <f t="shared" si="40"/>
        <v>450</v>
      </c>
      <c r="L2570" s="26">
        <v>450</v>
      </c>
      <c r="O2570" s="22" t="s">
        <v>18425</v>
      </c>
      <c r="P2570" s="22" t="s">
        <v>18417</v>
      </c>
      <c r="Q2570" s="22">
        <v>95340</v>
      </c>
      <c r="S2570" s="22" t="s">
        <v>16976</v>
      </c>
      <c r="X2570" s="26"/>
      <c r="Y2570" s="26"/>
    </row>
    <row r="2571" spans="1:25" ht="37.5" x14ac:dyDescent="0.25">
      <c r="A2571" s="21">
        <v>2836</v>
      </c>
      <c r="B2571" s="22" t="s">
        <v>15346</v>
      </c>
      <c r="C2571" s="22" t="s">
        <v>17278</v>
      </c>
      <c r="E2571" s="24">
        <v>2001</v>
      </c>
      <c r="F2571" s="22" t="s">
        <v>18426</v>
      </c>
      <c r="G2571" s="23" t="s">
        <v>18427</v>
      </c>
      <c r="H2571" s="25" t="s">
        <v>15373</v>
      </c>
      <c r="I2571" s="22" t="s">
        <v>15382</v>
      </c>
      <c r="J2571" s="22" t="s">
        <v>18421</v>
      </c>
      <c r="K2571" s="26">
        <f t="shared" si="40"/>
        <v>450</v>
      </c>
      <c r="L2571" s="26">
        <v>450</v>
      </c>
      <c r="O2571" s="22" t="s">
        <v>18428</v>
      </c>
      <c r="P2571" s="22" t="s">
        <v>18417</v>
      </c>
      <c r="Q2571" s="22">
        <v>95340</v>
      </c>
      <c r="S2571" s="22" t="s">
        <v>16976</v>
      </c>
      <c r="X2571" s="26"/>
      <c r="Y2571" s="26"/>
    </row>
    <row r="2572" spans="1:25" ht="62.5" x14ac:dyDescent="0.25">
      <c r="A2572" s="21">
        <v>2837</v>
      </c>
      <c r="B2572" s="22" t="s">
        <v>15346</v>
      </c>
      <c r="C2572" s="22" t="s">
        <v>17285</v>
      </c>
      <c r="E2572" s="24">
        <v>2000</v>
      </c>
      <c r="F2572" s="22" t="s">
        <v>18429</v>
      </c>
      <c r="G2572" s="23" t="s">
        <v>18430</v>
      </c>
      <c r="H2572" s="25" t="s">
        <v>15373</v>
      </c>
      <c r="I2572" s="22" t="s">
        <v>15411</v>
      </c>
      <c r="J2572" s="22" t="s">
        <v>18431</v>
      </c>
      <c r="K2572" s="26">
        <f t="shared" si="40"/>
        <v>800</v>
      </c>
      <c r="N2572" s="26">
        <v>1200</v>
      </c>
      <c r="O2572" s="22" t="s">
        <v>18432</v>
      </c>
      <c r="P2572" s="22" t="s">
        <v>18343</v>
      </c>
      <c r="Q2572" s="22" t="s">
        <v>18433</v>
      </c>
      <c r="S2572" s="22" t="s">
        <v>16976</v>
      </c>
      <c r="X2572" s="26"/>
      <c r="Y2572" s="26"/>
    </row>
    <row r="2573" spans="1:25" ht="37.5" x14ac:dyDescent="0.25">
      <c r="A2573" s="21">
        <v>2838</v>
      </c>
      <c r="B2573" s="22" t="s">
        <v>15346</v>
      </c>
      <c r="C2573" s="22" t="s">
        <v>18434</v>
      </c>
      <c r="E2573" s="24">
        <v>2002</v>
      </c>
      <c r="F2573" s="22" t="s">
        <v>18435</v>
      </c>
      <c r="G2573" s="23" t="s">
        <v>18436</v>
      </c>
      <c r="H2573" s="25" t="s">
        <v>15373</v>
      </c>
      <c r="I2573" s="22" t="s">
        <v>15382</v>
      </c>
      <c r="J2573" s="22" t="s">
        <v>16799</v>
      </c>
      <c r="K2573" s="26">
        <f t="shared" si="40"/>
        <v>400</v>
      </c>
      <c r="L2573" s="26">
        <v>400</v>
      </c>
      <c r="O2573" s="22" t="s">
        <v>18437</v>
      </c>
      <c r="P2573" s="22" t="s">
        <v>18343</v>
      </c>
      <c r="Q2573" s="22">
        <v>95358</v>
      </c>
      <c r="S2573" s="22" t="s">
        <v>18338</v>
      </c>
      <c r="X2573" s="26"/>
      <c r="Y2573" s="26"/>
    </row>
    <row r="2574" spans="1:25" ht="25" x14ac:dyDescent="0.25">
      <c r="A2574" s="21">
        <v>2839</v>
      </c>
      <c r="B2574" s="22" t="s">
        <v>15346</v>
      </c>
      <c r="C2574" s="22" t="s">
        <v>17291</v>
      </c>
      <c r="E2574" s="24">
        <v>2000</v>
      </c>
      <c r="F2574" s="22" t="s">
        <v>18438</v>
      </c>
      <c r="G2574" s="23" t="s">
        <v>18439</v>
      </c>
      <c r="H2574" s="25" t="s">
        <v>15373</v>
      </c>
      <c r="I2574" s="22" t="s">
        <v>15382</v>
      </c>
      <c r="J2574" s="22" t="s">
        <v>15723</v>
      </c>
      <c r="K2574" s="26">
        <f t="shared" si="40"/>
        <v>1250</v>
      </c>
      <c r="L2574" s="26">
        <v>1250</v>
      </c>
      <c r="O2574" s="22" t="s">
        <v>17295</v>
      </c>
      <c r="P2574" s="22" t="s">
        <v>18343</v>
      </c>
      <c r="Q2574" s="22" t="s">
        <v>18440</v>
      </c>
      <c r="S2574" s="22" t="s">
        <v>17297</v>
      </c>
      <c r="X2574" s="26"/>
      <c r="Y2574" s="26"/>
    </row>
    <row r="2575" spans="1:25" ht="25" x14ac:dyDescent="0.25">
      <c r="A2575" s="21">
        <v>2840</v>
      </c>
      <c r="B2575" s="22" t="s">
        <v>15346</v>
      </c>
      <c r="C2575" s="22" t="s">
        <v>18441</v>
      </c>
      <c r="E2575" s="24">
        <v>2002</v>
      </c>
      <c r="F2575" s="22" t="s">
        <v>18442</v>
      </c>
      <c r="G2575" s="23" t="s">
        <v>18443</v>
      </c>
      <c r="H2575" s="25" t="s">
        <v>15373</v>
      </c>
      <c r="I2575" s="22" t="s">
        <v>15382</v>
      </c>
      <c r="J2575" s="22" t="s">
        <v>16792</v>
      </c>
      <c r="K2575" s="26">
        <f t="shared" si="40"/>
        <v>356.66666666666663</v>
      </c>
      <c r="N2575" s="26">
        <v>535</v>
      </c>
      <c r="O2575" s="22" t="s">
        <v>18444</v>
      </c>
      <c r="P2575" s="22" t="s">
        <v>18445</v>
      </c>
      <c r="Q2575" s="22" t="s">
        <v>18446</v>
      </c>
      <c r="S2575" s="22" t="s">
        <v>18338</v>
      </c>
      <c r="X2575" s="26"/>
      <c r="Y2575" s="26"/>
    </row>
    <row r="2576" spans="1:25" ht="50" x14ac:dyDescent="0.25">
      <c r="A2576" s="21">
        <v>2841</v>
      </c>
      <c r="B2576" s="22" t="s">
        <v>15346</v>
      </c>
      <c r="C2576" s="22" t="s">
        <v>18447</v>
      </c>
      <c r="E2576" s="24">
        <v>2001</v>
      </c>
      <c r="F2576" s="22" t="s">
        <v>18448</v>
      </c>
      <c r="G2576" s="23" t="s">
        <v>18449</v>
      </c>
      <c r="H2576" s="25" t="s">
        <v>15373</v>
      </c>
      <c r="I2576" s="22" t="s">
        <v>15411</v>
      </c>
      <c r="J2576" s="22" t="s">
        <v>10157</v>
      </c>
      <c r="K2576" s="26">
        <f t="shared" si="40"/>
        <v>755</v>
      </c>
      <c r="L2576" s="26">
        <v>755</v>
      </c>
      <c r="O2576" s="22" t="s">
        <v>18450</v>
      </c>
      <c r="P2576" s="22" t="s">
        <v>18284</v>
      </c>
      <c r="Q2576" s="22" t="s">
        <v>18451</v>
      </c>
      <c r="S2576" s="22" t="s">
        <v>16976</v>
      </c>
      <c r="X2576" s="26"/>
      <c r="Y2576" s="26"/>
    </row>
    <row r="2577" spans="1:25" ht="25" x14ac:dyDescent="0.25">
      <c r="A2577" s="21">
        <v>2842</v>
      </c>
      <c r="B2577" s="22" t="s">
        <v>15346</v>
      </c>
      <c r="C2577" s="22" t="s">
        <v>17311</v>
      </c>
      <c r="E2577" s="24">
        <v>2001</v>
      </c>
      <c r="F2577" s="22" t="s">
        <v>18452</v>
      </c>
      <c r="G2577" s="23" t="s">
        <v>18453</v>
      </c>
      <c r="H2577" s="25" t="s">
        <v>15373</v>
      </c>
      <c r="I2577" s="22" t="s">
        <v>15411</v>
      </c>
      <c r="J2577" s="22" t="s">
        <v>18454</v>
      </c>
      <c r="K2577" s="26">
        <f t="shared" si="40"/>
        <v>300</v>
      </c>
      <c r="L2577" s="26">
        <v>300</v>
      </c>
      <c r="O2577" s="22" t="s">
        <v>18455</v>
      </c>
      <c r="P2577" s="22" t="s">
        <v>18456</v>
      </c>
      <c r="Q2577" s="22" t="s">
        <v>18457</v>
      </c>
      <c r="S2577" s="22" t="s">
        <v>18338</v>
      </c>
      <c r="X2577" s="26"/>
      <c r="Y2577" s="26"/>
    </row>
    <row r="2578" spans="1:25" ht="25" x14ac:dyDescent="0.25">
      <c r="A2578" s="21">
        <v>2843</v>
      </c>
      <c r="B2578" s="22" t="s">
        <v>15346</v>
      </c>
      <c r="C2578" s="22" t="s">
        <v>18458</v>
      </c>
      <c r="E2578" s="24">
        <v>2001</v>
      </c>
      <c r="F2578" s="22" t="s">
        <v>18459</v>
      </c>
      <c r="G2578" s="23" t="s">
        <v>18460</v>
      </c>
      <c r="H2578" s="25" t="s">
        <v>15373</v>
      </c>
      <c r="I2578" s="22" t="s">
        <v>15382</v>
      </c>
      <c r="J2578" s="22" t="s">
        <v>15391</v>
      </c>
      <c r="K2578" s="26">
        <f t="shared" si="40"/>
        <v>1250</v>
      </c>
      <c r="L2578" s="26">
        <v>1250</v>
      </c>
      <c r="O2578" s="22" t="s">
        <v>18461</v>
      </c>
      <c r="P2578" s="22" t="s">
        <v>18303</v>
      </c>
      <c r="Q2578" s="22">
        <v>93721</v>
      </c>
      <c r="S2578" s="22" t="s">
        <v>18338</v>
      </c>
      <c r="X2578" s="26"/>
      <c r="Y2578" s="26"/>
    </row>
    <row r="2579" spans="1:25" ht="37.5" x14ac:dyDescent="0.25">
      <c r="A2579" s="21">
        <v>2844</v>
      </c>
      <c r="B2579" s="22" t="s">
        <v>15346</v>
      </c>
      <c r="C2579" s="22" t="s">
        <v>18458</v>
      </c>
      <c r="E2579" s="24">
        <v>2001</v>
      </c>
      <c r="F2579" s="22" t="s">
        <v>18462</v>
      </c>
      <c r="G2579" s="23" t="s">
        <v>18463</v>
      </c>
      <c r="H2579" s="25" t="s">
        <v>15373</v>
      </c>
      <c r="I2579" s="22" t="s">
        <v>15382</v>
      </c>
      <c r="J2579" s="22" t="s">
        <v>15955</v>
      </c>
      <c r="K2579" s="26">
        <f t="shared" si="40"/>
        <v>756.66666666666663</v>
      </c>
      <c r="M2579" s="26">
        <v>1135</v>
      </c>
      <c r="O2579" s="22" t="s">
        <v>18464</v>
      </c>
      <c r="P2579" s="22" t="s">
        <v>18303</v>
      </c>
      <c r="Q2579" s="22" t="s">
        <v>18465</v>
      </c>
      <c r="S2579" s="22" t="s">
        <v>18338</v>
      </c>
      <c r="X2579" s="26"/>
      <c r="Y2579" s="26"/>
    </row>
    <row r="2580" spans="1:25" ht="37.5" x14ac:dyDescent="0.25">
      <c r="A2580" s="21">
        <v>2845</v>
      </c>
      <c r="B2580" s="22" t="s">
        <v>15346</v>
      </c>
      <c r="C2580" s="22" t="s">
        <v>18466</v>
      </c>
      <c r="E2580" s="24">
        <v>2002</v>
      </c>
      <c r="F2580" s="22" t="s">
        <v>18467</v>
      </c>
      <c r="G2580" s="23" t="s">
        <v>18468</v>
      </c>
      <c r="H2580" s="25" t="s">
        <v>15373</v>
      </c>
      <c r="I2580" s="22" t="s">
        <v>18469</v>
      </c>
      <c r="J2580" s="22">
        <v>3406</v>
      </c>
      <c r="K2580" s="26">
        <f t="shared" si="40"/>
        <v>400</v>
      </c>
      <c r="L2580" s="26">
        <v>400</v>
      </c>
      <c r="O2580" s="22" t="s">
        <v>18470</v>
      </c>
      <c r="P2580" s="22" t="s">
        <v>18343</v>
      </c>
      <c r="Q2580" s="22">
        <v>95354</v>
      </c>
      <c r="X2580" s="26"/>
      <c r="Y2580" s="26"/>
    </row>
    <row r="2581" spans="1:25" ht="25" x14ac:dyDescent="0.25">
      <c r="A2581" s="21">
        <v>2846</v>
      </c>
      <c r="B2581" s="22" t="s">
        <v>15346</v>
      </c>
      <c r="C2581" s="22" t="s">
        <v>18471</v>
      </c>
      <c r="E2581" s="24">
        <v>2002</v>
      </c>
      <c r="F2581" s="22" t="s">
        <v>18472</v>
      </c>
      <c r="G2581" s="23" t="s">
        <v>18473</v>
      </c>
      <c r="H2581" s="25" t="s">
        <v>15373</v>
      </c>
      <c r="I2581" s="22" t="s">
        <v>16907</v>
      </c>
      <c r="J2581" s="22" t="s">
        <v>16276</v>
      </c>
      <c r="K2581" s="26">
        <f t="shared" si="40"/>
        <v>350</v>
      </c>
      <c r="L2581" s="26">
        <v>350</v>
      </c>
      <c r="O2581" s="22" t="s">
        <v>18474</v>
      </c>
      <c r="P2581" s="22" t="s">
        <v>18298</v>
      </c>
      <c r="Q2581" s="22">
        <v>93277</v>
      </c>
      <c r="S2581" s="22" t="s">
        <v>18475</v>
      </c>
      <c r="X2581" s="26"/>
      <c r="Y2581" s="26"/>
    </row>
    <row r="2582" spans="1:25" ht="37.5" x14ac:dyDescent="0.25">
      <c r="A2582" s="21">
        <v>2847</v>
      </c>
      <c r="B2582" s="22" t="s">
        <v>15346</v>
      </c>
      <c r="C2582" s="22" t="s">
        <v>18476</v>
      </c>
      <c r="E2582" s="24">
        <v>2001</v>
      </c>
      <c r="F2582" s="22" t="s">
        <v>18477</v>
      </c>
      <c r="G2582" s="23" t="s">
        <v>18478</v>
      </c>
      <c r="H2582" s="25" t="s">
        <v>15373</v>
      </c>
      <c r="I2582" s="22" t="s">
        <v>15382</v>
      </c>
      <c r="J2582" s="22" t="s">
        <v>16569</v>
      </c>
      <c r="K2582" s="26">
        <f t="shared" si="40"/>
        <v>400</v>
      </c>
      <c r="L2582" s="26">
        <v>400</v>
      </c>
      <c r="O2582" s="22" t="s">
        <v>18479</v>
      </c>
      <c r="P2582" s="22" t="s">
        <v>18325</v>
      </c>
      <c r="Q2582" s="22" t="s">
        <v>18332</v>
      </c>
      <c r="S2582" s="22" t="s">
        <v>18480</v>
      </c>
      <c r="X2582" s="26"/>
      <c r="Y2582" s="26"/>
    </row>
    <row r="2583" spans="1:25" ht="37.5" x14ac:dyDescent="0.25">
      <c r="A2583" s="21">
        <v>2848</v>
      </c>
      <c r="B2583" s="22" t="s">
        <v>15346</v>
      </c>
      <c r="C2583" s="22" t="s">
        <v>18481</v>
      </c>
      <c r="E2583" s="24">
        <v>2000</v>
      </c>
      <c r="F2583" s="22" t="s">
        <v>18482</v>
      </c>
      <c r="G2583" s="23" t="s">
        <v>18483</v>
      </c>
      <c r="H2583" s="25" t="s">
        <v>15373</v>
      </c>
      <c r="I2583" s="22" t="s">
        <v>15411</v>
      </c>
      <c r="J2583" s="22" t="s">
        <v>6673</v>
      </c>
      <c r="K2583" s="26">
        <f t="shared" si="40"/>
        <v>750</v>
      </c>
      <c r="L2583" s="26">
        <v>750</v>
      </c>
      <c r="O2583" s="22" t="s">
        <v>18484</v>
      </c>
      <c r="P2583" s="22" t="s">
        <v>18485</v>
      </c>
      <c r="Q2583" s="22" t="s">
        <v>18486</v>
      </c>
      <c r="S2583" s="22" t="s">
        <v>16976</v>
      </c>
      <c r="X2583" s="26"/>
      <c r="Y2583" s="26"/>
    </row>
    <row r="2584" spans="1:25" ht="50" x14ac:dyDescent="0.25">
      <c r="A2584" s="21">
        <v>2849</v>
      </c>
      <c r="B2584" s="22" t="s">
        <v>15346</v>
      </c>
      <c r="C2584" s="22" t="s">
        <v>18487</v>
      </c>
      <c r="E2584" s="24">
        <v>2001</v>
      </c>
      <c r="F2584" s="22" t="s">
        <v>18488</v>
      </c>
      <c r="G2584" s="23" t="s">
        <v>18489</v>
      </c>
      <c r="H2584" s="25" t="s">
        <v>15373</v>
      </c>
      <c r="I2584" s="22" t="s">
        <v>14275</v>
      </c>
      <c r="J2584" s="22" t="s">
        <v>18490</v>
      </c>
      <c r="K2584" s="26">
        <f t="shared" si="40"/>
        <v>392</v>
      </c>
      <c r="L2584" s="26">
        <v>392</v>
      </c>
      <c r="O2584" s="22" t="s">
        <v>18491</v>
      </c>
      <c r="P2584" s="22" t="s">
        <v>18492</v>
      </c>
      <c r="Q2584" s="22" t="s">
        <v>18493</v>
      </c>
      <c r="S2584" s="22" t="s">
        <v>18494</v>
      </c>
      <c r="X2584" s="26"/>
      <c r="Y2584" s="26"/>
    </row>
    <row r="2585" spans="1:25" ht="25" x14ac:dyDescent="0.25">
      <c r="A2585" s="21">
        <v>2850</v>
      </c>
      <c r="B2585" s="22" t="s">
        <v>15346</v>
      </c>
      <c r="C2585" s="22" t="s">
        <v>18495</v>
      </c>
      <c r="E2585" s="24">
        <v>2001</v>
      </c>
      <c r="F2585" s="22" t="s">
        <v>18496</v>
      </c>
      <c r="G2585" s="23" t="s">
        <v>18497</v>
      </c>
      <c r="H2585" s="25" t="s">
        <v>15373</v>
      </c>
      <c r="I2585" s="22" t="s">
        <v>15374</v>
      </c>
      <c r="J2585" s="22">
        <v>3406</v>
      </c>
      <c r="K2585" s="26">
        <f t="shared" si="40"/>
        <v>300</v>
      </c>
      <c r="L2585" s="26">
        <v>300</v>
      </c>
      <c r="O2585" s="22" t="s">
        <v>18498</v>
      </c>
      <c r="P2585" s="22" t="s">
        <v>18499</v>
      </c>
      <c r="Q2585" s="22">
        <v>95334</v>
      </c>
      <c r="X2585" s="26"/>
      <c r="Y2585" s="26"/>
    </row>
    <row r="2586" spans="1:25" ht="25" x14ac:dyDescent="0.25">
      <c r="A2586" s="21">
        <v>2851</v>
      </c>
      <c r="B2586" s="22" t="s">
        <v>15346</v>
      </c>
      <c r="C2586" s="22" t="s">
        <v>16022</v>
      </c>
      <c r="E2586" s="24">
        <v>2001</v>
      </c>
      <c r="F2586" s="22" t="s">
        <v>18500</v>
      </c>
      <c r="G2586" s="23" t="s">
        <v>18501</v>
      </c>
      <c r="H2586" s="25" t="s">
        <v>15373</v>
      </c>
      <c r="I2586" s="22" t="s">
        <v>15374</v>
      </c>
      <c r="J2586" s="22">
        <v>3516</v>
      </c>
      <c r="K2586" s="26">
        <f t="shared" si="40"/>
        <v>2000</v>
      </c>
      <c r="L2586" s="26">
        <v>2000</v>
      </c>
      <c r="O2586" s="22" t="s">
        <v>16025</v>
      </c>
      <c r="P2586" s="22" t="s">
        <v>18303</v>
      </c>
      <c r="Q2586" s="22" t="s">
        <v>18304</v>
      </c>
      <c r="S2586" s="22" t="s">
        <v>16027</v>
      </c>
      <c r="X2586" s="26"/>
      <c r="Y2586" s="26"/>
    </row>
    <row r="2587" spans="1:25" ht="25" x14ac:dyDescent="0.25">
      <c r="A2587" s="21">
        <v>2852</v>
      </c>
      <c r="B2587" s="22" t="s">
        <v>15346</v>
      </c>
      <c r="C2587" s="22" t="s">
        <v>16022</v>
      </c>
      <c r="E2587" s="24">
        <v>2001</v>
      </c>
      <c r="F2587" s="22" t="s">
        <v>18502</v>
      </c>
      <c r="G2587" s="23" t="s">
        <v>18501</v>
      </c>
      <c r="H2587" s="25" t="s">
        <v>15373</v>
      </c>
      <c r="I2587" s="22" t="s">
        <v>15374</v>
      </c>
      <c r="J2587" s="22">
        <v>3516</v>
      </c>
      <c r="K2587" s="26">
        <f t="shared" si="40"/>
        <v>2000</v>
      </c>
      <c r="L2587" s="26">
        <v>2000</v>
      </c>
      <c r="O2587" s="22" t="s">
        <v>16025</v>
      </c>
      <c r="P2587" s="22" t="s">
        <v>18303</v>
      </c>
      <c r="Q2587" s="22" t="s">
        <v>18304</v>
      </c>
      <c r="S2587" s="22" t="s">
        <v>16027</v>
      </c>
      <c r="X2587" s="26"/>
      <c r="Y2587" s="26"/>
    </row>
    <row r="2588" spans="1:25" ht="25" x14ac:dyDescent="0.25">
      <c r="A2588" s="21">
        <v>2853</v>
      </c>
      <c r="B2588" s="22" t="s">
        <v>15346</v>
      </c>
      <c r="C2588" s="22" t="s">
        <v>16022</v>
      </c>
      <c r="E2588" s="24">
        <v>2001</v>
      </c>
      <c r="F2588" s="22" t="s">
        <v>18503</v>
      </c>
      <c r="G2588" s="23" t="s">
        <v>18501</v>
      </c>
      <c r="H2588" s="25" t="s">
        <v>15373</v>
      </c>
      <c r="I2588" s="22" t="s">
        <v>15374</v>
      </c>
      <c r="J2588" s="22">
        <v>3516</v>
      </c>
      <c r="K2588" s="26">
        <f t="shared" si="40"/>
        <v>2000</v>
      </c>
      <c r="L2588" s="26">
        <v>2000</v>
      </c>
      <c r="O2588" s="22" t="s">
        <v>16025</v>
      </c>
      <c r="P2588" s="22" t="s">
        <v>18303</v>
      </c>
      <c r="Q2588" s="22" t="s">
        <v>18304</v>
      </c>
      <c r="S2588" s="22" t="s">
        <v>16027</v>
      </c>
      <c r="X2588" s="26"/>
      <c r="Y2588" s="26"/>
    </row>
    <row r="2589" spans="1:25" ht="25" x14ac:dyDescent="0.25">
      <c r="A2589" s="21">
        <v>2854</v>
      </c>
      <c r="B2589" s="22" t="s">
        <v>15346</v>
      </c>
      <c r="C2589" s="22" t="s">
        <v>16022</v>
      </c>
      <c r="E2589" s="24">
        <v>2001</v>
      </c>
      <c r="F2589" s="22" t="s">
        <v>18504</v>
      </c>
      <c r="G2589" s="23" t="s">
        <v>18501</v>
      </c>
      <c r="H2589" s="25" t="s">
        <v>15373</v>
      </c>
      <c r="I2589" s="22" t="s">
        <v>15374</v>
      </c>
      <c r="J2589" s="22">
        <v>3516</v>
      </c>
      <c r="K2589" s="26">
        <f t="shared" si="40"/>
        <v>2000</v>
      </c>
      <c r="L2589" s="26">
        <v>2000</v>
      </c>
      <c r="O2589" s="22" t="s">
        <v>16025</v>
      </c>
      <c r="P2589" s="22" t="s">
        <v>18303</v>
      </c>
      <c r="Q2589" s="22" t="s">
        <v>18304</v>
      </c>
      <c r="S2589" s="22" t="s">
        <v>16027</v>
      </c>
      <c r="X2589" s="26"/>
      <c r="Y2589" s="26"/>
    </row>
    <row r="2590" spans="1:25" ht="25" x14ac:dyDescent="0.25">
      <c r="A2590" s="21">
        <v>2855</v>
      </c>
      <c r="B2590" s="22" t="s">
        <v>15346</v>
      </c>
      <c r="C2590" s="22" t="s">
        <v>18505</v>
      </c>
      <c r="E2590" s="24">
        <v>2001</v>
      </c>
      <c r="F2590" s="22" t="s">
        <v>18506</v>
      </c>
      <c r="G2590" s="23" t="s">
        <v>18507</v>
      </c>
      <c r="H2590" s="25" t="s">
        <v>15373</v>
      </c>
      <c r="I2590" s="22" t="s">
        <v>15374</v>
      </c>
      <c r="J2590" s="22">
        <v>3406</v>
      </c>
      <c r="K2590" s="26">
        <f t="shared" si="40"/>
        <v>300</v>
      </c>
      <c r="L2590" s="26">
        <v>300</v>
      </c>
      <c r="O2590" s="22" t="s">
        <v>18508</v>
      </c>
      <c r="P2590" s="22" t="s">
        <v>18303</v>
      </c>
      <c r="Q2590" s="22" t="s">
        <v>18509</v>
      </c>
      <c r="S2590" s="22" t="s">
        <v>18338</v>
      </c>
      <c r="X2590" s="26"/>
      <c r="Y2590" s="26"/>
    </row>
    <row r="2591" spans="1:25" ht="25" x14ac:dyDescent="0.25">
      <c r="A2591" s="21">
        <v>2856</v>
      </c>
      <c r="B2591" s="22" t="s">
        <v>15346</v>
      </c>
      <c r="C2591" s="22" t="s">
        <v>16068</v>
      </c>
      <c r="E2591" s="24">
        <v>2001</v>
      </c>
      <c r="F2591" s="22" t="s">
        <v>18510</v>
      </c>
      <c r="G2591" s="23" t="s">
        <v>18511</v>
      </c>
      <c r="H2591" s="25" t="s">
        <v>15373</v>
      </c>
      <c r="I2591" s="22" t="s">
        <v>15374</v>
      </c>
      <c r="J2591" s="22" t="s">
        <v>12592</v>
      </c>
      <c r="K2591" s="26">
        <f t="shared" si="40"/>
        <v>1250</v>
      </c>
      <c r="L2591" s="26">
        <v>1250</v>
      </c>
      <c r="O2591" s="22" t="s">
        <v>16071</v>
      </c>
      <c r="P2591" s="22" t="s">
        <v>18303</v>
      </c>
      <c r="Q2591" s="22" t="s">
        <v>18337</v>
      </c>
      <c r="S2591" s="22" t="s">
        <v>16072</v>
      </c>
      <c r="X2591" s="26"/>
      <c r="Y2591" s="26"/>
    </row>
    <row r="2592" spans="1:25" ht="25" x14ac:dyDescent="0.25">
      <c r="A2592" s="21">
        <v>2857</v>
      </c>
      <c r="B2592" s="22" t="s">
        <v>15346</v>
      </c>
      <c r="C2592" s="22" t="s">
        <v>18512</v>
      </c>
      <c r="E2592" s="24">
        <v>2001</v>
      </c>
      <c r="F2592" s="22" t="s">
        <v>18513</v>
      </c>
      <c r="G2592" s="23" t="s">
        <v>18514</v>
      </c>
      <c r="H2592" s="25" t="s">
        <v>15373</v>
      </c>
      <c r="I2592" s="22" t="s">
        <v>15382</v>
      </c>
      <c r="J2592" s="22" t="s">
        <v>12903</v>
      </c>
      <c r="K2592" s="26">
        <f t="shared" si="40"/>
        <v>2000</v>
      </c>
      <c r="L2592" s="26">
        <v>2000</v>
      </c>
      <c r="O2592" s="22" t="s">
        <v>18515</v>
      </c>
      <c r="P2592" s="22" t="s">
        <v>18303</v>
      </c>
      <c r="Q2592" s="22" t="s">
        <v>15988</v>
      </c>
      <c r="S2592" s="22" t="s">
        <v>18516</v>
      </c>
      <c r="X2592" s="26"/>
      <c r="Y2592" s="26"/>
    </row>
    <row r="2593" spans="1:25" ht="25" x14ac:dyDescent="0.25">
      <c r="A2593" s="21">
        <v>2858</v>
      </c>
      <c r="B2593" s="22" t="s">
        <v>15346</v>
      </c>
      <c r="C2593" s="22" t="s">
        <v>18512</v>
      </c>
      <c r="E2593" s="24">
        <v>2001</v>
      </c>
      <c r="F2593" s="22" t="s">
        <v>18517</v>
      </c>
      <c r="G2593" s="23" t="s">
        <v>18382</v>
      </c>
      <c r="H2593" s="25" t="s">
        <v>15373</v>
      </c>
      <c r="I2593" s="22" t="s">
        <v>15382</v>
      </c>
      <c r="J2593" s="22" t="s">
        <v>15391</v>
      </c>
      <c r="K2593" s="26">
        <f t="shared" si="40"/>
        <v>1500</v>
      </c>
      <c r="L2593" s="26">
        <v>1500</v>
      </c>
      <c r="O2593" s="22" t="s">
        <v>18518</v>
      </c>
      <c r="P2593" s="22" t="s">
        <v>18519</v>
      </c>
      <c r="Q2593" s="22" t="s">
        <v>18520</v>
      </c>
      <c r="S2593" s="22" t="s">
        <v>18521</v>
      </c>
      <c r="X2593" s="26"/>
      <c r="Y2593" s="26"/>
    </row>
    <row r="2594" spans="1:25" ht="25" x14ac:dyDescent="0.25">
      <c r="A2594" s="21">
        <v>2859</v>
      </c>
      <c r="B2594" s="22" t="s">
        <v>15346</v>
      </c>
      <c r="C2594" s="22" t="s">
        <v>18512</v>
      </c>
      <c r="E2594" s="24">
        <v>2001</v>
      </c>
      <c r="F2594" s="22" t="s">
        <v>18522</v>
      </c>
      <c r="G2594" s="23" t="s">
        <v>18514</v>
      </c>
      <c r="H2594" s="25" t="s">
        <v>15373</v>
      </c>
      <c r="I2594" s="22" t="s">
        <v>15382</v>
      </c>
      <c r="J2594" s="22" t="s">
        <v>12903</v>
      </c>
      <c r="K2594" s="26">
        <f t="shared" si="40"/>
        <v>2000</v>
      </c>
      <c r="L2594" s="26">
        <v>2000</v>
      </c>
      <c r="O2594" s="22" t="s">
        <v>18518</v>
      </c>
      <c r="P2594" s="22" t="s">
        <v>18519</v>
      </c>
      <c r="Q2594" s="22" t="s">
        <v>18520</v>
      </c>
      <c r="S2594" s="22" t="s">
        <v>18521</v>
      </c>
      <c r="X2594" s="26"/>
      <c r="Y2594" s="26"/>
    </row>
    <row r="2595" spans="1:25" ht="25" x14ac:dyDescent="0.25">
      <c r="A2595" s="21">
        <v>2860</v>
      </c>
      <c r="B2595" s="22" t="s">
        <v>15346</v>
      </c>
      <c r="C2595" s="22" t="s">
        <v>18523</v>
      </c>
      <c r="E2595" s="24">
        <v>2001</v>
      </c>
      <c r="F2595" s="22" t="s">
        <v>18524</v>
      </c>
      <c r="G2595" s="23" t="s">
        <v>18525</v>
      </c>
      <c r="H2595" s="25" t="s">
        <v>15373</v>
      </c>
      <c r="I2595" s="22" t="s">
        <v>15411</v>
      </c>
      <c r="J2595" s="22" t="s">
        <v>15838</v>
      </c>
      <c r="K2595" s="26">
        <f t="shared" si="40"/>
        <v>350</v>
      </c>
      <c r="L2595" s="26">
        <v>350</v>
      </c>
      <c r="O2595" s="22" t="s">
        <v>18526</v>
      </c>
      <c r="P2595" s="22" t="s">
        <v>18527</v>
      </c>
      <c r="Q2595" s="22" t="s">
        <v>18528</v>
      </c>
      <c r="S2595" s="22" t="s">
        <v>18529</v>
      </c>
      <c r="X2595" s="26"/>
      <c r="Y2595" s="26"/>
    </row>
    <row r="2596" spans="1:25" ht="37.5" x14ac:dyDescent="0.25">
      <c r="A2596" s="21">
        <v>2861</v>
      </c>
      <c r="B2596" s="22" t="s">
        <v>15346</v>
      </c>
      <c r="C2596" s="22" t="s">
        <v>18523</v>
      </c>
      <c r="E2596" s="24">
        <v>2001</v>
      </c>
      <c r="F2596" s="22" t="s">
        <v>18530</v>
      </c>
      <c r="G2596" s="23" t="s">
        <v>18531</v>
      </c>
      <c r="H2596" s="25" t="s">
        <v>15373</v>
      </c>
      <c r="I2596" s="22" t="s">
        <v>14275</v>
      </c>
      <c r="J2596" s="22" t="s">
        <v>11722</v>
      </c>
      <c r="K2596" s="26">
        <f t="shared" si="40"/>
        <v>537</v>
      </c>
      <c r="L2596" s="26">
        <v>537</v>
      </c>
      <c r="O2596" s="22" t="s">
        <v>18526</v>
      </c>
      <c r="P2596" s="22" t="s">
        <v>18527</v>
      </c>
      <c r="Q2596" s="22" t="s">
        <v>18528</v>
      </c>
      <c r="S2596" s="22" t="s">
        <v>18529</v>
      </c>
      <c r="X2596" s="26"/>
      <c r="Y2596" s="26"/>
    </row>
    <row r="2597" spans="1:25" ht="37.5" x14ac:dyDescent="0.25">
      <c r="A2597" s="21">
        <v>2862</v>
      </c>
      <c r="B2597" s="22" t="s">
        <v>15346</v>
      </c>
      <c r="C2597" s="22" t="s">
        <v>18532</v>
      </c>
      <c r="E2597" s="24">
        <v>2001</v>
      </c>
      <c r="F2597" s="22" t="s">
        <v>18533</v>
      </c>
      <c r="G2597" s="23" t="s">
        <v>18534</v>
      </c>
      <c r="H2597" s="25" t="s">
        <v>15373</v>
      </c>
      <c r="I2597" s="22" t="s">
        <v>15382</v>
      </c>
      <c r="J2597" s="22" t="s">
        <v>12903</v>
      </c>
      <c r="K2597" s="26">
        <f t="shared" si="40"/>
        <v>2000</v>
      </c>
      <c r="L2597" s="26">
        <v>2000</v>
      </c>
      <c r="O2597" s="22" t="s">
        <v>18535</v>
      </c>
      <c r="P2597" s="22" t="s">
        <v>18492</v>
      </c>
      <c r="Q2597" s="22" t="s">
        <v>18536</v>
      </c>
      <c r="S2597" s="22" t="s">
        <v>18537</v>
      </c>
      <c r="X2597" s="26"/>
      <c r="Y2597" s="26"/>
    </row>
    <row r="2598" spans="1:25" ht="62.5" x14ac:dyDescent="0.25">
      <c r="A2598" s="21">
        <v>2863</v>
      </c>
      <c r="B2598" s="22" t="s">
        <v>15346</v>
      </c>
      <c r="C2598" s="22" t="s">
        <v>18532</v>
      </c>
      <c r="E2598" s="24">
        <v>2001</v>
      </c>
      <c r="F2598" s="22" t="s">
        <v>18538</v>
      </c>
      <c r="G2598" s="23" t="s">
        <v>18539</v>
      </c>
      <c r="H2598" s="25" t="s">
        <v>15373</v>
      </c>
      <c r="I2598" s="22" t="s">
        <v>15382</v>
      </c>
      <c r="J2598" s="22" t="s">
        <v>12903</v>
      </c>
      <c r="K2598" s="26">
        <f t="shared" si="40"/>
        <v>2000</v>
      </c>
      <c r="L2598" s="26">
        <v>2000</v>
      </c>
      <c r="O2598" s="22" t="s">
        <v>18535</v>
      </c>
      <c r="P2598" s="22" t="s">
        <v>18492</v>
      </c>
      <c r="Q2598" s="22" t="s">
        <v>18536</v>
      </c>
      <c r="S2598" s="22" t="s">
        <v>18537</v>
      </c>
      <c r="X2598" s="26"/>
      <c r="Y2598" s="26"/>
    </row>
    <row r="2599" spans="1:25" ht="25" x14ac:dyDescent="0.25">
      <c r="A2599" s="21">
        <v>2864</v>
      </c>
      <c r="B2599" s="22" t="s">
        <v>15346</v>
      </c>
      <c r="C2599" s="22" t="s">
        <v>18540</v>
      </c>
      <c r="E2599" s="24">
        <v>2001</v>
      </c>
      <c r="F2599" s="22" t="s">
        <v>18541</v>
      </c>
      <c r="G2599" s="23" t="s">
        <v>18542</v>
      </c>
      <c r="H2599" s="25" t="s">
        <v>15373</v>
      </c>
      <c r="I2599" s="22" t="s">
        <v>15382</v>
      </c>
      <c r="J2599" s="22" t="s">
        <v>12903</v>
      </c>
      <c r="K2599" s="26">
        <f t="shared" si="40"/>
        <v>2000</v>
      </c>
      <c r="L2599" s="26">
        <v>2000</v>
      </c>
      <c r="O2599" s="22" t="s">
        <v>18543</v>
      </c>
      <c r="P2599" s="22" t="s">
        <v>18293</v>
      </c>
      <c r="Q2599" s="22" t="s">
        <v>18544</v>
      </c>
      <c r="S2599" s="22" t="s">
        <v>18545</v>
      </c>
      <c r="X2599" s="26"/>
      <c r="Y2599" s="26"/>
    </row>
    <row r="2600" spans="1:25" ht="50" x14ac:dyDescent="0.25">
      <c r="A2600" s="21">
        <v>2865</v>
      </c>
      <c r="B2600" s="22" t="s">
        <v>15346</v>
      </c>
      <c r="C2600" s="22" t="s">
        <v>18540</v>
      </c>
      <c r="E2600" s="24">
        <v>2001</v>
      </c>
      <c r="F2600" s="22" t="s">
        <v>18546</v>
      </c>
      <c r="G2600" s="23" t="s">
        <v>18547</v>
      </c>
      <c r="H2600" s="25" t="s">
        <v>15373</v>
      </c>
      <c r="I2600" s="22" t="s">
        <v>15382</v>
      </c>
      <c r="J2600" s="22" t="s">
        <v>12903</v>
      </c>
      <c r="K2600" s="26">
        <f t="shared" si="40"/>
        <v>2000</v>
      </c>
      <c r="L2600" s="26">
        <v>2000</v>
      </c>
      <c r="O2600" s="22" t="s">
        <v>18543</v>
      </c>
      <c r="P2600" s="22" t="s">
        <v>18293</v>
      </c>
      <c r="Q2600" s="22" t="s">
        <v>18544</v>
      </c>
      <c r="S2600" s="22" t="s">
        <v>18545</v>
      </c>
      <c r="X2600" s="26"/>
      <c r="Y2600" s="26"/>
    </row>
    <row r="2601" spans="1:25" ht="37.5" x14ac:dyDescent="0.25">
      <c r="A2601" s="21">
        <v>2866</v>
      </c>
      <c r="B2601" s="22" t="s">
        <v>15346</v>
      </c>
      <c r="C2601" s="22" t="s">
        <v>18548</v>
      </c>
      <c r="E2601" s="24">
        <v>2000</v>
      </c>
      <c r="F2601" s="22" t="s">
        <v>18549</v>
      </c>
      <c r="G2601" s="23" t="s">
        <v>18550</v>
      </c>
      <c r="H2601" s="25" t="s">
        <v>15373</v>
      </c>
      <c r="I2601" s="22" t="s">
        <v>15374</v>
      </c>
      <c r="J2601" s="22" t="s">
        <v>8130</v>
      </c>
      <c r="K2601" s="26">
        <f t="shared" si="40"/>
        <v>750</v>
      </c>
      <c r="L2601" s="26">
        <v>750</v>
      </c>
      <c r="O2601" s="22" t="s">
        <v>18551</v>
      </c>
      <c r="P2601" s="22" t="s">
        <v>18303</v>
      </c>
      <c r="Q2601" s="22">
        <v>93722</v>
      </c>
      <c r="S2601" s="22" t="s">
        <v>16976</v>
      </c>
      <c r="X2601" s="26"/>
      <c r="Y2601" s="26"/>
    </row>
    <row r="2602" spans="1:25" ht="50" x14ac:dyDescent="0.25">
      <c r="A2602" s="21">
        <v>2867</v>
      </c>
      <c r="B2602" s="22" t="s">
        <v>15346</v>
      </c>
      <c r="C2602" s="22" t="s">
        <v>18552</v>
      </c>
      <c r="E2602" s="24">
        <v>2001</v>
      </c>
      <c r="F2602" s="22" t="s">
        <v>18553</v>
      </c>
      <c r="G2602" s="23" t="s">
        <v>18554</v>
      </c>
      <c r="H2602" s="25" t="s">
        <v>15373</v>
      </c>
      <c r="I2602" s="22" t="s">
        <v>15382</v>
      </c>
      <c r="J2602" s="22" t="s">
        <v>16784</v>
      </c>
      <c r="K2602" s="26">
        <f t="shared" si="40"/>
        <v>503.33333333333331</v>
      </c>
      <c r="M2602" s="26">
        <v>755</v>
      </c>
      <c r="O2602" s="22" t="s">
        <v>18555</v>
      </c>
      <c r="P2602" s="22" t="s">
        <v>18556</v>
      </c>
      <c r="Q2602" s="22">
        <v>93243</v>
      </c>
      <c r="S2602" s="22" t="s">
        <v>18338</v>
      </c>
      <c r="X2602" s="26"/>
      <c r="Y2602" s="26"/>
    </row>
    <row r="2603" spans="1:25" ht="37.5" x14ac:dyDescent="0.25">
      <c r="A2603" s="21">
        <v>2868</v>
      </c>
      <c r="B2603" s="22" t="s">
        <v>15346</v>
      </c>
      <c r="C2603" s="22" t="s">
        <v>18557</v>
      </c>
      <c r="E2603" s="24">
        <v>2001</v>
      </c>
      <c r="F2603" s="22" t="s">
        <v>18558</v>
      </c>
      <c r="G2603" s="23" t="s">
        <v>18559</v>
      </c>
      <c r="H2603" s="25" t="s">
        <v>15373</v>
      </c>
      <c r="I2603" s="22" t="s">
        <v>15382</v>
      </c>
      <c r="J2603" s="22" t="s">
        <v>16799</v>
      </c>
      <c r="K2603" s="26">
        <f t="shared" si="40"/>
        <v>400</v>
      </c>
      <c r="L2603" s="26">
        <v>400</v>
      </c>
      <c r="O2603" s="22" t="s">
        <v>18560</v>
      </c>
      <c r="P2603" s="22" t="s">
        <v>18293</v>
      </c>
      <c r="Q2603" s="22" t="s">
        <v>18561</v>
      </c>
      <c r="X2603" s="26"/>
      <c r="Y2603" s="26"/>
    </row>
    <row r="2604" spans="1:25" ht="37.5" x14ac:dyDescent="0.25">
      <c r="A2604" s="21">
        <v>2869</v>
      </c>
      <c r="B2604" s="22" t="s">
        <v>15346</v>
      </c>
      <c r="C2604" s="22" t="s">
        <v>18562</v>
      </c>
      <c r="E2604" s="24">
        <v>2001</v>
      </c>
      <c r="F2604" s="22" t="s">
        <v>18563</v>
      </c>
      <c r="G2604" s="23" t="s">
        <v>18564</v>
      </c>
      <c r="H2604" s="25" t="s">
        <v>15373</v>
      </c>
      <c r="I2604" s="22" t="s">
        <v>15374</v>
      </c>
      <c r="J2604" s="22" t="s">
        <v>8130</v>
      </c>
      <c r="K2604" s="26">
        <f t="shared" si="40"/>
        <v>800</v>
      </c>
      <c r="L2604" s="26">
        <v>800</v>
      </c>
      <c r="O2604" s="22" t="s">
        <v>18565</v>
      </c>
      <c r="P2604" s="22" t="s">
        <v>18325</v>
      </c>
      <c r="Q2604" s="22" t="s">
        <v>18566</v>
      </c>
      <c r="X2604" s="26"/>
      <c r="Y2604" s="26"/>
    </row>
    <row r="2605" spans="1:25" ht="37.5" x14ac:dyDescent="0.25">
      <c r="A2605" s="21">
        <v>2870</v>
      </c>
      <c r="B2605" s="22" t="s">
        <v>15346</v>
      </c>
      <c r="C2605" s="22" t="s">
        <v>18567</v>
      </c>
      <c r="E2605" s="24">
        <v>2001</v>
      </c>
      <c r="F2605" s="22" t="s">
        <v>18568</v>
      </c>
      <c r="G2605" s="23" t="s">
        <v>18569</v>
      </c>
      <c r="H2605" s="25" t="s">
        <v>15373</v>
      </c>
      <c r="I2605" s="22" t="s">
        <v>15374</v>
      </c>
      <c r="J2605" s="22" t="s">
        <v>18570</v>
      </c>
      <c r="K2605" s="26">
        <f t="shared" si="40"/>
        <v>1750</v>
      </c>
      <c r="L2605" s="26">
        <v>1750</v>
      </c>
      <c r="O2605" s="22" t="s">
        <v>18571</v>
      </c>
      <c r="P2605" s="22" t="s">
        <v>18343</v>
      </c>
      <c r="Q2605" s="22" t="s">
        <v>18572</v>
      </c>
      <c r="S2605" s="22" t="s">
        <v>18573</v>
      </c>
      <c r="X2605" s="26"/>
      <c r="Y2605" s="26"/>
    </row>
    <row r="2606" spans="1:25" ht="37.5" x14ac:dyDescent="0.25">
      <c r="A2606" s="21">
        <v>2871</v>
      </c>
      <c r="B2606" s="22" t="s">
        <v>15346</v>
      </c>
      <c r="C2606" s="22" t="s">
        <v>18567</v>
      </c>
      <c r="E2606" s="24">
        <v>2001</v>
      </c>
      <c r="F2606" s="22" t="s">
        <v>18574</v>
      </c>
      <c r="G2606" s="23" t="s">
        <v>18569</v>
      </c>
      <c r="H2606" s="25" t="s">
        <v>15373</v>
      </c>
      <c r="I2606" s="22" t="s">
        <v>15374</v>
      </c>
      <c r="J2606" s="22" t="s">
        <v>18570</v>
      </c>
      <c r="K2606" s="26">
        <f t="shared" si="40"/>
        <v>1750</v>
      </c>
      <c r="L2606" s="26">
        <v>1750</v>
      </c>
      <c r="O2606" s="22" t="s">
        <v>18571</v>
      </c>
      <c r="P2606" s="22" t="s">
        <v>18343</v>
      </c>
      <c r="Q2606" s="22" t="s">
        <v>18572</v>
      </c>
      <c r="S2606" s="22" t="s">
        <v>18573</v>
      </c>
      <c r="X2606" s="26"/>
      <c r="Y2606" s="26"/>
    </row>
    <row r="2607" spans="1:25" ht="37.5" x14ac:dyDescent="0.25">
      <c r="A2607" s="21">
        <v>2872</v>
      </c>
      <c r="B2607" s="22" t="s">
        <v>15346</v>
      </c>
      <c r="C2607" s="22" t="s">
        <v>18567</v>
      </c>
      <c r="E2607" s="24">
        <v>2001</v>
      </c>
      <c r="F2607" s="22" t="s">
        <v>18575</v>
      </c>
      <c r="G2607" s="23" t="s">
        <v>18569</v>
      </c>
      <c r="H2607" s="25" t="s">
        <v>15373</v>
      </c>
      <c r="I2607" s="22" t="s">
        <v>15374</v>
      </c>
      <c r="J2607" s="22" t="s">
        <v>18570</v>
      </c>
      <c r="K2607" s="26">
        <f t="shared" si="40"/>
        <v>1750</v>
      </c>
      <c r="L2607" s="26">
        <v>1750</v>
      </c>
      <c r="O2607" s="22" t="s">
        <v>18571</v>
      </c>
      <c r="P2607" s="22" t="s">
        <v>18343</v>
      </c>
      <c r="Q2607" s="22" t="s">
        <v>18572</v>
      </c>
      <c r="S2607" s="22" t="s">
        <v>18573</v>
      </c>
      <c r="X2607" s="26"/>
      <c r="Y2607" s="26"/>
    </row>
    <row r="2608" spans="1:25" ht="37.5" x14ac:dyDescent="0.25">
      <c r="A2608" s="21">
        <v>2873</v>
      </c>
      <c r="B2608" s="22" t="s">
        <v>15346</v>
      </c>
      <c r="C2608" s="22" t="s">
        <v>18567</v>
      </c>
      <c r="E2608" s="24">
        <v>2001</v>
      </c>
      <c r="F2608" s="22" t="s">
        <v>18576</v>
      </c>
      <c r="G2608" s="23" t="s">
        <v>18569</v>
      </c>
      <c r="H2608" s="25" t="s">
        <v>15373</v>
      </c>
      <c r="I2608" s="22" t="s">
        <v>15374</v>
      </c>
      <c r="J2608" s="22" t="s">
        <v>18570</v>
      </c>
      <c r="K2608" s="26">
        <f t="shared" si="40"/>
        <v>1750</v>
      </c>
      <c r="L2608" s="26">
        <v>1750</v>
      </c>
      <c r="O2608" s="22" t="s">
        <v>18571</v>
      </c>
      <c r="P2608" s="22" t="s">
        <v>18343</v>
      </c>
      <c r="Q2608" s="22" t="s">
        <v>18572</v>
      </c>
      <c r="S2608" s="22" t="s">
        <v>18573</v>
      </c>
      <c r="X2608" s="26"/>
      <c r="Y2608" s="26"/>
    </row>
    <row r="2609" spans="1:25" ht="37.5" x14ac:dyDescent="0.25">
      <c r="A2609" s="21">
        <v>2874</v>
      </c>
      <c r="B2609" s="22" t="s">
        <v>15346</v>
      </c>
      <c r="C2609" s="22" t="s">
        <v>17685</v>
      </c>
      <c r="E2609" s="24">
        <v>2001</v>
      </c>
      <c r="F2609" s="22" t="s">
        <v>18577</v>
      </c>
      <c r="G2609" s="23" t="s">
        <v>18569</v>
      </c>
      <c r="H2609" s="25" t="s">
        <v>15373</v>
      </c>
      <c r="I2609" s="22" t="s">
        <v>15374</v>
      </c>
      <c r="J2609" s="22" t="s">
        <v>18570</v>
      </c>
      <c r="K2609" s="26">
        <f t="shared" si="40"/>
        <v>1750</v>
      </c>
      <c r="L2609" s="26">
        <v>1750</v>
      </c>
      <c r="O2609" s="22" t="s">
        <v>17688</v>
      </c>
      <c r="P2609" s="22" t="s">
        <v>18492</v>
      </c>
      <c r="Q2609" s="22" t="s">
        <v>17690</v>
      </c>
      <c r="S2609" s="22" t="s">
        <v>17691</v>
      </c>
      <c r="X2609" s="26"/>
      <c r="Y2609" s="26"/>
    </row>
    <row r="2610" spans="1:25" ht="37.5" x14ac:dyDescent="0.25">
      <c r="A2610" s="21">
        <v>2875</v>
      </c>
      <c r="B2610" s="22" t="s">
        <v>15346</v>
      </c>
      <c r="C2610" s="22" t="s">
        <v>17685</v>
      </c>
      <c r="E2610" s="24">
        <v>2001</v>
      </c>
      <c r="F2610" s="22" t="s">
        <v>18578</v>
      </c>
      <c r="G2610" s="23" t="s">
        <v>18569</v>
      </c>
      <c r="H2610" s="25" t="s">
        <v>15373</v>
      </c>
      <c r="I2610" s="22" t="s">
        <v>15374</v>
      </c>
      <c r="J2610" s="22" t="s">
        <v>18570</v>
      </c>
      <c r="K2610" s="26">
        <f t="shared" si="40"/>
        <v>1750</v>
      </c>
      <c r="L2610" s="26">
        <v>1750</v>
      </c>
      <c r="O2610" s="22" t="s">
        <v>17688</v>
      </c>
      <c r="P2610" s="22" t="s">
        <v>18492</v>
      </c>
      <c r="Q2610" s="22" t="s">
        <v>17690</v>
      </c>
      <c r="S2610" s="22" t="s">
        <v>17691</v>
      </c>
      <c r="X2610" s="26"/>
      <c r="Y2610" s="26"/>
    </row>
    <row r="2611" spans="1:25" ht="37.5" x14ac:dyDescent="0.25">
      <c r="A2611" s="21">
        <v>2876</v>
      </c>
      <c r="B2611" s="22" t="s">
        <v>15346</v>
      </c>
      <c r="C2611" s="22" t="s">
        <v>17685</v>
      </c>
      <c r="E2611" s="24">
        <v>2001</v>
      </c>
      <c r="F2611" s="22" t="s">
        <v>18579</v>
      </c>
      <c r="G2611" s="23" t="s">
        <v>18569</v>
      </c>
      <c r="H2611" s="25" t="s">
        <v>15373</v>
      </c>
      <c r="I2611" s="22" t="s">
        <v>15374</v>
      </c>
      <c r="J2611" s="22" t="s">
        <v>18570</v>
      </c>
      <c r="K2611" s="26">
        <f t="shared" si="40"/>
        <v>1750</v>
      </c>
      <c r="L2611" s="26">
        <v>1750</v>
      </c>
      <c r="O2611" s="22" t="s">
        <v>17688</v>
      </c>
      <c r="P2611" s="22" t="s">
        <v>18492</v>
      </c>
      <c r="Q2611" s="22" t="s">
        <v>17690</v>
      </c>
      <c r="S2611" s="22" t="s">
        <v>17691</v>
      </c>
      <c r="X2611" s="26"/>
      <c r="Y2611" s="26"/>
    </row>
    <row r="2612" spans="1:25" ht="37.5" x14ac:dyDescent="0.25">
      <c r="A2612" s="21">
        <v>2877</v>
      </c>
      <c r="B2612" s="22" t="s">
        <v>15346</v>
      </c>
      <c r="C2612" s="22" t="s">
        <v>18580</v>
      </c>
      <c r="E2612" s="24">
        <v>2000</v>
      </c>
      <c r="F2612" s="22" t="s">
        <v>18581</v>
      </c>
      <c r="G2612" s="23" t="s">
        <v>18582</v>
      </c>
      <c r="H2612" s="25" t="s">
        <v>15373</v>
      </c>
      <c r="I2612" s="22" t="s">
        <v>15411</v>
      </c>
      <c r="J2612" s="22" t="s">
        <v>6673</v>
      </c>
      <c r="K2612" s="26">
        <f t="shared" si="40"/>
        <v>600</v>
      </c>
      <c r="L2612" s="26">
        <v>600</v>
      </c>
      <c r="O2612" s="22" t="s">
        <v>18583</v>
      </c>
      <c r="P2612" s="22" t="s">
        <v>18456</v>
      </c>
      <c r="Q2612" s="22" t="s">
        <v>18457</v>
      </c>
      <c r="S2612" s="22" t="s">
        <v>18584</v>
      </c>
      <c r="X2612" s="26"/>
      <c r="Y2612" s="26"/>
    </row>
    <row r="2613" spans="1:25" ht="25" x14ac:dyDescent="0.25">
      <c r="A2613" s="21">
        <v>2878</v>
      </c>
      <c r="B2613" s="22" t="s">
        <v>15346</v>
      </c>
      <c r="C2613" s="22" t="s">
        <v>18585</v>
      </c>
      <c r="E2613" s="24">
        <v>2000</v>
      </c>
      <c r="F2613" s="22" t="s">
        <v>18586</v>
      </c>
      <c r="G2613" s="23" t="s">
        <v>18587</v>
      </c>
      <c r="H2613" s="25" t="s">
        <v>15373</v>
      </c>
      <c r="I2613" s="22" t="s">
        <v>15374</v>
      </c>
      <c r="J2613" s="22" t="s">
        <v>12592</v>
      </c>
      <c r="K2613" s="26">
        <f t="shared" si="40"/>
        <v>1500</v>
      </c>
      <c r="L2613" s="26">
        <v>1500</v>
      </c>
      <c r="O2613" s="22" t="s">
        <v>18588</v>
      </c>
      <c r="P2613" s="22" t="s">
        <v>18303</v>
      </c>
      <c r="Q2613" s="22" t="s">
        <v>18589</v>
      </c>
      <c r="S2613" s="22" t="s">
        <v>16976</v>
      </c>
      <c r="X2613" s="26"/>
      <c r="Y2613" s="26"/>
    </row>
    <row r="2614" spans="1:25" ht="25" x14ac:dyDescent="0.25">
      <c r="A2614" s="21">
        <v>2879</v>
      </c>
      <c r="B2614" s="22" t="s">
        <v>15346</v>
      </c>
      <c r="C2614" s="22" t="s">
        <v>18585</v>
      </c>
      <c r="E2614" s="24">
        <v>2001</v>
      </c>
      <c r="F2614" s="22" t="s">
        <v>18590</v>
      </c>
      <c r="G2614" s="23" t="s">
        <v>18591</v>
      </c>
      <c r="H2614" s="25" t="s">
        <v>15373</v>
      </c>
      <c r="I2614" s="22" t="s">
        <v>15374</v>
      </c>
      <c r="J2614" s="22" t="s">
        <v>12592</v>
      </c>
      <c r="K2614" s="26">
        <f t="shared" si="40"/>
        <v>1500</v>
      </c>
      <c r="L2614" s="26">
        <v>1500</v>
      </c>
      <c r="O2614" s="22" t="s">
        <v>18588</v>
      </c>
      <c r="P2614" s="22" t="s">
        <v>18303</v>
      </c>
      <c r="Q2614" s="22" t="s">
        <v>18589</v>
      </c>
      <c r="S2614" s="22" t="s">
        <v>16976</v>
      </c>
      <c r="X2614" s="26"/>
      <c r="Y2614" s="26"/>
    </row>
    <row r="2615" spans="1:25" ht="25" x14ac:dyDescent="0.25">
      <c r="A2615" s="21">
        <v>2880</v>
      </c>
      <c r="B2615" s="22" t="s">
        <v>15346</v>
      </c>
      <c r="C2615" s="22" t="s">
        <v>17701</v>
      </c>
      <c r="E2615" s="24">
        <v>2001</v>
      </c>
      <c r="F2615" s="22" t="s">
        <v>18592</v>
      </c>
      <c r="G2615" s="23" t="s">
        <v>18593</v>
      </c>
      <c r="H2615" s="25" t="s">
        <v>15373</v>
      </c>
      <c r="I2615" s="22" t="s">
        <v>15374</v>
      </c>
      <c r="J2615" s="22">
        <v>3406</v>
      </c>
      <c r="K2615" s="26">
        <f t="shared" si="40"/>
        <v>300</v>
      </c>
      <c r="L2615" s="26">
        <v>300</v>
      </c>
      <c r="O2615" s="22" t="s">
        <v>18594</v>
      </c>
      <c r="P2615" s="22" t="s">
        <v>18284</v>
      </c>
      <c r="Q2615" s="22">
        <v>95205</v>
      </c>
      <c r="X2615" s="26"/>
      <c r="Y2615" s="26"/>
    </row>
    <row r="2616" spans="1:25" ht="37.5" x14ac:dyDescent="0.25">
      <c r="A2616" s="21">
        <v>2881</v>
      </c>
      <c r="B2616" s="22" t="s">
        <v>15346</v>
      </c>
      <c r="C2616" s="22" t="s">
        <v>18595</v>
      </c>
      <c r="E2616" s="24">
        <v>2001</v>
      </c>
      <c r="F2616" s="22" t="s">
        <v>18596</v>
      </c>
      <c r="G2616" s="23" t="s">
        <v>18597</v>
      </c>
      <c r="H2616" s="25" t="s">
        <v>15373</v>
      </c>
      <c r="I2616" s="22" t="s">
        <v>15709</v>
      </c>
      <c r="J2616" s="22" t="s">
        <v>18598</v>
      </c>
      <c r="K2616" s="26">
        <f t="shared" si="40"/>
        <v>1250</v>
      </c>
      <c r="L2616" s="26">
        <v>1250</v>
      </c>
      <c r="O2616" s="22" t="s">
        <v>18599</v>
      </c>
      <c r="P2616" s="22" t="s">
        <v>18284</v>
      </c>
      <c r="Q2616" s="22" t="s">
        <v>18600</v>
      </c>
      <c r="S2616" s="22" t="s">
        <v>18601</v>
      </c>
      <c r="X2616" s="26"/>
      <c r="Y2616" s="26"/>
    </row>
    <row r="2617" spans="1:25" ht="37.5" x14ac:dyDescent="0.25">
      <c r="A2617" s="21">
        <v>2882</v>
      </c>
      <c r="B2617" s="22" t="s">
        <v>15346</v>
      </c>
      <c r="C2617" s="22" t="s">
        <v>18595</v>
      </c>
      <c r="E2617" s="24">
        <v>2001</v>
      </c>
      <c r="F2617" s="22" t="s">
        <v>18602</v>
      </c>
      <c r="G2617" s="23" t="s">
        <v>18597</v>
      </c>
      <c r="H2617" s="25" t="s">
        <v>15373</v>
      </c>
      <c r="I2617" s="22" t="s">
        <v>15709</v>
      </c>
      <c r="J2617" s="22" t="s">
        <v>18598</v>
      </c>
      <c r="K2617" s="26">
        <f t="shared" si="40"/>
        <v>1250</v>
      </c>
      <c r="L2617" s="26">
        <v>1250</v>
      </c>
      <c r="O2617" s="22" t="s">
        <v>18603</v>
      </c>
      <c r="P2617" s="22" t="s">
        <v>18417</v>
      </c>
      <c r="Q2617" s="22" t="s">
        <v>18604</v>
      </c>
      <c r="S2617" s="22" t="s">
        <v>18605</v>
      </c>
      <c r="X2617" s="26"/>
      <c r="Y2617" s="26"/>
    </row>
    <row r="2618" spans="1:25" ht="37.5" x14ac:dyDescent="0.25">
      <c r="A2618" s="21">
        <v>2883</v>
      </c>
      <c r="B2618" s="22" t="s">
        <v>15346</v>
      </c>
      <c r="C2618" s="22" t="s">
        <v>18606</v>
      </c>
      <c r="E2618" s="24">
        <v>2001</v>
      </c>
      <c r="F2618" s="22" t="s">
        <v>18607</v>
      </c>
      <c r="G2618" s="23" t="s">
        <v>18608</v>
      </c>
      <c r="H2618" s="25" t="s">
        <v>16310</v>
      </c>
      <c r="I2618" s="22" t="s">
        <v>16160</v>
      </c>
      <c r="J2618" s="22" t="s">
        <v>18609</v>
      </c>
      <c r="K2618" s="26">
        <f t="shared" si="40"/>
        <v>1005.3333333333333</v>
      </c>
      <c r="N2618" s="26">
        <v>1508</v>
      </c>
      <c r="O2618" s="22" t="s">
        <v>18610</v>
      </c>
      <c r="P2618" s="22" t="s">
        <v>18611</v>
      </c>
      <c r="Q2618" s="22">
        <v>95240</v>
      </c>
      <c r="S2618" s="22" t="s">
        <v>18612</v>
      </c>
      <c r="X2618" s="26"/>
      <c r="Y2618" s="26"/>
    </row>
    <row r="2619" spans="1:25" ht="37.5" x14ac:dyDescent="0.25">
      <c r="A2619" s="21">
        <v>2884</v>
      </c>
      <c r="B2619" s="22" t="s">
        <v>15346</v>
      </c>
      <c r="C2619" s="22" t="s">
        <v>18613</v>
      </c>
      <c r="E2619" s="24">
        <v>2001</v>
      </c>
      <c r="F2619" s="22" t="s">
        <v>18614</v>
      </c>
      <c r="G2619" s="23" t="s">
        <v>18387</v>
      </c>
      <c r="H2619" s="25" t="s">
        <v>15373</v>
      </c>
      <c r="I2619" s="22" t="s">
        <v>15382</v>
      </c>
      <c r="J2619" s="22" t="s">
        <v>15391</v>
      </c>
      <c r="K2619" s="26">
        <f t="shared" si="40"/>
        <v>1850</v>
      </c>
      <c r="L2619" s="26">
        <v>1850</v>
      </c>
      <c r="O2619" s="22" t="s">
        <v>18615</v>
      </c>
      <c r="P2619" s="22" t="s">
        <v>18616</v>
      </c>
      <c r="Q2619" s="22" t="s">
        <v>18617</v>
      </c>
      <c r="S2619" s="22" t="s">
        <v>18385</v>
      </c>
      <c r="X2619" s="26"/>
      <c r="Y2619" s="26"/>
    </row>
    <row r="2620" spans="1:25" ht="25" x14ac:dyDescent="0.25">
      <c r="A2620" s="21">
        <v>2885</v>
      </c>
      <c r="B2620" s="22" t="s">
        <v>15346</v>
      </c>
      <c r="C2620" s="22" t="s">
        <v>18618</v>
      </c>
      <c r="E2620" s="24">
        <v>2001</v>
      </c>
      <c r="F2620" s="22" t="s">
        <v>18619</v>
      </c>
      <c r="G2620" s="23" t="s">
        <v>18620</v>
      </c>
      <c r="H2620" s="25" t="s">
        <v>15373</v>
      </c>
      <c r="I2620" s="22" t="s">
        <v>15374</v>
      </c>
      <c r="J2620" s="22">
        <v>3516</v>
      </c>
      <c r="K2620" s="26">
        <f t="shared" si="40"/>
        <v>1750</v>
      </c>
      <c r="L2620" s="26">
        <v>1750</v>
      </c>
      <c r="O2620" s="22" t="s">
        <v>18621</v>
      </c>
      <c r="P2620" s="22" t="s">
        <v>18622</v>
      </c>
      <c r="Q2620" s="22" t="s">
        <v>18623</v>
      </c>
      <c r="S2620" s="22" t="s">
        <v>18624</v>
      </c>
      <c r="X2620" s="26"/>
      <c r="Y2620" s="26"/>
    </row>
    <row r="2621" spans="1:25" ht="37.5" x14ac:dyDescent="0.25">
      <c r="A2621" s="21">
        <v>2886</v>
      </c>
      <c r="B2621" s="22" t="s">
        <v>15346</v>
      </c>
      <c r="C2621" s="22" t="s">
        <v>18625</v>
      </c>
      <c r="E2621" s="24">
        <v>2000</v>
      </c>
      <c r="F2621" s="22" t="s">
        <v>18626</v>
      </c>
      <c r="G2621" s="23" t="s">
        <v>18627</v>
      </c>
      <c r="H2621" s="25" t="s">
        <v>15373</v>
      </c>
      <c r="I2621" s="22" t="s">
        <v>15411</v>
      </c>
      <c r="J2621" s="22" t="s">
        <v>18628</v>
      </c>
      <c r="K2621" s="26">
        <f t="shared" si="40"/>
        <v>366.66666666666663</v>
      </c>
      <c r="N2621" s="26">
        <v>550</v>
      </c>
      <c r="O2621" s="22" t="s">
        <v>18629</v>
      </c>
      <c r="P2621" s="22" t="s">
        <v>18343</v>
      </c>
      <c r="Q2621" s="22" t="s">
        <v>18630</v>
      </c>
      <c r="S2621" s="22" t="s">
        <v>16976</v>
      </c>
      <c r="X2621" s="26"/>
      <c r="Y2621" s="26"/>
    </row>
    <row r="2622" spans="1:25" ht="25" x14ac:dyDescent="0.25">
      <c r="A2622" s="21">
        <v>2887</v>
      </c>
      <c r="B2622" s="22" t="s">
        <v>15346</v>
      </c>
      <c r="C2622" s="22" t="s">
        <v>18631</v>
      </c>
      <c r="E2622" s="24">
        <v>2001</v>
      </c>
      <c r="F2622" s="22" t="s">
        <v>18632</v>
      </c>
      <c r="G2622" s="23" t="s">
        <v>18633</v>
      </c>
      <c r="H2622" s="25" t="s">
        <v>15373</v>
      </c>
      <c r="I2622" s="22" t="s">
        <v>15382</v>
      </c>
      <c r="J2622" s="22" t="s">
        <v>15723</v>
      </c>
      <c r="K2622" s="26">
        <f t="shared" si="40"/>
        <v>1233.3333333333333</v>
      </c>
      <c r="N2622" s="26">
        <v>1850</v>
      </c>
      <c r="O2622" s="22" t="s">
        <v>18634</v>
      </c>
      <c r="P2622" s="22" t="s">
        <v>18325</v>
      </c>
      <c r="Q2622" s="22">
        <v>93250</v>
      </c>
      <c r="S2622" s="22" t="s">
        <v>18338</v>
      </c>
      <c r="X2622" s="26"/>
      <c r="Y2622" s="26"/>
    </row>
    <row r="2623" spans="1:25" ht="50" x14ac:dyDescent="0.25">
      <c r="A2623" s="21">
        <v>2888</v>
      </c>
      <c r="B2623" s="22" t="s">
        <v>15346</v>
      </c>
      <c r="C2623" s="22" t="s">
        <v>18635</v>
      </c>
      <c r="E2623" s="24">
        <v>2001</v>
      </c>
      <c r="F2623" s="22" t="s">
        <v>18636</v>
      </c>
      <c r="G2623" s="23" t="s">
        <v>18637</v>
      </c>
      <c r="H2623" s="25" t="s">
        <v>15373</v>
      </c>
      <c r="I2623" s="22" t="s">
        <v>15382</v>
      </c>
      <c r="J2623" s="22" t="s">
        <v>16569</v>
      </c>
      <c r="K2623" s="26">
        <f t="shared" si="40"/>
        <v>400</v>
      </c>
      <c r="L2623" s="26">
        <v>400</v>
      </c>
      <c r="O2623" s="22" t="s">
        <v>18638</v>
      </c>
      <c r="P2623" s="22" t="s">
        <v>18325</v>
      </c>
      <c r="Q2623" s="22">
        <v>93215</v>
      </c>
      <c r="S2623" s="22" t="s">
        <v>18639</v>
      </c>
      <c r="X2623" s="26"/>
      <c r="Y2623" s="26"/>
    </row>
    <row r="2624" spans="1:25" ht="37.5" x14ac:dyDescent="0.25">
      <c r="A2624" s="21">
        <v>2889</v>
      </c>
      <c r="B2624" s="22" t="s">
        <v>15346</v>
      </c>
      <c r="C2624" s="22" t="s">
        <v>17773</v>
      </c>
      <c r="E2624" s="24">
        <v>2001</v>
      </c>
      <c r="F2624" s="22" t="s">
        <v>18640</v>
      </c>
      <c r="G2624" s="23" t="s">
        <v>18641</v>
      </c>
      <c r="H2624" s="25" t="s">
        <v>15373</v>
      </c>
      <c r="I2624" s="22" t="s">
        <v>15382</v>
      </c>
      <c r="J2624" s="22" t="s">
        <v>18642</v>
      </c>
      <c r="K2624" s="26">
        <f t="shared" si="40"/>
        <v>1000</v>
      </c>
      <c r="L2624" s="26">
        <v>1000</v>
      </c>
      <c r="O2624" s="22" t="s">
        <v>17776</v>
      </c>
      <c r="P2624" s="22" t="s">
        <v>18456</v>
      </c>
      <c r="Q2624" s="22" t="s">
        <v>18643</v>
      </c>
      <c r="S2624" s="22" t="s">
        <v>17778</v>
      </c>
      <c r="X2624" s="26"/>
      <c r="Y2624" s="26"/>
    </row>
    <row r="2625" spans="1:25" ht="50" x14ac:dyDescent="0.25">
      <c r="A2625" s="21">
        <v>2890</v>
      </c>
      <c r="B2625" s="22" t="s">
        <v>15346</v>
      </c>
      <c r="C2625" s="22" t="s">
        <v>18644</v>
      </c>
      <c r="E2625" s="24">
        <v>2002</v>
      </c>
      <c r="F2625" s="22" t="s">
        <v>18645</v>
      </c>
      <c r="G2625" s="23" t="s">
        <v>18646</v>
      </c>
      <c r="H2625" s="25" t="s">
        <v>15373</v>
      </c>
      <c r="I2625" s="22" t="s">
        <v>18469</v>
      </c>
      <c r="J2625" s="22">
        <v>3406</v>
      </c>
      <c r="K2625" s="26">
        <f t="shared" ref="K2625:K2688" si="41">L2625+M2625*(2/3)+N2625*(2/3)</f>
        <v>350</v>
      </c>
      <c r="L2625" s="26">
        <v>350</v>
      </c>
      <c r="O2625" s="22" t="s">
        <v>18647</v>
      </c>
      <c r="P2625" s="22" t="s">
        <v>18616</v>
      </c>
      <c r="Q2625" s="22" t="s">
        <v>18617</v>
      </c>
      <c r="X2625" s="26"/>
      <c r="Y2625" s="26"/>
    </row>
    <row r="2626" spans="1:25" ht="37.5" x14ac:dyDescent="0.25">
      <c r="A2626" s="21">
        <v>2891</v>
      </c>
      <c r="B2626" s="22" t="s">
        <v>15346</v>
      </c>
      <c r="C2626" s="22" t="s">
        <v>18648</v>
      </c>
      <c r="E2626" s="24">
        <v>2000</v>
      </c>
      <c r="F2626" s="22" t="s">
        <v>18649</v>
      </c>
      <c r="G2626" s="23" t="s">
        <v>18650</v>
      </c>
      <c r="H2626" s="25" t="s">
        <v>15373</v>
      </c>
      <c r="I2626" s="22" t="s">
        <v>15411</v>
      </c>
      <c r="J2626" s="22" t="s">
        <v>16884</v>
      </c>
      <c r="K2626" s="26">
        <f t="shared" si="41"/>
        <v>383.33333333333331</v>
      </c>
      <c r="N2626" s="26">
        <v>575</v>
      </c>
      <c r="O2626" s="22" t="s">
        <v>18651</v>
      </c>
      <c r="P2626" s="22" t="s">
        <v>18417</v>
      </c>
      <c r="Q2626" s="22" t="s">
        <v>18652</v>
      </c>
      <c r="S2626" s="22" t="s">
        <v>16976</v>
      </c>
      <c r="X2626" s="26"/>
      <c r="Y2626" s="26"/>
    </row>
    <row r="2627" spans="1:25" ht="37.5" x14ac:dyDescent="0.25">
      <c r="A2627" s="21">
        <v>2892</v>
      </c>
      <c r="B2627" s="22" t="s">
        <v>15346</v>
      </c>
      <c r="C2627" s="22" t="s">
        <v>18653</v>
      </c>
      <c r="E2627" s="24">
        <v>2001</v>
      </c>
      <c r="F2627" s="22" t="s">
        <v>18654</v>
      </c>
      <c r="G2627" s="23" t="s">
        <v>18655</v>
      </c>
      <c r="H2627" s="25" t="s">
        <v>15373</v>
      </c>
      <c r="I2627" s="22" t="s">
        <v>15411</v>
      </c>
      <c r="J2627" s="22" t="s">
        <v>18656</v>
      </c>
      <c r="K2627" s="26">
        <f t="shared" si="41"/>
        <v>300</v>
      </c>
      <c r="L2627" s="26">
        <v>300</v>
      </c>
      <c r="O2627" s="22" t="s">
        <v>18657</v>
      </c>
      <c r="P2627" s="22" t="s">
        <v>18417</v>
      </c>
      <c r="Q2627" s="22" t="s">
        <v>18652</v>
      </c>
      <c r="S2627" s="22" t="s">
        <v>18658</v>
      </c>
      <c r="X2627" s="26"/>
      <c r="Y2627" s="26"/>
    </row>
    <row r="2628" spans="1:25" ht="25" x14ac:dyDescent="0.25">
      <c r="A2628" s="21">
        <v>2893</v>
      </c>
      <c r="B2628" s="22" t="s">
        <v>15346</v>
      </c>
      <c r="C2628" s="22" t="s">
        <v>18659</v>
      </c>
      <c r="E2628" s="24">
        <v>2001</v>
      </c>
      <c r="F2628" s="22" t="s">
        <v>18660</v>
      </c>
      <c r="G2628" s="23" t="s">
        <v>18661</v>
      </c>
      <c r="H2628" s="25" t="s">
        <v>15373</v>
      </c>
      <c r="I2628" s="22" t="s">
        <v>15635</v>
      </c>
      <c r="J2628" s="22" t="s">
        <v>18662</v>
      </c>
      <c r="K2628" s="26">
        <f t="shared" si="41"/>
        <v>300</v>
      </c>
      <c r="L2628" s="26">
        <v>300</v>
      </c>
      <c r="O2628" s="22" t="s">
        <v>18663</v>
      </c>
      <c r="P2628" s="22" t="s">
        <v>18284</v>
      </c>
      <c r="Q2628" s="22" t="s">
        <v>18664</v>
      </c>
      <c r="S2628" s="22" t="s">
        <v>16976</v>
      </c>
      <c r="X2628" s="26"/>
      <c r="Y2628" s="26"/>
    </row>
    <row r="2629" spans="1:25" ht="25" x14ac:dyDescent="0.25">
      <c r="A2629" s="21">
        <v>2894</v>
      </c>
      <c r="B2629" s="22" t="s">
        <v>15346</v>
      </c>
      <c r="C2629" s="22" t="s">
        <v>5789</v>
      </c>
      <c r="E2629" s="24">
        <v>2000</v>
      </c>
      <c r="F2629" s="22" t="s">
        <v>18665</v>
      </c>
      <c r="G2629" s="23" t="s">
        <v>18666</v>
      </c>
      <c r="H2629" s="25" t="s">
        <v>15373</v>
      </c>
      <c r="I2629" s="22" t="s">
        <v>15382</v>
      </c>
      <c r="J2629" s="22" t="s">
        <v>16792</v>
      </c>
      <c r="K2629" s="26">
        <f t="shared" si="41"/>
        <v>324</v>
      </c>
      <c r="L2629" s="26">
        <v>324</v>
      </c>
      <c r="O2629" s="22" t="s">
        <v>18667</v>
      </c>
      <c r="P2629" s="22" t="s">
        <v>18303</v>
      </c>
      <c r="Q2629" s="22">
        <v>93720</v>
      </c>
      <c r="S2629" s="22" t="s">
        <v>17899</v>
      </c>
      <c r="X2629" s="26"/>
      <c r="Y2629" s="26"/>
    </row>
    <row r="2630" spans="1:25" ht="25" x14ac:dyDescent="0.25">
      <c r="A2630" s="21">
        <v>2895</v>
      </c>
      <c r="B2630" s="22" t="s">
        <v>15346</v>
      </c>
      <c r="C2630" s="22" t="s">
        <v>5789</v>
      </c>
      <c r="E2630" s="24">
        <v>2000</v>
      </c>
      <c r="F2630" s="22" t="s">
        <v>18668</v>
      </c>
      <c r="G2630" s="23" t="s">
        <v>18666</v>
      </c>
      <c r="H2630" s="25" t="s">
        <v>15373</v>
      </c>
      <c r="I2630" s="22" t="s">
        <v>15382</v>
      </c>
      <c r="J2630" s="22" t="s">
        <v>16792</v>
      </c>
      <c r="K2630" s="26">
        <f t="shared" si="41"/>
        <v>324</v>
      </c>
      <c r="L2630" s="26">
        <v>324</v>
      </c>
      <c r="O2630" s="22" t="s">
        <v>18667</v>
      </c>
      <c r="P2630" s="22" t="s">
        <v>18303</v>
      </c>
      <c r="Q2630" s="22">
        <v>93720</v>
      </c>
      <c r="S2630" s="22" t="s">
        <v>17899</v>
      </c>
      <c r="X2630" s="26"/>
      <c r="Y2630" s="26"/>
    </row>
    <row r="2631" spans="1:25" ht="37.5" x14ac:dyDescent="0.25">
      <c r="A2631" s="21">
        <v>2896</v>
      </c>
      <c r="B2631" s="22" t="s">
        <v>15346</v>
      </c>
      <c r="C2631" s="22" t="s">
        <v>5789</v>
      </c>
      <c r="E2631" s="24">
        <v>2000</v>
      </c>
      <c r="F2631" s="22" t="s">
        <v>18669</v>
      </c>
      <c r="G2631" s="23" t="s">
        <v>18670</v>
      </c>
      <c r="H2631" s="25" t="s">
        <v>15373</v>
      </c>
      <c r="I2631" s="22" t="s">
        <v>15411</v>
      </c>
      <c r="J2631" s="22" t="s">
        <v>16276</v>
      </c>
      <c r="K2631" s="26">
        <f t="shared" si="41"/>
        <v>350</v>
      </c>
      <c r="L2631" s="26">
        <v>350</v>
      </c>
      <c r="O2631" s="22" t="s">
        <v>18671</v>
      </c>
      <c r="P2631" s="22" t="s">
        <v>18303</v>
      </c>
      <c r="Q2631" s="22">
        <v>93722</v>
      </c>
      <c r="S2631" s="22" t="s">
        <v>17899</v>
      </c>
      <c r="X2631" s="26"/>
      <c r="Y2631" s="26"/>
    </row>
    <row r="2632" spans="1:25" ht="37.5" x14ac:dyDescent="0.25">
      <c r="A2632" s="21">
        <v>2897</v>
      </c>
      <c r="B2632" s="22" t="s">
        <v>15346</v>
      </c>
      <c r="C2632" s="22" t="s">
        <v>5789</v>
      </c>
      <c r="E2632" s="24">
        <v>2000</v>
      </c>
      <c r="F2632" s="22" t="s">
        <v>18672</v>
      </c>
      <c r="G2632" s="23" t="s">
        <v>18673</v>
      </c>
      <c r="H2632" s="25" t="s">
        <v>15373</v>
      </c>
      <c r="I2632" s="22" t="s">
        <v>15374</v>
      </c>
      <c r="J2632" s="22">
        <v>3412</v>
      </c>
      <c r="K2632" s="26">
        <f t="shared" si="41"/>
        <v>500</v>
      </c>
      <c r="L2632" s="26">
        <v>500</v>
      </c>
      <c r="O2632" s="22" t="s">
        <v>18674</v>
      </c>
      <c r="P2632" s="22" t="s">
        <v>18303</v>
      </c>
      <c r="Q2632" s="22">
        <v>93704</v>
      </c>
      <c r="S2632" s="22" t="s">
        <v>16976</v>
      </c>
      <c r="X2632" s="26"/>
      <c r="Y2632" s="26"/>
    </row>
    <row r="2633" spans="1:25" ht="25" x14ac:dyDescent="0.25">
      <c r="A2633" s="21">
        <v>2898</v>
      </c>
      <c r="B2633" s="22" t="s">
        <v>15346</v>
      </c>
      <c r="C2633" s="22" t="s">
        <v>5789</v>
      </c>
      <c r="E2633" s="24">
        <v>2001</v>
      </c>
      <c r="F2633" s="22" t="s">
        <v>18675</v>
      </c>
      <c r="G2633" s="23" t="s">
        <v>18676</v>
      </c>
      <c r="H2633" s="25" t="s">
        <v>15373</v>
      </c>
      <c r="I2633" s="22" t="s">
        <v>15411</v>
      </c>
      <c r="J2633" s="22" t="s">
        <v>15041</v>
      </c>
      <c r="K2633" s="26">
        <f t="shared" si="41"/>
        <v>900</v>
      </c>
      <c r="L2633" s="26">
        <v>900</v>
      </c>
      <c r="O2633" s="22" t="s">
        <v>18677</v>
      </c>
      <c r="P2633" s="22" t="s">
        <v>18611</v>
      </c>
      <c r="Q2633" s="22">
        <v>95240</v>
      </c>
      <c r="S2633" s="22" t="s">
        <v>17899</v>
      </c>
      <c r="X2633" s="26"/>
      <c r="Y2633" s="26"/>
    </row>
    <row r="2634" spans="1:25" ht="25" x14ac:dyDescent="0.25">
      <c r="A2634" s="21">
        <v>2899</v>
      </c>
      <c r="B2634" s="22" t="s">
        <v>15346</v>
      </c>
      <c r="C2634" s="22" t="s">
        <v>5789</v>
      </c>
      <c r="E2634" s="24">
        <v>2001</v>
      </c>
      <c r="F2634" s="22" t="s">
        <v>18678</v>
      </c>
      <c r="G2634" s="23" t="s">
        <v>18679</v>
      </c>
      <c r="H2634" s="25" t="s">
        <v>15373</v>
      </c>
      <c r="I2634" s="22" t="s">
        <v>15411</v>
      </c>
      <c r="J2634" s="22" t="s">
        <v>18680</v>
      </c>
      <c r="K2634" s="26">
        <f t="shared" si="41"/>
        <v>1590</v>
      </c>
      <c r="L2634" s="26">
        <v>1590</v>
      </c>
      <c r="O2634" s="22" t="s">
        <v>17914</v>
      </c>
      <c r="P2634" s="22" t="s">
        <v>18284</v>
      </c>
      <c r="Q2634" s="22" t="s">
        <v>18664</v>
      </c>
      <c r="S2634" s="22" t="s">
        <v>17899</v>
      </c>
      <c r="X2634" s="26"/>
      <c r="Y2634" s="26"/>
    </row>
    <row r="2635" spans="1:25" ht="50" x14ac:dyDescent="0.25">
      <c r="A2635" s="21">
        <v>2900</v>
      </c>
      <c r="B2635" s="22" t="s">
        <v>15346</v>
      </c>
      <c r="C2635" s="22" t="s">
        <v>17950</v>
      </c>
      <c r="E2635" s="24">
        <v>2000</v>
      </c>
      <c r="F2635" s="22" t="s">
        <v>18681</v>
      </c>
      <c r="G2635" s="23" t="s">
        <v>18682</v>
      </c>
      <c r="H2635" s="25" t="s">
        <v>15373</v>
      </c>
      <c r="I2635" s="22" t="s">
        <v>15382</v>
      </c>
      <c r="J2635" s="22" t="s">
        <v>16784</v>
      </c>
      <c r="K2635" s="26">
        <f t="shared" si="41"/>
        <v>503.33333333333331</v>
      </c>
      <c r="N2635" s="26">
        <v>755</v>
      </c>
      <c r="O2635" s="22" t="s">
        <v>17953</v>
      </c>
      <c r="P2635" s="22" t="s">
        <v>18401</v>
      </c>
      <c r="Q2635" s="22" t="s">
        <v>18402</v>
      </c>
      <c r="S2635" s="22" t="s">
        <v>16976</v>
      </c>
      <c r="X2635" s="26"/>
      <c r="Y2635" s="26"/>
    </row>
    <row r="2636" spans="1:25" ht="50" x14ac:dyDescent="0.25">
      <c r="A2636" s="21">
        <v>2901</v>
      </c>
      <c r="B2636" s="22" t="s">
        <v>15346</v>
      </c>
      <c r="C2636" s="22" t="s">
        <v>18683</v>
      </c>
      <c r="E2636" s="24">
        <v>2001</v>
      </c>
      <c r="F2636" s="22" t="s">
        <v>18684</v>
      </c>
      <c r="G2636" s="23" t="s">
        <v>18685</v>
      </c>
      <c r="H2636" s="25" t="s">
        <v>15373</v>
      </c>
      <c r="I2636" s="22" t="s">
        <v>15374</v>
      </c>
      <c r="J2636" s="22" t="s">
        <v>12899</v>
      </c>
      <c r="K2636" s="26">
        <f t="shared" si="41"/>
        <v>1880</v>
      </c>
      <c r="L2636" s="26">
        <v>1880</v>
      </c>
      <c r="O2636" s="22" t="s">
        <v>18686</v>
      </c>
      <c r="P2636" s="22" t="s">
        <v>18293</v>
      </c>
      <c r="Q2636" s="22" t="s">
        <v>18687</v>
      </c>
      <c r="S2636" s="22" t="s">
        <v>18688</v>
      </c>
      <c r="X2636" s="26"/>
      <c r="Y2636" s="26"/>
    </row>
    <row r="2637" spans="1:25" ht="50" x14ac:dyDescent="0.25">
      <c r="A2637" s="21">
        <v>2902</v>
      </c>
      <c r="B2637" s="22" t="s">
        <v>15346</v>
      </c>
      <c r="C2637" s="22" t="s">
        <v>18683</v>
      </c>
      <c r="E2637" s="24">
        <v>2001</v>
      </c>
      <c r="F2637" s="22" t="s">
        <v>18689</v>
      </c>
      <c r="G2637" s="23" t="s">
        <v>18685</v>
      </c>
      <c r="H2637" s="25" t="s">
        <v>15373</v>
      </c>
      <c r="I2637" s="22" t="s">
        <v>15374</v>
      </c>
      <c r="J2637" s="22" t="s">
        <v>12899</v>
      </c>
      <c r="K2637" s="26">
        <f t="shared" si="41"/>
        <v>1880</v>
      </c>
      <c r="L2637" s="26">
        <v>1880</v>
      </c>
      <c r="O2637" s="22" t="s">
        <v>18686</v>
      </c>
      <c r="P2637" s="22" t="s">
        <v>18293</v>
      </c>
      <c r="Q2637" s="22" t="s">
        <v>18687</v>
      </c>
      <c r="S2637" s="22" t="s">
        <v>18688</v>
      </c>
      <c r="X2637" s="26"/>
      <c r="Y2637" s="26"/>
    </row>
    <row r="2638" spans="1:25" ht="50" x14ac:dyDescent="0.25">
      <c r="A2638" s="21">
        <v>2903</v>
      </c>
      <c r="B2638" s="22" t="s">
        <v>15346</v>
      </c>
      <c r="C2638" s="22" t="s">
        <v>18683</v>
      </c>
      <c r="E2638" s="24">
        <v>2001</v>
      </c>
      <c r="F2638" s="22" t="s">
        <v>18690</v>
      </c>
      <c r="G2638" s="23" t="s">
        <v>18685</v>
      </c>
      <c r="H2638" s="25" t="s">
        <v>15373</v>
      </c>
      <c r="I2638" s="22" t="s">
        <v>15374</v>
      </c>
      <c r="J2638" s="22" t="s">
        <v>12899</v>
      </c>
      <c r="K2638" s="26">
        <f t="shared" si="41"/>
        <v>1880</v>
      </c>
      <c r="L2638" s="26">
        <v>1880</v>
      </c>
      <c r="O2638" s="22" t="s">
        <v>18686</v>
      </c>
      <c r="P2638" s="22" t="s">
        <v>18293</v>
      </c>
      <c r="Q2638" s="22" t="s">
        <v>18687</v>
      </c>
      <c r="S2638" s="22" t="s">
        <v>18688</v>
      </c>
      <c r="X2638" s="26"/>
      <c r="Y2638" s="26"/>
    </row>
    <row r="2639" spans="1:25" ht="50" x14ac:dyDescent="0.25">
      <c r="A2639" s="21">
        <v>2904</v>
      </c>
      <c r="B2639" s="22" t="s">
        <v>15346</v>
      </c>
      <c r="C2639" s="22" t="s">
        <v>18683</v>
      </c>
      <c r="E2639" s="24">
        <v>2001</v>
      </c>
      <c r="F2639" s="22" t="s">
        <v>18691</v>
      </c>
      <c r="G2639" s="23" t="s">
        <v>18685</v>
      </c>
      <c r="H2639" s="25" t="s">
        <v>15373</v>
      </c>
      <c r="I2639" s="22" t="s">
        <v>15374</v>
      </c>
      <c r="J2639" s="22" t="s">
        <v>12899</v>
      </c>
      <c r="K2639" s="26">
        <f t="shared" si="41"/>
        <v>1880</v>
      </c>
      <c r="L2639" s="26">
        <v>1880</v>
      </c>
      <c r="O2639" s="22" t="s">
        <v>18686</v>
      </c>
      <c r="P2639" s="22" t="s">
        <v>18293</v>
      </c>
      <c r="Q2639" s="22" t="s">
        <v>18687</v>
      </c>
      <c r="S2639" s="22" t="s">
        <v>18688</v>
      </c>
      <c r="X2639" s="26"/>
      <c r="Y2639" s="26"/>
    </row>
    <row r="2640" spans="1:25" ht="25" x14ac:dyDescent="0.25">
      <c r="A2640" s="21">
        <v>2905</v>
      </c>
      <c r="B2640" s="22" t="s">
        <v>15346</v>
      </c>
      <c r="C2640" s="22" t="s">
        <v>18692</v>
      </c>
      <c r="E2640" s="24">
        <v>2001</v>
      </c>
      <c r="F2640" s="22" t="s">
        <v>18693</v>
      </c>
      <c r="G2640" s="23" t="s">
        <v>18694</v>
      </c>
      <c r="H2640" s="25" t="s">
        <v>15373</v>
      </c>
      <c r="I2640" s="22" t="s">
        <v>17340</v>
      </c>
      <c r="J2640" s="22" t="s">
        <v>18662</v>
      </c>
      <c r="K2640" s="26">
        <f t="shared" si="41"/>
        <v>300</v>
      </c>
      <c r="L2640" s="26">
        <v>300</v>
      </c>
      <c r="O2640" s="22" t="s">
        <v>18695</v>
      </c>
      <c r="P2640" s="22" t="s">
        <v>18284</v>
      </c>
      <c r="Q2640" s="22" t="s">
        <v>18696</v>
      </c>
      <c r="S2640" s="22" t="s">
        <v>16976</v>
      </c>
      <c r="X2640" s="26"/>
      <c r="Y2640" s="26"/>
    </row>
    <row r="2641" spans="1:25" ht="62.5" x14ac:dyDescent="0.25">
      <c r="A2641" s="21">
        <v>2906</v>
      </c>
      <c r="B2641" s="22" t="s">
        <v>15346</v>
      </c>
      <c r="C2641" s="22" t="s">
        <v>18001</v>
      </c>
      <c r="E2641" s="24">
        <v>2000</v>
      </c>
      <c r="F2641" s="22" t="s">
        <v>18697</v>
      </c>
      <c r="G2641" s="23" t="s">
        <v>18698</v>
      </c>
      <c r="H2641" s="25" t="s">
        <v>15373</v>
      </c>
      <c r="I2641" s="22" t="s">
        <v>15382</v>
      </c>
      <c r="J2641" s="22" t="s">
        <v>15955</v>
      </c>
      <c r="K2641" s="26">
        <f t="shared" si="41"/>
        <v>756.66666666666663</v>
      </c>
      <c r="N2641" s="26">
        <v>1135</v>
      </c>
      <c r="O2641" s="22" t="s">
        <v>18004</v>
      </c>
      <c r="P2641" s="22" t="s">
        <v>18284</v>
      </c>
      <c r="Q2641" s="22" t="s">
        <v>18699</v>
      </c>
      <c r="S2641" s="22" t="s">
        <v>18006</v>
      </c>
      <c r="X2641" s="26"/>
      <c r="Y2641" s="26"/>
    </row>
    <row r="2642" spans="1:25" ht="37.5" x14ac:dyDescent="0.25">
      <c r="A2642" s="21">
        <v>2907</v>
      </c>
      <c r="B2642" s="22" t="s">
        <v>15346</v>
      </c>
      <c r="C2642" s="22" t="s">
        <v>18700</v>
      </c>
      <c r="E2642" s="24">
        <v>2000</v>
      </c>
      <c r="F2642" s="22" t="s">
        <v>18701</v>
      </c>
      <c r="G2642" s="23" t="s">
        <v>18702</v>
      </c>
      <c r="H2642" s="25" t="s">
        <v>16310</v>
      </c>
      <c r="I2642" s="22" t="s">
        <v>15374</v>
      </c>
      <c r="J2642" s="22" t="s">
        <v>18703</v>
      </c>
      <c r="K2642" s="26">
        <f t="shared" si="41"/>
        <v>542.66666666666663</v>
      </c>
      <c r="M2642" s="26">
        <v>814</v>
      </c>
      <c r="O2642" s="22" t="s">
        <v>18704</v>
      </c>
      <c r="P2642" s="22" t="s">
        <v>18705</v>
      </c>
      <c r="Q2642" s="22">
        <v>93243</v>
      </c>
      <c r="S2642" s="22" t="s">
        <v>18338</v>
      </c>
      <c r="X2642" s="26"/>
      <c r="Y2642" s="26"/>
    </row>
    <row r="2643" spans="1:25" ht="37.5" x14ac:dyDescent="0.25">
      <c r="A2643" s="21">
        <v>2908</v>
      </c>
      <c r="B2643" s="22" t="s">
        <v>15346</v>
      </c>
      <c r="C2643" s="22" t="s">
        <v>18706</v>
      </c>
      <c r="E2643" s="24">
        <v>2001</v>
      </c>
      <c r="F2643" s="22" t="s">
        <v>18707</v>
      </c>
      <c r="G2643" s="23" t="s">
        <v>18708</v>
      </c>
      <c r="H2643" s="25" t="s">
        <v>15373</v>
      </c>
      <c r="I2643" s="22" t="s">
        <v>15374</v>
      </c>
      <c r="J2643" s="22" t="s">
        <v>14555</v>
      </c>
      <c r="K2643" s="26">
        <f t="shared" si="41"/>
        <v>300</v>
      </c>
      <c r="L2643" s="26">
        <v>300</v>
      </c>
      <c r="O2643" s="22" t="s">
        <v>18709</v>
      </c>
      <c r="P2643" s="22" t="s">
        <v>18284</v>
      </c>
      <c r="Q2643" s="22" t="s">
        <v>18710</v>
      </c>
      <c r="S2643" s="22" t="s">
        <v>18711</v>
      </c>
      <c r="X2643" s="26"/>
      <c r="Y2643" s="26"/>
    </row>
    <row r="2644" spans="1:25" ht="37.5" x14ac:dyDescent="0.25">
      <c r="A2644" s="21">
        <v>2909</v>
      </c>
      <c r="B2644" s="22" t="s">
        <v>15346</v>
      </c>
      <c r="C2644" s="22" t="s">
        <v>18712</v>
      </c>
      <c r="E2644" s="24">
        <v>2001</v>
      </c>
      <c r="F2644" s="22" t="s">
        <v>18713</v>
      </c>
      <c r="G2644" s="23" t="s">
        <v>18714</v>
      </c>
      <c r="H2644" s="25" t="s">
        <v>15373</v>
      </c>
      <c r="I2644" s="22" t="s">
        <v>14275</v>
      </c>
      <c r="J2644" s="22" t="s">
        <v>11722</v>
      </c>
      <c r="K2644" s="26">
        <f t="shared" si="41"/>
        <v>505</v>
      </c>
      <c r="L2644" s="26">
        <v>505</v>
      </c>
      <c r="O2644" s="22" t="s">
        <v>18715</v>
      </c>
      <c r="P2644" s="22" t="s">
        <v>18303</v>
      </c>
      <c r="Q2644" s="22" t="s">
        <v>18716</v>
      </c>
      <c r="S2644" s="22" t="s">
        <v>18717</v>
      </c>
      <c r="X2644" s="26"/>
      <c r="Y2644" s="26"/>
    </row>
    <row r="2645" spans="1:25" ht="37.5" x14ac:dyDescent="0.25">
      <c r="A2645" s="21">
        <v>2910</v>
      </c>
      <c r="B2645" s="22" t="s">
        <v>15346</v>
      </c>
      <c r="C2645" s="22" t="s">
        <v>18712</v>
      </c>
      <c r="E2645" s="24">
        <v>2001</v>
      </c>
      <c r="F2645" s="22" t="s">
        <v>18718</v>
      </c>
      <c r="G2645" s="23" t="s">
        <v>18714</v>
      </c>
      <c r="H2645" s="25" t="s">
        <v>15373</v>
      </c>
      <c r="I2645" s="22" t="s">
        <v>14275</v>
      </c>
      <c r="J2645" s="22" t="s">
        <v>11722</v>
      </c>
      <c r="K2645" s="26">
        <f t="shared" si="41"/>
        <v>505</v>
      </c>
      <c r="L2645" s="26">
        <v>505</v>
      </c>
      <c r="O2645" s="22" t="s">
        <v>18715</v>
      </c>
      <c r="P2645" s="22" t="s">
        <v>18303</v>
      </c>
      <c r="Q2645" s="22" t="s">
        <v>18716</v>
      </c>
      <c r="S2645" s="22" t="s">
        <v>18717</v>
      </c>
      <c r="X2645" s="26"/>
      <c r="Y2645" s="26"/>
    </row>
    <row r="2646" spans="1:25" ht="25" x14ac:dyDescent="0.25">
      <c r="A2646" s="21">
        <v>2911</v>
      </c>
      <c r="B2646" s="22" t="s">
        <v>15346</v>
      </c>
      <c r="C2646" s="22" t="s">
        <v>18042</v>
      </c>
      <c r="E2646" s="24">
        <v>2001</v>
      </c>
      <c r="F2646" s="22" t="s">
        <v>18719</v>
      </c>
      <c r="G2646" s="23" t="s">
        <v>18720</v>
      </c>
      <c r="H2646" s="25" t="s">
        <v>15373</v>
      </c>
      <c r="I2646" s="22" t="s">
        <v>15374</v>
      </c>
      <c r="J2646" s="22" t="s">
        <v>12899</v>
      </c>
      <c r="K2646" s="26">
        <f t="shared" si="41"/>
        <v>2000</v>
      </c>
      <c r="L2646" s="26">
        <v>2000</v>
      </c>
      <c r="O2646" s="22" t="s">
        <v>18045</v>
      </c>
      <c r="P2646" s="22" t="s">
        <v>18303</v>
      </c>
      <c r="Q2646" s="22" t="s">
        <v>18721</v>
      </c>
      <c r="S2646" s="22" t="s">
        <v>18046</v>
      </c>
      <c r="X2646" s="26"/>
      <c r="Y2646" s="26"/>
    </row>
    <row r="2647" spans="1:25" ht="37.5" x14ac:dyDescent="0.25">
      <c r="A2647" s="21">
        <v>2912</v>
      </c>
      <c r="B2647" s="22" t="s">
        <v>15346</v>
      </c>
      <c r="C2647" s="22" t="s">
        <v>18722</v>
      </c>
      <c r="E2647" s="24">
        <v>2001</v>
      </c>
      <c r="F2647" s="22" t="s">
        <v>18723</v>
      </c>
      <c r="G2647" s="23" t="s">
        <v>18724</v>
      </c>
      <c r="H2647" s="25" t="s">
        <v>15373</v>
      </c>
      <c r="I2647" s="22" t="s">
        <v>15374</v>
      </c>
      <c r="J2647" s="22" t="s">
        <v>18725</v>
      </c>
      <c r="K2647" s="26">
        <f t="shared" si="41"/>
        <v>500</v>
      </c>
      <c r="L2647" s="26">
        <v>500</v>
      </c>
      <c r="O2647" s="22" t="s">
        <v>18726</v>
      </c>
      <c r="P2647" s="22" t="s">
        <v>18303</v>
      </c>
      <c r="Q2647" s="22">
        <v>93722</v>
      </c>
      <c r="S2647" s="22" t="s">
        <v>18338</v>
      </c>
      <c r="X2647" s="26"/>
      <c r="Y2647" s="26"/>
    </row>
    <row r="2648" spans="1:25" ht="25" x14ac:dyDescent="0.25">
      <c r="A2648" s="21">
        <v>2913</v>
      </c>
      <c r="B2648" s="22" t="s">
        <v>15346</v>
      </c>
      <c r="C2648" s="22" t="s">
        <v>18727</v>
      </c>
      <c r="E2648" s="24">
        <v>2001</v>
      </c>
      <c r="F2648" s="22" t="s">
        <v>18728</v>
      </c>
      <c r="G2648" s="23" t="s">
        <v>18729</v>
      </c>
      <c r="H2648" s="25" t="s">
        <v>15373</v>
      </c>
      <c r="I2648" s="22" t="s">
        <v>15374</v>
      </c>
      <c r="J2648" s="22">
        <v>3412</v>
      </c>
      <c r="K2648" s="26">
        <f t="shared" si="41"/>
        <v>800</v>
      </c>
      <c r="L2648" s="26">
        <v>800</v>
      </c>
      <c r="O2648" s="22" t="s">
        <v>18730</v>
      </c>
      <c r="P2648" s="22" t="s">
        <v>18731</v>
      </c>
      <c r="Q2648" s="22" t="s">
        <v>18732</v>
      </c>
      <c r="S2648" s="22" t="s">
        <v>18338</v>
      </c>
      <c r="X2648" s="26"/>
      <c r="Y2648" s="26"/>
    </row>
    <row r="2649" spans="1:25" ht="37.5" x14ac:dyDescent="0.25">
      <c r="A2649" s="21">
        <v>2914</v>
      </c>
      <c r="B2649" s="22" t="s">
        <v>15346</v>
      </c>
      <c r="C2649" s="22" t="s">
        <v>18733</v>
      </c>
      <c r="E2649" s="24">
        <v>2001</v>
      </c>
      <c r="F2649" s="22" t="s">
        <v>18734</v>
      </c>
      <c r="G2649" s="23" t="s">
        <v>18735</v>
      </c>
      <c r="H2649" s="25" t="s">
        <v>15373</v>
      </c>
      <c r="I2649" s="22" t="s">
        <v>15374</v>
      </c>
      <c r="J2649" s="22" t="s">
        <v>17288</v>
      </c>
      <c r="K2649" s="26">
        <f t="shared" si="41"/>
        <v>350</v>
      </c>
      <c r="L2649" s="26">
        <v>350</v>
      </c>
      <c r="O2649" s="22" t="s">
        <v>18736</v>
      </c>
      <c r="P2649" s="22" t="s">
        <v>18284</v>
      </c>
      <c r="Q2649" s="22" t="s">
        <v>18737</v>
      </c>
      <c r="S2649" s="22" t="s">
        <v>18338</v>
      </c>
      <c r="X2649" s="26"/>
      <c r="Y2649" s="26"/>
    </row>
    <row r="2650" spans="1:25" ht="37.5" x14ac:dyDescent="0.25">
      <c r="A2650" s="21">
        <v>2915</v>
      </c>
      <c r="B2650" s="22" t="s">
        <v>15346</v>
      </c>
      <c r="C2650" s="22" t="s">
        <v>16670</v>
      </c>
      <c r="E2650" s="24">
        <v>2001</v>
      </c>
      <c r="F2650" s="22" t="s">
        <v>18738</v>
      </c>
      <c r="G2650" s="23" t="s">
        <v>18739</v>
      </c>
      <c r="H2650" s="25" t="s">
        <v>15373</v>
      </c>
      <c r="I2650" s="22" t="s">
        <v>15374</v>
      </c>
      <c r="J2650" s="22" t="s">
        <v>16899</v>
      </c>
      <c r="K2650" s="26">
        <f t="shared" si="41"/>
        <v>600</v>
      </c>
      <c r="L2650" s="26">
        <v>600</v>
      </c>
      <c r="O2650" s="22" t="s">
        <v>16673</v>
      </c>
      <c r="P2650" s="22" t="s">
        <v>18284</v>
      </c>
      <c r="Q2650" s="22" t="s">
        <v>18600</v>
      </c>
      <c r="S2650" s="22" t="s">
        <v>16674</v>
      </c>
      <c r="X2650" s="26"/>
      <c r="Y2650" s="26"/>
    </row>
    <row r="2651" spans="1:25" ht="25" x14ac:dyDescent="0.25">
      <c r="A2651" s="21">
        <v>2916</v>
      </c>
      <c r="B2651" s="22" t="s">
        <v>15346</v>
      </c>
      <c r="C2651" s="22" t="s">
        <v>18740</v>
      </c>
      <c r="E2651" s="24">
        <v>2001</v>
      </c>
      <c r="F2651" s="22" t="s">
        <v>18741</v>
      </c>
      <c r="G2651" s="23" t="s">
        <v>18742</v>
      </c>
      <c r="H2651" s="25" t="s">
        <v>15373</v>
      </c>
      <c r="I2651" s="22" t="s">
        <v>15382</v>
      </c>
      <c r="J2651" s="22" t="s">
        <v>18743</v>
      </c>
      <c r="K2651" s="26">
        <f t="shared" si="41"/>
        <v>1000</v>
      </c>
      <c r="L2651" s="26">
        <v>1000</v>
      </c>
      <c r="O2651" s="22" t="s">
        <v>18744</v>
      </c>
      <c r="P2651" s="22" t="s">
        <v>18745</v>
      </c>
      <c r="Q2651" s="22" t="s">
        <v>18746</v>
      </c>
      <c r="X2651" s="26"/>
      <c r="Y2651" s="26"/>
    </row>
    <row r="2652" spans="1:25" ht="37.5" x14ac:dyDescent="0.25">
      <c r="A2652" s="21">
        <v>2917</v>
      </c>
      <c r="B2652" s="22" t="s">
        <v>15346</v>
      </c>
      <c r="C2652" s="22" t="s">
        <v>16716</v>
      </c>
      <c r="E2652" s="24">
        <v>2000</v>
      </c>
      <c r="F2652" s="22" t="s">
        <v>18747</v>
      </c>
      <c r="G2652" s="23" t="s">
        <v>18748</v>
      </c>
      <c r="H2652" s="25" t="s">
        <v>15373</v>
      </c>
      <c r="I2652" s="22" t="s">
        <v>15382</v>
      </c>
      <c r="J2652" s="22" t="s">
        <v>15391</v>
      </c>
      <c r="K2652" s="26">
        <f t="shared" si="41"/>
        <v>1500</v>
      </c>
      <c r="L2652" s="26">
        <v>1500</v>
      </c>
      <c r="O2652" s="22" t="s">
        <v>16719</v>
      </c>
      <c r="P2652" s="22" t="s">
        <v>18401</v>
      </c>
      <c r="Q2652" s="22" t="s">
        <v>18402</v>
      </c>
      <c r="S2652" s="22" t="s">
        <v>16720</v>
      </c>
      <c r="X2652" s="26"/>
      <c r="Y2652" s="26"/>
    </row>
    <row r="2653" spans="1:25" ht="37.5" x14ac:dyDescent="0.25">
      <c r="A2653" s="21">
        <v>2918</v>
      </c>
      <c r="B2653" s="22" t="s">
        <v>15346</v>
      </c>
      <c r="C2653" s="22" t="s">
        <v>18749</v>
      </c>
      <c r="E2653" s="24">
        <v>2001</v>
      </c>
      <c r="F2653" s="22" t="s">
        <v>18750</v>
      </c>
      <c r="G2653" s="23" t="s">
        <v>18751</v>
      </c>
      <c r="H2653" s="25" t="s">
        <v>15373</v>
      </c>
      <c r="I2653" s="22" t="s">
        <v>15374</v>
      </c>
      <c r="J2653" s="22">
        <v>3406</v>
      </c>
      <c r="K2653" s="26">
        <f t="shared" si="41"/>
        <v>350</v>
      </c>
      <c r="L2653" s="26">
        <v>350</v>
      </c>
      <c r="O2653" s="22" t="s">
        <v>18752</v>
      </c>
      <c r="P2653" s="22" t="s">
        <v>18293</v>
      </c>
      <c r="Q2653" s="22">
        <v>93309</v>
      </c>
      <c r="S2653" s="22" t="s">
        <v>16976</v>
      </c>
      <c r="X2653" s="26"/>
      <c r="Y2653" s="26"/>
    </row>
    <row r="2654" spans="1:25" ht="37.5" x14ac:dyDescent="0.25">
      <c r="A2654" s="21">
        <v>2919</v>
      </c>
      <c r="B2654" s="22" t="s">
        <v>15346</v>
      </c>
      <c r="C2654" s="22" t="s">
        <v>18753</v>
      </c>
      <c r="E2654" s="24">
        <v>2001</v>
      </c>
      <c r="F2654" s="22" t="s">
        <v>18754</v>
      </c>
      <c r="G2654" s="23" t="s">
        <v>18755</v>
      </c>
      <c r="H2654" s="25" t="s">
        <v>15373</v>
      </c>
      <c r="I2654" s="22" t="s">
        <v>15411</v>
      </c>
      <c r="J2654" s="22" t="s">
        <v>15451</v>
      </c>
      <c r="K2654" s="26">
        <f t="shared" si="41"/>
        <v>515</v>
      </c>
      <c r="L2654" s="26">
        <v>515</v>
      </c>
      <c r="O2654" s="22" t="s">
        <v>18756</v>
      </c>
      <c r="P2654" s="22" t="s">
        <v>18519</v>
      </c>
      <c r="Q2654" s="22" t="s">
        <v>18520</v>
      </c>
      <c r="S2654" s="22" t="s">
        <v>16976</v>
      </c>
      <c r="X2654" s="26"/>
      <c r="Y2654" s="26"/>
    </row>
    <row r="2655" spans="1:25" ht="25" x14ac:dyDescent="0.25">
      <c r="A2655" s="21">
        <v>2920</v>
      </c>
      <c r="B2655" s="22" t="s">
        <v>15346</v>
      </c>
      <c r="C2655" s="22" t="s">
        <v>18757</v>
      </c>
      <c r="E2655" s="24">
        <v>2001</v>
      </c>
      <c r="F2655" s="22" t="s">
        <v>18758</v>
      </c>
      <c r="G2655" s="23" t="s">
        <v>18759</v>
      </c>
      <c r="H2655" s="25" t="s">
        <v>15373</v>
      </c>
      <c r="I2655" s="22" t="s">
        <v>15382</v>
      </c>
      <c r="J2655" s="22" t="s">
        <v>16792</v>
      </c>
      <c r="K2655" s="26">
        <f t="shared" si="41"/>
        <v>300</v>
      </c>
      <c r="L2655" s="26">
        <v>300</v>
      </c>
      <c r="O2655" s="22" t="s">
        <v>18760</v>
      </c>
      <c r="P2655" s="22" t="s">
        <v>18761</v>
      </c>
      <c r="Q2655" s="22" t="s">
        <v>18762</v>
      </c>
      <c r="S2655" s="22" t="s">
        <v>18338</v>
      </c>
      <c r="X2655" s="26"/>
      <c r="Y2655" s="26"/>
    </row>
    <row r="2656" spans="1:25" ht="25" x14ac:dyDescent="0.25">
      <c r="A2656" s="21">
        <v>2921</v>
      </c>
      <c r="B2656" s="22" t="s">
        <v>15346</v>
      </c>
      <c r="C2656" s="22" t="s">
        <v>18763</v>
      </c>
      <c r="E2656" s="24">
        <v>2002</v>
      </c>
      <c r="F2656" s="22" t="s">
        <v>18764</v>
      </c>
      <c r="G2656" s="23" t="s">
        <v>18765</v>
      </c>
      <c r="H2656" s="25" t="s">
        <v>15373</v>
      </c>
      <c r="I2656" s="22" t="s">
        <v>15374</v>
      </c>
      <c r="J2656" s="22" t="s">
        <v>9707</v>
      </c>
      <c r="K2656" s="26">
        <f t="shared" si="41"/>
        <v>600</v>
      </c>
      <c r="L2656" s="26">
        <v>600</v>
      </c>
      <c r="O2656" s="22" t="s">
        <v>18766</v>
      </c>
      <c r="P2656" s="22" t="s">
        <v>18284</v>
      </c>
      <c r="Q2656" s="22">
        <v>95206</v>
      </c>
      <c r="S2656" s="22" t="s">
        <v>18338</v>
      </c>
      <c r="X2656" s="26"/>
      <c r="Y2656" s="26"/>
    </row>
    <row r="2657" spans="1:25" ht="37.5" x14ac:dyDescent="0.25">
      <c r="A2657" s="21">
        <v>2922</v>
      </c>
      <c r="B2657" s="22" t="s">
        <v>15346</v>
      </c>
      <c r="C2657" s="22" t="s">
        <v>18767</v>
      </c>
      <c r="E2657" s="24">
        <v>2001</v>
      </c>
      <c r="F2657" s="22" t="s">
        <v>18768</v>
      </c>
      <c r="G2657" s="23" t="s">
        <v>18769</v>
      </c>
      <c r="H2657" s="25" t="s">
        <v>15373</v>
      </c>
      <c r="I2657" s="22" t="s">
        <v>15382</v>
      </c>
      <c r="J2657" s="22" t="s">
        <v>16569</v>
      </c>
      <c r="K2657" s="26">
        <f t="shared" si="41"/>
        <v>400</v>
      </c>
      <c r="L2657" s="26">
        <v>400</v>
      </c>
      <c r="O2657" s="22" t="s">
        <v>18770</v>
      </c>
      <c r="P2657" s="22" t="s">
        <v>18298</v>
      </c>
      <c r="Q2657" s="22">
        <v>93291</v>
      </c>
      <c r="S2657" s="22" t="s">
        <v>18771</v>
      </c>
      <c r="X2657" s="26"/>
      <c r="Y2657" s="26"/>
    </row>
    <row r="2658" spans="1:25" ht="37.5" x14ac:dyDescent="0.25">
      <c r="A2658" s="21">
        <v>2923</v>
      </c>
      <c r="B2658" s="22" t="s">
        <v>15346</v>
      </c>
      <c r="C2658" s="22" t="s">
        <v>18772</v>
      </c>
      <c r="E2658" s="24">
        <v>2001</v>
      </c>
      <c r="F2658" s="22" t="s">
        <v>18773</v>
      </c>
      <c r="G2658" s="23" t="s">
        <v>18774</v>
      </c>
      <c r="H2658" s="25" t="s">
        <v>15373</v>
      </c>
      <c r="I2658" s="22" t="s">
        <v>14275</v>
      </c>
      <c r="J2658" s="22" t="s">
        <v>12216</v>
      </c>
      <c r="K2658" s="26">
        <f t="shared" si="41"/>
        <v>375</v>
      </c>
      <c r="L2658" s="26">
        <v>375</v>
      </c>
      <c r="O2658" s="22" t="s">
        <v>18775</v>
      </c>
      <c r="P2658" s="22" t="s">
        <v>18293</v>
      </c>
      <c r="Q2658" s="22" t="s">
        <v>18776</v>
      </c>
      <c r="S2658" s="22" t="s">
        <v>18777</v>
      </c>
      <c r="X2658" s="26"/>
      <c r="Y2658" s="26"/>
    </row>
    <row r="2659" spans="1:25" ht="37.5" x14ac:dyDescent="0.25">
      <c r="A2659" s="21">
        <v>2924</v>
      </c>
      <c r="B2659" s="22" t="s">
        <v>15346</v>
      </c>
      <c r="C2659" s="22" t="s">
        <v>16937</v>
      </c>
      <c r="E2659" s="24">
        <v>2002</v>
      </c>
      <c r="F2659" s="22" t="s">
        <v>18778</v>
      </c>
      <c r="G2659" s="23" t="s">
        <v>18779</v>
      </c>
      <c r="H2659" s="25" t="s">
        <v>15373</v>
      </c>
      <c r="I2659" s="22" t="s">
        <v>15411</v>
      </c>
      <c r="J2659" s="22" t="s">
        <v>16331</v>
      </c>
      <c r="K2659" s="26">
        <f t="shared" si="41"/>
        <v>800</v>
      </c>
      <c r="L2659" s="26">
        <v>800</v>
      </c>
      <c r="O2659" s="22" t="s">
        <v>16945</v>
      </c>
      <c r="P2659" s="22" t="s">
        <v>18279</v>
      </c>
      <c r="S2659" s="22" t="s">
        <v>16942</v>
      </c>
      <c r="X2659" s="26"/>
      <c r="Y2659" s="26"/>
    </row>
    <row r="2660" spans="1:25" ht="50" x14ac:dyDescent="0.25">
      <c r="A2660" s="21">
        <v>2925</v>
      </c>
      <c r="B2660" s="22" t="s">
        <v>15346</v>
      </c>
      <c r="C2660" s="22" t="s">
        <v>18780</v>
      </c>
      <c r="E2660" s="24">
        <v>2002</v>
      </c>
      <c r="F2660" s="22" t="s">
        <v>18781</v>
      </c>
      <c r="G2660" s="23" t="s">
        <v>18782</v>
      </c>
      <c r="H2660" s="25" t="s">
        <v>15373</v>
      </c>
      <c r="I2660" s="22" t="s">
        <v>15374</v>
      </c>
      <c r="J2660" s="22" t="s">
        <v>9707</v>
      </c>
      <c r="K2660" s="26">
        <f t="shared" si="41"/>
        <v>495.33333333333331</v>
      </c>
      <c r="M2660" s="26">
        <v>743</v>
      </c>
      <c r="O2660" s="22" t="s">
        <v>18783</v>
      </c>
      <c r="P2660" s="22" t="s">
        <v>18485</v>
      </c>
      <c r="Q2660" s="22">
        <v>93611</v>
      </c>
      <c r="X2660" s="26"/>
      <c r="Y2660" s="26"/>
    </row>
    <row r="2661" spans="1:25" ht="25" x14ac:dyDescent="0.25">
      <c r="A2661" s="21">
        <v>2926</v>
      </c>
      <c r="B2661" s="22" t="s">
        <v>15346</v>
      </c>
      <c r="C2661" s="22" t="s">
        <v>18784</v>
      </c>
      <c r="E2661" s="24">
        <v>2002</v>
      </c>
      <c r="F2661" s="22" t="s">
        <v>18785</v>
      </c>
      <c r="G2661" s="23" t="s">
        <v>18786</v>
      </c>
      <c r="H2661" s="25" t="s">
        <v>15373</v>
      </c>
      <c r="I2661" s="22" t="s">
        <v>15374</v>
      </c>
      <c r="J2661" s="22">
        <v>3508</v>
      </c>
      <c r="K2661" s="26">
        <f t="shared" si="41"/>
        <v>1000</v>
      </c>
      <c r="L2661" s="26">
        <v>1000</v>
      </c>
      <c r="O2661" s="22" t="s">
        <v>18787</v>
      </c>
      <c r="P2661" s="22" t="s">
        <v>18293</v>
      </c>
      <c r="Q2661" s="22" t="s">
        <v>18294</v>
      </c>
      <c r="S2661" s="22" t="s">
        <v>18788</v>
      </c>
      <c r="X2661" s="26"/>
      <c r="Y2661" s="26"/>
    </row>
    <row r="2662" spans="1:25" ht="25" x14ac:dyDescent="0.25">
      <c r="A2662" s="21">
        <v>2927</v>
      </c>
      <c r="B2662" s="22" t="s">
        <v>15346</v>
      </c>
      <c r="C2662" s="22" t="s">
        <v>18789</v>
      </c>
      <c r="E2662" s="24">
        <v>2002</v>
      </c>
      <c r="F2662" s="22" t="s">
        <v>18790</v>
      </c>
      <c r="G2662" s="23" t="s">
        <v>18791</v>
      </c>
      <c r="H2662" s="25" t="s">
        <v>15373</v>
      </c>
      <c r="I2662" s="22" t="s">
        <v>15411</v>
      </c>
      <c r="J2662" s="22" t="s">
        <v>18792</v>
      </c>
      <c r="K2662" s="26">
        <f t="shared" si="41"/>
        <v>650</v>
      </c>
      <c r="L2662" s="26">
        <v>650</v>
      </c>
      <c r="O2662" s="22" t="s">
        <v>18793</v>
      </c>
      <c r="P2662" s="22" t="s">
        <v>18325</v>
      </c>
      <c r="Q2662" s="22">
        <v>93215</v>
      </c>
      <c r="X2662" s="26"/>
      <c r="Y2662" s="26"/>
    </row>
    <row r="2663" spans="1:25" ht="37.5" x14ac:dyDescent="0.25">
      <c r="A2663" s="21">
        <v>2928</v>
      </c>
      <c r="B2663" s="22" t="s">
        <v>15346</v>
      </c>
      <c r="C2663" s="22" t="s">
        <v>18380</v>
      </c>
      <c r="E2663" s="24">
        <v>2002</v>
      </c>
      <c r="F2663" s="22" t="s">
        <v>18794</v>
      </c>
      <c r="G2663" s="23" t="s">
        <v>18795</v>
      </c>
      <c r="H2663" s="25" t="s">
        <v>15373</v>
      </c>
      <c r="I2663" s="22" t="s">
        <v>15374</v>
      </c>
      <c r="J2663" s="22" t="s">
        <v>12899</v>
      </c>
      <c r="K2663" s="26">
        <f t="shared" si="41"/>
        <v>1750</v>
      </c>
      <c r="L2663" s="26">
        <v>1750</v>
      </c>
      <c r="O2663" s="22" t="s">
        <v>18796</v>
      </c>
      <c r="P2663" s="22" t="s">
        <v>18797</v>
      </c>
      <c r="Q2663" s="22">
        <v>93272</v>
      </c>
      <c r="S2663" s="22" t="s">
        <v>18798</v>
      </c>
      <c r="X2663" s="26"/>
      <c r="Y2663" s="26"/>
    </row>
    <row r="2664" spans="1:25" ht="37.5" x14ac:dyDescent="0.25">
      <c r="A2664" s="21">
        <v>2929</v>
      </c>
      <c r="B2664" s="22" t="s">
        <v>15346</v>
      </c>
      <c r="C2664" s="22" t="s">
        <v>18380</v>
      </c>
      <c r="E2664" s="24">
        <v>2002</v>
      </c>
      <c r="F2664" s="22" t="s">
        <v>18799</v>
      </c>
      <c r="G2664" s="23" t="s">
        <v>18800</v>
      </c>
      <c r="H2664" s="25" t="s">
        <v>15373</v>
      </c>
      <c r="I2664" s="22" t="s">
        <v>15374</v>
      </c>
      <c r="J2664" s="22" t="s">
        <v>12899</v>
      </c>
      <c r="K2664" s="26">
        <f t="shared" si="41"/>
        <v>2000</v>
      </c>
      <c r="L2664" s="26">
        <v>2000</v>
      </c>
      <c r="O2664" s="22" t="s">
        <v>18796</v>
      </c>
      <c r="P2664" s="22" t="s">
        <v>18797</v>
      </c>
      <c r="Q2664" s="22">
        <v>93272</v>
      </c>
      <c r="S2664" s="22" t="s">
        <v>18798</v>
      </c>
      <c r="X2664" s="26"/>
      <c r="Y2664" s="26"/>
    </row>
    <row r="2665" spans="1:25" ht="25" x14ac:dyDescent="0.25">
      <c r="A2665" s="21">
        <v>2930</v>
      </c>
      <c r="B2665" s="22" t="s">
        <v>15346</v>
      </c>
      <c r="C2665" s="22" t="s">
        <v>18801</v>
      </c>
      <c r="E2665" s="24">
        <v>2002</v>
      </c>
      <c r="F2665" s="22" t="s">
        <v>18802</v>
      </c>
      <c r="G2665" s="23" t="s">
        <v>18803</v>
      </c>
      <c r="H2665" s="25" t="s">
        <v>15373</v>
      </c>
      <c r="I2665" s="22" t="s">
        <v>15374</v>
      </c>
      <c r="J2665" s="22">
        <v>3512</v>
      </c>
      <c r="K2665" s="26">
        <f t="shared" si="41"/>
        <v>1250</v>
      </c>
      <c r="L2665" s="26">
        <v>1250</v>
      </c>
      <c r="O2665" s="22" t="s">
        <v>18804</v>
      </c>
      <c r="P2665" s="22" t="s">
        <v>18303</v>
      </c>
      <c r="Q2665" s="22">
        <v>93703</v>
      </c>
      <c r="X2665" s="26"/>
      <c r="Y2665" s="26"/>
    </row>
    <row r="2666" spans="1:25" ht="37.5" x14ac:dyDescent="0.25">
      <c r="A2666" s="21">
        <v>2931</v>
      </c>
      <c r="B2666" s="22" t="s">
        <v>15346</v>
      </c>
      <c r="C2666" s="22" t="s">
        <v>18805</v>
      </c>
      <c r="E2666" s="24">
        <v>2002</v>
      </c>
      <c r="F2666" s="22" t="s">
        <v>18806</v>
      </c>
      <c r="G2666" s="23" t="s">
        <v>18807</v>
      </c>
      <c r="H2666" s="25" t="s">
        <v>15373</v>
      </c>
      <c r="I2666" s="22" t="s">
        <v>15374</v>
      </c>
      <c r="J2666" s="22">
        <v>3512</v>
      </c>
      <c r="K2666" s="26">
        <f t="shared" si="41"/>
        <v>1204.6666666666665</v>
      </c>
      <c r="M2666" s="26">
        <v>1807</v>
      </c>
      <c r="O2666" s="22" t="s">
        <v>18808</v>
      </c>
      <c r="P2666" s="22" t="s">
        <v>18303</v>
      </c>
      <c r="Q2666" s="22">
        <v>93740</v>
      </c>
      <c r="S2666" s="22" t="s">
        <v>18338</v>
      </c>
      <c r="X2666" s="26"/>
      <c r="Y2666" s="26"/>
    </row>
    <row r="2667" spans="1:25" ht="62.5" x14ac:dyDescent="0.25">
      <c r="A2667" s="21">
        <v>2932</v>
      </c>
      <c r="B2667" s="22" t="s">
        <v>15346</v>
      </c>
      <c r="C2667" s="22" t="s">
        <v>18809</v>
      </c>
      <c r="E2667" s="24">
        <v>2002</v>
      </c>
      <c r="F2667" s="22" t="s">
        <v>18810</v>
      </c>
      <c r="G2667" s="23" t="s">
        <v>18811</v>
      </c>
      <c r="H2667" s="25" t="s">
        <v>15373</v>
      </c>
      <c r="I2667" s="22" t="s">
        <v>15374</v>
      </c>
      <c r="J2667" s="22">
        <v>3516</v>
      </c>
      <c r="K2667" s="26">
        <f t="shared" si="41"/>
        <v>1956</v>
      </c>
      <c r="N2667" s="26">
        <v>2934</v>
      </c>
      <c r="O2667" s="22" t="s">
        <v>18812</v>
      </c>
      <c r="P2667" s="22" t="s">
        <v>18293</v>
      </c>
      <c r="Q2667" s="22">
        <v>93306</v>
      </c>
      <c r="S2667" s="22" t="s">
        <v>18338</v>
      </c>
      <c r="X2667" s="26"/>
      <c r="Y2667" s="26"/>
    </row>
    <row r="2668" spans="1:25" ht="37.5" x14ac:dyDescent="0.25">
      <c r="A2668" s="21">
        <v>2933</v>
      </c>
      <c r="B2668" s="22" t="s">
        <v>15346</v>
      </c>
      <c r="C2668" s="22" t="s">
        <v>18813</v>
      </c>
      <c r="E2668" s="24">
        <v>2002</v>
      </c>
      <c r="F2668" s="22" t="s">
        <v>18814</v>
      </c>
      <c r="G2668" s="23" t="s">
        <v>18815</v>
      </c>
      <c r="H2668" s="25" t="s">
        <v>16310</v>
      </c>
      <c r="I2668" s="22" t="s">
        <v>15382</v>
      </c>
      <c r="J2668" s="22" t="s">
        <v>18816</v>
      </c>
      <c r="K2668" s="26">
        <f t="shared" si="41"/>
        <v>1100</v>
      </c>
      <c r="L2668" s="26">
        <v>1100</v>
      </c>
      <c r="O2668" s="22" t="s">
        <v>18817</v>
      </c>
      <c r="P2668" s="22" t="s">
        <v>18818</v>
      </c>
      <c r="Q2668" s="22">
        <v>93660</v>
      </c>
      <c r="S2668" s="22" t="s">
        <v>18338</v>
      </c>
      <c r="X2668" s="26"/>
      <c r="Y2668" s="26"/>
    </row>
    <row r="2669" spans="1:25" ht="37.5" x14ac:dyDescent="0.25">
      <c r="A2669" s="21">
        <v>2934</v>
      </c>
      <c r="B2669" s="22" t="s">
        <v>15346</v>
      </c>
      <c r="C2669" s="22" t="s">
        <v>18819</v>
      </c>
      <c r="E2669" s="24">
        <v>2002</v>
      </c>
      <c r="F2669" s="22" t="s">
        <v>18820</v>
      </c>
      <c r="G2669" s="23" t="s">
        <v>18821</v>
      </c>
      <c r="H2669" s="25" t="s">
        <v>15373</v>
      </c>
      <c r="I2669" s="22" t="s">
        <v>15374</v>
      </c>
      <c r="J2669" s="22" t="s">
        <v>18822</v>
      </c>
      <c r="K2669" s="26">
        <f t="shared" si="41"/>
        <v>742.66666666666663</v>
      </c>
      <c r="M2669" s="26">
        <v>1114</v>
      </c>
      <c r="O2669" s="22" t="s">
        <v>18823</v>
      </c>
      <c r="P2669" s="22" t="s">
        <v>18284</v>
      </c>
      <c r="Q2669" s="22">
        <v>95206</v>
      </c>
      <c r="S2669" s="22" t="s">
        <v>18338</v>
      </c>
      <c r="X2669" s="26"/>
      <c r="Y2669" s="26"/>
    </row>
    <row r="2670" spans="1:25" ht="25" x14ac:dyDescent="0.25">
      <c r="A2670" s="21">
        <v>2935</v>
      </c>
      <c r="B2670" s="22" t="s">
        <v>15346</v>
      </c>
      <c r="C2670" s="22" t="s">
        <v>17197</v>
      </c>
      <c r="E2670" s="24">
        <v>2002</v>
      </c>
      <c r="F2670" s="22" t="s">
        <v>18824</v>
      </c>
      <c r="G2670" s="23" t="s">
        <v>18786</v>
      </c>
      <c r="H2670" s="25" t="s">
        <v>15373</v>
      </c>
      <c r="I2670" s="22" t="s">
        <v>15374</v>
      </c>
      <c r="J2670" s="22">
        <v>3508</v>
      </c>
      <c r="K2670" s="26">
        <f t="shared" si="41"/>
        <v>1000</v>
      </c>
      <c r="L2670" s="26">
        <v>1000</v>
      </c>
      <c r="O2670" s="22" t="s">
        <v>18825</v>
      </c>
      <c r="P2670" s="22" t="s">
        <v>18485</v>
      </c>
      <c r="Q2670" s="22" t="s">
        <v>18486</v>
      </c>
      <c r="S2670" s="22" t="s">
        <v>17203</v>
      </c>
      <c r="X2670" s="26"/>
      <c r="Y2670" s="26"/>
    </row>
    <row r="2671" spans="1:25" ht="25" x14ac:dyDescent="0.25">
      <c r="A2671" s="21">
        <v>2936</v>
      </c>
      <c r="B2671" s="22" t="s">
        <v>15346</v>
      </c>
      <c r="C2671" s="22" t="s">
        <v>17209</v>
      </c>
      <c r="E2671" s="24">
        <v>2002</v>
      </c>
      <c r="F2671" s="22" t="s">
        <v>18826</v>
      </c>
      <c r="G2671" s="23" t="s">
        <v>18827</v>
      </c>
      <c r="H2671" s="25" t="s">
        <v>15373</v>
      </c>
      <c r="I2671" s="22" t="s">
        <v>15382</v>
      </c>
      <c r="J2671" s="22" t="s">
        <v>16861</v>
      </c>
      <c r="K2671" s="26">
        <f t="shared" si="41"/>
        <v>400</v>
      </c>
      <c r="L2671" s="26">
        <v>400</v>
      </c>
      <c r="O2671" s="22" t="s">
        <v>18828</v>
      </c>
      <c r="P2671" s="22" t="s">
        <v>18325</v>
      </c>
      <c r="Q2671" s="22">
        <v>93215</v>
      </c>
      <c r="S2671" s="22" t="s">
        <v>18338</v>
      </c>
      <c r="X2671" s="26"/>
      <c r="Y2671" s="26"/>
    </row>
    <row r="2672" spans="1:25" ht="25" x14ac:dyDescent="0.25">
      <c r="A2672" s="21">
        <v>2937</v>
      </c>
      <c r="B2672" s="22" t="s">
        <v>15346</v>
      </c>
      <c r="C2672" s="22" t="s">
        <v>18829</v>
      </c>
      <c r="E2672" s="24">
        <v>2002</v>
      </c>
      <c r="F2672" s="22" t="s">
        <v>18830</v>
      </c>
      <c r="G2672" s="23" t="s">
        <v>18507</v>
      </c>
      <c r="H2672" s="25" t="s">
        <v>15373</v>
      </c>
      <c r="I2672" s="22" t="s">
        <v>15374</v>
      </c>
      <c r="J2672" s="22">
        <v>3406</v>
      </c>
      <c r="K2672" s="26">
        <f t="shared" si="41"/>
        <v>300</v>
      </c>
      <c r="L2672" s="26">
        <v>300</v>
      </c>
      <c r="O2672" s="22" t="s">
        <v>18831</v>
      </c>
      <c r="P2672" s="22" t="s">
        <v>18303</v>
      </c>
      <c r="Q2672" s="22">
        <v>93721</v>
      </c>
      <c r="X2672" s="26"/>
      <c r="Y2672" s="26"/>
    </row>
    <row r="2673" spans="1:25" ht="25" x14ac:dyDescent="0.25">
      <c r="A2673" s="21">
        <v>2938</v>
      </c>
      <c r="B2673" s="22" t="s">
        <v>15346</v>
      </c>
      <c r="C2673" s="22" t="s">
        <v>18829</v>
      </c>
      <c r="E2673" s="24">
        <v>2002</v>
      </c>
      <c r="F2673" s="22" t="s">
        <v>18832</v>
      </c>
      <c r="G2673" s="23" t="s">
        <v>18507</v>
      </c>
      <c r="H2673" s="25" t="s">
        <v>15373</v>
      </c>
      <c r="I2673" s="22" t="s">
        <v>15374</v>
      </c>
      <c r="J2673" s="22">
        <v>3406</v>
      </c>
      <c r="K2673" s="26">
        <f t="shared" si="41"/>
        <v>300</v>
      </c>
      <c r="L2673" s="26">
        <v>300</v>
      </c>
      <c r="O2673" s="22" t="s">
        <v>18831</v>
      </c>
      <c r="P2673" s="22" t="s">
        <v>18303</v>
      </c>
      <c r="Q2673" s="22">
        <v>93721</v>
      </c>
      <c r="X2673" s="26"/>
      <c r="Y2673" s="26"/>
    </row>
    <row r="2674" spans="1:25" ht="25" x14ac:dyDescent="0.25">
      <c r="A2674" s="21">
        <v>2939</v>
      </c>
      <c r="B2674" s="22" t="s">
        <v>15346</v>
      </c>
      <c r="C2674" s="22" t="s">
        <v>17222</v>
      </c>
      <c r="E2674" s="24">
        <v>2002</v>
      </c>
      <c r="F2674" s="22" t="s">
        <v>18833</v>
      </c>
      <c r="G2674" s="23" t="s">
        <v>18834</v>
      </c>
      <c r="H2674" s="25" t="s">
        <v>15373</v>
      </c>
      <c r="I2674" s="22" t="s">
        <v>15374</v>
      </c>
      <c r="J2674" s="22">
        <v>3412</v>
      </c>
      <c r="K2674" s="26">
        <f t="shared" si="41"/>
        <v>742.66666666666663</v>
      </c>
      <c r="M2674" s="26">
        <v>1114</v>
      </c>
      <c r="O2674" s="22" t="s">
        <v>18835</v>
      </c>
      <c r="P2674" s="22" t="s">
        <v>18303</v>
      </c>
      <c r="Q2674" s="22">
        <v>93727</v>
      </c>
      <c r="S2674" s="22" t="s">
        <v>17227</v>
      </c>
      <c r="X2674" s="26"/>
      <c r="Y2674" s="26"/>
    </row>
    <row r="2675" spans="1:25" ht="37.5" x14ac:dyDescent="0.25">
      <c r="A2675" s="21">
        <v>2940</v>
      </c>
      <c r="B2675" s="22" t="s">
        <v>15346</v>
      </c>
      <c r="C2675" s="22" t="s">
        <v>17278</v>
      </c>
      <c r="E2675" s="24">
        <v>2002</v>
      </c>
      <c r="F2675" s="22" t="s">
        <v>18836</v>
      </c>
      <c r="G2675" s="23" t="s">
        <v>18837</v>
      </c>
      <c r="H2675" s="25" t="s">
        <v>15373</v>
      </c>
      <c r="I2675" s="22" t="s">
        <v>15382</v>
      </c>
      <c r="J2675" s="22" t="s">
        <v>13380</v>
      </c>
      <c r="K2675" s="26">
        <f t="shared" si="41"/>
        <v>450</v>
      </c>
      <c r="L2675" s="26">
        <v>450</v>
      </c>
      <c r="O2675" s="22" t="s">
        <v>18838</v>
      </c>
      <c r="P2675" s="22" t="s">
        <v>18417</v>
      </c>
      <c r="Q2675" s="22">
        <v>95340</v>
      </c>
      <c r="X2675" s="26"/>
      <c r="Y2675" s="26"/>
    </row>
    <row r="2676" spans="1:25" ht="37.5" x14ac:dyDescent="0.25">
      <c r="A2676" s="21">
        <v>2941</v>
      </c>
      <c r="B2676" s="22" t="s">
        <v>15346</v>
      </c>
      <c r="C2676" s="22" t="s">
        <v>17278</v>
      </c>
      <c r="E2676" s="24">
        <v>2002</v>
      </c>
      <c r="F2676" s="22" t="s">
        <v>18839</v>
      </c>
      <c r="G2676" s="23" t="s">
        <v>18840</v>
      </c>
      <c r="H2676" s="25" t="s">
        <v>15373</v>
      </c>
      <c r="I2676" s="22" t="s">
        <v>15382</v>
      </c>
      <c r="J2676" s="22" t="s">
        <v>16784</v>
      </c>
      <c r="K2676" s="26">
        <f t="shared" si="41"/>
        <v>500</v>
      </c>
      <c r="L2676" s="26">
        <v>500</v>
      </c>
      <c r="O2676" s="22" t="s">
        <v>18841</v>
      </c>
      <c r="P2676" s="22" t="s">
        <v>18417</v>
      </c>
      <c r="Q2676" s="22">
        <v>95340</v>
      </c>
      <c r="X2676" s="26"/>
      <c r="Y2676" s="26"/>
    </row>
    <row r="2677" spans="1:25" ht="37.5" x14ac:dyDescent="0.25">
      <c r="A2677" s="21">
        <v>2942</v>
      </c>
      <c r="B2677" s="22" t="s">
        <v>15346</v>
      </c>
      <c r="C2677" s="22" t="s">
        <v>17278</v>
      </c>
      <c r="E2677" s="24">
        <v>2002</v>
      </c>
      <c r="F2677" s="22" t="s">
        <v>18842</v>
      </c>
      <c r="G2677" s="23" t="s">
        <v>18843</v>
      </c>
      <c r="H2677" s="25" t="s">
        <v>15373</v>
      </c>
      <c r="I2677" s="22" t="s">
        <v>15374</v>
      </c>
      <c r="J2677" s="22">
        <v>3512</v>
      </c>
      <c r="K2677" s="26">
        <f t="shared" si="41"/>
        <v>1500</v>
      </c>
      <c r="L2677" s="26">
        <v>1500</v>
      </c>
      <c r="O2677" s="22" t="s">
        <v>17282</v>
      </c>
      <c r="P2677" s="22" t="s">
        <v>18417</v>
      </c>
      <c r="Q2677" s="22">
        <v>95340</v>
      </c>
      <c r="S2677" s="22" t="s">
        <v>16976</v>
      </c>
      <c r="X2677" s="26"/>
      <c r="Y2677" s="26"/>
    </row>
    <row r="2678" spans="1:25" ht="37.5" x14ac:dyDescent="0.25">
      <c r="A2678" s="21">
        <v>2943</v>
      </c>
      <c r="B2678" s="22" t="s">
        <v>15346</v>
      </c>
      <c r="C2678" s="22" t="s">
        <v>17278</v>
      </c>
      <c r="E2678" s="24">
        <v>2002</v>
      </c>
      <c r="F2678" s="22" t="s">
        <v>18844</v>
      </c>
      <c r="G2678" s="23" t="s">
        <v>18837</v>
      </c>
      <c r="H2678" s="25" t="s">
        <v>15373</v>
      </c>
      <c r="I2678" s="22" t="s">
        <v>15382</v>
      </c>
      <c r="J2678" s="22" t="s">
        <v>13380</v>
      </c>
      <c r="K2678" s="26">
        <f t="shared" si="41"/>
        <v>450</v>
      </c>
      <c r="L2678" s="26">
        <v>450</v>
      </c>
      <c r="O2678" s="22" t="s">
        <v>18845</v>
      </c>
      <c r="P2678" s="22" t="s">
        <v>18417</v>
      </c>
      <c r="Q2678" s="22">
        <v>95340</v>
      </c>
      <c r="S2678" s="22" t="s">
        <v>18338</v>
      </c>
      <c r="X2678" s="26"/>
      <c r="Y2678" s="26"/>
    </row>
    <row r="2679" spans="1:25" ht="37.5" x14ac:dyDescent="0.25">
      <c r="A2679" s="21">
        <v>2944</v>
      </c>
      <c r="B2679" s="22" t="s">
        <v>15346</v>
      </c>
      <c r="C2679" s="22" t="s">
        <v>17285</v>
      </c>
      <c r="E2679" s="24">
        <v>2002</v>
      </c>
      <c r="F2679" s="22" t="s">
        <v>18846</v>
      </c>
      <c r="G2679" s="23" t="s">
        <v>18847</v>
      </c>
      <c r="H2679" s="25" t="s">
        <v>15373</v>
      </c>
      <c r="I2679" s="22" t="s">
        <v>15411</v>
      </c>
      <c r="J2679" s="22" t="s">
        <v>16306</v>
      </c>
      <c r="K2679" s="26">
        <f t="shared" si="41"/>
        <v>350</v>
      </c>
      <c r="L2679" s="26">
        <v>350</v>
      </c>
      <c r="O2679" s="22" t="s">
        <v>18848</v>
      </c>
      <c r="P2679" s="22" t="s">
        <v>18343</v>
      </c>
      <c r="Q2679" s="22">
        <v>95357</v>
      </c>
      <c r="X2679" s="26"/>
      <c r="Y2679" s="26"/>
    </row>
    <row r="2680" spans="1:25" ht="37.5" x14ac:dyDescent="0.25">
      <c r="A2680" s="21">
        <v>2945</v>
      </c>
      <c r="B2680" s="22" t="s">
        <v>15346</v>
      </c>
      <c r="C2680" s="22" t="s">
        <v>17285</v>
      </c>
      <c r="E2680" s="24">
        <v>2002</v>
      </c>
      <c r="F2680" s="22" t="s">
        <v>18849</v>
      </c>
      <c r="G2680" s="23" t="s">
        <v>18850</v>
      </c>
      <c r="H2680" s="25" t="s">
        <v>15373</v>
      </c>
      <c r="I2680" s="22" t="s">
        <v>15382</v>
      </c>
      <c r="J2680" s="22" t="s">
        <v>16799</v>
      </c>
      <c r="K2680" s="26">
        <f t="shared" si="41"/>
        <v>400</v>
      </c>
      <c r="L2680" s="26">
        <v>400</v>
      </c>
      <c r="O2680" s="22" t="s">
        <v>18851</v>
      </c>
      <c r="P2680" s="22" t="s">
        <v>18343</v>
      </c>
      <c r="Q2680" s="22" t="s">
        <v>18344</v>
      </c>
      <c r="S2680" s="22" t="s">
        <v>17290</v>
      </c>
      <c r="X2680" s="26"/>
      <c r="Y2680" s="26"/>
    </row>
    <row r="2681" spans="1:25" ht="50" x14ac:dyDescent="0.25">
      <c r="A2681" s="21">
        <v>2946</v>
      </c>
      <c r="B2681" s="22" t="s">
        <v>15346</v>
      </c>
      <c r="C2681" s="22" t="s">
        <v>17311</v>
      </c>
      <c r="E2681" s="24">
        <v>2002</v>
      </c>
      <c r="F2681" s="22" t="s">
        <v>18852</v>
      </c>
      <c r="G2681" s="23" t="s">
        <v>18853</v>
      </c>
      <c r="H2681" s="25" t="s">
        <v>15373</v>
      </c>
      <c r="I2681" s="22" t="s">
        <v>15411</v>
      </c>
      <c r="J2681" s="22" t="s">
        <v>18854</v>
      </c>
      <c r="K2681" s="26">
        <f t="shared" si="41"/>
        <v>355</v>
      </c>
      <c r="L2681" s="26">
        <v>355</v>
      </c>
      <c r="O2681" s="22" t="s">
        <v>18855</v>
      </c>
      <c r="P2681" s="22" t="s">
        <v>18456</v>
      </c>
      <c r="Q2681" s="22" t="s">
        <v>18457</v>
      </c>
      <c r="X2681" s="26"/>
      <c r="Y2681" s="26"/>
    </row>
    <row r="2682" spans="1:25" ht="25" x14ac:dyDescent="0.25">
      <c r="A2682" s="21">
        <v>2947</v>
      </c>
      <c r="B2682" s="22" t="s">
        <v>15346</v>
      </c>
      <c r="C2682" s="22" t="s">
        <v>18856</v>
      </c>
      <c r="E2682" s="24">
        <v>2002</v>
      </c>
      <c r="F2682" s="22" t="s">
        <v>18857</v>
      </c>
      <c r="G2682" s="23" t="s">
        <v>18858</v>
      </c>
      <c r="H2682" s="25" t="s">
        <v>15373</v>
      </c>
      <c r="I2682" s="22" t="s">
        <v>15374</v>
      </c>
      <c r="J2682" s="22">
        <v>3456</v>
      </c>
      <c r="K2682" s="26">
        <f t="shared" si="41"/>
        <v>300</v>
      </c>
      <c r="L2682" s="26">
        <v>300</v>
      </c>
      <c r="O2682" s="22" t="s">
        <v>18859</v>
      </c>
      <c r="P2682" s="22" t="s">
        <v>18293</v>
      </c>
      <c r="Q2682" s="22">
        <v>93308</v>
      </c>
      <c r="S2682" s="22" t="s">
        <v>18338</v>
      </c>
      <c r="X2682" s="26"/>
      <c r="Y2682" s="26"/>
    </row>
    <row r="2683" spans="1:25" ht="37.5" x14ac:dyDescent="0.25">
      <c r="A2683" s="21">
        <v>2948</v>
      </c>
      <c r="B2683" s="22" t="s">
        <v>15346</v>
      </c>
      <c r="C2683" s="22" t="s">
        <v>18860</v>
      </c>
      <c r="E2683" s="24">
        <v>2002</v>
      </c>
      <c r="F2683" s="22" t="s">
        <v>18861</v>
      </c>
      <c r="G2683" s="23" t="s">
        <v>18862</v>
      </c>
      <c r="H2683" s="25" t="s">
        <v>15373</v>
      </c>
      <c r="I2683" s="22" t="s">
        <v>14275</v>
      </c>
      <c r="J2683" s="22" t="s">
        <v>18863</v>
      </c>
      <c r="K2683" s="26">
        <f t="shared" si="41"/>
        <v>300</v>
      </c>
      <c r="L2683" s="26">
        <v>300</v>
      </c>
      <c r="O2683" s="22" t="s">
        <v>18864</v>
      </c>
      <c r="P2683" s="22" t="s">
        <v>18556</v>
      </c>
      <c r="Q2683" s="22" t="s">
        <v>18865</v>
      </c>
      <c r="X2683" s="26"/>
      <c r="Y2683" s="26"/>
    </row>
    <row r="2684" spans="1:25" ht="37.5" x14ac:dyDescent="0.25">
      <c r="A2684" s="21">
        <v>2949</v>
      </c>
      <c r="B2684" s="22" t="s">
        <v>15346</v>
      </c>
      <c r="C2684" s="22" t="s">
        <v>18860</v>
      </c>
      <c r="E2684" s="24">
        <v>2002</v>
      </c>
      <c r="F2684" s="22" t="s">
        <v>18866</v>
      </c>
      <c r="G2684" s="23" t="s">
        <v>18862</v>
      </c>
      <c r="H2684" s="25" t="s">
        <v>15373</v>
      </c>
      <c r="I2684" s="22" t="s">
        <v>14275</v>
      </c>
      <c r="J2684" s="22" t="s">
        <v>18863</v>
      </c>
      <c r="K2684" s="26">
        <f t="shared" si="41"/>
        <v>300</v>
      </c>
      <c r="L2684" s="26">
        <v>300</v>
      </c>
      <c r="O2684" s="22" t="s">
        <v>18864</v>
      </c>
      <c r="P2684" s="22" t="s">
        <v>18556</v>
      </c>
      <c r="Q2684" s="22" t="s">
        <v>18865</v>
      </c>
      <c r="X2684" s="26"/>
      <c r="Y2684" s="26"/>
    </row>
    <row r="2685" spans="1:25" ht="25" x14ac:dyDescent="0.25">
      <c r="A2685" s="21">
        <v>2950</v>
      </c>
      <c r="B2685" s="22" t="s">
        <v>15346</v>
      </c>
      <c r="C2685" s="22" t="s">
        <v>18867</v>
      </c>
      <c r="E2685" s="24">
        <v>2002</v>
      </c>
      <c r="F2685" s="22" t="s">
        <v>18868</v>
      </c>
      <c r="G2685" s="23" t="s">
        <v>18869</v>
      </c>
      <c r="H2685" s="25" t="s">
        <v>15373</v>
      </c>
      <c r="I2685" s="22" t="s">
        <v>15374</v>
      </c>
      <c r="J2685" s="22" t="s">
        <v>17270</v>
      </c>
      <c r="K2685" s="26">
        <f t="shared" si="41"/>
        <v>300</v>
      </c>
      <c r="L2685" s="26">
        <v>300</v>
      </c>
      <c r="O2685" s="22" t="s">
        <v>18870</v>
      </c>
      <c r="P2685" s="22" t="s">
        <v>18303</v>
      </c>
      <c r="Q2685" s="22">
        <v>93725</v>
      </c>
      <c r="S2685" s="22" t="s">
        <v>18338</v>
      </c>
      <c r="X2685" s="26"/>
      <c r="Y2685" s="26"/>
    </row>
    <row r="2686" spans="1:25" ht="25" x14ac:dyDescent="0.25">
      <c r="A2686" s="21">
        <v>2951</v>
      </c>
      <c r="B2686" s="22" t="s">
        <v>15346</v>
      </c>
      <c r="C2686" s="22" t="s">
        <v>18871</v>
      </c>
      <c r="E2686" s="24">
        <v>2002</v>
      </c>
      <c r="F2686" s="22" t="s">
        <v>18872</v>
      </c>
      <c r="G2686" s="23" t="s">
        <v>18873</v>
      </c>
      <c r="H2686" s="25" t="s">
        <v>15373</v>
      </c>
      <c r="I2686" s="22" t="s">
        <v>15382</v>
      </c>
      <c r="J2686" s="22" t="s">
        <v>16450</v>
      </c>
      <c r="K2686" s="26">
        <f t="shared" si="41"/>
        <v>1000</v>
      </c>
      <c r="L2686" s="26">
        <v>1000</v>
      </c>
      <c r="O2686" s="22" t="s">
        <v>17595</v>
      </c>
      <c r="P2686" s="22" t="s">
        <v>18401</v>
      </c>
      <c r="Q2686" s="22">
        <v>95301</v>
      </c>
      <c r="S2686" s="22" t="s">
        <v>18874</v>
      </c>
      <c r="X2686" s="26"/>
      <c r="Y2686" s="26"/>
    </row>
    <row r="2687" spans="1:25" ht="37.5" x14ac:dyDescent="0.25">
      <c r="A2687" s="21">
        <v>2952</v>
      </c>
      <c r="B2687" s="22" t="s">
        <v>15346</v>
      </c>
      <c r="C2687" s="22" t="s">
        <v>18580</v>
      </c>
      <c r="E2687" s="24">
        <v>2002</v>
      </c>
      <c r="F2687" s="22" t="s">
        <v>18875</v>
      </c>
      <c r="G2687" s="23" t="s">
        <v>18876</v>
      </c>
      <c r="H2687" s="25" t="s">
        <v>15373</v>
      </c>
      <c r="I2687" s="22" t="s">
        <v>15374</v>
      </c>
      <c r="J2687" s="22" t="s">
        <v>12899</v>
      </c>
      <c r="K2687" s="26">
        <f t="shared" si="41"/>
        <v>2000</v>
      </c>
      <c r="L2687" s="26">
        <v>2000</v>
      </c>
      <c r="O2687" s="22" t="s">
        <v>18583</v>
      </c>
      <c r="P2687" s="22" t="s">
        <v>18456</v>
      </c>
      <c r="Q2687" s="22">
        <v>95376</v>
      </c>
      <c r="S2687" s="22" t="s">
        <v>18584</v>
      </c>
      <c r="X2687" s="26"/>
      <c r="Y2687" s="26"/>
    </row>
    <row r="2688" spans="1:25" ht="25" x14ac:dyDescent="0.25">
      <c r="A2688" s="21">
        <v>2953</v>
      </c>
      <c r="B2688" s="22" t="s">
        <v>15346</v>
      </c>
      <c r="C2688" s="22" t="s">
        <v>18877</v>
      </c>
      <c r="E2688" s="24">
        <v>2002</v>
      </c>
      <c r="F2688" s="22" t="s">
        <v>18878</v>
      </c>
      <c r="G2688" s="23" t="s">
        <v>18879</v>
      </c>
      <c r="H2688" s="25" t="s">
        <v>15373</v>
      </c>
      <c r="I2688" s="22" t="s">
        <v>15382</v>
      </c>
      <c r="J2688" s="22" t="s">
        <v>15383</v>
      </c>
      <c r="K2688" s="26">
        <f t="shared" si="41"/>
        <v>800</v>
      </c>
      <c r="L2688" s="26">
        <v>800</v>
      </c>
      <c r="O2688" s="22" t="s">
        <v>18880</v>
      </c>
      <c r="P2688" s="22" t="s">
        <v>18881</v>
      </c>
      <c r="Q2688" s="22">
        <v>93245</v>
      </c>
      <c r="S2688" s="22" t="s">
        <v>18338</v>
      </c>
      <c r="X2688" s="26"/>
      <c r="Y2688" s="26"/>
    </row>
    <row r="2689" spans="1:25" ht="37.5" x14ac:dyDescent="0.25">
      <c r="A2689" s="21">
        <v>2954</v>
      </c>
      <c r="B2689" s="22" t="s">
        <v>15346</v>
      </c>
      <c r="C2689" s="22" t="s">
        <v>18877</v>
      </c>
      <c r="E2689" s="24">
        <v>2002</v>
      </c>
      <c r="F2689" s="22" t="s">
        <v>18882</v>
      </c>
      <c r="G2689" s="23" t="s">
        <v>18883</v>
      </c>
      <c r="H2689" s="25" t="s">
        <v>15373</v>
      </c>
      <c r="I2689" s="22" t="s">
        <v>15374</v>
      </c>
      <c r="J2689" s="22">
        <v>3456</v>
      </c>
      <c r="K2689" s="26">
        <f t="shared" ref="K2689:K2759" si="42">L2689+M2689*(2/3)+N2689*(2/3)</f>
        <v>500</v>
      </c>
      <c r="L2689" s="26">
        <v>500</v>
      </c>
      <c r="O2689" s="22" t="s">
        <v>18880</v>
      </c>
      <c r="P2689" s="22" t="s">
        <v>18881</v>
      </c>
      <c r="Q2689" s="22">
        <v>93245</v>
      </c>
      <c r="S2689" s="22" t="s">
        <v>18338</v>
      </c>
      <c r="X2689" s="26"/>
      <c r="Y2689" s="26"/>
    </row>
    <row r="2690" spans="1:25" ht="25" x14ac:dyDescent="0.25">
      <c r="A2690" s="21">
        <v>2955</v>
      </c>
      <c r="B2690" s="22" t="s">
        <v>15346</v>
      </c>
      <c r="C2690" s="22" t="s">
        <v>18884</v>
      </c>
      <c r="E2690" s="24">
        <v>2002</v>
      </c>
      <c r="F2690" s="22" t="s">
        <v>18885</v>
      </c>
      <c r="G2690" s="23" t="s">
        <v>17411</v>
      </c>
      <c r="H2690" s="25" t="s">
        <v>15373</v>
      </c>
      <c r="I2690" s="22" t="s">
        <v>15411</v>
      </c>
      <c r="J2690" s="22" t="s">
        <v>12732</v>
      </c>
      <c r="K2690" s="26">
        <f t="shared" si="42"/>
        <v>365</v>
      </c>
      <c r="L2690" s="26">
        <v>365</v>
      </c>
      <c r="O2690" s="22" t="s">
        <v>17412</v>
      </c>
      <c r="P2690" s="22" t="s">
        <v>18284</v>
      </c>
      <c r="Q2690" s="22">
        <v>95212</v>
      </c>
      <c r="X2690" s="26"/>
      <c r="Y2690" s="26"/>
    </row>
    <row r="2691" spans="1:25" ht="25" x14ac:dyDescent="0.25">
      <c r="A2691" s="21">
        <v>2956</v>
      </c>
      <c r="B2691" s="22" t="s">
        <v>15346</v>
      </c>
      <c r="C2691" s="22" t="s">
        <v>17799</v>
      </c>
      <c r="E2691" s="24">
        <v>2002</v>
      </c>
      <c r="F2691" s="22" t="s">
        <v>17413</v>
      </c>
      <c r="G2691" s="23" t="s">
        <v>17414</v>
      </c>
      <c r="H2691" s="25" t="s">
        <v>15373</v>
      </c>
      <c r="I2691" s="22" t="s">
        <v>14275</v>
      </c>
      <c r="J2691" s="22" t="s">
        <v>11722</v>
      </c>
      <c r="K2691" s="26">
        <f t="shared" si="42"/>
        <v>475.33333333333331</v>
      </c>
      <c r="M2691" s="26">
        <v>713</v>
      </c>
      <c r="O2691" s="22" t="s">
        <v>17803</v>
      </c>
      <c r="P2691" s="22" t="s">
        <v>17415</v>
      </c>
      <c r="Q2691" s="22">
        <v>95317</v>
      </c>
      <c r="X2691" s="26"/>
      <c r="Y2691" s="26"/>
    </row>
    <row r="2692" spans="1:25" ht="25" x14ac:dyDescent="0.25">
      <c r="A2692" s="21">
        <v>2957</v>
      </c>
      <c r="B2692" s="22" t="s">
        <v>15346</v>
      </c>
      <c r="C2692" s="22" t="s">
        <v>17799</v>
      </c>
      <c r="E2692" s="24">
        <v>2002</v>
      </c>
      <c r="F2692" s="22" t="s">
        <v>17416</v>
      </c>
      <c r="G2692" s="23" t="s">
        <v>17417</v>
      </c>
      <c r="H2692" s="25" t="s">
        <v>15373</v>
      </c>
      <c r="I2692" s="22" t="s">
        <v>14275</v>
      </c>
      <c r="J2692" s="22" t="s">
        <v>11722</v>
      </c>
      <c r="K2692" s="26">
        <f t="shared" si="42"/>
        <v>475.33333333333331</v>
      </c>
      <c r="M2692" s="26">
        <v>713</v>
      </c>
      <c r="O2692" s="22" t="s">
        <v>17803</v>
      </c>
      <c r="P2692" s="22" t="s">
        <v>17415</v>
      </c>
      <c r="Q2692" s="22">
        <v>95317</v>
      </c>
      <c r="X2692" s="26"/>
      <c r="Y2692" s="26"/>
    </row>
    <row r="2693" spans="1:25" ht="37.5" x14ac:dyDescent="0.25">
      <c r="A2693" s="21">
        <v>2958</v>
      </c>
      <c r="B2693" s="22" t="s">
        <v>15346</v>
      </c>
      <c r="C2693" s="22" t="s">
        <v>17418</v>
      </c>
      <c r="E2693" s="24">
        <v>2002</v>
      </c>
      <c r="F2693" s="22" t="s">
        <v>17419</v>
      </c>
      <c r="G2693" s="23" t="s">
        <v>17420</v>
      </c>
      <c r="H2693" s="25" t="s">
        <v>15373</v>
      </c>
      <c r="I2693" s="22" t="s">
        <v>15411</v>
      </c>
      <c r="J2693" s="22" t="s">
        <v>14492</v>
      </c>
      <c r="K2693" s="26">
        <f t="shared" si="42"/>
        <v>800</v>
      </c>
      <c r="L2693" s="26">
        <v>800</v>
      </c>
      <c r="O2693" s="22" t="s">
        <v>17421</v>
      </c>
      <c r="P2693" s="22" t="s">
        <v>17422</v>
      </c>
      <c r="Q2693" s="22">
        <v>94514</v>
      </c>
      <c r="X2693" s="26"/>
      <c r="Y2693" s="26"/>
    </row>
    <row r="2694" spans="1:25" ht="25" x14ac:dyDescent="0.25">
      <c r="A2694" s="21">
        <v>2959</v>
      </c>
      <c r="B2694" s="22" t="s">
        <v>15346</v>
      </c>
      <c r="C2694" s="22" t="s">
        <v>17423</v>
      </c>
      <c r="E2694" s="24">
        <v>2002</v>
      </c>
      <c r="F2694" s="22" t="s">
        <v>17424</v>
      </c>
      <c r="G2694" s="23" t="s">
        <v>17425</v>
      </c>
      <c r="H2694" s="25" t="s">
        <v>15373</v>
      </c>
      <c r="I2694" s="22" t="s">
        <v>15374</v>
      </c>
      <c r="J2694" s="22">
        <v>3456</v>
      </c>
      <c r="K2694" s="26">
        <f t="shared" si="42"/>
        <v>350</v>
      </c>
      <c r="L2694" s="26">
        <v>350</v>
      </c>
      <c r="O2694" s="22" t="s">
        <v>17426</v>
      </c>
      <c r="P2694" s="22" t="s">
        <v>18611</v>
      </c>
      <c r="Q2694" s="22">
        <v>95240</v>
      </c>
      <c r="S2694" s="22" t="s">
        <v>18338</v>
      </c>
      <c r="X2694" s="26"/>
      <c r="Y2694" s="26"/>
    </row>
    <row r="2695" spans="1:25" ht="25" x14ac:dyDescent="0.25">
      <c r="A2695" s="21">
        <v>2960</v>
      </c>
      <c r="B2695" s="22" t="s">
        <v>15346</v>
      </c>
      <c r="C2695" s="22" t="s">
        <v>5789</v>
      </c>
      <c r="E2695" s="24">
        <v>2002</v>
      </c>
      <c r="F2695" s="22" t="s">
        <v>17427</v>
      </c>
      <c r="G2695" s="23" t="s">
        <v>17428</v>
      </c>
      <c r="H2695" s="25" t="s">
        <v>15373</v>
      </c>
      <c r="I2695" s="22" t="s">
        <v>15374</v>
      </c>
      <c r="J2695" s="22">
        <v>3412</v>
      </c>
      <c r="K2695" s="26">
        <f t="shared" si="42"/>
        <v>790.66666666666663</v>
      </c>
      <c r="M2695" s="26">
        <v>1186</v>
      </c>
      <c r="O2695" s="22" t="s">
        <v>17429</v>
      </c>
      <c r="P2695" s="22" t="s">
        <v>18343</v>
      </c>
      <c r="Q2695" s="22">
        <v>95355</v>
      </c>
      <c r="S2695" s="22" t="s">
        <v>17899</v>
      </c>
      <c r="X2695" s="26"/>
      <c r="Y2695" s="26"/>
    </row>
    <row r="2696" spans="1:25" ht="25" x14ac:dyDescent="0.25">
      <c r="A2696" s="21">
        <v>2961</v>
      </c>
      <c r="B2696" s="22" t="s">
        <v>15346</v>
      </c>
      <c r="C2696" s="22" t="s">
        <v>5789</v>
      </c>
      <c r="E2696" s="24">
        <v>2002</v>
      </c>
      <c r="F2696" s="22" t="s">
        <v>17430</v>
      </c>
      <c r="G2696" s="23" t="s">
        <v>17431</v>
      </c>
      <c r="H2696" s="25" t="s">
        <v>15373</v>
      </c>
      <c r="I2696" s="22" t="s">
        <v>15382</v>
      </c>
      <c r="J2696" s="22" t="s">
        <v>16792</v>
      </c>
      <c r="K2696" s="26">
        <f t="shared" si="42"/>
        <v>300</v>
      </c>
      <c r="L2696" s="26">
        <v>300</v>
      </c>
      <c r="O2696" s="22" t="s">
        <v>17432</v>
      </c>
      <c r="P2696" s="22" t="s">
        <v>18293</v>
      </c>
      <c r="Q2696" s="22">
        <v>93311</v>
      </c>
      <c r="S2696" s="22" t="s">
        <v>17899</v>
      </c>
      <c r="X2696" s="26"/>
      <c r="Y2696" s="26"/>
    </row>
    <row r="2697" spans="1:25" ht="25" x14ac:dyDescent="0.25">
      <c r="A2697" s="21">
        <v>2962</v>
      </c>
      <c r="B2697" s="22" t="s">
        <v>15346</v>
      </c>
      <c r="C2697" s="22" t="s">
        <v>5789</v>
      </c>
      <c r="E2697" s="24">
        <v>2002</v>
      </c>
      <c r="F2697" s="22" t="s">
        <v>17433</v>
      </c>
      <c r="G2697" s="23" t="s">
        <v>17434</v>
      </c>
      <c r="H2697" s="25" t="s">
        <v>15373</v>
      </c>
      <c r="I2697" s="22" t="s">
        <v>15382</v>
      </c>
      <c r="J2697" s="22" t="s">
        <v>15955</v>
      </c>
      <c r="K2697" s="26">
        <f t="shared" si="42"/>
        <v>400</v>
      </c>
      <c r="L2697" s="26">
        <v>400</v>
      </c>
      <c r="O2697" s="22" t="s">
        <v>17435</v>
      </c>
      <c r="P2697" s="22" t="s">
        <v>18401</v>
      </c>
      <c r="Q2697" s="22">
        <v>95301</v>
      </c>
      <c r="S2697" s="22" t="s">
        <v>17899</v>
      </c>
      <c r="X2697" s="26"/>
      <c r="Y2697" s="26"/>
    </row>
    <row r="2698" spans="1:25" ht="50" x14ac:dyDescent="0.25">
      <c r="A2698" s="21">
        <v>2963</v>
      </c>
      <c r="B2698" s="22" t="s">
        <v>15346</v>
      </c>
      <c r="C2698" s="22" t="s">
        <v>17436</v>
      </c>
      <c r="E2698" s="24">
        <v>2002</v>
      </c>
      <c r="F2698" s="22" t="s">
        <v>17437</v>
      </c>
      <c r="G2698" s="23" t="s">
        <v>17438</v>
      </c>
      <c r="H2698" s="25" t="s">
        <v>15373</v>
      </c>
      <c r="I2698" s="22" t="s">
        <v>15374</v>
      </c>
      <c r="J2698" s="22" t="s">
        <v>8130</v>
      </c>
      <c r="K2698" s="26">
        <f t="shared" si="42"/>
        <v>800</v>
      </c>
      <c r="L2698" s="26">
        <v>800</v>
      </c>
      <c r="O2698" s="22" t="s">
        <v>17439</v>
      </c>
      <c r="P2698" s="22" t="s">
        <v>17440</v>
      </c>
      <c r="Q2698" s="22">
        <v>93204</v>
      </c>
      <c r="S2698" s="22" t="s">
        <v>17441</v>
      </c>
      <c r="X2698" s="26"/>
      <c r="Y2698" s="26"/>
    </row>
    <row r="2699" spans="1:25" ht="37.5" x14ac:dyDescent="0.25">
      <c r="A2699" s="21">
        <v>2964</v>
      </c>
      <c r="B2699" s="22" t="s">
        <v>15346</v>
      </c>
      <c r="C2699" s="22" t="s">
        <v>17442</v>
      </c>
      <c r="E2699" s="24">
        <v>2002</v>
      </c>
      <c r="F2699" s="22" t="s">
        <v>17443</v>
      </c>
      <c r="G2699" s="23" t="s">
        <v>17444</v>
      </c>
      <c r="H2699" s="25" t="s">
        <v>15373</v>
      </c>
      <c r="I2699" s="22" t="s">
        <v>17445</v>
      </c>
      <c r="J2699" s="22" t="s">
        <v>17446</v>
      </c>
      <c r="K2699" s="26">
        <f t="shared" si="42"/>
        <v>322</v>
      </c>
      <c r="M2699" s="26">
        <v>483</v>
      </c>
      <c r="O2699" s="22" t="s">
        <v>17447</v>
      </c>
      <c r="P2699" s="22" t="s">
        <v>17448</v>
      </c>
      <c r="Q2699" s="22">
        <v>95367</v>
      </c>
      <c r="S2699" s="22" t="s">
        <v>17449</v>
      </c>
      <c r="X2699" s="26"/>
      <c r="Y2699" s="26"/>
    </row>
    <row r="2700" spans="1:25" ht="25" x14ac:dyDescent="0.25">
      <c r="A2700" s="21">
        <v>2965</v>
      </c>
      <c r="B2700" s="22" t="s">
        <v>15346</v>
      </c>
      <c r="C2700" s="22" t="s">
        <v>6847</v>
      </c>
      <c r="E2700" s="24">
        <v>2002</v>
      </c>
      <c r="F2700" s="22" t="s">
        <v>17450</v>
      </c>
      <c r="G2700" s="23" t="s">
        <v>17451</v>
      </c>
      <c r="H2700" s="25" t="s">
        <v>15373</v>
      </c>
      <c r="I2700" s="22" t="s">
        <v>15382</v>
      </c>
      <c r="J2700" s="22" t="s">
        <v>16799</v>
      </c>
      <c r="K2700" s="26">
        <f t="shared" si="42"/>
        <v>500</v>
      </c>
      <c r="L2700" s="26">
        <v>500</v>
      </c>
      <c r="O2700" s="22" t="s">
        <v>17452</v>
      </c>
      <c r="P2700" s="22" t="s">
        <v>18303</v>
      </c>
      <c r="Q2700" s="22">
        <v>93706</v>
      </c>
      <c r="X2700" s="26"/>
      <c r="Y2700" s="26"/>
    </row>
    <row r="2701" spans="1:25" ht="37.5" x14ac:dyDescent="0.25">
      <c r="A2701" s="21">
        <v>2966</v>
      </c>
      <c r="B2701" s="22" t="s">
        <v>15346</v>
      </c>
      <c r="C2701" s="22" t="s">
        <v>16679</v>
      </c>
      <c r="E2701" s="24">
        <v>2002</v>
      </c>
      <c r="F2701" s="22" t="s">
        <v>17453</v>
      </c>
      <c r="G2701" s="23" t="s">
        <v>17454</v>
      </c>
      <c r="H2701" s="25" t="s">
        <v>15373</v>
      </c>
      <c r="I2701" s="22" t="s">
        <v>15411</v>
      </c>
      <c r="J2701" s="22" t="s">
        <v>7663</v>
      </c>
      <c r="K2701" s="26">
        <f t="shared" si="42"/>
        <v>1750</v>
      </c>
      <c r="L2701" s="26">
        <v>1750</v>
      </c>
      <c r="O2701" s="22" t="s">
        <v>16683</v>
      </c>
      <c r="P2701" s="22" t="s">
        <v>18284</v>
      </c>
      <c r="Q2701" s="22" t="s">
        <v>18737</v>
      </c>
      <c r="S2701" s="22" t="s">
        <v>16684</v>
      </c>
      <c r="X2701" s="26"/>
      <c r="Y2701" s="26"/>
    </row>
    <row r="2702" spans="1:25" ht="37.5" x14ac:dyDescent="0.25">
      <c r="A2702" s="21">
        <v>2967</v>
      </c>
      <c r="B2702" s="22" t="s">
        <v>15346</v>
      </c>
      <c r="C2702" s="22" t="s">
        <v>16689</v>
      </c>
      <c r="E2702" s="24">
        <v>2002</v>
      </c>
      <c r="F2702" s="22" t="s">
        <v>17455</v>
      </c>
      <c r="G2702" s="23" t="s">
        <v>17456</v>
      </c>
      <c r="H2702" s="25" t="s">
        <v>15373</v>
      </c>
      <c r="I2702" s="22" t="s">
        <v>15411</v>
      </c>
      <c r="J2702" s="22" t="s">
        <v>17457</v>
      </c>
      <c r="K2702" s="26">
        <f t="shared" si="42"/>
        <v>800</v>
      </c>
      <c r="L2702" s="26">
        <v>800</v>
      </c>
      <c r="O2702" s="22" t="s">
        <v>16692</v>
      </c>
      <c r="P2702" s="22" t="s">
        <v>17458</v>
      </c>
      <c r="Q2702" s="22" t="s">
        <v>17459</v>
      </c>
      <c r="S2702" s="22" t="s">
        <v>16693</v>
      </c>
      <c r="X2702" s="26"/>
      <c r="Y2702" s="26"/>
    </row>
    <row r="2703" spans="1:25" ht="37.5" x14ac:dyDescent="0.25">
      <c r="A2703" s="21">
        <v>2968</v>
      </c>
      <c r="B2703" s="22" t="s">
        <v>15346</v>
      </c>
      <c r="C2703" s="22" t="s">
        <v>17460</v>
      </c>
      <c r="E2703" s="24">
        <v>2002</v>
      </c>
      <c r="F2703" s="22" t="s">
        <v>17461</v>
      </c>
      <c r="G2703" s="23" t="s">
        <v>17462</v>
      </c>
      <c r="H2703" s="25" t="s">
        <v>15373</v>
      </c>
      <c r="I2703" s="22" t="s">
        <v>15374</v>
      </c>
      <c r="J2703" s="22" t="s">
        <v>11368</v>
      </c>
      <c r="K2703" s="26">
        <f t="shared" si="42"/>
        <v>1000</v>
      </c>
      <c r="L2703" s="26">
        <v>1000</v>
      </c>
      <c r="O2703" s="22" t="s">
        <v>17463</v>
      </c>
      <c r="P2703" s="22" t="s">
        <v>18303</v>
      </c>
      <c r="Q2703" s="22">
        <v>93720</v>
      </c>
      <c r="X2703" s="26"/>
      <c r="Y2703" s="26"/>
    </row>
    <row r="2704" spans="1:25" ht="37.5" x14ac:dyDescent="0.25">
      <c r="A2704" s="21">
        <v>2969</v>
      </c>
      <c r="B2704" s="22" t="s">
        <v>15346</v>
      </c>
      <c r="C2704" s="22" t="s">
        <v>17460</v>
      </c>
      <c r="E2704" s="24">
        <v>2002</v>
      </c>
      <c r="F2704" s="22" t="s">
        <v>17464</v>
      </c>
      <c r="G2704" s="23" t="s">
        <v>17462</v>
      </c>
      <c r="H2704" s="25" t="s">
        <v>15373</v>
      </c>
      <c r="I2704" s="22" t="s">
        <v>15374</v>
      </c>
      <c r="J2704" s="22" t="s">
        <v>11368</v>
      </c>
      <c r="K2704" s="26">
        <f t="shared" si="42"/>
        <v>1000</v>
      </c>
      <c r="L2704" s="26">
        <v>1000</v>
      </c>
      <c r="O2704" s="22" t="s">
        <v>17463</v>
      </c>
      <c r="P2704" s="22" t="s">
        <v>18303</v>
      </c>
      <c r="Q2704" s="22">
        <v>93720</v>
      </c>
      <c r="X2704" s="26"/>
      <c r="Y2704" s="26"/>
    </row>
    <row r="2705" spans="1:25" ht="25" x14ac:dyDescent="0.25">
      <c r="A2705" s="21">
        <v>2970</v>
      </c>
      <c r="B2705" s="22" t="s">
        <v>15346</v>
      </c>
      <c r="C2705" s="22" t="s">
        <v>16699</v>
      </c>
      <c r="E2705" s="24">
        <v>2002</v>
      </c>
      <c r="F2705" s="22" t="s">
        <v>17465</v>
      </c>
      <c r="G2705" s="23" t="s">
        <v>17466</v>
      </c>
      <c r="H2705" s="25" t="s">
        <v>15373</v>
      </c>
      <c r="I2705" s="22" t="s">
        <v>15374</v>
      </c>
      <c r="J2705" s="22" t="s">
        <v>11983</v>
      </c>
      <c r="K2705" s="26">
        <f t="shared" si="42"/>
        <v>1000</v>
      </c>
      <c r="L2705" s="26">
        <v>1000</v>
      </c>
      <c r="O2705" s="22" t="s">
        <v>17467</v>
      </c>
      <c r="P2705" s="22" t="s">
        <v>18492</v>
      </c>
      <c r="Q2705" s="22" t="s">
        <v>18536</v>
      </c>
      <c r="S2705" s="22" t="s">
        <v>16703</v>
      </c>
      <c r="X2705" s="26"/>
      <c r="Y2705" s="26"/>
    </row>
    <row r="2706" spans="1:25" ht="25" x14ac:dyDescent="0.25">
      <c r="A2706" s="21">
        <v>2971</v>
      </c>
      <c r="B2706" s="22" t="s">
        <v>15346</v>
      </c>
      <c r="C2706" s="22" t="s">
        <v>17468</v>
      </c>
      <c r="E2706" s="24">
        <v>2002</v>
      </c>
      <c r="F2706" s="22" t="s">
        <v>17469</v>
      </c>
      <c r="G2706" s="23" t="s">
        <v>17470</v>
      </c>
      <c r="H2706" s="25" t="s">
        <v>15373</v>
      </c>
      <c r="I2706" s="22" t="s">
        <v>15635</v>
      </c>
      <c r="J2706" s="22" t="s">
        <v>17471</v>
      </c>
      <c r="K2706" s="26">
        <f t="shared" si="42"/>
        <v>300</v>
      </c>
      <c r="L2706" s="26">
        <v>300</v>
      </c>
      <c r="O2706" s="22" t="s">
        <v>17472</v>
      </c>
      <c r="P2706" s="22" t="s">
        <v>18284</v>
      </c>
      <c r="Q2706" s="22">
        <v>95215</v>
      </c>
      <c r="S2706" s="22" t="s">
        <v>18338</v>
      </c>
      <c r="X2706" s="26"/>
      <c r="Y2706" s="26"/>
    </row>
    <row r="2707" spans="1:25" ht="37.5" x14ac:dyDescent="0.25">
      <c r="A2707" s="21">
        <v>2972</v>
      </c>
      <c r="B2707" s="22" t="s">
        <v>15346</v>
      </c>
      <c r="C2707" s="22" t="s">
        <v>18374</v>
      </c>
      <c r="E2707" s="24">
        <v>2003</v>
      </c>
      <c r="F2707" s="22" t="s">
        <v>17473</v>
      </c>
      <c r="G2707" s="23" t="s">
        <v>17474</v>
      </c>
      <c r="H2707" s="25" t="s">
        <v>15373</v>
      </c>
      <c r="I2707" s="22" t="s">
        <v>15374</v>
      </c>
      <c r="J2707" s="22">
        <v>3412</v>
      </c>
      <c r="K2707" s="26">
        <f t="shared" si="42"/>
        <v>800</v>
      </c>
      <c r="L2707" s="26">
        <v>800</v>
      </c>
      <c r="O2707" s="22" t="s">
        <v>17475</v>
      </c>
      <c r="P2707" s="22" t="s">
        <v>18325</v>
      </c>
      <c r="Q2707" s="22">
        <v>93215</v>
      </c>
      <c r="S2707" s="22" t="s">
        <v>18377</v>
      </c>
      <c r="X2707" s="26"/>
      <c r="Y2707" s="26"/>
    </row>
    <row r="2708" spans="1:25" ht="37.5" x14ac:dyDescent="0.25">
      <c r="A2708" s="21">
        <v>2973</v>
      </c>
      <c r="B2708" s="22" t="s">
        <v>15346</v>
      </c>
      <c r="C2708" s="22" t="s">
        <v>18374</v>
      </c>
      <c r="E2708" s="24">
        <v>2003</v>
      </c>
      <c r="F2708" s="22" t="s">
        <v>17476</v>
      </c>
      <c r="G2708" s="23" t="s">
        <v>17477</v>
      </c>
      <c r="H2708" s="25" t="s">
        <v>15373</v>
      </c>
      <c r="I2708" s="22" t="s">
        <v>15374</v>
      </c>
      <c r="J2708" s="22" t="s">
        <v>12899</v>
      </c>
      <c r="K2708" s="26">
        <f t="shared" si="42"/>
        <v>2000</v>
      </c>
      <c r="L2708" s="26">
        <v>2000</v>
      </c>
      <c r="O2708" s="22" t="s">
        <v>17475</v>
      </c>
      <c r="P2708" s="22" t="s">
        <v>18325</v>
      </c>
      <c r="Q2708" s="22">
        <v>93215</v>
      </c>
      <c r="S2708" s="22" t="s">
        <v>18377</v>
      </c>
      <c r="X2708" s="26"/>
      <c r="Y2708" s="26"/>
    </row>
    <row r="2709" spans="1:25" ht="37.5" x14ac:dyDescent="0.25">
      <c r="A2709" s="21">
        <v>2974</v>
      </c>
      <c r="B2709" s="22" t="s">
        <v>15346</v>
      </c>
      <c r="C2709" s="22" t="s">
        <v>18374</v>
      </c>
      <c r="E2709" s="24">
        <v>2003</v>
      </c>
      <c r="F2709" s="22" t="s">
        <v>17478</v>
      </c>
      <c r="G2709" s="23" t="s">
        <v>17477</v>
      </c>
      <c r="H2709" s="25" t="s">
        <v>15373</v>
      </c>
      <c r="I2709" s="22" t="s">
        <v>15374</v>
      </c>
      <c r="J2709" s="22" t="s">
        <v>12899</v>
      </c>
      <c r="K2709" s="26">
        <f t="shared" si="42"/>
        <v>2000</v>
      </c>
      <c r="L2709" s="26">
        <v>2000</v>
      </c>
      <c r="O2709" s="22" t="s">
        <v>17475</v>
      </c>
      <c r="P2709" s="22" t="s">
        <v>18325</v>
      </c>
      <c r="Q2709" s="22">
        <v>93215</v>
      </c>
      <c r="S2709" s="22" t="s">
        <v>18377</v>
      </c>
      <c r="X2709" s="26"/>
      <c r="Y2709" s="26"/>
    </row>
    <row r="2710" spans="1:25" ht="37.5" x14ac:dyDescent="0.25">
      <c r="A2710" s="21">
        <v>2975</v>
      </c>
      <c r="B2710" s="22" t="s">
        <v>15346</v>
      </c>
      <c r="C2710" s="22" t="s">
        <v>18397</v>
      </c>
      <c r="E2710" s="24">
        <v>2003</v>
      </c>
      <c r="F2710" s="22" t="s">
        <v>17479</v>
      </c>
      <c r="G2710" s="23" t="s">
        <v>17480</v>
      </c>
      <c r="H2710" s="25" t="s">
        <v>15373</v>
      </c>
      <c r="I2710" s="22" t="s">
        <v>15374</v>
      </c>
      <c r="J2710" s="22" t="s">
        <v>16739</v>
      </c>
      <c r="K2710" s="26">
        <f t="shared" si="42"/>
        <v>335</v>
      </c>
      <c r="L2710" s="26">
        <v>335</v>
      </c>
      <c r="O2710" s="22" t="s">
        <v>17481</v>
      </c>
      <c r="P2710" s="22" t="s">
        <v>18401</v>
      </c>
      <c r="Q2710" s="22">
        <v>95301</v>
      </c>
      <c r="S2710" s="22" t="s">
        <v>18338</v>
      </c>
      <c r="X2710" s="26"/>
      <c r="Y2710" s="26"/>
    </row>
    <row r="2711" spans="1:25" ht="37.5" x14ac:dyDescent="0.25">
      <c r="A2711" s="21">
        <v>2976</v>
      </c>
      <c r="B2711" s="22" t="s">
        <v>15346</v>
      </c>
      <c r="C2711" s="22" t="s">
        <v>18397</v>
      </c>
      <c r="E2711" s="24">
        <v>2003</v>
      </c>
      <c r="F2711" s="22" t="s">
        <v>17482</v>
      </c>
      <c r="G2711" s="23" t="s">
        <v>17483</v>
      </c>
      <c r="H2711" s="25" t="s">
        <v>15373</v>
      </c>
      <c r="I2711" s="22" t="s">
        <v>15374</v>
      </c>
      <c r="J2711" s="22">
        <v>3406</v>
      </c>
      <c r="K2711" s="26">
        <f t="shared" si="42"/>
        <v>335</v>
      </c>
      <c r="L2711" s="26">
        <v>335</v>
      </c>
      <c r="O2711" s="22" t="s">
        <v>17484</v>
      </c>
      <c r="P2711" s="22" t="s">
        <v>18401</v>
      </c>
      <c r="Q2711" s="22">
        <v>95301</v>
      </c>
      <c r="S2711" s="22" t="s">
        <v>18338</v>
      </c>
      <c r="X2711" s="26"/>
      <c r="Y2711" s="26"/>
    </row>
    <row r="2712" spans="1:25" ht="37.5" x14ac:dyDescent="0.25">
      <c r="A2712" s="21">
        <v>2977</v>
      </c>
      <c r="B2712" s="22" t="s">
        <v>15346</v>
      </c>
      <c r="C2712" s="22" t="s">
        <v>17311</v>
      </c>
      <c r="E2712" s="24">
        <v>2002</v>
      </c>
      <c r="F2712" s="22" t="s">
        <v>17485</v>
      </c>
      <c r="G2712" s="23" t="s">
        <v>17486</v>
      </c>
      <c r="H2712" s="25" t="s">
        <v>15373</v>
      </c>
      <c r="I2712" s="22" t="s">
        <v>15411</v>
      </c>
      <c r="J2712" s="22" t="s">
        <v>9749</v>
      </c>
      <c r="K2712" s="26">
        <f t="shared" si="42"/>
        <v>400</v>
      </c>
      <c r="L2712" s="26">
        <v>400</v>
      </c>
      <c r="O2712" s="22" t="s">
        <v>17487</v>
      </c>
      <c r="P2712" s="22" t="s">
        <v>18456</v>
      </c>
      <c r="Q2712" s="22">
        <v>95376</v>
      </c>
      <c r="S2712" s="22" t="s">
        <v>17488</v>
      </c>
      <c r="X2712" s="26"/>
      <c r="Y2712" s="26"/>
    </row>
    <row r="2713" spans="1:25" ht="37.5" x14ac:dyDescent="0.25">
      <c r="A2713" s="21">
        <v>2978</v>
      </c>
      <c r="B2713" s="22" t="s">
        <v>15346</v>
      </c>
      <c r="C2713" s="22" t="s">
        <v>17311</v>
      </c>
      <c r="E2713" s="24">
        <v>2002</v>
      </c>
      <c r="F2713" s="22" t="s">
        <v>17489</v>
      </c>
      <c r="G2713" s="23" t="s">
        <v>17490</v>
      </c>
      <c r="H2713" s="25" t="s">
        <v>15373</v>
      </c>
      <c r="I2713" s="22" t="s">
        <v>15411</v>
      </c>
      <c r="J2713" s="22" t="s">
        <v>17491</v>
      </c>
      <c r="K2713" s="26">
        <f t="shared" si="42"/>
        <v>500</v>
      </c>
      <c r="L2713" s="26">
        <v>500</v>
      </c>
      <c r="O2713" s="22" t="s">
        <v>17492</v>
      </c>
      <c r="P2713" s="22" t="s">
        <v>18456</v>
      </c>
      <c r="Q2713" s="22">
        <v>95376</v>
      </c>
      <c r="S2713" s="22" t="s">
        <v>17488</v>
      </c>
      <c r="X2713" s="26"/>
      <c r="Y2713" s="26"/>
    </row>
    <row r="2714" spans="1:25" ht="37.5" x14ac:dyDescent="0.25">
      <c r="A2714" s="21">
        <v>2979</v>
      </c>
      <c r="B2714" s="22" t="s">
        <v>15346</v>
      </c>
      <c r="C2714" s="22" t="s">
        <v>17493</v>
      </c>
      <c r="E2714" s="24">
        <v>2003</v>
      </c>
      <c r="F2714" s="22" t="s">
        <v>17494</v>
      </c>
      <c r="G2714" s="23" t="s">
        <v>17495</v>
      </c>
      <c r="H2714" s="25" t="s">
        <v>15373</v>
      </c>
      <c r="I2714" s="22" t="s">
        <v>15411</v>
      </c>
      <c r="J2714" s="22" t="s">
        <v>17496</v>
      </c>
      <c r="K2714" s="26">
        <f t="shared" si="42"/>
        <v>800</v>
      </c>
      <c r="L2714" s="26">
        <v>800</v>
      </c>
      <c r="O2714" s="22" t="s">
        <v>17497</v>
      </c>
      <c r="P2714" s="22" t="s">
        <v>18456</v>
      </c>
      <c r="Q2714" s="22">
        <v>95376</v>
      </c>
      <c r="S2714" s="22" t="s">
        <v>18338</v>
      </c>
      <c r="X2714" s="26"/>
      <c r="Y2714" s="26"/>
    </row>
    <row r="2715" spans="1:25" ht="37.5" x14ac:dyDescent="0.25">
      <c r="A2715" s="21">
        <v>2980</v>
      </c>
      <c r="B2715" s="22" t="s">
        <v>15346</v>
      </c>
      <c r="C2715" s="22" t="s">
        <v>17498</v>
      </c>
      <c r="E2715" s="24">
        <v>2003</v>
      </c>
      <c r="F2715" s="22" t="s">
        <v>17499</v>
      </c>
      <c r="G2715" s="23" t="s">
        <v>17500</v>
      </c>
      <c r="H2715" s="25" t="s">
        <v>15373</v>
      </c>
      <c r="I2715" s="22" t="s">
        <v>15411</v>
      </c>
      <c r="J2715" s="22" t="s">
        <v>9749</v>
      </c>
      <c r="K2715" s="26">
        <f t="shared" si="42"/>
        <v>350</v>
      </c>
      <c r="L2715" s="26">
        <v>350</v>
      </c>
      <c r="O2715" s="22" t="s">
        <v>17501</v>
      </c>
      <c r="P2715" s="22" t="s">
        <v>18389</v>
      </c>
      <c r="Q2715" s="22">
        <v>95380</v>
      </c>
      <c r="S2715" s="22" t="s">
        <v>18338</v>
      </c>
      <c r="X2715" s="26"/>
      <c r="Y2715" s="26"/>
    </row>
    <row r="2716" spans="1:25" ht="25" x14ac:dyDescent="0.25">
      <c r="A2716" s="21">
        <v>2981</v>
      </c>
      <c r="B2716" s="22" t="s">
        <v>15346</v>
      </c>
      <c r="C2716" s="22" t="s">
        <v>17502</v>
      </c>
      <c r="E2716" s="24">
        <v>2003</v>
      </c>
      <c r="F2716" s="22" t="s">
        <v>17503</v>
      </c>
      <c r="G2716" s="23" t="s">
        <v>17504</v>
      </c>
      <c r="H2716" s="25" t="s">
        <v>15373</v>
      </c>
      <c r="I2716" s="22" t="s">
        <v>15382</v>
      </c>
      <c r="J2716" s="22" t="s">
        <v>16861</v>
      </c>
      <c r="K2716" s="26">
        <f t="shared" si="42"/>
        <v>400</v>
      </c>
      <c r="L2716" s="26">
        <v>400</v>
      </c>
      <c r="O2716" s="22" t="s">
        <v>17505</v>
      </c>
      <c r="P2716" s="22" t="s">
        <v>18284</v>
      </c>
      <c r="Q2716" s="22">
        <v>95205</v>
      </c>
      <c r="S2716" s="22" t="s">
        <v>17506</v>
      </c>
      <c r="X2716" s="26"/>
      <c r="Y2716" s="26"/>
    </row>
    <row r="2717" spans="1:25" ht="37.5" x14ac:dyDescent="0.25">
      <c r="A2717" s="21">
        <v>2982</v>
      </c>
      <c r="B2717" s="22" t="s">
        <v>15346</v>
      </c>
      <c r="C2717" s="22" t="s">
        <v>17507</v>
      </c>
      <c r="E2717" s="24">
        <v>2003</v>
      </c>
      <c r="F2717" s="22" t="s">
        <v>17508</v>
      </c>
      <c r="G2717" s="23" t="s">
        <v>17509</v>
      </c>
      <c r="H2717" s="25" t="s">
        <v>15373</v>
      </c>
      <c r="I2717" s="22" t="s">
        <v>15411</v>
      </c>
      <c r="J2717" s="22" t="s">
        <v>6673</v>
      </c>
      <c r="K2717" s="26">
        <f t="shared" si="42"/>
        <v>750</v>
      </c>
      <c r="L2717" s="26">
        <v>750</v>
      </c>
      <c r="O2717" s="22" t="s">
        <v>17510</v>
      </c>
      <c r="P2717" s="22" t="s">
        <v>18343</v>
      </c>
      <c r="Q2717" s="22">
        <v>95354</v>
      </c>
      <c r="S2717" s="22" t="s">
        <v>17511</v>
      </c>
      <c r="X2717" s="26"/>
      <c r="Y2717" s="26"/>
    </row>
    <row r="2718" spans="1:25" ht="25" x14ac:dyDescent="0.25">
      <c r="A2718" s="21">
        <v>2983</v>
      </c>
      <c r="B2718" s="22" t="s">
        <v>15346</v>
      </c>
      <c r="C2718" s="22" t="s">
        <v>5789</v>
      </c>
      <c r="E2718" s="24">
        <v>2002</v>
      </c>
      <c r="F2718" s="22" t="s">
        <v>17512</v>
      </c>
      <c r="G2718" s="23" t="s">
        <v>17513</v>
      </c>
      <c r="H2718" s="25" t="s">
        <v>15373</v>
      </c>
      <c r="I2718" s="22" t="s">
        <v>15382</v>
      </c>
      <c r="K2718" s="26">
        <f t="shared" si="42"/>
        <v>725</v>
      </c>
      <c r="L2718" s="26">
        <v>725</v>
      </c>
      <c r="O2718" s="22" t="s">
        <v>17514</v>
      </c>
      <c r="P2718" s="22" t="s">
        <v>17515</v>
      </c>
      <c r="Q2718" s="22">
        <v>95231</v>
      </c>
      <c r="S2718" s="22" t="s">
        <v>17899</v>
      </c>
      <c r="X2718" s="26"/>
      <c r="Y2718" s="26"/>
    </row>
    <row r="2719" spans="1:25" ht="25" x14ac:dyDescent="0.25">
      <c r="A2719" s="21">
        <v>2984</v>
      </c>
      <c r="B2719" s="22" t="s">
        <v>15346</v>
      </c>
      <c r="C2719" s="22" t="s">
        <v>5789</v>
      </c>
      <c r="E2719" s="24">
        <v>2003</v>
      </c>
      <c r="F2719" s="22" t="s">
        <v>17516</v>
      </c>
      <c r="G2719" s="23" t="s">
        <v>17517</v>
      </c>
      <c r="H2719" s="25" t="s">
        <v>15373</v>
      </c>
      <c r="I2719" s="22" t="s">
        <v>15382</v>
      </c>
      <c r="J2719" s="22" t="s">
        <v>15383</v>
      </c>
      <c r="K2719" s="26">
        <f t="shared" si="42"/>
        <v>700</v>
      </c>
      <c r="L2719" s="26">
        <v>700</v>
      </c>
      <c r="O2719" s="22" t="s">
        <v>17518</v>
      </c>
      <c r="P2719" s="22" t="s">
        <v>18389</v>
      </c>
      <c r="Q2719" s="22">
        <v>95380</v>
      </c>
      <c r="S2719" s="22" t="s">
        <v>17899</v>
      </c>
      <c r="X2719" s="26"/>
      <c r="Y2719" s="26"/>
    </row>
    <row r="2720" spans="1:25" ht="37.5" x14ac:dyDescent="0.25">
      <c r="A2720" s="21">
        <v>2985</v>
      </c>
      <c r="B2720" s="22" t="s">
        <v>15346</v>
      </c>
      <c r="C2720" s="22" t="s">
        <v>5789</v>
      </c>
      <c r="E2720" s="24">
        <v>2003</v>
      </c>
      <c r="F2720" s="22" t="s">
        <v>17519</v>
      </c>
      <c r="G2720" s="23" t="s">
        <v>17520</v>
      </c>
      <c r="H2720" s="25" t="s">
        <v>15373</v>
      </c>
      <c r="I2720" s="22" t="s">
        <v>15411</v>
      </c>
      <c r="J2720" s="22" t="s">
        <v>17521</v>
      </c>
      <c r="K2720" s="26">
        <f t="shared" si="42"/>
        <v>1200</v>
      </c>
      <c r="L2720" s="26">
        <v>1200</v>
      </c>
      <c r="O2720" s="22" t="s">
        <v>17918</v>
      </c>
      <c r="P2720" s="22" t="s">
        <v>18456</v>
      </c>
      <c r="Q2720" s="22">
        <v>95376</v>
      </c>
      <c r="S2720" s="22" t="s">
        <v>17899</v>
      </c>
      <c r="X2720" s="26"/>
      <c r="Y2720" s="26"/>
    </row>
    <row r="2721" spans="1:25" ht="37.5" x14ac:dyDescent="0.25">
      <c r="A2721" s="21">
        <v>2986</v>
      </c>
      <c r="B2721" s="22" t="s">
        <v>15346</v>
      </c>
      <c r="C2721" s="22" t="s">
        <v>17522</v>
      </c>
      <c r="E2721" s="24">
        <v>2002</v>
      </c>
      <c r="F2721" s="22" t="s">
        <v>17523</v>
      </c>
      <c r="G2721" s="23" t="s">
        <v>17524</v>
      </c>
      <c r="H2721" s="25" t="s">
        <v>15373</v>
      </c>
      <c r="I2721" s="22" t="s">
        <v>15709</v>
      </c>
      <c r="J2721" s="22" t="s">
        <v>17525</v>
      </c>
      <c r="K2721" s="26">
        <f t="shared" si="42"/>
        <v>600</v>
      </c>
      <c r="L2721" s="26">
        <v>600</v>
      </c>
      <c r="O2721" s="22" t="s">
        <v>17526</v>
      </c>
      <c r="P2721" s="22" t="s">
        <v>17458</v>
      </c>
      <c r="Q2721" s="22">
        <v>95330</v>
      </c>
      <c r="S2721" s="22" t="s">
        <v>18338</v>
      </c>
      <c r="X2721" s="26"/>
      <c r="Y2721" s="26"/>
    </row>
    <row r="2722" spans="1:25" ht="50" x14ac:dyDescent="0.25">
      <c r="A2722" s="21">
        <v>2987</v>
      </c>
      <c r="B2722" s="22" t="s">
        <v>15346</v>
      </c>
      <c r="C2722" s="22" t="s">
        <v>17527</v>
      </c>
      <c r="E2722" s="24">
        <v>2003</v>
      </c>
      <c r="F2722" s="22" t="s">
        <v>17528</v>
      </c>
      <c r="G2722" s="23" t="s">
        <v>17529</v>
      </c>
      <c r="H2722" s="25" t="s">
        <v>15373</v>
      </c>
      <c r="I2722" s="22" t="s">
        <v>15411</v>
      </c>
      <c r="J2722" s="22" t="s">
        <v>17530</v>
      </c>
      <c r="K2722" s="26">
        <f t="shared" si="42"/>
        <v>326.66666666666663</v>
      </c>
      <c r="M2722" s="26">
        <v>490</v>
      </c>
      <c r="O2722" s="22" t="s">
        <v>17531</v>
      </c>
      <c r="P2722" s="22" t="s">
        <v>18284</v>
      </c>
      <c r="Q2722" s="22">
        <v>95211</v>
      </c>
      <c r="S2722" s="22" t="s">
        <v>17532</v>
      </c>
      <c r="X2722" s="26"/>
      <c r="Y2722" s="26"/>
    </row>
    <row r="2723" spans="1:25" ht="25" x14ac:dyDescent="0.25">
      <c r="A2723" s="21">
        <v>2988</v>
      </c>
      <c r="B2723" s="22" t="s">
        <v>15346</v>
      </c>
      <c r="C2723" s="22" t="s">
        <v>17533</v>
      </c>
      <c r="E2723" s="24">
        <v>2003</v>
      </c>
      <c r="F2723" s="22" t="s">
        <v>17534</v>
      </c>
      <c r="G2723" s="23" t="s">
        <v>17535</v>
      </c>
      <c r="H2723" s="25" t="s">
        <v>15373</v>
      </c>
      <c r="I2723" s="22" t="s">
        <v>15382</v>
      </c>
      <c r="J2723" s="22" t="s">
        <v>16799</v>
      </c>
      <c r="K2723" s="26">
        <f t="shared" si="42"/>
        <v>503.33333333333331</v>
      </c>
      <c r="M2723" s="26">
        <v>755</v>
      </c>
      <c r="O2723" s="22" t="s">
        <v>17536</v>
      </c>
      <c r="P2723" s="22" t="s">
        <v>17537</v>
      </c>
      <c r="Q2723" s="22">
        <v>93630</v>
      </c>
      <c r="X2723" s="26"/>
      <c r="Y2723" s="26"/>
    </row>
    <row r="2724" spans="1:25" ht="37.5" x14ac:dyDescent="0.25">
      <c r="A2724" s="21">
        <v>2989</v>
      </c>
      <c r="B2724" s="22" t="s">
        <v>15346</v>
      </c>
      <c r="C2724" s="22" t="s">
        <v>17538</v>
      </c>
      <c r="E2724" s="24">
        <v>2003</v>
      </c>
      <c r="F2724" s="22" t="s">
        <v>17539</v>
      </c>
      <c r="G2724" s="23" t="s">
        <v>17540</v>
      </c>
      <c r="H2724" s="25" t="s">
        <v>15373</v>
      </c>
      <c r="I2724" s="22" t="s">
        <v>15411</v>
      </c>
      <c r="J2724" s="22" t="s">
        <v>17541</v>
      </c>
      <c r="K2724" s="26">
        <f t="shared" si="42"/>
        <v>900</v>
      </c>
      <c r="M2724" s="26">
        <v>1350</v>
      </c>
      <c r="O2724" s="22" t="s">
        <v>17542</v>
      </c>
      <c r="P2724" s="22" t="s">
        <v>18303</v>
      </c>
      <c r="Q2724" s="22">
        <v>93721</v>
      </c>
      <c r="X2724" s="26"/>
      <c r="Y2724" s="26"/>
    </row>
    <row r="2725" spans="1:25" ht="37.5" x14ac:dyDescent="0.25">
      <c r="A2725" s="21">
        <v>2990</v>
      </c>
      <c r="B2725" s="22" t="s">
        <v>15346</v>
      </c>
      <c r="C2725" s="22" t="s">
        <v>17538</v>
      </c>
      <c r="E2725" s="24">
        <v>2003</v>
      </c>
      <c r="F2725" s="22" t="s">
        <v>17543</v>
      </c>
      <c r="G2725" s="23" t="s">
        <v>17544</v>
      </c>
      <c r="H2725" s="25" t="s">
        <v>15373</v>
      </c>
      <c r="I2725" s="22" t="s">
        <v>15411</v>
      </c>
      <c r="J2725" s="22" t="s">
        <v>17541</v>
      </c>
      <c r="K2725" s="26">
        <f t="shared" si="42"/>
        <v>900</v>
      </c>
      <c r="M2725" s="26">
        <v>1350</v>
      </c>
      <c r="O2725" s="22" t="s">
        <v>17542</v>
      </c>
      <c r="P2725" s="22" t="s">
        <v>18303</v>
      </c>
      <c r="Q2725" s="22">
        <v>93721</v>
      </c>
      <c r="X2725" s="26"/>
      <c r="Y2725" s="26"/>
    </row>
    <row r="2726" spans="1:25" ht="37.5" x14ac:dyDescent="0.25">
      <c r="A2726" s="21">
        <v>2991</v>
      </c>
      <c r="B2726" s="22" t="s">
        <v>15346</v>
      </c>
      <c r="C2726" s="22" t="s">
        <v>18374</v>
      </c>
      <c r="E2726" s="24">
        <v>2003</v>
      </c>
      <c r="F2726" s="22" t="s">
        <v>17545</v>
      </c>
      <c r="G2726" s="23" t="s">
        <v>17546</v>
      </c>
      <c r="H2726" s="25" t="s">
        <v>15373</v>
      </c>
      <c r="I2726" s="22" t="s">
        <v>15411</v>
      </c>
      <c r="J2726" s="22" t="s">
        <v>17547</v>
      </c>
      <c r="K2726" s="26">
        <f t="shared" si="42"/>
        <v>326.66666666666663</v>
      </c>
      <c r="M2726" s="26">
        <v>490</v>
      </c>
      <c r="O2726" s="22" t="s">
        <v>17475</v>
      </c>
      <c r="P2726" s="22" t="s">
        <v>18325</v>
      </c>
      <c r="Q2726" s="22">
        <v>93215</v>
      </c>
      <c r="S2726" s="22" t="s">
        <v>18377</v>
      </c>
      <c r="X2726" s="26"/>
      <c r="Y2726" s="26"/>
    </row>
    <row r="2727" spans="1:25" ht="25" x14ac:dyDescent="0.25">
      <c r="A2727" s="21">
        <v>2992</v>
      </c>
      <c r="B2727" s="22" t="s">
        <v>15346</v>
      </c>
      <c r="C2727" s="22" t="s">
        <v>17548</v>
      </c>
      <c r="E2727" s="24">
        <v>2003</v>
      </c>
      <c r="F2727" s="22" t="s">
        <v>17549</v>
      </c>
      <c r="G2727" s="23" t="s">
        <v>17550</v>
      </c>
      <c r="H2727" s="25" t="s">
        <v>15373</v>
      </c>
      <c r="I2727" s="22" t="s">
        <v>15382</v>
      </c>
      <c r="J2727" s="22" t="s">
        <v>17551</v>
      </c>
      <c r="K2727" s="26">
        <f t="shared" si="42"/>
        <v>313.33333333333331</v>
      </c>
      <c r="M2727" s="26">
        <v>470</v>
      </c>
      <c r="O2727" s="22" t="s">
        <v>17552</v>
      </c>
      <c r="P2727" s="22" t="s">
        <v>18303</v>
      </c>
      <c r="Q2727" s="22">
        <v>93727</v>
      </c>
      <c r="X2727" s="26"/>
      <c r="Y2727" s="26"/>
    </row>
    <row r="2728" spans="1:25" ht="25" x14ac:dyDescent="0.25">
      <c r="A2728" s="21">
        <v>2993</v>
      </c>
      <c r="B2728" s="22" t="s">
        <v>15346</v>
      </c>
      <c r="C2728" s="22" t="s">
        <v>17553</v>
      </c>
      <c r="E2728" s="24">
        <v>2003</v>
      </c>
      <c r="F2728" s="22" t="s">
        <v>17554</v>
      </c>
      <c r="G2728" s="23" t="s">
        <v>18140</v>
      </c>
      <c r="H2728" s="25" t="s">
        <v>15373</v>
      </c>
      <c r="I2728" s="22" t="s">
        <v>15382</v>
      </c>
      <c r="J2728" s="22" t="s">
        <v>16811</v>
      </c>
      <c r="K2728" s="26">
        <f t="shared" si="42"/>
        <v>356.66666666666663</v>
      </c>
      <c r="M2728" s="26">
        <v>535</v>
      </c>
      <c r="O2728" s="22" t="s">
        <v>18141</v>
      </c>
      <c r="P2728" s="22" t="s">
        <v>18293</v>
      </c>
      <c r="Q2728" s="22">
        <v>93308</v>
      </c>
      <c r="S2728" s="22" t="s">
        <v>18338</v>
      </c>
      <c r="X2728" s="26"/>
      <c r="Y2728" s="26"/>
    </row>
    <row r="2729" spans="1:25" ht="37.5" x14ac:dyDescent="0.25">
      <c r="A2729" s="21">
        <v>2994</v>
      </c>
      <c r="B2729" s="22" t="s">
        <v>15346</v>
      </c>
      <c r="C2729" s="22" t="s">
        <v>18819</v>
      </c>
      <c r="E2729" s="24">
        <v>2003</v>
      </c>
      <c r="F2729" s="22" t="s">
        <v>18142</v>
      </c>
      <c r="G2729" s="23" t="s">
        <v>18143</v>
      </c>
      <c r="H2729" s="25" t="s">
        <v>15373</v>
      </c>
      <c r="I2729" s="22" t="s">
        <v>15374</v>
      </c>
      <c r="J2729" s="22" t="s">
        <v>9707</v>
      </c>
      <c r="K2729" s="26">
        <f t="shared" si="42"/>
        <v>750</v>
      </c>
      <c r="L2729" s="26">
        <v>750</v>
      </c>
      <c r="O2729" s="22" t="s">
        <v>18144</v>
      </c>
      <c r="P2729" s="22" t="s">
        <v>18303</v>
      </c>
      <c r="Q2729" s="22">
        <v>93722</v>
      </c>
      <c r="S2729" s="22" t="s">
        <v>18338</v>
      </c>
      <c r="X2729" s="26"/>
      <c r="Y2729" s="26"/>
    </row>
    <row r="2730" spans="1:25" ht="25" x14ac:dyDescent="0.25">
      <c r="A2730" s="21">
        <v>2995</v>
      </c>
      <c r="B2730" s="22" t="s">
        <v>15346</v>
      </c>
      <c r="C2730" s="22" t="s">
        <v>17197</v>
      </c>
      <c r="E2730" s="24">
        <v>2003</v>
      </c>
      <c r="F2730" s="22" t="s">
        <v>18145</v>
      </c>
      <c r="G2730" s="23" t="s">
        <v>18146</v>
      </c>
      <c r="H2730" s="25" t="s">
        <v>15373</v>
      </c>
      <c r="I2730" s="22" t="s">
        <v>15374</v>
      </c>
      <c r="J2730" s="22" t="s">
        <v>18147</v>
      </c>
      <c r="K2730" s="26">
        <f>L2730+M2730*(2/3)+N2730*(2/3)</f>
        <v>357.33333333333331</v>
      </c>
      <c r="M2730" s="26">
        <v>536</v>
      </c>
      <c r="O2730" s="22" t="s">
        <v>18148</v>
      </c>
      <c r="P2730" s="22" t="s">
        <v>18485</v>
      </c>
      <c r="Q2730" s="22">
        <v>93611</v>
      </c>
      <c r="X2730" s="26"/>
      <c r="Y2730" s="26"/>
    </row>
    <row r="2731" spans="1:25" ht="37.5" x14ac:dyDescent="0.25">
      <c r="A2731" s="21">
        <v>2996</v>
      </c>
      <c r="B2731" s="22" t="s">
        <v>15346</v>
      </c>
      <c r="C2731" s="22" t="s">
        <v>18149</v>
      </c>
      <c r="E2731" s="24">
        <v>2003</v>
      </c>
      <c r="F2731" s="22" t="s">
        <v>18150</v>
      </c>
      <c r="G2731" s="23" t="s">
        <v>18151</v>
      </c>
      <c r="H2731" s="25" t="s">
        <v>15373</v>
      </c>
      <c r="I2731" s="22" t="s">
        <v>15411</v>
      </c>
      <c r="J2731" s="22" t="s">
        <v>17698</v>
      </c>
      <c r="K2731" s="26">
        <f>L2731+M2731*(2/3)+N2731*(2/3)</f>
        <v>316</v>
      </c>
      <c r="M2731" s="26">
        <v>474</v>
      </c>
      <c r="O2731" s="22" t="s">
        <v>18152</v>
      </c>
      <c r="P2731" s="22" t="s">
        <v>18153</v>
      </c>
      <c r="Q2731" s="22">
        <v>95336</v>
      </c>
      <c r="X2731" s="26"/>
      <c r="Y2731" s="26"/>
    </row>
    <row r="2732" spans="1:25" ht="50" x14ac:dyDescent="0.25">
      <c r="A2732" s="21">
        <v>2997</v>
      </c>
      <c r="B2732" s="22" t="s">
        <v>15346</v>
      </c>
      <c r="C2732" s="22" t="s">
        <v>17278</v>
      </c>
      <c r="E2732" s="24">
        <v>2003</v>
      </c>
      <c r="F2732" s="22" t="s">
        <v>18154</v>
      </c>
      <c r="G2732" s="23" t="s">
        <v>18155</v>
      </c>
      <c r="H2732" s="25" t="s">
        <v>15373</v>
      </c>
      <c r="I2732" s="22" t="s">
        <v>15382</v>
      </c>
      <c r="J2732" s="22" t="s">
        <v>18421</v>
      </c>
      <c r="K2732" s="26">
        <f>L2732+M2732*(2/3)+N2732*(2/3)</f>
        <v>450</v>
      </c>
      <c r="L2732" s="26">
        <v>450</v>
      </c>
      <c r="O2732" s="22" t="s">
        <v>18428</v>
      </c>
      <c r="P2732" s="22" t="s">
        <v>18417</v>
      </c>
      <c r="Q2732" s="22">
        <v>95340</v>
      </c>
      <c r="X2732" s="26"/>
      <c r="Y2732" s="26"/>
    </row>
    <row r="2733" spans="1:25" ht="25" x14ac:dyDescent="0.25">
      <c r="A2733" s="21">
        <v>2998</v>
      </c>
      <c r="B2733" s="22" t="s">
        <v>15346</v>
      </c>
      <c r="C2733" s="22" t="s">
        <v>18156</v>
      </c>
      <c r="E2733" s="24">
        <v>2003</v>
      </c>
      <c r="F2733" s="22" t="s">
        <v>18157</v>
      </c>
      <c r="G2733" s="23" t="s">
        <v>18158</v>
      </c>
      <c r="H2733" s="25" t="s">
        <v>15373</v>
      </c>
      <c r="I2733" s="22" t="s">
        <v>15411</v>
      </c>
      <c r="J2733" s="22" t="s">
        <v>12732</v>
      </c>
      <c r="K2733" s="26">
        <f>L2733+M2733*(2/3)+N2733*(2/3)</f>
        <v>326.66666666666663</v>
      </c>
      <c r="M2733" s="26">
        <v>490</v>
      </c>
      <c r="O2733" s="22" t="s">
        <v>18159</v>
      </c>
      <c r="P2733" s="22" t="s">
        <v>18745</v>
      </c>
      <c r="Q2733" s="22">
        <v>95360</v>
      </c>
      <c r="X2733" s="26"/>
      <c r="Y2733" s="26"/>
    </row>
    <row r="2734" spans="1:25" ht="25" x14ac:dyDescent="0.25">
      <c r="A2734" s="21">
        <v>2999</v>
      </c>
      <c r="B2734" s="22" t="s">
        <v>15346</v>
      </c>
      <c r="C2734" s="22" t="s">
        <v>18160</v>
      </c>
      <c r="E2734" s="24">
        <v>2003</v>
      </c>
      <c r="F2734" s="22" t="s">
        <v>18161</v>
      </c>
      <c r="G2734" s="23" t="s">
        <v>18162</v>
      </c>
      <c r="H2734" s="25" t="s">
        <v>15373</v>
      </c>
      <c r="I2734" s="22" t="s">
        <v>15382</v>
      </c>
      <c r="J2734" s="22" t="s">
        <v>14850</v>
      </c>
      <c r="K2734" s="26">
        <f>L2734+M2734*(2/3)+N2734*(2/3)</f>
        <v>310</v>
      </c>
      <c r="M2734" s="26">
        <v>465</v>
      </c>
      <c r="O2734" s="22" t="s">
        <v>18163</v>
      </c>
      <c r="P2734" s="22" t="s">
        <v>18164</v>
      </c>
      <c r="Q2734" s="22">
        <v>95361</v>
      </c>
      <c r="X2734" s="26"/>
      <c r="Y2734" s="26"/>
    </row>
    <row r="2735" spans="1:25" ht="25" x14ac:dyDescent="0.25">
      <c r="A2735" s="21">
        <v>11000</v>
      </c>
      <c r="B2735" s="22" t="s">
        <v>15346</v>
      </c>
      <c r="C2735" s="22" t="s">
        <v>18458</v>
      </c>
      <c r="E2735" s="24">
        <v>2003</v>
      </c>
      <c r="F2735" s="22" t="s">
        <v>18165</v>
      </c>
      <c r="G2735" s="23" t="s">
        <v>18166</v>
      </c>
      <c r="H2735" s="25" t="s">
        <v>15373</v>
      </c>
      <c r="I2735" s="22" t="s">
        <v>15374</v>
      </c>
      <c r="J2735" s="22">
        <v>3512</v>
      </c>
      <c r="K2735" s="26">
        <f t="shared" si="42"/>
        <v>1500</v>
      </c>
      <c r="L2735" s="26">
        <v>1500</v>
      </c>
      <c r="O2735" s="22" t="s">
        <v>18167</v>
      </c>
      <c r="P2735" s="22" t="s">
        <v>18303</v>
      </c>
      <c r="Q2735" s="22">
        <v>93725</v>
      </c>
      <c r="X2735" s="26"/>
      <c r="Y2735" s="26"/>
    </row>
    <row r="2736" spans="1:25" ht="25" x14ac:dyDescent="0.25">
      <c r="A2736" s="21">
        <v>11001</v>
      </c>
      <c r="B2736" s="22" t="s">
        <v>15346</v>
      </c>
      <c r="C2736" s="22" t="s">
        <v>18458</v>
      </c>
      <c r="E2736" s="24">
        <v>2003</v>
      </c>
      <c r="F2736" s="22" t="s">
        <v>18168</v>
      </c>
      <c r="G2736" s="23" t="s">
        <v>18166</v>
      </c>
      <c r="H2736" s="25" t="s">
        <v>15373</v>
      </c>
      <c r="I2736" s="22" t="s">
        <v>15374</v>
      </c>
      <c r="J2736" s="22">
        <v>3512</v>
      </c>
      <c r="K2736" s="26">
        <f t="shared" si="42"/>
        <v>1500</v>
      </c>
      <c r="L2736" s="26">
        <v>1500</v>
      </c>
      <c r="O2736" s="22" t="s">
        <v>18167</v>
      </c>
      <c r="P2736" s="22" t="s">
        <v>18303</v>
      </c>
      <c r="Q2736" s="22">
        <v>93725</v>
      </c>
      <c r="X2736" s="26"/>
      <c r="Y2736" s="26"/>
    </row>
    <row r="2737" spans="1:25" ht="37.5" x14ac:dyDescent="0.25">
      <c r="A2737" s="21">
        <v>11002</v>
      </c>
      <c r="B2737" s="22" t="s">
        <v>15346</v>
      </c>
      <c r="C2737" s="22" t="s">
        <v>18169</v>
      </c>
      <c r="E2737" s="24">
        <v>2003</v>
      </c>
      <c r="F2737" s="22" t="s">
        <v>18170</v>
      </c>
      <c r="G2737" s="23" t="s">
        <v>18171</v>
      </c>
      <c r="H2737" s="25" t="s">
        <v>15373</v>
      </c>
      <c r="I2737" s="22" t="s">
        <v>15411</v>
      </c>
      <c r="J2737" s="22" t="s">
        <v>13206</v>
      </c>
      <c r="K2737" s="26">
        <f t="shared" si="42"/>
        <v>679</v>
      </c>
      <c r="L2737" s="26">
        <v>679</v>
      </c>
      <c r="O2737" s="22" t="s">
        <v>18172</v>
      </c>
      <c r="P2737" s="22" t="s">
        <v>17458</v>
      </c>
      <c r="Q2737" s="22">
        <v>95330</v>
      </c>
      <c r="S2737" s="22" t="s">
        <v>18338</v>
      </c>
      <c r="X2737" s="26"/>
      <c r="Y2737" s="26"/>
    </row>
    <row r="2738" spans="1:25" ht="50" x14ac:dyDescent="0.25">
      <c r="A2738" s="21">
        <v>11003</v>
      </c>
      <c r="B2738" s="22" t="s">
        <v>15346</v>
      </c>
      <c r="C2738" s="22" t="s">
        <v>17398</v>
      </c>
      <c r="E2738" s="24">
        <v>2003</v>
      </c>
      <c r="F2738" s="22" t="s">
        <v>18173</v>
      </c>
      <c r="G2738" s="23" t="s">
        <v>18174</v>
      </c>
      <c r="H2738" s="25" t="s">
        <v>15373</v>
      </c>
      <c r="I2738" s="22" t="s">
        <v>15374</v>
      </c>
      <c r="J2738" s="22" t="s">
        <v>9707</v>
      </c>
      <c r="K2738" s="26">
        <f>L2738+M2738*(2/3)+N2738*(2/3)</f>
        <v>742.66666666666663</v>
      </c>
      <c r="M2738" s="26">
        <v>1114</v>
      </c>
      <c r="O2738" s="22" t="s">
        <v>17401</v>
      </c>
      <c r="P2738" s="22" t="s">
        <v>18175</v>
      </c>
      <c r="Q2738" s="22">
        <v>93307</v>
      </c>
      <c r="X2738" s="26"/>
      <c r="Y2738" s="26"/>
    </row>
    <row r="2739" spans="1:25" ht="37.5" x14ac:dyDescent="0.25">
      <c r="A2739" s="21">
        <v>11004</v>
      </c>
      <c r="B2739" s="22" t="s">
        <v>15346</v>
      </c>
      <c r="C2739" s="22" t="s">
        <v>17398</v>
      </c>
      <c r="E2739" s="24">
        <v>2003</v>
      </c>
      <c r="F2739" s="22" t="s">
        <v>18176</v>
      </c>
      <c r="G2739" s="23" t="s">
        <v>18177</v>
      </c>
      <c r="H2739" s="25" t="s">
        <v>15373</v>
      </c>
      <c r="I2739" s="22" t="s">
        <v>15382</v>
      </c>
      <c r="J2739" s="22" t="s">
        <v>14850</v>
      </c>
      <c r="K2739" s="26">
        <f>L2739+M2739*(2/3)+N2739*(2/3)</f>
        <v>310</v>
      </c>
      <c r="M2739" s="26">
        <v>465</v>
      </c>
      <c r="O2739" s="22" t="s">
        <v>17401</v>
      </c>
      <c r="P2739" s="22" t="s">
        <v>18175</v>
      </c>
      <c r="Q2739" s="22">
        <v>93307</v>
      </c>
      <c r="X2739" s="26"/>
      <c r="Y2739" s="26"/>
    </row>
    <row r="2740" spans="1:25" ht="37.5" x14ac:dyDescent="0.25">
      <c r="A2740" s="21">
        <v>11005</v>
      </c>
      <c r="B2740" s="22" t="s">
        <v>15346</v>
      </c>
      <c r="C2740" s="22" t="s">
        <v>18178</v>
      </c>
      <c r="E2740" s="24">
        <v>2003</v>
      </c>
      <c r="F2740" s="22" t="s">
        <v>18179</v>
      </c>
      <c r="G2740" s="23" t="s">
        <v>17474</v>
      </c>
      <c r="H2740" s="25" t="s">
        <v>15373</v>
      </c>
      <c r="I2740" s="22" t="s">
        <v>15374</v>
      </c>
      <c r="J2740" s="22">
        <v>3412</v>
      </c>
      <c r="K2740" s="26">
        <f t="shared" si="42"/>
        <v>800</v>
      </c>
      <c r="L2740" s="26">
        <v>800</v>
      </c>
      <c r="O2740" s="22" t="s">
        <v>18180</v>
      </c>
      <c r="P2740" s="22" t="s">
        <v>18325</v>
      </c>
      <c r="Q2740" s="22">
        <v>93215</v>
      </c>
      <c r="S2740" s="22" t="s">
        <v>18338</v>
      </c>
      <c r="X2740" s="26"/>
      <c r="Y2740" s="26"/>
    </row>
    <row r="2741" spans="1:25" ht="37.5" x14ac:dyDescent="0.25">
      <c r="A2741" s="21">
        <v>11006</v>
      </c>
      <c r="B2741" s="22" t="s">
        <v>15346</v>
      </c>
      <c r="C2741" s="22" t="s">
        <v>18178</v>
      </c>
      <c r="E2741" s="24">
        <v>2003</v>
      </c>
      <c r="F2741" s="22" t="s">
        <v>18181</v>
      </c>
      <c r="G2741" s="23" t="s">
        <v>17477</v>
      </c>
      <c r="H2741" s="25" t="s">
        <v>15373</v>
      </c>
      <c r="I2741" s="22" t="s">
        <v>15374</v>
      </c>
      <c r="J2741" s="22" t="s">
        <v>12899</v>
      </c>
      <c r="K2741" s="26">
        <f t="shared" si="42"/>
        <v>2000</v>
      </c>
      <c r="L2741" s="26">
        <v>2000</v>
      </c>
      <c r="O2741" s="22" t="s">
        <v>18180</v>
      </c>
      <c r="P2741" s="22" t="s">
        <v>18325</v>
      </c>
      <c r="Q2741" s="22">
        <v>93215</v>
      </c>
      <c r="S2741" s="22" t="s">
        <v>18338</v>
      </c>
      <c r="X2741" s="26"/>
      <c r="Y2741" s="26"/>
    </row>
    <row r="2742" spans="1:25" ht="37.5" x14ac:dyDescent="0.25">
      <c r="A2742" s="21">
        <v>11007</v>
      </c>
      <c r="B2742" s="22" t="s">
        <v>15346</v>
      </c>
      <c r="C2742" s="22" t="s">
        <v>18178</v>
      </c>
      <c r="E2742" s="24">
        <v>2003</v>
      </c>
      <c r="F2742" s="22" t="s">
        <v>18182</v>
      </c>
      <c r="G2742" s="23" t="s">
        <v>17477</v>
      </c>
      <c r="H2742" s="25" t="s">
        <v>15373</v>
      </c>
      <c r="I2742" s="22" t="s">
        <v>15374</v>
      </c>
      <c r="J2742" s="22" t="s">
        <v>12899</v>
      </c>
      <c r="K2742" s="26">
        <f t="shared" si="42"/>
        <v>2000</v>
      </c>
      <c r="L2742" s="26">
        <v>2000</v>
      </c>
      <c r="O2742" s="22" t="s">
        <v>18180</v>
      </c>
      <c r="P2742" s="22" t="s">
        <v>18325</v>
      </c>
      <c r="Q2742" s="22">
        <v>93215</v>
      </c>
      <c r="S2742" s="22" t="s">
        <v>18338</v>
      </c>
      <c r="X2742" s="26"/>
      <c r="Y2742" s="26"/>
    </row>
    <row r="2743" spans="1:25" ht="50" x14ac:dyDescent="0.25">
      <c r="A2743" s="21">
        <v>11008</v>
      </c>
      <c r="B2743" s="22" t="s">
        <v>15346</v>
      </c>
      <c r="C2743" s="22" t="s">
        <v>18867</v>
      </c>
      <c r="E2743" s="24">
        <v>2003</v>
      </c>
      <c r="F2743" s="22" t="s">
        <v>18183</v>
      </c>
      <c r="G2743" s="23" t="s">
        <v>18184</v>
      </c>
      <c r="H2743" s="25" t="s">
        <v>15373</v>
      </c>
      <c r="I2743" s="22" t="s">
        <v>15374</v>
      </c>
      <c r="J2743" s="22" t="s">
        <v>18147</v>
      </c>
      <c r="K2743" s="26">
        <f t="shared" si="42"/>
        <v>300</v>
      </c>
      <c r="L2743" s="26">
        <v>300</v>
      </c>
      <c r="O2743" s="22" t="s">
        <v>18870</v>
      </c>
      <c r="P2743" s="22" t="s">
        <v>18303</v>
      </c>
      <c r="Q2743" s="22">
        <v>93725</v>
      </c>
      <c r="S2743" s="22" t="s">
        <v>18338</v>
      </c>
      <c r="X2743" s="26"/>
      <c r="Y2743" s="26"/>
    </row>
    <row r="2744" spans="1:25" ht="37.5" x14ac:dyDescent="0.25">
      <c r="A2744" s="21">
        <v>11009</v>
      </c>
      <c r="B2744" s="22" t="s">
        <v>15346</v>
      </c>
      <c r="C2744" s="22" t="s">
        <v>18185</v>
      </c>
      <c r="E2744" s="24">
        <v>2003</v>
      </c>
      <c r="F2744" s="22" t="s">
        <v>18186</v>
      </c>
      <c r="G2744" s="23" t="s">
        <v>18187</v>
      </c>
      <c r="H2744" s="25" t="s">
        <v>15373</v>
      </c>
      <c r="I2744" s="22" t="s">
        <v>15374</v>
      </c>
      <c r="J2744" s="22" t="s">
        <v>12899</v>
      </c>
      <c r="K2744" s="26">
        <f t="shared" si="42"/>
        <v>1825</v>
      </c>
      <c r="L2744" s="26">
        <v>1825</v>
      </c>
      <c r="O2744" s="22" t="s">
        <v>18188</v>
      </c>
      <c r="P2744" s="22" t="s">
        <v>18189</v>
      </c>
      <c r="Q2744" s="22">
        <v>93618</v>
      </c>
      <c r="S2744" s="22" t="s">
        <v>18190</v>
      </c>
      <c r="X2744" s="26"/>
      <c r="Y2744" s="26"/>
    </row>
    <row r="2745" spans="1:25" ht="37.5" x14ac:dyDescent="0.25">
      <c r="A2745" s="21">
        <v>11010</v>
      </c>
      <c r="B2745" s="22" t="s">
        <v>15346</v>
      </c>
      <c r="C2745" s="22" t="s">
        <v>18185</v>
      </c>
      <c r="E2745" s="24">
        <v>2003</v>
      </c>
      <c r="F2745" s="22" t="s">
        <v>18191</v>
      </c>
      <c r="G2745" s="23" t="s">
        <v>18187</v>
      </c>
      <c r="H2745" s="25" t="s">
        <v>15373</v>
      </c>
      <c r="I2745" s="22" t="s">
        <v>15374</v>
      </c>
      <c r="J2745" s="22" t="s">
        <v>12899</v>
      </c>
      <c r="K2745" s="26">
        <f t="shared" si="42"/>
        <v>1825</v>
      </c>
      <c r="L2745" s="26">
        <v>1825</v>
      </c>
      <c r="O2745" s="22" t="s">
        <v>18188</v>
      </c>
      <c r="P2745" s="22" t="s">
        <v>18189</v>
      </c>
      <c r="Q2745" s="22">
        <v>93618</v>
      </c>
      <c r="S2745" s="22" t="s">
        <v>18190</v>
      </c>
      <c r="X2745" s="26"/>
      <c r="Y2745" s="26"/>
    </row>
    <row r="2746" spans="1:25" ht="37.5" x14ac:dyDescent="0.25">
      <c r="A2746" s="21">
        <v>11011</v>
      </c>
      <c r="B2746" s="22" t="s">
        <v>15346</v>
      </c>
      <c r="C2746" s="22" t="s">
        <v>18192</v>
      </c>
      <c r="E2746" s="24">
        <v>2003</v>
      </c>
      <c r="F2746" s="22" t="s">
        <v>18193</v>
      </c>
      <c r="G2746" s="23" t="s">
        <v>18194</v>
      </c>
      <c r="H2746" s="25" t="s">
        <v>15373</v>
      </c>
      <c r="I2746" s="22" t="s">
        <v>15374</v>
      </c>
      <c r="J2746" s="22" t="s">
        <v>6357</v>
      </c>
      <c r="K2746" s="26">
        <f>L2746+M2746*(2/3)+N2746*(2/3)</f>
        <v>300</v>
      </c>
      <c r="L2746" s="26">
        <v>300</v>
      </c>
      <c r="O2746" s="22" t="s">
        <v>18195</v>
      </c>
      <c r="P2746" s="22" t="s">
        <v>18456</v>
      </c>
      <c r="Q2746" s="22">
        <v>95376</v>
      </c>
      <c r="X2746" s="26"/>
      <c r="Y2746" s="26"/>
    </row>
    <row r="2747" spans="1:25" ht="37.5" x14ac:dyDescent="0.25">
      <c r="A2747" s="21">
        <v>11012</v>
      </c>
      <c r="B2747" s="22" t="s">
        <v>15346</v>
      </c>
      <c r="C2747" s="22" t="s">
        <v>18196</v>
      </c>
      <c r="E2747" s="24">
        <v>2003</v>
      </c>
      <c r="F2747" s="22" t="s">
        <v>18197</v>
      </c>
      <c r="G2747" s="23" t="s">
        <v>18198</v>
      </c>
      <c r="H2747" s="25" t="s">
        <v>15373</v>
      </c>
      <c r="I2747" s="22" t="s">
        <v>15374</v>
      </c>
      <c r="J2747" s="22" t="s">
        <v>6357</v>
      </c>
      <c r="K2747" s="26">
        <f>L2747+M2747*(2/3)+N2747*(2/3)</f>
        <v>314</v>
      </c>
      <c r="M2747" s="26">
        <v>471</v>
      </c>
      <c r="O2747" s="22" t="s">
        <v>18199</v>
      </c>
      <c r="P2747" s="22" t="s">
        <v>18881</v>
      </c>
      <c r="Q2747" s="22">
        <v>93245</v>
      </c>
      <c r="X2747" s="26"/>
      <c r="Y2747" s="26"/>
    </row>
    <row r="2748" spans="1:25" ht="37.5" x14ac:dyDescent="0.25">
      <c r="A2748" s="21">
        <v>11013</v>
      </c>
      <c r="B2748" s="22" t="s">
        <v>15346</v>
      </c>
      <c r="C2748" s="22" t="s">
        <v>18200</v>
      </c>
      <c r="E2748" s="24">
        <v>2003</v>
      </c>
      <c r="F2748" s="22" t="s">
        <v>18201</v>
      </c>
      <c r="G2748" s="23" t="s">
        <v>18202</v>
      </c>
      <c r="H2748" s="25" t="s">
        <v>15373</v>
      </c>
      <c r="I2748" s="22" t="s">
        <v>15411</v>
      </c>
      <c r="J2748" s="22" t="s">
        <v>16517</v>
      </c>
      <c r="K2748" s="26">
        <f t="shared" si="42"/>
        <v>303.33333333333331</v>
      </c>
      <c r="M2748" s="26">
        <v>455</v>
      </c>
      <c r="O2748" s="22" t="s">
        <v>18203</v>
      </c>
      <c r="P2748" s="22" t="s">
        <v>18204</v>
      </c>
      <c r="Q2748" s="22">
        <v>93257</v>
      </c>
      <c r="S2748" s="22" t="s">
        <v>18338</v>
      </c>
      <c r="X2748" s="26"/>
      <c r="Y2748" s="26"/>
    </row>
    <row r="2749" spans="1:25" ht="37.5" x14ac:dyDescent="0.25">
      <c r="A2749" s="21">
        <v>11014</v>
      </c>
      <c r="B2749" s="22" t="s">
        <v>15346</v>
      </c>
      <c r="C2749" s="22" t="s">
        <v>18552</v>
      </c>
      <c r="E2749" s="24">
        <v>2003</v>
      </c>
      <c r="F2749" s="22" t="s">
        <v>18205</v>
      </c>
      <c r="G2749" s="23" t="s">
        <v>18206</v>
      </c>
      <c r="H2749" s="25" t="s">
        <v>15373</v>
      </c>
      <c r="I2749" s="22" t="s">
        <v>15374</v>
      </c>
      <c r="J2749" s="22" t="s">
        <v>9707</v>
      </c>
      <c r="K2749" s="26">
        <f>L2749+M2749*(2/3)+N2749*(2/3)</f>
        <v>742.66666666666663</v>
      </c>
      <c r="M2749" s="26">
        <v>1114</v>
      </c>
      <c r="O2749" s="22" t="s">
        <v>18555</v>
      </c>
      <c r="P2749" s="22" t="s">
        <v>18556</v>
      </c>
      <c r="Q2749" s="22">
        <v>93243</v>
      </c>
      <c r="X2749" s="26"/>
      <c r="Y2749" s="26"/>
    </row>
    <row r="2750" spans="1:25" ht="37.5" x14ac:dyDescent="0.25">
      <c r="A2750" s="21">
        <v>11015</v>
      </c>
      <c r="B2750" s="22" t="s">
        <v>15346</v>
      </c>
      <c r="C2750" s="22" t="s">
        <v>18207</v>
      </c>
      <c r="E2750" s="24">
        <v>2003</v>
      </c>
      <c r="F2750" s="22" t="s">
        <v>18208</v>
      </c>
      <c r="G2750" s="23" t="s">
        <v>18209</v>
      </c>
      <c r="H2750" s="25" t="s">
        <v>15373</v>
      </c>
      <c r="I2750" s="22" t="s">
        <v>15411</v>
      </c>
      <c r="J2750" s="22">
        <v>12171</v>
      </c>
      <c r="K2750" s="26">
        <f t="shared" si="42"/>
        <v>350</v>
      </c>
      <c r="L2750" s="26">
        <v>350</v>
      </c>
      <c r="O2750" s="22" t="s">
        <v>18210</v>
      </c>
      <c r="P2750" s="22" t="s">
        <v>18284</v>
      </c>
      <c r="Q2750" s="22">
        <v>95203</v>
      </c>
      <c r="S2750" s="22" t="s">
        <v>18211</v>
      </c>
      <c r="X2750" s="26"/>
      <c r="Y2750" s="26"/>
    </row>
    <row r="2751" spans="1:25" ht="25" x14ac:dyDescent="0.25">
      <c r="A2751" s="21">
        <v>11016</v>
      </c>
      <c r="B2751" s="22" t="s">
        <v>15346</v>
      </c>
      <c r="C2751" s="22" t="s">
        <v>18625</v>
      </c>
      <c r="E2751" s="24">
        <v>2003</v>
      </c>
      <c r="F2751" s="22" t="s">
        <v>18212</v>
      </c>
      <c r="G2751" s="23" t="s">
        <v>18213</v>
      </c>
      <c r="H2751" s="25" t="s">
        <v>15373</v>
      </c>
      <c r="I2751" s="22" t="s">
        <v>15411</v>
      </c>
      <c r="J2751" s="22">
        <v>560</v>
      </c>
      <c r="K2751" s="26">
        <f t="shared" si="42"/>
        <v>423.33333333333331</v>
      </c>
      <c r="M2751" s="26">
        <v>635</v>
      </c>
      <c r="O2751" s="22" t="s">
        <v>18214</v>
      </c>
      <c r="P2751" s="22" t="s">
        <v>18417</v>
      </c>
      <c r="Q2751" s="22">
        <v>95348</v>
      </c>
      <c r="X2751" s="26"/>
      <c r="Y2751" s="26"/>
    </row>
    <row r="2752" spans="1:25" ht="37.5" x14ac:dyDescent="0.25">
      <c r="A2752" s="21">
        <v>11017</v>
      </c>
      <c r="B2752" s="22" t="s">
        <v>15346</v>
      </c>
      <c r="C2752" s="22" t="s">
        <v>18625</v>
      </c>
      <c r="E2752" s="24">
        <v>2003</v>
      </c>
      <c r="F2752" s="22" t="s">
        <v>18215</v>
      </c>
      <c r="G2752" s="23" t="s">
        <v>18216</v>
      </c>
      <c r="H2752" s="25" t="s">
        <v>15373</v>
      </c>
      <c r="I2752" s="22" t="s">
        <v>15411</v>
      </c>
      <c r="J2752" s="22" t="s">
        <v>12732</v>
      </c>
      <c r="K2752" s="26">
        <f>L2752+M2752*(2/3)+N2752*(2/3)</f>
        <v>420</v>
      </c>
      <c r="L2752" s="26">
        <v>420</v>
      </c>
      <c r="O2752" s="22" t="s">
        <v>18217</v>
      </c>
      <c r="P2752" s="22" t="s">
        <v>18298</v>
      </c>
      <c r="Q2752" s="22">
        <v>93277</v>
      </c>
      <c r="X2752" s="26"/>
      <c r="Y2752" s="26"/>
    </row>
    <row r="2753" spans="1:25" ht="37.5" x14ac:dyDescent="0.25">
      <c r="A2753" s="21">
        <v>11018</v>
      </c>
      <c r="B2753" s="22" t="s">
        <v>15346</v>
      </c>
      <c r="C2753" s="22" t="s">
        <v>18884</v>
      </c>
      <c r="E2753" s="24">
        <v>2003</v>
      </c>
      <c r="F2753" s="22" t="s">
        <v>18218</v>
      </c>
      <c r="G2753" s="23" t="s">
        <v>18219</v>
      </c>
      <c r="H2753" s="25" t="s">
        <v>15373</v>
      </c>
      <c r="I2753" s="22" t="s">
        <v>15411</v>
      </c>
      <c r="J2753" s="22" t="s">
        <v>9749</v>
      </c>
      <c r="K2753" s="26">
        <f>L2753+M2753*(2/3)+N2753*(2/3)</f>
        <v>366.66666666666663</v>
      </c>
      <c r="M2753" s="26">
        <v>550</v>
      </c>
      <c r="O2753" s="22" t="s">
        <v>18220</v>
      </c>
      <c r="P2753" s="22" t="s">
        <v>18485</v>
      </c>
      <c r="Q2753" s="22">
        <v>93612</v>
      </c>
      <c r="X2753" s="26"/>
      <c r="Y2753" s="26"/>
    </row>
    <row r="2754" spans="1:25" ht="37.5" x14ac:dyDescent="0.25">
      <c r="A2754" s="21">
        <v>11019</v>
      </c>
      <c r="B2754" s="22" t="s">
        <v>15346</v>
      </c>
      <c r="C2754" s="22" t="s">
        <v>18221</v>
      </c>
      <c r="E2754" s="24">
        <v>2003</v>
      </c>
      <c r="F2754" s="22" t="s">
        <v>18222</v>
      </c>
      <c r="G2754" s="23" t="s">
        <v>18223</v>
      </c>
      <c r="H2754" s="25" t="s">
        <v>15373</v>
      </c>
      <c r="I2754" s="22" t="s">
        <v>15382</v>
      </c>
      <c r="J2754" s="22" t="s">
        <v>16450</v>
      </c>
      <c r="K2754" s="26">
        <f t="shared" si="42"/>
        <v>993.33333333333326</v>
      </c>
      <c r="M2754" s="26">
        <v>1490</v>
      </c>
      <c r="O2754" s="22" t="s">
        <v>18224</v>
      </c>
      <c r="P2754" s="22" t="s">
        <v>18303</v>
      </c>
      <c r="Q2754" s="22">
        <v>93721</v>
      </c>
      <c r="X2754" s="26"/>
      <c r="Y2754" s="26"/>
    </row>
    <row r="2755" spans="1:25" ht="37.5" x14ac:dyDescent="0.25">
      <c r="A2755" s="21">
        <v>11020</v>
      </c>
      <c r="B2755" s="22" t="s">
        <v>15346</v>
      </c>
      <c r="C2755" s="22" t="s">
        <v>17799</v>
      </c>
      <c r="E2755" s="24">
        <v>2003</v>
      </c>
      <c r="F2755" s="22" t="s">
        <v>18225</v>
      </c>
      <c r="G2755" s="23" t="s">
        <v>18226</v>
      </c>
      <c r="H2755" s="25" t="s">
        <v>15373</v>
      </c>
      <c r="I2755" s="22" t="s">
        <v>15411</v>
      </c>
      <c r="J2755" s="22" t="s">
        <v>18227</v>
      </c>
      <c r="K2755" s="26">
        <f t="shared" si="42"/>
        <v>500</v>
      </c>
      <c r="L2755" s="26">
        <v>500</v>
      </c>
      <c r="O2755" s="22" t="s">
        <v>17803</v>
      </c>
      <c r="P2755" s="22" t="s">
        <v>17415</v>
      </c>
      <c r="Q2755" s="22">
        <v>95317</v>
      </c>
      <c r="S2755" s="22" t="s">
        <v>18228</v>
      </c>
      <c r="X2755" s="26"/>
      <c r="Y2755" s="26"/>
    </row>
    <row r="2756" spans="1:25" ht="37.5" x14ac:dyDescent="0.25">
      <c r="A2756" s="21">
        <v>11021</v>
      </c>
      <c r="B2756" s="22" t="s">
        <v>15346</v>
      </c>
      <c r="C2756" s="22" t="s">
        <v>17799</v>
      </c>
      <c r="E2756" s="24">
        <v>2003</v>
      </c>
      <c r="F2756" s="22" t="s">
        <v>18229</v>
      </c>
      <c r="G2756" s="23" t="s">
        <v>18226</v>
      </c>
      <c r="H2756" s="25" t="s">
        <v>15373</v>
      </c>
      <c r="I2756" s="22" t="s">
        <v>15411</v>
      </c>
      <c r="J2756" s="22" t="s">
        <v>18227</v>
      </c>
      <c r="K2756" s="26">
        <f t="shared" si="42"/>
        <v>500</v>
      </c>
      <c r="L2756" s="26">
        <v>500</v>
      </c>
      <c r="O2756" s="22" t="s">
        <v>17803</v>
      </c>
      <c r="P2756" s="22" t="s">
        <v>17415</v>
      </c>
      <c r="Q2756" s="22">
        <v>95317</v>
      </c>
      <c r="S2756" s="22" t="s">
        <v>18228</v>
      </c>
      <c r="X2756" s="26"/>
      <c r="Y2756" s="26"/>
    </row>
    <row r="2757" spans="1:25" ht="25" x14ac:dyDescent="0.25">
      <c r="A2757" s="21">
        <v>11022</v>
      </c>
      <c r="B2757" s="22" t="s">
        <v>15346</v>
      </c>
      <c r="C2757" s="22" t="s">
        <v>18230</v>
      </c>
      <c r="E2757" s="24">
        <v>2003</v>
      </c>
      <c r="F2757" s="22" t="s">
        <v>18231</v>
      </c>
      <c r="G2757" s="23" t="s">
        <v>18232</v>
      </c>
      <c r="H2757" s="25" t="s">
        <v>15373</v>
      </c>
      <c r="I2757" s="22" t="s">
        <v>15374</v>
      </c>
      <c r="J2757" s="22" t="s">
        <v>9707</v>
      </c>
      <c r="K2757" s="26">
        <f>L2757+M2757*(2/3)+N2757*(2/3)</f>
        <v>648</v>
      </c>
      <c r="M2757" s="26">
        <v>972</v>
      </c>
      <c r="O2757" s="22" t="s">
        <v>18233</v>
      </c>
      <c r="P2757" s="22" t="s">
        <v>18303</v>
      </c>
      <c r="Q2757" s="22">
        <v>93711</v>
      </c>
      <c r="X2757" s="26"/>
      <c r="Y2757" s="26"/>
    </row>
    <row r="2758" spans="1:25" ht="25" x14ac:dyDescent="0.25">
      <c r="A2758" s="21">
        <v>11023</v>
      </c>
      <c r="B2758" s="22" t="s">
        <v>15346</v>
      </c>
      <c r="C2758" s="22" t="s">
        <v>18234</v>
      </c>
      <c r="E2758" s="24">
        <v>2003</v>
      </c>
      <c r="F2758" s="22" t="s">
        <v>18235</v>
      </c>
      <c r="G2758" s="23" t="s">
        <v>18786</v>
      </c>
      <c r="H2758" s="25" t="s">
        <v>15373</v>
      </c>
      <c r="I2758" s="22" t="s">
        <v>15374</v>
      </c>
      <c r="J2758" s="22">
        <v>3508</v>
      </c>
      <c r="K2758" s="26">
        <f t="shared" si="42"/>
        <v>1000</v>
      </c>
      <c r="L2758" s="26">
        <v>1000</v>
      </c>
      <c r="O2758" s="22" t="s">
        <v>18236</v>
      </c>
      <c r="P2758" s="22" t="s">
        <v>18237</v>
      </c>
      <c r="Q2758" s="22">
        <v>93250</v>
      </c>
      <c r="X2758" s="26"/>
      <c r="Y2758" s="26"/>
    </row>
    <row r="2759" spans="1:25" ht="25" x14ac:dyDescent="0.25">
      <c r="A2759" s="21">
        <v>11024</v>
      </c>
      <c r="B2759" s="22" t="s">
        <v>15346</v>
      </c>
      <c r="C2759" s="22" t="s">
        <v>18234</v>
      </c>
      <c r="E2759" s="24">
        <v>2003</v>
      </c>
      <c r="F2759" s="22" t="s">
        <v>18238</v>
      </c>
      <c r="G2759" s="23" t="s">
        <v>18786</v>
      </c>
      <c r="H2759" s="25" t="s">
        <v>15373</v>
      </c>
      <c r="I2759" s="22" t="s">
        <v>15374</v>
      </c>
      <c r="J2759" s="22">
        <v>3508</v>
      </c>
      <c r="K2759" s="26">
        <f t="shared" si="42"/>
        <v>1000</v>
      </c>
      <c r="L2759" s="26">
        <v>1000</v>
      </c>
      <c r="O2759" s="22" t="s">
        <v>18236</v>
      </c>
      <c r="P2759" s="22" t="s">
        <v>18237</v>
      </c>
      <c r="Q2759" s="22">
        <v>93250</v>
      </c>
      <c r="X2759" s="26"/>
      <c r="Y2759" s="26"/>
    </row>
    <row r="2760" spans="1:25" ht="25" x14ac:dyDescent="0.25">
      <c r="A2760" s="21">
        <v>11025</v>
      </c>
      <c r="B2760" s="22" t="s">
        <v>15346</v>
      </c>
      <c r="C2760" s="22" t="s">
        <v>18239</v>
      </c>
      <c r="E2760" s="24">
        <v>2003</v>
      </c>
      <c r="F2760" s="22" t="s">
        <v>18240</v>
      </c>
      <c r="G2760" s="23" t="s">
        <v>18241</v>
      </c>
      <c r="H2760" s="25" t="s">
        <v>15373</v>
      </c>
      <c r="I2760" s="22" t="s">
        <v>15382</v>
      </c>
      <c r="J2760" s="22" t="s">
        <v>16450</v>
      </c>
      <c r="K2760" s="26">
        <f>L2760+M2760*(2/3)+N2760*(2/3)</f>
        <v>993.33333333333326</v>
      </c>
      <c r="M2760" s="26">
        <v>1490</v>
      </c>
      <c r="O2760" s="22" t="s">
        <v>18242</v>
      </c>
      <c r="P2760" s="22" t="s">
        <v>18456</v>
      </c>
      <c r="Q2760" s="22">
        <v>95376</v>
      </c>
      <c r="X2760" s="26"/>
      <c r="Y2760" s="26"/>
    </row>
    <row r="2761" spans="1:25" ht="25" x14ac:dyDescent="0.25">
      <c r="A2761" s="21">
        <v>11026</v>
      </c>
      <c r="B2761" s="22" t="s">
        <v>15346</v>
      </c>
      <c r="C2761" s="22" t="s">
        <v>18243</v>
      </c>
      <c r="E2761" s="24">
        <v>2003</v>
      </c>
      <c r="F2761" s="22" t="s">
        <v>18244</v>
      </c>
      <c r="G2761" s="23" t="s">
        <v>18245</v>
      </c>
      <c r="H2761" s="25" t="s">
        <v>15373</v>
      </c>
      <c r="I2761" s="22" t="s">
        <v>15411</v>
      </c>
      <c r="J2761" s="22" t="s">
        <v>12732</v>
      </c>
      <c r="K2761" s="26">
        <f>L2761+M2761*(2/3)+N2761*(2/3)</f>
        <v>303.33333333333331</v>
      </c>
      <c r="M2761" s="26">
        <v>455</v>
      </c>
      <c r="O2761" s="22" t="s">
        <v>18246</v>
      </c>
      <c r="P2761" s="22" t="s">
        <v>18153</v>
      </c>
      <c r="Q2761" s="22">
        <v>95336</v>
      </c>
      <c r="X2761" s="26"/>
      <c r="Y2761" s="26"/>
    </row>
    <row r="2762" spans="1:25" ht="25" x14ac:dyDescent="0.25">
      <c r="A2762" s="21">
        <v>3000</v>
      </c>
      <c r="B2762" s="22" t="s">
        <v>15338</v>
      </c>
      <c r="C2762" s="22" t="s">
        <v>6555</v>
      </c>
      <c r="F2762" s="22">
        <v>890500</v>
      </c>
      <c r="G2762" s="23" t="s">
        <v>6556</v>
      </c>
      <c r="H2762" s="25" t="s">
        <v>15373</v>
      </c>
      <c r="I2762" s="22" t="s">
        <v>15382</v>
      </c>
      <c r="J2762" s="22" t="s">
        <v>16831</v>
      </c>
      <c r="K2762" s="26">
        <f t="shared" ref="K2762:K2825" si="43">L2762+M2762*(2/3)+N2762*(2/3)</f>
        <v>450</v>
      </c>
      <c r="L2762" s="26">
        <v>450</v>
      </c>
      <c r="O2762" s="22" t="s">
        <v>6557</v>
      </c>
      <c r="P2762" s="22" t="s">
        <v>6558</v>
      </c>
      <c r="Q2762" s="22">
        <v>92101</v>
      </c>
      <c r="S2762" s="22" t="s">
        <v>6559</v>
      </c>
      <c r="X2762" s="26"/>
      <c r="Y2762" s="26"/>
    </row>
    <row r="2763" spans="1:25" ht="37.5" x14ac:dyDescent="0.25">
      <c r="A2763" s="21">
        <v>3001</v>
      </c>
      <c r="B2763" s="22" t="s">
        <v>15338</v>
      </c>
      <c r="C2763" s="22" t="s">
        <v>6560</v>
      </c>
      <c r="F2763" s="22">
        <v>972381</v>
      </c>
      <c r="G2763" s="23" t="s">
        <v>6561</v>
      </c>
      <c r="H2763" s="25" t="s">
        <v>15373</v>
      </c>
      <c r="I2763" s="22" t="s">
        <v>15374</v>
      </c>
      <c r="J2763" s="22" t="s">
        <v>16311</v>
      </c>
      <c r="K2763" s="26">
        <f t="shared" si="43"/>
        <v>400</v>
      </c>
      <c r="L2763" s="26">
        <v>400</v>
      </c>
      <c r="O2763" s="22" t="s">
        <v>6562</v>
      </c>
      <c r="P2763" s="22" t="s">
        <v>6558</v>
      </c>
      <c r="Q2763" s="22">
        <v>92101</v>
      </c>
      <c r="X2763" s="26"/>
      <c r="Y2763" s="26"/>
    </row>
    <row r="2764" spans="1:25" ht="50" x14ac:dyDescent="0.25">
      <c r="A2764" s="21">
        <v>3002</v>
      </c>
      <c r="B2764" s="22" t="s">
        <v>15338</v>
      </c>
      <c r="C2764" s="22" t="s">
        <v>6563</v>
      </c>
      <c r="F2764" s="22">
        <v>950123</v>
      </c>
      <c r="G2764" s="23" t="s">
        <v>6564</v>
      </c>
      <c r="H2764" s="25" t="s">
        <v>15373</v>
      </c>
      <c r="I2764" s="22" t="s">
        <v>15411</v>
      </c>
      <c r="J2764" s="22" t="s">
        <v>15542</v>
      </c>
      <c r="K2764" s="26">
        <f t="shared" si="43"/>
        <v>616</v>
      </c>
      <c r="L2764" s="26">
        <v>616</v>
      </c>
      <c r="O2764" s="22" t="s">
        <v>6565</v>
      </c>
      <c r="P2764" s="22" t="s">
        <v>6566</v>
      </c>
      <c r="Q2764" s="22">
        <v>92037</v>
      </c>
      <c r="S2764" s="22" t="s">
        <v>6567</v>
      </c>
      <c r="X2764" s="26"/>
      <c r="Y2764" s="26"/>
    </row>
    <row r="2765" spans="1:25" ht="25" x14ac:dyDescent="0.25">
      <c r="A2765" s="21">
        <v>3003</v>
      </c>
      <c r="B2765" s="22" t="s">
        <v>15338</v>
      </c>
      <c r="C2765" s="22" t="s">
        <v>6563</v>
      </c>
      <c r="F2765" s="22">
        <v>961011</v>
      </c>
      <c r="G2765" s="23" t="s">
        <v>6568</v>
      </c>
      <c r="H2765" s="25" t="s">
        <v>15373</v>
      </c>
      <c r="I2765" s="22" t="s">
        <v>15411</v>
      </c>
      <c r="J2765" s="22" t="s">
        <v>15412</v>
      </c>
      <c r="K2765" s="26">
        <f t="shared" si="43"/>
        <v>616</v>
      </c>
      <c r="L2765" s="26">
        <v>616</v>
      </c>
      <c r="O2765" s="22" t="s">
        <v>6565</v>
      </c>
      <c r="P2765" s="22" t="s">
        <v>6566</v>
      </c>
      <c r="Q2765" s="22">
        <v>92037</v>
      </c>
      <c r="S2765" s="22" t="s">
        <v>6567</v>
      </c>
      <c r="X2765" s="26"/>
      <c r="Y2765" s="26"/>
    </row>
    <row r="2766" spans="1:25" ht="25" x14ac:dyDescent="0.25">
      <c r="A2766" s="21">
        <v>3004</v>
      </c>
      <c r="B2766" s="22" t="s">
        <v>15338</v>
      </c>
      <c r="C2766" s="22" t="s">
        <v>6563</v>
      </c>
      <c r="F2766" s="22">
        <v>961012</v>
      </c>
      <c r="G2766" s="23" t="s">
        <v>6569</v>
      </c>
      <c r="H2766" s="25" t="s">
        <v>15373</v>
      </c>
      <c r="I2766" s="22" t="s">
        <v>15411</v>
      </c>
      <c r="J2766" s="22" t="s">
        <v>15412</v>
      </c>
      <c r="K2766" s="26">
        <f t="shared" si="43"/>
        <v>616</v>
      </c>
      <c r="L2766" s="26">
        <v>616</v>
      </c>
      <c r="O2766" s="22" t="s">
        <v>6565</v>
      </c>
      <c r="P2766" s="22" t="s">
        <v>6566</v>
      </c>
      <c r="Q2766" s="22">
        <v>92037</v>
      </c>
      <c r="S2766" s="22" t="s">
        <v>6567</v>
      </c>
      <c r="X2766" s="26"/>
      <c r="Y2766" s="26"/>
    </row>
    <row r="2767" spans="1:25" ht="25" x14ac:dyDescent="0.25">
      <c r="A2767" s="21">
        <v>3005</v>
      </c>
      <c r="B2767" s="22" t="s">
        <v>15338</v>
      </c>
      <c r="C2767" s="22" t="s">
        <v>6570</v>
      </c>
      <c r="F2767" s="22">
        <v>974698</v>
      </c>
      <c r="G2767" s="23" t="s">
        <v>6571</v>
      </c>
      <c r="H2767" s="25" t="s">
        <v>15373</v>
      </c>
      <c r="I2767" s="22" t="s">
        <v>15382</v>
      </c>
      <c r="J2767" s="22" t="s">
        <v>16784</v>
      </c>
      <c r="K2767" s="26">
        <f t="shared" si="43"/>
        <v>500</v>
      </c>
      <c r="L2767" s="26">
        <v>500</v>
      </c>
      <c r="O2767" s="22" t="s">
        <v>5326</v>
      </c>
      <c r="P2767" s="22" t="s">
        <v>6558</v>
      </c>
      <c r="Q2767" s="22">
        <v>92101</v>
      </c>
      <c r="X2767" s="26"/>
      <c r="Y2767" s="26"/>
    </row>
    <row r="2768" spans="1:25" ht="37.5" x14ac:dyDescent="0.25">
      <c r="A2768" s="21">
        <v>3006</v>
      </c>
      <c r="B2768" s="22" t="s">
        <v>15338</v>
      </c>
      <c r="C2768" s="22" t="s">
        <v>5327</v>
      </c>
      <c r="F2768" s="22">
        <v>972043</v>
      </c>
      <c r="G2768" s="23" t="s">
        <v>5328</v>
      </c>
      <c r="H2768" s="25" t="s">
        <v>15373</v>
      </c>
      <c r="I2768" s="22" t="s">
        <v>15411</v>
      </c>
      <c r="J2768" s="22" t="s">
        <v>5329</v>
      </c>
      <c r="K2768" s="26">
        <f t="shared" si="43"/>
        <v>540</v>
      </c>
      <c r="L2768" s="26">
        <v>540</v>
      </c>
      <c r="O2768" s="22" t="s">
        <v>5330</v>
      </c>
      <c r="P2768" s="22" t="s">
        <v>6558</v>
      </c>
      <c r="Q2768" s="22">
        <v>92121</v>
      </c>
      <c r="X2768" s="26"/>
      <c r="Y2768" s="26"/>
    </row>
    <row r="2769" spans="1:25" ht="25" x14ac:dyDescent="0.25">
      <c r="A2769" s="21">
        <v>3007</v>
      </c>
      <c r="B2769" s="22" t="s">
        <v>15338</v>
      </c>
      <c r="C2769" s="22" t="s">
        <v>5331</v>
      </c>
      <c r="F2769" s="22">
        <v>972870</v>
      </c>
      <c r="G2769" s="23" t="s">
        <v>5332</v>
      </c>
      <c r="H2769" s="25" t="s">
        <v>15373</v>
      </c>
      <c r="I2769" s="22" t="s">
        <v>15411</v>
      </c>
      <c r="J2769" s="22" t="s">
        <v>15068</v>
      </c>
      <c r="K2769" s="26">
        <f t="shared" si="43"/>
        <v>761</v>
      </c>
      <c r="L2769" s="26">
        <v>761</v>
      </c>
      <c r="O2769" s="22" t="s">
        <v>5333</v>
      </c>
      <c r="P2769" s="22" t="s">
        <v>6558</v>
      </c>
      <c r="Q2769" s="22">
        <v>92127</v>
      </c>
      <c r="X2769" s="26"/>
      <c r="Y2769" s="26"/>
    </row>
    <row r="2770" spans="1:25" ht="37.5" x14ac:dyDescent="0.25">
      <c r="A2770" s="21">
        <v>3008</v>
      </c>
      <c r="B2770" s="22" t="s">
        <v>15338</v>
      </c>
      <c r="C2770" s="22" t="s">
        <v>5334</v>
      </c>
      <c r="F2770" s="22">
        <v>890676</v>
      </c>
      <c r="G2770" s="23" t="s">
        <v>5335</v>
      </c>
      <c r="H2770" s="25" t="s">
        <v>15373</v>
      </c>
      <c r="I2770" s="22" t="s">
        <v>15374</v>
      </c>
      <c r="J2770" s="22" t="s">
        <v>16869</v>
      </c>
      <c r="K2770" s="26">
        <f t="shared" si="43"/>
        <v>545</v>
      </c>
      <c r="L2770" s="26">
        <v>545</v>
      </c>
      <c r="O2770" s="22" t="s">
        <v>5336</v>
      </c>
      <c r="P2770" s="22" t="s">
        <v>6558</v>
      </c>
      <c r="Q2770" s="22">
        <v>92120</v>
      </c>
      <c r="S2770" s="22" t="s">
        <v>5337</v>
      </c>
      <c r="X2770" s="26"/>
      <c r="Y2770" s="26"/>
    </row>
    <row r="2771" spans="1:25" ht="37.5" x14ac:dyDescent="0.25">
      <c r="A2771" s="21">
        <v>3009</v>
      </c>
      <c r="B2771" s="22" t="s">
        <v>15338</v>
      </c>
      <c r="C2771" s="22" t="s">
        <v>5334</v>
      </c>
      <c r="F2771" s="22">
        <v>860203</v>
      </c>
      <c r="G2771" s="23" t="s">
        <v>5338</v>
      </c>
      <c r="H2771" s="25" t="s">
        <v>15373</v>
      </c>
      <c r="I2771" s="22" t="s">
        <v>15411</v>
      </c>
      <c r="J2771" s="22" t="s">
        <v>14388</v>
      </c>
      <c r="K2771" s="26">
        <f t="shared" si="43"/>
        <v>588</v>
      </c>
      <c r="L2771" s="26">
        <v>588</v>
      </c>
      <c r="O2771" s="22" t="s">
        <v>5339</v>
      </c>
      <c r="P2771" s="22" t="s">
        <v>6558</v>
      </c>
      <c r="Q2771" s="22">
        <v>92120</v>
      </c>
      <c r="S2771" s="22" t="s">
        <v>5340</v>
      </c>
      <c r="X2771" s="26"/>
      <c r="Y2771" s="26"/>
    </row>
    <row r="2772" spans="1:25" ht="37.5" x14ac:dyDescent="0.25">
      <c r="A2772" s="21">
        <v>3010</v>
      </c>
      <c r="B2772" s="22" t="s">
        <v>15338</v>
      </c>
      <c r="C2772" s="22" t="s">
        <v>5341</v>
      </c>
      <c r="F2772" s="22">
        <v>971528</v>
      </c>
      <c r="G2772" s="23" t="s">
        <v>5342</v>
      </c>
      <c r="H2772" s="25" t="s">
        <v>15373</v>
      </c>
      <c r="I2772" s="22" t="s">
        <v>15382</v>
      </c>
      <c r="J2772" s="22" t="s">
        <v>14983</v>
      </c>
      <c r="K2772" s="26">
        <f t="shared" si="43"/>
        <v>445</v>
      </c>
      <c r="L2772" s="26">
        <v>445</v>
      </c>
      <c r="O2772" s="22" t="s">
        <v>5343</v>
      </c>
      <c r="P2772" s="22" t="s">
        <v>6558</v>
      </c>
      <c r="Q2772" s="22">
        <v>92121</v>
      </c>
      <c r="X2772" s="26"/>
      <c r="Y2772" s="26"/>
    </row>
    <row r="2773" spans="1:25" ht="50" x14ac:dyDescent="0.25">
      <c r="A2773" s="21">
        <v>3011</v>
      </c>
      <c r="B2773" s="22" t="s">
        <v>15338</v>
      </c>
      <c r="C2773" s="22" t="s">
        <v>5344</v>
      </c>
      <c r="F2773" s="22">
        <v>921375</v>
      </c>
      <c r="G2773" s="23" t="s">
        <v>5345</v>
      </c>
      <c r="H2773" s="25" t="s">
        <v>15373</v>
      </c>
      <c r="I2773" s="22" t="s">
        <v>15374</v>
      </c>
      <c r="J2773" s="22" t="s">
        <v>14117</v>
      </c>
      <c r="K2773" s="26">
        <f t="shared" si="43"/>
        <v>504</v>
      </c>
      <c r="L2773" s="26">
        <v>504</v>
      </c>
      <c r="O2773" s="22" t="s">
        <v>5346</v>
      </c>
      <c r="P2773" s="22" t="s">
        <v>6558</v>
      </c>
      <c r="Q2773" s="22">
        <v>92101</v>
      </c>
      <c r="S2773" s="22" t="s">
        <v>5347</v>
      </c>
      <c r="X2773" s="26"/>
      <c r="Y2773" s="26"/>
    </row>
    <row r="2774" spans="1:25" ht="37.5" x14ac:dyDescent="0.25">
      <c r="A2774" s="21">
        <v>3012</v>
      </c>
      <c r="B2774" s="22" t="s">
        <v>15338</v>
      </c>
      <c r="C2774" s="22" t="s">
        <v>5348</v>
      </c>
      <c r="F2774" s="22">
        <v>973610</v>
      </c>
      <c r="G2774" s="23" t="s">
        <v>5349</v>
      </c>
      <c r="H2774" s="25" t="s">
        <v>15373</v>
      </c>
      <c r="I2774" s="22" t="s">
        <v>15411</v>
      </c>
      <c r="J2774" s="22" t="s">
        <v>16884</v>
      </c>
      <c r="K2774" s="26">
        <f t="shared" si="43"/>
        <v>488</v>
      </c>
      <c r="L2774" s="26">
        <v>488</v>
      </c>
      <c r="O2774" s="22" t="s">
        <v>6565</v>
      </c>
      <c r="P2774" s="22" t="s">
        <v>6558</v>
      </c>
      <c r="Q2774" s="22">
        <v>92131</v>
      </c>
      <c r="X2774" s="26"/>
      <c r="Y2774" s="26"/>
    </row>
    <row r="2775" spans="1:25" ht="25" x14ac:dyDescent="0.25">
      <c r="A2775" s="21">
        <v>3013</v>
      </c>
      <c r="B2775" s="22" t="s">
        <v>15338</v>
      </c>
      <c r="C2775" s="22" t="s">
        <v>6672</v>
      </c>
      <c r="F2775" s="22">
        <v>960071</v>
      </c>
      <c r="G2775" s="23" t="s">
        <v>5350</v>
      </c>
      <c r="H2775" s="25" t="s">
        <v>15373</v>
      </c>
      <c r="I2775" s="22" t="s">
        <v>15374</v>
      </c>
      <c r="J2775" s="22" t="s">
        <v>12592</v>
      </c>
      <c r="K2775" s="26">
        <f t="shared" si="43"/>
        <v>1321</v>
      </c>
      <c r="L2775" s="26">
        <v>1321</v>
      </c>
      <c r="O2775" s="22" t="s">
        <v>5351</v>
      </c>
      <c r="P2775" s="22" t="s">
        <v>6558</v>
      </c>
      <c r="Q2775" s="22">
        <v>92117</v>
      </c>
      <c r="X2775" s="26"/>
      <c r="Y2775" s="26"/>
    </row>
    <row r="2776" spans="1:25" ht="50" x14ac:dyDescent="0.25">
      <c r="A2776" s="21">
        <v>3014</v>
      </c>
      <c r="B2776" s="22" t="s">
        <v>15338</v>
      </c>
      <c r="C2776" s="22" t="s">
        <v>5352</v>
      </c>
      <c r="F2776" s="22">
        <v>940182</v>
      </c>
      <c r="G2776" s="23" t="s">
        <v>5353</v>
      </c>
      <c r="H2776" s="25" t="s">
        <v>15373</v>
      </c>
      <c r="I2776" s="22" t="s">
        <v>15411</v>
      </c>
      <c r="J2776" s="22" t="s">
        <v>12508</v>
      </c>
      <c r="K2776" s="26">
        <f t="shared" si="43"/>
        <v>500</v>
      </c>
      <c r="L2776" s="26">
        <v>500</v>
      </c>
      <c r="O2776" s="22" t="s">
        <v>5354</v>
      </c>
      <c r="P2776" s="22" t="s">
        <v>6558</v>
      </c>
      <c r="Q2776" s="22">
        <v>92121</v>
      </c>
      <c r="S2776" s="22" t="s">
        <v>5355</v>
      </c>
      <c r="X2776" s="26"/>
      <c r="Y2776" s="26"/>
    </row>
    <row r="2777" spans="1:25" ht="37.5" x14ac:dyDescent="0.25">
      <c r="A2777" s="21">
        <v>3015</v>
      </c>
      <c r="B2777" s="22" t="s">
        <v>15338</v>
      </c>
      <c r="C2777" s="22" t="s">
        <v>5356</v>
      </c>
      <c r="F2777" s="22">
        <v>975427</v>
      </c>
      <c r="G2777" s="23" t="s">
        <v>5357</v>
      </c>
      <c r="H2777" s="25" t="s">
        <v>15373</v>
      </c>
      <c r="I2777" s="22" t="s">
        <v>15374</v>
      </c>
      <c r="J2777" s="22" t="s">
        <v>12592</v>
      </c>
      <c r="K2777" s="26">
        <f t="shared" si="43"/>
        <v>1412</v>
      </c>
      <c r="L2777" s="26">
        <v>1412</v>
      </c>
      <c r="O2777" s="22" t="s">
        <v>5358</v>
      </c>
      <c r="P2777" s="22" t="s">
        <v>6558</v>
      </c>
      <c r="Q2777" s="22">
        <v>92121</v>
      </c>
      <c r="X2777" s="26"/>
      <c r="Y2777" s="26"/>
    </row>
    <row r="2778" spans="1:25" ht="37.5" x14ac:dyDescent="0.25">
      <c r="A2778" s="21">
        <v>3016</v>
      </c>
      <c r="B2778" s="22" t="s">
        <v>15338</v>
      </c>
      <c r="C2778" s="22" t="s">
        <v>5356</v>
      </c>
      <c r="F2778" s="22">
        <v>975428</v>
      </c>
      <c r="G2778" s="23" t="s">
        <v>5359</v>
      </c>
      <c r="H2778" s="25" t="s">
        <v>15373</v>
      </c>
      <c r="I2778" s="22" t="s">
        <v>15374</v>
      </c>
      <c r="J2778" s="22" t="s">
        <v>12592</v>
      </c>
      <c r="K2778" s="26">
        <f t="shared" si="43"/>
        <v>1412</v>
      </c>
      <c r="L2778" s="26">
        <v>1412</v>
      </c>
      <c r="O2778" s="22" t="s">
        <v>5358</v>
      </c>
      <c r="P2778" s="22" t="s">
        <v>6558</v>
      </c>
      <c r="Q2778" s="22">
        <v>92121</v>
      </c>
      <c r="X2778" s="26"/>
      <c r="Y2778" s="26"/>
    </row>
    <row r="2779" spans="1:25" ht="37.5" x14ac:dyDescent="0.25">
      <c r="A2779" s="21">
        <v>3017</v>
      </c>
      <c r="B2779" s="22" t="s">
        <v>15338</v>
      </c>
      <c r="C2779" s="22" t="s">
        <v>5356</v>
      </c>
      <c r="F2779" s="22">
        <v>975429</v>
      </c>
      <c r="G2779" s="23" t="s">
        <v>5360</v>
      </c>
      <c r="H2779" s="25" t="s">
        <v>15373</v>
      </c>
      <c r="I2779" s="22" t="s">
        <v>15374</v>
      </c>
      <c r="J2779" s="22" t="s">
        <v>12592</v>
      </c>
      <c r="K2779" s="26">
        <f t="shared" si="43"/>
        <v>1412</v>
      </c>
      <c r="L2779" s="26">
        <v>1412</v>
      </c>
      <c r="O2779" s="22" t="s">
        <v>5358</v>
      </c>
      <c r="P2779" s="22" t="s">
        <v>6558</v>
      </c>
      <c r="Q2779" s="22">
        <v>92121</v>
      </c>
      <c r="X2779" s="26"/>
      <c r="Y2779" s="26"/>
    </row>
    <row r="2780" spans="1:25" ht="62.5" x14ac:dyDescent="0.25">
      <c r="A2780" s="21">
        <v>3018</v>
      </c>
      <c r="B2780" s="22" t="s">
        <v>15338</v>
      </c>
      <c r="C2780" s="22" t="s">
        <v>5361</v>
      </c>
      <c r="F2780" s="22">
        <v>890667</v>
      </c>
      <c r="G2780" s="23" t="s">
        <v>5362</v>
      </c>
      <c r="H2780" s="25" t="s">
        <v>15373</v>
      </c>
      <c r="I2780" s="22" t="s">
        <v>15374</v>
      </c>
      <c r="J2780" s="22">
        <v>3412</v>
      </c>
      <c r="K2780" s="26">
        <f t="shared" si="43"/>
        <v>600</v>
      </c>
      <c r="L2780" s="26">
        <v>600</v>
      </c>
      <c r="O2780" s="22" t="s">
        <v>5363</v>
      </c>
      <c r="P2780" s="22" t="s">
        <v>6558</v>
      </c>
      <c r="Q2780" s="22" t="s">
        <v>5364</v>
      </c>
      <c r="S2780" s="22" t="s">
        <v>5365</v>
      </c>
      <c r="X2780" s="26"/>
      <c r="Y2780" s="26"/>
    </row>
    <row r="2781" spans="1:25" ht="25" x14ac:dyDescent="0.25">
      <c r="A2781" s="21">
        <v>3019</v>
      </c>
      <c r="B2781" s="22" t="s">
        <v>15338</v>
      </c>
      <c r="C2781" s="22" t="s">
        <v>18350</v>
      </c>
      <c r="F2781" s="22">
        <v>850575</v>
      </c>
      <c r="G2781" s="23" t="s">
        <v>5366</v>
      </c>
      <c r="H2781" s="25" t="s">
        <v>15373</v>
      </c>
      <c r="I2781" s="22" t="s">
        <v>15374</v>
      </c>
      <c r="J2781" s="22" t="s">
        <v>5367</v>
      </c>
      <c r="K2781" s="26">
        <f t="shared" si="43"/>
        <v>488</v>
      </c>
      <c r="L2781" s="26">
        <v>488</v>
      </c>
      <c r="O2781" s="22" t="s">
        <v>5368</v>
      </c>
      <c r="P2781" s="22" t="s">
        <v>6558</v>
      </c>
      <c r="Q2781" s="22">
        <v>92123</v>
      </c>
      <c r="S2781" s="22" t="s">
        <v>5369</v>
      </c>
      <c r="X2781" s="26"/>
      <c r="Y2781" s="26"/>
    </row>
    <row r="2782" spans="1:25" ht="37.5" x14ac:dyDescent="0.25">
      <c r="A2782" s="21">
        <v>3020</v>
      </c>
      <c r="B2782" s="22" t="s">
        <v>15338</v>
      </c>
      <c r="C2782" s="22" t="s">
        <v>5370</v>
      </c>
      <c r="F2782" s="22">
        <v>951120</v>
      </c>
      <c r="G2782" s="23" t="s">
        <v>5371</v>
      </c>
      <c r="H2782" s="25" t="s">
        <v>15373</v>
      </c>
      <c r="I2782" s="22" t="s">
        <v>15374</v>
      </c>
      <c r="J2782" s="22">
        <v>3516</v>
      </c>
      <c r="K2782" s="26">
        <f t="shared" si="43"/>
        <v>1312</v>
      </c>
      <c r="L2782" s="26">
        <v>1312</v>
      </c>
      <c r="O2782" s="22" t="s">
        <v>5372</v>
      </c>
      <c r="P2782" s="22" t="s">
        <v>6558</v>
      </c>
      <c r="Q2782" s="22">
        <v>92037</v>
      </c>
      <c r="X2782" s="26"/>
      <c r="Y2782" s="26"/>
    </row>
    <row r="2783" spans="1:25" ht="37.5" x14ac:dyDescent="0.25">
      <c r="A2783" s="21">
        <v>3021</v>
      </c>
      <c r="B2783" s="22" t="s">
        <v>15338</v>
      </c>
      <c r="C2783" s="22" t="s">
        <v>5370</v>
      </c>
      <c r="F2783" s="22">
        <v>951121</v>
      </c>
      <c r="G2783" s="23" t="s">
        <v>5373</v>
      </c>
      <c r="H2783" s="25" t="s">
        <v>15373</v>
      </c>
      <c r="I2783" s="22" t="s">
        <v>15374</v>
      </c>
      <c r="J2783" s="22">
        <v>3516</v>
      </c>
      <c r="K2783" s="26">
        <f t="shared" si="43"/>
        <v>1312</v>
      </c>
      <c r="L2783" s="26">
        <v>1312</v>
      </c>
      <c r="O2783" s="22" t="s">
        <v>5372</v>
      </c>
      <c r="P2783" s="22" t="s">
        <v>6558</v>
      </c>
      <c r="Q2783" s="22">
        <v>92037</v>
      </c>
      <c r="X2783" s="26"/>
      <c r="Y2783" s="26"/>
    </row>
    <row r="2784" spans="1:25" ht="25" x14ac:dyDescent="0.25">
      <c r="A2784" s="21">
        <v>3022</v>
      </c>
      <c r="B2784" s="22" t="s">
        <v>15338</v>
      </c>
      <c r="C2784" s="22" t="s">
        <v>5374</v>
      </c>
      <c r="F2784" s="22">
        <v>971776</v>
      </c>
      <c r="G2784" s="23" t="s">
        <v>5375</v>
      </c>
      <c r="H2784" s="25" t="s">
        <v>15373</v>
      </c>
      <c r="I2784" s="22" t="s">
        <v>15411</v>
      </c>
      <c r="J2784" s="22" t="s">
        <v>5376</v>
      </c>
      <c r="K2784" s="26">
        <f t="shared" si="43"/>
        <v>390</v>
      </c>
      <c r="L2784" s="26">
        <v>390</v>
      </c>
      <c r="O2784" s="22" t="s">
        <v>5377</v>
      </c>
      <c r="P2784" s="22" t="s">
        <v>6558</v>
      </c>
      <c r="Q2784" s="22">
        <v>92121</v>
      </c>
      <c r="X2784" s="26"/>
      <c r="Y2784" s="26"/>
    </row>
    <row r="2785" spans="1:25" ht="37.5" x14ac:dyDescent="0.25">
      <c r="A2785" s="21">
        <v>3023</v>
      </c>
      <c r="B2785" s="22" t="s">
        <v>15338</v>
      </c>
      <c r="C2785" s="22" t="s">
        <v>5378</v>
      </c>
      <c r="F2785" s="22">
        <v>961576</v>
      </c>
      <c r="G2785" s="23" t="s">
        <v>5379</v>
      </c>
      <c r="H2785" s="25" t="s">
        <v>15373</v>
      </c>
      <c r="I2785" s="22" t="s">
        <v>15374</v>
      </c>
      <c r="J2785" s="22" t="s">
        <v>10435</v>
      </c>
      <c r="K2785" s="26">
        <f t="shared" si="43"/>
        <v>320</v>
      </c>
      <c r="L2785" s="26">
        <v>320</v>
      </c>
      <c r="O2785" s="22" t="s">
        <v>5380</v>
      </c>
      <c r="P2785" s="22" t="s">
        <v>6558</v>
      </c>
      <c r="Q2785" s="22">
        <v>92121</v>
      </c>
      <c r="X2785" s="26"/>
      <c r="Y2785" s="26"/>
    </row>
    <row r="2786" spans="1:25" ht="37.5" x14ac:dyDescent="0.25">
      <c r="A2786" s="21">
        <v>3024</v>
      </c>
      <c r="B2786" s="22" t="s">
        <v>15338</v>
      </c>
      <c r="C2786" s="22" t="s">
        <v>5378</v>
      </c>
      <c r="F2786" s="22">
        <v>961575</v>
      </c>
      <c r="G2786" s="23" t="s">
        <v>5381</v>
      </c>
      <c r="H2786" s="25" t="s">
        <v>15373</v>
      </c>
      <c r="I2786" s="22" t="s">
        <v>15382</v>
      </c>
      <c r="J2786" s="22" t="s">
        <v>5382</v>
      </c>
      <c r="K2786" s="26">
        <f t="shared" si="43"/>
        <v>300</v>
      </c>
      <c r="L2786" s="26">
        <v>300</v>
      </c>
      <c r="O2786" s="22" t="s">
        <v>5380</v>
      </c>
      <c r="P2786" s="22" t="s">
        <v>6558</v>
      </c>
      <c r="Q2786" s="22">
        <v>92121</v>
      </c>
      <c r="X2786" s="26"/>
      <c r="Y2786" s="26"/>
    </row>
    <row r="2787" spans="1:25" ht="25" x14ac:dyDescent="0.25">
      <c r="A2787" s="21">
        <v>3025</v>
      </c>
      <c r="B2787" s="22" t="s">
        <v>15338</v>
      </c>
      <c r="C2787" s="22" t="s">
        <v>5383</v>
      </c>
      <c r="F2787" s="22">
        <v>974182</v>
      </c>
      <c r="G2787" s="23" t="s">
        <v>5384</v>
      </c>
      <c r="H2787" s="25" t="s">
        <v>15373</v>
      </c>
      <c r="I2787" s="22" t="s">
        <v>15382</v>
      </c>
      <c r="J2787" s="22" t="s">
        <v>5385</v>
      </c>
      <c r="K2787" s="26">
        <f t="shared" si="43"/>
        <v>445</v>
      </c>
      <c r="L2787" s="26">
        <v>445</v>
      </c>
      <c r="O2787" s="22" t="s">
        <v>5386</v>
      </c>
      <c r="P2787" s="22" t="s">
        <v>5387</v>
      </c>
      <c r="Q2787" s="22">
        <v>92083</v>
      </c>
      <c r="X2787" s="26"/>
      <c r="Y2787" s="26"/>
    </row>
    <row r="2788" spans="1:25" ht="75" x14ac:dyDescent="0.25">
      <c r="A2788" s="21">
        <v>3026</v>
      </c>
      <c r="B2788" s="22" t="s">
        <v>15338</v>
      </c>
      <c r="C2788" s="22" t="s">
        <v>5388</v>
      </c>
      <c r="F2788" s="22">
        <v>911139</v>
      </c>
      <c r="G2788" s="23" t="s">
        <v>5389</v>
      </c>
      <c r="H2788" s="25" t="s">
        <v>15373</v>
      </c>
      <c r="I2788" s="22" t="s">
        <v>15374</v>
      </c>
      <c r="J2788" s="22">
        <v>3512</v>
      </c>
      <c r="K2788" s="26">
        <f t="shared" si="43"/>
        <v>975</v>
      </c>
      <c r="L2788" s="26">
        <v>975</v>
      </c>
      <c r="O2788" s="22" t="s">
        <v>5390</v>
      </c>
      <c r="P2788" s="22" t="s">
        <v>6558</v>
      </c>
      <c r="Q2788" s="22">
        <v>92037</v>
      </c>
      <c r="S2788" s="22" t="s">
        <v>5391</v>
      </c>
      <c r="X2788" s="26"/>
      <c r="Y2788" s="26"/>
    </row>
    <row r="2789" spans="1:25" ht="50" x14ac:dyDescent="0.25">
      <c r="A2789" s="21">
        <v>3027</v>
      </c>
      <c r="B2789" s="22" t="s">
        <v>15338</v>
      </c>
      <c r="C2789" s="22" t="s">
        <v>5392</v>
      </c>
      <c r="F2789" s="22">
        <v>950406</v>
      </c>
      <c r="G2789" s="23" t="s">
        <v>5393</v>
      </c>
      <c r="H2789" s="25" t="s">
        <v>15373</v>
      </c>
      <c r="I2789" s="22" t="s">
        <v>15374</v>
      </c>
      <c r="J2789" s="22" t="s">
        <v>5394</v>
      </c>
      <c r="K2789" s="26">
        <f t="shared" si="43"/>
        <v>600</v>
      </c>
      <c r="L2789" s="26">
        <v>600</v>
      </c>
      <c r="O2789" s="22" t="s">
        <v>5395</v>
      </c>
      <c r="P2789" s="22" t="s">
        <v>5396</v>
      </c>
      <c r="Q2789" s="22" t="s">
        <v>5397</v>
      </c>
      <c r="S2789" s="22" t="s">
        <v>5398</v>
      </c>
      <c r="X2789" s="26"/>
      <c r="Y2789" s="26"/>
    </row>
    <row r="2790" spans="1:25" ht="50" x14ac:dyDescent="0.25">
      <c r="A2790" s="21">
        <v>3028</v>
      </c>
      <c r="B2790" s="22" t="s">
        <v>15338</v>
      </c>
      <c r="C2790" s="22" t="s">
        <v>5392</v>
      </c>
      <c r="F2790" s="22">
        <v>950405</v>
      </c>
      <c r="G2790" s="23" t="s">
        <v>5399</v>
      </c>
      <c r="H2790" s="25" t="s">
        <v>15373</v>
      </c>
      <c r="I2790" s="22" t="s">
        <v>15411</v>
      </c>
      <c r="J2790" s="22" t="s">
        <v>16331</v>
      </c>
      <c r="K2790" s="26">
        <f t="shared" si="43"/>
        <v>600</v>
      </c>
      <c r="L2790" s="26">
        <v>600</v>
      </c>
      <c r="O2790" s="22" t="s">
        <v>5395</v>
      </c>
      <c r="P2790" s="22" t="s">
        <v>5396</v>
      </c>
      <c r="Q2790" s="22" t="s">
        <v>5397</v>
      </c>
      <c r="S2790" s="22" t="s">
        <v>5398</v>
      </c>
      <c r="X2790" s="26"/>
      <c r="Y2790" s="26"/>
    </row>
    <row r="2791" spans="1:25" ht="25" x14ac:dyDescent="0.25">
      <c r="A2791" s="21">
        <v>3029</v>
      </c>
      <c r="B2791" s="22" t="s">
        <v>15338</v>
      </c>
      <c r="C2791" s="22" t="s">
        <v>5400</v>
      </c>
      <c r="F2791" s="22">
        <v>860109</v>
      </c>
      <c r="G2791" s="23" t="s">
        <v>5401</v>
      </c>
      <c r="H2791" s="25" t="s">
        <v>15373</v>
      </c>
      <c r="I2791" s="22" t="s">
        <v>15374</v>
      </c>
      <c r="J2791" s="22" t="s">
        <v>15420</v>
      </c>
      <c r="K2791" s="26">
        <f t="shared" si="43"/>
        <v>1000</v>
      </c>
      <c r="L2791" s="26">
        <v>1000</v>
      </c>
      <c r="O2791" s="22" t="s">
        <v>5402</v>
      </c>
      <c r="P2791" s="22" t="s">
        <v>6558</v>
      </c>
      <c r="Q2791" s="22">
        <v>92179</v>
      </c>
      <c r="R2791" s="22" t="s">
        <v>5403</v>
      </c>
      <c r="S2791" s="22" t="s">
        <v>5404</v>
      </c>
      <c r="X2791" s="26"/>
      <c r="Y2791" s="26"/>
    </row>
    <row r="2792" spans="1:25" ht="25" x14ac:dyDescent="0.25">
      <c r="A2792" s="21">
        <v>3030</v>
      </c>
      <c r="B2792" s="22" t="s">
        <v>15338</v>
      </c>
      <c r="C2792" s="22" t="s">
        <v>5405</v>
      </c>
      <c r="F2792" s="22">
        <v>974547</v>
      </c>
      <c r="G2792" s="23" t="s">
        <v>5406</v>
      </c>
      <c r="H2792" s="25" t="s">
        <v>15373</v>
      </c>
      <c r="I2792" s="22" t="s">
        <v>15374</v>
      </c>
      <c r="J2792" s="22" t="s">
        <v>16869</v>
      </c>
      <c r="K2792" s="26">
        <f t="shared" si="43"/>
        <v>582</v>
      </c>
      <c r="L2792" s="26">
        <v>582</v>
      </c>
      <c r="O2792" s="22" t="s">
        <v>5407</v>
      </c>
      <c r="P2792" s="22" t="s">
        <v>5408</v>
      </c>
      <c r="Q2792" s="22">
        <v>91911</v>
      </c>
      <c r="X2792" s="26"/>
      <c r="Y2792" s="26"/>
    </row>
    <row r="2793" spans="1:25" ht="37.5" x14ac:dyDescent="0.25">
      <c r="A2793" s="21">
        <v>3031</v>
      </c>
      <c r="B2793" s="22" t="s">
        <v>15338</v>
      </c>
      <c r="C2793" s="22" t="s">
        <v>5409</v>
      </c>
      <c r="F2793" s="22">
        <v>971115</v>
      </c>
      <c r="G2793" s="23" t="s">
        <v>5410</v>
      </c>
      <c r="H2793" s="25" t="s">
        <v>15373</v>
      </c>
      <c r="I2793" s="22" t="s">
        <v>15411</v>
      </c>
      <c r="J2793" s="22" t="s">
        <v>16276</v>
      </c>
      <c r="K2793" s="26">
        <f t="shared" si="43"/>
        <v>350</v>
      </c>
      <c r="L2793" s="26">
        <v>350</v>
      </c>
      <c r="O2793" s="22" t="s">
        <v>5411</v>
      </c>
      <c r="P2793" s="22" t="s">
        <v>6558</v>
      </c>
      <c r="Q2793" s="22">
        <v>92128</v>
      </c>
      <c r="X2793" s="26"/>
      <c r="Y2793" s="26"/>
    </row>
    <row r="2794" spans="1:25" ht="37.5" x14ac:dyDescent="0.25">
      <c r="A2794" s="21">
        <v>3032</v>
      </c>
      <c r="B2794" s="22" t="s">
        <v>15338</v>
      </c>
      <c r="C2794" s="22" t="s">
        <v>5412</v>
      </c>
      <c r="F2794" s="22">
        <v>950163</v>
      </c>
      <c r="G2794" s="23" t="s">
        <v>5413</v>
      </c>
      <c r="H2794" s="25" t="s">
        <v>15373</v>
      </c>
      <c r="I2794" s="22" t="s">
        <v>15382</v>
      </c>
      <c r="J2794" s="22" t="s">
        <v>5414</v>
      </c>
      <c r="K2794" s="26">
        <f t="shared" si="43"/>
        <v>494</v>
      </c>
      <c r="L2794" s="26">
        <v>494</v>
      </c>
      <c r="O2794" s="22" t="s">
        <v>5415</v>
      </c>
      <c r="P2794" s="22" t="s">
        <v>6558</v>
      </c>
      <c r="Q2794" s="22">
        <v>92101</v>
      </c>
      <c r="S2794" s="22" t="s">
        <v>5416</v>
      </c>
      <c r="X2794" s="26"/>
      <c r="Y2794" s="26"/>
    </row>
    <row r="2795" spans="1:25" ht="37.5" x14ac:dyDescent="0.25">
      <c r="A2795" s="21">
        <v>3033</v>
      </c>
      <c r="B2795" s="22" t="s">
        <v>15338</v>
      </c>
      <c r="C2795" s="22" t="s">
        <v>5417</v>
      </c>
      <c r="F2795" s="22">
        <v>972231</v>
      </c>
      <c r="G2795" s="23" t="s">
        <v>5418</v>
      </c>
      <c r="H2795" s="25" t="s">
        <v>15373</v>
      </c>
      <c r="I2795" s="22" t="s">
        <v>15382</v>
      </c>
      <c r="J2795" s="22" t="s">
        <v>16784</v>
      </c>
      <c r="K2795" s="26">
        <f t="shared" si="43"/>
        <v>491</v>
      </c>
      <c r="L2795" s="26">
        <v>491</v>
      </c>
      <c r="O2795" s="22" t="s">
        <v>5419</v>
      </c>
      <c r="P2795" s="22" t="s">
        <v>5420</v>
      </c>
      <c r="Q2795" s="22">
        <v>92008</v>
      </c>
      <c r="X2795" s="26"/>
      <c r="Y2795" s="26"/>
    </row>
    <row r="2796" spans="1:25" ht="37.5" x14ac:dyDescent="0.25">
      <c r="A2796" s="21">
        <v>3034</v>
      </c>
      <c r="B2796" s="22" t="s">
        <v>15338</v>
      </c>
      <c r="C2796" s="22" t="s">
        <v>5417</v>
      </c>
      <c r="F2796" s="22">
        <v>973676</v>
      </c>
      <c r="G2796" s="23" t="s">
        <v>5421</v>
      </c>
      <c r="H2796" s="25" t="s">
        <v>15373</v>
      </c>
      <c r="I2796" s="22" t="s">
        <v>15382</v>
      </c>
      <c r="J2796" s="22" t="s">
        <v>5422</v>
      </c>
      <c r="K2796" s="26">
        <f t="shared" si="43"/>
        <v>305</v>
      </c>
      <c r="L2796" s="26">
        <v>305</v>
      </c>
      <c r="O2796" s="22" t="s">
        <v>5423</v>
      </c>
      <c r="P2796" s="22" t="s">
        <v>5420</v>
      </c>
      <c r="Q2796" s="22">
        <v>92008</v>
      </c>
      <c r="X2796" s="26"/>
      <c r="Y2796" s="26"/>
    </row>
    <row r="2797" spans="1:25" ht="62.5" x14ac:dyDescent="0.25">
      <c r="A2797" s="21">
        <v>3035</v>
      </c>
      <c r="B2797" s="22" t="s">
        <v>15338</v>
      </c>
      <c r="C2797" s="22" t="s">
        <v>5424</v>
      </c>
      <c r="F2797" s="22">
        <v>910824</v>
      </c>
      <c r="G2797" s="23" t="s">
        <v>5425</v>
      </c>
      <c r="H2797" s="25" t="s">
        <v>15373</v>
      </c>
      <c r="I2797" s="22" t="s">
        <v>15382</v>
      </c>
      <c r="J2797" s="22" t="s">
        <v>13380</v>
      </c>
      <c r="K2797" s="26">
        <f t="shared" si="43"/>
        <v>450</v>
      </c>
      <c r="L2797" s="26">
        <v>450</v>
      </c>
      <c r="O2797" s="22" t="s">
        <v>5426</v>
      </c>
      <c r="P2797" s="22" t="s">
        <v>5420</v>
      </c>
      <c r="Q2797" s="22">
        <v>92008</v>
      </c>
      <c r="S2797" s="22" t="s">
        <v>5427</v>
      </c>
      <c r="X2797" s="26"/>
      <c r="Y2797" s="26"/>
    </row>
    <row r="2798" spans="1:25" ht="25" x14ac:dyDescent="0.25">
      <c r="A2798" s="21">
        <v>3036</v>
      </c>
      <c r="B2798" s="22" t="s">
        <v>15338</v>
      </c>
      <c r="C2798" s="22" t="s">
        <v>5428</v>
      </c>
      <c r="F2798" s="22">
        <v>974368</v>
      </c>
      <c r="G2798" s="23" t="s">
        <v>5429</v>
      </c>
      <c r="H2798" s="25" t="s">
        <v>15373</v>
      </c>
      <c r="I2798" s="22" t="s">
        <v>15374</v>
      </c>
      <c r="J2798" s="22" t="s">
        <v>16561</v>
      </c>
      <c r="K2798" s="26">
        <f t="shared" si="43"/>
        <v>324</v>
      </c>
      <c r="L2798" s="26">
        <v>324</v>
      </c>
      <c r="O2798" s="22" t="s">
        <v>5430</v>
      </c>
      <c r="P2798" s="22" t="s">
        <v>6558</v>
      </c>
      <c r="Q2798" s="22">
        <v>92127</v>
      </c>
      <c r="X2798" s="26"/>
      <c r="Y2798" s="26"/>
    </row>
    <row r="2799" spans="1:25" ht="37.5" x14ac:dyDescent="0.25">
      <c r="A2799" s="21">
        <v>3037</v>
      </c>
      <c r="B2799" s="22" t="s">
        <v>15338</v>
      </c>
      <c r="C2799" s="22" t="s">
        <v>5431</v>
      </c>
      <c r="F2799" s="22">
        <v>975829</v>
      </c>
      <c r="G2799" s="23" t="s">
        <v>5432</v>
      </c>
      <c r="H2799" s="25" t="s">
        <v>15373</v>
      </c>
      <c r="I2799" s="22" t="s">
        <v>15411</v>
      </c>
      <c r="J2799" s="22" t="s">
        <v>5433</v>
      </c>
      <c r="K2799" s="26">
        <f t="shared" si="43"/>
        <v>358</v>
      </c>
      <c r="L2799" s="26">
        <v>358</v>
      </c>
      <c r="O2799" s="22" t="s">
        <v>5434</v>
      </c>
      <c r="P2799" s="22" t="s">
        <v>6558</v>
      </c>
      <c r="Q2799" s="22">
        <v>92121</v>
      </c>
      <c r="X2799" s="26"/>
      <c r="Y2799" s="26"/>
    </row>
    <row r="2800" spans="1:25" ht="25" x14ac:dyDescent="0.25">
      <c r="A2800" s="21">
        <v>3038</v>
      </c>
      <c r="B2800" s="22" t="s">
        <v>15338</v>
      </c>
      <c r="C2800" s="22" t="s">
        <v>5435</v>
      </c>
      <c r="F2800" s="22">
        <v>974707</v>
      </c>
      <c r="G2800" s="23" t="s">
        <v>5436</v>
      </c>
      <c r="H2800" s="25" t="s">
        <v>15373</v>
      </c>
      <c r="I2800" s="22" t="s">
        <v>15374</v>
      </c>
      <c r="J2800" s="22" t="s">
        <v>15701</v>
      </c>
      <c r="K2800" s="26">
        <f t="shared" si="43"/>
        <v>400</v>
      </c>
      <c r="L2800" s="26">
        <v>400</v>
      </c>
      <c r="O2800" s="22" t="s">
        <v>5437</v>
      </c>
      <c r="P2800" s="22" t="s">
        <v>6558</v>
      </c>
      <c r="Q2800" s="22">
        <v>92102</v>
      </c>
      <c r="X2800" s="26"/>
      <c r="Y2800" s="26"/>
    </row>
    <row r="2801" spans="1:25" ht="37.5" x14ac:dyDescent="0.25">
      <c r="A2801" s="21">
        <v>3039</v>
      </c>
      <c r="B2801" s="22" t="s">
        <v>15338</v>
      </c>
      <c r="C2801" s="22" t="s">
        <v>5438</v>
      </c>
      <c r="F2801" s="22">
        <v>972834</v>
      </c>
      <c r="G2801" s="23" t="s">
        <v>5439</v>
      </c>
      <c r="H2801" s="25" t="s">
        <v>15373</v>
      </c>
      <c r="I2801" s="22" t="s">
        <v>15411</v>
      </c>
      <c r="J2801" s="22" t="s">
        <v>5440</v>
      </c>
      <c r="K2801" s="26">
        <f t="shared" si="43"/>
        <v>761</v>
      </c>
      <c r="L2801" s="26">
        <v>761</v>
      </c>
      <c r="O2801" s="22" t="s">
        <v>5441</v>
      </c>
      <c r="P2801" s="22" t="s">
        <v>6558</v>
      </c>
      <c r="Q2801" s="22">
        <v>92117</v>
      </c>
      <c r="X2801" s="26"/>
      <c r="Y2801" s="26"/>
    </row>
    <row r="2802" spans="1:25" ht="25" x14ac:dyDescent="0.25">
      <c r="A2802" s="21">
        <v>3040</v>
      </c>
      <c r="B2802" s="22" t="s">
        <v>15338</v>
      </c>
      <c r="C2802" s="22" t="s">
        <v>5442</v>
      </c>
      <c r="F2802" s="22">
        <v>974326</v>
      </c>
      <c r="G2802" s="23" t="s">
        <v>5443</v>
      </c>
      <c r="H2802" s="25" t="s">
        <v>15373</v>
      </c>
      <c r="I2802" s="22" t="s">
        <v>15411</v>
      </c>
      <c r="J2802" s="22" t="s">
        <v>5444</v>
      </c>
      <c r="K2802" s="26">
        <f t="shared" si="43"/>
        <v>1424</v>
      </c>
      <c r="L2802" s="26">
        <v>1424</v>
      </c>
      <c r="O2802" s="22" t="s">
        <v>5445</v>
      </c>
      <c r="P2802" s="22" t="s">
        <v>6558</v>
      </c>
      <c r="Q2802" s="22">
        <v>92123</v>
      </c>
      <c r="X2802" s="26"/>
      <c r="Y2802" s="26"/>
    </row>
    <row r="2803" spans="1:25" ht="50" x14ac:dyDescent="0.25">
      <c r="A2803" s="21">
        <v>3041</v>
      </c>
      <c r="B2803" s="22" t="s">
        <v>15338</v>
      </c>
      <c r="C2803" s="22" t="s">
        <v>5446</v>
      </c>
      <c r="F2803" s="22">
        <v>971790</v>
      </c>
      <c r="G2803" s="23" t="s">
        <v>5447</v>
      </c>
      <c r="H2803" s="25" t="s">
        <v>15373</v>
      </c>
      <c r="I2803" s="22" t="s">
        <v>15411</v>
      </c>
      <c r="J2803" s="22" t="s">
        <v>15877</v>
      </c>
      <c r="K2803" s="26">
        <f t="shared" si="43"/>
        <v>400</v>
      </c>
      <c r="L2803" s="26">
        <v>400</v>
      </c>
      <c r="O2803" s="22" t="s">
        <v>5448</v>
      </c>
      <c r="P2803" s="22" t="s">
        <v>6558</v>
      </c>
      <c r="Q2803" s="22">
        <v>92121</v>
      </c>
      <c r="S2803" s="22" t="s">
        <v>5449</v>
      </c>
      <c r="X2803" s="26"/>
      <c r="Y2803" s="26"/>
    </row>
    <row r="2804" spans="1:25" ht="37.5" x14ac:dyDescent="0.25">
      <c r="A2804" s="21">
        <v>3042</v>
      </c>
      <c r="B2804" s="22" t="s">
        <v>15338</v>
      </c>
      <c r="C2804" s="22" t="s">
        <v>5450</v>
      </c>
      <c r="F2804" s="22">
        <v>970091</v>
      </c>
      <c r="G2804" s="23" t="s">
        <v>5451</v>
      </c>
      <c r="H2804" s="25" t="s">
        <v>15373</v>
      </c>
      <c r="I2804" s="22" t="s">
        <v>15374</v>
      </c>
      <c r="J2804" s="22" t="s">
        <v>17288</v>
      </c>
      <c r="K2804" s="26">
        <f t="shared" si="43"/>
        <v>300</v>
      </c>
      <c r="L2804" s="26">
        <v>300</v>
      </c>
      <c r="O2804" s="22" t="s">
        <v>5452</v>
      </c>
      <c r="P2804" s="22" t="s">
        <v>5408</v>
      </c>
      <c r="Q2804" s="22">
        <v>91915</v>
      </c>
      <c r="X2804" s="26"/>
      <c r="Y2804" s="26"/>
    </row>
    <row r="2805" spans="1:25" ht="25" x14ac:dyDescent="0.25">
      <c r="A2805" s="21">
        <v>3043</v>
      </c>
      <c r="B2805" s="22" t="s">
        <v>15338</v>
      </c>
      <c r="C2805" s="22" t="s">
        <v>5453</v>
      </c>
      <c r="F2805" s="22">
        <v>962077</v>
      </c>
      <c r="G2805" s="23" t="s">
        <v>5454</v>
      </c>
      <c r="H2805" s="25" t="s">
        <v>15373</v>
      </c>
      <c r="I2805" s="22" t="s">
        <v>15411</v>
      </c>
      <c r="J2805" s="22" t="s">
        <v>16306</v>
      </c>
      <c r="K2805" s="26">
        <f t="shared" si="43"/>
        <v>350</v>
      </c>
      <c r="L2805" s="26">
        <v>350</v>
      </c>
      <c r="O2805" s="22" t="s">
        <v>5455</v>
      </c>
      <c r="P2805" s="22" t="s">
        <v>5408</v>
      </c>
      <c r="Q2805" s="22">
        <v>91910</v>
      </c>
      <c r="X2805" s="26"/>
      <c r="Y2805" s="26"/>
    </row>
    <row r="2806" spans="1:25" ht="50" x14ac:dyDescent="0.25">
      <c r="A2806" s="21">
        <v>3044</v>
      </c>
      <c r="B2806" s="22" t="s">
        <v>15338</v>
      </c>
      <c r="C2806" s="22" t="s">
        <v>5456</v>
      </c>
      <c r="F2806" s="22">
        <v>920020</v>
      </c>
      <c r="G2806" s="23" t="s">
        <v>5457</v>
      </c>
      <c r="H2806" s="25" t="s">
        <v>15373</v>
      </c>
      <c r="I2806" s="22" t="s">
        <v>15374</v>
      </c>
      <c r="J2806" s="22" t="s">
        <v>15918</v>
      </c>
      <c r="K2806" s="26">
        <f t="shared" si="43"/>
        <v>866</v>
      </c>
      <c r="L2806" s="26">
        <v>866</v>
      </c>
      <c r="O2806" s="22" t="s">
        <v>5458</v>
      </c>
      <c r="P2806" s="22" t="s">
        <v>6558</v>
      </c>
      <c r="Q2806" s="22">
        <v>92101</v>
      </c>
      <c r="S2806" s="22" t="s">
        <v>5459</v>
      </c>
      <c r="X2806" s="26"/>
      <c r="Y2806" s="26"/>
    </row>
    <row r="2807" spans="1:25" ht="25" x14ac:dyDescent="0.25">
      <c r="A2807" s="21">
        <v>3045</v>
      </c>
      <c r="B2807" s="22" t="s">
        <v>15338</v>
      </c>
      <c r="C2807" s="22" t="s">
        <v>5460</v>
      </c>
      <c r="F2807" s="22">
        <v>975475</v>
      </c>
      <c r="G2807" s="23" t="s">
        <v>5461</v>
      </c>
      <c r="H2807" s="25" t="s">
        <v>15373</v>
      </c>
      <c r="I2807" s="22" t="s">
        <v>15374</v>
      </c>
      <c r="J2807" s="22" t="s">
        <v>5462</v>
      </c>
      <c r="K2807" s="26">
        <f t="shared" si="43"/>
        <v>1868</v>
      </c>
      <c r="L2807" s="26">
        <v>1868</v>
      </c>
      <c r="O2807" s="22" t="s">
        <v>5463</v>
      </c>
      <c r="P2807" s="22" t="s">
        <v>6558</v>
      </c>
      <c r="Q2807" s="22">
        <v>92121</v>
      </c>
      <c r="X2807" s="26"/>
      <c r="Y2807" s="26"/>
    </row>
    <row r="2808" spans="1:25" ht="25" x14ac:dyDescent="0.25">
      <c r="A2808" s="21">
        <v>3046</v>
      </c>
      <c r="B2808" s="22" t="s">
        <v>15338</v>
      </c>
      <c r="C2808" s="22" t="s">
        <v>5464</v>
      </c>
      <c r="F2808" s="22">
        <v>961817</v>
      </c>
      <c r="G2808" s="23" t="s">
        <v>5465</v>
      </c>
      <c r="H2808" s="25" t="s">
        <v>15373</v>
      </c>
      <c r="I2808" s="22" t="s">
        <v>15374</v>
      </c>
      <c r="J2808" s="22" t="s">
        <v>5466</v>
      </c>
      <c r="K2808" s="26">
        <f t="shared" si="43"/>
        <v>600</v>
      </c>
      <c r="L2808" s="26">
        <v>600</v>
      </c>
      <c r="O2808" s="22" t="s">
        <v>5467</v>
      </c>
      <c r="P2808" s="22" t="s">
        <v>6558</v>
      </c>
      <c r="Q2808" s="22">
        <v>92101</v>
      </c>
      <c r="X2808" s="26"/>
      <c r="Y2808" s="26"/>
    </row>
    <row r="2809" spans="1:25" ht="37.5" x14ac:dyDescent="0.25">
      <c r="A2809" s="21">
        <v>3047</v>
      </c>
      <c r="B2809" s="22" t="s">
        <v>15338</v>
      </c>
      <c r="C2809" s="22" t="s">
        <v>5468</v>
      </c>
      <c r="F2809" s="22">
        <v>961299</v>
      </c>
      <c r="G2809" s="23" t="s">
        <v>5469</v>
      </c>
      <c r="H2809" s="25" t="s">
        <v>15373</v>
      </c>
      <c r="I2809" s="22" t="s">
        <v>15374</v>
      </c>
      <c r="J2809" s="22">
        <v>3516</v>
      </c>
      <c r="K2809" s="26">
        <f t="shared" si="43"/>
        <v>1500</v>
      </c>
      <c r="L2809" s="26">
        <v>1500</v>
      </c>
      <c r="O2809" s="22" t="s">
        <v>5470</v>
      </c>
      <c r="P2809" s="22" t="s">
        <v>6558</v>
      </c>
      <c r="Q2809" s="22">
        <v>92123</v>
      </c>
      <c r="X2809" s="26"/>
      <c r="Y2809" s="26"/>
    </row>
    <row r="2810" spans="1:25" ht="37.5" x14ac:dyDescent="0.25">
      <c r="A2810" s="21">
        <v>3048</v>
      </c>
      <c r="B2810" s="22" t="s">
        <v>15338</v>
      </c>
      <c r="C2810" s="22" t="s">
        <v>5468</v>
      </c>
      <c r="F2810" s="22">
        <v>961300</v>
      </c>
      <c r="G2810" s="23" t="s">
        <v>5471</v>
      </c>
      <c r="H2810" s="25" t="s">
        <v>15373</v>
      </c>
      <c r="I2810" s="22" t="s">
        <v>15374</v>
      </c>
      <c r="J2810" s="22">
        <v>3516</v>
      </c>
      <c r="K2810" s="26">
        <f t="shared" si="43"/>
        <v>1500</v>
      </c>
      <c r="L2810" s="26">
        <v>1500</v>
      </c>
      <c r="O2810" s="22" t="s">
        <v>5470</v>
      </c>
      <c r="P2810" s="22" t="s">
        <v>6558</v>
      </c>
      <c r="Q2810" s="22">
        <v>92123</v>
      </c>
      <c r="X2810" s="26"/>
      <c r="Y2810" s="26"/>
    </row>
    <row r="2811" spans="1:25" ht="37.5" x14ac:dyDescent="0.25">
      <c r="A2811" s="21">
        <v>3049</v>
      </c>
      <c r="B2811" s="22" t="s">
        <v>15338</v>
      </c>
      <c r="C2811" s="22" t="s">
        <v>5468</v>
      </c>
      <c r="F2811" s="22">
        <v>961301</v>
      </c>
      <c r="G2811" s="23" t="s">
        <v>5472</v>
      </c>
      <c r="H2811" s="25" t="s">
        <v>15373</v>
      </c>
      <c r="I2811" s="22" t="s">
        <v>15374</v>
      </c>
      <c r="J2811" s="22">
        <v>3516</v>
      </c>
      <c r="K2811" s="26">
        <f t="shared" si="43"/>
        <v>1500</v>
      </c>
      <c r="L2811" s="26">
        <v>1500</v>
      </c>
      <c r="O2811" s="22" t="s">
        <v>5470</v>
      </c>
      <c r="P2811" s="22" t="s">
        <v>6558</v>
      </c>
      <c r="Q2811" s="22">
        <v>92123</v>
      </c>
      <c r="X2811" s="26"/>
      <c r="Y2811" s="26"/>
    </row>
    <row r="2812" spans="1:25" ht="37.5" x14ac:dyDescent="0.25">
      <c r="A2812" s="21">
        <v>3050</v>
      </c>
      <c r="B2812" s="22" t="s">
        <v>15338</v>
      </c>
      <c r="C2812" s="22" t="s">
        <v>5468</v>
      </c>
      <c r="F2812" s="22">
        <v>960590</v>
      </c>
      <c r="G2812" s="23" t="s">
        <v>5473</v>
      </c>
      <c r="H2812" s="25" t="s">
        <v>15373</v>
      </c>
      <c r="I2812" s="22" t="s">
        <v>15374</v>
      </c>
      <c r="J2812" s="22" t="s">
        <v>16377</v>
      </c>
      <c r="K2812" s="26">
        <f t="shared" si="43"/>
        <v>350</v>
      </c>
      <c r="L2812" s="26">
        <v>350</v>
      </c>
      <c r="O2812" s="22" t="s">
        <v>5470</v>
      </c>
      <c r="P2812" s="22" t="s">
        <v>6558</v>
      </c>
      <c r="Q2812" s="22">
        <v>92123</v>
      </c>
      <c r="X2812" s="26"/>
      <c r="Y2812" s="26"/>
    </row>
    <row r="2813" spans="1:25" ht="37.5" x14ac:dyDescent="0.25">
      <c r="A2813" s="21">
        <v>3051</v>
      </c>
      <c r="B2813" s="22" t="s">
        <v>15338</v>
      </c>
      <c r="C2813" s="22" t="s">
        <v>5474</v>
      </c>
      <c r="F2813" s="22">
        <v>971872</v>
      </c>
      <c r="G2813" s="23" t="s">
        <v>5475</v>
      </c>
      <c r="H2813" s="25" t="s">
        <v>15373</v>
      </c>
      <c r="I2813" s="22" t="s">
        <v>15374</v>
      </c>
      <c r="J2813" s="22" t="s">
        <v>15191</v>
      </c>
      <c r="K2813" s="26">
        <f t="shared" si="43"/>
        <v>946</v>
      </c>
      <c r="L2813" s="26">
        <v>946</v>
      </c>
      <c r="O2813" s="22" t="s">
        <v>5476</v>
      </c>
      <c r="P2813" s="22" t="s">
        <v>6558</v>
      </c>
      <c r="Q2813" s="22">
        <v>92104</v>
      </c>
      <c r="S2813" s="22" t="s">
        <v>5477</v>
      </c>
      <c r="X2813" s="26"/>
      <c r="Y2813" s="26"/>
    </row>
    <row r="2814" spans="1:25" ht="62.5" x14ac:dyDescent="0.25">
      <c r="A2814" s="21">
        <v>3052</v>
      </c>
      <c r="B2814" s="22" t="s">
        <v>15338</v>
      </c>
      <c r="C2814" s="22" t="s">
        <v>5478</v>
      </c>
      <c r="F2814" s="22">
        <v>900924</v>
      </c>
      <c r="G2814" s="23" t="s">
        <v>5479</v>
      </c>
      <c r="H2814" s="25" t="s">
        <v>15373</v>
      </c>
      <c r="I2814" s="22" t="s">
        <v>15382</v>
      </c>
      <c r="J2814" s="22" t="s">
        <v>16861</v>
      </c>
      <c r="K2814" s="26">
        <f t="shared" si="43"/>
        <v>400</v>
      </c>
      <c r="L2814" s="26">
        <v>400</v>
      </c>
      <c r="O2814" s="22" t="s">
        <v>5480</v>
      </c>
      <c r="P2814" s="22" t="s">
        <v>5481</v>
      </c>
      <c r="Q2814" s="22">
        <v>92118</v>
      </c>
      <c r="S2814" s="22" t="s">
        <v>5482</v>
      </c>
      <c r="X2814" s="26"/>
      <c r="Y2814" s="26"/>
    </row>
    <row r="2815" spans="1:25" ht="37.5" x14ac:dyDescent="0.25">
      <c r="A2815" s="21">
        <v>3053</v>
      </c>
      <c r="B2815" s="22" t="s">
        <v>15338</v>
      </c>
      <c r="C2815" s="22" t="s">
        <v>5483</v>
      </c>
      <c r="F2815" s="22">
        <v>971756</v>
      </c>
      <c r="G2815" s="23" t="s">
        <v>5484</v>
      </c>
      <c r="H2815" s="25" t="s">
        <v>15373</v>
      </c>
      <c r="I2815" s="22" t="s">
        <v>15374</v>
      </c>
      <c r="J2815" s="22" t="s">
        <v>16869</v>
      </c>
      <c r="K2815" s="26">
        <f t="shared" si="43"/>
        <v>600</v>
      </c>
      <c r="L2815" s="26">
        <v>600</v>
      </c>
      <c r="O2815" s="22" t="s">
        <v>5485</v>
      </c>
      <c r="P2815" s="22" t="s">
        <v>5486</v>
      </c>
      <c r="Q2815" s="22">
        <v>92021</v>
      </c>
      <c r="X2815" s="26"/>
      <c r="Y2815" s="26"/>
    </row>
    <row r="2816" spans="1:25" ht="37.5" x14ac:dyDescent="0.25">
      <c r="A2816" s="21">
        <v>3054</v>
      </c>
      <c r="B2816" s="22" t="s">
        <v>15338</v>
      </c>
      <c r="C2816" s="22" t="s">
        <v>5483</v>
      </c>
      <c r="F2816" s="22">
        <v>971757</v>
      </c>
      <c r="G2816" s="23" t="s">
        <v>5487</v>
      </c>
      <c r="H2816" s="25" t="s">
        <v>15373</v>
      </c>
      <c r="I2816" s="22" t="s">
        <v>15374</v>
      </c>
      <c r="J2816" s="22" t="s">
        <v>16869</v>
      </c>
      <c r="K2816" s="26">
        <f t="shared" si="43"/>
        <v>600</v>
      </c>
      <c r="L2816" s="26">
        <v>600</v>
      </c>
      <c r="O2816" s="22" t="s">
        <v>5485</v>
      </c>
      <c r="P2816" s="22" t="s">
        <v>5486</v>
      </c>
      <c r="Q2816" s="22">
        <v>92021</v>
      </c>
      <c r="X2816" s="26"/>
      <c r="Y2816" s="26"/>
    </row>
    <row r="2817" spans="1:25" ht="25" x14ac:dyDescent="0.25">
      <c r="A2817" s="21">
        <v>3055</v>
      </c>
      <c r="B2817" s="22" t="s">
        <v>15338</v>
      </c>
      <c r="C2817" s="22" t="s">
        <v>5488</v>
      </c>
      <c r="F2817" s="22">
        <v>973402</v>
      </c>
      <c r="G2817" s="23" t="s">
        <v>5489</v>
      </c>
      <c r="H2817" s="25" t="s">
        <v>15373</v>
      </c>
      <c r="I2817" s="22" t="s">
        <v>15374</v>
      </c>
      <c r="J2817" s="22">
        <v>3412</v>
      </c>
      <c r="K2817" s="26">
        <f t="shared" si="43"/>
        <v>582</v>
      </c>
      <c r="L2817" s="26">
        <v>582</v>
      </c>
      <c r="O2817" s="22" t="s">
        <v>5490</v>
      </c>
      <c r="P2817" s="22" t="s">
        <v>6558</v>
      </c>
      <c r="Q2817" s="22">
        <v>92105</v>
      </c>
      <c r="S2817" s="22" t="s">
        <v>5491</v>
      </c>
      <c r="X2817" s="26"/>
      <c r="Y2817" s="26"/>
    </row>
    <row r="2818" spans="1:25" ht="25" x14ac:dyDescent="0.25">
      <c r="A2818" s="21">
        <v>3056</v>
      </c>
      <c r="B2818" s="22" t="s">
        <v>15338</v>
      </c>
      <c r="C2818" s="22" t="s">
        <v>5488</v>
      </c>
      <c r="F2818" s="22">
        <v>973403</v>
      </c>
      <c r="G2818" s="23" t="s">
        <v>5492</v>
      </c>
      <c r="H2818" s="25" t="s">
        <v>15373</v>
      </c>
      <c r="I2818" s="22" t="s">
        <v>15374</v>
      </c>
      <c r="J2818" s="22">
        <v>3412</v>
      </c>
      <c r="K2818" s="26">
        <f t="shared" si="43"/>
        <v>582</v>
      </c>
      <c r="L2818" s="26">
        <v>582</v>
      </c>
      <c r="O2818" s="22" t="s">
        <v>5490</v>
      </c>
      <c r="P2818" s="22" t="s">
        <v>6558</v>
      </c>
      <c r="Q2818" s="22">
        <v>92105</v>
      </c>
      <c r="S2818" s="22" t="s">
        <v>5491</v>
      </c>
      <c r="X2818" s="26"/>
      <c r="Y2818" s="26"/>
    </row>
    <row r="2819" spans="1:25" ht="37.5" x14ac:dyDescent="0.25">
      <c r="A2819" s="21">
        <v>3057</v>
      </c>
      <c r="B2819" s="22" t="s">
        <v>15338</v>
      </c>
      <c r="C2819" s="22" t="s">
        <v>5488</v>
      </c>
      <c r="F2819" s="22">
        <v>973745</v>
      </c>
      <c r="G2819" s="23" t="s">
        <v>5493</v>
      </c>
      <c r="H2819" s="25" t="s">
        <v>15373</v>
      </c>
      <c r="I2819" s="22" t="s">
        <v>15374</v>
      </c>
      <c r="J2819" s="22">
        <v>3406</v>
      </c>
      <c r="K2819" s="26">
        <f t="shared" si="43"/>
        <v>382</v>
      </c>
      <c r="L2819" s="26">
        <v>382</v>
      </c>
      <c r="O2819" s="22" t="s">
        <v>5494</v>
      </c>
      <c r="P2819" s="22" t="s">
        <v>5387</v>
      </c>
      <c r="Q2819" s="22">
        <v>92083</v>
      </c>
      <c r="X2819" s="26"/>
      <c r="Y2819" s="26"/>
    </row>
    <row r="2820" spans="1:25" ht="37.5" x14ac:dyDescent="0.25">
      <c r="A2820" s="21">
        <v>3058</v>
      </c>
      <c r="B2820" s="22" t="s">
        <v>15338</v>
      </c>
      <c r="C2820" s="22" t="s">
        <v>5488</v>
      </c>
      <c r="F2820" s="22">
        <v>973746</v>
      </c>
      <c r="G2820" s="23" t="s">
        <v>5495</v>
      </c>
      <c r="H2820" s="25" t="s">
        <v>15373</v>
      </c>
      <c r="I2820" s="22" t="s">
        <v>15374</v>
      </c>
      <c r="J2820" s="22">
        <v>3406</v>
      </c>
      <c r="K2820" s="26">
        <f t="shared" si="43"/>
        <v>382</v>
      </c>
      <c r="L2820" s="26">
        <v>382</v>
      </c>
      <c r="O2820" s="22" t="s">
        <v>5494</v>
      </c>
      <c r="P2820" s="22" t="s">
        <v>5387</v>
      </c>
      <c r="Q2820" s="22">
        <v>92083</v>
      </c>
      <c r="X2820" s="26"/>
      <c r="Y2820" s="26"/>
    </row>
    <row r="2821" spans="1:25" ht="37.5" x14ac:dyDescent="0.25">
      <c r="A2821" s="21">
        <v>3059</v>
      </c>
      <c r="B2821" s="22" t="s">
        <v>15338</v>
      </c>
      <c r="C2821" s="22" t="s">
        <v>5488</v>
      </c>
      <c r="F2821" s="22">
        <v>973747</v>
      </c>
      <c r="G2821" s="23" t="s">
        <v>5496</v>
      </c>
      <c r="H2821" s="25" t="s">
        <v>15373</v>
      </c>
      <c r="I2821" s="22" t="s">
        <v>15374</v>
      </c>
      <c r="J2821" s="22">
        <v>3406</v>
      </c>
      <c r="K2821" s="26">
        <f t="shared" si="43"/>
        <v>382</v>
      </c>
      <c r="L2821" s="26">
        <v>382</v>
      </c>
      <c r="O2821" s="22" t="s">
        <v>5497</v>
      </c>
      <c r="P2821" s="22" t="s">
        <v>5498</v>
      </c>
      <c r="Q2821" s="22">
        <v>92057</v>
      </c>
      <c r="X2821" s="26"/>
      <c r="Y2821" s="26"/>
    </row>
    <row r="2822" spans="1:25" ht="37.5" x14ac:dyDescent="0.25">
      <c r="A2822" s="21">
        <v>3060</v>
      </c>
      <c r="B2822" s="22" t="s">
        <v>15338</v>
      </c>
      <c r="C2822" s="22" t="s">
        <v>5488</v>
      </c>
      <c r="F2822" s="22">
        <v>973748</v>
      </c>
      <c r="G2822" s="23" t="s">
        <v>5499</v>
      </c>
      <c r="H2822" s="25" t="s">
        <v>15373</v>
      </c>
      <c r="I2822" s="22" t="s">
        <v>15374</v>
      </c>
      <c r="J2822" s="22">
        <v>3406</v>
      </c>
      <c r="K2822" s="26">
        <f t="shared" si="43"/>
        <v>382</v>
      </c>
      <c r="L2822" s="26">
        <v>382</v>
      </c>
      <c r="O2822" s="22" t="s">
        <v>5497</v>
      </c>
      <c r="P2822" s="22" t="s">
        <v>5498</v>
      </c>
      <c r="Q2822" s="22">
        <v>92057</v>
      </c>
      <c r="X2822" s="26"/>
      <c r="Y2822" s="26"/>
    </row>
    <row r="2823" spans="1:25" ht="37.5" x14ac:dyDescent="0.25">
      <c r="A2823" s="21">
        <v>3061</v>
      </c>
      <c r="B2823" s="22" t="s">
        <v>15338</v>
      </c>
      <c r="C2823" s="22" t="s">
        <v>5488</v>
      </c>
      <c r="F2823" s="22">
        <v>860024</v>
      </c>
      <c r="G2823" s="23" t="s">
        <v>5500</v>
      </c>
      <c r="H2823" s="25" t="s">
        <v>15373</v>
      </c>
      <c r="I2823" s="22" t="s">
        <v>15374</v>
      </c>
      <c r="J2823" s="22" t="s">
        <v>16899</v>
      </c>
      <c r="K2823" s="26">
        <f t="shared" si="43"/>
        <v>370</v>
      </c>
      <c r="L2823" s="26">
        <v>370</v>
      </c>
      <c r="O2823" s="22" t="s">
        <v>5490</v>
      </c>
      <c r="P2823" s="22" t="s">
        <v>6558</v>
      </c>
      <c r="Q2823" s="22">
        <v>92105</v>
      </c>
      <c r="S2823" s="22" t="s">
        <v>5491</v>
      </c>
      <c r="X2823" s="26"/>
      <c r="Y2823" s="26"/>
    </row>
    <row r="2824" spans="1:25" ht="25" x14ac:dyDescent="0.25">
      <c r="A2824" s="21">
        <v>3062</v>
      </c>
      <c r="B2824" s="22" t="s">
        <v>15338</v>
      </c>
      <c r="C2824" s="22" t="s">
        <v>5488</v>
      </c>
      <c r="F2824" s="22">
        <v>973401</v>
      </c>
      <c r="G2824" s="23" t="s">
        <v>5501</v>
      </c>
      <c r="H2824" s="25" t="s">
        <v>15373</v>
      </c>
      <c r="I2824" s="22" t="s">
        <v>15374</v>
      </c>
      <c r="J2824" s="22">
        <v>3412</v>
      </c>
      <c r="K2824" s="26">
        <f t="shared" si="43"/>
        <v>354</v>
      </c>
      <c r="L2824" s="26">
        <v>354</v>
      </c>
      <c r="O2824" s="22" t="s">
        <v>5490</v>
      </c>
      <c r="P2824" s="22" t="s">
        <v>6558</v>
      </c>
      <c r="Q2824" s="22">
        <v>92105</v>
      </c>
      <c r="S2824" s="22" t="s">
        <v>5491</v>
      </c>
      <c r="X2824" s="26"/>
      <c r="Y2824" s="26"/>
    </row>
    <row r="2825" spans="1:25" ht="25" x14ac:dyDescent="0.25">
      <c r="A2825" s="21">
        <v>3063</v>
      </c>
      <c r="B2825" s="22" t="s">
        <v>15338</v>
      </c>
      <c r="C2825" s="22" t="s">
        <v>5488</v>
      </c>
      <c r="F2825" s="22">
        <v>973399</v>
      </c>
      <c r="G2825" s="23" t="s">
        <v>5502</v>
      </c>
      <c r="H2825" s="25" t="s">
        <v>15373</v>
      </c>
      <c r="I2825" s="22" t="s">
        <v>15374</v>
      </c>
      <c r="J2825" s="22">
        <v>3406</v>
      </c>
      <c r="K2825" s="26">
        <f t="shared" si="43"/>
        <v>337</v>
      </c>
      <c r="L2825" s="26">
        <v>337</v>
      </c>
      <c r="O2825" s="22" t="s">
        <v>5503</v>
      </c>
      <c r="P2825" s="22" t="s">
        <v>5408</v>
      </c>
      <c r="Q2825" s="22">
        <v>91911</v>
      </c>
      <c r="X2825" s="26"/>
      <c r="Y2825" s="26"/>
    </row>
    <row r="2826" spans="1:25" ht="25" x14ac:dyDescent="0.25">
      <c r="A2826" s="21">
        <v>3064</v>
      </c>
      <c r="B2826" s="22" t="s">
        <v>15338</v>
      </c>
      <c r="C2826" s="22" t="s">
        <v>5488</v>
      </c>
      <c r="F2826" s="22">
        <v>973400</v>
      </c>
      <c r="G2826" s="23" t="s">
        <v>5504</v>
      </c>
      <c r="H2826" s="25" t="s">
        <v>15373</v>
      </c>
      <c r="I2826" s="22" t="s">
        <v>15374</v>
      </c>
      <c r="J2826" s="22">
        <v>3406</v>
      </c>
      <c r="K2826" s="26">
        <f t="shared" ref="K2826:K2889" si="44">L2826+M2826*(2/3)+N2826*(2/3)</f>
        <v>337</v>
      </c>
      <c r="L2826" s="26">
        <v>337</v>
      </c>
      <c r="O2826" s="22" t="s">
        <v>5503</v>
      </c>
      <c r="P2826" s="22" t="s">
        <v>5408</v>
      </c>
      <c r="Q2826" s="22">
        <v>91911</v>
      </c>
      <c r="X2826" s="26"/>
      <c r="Y2826" s="26"/>
    </row>
    <row r="2827" spans="1:25" ht="25" x14ac:dyDescent="0.25">
      <c r="A2827" s="21">
        <v>3065</v>
      </c>
      <c r="B2827" s="22" t="s">
        <v>15338</v>
      </c>
      <c r="C2827" s="22" t="s">
        <v>5505</v>
      </c>
      <c r="F2827" s="22">
        <v>975661</v>
      </c>
      <c r="G2827" s="23" t="s">
        <v>5506</v>
      </c>
      <c r="H2827" s="25" t="s">
        <v>15373</v>
      </c>
      <c r="I2827" s="22" t="s">
        <v>15411</v>
      </c>
      <c r="J2827" s="22" t="s">
        <v>17491</v>
      </c>
      <c r="K2827" s="26">
        <f t="shared" si="44"/>
        <v>497</v>
      </c>
      <c r="L2827" s="26">
        <v>497</v>
      </c>
      <c r="O2827" s="22" t="s">
        <v>5507</v>
      </c>
      <c r="P2827" s="22" t="s">
        <v>6558</v>
      </c>
      <c r="Q2827" s="22">
        <v>92123</v>
      </c>
      <c r="X2827" s="26"/>
      <c r="Y2827" s="26"/>
    </row>
    <row r="2828" spans="1:25" ht="37.5" x14ac:dyDescent="0.25">
      <c r="A2828" s="21">
        <v>3066</v>
      </c>
      <c r="B2828" s="22" t="s">
        <v>15338</v>
      </c>
      <c r="C2828" s="22" t="s">
        <v>5508</v>
      </c>
      <c r="F2828" s="22">
        <v>970749</v>
      </c>
      <c r="G2828" s="23" t="s">
        <v>5509</v>
      </c>
      <c r="H2828" s="25" t="s">
        <v>15373</v>
      </c>
      <c r="I2828" s="22" t="s">
        <v>15411</v>
      </c>
      <c r="J2828" s="22" t="s">
        <v>14616</v>
      </c>
      <c r="K2828" s="26">
        <f t="shared" si="44"/>
        <v>900</v>
      </c>
      <c r="L2828" s="26">
        <v>900</v>
      </c>
      <c r="O2828" s="22" t="s">
        <v>5510</v>
      </c>
      <c r="P2828" s="22" t="s">
        <v>6558</v>
      </c>
      <c r="Q2828" s="22">
        <v>92127</v>
      </c>
      <c r="X2828" s="26"/>
      <c r="Y2828" s="26"/>
    </row>
    <row r="2829" spans="1:25" ht="37.5" x14ac:dyDescent="0.25">
      <c r="A2829" s="21">
        <v>3067</v>
      </c>
      <c r="B2829" s="22" t="s">
        <v>15338</v>
      </c>
      <c r="C2829" s="22" t="s">
        <v>5511</v>
      </c>
      <c r="F2829" s="22">
        <v>975292</v>
      </c>
      <c r="G2829" s="23" t="s">
        <v>5512</v>
      </c>
      <c r="H2829" s="25" t="s">
        <v>15373</v>
      </c>
      <c r="I2829" s="22" t="s">
        <v>15374</v>
      </c>
      <c r="J2829" s="22" t="s">
        <v>5513</v>
      </c>
      <c r="K2829" s="26">
        <f t="shared" si="44"/>
        <v>300</v>
      </c>
      <c r="L2829" s="26">
        <v>300</v>
      </c>
      <c r="O2829" s="22" t="s">
        <v>5514</v>
      </c>
      <c r="P2829" s="22" t="s">
        <v>6558</v>
      </c>
      <c r="Q2829" s="22">
        <v>92130</v>
      </c>
      <c r="X2829" s="26"/>
      <c r="Y2829" s="26"/>
    </row>
    <row r="2830" spans="1:25" ht="25" x14ac:dyDescent="0.25">
      <c r="A2830" s="21">
        <v>3068</v>
      </c>
      <c r="B2830" s="22" t="s">
        <v>15338</v>
      </c>
      <c r="C2830" s="22" t="s">
        <v>5515</v>
      </c>
      <c r="F2830" s="22">
        <v>890145</v>
      </c>
      <c r="G2830" s="23" t="s">
        <v>5516</v>
      </c>
      <c r="H2830" s="25" t="s">
        <v>15373</v>
      </c>
      <c r="I2830" s="22" t="s">
        <v>15374</v>
      </c>
      <c r="J2830" s="22">
        <v>3412</v>
      </c>
      <c r="K2830" s="26">
        <f t="shared" si="44"/>
        <v>500</v>
      </c>
      <c r="L2830" s="26">
        <v>500</v>
      </c>
      <c r="O2830" s="22" t="s">
        <v>5517</v>
      </c>
      <c r="P2830" s="22" t="s">
        <v>6558</v>
      </c>
      <c r="Q2830" s="22">
        <v>92121</v>
      </c>
      <c r="S2830" s="22" t="s">
        <v>5518</v>
      </c>
      <c r="X2830" s="26"/>
      <c r="Y2830" s="26"/>
    </row>
    <row r="2831" spans="1:25" ht="37.5" x14ac:dyDescent="0.25">
      <c r="A2831" s="21">
        <v>3069</v>
      </c>
      <c r="B2831" s="22" t="s">
        <v>15338</v>
      </c>
      <c r="C2831" s="22" t="s">
        <v>5519</v>
      </c>
      <c r="F2831" s="22">
        <v>975516</v>
      </c>
      <c r="G2831" s="23" t="s">
        <v>5520</v>
      </c>
      <c r="H2831" s="25" t="s">
        <v>15373</v>
      </c>
      <c r="I2831" s="22" t="s">
        <v>15411</v>
      </c>
      <c r="J2831" s="22" t="s">
        <v>16517</v>
      </c>
      <c r="K2831" s="26">
        <f t="shared" si="44"/>
        <v>319</v>
      </c>
      <c r="L2831" s="26">
        <v>319</v>
      </c>
      <c r="O2831" s="22" t="s">
        <v>5521</v>
      </c>
      <c r="P2831" s="22" t="s">
        <v>6558</v>
      </c>
      <c r="Q2831" s="22">
        <v>92121</v>
      </c>
      <c r="X2831" s="26"/>
      <c r="Y2831" s="26"/>
    </row>
    <row r="2832" spans="1:25" ht="37.5" x14ac:dyDescent="0.25">
      <c r="A2832" s="21">
        <v>3070</v>
      </c>
      <c r="B2832" s="22" t="s">
        <v>15338</v>
      </c>
      <c r="C2832" s="22" t="s">
        <v>5522</v>
      </c>
      <c r="F2832" s="22">
        <v>900449</v>
      </c>
      <c r="G2832" s="23" t="s">
        <v>5523</v>
      </c>
      <c r="H2832" s="25" t="s">
        <v>15373</v>
      </c>
      <c r="I2832" s="22" t="s">
        <v>15382</v>
      </c>
      <c r="J2832" s="22" t="s">
        <v>14850</v>
      </c>
      <c r="K2832" s="26">
        <f t="shared" si="44"/>
        <v>300</v>
      </c>
      <c r="L2832" s="26">
        <v>300</v>
      </c>
      <c r="O2832" s="22" t="s">
        <v>5524</v>
      </c>
      <c r="P2832" s="22" t="s">
        <v>5525</v>
      </c>
      <c r="Q2832" s="22">
        <v>92069</v>
      </c>
      <c r="S2832" s="22" t="s">
        <v>5526</v>
      </c>
      <c r="X2832" s="26"/>
      <c r="Y2832" s="26"/>
    </row>
    <row r="2833" spans="1:25" ht="50" x14ac:dyDescent="0.25">
      <c r="A2833" s="21">
        <v>3071</v>
      </c>
      <c r="B2833" s="22" t="s">
        <v>15338</v>
      </c>
      <c r="C2833" s="22" t="s">
        <v>5527</v>
      </c>
      <c r="F2833" s="22">
        <v>973316</v>
      </c>
      <c r="G2833" s="23" t="s">
        <v>5528</v>
      </c>
      <c r="H2833" s="25" t="s">
        <v>15373</v>
      </c>
      <c r="I2833" s="22" t="s">
        <v>15411</v>
      </c>
      <c r="J2833" s="22" t="s">
        <v>15451</v>
      </c>
      <c r="K2833" s="26">
        <f t="shared" si="44"/>
        <v>500</v>
      </c>
      <c r="L2833" s="26">
        <v>500</v>
      </c>
      <c r="O2833" s="22" t="s">
        <v>5529</v>
      </c>
      <c r="P2833" s="22" t="s">
        <v>6558</v>
      </c>
      <c r="Q2833" s="22">
        <v>92121</v>
      </c>
      <c r="S2833" s="22" t="s">
        <v>5530</v>
      </c>
      <c r="X2833" s="26"/>
      <c r="Y2833" s="26"/>
    </row>
    <row r="2834" spans="1:25" ht="25" x14ac:dyDescent="0.25">
      <c r="A2834" s="21">
        <v>3072</v>
      </c>
      <c r="B2834" s="22" t="s">
        <v>15338</v>
      </c>
      <c r="C2834" s="22" t="s">
        <v>5531</v>
      </c>
      <c r="F2834" s="22">
        <v>973073</v>
      </c>
      <c r="G2834" s="23" t="s">
        <v>5532</v>
      </c>
      <c r="H2834" s="25" t="s">
        <v>15373</v>
      </c>
      <c r="I2834" s="22" t="s">
        <v>15382</v>
      </c>
      <c r="J2834" s="22" t="s">
        <v>5533</v>
      </c>
      <c r="K2834" s="26">
        <f t="shared" si="44"/>
        <v>969</v>
      </c>
      <c r="L2834" s="26">
        <v>969</v>
      </c>
      <c r="O2834" s="22" t="s">
        <v>5534</v>
      </c>
      <c r="P2834" s="22" t="s">
        <v>5535</v>
      </c>
      <c r="Q2834" s="22">
        <v>92000</v>
      </c>
      <c r="X2834" s="26"/>
      <c r="Y2834" s="26"/>
    </row>
    <row r="2835" spans="1:25" ht="37.5" x14ac:dyDescent="0.25">
      <c r="A2835" s="21">
        <v>3073</v>
      </c>
      <c r="B2835" s="22" t="s">
        <v>15338</v>
      </c>
      <c r="C2835" s="22" t="s">
        <v>5531</v>
      </c>
      <c r="F2835" s="22">
        <v>973072</v>
      </c>
      <c r="G2835" s="23" t="s">
        <v>5536</v>
      </c>
      <c r="H2835" s="25" t="s">
        <v>15373</v>
      </c>
      <c r="I2835" s="22" t="s">
        <v>15382</v>
      </c>
      <c r="J2835" s="22" t="s">
        <v>5537</v>
      </c>
      <c r="K2835" s="26">
        <f t="shared" si="44"/>
        <v>585</v>
      </c>
      <c r="L2835" s="26">
        <v>585</v>
      </c>
      <c r="O2835" s="22" t="s">
        <v>5534</v>
      </c>
      <c r="P2835" s="22" t="s">
        <v>5535</v>
      </c>
      <c r="Q2835" s="22">
        <v>92000</v>
      </c>
      <c r="X2835" s="26"/>
      <c r="Y2835" s="26"/>
    </row>
    <row r="2836" spans="1:25" ht="25" x14ac:dyDescent="0.25">
      <c r="A2836" s="21">
        <v>3074</v>
      </c>
      <c r="B2836" s="22" t="s">
        <v>15338</v>
      </c>
      <c r="C2836" s="22" t="s">
        <v>5538</v>
      </c>
      <c r="F2836" s="22">
        <v>974956</v>
      </c>
      <c r="G2836" s="23" t="s">
        <v>5539</v>
      </c>
      <c r="H2836" s="25" t="s">
        <v>15373</v>
      </c>
      <c r="I2836" s="22" t="s">
        <v>15411</v>
      </c>
      <c r="J2836" s="22" t="s">
        <v>5540</v>
      </c>
      <c r="K2836" s="26">
        <f t="shared" si="44"/>
        <v>319</v>
      </c>
      <c r="L2836" s="26">
        <v>319</v>
      </c>
      <c r="O2836" s="22" t="s">
        <v>5541</v>
      </c>
      <c r="P2836" s="22" t="s">
        <v>6558</v>
      </c>
      <c r="Q2836" s="22">
        <v>92101</v>
      </c>
      <c r="X2836" s="26"/>
      <c r="Y2836" s="26"/>
    </row>
    <row r="2837" spans="1:25" ht="37.5" x14ac:dyDescent="0.25">
      <c r="A2837" s="21">
        <v>3075</v>
      </c>
      <c r="B2837" s="22" t="s">
        <v>15338</v>
      </c>
      <c r="C2837" s="22" t="s">
        <v>5542</v>
      </c>
      <c r="F2837" s="22">
        <v>890311</v>
      </c>
      <c r="G2837" s="23" t="s">
        <v>5543</v>
      </c>
      <c r="H2837" s="25" t="s">
        <v>15373</v>
      </c>
      <c r="I2837" s="22" t="s">
        <v>15411</v>
      </c>
      <c r="J2837" s="22" t="s">
        <v>11219</v>
      </c>
      <c r="K2837" s="26">
        <f t="shared" si="44"/>
        <v>507</v>
      </c>
      <c r="L2837" s="26">
        <v>507</v>
      </c>
      <c r="O2837" s="22" t="s">
        <v>5544</v>
      </c>
      <c r="P2837" s="22" t="s">
        <v>6558</v>
      </c>
      <c r="Q2837" s="22">
        <v>92101</v>
      </c>
      <c r="S2837" s="22" t="s">
        <v>5545</v>
      </c>
      <c r="X2837" s="26"/>
      <c r="Y2837" s="26"/>
    </row>
    <row r="2838" spans="1:25" ht="37.5" x14ac:dyDescent="0.25">
      <c r="A2838" s="21">
        <v>3076</v>
      </c>
      <c r="B2838" s="22" t="s">
        <v>15338</v>
      </c>
      <c r="C2838" s="22" t="s">
        <v>5546</v>
      </c>
      <c r="F2838" s="22">
        <v>890540</v>
      </c>
      <c r="G2838" s="23" t="s">
        <v>5547</v>
      </c>
      <c r="H2838" s="25" t="s">
        <v>15373</v>
      </c>
      <c r="I2838" s="22" t="s">
        <v>15411</v>
      </c>
      <c r="J2838" s="22" t="s">
        <v>15068</v>
      </c>
      <c r="K2838" s="26">
        <f t="shared" si="44"/>
        <v>750</v>
      </c>
      <c r="L2838" s="26">
        <v>750</v>
      </c>
      <c r="O2838" s="22" t="s">
        <v>5548</v>
      </c>
      <c r="P2838" s="22" t="s">
        <v>6558</v>
      </c>
      <c r="Q2838" s="22">
        <v>92101</v>
      </c>
      <c r="S2838" s="22" t="s">
        <v>5549</v>
      </c>
      <c r="X2838" s="26"/>
      <c r="Y2838" s="26"/>
    </row>
    <row r="2839" spans="1:25" ht="37.5" x14ac:dyDescent="0.25">
      <c r="A2839" s="21">
        <v>3077</v>
      </c>
      <c r="B2839" s="22" t="s">
        <v>15338</v>
      </c>
      <c r="C2839" s="22" t="s">
        <v>5550</v>
      </c>
      <c r="F2839" s="22">
        <v>972059</v>
      </c>
      <c r="G2839" s="23" t="s">
        <v>5551</v>
      </c>
      <c r="H2839" s="25" t="s">
        <v>15373</v>
      </c>
      <c r="I2839" s="22" t="s">
        <v>15374</v>
      </c>
      <c r="J2839" s="22" t="s">
        <v>15918</v>
      </c>
      <c r="K2839" s="26">
        <f t="shared" si="44"/>
        <v>750</v>
      </c>
      <c r="L2839" s="26">
        <v>750</v>
      </c>
      <c r="O2839" s="22" t="s">
        <v>5552</v>
      </c>
      <c r="P2839" s="22" t="s">
        <v>5420</v>
      </c>
      <c r="Q2839" s="22">
        <v>92008</v>
      </c>
      <c r="S2839" s="22" t="s">
        <v>5553</v>
      </c>
      <c r="X2839" s="26"/>
      <c r="Y2839" s="26"/>
    </row>
    <row r="2840" spans="1:25" ht="37.5" x14ac:dyDescent="0.25">
      <c r="A2840" s="21">
        <v>3078</v>
      </c>
      <c r="B2840" s="22" t="s">
        <v>15338</v>
      </c>
      <c r="C2840" s="22" t="s">
        <v>5550</v>
      </c>
      <c r="F2840" s="22">
        <v>972060</v>
      </c>
      <c r="G2840" s="23" t="s">
        <v>5554</v>
      </c>
      <c r="H2840" s="25" t="s">
        <v>15373</v>
      </c>
      <c r="I2840" s="22" t="s">
        <v>15374</v>
      </c>
      <c r="J2840" s="22" t="s">
        <v>15918</v>
      </c>
      <c r="K2840" s="26">
        <f t="shared" si="44"/>
        <v>750</v>
      </c>
      <c r="L2840" s="26">
        <v>750</v>
      </c>
      <c r="O2840" s="22" t="s">
        <v>5552</v>
      </c>
      <c r="P2840" s="22" t="s">
        <v>5420</v>
      </c>
      <c r="Q2840" s="22">
        <v>92008</v>
      </c>
      <c r="S2840" s="22" t="s">
        <v>5553</v>
      </c>
      <c r="X2840" s="26"/>
      <c r="Y2840" s="26"/>
    </row>
    <row r="2841" spans="1:25" ht="37.5" x14ac:dyDescent="0.25">
      <c r="A2841" s="21">
        <v>3079</v>
      </c>
      <c r="B2841" s="22" t="s">
        <v>15338</v>
      </c>
      <c r="C2841" s="22" t="s">
        <v>5550</v>
      </c>
      <c r="F2841" s="22">
        <v>972055</v>
      </c>
      <c r="G2841" s="23" t="s">
        <v>5555</v>
      </c>
      <c r="H2841" s="25" t="s">
        <v>15373</v>
      </c>
      <c r="I2841" s="22" t="s">
        <v>15382</v>
      </c>
      <c r="J2841" s="22" t="s">
        <v>14850</v>
      </c>
      <c r="K2841" s="26">
        <f t="shared" si="44"/>
        <v>302</v>
      </c>
      <c r="L2841" s="26">
        <v>302</v>
      </c>
      <c r="O2841" s="22" t="s">
        <v>5556</v>
      </c>
      <c r="P2841" s="22" t="s">
        <v>5420</v>
      </c>
      <c r="Q2841" s="22">
        <v>92009</v>
      </c>
      <c r="X2841" s="26"/>
      <c r="Y2841" s="26"/>
    </row>
    <row r="2842" spans="1:25" ht="37.5" x14ac:dyDescent="0.25">
      <c r="A2842" s="21">
        <v>3080</v>
      </c>
      <c r="B2842" s="22" t="s">
        <v>15338</v>
      </c>
      <c r="C2842" s="22" t="s">
        <v>5550</v>
      </c>
      <c r="F2842" s="22">
        <v>972056</v>
      </c>
      <c r="G2842" s="23" t="s">
        <v>5557</v>
      </c>
      <c r="H2842" s="25" t="s">
        <v>15373</v>
      </c>
      <c r="I2842" s="22" t="s">
        <v>15382</v>
      </c>
      <c r="J2842" s="22" t="s">
        <v>14850</v>
      </c>
      <c r="K2842" s="26">
        <f t="shared" si="44"/>
        <v>302</v>
      </c>
      <c r="L2842" s="26">
        <v>302</v>
      </c>
      <c r="O2842" s="22" t="s">
        <v>5556</v>
      </c>
      <c r="P2842" s="22" t="s">
        <v>5420</v>
      </c>
      <c r="Q2842" s="22">
        <v>92009</v>
      </c>
      <c r="X2842" s="26"/>
      <c r="Y2842" s="26"/>
    </row>
    <row r="2843" spans="1:25" ht="37.5" x14ac:dyDescent="0.25">
      <c r="A2843" s="21">
        <v>3081</v>
      </c>
      <c r="B2843" s="22" t="s">
        <v>15338</v>
      </c>
      <c r="C2843" s="22" t="s">
        <v>5558</v>
      </c>
      <c r="F2843" s="22">
        <v>972276</v>
      </c>
      <c r="G2843" s="23" t="s">
        <v>5559</v>
      </c>
      <c r="H2843" s="25" t="s">
        <v>15373</v>
      </c>
      <c r="I2843" s="22" t="s">
        <v>15374</v>
      </c>
      <c r="J2843" s="22" t="s">
        <v>16856</v>
      </c>
      <c r="K2843" s="26">
        <f t="shared" si="44"/>
        <v>358</v>
      </c>
      <c r="L2843" s="26">
        <v>358</v>
      </c>
      <c r="O2843" s="22" t="s">
        <v>5560</v>
      </c>
      <c r="P2843" s="22" t="s">
        <v>5561</v>
      </c>
      <c r="Q2843" s="22" t="s">
        <v>5562</v>
      </c>
      <c r="X2843" s="26"/>
      <c r="Y2843" s="26"/>
    </row>
    <row r="2844" spans="1:25" ht="62.5" x14ac:dyDescent="0.25">
      <c r="A2844" s="21">
        <v>3082</v>
      </c>
      <c r="B2844" s="22" t="s">
        <v>15338</v>
      </c>
      <c r="C2844" s="22" t="s">
        <v>5558</v>
      </c>
      <c r="F2844" s="22">
        <v>920874</v>
      </c>
      <c r="G2844" s="23" t="s">
        <v>5563</v>
      </c>
      <c r="H2844" s="25" t="s">
        <v>15373</v>
      </c>
      <c r="I2844" s="22" t="s">
        <v>15374</v>
      </c>
      <c r="J2844" s="22" t="s">
        <v>5564</v>
      </c>
      <c r="K2844" s="26">
        <f t="shared" si="44"/>
        <v>300</v>
      </c>
      <c r="L2844" s="26">
        <v>300</v>
      </c>
      <c r="O2844" s="22" t="s">
        <v>5565</v>
      </c>
      <c r="P2844" s="22" t="s">
        <v>5561</v>
      </c>
      <c r="Q2844" s="22">
        <v>92025</v>
      </c>
      <c r="S2844" s="22" t="s">
        <v>5566</v>
      </c>
      <c r="X2844" s="26"/>
      <c r="Y2844" s="26"/>
    </row>
    <row r="2845" spans="1:25" ht="25" x14ac:dyDescent="0.25">
      <c r="A2845" s="21">
        <v>3083</v>
      </c>
      <c r="B2845" s="22" t="s">
        <v>15338</v>
      </c>
      <c r="C2845" s="22" t="s">
        <v>5558</v>
      </c>
      <c r="F2845" s="22">
        <v>972524</v>
      </c>
      <c r="G2845" s="23" t="s">
        <v>5567</v>
      </c>
      <c r="H2845" s="25" t="s">
        <v>15373</v>
      </c>
      <c r="I2845" s="22" t="s">
        <v>15411</v>
      </c>
      <c r="J2845" s="22" t="s">
        <v>16306</v>
      </c>
      <c r="K2845" s="26">
        <f t="shared" si="44"/>
        <v>369</v>
      </c>
      <c r="L2845" s="26">
        <v>369</v>
      </c>
      <c r="O2845" s="22" t="s">
        <v>5568</v>
      </c>
      <c r="P2845" s="22" t="s">
        <v>5561</v>
      </c>
      <c r="Q2845" s="22">
        <v>92029</v>
      </c>
      <c r="X2845" s="26"/>
      <c r="Y2845" s="26"/>
    </row>
    <row r="2846" spans="1:25" ht="75" x14ac:dyDescent="0.25">
      <c r="A2846" s="21">
        <v>3084</v>
      </c>
      <c r="B2846" s="22" t="s">
        <v>15338</v>
      </c>
      <c r="C2846" s="22" t="s">
        <v>5558</v>
      </c>
      <c r="F2846" s="22">
        <v>930984</v>
      </c>
      <c r="G2846" s="23" t="s">
        <v>5569</v>
      </c>
      <c r="H2846" s="25" t="s">
        <v>15373</v>
      </c>
      <c r="I2846" s="22" t="s">
        <v>15411</v>
      </c>
      <c r="J2846" s="22" t="s">
        <v>16276</v>
      </c>
      <c r="K2846" s="26">
        <f t="shared" si="44"/>
        <v>350</v>
      </c>
      <c r="L2846" s="26">
        <v>350</v>
      </c>
      <c r="O2846" s="22" t="s">
        <v>5570</v>
      </c>
      <c r="P2846" s="22" t="s">
        <v>5561</v>
      </c>
      <c r="Q2846" s="22">
        <v>92025</v>
      </c>
      <c r="S2846" s="22" t="s">
        <v>5571</v>
      </c>
      <c r="X2846" s="26"/>
      <c r="Y2846" s="26"/>
    </row>
    <row r="2847" spans="1:25" ht="37.5" x14ac:dyDescent="0.25">
      <c r="A2847" s="21">
        <v>3085</v>
      </c>
      <c r="B2847" s="22" t="s">
        <v>15338</v>
      </c>
      <c r="C2847" s="22" t="s">
        <v>5558</v>
      </c>
      <c r="F2847" s="22">
        <v>921197</v>
      </c>
      <c r="G2847" s="23" t="s">
        <v>5572</v>
      </c>
      <c r="H2847" s="25" t="s">
        <v>15373</v>
      </c>
      <c r="I2847" s="22" t="s">
        <v>16907</v>
      </c>
      <c r="J2847" s="22" t="s">
        <v>5573</v>
      </c>
      <c r="K2847" s="26">
        <f t="shared" si="44"/>
        <v>350</v>
      </c>
      <c r="L2847" s="26">
        <v>350</v>
      </c>
      <c r="O2847" s="22" t="s">
        <v>5570</v>
      </c>
      <c r="P2847" s="22" t="s">
        <v>5561</v>
      </c>
      <c r="Q2847" s="22">
        <v>92025</v>
      </c>
      <c r="S2847" s="22" t="s">
        <v>5571</v>
      </c>
      <c r="X2847" s="26"/>
      <c r="Y2847" s="26"/>
    </row>
    <row r="2848" spans="1:25" ht="37.5" x14ac:dyDescent="0.25">
      <c r="A2848" s="21">
        <v>3086</v>
      </c>
      <c r="B2848" s="22" t="s">
        <v>15338</v>
      </c>
      <c r="C2848" s="22" t="s">
        <v>5574</v>
      </c>
      <c r="F2848" s="22">
        <v>971250</v>
      </c>
      <c r="G2848" s="23" t="s">
        <v>5575</v>
      </c>
      <c r="H2848" s="25" t="s">
        <v>15373</v>
      </c>
      <c r="I2848" s="22" t="s">
        <v>15382</v>
      </c>
      <c r="J2848" s="22" t="s">
        <v>5576</v>
      </c>
      <c r="K2848" s="26">
        <f t="shared" si="44"/>
        <v>300</v>
      </c>
      <c r="L2848" s="26">
        <v>300</v>
      </c>
      <c r="O2848" s="22" t="s">
        <v>5577</v>
      </c>
      <c r="P2848" s="22" t="s">
        <v>5578</v>
      </c>
      <c r="Q2848" s="22">
        <v>92028</v>
      </c>
      <c r="X2848" s="26"/>
      <c r="Y2848" s="26"/>
    </row>
    <row r="2849" spans="1:25" ht="62.5" x14ac:dyDescent="0.25">
      <c r="A2849" s="21">
        <v>3087</v>
      </c>
      <c r="B2849" s="22" t="s">
        <v>15338</v>
      </c>
      <c r="C2849" s="22" t="s">
        <v>5579</v>
      </c>
      <c r="F2849" s="22">
        <v>910857</v>
      </c>
      <c r="G2849" s="23" t="s">
        <v>5580</v>
      </c>
      <c r="H2849" s="25" t="s">
        <v>15373</v>
      </c>
      <c r="I2849" s="22" t="s">
        <v>15374</v>
      </c>
      <c r="J2849" s="22">
        <v>3412</v>
      </c>
      <c r="K2849" s="26">
        <f t="shared" si="44"/>
        <v>500</v>
      </c>
      <c r="L2849" s="26">
        <v>500</v>
      </c>
      <c r="O2849" s="22" t="s">
        <v>5581</v>
      </c>
      <c r="P2849" s="22" t="s">
        <v>5578</v>
      </c>
      <c r="Q2849" s="22">
        <v>92028</v>
      </c>
      <c r="S2849" s="22" t="s">
        <v>5582</v>
      </c>
      <c r="X2849" s="26"/>
      <c r="Y2849" s="26"/>
    </row>
    <row r="2850" spans="1:25" ht="62.5" x14ac:dyDescent="0.25">
      <c r="A2850" s="21">
        <v>3088</v>
      </c>
      <c r="B2850" s="22" t="s">
        <v>15338</v>
      </c>
      <c r="C2850" s="22" t="s">
        <v>5724</v>
      </c>
      <c r="F2850" s="22">
        <v>920343</v>
      </c>
      <c r="G2850" s="23" t="s">
        <v>5583</v>
      </c>
      <c r="H2850" s="25" t="s">
        <v>15373</v>
      </c>
      <c r="I2850" s="22" t="s">
        <v>15411</v>
      </c>
      <c r="J2850" s="22" t="s">
        <v>15068</v>
      </c>
      <c r="K2850" s="26">
        <f t="shared" si="44"/>
        <v>750</v>
      </c>
      <c r="L2850" s="26">
        <v>750</v>
      </c>
      <c r="O2850" s="22" t="s">
        <v>5584</v>
      </c>
      <c r="P2850" s="22" t="s">
        <v>6558</v>
      </c>
      <c r="Q2850" s="22">
        <v>92126</v>
      </c>
      <c r="S2850" s="22" t="s">
        <v>5585</v>
      </c>
      <c r="X2850" s="26"/>
      <c r="Y2850" s="26"/>
    </row>
    <row r="2851" spans="1:25" ht="62.5" x14ac:dyDescent="0.25">
      <c r="A2851" s="21">
        <v>3089</v>
      </c>
      <c r="B2851" s="22" t="s">
        <v>15338</v>
      </c>
      <c r="C2851" s="22" t="s">
        <v>5724</v>
      </c>
      <c r="F2851" s="22">
        <v>920346</v>
      </c>
      <c r="G2851" s="23" t="s">
        <v>5586</v>
      </c>
      <c r="H2851" s="25" t="s">
        <v>15373</v>
      </c>
      <c r="I2851" s="22" t="s">
        <v>15411</v>
      </c>
      <c r="J2851" s="22" t="s">
        <v>15068</v>
      </c>
      <c r="K2851" s="26">
        <f t="shared" si="44"/>
        <v>750</v>
      </c>
      <c r="L2851" s="26">
        <v>750</v>
      </c>
      <c r="O2851" s="22" t="s">
        <v>5584</v>
      </c>
      <c r="P2851" s="22" t="s">
        <v>6558</v>
      </c>
      <c r="Q2851" s="22">
        <v>92126</v>
      </c>
      <c r="S2851" s="22" t="s">
        <v>5585</v>
      </c>
      <c r="X2851" s="26"/>
      <c r="Y2851" s="26"/>
    </row>
    <row r="2852" spans="1:25" ht="62.5" x14ac:dyDescent="0.25">
      <c r="A2852" s="21">
        <v>3090</v>
      </c>
      <c r="B2852" s="22" t="s">
        <v>15338</v>
      </c>
      <c r="C2852" s="22" t="s">
        <v>5724</v>
      </c>
      <c r="F2852" s="22">
        <v>920347</v>
      </c>
      <c r="G2852" s="23" t="s">
        <v>5587</v>
      </c>
      <c r="H2852" s="25" t="s">
        <v>15373</v>
      </c>
      <c r="I2852" s="22" t="s">
        <v>15411</v>
      </c>
      <c r="J2852" s="22" t="s">
        <v>15068</v>
      </c>
      <c r="K2852" s="26">
        <f t="shared" si="44"/>
        <v>750</v>
      </c>
      <c r="L2852" s="26">
        <v>750</v>
      </c>
      <c r="O2852" s="22" t="s">
        <v>5584</v>
      </c>
      <c r="P2852" s="22" t="s">
        <v>6558</v>
      </c>
      <c r="Q2852" s="22">
        <v>92126</v>
      </c>
      <c r="S2852" s="22" t="s">
        <v>5585</v>
      </c>
      <c r="X2852" s="26"/>
      <c r="Y2852" s="26"/>
    </row>
    <row r="2853" spans="1:25" ht="25" x14ac:dyDescent="0.25">
      <c r="A2853" s="21">
        <v>3091</v>
      </c>
      <c r="B2853" s="22" t="s">
        <v>15338</v>
      </c>
      <c r="C2853" s="22" t="s">
        <v>5588</v>
      </c>
      <c r="F2853" s="22">
        <v>950030</v>
      </c>
      <c r="G2853" s="23" t="s">
        <v>5589</v>
      </c>
      <c r="H2853" s="25" t="s">
        <v>15373</v>
      </c>
      <c r="I2853" s="22" t="s">
        <v>15382</v>
      </c>
      <c r="J2853" s="22" t="s">
        <v>11902</v>
      </c>
      <c r="K2853" s="26">
        <f t="shared" si="44"/>
        <v>348</v>
      </c>
      <c r="L2853" s="26">
        <v>348</v>
      </c>
      <c r="O2853" s="22" t="s">
        <v>5590</v>
      </c>
      <c r="P2853" s="22" t="s">
        <v>6558</v>
      </c>
      <c r="Q2853" s="22">
        <v>92101</v>
      </c>
      <c r="S2853" s="22" t="s">
        <v>5591</v>
      </c>
      <c r="X2853" s="26"/>
      <c r="Y2853" s="26"/>
    </row>
    <row r="2854" spans="1:25" ht="37.5" x14ac:dyDescent="0.25">
      <c r="A2854" s="21">
        <v>3092</v>
      </c>
      <c r="B2854" s="22" t="s">
        <v>15338</v>
      </c>
      <c r="C2854" s="22" t="s">
        <v>5592</v>
      </c>
      <c r="F2854" s="22">
        <v>974443</v>
      </c>
      <c r="G2854" s="23" t="s">
        <v>5593</v>
      </c>
      <c r="H2854" s="25" t="s">
        <v>15373</v>
      </c>
      <c r="I2854" s="22" t="s">
        <v>15411</v>
      </c>
      <c r="J2854" s="22" t="s">
        <v>15068</v>
      </c>
      <c r="K2854" s="26">
        <f t="shared" si="44"/>
        <v>728</v>
      </c>
      <c r="L2854" s="26">
        <v>728</v>
      </c>
      <c r="O2854" s="22" t="s">
        <v>5594</v>
      </c>
      <c r="P2854" s="22" t="s">
        <v>5595</v>
      </c>
      <c r="Q2854" s="22">
        <v>92064</v>
      </c>
      <c r="X2854" s="26"/>
      <c r="Y2854" s="26"/>
    </row>
    <row r="2855" spans="1:25" ht="37.5" x14ac:dyDescent="0.25">
      <c r="A2855" s="21">
        <v>3093</v>
      </c>
      <c r="B2855" s="22" t="s">
        <v>15338</v>
      </c>
      <c r="C2855" s="22" t="s">
        <v>18481</v>
      </c>
      <c r="F2855" s="22">
        <v>974110</v>
      </c>
      <c r="G2855" s="23" t="s">
        <v>5596</v>
      </c>
      <c r="H2855" s="25" t="s">
        <v>15373</v>
      </c>
      <c r="I2855" s="22" t="s">
        <v>15374</v>
      </c>
      <c r="J2855" s="22">
        <v>3406</v>
      </c>
      <c r="K2855" s="26">
        <f t="shared" si="44"/>
        <v>382</v>
      </c>
      <c r="L2855" s="26">
        <v>382</v>
      </c>
      <c r="O2855" s="22" t="s">
        <v>5597</v>
      </c>
      <c r="P2855" s="22" t="s">
        <v>6558</v>
      </c>
      <c r="Q2855" s="22">
        <v>92111</v>
      </c>
      <c r="X2855" s="26"/>
      <c r="Y2855" s="26"/>
    </row>
    <row r="2856" spans="1:25" ht="25" x14ac:dyDescent="0.25">
      <c r="A2856" s="21">
        <v>3094</v>
      </c>
      <c r="B2856" s="22" t="s">
        <v>15338</v>
      </c>
      <c r="C2856" s="22" t="s">
        <v>5598</v>
      </c>
      <c r="F2856" s="22">
        <v>961880</v>
      </c>
      <c r="G2856" s="23" t="s">
        <v>5599</v>
      </c>
      <c r="H2856" s="25" t="s">
        <v>15373</v>
      </c>
      <c r="I2856" s="22" t="s">
        <v>15411</v>
      </c>
      <c r="J2856" s="22" t="s">
        <v>15412</v>
      </c>
      <c r="K2856" s="26">
        <f t="shared" si="44"/>
        <v>616</v>
      </c>
      <c r="L2856" s="26">
        <v>616</v>
      </c>
      <c r="O2856" s="22" t="s">
        <v>5600</v>
      </c>
      <c r="P2856" s="22" t="s">
        <v>5420</v>
      </c>
      <c r="Q2856" s="22">
        <v>92009</v>
      </c>
      <c r="X2856" s="26"/>
      <c r="Y2856" s="26"/>
    </row>
    <row r="2857" spans="1:25" ht="25" x14ac:dyDescent="0.25">
      <c r="A2857" s="21">
        <v>3095</v>
      </c>
      <c r="B2857" s="22" t="s">
        <v>15338</v>
      </c>
      <c r="C2857" s="22" t="s">
        <v>5601</v>
      </c>
      <c r="F2857" s="22">
        <v>973534</v>
      </c>
      <c r="G2857" s="23" t="s">
        <v>5602</v>
      </c>
      <c r="H2857" s="25" t="s">
        <v>15373</v>
      </c>
      <c r="I2857" s="22" t="s">
        <v>15382</v>
      </c>
      <c r="J2857" s="22" t="s">
        <v>14562</v>
      </c>
      <c r="K2857" s="26">
        <f t="shared" si="44"/>
        <v>585</v>
      </c>
      <c r="L2857" s="26">
        <v>585</v>
      </c>
      <c r="O2857" s="22" t="s">
        <v>5603</v>
      </c>
      <c r="P2857" s="22" t="s">
        <v>6558</v>
      </c>
      <c r="Q2857" s="22">
        <v>92111</v>
      </c>
      <c r="X2857" s="26"/>
      <c r="Y2857" s="26"/>
    </row>
    <row r="2858" spans="1:25" ht="25" x14ac:dyDescent="0.25">
      <c r="A2858" s="21">
        <v>3096</v>
      </c>
      <c r="B2858" s="22" t="s">
        <v>15338</v>
      </c>
      <c r="C2858" s="22" t="s">
        <v>5604</v>
      </c>
      <c r="F2858" s="22">
        <v>961224</v>
      </c>
      <c r="G2858" s="23" t="s">
        <v>5605</v>
      </c>
      <c r="H2858" s="25" t="s">
        <v>15373</v>
      </c>
      <c r="I2858" s="22" t="s">
        <v>15411</v>
      </c>
      <c r="J2858" s="22" t="s">
        <v>16254</v>
      </c>
      <c r="K2858" s="26">
        <f t="shared" si="44"/>
        <v>488</v>
      </c>
      <c r="L2858" s="26">
        <v>488</v>
      </c>
      <c r="O2858" s="22" t="s">
        <v>5606</v>
      </c>
      <c r="P2858" s="22" t="s">
        <v>6558</v>
      </c>
      <c r="Q2858" s="22">
        <v>92121</v>
      </c>
      <c r="X2858" s="26"/>
      <c r="Y2858" s="26"/>
    </row>
    <row r="2859" spans="1:25" ht="37.5" x14ac:dyDescent="0.25">
      <c r="A2859" s="21">
        <v>3097</v>
      </c>
      <c r="B2859" s="22" t="s">
        <v>15338</v>
      </c>
      <c r="C2859" s="22" t="s">
        <v>5604</v>
      </c>
      <c r="F2859" s="22">
        <v>972324</v>
      </c>
      <c r="G2859" s="23" t="s">
        <v>5607</v>
      </c>
      <c r="H2859" s="25" t="s">
        <v>15373</v>
      </c>
      <c r="I2859" s="22" t="s">
        <v>16907</v>
      </c>
      <c r="J2859" s="22" t="s">
        <v>5608</v>
      </c>
      <c r="K2859" s="26">
        <f t="shared" si="44"/>
        <v>585</v>
      </c>
      <c r="L2859" s="26">
        <v>585</v>
      </c>
      <c r="O2859" s="22" t="s">
        <v>5609</v>
      </c>
      <c r="P2859" s="22" t="s">
        <v>6558</v>
      </c>
      <c r="Q2859" s="22">
        <v>92127</v>
      </c>
      <c r="X2859" s="26"/>
      <c r="Y2859" s="26"/>
    </row>
    <row r="2860" spans="1:25" ht="37.5" x14ac:dyDescent="0.25">
      <c r="A2860" s="21">
        <v>3098</v>
      </c>
      <c r="B2860" s="22" t="s">
        <v>15338</v>
      </c>
      <c r="C2860" s="22" t="s">
        <v>5610</v>
      </c>
      <c r="F2860" s="22">
        <v>20555</v>
      </c>
      <c r="G2860" s="23" t="s">
        <v>5611</v>
      </c>
      <c r="H2860" s="25" t="s">
        <v>15373</v>
      </c>
      <c r="I2860" s="22" t="s">
        <v>15374</v>
      </c>
      <c r="J2860" s="22" t="s">
        <v>16899</v>
      </c>
      <c r="K2860" s="26">
        <f t="shared" si="44"/>
        <v>520</v>
      </c>
      <c r="L2860" s="26">
        <v>520</v>
      </c>
      <c r="O2860" s="22" t="s">
        <v>5612</v>
      </c>
      <c r="P2860" s="22" t="s">
        <v>6558</v>
      </c>
      <c r="Q2860" s="22" t="s">
        <v>5613</v>
      </c>
      <c r="S2860" s="22" t="s">
        <v>5614</v>
      </c>
      <c r="X2860" s="26"/>
      <c r="Y2860" s="26"/>
    </row>
    <row r="2861" spans="1:25" ht="37.5" x14ac:dyDescent="0.25">
      <c r="A2861" s="21">
        <v>3099</v>
      </c>
      <c r="B2861" s="22" t="s">
        <v>15338</v>
      </c>
      <c r="C2861" s="22" t="s">
        <v>5615</v>
      </c>
      <c r="F2861" s="22">
        <v>970157</v>
      </c>
      <c r="G2861" s="23" t="s">
        <v>5616</v>
      </c>
      <c r="H2861" s="25" t="s">
        <v>15373</v>
      </c>
      <c r="I2861" s="22" t="s">
        <v>15411</v>
      </c>
      <c r="J2861" s="22" t="s">
        <v>15744</v>
      </c>
      <c r="K2861" s="26">
        <f t="shared" si="44"/>
        <v>750</v>
      </c>
      <c r="L2861" s="26">
        <v>750</v>
      </c>
      <c r="O2861" s="22" t="s">
        <v>5617</v>
      </c>
      <c r="P2861" s="22" t="s">
        <v>6558</v>
      </c>
      <c r="Q2861" s="22">
        <v>92121</v>
      </c>
      <c r="X2861" s="26"/>
      <c r="Y2861" s="26"/>
    </row>
    <row r="2862" spans="1:25" ht="37.5" x14ac:dyDescent="0.25">
      <c r="A2862" s="21">
        <v>3100</v>
      </c>
      <c r="B2862" s="22" t="s">
        <v>15338</v>
      </c>
      <c r="C2862" s="22" t="s">
        <v>5615</v>
      </c>
      <c r="F2862" s="22">
        <v>970156</v>
      </c>
      <c r="G2862" s="23" t="s">
        <v>5618</v>
      </c>
      <c r="H2862" s="25" t="s">
        <v>15373</v>
      </c>
      <c r="I2862" s="22" t="s">
        <v>15411</v>
      </c>
      <c r="J2862" s="22" t="s">
        <v>16276</v>
      </c>
      <c r="K2862" s="26">
        <f t="shared" si="44"/>
        <v>350</v>
      </c>
      <c r="L2862" s="26">
        <v>350</v>
      </c>
      <c r="O2862" s="22" t="s">
        <v>5619</v>
      </c>
      <c r="P2862" s="22" t="s">
        <v>6558</v>
      </c>
      <c r="Q2862" s="22">
        <v>92121</v>
      </c>
      <c r="X2862" s="26"/>
      <c r="Y2862" s="26"/>
    </row>
    <row r="2863" spans="1:25" ht="25" x14ac:dyDescent="0.25">
      <c r="A2863" s="21">
        <v>3101</v>
      </c>
      <c r="B2863" s="22" t="s">
        <v>15338</v>
      </c>
      <c r="C2863" s="22" t="s">
        <v>6669</v>
      </c>
      <c r="F2863" s="22">
        <v>972892</v>
      </c>
      <c r="G2863" s="23" t="s">
        <v>5620</v>
      </c>
      <c r="H2863" s="25" t="s">
        <v>15373</v>
      </c>
      <c r="I2863" s="22" t="s">
        <v>15411</v>
      </c>
      <c r="J2863" s="22" t="s">
        <v>5621</v>
      </c>
      <c r="K2863" s="26">
        <f t="shared" si="44"/>
        <v>553</v>
      </c>
      <c r="L2863" s="26">
        <v>553</v>
      </c>
      <c r="O2863" s="22" t="s">
        <v>5622</v>
      </c>
      <c r="P2863" s="22" t="s">
        <v>6558</v>
      </c>
      <c r="Q2863" s="22">
        <v>92101</v>
      </c>
      <c r="X2863" s="26"/>
      <c r="Y2863" s="26"/>
    </row>
    <row r="2864" spans="1:25" ht="50" x14ac:dyDescent="0.25">
      <c r="A2864" s="21">
        <v>3103</v>
      </c>
      <c r="B2864" s="22" t="s">
        <v>15338</v>
      </c>
      <c r="C2864" s="22" t="s">
        <v>5623</v>
      </c>
      <c r="F2864" s="22">
        <v>930488</v>
      </c>
      <c r="G2864" s="23" t="s">
        <v>5624</v>
      </c>
      <c r="H2864" s="25" t="s">
        <v>15373</v>
      </c>
      <c r="I2864" s="22" t="s">
        <v>15411</v>
      </c>
      <c r="J2864" s="22" t="s">
        <v>15451</v>
      </c>
      <c r="K2864" s="26">
        <f t="shared" si="44"/>
        <v>500</v>
      </c>
      <c r="L2864" s="26">
        <v>500</v>
      </c>
      <c r="O2864" s="22" t="s">
        <v>5625</v>
      </c>
      <c r="P2864" s="22" t="s">
        <v>6558</v>
      </c>
      <c r="Q2864" s="22">
        <v>92121</v>
      </c>
      <c r="S2864" s="22" t="s">
        <v>5626</v>
      </c>
      <c r="X2864" s="26"/>
      <c r="Y2864" s="26"/>
    </row>
    <row r="2865" spans="1:25" ht="50" x14ac:dyDescent="0.25">
      <c r="A2865" s="21">
        <v>3104</v>
      </c>
      <c r="B2865" s="22" t="s">
        <v>15338</v>
      </c>
      <c r="C2865" s="22" t="s">
        <v>5627</v>
      </c>
      <c r="F2865" s="22">
        <v>940132</v>
      </c>
      <c r="G2865" s="23" t="s">
        <v>5628</v>
      </c>
      <c r="H2865" s="25" t="s">
        <v>15373</v>
      </c>
      <c r="I2865" s="22" t="s">
        <v>15374</v>
      </c>
      <c r="J2865" s="22">
        <v>3516</v>
      </c>
      <c r="K2865" s="26">
        <f t="shared" si="44"/>
        <v>1500</v>
      </c>
      <c r="L2865" s="26">
        <v>1500</v>
      </c>
      <c r="O2865" s="22" t="s">
        <v>5629</v>
      </c>
      <c r="P2865" s="22" t="s">
        <v>5630</v>
      </c>
      <c r="Q2865" s="22">
        <v>91950</v>
      </c>
      <c r="S2865" s="22" t="s">
        <v>5631</v>
      </c>
      <c r="X2865" s="26"/>
      <c r="Y2865" s="26"/>
    </row>
    <row r="2866" spans="1:25" ht="37.5" x14ac:dyDescent="0.25">
      <c r="A2866" s="21">
        <v>3105</v>
      </c>
      <c r="B2866" s="22" t="s">
        <v>15338</v>
      </c>
      <c r="C2866" s="22" t="s">
        <v>5632</v>
      </c>
      <c r="F2866" s="22">
        <v>974418</v>
      </c>
      <c r="G2866" s="23" t="s">
        <v>5633</v>
      </c>
      <c r="H2866" s="25" t="s">
        <v>15373</v>
      </c>
      <c r="I2866" s="22" t="s">
        <v>15374</v>
      </c>
      <c r="J2866" s="22" t="s">
        <v>12592</v>
      </c>
      <c r="K2866" s="26">
        <f t="shared" si="44"/>
        <v>1412</v>
      </c>
      <c r="L2866" s="26">
        <v>1412</v>
      </c>
      <c r="O2866" s="22" t="s">
        <v>5634</v>
      </c>
      <c r="P2866" s="22" t="s">
        <v>5595</v>
      </c>
      <c r="Q2866" s="22">
        <v>92064</v>
      </c>
      <c r="X2866" s="26"/>
      <c r="Y2866" s="26"/>
    </row>
    <row r="2867" spans="1:25" ht="37.5" x14ac:dyDescent="0.25">
      <c r="A2867" s="21">
        <v>3106</v>
      </c>
      <c r="B2867" s="22" t="s">
        <v>15338</v>
      </c>
      <c r="C2867" s="22" t="s">
        <v>5632</v>
      </c>
      <c r="F2867" s="22">
        <v>974419</v>
      </c>
      <c r="G2867" s="23" t="s">
        <v>5635</v>
      </c>
      <c r="H2867" s="25" t="s">
        <v>15373</v>
      </c>
      <c r="I2867" s="22" t="s">
        <v>15374</v>
      </c>
      <c r="J2867" s="22" t="s">
        <v>12592</v>
      </c>
      <c r="K2867" s="26">
        <f t="shared" si="44"/>
        <v>1412</v>
      </c>
      <c r="L2867" s="26">
        <v>1412</v>
      </c>
      <c r="O2867" s="22" t="s">
        <v>5634</v>
      </c>
      <c r="P2867" s="22" t="s">
        <v>5595</v>
      </c>
      <c r="Q2867" s="22">
        <v>92064</v>
      </c>
      <c r="X2867" s="26"/>
      <c r="Y2867" s="26"/>
    </row>
    <row r="2868" spans="1:25" ht="37.5" x14ac:dyDescent="0.25">
      <c r="A2868" s="21">
        <v>3107</v>
      </c>
      <c r="B2868" s="22" t="s">
        <v>15338</v>
      </c>
      <c r="C2868" s="22" t="s">
        <v>5632</v>
      </c>
      <c r="F2868" s="22">
        <v>974420</v>
      </c>
      <c r="G2868" s="23" t="s">
        <v>5636</v>
      </c>
      <c r="H2868" s="25" t="s">
        <v>15373</v>
      </c>
      <c r="I2868" s="22" t="s">
        <v>15374</v>
      </c>
      <c r="J2868" s="22" t="s">
        <v>12592</v>
      </c>
      <c r="K2868" s="26">
        <f t="shared" si="44"/>
        <v>1412</v>
      </c>
      <c r="L2868" s="26">
        <v>1412</v>
      </c>
      <c r="O2868" s="22" t="s">
        <v>5634</v>
      </c>
      <c r="P2868" s="22" t="s">
        <v>5595</v>
      </c>
      <c r="Q2868" s="22">
        <v>92064</v>
      </c>
      <c r="X2868" s="26"/>
      <c r="Y2868" s="26"/>
    </row>
    <row r="2869" spans="1:25" ht="50" x14ac:dyDescent="0.25">
      <c r="A2869" s="21">
        <v>3108</v>
      </c>
      <c r="B2869" s="22" t="s">
        <v>15338</v>
      </c>
      <c r="C2869" s="22" t="s">
        <v>5637</v>
      </c>
      <c r="F2869" s="22">
        <v>890696</v>
      </c>
      <c r="G2869" s="23" t="s">
        <v>5638</v>
      </c>
      <c r="H2869" s="25" t="s">
        <v>15373</v>
      </c>
      <c r="I2869" s="22" t="s">
        <v>15411</v>
      </c>
      <c r="J2869" s="22" t="s">
        <v>15412</v>
      </c>
      <c r="K2869" s="26">
        <f t="shared" si="44"/>
        <v>720</v>
      </c>
      <c r="L2869" s="26">
        <v>720</v>
      </c>
      <c r="O2869" s="22" t="s">
        <v>5639</v>
      </c>
      <c r="P2869" s="22" t="s">
        <v>5640</v>
      </c>
      <c r="Q2869" s="22">
        <v>91941</v>
      </c>
      <c r="S2869" s="22" t="s">
        <v>5641</v>
      </c>
      <c r="X2869" s="26"/>
      <c r="Y2869" s="26"/>
    </row>
    <row r="2870" spans="1:25" ht="50" x14ac:dyDescent="0.25">
      <c r="A2870" s="21">
        <v>3109</v>
      </c>
      <c r="B2870" s="22" t="s">
        <v>15338</v>
      </c>
      <c r="C2870" s="22" t="s">
        <v>5637</v>
      </c>
      <c r="F2870" s="22">
        <v>890697</v>
      </c>
      <c r="G2870" s="23" t="s">
        <v>5642</v>
      </c>
      <c r="H2870" s="25" t="s">
        <v>15373</v>
      </c>
      <c r="I2870" s="22" t="s">
        <v>15411</v>
      </c>
      <c r="J2870" s="22" t="s">
        <v>15412</v>
      </c>
      <c r="K2870" s="26">
        <f t="shared" si="44"/>
        <v>720</v>
      </c>
      <c r="L2870" s="26">
        <v>720</v>
      </c>
      <c r="O2870" s="22" t="s">
        <v>5639</v>
      </c>
      <c r="P2870" s="22" t="s">
        <v>5640</v>
      </c>
      <c r="Q2870" s="22">
        <v>91941</v>
      </c>
      <c r="S2870" s="22" t="s">
        <v>5641</v>
      </c>
      <c r="X2870" s="26"/>
      <c r="Y2870" s="26"/>
    </row>
    <row r="2871" spans="1:25" ht="50" x14ac:dyDescent="0.25">
      <c r="A2871" s="21">
        <v>3110</v>
      </c>
      <c r="B2871" s="22" t="s">
        <v>15338</v>
      </c>
      <c r="C2871" s="22" t="s">
        <v>5637</v>
      </c>
      <c r="F2871" s="22">
        <v>890698</v>
      </c>
      <c r="G2871" s="23" t="s">
        <v>5643</v>
      </c>
      <c r="H2871" s="25" t="s">
        <v>15373</v>
      </c>
      <c r="I2871" s="22" t="s">
        <v>15411</v>
      </c>
      <c r="J2871" s="22" t="s">
        <v>15412</v>
      </c>
      <c r="K2871" s="26">
        <f t="shared" si="44"/>
        <v>720</v>
      </c>
      <c r="L2871" s="26">
        <v>720</v>
      </c>
      <c r="O2871" s="22" t="s">
        <v>5639</v>
      </c>
      <c r="P2871" s="22" t="s">
        <v>5640</v>
      </c>
      <c r="Q2871" s="22">
        <v>91941</v>
      </c>
      <c r="S2871" s="22" t="s">
        <v>5641</v>
      </c>
      <c r="X2871" s="26"/>
      <c r="Y2871" s="26"/>
    </row>
    <row r="2872" spans="1:25" ht="25" x14ac:dyDescent="0.25">
      <c r="A2872" s="21">
        <v>3111</v>
      </c>
      <c r="B2872" s="22" t="s">
        <v>15338</v>
      </c>
      <c r="C2872" s="22" t="s">
        <v>5644</v>
      </c>
      <c r="F2872" s="22">
        <v>971794</v>
      </c>
      <c r="G2872" s="23" t="s">
        <v>5645</v>
      </c>
      <c r="H2872" s="25" t="s">
        <v>15373</v>
      </c>
      <c r="I2872" s="22" t="s">
        <v>15374</v>
      </c>
      <c r="J2872" s="22" t="s">
        <v>17288</v>
      </c>
      <c r="K2872" s="26">
        <f t="shared" si="44"/>
        <v>382</v>
      </c>
      <c r="L2872" s="26">
        <v>382</v>
      </c>
      <c r="O2872" s="22" t="s">
        <v>5646</v>
      </c>
      <c r="P2872" s="22" t="s">
        <v>6558</v>
      </c>
      <c r="Q2872" s="22">
        <v>92127</v>
      </c>
      <c r="S2872" s="22" t="s">
        <v>5647</v>
      </c>
      <c r="X2872" s="26"/>
      <c r="Y2872" s="26"/>
    </row>
    <row r="2873" spans="1:25" ht="37.5" x14ac:dyDescent="0.25">
      <c r="A2873" s="21">
        <v>3112</v>
      </c>
      <c r="B2873" s="22" t="s">
        <v>15338</v>
      </c>
      <c r="C2873" s="22" t="s">
        <v>5648</v>
      </c>
      <c r="F2873" s="22">
        <v>974059</v>
      </c>
      <c r="G2873" s="23" t="s">
        <v>5649</v>
      </c>
      <c r="H2873" s="25" t="s">
        <v>15373</v>
      </c>
      <c r="I2873" s="22" t="s">
        <v>15382</v>
      </c>
      <c r="J2873" s="22" t="s">
        <v>13139</v>
      </c>
      <c r="K2873" s="26">
        <f t="shared" si="44"/>
        <v>345</v>
      </c>
      <c r="L2873" s="26">
        <v>345</v>
      </c>
      <c r="O2873" s="22" t="s">
        <v>5650</v>
      </c>
      <c r="P2873" s="22" t="s">
        <v>6558</v>
      </c>
      <c r="Q2873" s="22">
        <v>92108</v>
      </c>
      <c r="X2873" s="26"/>
      <c r="Y2873" s="26"/>
    </row>
    <row r="2874" spans="1:25" ht="25" x14ac:dyDescent="0.25">
      <c r="A2874" s="21">
        <v>3113</v>
      </c>
      <c r="B2874" s="22" t="s">
        <v>15338</v>
      </c>
      <c r="C2874" s="22" t="s">
        <v>5651</v>
      </c>
      <c r="F2874" s="22">
        <v>961075</v>
      </c>
      <c r="G2874" s="23" t="s">
        <v>5652</v>
      </c>
      <c r="H2874" s="25" t="s">
        <v>15373</v>
      </c>
      <c r="I2874" s="22" t="s">
        <v>15382</v>
      </c>
      <c r="J2874" s="22" t="s">
        <v>11902</v>
      </c>
      <c r="K2874" s="26">
        <f t="shared" si="44"/>
        <v>348</v>
      </c>
      <c r="L2874" s="26">
        <v>348</v>
      </c>
      <c r="O2874" s="22" t="s">
        <v>5653</v>
      </c>
      <c r="P2874" s="22" t="s">
        <v>6558</v>
      </c>
      <c r="Q2874" s="22">
        <v>92123</v>
      </c>
      <c r="X2874" s="26"/>
      <c r="Y2874" s="26"/>
    </row>
    <row r="2875" spans="1:25" ht="25" x14ac:dyDescent="0.25">
      <c r="A2875" s="21">
        <v>3114</v>
      </c>
      <c r="B2875" s="22" t="s">
        <v>15338</v>
      </c>
      <c r="C2875" s="22" t="s">
        <v>5654</v>
      </c>
      <c r="F2875" s="22">
        <v>972208</v>
      </c>
      <c r="G2875" s="23" t="s">
        <v>5655</v>
      </c>
      <c r="H2875" s="25" t="s">
        <v>15373</v>
      </c>
      <c r="I2875" s="22" t="s">
        <v>15374</v>
      </c>
      <c r="J2875" s="22">
        <v>3406</v>
      </c>
      <c r="K2875" s="26">
        <f t="shared" si="44"/>
        <v>350</v>
      </c>
      <c r="L2875" s="26">
        <v>350</v>
      </c>
      <c r="O2875" s="22" t="s">
        <v>5656</v>
      </c>
      <c r="P2875" s="22" t="s">
        <v>5486</v>
      </c>
      <c r="Q2875" s="22">
        <v>92020</v>
      </c>
      <c r="X2875" s="26"/>
      <c r="Y2875" s="26"/>
    </row>
    <row r="2876" spans="1:25" ht="37.5" x14ac:dyDescent="0.25">
      <c r="A2876" s="21">
        <v>3115</v>
      </c>
      <c r="B2876" s="22" t="s">
        <v>15338</v>
      </c>
      <c r="C2876" s="22" t="s">
        <v>5654</v>
      </c>
      <c r="F2876" s="22">
        <v>973107</v>
      </c>
      <c r="G2876" s="23" t="s">
        <v>5657</v>
      </c>
      <c r="H2876" s="25" t="s">
        <v>15373</v>
      </c>
      <c r="I2876" s="22" t="s">
        <v>15382</v>
      </c>
      <c r="J2876" s="22" t="s">
        <v>5658</v>
      </c>
      <c r="K2876" s="26">
        <f t="shared" si="44"/>
        <v>488</v>
      </c>
      <c r="L2876" s="26">
        <v>488</v>
      </c>
      <c r="O2876" s="22" t="s">
        <v>5659</v>
      </c>
      <c r="P2876" s="22" t="s">
        <v>5660</v>
      </c>
      <c r="Q2876" s="22">
        <v>92040</v>
      </c>
      <c r="X2876" s="26"/>
      <c r="Y2876" s="26"/>
    </row>
    <row r="2877" spans="1:25" ht="37.5" x14ac:dyDescent="0.25">
      <c r="A2877" s="21">
        <v>3116</v>
      </c>
      <c r="B2877" s="22" t="s">
        <v>15338</v>
      </c>
      <c r="C2877" s="22" t="s">
        <v>5661</v>
      </c>
      <c r="F2877" s="22">
        <v>960194</v>
      </c>
      <c r="G2877" s="23" t="s">
        <v>5662</v>
      </c>
      <c r="H2877" s="25" t="s">
        <v>15373</v>
      </c>
      <c r="I2877" s="22" t="s">
        <v>15374</v>
      </c>
      <c r="J2877" s="22" t="s">
        <v>15441</v>
      </c>
      <c r="K2877" s="26">
        <f t="shared" si="44"/>
        <v>485</v>
      </c>
      <c r="L2877" s="26">
        <v>485</v>
      </c>
      <c r="O2877" s="22" t="s">
        <v>5663</v>
      </c>
      <c r="P2877" s="22" t="s">
        <v>6558</v>
      </c>
      <c r="Q2877" s="22">
        <v>92127</v>
      </c>
      <c r="X2877" s="26"/>
      <c r="Y2877" s="26"/>
    </row>
    <row r="2878" spans="1:25" ht="37.5" x14ac:dyDescent="0.25">
      <c r="A2878" s="21">
        <v>3117</v>
      </c>
      <c r="B2878" s="22" t="s">
        <v>15338</v>
      </c>
      <c r="C2878" s="22" t="s">
        <v>5664</v>
      </c>
      <c r="F2878" s="22">
        <v>890253</v>
      </c>
      <c r="G2878" s="23" t="s">
        <v>5665</v>
      </c>
      <c r="H2878" s="25" t="s">
        <v>15373</v>
      </c>
      <c r="I2878" s="22" t="s">
        <v>15382</v>
      </c>
      <c r="J2878" s="22" t="s">
        <v>16861</v>
      </c>
      <c r="K2878" s="26">
        <f t="shared" si="44"/>
        <v>400</v>
      </c>
      <c r="L2878" s="26">
        <v>400</v>
      </c>
      <c r="O2878" s="22" t="s">
        <v>5666</v>
      </c>
      <c r="P2878" s="22" t="s">
        <v>6558</v>
      </c>
      <c r="Q2878" s="22">
        <v>92037</v>
      </c>
      <c r="S2878" s="22" t="s">
        <v>5667</v>
      </c>
      <c r="X2878" s="26"/>
      <c r="Y2878" s="26"/>
    </row>
    <row r="2879" spans="1:25" ht="37.5" x14ac:dyDescent="0.25">
      <c r="A2879" s="21">
        <v>3118</v>
      </c>
      <c r="B2879" s="22" t="s">
        <v>15338</v>
      </c>
      <c r="C2879" s="22" t="s">
        <v>5668</v>
      </c>
      <c r="F2879" s="22">
        <v>974927</v>
      </c>
      <c r="G2879" s="23" t="s">
        <v>5669</v>
      </c>
      <c r="H2879" s="25" t="s">
        <v>15373</v>
      </c>
      <c r="I2879" s="22" t="s">
        <v>15411</v>
      </c>
      <c r="J2879" s="22" t="s">
        <v>5670</v>
      </c>
      <c r="K2879" s="26">
        <f t="shared" si="44"/>
        <v>332</v>
      </c>
      <c r="L2879" s="26">
        <v>332</v>
      </c>
      <c r="O2879" s="22" t="s">
        <v>5671</v>
      </c>
      <c r="P2879" s="22" t="s">
        <v>6558</v>
      </c>
      <c r="Q2879" s="22">
        <v>92101</v>
      </c>
      <c r="X2879" s="26"/>
      <c r="Y2879" s="26"/>
    </row>
    <row r="2880" spans="1:25" ht="37.5" x14ac:dyDescent="0.25">
      <c r="A2880" s="21">
        <v>3119</v>
      </c>
      <c r="B2880" s="22" t="s">
        <v>15338</v>
      </c>
      <c r="C2880" s="22" t="s">
        <v>5672</v>
      </c>
      <c r="F2880" s="22">
        <v>974881</v>
      </c>
      <c r="G2880" s="23" t="s">
        <v>5673</v>
      </c>
      <c r="H2880" s="25" t="s">
        <v>15373</v>
      </c>
      <c r="I2880" s="22" t="s">
        <v>15374</v>
      </c>
      <c r="J2880" s="22" t="s">
        <v>16869</v>
      </c>
      <c r="K2880" s="26">
        <f t="shared" si="44"/>
        <v>582</v>
      </c>
      <c r="L2880" s="26">
        <v>582</v>
      </c>
      <c r="O2880" s="22" t="s">
        <v>5674</v>
      </c>
      <c r="P2880" s="22" t="s">
        <v>6558</v>
      </c>
      <c r="Q2880" s="22">
        <v>92121</v>
      </c>
      <c r="X2880" s="26"/>
      <c r="Y2880" s="26"/>
    </row>
    <row r="2881" spans="1:25" ht="37.5" x14ac:dyDescent="0.25">
      <c r="A2881" s="21">
        <v>3120</v>
      </c>
      <c r="B2881" s="22" t="s">
        <v>15338</v>
      </c>
      <c r="C2881" s="22" t="s">
        <v>5675</v>
      </c>
      <c r="F2881" s="22">
        <v>972746</v>
      </c>
      <c r="G2881" s="23" t="s">
        <v>5676</v>
      </c>
      <c r="H2881" s="25" t="s">
        <v>15373</v>
      </c>
      <c r="I2881" s="22" t="s">
        <v>15382</v>
      </c>
      <c r="J2881" s="22" t="s">
        <v>16861</v>
      </c>
      <c r="K2881" s="26">
        <f t="shared" si="44"/>
        <v>390</v>
      </c>
      <c r="L2881" s="26">
        <v>390</v>
      </c>
      <c r="O2881" s="22" t="s">
        <v>5677</v>
      </c>
      <c r="P2881" s="22" t="s">
        <v>6558</v>
      </c>
      <c r="Q2881" s="22">
        <v>92101</v>
      </c>
      <c r="X2881" s="26"/>
      <c r="Y2881" s="26"/>
    </row>
    <row r="2882" spans="1:25" ht="25" x14ac:dyDescent="0.25">
      <c r="A2882" s="21">
        <v>3121</v>
      </c>
      <c r="B2882" s="22" t="s">
        <v>15338</v>
      </c>
      <c r="C2882" s="22" t="s">
        <v>5678</v>
      </c>
      <c r="F2882" s="22">
        <v>973208</v>
      </c>
      <c r="G2882" s="23" t="s">
        <v>5679</v>
      </c>
      <c r="H2882" s="25" t="s">
        <v>15373</v>
      </c>
      <c r="I2882" s="22" t="s">
        <v>15374</v>
      </c>
      <c r="J2882" s="22">
        <v>3508</v>
      </c>
      <c r="K2882" s="26">
        <f t="shared" si="44"/>
        <v>968</v>
      </c>
      <c r="L2882" s="26">
        <v>968</v>
      </c>
      <c r="O2882" s="22" t="s">
        <v>5680</v>
      </c>
      <c r="P2882" s="22" t="s">
        <v>6558</v>
      </c>
      <c r="Q2882" s="22">
        <v>92111</v>
      </c>
      <c r="X2882" s="26"/>
      <c r="Y2882" s="26"/>
    </row>
    <row r="2883" spans="1:25" ht="37.5" x14ac:dyDescent="0.25">
      <c r="A2883" s="21">
        <v>3122</v>
      </c>
      <c r="B2883" s="22" t="s">
        <v>15338</v>
      </c>
      <c r="C2883" s="22" t="s">
        <v>5681</v>
      </c>
      <c r="F2883" s="22">
        <v>880441</v>
      </c>
      <c r="G2883" s="23" t="s">
        <v>5682</v>
      </c>
      <c r="H2883" s="25" t="s">
        <v>15373</v>
      </c>
      <c r="I2883" s="22" t="s">
        <v>15382</v>
      </c>
      <c r="J2883" s="22" t="s">
        <v>5683</v>
      </c>
      <c r="K2883" s="26">
        <f t="shared" si="44"/>
        <v>600</v>
      </c>
      <c r="L2883" s="26">
        <v>600</v>
      </c>
      <c r="O2883" s="22" t="s">
        <v>5684</v>
      </c>
      <c r="P2883" s="22" t="s">
        <v>5420</v>
      </c>
      <c r="Q2883" s="22">
        <v>92009</v>
      </c>
      <c r="S2883" s="22" t="s">
        <v>5685</v>
      </c>
      <c r="X2883" s="26"/>
      <c r="Y2883" s="26"/>
    </row>
    <row r="2884" spans="1:25" ht="50" x14ac:dyDescent="0.25">
      <c r="A2884" s="21">
        <v>3123</v>
      </c>
      <c r="B2884" s="22" t="s">
        <v>15338</v>
      </c>
      <c r="C2884" s="22" t="s">
        <v>5686</v>
      </c>
      <c r="F2884" s="22">
        <v>900665</v>
      </c>
      <c r="G2884" s="23" t="s">
        <v>5687</v>
      </c>
      <c r="H2884" s="25" t="s">
        <v>15373</v>
      </c>
      <c r="I2884" s="22" t="s">
        <v>15411</v>
      </c>
      <c r="J2884" s="22" t="s">
        <v>14773</v>
      </c>
      <c r="K2884" s="26">
        <f t="shared" si="44"/>
        <v>1000</v>
      </c>
      <c r="L2884" s="26">
        <v>1000</v>
      </c>
      <c r="O2884" s="22" t="s">
        <v>5688</v>
      </c>
      <c r="P2884" s="22" t="s">
        <v>6558</v>
      </c>
      <c r="Q2884" s="22">
        <v>92101</v>
      </c>
      <c r="S2884" s="22" t="s">
        <v>5689</v>
      </c>
      <c r="X2884" s="26"/>
      <c r="Y2884" s="26"/>
    </row>
    <row r="2885" spans="1:25" ht="37.5" x14ac:dyDescent="0.25">
      <c r="A2885" s="21">
        <v>3124</v>
      </c>
      <c r="B2885" s="22" t="s">
        <v>15338</v>
      </c>
      <c r="C2885" s="22" t="s">
        <v>5690</v>
      </c>
      <c r="F2885" s="22">
        <v>890492</v>
      </c>
      <c r="G2885" s="23" t="s">
        <v>5691</v>
      </c>
      <c r="H2885" s="25" t="s">
        <v>15373</v>
      </c>
      <c r="I2885" s="22" t="s">
        <v>15374</v>
      </c>
      <c r="J2885" s="22" t="s">
        <v>16869</v>
      </c>
      <c r="K2885" s="26">
        <f t="shared" si="44"/>
        <v>600</v>
      </c>
      <c r="L2885" s="26">
        <v>600</v>
      </c>
      <c r="O2885" s="22" t="s">
        <v>5692</v>
      </c>
      <c r="P2885" s="22" t="s">
        <v>6558</v>
      </c>
      <c r="Q2885" s="22">
        <v>92122</v>
      </c>
      <c r="S2885" s="22" t="s">
        <v>5693</v>
      </c>
      <c r="X2885" s="26"/>
      <c r="Y2885" s="26"/>
    </row>
    <row r="2886" spans="1:25" ht="25" x14ac:dyDescent="0.25">
      <c r="A2886" s="21">
        <v>3125</v>
      </c>
      <c r="B2886" s="22" t="s">
        <v>15338</v>
      </c>
      <c r="C2886" s="22" t="s">
        <v>5694</v>
      </c>
      <c r="F2886" s="22">
        <v>50386</v>
      </c>
      <c r="G2886" s="23" t="s">
        <v>5695</v>
      </c>
      <c r="H2886" s="25" t="s">
        <v>15373</v>
      </c>
      <c r="I2886" s="22" t="s">
        <v>15374</v>
      </c>
      <c r="J2886" s="22" t="s">
        <v>16899</v>
      </c>
      <c r="K2886" s="26">
        <f t="shared" si="44"/>
        <v>677</v>
      </c>
      <c r="L2886" s="26">
        <v>677</v>
      </c>
      <c r="O2886" s="22" t="s">
        <v>5696</v>
      </c>
      <c r="P2886" s="22" t="s">
        <v>6558</v>
      </c>
      <c r="Q2886" s="22">
        <v>92121</v>
      </c>
      <c r="S2886" s="22" t="s">
        <v>5697</v>
      </c>
      <c r="X2886" s="26"/>
      <c r="Y2886" s="26"/>
    </row>
    <row r="2887" spans="1:25" ht="37.5" x14ac:dyDescent="0.25">
      <c r="A2887" s="21">
        <v>3126</v>
      </c>
      <c r="B2887" s="22" t="s">
        <v>15338</v>
      </c>
      <c r="C2887" s="22" t="s">
        <v>5698</v>
      </c>
      <c r="F2887" s="22">
        <v>920494</v>
      </c>
      <c r="G2887" s="23" t="s">
        <v>5699</v>
      </c>
      <c r="H2887" s="25" t="s">
        <v>15373</v>
      </c>
      <c r="I2887" s="22" t="s">
        <v>15374</v>
      </c>
      <c r="J2887" s="22" t="s">
        <v>16869</v>
      </c>
      <c r="K2887" s="26">
        <f t="shared" si="44"/>
        <v>600</v>
      </c>
      <c r="L2887" s="26">
        <v>600</v>
      </c>
      <c r="O2887" s="22" t="s">
        <v>5700</v>
      </c>
      <c r="P2887" s="22" t="s">
        <v>6558</v>
      </c>
      <c r="Q2887" s="22">
        <v>92121</v>
      </c>
      <c r="S2887" s="22" t="s">
        <v>5701</v>
      </c>
      <c r="X2887" s="26"/>
      <c r="Y2887" s="26"/>
    </row>
    <row r="2888" spans="1:25" ht="37.5" x14ac:dyDescent="0.25">
      <c r="A2888" s="21">
        <v>3127</v>
      </c>
      <c r="B2888" s="22" t="s">
        <v>15338</v>
      </c>
      <c r="C2888" s="22" t="s">
        <v>5702</v>
      </c>
      <c r="F2888" s="22">
        <v>974552</v>
      </c>
      <c r="G2888" s="23" t="s">
        <v>5703</v>
      </c>
      <c r="H2888" s="25" t="s">
        <v>15373</v>
      </c>
      <c r="I2888" s="22" t="s">
        <v>15382</v>
      </c>
      <c r="J2888" s="22" t="s">
        <v>5704</v>
      </c>
      <c r="K2888" s="26">
        <f t="shared" si="44"/>
        <v>780</v>
      </c>
      <c r="L2888" s="26">
        <v>780</v>
      </c>
      <c r="O2888" s="22" t="s">
        <v>5705</v>
      </c>
      <c r="P2888" s="22" t="s">
        <v>6558</v>
      </c>
      <c r="Q2888" s="22">
        <v>92121</v>
      </c>
      <c r="X2888" s="26"/>
      <c r="Y2888" s="26"/>
    </row>
    <row r="2889" spans="1:25" ht="25" x14ac:dyDescent="0.25">
      <c r="A2889" s="21">
        <v>3128</v>
      </c>
      <c r="B2889" s="22" t="s">
        <v>15338</v>
      </c>
      <c r="C2889" s="22" t="s">
        <v>5706</v>
      </c>
      <c r="F2889" s="22">
        <v>960439</v>
      </c>
      <c r="G2889" s="23" t="s">
        <v>5707</v>
      </c>
      <c r="H2889" s="25" t="s">
        <v>15373</v>
      </c>
      <c r="I2889" s="22" t="s">
        <v>15382</v>
      </c>
      <c r="J2889" s="22" t="s">
        <v>11902</v>
      </c>
      <c r="K2889" s="26">
        <f t="shared" si="44"/>
        <v>348</v>
      </c>
      <c r="L2889" s="26">
        <v>348</v>
      </c>
      <c r="O2889" s="22" t="s">
        <v>5708</v>
      </c>
      <c r="P2889" s="22" t="s">
        <v>6558</v>
      </c>
      <c r="Q2889" s="22">
        <v>92130</v>
      </c>
      <c r="X2889" s="26"/>
      <c r="Y2889" s="26"/>
    </row>
    <row r="2890" spans="1:25" ht="37.5" x14ac:dyDescent="0.25">
      <c r="A2890" s="21">
        <v>3129</v>
      </c>
      <c r="B2890" s="22" t="s">
        <v>15338</v>
      </c>
      <c r="C2890" s="22" t="s">
        <v>5709</v>
      </c>
      <c r="F2890" s="22">
        <v>973921</v>
      </c>
      <c r="G2890" s="23" t="s">
        <v>5710</v>
      </c>
      <c r="H2890" s="25" t="s">
        <v>15373</v>
      </c>
      <c r="I2890" s="22" t="s">
        <v>15374</v>
      </c>
      <c r="J2890" s="22">
        <v>3406</v>
      </c>
      <c r="K2890" s="26">
        <f t="shared" ref="K2890:K2953" si="45">L2890+M2890*(2/3)+N2890*(2/3)</f>
        <v>382</v>
      </c>
      <c r="L2890" s="26">
        <v>382</v>
      </c>
      <c r="O2890" s="22" t="s">
        <v>5711</v>
      </c>
      <c r="P2890" s="22" t="s">
        <v>6558</v>
      </c>
      <c r="Q2890" s="22">
        <v>92122</v>
      </c>
      <c r="X2890" s="26"/>
      <c r="Y2890" s="26"/>
    </row>
    <row r="2891" spans="1:25" ht="50" x14ac:dyDescent="0.25">
      <c r="A2891" s="21">
        <v>3130</v>
      </c>
      <c r="B2891" s="22" t="s">
        <v>15338</v>
      </c>
      <c r="C2891" s="22" t="s">
        <v>5709</v>
      </c>
      <c r="F2891" s="22">
        <v>973287</v>
      </c>
      <c r="G2891" s="23" t="s">
        <v>5712</v>
      </c>
      <c r="H2891" s="25" t="s">
        <v>15373</v>
      </c>
      <c r="I2891" s="22" t="s">
        <v>15411</v>
      </c>
      <c r="J2891" s="22" t="s">
        <v>12262</v>
      </c>
      <c r="K2891" s="26">
        <f t="shared" si="45"/>
        <v>1250</v>
      </c>
      <c r="L2891" s="26">
        <v>1250</v>
      </c>
      <c r="O2891" s="22" t="s">
        <v>5711</v>
      </c>
      <c r="P2891" s="22" t="s">
        <v>6558</v>
      </c>
      <c r="Q2891" s="22">
        <v>92122</v>
      </c>
      <c r="X2891" s="26"/>
      <c r="Y2891" s="26"/>
    </row>
    <row r="2892" spans="1:25" ht="50" x14ac:dyDescent="0.25">
      <c r="A2892" s="21">
        <v>3131</v>
      </c>
      <c r="B2892" s="22" t="s">
        <v>15338</v>
      </c>
      <c r="C2892" s="22" t="s">
        <v>5709</v>
      </c>
      <c r="F2892" s="22">
        <v>973288</v>
      </c>
      <c r="G2892" s="23" t="s">
        <v>4677</v>
      </c>
      <c r="H2892" s="25" t="s">
        <v>15373</v>
      </c>
      <c r="I2892" s="22" t="s">
        <v>15411</v>
      </c>
      <c r="J2892" s="22" t="s">
        <v>12262</v>
      </c>
      <c r="K2892" s="26">
        <f t="shared" si="45"/>
        <v>1250</v>
      </c>
      <c r="L2892" s="26">
        <v>1250</v>
      </c>
      <c r="O2892" s="22" t="s">
        <v>5711</v>
      </c>
      <c r="P2892" s="22" t="s">
        <v>6558</v>
      </c>
      <c r="Q2892" s="22">
        <v>92122</v>
      </c>
      <c r="X2892" s="26"/>
      <c r="Y2892" s="26"/>
    </row>
    <row r="2893" spans="1:25" ht="62.5" x14ac:dyDescent="0.25">
      <c r="A2893" s="21">
        <v>3132</v>
      </c>
      <c r="B2893" s="22" t="s">
        <v>15338</v>
      </c>
      <c r="C2893" s="22" t="s">
        <v>4678</v>
      </c>
      <c r="F2893" s="22">
        <v>920893</v>
      </c>
      <c r="G2893" s="23" t="s">
        <v>4679</v>
      </c>
      <c r="H2893" s="25" t="s">
        <v>15373</v>
      </c>
      <c r="I2893" s="22" t="s">
        <v>15411</v>
      </c>
      <c r="J2893" s="22" t="s">
        <v>15542</v>
      </c>
      <c r="K2893" s="26">
        <f t="shared" si="45"/>
        <v>616</v>
      </c>
      <c r="L2893" s="26">
        <v>616</v>
      </c>
      <c r="O2893" s="22" t="s">
        <v>4680</v>
      </c>
      <c r="P2893" s="22" t="s">
        <v>5420</v>
      </c>
      <c r="Q2893" s="22">
        <v>92008</v>
      </c>
      <c r="S2893" s="22" t="s">
        <v>4681</v>
      </c>
      <c r="X2893" s="26"/>
      <c r="Y2893" s="26"/>
    </row>
    <row r="2894" spans="1:25" ht="37.5" x14ac:dyDescent="0.25">
      <c r="A2894" s="21">
        <v>3133</v>
      </c>
      <c r="B2894" s="22" t="s">
        <v>15338</v>
      </c>
      <c r="C2894" s="22" t="s">
        <v>4682</v>
      </c>
      <c r="F2894" s="22">
        <v>974862</v>
      </c>
      <c r="G2894" s="23" t="s">
        <v>4683</v>
      </c>
      <c r="H2894" s="25" t="s">
        <v>15373</v>
      </c>
      <c r="I2894" s="22" t="s">
        <v>15411</v>
      </c>
      <c r="J2894" s="22" t="s">
        <v>4684</v>
      </c>
      <c r="K2894" s="26">
        <f t="shared" si="45"/>
        <v>592</v>
      </c>
      <c r="L2894" s="26">
        <v>592</v>
      </c>
      <c r="O2894" s="22" t="s">
        <v>4685</v>
      </c>
      <c r="P2894" s="22" t="s">
        <v>6558</v>
      </c>
      <c r="Q2894" s="22">
        <v>92123</v>
      </c>
      <c r="X2894" s="26"/>
      <c r="Y2894" s="26"/>
    </row>
    <row r="2895" spans="1:25" ht="37.5" x14ac:dyDescent="0.25">
      <c r="A2895" s="21">
        <v>3134</v>
      </c>
      <c r="B2895" s="22" t="s">
        <v>15338</v>
      </c>
      <c r="C2895" s="22" t="s">
        <v>6670</v>
      </c>
      <c r="F2895" s="22">
        <v>930740</v>
      </c>
      <c r="G2895" s="23" t="s">
        <v>4686</v>
      </c>
      <c r="H2895" s="25" t="s">
        <v>15373</v>
      </c>
      <c r="I2895" s="22" t="s">
        <v>15374</v>
      </c>
      <c r="J2895" s="22" t="s">
        <v>4687</v>
      </c>
      <c r="K2895" s="26">
        <f t="shared" si="45"/>
        <v>1125</v>
      </c>
      <c r="L2895" s="26">
        <v>1125</v>
      </c>
      <c r="O2895" s="22" t="s">
        <v>4688</v>
      </c>
      <c r="P2895" s="22" t="s">
        <v>6558</v>
      </c>
      <c r="Q2895" s="22">
        <v>92120</v>
      </c>
      <c r="S2895" s="22" t="s">
        <v>4689</v>
      </c>
      <c r="X2895" s="26"/>
      <c r="Y2895" s="26"/>
    </row>
    <row r="2896" spans="1:25" ht="37.5" x14ac:dyDescent="0.25">
      <c r="A2896" s="21">
        <v>3135</v>
      </c>
      <c r="B2896" s="22" t="s">
        <v>15338</v>
      </c>
      <c r="C2896" s="22" t="s">
        <v>6670</v>
      </c>
      <c r="F2896" s="22">
        <v>930741</v>
      </c>
      <c r="G2896" s="23" t="s">
        <v>4690</v>
      </c>
      <c r="H2896" s="25" t="s">
        <v>15373</v>
      </c>
      <c r="I2896" s="22" t="s">
        <v>15374</v>
      </c>
      <c r="J2896" s="22" t="s">
        <v>4687</v>
      </c>
      <c r="K2896" s="26">
        <f t="shared" si="45"/>
        <v>1125</v>
      </c>
      <c r="L2896" s="26">
        <v>1125</v>
      </c>
      <c r="O2896" s="22" t="s">
        <v>4688</v>
      </c>
      <c r="P2896" s="22" t="s">
        <v>6558</v>
      </c>
      <c r="Q2896" s="22">
        <v>92120</v>
      </c>
      <c r="S2896" s="22" t="s">
        <v>4689</v>
      </c>
      <c r="X2896" s="26"/>
      <c r="Y2896" s="26"/>
    </row>
    <row r="2897" spans="1:25" ht="37.5" x14ac:dyDescent="0.25">
      <c r="A2897" s="21">
        <v>3136</v>
      </c>
      <c r="B2897" s="22" t="s">
        <v>15338</v>
      </c>
      <c r="C2897" s="22" t="s">
        <v>6670</v>
      </c>
      <c r="F2897" s="22">
        <v>941075</v>
      </c>
      <c r="G2897" s="23" t="s">
        <v>4691</v>
      </c>
      <c r="H2897" s="25" t="s">
        <v>15373</v>
      </c>
      <c r="I2897" s="22" t="s">
        <v>15374</v>
      </c>
      <c r="J2897" s="22">
        <v>3406</v>
      </c>
      <c r="K2897" s="26">
        <f t="shared" si="45"/>
        <v>300</v>
      </c>
      <c r="L2897" s="26">
        <v>300</v>
      </c>
      <c r="O2897" s="22" t="s">
        <v>4692</v>
      </c>
      <c r="P2897" s="22" t="s">
        <v>6558</v>
      </c>
      <c r="Q2897" s="22">
        <v>92123</v>
      </c>
      <c r="S2897" s="22" t="s">
        <v>4689</v>
      </c>
      <c r="X2897" s="26"/>
      <c r="Y2897" s="26"/>
    </row>
    <row r="2898" spans="1:25" ht="37.5" x14ac:dyDescent="0.25">
      <c r="A2898" s="21">
        <v>3137</v>
      </c>
      <c r="B2898" s="22" t="s">
        <v>15338</v>
      </c>
      <c r="C2898" s="22" t="s">
        <v>6670</v>
      </c>
      <c r="F2898" s="22">
        <v>961428</v>
      </c>
      <c r="G2898" s="23" t="s">
        <v>4693</v>
      </c>
      <c r="H2898" s="25" t="s">
        <v>15373</v>
      </c>
      <c r="I2898" s="22" t="s">
        <v>15382</v>
      </c>
      <c r="J2898" s="22" t="s">
        <v>4694</v>
      </c>
      <c r="K2898" s="26">
        <f t="shared" si="45"/>
        <v>500</v>
      </c>
      <c r="L2898" s="26">
        <v>500</v>
      </c>
      <c r="O2898" s="22" t="s">
        <v>4688</v>
      </c>
      <c r="P2898" s="22" t="s">
        <v>6558</v>
      </c>
      <c r="Q2898" s="22">
        <v>92120</v>
      </c>
      <c r="S2898" s="22" t="s">
        <v>4689</v>
      </c>
      <c r="X2898" s="26"/>
      <c r="Y2898" s="26"/>
    </row>
    <row r="2899" spans="1:25" ht="37.5" x14ac:dyDescent="0.25">
      <c r="A2899" s="21">
        <v>3138</v>
      </c>
      <c r="B2899" s="22" t="s">
        <v>15338</v>
      </c>
      <c r="C2899" s="22" t="s">
        <v>6670</v>
      </c>
      <c r="F2899" s="22">
        <v>961429</v>
      </c>
      <c r="G2899" s="23" t="s">
        <v>4695</v>
      </c>
      <c r="H2899" s="25" t="s">
        <v>15373</v>
      </c>
      <c r="I2899" s="22" t="s">
        <v>15382</v>
      </c>
      <c r="J2899" s="22" t="s">
        <v>4694</v>
      </c>
      <c r="K2899" s="26">
        <f t="shared" si="45"/>
        <v>500</v>
      </c>
      <c r="L2899" s="26">
        <v>500</v>
      </c>
      <c r="O2899" s="22" t="s">
        <v>4688</v>
      </c>
      <c r="P2899" s="22" t="s">
        <v>6558</v>
      </c>
      <c r="Q2899" s="22">
        <v>92120</v>
      </c>
      <c r="S2899" s="22" t="s">
        <v>4689</v>
      </c>
      <c r="X2899" s="26"/>
      <c r="Y2899" s="26"/>
    </row>
    <row r="2900" spans="1:25" ht="37.5" x14ac:dyDescent="0.25">
      <c r="A2900" s="21">
        <v>3139</v>
      </c>
      <c r="B2900" s="22" t="s">
        <v>15338</v>
      </c>
      <c r="C2900" s="22" t="s">
        <v>6670</v>
      </c>
      <c r="F2900" s="22">
        <v>961430</v>
      </c>
      <c r="G2900" s="23" t="s">
        <v>4696</v>
      </c>
      <c r="H2900" s="25" t="s">
        <v>15373</v>
      </c>
      <c r="I2900" s="22" t="s">
        <v>15382</v>
      </c>
      <c r="J2900" s="22" t="s">
        <v>4694</v>
      </c>
      <c r="K2900" s="26">
        <f t="shared" si="45"/>
        <v>500</v>
      </c>
      <c r="L2900" s="26">
        <v>500</v>
      </c>
      <c r="O2900" s="22" t="s">
        <v>4688</v>
      </c>
      <c r="P2900" s="22" t="s">
        <v>6558</v>
      </c>
      <c r="Q2900" s="22">
        <v>92120</v>
      </c>
      <c r="S2900" s="22" t="s">
        <v>4689</v>
      </c>
      <c r="X2900" s="26"/>
      <c r="Y2900" s="26"/>
    </row>
    <row r="2901" spans="1:25" ht="25" x14ac:dyDescent="0.25">
      <c r="A2901" s="21">
        <v>3140</v>
      </c>
      <c r="B2901" s="22" t="s">
        <v>15338</v>
      </c>
      <c r="C2901" s="22" t="s">
        <v>6670</v>
      </c>
      <c r="F2901" s="22">
        <v>974435</v>
      </c>
      <c r="G2901" s="23" t="s">
        <v>4697</v>
      </c>
      <c r="H2901" s="25" t="s">
        <v>15373</v>
      </c>
      <c r="I2901" s="22" t="s">
        <v>15382</v>
      </c>
      <c r="J2901" s="22" t="s">
        <v>4698</v>
      </c>
      <c r="K2901" s="26">
        <f t="shared" si="45"/>
        <v>494</v>
      </c>
      <c r="L2901" s="26">
        <v>494</v>
      </c>
      <c r="O2901" s="22" t="s">
        <v>4688</v>
      </c>
      <c r="P2901" s="22" t="s">
        <v>6558</v>
      </c>
      <c r="Q2901" s="22">
        <v>92120</v>
      </c>
      <c r="S2901" s="22" t="s">
        <v>4689</v>
      </c>
      <c r="X2901" s="26"/>
      <c r="Y2901" s="26"/>
    </row>
    <row r="2902" spans="1:25" ht="37.5" x14ac:dyDescent="0.25">
      <c r="A2902" s="21">
        <v>3141</v>
      </c>
      <c r="B2902" s="22" t="s">
        <v>15338</v>
      </c>
      <c r="C2902" s="22" t="s">
        <v>6670</v>
      </c>
      <c r="F2902" s="22">
        <v>950258</v>
      </c>
      <c r="G2902" s="23" t="s">
        <v>4699</v>
      </c>
      <c r="H2902" s="25" t="s">
        <v>15373</v>
      </c>
      <c r="I2902" s="22" t="s">
        <v>15382</v>
      </c>
      <c r="J2902" s="22" t="s">
        <v>14850</v>
      </c>
      <c r="K2902" s="26">
        <f t="shared" si="45"/>
        <v>300</v>
      </c>
      <c r="L2902" s="26">
        <v>300</v>
      </c>
      <c r="O2902" s="22" t="s">
        <v>4700</v>
      </c>
      <c r="P2902" s="22" t="s">
        <v>5486</v>
      </c>
      <c r="Q2902" s="22">
        <v>92021</v>
      </c>
      <c r="S2902" s="22" t="s">
        <v>4701</v>
      </c>
      <c r="X2902" s="26"/>
      <c r="Y2902" s="26"/>
    </row>
    <row r="2903" spans="1:25" ht="25" x14ac:dyDescent="0.25">
      <c r="A2903" s="21">
        <v>3142</v>
      </c>
      <c r="B2903" s="22" t="s">
        <v>15338</v>
      </c>
      <c r="C2903" s="22" t="s">
        <v>6671</v>
      </c>
      <c r="F2903" s="22">
        <v>971622</v>
      </c>
      <c r="G2903" s="23" t="s">
        <v>4702</v>
      </c>
      <c r="H2903" s="25" t="s">
        <v>15373</v>
      </c>
      <c r="I2903" s="22" t="s">
        <v>15411</v>
      </c>
      <c r="J2903" s="22" t="s">
        <v>16276</v>
      </c>
      <c r="K2903" s="26">
        <f t="shared" si="45"/>
        <v>369</v>
      </c>
      <c r="L2903" s="26">
        <v>369</v>
      </c>
      <c r="O2903" s="22" t="s">
        <v>4703</v>
      </c>
      <c r="P2903" s="22" t="s">
        <v>6558</v>
      </c>
      <c r="Q2903" s="22">
        <v>92173</v>
      </c>
      <c r="X2903" s="26"/>
      <c r="Y2903" s="26"/>
    </row>
    <row r="2904" spans="1:25" ht="62.5" x14ac:dyDescent="0.25">
      <c r="A2904" s="21">
        <v>3143</v>
      </c>
      <c r="B2904" s="22" t="s">
        <v>15338</v>
      </c>
      <c r="C2904" s="22" t="s">
        <v>4704</v>
      </c>
      <c r="F2904" s="22">
        <v>940294</v>
      </c>
      <c r="G2904" s="23" t="s">
        <v>4705</v>
      </c>
      <c r="H2904" s="25" t="s">
        <v>15373</v>
      </c>
      <c r="I2904" s="22" t="s">
        <v>15382</v>
      </c>
      <c r="J2904" s="22" t="s">
        <v>14659</v>
      </c>
      <c r="K2904" s="26">
        <f t="shared" si="45"/>
        <v>500</v>
      </c>
      <c r="L2904" s="26">
        <v>500</v>
      </c>
      <c r="O2904" s="22" t="s">
        <v>4706</v>
      </c>
      <c r="P2904" s="22" t="s">
        <v>6558</v>
      </c>
      <c r="Q2904" s="22">
        <v>92105</v>
      </c>
      <c r="S2904" s="22" t="s">
        <v>4707</v>
      </c>
      <c r="X2904" s="26"/>
      <c r="Y2904" s="26"/>
    </row>
    <row r="2905" spans="1:25" ht="37.5" x14ac:dyDescent="0.25">
      <c r="A2905" s="21">
        <v>3144</v>
      </c>
      <c r="B2905" s="22" t="s">
        <v>15338</v>
      </c>
      <c r="C2905" s="22" t="s">
        <v>4708</v>
      </c>
      <c r="F2905" s="22">
        <v>880428</v>
      </c>
      <c r="G2905" s="23" t="s">
        <v>4709</v>
      </c>
      <c r="H2905" s="25" t="s">
        <v>15373</v>
      </c>
      <c r="I2905" s="22" t="s">
        <v>15411</v>
      </c>
      <c r="J2905" s="22" t="s">
        <v>14773</v>
      </c>
      <c r="K2905" s="26">
        <f t="shared" si="45"/>
        <v>800</v>
      </c>
      <c r="L2905" s="26">
        <v>800</v>
      </c>
      <c r="O2905" s="22" t="s">
        <v>4710</v>
      </c>
      <c r="P2905" s="22" t="s">
        <v>4711</v>
      </c>
      <c r="Q2905" s="22">
        <v>91978</v>
      </c>
      <c r="S2905" s="22" t="s">
        <v>4712</v>
      </c>
      <c r="X2905" s="26"/>
      <c r="Y2905" s="26"/>
    </row>
    <row r="2906" spans="1:25" ht="37.5" x14ac:dyDescent="0.25">
      <c r="A2906" s="21">
        <v>3145</v>
      </c>
      <c r="B2906" s="22" t="s">
        <v>15338</v>
      </c>
      <c r="C2906" s="22" t="s">
        <v>4708</v>
      </c>
      <c r="F2906" s="22">
        <v>890943</v>
      </c>
      <c r="G2906" s="23" t="s">
        <v>4713</v>
      </c>
      <c r="H2906" s="25" t="s">
        <v>15373</v>
      </c>
      <c r="I2906" s="22" t="s">
        <v>4714</v>
      </c>
      <c r="J2906" s="22" t="s">
        <v>4715</v>
      </c>
      <c r="K2906" s="26">
        <f t="shared" si="45"/>
        <v>330</v>
      </c>
      <c r="L2906" s="26">
        <v>330</v>
      </c>
      <c r="O2906" s="22" t="s">
        <v>4710</v>
      </c>
      <c r="P2906" s="22" t="s">
        <v>4711</v>
      </c>
      <c r="Q2906" s="22">
        <v>91978</v>
      </c>
      <c r="S2906" s="22" t="s">
        <v>4712</v>
      </c>
      <c r="X2906" s="26"/>
      <c r="Y2906" s="26"/>
    </row>
    <row r="2907" spans="1:25" ht="37.5" x14ac:dyDescent="0.25">
      <c r="A2907" s="21">
        <v>3146</v>
      </c>
      <c r="B2907" s="22" t="s">
        <v>15338</v>
      </c>
      <c r="C2907" s="22" t="s">
        <v>4716</v>
      </c>
      <c r="F2907" s="22">
        <v>973119</v>
      </c>
      <c r="G2907" s="23" t="s">
        <v>4717</v>
      </c>
      <c r="H2907" s="25" t="s">
        <v>15373</v>
      </c>
      <c r="I2907" s="22" t="s">
        <v>15374</v>
      </c>
      <c r="J2907" s="22">
        <v>3412</v>
      </c>
      <c r="K2907" s="26">
        <f t="shared" si="45"/>
        <v>470</v>
      </c>
      <c r="L2907" s="26">
        <v>470</v>
      </c>
      <c r="O2907" s="22" t="s">
        <v>4718</v>
      </c>
      <c r="P2907" s="22" t="s">
        <v>6558</v>
      </c>
      <c r="Q2907" s="22">
        <v>92101</v>
      </c>
      <c r="X2907" s="26"/>
      <c r="Y2907" s="26"/>
    </row>
    <row r="2908" spans="1:25" ht="37.5" x14ac:dyDescent="0.25">
      <c r="A2908" s="21">
        <v>3147</v>
      </c>
      <c r="B2908" s="22" t="s">
        <v>15338</v>
      </c>
      <c r="C2908" s="22" t="s">
        <v>4719</v>
      </c>
      <c r="F2908" s="22">
        <v>971672</v>
      </c>
      <c r="G2908" s="23" t="s">
        <v>4720</v>
      </c>
      <c r="H2908" s="25" t="s">
        <v>15373</v>
      </c>
      <c r="I2908" s="22" t="s">
        <v>15411</v>
      </c>
      <c r="J2908" s="22" t="s">
        <v>17698</v>
      </c>
      <c r="K2908" s="26">
        <f t="shared" si="45"/>
        <v>308</v>
      </c>
      <c r="L2908" s="26">
        <v>308</v>
      </c>
      <c r="O2908" s="22" t="s">
        <v>4721</v>
      </c>
      <c r="P2908" s="22" t="s">
        <v>6558</v>
      </c>
      <c r="Q2908" s="22">
        <v>92111</v>
      </c>
      <c r="X2908" s="26"/>
      <c r="Y2908" s="26"/>
    </row>
    <row r="2909" spans="1:25" ht="62.5" x14ac:dyDescent="0.25">
      <c r="A2909" s="21">
        <v>3148</v>
      </c>
      <c r="B2909" s="22" t="s">
        <v>15338</v>
      </c>
      <c r="C2909" s="22" t="s">
        <v>4722</v>
      </c>
      <c r="F2909" s="22">
        <v>950204</v>
      </c>
      <c r="G2909" s="23" t="s">
        <v>4723</v>
      </c>
      <c r="H2909" s="25" t="s">
        <v>15373</v>
      </c>
      <c r="I2909" s="22" t="s">
        <v>15411</v>
      </c>
      <c r="J2909" s="22" t="s">
        <v>16276</v>
      </c>
      <c r="K2909" s="26">
        <f t="shared" si="45"/>
        <v>350</v>
      </c>
      <c r="L2909" s="26">
        <v>350</v>
      </c>
      <c r="O2909" s="22" t="s">
        <v>4724</v>
      </c>
      <c r="P2909" s="22" t="s">
        <v>6558</v>
      </c>
      <c r="Q2909" s="22">
        <v>92121</v>
      </c>
      <c r="S2909" s="22" t="s">
        <v>4725</v>
      </c>
      <c r="X2909" s="26"/>
      <c r="Y2909" s="26"/>
    </row>
    <row r="2910" spans="1:25" ht="37.5" x14ac:dyDescent="0.25">
      <c r="A2910" s="21">
        <v>3149</v>
      </c>
      <c r="B2910" s="22" t="s">
        <v>15338</v>
      </c>
      <c r="C2910" s="22" t="s">
        <v>4726</v>
      </c>
      <c r="F2910" s="22">
        <v>973825</v>
      </c>
      <c r="G2910" s="23" t="s">
        <v>4727</v>
      </c>
      <c r="H2910" s="25" t="s">
        <v>15373</v>
      </c>
      <c r="I2910" s="22" t="s">
        <v>15374</v>
      </c>
      <c r="J2910" s="22" t="s">
        <v>4728</v>
      </c>
      <c r="K2910" s="26">
        <f t="shared" si="45"/>
        <v>354</v>
      </c>
      <c r="L2910" s="26">
        <v>354</v>
      </c>
      <c r="O2910" s="22" t="s">
        <v>4729</v>
      </c>
      <c r="P2910" s="22" t="s">
        <v>6566</v>
      </c>
      <c r="Q2910" s="22">
        <v>92037</v>
      </c>
      <c r="X2910" s="26"/>
      <c r="Y2910" s="26"/>
    </row>
    <row r="2911" spans="1:25" ht="37.5" x14ac:dyDescent="0.25">
      <c r="A2911" s="21">
        <v>3150</v>
      </c>
      <c r="B2911" s="22" t="s">
        <v>15338</v>
      </c>
      <c r="C2911" s="22" t="s">
        <v>4730</v>
      </c>
      <c r="F2911" s="22">
        <v>950447</v>
      </c>
      <c r="G2911" s="23" t="s">
        <v>4731</v>
      </c>
      <c r="H2911" s="25" t="s">
        <v>15373</v>
      </c>
      <c r="I2911" s="22" t="s">
        <v>15411</v>
      </c>
      <c r="J2911" s="22" t="s">
        <v>12508</v>
      </c>
      <c r="K2911" s="26">
        <f t="shared" si="45"/>
        <v>450</v>
      </c>
      <c r="L2911" s="26">
        <v>450</v>
      </c>
      <c r="O2911" s="22" t="s">
        <v>4732</v>
      </c>
      <c r="P2911" s="22" t="s">
        <v>6558</v>
      </c>
      <c r="Q2911" s="22">
        <v>92122</v>
      </c>
      <c r="S2911" s="22" t="s">
        <v>4733</v>
      </c>
      <c r="X2911" s="26"/>
      <c r="Y2911" s="26"/>
    </row>
    <row r="2912" spans="1:25" ht="37.5" x14ac:dyDescent="0.25">
      <c r="A2912" s="21">
        <v>3151</v>
      </c>
      <c r="B2912" s="22" t="s">
        <v>15338</v>
      </c>
      <c r="C2912" s="22" t="s">
        <v>4734</v>
      </c>
      <c r="F2912" s="22">
        <v>974858</v>
      </c>
      <c r="G2912" s="23" t="s">
        <v>4735</v>
      </c>
      <c r="H2912" s="25" t="s">
        <v>15373</v>
      </c>
      <c r="I2912" s="22" t="s">
        <v>15411</v>
      </c>
      <c r="J2912" s="22" t="s">
        <v>4736</v>
      </c>
      <c r="K2912" s="26">
        <f t="shared" si="45"/>
        <v>540</v>
      </c>
      <c r="L2912" s="26">
        <v>540</v>
      </c>
      <c r="O2912" s="22" t="s">
        <v>4737</v>
      </c>
      <c r="P2912" s="22" t="s">
        <v>5420</v>
      </c>
      <c r="Q2912" s="22">
        <v>92009</v>
      </c>
      <c r="X2912" s="26"/>
      <c r="Y2912" s="26"/>
    </row>
    <row r="2913" spans="1:25" ht="37.5" x14ac:dyDescent="0.25">
      <c r="A2913" s="21">
        <v>3152</v>
      </c>
      <c r="B2913" s="22" t="s">
        <v>15338</v>
      </c>
      <c r="C2913" s="22" t="s">
        <v>4734</v>
      </c>
      <c r="F2913" s="22">
        <v>974857</v>
      </c>
      <c r="G2913" s="23" t="s">
        <v>4738</v>
      </c>
      <c r="H2913" s="25" t="s">
        <v>15373</v>
      </c>
      <c r="I2913" s="22" t="s">
        <v>15411</v>
      </c>
      <c r="J2913" s="22" t="s">
        <v>4739</v>
      </c>
      <c r="K2913" s="26">
        <f t="shared" si="45"/>
        <v>308</v>
      </c>
      <c r="L2913" s="26">
        <v>308</v>
      </c>
      <c r="O2913" s="22" t="s">
        <v>4737</v>
      </c>
      <c r="P2913" s="22" t="s">
        <v>5420</v>
      </c>
      <c r="Q2913" s="22">
        <v>92009</v>
      </c>
      <c r="X2913" s="26"/>
      <c r="Y2913" s="26"/>
    </row>
    <row r="2914" spans="1:25" ht="25" x14ac:dyDescent="0.25">
      <c r="A2914" s="21">
        <v>3153</v>
      </c>
      <c r="B2914" s="22" t="s">
        <v>15338</v>
      </c>
      <c r="C2914" s="22" t="s">
        <v>4734</v>
      </c>
      <c r="F2914" s="22">
        <v>974861</v>
      </c>
      <c r="G2914" s="23" t="s">
        <v>4740</v>
      </c>
      <c r="H2914" s="25" t="s">
        <v>15373</v>
      </c>
      <c r="I2914" s="22" t="s">
        <v>15411</v>
      </c>
      <c r="J2914" s="22" t="s">
        <v>4739</v>
      </c>
      <c r="K2914" s="26">
        <f t="shared" si="45"/>
        <v>308</v>
      </c>
      <c r="L2914" s="26">
        <v>308</v>
      </c>
      <c r="O2914" s="22" t="s">
        <v>4737</v>
      </c>
      <c r="P2914" s="22" t="s">
        <v>5420</v>
      </c>
      <c r="Q2914" s="22">
        <v>92009</v>
      </c>
      <c r="X2914" s="26"/>
      <c r="Y2914" s="26"/>
    </row>
    <row r="2915" spans="1:25" ht="37.5" x14ac:dyDescent="0.25">
      <c r="A2915" s="21">
        <v>3154</v>
      </c>
      <c r="B2915" s="22" t="s">
        <v>15338</v>
      </c>
      <c r="C2915" s="22" t="s">
        <v>4741</v>
      </c>
      <c r="F2915" s="22">
        <v>880694</v>
      </c>
      <c r="G2915" s="23" t="s">
        <v>4742</v>
      </c>
      <c r="H2915" s="25" t="s">
        <v>15373</v>
      </c>
      <c r="I2915" s="22" t="s">
        <v>15411</v>
      </c>
      <c r="J2915" s="22" t="s">
        <v>14158</v>
      </c>
      <c r="K2915" s="26">
        <f t="shared" si="45"/>
        <v>600</v>
      </c>
      <c r="L2915" s="26">
        <v>600</v>
      </c>
      <c r="O2915" s="22" t="s">
        <v>4743</v>
      </c>
      <c r="P2915" s="22" t="s">
        <v>5420</v>
      </c>
      <c r="Q2915" s="22">
        <v>92009</v>
      </c>
      <c r="S2915" s="22" t="s">
        <v>4744</v>
      </c>
      <c r="X2915" s="26"/>
      <c r="Y2915" s="26"/>
    </row>
    <row r="2916" spans="1:25" ht="37.5" x14ac:dyDescent="0.25">
      <c r="A2916" s="21">
        <v>3155</v>
      </c>
      <c r="B2916" s="22" t="s">
        <v>15338</v>
      </c>
      <c r="C2916" s="22" t="s">
        <v>4741</v>
      </c>
      <c r="F2916" s="22">
        <v>960002</v>
      </c>
      <c r="G2916" s="23" t="s">
        <v>4745</v>
      </c>
      <c r="H2916" s="25" t="s">
        <v>15373</v>
      </c>
      <c r="I2916" s="22" t="s">
        <v>15411</v>
      </c>
      <c r="J2916" s="22" t="s">
        <v>15451</v>
      </c>
      <c r="K2916" s="26">
        <f t="shared" si="45"/>
        <v>553</v>
      </c>
      <c r="L2916" s="26">
        <v>553</v>
      </c>
      <c r="O2916" s="22" t="s">
        <v>4746</v>
      </c>
      <c r="P2916" s="22" t="s">
        <v>5420</v>
      </c>
      <c r="Q2916" s="22">
        <v>92009</v>
      </c>
      <c r="S2916" s="22" t="s">
        <v>4744</v>
      </c>
      <c r="X2916" s="26"/>
      <c r="Y2916" s="26"/>
    </row>
    <row r="2917" spans="1:25" ht="37.5" x14ac:dyDescent="0.25">
      <c r="A2917" s="21">
        <v>3156</v>
      </c>
      <c r="B2917" s="22" t="s">
        <v>15338</v>
      </c>
      <c r="C2917" s="22" t="s">
        <v>4747</v>
      </c>
      <c r="F2917" s="22">
        <v>971635</v>
      </c>
      <c r="G2917" s="23" t="s">
        <v>5815</v>
      </c>
      <c r="H2917" s="25" t="s">
        <v>15373</v>
      </c>
      <c r="I2917" s="22" t="s">
        <v>15374</v>
      </c>
      <c r="J2917" s="22">
        <v>3512</v>
      </c>
      <c r="K2917" s="26">
        <f t="shared" si="45"/>
        <v>1000</v>
      </c>
      <c r="L2917" s="26">
        <v>1000</v>
      </c>
      <c r="O2917" s="22" t="s">
        <v>5816</v>
      </c>
      <c r="P2917" s="22" t="s">
        <v>6558</v>
      </c>
      <c r="Q2917" s="22">
        <v>92123</v>
      </c>
      <c r="X2917" s="26"/>
      <c r="Y2917" s="26"/>
    </row>
    <row r="2918" spans="1:25" ht="62.5" x14ac:dyDescent="0.25">
      <c r="A2918" s="21">
        <v>3157</v>
      </c>
      <c r="B2918" s="22" t="s">
        <v>15338</v>
      </c>
      <c r="C2918" s="22" t="s">
        <v>5817</v>
      </c>
      <c r="F2918" s="22">
        <v>940633</v>
      </c>
      <c r="G2918" s="23" t="s">
        <v>5818</v>
      </c>
      <c r="H2918" s="25" t="s">
        <v>15373</v>
      </c>
      <c r="I2918" s="22" t="s">
        <v>15411</v>
      </c>
      <c r="J2918" s="22" t="s">
        <v>15542</v>
      </c>
      <c r="K2918" s="26">
        <f t="shared" si="45"/>
        <v>614</v>
      </c>
      <c r="L2918" s="26">
        <v>614</v>
      </c>
      <c r="O2918" s="22" t="s">
        <v>5819</v>
      </c>
      <c r="P2918" s="22" t="s">
        <v>6558</v>
      </c>
      <c r="Q2918" s="22">
        <v>92121</v>
      </c>
      <c r="S2918" s="22" t="s">
        <v>5820</v>
      </c>
      <c r="X2918" s="26"/>
      <c r="Y2918" s="26"/>
    </row>
    <row r="2919" spans="1:25" ht="37.5" x14ac:dyDescent="0.25">
      <c r="A2919" s="21">
        <v>3158</v>
      </c>
      <c r="B2919" s="22" t="s">
        <v>15338</v>
      </c>
      <c r="C2919" s="22" t="s">
        <v>5817</v>
      </c>
      <c r="F2919" s="22">
        <v>970731</v>
      </c>
      <c r="G2919" s="23" t="s">
        <v>5821</v>
      </c>
      <c r="H2919" s="25" t="s">
        <v>15373</v>
      </c>
      <c r="I2919" s="22" t="s">
        <v>15411</v>
      </c>
      <c r="J2919" s="22" t="s">
        <v>17383</v>
      </c>
      <c r="K2919" s="26">
        <f t="shared" si="45"/>
        <v>300</v>
      </c>
      <c r="L2919" s="26">
        <v>300</v>
      </c>
      <c r="O2919" s="22" t="s">
        <v>5822</v>
      </c>
      <c r="P2919" s="22" t="s">
        <v>6558</v>
      </c>
      <c r="Q2919" s="22">
        <v>92121</v>
      </c>
      <c r="S2919" s="22" t="s">
        <v>5820</v>
      </c>
      <c r="X2919" s="26"/>
      <c r="Y2919" s="26"/>
    </row>
    <row r="2920" spans="1:25" ht="25" x14ac:dyDescent="0.25">
      <c r="A2920" s="21">
        <v>3159</v>
      </c>
      <c r="B2920" s="22" t="s">
        <v>15338</v>
      </c>
      <c r="C2920" s="22" t="s">
        <v>5823</v>
      </c>
      <c r="F2920" s="22">
        <v>973210</v>
      </c>
      <c r="G2920" s="23" t="s">
        <v>5824</v>
      </c>
      <c r="H2920" s="25" t="s">
        <v>15373</v>
      </c>
      <c r="I2920" s="22" t="s">
        <v>15374</v>
      </c>
      <c r="J2920" s="22" t="s">
        <v>12592</v>
      </c>
      <c r="K2920" s="26">
        <f t="shared" si="45"/>
        <v>1307</v>
      </c>
      <c r="L2920" s="26">
        <v>1307</v>
      </c>
      <c r="O2920" s="22" t="s">
        <v>5825</v>
      </c>
      <c r="P2920" s="22" t="s">
        <v>6558</v>
      </c>
      <c r="Q2920" s="22" t="s">
        <v>5826</v>
      </c>
      <c r="X2920" s="26"/>
      <c r="Y2920" s="26"/>
    </row>
    <row r="2921" spans="1:25" ht="37.5" x14ac:dyDescent="0.25">
      <c r="A2921" s="21">
        <v>3160</v>
      </c>
      <c r="B2921" s="22" t="s">
        <v>15338</v>
      </c>
      <c r="C2921" s="22" t="s">
        <v>5827</v>
      </c>
      <c r="F2921" s="22">
        <v>910544</v>
      </c>
      <c r="G2921" s="23" t="s">
        <v>5828</v>
      </c>
      <c r="H2921" s="25" t="s">
        <v>15373</v>
      </c>
      <c r="I2921" s="22" t="s">
        <v>15374</v>
      </c>
      <c r="J2921" s="22" t="s">
        <v>15441</v>
      </c>
      <c r="K2921" s="26">
        <f t="shared" si="45"/>
        <v>500</v>
      </c>
      <c r="L2921" s="26">
        <v>500</v>
      </c>
      <c r="O2921" s="22" t="s">
        <v>5829</v>
      </c>
      <c r="P2921" s="22" t="s">
        <v>5481</v>
      </c>
      <c r="Q2921" s="22">
        <v>92118</v>
      </c>
      <c r="S2921" s="22" t="s">
        <v>5830</v>
      </c>
      <c r="X2921" s="26"/>
      <c r="Y2921" s="26"/>
    </row>
    <row r="2922" spans="1:25" ht="25" x14ac:dyDescent="0.25">
      <c r="A2922" s="21">
        <v>3161</v>
      </c>
      <c r="B2922" s="22" t="s">
        <v>15338</v>
      </c>
      <c r="C2922" s="22" t="s">
        <v>8041</v>
      </c>
      <c r="F2922" s="22">
        <v>975046</v>
      </c>
      <c r="G2922" s="23" t="s">
        <v>5831</v>
      </c>
      <c r="H2922" s="25" t="s">
        <v>15373</v>
      </c>
      <c r="I2922" s="22" t="s">
        <v>15411</v>
      </c>
      <c r="J2922" s="22">
        <v>560</v>
      </c>
      <c r="K2922" s="26">
        <f t="shared" si="45"/>
        <v>358</v>
      </c>
      <c r="L2922" s="26">
        <v>358</v>
      </c>
      <c r="O2922" s="22" t="s">
        <v>5832</v>
      </c>
      <c r="P2922" s="22" t="s">
        <v>6558</v>
      </c>
      <c r="Q2922" s="22">
        <v>92108</v>
      </c>
      <c r="X2922" s="26"/>
      <c r="Y2922" s="26"/>
    </row>
    <row r="2923" spans="1:25" ht="37.5" x14ac:dyDescent="0.25">
      <c r="A2923" s="21">
        <v>3162</v>
      </c>
      <c r="B2923" s="22" t="s">
        <v>15338</v>
      </c>
      <c r="C2923" s="22" t="s">
        <v>5833</v>
      </c>
      <c r="F2923" s="22">
        <v>974056</v>
      </c>
      <c r="G2923" s="23" t="s">
        <v>5834</v>
      </c>
      <c r="H2923" s="25" t="s">
        <v>15373</v>
      </c>
      <c r="I2923" s="22" t="s">
        <v>15411</v>
      </c>
      <c r="J2923" s="22" t="s">
        <v>5835</v>
      </c>
      <c r="K2923" s="26">
        <f t="shared" si="45"/>
        <v>350</v>
      </c>
      <c r="L2923" s="26">
        <v>350</v>
      </c>
      <c r="O2923" s="22" t="s">
        <v>5836</v>
      </c>
      <c r="P2923" s="22" t="s">
        <v>6558</v>
      </c>
      <c r="Q2923" s="22">
        <v>92121</v>
      </c>
      <c r="X2923" s="26"/>
      <c r="Y2923" s="26"/>
    </row>
    <row r="2924" spans="1:25" ht="25" x14ac:dyDescent="0.25">
      <c r="A2924" s="21">
        <v>3163</v>
      </c>
      <c r="B2924" s="22" t="s">
        <v>15338</v>
      </c>
      <c r="C2924" s="22" t="s">
        <v>5833</v>
      </c>
      <c r="F2924" s="22">
        <v>975021</v>
      </c>
      <c r="G2924" s="23" t="s">
        <v>5837</v>
      </c>
      <c r="H2924" s="25" t="s">
        <v>15373</v>
      </c>
      <c r="I2924" s="22" t="s">
        <v>16907</v>
      </c>
      <c r="J2924" s="22" t="s">
        <v>5838</v>
      </c>
      <c r="K2924" s="26">
        <f t="shared" si="45"/>
        <v>358</v>
      </c>
      <c r="L2924" s="26">
        <v>358</v>
      </c>
      <c r="O2924" s="22" t="s">
        <v>5839</v>
      </c>
      <c r="P2924" s="22" t="s">
        <v>6558</v>
      </c>
      <c r="Q2924" s="22">
        <v>92131</v>
      </c>
      <c r="X2924" s="26"/>
      <c r="Y2924" s="26"/>
    </row>
    <row r="2925" spans="1:25" ht="25" x14ac:dyDescent="0.25">
      <c r="A2925" s="21">
        <v>3164</v>
      </c>
      <c r="B2925" s="22" t="s">
        <v>15338</v>
      </c>
      <c r="C2925" s="22" t="s">
        <v>5833</v>
      </c>
      <c r="F2925" s="22">
        <v>975022</v>
      </c>
      <c r="G2925" s="23" t="s">
        <v>5840</v>
      </c>
      <c r="H2925" s="25" t="s">
        <v>15373</v>
      </c>
      <c r="I2925" s="22" t="s">
        <v>16907</v>
      </c>
      <c r="J2925" s="22" t="s">
        <v>5835</v>
      </c>
      <c r="K2925" s="26">
        <f t="shared" si="45"/>
        <v>358</v>
      </c>
      <c r="L2925" s="26">
        <v>358</v>
      </c>
      <c r="O2925" s="22" t="s">
        <v>5839</v>
      </c>
      <c r="P2925" s="22" t="s">
        <v>6558</v>
      </c>
      <c r="Q2925" s="22">
        <v>92131</v>
      </c>
      <c r="X2925" s="26"/>
      <c r="Y2925" s="26"/>
    </row>
    <row r="2926" spans="1:25" ht="37.5" x14ac:dyDescent="0.25">
      <c r="A2926" s="21">
        <v>3165</v>
      </c>
      <c r="B2926" s="22" t="s">
        <v>15338</v>
      </c>
      <c r="C2926" s="22" t="s">
        <v>5841</v>
      </c>
      <c r="F2926" s="22">
        <v>971505</v>
      </c>
      <c r="G2926" s="23" t="s">
        <v>5842</v>
      </c>
      <c r="H2926" s="25" t="s">
        <v>15373</v>
      </c>
      <c r="I2926" s="22" t="s">
        <v>15411</v>
      </c>
      <c r="J2926" s="22" t="s">
        <v>17698</v>
      </c>
      <c r="K2926" s="26">
        <f t="shared" si="45"/>
        <v>308</v>
      </c>
      <c r="L2926" s="26">
        <v>308</v>
      </c>
      <c r="O2926" s="22" t="s">
        <v>5843</v>
      </c>
      <c r="P2926" s="22" t="s">
        <v>6558</v>
      </c>
      <c r="Q2926" s="22">
        <v>92130</v>
      </c>
      <c r="X2926" s="26"/>
      <c r="Y2926" s="26"/>
    </row>
    <row r="2927" spans="1:25" ht="62.5" x14ac:dyDescent="0.25">
      <c r="A2927" s="21">
        <v>3166</v>
      </c>
      <c r="B2927" s="22" t="s">
        <v>15338</v>
      </c>
      <c r="C2927" s="22" t="s">
        <v>5844</v>
      </c>
      <c r="F2927" s="22">
        <v>890868</v>
      </c>
      <c r="G2927" s="23" t="s">
        <v>5845</v>
      </c>
      <c r="H2927" s="25" t="s">
        <v>15373</v>
      </c>
      <c r="I2927" s="22" t="s">
        <v>15374</v>
      </c>
      <c r="J2927" s="22" t="s">
        <v>16377</v>
      </c>
      <c r="K2927" s="26">
        <f t="shared" si="45"/>
        <v>300</v>
      </c>
      <c r="L2927" s="26">
        <v>300</v>
      </c>
      <c r="O2927" s="22" t="s">
        <v>5846</v>
      </c>
      <c r="P2927" s="22" t="s">
        <v>6558</v>
      </c>
      <c r="Q2927" s="22">
        <v>92101</v>
      </c>
      <c r="S2927" s="22" t="s">
        <v>5847</v>
      </c>
      <c r="X2927" s="26"/>
      <c r="Y2927" s="26"/>
    </row>
    <row r="2928" spans="1:25" ht="25" x14ac:dyDescent="0.25">
      <c r="A2928" s="21">
        <v>3167</v>
      </c>
      <c r="B2928" s="22" t="s">
        <v>15338</v>
      </c>
      <c r="C2928" s="22" t="s">
        <v>5848</v>
      </c>
      <c r="F2928" s="22">
        <v>870230</v>
      </c>
      <c r="G2928" s="23" t="s">
        <v>5849</v>
      </c>
      <c r="H2928" s="25" t="s">
        <v>15373</v>
      </c>
      <c r="I2928" s="22" t="s">
        <v>15382</v>
      </c>
      <c r="J2928" s="22" t="s">
        <v>5850</v>
      </c>
      <c r="K2928" s="26">
        <f t="shared" si="45"/>
        <v>350</v>
      </c>
      <c r="L2928" s="26">
        <v>350</v>
      </c>
      <c r="O2928" s="22" t="s">
        <v>5851</v>
      </c>
      <c r="P2928" s="22" t="s">
        <v>6558</v>
      </c>
      <c r="Q2928" s="22">
        <v>92145</v>
      </c>
      <c r="S2928" s="22" t="s">
        <v>5852</v>
      </c>
      <c r="X2928" s="26"/>
      <c r="Y2928" s="26"/>
    </row>
    <row r="2929" spans="1:25" ht="37.5" x14ac:dyDescent="0.25">
      <c r="A2929" s="21">
        <v>3168</v>
      </c>
      <c r="B2929" s="22" t="s">
        <v>15338</v>
      </c>
      <c r="C2929" s="22" t="s">
        <v>5848</v>
      </c>
      <c r="F2929" s="22">
        <v>960048</v>
      </c>
      <c r="G2929" s="23" t="s">
        <v>5853</v>
      </c>
      <c r="H2929" s="25" t="s">
        <v>15373</v>
      </c>
      <c r="I2929" s="22" t="s">
        <v>15668</v>
      </c>
      <c r="J2929" s="22" t="s">
        <v>5854</v>
      </c>
      <c r="K2929" s="26">
        <f t="shared" si="45"/>
        <v>358</v>
      </c>
      <c r="L2929" s="26">
        <v>358</v>
      </c>
      <c r="O2929" s="22" t="s">
        <v>5855</v>
      </c>
      <c r="P2929" s="22" t="s">
        <v>6558</v>
      </c>
      <c r="Q2929" s="22">
        <v>92145</v>
      </c>
      <c r="S2929" s="22" t="s">
        <v>5852</v>
      </c>
      <c r="X2929" s="26"/>
      <c r="Y2929" s="26"/>
    </row>
    <row r="2930" spans="1:25" ht="25" x14ac:dyDescent="0.25">
      <c r="A2930" s="21">
        <v>3169</v>
      </c>
      <c r="B2930" s="22" t="s">
        <v>15338</v>
      </c>
      <c r="C2930" s="22" t="s">
        <v>5856</v>
      </c>
      <c r="F2930" s="22">
        <v>950888</v>
      </c>
      <c r="G2930" s="23" t="s">
        <v>5857</v>
      </c>
      <c r="H2930" s="25" t="s">
        <v>15373</v>
      </c>
      <c r="I2930" s="22" t="s">
        <v>15411</v>
      </c>
      <c r="J2930" s="22" t="s">
        <v>5858</v>
      </c>
      <c r="K2930" s="26">
        <f t="shared" si="45"/>
        <v>410</v>
      </c>
      <c r="L2930" s="26">
        <v>410</v>
      </c>
      <c r="O2930" s="22" t="s">
        <v>5859</v>
      </c>
      <c r="P2930" s="22" t="s">
        <v>6558</v>
      </c>
      <c r="Q2930" s="22">
        <v>92101</v>
      </c>
      <c r="X2930" s="26"/>
      <c r="Y2930" s="26"/>
    </row>
    <row r="2931" spans="1:25" ht="37.5" x14ac:dyDescent="0.25">
      <c r="A2931" s="21">
        <v>3170</v>
      </c>
      <c r="B2931" s="22" t="s">
        <v>15338</v>
      </c>
      <c r="C2931" s="22" t="s">
        <v>5860</v>
      </c>
      <c r="F2931" s="22">
        <v>890337</v>
      </c>
      <c r="G2931" s="23" t="s">
        <v>5861</v>
      </c>
      <c r="H2931" s="25" t="s">
        <v>15373</v>
      </c>
      <c r="I2931" s="22" t="s">
        <v>15374</v>
      </c>
      <c r="J2931" s="22">
        <v>3412</v>
      </c>
      <c r="K2931" s="26">
        <f t="shared" si="45"/>
        <v>470</v>
      </c>
      <c r="L2931" s="26">
        <v>470</v>
      </c>
      <c r="O2931" s="22" t="s">
        <v>5862</v>
      </c>
      <c r="P2931" s="22" t="s">
        <v>6558</v>
      </c>
      <c r="Q2931" s="22">
        <v>92123</v>
      </c>
      <c r="S2931" s="22" t="s">
        <v>5863</v>
      </c>
      <c r="X2931" s="26"/>
      <c r="Y2931" s="26"/>
    </row>
    <row r="2932" spans="1:25" ht="37.5" x14ac:dyDescent="0.25">
      <c r="A2932" s="21">
        <v>3171</v>
      </c>
      <c r="B2932" s="22" t="s">
        <v>15338</v>
      </c>
      <c r="C2932" s="22" t="s">
        <v>5860</v>
      </c>
      <c r="F2932" s="22">
        <v>973332</v>
      </c>
      <c r="G2932" s="23" t="s">
        <v>5864</v>
      </c>
      <c r="H2932" s="25" t="s">
        <v>15373</v>
      </c>
      <c r="I2932" s="22" t="s">
        <v>16907</v>
      </c>
      <c r="J2932" s="22" t="s">
        <v>5865</v>
      </c>
      <c r="K2932" s="26">
        <f t="shared" si="45"/>
        <v>369</v>
      </c>
      <c r="L2932" s="26">
        <v>369</v>
      </c>
      <c r="O2932" s="22" t="s">
        <v>5862</v>
      </c>
      <c r="P2932" s="22" t="s">
        <v>6558</v>
      </c>
      <c r="Q2932" s="22">
        <v>92123</v>
      </c>
      <c r="X2932" s="26"/>
      <c r="Y2932" s="26"/>
    </row>
    <row r="2933" spans="1:25" ht="37.5" x14ac:dyDescent="0.25">
      <c r="A2933" s="21">
        <v>3172</v>
      </c>
      <c r="B2933" s="22" t="s">
        <v>15338</v>
      </c>
      <c r="C2933" s="22" t="s">
        <v>5866</v>
      </c>
      <c r="F2933" s="22">
        <v>973914</v>
      </c>
      <c r="G2933" s="23" t="s">
        <v>5867</v>
      </c>
      <c r="H2933" s="25" t="s">
        <v>15373</v>
      </c>
      <c r="I2933" s="22" t="s">
        <v>15374</v>
      </c>
      <c r="J2933" s="22">
        <v>3412</v>
      </c>
      <c r="K2933" s="26">
        <f t="shared" si="45"/>
        <v>500</v>
      </c>
      <c r="L2933" s="26">
        <v>500</v>
      </c>
      <c r="O2933" s="22" t="s">
        <v>5868</v>
      </c>
      <c r="P2933" s="22" t="s">
        <v>6558</v>
      </c>
      <c r="Q2933" s="22">
        <v>92121</v>
      </c>
      <c r="X2933" s="26"/>
      <c r="Y2933" s="26"/>
    </row>
    <row r="2934" spans="1:25" ht="62.5" x14ac:dyDescent="0.25">
      <c r="A2934" s="21">
        <v>3173</v>
      </c>
      <c r="B2934" s="22" t="s">
        <v>15338</v>
      </c>
      <c r="C2934" s="22" t="s">
        <v>5869</v>
      </c>
      <c r="F2934" s="22">
        <v>911336</v>
      </c>
      <c r="G2934" s="23" t="s">
        <v>5870</v>
      </c>
      <c r="H2934" s="25" t="s">
        <v>15373</v>
      </c>
      <c r="I2934" s="22" t="s">
        <v>16907</v>
      </c>
      <c r="J2934" s="22" t="s">
        <v>5871</v>
      </c>
      <c r="K2934" s="26">
        <f t="shared" si="45"/>
        <v>300</v>
      </c>
      <c r="L2934" s="26">
        <v>300</v>
      </c>
      <c r="O2934" s="22" t="s">
        <v>5872</v>
      </c>
      <c r="P2934" s="22" t="s">
        <v>6558</v>
      </c>
      <c r="Q2934" s="22">
        <v>92121</v>
      </c>
      <c r="X2934" s="26"/>
      <c r="Y2934" s="26"/>
    </row>
    <row r="2935" spans="1:25" ht="25" x14ac:dyDescent="0.25">
      <c r="A2935" s="21">
        <v>3174</v>
      </c>
      <c r="B2935" s="22" t="s">
        <v>15338</v>
      </c>
      <c r="C2935" s="22" t="s">
        <v>5873</v>
      </c>
      <c r="F2935" s="22">
        <v>972554</v>
      </c>
      <c r="G2935" s="23" t="s">
        <v>5874</v>
      </c>
      <c r="H2935" s="25" t="s">
        <v>15373</v>
      </c>
      <c r="I2935" s="22" t="s">
        <v>15382</v>
      </c>
      <c r="J2935" s="22" t="s">
        <v>5875</v>
      </c>
      <c r="K2935" s="26">
        <f t="shared" si="45"/>
        <v>302</v>
      </c>
      <c r="L2935" s="26">
        <v>302</v>
      </c>
      <c r="O2935" s="22" t="s">
        <v>5876</v>
      </c>
      <c r="P2935" s="22" t="s">
        <v>6558</v>
      </c>
      <c r="Q2935" s="22">
        <v>92101</v>
      </c>
      <c r="X2935" s="26"/>
      <c r="Y2935" s="26"/>
    </row>
    <row r="2936" spans="1:25" ht="37.5" x14ac:dyDescent="0.25">
      <c r="A2936" s="21">
        <v>3175</v>
      </c>
      <c r="B2936" s="22" t="s">
        <v>15338</v>
      </c>
      <c r="C2936" s="22" t="s">
        <v>5877</v>
      </c>
      <c r="F2936" s="22">
        <v>961754</v>
      </c>
      <c r="G2936" s="23" t="s">
        <v>5878</v>
      </c>
      <c r="H2936" s="25" t="s">
        <v>15373</v>
      </c>
      <c r="I2936" s="22" t="s">
        <v>15374</v>
      </c>
      <c r="J2936" s="22" t="s">
        <v>5879</v>
      </c>
      <c r="K2936" s="26">
        <f t="shared" si="45"/>
        <v>1409</v>
      </c>
      <c r="L2936" s="26">
        <v>1409</v>
      </c>
      <c r="O2936" s="22" t="s">
        <v>5880</v>
      </c>
      <c r="P2936" s="22" t="s">
        <v>6558</v>
      </c>
      <c r="Q2936" s="22">
        <v>92123</v>
      </c>
      <c r="X2936" s="26"/>
      <c r="Y2936" s="26"/>
    </row>
    <row r="2937" spans="1:25" ht="37.5" x14ac:dyDescent="0.25">
      <c r="A2937" s="21">
        <v>3176</v>
      </c>
      <c r="B2937" s="22" t="s">
        <v>15338</v>
      </c>
      <c r="C2937" s="22" t="s">
        <v>5881</v>
      </c>
      <c r="F2937" s="22">
        <v>970818</v>
      </c>
      <c r="G2937" s="23" t="s">
        <v>5882</v>
      </c>
      <c r="H2937" s="25" t="s">
        <v>15373</v>
      </c>
      <c r="I2937" s="22" t="s">
        <v>15411</v>
      </c>
      <c r="J2937" s="22" t="s">
        <v>16276</v>
      </c>
      <c r="K2937" s="26">
        <f t="shared" si="45"/>
        <v>350</v>
      </c>
      <c r="L2937" s="26">
        <v>350</v>
      </c>
      <c r="O2937" s="22" t="s">
        <v>5883</v>
      </c>
      <c r="P2937" s="22" t="s">
        <v>6558</v>
      </c>
      <c r="Q2937" s="22">
        <v>92131</v>
      </c>
      <c r="X2937" s="26"/>
      <c r="Y2937" s="26"/>
    </row>
    <row r="2938" spans="1:25" ht="37.5" x14ac:dyDescent="0.25">
      <c r="A2938" s="21">
        <v>3177</v>
      </c>
      <c r="B2938" s="22" t="s">
        <v>15338</v>
      </c>
      <c r="C2938" s="22" t="s">
        <v>5884</v>
      </c>
      <c r="F2938" s="22">
        <v>950358</v>
      </c>
      <c r="G2938" s="23" t="s">
        <v>5885</v>
      </c>
      <c r="H2938" s="25" t="s">
        <v>15373</v>
      </c>
      <c r="I2938" s="22" t="s">
        <v>15411</v>
      </c>
      <c r="J2938" s="22" t="s">
        <v>15877</v>
      </c>
      <c r="K2938" s="26">
        <f t="shared" si="45"/>
        <v>400</v>
      </c>
      <c r="L2938" s="26">
        <v>400</v>
      </c>
      <c r="O2938" s="22" t="s">
        <v>5886</v>
      </c>
      <c r="P2938" s="22" t="s">
        <v>6558</v>
      </c>
      <c r="Q2938" s="22">
        <v>92123</v>
      </c>
      <c r="S2938" s="22" t="s">
        <v>5887</v>
      </c>
      <c r="X2938" s="26"/>
      <c r="Y2938" s="26"/>
    </row>
    <row r="2939" spans="1:25" ht="37.5" x14ac:dyDescent="0.25">
      <c r="A2939" s="21">
        <v>3178</v>
      </c>
      <c r="B2939" s="22" t="s">
        <v>15338</v>
      </c>
      <c r="C2939" s="22" t="s">
        <v>5884</v>
      </c>
      <c r="F2939" s="22">
        <v>950474</v>
      </c>
      <c r="G2939" s="23" t="s">
        <v>5888</v>
      </c>
      <c r="H2939" s="25" t="s">
        <v>15373</v>
      </c>
      <c r="I2939" s="22" t="s">
        <v>15411</v>
      </c>
      <c r="J2939" s="22" t="s">
        <v>15877</v>
      </c>
      <c r="K2939" s="26">
        <f t="shared" si="45"/>
        <v>400</v>
      </c>
      <c r="L2939" s="26">
        <v>400</v>
      </c>
      <c r="O2939" s="22" t="s">
        <v>5886</v>
      </c>
      <c r="P2939" s="22" t="s">
        <v>6558</v>
      </c>
      <c r="Q2939" s="22">
        <v>92123</v>
      </c>
      <c r="S2939" s="22" t="s">
        <v>5887</v>
      </c>
      <c r="X2939" s="26"/>
      <c r="Y2939" s="26"/>
    </row>
    <row r="2940" spans="1:25" ht="50" x14ac:dyDescent="0.25">
      <c r="A2940" s="21">
        <v>3179</v>
      </c>
      <c r="B2940" s="22" t="s">
        <v>15338</v>
      </c>
      <c r="C2940" s="22" t="s">
        <v>5889</v>
      </c>
      <c r="F2940" s="22">
        <v>860672</v>
      </c>
      <c r="G2940" s="23" t="s">
        <v>5890</v>
      </c>
      <c r="H2940" s="25" t="s">
        <v>15373</v>
      </c>
      <c r="I2940" s="22" t="s">
        <v>15374</v>
      </c>
      <c r="J2940" s="22">
        <v>3412</v>
      </c>
      <c r="K2940" s="26">
        <f t="shared" si="45"/>
        <v>350</v>
      </c>
      <c r="L2940" s="26">
        <v>350</v>
      </c>
      <c r="O2940" s="22" t="s">
        <v>5891</v>
      </c>
      <c r="P2940" s="22" t="s">
        <v>6558</v>
      </c>
      <c r="Q2940" s="22">
        <v>92113</v>
      </c>
      <c r="S2940" s="22" t="s">
        <v>5892</v>
      </c>
      <c r="X2940" s="26"/>
      <c r="Y2940" s="26"/>
    </row>
    <row r="2941" spans="1:25" ht="50" x14ac:dyDescent="0.25">
      <c r="A2941" s="21">
        <v>3180</v>
      </c>
      <c r="B2941" s="22" t="s">
        <v>15338</v>
      </c>
      <c r="C2941" s="22" t="s">
        <v>5889</v>
      </c>
      <c r="F2941" s="22">
        <v>860673</v>
      </c>
      <c r="G2941" s="23" t="s">
        <v>5893</v>
      </c>
      <c r="H2941" s="25" t="s">
        <v>15373</v>
      </c>
      <c r="I2941" s="22" t="s">
        <v>15374</v>
      </c>
      <c r="J2941" s="22">
        <v>3412</v>
      </c>
      <c r="K2941" s="26">
        <f t="shared" si="45"/>
        <v>350</v>
      </c>
      <c r="L2941" s="26">
        <v>350</v>
      </c>
      <c r="O2941" s="22" t="s">
        <v>5891</v>
      </c>
      <c r="P2941" s="22" t="s">
        <v>6558</v>
      </c>
      <c r="Q2941" s="22">
        <v>92113</v>
      </c>
      <c r="S2941" s="22" t="s">
        <v>5892</v>
      </c>
      <c r="X2941" s="26"/>
      <c r="Y2941" s="26"/>
    </row>
    <row r="2942" spans="1:25" ht="50" x14ac:dyDescent="0.25">
      <c r="A2942" s="21">
        <v>3181</v>
      </c>
      <c r="B2942" s="22" t="s">
        <v>15338</v>
      </c>
      <c r="C2942" s="22" t="s">
        <v>5889</v>
      </c>
      <c r="F2942" s="22">
        <v>860674</v>
      </c>
      <c r="G2942" s="23" t="s">
        <v>5894</v>
      </c>
      <c r="H2942" s="25" t="s">
        <v>15373</v>
      </c>
      <c r="I2942" s="22" t="s">
        <v>15374</v>
      </c>
      <c r="J2942" s="22">
        <v>3412</v>
      </c>
      <c r="K2942" s="26">
        <f t="shared" si="45"/>
        <v>350</v>
      </c>
      <c r="L2942" s="26">
        <v>350</v>
      </c>
      <c r="O2942" s="22" t="s">
        <v>5891</v>
      </c>
      <c r="P2942" s="22" t="s">
        <v>6558</v>
      </c>
      <c r="Q2942" s="22">
        <v>92113</v>
      </c>
      <c r="S2942" s="22" t="s">
        <v>5892</v>
      </c>
      <c r="X2942" s="26"/>
      <c r="Y2942" s="26"/>
    </row>
    <row r="2943" spans="1:25" ht="25" x14ac:dyDescent="0.25">
      <c r="A2943" s="21">
        <v>3182</v>
      </c>
      <c r="B2943" s="22" t="s">
        <v>15338</v>
      </c>
      <c r="C2943" s="22" t="s">
        <v>5889</v>
      </c>
      <c r="F2943" s="22">
        <v>973376</v>
      </c>
      <c r="G2943" s="23" t="s">
        <v>4820</v>
      </c>
      <c r="H2943" s="25" t="s">
        <v>15373</v>
      </c>
      <c r="I2943" s="22" t="s">
        <v>15411</v>
      </c>
      <c r="J2943" s="22" t="s">
        <v>12830</v>
      </c>
      <c r="K2943" s="26">
        <f t="shared" si="45"/>
        <v>520</v>
      </c>
      <c r="L2943" s="26">
        <v>520</v>
      </c>
      <c r="O2943" s="22" t="s">
        <v>5891</v>
      </c>
      <c r="P2943" s="22" t="s">
        <v>6558</v>
      </c>
      <c r="Q2943" s="22">
        <v>92113</v>
      </c>
      <c r="S2943" s="22" t="s">
        <v>5892</v>
      </c>
      <c r="X2943" s="26"/>
      <c r="Y2943" s="26"/>
    </row>
    <row r="2944" spans="1:25" ht="37.5" x14ac:dyDescent="0.25">
      <c r="A2944" s="21">
        <v>3183</v>
      </c>
      <c r="B2944" s="22" t="s">
        <v>15338</v>
      </c>
      <c r="C2944" s="22" t="s">
        <v>4821</v>
      </c>
      <c r="F2944" s="22">
        <v>973045</v>
      </c>
      <c r="G2944" s="23" t="s">
        <v>4822</v>
      </c>
      <c r="H2944" s="25" t="s">
        <v>15373</v>
      </c>
      <c r="I2944" s="22" t="s">
        <v>15374</v>
      </c>
      <c r="J2944" s="22" t="s">
        <v>16360</v>
      </c>
      <c r="K2944" s="26">
        <f t="shared" si="45"/>
        <v>517</v>
      </c>
      <c r="L2944" s="26">
        <v>517</v>
      </c>
      <c r="O2944" s="22" t="s">
        <v>4823</v>
      </c>
      <c r="P2944" s="22" t="s">
        <v>6558</v>
      </c>
      <c r="Q2944" s="22">
        <v>92132</v>
      </c>
      <c r="X2944" s="26"/>
      <c r="Y2944" s="26"/>
    </row>
    <row r="2945" spans="1:25" ht="25" x14ac:dyDescent="0.25">
      <c r="A2945" s="21">
        <v>3184</v>
      </c>
      <c r="B2945" s="22" t="s">
        <v>15338</v>
      </c>
      <c r="C2945" s="22" t="s">
        <v>4824</v>
      </c>
      <c r="F2945" s="22">
        <v>960373</v>
      </c>
      <c r="G2945" s="23" t="s">
        <v>4825</v>
      </c>
      <c r="H2945" s="25" t="s">
        <v>15373</v>
      </c>
      <c r="I2945" s="22" t="s">
        <v>15374</v>
      </c>
      <c r="J2945" s="22">
        <v>3412</v>
      </c>
      <c r="K2945" s="26">
        <f t="shared" si="45"/>
        <v>403</v>
      </c>
      <c r="L2945" s="26">
        <v>403</v>
      </c>
      <c r="O2945" s="22" t="s">
        <v>4826</v>
      </c>
      <c r="P2945" s="22" t="s">
        <v>6558</v>
      </c>
      <c r="Q2945" s="22">
        <v>92134</v>
      </c>
      <c r="X2945" s="26"/>
      <c r="Y2945" s="26"/>
    </row>
    <row r="2946" spans="1:25" ht="25" x14ac:dyDescent="0.25">
      <c r="A2946" s="21">
        <v>3185</v>
      </c>
      <c r="B2946" s="22" t="s">
        <v>15338</v>
      </c>
      <c r="C2946" s="22" t="s">
        <v>4827</v>
      </c>
      <c r="F2946" s="22">
        <v>970810</v>
      </c>
      <c r="G2946" s="23" t="s">
        <v>4828</v>
      </c>
      <c r="H2946" s="25" t="s">
        <v>15373</v>
      </c>
      <c r="I2946" s="22" t="s">
        <v>15411</v>
      </c>
      <c r="J2946" s="22" t="s">
        <v>4829</v>
      </c>
      <c r="K2946" s="26">
        <f t="shared" si="45"/>
        <v>455</v>
      </c>
      <c r="L2946" s="26">
        <v>455</v>
      </c>
      <c r="O2946" s="22" t="s">
        <v>4830</v>
      </c>
      <c r="P2946" s="22" t="s">
        <v>6558</v>
      </c>
      <c r="Q2946" s="22">
        <v>92121</v>
      </c>
      <c r="X2946" s="26"/>
      <c r="Y2946" s="26"/>
    </row>
    <row r="2947" spans="1:25" ht="37.5" x14ac:dyDescent="0.25">
      <c r="A2947" s="21">
        <v>3186</v>
      </c>
      <c r="B2947" s="22" t="s">
        <v>15338</v>
      </c>
      <c r="C2947" s="22" t="s">
        <v>4831</v>
      </c>
      <c r="F2947" s="22">
        <v>972800</v>
      </c>
      <c r="G2947" s="23" t="s">
        <v>4832</v>
      </c>
      <c r="H2947" s="25" t="s">
        <v>15373</v>
      </c>
      <c r="I2947" s="22" t="s">
        <v>15382</v>
      </c>
      <c r="J2947" s="22" t="s">
        <v>16784</v>
      </c>
      <c r="K2947" s="26">
        <f t="shared" si="45"/>
        <v>500</v>
      </c>
      <c r="L2947" s="26">
        <v>500</v>
      </c>
      <c r="O2947" s="22" t="s">
        <v>4833</v>
      </c>
      <c r="P2947" s="22" t="s">
        <v>6558</v>
      </c>
      <c r="Q2947" s="22">
        <v>92111</v>
      </c>
      <c r="X2947" s="26"/>
      <c r="Y2947" s="26"/>
    </row>
    <row r="2948" spans="1:25" ht="37.5" x14ac:dyDescent="0.25">
      <c r="A2948" s="21">
        <v>3187</v>
      </c>
      <c r="B2948" s="22" t="s">
        <v>15338</v>
      </c>
      <c r="C2948" s="22" t="s">
        <v>4834</v>
      </c>
      <c r="F2948" s="22">
        <v>890747</v>
      </c>
      <c r="G2948" s="23" t="s">
        <v>4835</v>
      </c>
      <c r="H2948" s="25" t="s">
        <v>15373</v>
      </c>
      <c r="I2948" s="22" t="s">
        <v>15374</v>
      </c>
      <c r="J2948" s="22" t="s">
        <v>15441</v>
      </c>
      <c r="K2948" s="26">
        <f t="shared" si="45"/>
        <v>353</v>
      </c>
      <c r="L2948" s="26">
        <v>353</v>
      </c>
      <c r="O2948" s="22" t="s">
        <v>4836</v>
      </c>
      <c r="P2948" s="22" t="s">
        <v>5498</v>
      </c>
      <c r="Q2948" s="22">
        <v>92054</v>
      </c>
      <c r="S2948" s="22" t="s">
        <v>4837</v>
      </c>
      <c r="X2948" s="26"/>
      <c r="Y2948" s="26"/>
    </row>
    <row r="2949" spans="1:25" ht="50" x14ac:dyDescent="0.25">
      <c r="A2949" s="21">
        <v>3188</v>
      </c>
      <c r="B2949" s="22" t="s">
        <v>15338</v>
      </c>
      <c r="C2949" s="22" t="s">
        <v>4834</v>
      </c>
      <c r="F2949" s="22">
        <v>911383</v>
      </c>
      <c r="G2949" s="23" t="s">
        <v>4838</v>
      </c>
      <c r="H2949" s="25" t="s">
        <v>15373</v>
      </c>
      <c r="I2949" s="22" t="s">
        <v>15382</v>
      </c>
      <c r="J2949" s="22" t="s">
        <v>14659</v>
      </c>
      <c r="K2949" s="26">
        <f t="shared" si="45"/>
        <v>500</v>
      </c>
      <c r="L2949" s="26">
        <v>500</v>
      </c>
      <c r="O2949" s="22" t="s">
        <v>4836</v>
      </c>
      <c r="P2949" s="22" t="s">
        <v>5498</v>
      </c>
      <c r="Q2949" s="22">
        <v>92054</v>
      </c>
      <c r="S2949" s="22" t="s">
        <v>4837</v>
      </c>
      <c r="X2949" s="26"/>
      <c r="Y2949" s="26"/>
    </row>
    <row r="2950" spans="1:25" ht="25" x14ac:dyDescent="0.25">
      <c r="A2950" s="21">
        <v>3189</v>
      </c>
      <c r="B2950" s="22" t="s">
        <v>15338</v>
      </c>
      <c r="C2950" s="22" t="s">
        <v>4839</v>
      </c>
      <c r="F2950" s="22">
        <v>961968</v>
      </c>
      <c r="G2950" s="23" t="s">
        <v>4840</v>
      </c>
      <c r="H2950" s="25" t="s">
        <v>15373</v>
      </c>
      <c r="I2950" s="22" t="s">
        <v>15411</v>
      </c>
      <c r="J2950" s="22" t="s">
        <v>15838</v>
      </c>
      <c r="K2950" s="26">
        <f t="shared" si="45"/>
        <v>416</v>
      </c>
      <c r="L2950" s="26">
        <v>416</v>
      </c>
      <c r="O2950" s="22" t="s">
        <v>4841</v>
      </c>
      <c r="P2950" s="22" t="s">
        <v>5498</v>
      </c>
      <c r="Q2950" s="22">
        <v>92054</v>
      </c>
      <c r="X2950" s="26"/>
      <c r="Y2950" s="26"/>
    </row>
    <row r="2951" spans="1:25" ht="62.5" x14ac:dyDescent="0.25">
      <c r="A2951" s="21">
        <v>3190</v>
      </c>
      <c r="B2951" s="22" t="s">
        <v>15338</v>
      </c>
      <c r="C2951" s="22" t="s">
        <v>4842</v>
      </c>
      <c r="F2951" s="22">
        <v>890483</v>
      </c>
      <c r="G2951" s="23" t="s">
        <v>4843</v>
      </c>
      <c r="H2951" s="25" t="s">
        <v>15373</v>
      </c>
      <c r="I2951" s="22" t="s">
        <v>15374</v>
      </c>
      <c r="J2951" s="22" t="s">
        <v>15420</v>
      </c>
      <c r="K2951" s="26">
        <f t="shared" si="45"/>
        <v>1500</v>
      </c>
      <c r="L2951" s="26">
        <v>1500</v>
      </c>
      <c r="O2951" s="22" t="s">
        <v>4844</v>
      </c>
      <c r="P2951" s="22" t="s">
        <v>5498</v>
      </c>
      <c r="Q2951" s="22">
        <v>92054</v>
      </c>
      <c r="S2951" s="22" t="s">
        <v>4845</v>
      </c>
      <c r="X2951" s="26"/>
      <c r="Y2951" s="26"/>
    </row>
    <row r="2952" spans="1:25" ht="50" x14ac:dyDescent="0.25">
      <c r="A2952" s="21">
        <v>3191</v>
      </c>
      <c r="B2952" s="22" t="s">
        <v>15338</v>
      </c>
      <c r="C2952" s="22" t="s">
        <v>4846</v>
      </c>
      <c r="F2952" s="22">
        <v>940962</v>
      </c>
      <c r="G2952" s="23" t="s">
        <v>4847</v>
      </c>
      <c r="H2952" s="25" t="s">
        <v>15373</v>
      </c>
      <c r="I2952" s="22" t="s">
        <v>15382</v>
      </c>
      <c r="J2952" s="22" t="s">
        <v>14850</v>
      </c>
      <c r="K2952" s="26">
        <f t="shared" si="45"/>
        <v>300</v>
      </c>
      <c r="L2952" s="26">
        <v>300</v>
      </c>
      <c r="O2952" s="22" t="s">
        <v>4848</v>
      </c>
      <c r="P2952" s="22" t="s">
        <v>6558</v>
      </c>
      <c r="Q2952" s="22">
        <v>92127</v>
      </c>
      <c r="S2952" s="22" t="s">
        <v>4849</v>
      </c>
      <c r="X2952" s="26"/>
      <c r="Y2952" s="26"/>
    </row>
    <row r="2953" spans="1:25" ht="50" x14ac:dyDescent="0.25">
      <c r="A2953" s="21">
        <v>3192</v>
      </c>
      <c r="B2953" s="22" t="s">
        <v>15338</v>
      </c>
      <c r="C2953" s="22" t="s">
        <v>4850</v>
      </c>
      <c r="F2953" s="22">
        <v>941138</v>
      </c>
      <c r="G2953" s="23" t="s">
        <v>4851</v>
      </c>
      <c r="H2953" s="25" t="s">
        <v>15373</v>
      </c>
      <c r="I2953" s="22" t="s">
        <v>15411</v>
      </c>
      <c r="J2953" s="22" t="s">
        <v>15744</v>
      </c>
      <c r="K2953" s="26">
        <f t="shared" si="45"/>
        <v>750</v>
      </c>
      <c r="L2953" s="26">
        <v>750</v>
      </c>
      <c r="O2953" s="22" t="s">
        <v>4852</v>
      </c>
      <c r="P2953" s="22" t="s">
        <v>6558</v>
      </c>
      <c r="Q2953" s="22">
        <v>92101</v>
      </c>
      <c r="S2953" s="22" t="s">
        <v>4853</v>
      </c>
      <c r="X2953" s="26"/>
      <c r="Y2953" s="26"/>
    </row>
    <row r="2954" spans="1:25" ht="50" x14ac:dyDescent="0.25">
      <c r="A2954" s="21">
        <v>3193</v>
      </c>
      <c r="B2954" s="22" t="s">
        <v>15338</v>
      </c>
      <c r="C2954" s="22" t="s">
        <v>4854</v>
      </c>
      <c r="F2954" s="22">
        <v>940326</v>
      </c>
      <c r="G2954" s="23" t="s">
        <v>4855</v>
      </c>
      <c r="H2954" s="25" t="s">
        <v>15373</v>
      </c>
      <c r="I2954" s="22" t="s">
        <v>15374</v>
      </c>
      <c r="J2954" s="22" t="s">
        <v>15420</v>
      </c>
      <c r="K2954" s="26">
        <f t="shared" ref="K2954:K3017" si="46">L2954+M2954*(2/3)+N2954*(2/3)</f>
        <v>1035</v>
      </c>
      <c r="L2954" s="26">
        <v>1035</v>
      </c>
      <c r="O2954" s="22" t="s">
        <v>4856</v>
      </c>
      <c r="P2954" s="22" t="s">
        <v>4711</v>
      </c>
      <c r="Q2954" s="22">
        <v>91978</v>
      </c>
      <c r="S2954" s="22" t="s">
        <v>4857</v>
      </c>
      <c r="X2954" s="26"/>
      <c r="Y2954" s="26"/>
    </row>
    <row r="2955" spans="1:25" ht="50" x14ac:dyDescent="0.25">
      <c r="A2955" s="21">
        <v>3194</v>
      </c>
      <c r="B2955" s="22" t="s">
        <v>15338</v>
      </c>
      <c r="C2955" s="22" t="s">
        <v>4854</v>
      </c>
      <c r="F2955" s="22">
        <v>940327</v>
      </c>
      <c r="G2955" s="23" t="s">
        <v>4858</v>
      </c>
      <c r="H2955" s="25" t="s">
        <v>15373</v>
      </c>
      <c r="I2955" s="22" t="s">
        <v>15374</v>
      </c>
      <c r="J2955" s="22" t="s">
        <v>15420</v>
      </c>
      <c r="K2955" s="26">
        <f t="shared" si="46"/>
        <v>963</v>
      </c>
      <c r="L2955" s="26">
        <v>963</v>
      </c>
      <c r="O2955" s="22" t="s">
        <v>4856</v>
      </c>
      <c r="P2955" s="22" t="s">
        <v>4711</v>
      </c>
      <c r="Q2955" s="22">
        <v>91978</v>
      </c>
      <c r="S2955" s="22" t="s">
        <v>4857</v>
      </c>
      <c r="X2955" s="26"/>
      <c r="Y2955" s="26"/>
    </row>
    <row r="2956" spans="1:25" ht="37.5" x14ac:dyDescent="0.25">
      <c r="A2956" s="21">
        <v>3195</v>
      </c>
      <c r="B2956" s="22" t="s">
        <v>15338</v>
      </c>
      <c r="C2956" s="22" t="s">
        <v>5789</v>
      </c>
      <c r="F2956" s="22">
        <v>971538</v>
      </c>
      <c r="G2956" s="23" t="s">
        <v>4859</v>
      </c>
      <c r="H2956" s="25" t="s">
        <v>15373</v>
      </c>
      <c r="I2956" s="22" t="s">
        <v>15374</v>
      </c>
      <c r="J2956" s="22">
        <v>3512</v>
      </c>
      <c r="K2956" s="26">
        <f t="shared" si="46"/>
        <v>1648</v>
      </c>
      <c r="L2956" s="26">
        <v>1648</v>
      </c>
      <c r="O2956" s="22" t="s">
        <v>4860</v>
      </c>
      <c r="P2956" s="22" t="s">
        <v>6558</v>
      </c>
      <c r="Q2956" s="22">
        <v>92121</v>
      </c>
      <c r="S2956" s="22" t="s">
        <v>4861</v>
      </c>
      <c r="X2956" s="26"/>
      <c r="Y2956" s="26"/>
    </row>
    <row r="2957" spans="1:25" ht="37.5" x14ac:dyDescent="0.25">
      <c r="A2957" s="21">
        <v>3196</v>
      </c>
      <c r="B2957" s="22" t="s">
        <v>15338</v>
      </c>
      <c r="C2957" s="22" t="s">
        <v>5789</v>
      </c>
      <c r="F2957" s="22">
        <v>974135</v>
      </c>
      <c r="G2957" s="23" t="s">
        <v>4862</v>
      </c>
      <c r="H2957" s="25" t="s">
        <v>15373</v>
      </c>
      <c r="I2957" s="22" t="s">
        <v>15374</v>
      </c>
      <c r="J2957" s="22" t="s">
        <v>4863</v>
      </c>
      <c r="K2957" s="26">
        <f t="shared" si="46"/>
        <v>1200</v>
      </c>
      <c r="L2957" s="26">
        <v>1200</v>
      </c>
      <c r="O2957" s="22" t="s">
        <v>4864</v>
      </c>
      <c r="P2957" s="22" t="s">
        <v>5396</v>
      </c>
      <c r="Q2957" s="22">
        <v>92014</v>
      </c>
      <c r="X2957" s="26"/>
      <c r="Y2957" s="26"/>
    </row>
    <row r="2958" spans="1:25" ht="25" x14ac:dyDescent="0.25">
      <c r="A2958" s="21">
        <v>3197</v>
      </c>
      <c r="B2958" s="22" t="s">
        <v>15338</v>
      </c>
      <c r="C2958" s="22" t="s">
        <v>5789</v>
      </c>
      <c r="F2958" s="22">
        <v>974875</v>
      </c>
      <c r="G2958" s="23" t="s">
        <v>4865</v>
      </c>
      <c r="H2958" s="25" t="s">
        <v>15373</v>
      </c>
      <c r="I2958" s="22" t="s">
        <v>15374</v>
      </c>
      <c r="J2958" s="22" t="s">
        <v>11983</v>
      </c>
      <c r="K2958" s="26">
        <f t="shared" si="46"/>
        <v>976</v>
      </c>
      <c r="L2958" s="26">
        <v>976</v>
      </c>
      <c r="O2958" s="22" t="s">
        <v>4866</v>
      </c>
      <c r="P2958" s="22" t="s">
        <v>5561</v>
      </c>
      <c r="Q2958" s="22">
        <v>92026</v>
      </c>
      <c r="S2958" s="22" t="s">
        <v>4867</v>
      </c>
      <c r="X2958" s="26"/>
      <c r="Y2958" s="26"/>
    </row>
    <row r="2959" spans="1:25" ht="25" x14ac:dyDescent="0.25">
      <c r="A2959" s="21">
        <v>3198</v>
      </c>
      <c r="B2959" s="22" t="s">
        <v>15338</v>
      </c>
      <c r="C2959" s="22" t="s">
        <v>5789</v>
      </c>
      <c r="F2959" s="22">
        <v>960944</v>
      </c>
      <c r="G2959" s="23" t="s">
        <v>4868</v>
      </c>
      <c r="H2959" s="25" t="s">
        <v>15373</v>
      </c>
      <c r="I2959" s="22" t="s">
        <v>15374</v>
      </c>
      <c r="J2959" s="22">
        <v>3512</v>
      </c>
      <c r="K2959" s="26">
        <f t="shared" si="46"/>
        <v>963</v>
      </c>
      <c r="L2959" s="26">
        <v>963</v>
      </c>
      <c r="O2959" s="22" t="s">
        <v>4866</v>
      </c>
      <c r="P2959" s="22" t="s">
        <v>5561</v>
      </c>
      <c r="Q2959" s="22">
        <v>92025</v>
      </c>
      <c r="S2959" s="22" t="s">
        <v>4867</v>
      </c>
      <c r="X2959" s="26"/>
      <c r="Y2959" s="26"/>
    </row>
    <row r="2960" spans="1:25" ht="37.5" x14ac:dyDescent="0.25">
      <c r="A2960" s="21">
        <v>3199</v>
      </c>
      <c r="B2960" s="22" t="s">
        <v>15338</v>
      </c>
      <c r="C2960" s="22" t="s">
        <v>5789</v>
      </c>
      <c r="F2960" s="22">
        <v>971315</v>
      </c>
      <c r="G2960" s="23" t="s">
        <v>4869</v>
      </c>
      <c r="H2960" s="25" t="s">
        <v>15373</v>
      </c>
      <c r="I2960" s="22" t="s">
        <v>15374</v>
      </c>
      <c r="J2960" s="22">
        <v>3512</v>
      </c>
      <c r="K2960" s="26">
        <f t="shared" si="46"/>
        <v>900</v>
      </c>
      <c r="L2960" s="26">
        <v>900</v>
      </c>
      <c r="O2960" s="22" t="s">
        <v>4870</v>
      </c>
      <c r="P2960" s="22" t="s">
        <v>5640</v>
      </c>
      <c r="Q2960" s="22">
        <v>91941</v>
      </c>
      <c r="S2960" s="22" t="s">
        <v>4871</v>
      </c>
      <c r="X2960" s="26"/>
      <c r="Y2960" s="26"/>
    </row>
    <row r="2961" spans="1:25" ht="37.5" x14ac:dyDescent="0.25">
      <c r="A2961" s="21">
        <v>3200</v>
      </c>
      <c r="B2961" s="22" t="s">
        <v>15338</v>
      </c>
      <c r="C2961" s="22" t="s">
        <v>5789</v>
      </c>
      <c r="F2961" s="22">
        <v>910074</v>
      </c>
      <c r="G2961" s="23" t="s">
        <v>4872</v>
      </c>
      <c r="H2961" s="25" t="s">
        <v>15373</v>
      </c>
      <c r="I2961" s="22" t="s">
        <v>15374</v>
      </c>
      <c r="J2961" s="22" t="s">
        <v>13585</v>
      </c>
      <c r="K2961" s="26">
        <f t="shared" si="46"/>
        <v>900</v>
      </c>
      <c r="L2961" s="26">
        <v>900</v>
      </c>
      <c r="O2961" s="22" t="s">
        <v>4873</v>
      </c>
      <c r="P2961" s="22" t="s">
        <v>6558</v>
      </c>
      <c r="Q2961" s="22">
        <v>92121</v>
      </c>
      <c r="S2961" s="22" t="s">
        <v>4874</v>
      </c>
      <c r="X2961" s="26"/>
      <c r="Y2961" s="26"/>
    </row>
    <row r="2962" spans="1:25" ht="37.5" x14ac:dyDescent="0.25">
      <c r="A2962" s="21">
        <v>3201</v>
      </c>
      <c r="B2962" s="22" t="s">
        <v>15338</v>
      </c>
      <c r="C2962" s="22" t="s">
        <v>5789</v>
      </c>
      <c r="F2962" s="22">
        <v>910075</v>
      </c>
      <c r="G2962" s="23" t="s">
        <v>4875</v>
      </c>
      <c r="H2962" s="25" t="s">
        <v>15373</v>
      </c>
      <c r="I2962" s="22" t="s">
        <v>15374</v>
      </c>
      <c r="J2962" s="22" t="s">
        <v>13585</v>
      </c>
      <c r="K2962" s="26">
        <f t="shared" si="46"/>
        <v>900</v>
      </c>
      <c r="L2962" s="26">
        <v>900</v>
      </c>
      <c r="O2962" s="22" t="s">
        <v>4873</v>
      </c>
      <c r="P2962" s="22" t="s">
        <v>6558</v>
      </c>
      <c r="Q2962" s="22">
        <v>92121</v>
      </c>
      <c r="S2962" s="22" t="s">
        <v>4874</v>
      </c>
      <c r="X2962" s="26"/>
      <c r="Y2962" s="26"/>
    </row>
    <row r="2963" spans="1:25" ht="37.5" x14ac:dyDescent="0.25">
      <c r="A2963" s="21">
        <v>3202</v>
      </c>
      <c r="B2963" s="22" t="s">
        <v>15338</v>
      </c>
      <c r="C2963" s="22" t="s">
        <v>5789</v>
      </c>
      <c r="F2963" s="22">
        <v>931053</v>
      </c>
      <c r="G2963" s="23" t="s">
        <v>4876</v>
      </c>
      <c r="H2963" s="25" t="s">
        <v>15373</v>
      </c>
      <c r="I2963" s="22" t="s">
        <v>15374</v>
      </c>
      <c r="J2963" s="22" t="s">
        <v>13585</v>
      </c>
      <c r="K2963" s="26">
        <f t="shared" si="46"/>
        <v>800</v>
      </c>
      <c r="L2963" s="26">
        <v>800</v>
      </c>
      <c r="O2963" s="22" t="s">
        <v>4877</v>
      </c>
      <c r="P2963" s="22" t="s">
        <v>6558</v>
      </c>
      <c r="Q2963" s="22">
        <v>92101</v>
      </c>
      <c r="S2963" s="22" t="s">
        <v>4871</v>
      </c>
      <c r="X2963" s="26"/>
      <c r="Y2963" s="26"/>
    </row>
    <row r="2964" spans="1:25" ht="62.5" x14ac:dyDescent="0.25">
      <c r="A2964" s="21">
        <v>3203</v>
      </c>
      <c r="B2964" s="22" t="s">
        <v>15338</v>
      </c>
      <c r="C2964" s="22" t="s">
        <v>5789</v>
      </c>
      <c r="F2964" s="22">
        <v>930328</v>
      </c>
      <c r="G2964" s="23" t="s">
        <v>4878</v>
      </c>
      <c r="H2964" s="25" t="s">
        <v>15373</v>
      </c>
      <c r="I2964" s="22" t="s">
        <v>15374</v>
      </c>
      <c r="J2964" s="22" t="s">
        <v>13585</v>
      </c>
      <c r="K2964" s="26">
        <f t="shared" si="46"/>
        <v>800</v>
      </c>
      <c r="L2964" s="26">
        <v>800</v>
      </c>
      <c r="O2964" s="22" t="s">
        <v>4879</v>
      </c>
      <c r="P2964" s="22" t="s">
        <v>6558</v>
      </c>
      <c r="Q2964" s="22">
        <v>92111</v>
      </c>
      <c r="S2964" s="22" t="s">
        <v>4880</v>
      </c>
      <c r="X2964" s="26"/>
      <c r="Y2964" s="26"/>
    </row>
    <row r="2965" spans="1:25" ht="37.5" x14ac:dyDescent="0.25">
      <c r="A2965" s="21">
        <v>3204</v>
      </c>
      <c r="B2965" s="22" t="s">
        <v>15338</v>
      </c>
      <c r="C2965" s="22" t="s">
        <v>5789</v>
      </c>
      <c r="F2965" s="22">
        <v>973930</v>
      </c>
      <c r="G2965" s="23" t="s">
        <v>4881</v>
      </c>
      <c r="H2965" s="25" t="s">
        <v>15373</v>
      </c>
      <c r="I2965" s="22" t="s">
        <v>15374</v>
      </c>
      <c r="J2965" s="22" t="s">
        <v>15918</v>
      </c>
      <c r="K2965" s="26">
        <f t="shared" si="46"/>
        <v>779</v>
      </c>
      <c r="L2965" s="26">
        <v>779</v>
      </c>
      <c r="O2965" s="22" t="s">
        <v>4882</v>
      </c>
      <c r="P2965" s="22" t="s">
        <v>6558</v>
      </c>
      <c r="Q2965" s="22">
        <v>92102</v>
      </c>
      <c r="S2965" s="22" t="s">
        <v>4883</v>
      </c>
      <c r="X2965" s="26"/>
      <c r="Y2965" s="26"/>
    </row>
    <row r="2966" spans="1:25" ht="25" x14ac:dyDescent="0.25">
      <c r="A2966" s="21">
        <v>3205</v>
      </c>
      <c r="B2966" s="22" t="s">
        <v>15338</v>
      </c>
      <c r="C2966" s="22" t="s">
        <v>5789</v>
      </c>
      <c r="F2966" s="22">
        <v>961304</v>
      </c>
      <c r="G2966" s="23" t="s">
        <v>4884</v>
      </c>
      <c r="H2966" s="25" t="s">
        <v>15373</v>
      </c>
      <c r="I2966" s="22" t="s">
        <v>15374</v>
      </c>
      <c r="J2966" s="22">
        <v>3508</v>
      </c>
      <c r="K2966" s="26">
        <f t="shared" si="46"/>
        <v>714</v>
      </c>
      <c r="L2966" s="26">
        <v>714</v>
      </c>
      <c r="O2966" s="22" t="s">
        <v>4885</v>
      </c>
      <c r="P2966" s="22" t="s">
        <v>5420</v>
      </c>
      <c r="Q2966" s="22">
        <v>92008</v>
      </c>
      <c r="X2966" s="26"/>
      <c r="Y2966" s="26"/>
    </row>
    <row r="2967" spans="1:25" ht="25" x14ac:dyDescent="0.25">
      <c r="A2967" s="21">
        <v>3206</v>
      </c>
      <c r="B2967" s="22" t="s">
        <v>15338</v>
      </c>
      <c r="C2967" s="22" t="s">
        <v>5789</v>
      </c>
      <c r="F2967" s="22">
        <v>850499</v>
      </c>
      <c r="G2967" s="23" t="s">
        <v>4886</v>
      </c>
      <c r="H2967" s="25" t="s">
        <v>15373</v>
      </c>
      <c r="I2967" s="22" t="s">
        <v>15374</v>
      </c>
      <c r="J2967" s="22">
        <v>3508</v>
      </c>
      <c r="K2967" s="26">
        <f t="shared" si="46"/>
        <v>690</v>
      </c>
      <c r="L2967" s="26">
        <v>690</v>
      </c>
      <c r="O2967" s="22" t="s">
        <v>4860</v>
      </c>
      <c r="P2967" s="22" t="s">
        <v>6558</v>
      </c>
      <c r="Q2967" s="22">
        <v>92121</v>
      </c>
      <c r="S2967" s="22" t="s">
        <v>4861</v>
      </c>
      <c r="X2967" s="26"/>
      <c r="Y2967" s="26"/>
    </row>
    <row r="2968" spans="1:25" ht="37.5" x14ac:dyDescent="0.25">
      <c r="A2968" s="21">
        <v>3207</v>
      </c>
      <c r="B2968" s="22" t="s">
        <v>15338</v>
      </c>
      <c r="C2968" s="22" t="s">
        <v>5789</v>
      </c>
      <c r="F2968" s="22">
        <v>973818</v>
      </c>
      <c r="G2968" s="23" t="s">
        <v>4887</v>
      </c>
      <c r="H2968" s="25" t="s">
        <v>15373</v>
      </c>
      <c r="I2968" s="22" t="s">
        <v>15374</v>
      </c>
      <c r="J2968" s="22">
        <v>3412</v>
      </c>
      <c r="K2968" s="26">
        <f t="shared" si="46"/>
        <v>675</v>
      </c>
      <c r="L2968" s="26">
        <v>675</v>
      </c>
      <c r="O2968" s="22" t="s">
        <v>4888</v>
      </c>
      <c r="P2968" s="22" t="s">
        <v>6558</v>
      </c>
      <c r="Q2968" s="22">
        <v>92139</v>
      </c>
      <c r="S2968" s="22" t="s">
        <v>4725</v>
      </c>
      <c r="X2968" s="26"/>
      <c r="Y2968" s="26"/>
    </row>
    <row r="2969" spans="1:25" ht="37.5" x14ac:dyDescent="0.25">
      <c r="A2969" s="21">
        <v>3208</v>
      </c>
      <c r="B2969" s="22" t="s">
        <v>15338</v>
      </c>
      <c r="C2969" s="22" t="s">
        <v>5789</v>
      </c>
      <c r="F2969" s="22">
        <v>950242</v>
      </c>
      <c r="G2969" s="23" t="s">
        <v>4889</v>
      </c>
      <c r="H2969" s="25" t="s">
        <v>15373</v>
      </c>
      <c r="I2969" s="22" t="s">
        <v>15374</v>
      </c>
      <c r="J2969" s="22">
        <v>3412</v>
      </c>
      <c r="K2969" s="26">
        <f t="shared" si="46"/>
        <v>600</v>
      </c>
      <c r="L2969" s="26">
        <v>600</v>
      </c>
      <c r="O2969" s="22" t="s">
        <v>4890</v>
      </c>
      <c r="P2969" s="22" t="s">
        <v>6558</v>
      </c>
      <c r="Q2969" s="22">
        <v>92126</v>
      </c>
      <c r="S2969" s="22" t="s">
        <v>4891</v>
      </c>
      <c r="X2969" s="26"/>
      <c r="Y2969" s="26"/>
    </row>
    <row r="2970" spans="1:25" ht="50" x14ac:dyDescent="0.25">
      <c r="A2970" s="21">
        <v>3209</v>
      </c>
      <c r="B2970" s="22" t="s">
        <v>15338</v>
      </c>
      <c r="C2970" s="22" t="s">
        <v>5789</v>
      </c>
      <c r="F2970" s="22">
        <v>930599</v>
      </c>
      <c r="G2970" s="23" t="s">
        <v>4892</v>
      </c>
      <c r="H2970" s="25" t="s">
        <v>15373</v>
      </c>
      <c r="I2970" s="22" t="s">
        <v>15374</v>
      </c>
      <c r="J2970" s="22">
        <v>3412</v>
      </c>
      <c r="K2970" s="26">
        <f t="shared" si="46"/>
        <v>600</v>
      </c>
      <c r="L2970" s="26">
        <v>600</v>
      </c>
      <c r="O2970" s="22" t="s">
        <v>4893</v>
      </c>
      <c r="P2970" s="22" t="s">
        <v>6558</v>
      </c>
      <c r="Q2970" s="22">
        <v>92109</v>
      </c>
      <c r="S2970" s="22" t="s">
        <v>4880</v>
      </c>
      <c r="X2970" s="26"/>
      <c r="Y2970" s="26"/>
    </row>
    <row r="2971" spans="1:25" ht="37.5" x14ac:dyDescent="0.25">
      <c r="A2971" s="21">
        <v>3210</v>
      </c>
      <c r="B2971" s="22" t="s">
        <v>15338</v>
      </c>
      <c r="C2971" s="22" t="s">
        <v>5789</v>
      </c>
      <c r="F2971" s="22">
        <v>950373</v>
      </c>
      <c r="G2971" s="23" t="s">
        <v>4894</v>
      </c>
      <c r="H2971" s="25" t="s">
        <v>15373</v>
      </c>
      <c r="I2971" s="22" t="s">
        <v>15374</v>
      </c>
      <c r="J2971" s="22">
        <v>3412</v>
      </c>
      <c r="K2971" s="26">
        <f t="shared" si="46"/>
        <v>600</v>
      </c>
      <c r="L2971" s="26">
        <v>600</v>
      </c>
      <c r="O2971" s="22" t="s">
        <v>4888</v>
      </c>
      <c r="P2971" s="22" t="s">
        <v>6558</v>
      </c>
      <c r="Q2971" s="22">
        <v>92139</v>
      </c>
      <c r="S2971" s="22" t="s">
        <v>4867</v>
      </c>
      <c r="X2971" s="26"/>
      <c r="Y2971" s="26"/>
    </row>
    <row r="2972" spans="1:25" ht="37.5" x14ac:dyDescent="0.25">
      <c r="A2972" s="21">
        <v>3211</v>
      </c>
      <c r="B2972" s="22" t="s">
        <v>15338</v>
      </c>
      <c r="C2972" s="22" t="s">
        <v>5789</v>
      </c>
      <c r="F2972" s="22">
        <v>973817</v>
      </c>
      <c r="G2972" s="23" t="s">
        <v>4895</v>
      </c>
      <c r="H2972" s="25" t="s">
        <v>15373</v>
      </c>
      <c r="I2972" s="22" t="s">
        <v>15374</v>
      </c>
      <c r="J2972" s="22">
        <v>3212</v>
      </c>
      <c r="K2972" s="26">
        <f t="shared" si="46"/>
        <v>579</v>
      </c>
      <c r="L2972" s="26">
        <v>579</v>
      </c>
      <c r="O2972" s="22" t="s">
        <v>4896</v>
      </c>
      <c r="P2972" s="22" t="s">
        <v>6558</v>
      </c>
      <c r="Q2972" s="22">
        <v>92107</v>
      </c>
      <c r="S2972" s="22" t="s">
        <v>4871</v>
      </c>
      <c r="X2972" s="26"/>
      <c r="Y2972" s="26"/>
    </row>
    <row r="2973" spans="1:25" ht="37.5" x14ac:dyDescent="0.25">
      <c r="A2973" s="21">
        <v>3212</v>
      </c>
      <c r="B2973" s="22" t="s">
        <v>15338</v>
      </c>
      <c r="C2973" s="22" t="s">
        <v>5789</v>
      </c>
      <c r="F2973" s="22">
        <v>960945</v>
      </c>
      <c r="G2973" s="23" t="s">
        <v>4897</v>
      </c>
      <c r="H2973" s="25" t="s">
        <v>15373</v>
      </c>
      <c r="I2973" s="22" t="s">
        <v>15374</v>
      </c>
      <c r="J2973" s="22">
        <v>3412</v>
      </c>
      <c r="K2973" s="26">
        <f t="shared" si="46"/>
        <v>579</v>
      </c>
      <c r="L2973" s="26">
        <v>579</v>
      </c>
      <c r="O2973" s="22" t="s">
        <v>4898</v>
      </c>
      <c r="P2973" s="22" t="s">
        <v>6558</v>
      </c>
      <c r="Q2973" s="22">
        <v>92115</v>
      </c>
      <c r="X2973" s="26"/>
      <c r="Y2973" s="26"/>
    </row>
    <row r="2974" spans="1:25" ht="25" x14ac:dyDescent="0.25">
      <c r="A2974" s="21">
        <v>3213</v>
      </c>
      <c r="B2974" s="22" t="s">
        <v>15338</v>
      </c>
      <c r="C2974" s="22" t="s">
        <v>5789</v>
      </c>
      <c r="F2974" s="22">
        <v>900325</v>
      </c>
      <c r="G2974" s="23" t="s">
        <v>4899</v>
      </c>
      <c r="H2974" s="25" t="s">
        <v>15373</v>
      </c>
      <c r="I2974" s="22" t="s">
        <v>15374</v>
      </c>
      <c r="J2974" s="22" t="s">
        <v>15441</v>
      </c>
      <c r="K2974" s="26">
        <f t="shared" si="46"/>
        <v>540</v>
      </c>
      <c r="L2974" s="26">
        <v>540</v>
      </c>
      <c r="O2974" s="22" t="s">
        <v>4866</v>
      </c>
      <c r="P2974" s="22" t="s">
        <v>5561</v>
      </c>
      <c r="Q2974" s="22">
        <v>92025</v>
      </c>
      <c r="S2974" s="22" t="s">
        <v>4867</v>
      </c>
      <c r="X2974" s="26"/>
      <c r="Y2974" s="26"/>
    </row>
    <row r="2975" spans="1:25" ht="25" x14ac:dyDescent="0.25">
      <c r="A2975" s="21">
        <v>3214</v>
      </c>
      <c r="B2975" s="22" t="s">
        <v>15338</v>
      </c>
      <c r="C2975" s="22" t="s">
        <v>5789</v>
      </c>
      <c r="F2975" s="22">
        <v>910766</v>
      </c>
      <c r="G2975" s="23" t="s">
        <v>4900</v>
      </c>
      <c r="H2975" s="25" t="s">
        <v>15373</v>
      </c>
      <c r="I2975" s="22" t="s">
        <v>15374</v>
      </c>
      <c r="J2975" s="22">
        <v>3412</v>
      </c>
      <c r="K2975" s="26">
        <f t="shared" si="46"/>
        <v>450</v>
      </c>
      <c r="L2975" s="26">
        <v>450</v>
      </c>
      <c r="O2975" s="22" t="s">
        <v>4893</v>
      </c>
      <c r="P2975" s="22" t="s">
        <v>6558</v>
      </c>
      <c r="Q2975" s="22">
        <v>92109</v>
      </c>
      <c r="S2975" s="22" t="s">
        <v>4880</v>
      </c>
      <c r="X2975" s="26"/>
      <c r="Y2975" s="26"/>
    </row>
    <row r="2976" spans="1:25" ht="37.5" x14ac:dyDescent="0.25">
      <c r="A2976" s="21">
        <v>3215</v>
      </c>
      <c r="B2976" s="22" t="s">
        <v>15338</v>
      </c>
      <c r="C2976" s="22" t="s">
        <v>5789</v>
      </c>
      <c r="F2976" s="22">
        <v>910653</v>
      </c>
      <c r="G2976" s="23" t="s">
        <v>4901</v>
      </c>
      <c r="H2976" s="25" t="s">
        <v>15373</v>
      </c>
      <c r="I2976" s="22" t="s">
        <v>15374</v>
      </c>
      <c r="J2976" s="22">
        <v>3406</v>
      </c>
      <c r="K2976" s="26">
        <f t="shared" si="46"/>
        <v>350</v>
      </c>
      <c r="L2976" s="26">
        <v>350</v>
      </c>
      <c r="O2976" s="22" t="s">
        <v>4893</v>
      </c>
      <c r="P2976" s="22" t="s">
        <v>6558</v>
      </c>
      <c r="Q2976" s="22">
        <v>92109</v>
      </c>
      <c r="S2976" s="22" t="s">
        <v>4880</v>
      </c>
      <c r="X2976" s="26"/>
      <c r="Y2976" s="26"/>
    </row>
    <row r="2977" spans="1:25" ht="37.5" x14ac:dyDescent="0.25">
      <c r="A2977" s="21">
        <v>3216</v>
      </c>
      <c r="B2977" s="22" t="s">
        <v>15338</v>
      </c>
      <c r="C2977" s="22" t="s">
        <v>5789</v>
      </c>
      <c r="F2977" s="22">
        <v>971856</v>
      </c>
      <c r="G2977" s="23" t="s">
        <v>4902</v>
      </c>
      <c r="H2977" s="25" t="s">
        <v>15373</v>
      </c>
      <c r="I2977" s="22" t="s">
        <v>15374</v>
      </c>
      <c r="J2977" s="22">
        <v>3406</v>
      </c>
      <c r="K2977" s="26">
        <f t="shared" si="46"/>
        <v>300</v>
      </c>
      <c r="L2977" s="26">
        <v>300</v>
      </c>
      <c r="O2977" s="22" t="s">
        <v>4903</v>
      </c>
      <c r="P2977" s="22" t="s">
        <v>4904</v>
      </c>
      <c r="Q2977" s="22">
        <v>92071</v>
      </c>
      <c r="X2977" s="26"/>
      <c r="Y2977" s="26"/>
    </row>
    <row r="2978" spans="1:25" ht="50" x14ac:dyDescent="0.25">
      <c r="A2978" s="21">
        <v>3217</v>
      </c>
      <c r="B2978" s="22" t="s">
        <v>15338</v>
      </c>
      <c r="C2978" s="22" t="s">
        <v>5789</v>
      </c>
      <c r="F2978" s="22">
        <v>920738</v>
      </c>
      <c r="G2978" s="23" t="s">
        <v>4905</v>
      </c>
      <c r="H2978" s="25" t="s">
        <v>15373</v>
      </c>
      <c r="I2978" s="22" t="s">
        <v>15411</v>
      </c>
      <c r="J2978" s="22" t="s">
        <v>4906</v>
      </c>
      <c r="K2978" s="26">
        <f t="shared" si="46"/>
        <v>1500</v>
      </c>
      <c r="L2978" s="26">
        <v>1500</v>
      </c>
      <c r="O2978" s="22" t="s">
        <v>4907</v>
      </c>
      <c r="P2978" s="22" t="s">
        <v>6558</v>
      </c>
      <c r="Q2978" s="22">
        <v>92103</v>
      </c>
      <c r="S2978" s="22" t="s">
        <v>4880</v>
      </c>
      <c r="X2978" s="26"/>
      <c r="Y2978" s="26"/>
    </row>
    <row r="2979" spans="1:25" ht="50" x14ac:dyDescent="0.25">
      <c r="A2979" s="21">
        <v>3218</v>
      </c>
      <c r="B2979" s="22" t="s">
        <v>15338</v>
      </c>
      <c r="C2979" s="22" t="s">
        <v>5789</v>
      </c>
      <c r="F2979" s="22">
        <v>920860</v>
      </c>
      <c r="G2979" s="23" t="s">
        <v>4908</v>
      </c>
      <c r="H2979" s="25" t="s">
        <v>15373</v>
      </c>
      <c r="I2979" s="22" t="s">
        <v>15411</v>
      </c>
      <c r="J2979" s="22" t="s">
        <v>4906</v>
      </c>
      <c r="K2979" s="26">
        <f t="shared" si="46"/>
        <v>1500</v>
      </c>
      <c r="L2979" s="26">
        <v>1500</v>
      </c>
      <c r="O2979" s="22" t="s">
        <v>4907</v>
      </c>
      <c r="P2979" s="22" t="s">
        <v>6558</v>
      </c>
      <c r="Q2979" s="22">
        <v>92103</v>
      </c>
      <c r="S2979" s="22" t="s">
        <v>4880</v>
      </c>
      <c r="X2979" s="26"/>
      <c r="Y2979" s="26"/>
    </row>
    <row r="2980" spans="1:25" ht="62.5" x14ac:dyDescent="0.25">
      <c r="A2980" s="21">
        <v>3219</v>
      </c>
      <c r="B2980" s="22" t="s">
        <v>15338</v>
      </c>
      <c r="C2980" s="22" t="s">
        <v>5789</v>
      </c>
      <c r="F2980" s="22">
        <v>920861</v>
      </c>
      <c r="G2980" s="23" t="s">
        <v>4909</v>
      </c>
      <c r="H2980" s="25" t="s">
        <v>15373</v>
      </c>
      <c r="I2980" s="22" t="s">
        <v>15411</v>
      </c>
      <c r="J2980" s="22" t="s">
        <v>4906</v>
      </c>
      <c r="K2980" s="26">
        <f t="shared" si="46"/>
        <v>1500</v>
      </c>
      <c r="L2980" s="26">
        <v>1500</v>
      </c>
      <c r="O2980" s="22" t="s">
        <v>4907</v>
      </c>
      <c r="P2980" s="22" t="s">
        <v>6558</v>
      </c>
      <c r="Q2980" s="22">
        <v>92103</v>
      </c>
      <c r="S2980" s="22" t="s">
        <v>4880</v>
      </c>
      <c r="X2980" s="26"/>
      <c r="Y2980" s="26"/>
    </row>
    <row r="2981" spans="1:25" ht="25" x14ac:dyDescent="0.25">
      <c r="A2981" s="21">
        <v>3220</v>
      </c>
      <c r="B2981" s="22" t="s">
        <v>15338</v>
      </c>
      <c r="C2981" s="22" t="s">
        <v>5789</v>
      </c>
      <c r="F2981" s="22">
        <v>972687</v>
      </c>
      <c r="G2981" s="23" t="s">
        <v>4910</v>
      </c>
      <c r="H2981" s="25" t="s">
        <v>15373</v>
      </c>
      <c r="I2981" s="22" t="s">
        <v>15411</v>
      </c>
      <c r="J2981" s="22" t="s">
        <v>14616</v>
      </c>
      <c r="K2981" s="26">
        <f t="shared" si="46"/>
        <v>1008</v>
      </c>
      <c r="L2981" s="26">
        <v>1008</v>
      </c>
      <c r="O2981" s="22" t="s">
        <v>4911</v>
      </c>
      <c r="P2981" s="22" t="s">
        <v>6558</v>
      </c>
      <c r="Q2981" s="22">
        <v>92128</v>
      </c>
      <c r="X2981" s="26"/>
      <c r="Y2981" s="26"/>
    </row>
    <row r="2982" spans="1:25" ht="37.5" x14ac:dyDescent="0.25">
      <c r="A2982" s="21">
        <v>3221</v>
      </c>
      <c r="B2982" s="22" t="s">
        <v>15338</v>
      </c>
      <c r="C2982" s="22" t="s">
        <v>5789</v>
      </c>
      <c r="F2982" s="22">
        <v>950590</v>
      </c>
      <c r="G2982" s="23" t="s">
        <v>4912</v>
      </c>
      <c r="H2982" s="25" t="s">
        <v>15373</v>
      </c>
      <c r="I2982" s="22" t="s">
        <v>15411</v>
      </c>
      <c r="J2982" s="22" t="s">
        <v>13002</v>
      </c>
      <c r="K2982" s="26">
        <f t="shared" si="46"/>
        <v>1000</v>
      </c>
      <c r="L2982" s="26">
        <v>1000</v>
      </c>
      <c r="O2982" s="22" t="s">
        <v>4890</v>
      </c>
      <c r="P2982" s="22" t="s">
        <v>6558</v>
      </c>
      <c r="Q2982" s="22">
        <v>92126</v>
      </c>
      <c r="S2982" s="22" t="s">
        <v>4871</v>
      </c>
      <c r="X2982" s="26"/>
      <c r="Y2982" s="26"/>
    </row>
    <row r="2983" spans="1:25" ht="25" x14ac:dyDescent="0.25">
      <c r="A2983" s="21">
        <v>3222</v>
      </c>
      <c r="B2983" s="22" t="s">
        <v>15338</v>
      </c>
      <c r="C2983" s="22" t="s">
        <v>5789</v>
      </c>
      <c r="F2983" s="22">
        <v>973250</v>
      </c>
      <c r="G2983" s="23" t="s">
        <v>4913</v>
      </c>
      <c r="H2983" s="25" t="s">
        <v>15373</v>
      </c>
      <c r="I2983" s="22" t="s">
        <v>15411</v>
      </c>
      <c r="J2983" s="22" t="s">
        <v>4914</v>
      </c>
      <c r="K2983" s="26">
        <f t="shared" si="46"/>
        <v>761</v>
      </c>
      <c r="L2983" s="26">
        <v>761</v>
      </c>
      <c r="O2983" s="22" t="s">
        <v>4915</v>
      </c>
      <c r="P2983" s="22" t="s">
        <v>6558</v>
      </c>
      <c r="Q2983" s="22">
        <v>92105</v>
      </c>
      <c r="S2983" s="22" t="s">
        <v>4871</v>
      </c>
      <c r="X2983" s="26"/>
      <c r="Y2983" s="26"/>
    </row>
    <row r="2984" spans="1:25" ht="75" x14ac:dyDescent="0.25">
      <c r="A2984" s="21">
        <v>3223</v>
      </c>
      <c r="B2984" s="22" t="s">
        <v>15338</v>
      </c>
      <c r="C2984" s="22" t="s">
        <v>5789</v>
      </c>
      <c r="F2984" s="22">
        <v>930917</v>
      </c>
      <c r="G2984" s="23" t="s">
        <v>4916</v>
      </c>
      <c r="H2984" s="25" t="s">
        <v>15373</v>
      </c>
      <c r="I2984" s="22" t="s">
        <v>15411</v>
      </c>
      <c r="J2984" s="22" t="s">
        <v>15542</v>
      </c>
      <c r="K2984" s="26">
        <f t="shared" si="46"/>
        <v>550</v>
      </c>
      <c r="L2984" s="26">
        <v>550</v>
      </c>
      <c r="O2984" s="22" t="s">
        <v>4917</v>
      </c>
      <c r="P2984" s="22" t="s">
        <v>5486</v>
      </c>
      <c r="Q2984" s="22">
        <v>92020</v>
      </c>
      <c r="S2984" s="22" t="s">
        <v>4918</v>
      </c>
      <c r="X2984" s="26"/>
      <c r="Y2984" s="26"/>
    </row>
    <row r="2985" spans="1:25" ht="37.5" x14ac:dyDescent="0.25">
      <c r="A2985" s="21">
        <v>3224</v>
      </c>
      <c r="B2985" s="22" t="s">
        <v>15338</v>
      </c>
      <c r="C2985" s="22" t="s">
        <v>5789</v>
      </c>
      <c r="F2985" s="22">
        <v>930623</v>
      </c>
      <c r="G2985" s="23" t="s">
        <v>4919</v>
      </c>
      <c r="H2985" s="25" t="s">
        <v>15373</v>
      </c>
      <c r="I2985" s="22" t="s">
        <v>15411</v>
      </c>
      <c r="J2985" s="22" t="s">
        <v>15542</v>
      </c>
      <c r="K2985" s="26">
        <f t="shared" si="46"/>
        <v>550</v>
      </c>
      <c r="L2985" s="26">
        <v>550</v>
      </c>
      <c r="O2985" s="22" t="s">
        <v>4920</v>
      </c>
      <c r="P2985" s="22" t="s">
        <v>5498</v>
      </c>
      <c r="Q2985" s="22">
        <v>92054</v>
      </c>
      <c r="S2985" s="22" t="s">
        <v>4921</v>
      </c>
      <c r="X2985" s="26"/>
      <c r="Y2985" s="26"/>
    </row>
    <row r="2986" spans="1:25" ht="62.5" x14ac:dyDescent="0.25">
      <c r="A2986" s="21">
        <v>3225</v>
      </c>
      <c r="B2986" s="22" t="s">
        <v>15338</v>
      </c>
      <c r="C2986" s="22" t="s">
        <v>5789</v>
      </c>
      <c r="F2986" s="22">
        <v>921506</v>
      </c>
      <c r="G2986" s="23" t="s">
        <v>4922</v>
      </c>
      <c r="H2986" s="25" t="s">
        <v>15373</v>
      </c>
      <c r="I2986" s="22" t="s">
        <v>15411</v>
      </c>
      <c r="J2986" s="22" t="s">
        <v>15451</v>
      </c>
      <c r="K2986" s="26">
        <f t="shared" si="46"/>
        <v>500</v>
      </c>
      <c r="L2986" s="26">
        <v>500</v>
      </c>
      <c r="O2986" s="22" t="s">
        <v>4923</v>
      </c>
      <c r="P2986" s="22" t="s">
        <v>5525</v>
      </c>
      <c r="Q2986" s="22">
        <v>92069</v>
      </c>
      <c r="S2986" s="22" t="s">
        <v>4880</v>
      </c>
      <c r="X2986" s="26"/>
      <c r="Y2986" s="26"/>
    </row>
    <row r="2987" spans="1:25" ht="37.5" x14ac:dyDescent="0.25">
      <c r="A2987" s="21">
        <v>3226</v>
      </c>
      <c r="B2987" s="22" t="s">
        <v>15338</v>
      </c>
      <c r="C2987" s="22" t="s">
        <v>5789</v>
      </c>
      <c r="F2987" s="22">
        <v>975870</v>
      </c>
      <c r="G2987" s="23" t="s">
        <v>4924</v>
      </c>
      <c r="H2987" s="25" t="s">
        <v>15373</v>
      </c>
      <c r="I2987" s="22" t="s">
        <v>15411</v>
      </c>
      <c r="J2987" s="22" t="s">
        <v>12508</v>
      </c>
      <c r="K2987" s="26">
        <f t="shared" si="46"/>
        <v>488</v>
      </c>
      <c r="L2987" s="26">
        <v>488</v>
      </c>
      <c r="O2987" s="22" t="s">
        <v>4925</v>
      </c>
      <c r="P2987" s="22" t="s">
        <v>4926</v>
      </c>
      <c r="Q2987" s="22">
        <v>92082</v>
      </c>
      <c r="S2987" s="22" t="s">
        <v>4880</v>
      </c>
      <c r="X2987" s="26"/>
      <c r="Y2987" s="26"/>
    </row>
    <row r="2988" spans="1:25" ht="37.5" x14ac:dyDescent="0.25">
      <c r="A2988" s="21">
        <v>3227</v>
      </c>
      <c r="B2988" s="22" t="s">
        <v>15338</v>
      </c>
      <c r="C2988" s="22" t="s">
        <v>5789</v>
      </c>
      <c r="F2988" s="22">
        <v>900987</v>
      </c>
      <c r="G2988" s="23" t="s">
        <v>4927</v>
      </c>
      <c r="H2988" s="25" t="s">
        <v>15373</v>
      </c>
      <c r="I2988" s="22" t="s">
        <v>15411</v>
      </c>
      <c r="J2988" s="22" t="s">
        <v>10125</v>
      </c>
      <c r="K2988" s="26">
        <f t="shared" si="46"/>
        <v>457</v>
      </c>
      <c r="L2988" s="26">
        <v>457</v>
      </c>
      <c r="O2988" s="22" t="s">
        <v>4870</v>
      </c>
      <c r="P2988" s="22" t="s">
        <v>5640</v>
      </c>
      <c r="Q2988" s="22">
        <v>91941</v>
      </c>
      <c r="S2988" s="22" t="s">
        <v>4871</v>
      </c>
      <c r="X2988" s="26"/>
      <c r="Y2988" s="26"/>
    </row>
    <row r="2989" spans="1:25" ht="62.5" x14ac:dyDescent="0.25">
      <c r="A2989" s="21">
        <v>3228</v>
      </c>
      <c r="B2989" s="22" t="s">
        <v>15338</v>
      </c>
      <c r="C2989" s="22" t="s">
        <v>5789</v>
      </c>
      <c r="F2989" s="22">
        <v>930059</v>
      </c>
      <c r="G2989" s="23" t="s">
        <v>4928</v>
      </c>
      <c r="H2989" s="25" t="s">
        <v>15373</v>
      </c>
      <c r="I2989" s="22" t="s">
        <v>15411</v>
      </c>
      <c r="J2989" s="22" t="s">
        <v>12508</v>
      </c>
      <c r="K2989" s="26">
        <f t="shared" si="46"/>
        <v>450</v>
      </c>
      <c r="L2989" s="26">
        <v>450</v>
      </c>
      <c r="O2989" s="22" t="s">
        <v>4915</v>
      </c>
      <c r="P2989" s="22" t="s">
        <v>6558</v>
      </c>
      <c r="Q2989" s="22">
        <v>92105</v>
      </c>
      <c r="S2989" s="22" t="s">
        <v>4871</v>
      </c>
      <c r="X2989" s="26"/>
      <c r="Y2989" s="26"/>
    </row>
    <row r="2990" spans="1:25" ht="37.5" x14ac:dyDescent="0.25">
      <c r="A2990" s="21">
        <v>3229</v>
      </c>
      <c r="B2990" s="22" t="s">
        <v>15338</v>
      </c>
      <c r="C2990" s="22" t="s">
        <v>5789</v>
      </c>
      <c r="F2990" s="22">
        <v>920215</v>
      </c>
      <c r="G2990" s="23" t="s">
        <v>4929</v>
      </c>
      <c r="H2990" s="25" t="s">
        <v>15373</v>
      </c>
      <c r="I2990" s="22" t="s">
        <v>15411</v>
      </c>
      <c r="J2990" s="22" t="s">
        <v>12508</v>
      </c>
      <c r="K2990" s="26">
        <f t="shared" si="46"/>
        <v>450</v>
      </c>
      <c r="L2990" s="26">
        <v>450</v>
      </c>
      <c r="O2990" s="22" t="s">
        <v>4930</v>
      </c>
      <c r="P2990" s="22" t="s">
        <v>5408</v>
      </c>
      <c r="Q2990" s="22">
        <v>91910</v>
      </c>
      <c r="S2990" s="22" t="s">
        <v>4931</v>
      </c>
      <c r="X2990" s="26"/>
      <c r="Y2990" s="26"/>
    </row>
    <row r="2991" spans="1:25" ht="62.5" x14ac:dyDescent="0.25">
      <c r="A2991" s="21">
        <v>3230</v>
      </c>
      <c r="B2991" s="22" t="s">
        <v>15338</v>
      </c>
      <c r="C2991" s="22" t="s">
        <v>5789</v>
      </c>
      <c r="F2991" s="22">
        <v>930060</v>
      </c>
      <c r="G2991" s="23" t="s">
        <v>4932</v>
      </c>
      <c r="H2991" s="25" t="s">
        <v>15373</v>
      </c>
      <c r="I2991" s="22" t="s">
        <v>15411</v>
      </c>
      <c r="J2991" s="22" t="s">
        <v>12508</v>
      </c>
      <c r="K2991" s="26">
        <f t="shared" si="46"/>
        <v>450</v>
      </c>
      <c r="L2991" s="26">
        <v>450</v>
      </c>
      <c r="O2991" s="22" t="s">
        <v>4933</v>
      </c>
      <c r="P2991" s="22" t="s">
        <v>4934</v>
      </c>
      <c r="Q2991" s="22">
        <v>92024</v>
      </c>
      <c r="S2991" s="22" t="s">
        <v>4871</v>
      </c>
      <c r="X2991" s="26"/>
      <c r="Y2991" s="26"/>
    </row>
    <row r="2992" spans="1:25" ht="75" x14ac:dyDescent="0.25">
      <c r="A2992" s="21">
        <v>3231</v>
      </c>
      <c r="B2992" s="22" t="s">
        <v>15338</v>
      </c>
      <c r="C2992" s="22" t="s">
        <v>5789</v>
      </c>
      <c r="F2992" s="22">
        <v>880494</v>
      </c>
      <c r="G2992" s="23" t="s">
        <v>4935</v>
      </c>
      <c r="H2992" s="25" t="s">
        <v>15373</v>
      </c>
      <c r="I2992" s="22" t="s">
        <v>15411</v>
      </c>
      <c r="J2992" s="22" t="s">
        <v>15451</v>
      </c>
      <c r="K2992" s="26">
        <f t="shared" si="46"/>
        <v>450</v>
      </c>
      <c r="L2992" s="26">
        <v>450</v>
      </c>
      <c r="O2992" s="22" t="s">
        <v>4864</v>
      </c>
      <c r="P2992" s="22" t="s">
        <v>5396</v>
      </c>
      <c r="Q2992" s="22">
        <v>92014</v>
      </c>
      <c r="S2992" s="22" t="s">
        <v>4936</v>
      </c>
      <c r="X2992" s="26"/>
      <c r="Y2992" s="26"/>
    </row>
    <row r="2993" spans="1:25" ht="75" x14ac:dyDescent="0.25">
      <c r="A2993" s="21">
        <v>3232</v>
      </c>
      <c r="B2993" s="22" t="s">
        <v>15338</v>
      </c>
      <c r="C2993" s="22" t="s">
        <v>5789</v>
      </c>
      <c r="F2993" s="22">
        <v>910545</v>
      </c>
      <c r="G2993" s="23" t="s">
        <v>4937</v>
      </c>
      <c r="H2993" s="25" t="s">
        <v>15373</v>
      </c>
      <c r="I2993" s="22" t="s">
        <v>15411</v>
      </c>
      <c r="J2993" s="22" t="s">
        <v>16254</v>
      </c>
      <c r="K2993" s="26">
        <f t="shared" si="46"/>
        <v>450</v>
      </c>
      <c r="L2993" s="26">
        <v>450</v>
      </c>
      <c r="O2993" s="22" t="s">
        <v>4938</v>
      </c>
      <c r="P2993" s="22" t="s">
        <v>6558</v>
      </c>
      <c r="Q2993" s="22">
        <v>92037</v>
      </c>
      <c r="S2993" s="22" t="s">
        <v>4871</v>
      </c>
      <c r="X2993" s="26"/>
      <c r="Y2993" s="26"/>
    </row>
    <row r="2994" spans="1:25" ht="25" x14ac:dyDescent="0.25">
      <c r="A2994" s="21">
        <v>3233</v>
      </c>
      <c r="B2994" s="22" t="s">
        <v>15338</v>
      </c>
      <c r="C2994" s="22" t="s">
        <v>5789</v>
      </c>
      <c r="F2994" s="22">
        <v>890160</v>
      </c>
      <c r="G2994" s="23" t="s">
        <v>4939</v>
      </c>
      <c r="H2994" s="25" t="s">
        <v>15373</v>
      </c>
      <c r="I2994" s="22" t="s">
        <v>15411</v>
      </c>
      <c r="J2994" s="22" t="s">
        <v>4940</v>
      </c>
      <c r="K2994" s="26">
        <f t="shared" si="46"/>
        <v>400</v>
      </c>
      <c r="L2994" s="26">
        <v>400</v>
      </c>
      <c r="O2994" s="22" t="s">
        <v>4941</v>
      </c>
      <c r="P2994" s="22" t="s">
        <v>5387</v>
      </c>
      <c r="Q2994" s="22">
        <v>92083</v>
      </c>
      <c r="S2994" s="22" t="s">
        <v>4942</v>
      </c>
      <c r="X2994" s="26"/>
      <c r="Y2994" s="26"/>
    </row>
    <row r="2995" spans="1:25" ht="37.5" x14ac:dyDescent="0.25">
      <c r="A2995" s="21">
        <v>3234</v>
      </c>
      <c r="B2995" s="22" t="s">
        <v>15338</v>
      </c>
      <c r="C2995" s="22" t="s">
        <v>5789</v>
      </c>
      <c r="F2995" s="22">
        <v>860256</v>
      </c>
      <c r="G2995" s="23" t="s">
        <v>4943</v>
      </c>
      <c r="H2995" s="25" t="s">
        <v>4944</v>
      </c>
      <c r="I2995" s="22" t="s">
        <v>12017</v>
      </c>
      <c r="J2995" s="22" t="s">
        <v>4945</v>
      </c>
      <c r="K2995" s="26">
        <f t="shared" si="46"/>
        <v>3000</v>
      </c>
      <c r="L2995" s="26">
        <v>3000</v>
      </c>
      <c r="O2995" s="22" t="s">
        <v>4873</v>
      </c>
      <c r="P2995" s="22" t="s">
        <v>6558</v>
      </c>
      <c r="Q2995" s="22">
        <v>92121</v>
      </c>
      <c r="S2995" s="22" t="s">
        <v>4874</v>
      </c>
      <c r="X2995" s="26"/>
      <c r="Y2995" s="26"/>
    </row>
    <row r="2996" spans="1:25" ht="37.5" x14ac:dyDescent="0.25">
      <c r="A2996" s="21">
        <v>3235</v>
      </c>
      <c r="B2996" s="22" t="s">
        <v>15338</v>
      </c>
      <c r="C2996" s="22" t="s">
        <v>5789</v>
      </c>
      <c r="F2996" s="22">
        <v>860259</v>
      </c>
      <c r="G2996" s="23" t="s">
        <v>4946</v>
      </c>
      <c r="H2996" s="25" t="s">
        <v>4944</v>
      </c>
      <c r="I2996" s="22" t="s">
        <v>12017</v>
      </c>
      <c r="J2996" s="22" t="s">
        <v>4945</v>
      </c>
      <c r="K2996" s="26">
        <f t="shared" si="46"/>
        <v>3000</v>
      </c>
      <c r="L2996" s="26">
        <v>3000</v>
      </c>
      <c r="O2996" s="22" t="s">
        <v>4873</v>
      </c>
      <c r="P2996" s="22" t="s">
        <v>6558</v>
      </c>
      <c r="Q2996" s="22">
        <v>92121</v>
      </c>
      <c r="S2996" s="22" t="s">
        <v>4874</v>
      </c>
      <c r="X2996" s="26"/>
      <c r="Y2996" s="26"/>
    </row>
    <row r="2997" spans="1:25" ht="62.5" x14ac:dyDescent="0.25">
      <c r="A2997" s="21">
        <v>3236</v>
      </c>
      <c r="B2997" s="22" t="s">
        <v>15338</v>
      </c>
      <c r="C2997" s="22" t="s">
        <v>5789</v>
      </c>
      <c r="F2997" s="22">
        <v>920424</v>
      </c>
      <c r="G2997" s="23" t="s">
        <v>4947</v>
      </c>
      <c r="H2997" s="25" t="s">
        <v>4944</v>
      </c>
      <c r="I2997" s="22" t="s">
        <v>12017</v>
      </c>
      <c r="J2997" s="22" t="s">
        <v>4945</v>
      </c>
      <c r="K2997" s="26">
        <f t="shared" si="46"/>
        <v>3000</v>
      </c>
      <c r="L2997" s="26">
        <v>3000</v>
      </c>
      <c r="O2997" s="22" t="s">
        <v>4873</v>
      </c>
      <c r="P2997" s="22" t="s">
        <v>6558</v>
      </c>
      <c r="Q2997" s="22">
        <v>92121</v>
      </c>
      <c r="S2997" s="22" t="s">
        <v>4874</v>
      </c>
      <c r="X2997" s="26"/>
      <c r="Y2997" s="26"/>
    </row>
    <row r="2998" spans="1:25" ht="25" x14ac:dyDescent="0.25">
      <c r="A2998" s="21">
        <v>3237</v>
      </c>
      <c r="B2998" s="22" t="s">
        <v>15338</v>
      </c>
      <c r="C2998" s="22" t="s">
        <v>4948</v>
      </c>
      <c r="F2998" s="22">
        <v>974287</v>
      </c>
      <c r="G2998" s="23" t="s">
        <v>4949</v>
      </c>
      <c r="H2998" s="25" t="s">
        <v>15373</v>
      </c>
      <c r="I2998" s="22" t="s">
        <v>15374</v>
      </c>
      <c r="J2998" s="22" t="s">
        <v>4950</v>
      </c>
      <c r="K2998" s="26">
        <f t="shared" si="46"/>
        <v>350</v>
      </c>
      <c r="L2998" s="26">
        <v>350</v>
      </c>
      <c r="O2998" s="22" t="s">
        <v>4951</v>
      </c>
      <c r="P2998" s="22" t="s">
        <v>6558</v>
      </c>
      <c r="Q2998" s="22">
        <v>92121</v>
      </c>
      <c r="X2998" s="26"/>
      <c r="Y2998" s="26"/>
    </row>
    <row r="2999" spans="1:25" ht="37.5" x14ac:dyDescent="0.25">
      <c r="A2999" s="21">
        <v>3238</v>
      </c>
      <c r="B2999" s="22" t="s">
        <v>15338</v>
      </c>
      <c r="C2999" s="22" t="s">
        <v>4952</v>
      </c>
      <c r="F2999" s="22">
        <v>900746</v>
      </c>
      <c r="G2999" s="23" t="s">
        <v>4953</v>
      </c>
      <c r="H2999" s="25" t="s">
        <v>15373</v>
      </c>
      <c r="I2999" s="22" t="s">
        <v>15374</v>
      </c>
      <c r="J2999" s="22">
        <v>3508</v>
      </c>
      <c r="K2999" s="26">
        <f t="shared" si="46"/>
        <v>825</v>
      </c>
      <c r="L2999" s="26">
        <v>825</v>
      </c>
      <c r="O2999" s="22" t="s">
        <v>4954</v>
      </c>
      <c r="P2999" s="22" t="s">
        <v>6558</v>
      </c>
      <c r="Q2999" s="22">
        <v>92122</v>
      </c>
      <c r="S2999" s="22" t="s">
        <v>4955</v>
      </c>
      <c r="X2999" s="26"/>
      <c r="Y2999" s="26"/>
    </row>
    <row r="3000" spans="1:25" ht="25" x14ac:dyDescent="0.25">
      <c r="A3000" s="21">
        <v>3239</v>
      </c>
      <c r="B3000" s="22" t="s">
        <v>15338</v>
      </c>
      <c r="C3000" s="22" t="s">
        <v>4956</v>
      </c>
      <c r="F3000" s="22">
        <v>971607</v>
      </c>
      <c r="G3000" s="23" t="s">
        <v>4957</v>
      </c>
      <c r="H3000" s="25" t="s">
        <v>15373</v>
      </c>
      <c r="I3000" s="22" t="s">
        <v>15411</v>
      </c>
      <c r="J3000" s="22" t="s">
        <v>15412</v>
      </c>
      <c r="K3000" s="26">
        <f t="shared" si="46"/>
        <v>616</v>
      </c>
      <c r="L3000" s="26">
        <v>616</v>
      </c>
      <c r="O3000" s="22" t="s">
        <v>4958</v>
      </c>
      <c r="P3000" s="22" t="s">
        <v>6558</v>
      </c>
      <c r="Q3000" s="22">
        <v>92121</v>
      </c>
      <c r="X3000" s="26"/>
      <c r="Y3000" s="26"/>
    </row>
    <row r="3001" spans="1:25" ht="37.5" x14ac:dyDescent="0.25">
      <c r="A3001" s="21">
        <v>3240</v>
      </c>
      <c r="B3001" s="22" t="s">
        <v>15338</v>
      </c>
      <c r="C3001" s="22" t="s">
        <v>4959</v>
      </c>
      <c r="F3001" s="22">
        <v>940239</v>
      </c>
      <c r="G3001" s="23" t="s">
        <v>4960</v>
      </c>
      <c r="H3001" s="25" t="s">
        <v>15373</v>
      </c>
      <c r="I3001" s="22" t="s">
        <v>15382</v>
      </c>
      <c r="J3001" s="22" t="s">
        <v>14659</v>
      </c>
      <c r="K3001" s="26">
        <f t="shared" si="46"/>
        <v>488</v>
      </c>
      <c r="L3001" s="26">
        <v>488</v>
      </c>
      <c r="O3001" s="22" t="s">
        <v>4961</v>
      </c>
      <c r="P3001" s="22" t="s">
        <v>4904</v>
      </c>
      <c r="Q3001" s="22">
        <v>92071</v>
      </c>
      <c r="S3001" s="22" t="s">
        <v>4962</v>
      </c>
      <c r="X3001" s="26"/>
      <c r="Y3001" s="26"/>
    </row>
    <row r="3002" spans="1:25" ht="37.5" x14ac:dyDescent="0.25">
      <c r="A3002" s="21">
        <v>3241</v>
      </c>
      <c r="B3002" s="22" t="s">
        <v>15338</v>
      </c>
      <c r="C3002" s="22" t="s">
        <v>4959</v>
      </c>
      <c r="F3002" s="22">
        <v>960591</v>
      </c>
      <c r="G3002" s="23" t="s">
        <v>4963</v>
      </c>
      <c r="H3002" s="25" t="s">
        <v>15373</v>
      </c>
      <c r="I3002" s="22" t="s">
        <v>15411</v>
      </c>
      <c r="J3002" s="22" t="s">
        <v>13372</v>
      </c>
      <c r="K3002" s="26">
        <f t="shared" si="46"/>
        <v>350</v>
      </c>
      <c r="L3002" s="26">
        <v>350</v>
      </c>
      <c r="O3002" s="22" t="s">
        <v>4964</v>
      </c>
      <c r="P3002" s="22" t="s">
        <v>4904</v>
      </c>
      <c r="Q3002" s="22">
        <v>92071</v>
      </c>
      <c r="X3002" s="26"/>
      <c r="Y3002" s="26"/>
    </row>
    <row r="3003" spans="1:25" ht="25" x14ac:dyDescent="0.25">
      <c r="A3003" s="21">
        <v>3242</v>
      </c>
      <c r="B3003" s="22" t="s">
        <v>15338</v>
      </c>
      <c r="C3003" s="22" t="s">
        <v>4965</v>
      </c>
      <c r="F3003" s="22">
        <v>870273</v>
      </c>
      <c r="G3003" s="23" t="s">
        <v>4966</v>
      </c>
      <c r="H3003" s="25" t="s">
        <v>15373</v>
      </c>
      <c r="I3003" s="22" t="s">
        <v>15374</v>
      </c>
      <c r="J3003" s="22" t="s">
        <v>14106</v>
      </c>
      <c r="K3003" s="26">
        <f t="shared" si="46"/>
        <v>750</v>
      </c>
      <c r="L3003" s="26">
        <v>750</v>
      </c>
      <c r="O3003" s="22" t="s">
        <v>4967</v>
      </c>
      <c r="P3003" s="22" t="s">
        <v>5561</v>
      </c>
      <c r="Q3003" s="22">
        <v>92025</v>
      </c>
      <c r="S3003" s="22" t="s">
        <v>4968</v>
      </c>
      <c r="X3003" s="26"/>
      <c r="Y3003" s="26"/>
    </row>
    <row r="3004" spans="1:25" ht="25" x14ac:dyDescent="0.25">
      <c r="A3004" s="21">
        <v>3243</v>
      </c>
      <c r="B3004" s="22" t="s">
        <v>15338</v>
      </c>
      <c r="C3004" s="22" t="s">
        <v>4965</v>
      </c>
      <c r="F3004" s="22">
        <v>870274</v>
      </c>
      <c r="G3004" s="23" t="s">
        <v>4969</v>
      </c>
      <c r="H3004" s="25" t="s">
        <v>15373</v>
      </c>
      <c r="I3004" s="22" t="s">
        <v>15374</v>
      </c>
      <c r="J3004" s="22" t="s">
        <v>14106</v>
      </c>
      <c r="K3004" s="26">
        <f t="shared" si="46"/>
        <v>719</v>
      </c>
      <c r="L3004" s="26">
        <v>719</v>
      </c>
      <c r="O3004" s="22" t="s">
        <v>4967</v>
      </c>
      <c r="P3004" s="22" t="s">
        <v>5561</v>
      </c>
      <c r="Q3004" s="22">
        <v>92025</v>
      </c>
      <c r="S3004" s="22" t="s">
        <v>4968</v>
      </c>
      <c r="X3004" s="26"/>
      <c r="Y3004" s="26"/>
    </row>
    <row r="3005" spans="1:25" ht="25" x14ac:dyDescent="0.25">
      <c r="A3005" s="21">
        <v>3244</v>
      </c>
      <c r="B3005" s="22" t="s">
        <v>15338</v>
      </c>
      <c r="C3005" s="22" t="s">
        <v>4965</v>
      </c>
      <c r="F3005" s="22">
        <v>970283</v>
      </c>
      <c r="G3005" s="23" t="s">
        <v>4970</v>
      </c>
      <c r="H3005" s="25" t="s">
        <v>15373</v>
      </c>
      <c r="I3005" s="22" t="s">
        <v>15411</v>
      </c>
      <c r="J3005" s="22" t="s">
        <v>4971</v>
      </c>
      <c r="K3005" s="26">
        <f t="shared" si="46"/>
        <v>750</v>
      </c>
      <c r="L3005" s="26">
        <v>750</v>
      </c>
      <c r="O3005" s="22" t="s">
        <v>4967</v>
      </c>
      <c r="P3005" s="22" t="s">
        <v>5561</v>
      </c>
      <c r="Q3005" s="22">
        <v>92025</v>
      </c>
      <c r="S3005" s="22" t="s">
        <v>4968</v>
      </c>
      <c r="X3005" s="26"/>
      <c r="Y3005" s="26"/>
    </row>
    <row r="3006" spans="1:25" ht="50" x14ac:dyDescent="0.25">
      <c r="A3006" s="21">
        <v>3245</v>
      </c>
      <c r="B3006" s="22" t="s">
        <v>15338</v>
      </c>
      <c r="C3006" s="22" t="s">
        <v>4972</v>
      </c>
      <c r="F3006" s="22">
        <v>940892</v>
      </c>
      <c r="G3006" s="23" t="s">
        <v>4973</v>
      </c>
      <c r="H3006" s="25" t="s">
        <v>15373</v>
      </c>
      <c r="I3006" s="22" t="s">
        <v>15374</v>
      </c>
      <c r="J3006" s="22" t="s">
        <v>4974</v>
      </c>
      <c r="K3006" s="26">
        <f t="shared" si="46"/>
        <v>375</v>
      </c>
      <c r="L3006" s="26">
        <v>375</v>
      </c>
      <c r="O3006" s="22" t="s">
        <v>4975</v>
      </c>
      <c r="P3006" s="22" t="s">
        <v>5630</v>
      </c>
      <c r="Q3006" s="22">
        <v>91950</v>
      </c>
      <c r="S3006" s="22" t="s">
        <v>4976</v>
      </c>
      <c r="X3006" s="26"/>
      <c r="Y3006" s="26"/>
    </row>
    <row r="3007" spans="1:25" ht="37.5" x14ac:dyDescent="0.25">
      <c r="A3007" s="21">
        <v>3246</v>
      </c>
      <c r="B3007" s="22" t="s">
        <v>15338</v>
      </c>
      <c r="C3007" s="22" t="s">
        <v>4977</v>
      </c>
      <c r="F3007" s="22">
        <v>970673</v>
      </c>
      <c r="G3007" s="23" t="s">
        <v>4978</v>
      </c>
      <c r="H3007" s="25" t="s">
        <v>15373</v>
      </c>
      <c r="I3007" s="22" t="s">
        <v>15374</v>
      </c>
      <c r="J3007" s="22" t="s">
        <v>4979</v>
      </c>
      <c r="K3007" s="26">
        <f t="shared" si="46"/>
        <v>1015</v>
      </c>
      <c r="L3007" s="26">
        <v>1015</v>
      </c>
      <c r="O3007" s="22" t="s">
        <v>4980</v>
      </c>
      <c r="P3007" s="22" t="s">
        <v>5630</v>
      </c>
      <c r="Q3007" s="22">
        <v>91950</v>
      </c>
      <c r="S3007" s="22" t="s">
        <v>4981</v>
      </c>
      <c r="X3007" s="26"/>
      <c r="Y3007" s="26"/>
    </row>
    <row r="3008" spans="1:25" ht="50" x14ac:dyDescent="0.25">
      <c r="A3008" s="21">
        <v>3247</v>
      </c>
      <c r="B3008" s="22" t="s">
        <v>15338</v>
      </c>
      <c r="C3008" s="22" t="s">
        <v>4977</v>
      </c>
      <c r="F3008" s="22">
        <v>930309</v>
      </c>
      <c r="G3008" s="23" t="s">
        <v>4982</v>
      </c>
      <c r="H3008" s="25" t="s">
        <v>15373</v>
      </c>
      <c r="I3008" s="22" t="s">
        <v>15374</v>
      </c>
      <c r="J3008" s="22" t="s">
        <v>15441</v>
      </c>
      <c r="K3008" s="26">
        <f t="shared" si="46"/>
        <v>488</v>
      </c>
      <c r="L3008" s="26">
        <v>488</v>
      </c>
      <c r="O3008" s="22" t="s">
        <v>4980</v>
      </c>
      <c r="P3008" s="22" t="s">
        <v>5630</v>
      </c>
      <c r="Q3008" s="22">
        <v>91950</v>
      </c>
      <c r="S3008" s="22" t="s">
        <v>4981</v>
      </c>
      <c r="X3008" s="26"/>
      <c r="Y3008" s="26"/>
    </row>
    <row r="3009" spans="1:25" ht="37.5" x14ac:dyDescent="0.25">
      <c r="A3009" s="21">
        <v>3248</v>
      </c>
      <c r="B3009" s="22" t="s">
        <v>15338</v>
      </c>
      <c r="C3009" s="22" t="s">
        <v>4983</v>
      </c>
      <c r="F3009" s="22">
        <v>940719</v>
      </c>
      <c r="G3009" s="23" t="s">
        <v>4984</v>
      </c>
      <c r="H3009" s="25" t="s">
        <v>15373</v>
      </c>
      <c r="I3009" s="22" t="s">
        <v>15411</v>
      </c>
      <c r="J3009" s="22" t="s">
        <v>16276</v>
      </c>
      <c r="K3009" s="26">
        <f t="shared" si="46"/>
        <v>350</v>
      </c>
      <c r="L3009" s="26">
        <v>350</v>
      </c>
      <c r="O3009" s="22" t="s">
        <v>4985</v>
      </c>
      <c r="P3009" s="22" t="s">
        <v>6558</v>
      </c>
      <c r="Q3009" s="22">
        <v>92121</v>
      </c>
      <c r="S3009" s="22" t="s">
        <v>4986</v>
      </c>
      <c r="X3009" s="26"/>
      <c r="Y3009" s="26"/>
    </row>
    <row r="3010" spans="1:25" ht="50" x14ac:dyDescent="0.25">
      <c r="A3010" s="21">
        <v>3249</v>
      </c>
      <c r="B3010" s="22" t="s">
        <v>15338</v>
      </c>
      <c r="C3010" s="22" t="s">
        <v>4987</v>
      </c>
      <c r="F3010" s="22">
        <v>930331</v>
      </c>
      <c r="G3010" s="23" t="s">
        <v>4988</v>
      </c>
      <c r="H3010" s="25" t="s">
        <v>15373</v>
      </c>
      <c r="I3010" s="22" t="s">
        <v>15411</v>
      </c>
      <c r="J3010" s="22" t="s">
        <v>17383</v>
      </c>
      <c r="K3010" s="26">
        <f t="shared" si="46"/>
        <v>300</v>
      </c>
      <c r="L3010" s="26">
        <v>300</v>
      </c>
      <c r="O3010" s="22" t="s">
        <v>4989</v>
      </c>
      <c r="P3010" s="22" t="s">
        <v>6558</v>
      </c>
      <c r="Q3010" s="22">
        <v>92128</v>
      </c>
      <c r="S3010" s="22" t="s">
        <v>4990</v>
      </c>
      <c r="X3010" s="26"/>
      <c r="Y3010" s="26"/>
    </row>
    <row r="3011" spans="1:25" ht="37.5" x14ac:dyDescent="0.25">
      <c r="A3011" s="21">
        <v>3250</v>
      </c>
      <c r="B3011" s="22" t="s">
        <v>15338</v>
      </c>
      <c r="C3011" s="22" t="s">
        <v>4991</v>
      </c>
      <c r="F3011" s="22">
        <v>972742</v>
      </c>
      <c r="G3011" s="23" t="s">
        <v>4992</v>
      </c>
      <c r="H3011" s="25" t="s">
        <v>15373</v>
      </c>
      <c r="I3011" s="22" t="s">
        <v>15411</v>
      </c>
      <c r="J3011" s="22" t="s">
        <v>16884</v>
      </c>
      <c r="K3011" s="26">
        <f t="shared" si="46"/>
        <v>432</v>
      </c>
      <c r="L3011" s="26">
        <v>432</v>
      </c>
      <c r="O3011" s="22" t="s">
        <v>4993</v>
      </c>
      <c r="P3011" s="22" t="s">
        <v>5595</v>
      </c>
      <c r="Q3011" s="22">
        <v>92064</v>
      </c>
      <c r="S3011" s="22" t="s">
        <v>4994</v>
      </c>
      <c r="X3011" s="26"/>
      <c r="Y3011" s="26"/>
    </row>
    <row r="3012" spans="1:25" ht="37.5" x14ac:dyDescent="0.25">
      <c r="A3012" s="21">
        <v>3251</v>
      </c>
      <c r="B3012" s="22" t="s">
        <v>15338</v>
      </c>
      <c r="C3012" s="22" t="s">
        <v>4991</v>
      </c>
      <c r="F3012" s="22">
        <v>972743</v>
      </c>
      <c r="G3012" s="23" t="s">
        <v>4995</v>
      </c>
      <c r="H3012" s="25" t="s">
        <v>15373</v>
      </c>
      <c r="I3012" s="22" t="s">
        <v>15411</v>
      </c>
      <c r="J3012" s="22" t="s">
        <v>16884</v>
      </c>
      <c r="K3012" s="26">
        <f t="shared" si="46"/>
        <v>432</v>
      </c>
      <c r="L3012" s="26">
        <v>432</v>
      </c>
      <c r="O3012" s="22" t="s">
        <v>4993</v>
      </c>
      <c r="P3012" s="22" t="s">
        <v>5595</v>
      </c>
      <c r="Q3012" s="22">
        <v>92064</v>
      </c>
      <c r="S3012" s="22" t="s">
        <v>4994</v>
      </c>
      <c r="X3012" s="26"/>
      <c r="Y3012" s="26"/>
    </row>
    <row r="3013" spans="1:25" ht="37.5" x14ac:dyDescent="0.25">
      <c r="A3013" s="21">
        <v>3252</v>
      </c>
      <c r="B3013" s="22" t="s">
        <v>15338</v>
      </c>
      <c r="C3013" s="22" t="s">
        <v>4991</v>
      </c>
      <c r="F3013" s="22">
        <v>920401</v>
      </c>
      <c r="G3013" s="23" t="s">
        <v>4996</v>
      </c>
      <c r="H3013" s="25" t="s">
        <v>15373</v>
      </c>
      <c r="I3013" s="22" t="s">
        <v>15411</v>
      </c>
      <c r="J3013" s="22" t="s">
        <v>16306</v>
      </c>
      <c r="K3013" s="26">
        <f t="shared" si="46"/>
        <v>400</v>
      </c>
      <c r="L3013" s="26">
        <v>400</v>
      </c>
      <c r="O3013" s="22" t="s">
        <v>4993</v>
      </c>
      <c r="P3013" s="22" t="s">
        <v>5595</v>
      </c>
      <c r="Q3013" s="22">
        <v>92064</v>
      </c>
      <c r="S3013" s="22" t="s">
        <v>4994</v>
      </c>
      <c r="X3013" s="26"/>
      <c r="Y3013" s="26"/>
    </row>
    <row r="3014" spans="1:25" ht="62.5" x14ac:dyDescent="0.25">
      <c r="A3014" s="21">
        <v>3253</v>
      </c>
      <c r="B3014" s="22" t="s">
        <v>15338</v>
      </c>
      <c r="C3014" s="22" t="s">
        <v>4997</v>
      </c>
      <c r="F3014" s="22">
        <v>930898</v>
      </c>
      <c r="G3014" s="23" t="s">
        <v>4998</v>
      </c>
      <c r="H3014" s="25" t="s">
        <v>15373</v>
      </c>
      <c r="I3014" s="22" t="s">
        <v>15374</v>
      </c>
      <c r="J3014" s="22" t="s">
        <v>15420</v>
      </c>
      <c r="K3014" s="26">
        <f t="shared" si="46"/>
        <v>1000</v>
      </c>
      <c r="L3014" s="26">
        <v>1000</v>
      </c>
      <c r="O3014" s="22" t="s">
        <v>4999</v>
      </c>
      <c r="P3014" s="22" t="s">
        <v>6558</v>
      </c>
      <c r="Q3014" s="22">
        <v>92111</v>
      </c>
      <c r="S3014" s="22" t="s">
        <v>5000</v>
      </c>
      <c r="X3014" s="26"/>
      <c r="Y3014" s="26"/>
    </row>
    <row r="3015" spans="1:25" ht="37.5" x14ac:dyDescent="0.25">
      <c r="A3015" s="21">
        <v>3254</v>
      </c>
      <c r="B3015" s="22" t="s">
        <v>15338</v>
      </c>
      <c r="C3015" s="22" t="s">
        <v>5001</v>
      </c>
      <c r="F3015" s="22">
        <v>975835</v>
      </c>
      <c r="G3015" s="23" t="s">
        <v>5002</v>
      </c>
      <c r="H3015" s="25" t="s">
        <v>15373</v>
      </c>
      <c r="I3015" s="22" t="s">
        <v>15374</v>
      </c>
      <c r="J3015" s="22" t="s">
        <v>5462</v>
      </c>
      <c r="K3015" s="26">
        <f t="shared" si="46"/>
        <v>2000</v>
      </c>
      <c r="L3015" s="26">
        <v>2000</v>
      </c>
      <c r="O3015" s="22" t="s">
        <v>5003</v>
      </c>
      <c r="P3015" s="22" t="s">
        <v>6558</v>
      </c>
      <c r="Q3015" s="22">
        <v>92121</v>
      </c>
      <c r="R3015" s="22" t="s">
        <v>5004</v>
      </c>
      <c r="S3015" s="22" t="s">
        <v>5005</v>
      </c>
      <c r="X3015" s="26"/>
      <c r="Y3015" s="26"/>
    </row>
    <row r="3016" spans="1:25" ht="37.5" x14ac:dyDescent="0.25">
      <c r="A3016" s="21">
        <v>3255</v>
      </c>
      <c r="B3016" s="22" t="s">
        <v>15338</v>
      </c>
      <c r="C3016" s="22" t="s">
        <v>5001</v>
      </c>
      <c r="F3016" s="22">
        <v>972735</v>
      </c>
      <c r="G3016" s="23" t="s">
        <v>5006</v>
      </c>
      <c r="H3016" s="25" t="s">
        <v>15373</v>
      </c>
      <c r="I3016" s="22" t="s">
        <v>15411</v>
      </c>
      <c r="J3016" s="22" t="s">
        <v>15412</v>
      </c>
      <c r="K3016" s="26">
        <f t="shared" si="46"/>
        <v>616</v>
      </c>
      <c r="L3016" s="26">
        <v>616</v>
      </c>
      <c r="O3016" s="22" t="s">
        <v>5007</v>
      </c>
      <c r="P3016" s="22" t="s">
        <v>6558</v>
      </c>
      <c r="Q3016" s="22">
        <v>92121</v>
      </c>
      <c r="X3016" s="26"/>
      <c r="Y3016" s="26"/>
    </row>
    <row r="3017" spans="1:25" ht="25" x14ac:dyDescent="0.25">
      <c r="A3017" s="21">
        <v>3256</v>
      </c>
      <c r="B3017" s="22" t="s">
        <v>15338</v>
      </c>
      <c r="C3017" s="22" t="s">
        <v>5001</v>
      </c>
      <c r="F3017" s="22">
        <v>972110</v>
      </c>
      <c r="G3017" s="23" t="s">
        <v>5008</v>
      </c>
      <c r="H3017" s="25" t="s">
        <v>15373</v>
      </c>
      <c r="I3017" s="22" t="s">
        <v>15411</v>
      </c>
      <c r="J3017" s="22" t="s">
        <v>4829</v>
      </c>
      <c r="K3017" s="26">
        <f t="shared" si="46"/>
        <v>540</v>
      </c>
      <c r="L3017" s="26">
        <v>540</v>
      </c>
      <c r="O3017" s="22" t="s">
        <v>5009</v>
      </c>
      <c r="P3017" s="22" t="s">
        <v>6558</v>
      </c>
      <c r="Q3017" s="22">
        <v>92121</v>
      </c>
      <c r="X3017" s="26"/>
      <c r="Y3017" s="26"/>
    </row>
    <row r="3018" spans="1:25" ht="25" x14ac:dyDescent="0.25">
      <c r="A3018" s="21">
        <v>3257</v>
      </c>
      <c r="B3018" s="22" t="s">
        <v>15338</v>
      </c>
      <c r="C3018" s="22" t="s">
        <v>5001</v>
      </c>
      <c r="F3018" s="22">
        <v>972734</v>
      </c>
      <c r="G3018" s="23" t="s">
        <v>5010</v>
      </c>
      <c r="H3018" s="25" t="s">
        <v>15373</v>
      </c>
      <c r="I3018" s="22" t="s">
        <v>15411</v>
      </c>
      <c r="J3018" s="22" t="s">
        <v>5011</v>
      </c>
      <c r="K3018" s="26">
        <f t="shared" ref="K3018:K3081" si="47">L3018+M3018*(2/3)+N3018*(2/3)</f>
        <v>319</v>
      </c>
      <c r="L3018" s="26">
        <v>319</v>
      </c>
      <c r="O3018" s="22" t="s">
        <v>5012</v>
      </c>
      <c r="P3018" s="22" t="s">
        <v>6558</v>
      </c>
      <c r="Q3018" s="22">
        <v>92121</v>
      </c>
      <c r="X3018" s="26"/>
      <c r="Y3018" s="26"/>
    </row>
    <row r="3019" spans="1:25" ht="25" x14ac:dyDescent="0.25">
      <c r="A3019" s="21">
        <v>3258</v>
      </c>
      <c r="B3019" s="22" t="s">
        <v>15338</v>
      </c>
      <c r="C3019" s="22" t="s">
        <v>5001</v>
      </c>
      <c r="F3019" s="22">
        <v>972733</v>
      </c>
      <c r="G3019" s="23" t="s">
        <v>5013</v>
      </c>
      <c r="H3019" s="25" t="s">
        <v>15373</v>
      </c>
      <c r="I3019" s="22" t="s">
        <v>16907</v>
      </c>
      <c r="J3019" s="22" t="s">
        <v>13002</v>
      </c>
      <c r="K3019" s="26">
        <f t="shared" si="47"/>
        <v>748</v>
      </c>
      <c r="L3019" s="26">
        <v>748</v>
      </c>
      <c r="O3019" s="22" t="s">
        <v>5014</v>
      </c>
      <c r="P3019" s="22" t="s">
        <v>6558</v>
      </c>
      <c r="Q3019" s="22">
        <v>92121</v>
      </c>
      <c r="X3019" s="26"/>
      <c r="Y3019" s="26"/>
    </row>
    <row r="3020" spans="1:25" ht="25" x14ac:dyDescent="0.25">
      <c r="A3020" s="21">
        <v>3259</v>
      </c>
      <c r="B3020" s="22" t="s">
        <v>15338</v>
      </c>
      <c r="C3020" s="22" t="s">
        <v>5015</v>
      </c>
      <c r="F3020" s="22">
        <v>974405</v>
      </c>
      <c r="G3020" s="23" t="s">
        <v>5016</v>
      </c>
      <c r="H3020" s="25" t="s">
        <v>15373</v>
      </c>
      <c r="I3020" s="22" t="s">
        <v>15382</v>
      </c>
      <c r="J3020" s="22" t="s">
        <v>15955</v>
      </c>
      <c r="K3020" s="26">
        <f t="shared" si="47"/>
        <v>738</v>
      </c>
      <c r="L3020" s="26">
        <v>738</v>
      </c>
      <c r="O3020" s="22" t="s">
        <v>5017</v>
      </c>
      <c r="P3020" s="22" t="s">
        <v>6558</v>
      </c>
      <c r="Q3020" s="22">
        <v>92105</v>
      </c>
      <c r="X3020" s="26"/>
      <c r="Y3020" s="26"/>
    </row>
    <row r="3021" spans="1:25" ht="25" x14ac:dyDescent="0.25">
      <c r="A3021" s="21">
        <v>3260</v>
      </c>
      <c r="B3021" s="22" t="s">
        <v>15338</v>
      </c>
      <c r="C3021" s="22" t="s">
        <v>5015</v>
      </c>
      <c r="F3021" s="22">
        <v>975086</v>
      </c>
      <c r="G3021" s="23" t="s">
        <v>5018</v>
      </c>
      <c r="H3021" s="25" t="s">
        <v>15373</v>
      </c>
      <c r="I3021" s="22" t="s">
        <v>15382</v>
      </c>
      <c r="J3021" s="22" t="s">
        <v>15955</v>
      </c>
      <c r="K3021" s="26">
        <f t="shared" si="47"/>
        <v>727</v>
      </c>
      <c r="L3021" s="26">
        <v>727</v>
      </c>
      <c r="O3021" s="22" t="s">
        <v>5017</v>
      </c>
      <c r="P3021" s="22" t="s">
        <v>6558</v>
      </c>
      <c r="Q3021" s="22">
        <v>92105</v>
      </c>
      <c r="X3021" s="26"/>
      <c r="Y3021" s="26"/>
    </row>
    <row r="3022" spans="1:25" ht="37.5" x14ac:dyDescent="0.25">
      <c r="A3022" s="21">
        <v>3261</v>
      </c>
      <c r="B3022" s="22" t="s">
        <v>15338</v>
      </c>
      <c r="C3022" s="22" t="s">
        <v>5019</v>
      </c>
      <c r="F3022" s="22">
        <v>890850</v>
      </c>
      <c r="G3022" s="23" t="s">
        <v>5020</v>
      </c>
      <c r="H3022" s="25" t="s">
        <v>15373</v>
      </c>
      <c r="I3022" s="22" t="s">
        <v>15382</v>
      </c>
      <c r="J3022" s="22" t="s">
        <v>5021</v>
      </c>
      <c r="K3022" s="26">
        <f t="shared" si="47"/>
        <v>448</v>
      </c>
      <c r="L3022" s="26">
        <v>448</v>
      </c>
      <c r="O3022" s="22" t="s">
        <v>5022</v>
      </c>
      <c r="P3022" s="22" t="s">
        <v>5023</v>
      </c>
      <c r="Q3022" s="22">
        <v>92065</v>
      </c>
      <c r="S3022" s="22" t="s">
        <v>5024</v>
      </c>
      <c r="X3022" s="26"/>
      <c r="Y3022" s="26"/>
    </row>
    <row r="3023" spans="1:25" ht="37.5" x14ac:dyDescent="0.25">
      <c r="A3023" s="21">
        <v>3262</v>
      </c>
      <c r="B3023" s="22" t="s">
        <v>15338</v>
      </c>
      <c r="C3023" s="22" t="s">
        <v>5025</v>
      </c>
      <c r="F3023" s="22">
        <v>910413</v>
      </c>
      <c r="G3023" s="23" t="s">
        <v>5026</v>
      </c>
      <c r="H3023" s="25" t="s">
        <v>15373</v>
      </c>
      <c r="I3023" s="22" t="s">
        <v>16421</v>
      </c>
      <c r="J3023" s="22">
        <v>350</v>
      </c>
      <c r="K3023" s="26">
        <f t="shared" si="47"/>
        <v>350</v>
      </c>
      <c r="L3023" s="26">
        <v>350</v>
      </c>
      <c r="O3023" s="22" t="s">
        <v>5027</v>
      </c>
      <c r="P3023" s="22" t="s">
        <v>5028</v>
      </c>
      <c r="Q3023" s="22">
        <v>92067</v>
      </c>
      <c r="S3023" s="22" t="s">
        <v>5029</v>
      </c>
      <c r="X3023" s="26"/>
      <c r="Y3023" s="26"/>
    </row>
    <row r="3024" spans="1:25" ht="25" x14ac:dyDescent="0.25">
      <c r="A3024" s="21">
        <v>3263</v>
      </c>
      <c r="B3024" s="22" t="s">
        <v>15338</v>
      </c>
      <c r="C3024" s="22" t="s">
        <v>5030</v>
      </c>
      <c r="F3024" s="22">
        <v>975464</v>
      </c>
      <c r="G3024" s="23" t="s">
        <v>5031</v>
      </c>
      <c r="H3024" s="25" t="s">
        <v>15373</v>
      </c>
      <c r="I3024" s="22" t="s">
        <v>15374</v>
      </c>
      <c r="J3024" s="22">
        <v>3516</v>
      </c>
      <c r="K3024" s="26">
        <f t="shared" si="47"/>
        <v>1950</v>
      </c>
      <c r="L3024" s="26">
        <v>1950</v>
      </c>
      <c r="O3024" s="22" t="s">
        <v>5032</v>
      </c>
      <c r="P3024" s="22" t="s">
        <v>6558</v>
      </c>
      <c r="Q3024" s="22">
        <v>92121</v>
      </c>
      <c r="X3024" s="26"/>
      <c r="Y3024" s="26"/>
    </row>
    <row r="3025" spans="1:25" ht="25" x14ac:dyDescent="0.25">
      <c r="A3025" s="21">
        <v>3264</v>
      </c>
      <c r="B3025" s="22" t="s">
        <v>15338</v>
      </c>
      <c r="C3025" s="22" t="s">
        <v>5030</v>
      </c>
      <c r="F3025" s="22">
        <v>975465</v>
      </c>
      <c r="G3025" s="23" t="s">
        <v>5033</v>
      </c>
      <c r="H3025" s="25" t="s">
        <v>15373</v>
      </c>
      <c r="I3025" s="22" t="s">
        <v>15374</v>
      </c>
      <c r="J3025" s="22">
        <v>8546</v>
      </c>
      <c r="K3025" s="26">
        <f t="shared" si="47"/>
        <v>1950</v>
      </c>
      <c r="L3025" s="26">
        <v>1950</v>
      </c>
      <c r="O3025" s="22" t="s">
        <v>5032</v>
      </c>
      <c r="P3025" s="22" t="s">
        <v>6558</v>
      </c>
      <c r="Q3025" s="22">
        <v>92121</v>
      </c>
      <c r="X3025" s="26"/>
      <c r="Y3025" s="26"/>
    </row>
    <row r="3026" spans="1:25" ht="25" x14ac:dyDescent="0.25">
      <c r="A3026" s="21">
        <v>3265</v>
      </c>
      <c r="B3026" s="22" t="s">
        <v>15338</v>
      </c>
      <c r="C3026" s="22" t="s">
        <v>5030</v>
      </c>
      <c r="F3026" s="22">
        <v>975466</v>
      </c>
      <c r="G3026" s="23" t="s">
        <v>5034</v>
      </c>
      <c r="H3026" s="25" t="s">
        <v>15373</v>
      </c>
      <c r="I3026" s="22" t="s">
        <v>15374</v>
      </c>
      <c r="J3026" s="22">
        <v>3516</v>
      </c>
      <c r="K3026" s="26">
        <f t="shared" si="47"/>
        <v>1950</v>
      </c>
      <c r="L3026" s="26">
        <v>1950</v>
      </c>
      <c r="O3026" s="22" t="s">
        <v>5032</v>
      </c>
      <c r="P3026" s="22" t="s">
        <v>6558</v>
      </c>
      <c r="Q3026" s="22">
        <v>92121</v>
      </c>
      <c r="X3026" s="26"/>
      <c r="Y3026" s="26"/>
    </row>
    <row r="3027" spans="1:25" ht="37.5" x14ac:dyDescent="0.25">
      <c r="A3027" s="21">
        <v>3266</v>
      </c>
      <c r="B3027" s="22" t="s">
        <v>15338</v>
      </c>
      <c r="C3027" s="22" t="s">
        <v>5035</v>
      </c>
      <c r="F3027" s="22">
        <v>972779</v>
      </c>
      <c r="G3027" s="23" t="s">
        <v>5036</v>
      </c>
      <c r="H3027" s="25" t="s">
        <v>15373</v>
      </c>
      <c r="I3027" s="22" t="s">
        <v>15382</v>
      </c>
      <c r="J3027" s="22" t="s">
        <v>5037</v>
      </c>
      <c r="K3027" s="26">
        <f t="shared" si="47"/>
        <v>1500</v>
      </c>
      <c r="L3027" s="26">
        <v>1500</v>
      </c>
      <c r="O3027" s="22" t="s">
        <v>5038</v>
      </c>
      <c r="P3027" s="22" t="s">
        <v>6558</v>
      </c>
      <c r="Q3027" s="22">
        <v>92121</v>
      </c>
      <c r="X3027" s="26"/>
      <c r="Y3027" s="26"/>
    </row>
    <row r="3028" spans="1:25" ht="37.5" x14ac:dyDescent="0.25">
      <c r="A3028" s="21">
        <v>3267</v>
      </c>
      <c r="B3028" s="22" t="s">
        <v>15338</v>
      </c>
      <c r="C3028" s="22" t="s">
        <v>5039</v>
      </c>
      <c r="F3028" s="22">
        <v>971490</v>
      </c>
      <c r="G3028" s="23" t="s">
        <v>5040</v>
      </c>
      <c r="H3028" s="25" t="s">
        <v>15373</v>
      </c>
      <c r="I3028" s="22" t="s">
        <v>15374</v>
      </c>
      <c r="J3028" s="22">
        <v>3406</v>
      </c>
      <c r="K3028" s="26">
        <f t="shared" si="47"/>
        <v>382</v>
      </c>
      <c r="L3028" s="26">
        <v>382</v>
      </c>
      <c r="O3028" s="22" t="s">
        <v>5041</v>
      </c>
      <c r="P3028" s="22" t="s">
        <v>6558</v>
      </c>
      <c r="Q3028" s="22">
        <v>92121</v>
      </c>
      <c r="X3028" s="26"/>
      <c r="Y3028" s="26"/>
    </row>
    <row r="3029" spans="1:25" ht="37.5" x14ac:dyDescent="0.25">
      <c r="A3029" s="21">
        <v>3268</v>
      </c>
      <c r="B3029" s="22" t="s">
        <v>15338</v>
      </c>
      <c r="C3029" s="22" t="s">
        <v>5042</v>
      </c>
      <c r="F3029" s="22">
        <v>950313</v>
      </c>
      <c r="G3029" s="23" t="s">
        <v>5043</v>
      </c>
      <c r="H3029" s="25" t="s">
        <v>15373</v>
      </c>
      <c r="I3029" s="22" t="s">
        <v>15374</v>
      </c>
      <c r="J3029" s="22">
        <v>3412</v>
      </c>
      <c r="K3029" s="26">
        <f t="shared" si="47"/>
        <v>880</v>
      </c>
      <c r="L3029" s="26">
        <v>880</v>
      </c>
      <c r="O3029" s="22" t="s">
        <v>5044</v>
      </c>
      <c r="P3029" s="22" t="s">
        <v>6558</v>
      </c>
      <c r="Q3029" s="22">
        <v>92037</v>
      </c>
      <c r="S3029" s="22" t="s">
        <v>5045</v>
      </c>
      <c r="X3029" s="26"/>
      <c r="Y3029" s="26"/>
    </row>
    <row r="3030" spans="1:25" ht="50" x14ac:dyDescent="0.25">
      <c r="A3030" s="21">
        <v>3269</v>
      </c>
      <c r="B3030" s="22" t="s">
        <v>15338</v>
      </c>
      <c r="C3030" s="22" t="s">
        <v>5042</v>
      </c>
      <c r="F3030" s="22">
        <v>930873</v>
      </c>
      <c r="G3030" s="23" t="s">
        <v>5046</v>
      </c>
      <c r="H3030" s="25" t="s">
        <v>15373</v>
      </c>
      <c r="I3030" s="22" t="s">
        <v>15374</v>
      </c>
      <c r="J3030" s="22" t="s">
        <v>17288</v>
      </c>
      <c r="K3030" s="26">
        <f t="shared" si="47"/>
        <v>400</v>
      </c>
      <c r="L3030" s="26">
        <v>400</v>
      </c>
      <c r="O3030" s="22" t="s">
        <v>5044</v>
      </c>
      <c r="P3030" s="22" t="s">
        <v>6558</v>
      </c>
      <c r="Q3030" s="22">
        <v>92037</v>
      </c>
      <c r="S3030" s="22" t="s">
        <v>5045</v>
      </c>
      <c r="X3030" s="26"/>
      <c r="Y3030" s="26"/>
    </row>
    <row r="3031" spans="1:25" ht="37.5" x14ac:dyDescent="0.25">
      <c r="A3031" s="21">
        <v>3270</v>
      </c>
      <c r="B3031" s="22" t="s">
        <v>15338</v>
      </c>
      <c r="C3031" s="22" t="s">
        <v>5042</v>
      </c>
      <c r="F3031" s="22">
        <v>950935</v>
      </c>
      <c r="G3031" s="23" t="s">
        <v>5047</v>
      </c>
      <c r="H3031" s="25" t="s">
        <v>15373</v>
      </c>
      <c r="I3031" s="22" t="s">
        <v>15374</v>
      </c>
      <c r="J3031" s="22">
        <v>3406</v>
      </c>
      <c r="K3031" s="26">
        <f t="shared" si="47"/>
        <v>350</v>
      </c>
      <c r="L3031" s="26">
        <v>350</v>
      </c>
      <c r="O3031" s="22" t="s">
        <v>5044</v>
      </c>
      <c r="P3031" s="22" t="s">
        <v>6558</v>
      </c>
      <c r="Q3031" s="22">
        <v>92037</v>
      </c>
      <c r="S3031" s="22" t="s">
        <v>5045</v>
      </c>
      <c r="X3031" s="26"/>
      <c r="Y3031" s="26"/>
    </row>
    <row r="3032" spans="1:25" ht="25" x14ac:dyDescent="0.25">
      <c r="A3032" s="21">
        <v>3271</v>
      </c>
      <c r="B3032" s="22" t="s">
        <v>15338</v>
      </c>
      <c r="C3032" s="22" t="s">
        <v>5048</v>
      </c>
      <c r="F3032" s="22">
        <v>975318</v>
      </c>
      <c r="G3032" s="23" t="s">
        <v>5049</v>
      </c>
      <c r="H3032" s="25" t="s">
        <v>15373</v>
      </c>
      <c r="I3032" s="22" t="s">
        <v>15374</v>
      </c>
      <c r="J3032" s="22" t="s">
        <v>4979</v>
      </c>
      <c r="K3032" s="26">
        <f t="shared" si="47"/>
        <v>1250</v>
      </c>
      <c r="L3032" s="26">
        <v>1250</v>
      </c>
      <c r="O3032" s="22" t="s">
        <v>5050</v>
      </c>
      <c r="P3032" s="22" t="s">
        <v>6558</v>
      </c>
      <c r="Q3032" s="22">
        <v>92131</v>
      </c>
      <c r="X3032" s="26"/>
      <c r="Y3032" s="26"/>
    </row>
    <row r="3033" spans="1:25" ht="25" x14ac:dyDescent="0.25">
      <c r="A3033" s="21">
        <v>3272</v>
      </c>
      <c r="B3033" s="22" t="s">
        <v>15338</v>
      </c>
      <c r="C3033" s="22" t="s">
        <v>5048</v>
      </c>
      <c r="F3033" s="22">
        <v>975320</v>
      </c>
      <c r="G3033" s="23" t="s">
        <v>5051</v>
      </c>
      <c r="H3033" s="25" t="s">
        <v>15373</v>
      </c>
      <c r="I3033" s="22" t="s">
        <v>15374</v>
      </c>
      <c r="J3033" s="22">
        <v>3512</v>
      </c>
      <c r="K3033" s="26">
        <f t="shared" si="47"/>
        <v>926</v>
      </c>
      <c r="L3033" s="26">
        <v>926</v>
      </c>
      <c r="O3033" s="22" t="s">
        <v>5052</v>
      </c>
      <c r="P3033" s="22" t="s">
        <v>6558</v>
      </c>
      <c r="Q3033" s="22">
        <v>91915</v>
      </c>
      <c r="S3033" s="22" t="s">
        <v>5053</v>
      </c>
      <c r="X3033" s="26"/>
      <c r="Y3033" s="26"/>
    </row>
    <row r="3034" spans="1:25" ht="25" x14ac:dyDescent="0.25">
      <c r="A3034" s="21">
        <v>3273</v>
      </c>
      <c r="B3034" s="22" t="s">
        <v>15338</v>
      </c>
      <c r="C3034" s="22" t="s">
        <v>5048</v>
      </c>
      <c r="F3034" s="22">
        <v>975315</v>
      </c>
      <c r="G3034" s="23" t="s">
        <v>5054</v>
      </c>
      <c r="H3034" s="25" t="s">
        <v>15373</v>
      </c>
      <c r="I3034" s="22" t="s">
        <v>15382</v>
      </c>
      <c r="J3034" s="22" t="s">
        <v>5055</v>
      </c>
      <c r="K3034" s="26">
        <f t="shared" si="47"/>
        <v>309</v>
      </c>
      <c r="L3034" s="26">
        <v>309</v>
      </c>
      <c r="O3034" s="22" t="s">
        <v>5056</v>
      </c>
      <c r="P3034" s="22" t="s">
        <v>6558</v>
      </c>
      <c r="Q3034" s="22">
        <v>92131</v>
      </c>
      <c r="X3034" s="26"/>
      <c r="Y3034" s="26"/>
    </row>
    <row r="3035" spans="1:25" ht="25" x14ac:dyDescent="0.25">
      <c r="A3035" s="21">
        <v>3274</v>
      </c>
      <c r="B3035" s="22" t="s">
        <v>15338</v>
      </c>
      <c r="C3035" s="22" t="s">
        <v>5048</v>
      </c>
      <c r="F3035" s="22">
        <v>975319</v>
      </c>
      <c r="G3035" s="23" t="s">
        <v>5057</v>
      </c>
      <c r="H3035" s="25" t="s">
        <v>15373</v>
      </c>
      <c r="I3035" s="22" t="s">
        <v>14275</v>
      </c>
      <c r="J3035" s="22" t="s">
        <v>5058</v>
      </c>
      <c r="K3035" s="26">
        <f t="shared" si="47"/>
        <v>358</v>
      </c>
      <c r="L3035" s="26">
        <v>358</v>
      </c>
      <c r="O3035" s="22" t="s">
        <v>5059</v>
      </c>
      <c r="P3035" s="22" t="s">
        <v>6558</v>
      </c>
      <c r="Q3035" s="22">
        <v>92037</v>
      </c>
      <c r="X3035" s="26"/>
      <c r="Y3035" s="26"/>
    </row>
    <row r="3036" spans="1:25" ht="25" x14ac:dyDescent="0.25">
      <c r="A3036" s="21">
        <v>3275</v>
      </c>
      <c r="B3036" s="22" t="s">
        <v>15338</v>
      </c>
      <c r="C3036" s="22" t="s">
        <v>5048</v>
      </c>
      <c r="F3036" s="22">
        <v>975314</v>
      </c>
      <c r="G3036" s="23" t="s">
        <v>5060</v>
      </c>
      <c r="H3036" s="25" t="s">
        <v>15373</v>
      </c>
      <c r="I3036" s="22" t="s">
        <v>14275</v>
      </c>
      <c r="J3036" s="22" t="s">
        <v>5061</v>
      </c>
      <c r="K3036" s="26">
        <f t="shared" si="47"/>
        <v>358</v>
      </c>
      <c r="L3036" s="26">
        <v>358</v>
      </c>
      <c r="O3036" s="22" t="s">
        <v>5062</v>
      </c>
      <c r="P3036" s="22" t="s">
        <v>6558</v>
      </c>
      <c r="Q3036" s="22">
        <v>92129</v>
      </c>
      <c r="X3036" s="26"/>
      <c r="Y3036" s="26"/>
    </row>
    <row r="3037" spans="1:25" ht="25" x14ac:dyDescent="0.25">
      <c r="A3037" s="21">
        <v>3276</v>
      </c>
      <c r="B3037" s="22" t="s">
        <v>15338</v>
      </c>
      <c r="C3037" s="22" t="s">
        <v>5048</v>
      </c>
      <c r="F3037" s="22">
        <v>975317</v>
      </c>
      <c r="G3037" s="23" t="s">
        <v>5063</v>
      </c>
      <c r="H3037" s="25" t="s">
        <v>15373</v>
      </c>
      <c r="I3037" s="22" t="s">
        <v>14275</v>
      </c>
      <c r="J3037" s="22" t="s">
        <v>5064</v>
      </c>
      <c r="K3037" s="26">
        <f t="shared" si="47"/>
        <v>358</v>
      </c>
      <c r="L3037" s="26">
        <v>358</v>
      </c>
      <c r="O3037" s="22" t="s">
        <v>5065</v>
      </c>
      <c r="P3037" s="22" t="s">
        <v>6558</v>
      </c>
      <c r="Q3037" s="22">
        <v>92128</v>
      </c>
      <c r="X3037" s="26"/>
      <c r="Y3037" s="26"/>
    </row>
    <row r="3038" spans="1:25" ht="37.5" x14ac:dyDescent="0.25">
      <c r="A3038" s="21">
        <v>3277</v>
      </c>
      <c r="B3038" s="22" t="s">
        <v>15338</v>
      </c>
      <c r="C3038" s="22" t="s">
        <v>5066</v>
      </c>
      <c r="F3038" s="22">
        <v>950532</v>
      </c>
      <c r="G3038" s="23" t="s">
        <v>5067</v>
      </c>
      <c r="H3038" s="25" t="s">
        <v>16310</v>
      </c>
      <c r="I3038" s="22" t="s">
        <v>15382</v>
      </c>
      <c r="J3038" s="22" t="s">
        <v>5068</v>
      </c>
      <c r="K3038" s="26">
        <f t="shared" si="47"/>
        <v>322</v>
      </c>
      <c r="L3038" s="26">
        <v>322</v>
      </c>
      <c r="O3038" s="22" t="s">
        <v>5069</v>
      </c>
      <c r="P3038" s="22" t="s">
        <v>6558</v>
      </c>
      <c r="Q3038" s="22">
        <v>92037</v>
      </c>
      <c r="S3038" s="22" t="s">
        <v>5070</v>
      </c>
      <c r="X3038" s="26"/>
      <c r="Y3038" s="26"/>
    </row>
    <row r="3039" spans="1:25" ht="25" x14ac:dyDescent="0.25">
      <c r="A3039" s="21">
        <v>3278</v>
      </c>
      <c r="B3039" s="22" t="s">
        <v>15338</v>
      </c>
      <c r="C3039" s="22" t="s">
        <v>5071</v>
      </c>
      <c r="F3039" s="22">
        <v>972682</v>
      </c>
      <c r="G3039" s="23" t="s">
        <v>5072</v>
      </c>
      <c r="H3039" s="25" t="s">
        <v>15373</v>
      </c>
      <c r="I3039" s="22" t="s">
        <v>15411</v>
      </c>
      <c r="J3039" s="22">
        <v>4500560</v>
      </c>
      <c r="K3039" s="26">
        <f t="shared" si="47"/>
        <v>494</v>
      </c>
      <c r="L3039" s="26">
        <v>494</v>
      </c>
      <c r="O3039" s="22" t="s">
        <v>5073</v>
      </c>
      <c r="P3039" s="22" t="s">
        <v>6558</v>
      </c>
      <c r="Q3039" s="22">
        <v>92101</v>
      </c>
      <c r="S3039" s="22" t="s">
        <v>5074</v>
      </c>
      <c r="X3039" s="26"/>
      <c r="Y3039" s="26"/>
    </row>
    <row r="3040" spans="1:25" ht="50" x14ac:dyDescent="0.25">
      <c r="A3040" s="21">
        <v>3279</v>
      </c>
      <c r="B3040" s="22" t="s">
        <v>15338</v>
      </c>
      <c r="C3040" s="22" t="s">
        <v>5071</v>
      </c>
      <c r="F3040" s="22">
        <v>851149</v>
      </c>
      <c r="G3040" s="23" t="s">
        <v>5075</v>
      </c>
      <c r="H3040" s="25" t="s">
        <v>15373</v>
      </c>
      <c r="I3040" s="22" t="s">
        <v>15411</v>
      </c>
      <c r="J3040" s="22">
        <v>7123</v>
      </c>
      <c r="K3040" s="26">
        <f t="shared" si="47"/>
        <v>400</v>
      </c>
      <c r="L3040" s="26">
        <v>400</v>
      </c>
      <c r="O3040" s="22" t="s">
        <v>5076</v>
      </c>
      <c r="P3040" s="22" t="s">
        <v>6558</v>
      </c>
      <c r="Q3040" s="22">
        <v>92101</v>
      </c>
      <c r="S3040" s="22" t="s">
        <v>5074</v>
      </c>
      <c r="X3040" s="26"/>
      <c r="Y3040" s="26"/>
    </row>
    <row r="3041" spans="1:25" ht="37.5" x14ac:dyDescent="0.25">
      <c r="A3041" s="21">
        <v>3280</v>
      </c>
      <c r="B3041" s="22" t="s">
        <v>15338</v>
      </c>
      <c r="C3041" s="22" t="s">
        <v>5077</v>
      </c>
      <c r="F3041" s="22">
        <v>890401</v>
      </c>
      <c r="G3041" s="23" t="s">
        <v>5078</v>
      </c>
      <c r="H3041" s="25" t="s">
        <v>15373</v>
      </c>
      <c r="I3041" s="22" t="s">
        <v>15411</v>
      </c>
      <c r="J3041" s="22" t="s">
        <v>15412</v>
      </c>
      <c r="K3041" s="26">
        <f t="shared" si="47"/>
        <v>585</v>
      </c>
      <c r="L3041" s="26">
        <v>585</v>
      </c>
      <c r="O3041" s="22" t="s">
        <v>5079</v>
      </c>
      <c r="P3041" s="22" t="s">
        <v>5080</v>
      </c>
      <c r="Q3041" s="22">
        <v>92007</v>
      </c>
      <c r="S3041" s="22" t="s">
        <v>5081</v>
      </c>
      <c r="X3041" s="26"/>
      <c r="Y3041" s="26"/>
    </row>
    <row r="3042" spans="1:25" ht="87.5" x14ac:dyDescent="0.25">
      <c r="A3042" s="21">
        <v>3281</v>
      </c>
      <c r="B3042" s="22" t="s">
        <v>15338</v>
      </c>
      <c r="C3042" s="22" t="s">
        <v>5082</v>
      </c>
      <c r="F3042" s="22">
        <v>911306</v>
      </c>
      <c r="G3042" s="23" t="s">
        <v>5083</v>
      </c>
      <c r="H3042" s="25" t="s">
        <v>15373</v>
      </c>
      <c r="I3042" s="22" t="s">
        <v>15411</v>
      </c>
      <c r="J3042" s="22" t="s">
        <v>15412</v>
      </c>
      <c r="K3042" s="26">
        <f t="shared" si="47"/>
        <v>500</v>
      </c>
      <c r="L3042" s="26">
        <v>500</v>
      </c>
      <c r="O3042" s="22" t="s">
        <v>5084</v>
      </c>
      <c r="P3042" s="22" t="s">
        <v>5525</v>
      </c>
      <c r="Q3042" s="22">
        <v>92069</v>
      </c>
      <c r="S3042" s="22" t="s">
        <v>5085</v>
      </c>
      <c r="X3042" s="26"/>
      <c r="Y3042" s="26"/>
    </row>
    <row r="3043" spans="1:25" ht="25" x14ac:dyDescent="0.25">
      <c r="A3043" s="21">
        <v>3282</v>
      </c>
      <c r="B3043" s="22" t="s">
        <v>15338</v>
      </c>
      <c r="C3043" s="22" t="s">
        <v>5086</v>
      </c>
      <c r="F3043" s="22">
        <v>972642</v>
      </c>
      <c r="G3043" s="23" t="s">
        <v>5087</v>
      </c>
      <c r="H3043" s="25" t="s">
        <v>15373</v>
      </c>
      <c r="I3043" s="22" t="s">
        <v>16907</v>
      </c>
      <c r="J3043" s="22" t="s">
        <v>5088</v>
      </c>
      <c r="K3043" s="26">
        <f t="shared" si="47"/>
        <v>350</v>
      </c>
      <c r="L3043" s="26">
        <v>350</v>
      </c>
      <c r="O3043" s="22" t="s">
        <v>5089</v>
      </c>
      <c r="P3043" s="22" t="s">
        <v>5420</v>
      </c>
      <c r="Q3043" s="22">
        <v>92009</v>
      </c>
      <c r="X3043" s="26"/>
      <c r="Y3043" s="26"/>
    </row>
    <row r="3044" spans="1:25" ht="37.5" x14ac:dyDescent="0.25">
      <c r="A3044" s="21">
        <v>3283</v>
      </c>
      <c r="B3044" s="22" t="s">
        <v>15338</v>
      </c>
      <c r="C3044" s="22" t="s">
        <v>5090</v>
      </c>
      <c r="F3044" s="22">
        <v>973852</v>
      </c>
      <c r="G3044" s="23" t="s">
        <v>5091</v>
      </c>
      <c r="H3044" s="25" t="s">
        <v>15373</v>
      </c>
      <c r="I3044" s="22" t="s">
        <v>15374</v>
      </c>
      <c r="J3044" s="22">
        <v>3412</v>
      </c>
      <c r="K3044" s="26">
        <f t="shared" si="47"/>
        <v>582</v>
      </c>
      <c r="L3044" s="26">
        <v>582</v>
      </c>
      <c r="O3044" s="22" t="s">
        <v>5092</v>
      </c>
      <c r="P3044" s="22" t="s">
        <v>6558</v>
      </c>
      <c r="Q3044" s="22">
        <v>92121</v>
      </c>
      <c r="X3044" s="26"/>
      <c r="Y3044" s="26"/>
    </row>
    <row r="3045" spans="1:25" ht="50" x14ac:dyDescent="0.25">
      <c r="A3045" s="21">
        <v>3284</v>
      </c>
      <c r="B3045" s="22" t="s">
        <v>15338</v>
      </c>
      <c r="C3045" s="22" t="s">
        <v>5093</v>
      </c>
      <c r="F3045" s="22">
        <v>930406</v>
      </c>
      <c r="G3045" s="23" t="s">
        <v>5094</v>
      </c>
      <c r="H3045" s="25" t="s">
        <v>15373</v>
      </c>
      <c r="I3045" s="22" t="s">
        <v>15374</v>
      </c>
      <c r="J3045" s="22" t="s">
        <v>16899</v>
      </c>
      <c r="K3045" s="26">
        <f t="shared" si="47"/>
        <v>600</v>
      </c>
      <c r="L3045" s="26">
        <v>600</v>
      </c>
      <c r="O3045" s="22" t="s">
        <v>5095</v>
      </c>
      <c r="P3045" s="22" t="s">
        <v>6558</v>
      </c>
      <c r="Q3045" s="22">
        <v>92121</v>
      </c>
      <c r="S3045" s="22" t="s">
        <v>5096</v>
      </c>
      <c r="X3045" s="26"/>
      <c r="Y3045" s="26"/>
    </row>
    <row r="3046" spans="1:25" ht="25" x14ac:dyDescent="0.25">
      <c r="A3046" s="21">
        <v>3285</v>
      </c>
      <c r="B3046" s="22" t="s">
        <v>15338</v>
      </c>
      <c r="C3046" s="22" t="s">
        <v>5097</v>
      </c>
      <c r="F3046" s="22">
        <v>971301</v>
      </c>
      <c r="G3046" s="23" t="s">
        <v>5098</v>
      </c>
      <c r="H3046" s="25" t="s">
        <v>15373</v>
      </c>
      <c r="I3046" s="22" t="s">
        <v>15411</v>
      </c>
      <c r="J3046" s="22" t="s">
        <v>7623</v>
      </c>
      <c r="K3046" s="26">
        <f t="shared" si="47"/>
        <v>650</v>
      </c>
      <c r="L3046" s="26">
        <v>650</v>
      </c>
      <c r="O3046" s="22" t="s">
        <v>5099</v>
      </c>
      <c r="P3046" s="22" t="s">
        <v>6566</v>
      </c>
      <c r="Q3046" s="22">
        <v>92037</v>
      </c>
      <c r="X3046" s="26"/>
      <c r="Y3046" s="26"/>
    </row>
    <row r="3047" spans="1:25" ht="25" x14ac:dyDescent="0.25">
      <c r="A3047" s="21">
        <v>3286</v>
      </c>
      <c r="B3047" s="22" t="s">
        <v>15338</v>
      </c>
      <c r="C3047" s="22" t="s">
        <v>5097</v>
      </c>
      <c r="F3047" s="22">
        <v>971302</v>
      </c>
      <c r="G3047" s="23" t="s">
        <v>5098</v>
      </c>
      <c r="H3047" s="25" t="s">
        <v>15373</v>
      </c>
      <c r="I3047" s="22" t="s">
        <v>15411</v>
      </c>
      <c r="J3047" s="22" t="s">
        <v>7623</v>
      </c>
      <c r="K3047" s="26">
        <f t="shared" si="47"/>
        <v>650</v>
      </c>
      <c r="L3047" s="26">
        <v>650</v>
      </c>
      <c r="O3047" s="22" t="s">
        <v>5099</v>
      </c>
      <c r="P3047" s="22" t="s">
        <v>6566</v>
      </c>
      <c r="Q3047" s="22">
        <v>92037</v>
      </c>
      <c r="X3047" s="26"/>
      <c r="Y3047" s="26"/>
    </row>
    <row r="3048" spans="1:25" ht="25" x14ac:dyDescent="0.25">
      <c r="A3048" s="21">
        <v>3287</v>
      </c>
      <c r="B3048" s="22" t="s">
        <v>15338</v>
      </c>
      <c r="C3048" s="22" t="s">
        <v>5100</v>
      </c>
      <c r="F3048" s="22">
        <v>860561</v>
      </c>
      <c r="G3048" s="23" t="s">
        <v>5101</v>
      </c>
      <c r="H3048" s="25" t="s">
        <v>15373</v>
      </c>
      <c r="I3048" s="22" t="s">
        <v>15374</v>
      </c>
      <c r="J3048" s="22">
        <v>3412</v>
      </c>
      <c r="K3048" s="26">
        <f t="shared" si="47"/>
        <v>491</v>
      </c>
      <c r="L3048" s="26">
        <v>491</v>
      </c>
      <c r="O3048" s="22" t="s">
        <v>5102</v>
      </c>
      <c r="P3048" s="22" t="s">
        <v>6558</v>
      </c>
      <c r="Q3048" s="22">
        <v>92037</v>
      </c>
      <c r="S3048" s="22" t="s">
        <v>5103</v>
      </c>
      <c r="X3048" s="26"/>
      <c r="Y3048" s="26"/>
    </row>
    <row r="3049" spans="1:25" ht="25" x14ac:dyDescent="0.25">
      <c r="A3049" s="21">
        <v>3288</v>
      </c>
      <c r="B3049" s="22" t="s">
        <v>15338</v>
      </c>
      <c r="C3049" s="22" t="s">
        <v>5100</v>
      </c>
      <c r="F3049" s="22">
        <v>900279</v>
      </c>
      <c r="G3049" s="23" t="s">
        <v>5104</v>
      </c>
      <c r="H3049" s="25" t="s">
        <v>15373</v>
      </c>
      <c r="I3049" s="22" t="s">
        <v>15382</v>
      </c>
      <c r="J3049" s="22" t="s">
        <v>14716</v>
      </c>
      <c r="K3049" s="26">
        <f t="shared" si="47"/>
        <v>600</v>
      </c>
      <c r="L3049" s="26">
        <v>600</v>
      </c>
      <c r="O3049" s="22" t="s">
        <v>5105</v>
      </c>
      <c r="P3049" s="22" t="s">
        <v>5106</v>
      </c>
      <c r="Q3049" s="22">
        <v>92024</v>
      </c>
      <c r="S3049" s="22" t="s">
        <v>5103</v>
      </c>
      <c r="X3049" s="26"/>
      <c r="Y3049" s="26"/>
    </row>
    <row r="3050" spans="1:25" ht="25" x14ac:dyDescent="0.25">
      <c r="A3050" s="21">
        <v>3289</v>
      </c>
      <c r="B3050" s="22" t="s">
        <v>15338</v>
      </c>
      <c r="C3050" s="22" t="s">
        <v>5100</v>
      </c>
      <c r="F3050" s="22">
        <v>900280</v>
      </c>
      <c r="G3050" s="23" t="s">
        <v>5104</v>
      </c>
      <c r="H3050" s="25" t="s">
        <v>15373</v>
      </c>
      <c r="I3050" s="22" t="s">
        <v>15382</v>
      </c>
      <c r="J3050" s="22" t="s">
        <v>14716</v>
      </c>
      <c r="K3050" s="26">
        <f t="shared" si="47"/>
        <v>600</v>
      </c>
      <c r="L3050" s="26">
        <v>600</v>
      </c>
      <c r="O3050" s="22" t="s">
        <v>5105</v>
      </c>
      <c r="P3050" s="22" t="s">
        <v>5106</v>
      </c>
      <c r="Q3050" s="22">
        <v>92024</v>
      </c>
      <c r="S3050" s="22" t="s">
        <v>5103</v>
      </c>
      <c r="X3050" s="26"/>
      <c r="Y3050" s="26"/>
    </row>
    <row r="3051" spans="1:25" ht="50" x14ac:dyDescent="0.25">
      <c r="A3051" s="21">
        <v>3290</v>
      </c>
      <c r="B3051" s="22" t="s">
        <v>15338</v>
      </c>
      <c r="C3051" s="22" t="s">
        <v>5107</v>
      </c>
      <c r="F3051" s="22">
        <v>911427</v>
      </c>
      <c r="G3051" s="23" t="s">
        <v>5108</v>
      </c>
      <c r="H3051" s="25" t="s">
        <v>15373</v>
      </c>
      <c r="I3051" s="22" t="s">
        <v>15411</v>
      </c>
      <c r="J3051" s="22" t="s">
        <v>5109</v>
      </c>
      <c r="K3051" s="26">
        <f t="shared" si="47"/>
        <v>369</v>
      </c>
      <c r="L3051" s="26">
        <v>369</v>
      </c>
      <c r="O3051" s="22" t="s">
        <v>5110</v>
      </c>
      <c r="P3051" s="22" t="s">
        <v>6558</v>
      </c>
      <c r="Q3051" s="22">
        <v>92037</v>
      </c>
      <c r="S3051" s="22" t="s">
        <v>5111</v>
      </c>
      <c r="X3051" s="26"/>
      <c r="Y3051" s="26"/>
    </row>
    <row r="3052" spans="1:25" ht="50" x14ac:dyDescent="0.25">
      <c r="A3052" s="21">
        <v>3291</v>
      </c>
      <c r="B3052" s="22" t="s">
        <v>15338</v>
      </c>
      <c r="C3052" s="22" t="s">
        <v>5112</v>
      </c>
      <c r="F3052" s="22">
        <v>900949</v>
      </c>
      <c r="G3052" s="23" t="s">
        <v>5113</v>
      </c>
      <c r="H3052" s="25" t="s">
        <v>15373</v>
      </c>
      <c r="I3052" s="22" t="s">
        <v>15374</v>
      </c>
      <c r="J3052" s="22" t="s">
        <v>15420</v>
      </c>
      <c r="K3052" s="26">
        <f t="shared" si="47"/>
        <v>1000</v>
      </c>
      <c r="L3052" s="26">
        <v>1000</v>
      </c>
      <c r="O3052" s="22" t="s">
        <v>5114</v>
      </c>
      <c r="P3052" s="22" t="s">
        <v>6558</v>
      </c>
      <c r="Q3052" s="22">
        <v>92103</v>
      </c>
      <c r="S3052" s="22" t="s">
        <v>5115</v>
      </c>
      <c r="X3052" s="26"/>
      <c r="Y3052" s="26"/>
    </row>
    <row r="3053" spans="1:25" ht="25" x14ac:dyDescent="0.25">
      <c r="A3053" s="21">
        <v>3292</v>
      </c>
      <c r="B3053" s="22" t="s">
        <v>15338</v>
      </c>
      <c r="C3053" s="22" t="s">
        <v>5112</v>
      </c>
      <c r="F3053" s="22">
        <v>870477</v>
      </c>
      <c r="G3053" s="23" t="s">
        <v>5116</v>
      </c>
      <c r="H3053" s="25" t="s">
        <v>15373</v>
      </c>
      <c r="I3053" s="22" t="s">
        <v>15411</v>
      </c>
      <c r="J3053" s="22" t="s">
        <v>5117</v>
      </c>
      <c r="K3053" s="26">
        <f t="shared" si="47"/>
        <v>750</v>
      </c>
      <c r="L3053" s="26">
        <v>750</v>
      </c>
      <c r="O3053" s="22" t="s">
        <v>5114</v>
      </c>
      <c r="P3053" s="22" t="s">
        <v>6558</v>
      </c>
      <c r="Q3053" s="22">
        <v>92103</v>
      </c>
      <c r="S3053" s="22" t="s">
        <v>5115</v>
      </c>
      <c r="X3053" s="26"/>
      <c r="Y3053" s="26"/>
    </row>
    <row r="3054" spans="1:25" ht="37.5" x14ac:dyDescent="0.25">
      <c r="A3054" s="21">
        <v>3293</v>
      </c>
      <c r="B3054" s="22" t="s">
        <v>15338</v>
      </c>
      <c r="C3054" s="22" t="s">
        <v>5112</v>
      </c>
      <c r="F3054" s="22">
        <v>961222</v>
      </c>
      <c r="G3054" s="23" t="s">
        <v>5118</v>
      </c>
      <c r="H3054" s="25" t="s">
        <v>15373</v>
      </c>
      <c r="I3054" s="22" t="s">
        <v>15411</v>
      </c>
      <c r="J3054" s="22" t="s">
        <v>12830</v>
      </c>
      <c r="K3054" s="26">
        <f t="shared" si="47"/>
        <v>377</v>
      </c>
      <c r="L3054" s="26">
        <v>377</v>
      </c>
      <c r="O3054" s="22" t="s">
        <v>5114</v>
      </c>
      <c r="P3054" s="22" t="s">
        <v>6558</v>
      </c>
      <c r="Q3054" s="22">
        <v>92103</v>
      </c>
      <c r="S3054" s="22" t="s">
        <v>5115</v>
      </c>
      <c r="X3054" s="26"/>
      <c r="Y3054" s="26"/>
    </row>
    <row r="3055" spans="1:25" ht="25" x14ac:dyDescent="0.25">
      <c r="A3055" s="21">
        <v>3294</v>
      </c>
      <c r="B3055" s="22" t="s">
        <v>15338</v>
      </c>
      <c r="C3055" s="22" t="s">
        <v>5119</v>
      </c>
      <c r="F3055" s="22">
        <v>971780</v>
      </c>
      <c r="G3055" s="23" t="s">
        <v>5120</v>
      </c>
      <c r="H3055" s="25" t="s">
        <v>15373</v>
      </c>
      <c r="I3055" s="22" t="s">
        <v>15374</v>
      </c>
      <c r="J3055" s="22">
        <v>3412</v>
      </c>
      <c r="K3055" s="26">
        <f t="shared" si="47"/>
        <v>488</v>
      </c>
      <c r="L3055" s="26">
        <v>488</v>
      </c>
      <c r="O3055" s="22" t="s">
        <v>5121</v>
      </c>
      <c r="P3055" s="22" t="s">
        <v>6558</v>
      </c>
      <c r="Q3055" s="22">
        <v>92121</v>
      </c>
      <c r="X3055" s="26"/>
      <c r="Y3055" s="26"/>
    </row>
    <row r="3056" spans="1:25" ht="50" x14ac:dyDescent="0.25">
      <c r="A3056" s="21">
        <v>3295</v>
      </c>
      <c r="B3056" s="22" t="s">
        <v>15338</v>
      </c>
      <c r="C3056" s="22" t="s">
        <v>5122</v>
      </c>
      <c r="F3056" s="22">
        <v>890778</v>
      </c>
      <c r="G3056" s="23" t="s">
        <v>5123</v>
      </c>
      <c r="H3056" s="25" t="s">
        <v>15373</v>
      </c>
      <c r="I3056" s="22" t="s">
        <v>15382</v>
      </c>
      <c r="J3056" s="22" t="s">
        <v>5124</v>
      </c>
      <c r="K3056" s="26">
        <f t="shared" si="47"/>
        <v>500</v>
      </c>
      <c r="L3056" s="26">
        <v>500</v>
      </c>
      <c r="O3056" s="22" t="s">
        <v>5125</v>
      </c>
      <c r="P3056" s="22" t="s">
        <v>6566</v>
      </c>
      <c r="Q3056" s="22">
        <v>92037</v>
      </c>
      <c r="S3056" s="22" t="s">
        <v>5103</v>
      </c>
      <c r="X3056" s="26"/>
      <c r="Y3056" s="26"/>
    </row>
    <row r="3057" spans="1:25" ht="50" x14ac:dyDescent="0.25">
      <c r="A3057" s="21">
        <v>3296</v>
      </c>
      <c r="B3057" s="22" t="s">
        <v>15338</v>
      </c>
      <c r="C3057" s="22" t="s">
        <v>5122</v>
      </c>
      <c r="F3057" s="22">
        <v>890781</v>
      </c>
      <c r="G3057" s="23" t="s">
        <v>5126</v>
      </c>
      <c r="H3057" s="25" t="s">
        <v>15373</v>
      </c>
      <c r="I3057" s="22" t="s">
        <v>15382</v>
      </c>
      <c r="J3057" s="22" t="s">
        <v>5124</v>
      </c>
      <c r="K3057" s="26">
        <f t="shared" si="47"/>
        <v>500</v>
      </c>
      <c r="L3057" s="26">
        <v>500</v>
      </c>
      <c r="O3057" s="22" t="s">
        <v>5125</v>
      </c>
      <c r="P3057" s="22" t="s">
        <v>6566</v>
      </c>
      <c r="Q3057" s="22">
        <v>92037</v>
      </c>
      <c r="S3057" s="22" t="s">
        <v>5103</v>
      </c>
      <c r="X3057" s="26"/>
      <c r="Y3057" s="26"/>
    </row>
    <row r="3058" spans="1:25" ht="37.5" x14ac:dyDescent="0.25">
      <c r="A3058" s="21">
        <v>3297</v>
      </c>
      <c r="B3058" s="22" t="s">
        <v>15338</v>
      </c>
      <c r="C3058" s="22" t="s">
        <v>5122</v>
      </c>
      <c r="F3058" s="22">
        <v>972740</v>
      </c>
      <c r="G3058" s="23" t="s">
        <v>5127</v>
      </c>
      <c r="H3058" s="25" t="s">
        <v>15373</v>
      </c>
      <c r="I3058" s="22" t="s">
        <v>15411</v>
      </c>
      <c r="J3058" s="22" t="s">
        <v>5128</v>
      </c>
      <c r="K3058" s="26">
        <f t="shared" si="47"/>
        <v>581</v>
      </c>
      <c r="L3058" s="26">
        <v>581</v>
      </c>
      <c r="O3058" s="22" t="s">
        <v>5129</v>
      </c>
      <c r="P3058" s="22" t="s">
        <v>6566</v>
      </c>
      <c r="Q3058" s="22">
        <v>92037</v>
      </c>
      <c r="X3058" s="26"/>
      <c r="Y3058" s="26"/>
    </row>
    <row r="3059" spans="1:25" ht="50" x14ac:dyDescent="0.25">
      <c r="A3059" s="21">
        <v>3298</v>
      </c>
      <c r="B3059" s="22" t="s">
        <v>15338</v>
      </c>
      <c r="C3059" s="22" t="s">
        <v>5122</v>
      </c>
      <c r="F3059" s="22">
        <v>940269</v>
      </c>
      <c r="G3059" s="23" t="s">
        <v>5130</v>
      </c>
      <c r="H3059" s="25" t="s">
        <v>15373</v>
      </c>
      <c r="I3059" s="22" t="s">
        <v>15374</v>
      </c>
      <c r="J3059" s="22">
        <v>3406</v>
      </c>
      <c r="K3059" s="26">
        <f t="shared" si="47"/>
        <v>400</v>
      </c>
      <c r="L3059" s="26">
        <v>400</v>
      </c>
      <c r="O3059" s="22" t="s">
        <v>5131</v>
      </c>
      <c r="P3059" s="22" t="s">
        <v>6558</v>
      </c>
      <c r="Q3059" s="22">
        <v>92037</v>
      </c>
      <c r="S3059" s="22" t="s">
        <v>5132</v>
      </c>
      <c r="X3059" s="26"/>
      <c r="Y3059" s="26"/>
    </row>
    <row r="3060" spans="1:25" ht="25" x14ac:dyDescent="0.25">
      <c r="A3060" s="21">
        <v>3299</v>
      </c>
      <c r="B3060" s="22" t="s">
        <v>15338</v>
      </c>
      <c r="C3060" s="22" t="s">
        <v>5133</v>
      </c>
      <c r="F3060" s="22">
        <v>972752</v>
      </c>
      <c r="G3060" s="23" t="s">
        <v>5134</v>
      </c>
      <c r="H3060" s="25" t="s">
        <v>15373</v>
      </c>
      <c r="I3060" s="22" t="s">
        <v>15411</v>
      </c>
      <c r="J3060" s="22" t="s">
        <v>5135</v>
      </c>
      <c r="K3060" s="26">
        <f t="shared" si="47"/>
        <v>1250</v>
      </c>
      <c r="L3060" s="26">
        <v>1250</v>
      </c>
      <c r="O3060" s="22" t="s">
        <v>5136</v>
      </c>
      <c r="P3060" s="22" t="s">
        <v>6566</v>
      </c>
      <c r="Q3060" s="22">
        <v>92037</v>
      </c>
      <c r="X3060" s="26"/>
      <c r="Y3060" s="26"/>
    </row>
    <row r="3061" spans="1:25" ht="25" x14ac:dyDescent="0.25">
      <c r="A3061" s="21">
        <v>3300</v>
      </c>
      <c r="B3061" s="22" t="s">
        <v>15338</v>
      </c>
      <c r="C3061" s="22" t="s">
        <v>5133</v>
      </c>
      <c r="F3061" s="22">
        <v>971717</v>
      </c>
      <c r="G3061" s="23" t="s">
        <v>5137</v>
      </c>
      <c r="H3061" s="25" t="s">
        <v>15373</v>
      </c>
      <c r="I3061" s="22" t="s">
        <v>15411</v>
      </c>
      <c r="J3061" s="22" t="s">
        <v>5138</v>
      </c>
      <c r="K3061" s="26">
        <f t="shared" si="47"/>
        <v>615</v>
      </c>
      <c r="L3061" s="26">
        <v>615</v>
      </c>
      <c r="O3061" s="22" t="s">
        <v>5139</v>
      </c>
      <c r="P3061" s="22" t="s">
        <v>6566</v>
      </c>
      <c r="Q3061" s="22">
        <v>92037</v>
      </c>
      <c r="X3061" s="26"/>
      <c r="Y3061" s="26"/>
    </row>
    <row r="3062" spans="1:25" ht="25" x14ac:dyDescent="0.25">
      <c r="A3062" s="21">
        <v>3301</v>
      </c>
      <c r="B3062" s="22" t="s">
        <v>15338</v>
      </c>
      <c r="C3062" s="22" t="s">
        <v>5140</v>
      </c>
      <c r="F3062" s="22">
        <v>973227</v>
      </c>
      <c r="G3062" s="23" t="s">
        <v>5141</v>
      </c>
      <c r="H3062" s="25" t="s">
        <v>15373</v>
      </c>
      <c r="I3062" s="22" t="s">
        <v>15382</v>
      </c>
      <c r="J3062" s="22" t="s">
        <v>5382</v>
      </c>
      <c r="K3062" s="26">
        <f t="shared" si="47"/>
        <v>375</v>
      </c>
      <c r="L3062" s="26">
        <v>375</v>
      </c>
      <c r="O3062" s="22" t="s">
        <v>5142</v>
      </c>
      <c r="P3062" s="22" t="s">
        <v>6558</v>
      </c>
      <c r="Q3062" s="22">
        <v>92123</v>
      </c>
      <c r="X3062" s="26"/>
      <c r="Y3062" s="26"/>
    </row>
    <row r="3063" spans="1:25" ht="37.5" x14ac:dyDescent="0.25">
      <c r="A3063" s="21">
        <v>3302</v>
      </c>
      <c r="B3063" s="22" t="s">
        <v>15338</v>
      </c>
      <c r="C3063" s="22" t="s">
        <v>5143</v>
      </c>
      <c r="F3063" s="22">
        <v>950558</v>
      </c>
      <c r="G3063" s="23" t="s">
        <v>5144</v>
      </c>
      <c r="H3063" s="25" t="s">
        <v>15373</v>
      </c>
      <c r="I3063" s="22" t="s">
        <v>15382</v>
      </c>
      <c r="J3063" s="22" t="s">
        <v>5145</v>
      </c>
      <c r="K3063" s="26">
        <f t="shared" si="47"/>
        <v>500</v>
      </c>
      <c r="L3063" s="26">
        <v>500</v>
      </c>
      <c r="O3063" s="22" t="s">
        <v>5146</v>
      </c>
      <c r="P3063" s="22" t="s">
        <v>6558</v>
      </c>
      <c r="Q3063" s="22">
        <v>92123</v>
      </c>
      <c r="S3063" s="22" t="s">
        <v>5147</v>
      </c>
      <c r="X3063" s="26"/>
      <c r="Y3063" s="26"/>
    </row>
    <row r="3064" spans="1:25" ht="25" x14ac:dyDescent="0.25">
      <c r="A3064" s="21">
        <v>3303</v>
      </c>
      <c r="B3064" s="22" t="s">
        <v>15338</v>
      </c>
      <c r="C3064" s="22" t="s">
        <v>5143</v>
      </c>
      <c r="F3064" s="22">
        <v>973506</v>
      </c>
      <c r="G3064" s="23" t="s">
        <v>5148</v>
      </c>
      <c r="H3064" s="25" t="s">
        <v>15373</v>
      </c>
      <c r="I3064" s="22" t="s">
        <v>15411</v>
      </c>
      <c r="J3064" s="22" t="s">
        <v>15412</v>
      </c>
      <c r="K3064" s="26">
        <f t="shared" si="47"/>
        <v>616</v>
      </c>
      <c r="L3064" s="26">
        <v>616</v>
      </c>
      <c r="O3064" s="22" t="s">
        <v>5149</v>
      </c>
      <c r="P3064" s="22" t="s">
        <v>6558</v>
      </c>
      <c r="Q3064" s="22">
        <v>92037</v>
      </c>
      <c r="X3064" s="26"/>
      <c r="Y3064" s="26"/>
    </row>
    <row r="3065" spans="1:25" ht="37.5" x14ac:dyDescent="0.25">
      <c r="A3065" s="21">
        <v>3304</v>
      </c>
      <c r="B3065" s="22" t="s">
        <v>15338</v>
      </c>
      <c r="C3065" s="22" t="s">
        <v>5150</v>
      </c>
      <c r="F3065" s="22">
        <v>975523</v>
      </c>
      <c r="G3065" s="23" t="s">
        <v>4196</v>
      </c>
      <c r="H3065" s="25" t="s">
        <v>15373</v>
      </c>
      <c r="I3065" s="22" t="s">
        <v>15382</v>
      </c>
      <c r="J3065" s="22" t="s">
        <v>4197</v>
      </c>
      <c r="K3065" s="26">
        <f t="shared" si="47"/>
        <v>1000</v>
      </c>
      <c r="L3065" s="26">
        <v>1000</v>
      </c>
      <c r="O3065" s="22" t="s">
        <v>4198</v>
      </c>
      <c r="P3065" s="22" t="s">
        <v>6558</v>
      </c>
      <c r="Q3065" s="22">
        <v>92154</v>
      </c>
      <c r="X3065" s="26"/>
      <c r="Y3065" s="26"/>
    </row>
    <row r="3066" spans="1:25" ht="37.5" x14ac:dyDescent="0.25">
      <c r="A3066" s="21">
        <v>3305</v>
      </c>
      <c r="B3066" s="22" t="s">
        <v>15338</v>
      </c>
      <c r="C3066" s="22" t="s">
        <v>4199</v>
      </c>
      <c r="F3066" s="22">
        <v>972315</v>
      </c>
      <c r="G3066" s="23" t="s">
        <v>4200</v>
      </c>
      <c r="H3066" s="25" t="s">
        <v>15373</v>
      </c>
      <c r="I3066" s="22" t="s">
        <v>15374</v>
      </c>
      <c r="J3066" s="22" t="s">
        <v>15918</v>
      </c>
      <c r="K3066" s="26">
        <f t="shared" si="47"/>
        <v>764</v>
      </c>
      <c r="L3066" s="26">
        <v>764</v>
      </c>
      <c r="O3066" s="22" t="s">
        <v>4201</v>
      </c>
      <c r="P3066" s="22" t="s">
        <v>5561</v>
      </c>
      <c r="Q3066" s="22">
        <v>92029</v>
      </c>
      <c r="X3066" s="26"/>
      <c r="Y3066" s="26"/>
    </row>
    <row r="3067" spans="1:25" ht="37.5" x14ac:dyDescent="0.25">
      <c r="A3067" s="21">
        <v>3306</v>
      </c>
      <c r="B3067" s="22" t="s">
        <v>15338</v>
      </c>
      <c r="C3067" s="22" t="s">
        <v>4202</v>
      </c>
      <c r="F3067" s="22">
        <v>975524</v>
      </c>
      <c r="G3067" s="23" t="s">
        <v>4203</v>
      </c>
      <c r="H3067" s="25" t="s">
        <v>15373</v>
      </c>
      <c r="I3067" s="22" t="s">
        <v>15374</v>
      </c>
      <c r="J3067" s="22" t="s">
        <v>5462</v>
      </c>
      <c r="K3067" s="26">
        <f t="shared" si="47"/>
        <v>1869</v>
      </c>
      <c r="L3067" s="26">
        <v>1869</v>
      </c>
      <c r="O3067" s="22" t="s">
        <v>4204</v>
      </c>
      <c r="P3067" s="22" t="s">
        <v>6558</v>
      </c>
      <c r="Q3067" s="22">
        <v>92154</v>
      </c>
      <c r="X3067" s="26"/>
      <c r="Y3067" s="26"/>
    </row>
    <row r="3068" spans="1:25" ht="25" x14ac:dyDescent="0.25">
      <c r="A3068" s="21">
        <v>3307</v>
      </c>
      <c r="B3068" s="22" t="s">
        <v>15338</v>
      </c>
      <c r="C3068" s="22" t="s">
        <v>4205</v>
      </c>
      <c r="F3068" s="22">
        <v>40953</v>
      </c>
      <c r="G3068" s="23" t="s">
        <v>4206</v>
      </c>
      <c r="H3068" s="25" t="s">
        <v>15373</v>
      </c>
      <c r="I3068" s="22" t="s">
        <v>15374</v>
      </c>
      <c r="J3068" s="22" t="s">
        <v>15191</v>
      </c>
      <c r="K3068" s="26">
        <f t="shared" si="47"/>
        <v>750</v>
      </c>
      <c r="L3068" s="26">
        <v>750</v>
      </c>
      <c r="O3068" s="22" t="s">
        <v>4207</v>
      </c>
      <c r="P3068" s="22" t="s">
        <v>6558</v>
      </c>
      <c r="Q3068" s="22">
        <v>92101</v>
      </c>
      <c r="S3068" s="22" t="s">
        <v>4208</v>
      </c>
      <c r="X3068" s="26"/>
      <c r="Y3068" s="26"/>
    </row>
    <row r="3069" spans="1:25" ht="25" x14ac:dyDescent="0.25">
      <c r="A3069" s="21">
        <v>3308</v>
      </c>
      <c r="B3069" s="22" t="s">
        <v>15338</v>
      </c>
      <c r="C3069" s="22" t="s">
        <v>4209</v>
      </c>
      <c r="F3069" s="22">
        <v>973481</v>
      </c>
      <c r="G3069" s="23" t="s">
        <v>4210</v>
      </c>
      <c r="H3069" s="25" t="s">
        <v>15373</v>
      </c>
      <c r="I3069" s="22" t="s">
        <v>15374</v>
      </c>
      <c r="J3069" s="22" t="s">
        <v>16739</v>
      </c>
      <c r="K3069" s="26">
        <f t="shared" si="47"/>
        <v>540</v>
      </c>
      <c r="L3069" s="26">
        <v>540</v>
      </c>
      <c r="O3069" s="22" t="s">
        <v>4211</v>
      </c>
      <c r="P3069" s="22" t="s">
        <v>6558</v>
      </c>
      <c r="Q3069" s="22">
        <v>92114</v>
      </c>
      <c r="X3069" s="26"/>
      <c r="Y3069" s="26"/>
    </row>
    <row r="3070" spans="1:25" ht="37.5" x14ac:dyDescent="0.25">
      <c r="A3070" s="21">
        <v>3309</v>
      </c>
      <c r="B3070" s="22" t="s">
        <v>15338</v>
      </c>
      <c r="C3070" s="22" t="s">
        <v>4212</v>
      </c>
      <c r="F3070" s="22">
        <v>961215</v>
      </c>
      <c r="G3070" s="23" t="s">
        <v>4213</v>
      </c>
      <c r="H3070" s="25" t="s">
        <v>15373</v>
      </c>
      <c r="I3070" s="22" t="s">
        <v>15374</v>
      </c>
      <c r="J3070" s="22" t="s">
        <v>12592</v>
      </c>
      <c r="K3070" s="26">
        <f t="shared" si="47"/>
        <v>1500</v>
      </c>
      <c r="L3070" s="26">
        <v>1500</v>
      </c>
      <c r="O3070" s="22" t="s">
        <v>4214</v>
      </c>
      <c r="P3070" s="22" t="s">
        <v>6558</v>
      </c>
      <c r="Q3070" s="22">
        <v>92106</v>
      </c>
      <c r="X3070" s="26"/>
      <c r="Y3070" s="26"/>
    </row>
    <row r="3071" spans="1:25" ht="37.5" x14ac:dyDescent="0.25">
      <c r="A3071" s="21">
        <v>3310</v>
      </c>
      <c r="B3071" s="22" t="s">
        <v>15338</v>
      </c>
      <c r="C3071" s="22" t="s">
        <v>4215</v>
      </c>
      <c r="F3071" s="22">
        <v>890684</v>
      </c>
      <c r="G3071" s="23" t="s">
        <v>4216</v>
      </c>
      <c r="H3071" s="25" t="s">
        <v>15373</v>
      </c>
      <c r="I3071" s="22" t="s">
        <v>15374</v>
      </c>
      <c r="J3071" s="22">
        <v>3412</v>
      </c>
      <c r="K3071" s="26">
        <f t="shared" si="47"/>
        <v>600</v>
      </c>
      <c r="L3071" s="26">
        <v>600</v>
      </c>
      <c r="O3071" s="22" t="s">
        <v>5052</v>
      </c>
      <c r="P3071" s="22" t="s">
        <v>5408</v>
      </c>
      <c r="Q3071" s="22">
        <v>91915</v>
      </c>
      <c r="S3071" s="22" t="s">
        <v>5053</v>
      </c>
      <c r="X3071" s="26"/>
      <c r="Y3071" s="26"/>
    </row>
    <row r="3072" spans="1:25" ht="37.5" x14ac:dyDescent="0.25">
      <c r="A3072" s="21">
        <v>3311</v>
      </c>
      <c r="B3072" s="22" t="s">
        <v>15338</v>
      </c>
      <c r="C3072" s="22" t="s">
        <v>4215</v>
      </c>
      <c r="F3072" s="22">
        <v>974402</v>
      </c>
      <c r="G3072" s="23" t="s">
        <v>4217</v>
      </c>
      <c r="H3072" s="25" t="s">
        <v>15373</v>
      </c>
      <c r="I3072" s="22" t="s">
        <v>15411</v>
      </c>
      <c r="J3072" s="22" t="s">
        <v>4218</v>
      </c>
      <c r="K3072" s="26">
        <f t="shared" si="47"/>
        <v>972</v>
      </c>
      <c r="L3072" s="26">
        <v>972</v>
      </c>
      <c r="O3072" s="22" t="s">
        <v>4219</v>
      </c>
      <c r="P3072" s="22" t="s">
        <v>5640</v>
      </c>
      <c r="Q3072" s="22">
        <v>91942</v>
      </c>
      <c r="S3072" s="22" t="s">
        <v>4220</v>
      </c>
      <c r="X3072" s="26"/>
      <c r="Y3072" s="26"/>
    </row>
    <row r="3073" spans="1:25" ht="25" x14ac:dyDescent="0.25">
      <c r="A3073" s="21">
        <v>3312</v>
      </c>
      <c r="B3073" s="22" t="s">
        <v>15338</v>
      </c>
      <c r="C3073" s="22" t="s">
        <v>4215</v>
      </c>
      <c r="F3073" s="22">
        <v>974290</v>
      </c>
      <c r="G3073" s="23" t="s">
        <v>4221</v>
      </c>
      <c r="H3073" s="25" t="s">
        <v>15373</v>
      </c>
      <c r="I3073" s="22" t="s">
        <v>15411</v>
      </c>
      <c r="J3073" s="22" t="s">
        <v>4222</v>
      </c>
      <c r="K3073" s="26">
        <f t="shared" si="47"/>
        <v>358</v>
      </c>
      <c r="L3073" s="26">
        <v>358</v>
      </c>
      <c r="O3073" s="22" t="s">
        <v>4219</v>
      </c>
      <c r="P3073" s="22" t="s">
        <v>5640</v>
      </c>
      <c r="Q3073" s="22">
        <v>91942</v>
      </c>
      <c r="X3073" s="26"/>
      <c r="Y3073" s="26"/>
    </row>
    <row r="3074" spans="1:25" ht="25" x14ac:dyDescent="0.25">
      <c r="A3074" s="21">
        <v>3313</v>
      </c>
      <c r="B3074" s="22" t="s">
        <v>15338</v>
      </c>
      <c r="C3074" s="22" t="s">
        <v>4215</v>
      </c>
      <c r="F3074" s="22">
        <v>961964</v>
      </c>
      <c r="G3074" s="23" t="s">
        <v>4223</v>
      </c>
      <c r="H3074" s="25" t="s">
        <v>15373</v>
      </c>
      <c r="I3074" s="22" t="s">
        <v>4224</v>
      </c>
      <c r="J3074" s="22" t="s">
        <v>4225</v>
      </c>
      <c r="K3074" s="26">
        <f t="shared" si="47"/>
        <v>505</v>
      </c>
      <c r="L3074" s="26">
        <v>505</v>
      </c>
      <c r="O3074" s="22" t="s">
        <v>4226</v>
      </c>
      <c r="P3074" s="22" t="s">
        <v>6558</v>
      </c>
      <c r="Q3074" s="22">
        <v>92106</v>
      </c>
      <c r="X3074" s="26"/>
      <c r="Y3074" s="26"/>
    </row>
    <row r="3075" spans="1:25" ht="50" x14ac:dyDescent="0.25">
      <c r="A3075" s="21">
        <v>3314</v>
      </c>
      <c r="B3075" s="22" t="s">
        <v>15338</v>
      </c>
      <c r="C3075" s="22" t="s">
        <v>4227</v>
      </c>
      <c r="F3075" s="22">
        <v>891091</v>
      </c>
      <c r="G3075" s="23" t="s">
        <v>4228</v>
      </c>
      <c r="H3075" s="25" t="s">
        <v>15373</v>
      </c>
      <c r="I3075" s="22" t="s">
        <v>15374</v>
      </c>
      <c r="J3075" s="22" t="s">
        <v>16360</v>
      </c>
      <c r="K3075" s="26">
        <f t="shared" si="47"/>
        <v>500</v>
      </c>
      <c r="L3075" s="26">
        <v>500</v>
      </c>
      <c r="O3075" s="22" t="s">
        <v>4229</v>
      </c>
      <c r="P3075" s="22" t="s">
        <v>6558</v>
      </c>
      <c r="Q3075" s="22">
        <v>92131</v>
      </c>
      <c r="S3075" s="22" t="s">
        <v>4230</v>
      </c>
      <c r="X3075" s="26"/>
      <c r="Y3075" s="26"/>
    </row>
    <row r="3076" spans="1:25" ht="37.5" x14ac:dyDescent="0.25">
      <c r="A3076" s="21">
        <v>3315</v>
      </c>
      <c r="B3076" s="22" t="s">
        <v>15338</v>
      </c>
      <c r="C3076" s="22" t="s">
        <v>4231</v>
      </c>
      <c r="F3076" s="22">
        <v>975759</v>
      </c>
      <c r="G3076" s="23" t="s">
        <v>4232</v>
      </c>
      <c r="H3076" s="25" t="s">
        <v>15373</v>
      </c>
      <c r="I3076" s="22" t="s">
        <v>15411</v>
      </c>
      <c r="J3076" s="22" t="s">
        <v>4233</v>
      </c>
      <c r="K3076" s="26">
        <f t="shared" si="47"/>
        <v>497</v>
      </c>
      <c r="L3076" s="26">
        <v>497</v>
      </c>
      <c r="O3076" s="22" t="s">
        <v>4234</v>
      </c>
      <c r="P3076" s="22" t="s">
        <v>4235</v>
      </c>
      <c r="Q3076" s="22">
        <v>91906</v>
      </c>
      <c r="X3076" s="26"/>
      <c r="Y3076" s="26"/>
    </row>
    <row r="3077" spans="1:25" ht="50" x14ac:dyDescent="0.25">
      <c r="A3077" s="21">
        <v>3316</v>
      </c>
      <c r="B3077" s="22" t="s">
        <v>15338</v>
      </c>
      <c r="C3077" s="22" t="s">
        <v>4236</v>
      </c>
      <c r="F3077" s="22">
        <v>941091</v>
      </c>
      <c r="G3077" s="23" t="s">
        <v>4237</v>
      </c>
      <c r="H3077" s="25" t="s">
        <v>15373</v>
      </c>
      <c r="I3077" s="22" t="s">
        <v>15374</v>
      </c>
      <c r="J3077" s="22" t="s">
        <v>15191</v>
      </c>
      <c r="K3077" s="26">
        <f t="shared" si="47"/>
        <v>750</v>
      </c>
      <c r="L3077" s="26">
        <v>750</v>
      </c>
      <c r="O3077" s="22" t="s">
        <v>4238</v>
      </c>
      <c r="P3077" s="22" t="s">
        <v>6558</v>
      </c>
      <c r="Q3077" s="22">
        <v>92101</v>
      </c>
      <c r="S3077" s="22" t="s">
        <v>4239</v>
      </c>
      <c r="X3077" s="26"/>
      <c r="Y3077" s="26"/>
    </row>
    <row r="3078" spans="1:25" ht="50" x14ac:dyDescent="0.25">
      <c r="A3078" s="21">
        <v>3317</v>
      </c>
      <c r="B3078" s="22" t="s">
        <v>15338</v>
      </c>
      <c r="C3078" s="22" t="s">
        <v>4236</v>
      </c>
      <c r="F3078" s="22">
        <v>941092</v>
      </c>
      <c r="G3078" s="23" t="s">
        <v>4240</v>
      </c>
      <c r="H3078" s="25" t="s">
        <v>15373</v>
      </c>
      <c r="I3078" s="22" t="s">
        <v>15374</v>
      </c>
      <c r="J3078" s="22" t="s">
        <v>4241</v>
      </c>
      <c r="K3078" s="26">
        <f t="shared" si="47"/>
        <v>750</v>
      </c>
      <c r="L3078" s="26">
        <v>750</v>
      </c>
      <c r="O3078" s="22" t="s">
        <v>4238</v>
      </c>
      <c r="P3078" s="22" t="s">
        <v>6558</v>
      </c>
      <c r="Q3078" s="22">
        <v>92101</v>
      </c>
      <c r="S3078" s="22" t="s">
        <v>4239</v>
      </c>
      <c r="X3078" s="26"/>
      <c r="Y3078" s="26"/>
    </row>
    <row r="3079" spans="1:25" ht="37.5" x14ac:dyDescent="0.25">
      <c r="A3079" s="21">
        <v>3318</v>
      </c>
      <c r="B3079" s="22" t="s">
        <v>15338</v>
      </c>
      <c r="C3079" s="22" t="s">
        <v>4242</v>
      </c>
      <c r="F3079" s="22">
        <v>861021</v>
      </c>
      <c r="G3079" s="23" t="s">
        <v>4243</v>
      </c>
      <c r="H3079" s="25" t="s">
        <v>15373</v>
      </c>
      <c r="I3079" s="22" t="s">
        <v>15382</v>
      </c>
      <c r="J3079" s="22" t="s">
        <v>13225</v>
      </c>
      <c r="K3079" s="26">
        <f t="shared" si="47"/>
        <v>500</v>
      </c>
      <c r="L3079" s="26">
        <v>500</v>
      </c>
      <c r="O3079" s="22" t="s">
        <v>4244</v>
      </c>
      <c r="P3079" s="22" t="s">
        <v>4245</v>
      </c>
      <c r="Q3079" s="22">
        <v>91978</v>
      </c>
      <c r="X3079" s="26"/>
      <c r="Y3079" s="26"/>
    </row>
    <row r="3080" spans="1:25" ht="37.5" x14ac:dyDescent="0.25">
      <c r="A3080" s="21">
        <v>3319</v>
      </c>
      <c r="B3080" s="22" t="s">
        <v>15338</v>
      </c>
      <c r="C3080" s="22" t="s">
        <v>4246</v>
      </c>
      <c r="F3080" s="22">
        <v>974207</v>
      </c>
      <c r="G3080" s="23" t="s">
        <v>4247</v>
      </c>
      <c r="H3080" s="25" t="s">
        <v>15373</v>
      </c>
      <c r="I3080" s="22" t="s">
        <v>15374</v>
      </c>
      <c r="J3080" s="22">
        <v>3508</v>
      </c>
      <c r="K3080" s="26">
        <f t="shared" si="47"/>
        <v>719</v>
      </c>
      <c r="L3080" s="26">
        <v>719</v>
      </c>
      <c r="O3080" s="22" t="s">
        <v>4248</v>
      </c>
      <c r="P3080" s="22" t="s">
        <v>6558</v>
      </c>
      <c r="Q3080" s="22">
        <v>92173</v>
      </c>
      <c r="S3080" s="22" t="s">
        <v>4249</v>
      </c>
      <c r="X3080" s="26"/>
      <c r="Y3080" s="26"/>
    </row>
    <row r="3081" spans="1:25" ht="37.5" x14ac:dyDescent="0.25">
      <c r="A3081" s="21">
        <v>3320</v>
      </c>
      <c r="B3081" s="22" t="s">
        <v>15338</v>
      </c>
      <c r="C3081" s="22" t="s">
        <v>4246</v>
      </c>
      <c r="F3081" s="22">
        <v>900044</v>
      </c>
      <c r="G3081" s="23" t="s">
        <v>4250</v>
      </c>
      <c r="H3081" s="25" t="s">
        <v>15373</v>
      </c>
      <c r="I3081" s="22" t="s">
        <v>15374</v>
      </c>
      <c r="J3081" s="22" t="s">
        <v>4251</v>
      </c>
      <c r="K3081" s="26">
        <f t="shared" si="47"/>
        <v>715</v>
      </c>
      <c r="L3081" s="26">
        <v>715</v>
      </c>
      <c r="O3081" s="22" t="s">
        <v>4248</v>
      </c>
      <c r="P3081" s="22" t="s">
        <v>6558</v>
      </c>
      <c r="Q3081" s="22">
        <v>92173</v>
      </c>
      <c r="S3081" s="22" t="s">
        <v>4249</v>
      </c>
      <c r="X3081" s="26"/>
      <c r="Y3081" s="26"/>
    </row>
    <row r="3082" spans="1:25" ht="37.5" x14ac:dyDescent="0.25">
      <c r="A3082" s="21">
        <v>3321</v>
      </c>
      <c r="B3082" s="22" t="s">
        <v>15338</v>
      </c>
      <c r="C3082" s="22" t="s">
        <v>4246</v>
      </c>
      <c r="F3082" s="22">
        <v>900045</v>
      </c>
      <c r="G3082" s="23" t="s">
        <v>4252</v>
      </c>
      <c r="H3082" s="25" t="s">
        <v>15373</v>
      </c>
      <c r="I3082" s="22" t="s">
        <v>15374</v>
      </c>
      <c r="J3082" s="22" t="s">
        <v>4251</v>
      </c>
      <c r="K3082" s="26">
        <f t="shared" ref="K3082:K3145" si="48">L3082+M3082*(2/3)+N3082*(2/3)</f>
        <v>715</v>
      </c>
      <c r="L3082" s="26">
        <v>715</v>
      </c>
      <c r="O3082" s="22" t="s">
        <v>4248</v>
      </c>
      <c r="P3082" s="22" t="s">
        <v>6558</v>
      </c>
      <c r="Q3082" s="22">
        <v>92173</v>
      </c>
      <c r="S3082" s="22" t="s">
        <v>4249</v>
      </c>
      <c r="X3082" s="26"/>
      <c r="Y3082" s="26"/>
    </row>
    <row r="3083" spans="1:25" ht="50" x14ac:dyDescent="0.25">
      <c r="A3083" s="21">
        <v>3322</v>
      </c>
      <c r="B3083" s="22" t="s">
        <v>15338</v>
      </c>
      <c r="C3083" s="22" t="s">
        <v>4253</v>
      </c>
      <c r="F3083" s="22">
        <v>910758</v>
      </c>
      <c r="G3083" s="23" t="s">
        <v>4254</v>
      </c>
      <c r="H3083" s="25" t="s">
        <v>15373</v>
      </c>
      <c r="I3083" s="22" t="s">
        <v>15374</v>
      </c>
      <c r="J3083" s="22" t="s">
        <v>9175</v>
      </c>
      <c r="K3083" s="26">
        <f t="shared" si="48"/>
        <v>350</v>
      </c>
      <c r="L3083" s="26">
        <v>350</v>
      </c>
      <c r="O3083" s="22" t="s">
        <v>4255</v>
      </c>
      <c r="P3083" s="22" t="s">
        <v>4904</v>
      </c>
      <c r="Q3083" s="22">
        <v>92071</v>
      </c>
      <c r="S3083" s="22" t="s">
        <v>4256</v>
      </c>
      <c r="X3083" s="26"/>
      <c r="Y3083" s="26"/>
    </row>
    <row r="3084" spans="1:25" ht="62.5" x14ac:dyDescent="0.25">
      <c r="A3084" s="21">
        <v>3323</v>
      </c>
      <c r="B3084" s="22" t="s">
        <v>15338</v>
      </c>
      <c r="C3084" s="22" t="s">
        <v>4257</v>
      </c>
      <c r="F3084" s="22">
        <v>950720</v>
      </c>
      <c r="G3084" s="23" t="s">
        <v>4258</v>
      </c>
      <c r="H3084" s="25" t="s">
        <v>15373</v>
      </c>
      <c r="I3084" s="22" t="s">
        <v>15411</v>
      </c>
      <c r="J3084" s="22" t="s">
        <v>15744</v>
      </c>
      <c r="K3084" s="26">
        <f t="shared" si="48"/>
        <v>750</v>
      </c>
      <c r="L3084" s="26">
        <v>750</v>
      </c>
      <c r="O3084" s="22" t="s">
        <v>4259</v>
      </c>
      <c r="P3084" s="22" t="s">
        <v>6558</v>
      </c>
      <c r="Q3084" s="22">
        <v>92101</v>
      </c>
      <c r="S3084" s="22" t="s">
        <v>4239</v>
      </c>
      <c r="X3084" s="26"/>
      <c r="Y3084" s="26"/>
    </row>
    <row r="3085" spans="1:25" ht="25" x14ac:dyDescent="0.25">
      <c r="A3085" s="21">
        <v>3324</v>
      </c>
      <c r="B3085" s="22" t="s">
        <v>15338</v>
      </c>
      <c r="C3085" s="22" t="s">
        <v>4260</v>
      </c>
      <c r="F3085" s="22">
        <v>974406</v>
      </c>
      <c r="G3085" s="23" t="s">
        <v>4261</v>
      </c>
      <c r="H3085" s="25" t="s">
        <v>15373</v>
      </c>
      <c r="I3085" s="22" t="s">
        <v>15374</v>
      </c>
      <c r="J3085" s="22">
        <v>3512</v>
      </c>
      <c r="K3085" s="26">
        <f t="shared" si="48"/>
        <v>1182</v>
      </c>
      <c r="L3085" s="26">
        <v>1182</v>
      </c>
      <c r="O3085" s="22" t="s">
        <v>4262</v>
      </c>
      <c r="P3085" s="22" t="s">
        <v>5387</v>
      </c>
      <c r="Q3085" s="22">
        <v>92083</v>
      </c>
      <c r="X3085" s="26"/>
      <c r="Y3085" s="26"/>
    </row>
    <row r="3086" spans="1:25" ht="25" x14ac:dyDescent="0.25">
      <c r="A3086" s="21">
        <v>3325</v>
      </c>
      <c r="B3086" s="22" t="s">
        <v>15338</v>
      </c>
      <c r="C3086" s="22" t="s">
        <v>4260</v>
      </c>
      <c r="F3086" s="22">
        <v>971147</v>
      </c>
      <c r="G3086" s="23" t="s">
        <v>4263</v>
      </c>
      <c r="H3086" s="25" t="s">
        <v>15373</v>
      </c>
      <c r="I3086" s="22" t="s">
        <v>15374</v>
      </c>
      <c r="J3086" s="22" t="s">
        <v>15460</v>
      </c>
      <c r="K3086" s="26">
        <f t="shared" si="48"/>
        <v>725</v>
      </c>
      <c r="L3086" s="26">
        <v>725</v>
      </c>
      <c r="O3086" s="22" t="s">
        <v>4262</v>
      </c>
      <c r="P3086" s="22" t="s">
        <v>5387</v>
      </c>
      <c r="Q3086" s="22">
        <v>92083</v>
      </c>
      <c r="X3086" s="26"/>
      <c r="Y3086" s="26"/>
    </row>
    <row r="3087" spans="1:25" ht="37.5" x14ac:dyDescent="0.25">
      <c r="A3087" s="21">
        <v>3326</v>
      </c>
      <c r="B3087" s="22" t="s">
        <v>15338</v>
      </c>
      <c r="C3087" s="22" t="s">
        <v>4260</v>
      </c>
      <c r="F3087" s="22">
        <v>911055</v>
      </c>
      <c r="G3087" s="23" t="s">
        <v>4264</v>
      </c>
      <c r="H3087" s="25" t="s">
        <v>15373</v>
      </c>
      <c r="I3087" s="22" t="s">
        <v>15374</v>
      </c>
      <c r="J3087" s="22" t="s">
        <v>16731</v>
      </c>
      <c r="K3087" s="26">
        <f t="shared" si="48"/>
        <v>354</v>
      </c>
      <c r="L3087" s="26">
        <v>354</v>
      </c>
      <c r="O3087" s="22" t="s">
        <v>4265</v>
      </c>
      <c r="P3087" s="22" t="s">
        <v>6558</v>
      </c>
      <c r="Q3087" s="22">
        <v>92101</v>
      </c>
      <c r="S3087" s="22" t="s">
        <v>4266</v>
      </c>
      <c r="X3087" s="26"/>
      <c r="Y3087" s="26"/>
    </row>
    <row r="3088" spans="1:25" ht="37.5" x14ac:dyDescent="0.25">
      <c r="A3088" s="21">
        <v>3327</v>
      </c>
      <c r="B3088" s="22" t="s">
        <v>15338</v>
      </c>
      <c r="C3088" s="22" t="s">
        <v>4260</v>
      </c>
      <c r="F3088" s="22">
        <v>972264</v>
      </c>
      <c r="G3088" s="23" t="s">
        <v>4267</v>
      </c>
      <c r="H3088" s="25" t="s">
        <v>15373</v>
      </c>
      <c r="I3088" s="22" t="s">
        <v>15411</v>
      </c>
      <c r="J3088" s="22" t="s">
        <v>10989</v>
      </c>
      <c r="K3088" s="26">
        <f t="shared" si="48"/>
        <v>418</v>
      </c>
      <c r="L3088" s="26">
        <v>418</v>
      </c>
      <c r="O3088" s="22" t="s">
        <v>4268</v>
      </c>
      <c r="P3088" s="22" t="s">
        <v>6558</v>
      </c>
      <c r="Q3088" s="22">
        <v>92123</v>
      </c>
      <c r="S3088" s="22" t="s">
        <v>4266</v>
      </c>
      <c r="X3088" s="26"/>
      <c r="Y3088" s="26"/>
    </row>
    <row r="3089" spans="1:25" ht="37.5" x14ac:dyDescent="0.25">
      <c r="A3089" s="21">
        <v>3328</v>
      </c>
      <c r="B3089" s="22" t="s">
        <v>15338</v>
      </c>
      <c r="C3089" s="22" t="s">
        <v>4260</v>
      </c>
      <c r="F3089" s="22">
        <v>972265</v>
      </c>
      <c r="G3089" s="23" t="s">
        <v>4269</v>
      </c>
      <c r="H3089" s="25" t="s">
        <v>15373</v>
      </c>
      <c r="I3089" s="22" t="s">
        <v>15411</v>
      </c>
      <c r="J3089" s="22" t="s">
        <v>10989</v>
      </c>
      <c r="K3089" s="26">
        <f t="shared" si="48"/>
        <v>418</v>
      </c>
      <c r="L3089" s="26">
        <v>418</v>
      </c>
      <c r="O3089" s="22" t="s">
        <v>4268</v>
      </c>
      <c r="P3089" s="22" t="s">
        <v>6558</v>
      </c>
      <c r="Q3089" s="22">
        <v>92123</v>
      </c>
      <c r="S3089" s="22" t="s">
        <v>4266</v>
      </c>
      <c r="X3089" s="26"/>
      <c r="Y3089" s="26"/>
    </row>
    <row r="3090" spans="1:25" ht="37.5" x14ac:dyDescent="0.25">
      <c r="A3090" s="21">
        <v>3329</v>
      </c>
      <c r="B3090" s="22" t="s">
        <v>15338</v>
      </c>
      <c r="C3090" s="22" t="s">
        <v>4260</v>
      </c>
      <c r="F3090" s="22">
        <v>974644</v>
      </c>
      <c r="G3090" s="23" t="s">
        <v>4270</v>
      </c>
      <c r="H3090" s="25" t="s">
        <v>15373</v>
      </c>
      <c r="I3090" s="22" t="s">
        <v>15411</v>
      </c>
      <c r="J3090" s="22" t="s">
        <v>4271</v>
      </c>
      <c r="K3090" s="26">
        <f t="shared" si="48"/>
        <v>300</v>
      </c>
      <c r="L3090" s="26">
        <v>300</v>
      </c>
      <c r="O3090" s="22" t="s">
        <v>4268</v>
      </c>
      <c r="P3090" s="22" t="s">
        <v>6558</v>
      </c>
      <c r="Q3090" s="22">
        <v>92123</v>
      </c>
      <c r="S3090" s="22" t="s">
        <v>4266</v>
      </c>
      <c r="X3090" s="26"/>
      <c r="Y3090" s="26"/>
    </row>
    <row r="3091" spans="1:25" ht="37.5" x14ac:dyDescent="0.25">
      <c r="A3091" s="21">
        <v>3330</v>
      </c>
      <c r="B3091" s="22" t="s">
        <v>15338</v>
      </c>
      <c r="C3091" s="22" t="s">
        <v>4272</v>
      </c>
      <c r="F3091" s="22">
        <v>900999</v>
      </c>
      <c r="G3091" s="23" t="s">
        <v>4273</v>
      </c>
      <c r="H3091" s="25" t="s">
        <v>15373</v>
      </c>
      <c r="I3091" s="22" t="s">
        <v>15374</v>
      </c>
      <c r="J3091" s="22" t="s">
        <v>16561</v>
      </c>
      <c r="K3091" s="26">
        <f t="shared" si="48"/>
        <v>365</v>
      </c>
      <c r="L3091" s="26">
        <v>365</v>
      </c>
      <c r="O3091" s="22" t="s">
        <v>4274</v>
      </c>
      <c r="P3091" s="22" t="s">
        <v>6558</v>
      </c>
      <c r="Q3091" s="22">
        <v>92123</v>
      </c>
      <c r="S3091" s="22" t="s">
        <v>4275</v>
      </c>
      <c r="X3091" s="26"/>
      <c r="Y3091" s="26"/>
    </row>
    <row r="3092" spans="1:25" ht="37.5" x14ac:dyDescent="0.25">
      <c r="A3092" s="21">
        <v>3331</v>
      </c>
      <c r="B3092" s="22" t="s">
        <v>15338</v>
      </c>
      <c r="C3092" s="22" t="s">
        <v>4276</v>
      </c>
      <c r="F3092" s="22">
        <v>910363</v>
      </c>
      <c r="G3092" s="23" t="s">
        <v>4277</v>
      </c>
      <c r="H3092" s="25" t="s">
        <v>15373</v>
      </c>
      <c r="I3092" s="22" t="s">
        <v>15374</v>
      </c>
      <c r="J3092" s="22" t="s">
        <v>15420</v>
      </c>
      <c r="K3092" s="26">
        <f t="shared" si="48"/>
        <v>1100</v>
      </c>
      <c r="L3092" s="26">
        <v>1100</v>
      </c>
      <c r="O3092" s="22" t="s">
        <v>4278</v>
      </c>
      <c r="P3092" s="22" t="s">
        <v>5486</v>
      </c>
      <c r="Q3092" s="22">
        <v>92020</v>
      </c>
      <c r="S3092" s="22" t="s">
        <v>4266</v>
      </c>
      <c r="X3092" s="26"/>
      <c r="Y3092" s="26"/>
    </row>
    <row r="3093" spans="1:25" ht="37.5" x14ac:dyDescent="0.25">
      <c r="A3093" s="21">
        <v>3332</v>
      </c>
      <c r="B3093" s="22" t="s">
        <v>15338</v>
      </c>
      <c r="C3093" s="22" t="s">
        <v>4276</v>
      </c>
      <c r="F3093" s="22">
        <v>975725</v>
      </c>
      <c r="G3093" s="23" t="s">
        <v>4279</v>
      </c>
      <c r="H3093" s="25" t="s">
        <v>15373</v>
      </c>
      <c r="I3093" s="22" t="s">
        <v>15382</v>
      </c>
      <c r="J3093" s="22" t="s">
        <v>5145</v>
      </c>
      <c r="K3093" s="26">
        <f t="shared" si="48"/>
        <v>491</v>
      </c>
      <c r="L3093" s="26">
        <v>491</v>
      </c>
      <c r="O3093" s="22" t="s">
        <v>4278</v>
      </c>
      <c r="P3093" s="22" t="s">
        <v>5486</v>
      </c>
      <c r="Q3093" s="22">
        <v>92020</v>
      </c>
      <c r="S3093" s="22" t="s">
        <v>4266</v>
      </c>
      <c r="X3093" s="26"/>
      <c r="Y3093" s="26"/>
    </row>
    <row r="3094" spans="1:25" ht="62.5" x14ac:dyDescent="0.25">
      <c r="A3094" s="21">
        <v>3333</v>
      </c>
      <c r="B3094" s="22" t="s">
        <v>15338</v>
      </c>
      <c r="C3094" s="22" t="s">
        <v>4280</v>
      </c>
      <c r="F3094" s="22">
        <v>30835</v>
      </c>
      <c r="G3094" s="23" t="s">
        <v>5252</v>
      </c>
      <c r="H3094" s="25" t="s">
        <v>15373</v>
      </c>
      <c r="I3094" s="22" t="s">
        <v>15382</v>
      </c>
      <c r="J3094" s="22" t="s">
        <v>5253</v>
      </c>
      <c r="K3094" s="26">
        <f t="shared" si="48"/>
        <v>595</v>
      </c>
      <c r="L3094" s="26">
        <v>595</v>
      </c>
      <c r="O3094" s="22" t="s">
        <v>5254</v>
      </c>
      <c r="P3094" s="22" t="s">
        <v>5408</v>
      </c>
      <c r="Q3094" s="22">
        <v>91910</v>
      </c>
      <c r="S3094" s="22" t="s">
        <v>5255</v>
      </c>
      <c r="X3094" s="26"/>
      <c r="Y3094" s="26"/>
    </row>
    <row r="3095" spans="1:25" ht="37.5" x14ac:dyDescent="0.25">
      <c r="A3095" s="21">
        <v>3334</v>
      </c>
      <c r="B3095" s="22" t="s">
        <v>15338</v>
      </c>
      <c r="C3095" s="22" t="s">
        <v>5256</v>
      </c>
      <c r="F3095" s="22">
        <v>910834</v>
      </c>
      <c r="G3095" s="23" t="s">
        <v>5257</v>
      </c>
      <c r="H3095" s="25" t="s">
        <v>15373</v>
      </c>
      <c r="I3095" s="22" t="s">
        <v>15411</v>
      </c>
      <c r="J3095" s="22" t="s">
        <v>16462</v>
      </c>
      <c r="K3095" s="26">
        <f t="shared" si="48"/>
        <v>900</v>
      </c>
      <c r="L3095" s="26">
        <v>900</v>
      </c>
      <c r="O3095" s="22" t="s">
        <v>5258</v>
      </c>
      <c r="P3095" s="22" t="s">
        <v>6558</v>
      </c>
      <c r="Q3095" s="22">
        <v>92117</v>
      </c>
      <c r="S3095" s="22" t="s">
        <v>5259</v>
      </c>
      <c r="X3095" s="26"/>
      <c r="Y3095" s="26"/>
    </row>
    <row r="3096" spans="1:25" ht="25" x14ac:dyDescent="0.25">
      <c r="A3096" s="21">
        <v>3335</v>
      </c>
      <c r="B3096" s="22" t="s">
        <v>15338</v>
      </c>
      <c r="C3096" s="22" t="s">
        <v>5260</v>
      </c>
      <c r="F3096" s="22">
        <v>890861</v>
      </c>
      <c r="G3096" s="23" t="s">
        <v>5261</v>
      </c>
      <c r="H3096" s="25" t="s">
        <v>15373</v>
      </c>
      <c r="I3096" s="22" t="s">
        <v>15374</v>
      </c>
      <c r="J3096" s="22" t="s">
        <v>14076</v>
      </c>
      <c r="K3096" s="26">
        <f t="shared" si="48"/>
        <v>539</v>
      </c>
      <c r="L3096" s="26">
        <v>539</v>
      </c>
      <c r="O3096" s="22" t="s">
        <v>5262</v>
      </c>
      <c r="P3096" s="22" t="s">
        <v>6558</v>
      </c>
      <c r="Q3096" s="22">
        <v>92110</v>
      </c>
      <c r="S3096" s="22" t="s">
        <v>5263</v>
      </c>
      <c r="X3096" s="26"/>
      <c r="Y3096" s="26"/>
    </row>
    <row r="3097" spans="1:25" ht="62.5" x14ac:dyDescent="0.25">
      <c r="A3097" s="21">
        <v>3336</v>
      </c>
      <c r="B3097" s="22" t="s">
        <v>15338</v>
      </c>
      <c r="C3097" s="22" t="s">
        <v>5264</v>
      </c>
      <c r="F3097" s="22">
        <v>930026</v>
      </c>
      <c r="G3097" s="23" t="s">
        <v>5265</v>
      </c>
      <c r="H3097" s="25" t="s">
        <v>15373</v>
      </c>
      <c r="I3097" s="22" t="s">
        <v>15382</v>
      </c>
      <c r="J3097" s="22" t="s">
        <v>16811</v>
      </c>
      <c r="K3097" s="26">
        <f t="shared" si="48"/>
        <v>350</v>
      </c>
      <c r="L3097" s="26">
        <v>350</v>
      </c>
      <c r="O3097" s="22" t="s">
        <v>5266</v>
      </c>
      <c r="P3097" s="22" t="s">
        <v>5267</v>
      </c>
      <c r="Q3097" s="22">
        <v>92025</v>
      </c>
      <c r="S3097" s="22" t="s">
        <v>5268</v>
      </c>
      <c r="X3097" s="26"/>
      <c r="Y3097" s="26"/>
    </row>
    <row r="3098" spans="1:25" ht="37.5" x14ac:dyDescent="0.25">
      <c r="A3098" s="21">
        <v>3337</v>
      </c>
      <c r="B3098" s="22" t="s">
        <v>15338</v>
      </c>
      <c r="C3098" s="22" t="s">
        <v>5269</v>
      </c>
      <c r="F3098" s="22">
        <v>890450</v>
      </c>
      <c r="G3098" s="23" t="s">
        <v>5270</v>
      </c>
      <c r="H3098" s="25" t="s">
        <v>15373</v>
      </c>
      <c r="I3098" s="22" t="s">
        <v>15382</v>
      </c>
      <c r="J3098" s="22" t="s">
        <v>5271</v>
      </c>
      <c r="K3098" s="26">
        <f t="shared" si="48"/>
        <v>1025</v>
      </c>
      <c r="L3098" s="26">
        <v>1025</v>
      </c>
      <c r="O3098" s="22" t="s">
        <v>5272</v>
      </c>
      <c r="P3098" s="22" t="s">
        <v>6558</v>
      </c>
      <c r="Q3098" s="22">
        <v>92101</v>
      </c>
      <c r="S3098" s="22" t="s">
        <v>5273</v>
      </c>
      <c r="X3098" s="26"/>
      <c r="Y3098" s="26"/>
    </row>
    <row r="3099" spans="1:25" ht="37.5" x14ac:dyDescent="0.25">
      <c r="A3099" s="21">
        <v>3338</v>
      </c>
      <c r="B3099" s="22" t="s">
        <v>15338</v>
      </c>
      <c r="C3099" s="22" t="s">
        <v>5269</v>
      </c>
      <c r="F3099" s="22">
        <v>975722</v>
      </c>
      <c r="G3099" s="23" t="s">
        <v>5274</v>
      </c>
      <c r="H3099" s="25" t="s">
        <v>15373</v>
      </c>
      <c r="I3099" s="22" t="s">
        <v>15411</v>
      </c>
      <c r="J3099" s="22" t="s">
        <v>5275</v>
      </c>
      <c r="K3099" s="26">
        <f t="shared" si="48"/>
        <v>780</v>
      </c>
      <c r="L3099" s="26">
        <v>780</v>
      </c>
      <c r="O3099" s="22" t="s">
        <v>5272</v>
      </c>
      <c r="P3099" s="22" t="s">
        <v>6558</v>
      </c>
      <c r="Q3099" s="22">
        <v>92101</v>
      </c>
      <c r="S3099" s="22" t="s">
        <v>5273</v>
      </c>
      <c r="X3099" s="26"/>
      <c r="Y3099" s="26"/>
    </row>
    <row r="3100" spans="1:25" ht="37.5" x14ac:dyDescent="0.25">
      <c r="A3100" s="21">
        <v>3339</v>
      </c>
      <c r="B3100" s="22" t="s">
        <v>15338</v>
      </c>
      <c r="C3100" s="22" t="s">
        <v>5276</v>
      </c>
      <c r="F3100" s="22">
        <v>901015</v>
      </c>
      <c r="G3100" s="23" t="s">
        <v>5277</v>
      </c>
      <c r="H3100" s="25" t="s">
        <v>15373</v>
      </c>
      <c r="I3100" s="22" t="s">
        <v>15374</v>
      </c>
      <c r="J3100" s="22" t="s">
        <v>16561</v>
      </c>
      <c r="K3100" s="26">
        <f t="shared" si="48"/>
        <v>315</v>
      </c>
      <c r="L3100" s="26">
        <v>315</v>
      </c>
      <c r="O3100" s="22" t="s">
        <v>5278</v>
      </c>
      <c r="P3100" s="22" t="s">
        <v>6558</v>
      </c>
      <c r="Q3100" s="22">
        <v>92103</v>
      </c>
      <c r="S3100" s="22" t="s">
        <v>5279</v>
      </c>
      <c r="X3100" s="26"/>
      <c r="Y3100" s="26"/>
    </row>
    <row r="3101" spans="1:25" ht="25" x14ac:dyDescent="0.25">
      <c r="A3101" s="21">
        <v>3340</v>
      </c>
      <c r="B3101" s="22" t="s">
        <v>15338</v>
      </c>
      <c r="C3101" s="22" t="s">
        <v>5280</v>
      </c>
      <c r="F3101" s="22">
        <v>870525</v>
      </c>
      <c r="G3101" s="23" t="s">
        <v>5281</v>
      </c>
      <c r="H3101" s="25" t="s">
        <v>15373</v>
      </c>
      <c r="I3101" s="22" t="s">
        <v>15374</v>
      </c>
      <c r="J3101" s="22">
        <v>3412</v>
      </c>
      <c r="K3101" s="26">
        <f t="shared" si="48"/>
        <v>600</v>
      </c>
      <c r="L3101" s="26">
        <v>600</v>
      </c>
      <c r="O3101" s="22" t="s">
        <v>5282</v>
      </c>
      <c r="P3101" s="22" t="s">
        <v>6558</v>
      </c>
      <c r="Q3101" s="22">
        <v>92101</v>
      </c>
      <c r="S3101" s="22" t="s">
        <v>5283</v>
      </c>
      <c r="X3101" s="26"/>
      <c r="Y3101" s="26"/>
    </row>
    <row r="3102" spans="1:25" ht="25" x14ac:dyDescent="0.25">
      <c r="A3102" s="21">
        <v>3341</v>
      </c>
      <c r="B3102" s="22" t="s">
        <v>15338</v>
      </c>
      <c r="C3102" s="22" t="s">
        <v>5280</v>
      </c>
      <c r="F3102" s="22">
        <v>30681</v>
      </c>
      <c r="G3102" s="23" t="s">
        <v>5284</v>
      </c>
      <c r="H3102" s="25" t="s">
        <v>15373</v>
      </c>
      <c r="I3102" s="22" t="s">
        <v>15382</v>
      </c>
      <c r="J3102" s="22" t="s">
        <v>5285</v>
      </c>
      <c r="K3102" s="26">
        <f t="shared" si="48"/>
        <v>600</v>
      </c>
      <c r="L3102" s="26">
        <v>600</v>
      </c>
      <c r="O3102" s="22" t="s">
        <v>5282</v>
      </c>
      <c r="P3102" s="22" t="s">
        <v>6558</v>
      </c>
      <c r="Q3102" s="22">
        <v>92101</v>
      </c>
      <c r="S3102" s="22" t="s">
        <v>5283</v>
      </c>
      <c r="X3102" s="26"/>
      <c r="Y3102" s="26"/>
    </row>
    <row r="3103" spans="1:25" ht="25" x14ac:dyDescent="0.25">
      <c r="A3103" s="21">
        <v>3342</v>
      </c>
      <c r="B3103" s="22" t="s">
        <v>15338</v>
      </c>
      <c r="C3103" s="22" t="s">
        <v>5286</v>
      </c>
      <c r="F3103" s="22">
        <v>971241</v>
      </c>
      <c r="G3103" s="23" t="s">
        <v>5287</v>
      </c>
      <c r="H3103" s="25" t="s">
        <v>15373</v>
      </c>
      <c r="I3103" s="22" t="s">
        <v>15411</v>
      </c>
      <c r="J3103" s="22" t="s">
        <v>15451</v>
      </c>
      <c r="K3103" s="26">
        <f t="shared" si="48"/>
        <v>500</v>
      </c>
      <c r="L3103" s="26">
        <v>500</v>
      </c>
      <c r="O3103" s="22" t="s">
        <v>5288</v>
      </c>
      <c r="P3103" s="22" t="s">
        <v>6558</v>
      </c>
      <c r="Q3103" s="22">
        <v>92105</v>
      </c>
      <c r="X3103" s="26"/>
      <c r="Y3103" s="26"/>
    </row>
    <row r="3104" spans="1:25" ht="37.5" x14ac:dyDescent="0.25">
      <c r="A3104" s="21">
        <v>3343</v>
      </c>
      <c r="B3104" s="22" t="s">
        <v>15338</v>
      </c>
      <c r="C3104" s="22" t="s">
        <v>5289</v>
      </c>
      <c r="F3104" s="22">
        <v>961940</v>
      </c>
      <c r="G3104" s="23" t="s">
        <v>5290</v>
      </c>
      <c r="H3104" s="25" t="s">
        <v>15373</v>
      </c>
      <c r="I3104" s="22" t="s">
        <v>15374</v>
      </c>
      <c r="J3104" s="22" t="s">
        <v>16869</v>
      </c>
      <c r="K3104" s="26">
        <f t="shared" si="48"/>
        <v>582</v>
      </c>
      <c r="L3104" s="26">
        <v>582</v>
      </c>
      <c r="O3104" s="22" t="s">
        <v>5291</v>
      </c>
      <c r="P3104" s="22" t="s">
        <v>6558</v>
      </c>
      <c r="Q3104" s="22">
        <v>92182</v>
      </c>
      <c r="S3104" s="22" t="s">
        <v>5292</v>
      </c>
      <c r="X3104" s="26"/>
      <c r="Y3104" s="26"/>
    </row>
    <row r="3105" spans="1:25" ht="37.5" x14ac:dyDescent="0.25">
      <c r="A3105" s="21">
        <v>3344</v>
      </c>
      <c r="B3105" s="22" t="s">
        <v>15338</v>
      </c>
      <c r="C3105" s="22" t="s">
        <v>5289</v>
      </c>
      <c r="F3105" s="22">
        <v>971093</v>
      </c>
      <c r="G3105" s="23" t="s">
        <v>5293</v>
      </c>
      <c r="H3105" s="25" t="s">
        <v>15373</v>
      </c>
      <c r="I3105" s="22" t="s">
        <v>15374</v>
      </c>
      <c r="J3105" s="22" t="s">
        <v>16561</v>
      </c>
      <c r="K3105" s="26">
        <f t="shared" si="48"/>
        <v>382</v>
      </c>
      <c r="L3105" s="26">
        <v>382</v>
      </c>
      <c r="O3105" s="22" t="s">
        <v>5291</v>
      </c>
      <c r="P3105" s="22" t="s">
        <v>6558</v>
      </c>
      <c r="Q3105" s="22">
        <v>92182</v>
      </c>
      <c r="S3105" s="22" t="s">
        <v>5292</v>
      </c>
      <c r="X3105" s="26"/>
      <c r="Y3105" s="26"/>
    </row>
    <row r="3106" spans="1:25" ht="37.5" x14ac:dyDescent="0.25">
      <c r="A3106" s="21">
        <v>3345</v>
      </c>
      <c r="B3106" s="22" t="s">
        <v>15338</v>
      </c>
      <c r="C3106" s="22" t="s">
        <v>5289</v>
      </c>
      <c r="F3106" s="22">
        <v>951138</v>
      </c>
      <c r="G3106" s="23" t="s">
        <v>5294</v>
      </c>
      <c r="H3106" s="25" t="s">
        <v>15373</v>
      </c>
      <c r="I3106" s="22" t="s">
        <v>15374</v>
      </c>
      <c r="J3106" s="22" t="s">
        <v>16561</v>
      </c>
      <c r="K3106" s="26">
        <f t="shared" si="48"/>
        <v>373</v>
      </c>
      <c r="L3106" s="26">
        <v>373</v>
      </c>
      <c r="O3106" s="22" t="s">
        <v>5291</v>
      </c>
      <c r="P3106" s="22" t="s">
        <v>6558</v>
      </c>
      <c r="Q3106" s="22">
        <v>92182</v>
      </c>
      <c r="S3106" s="22" t="s">
        <v>5292</v>
      </c>
      <c r="X3106" s="26"/>
      <c r="Y3106" s="26"/>
    </row>
    <row r="3107" spans="1:25" ht="37.5" x14ac:dyDescent="0.25">
      <c r="A3107" s="21">
        <v>3346</v>
      </c>
      <c r="B3107" s="22" t="s">
        <v>15338</v>
      </c>
      <c r="C3107" s="22" t="s">
        <v>5289</v>
      </c>
      <c r="F3107" s="22">
        <v>970555</v>
      </c>
      <c r="G3107" s="23" t="s">
        <v>5295</v>
      </c>
      <c r="H3107" s="25" t="s">
        <v>15373</v>
      </c>
      <c r="I3107" s="22" t="s">
        <v>15411</v>
      </c>
      <c r="J3107" s="22" t="s">
        <v>15412</v>
      </c>
      <c r="K3107" s="26">
        <f t="shared" si="48"/>
        <v>540</v>
      </c>
      <c r="L3107" s="26">
        <v>540</v>
      </c>
      <c r="O3107" s="22" t="s">
        <v>5291</v>
      </c>
      <c r="P3107" s="22" t="s">
        <v>6558</v>
      </c>
      <c r="Q3107" s="22">
        <v>92182</v>
      </c>
      <c r="S3107" s="22" t="s">
        <v>5292</v>
      </c>
      <c r="X3107" s="26"/>
      <c r="Y3107" s="26"/>
    </row>
    <row r="3108" spans="1:25" ht="37.5" x14ac:dyDescent="0.25">
      <c r="A3108" s="21">
        <v>3347</v>
      </c>
      <c r="B3108" s="22" t="s">
        <v>15338</v>
      </c>
      <c r="C3108" s="22" t="s">
        <v>5289</v>
      </c>
      <c r="F3108" s="22">
        <v>971095</v>
      </c>
      <c r="G3108" s="23" t="s">
        <v>5296</v>
      </c>
      <c r="H3108" s="25" t="s">
        <v>15373</v>
      </c>
      <c r="I3108" s="22" t="s">
        <v>15411</v>
      </c>
      <c r="J3108" s="22" t="s">
        <v>5297</v>
      </c>
      <c r="K3108" s="26">
        <f t="shared" si="48"/>
        <v>308</v>
      </c>
      <c r="L3108" s="26">
        <v>308</v>
      </c>
      <c r="O3108" s="22" t="s">
        <v>5291</v>
      </c>
      <c r="P3108" s="22" t="s">
        <v>6558</v>
      </c>
      <c r="Q3108" s="22">
        <v>92182</v>
      </c>
      <c r="S3108" s="22" t="s">
        <v>5292</v>
      </c>
      <c r="X3108" s="26"/>
      <c r="Y3108" s="26"/>
    </row>
    <row r="3109" spans="1:25" ht="62.5" x14ac:dyDescent="0.25">
      <c r="A3109" s="21">
        <v>3348</v>
      </c>
      <c r="B3109" s="22" t="s">
        <v>15338</v>
      </c>
      <c r="C3109" s="22" t="s">
        <v>5298</v>
      </c>
      <c r="F3109" s="22">
        <v>900343</v>
      </c>
      <c r="G3109" s="23" t="s">
        <v>5299</v>
      </c>
      <c r="H3109" s="25" t="s">
        <v>15373</v>
      </c>
      <c r="I3109" s="22" t="s">
        <v>15411</v>
      </c>
      <c r="J3109" s="22" t="s">
        <v>12262</v>
      </c>
      <c r="K3109" s="26">
        <f t="shared" si="48"/>
        <v>1200</v>
      </c>
      <c r="L3109" s="26">
        <v>1200</v>
      </c>
      <c r="O3109" s="22" t="s">
        <v>5300</v>
      </c>
      <c r="P3109" s="22" t="s">
        <v>6558</v>
      </c>
      <c r="Q3109" s="22">
        <v>92101</v>
      </c>
      <c r="S3109" s="22" t="s">
        <v>5301</v>
      </c>
      <c r="X3109" s="26"/>
      <c r="Y3109" s="26"/>
    </row>
    <row r="3110" spans="1:25" ht="37.5" x14ac:dyDescent="0.25">
      <c r="A3110" s="21">
        <v>3349</v>
      </c>
      <c r="B3110" s="22" t="s">
        <v>15338</v>
      </c>
      <c r="C3110" s="22" t="s">
        <v>5302</v>
      </c>
      <c r="F3110" s="22">
        <v>961289</v>
      </c>
      <c r="G3110" s="23" t="s">
        <v>5303</v>
      </c>
      <c r="H3110" s="25" t="s">
        <v>15373</v>
      </c>
      <c r="I3110" s="22" t="s">
        <v>15374</v>
      </c>
      <c r="J3110" s="22" t="s">
        <v>15701</v>
      </c>
      <c r="K3110" s="26">
        <f t="shared" si="48"/>
        <v>337</v>
      </c>
      <c r="L3110" s="26">
        <v>337</v>
      </c>
      <c r="O3110" s="22" t="s">
        <v>5304</v>
      </c>
      <c r="P3110" s="22" t="s">
        <v>6558</v>
      </c>
      <c r="Q3110" s="22">
        <v>92101</v>
      </c>
      <c r="S3110" s="22" t="s">
        <v>5305</v>
      </c>
      <c r="X3110" s="26"/>
      <c r="Y3110" s="26"/>
    </row>
    <row r="3111" spans="1:25" ht="37.5" x14ac:dyDescent="0.25">
      <c r="A3111" s="21">
        <v>3350</v>
      </c>
      <c r="B3111" s="22" t="s">
        <v>15338</v>
      </c>
      <c r="C3111" s="22" t="s">
        <v>5302</v>
      </c>
      <c r="F3111" s="22">
        <v>961834</v>
      </c>
      <c r="G3111" s="23" t="s">
        <v>5306</v>
      </c>
      <c r="H3111" s="25" t="s">
        <v>15373</v>
      </c>
      <c r="I3111" s="22" t="s">
        <v>15382</v>
      </c>
      <c r="J3111" s="22" t="s">
        <v>14562</v>
      </c>
      <c r="K3111" s="26">
        <f t="shared" si="48"/>
        <v>585</v>
      </c>
      <c r="L3111" s="26">
        <v>585</v>
      </c>
      <c r="O3111" s="22" t="s">
        <v>5304</v>
      </c>
      <c r="P3111" s="22" t="s">
        <v>6558</v>
      </c>
      <c r="Q3111" s="22">
        <v>92101</v>
      </c>
      <c r="S3111" s="22" t="s">
        <v>5305</v>
      </c>
      <c r="X3111" s="26"/>
      <c r="Y3111" s="26"/>
    </row>
    <row r="3112" spans="1:25" ht="37.5" x14ac:dyDescent="0.25">
      <c r="A3112" s="21">
        <v>3351</v>
      </c>
      <c r="B3112" s="22" t="s">
        <v>15338</v>
      </c>
      <c r="C3112" s="22" t="s">
        <v>5302</v>
      </c>
      <c r="F3112" s="22">
        <v>961816</v>
      </c>
      <c r="G3112" s="23" t="s">
        <v>5307</v>
      </c>
      <c r="H3112" s="25" t="s">
        <v>15373</v>
      </c>
      <c r="I3112" s="22" t="s">
        <v>15411</v>
      </c>
      <c r="J3112" s="22" t="s">
        <v>12508</v>
      </c>
      <c r="K3112" s="26">
        <f t="shared" si="48"/>
        <v>488</v>
      </c>
      <c r="L3112" s="26">
        <v>488</v>
      </c>
      <c r="O3112" s="22" t="s">
        <v>5304</v>
      </c>
      <c r="P3112" s="22" t="s">
        <v>6558</v>
      </c>
      <c r="Q3112" s="22">
        <v>92101</v>
      </c>
      <c r="S3112" s="22" t="s">
        <v>5305</v>
      </c>
      <c r="X3112" s="26"/>
      <c r="Y3112" s="26"/>
    </row>
    <row r="3113" spans="1:25" ht="37.5" x14ac:dyDescent="0.25">
      <c r="A3113" s="21">
        <v>3352</v>
      </c>
      <c r="B3113" s="22" t="s">
        <v>15338</v>
      </c>
      <c r="C3113" s="22" t="s">
        <v>5302</v>
      </c>
      <c r="F3113" s="22">
        <v>972648</v>
      </c>
      <c r="G3113" s="23" t="s">
        <v>5308</v>
      </c>
      <c r="H3113" s="25" t="s">
        <v>15373</v>
      </c>
      <c r="I3113" s="22" t="s">
        <v>15411</v>
      </c>
      <c r="J3113" s="22" t="s">
        <v>16884</v>
      </c>
      <c r="K3113" s="26">
        <f t="shared" si="48"/>
        <v>423</v>
      </c>
      <c r="L3113" s="26">
        <v>423</v>
      </c>
      <c r="O3113" s="22" t="s">
        <v>5304</v>
      </c>
      <c r="P3113" s="22" t="s">
        <v>6558</v>
      </c>
      <c r="Q3113" s="22">
        <v>92101</v>
      </c>
      <c r="S3113" s="22" t="s">
        <v>5305</v>
      </c>
      <c r="X3113" s="26"/>
      <c r="Y3113" s="26"/>
    </row>
    <row r="3114" spans="1:25" ht="37.5" x14ac:dyDescent="0.25">
      <c r="A3114" s="21">
        <v>3353</v>
      </c>
      <c r="B3114" s="22" t="s">
        <v>15338</v>
      </c>
      <c r="C3114" s="22" t="s">
        <v>5309</v>
      </c>
      <c r="F3114" s="22">
        <v>975137</v>
      </c>
      <c r="G3114" s="23" t="s">
        <v>5310</v>
      </c>
      <c r="H3114" s="25" t="s">
        <v>15373</v>
      </c>
      <c r="I3114" s="22" t="s">
        <v>15374</v>
      </c>
      <c r="J3114" s="22" t="s">
        <v>5462</v>
      </c>
      <c r="K3114" s="26">
        <f t="shared" si="48"/>
        <v>2000</v>
      </c>
      <c r="L3114" s="26">
        <v>2000</v>
      </c>
      <c r="O3114" s="22" t="s">
        <v>5311</v>
      </c>
      <c r="P3114" s="22" t="s">
        <v>5561</v>
      </c>
      <c r="Q3114" s="22">
        <v>92027</v>
      </c>
      <c r="X3114" s="26"/>
      <c r="Y3114" s="26"/>
    </row>
    <row r="3115" spans="1:25" ht="25" x14ac:dyDescent="0.25">
      <c r="A3115" s="21">
        <v>3354</v>
      </c>
      <c r="B3115" s="22" t="s">
        <v>15338</v>
      </c>
      <c r="C3115" s="22" t="s">
        <v>5309</v>
      </c>
      <c r="F3115" s="22">
        <v>970966</v>
      </c>
      <c r="G3115" s="23" t="s">
        <v>5312</v>
      </c>
      <c r="H3115" s="25" t="s">
        <v>15373</v>
      </c>
      <c r="I3115" s="22" t="s">
        <v>15374</v>
      </c>
      <c r="J3115" s="22" t="s">
        <v>16121</v>
      </c>
      <c r="K3115" s="26">
        <f t="shared" si="48"/>
        <v>600</v>
      </c>
      <c r="L3115" s="26">
        <v>600</v>
      </c>
      <c r="O3115" s="22" t="s">
        <v>5311</v>
      </c>
      <c r="P3115" s="22" t="s">
        <v>5561</v>
      </c>
      <c r="Q3115" s="22">
        <v>92027</v>
      </c>
      <c r="X3115" s="26"/>
      <c r="Y3115" s="26"/>
    </row>
    <row r="3116" spans="1:25" ht="37.5" x14ac:dyDescent="0.25">
      <c r="A3116" s="21">
        <v>3355</v>
      </c>
      <c r="B3116" s="22" t="s">
        <v>15338</v>
      </c>
      <c r="C3116" s="22" t="s">
        <v>5313</v>
      </c>
      <c r="F3116" s="22">
        <v>972540</v>
      </c>
      <c r="G3116" s="23" t="s">
        <v>5314</v>
      </c>
      <c r="H3116" s="25" t="s">
        <v>15373</v>
      </c>
      <c r="I3116" s="22" t="s">
        <v>15411</v>
      </c>
      <c r="J3116" s="22" t="s">
        <v>17698</v>
      </c>
      <c r="K3116" s="26">
        <f t="shared" si="48"/>
        <v>300</v>
      </c>
      <c r="L3116" s="26">
        <v>300</v>
      </c>
      <c r="O3116" s="22" t="s">
        <v>5315</v>
      </c>
      <c r="P3116" s="22" t="s">
        <v>6558</v>
      </c>
      <c r="Q3116" s="22">
        <v>92123</v>
      </c>
      <c r="X3116" s="26"/>
      <c r="Y3116" s="26"/>
    </row>
    <row r="3117" spans="1:25" ht="50" x14ac:dyDescent="0.25">
      <c r="A3117" s="21">
        <v>3356</v>
      </c>
      <c r="B3117" s="22" t="s">
        <v>15338</v>
      </c>
      <c r="C3117" s="22" t="s">
        <v>5316</v>
      </c>
      <c r="F3117" s="22">
        <v>7280</v>
      </c>
      <c r="G3117" s="23" t="s">
        <v>5317</v>
      </c>
      <c r="H3117" s="25" t="s">
        <v>15373</v>
      </c>
      <c r="I3117" s="22" t="s">
        <v>15382</v>
      </c>
      <c r="J3117" s="22" t="s">
        <v>11252</v>
      </c>
      <c r="K3117" s="26">
        <f t="shared" si="48"/>
        <v>500</v>
      </c>
      <c r="L3117" s="26">
        <v>500</v>
      </c>
      <c r="O3117" s="22" t="s">
        <v>5318</v>
      </c>
      <c r="P3117" s="22" t="s">
        <v>6558</v>
      </c>
      <c r="Q3117" s="22">
        <v>92123</v>
      </c>
      <c r="S3117" s="22" t="s">
        <v>5319</v>
      </c>
      <c r="X3117" s="26"/>
      <c r="Y3117" s="26"/>
    </row>
    <row r="3118" spans="1:25" ht="50" x14ac:dyDescent="0.25">
      <c r="A3118" s="21">
        <v>3357</v>
      </c>
      <c r="B3118" s="22" t="s">
        <v>15338</v>
      </c>
      <c r="C3118" s="22" t="s">
        <v>5316</v>
      </c>
      <c r="F3118" s="22">
        <v>930650</v>
      </c>
      <c r="G3118" s="23" t="s">
        <v>5320</v>
      </c>
      <c r="H3118" s="25" t="s">
        <v>15373</v>
      </c>
      <c r="I3118" s="22" t="s">
        <v>15411</v>
      </c>
      <c r="J3118" s="22" t="s">
        <v>10989</v>
      </c>
      <c r="K3118" s="26">
        <f t="shared" si="48"/>
        <v>400</v>
      </c>
      <c r="L3118" s="26">
        <v>400</v>
      </c>
      <c r="O3118" s="22" t="s">
        <v>5321</v>
      </c>
      <c r="P3118" s="22" t="s">
        <v>6558</v>
      </c>
      <c r="Q3118" s="22">
        <v>92123</v>
      </c>
      <c r="S3118" s="22" t="s">
        <v>5322</v>
      </c>
      <c r="X3118" s="26"/>
      <c r="Y3118" s="26"/>
    </row>
    <row r="3119" spans="1:25" ht="37.5" x14ac:dyDescent="0.25">
      <c r="A3119" s="21">
        <v>3358</v>
      </c>
      <c r="B3119" s="22" t="s">
        <v>15338</v>
      </c>
      <c r="C3119" s="22" t="s">
        <v>5316</v>
      </c>
      <c r="F3119" s="22">
        <v>1270</v>
      </c>
      <c r="G3119" s="23" t="s">
        <v>5323</v>
      </c>
      <c r="H3119" s="25" t="s">
        <v>15373</v>
      </c>
      <c r="I3119" s="22" t="s">
        <v>5324</v>
      </c>
      <c r="J3119" s="22" t="s">
        <v>5325</v>
      </c>
      <c r="K3119" s="26">
        <f t="shared" si="48"/>
        <v>660</v>
      </c>
      <c r="L3119" s="26">
        <v>660</v>
      </c>
      <c r="O3119" s="22" t="s">
        <v>4354</v>
      </c>
      <c r="P3119" s="22" t="s">
        <v>6558</v>
      </c>
      <c r="Q3119" s="22">
        <v>92123</v>
      </c>
      <c r="X3119" s="26"/>
      <c r="Y3119" s="26"/>
    </row>
    <row r="3120" spans="1:25" ht="37.5" x14ac:dyDescent="0.25">
      <c r="A3120" s="21">
        <v>3359</v>
      </c>
      <c r="B3120" s="22" t="s">
        <v>15338</v>
      </c>
      <c r="C3120" s="22" t="s">
        <v>4355</v>
      </c>
      <c r="F3120" s="22">
        <v>972335</v>
      </c>
      <c r="G3120" s="23" t="s">
        <v>4356</v>
      </c>
      <c r="H3120" s="25" t="s">
        <v>15373</v>
      </c>
      <c r="I3120" s="22" t="s">
        <v>15374</v>
      </c>
      <c r="J3120" s="22">
        <v>3512</v>
      </c>
      <c r="K3120" s="26">
        <f t="shared" si="48"/>
        <v>1000</v>
      </c>
      <c r="L3120" s="26">
        <v>1000</v>
      </c>
      <c r="O3120" s="22" t="s">
        <v>4357</v>
      </c>
      <c r="P3120" s="22" t="s">
        <v>6558</v>
      </c>
      <c r="Q3120" s="22" t="s">
        <v>4358</v>
      </c>
      <c r="S3120" s="22" t="s">
        <v>5319</v>
      </c>
      <c r="X3120" s="26"/>
      <c r="Y3120" s="26"/>
    </row>
    <row r="3121" spans="1:25" ht="37.5" x14ac:dyDescent="0.25">
      <c r="A3121" s="21">
        <v>3360</v>
      </c>
      <c r="B3121" s="22" t="s">
        <v>15338</v>
      </c>
      <c r="C3121" s="22" t="s">
        <v>4359</v>
      </c>
      <c r="F3121" s="22">
        <v>972429</v>
      </c>
      <c r="G3121" s="23" t="s">
        <v>4360</v>
      </c>
      <c r="H3121" s="25" t="s">
        <v>15373</v>
      </c>
      <c r="I3121" s="22" t="s">
        <v>15382</v>
      </c>
      <c r="J3121" s="22" t="s">
        <v>4361</v>
      </c>
      <c r="K3121" s="26">
        <f t="shared" si="48"/>
        <v>350</v>
      </c>
      <c r="L3121" s="26">
        <v>350</v>
      </c>
      <c r="O3121" s="22" t="s">
        <v>4362</v>
      </c>
      <c r="P3121" s="22" t="s">
        <v>6558</v>
      </c>
      <c r="Q3121" s="22">
        <v>92101</v>
      </c>
      <c r="X3121" s="26"/>
      <c r="Y3121" s="26"/>
    </row>
    <row r="3122" spans="1:25" ht="37.5" x14ac:dyDescent="0.25">
      <c r="A3122" s="21">
        <v>3361</v>
      </c>
      <c r="B3122" s="22" t="s">
        <v>15338</v>
      </c>
      <c r="C3122" s="22" t="s">
        <v>4363</v>
      </c>
      <c r="F3122" s="22">
        <v>50445</v>
      </c>
      <c r="G3122" s="23" t="s">
        <v>4364</v>
      </c>
      <c r="H3122" s="25" t="s">
        <v>15373</v>
      </c>
      <c r="I3122" s="22" t="s">
        <v>15374</v>
      </c>
      <c r="J3122" s="22">
        <v>3412</v>
      </c>
      <c r="K3122" s="26">
        <f t="shared" si="48"/>
        <v>450</v>
      </c>
      <c r="L3122" s="26">
        <v>450</v>
      </c>
      <c r="O3122" s="22" t="s">
        <v>4365</v>
      </c>
      <c r="P3122" s="22" t="s">
        <v>6558</v>
      </c>
      <c r="Q3122" s="22">
        <v>92110</v>
      </c>
      <c r="S3122" s="22" t="s">
        <v>4366</v>
      </c>
      <c r="X3122" s="26"/>
      <c r="Y3122" s="26"/>
    </row>
    <row r="3123" spans="1:25" ht="25" x14ac:dyDescent="0.25">
      <c r="A3123" s="21">
        <v>3362</v>
      </c>
      <c r="B3123" s="22" t="s">
        <v>15338</v>
      </c>
      <c r="C3123" s="22" t="s">
        <v>4363</v>
      </c>
      <c r="F3123" s="22">
        <v>961435</v>
      </c>
      <c r="G3123" s="23" t="s">
        <v>4367</v>
      </c>
      <c r="H3123" s="25" t="s">
        <v>15373</v>
      </c>
      <c r="I3123" s="22" t="s">
        <v>15411</v>
      </c>
      <c r="J3123" s="22" t="s">
        <v>7623</v>
      </c>
      <c r="K3123" s="26">
        <f t="shared" si="48"/>
        <v>715</v>
      </c>
      <c r="L3123" s="26">
        <v>715</v>
      </c>
      <c r="O3123" s="22" t="s">
        <v>4365</v>
      </c>
      <c r="P3123" s="22" t="s">
        <v>6558</v>
      </c>
      <c r="Q3123" s="22">
        <v>92110</v>
      </c>
      <c r="S3123" s="22" t="s">
        <v>4366</v>
      </c>
      <c r="X3123" s="26"/>
      <c r="Y3123" s="26"/>
    </row>
    <row r="3124" spans="1:25" ht="62.5" x14ac:dyDescent="0.25">
      <c r="A3124" s="21">
        <v>3363</v>
      </c>
      <c r="B3124" s="22" t="s">
        <v>15338</v>
      </c>
      <c r="C3124" s="22" t="s">
        <v>4368</v>
      </c>
      <c r="F3124" s="22">
        <v>930834</v>
      </c>
      <c r="G3124" s="23" t="s">
        <v>4369</v>
      </c>
      <c r="H3124" s="25" t="s">
        <v>15373</v>
      </c>
      <c r="I3124" s="22" t="s">
        <v>15374</v>
      </c>
      <c r="J3124" s="22">
        <v>3512</v>
      </c>
      <c r="K3124" s="26">
        <f t="shared" si="48"/>
        <v>1025</v>
      </c>
      <c r="L3124" s="26">
        <v>1025</v>
      </c>
      <c r="O3124" s="22" t="s">
        <v>4370</v>
      </c>
      <c r="P3124" s="22" t="s">
        <v>5408</v>
      </c>
      <c r="Q3124" s="22">
        <v>91911</v>
      </c>
      <c r="S3124" s="22" t="s">
        <v>4371</v>
      </c>
      <c r="X3124" s="26"/>
      <c r="Y3124" s="26"/>
    </row>
    <row r="3125" spans="1:25" ht="62.5" x14ac:dyDescent="0.25">
      <c r="A3125" s="21">
        <v>3364</v>
      </c>
      <c r="B3125" s="22" t="s">
        <v>15338</v>
      </c>
      <c r="C3125" s="22" t="s">
        <v>4368</v>
      </c>
      <c r="F3125" s="22">
        <v>930835</v>
      </c>
      <c r="G3125" s="23" t="s">
        <v>4372</v>
      </c>
      <c r="H3125" s="25" t="s">
        <v>15373</v>
      </c>
      <c r="I3125" s="22" t="s">
        <v>15374</v>
      </c>
      <c r="J3125" s="22">
        <v>3512</v>
      </c>
      <c r="K3125" s="26">
        <f t="shared" si="48"/>
        <v>1025</v>
      </c>
      <c r="L3125" s="26">
        <v>1025</v>
      </c>
      <c r="O3125" s="22" t="s">
        <v>4370</v>
      </c>
      <c r="P3125" s="22" t="s">
        <v>5408</v>
      </c>
      <c r="Q3125" s="22">
        <v>91911</v>
      </c>
      <c r="S3125" s="22" t="s">
        <v>4371</v>
      </c>
      <c r="X3125" s="26"/>
      <c r="Y3125" s="26"/>
    </row>
    <row r="3126" spans="1:25" ht="37.5" x14ac:dyDescent="0.25">
      <c r="A3126" s="21">
        <v>3365</v>
      </c>
      <c r="B3126" s="22" t="s">
        <v>15338</v>
      </c>
      <c r="C3126" s="22" t="s">
        <v>4368</v>
      </c>
      <c r="F3126" s="22">
        <v>910113</v>
      </c>
      <c r="G3126" s="23" t="s">
        <v>4373</v>
      </c>
      <c r="H3126" s="25" t="s">
        <v>15373</v>
      </c>
      <c r="I3126" s="22" t="s">
        <v>15411</v>
      </c>
      <c r="J3126" s="22" t="s">
        <v>10989</v>
      </c>
      <c r="K3126" s="26">
        <f t="shared" si="48"/>
        <v>400</v>
      </c>
      <c r="L3126" s="26">
        <v>400</v>
      </c>
      <c r="O3126" s="22" t="s">
        <v>4370</v>
      </c>
      <c r="P3126" s="22" t="s">
        <v>5408</v>
      </c>
      <c r="Q3126" s="22">
        <v>91911</v>
      </c>
      <c r="S3126" s="22" t="s">
        <v>4371</v>
      </c>
      <c r="X3126" s="26"/>
      <c r="Y3126" s="26"/>
    </row>
    <row r="3127" spans="1:25" ht="37.5" x14ac:dyDescent="0.25">
      <c r="A3127" s="21">
        <v>3366</v>
      </c>
      <c r="B3127" s="22" t="s">
        <v>15338</v>
      </c>
      <c r="C3127" s="22" t="s">
        <v>4374</v>
      </c>
      <c r="F3127" s="22">
        <v>891163</v>
      </c>
      <c r="G3127" s="23" t="s">
        <v>4375</v>
      </c>
      <c r="H3127" s="25" t="s">
        <v>15373</v>
      </c>
      <c r="I3127" s="22" t="s">
        <v>15374</v>
      </c>
      <c r="J3127" s="22" t="s">
        <v>15420</v>
      </c>
      <c r="K3127" s="26">
        <f t="shared" si="48"/>
        <v>1100</v>
      </c>
      <c r="L3127" s="26">
        <v>1100</v>
      </c>
      <c r="O3127" s="22" t="s">
        <v>4376</v>
      </c>
      <c r="P3127" s="22" t="s">
        <v>6558</v>
      </c>
      <c r="Q3127" s="22">
        <v>92123</v>
      </c>
      <c r="S3127" s="22" t="s">
        <v>4377</v>
      </c>
      <c r="X3127" s="26"/>
      <c r="Y3127" s="26"/>
    </row>
    <row r="3128" spans="1:25" ht="37.5" x14ac:dyDescent="0.25">
      <c r="A3128" s="21">
        <v>3367</v>
      </c>
      <c r="B3128" s="22" t="s">
        <v>15338</v>
      </c>
      <c r="C3128" s="22" t="s">
        <v>4374</v>
      </c>
      <c r="F3128" s="22">
        <v>891164</v>
      </c>
      <c r="G3128" s="23" t="s">
        <v>4378</v>
      </c>
      <c r="H3128" s="25" t="s">
        <v>15373</v>
      </c>
      <c r="I3128" s="22" t="s">
        <v>15374</v>
      </c>
      <c r="J3128" s="22" t="s">
        <v>15420</v>
      </c>
      <c r="K3128" s="26">
        <f t="shared" si="48"/>
        <v>1100</v>
      </c>
      <c r="L3128" s="26">
        <v>1100</v>
      </c>
      <c r="O3128" s="22" t="s">
        <v>4376</v>
      </c>
      <c r="P3128" s="22" t="s">
        <v>6558</v>
      </c>
      <c r="Q3128" s="22">
        <v>92123</v>
      </c>
      <c r="S3128" s="22" t="s">
        <v>4377</v>
      </c>
      <c r="X3128" s="26"/>
      <c r="Y3128" s="26"/>
    </row>
    <row r="3129" spans="1:25" ht="37.5" x14ac:dyDescent="0.25">
      <c r="A3129" s="21">
        <v>3368</v>
      </c>
      <c r="B3129" s="22" t="s">
        <v>15338</v>
      </c>
      <c r="C3129" s="22" t="s">
        <v>4374</v>
      </c>
      <c r="F3129" s="22">
        <v>891165</v>
      </c>
      <c r="G3129" s="23" t="s">
        <v>4379</v>
      </c>
      <c r="H3129" s="25" t="s">
        <v>15373</v>
      </c>
      <c r="I3129" s="22" t="s">
        <v>15374</v>
      </c>
      <c r="J3129" s="22" t="s">
        <v>15420</v>
      </c>
      <c r="K3129" s="26">
        <f t="shared" si="48"/>
        <v>1100</v>
      </c>
      <c r="L3129" s="26">
        <v>1100</v>
      </c>
      <c r="O3129" s="22" t="s">
        <v>4376</v>
      </c>
      <c r="P3129" s="22" t="s">
        <v>6558</v>
      </c>
      <c r="Q3129" s="22">
        <v>92123</v>
      </c>
      <c r="S3129" s="22" t="s">
        <v>4380</v>
      </c>
      <c r="X3129" s="26"/>
      <c r="Y3129" s="26"/>
    </row>
    <row r="3130" spans="1:25" ht="25" x14ac:dyDescent="0.25">
      <c r="A3130" s="21">
        <v>3369</v>
      </c>
      <c r="B3130" s="22" t="s">
        <v>15338</v>
      </c>
      <c r="C3130" s="22" t="s">
        <v>4381</v>
      </c>
      <c r="F3130" s="22">
        <v>975366</v>
      </c>
      <c r="G3130" s="23" t="s">
        <v>4382</v>
      </c>
      <c r="H3130" s="25" t="s">
        <v>15373</v>
      </c>
      <c r="I3130" s="22" t="s">
        <v>15411</v>
      </c>
      <c r="J3130" s="22" t="s">
        <v>5540</v>
      </c>
      <c r="K3130" s="26">
        <f t="shared" si="48"/>
        <v>319</v>
      </c>
      <c r="L3130" s="26">
        <v>319</v>
      </c>
      <c r="O3130" s="22" t="s">
        <v>4383</v>
      </c>
      <c r="P3130" s="22" t="s">
        <v>6558</v>
      </c>
      <c r="Q3130" s="22">
        <v>92121</v>
      </c>
      <c r="X3130" s="26"/>
      <c r="Y3130" s="26"/>
    </row>
    <row r="3131" spans="1:25" ht="37.5" x14ac:dyDescent="0.25">
      <c r="A3131" s="21">
        <v>3370</v>
      </c>
      <c r="B3131" s="22" t="s">
        <v>15338</v>
      </c>
      <c r="C3131" s="22" t="s">
        <v>4384</v>
      </c>
      <c r="F3131" s="22">
        <v>960341</v>
      </c>
      <c r="G3131" s="23" t="s">
        <v>4385</v>
      </c>
      <c r="H3131" s="25" t="s">
        <v>15373</v>
      </c>
      <c r="I3131" s="22" t="s">
        <v>15382</v>
      </c>
      <c r="J3131" s="22" t="s">
        <v>14850</v>
      </c>
      <c r="K3131" s="26">
        <f t="shared" si="48"/>
        <v>300</v>
      </c>
      <c r="L3131" s="26">
        <v>300</v>
      </c>
      <c r="O3131" s="22" t="s">
        <v>4386</v>
      </c>
      <c r="P3131" s="22" t="s">
        <v>6558</v>
      </c>
      <c r="Q3131" s="22">
        <v>92112</v>
      </c>
      <c r="X3131" s="26"/>
      <c r="Y3131" s="26"/>
    </row>
    <row r="3132" spans="1:25" ht="37.5" x14ac:dyDescent="0.25">
      <c r="A3132" s="21">
        <v>3371</v>
      </c>
      <c r="B3132" s="22" t="s">
        <v>15338</v>
      </c>
      <c r="C3132" s="22" t="s">
        <v>4387</v>
      </c>
      <c r="F3132" s="22">
        <v>971480</v>
      </c>
      <c r="G3132" s="23" t="s">
        <v>4388</v>
      </c>
      <c r="H3132" s="25" t="s">
        <v>15373</v>
      </c>
      <c r="I3132" s="22" t="s">
        <v>15382</v>
      </c>
      <c r="J3132" s="22" t="s">
        <v>5385</v>
      </c>
      <c r="K3132" s="26">
        <f t="shared" si="48"/>
        <v>450</v>
      </c>
      <c r="L3132" s="26">
        <v>450</v>
      </c>
      <c r="O3132" s="22" t="s">
        <v>4389</v>
      </c>
      <c r="P3132" s="22" t="s">
        <v>6558</v>
      </c>
      <c r="Q3132" s="22">
        <v>92101</v>
      </c>
      <c r="X3132" s="26"/>
      <c r="Y3132" s="26"/>
    </row>
    <row r="3133" spans="1:25" ht="25" x14ac:dyDescent="0.25">
      <c r="A3133" s="21">
        <v>3372</v>
      </c>
      <c r="B3133" s="22" t="s">
        <v>15338</v>
      </c>
      <c r="C3133" s="22" t="s">
        <v>4390</v>
      </c>
      <c r="F3133" s="22">
        <v>975072</v>
      </c>
      <c r="G3133" s="23" t="s">
        <v>4391</v>
      </c>
      <c r="H3133" s="25" t="s">
        <v>15373</v>
      </c>
      <c r="I3133" s="22" t="s">
        <v>15382</v>
      </c>
      <c r="J3133" s="22">
        <v>3406</v>
      </c>
      <c r="K3133" s="26">
        <f t="shared" si="48"/>
        <v>337</v>
      </c>
      <c r="L3133" s="26">
        <v>337</v>
      </c>
      <c r="O3133" s="22" t="s">
        <v>4392</v>
      </c>
      <c r="P3133" s="22" t="s">
        <v>6558</v>
      </c>
      <c r="Q3133" s="22">
        <v>92121</v>
      </c>
      <c r="X3133" s="26"/>
      <c r="Y3133" s="26"/>
    </row>
    <row r="3134" spans="1:25" ht="50" x14ac:dyDescent="0.25">
      <c r="A3134" s="21">
        <v>3373</v>
      </c>
      <c r="B3134" s="22" t="s">
        <v>15338</v>
      </c>
      <c r="C3134" s="22" t="s">
        <v>4393</v>
      </c>
      <c r="F3134" s="22">
        <v>950093</v>
      </c>
      <c r="G3134" s="23" t="s">
        <v>4394</v>
      </c>
      <c r="H3134" s="25" t="s">
        <v>15373</v>
      </c>
      <c r="I3134" s="22" t="s">
        <v>15411</v>
      </c>
      <c r="J3134" s="22" t="s">
        <v>16276</v>
      </c>
      <c r="K3134" s="26">
        <f t="shared" si="48"/>
        <v>350</v>
      </c>
      <c r="L3134" s="26">
        <v>350</v>
      </c>
      <c r="O3134" s="22" t="s">
        <v>4395</v>
      </c>
      <c r="P3134" s="22" t="s">
        <v>6558</v>
      </c>
      <c r="Q3134" s="22">
        <v>92121</v>
      </c>
      <c r="S3134" s="22" t="s">
        <v>4396</v>
      </c>
      <c r="X3134" s="26"/>
      <c r="Y3134" s="26"/>
    </row>
    <row r="3135" spans="1:25" ht="50" x14ac:dyDescent="0.25">
      <c r="A3135" s="21">
        <v>3374</v>
      </c>
      <c r="B3135" s="22" t="s">
        <v>15338</v>
      </c>
      <c r="C3135" s="22" t="s">
        <v>4397</v>
      </c>
      <c r="F3135" s="22">
        <v>911070</v>
      </c>
      <c r="G3135" s="23" t="s">
        <v>4398</v>
      </c>
      <c r="H3135" s="25" t="s">
        <v>15373</v>
      </c>
      <c r="I3135" s="22" t="s">
        <v>15411</v>
      </c>
      <c r="J3135" s="22" t="s">
        <v>17383</v>
      </c>
      <c r="K3135" s="26">
        <f t="shared" si="48"/>
        <v>308</v>
      </c>
      <c r="L3135" s="26">
        <v>308</v>
      </c>
      <c r="O3135" s="22" t="s">
        <v>4399</v>
      </c>
      <c r="P3135" s="22" t="s">
        <v>4711</v>
      </c>
      <c r="Q3135" s="22">
        <v>91978</v>
      </c>
      <c r="S3135" s="22" t="s">
        <v>4400</v>
      </c>
      <c r="X3135" s="26"/>
      <c r="Y3135" s="26"/>
    </row>
    <row r="3136" spans="1:25" ht="37.5" x14ac:dyDescent="0.25">
      <c r="A3136" s="21">
        <v>3375</v>
      </c>
      <c r="B3136" s="22" t="s">
        <v>15338</v>
      </c>
      <c r="C3136" s="22" t="s">
        <v>4401</v>
      </c>
      <c r="F3136" s="22">
        <v>961078</v>
      </c>
      <c r="G3136" s="23" t="s">
        <v>4402</v>
      </c>
      <c r="H3136" s="25" t="s">
        <v>15373</v>
      </c>
      <c r="I3136" s="22" t="s">
        <v>15374</v>
      </c>
      <c r="J3136" s="22">
        <v>3406</v>
      </c>
      <c r="K3136" s="26">
        <f t="shared" si="48"/>
        <v>400</v>
      </c>
      <c r="L3136" s="26">
        <v>400</v>
      </c>
      <c r="O3136" s="22" t="s">
        <v>4403</v>
      </c>
      <c r="P3136" s="22" t="s">
        <v>6558</v>
      </c>
      <c r="Q3136" s="22">
        <v>92123</v>
      </c>
      <c r="X3136" s="26"/>
      <c r="Y3136" s="26"/>
    </row>
    <row r="3137" spans="1:25" ht="25" x14ac:dyDescent="0.25">
      <c r="A3137" s="21">
        <v>3376</v>
      </c>
      <c r="B3137" s="22" t="s">
        <v>15338</v>
      </c>
      <c r="C3137" s="22" t="s">
        <v>4404</v>
      </c>
      <c r="F3137" s="22">
        <v>961074</v>
      </c>
      <c r="G3137" s="23" t="s">
        <v>4405</v>
      </c>
      <c r="H3137" s="25" t="s">
        <v>15373</v>
      </c>
      <c r="I3137" s="22" t="s">
        <v>15374</v>
      </c>
      <c r="J3137" s="22">
        <v>3412</v>
      </c>
      <c r="K3137" s="26">
        <f t="shared" si="48"/>
        <v>478</v>
      </c>
      <c r="L3137" s="26">
        <v>478</v>
      </c>
      <c r="O3137" s="22" t="s">
        <v>4406</v>
      </c>
      <c r="P3137" s="22" t="s">
        <v>6558</v>
      </c>
      <c r="Q3137" s="22">
        <v>92127</v>
      </c>
      <c r="X3137" s="26"/>
      <c r="Y3137" s="26"/>
    </row>
    <row r="3138" spans="1:25" ht="25" x14ac:dyDescent="0.25">
      <c r="A3138" s="21">
        <v>3377</v>
      </c>
      <c r="B3138" s="22" t="s">
        <v>15338</v>
      </c>
      <c r="C3138" s="22" t="s">
        <v>4407</v>
      </c>
      <c r="F3138" s="22">
        <v>890187</v>
      </c>
      <c r="G3138" s="23" t="s">
        <v>4408</v>
      </c>
      <c r="H3138" s="25" t="s">
        <v>15373</v>
      </c>
      <c r="I3138" s="22" t="s">
        <v>15374</v>
      </c>
      <c r="J3138" s="22">
        <v>3412</v>
      </c>
      <c r="K3138" s="26">
        <f t="shared" si="48"/>
        <v>1500</v>
      </c>
      <c r="L3138" s="26">
        <v>1500</v>
      </c>
      <c r="O3138" s="22" t="s">
        <v>4409</v>
      </c>
      <c r="P3138" s="22" t="s">
        <v>6558</v>
      </c>
      <c r="Q3138" s="22">
        <v>92127</v>
      </c>
      <c r="S3138" s="22" t="s">
        <v>4410</v>
      </c>
      <c r="X3138" s="26"/>
      <c r="Y3138" s="26"/>
    </row>
    <row r="3139" spans="1:25" ht="25" x14ac:dyDescent="0.25">
      <c r="A3139" s="21">
        <v>3378</v>
      </c>
      <c r="B3139" s="22" t="s">
        <v>15338</v>
      </c>
      <c r="C3139" s="22" t="s">
        <v>4407</v>
      </c>
      <c r="F3139" s="22">
        <v>971534</v>
      </c>
      <c r="G3139" s="23" t="s">
        <v>4411</v>
      </c>
      <c r="H3139" s="25" t="s">
        <v>15373</v>
      </c>
      <c r="I3139" s="22" t="s">
        <v>15374</v>
      </c>
      <c r="J3139" s="22" t="s">
        <v>11983</v>
      </c>
      <c r="K3139" s="26">
        <f t="shared" si="48"/>
        <v>952</v>
      </c>
      <c r="L3139" s="26">
        <v>952</v>
      </c>
      <c r="O3139" s="22" t="s">
        <v>4409</v>
      </c>
      <c r="P3139" s="22" t="s">
        <v>6558</v>
      </c>
      <c r="Q3139" s="22">
        <v>92127</v>
      </c>
      <c r="S3139" s="22" t="s">
        <v>4410</v>
      </c>
      <c r="X3139" s="26"/>
      <c r="Y3139" s="26"/>
    </row>
    <row r="3140" spans="1:25" ht="37.5" x14ac:dyDescent="0.25">
      <c r="A3140" s="21">
        <v>3379</v>
      </c>
      <c r="B3140" s="22" t="s">
        <v>15338</v>
      </c>
      <c r="C3140" s="22" t="s">
        <v>4407</v>
      </c>
      <c r="F3140" s="22">
        <v>974729</v>
      </c>
      <c r="G3140" s="23" t="s">
        <v>4412</v>
      </c>
      <c r="H3140" s="25" t="s">
        <v>15373</v>
      </c>
      <c r="I3140" s="22" t="s">
        <v>15374</v>
      </c>
      <c r="J3140" s="22">
        <v>3412</v>
      </c>
      <c r="K3140" s="26">
        <f t="shared" si="48"/>
        <v>734</v>
      </c>
      <c r="L3140" s="26">
        <v>734</v>
      </c>
      <c r="O3140" s="22" t="s">
        <v>4409</v>
      </c>
      <c r="P3140" s="22" t="s">
        <v>6558</v>
      </c>
      <c r="Q3140" s="22">
        <v>92127</v>
      </c>
      <c r="S3140" s="22" t="s">
        <v>4410</v>
      </c>
      <c r="X3140" s="26"/>
      <c r="Y3140" s="26"/>
    </row>
    <row r="3141" spans="1:25" ht="50" x14ac:dyDescent="0.25">
      <c r="A3141" s="21">
        <v>3380</v>
      </c>
      <c r="B3141" s="22" t="s">
        <v>15338</v>
      </c>
      <c r="C3141" s="22" t="s">
        <v>4407</v>
      </c>
      <c r="F3141" s="22">
        <v>20047</v>
      </c>
      <c r="G3141" s="23" t="s">
        <v>4413</v>
      </c>
      <c r="H3141" s="25" t="s">
        <v>15373</v>
      </c>
      <c r="I3141" s="22" t="s">
        <v>15374</v>
      </c>
      <c r="J3141" s="22" t="s">
        <v>16899</v>
      </c>
      <c r="K3141" s="26">
        <f t="shared" si="48"/>
        <v>600</v>
      </c>
      <c r="L3141" s="26">
        <v>600</v>
      </c>
      <c r="O3141" s="22" t="s">
        <v>4409</v>
      </c>
      <c r="P3141" s="22" t="s">
        <v>6558</v>
      </c>
      <c r="Q3141" s="22">
        <v>92127</v>
      </c>
      <c r="S3141" s="22" t="s">
        <v>4410</v>
      </c>
      <c r="X3141" s="26"/>
      <c r="Y3141" s="26"/>
    </row>
    <row r="3142" spans="1:25" ht="37.5" x14ac:dyDescent="0.25">
      <c r="A3142" s="21">
        <v>3381</v>
      </c>
      <c r="B3142" s="22" t="s">
        <v>15338</v>
      </c>
      <c r="C3142" s="22" t="s">
        <v>4407</v>
      </c>
      <c r="F3142" s="22">
        <v>960757</v>
      </c>
      <c r="G3142" s="23" t="s">
        <v>4414</v>
      </c>
      <c r="H3142" s="25" t="s">
        <v>15373</v>
      </c>
      <c r="I3142" s="22" t="s">
        <v>15374</v>
      </c>
      <c r="J3142" s="22">
        <v>3412</v>
      </c>
      <c r="K3142" s="26">
        <f t="shared" si="48"/>
        <v>580</v>
      </c>
      <c r="L3142" s="26">
        <v>580</v>
      </c>
      <c r="O3142" s="22" t="s">
        <v>4409</v>
      </c>
      <c r="P3142" s="22" t="s">
        <v>6558</v>
      </c>
      <c r="Q3142" s="22">
        <v>92127</v>
      </c>
      <c r="S3142" s="22" t="s">
        <v>4410</v>
      </c>
      <c r="X3142" s="26"/>
      <c r="Y3142" s="26"/>
    </row>
    <row r="3143" spans="1:25" ht="25" x14ac:dyDescent="0.25">
      <c r="A3143" s="21">
        <v>3382</v>
      </c>
      <c r="B3143" s="22" t="s">
        <v>15338</v>
      </c>
      <c r="C3143" s="22" t="s">
        <v>4407</v>
      </c>
      <c r="F3143" s="22">
        <v>890800</v>
      </c>
      <c r="G3143" s="23" t="s">
        <v>4415</v>
      </c>
      <c r="H3143" s="25" t="s">
        <v>15373</v>
      </c>
      <c r="I3143" s="22" t="s">
        <v>15374</v>
      </c>
      <c r="J3143" s="22" t="s">
        <v>16899</v>
      </c>
      <c r="K3143" s="26">
        <f t="shared" si="48"/>
        <v>579</v>
      </c>
      <c r="L3143" s="26">
        <v>579</v>
      </c>
      <c r="O3143" s="22" t="s">
        <v>4409</v>
      </c>
      <c r="P3143" s="22" t="s">
        <v>6558</v>
      </c>
      <c r="Q3143" s="22">
        <v>92127</v>
      </c>
      <c r="S3143" s="22" t="s">
        <v>4410</v>
      </c>
      <c r="X3143" s="26"/>
      <c r="Y3143" s="26"/>
    </row>
    <row r="3144" spans="1:25" ht="25" x14ac:dyDescent="0.25">
      <c r="A3144" s="21">
        <v>3383</v>
      </c>
      <c r="B3144" s="22" t="s">
        <v>15338</v>
      </c>
      <c r="C3144" s="22" t="s">
        <v>4407</v>
      </c>
      <c r="F3144" s="22">
        <v>891050</v>
      </c>
      <c r="G3144" s="23" t="s">
        <v>4415</v>
      </c>
      <c r="H3144" s="25" t="s">
        <v>15373</v>
      </c>
      <c r="I3144" s="22" t="s">
        <v>15374</v>
      </c>
      <c r="J3144" s="22" t="s">
        <v>16899</v>
      </c>
      <c r="K3144" s="26">
        <f t="shared" si="48"/>
        <v>579</v>
      </c>
      <c r="L3144" s="26">
        <v>579</v>
      </c>
      <c r="O3144" s="22" t="s">
        <v>4409</v>
      </c>
      <c r="P3144" s="22" t="s">
        <v>6558</v>
      </c>
      <c r="Q3144" s="22">
        <v>92127</v>
      </c>
      <c r="S3144" s="22" t="s">
        <v>4410</v>
      </c>
      <c r="X3144" s="26"/>
      <c r="Y3144" s="26"/>
    </row>
    <row r="3145" spans="1:25" ht="25" x14ac:dyDescent="0.25">
      <c r="A3145" s="21">
        <v>3384</v>
      </c>
      <c r="B3145" s="22" t="s">
        <v>15338</v>
      </c>
      <c r="C3145" s="22" t="s">
        <v>4416</v>
      </c>
      <c r="F3145" s="22">
        <v>901278</v>
      </c>
      <c r="G3145" s="23" t="s">
        <v>4417</v>
      </c>
      <c r="H3145" s="25" t="s">
        <v>15373</v>
      </c>
      <c r="I3145" s="22" t="s">
        <v>15374</v>
      </c>
      <c r="J3145" s="22" t="s">
        <v>4418</v>
      </c>
      <c r="K3145" s="26">
        <f t="shared" si="48"/>
        <v>500</v>
      </c>
      <c r="L3145" s="26">
        <v>500</v>
      </c>
      <c r="O3145" s="22" t="s">
        <v>4419</v>
      </c>
      <c r="P3145" s="22" t="s">
        <v>6558</v>
      </c>
      <c r="Q3145" s="22">
        <v>92127</v>
      </c>
      <c r="S3145" s="22" t="s">
        <v>4420</v>
      </c>
      <c r="X3145" s="26"/>
      <c r="Y3145" s="26"/>
    </row>
    <row r="3146" spans="1:25" ht="25" x14ac:dyDescent="0.25">
      <c r="A3146" s="21">
        <v>3385</v>
      </c>
      <c r="B3146" s="22" t="s">
        <v>15338</v>
      </c>
      <c r="C3146" s="22" t="s">
        <v>4421</v>
      </c>
      <c r="F3146" s="22">
        <v>971783</v>
      </c>
      <c r="G3146" s="23" t="s">
        <v>4422</v>
      </c>
      <c r="H3146" s="25" t="s">
        <v>15373</v>
      </c>
      <c r="I3146" s="22" t="s">
        <v>4423</v>
      </c>
      <c r="J3146" s="22" t="s">
        <v>4424</v>
      </c>
      <c r="K3146" s="26">
        <f t="shared" ref="K3146:K3209" si="49">L3146+M3146*(2/3)+N3146*(2/3)</f>
        <v>325</v>
      </c>
      <c r="L3146" s="26">
        <v>325</v>
      </c>
      <c r="O3146" s="22" t="s">
        <v>4425</v>
      </c>
      <c r="P3146" s="22" t="s">
        <v>6558</v>
      </c>
      <c r="Q3146" s="22">
        <v>92121</v>
      </c>
      <c r="X3146" s="26"/>
      <c r="Y3146" s="26"/>
    </row>
    <row r="3147" spans="1:25" ht="25" x14ac:dyDescent="0.25">
      <c r="A3147" s="21">
        <v>3386</v>
      </c>
      <c r="B3147" s="22" t="s">
        <v>15338</v>
      </c>
      <c r="C3147" s="22" t="s">
        <v>4421</v>
      </c>
      <c r="F3147" s="22">
        <v>971785</v>
      </c>
      <c r="G3147" s="23" t="s">
        <v>4426</v>
      </c>
      <c r="H3147" s="25" t="s">
        <v>15373</v>
      </c>
      <c r="I3147" s="22" t="s">
        <v>4423</v>
      </c>
      <c r="J3147" s="22" t="s">
        <v>4427</v>
      </c>
      <c r="K3147" s="26">
        <f t="shared" si="49"/>
        <v>325</v>
      </c>
      <c r="L3147" s="26">
        <v>325</v>
      </c>
      <c r="O3147" s="22" t="s">
        <v>4425</v>
      </c>
      <c r="P3147" s="22" t="s">
        <v>6558</v>
      </c>
      <c r="Q3147" s="22">
        <v>92121</v>
      </c>
      <c r="X3147" s="26"/>
      <c r="Y3147" s="26"/>
    </row>
    <row r="3148" spans="1:25" ht="62.5" x14ac:dyDescent="0.25">
      <c r="A3148" s="21">
        <v>3387</v>
      </c>
      <c r="B3148" s="22" t="s">
        <v>15338</v>
      </c>
      <c r="C3148" s="22" t="s">
        <v>4428</v>
      </c>
      <c r="F3148" s="22">
        <v>921056</v>
      </c>
      <c r="G3148" s="23" t="s">
        <v>4429</v>
      </c>
      <c r="H3148" s="25" t="s">
        <v>15373</v>
      </c>
      <c r="I3148" s="22" t="s">
        <v>15382</v>
      </c>
      <c r="J3148" s="22" t="s">
        <v>14659</v>
      </c>
      <c r="K3148" s="26">
        <f t="shared" si="49"/>
        <v>500</v>
      </c>
      <c r="L3148" s="26">
        <v>500</v>
      </c>
      <c r="O3148" s="22" t="s">
        <v>4430</v>
      </c>
      <c r="P3148" s="22" t="s">
        <v>4431</v>
      </c>
      <c r="Q3148" s="22">
        <v>92672</v>
      </c>
      <c r="S3148" s="22" t="s">
        <v>4432</v>
      </c>
      <c r="X3148" s="26"/>
      <c r="Y3148" s="26"/>
    </row>
    <row r="3149" spans="1:25" ht="37.5" x14ac:dyDescent="0.25">
      <c r="A3149" s="21">
        <v>3388</v>
      </c>
      <c r="B3149" s="22" t="s">
        <v>15338</v>
      </c>
      <c r="C3149" s="22" t="s">
        <v>4428</v>
      </c>
      <c r="F3149" s="22">
        <v>960632</v>
      </c>
      <c r="G3149" s="23" t="s">
        <v>4433</v>
      </c>
      <c r="H3149" s="25" t="s">
        <v>15373</v>
      </c>
      <c r="I3149" s="22" t="s">
        <v>15668</v>
      </c>
      <c r="J3149" s="22" t="s">
        <v>4434</v>
      </c>
      <c r="K3149" s="26">
        <f t="shared" si="49"/>
        <v>4336</v>
      </c>
      <c r="L3149" s="26">
        <v>4336</v>
      </c>
      <c r="O3149" s="22" t="s">
        <v>4435</v>
      </c>
      <c r="P3149" s="22" t="s">
        <v>4431</v>
      </c>
      <c r="Q3149" s="22">
        <v>92672</v>
      </c>
      <c r="R3149" s="22" t="s">
        <v>4436</v>
      </c>
      <c r="S3149" s="22" t="s">
        <v>4437</v>
      </c>
      <c r="X3149" s="26"/>
      <c r="Y3149" s="26"/>
    </row>
    <row r="3150" spans="1:25" ht="37.5" x14ac:dyDescent="0.25">
      <c r="A3150" s="21">
        <v>3389</v>
      </c>
      <c r="B3150" s="22" t="s">
        <v>15338</v>
      </c>
      <c r="C3150" s="22" t="s">
        <v>4428</v>
      </c>
      <c r="F3150" s="22">
        <v>960633</v>
      </c>
      <c r="G3150" s="23" t="s">
        <v>4438</v>
      </c>
      <c r="H3150" s="25" t="s">
        <v>15373</v>
      </c>
      <c r="I3150" s="22" t="s">
        <v>15668</v>
      </c>
      <c r="J3150" s="22" t="s">
        <v>4434</v>
      </c>
      <c r="K3150" s="26">
        <f t="shared" si="49"/>
        <v>4336</v>
      </c>
      <c r="L3150" s="26">
        <v>4336</v>
      </c>
      <c r="O3150" s="22" t="s">
        <v>4435</v>
      </c>
      <c r="P3150" s="22" t="s">
        <v>4431</v>
      </c>
      <c r="Q3150" s="22">
        <v>92672</v>
      </c>
      <c r="R3150" s="22" t="s">
        <v>4436</v>
      </c>
      <c r="S3150" s="22" t="s">
        <v>4437</v>
      </c>
      <c r="X3150" s="26"/>
      <c r="Y3150" s="26"/>
    </row>
    <row r="3151" spans="1:25" ht="37.5" x14ac:dyDescent="0.25">
      <c r="A3151" s="21">
        <v>3390</v>
      </c>
      <c r="B3151" s="22" t="s">
        <v>15338</v>
      </c>
      <c r="C3151" s="22" t="s">
        <v>4428</v>
      </c>
      <c r="F3151" s="22">
        <v>960634</v>
      </c>
      <c r="G3151" s="23" t="s">
        <v>4439</v>
      </c>
      <c r="H3151" s="25" t="s">
        <v>15373</v>
      </c>
      <c r="I3151" s="22" t="s">
        <v>15668</v>
      </c>
      <c r="J3151" s="22" t="s">
        <v>4434</v>
      </c>
      <c r="K3151" s="26">
        <f t="shared" si="49"/>
        <v>4336</v>
      </c>
      <c r="L3151" s="26">
        <v>4336</v>
      </c>
      <c r="O3151" s="22" t="s">
        <v>4435</v>
      </c>
      <c r="P3151" s="22" t="s">
        <v>4431</v>
      </c>
      <c r="Q3151" s="22">
        <v>92672</v>
      </c>
      <c r="R3151" s="22" t="s">
        <v>4436</v>
      </c>
      <c r="S3151" s="22" t="s">
        <v>4437</v>
      </c>
      <c r="X3151" s="26"/>
      <c r="Y3151" s="26"/>
    </row>
    <row r="3152" spans="1:25" ht="37.5" x14ac:dyDescent="0.25">
      <c r="A3152" s="21">
        <v>3391</v>
      </c>
      <c r="B3152" s="22" t="s">
        <v>15338</v>
      </c>
      <c r="C3152" s="22" t="s">
        <v>4428</v>
      </c>
      <c r="F3152" s="22">
        <v>960635</v>
      </c>
      <c r="G3152" s="23" t="s">
        <v>4440</v>
      </c>
      <c r="H3152" s="25" t="s">
        <v>15373</v>
      </c>
      <c r="I3152" s="22" t="s">
        <v>15668</v>
      </c>
      <c r="J3152" s="22" t="s">
        <v>4434</v>
      </c>
      <c r="K3152" s="26">
        <f t="shared" si="49"/>
        <v>4336</v>
      </c>
      <c r="L3152" s="26">
        <v>4336</v>
      </c>
      <c r="O3152" s="22" t="s">
        <v>4435</v>
      </c>
      <c r="P3152" s="22" t="s">
        <v>4431</v>
      </c>
      <c r="Q3152" s="22">
        <v>92672</v>
      </c>
      <c r="R3152" s="22" t="s">
        <v>4436</v>
      </c>
      <c r="S3152" s="22" t="s">
        <v>4437</v>
      </c>
      <c r="X3152" s="26"/>
      <c r="Y3152" s="26"/>
    </row>
    <row r="3153" spans="1:25" ht="50" x14ac:dyDescent="0.25">
      <c r="A3153" s="21">
        <v>3393</v>
      </c>
      <c r="B3153" s="22" t="s">
        <v>15338</v>
      </c>
      <c r="C3153" s="22" t="s">
        <v>4441</v>
      </c>
      <c r="F3153" s="22">
        <v>962000</v>
      </c>
      <c r="G3153" s="23" t="s">
        <v>4442</v>
      </c>
      <c r="H3153" s="25" t="s">
        <v>15373</v>
      </c>
      <c r="I3153" s="22" t="s">
        <v>15668</v>
      </c>
      <c r="J3153" s="22" t="s">
        <v>4443</v>
      </c>
      <c r="K3153" s="26">
        <f t="shared" si="49"/>
        <v>350</v>
      </c>
      <c r="L3153" s="26">
        <v>350</v>
      </c>
      <c r="O3153" s="22" t="s">
        <v>4444</v>
      </c>
      <c r="P3153" s="22" t="s">
        <v>6558</v>
      </c>
      <c r="Q3153" s="22">
        <v>92113</v>
      </c>
      <c r="X3153" s="26"/>
      <c r="Y3153" s="26"/>
    </row>
    <row r="3154" spans="1:25" ht="50" x14ac:dyDescent="0.25">
      <c r="A3154" s="21">
        <v>3394</v>
      </c>
      <c r="B3154" s="22" t="s">
        <v>15338</v>
      </c>
      <c r="C3154" s="22" t="s">
        <v>4441</v>
      </c>
      <c r="F3154" s="22">
        <v>962002</v>
      </c>
      <c r="G3154" s="23" t="s">
        <v>4442</v>
      </c>
      <c r="H3154" s="25" t="s">
        <v>15373</v>
      </c>
      <c r="I3154" s="22" t="s">
        <v>15668</v>
      </c>
      <c r="J3154" s="22" t="s">
        <v>4443</v>
      </c>
      <c r="K3154" s="26">
        <f t="shared" si="49"/>
        <v>350</v>
      </c>
      <c r="L3154" s="26">
        <v>350</v>
      </c>
      <c r="O3154" s="22" t="s">
        <v>4444</v>
      </c>
      <c r="P3154" s="22" t="s">
        <v>6558</v>
      </c>
      <c r="Q3154" s="22">
        <v>92113</v>
      </c>
      <c r="X3154" s="26"/>
      <c r="Y3154" s="26"/>
    </row>
    <row r="3155" spans="1:25" ht="25" x14ac:dyDescent="0.25">
      <c r="A3155" s="21">
        <v>3395</v>
      </c>
      <c r="B3155" s="22" t="s">
        <v>15338</v>
      </c>
      <c r="C3155" s="22" t="s">
        <v>4445</v>
      </c>
      <c r="F3155" s="22">
        <v>971779</v>
      </c>
      <c r="G3155" s="23" t="s">
        <v>4446</v>
      </c>
      <c r="H3155" s="25" t="s">
        <v>15373</v>
      </c>
      <c r="I3155" s="22" t="s">
        <v>15382</v>
      </c>
      <c r="J3155" s="22" t="s">
        <v>14642</v>
      </c>
      <c r="K3155" s="26">
        <f t="shared" si="49"/>
        <v>738</v>
      </c>
      <c r="L3155" s="26">
        <v>738</v>
      </c>
      <c r="O3155" s="22" t="s">
        <v>4447</v>
      </c>
      <c r="P3155" s="22" t="s">
        <v>6558</v>
      </c>
      <c r="Q3155" s="22">
        <v>92121</v>
      </c>
      <c r="S3155" s="22" t="s">
        <v>4448</v>
      </c>
      <c r="X3155" s="26"/>
      <c r="Y3155" s="26"/>
    </row>
    <row r="3156" spans="1:25" ht="25" x14ac:dyDescent="0.25">
      <c r="A3156" s="21">
        <v>3396</v>
      </c>
      <c r="B3156" s="22" t="s">
        <v>15338</v>
      </c>
      <c r="C3156" s="22" t="s">
        <v>4445</v>
      </c>
      <c r="F3156" s="22">
        <v>971781</v>
      </c>
      <c r="G3156" s="23" t="s">
        <v>4449</v>
      </c>
      <c r="H3156" s="25" t="s">
        <v>15373</v>
      </c>
      <c r="I3156" s="22" t="s">
        <v>15382</v>
      </c>
      <c r="J3156" s="22" t="s">
        <v>8120</v>
      </c>
      <c r="K3156" s="26">
        <f t="shared" si="49"/>
        <v>738</v>
      </c>
      <c r="L3156" s="26">
        <v>738</v>
      </c>
      <c r="O3156" s="22" t="s">
        <v>4447</v>
      </c>
      <c r="P3156" s="22" t="s">
        <v>6558</v>
      </c>
      <c r="Q3156" s="22">
        <v>92121</v>
      </c>
      <c r="S3156" s="22" t="s">
        <v>4448</v>
      </c>
      <c r="X3156" s="26"/>
      <c r="Y3156" s="26"/>
    </row>
    <row r="3157" spans="1:25" ht="50" x14ac:dyDescent="0.25">
      <c r="A3157" s="21">
        <v>3397</v>
      </c>
      <c r="B3157" s="22" t="s">
        <v>15338</v>
      </c>
      <c r="C3157" s="22" t="s">
        <v>4450</v>
      </c>
      <c r="F3157" s="22">
        <v>940169</v>
      </c>
      <c r="G3157" s="23" t="s">
        <v>4451</v>
      </c>
      <c r="H3157" s="25" t="s">
        <v>15373</v>
      </c>
      <c r="I3157" s="22" t="s">
        <v>16907</v>
      </c>
      <c r="J3157" s="22" t="s">
        <v>4452</v>
      </c>
      <c r="K3157" s="26">
        <f t="shared" si="49"/>
        <v>360</v>
      </c>
      <c r="L3157" s="26">
        <v>360</v>
      </c>
      <c r="O3157" s="22" t="s">
        <v>4453</v>
      </c>
      <c r="P3157" s="22" t="s">
        <v>6558</v>
      </c>
      <c r="Q3157" s="22">
        <v>92110</v>
      </c>
      <c r="S3157" s="22" t="s">
        <v>4454</v>
      </c>
      <c r="X3157" s="26"/>
      <c r="Y3157" s="26"/>
    </row>
    <row r="3158" spans="1:25" ht="37.5" x14ac:dyDescent="0.25">
      <c r="A3158" s="21">
        <v>3398</v>
      </c>
      <c r="B3158" s="22" t="s">
        <v>15338</v>
      </c>
      <c r="C3158" s="22" t="s">
        <v>8208</v>
      </c>
      <c r="F3158" s="22">
        <v>974417</v>
      </c>
      <c r="G3158" s="23" t="s">
        <v>4455</v>
      </c>
      <c r="H3158" s="25" t="s">
        <v>15373</v>
      </c>
      <c r="I3158" s="22" t="s">
        <v>15374</v>
      </c>
      <c r="J3158" s="22" t="s">
        <v>16869</v>
      </c>
      <c r="K3158" s="26">
        <f t="shared" si="49"/>
        <v>600</v>
      </c>
      <c r="L3158" s="26">
        <v>600</v>
      </c>
      <c r="O3158" s="22" t="s">
        <v>4456</v>
      </c>
      <c r="P3158" s="22" t="s">
        <v>5420</v>
      </c>
      <c r="Q3158" s="22">
        <v>92008</v>
      </c>
      <c r="X3158" s="26"/>
      <c r="Y3158" s="26"/>
    </row>
    <row r="3159" spans="1:25" ht="37.5" x14ac:dyDescent="0.25">
      <c r="A3159" s="21">
        <v>3399</v>
      </c>
      <c r="B3159" s="22" t="s">
        <v>15338</v>
      </c>
      <c r="C3159" s="22" t="s">
        <v>8208</v>
      </c>
      <c r="F3159" s="22">
        <v>960072</v>
      </c>
      <c r="G3159" s="23" t="s">
        <v>4457</v>
      </c>
      <c r="H3159" s="25" t="s">
        <v>15373</v>
      </c>
      <c r="I3159" s="22" t="s">
        <v>15374</v>
      </c>
      <c r="J3159" s="22" t="s">
        <v>16206</v>
      </c>
      <c r="K3159" s="26">
        <f t="shared" si="49"/>
        <v>400</v>
      </c>
      <c r="L3159" s="26">
        <v>400</v>
      </c>
      <c r="O3159" s="22" t="s">
        <v>4458</v>
      </c>
      <c r="P3159" s="22" t="s">
        <v>6558</v>
      </c>
      <c r="Q3159" s="22">
        <v>92103</v>
      </c>
      <c r="X3159" s="26"/>
      <c r="Y3159" s="26"/>
    </row>
    <row r="3160" spans="1:25" ht="25" x14ac:dyDescent="0.25">
      <c r="A3160" s="21">
        <v>3400</v>
      </c>
      <c r="B3160" s="22" t="s">
        <v>15338</v>
      </c>
      <c r="C3160" s="22" t="s">
        <v>4459</v>
      </c>
      <c r="F3160" s="22">
        <v>974637</v>
      </c>
      <c r="G3160" s="23" t="s">
        <v>4460</v>
      </c>
      <c r="H3160" s="25" t="s">
        <v>15373</v>
      </c>
      <c r="I3160" s="22" t="s">
        <v>15374</v>
      </c>
      <c r="J3160" s="22">
        <v>3412</v>
      </c>
      <c r="K3160" s="26">
        <f t="shared" si="49"/>
        <v>721</v>
      </c>
      <c r="L3160" s="26">
        <v>721</v>
      </c>
      <c r="O3160" s="22" t="s">
        <v>5705</v>
      </c>
      <c r="P3160" s="22" t="s">
        <v>6558</v>
      </c>
      <c r="Q3160" s="22">
        <v>92121</v>
      </c>
      <c r="X3160" s="26"/>
      <c r="Y3160" s="26"/>
    </row>
    <row r="3161" spans="1:25" ht="62.5" x14ac:dyDescent="0.25">
      <c r="A3161" s="21">
        <v>3401</v>
      </c>
      <c r="B3161" s="22" t="s">
        <v>15338</v>
      </c>
      <c r="C3161" s="22" t="s">
        <v>4461</v>
      </c>
      <c r="F3161" s="22">
        <v>890869</v>
      </c>
      <c r="G3161" s="23" t="s">
        <v>4462</v>
      </c>
      <c r="H3161" s="25" t="s">
        <v>15373</v>
      </c>
      <c r="I3161" s="22" t="s">
        <v>15374</v>
      </c>
      <c r="J3161" s="22" t="s">
        <v>16404</v>
      </c>
      <c r="K3161" s="26">
        <f t="shared" si="49"/>
        <v>400</v>
      </c>
      <c r="L3161" s="26">
        <v>400</v>
      </c>
      <c r="O3161" s="22" t="s">
        <v>4463</v>
      </c>
      <c r="P3161" s="22" t="s">
        <v>6558</v>
      </c>
      <c r="Q3161" s="22">
        <v>92101</v>
      </c>
      <c r="S3161" s="22" t="s">
        <v>4464</v>
      </c>
      <c r="X3161" s="26"/>
      <c r="Y3161" s="26"/>
    </row>
    <row r="3162" spans="1:25" ht="25" x14ac:dyDescent="0.25">
      <c r="A3162" s="21">
        <v>3402</v>
      </c>
      <c r="B3162" s="22" t="s">
        <v>15338</v>
      </c>
      <c r="C3162" s="22" t="s">
        <v>4465</v>
      </c>
      <c r="F3162" s="22">
        <v>975368</v>
      </c>
      <c r="G3162" s="23" t="s">
        <v>4466</v>
      </c>
      <c r="H3162" s="25" t="s">
        <v>15373</v>
      </c>
      <c r="I3162" s="22" t="s">
        <v>4467</v>
      </c>
      <c r="J3162" s="22" t="s">
        <v>17496</v>
      </c>
      <c r="K3162" s="26">
        <f t="shared" si="49"/>
        <v>972</v>
      </c>
      <c r="L3162" s="26">
        <v>972</v>
      </c>
      <c r="O3162" s="22" t="s">
        <v>4468</v>
      </c>
      <c r="P3162" s="22" t="s">
        <v>5595</v>
      </c>
      <c r="Q3162" s="22">
        <v>92064</v>
      </c>
      <c r="X3162" s="26"/>
      <c r="Y3162" s="26"/>
    </row>
    <row r="3163" spans="1:25" ht="37.5" x14ac:dyDescent="0.25">
      <c r="A3163" s="21">
        <v>3403</v>
      </c>
      <c r="B3163" s="22" t="s">
        <v>15338</v>
      </c>
      <c r="C3163" s="22" t="s">
        <v>4469</v>
      </c>
      <c r="F3163" s="22">
        <v>975209</v>
      </c>
      <c r="G3163" s="23" t="s">
        <v>4470</v>
      </c>
      <c r="H3163" s="25" t="s">
        <v>15373</v>
      </c>
      <c r="I3163" s="22" t="s">
        <v>16421</v>
      </c>
      <c r="J3163" s="22" t="s">
        <v>4471</v>
      </c>
      <c r="K3163" s="26">
        <f t="shared" si="49"/>
        <v>738</v>
      </c>
      <c r="L3163" s="26">
        <v>738</v>
      </c>
      <c r="O3163" s="22" t="s">
        <v>4472</v>
      </c>
      <c r="P3163" s="22" t="s">
        <v>6558</v>
      </c>
      <c r="Q3163" s="22">
        <v>92121</v>
      </c>
      <c r="X3163" s="26"/>
      <c r="Y3163" s="26"/>
    </row>
    <row r="3164" spans="1:25" ht="50" x14ac:dyDescent="0.25">
      <c r="A3164" s="21">
        <v>3404</v>
      </c>
      <c r="B3164" s="22" t="s">
        <v>15338</v>
      </c>
      <c r="C3164" s="22" t="s">
        <v>4473</v>
      </c>
      <c r="F3164" s="22">
        <v>901225</v>
      </c>
      <c r="G3164" s="23" t="s">
        <v>4474</v>
      </c>
      <c r="H3164" s="25" t="s">
        <v>15373</v>
      </c>
      <c r="I3164" s="22" t="s">
        <v>15411</v>
      </c>
      <c r="J3164" s="22" t="s">
        <v>15744</v>
      </c>
      <c r="K3164" s="26">
        <f t="shared" si="49"/>
        <v>750</v>
      </c>
      <c r="L3164" s="26">
        <v>750</v>
      </c>
      <c r="O3164" s="22" t="s">
        <v>4475</v>
      </c>
      <c r="P3164" s="22" t="s">
        <v>6558</v>
      </c>
      <c r="Q3164" s="22">
        <v>92121</v>
      </c>
      <c r="S3164" s="22" t="s">
        <v>4476</v>
      </c>
      <c r="X3164" s="26"/>
      <c r="Y3164" s="26"/>
    </row>
    <row r="3165" spans="1:25" ht="37.5" x14ac:dyDescent="0.25">
      <c r="A3165" s="21">
        <v>3405</v>
      </c>
      <c r="B3165" s="22" t="s">
        <v>15338</v>
      </c>
      <c r="C3165" s="22" t="s">
        <v>4477</v>
      </c>
      <c r="F3165" s="22">
        <v>975746</v>
      </c>
      <c r="G3165" s="23" t="s">
        <v>4478</v>
      </c>
      <c r="H3165" s="25" t="s">
        <v>15373</v>
      </c>
      <c r="I3165" s="22" t="s">
        <v>16421</v>
      </c>
      <c r="J3165" s="22">
        <v>400</v>
      </c>
      <c r="K3165" s="26">
        <f t="shared" si="49"/>
        <v>390</v>
      </c>
      <c r="L3165" s="26">
        <v>390</v>
      </c>
      <c r="O3165" s="22" t="s">
        <v>4479</v>
      </c>
      <c r="P3165" s="22" t="s">
        <v>6558</v>
      </c>
      <c r="Q3165" s="22">
        <v>92111</v>
      </c>
      <c r="X3165" s="26"/>
      <c r="Y3165" s="26"/>
    </row>
    <row r="3166" spans="1:25" ht="25" x14ac:dyDescent="0.25">
      <c r="A3166" s="21">
        <v>3406</v>
      </c>
      <c r="B3166" s="22" t="s">
        <v>15338</v>
      </c>
      <c r="C3166" s="22" t="s">
        <v>4480</v>
      </c>
      <c r="F3166" s="22">
        <v>972885</v>
      </c>
      <c r="G3166" s="23" t="s">
        <v>4481</v>
      </c>
      <c r="H3166" s="25" t="s">
        <v>15373</v>
      </c>
      <c r="I3166" s="22" t="s">
        <v>15411</v>
      </c>
      <c r="J3166" s="22" t="s">
        <v>15412</v>
      </c>
      <c r="K3166" s="26">
        <f t="shared" si="49"/>
        <v>616</v>
      </c>
      <c r="L3166" s="26">
        <v>616</v>
      </c>
      <c r="O3166" s="22" t="s">
        <v>4482</v>
      </c>
      <c r="P3166" s="22" t="s">
        <v>6558</v>
      </c>
      <c r="Q3166" s="22">
        <v>92111</v>
      </c>
      <c r="X3166" s="26"/>
      <c r="Y3166" s="26"/>
    </row>
    <row r="3167" spans="1:25" ht="25" x14ac:dyDescent="0.25">
      <c r="A3167" s="21">
        <v>3407</v>
      </c>
      <c r="B3167" s="22" t="s">
        <v>15338</v>
      </c>
      <c r="C3167" s="22" t="s">
        <v>4480</v>
      </c>
      <c r="F3167" s="22">
        <v>973124</v>
      </c>
      <c r="G3167" s="23" t="s">
        <v>4483</v>
      </c>
      <c r="H3167" s="25" t="s">
        <v>15373</v>
      </c>
      <c r="I3167" s="22" t="s">
        <v>15411</v>
      </c>
      <c r="J3167" s="22" t="s">
        <v>15412</v>
      </c>
      <c r="K3167" s="26">
        <f t="shared" si="49"/>
        <v>616</v>
      </c>
      <c r="L3167" s="26">
        <v>616</v>
      </c>
      <c r="O3167" s="22" t="s">
        <v>4482</v>
      </c>
      <c r="P3167" s="22" t="s">
        <v>6558</v>
      </c>
      <c r="Q3167" s="22">
        <v>92111</v>
      </c>
      <c r="X3167" s="26"/>
      <c r="Y3167" s="26"/>
    </row>
    <row r="3168" spans="1:25" ht="25" x14ac:dyDescent="0.25">
      <c r="A3168" s="21">
        <v>3408</v>
      </c>
      <c r="B3168" s="22" t="s">
        <v>15338</v>
      </c>
      <c r="C3168" s="22" t="s">
        <v>4484</v>
      </c>
      <c r="F3168" s="22">
        <v>972093</v>
      </c>
      <c r="G3168" s="23" t="s">
        <v>4485</v>
      </c>
      <c r="H3168" s="25" t="s">
        <v>15373</v>
      </c>
      <c r="I3168" s="22" t="s">
        <v>16907</v>
      </c>
      <c r="J3168" s="22" t="s">
        <v>4486</v>
      </c>
      <c r="K3168" s="26">
        <f t="shared" si="49"/>
        <v>308</v>
      </c>
      <c r="L3168" s="26">
        <v>308</v>
      </c>
      <c r="O3168" s="22" t="s">
        <v>4487</v>
      </c>
      <c r="P3168" s="22" t="s">
        <v>6558</v>
      </c>
      <c r="Q3168" s="22">
        <v>92121</v>
      </c>
      <c r="X3168" s="26"/>
      <c r="Y3168" s="26"/>
    </row>
    <row r="3169" spans="1:25" ht="50" x14ac:dyDescent="0.25">
      <c r="A3169" s="21">
        <v>3409</v>
      </c>
      <c r="B3169" s="22" t="s">
        <v>15338</v>
      </c>
      <c r="C3169" s="22" t="s">
        <v>4488</v>
      </c>
      <c r="F3169" s="22">
        <v>920443</v>
      </c>
      <c r="G3169" s="23" t="s">
        <v>4489</v>
      </c>
      <c r="H3169" s="25" t="s">
        <v>15373</v>
      </c>
      <c r="I3169" s="22" t="s">
        <v>15374</v>
      </c>
      <c r="J3169" s="22">
        <v>3512</v>
      </c>
      <c r="K3169" s="26">
        <f t="shared" si="49"/>
        <v>963</v>
      </c>
      <c r="L3169" s="26">
        <v>963</v>
      </c>
      <c r="O3169" s="22" t="s">
        <v>4490</v>
      </c>
      <c r="P3169" s="22" t="s">
        <v>5498</v>
      </c>
      <c r="Q3169" s="22">
        <v>92056</v>
      </c>
      <c r="S3169" s="22" t="s">
        <v>4491</v>
      </c>
      <c r="X3169" s="26"/>
      <c r="Y3169" s="26"/>
    </row>
    <row r="3170" spans="1:25" ht="37.5" x14ac:dyDescent="0.25">
      <c r="A3170" s="21">
        <v>3410</v>
      </c>
      <c r="B3170" s="22" t="s">
        <v>15338</v>
      </c>
      <c r="C3170" s="22" t="s">
        <v>4488</v>
      </c>
      <c r="F3170" s="22">
        <v>890598</v>
      </c>
      <c r="G3170" s="23" t="s">
        <v>4492</v>
      </c>
      <c r="H3170" s="25" t="s">
        <v>15373</v>
      </c>
      <c r="I3170" s="22" t="s">
        <v>15382</v>
      </c>
      <c r="J3170" s="22" t="s">
        <v>14716</v>
      </c>
      <c r="K3170" s="26">
        <f t="shared" si="49"/>
        <v>600</v>
      </c>
      <c r="L3170" s="26">
        <v>600</v>
      </c>
      <c r="O3170" s="22" t="s">
        <v>4490</v>
      </c>
      <c r="P3170" s="22" t="s">
        <v>5498</v>
      </c>
      <c r="Q3170" s="22">
        <v>92056</v>
      </c>
      <c r="S3170" s="22" t="s">
        <v>4491</v>
      </c>
      <c r="X3170" s="26"/>
      <c r="Y3170" s="26"/>
    </row>
    <row r="3171" spans="1:25" ht="25" x14ac:dyDescent="0.25">
      <c r="A3171" s="21">
        <v>3411</v>
      </c>
      <c r="B3171" s="22" t="s">
        <v>15338</v>
      </c>
      <c r="C3171" s="22" t="s">
        <v>4488</v>
      </c>
      <c r="F3171" s="22">
        <v>974520</v>
      </c>
      <c r="G3171" s="23" t="s">
        <v>4493</v>
      </c>
      <c r="H3171" s="25" t="s">
        <v>15373</v>
      </c>
      <c r="I3171" s="22" t="s">
        <v>15382</v>
      </c>
      <c r="J3171" s="22" t="s">
        <v>4494</v>
      </c>
      <c r="K3171" s="26">
        <f t="shared" si="49"/>
        <v>348</v>
      </c>
      <c r="L3171" s="26">
        <v>348</v>
      </c>
      <c r="O3171" s="22" t="s">
        <v>4490</v>
      </c>
      <c r="P3171" s="22" t="s">
        <v>5498</v>
      </c>
      <c r="Q3171" s="22">
        <v>92056</v>
      </c>
      <c r="S3171" s="22" t="s">
        <v>4491</v>
      </c>
      <c r="X3171" s="26"/>
      <c r="Y3171" s="26"/>
    </row>
    <row r="3172" spans="1:25" ht="25" x14ac:dyDescent="0.25">
      <c r="A3172" s="21">
        <v>3412</v>
      </c>
      <c r="B3172" s="22" t="s">
        <v>15338</v>
      </c>
      <c r="C3172" s="22" t="s">
        <v>4488</v>
      </c>
      <c r="F3172" s="22">
        <v>974521</v>
      </c>
      <c r="G3172" s="23" t="s">
        <v>4495</v>
      </c>
      <c r="H3172" s="25" t="s">
        <v>15373</v>
      </c>
      <c r="I3172" s="22" t="s">
        <v>15382</v>
      </c>
      <c r="J3172" s="22" t="s">
        <v>4494</v>
      </c>
      <c r="K3172" s="26">
        <f t="shared" si="49"/>
        <v>348</v>
      </c>
      <c r="L3172" s="26">
        <v>348</v>
      </c>
      <c r="O3172" s="22" t="s">
        <v>4490</v>
      </c>
      <c r="P3172" s="22" t="s">
        <v>5498</v>
      </c>
      <c r="Q3172" s="22">
        <v>92056</v>
      </c>
      <c r="S3172" s="22" t="s">
        <v>4491</v>
      </c>
      <c r="X3172" s="26"/>
      <c r="Y3172" s="26"/>
    </row>
    <row r="3173" spans="1:25" ht="37.5" x14ac:dyDescent="0.25">
      <c r="A3173" s="21">
        <v>3413</v>
      </c>
      <c r="B3173" s="22" t="s">
        <v>15338</v>
      </c>
      <c r="C3173" s="22" t="s">
        <v>4496</v>
      </c>
      <c r="E3173" s="24">
        <v>1994</v>
      </c>
      <c r="F3173" s="22">
        <v>972338</v>
      </c>
      <c r="G3173" s="23" t="s">
        <v>4497</v>
      </c>
      <c r="H3173" s="25" t="s">
        <v>15373</v>
      </c>
      <c r="I3173" s="22" t="s">
        <v>15374</v>
      </c>
      <c r="J3173" s="22" t="s">
        <v>4498</v>
      </c>
      <c r="K3173" s="26">
        <f t="shared" si="49"/>
        <v>1409</v>
      </c>
      <c r="L3173" s="26">
        <v>1409</v>
      </c>
      <c r="O3173" s="22" t="s">
        <v>4499</v>
      </c>
      <c r="P3173" s="22" t="s">
        <v>6558</v>
      </c>
      <c r="Q3173" s="22" t="s">
        <v>4500</v>
      </c>
      <c r="R3173" s="22" t="s">
        <v>4501</v>
      </c>
      <c r="S3173" s="22" t="s">
        <v>4502</v>
      </c>
      <c r="X3173" s="26"/>
      <c r="Y3173" s="26"/>
    </row>
    <row r="3174" spans="1:25" ht="50" x14ac:dyDescent="0.25">
      <c r="A3174" s="21">
        <v>3414</v>
      </c>
      <c r="B3174" s="22" t="s">
        <v>15338</v>
      </c>
      <c r="C3174" s="22" t="s">
        <v>4496</v>
      </c>
      <c r="E3174" s="24">
        <v>1994</v>
      </c>
      <c r="F3174" s="22">
        <v>972353</v>
      </c>
      <c r="G3174" s="23" t="s">
        <v>4503</v>
      </c>
      <c r="H3174" s="25" t="s">
        <v>15373</v>
      </c>
      <c r="I3174" s="22" t="s">
        <v>15374</v>
      </c>
      <c r="J3174" s="22" t="s">
        <v>4498</v>
      </c>
      <c r="K3174" s="26">
        <f t="shared" si="49"/>
        <v>1409</v>
      </c>
      <c r="L3174" s="26">
        <v>1409</v>
      </c>
      <c r="O3174" s="22" t="s">
        <v>4499</v>
      </c>
      <c r="P3174" s="22" t="s">
        <v>6558</v>
      </c>
      <c r="Q3174" s="22" t="s">
        <v>4500</v>
      </c>
      <c r="R3174" s="22" t="s">
        <v>4501</v>
      </c>
      <c r="S3174" s="22" t="s">
        <v>4502</v>
      </c>
      <c r="X3174" s="26"/>
      <c r="Y3174" s="26"/>
    </row>
    <row r="3175" spans="1:25" ht="50" x14ac:dyDescent="0.25">
      <c r="A3175" s="21">
        <v>3415</v>
      </c>
      <c r="B3175" s="22" t="s">
        <v>15338</v>
      </c>
      <c r="C3175" s="22" t="s">
        <v>4496</v>
      </c>
      <c r="E3175" s="24">
        <v>1994</v>
      </c>
      <c r="F3175" s="22">
        <v>972350</v>
      </c>
      <c r="G3175" s="23" t="s">
        <v>4504</v>
      </c>
      <c r="H3175" s="25" t="s">
        <v>15373</v>
      </c>
      <c r="I3175" s="22" t="s">
        <v>15374</v>
      </c>
      <c r="J3175" s="22" t="s">
        <v>15420</v>
      </c>
      <c r="K3175" s="26">
        <f t="shared" si="49"/>
        <v>941</v>
      </c>
      <c r="L3175" s="26">
        <v>941</v>
      </c>
      <c r="O3175" s="22" t="s">
        <v>4499</v>
      </c>
      <c r="P3175" s="22" t="s">
        <v>6558</v>
      </c>
      <c r="Q3175" s="22" t="s">
        <v>4500</v>
      </c>
      <c r="R3175" s="22" t="s">
        <v>4501</v>
      </c>
      <c r="S3175" s="22" t="s">
        <v>4502</v>
      </c>
      <c r="X3175" s="26"/>
      <c r="Y3175" s="26"/>
    </row>
    <row r="3176" spans="1:25" ht="37.5" x14ac:dyDescent="0.25">
      <c r="A3176" s="21">
        <v>3416</v>
      </c>
      <c r="B3176" s="22" t="s">
        <v>15338</v>
      </c>
      <c r="C3176" s="22" t="s">
        <v>4496</v>
      </c>
      <c r="E3176" s="24">
        <v>1994</v>
      </c>
      <c r="F3176" s="22">
        <v>972349</v>
      </c>
      <c r="G3176" s="23" t="s">
        <v>4505</v>
      </c>
      <c r="H3176" s="25" t="s">
        <v>15373</v>
      </c>
      <c r="I3176" s="22" t="s">
        <v>15374</v>
      </c>
      <c r="J3176" s="22" t="s">
        <v>16869</v>
      </c>
      <c r="K3176" s="26">
        <f t="shared" si="49"/>
        <v>579</v>
      </c>
      <c r="L3176" s="26">
        <v>579</v>
      </c>
      <c r="O3176" s="22" t="s">
        <v>4499</v>
      </c>
      <c r="P3176" s="22" t="s">
        <v>6558</v>
      </c>
      <c r="Q3176" s="22" t="s">
        <v>4500</v>
      </c>
      <c r="R3176" s="22" t="s">
        <v>4501</v>
      </c>
      <c r="S3176" s="22" t="s">
        <v>4502</v>
      </c>
      <c r="X3176" s="26"/>
      <c r="Y3176" s="26"/>
    </row>
    <row r="3177" spans="1:25" ht="50" x14ac:dyDescent="0.25">
      <c r="A3177" s="21">
        <v>3417</v>
      </c>
      <c r="B3177" s="22" t="s">
        <v>15338</v>
      </c>
      <c r="C3177" s="22" t="s">
        <v>4496</v>
      </c>
      <c r="E3177" s="24">
        <v>1994</v>
      </c>
      <c r="F3177" s="22">
        <v>972351</v>
      </c>
      <c r="G3177" s="23" t="s">
        <v>4506</v>
      </c>
      <c r="H3177" s="25" t="s">
        <v>15373</v>
      </c>
      <c r="I3177" s="22" t="s">
        <v>15374</v>
      </c>
      <c r="J3177" s="22" t="s">
        <v>16869</v>
      </c>
      <c r="K3177" s="26">
        <f t="shared" si="49"/>
        <v>579</v>
      </c>
      <c r="L3177" s="26">
        <v>579</v>
      </c>
      <c r="O3177" s="22" t="s">
        <v>4499</v>
      </c>
      <c r="P3177" s="22" t="s">
        <v>6558</v>
      </c>
      <c r="Q3177" s="22" t="s">
        <v>4500</v>
      </c>
      <c r="R3177" s="22" t="s">
        <v>4501</v>
      </c>
      <c r="S3177" s="22" t="s">
        <v>4502</v>
      </c>
      <c r="X3177" s="26"/>
      <c r="Y3177" s="26"/>
    </row>
    <row r="3178" spans="1:25" ht="50" x14ac:dyDescent="0.25">
      <c r="A3178" s="21">
        <v>3418</v>
      </c>
      <c r="B3178" s="22" t="s">
        <v>15338</v>
      </c>
      <c r="C3178" s="22" t="s">
        <v>4496</v>
      </c>
      <c r="E3178" s="24">
        <v>1994</v>
      </c>
      <c r="F3178" s="22">
        <v>972352</v>
      </c>
      <c r="G3178" s="23" t="s">
        <v>4507</v>
      </c>
      <c r="H3178" s="25" t="s">
        <v>15373</v>
      </c>
      <c r="I3178" s="22" t="s">
        <v>15374</v>
      </c>
      <c r="J3178" s="22" t="s">
        <v>16869</v>
      </c>
      <c r="K3178" s="26">
        <f t="shared" si="49"/>
        <v>579</v>
      </c>
      <c r="L3178" s="26">
        <v>579</v>
      </c>
      <c r="O3178" s="22" t="s">
        <v>4499</v>
      </c>
      <c r="P3178" s="22" t="s">
        <v>6558</v>
      </c>
      <c r="Q3178" s="22" t="s">
        <v>4500</v>
      </c>
      <c r="R3178" s="22" t="s">
        <v>4501</v>
      </c>
      <c r="S3178" s="22" t="s">
        <v>4502</v>
      </c>
      <c r="X3178" s="26"/>
      <c r="Y3178" s="26"/>
    </row>
    <row r="3179" spans="1:25" ht="37.5" x14ac:dyDescent="0.25">
      <c r="A3179" s="21">
        <v>3419</v>
      </c>
      <c r="B3179" s="22" t="s">
        <v>15338</v>
      </c>
      <c r="C3179" s="22" t="s">
        <v>4496</v>
      </c>
      <c r="E3179" s="24">
        <v>1996</v>
      </c>
      <c r="F3179" s="22">
        <v>972355</v>
      </c>
      <c r="G3179" s="23" t="s">
        <v>4508</v>
      </c>
      <c r="H3179" s="25" t="s">
        <v>15373</v>
      </c>
      <c r="I3179" s="22" t="s">
        <v>15374</v>
      </c>
      <c r="J3179" s="22">
        <v>3412</v>
      </c>
      <c r="K3179" s="26">
        <f t="shared" si="49"/>
        <v>487</v>
      </c>
      <c r="L3179" s="26">
        <v>487</v>
      </c>
      <c r="O3179" s="22" t="s">
        <v>4499</v>
      </c>
      <c r="P3179" s="22" t="s">
        <v>6558</v>
      </c>
      <c r="Q3179" s="22" t="s">
        <v>4500</v>
      </c>
      <c r="R3179" s="22" t="s">
        <v>4501</v>
      </c>
      <c r="S3179" s="22" t="s">
        <v>4502</v>
      </c>
      <c r="X3179" s="26"/>
      <c r="Y3179" s="26"/>
    </row>
    <row r="3180" spans="1:25" ht="37.5" x14ac:dyDescent="0.25">
      <c r="A3180" s="21">
        <v>3421</v>
      </c>
      <c r="B3180" s="22" t="s">
        <v>15338</v>
      </c>
      <c r="C3180" s="22" t="s">
        <v>4496</v>
      </c>
      <c r="E3180" s="24">
        <v>1991</v>
      </c>
      <c r="F3180" s="22">
        <v>972344</v>
      </c>
      <c r="G3180" s="23" t="s">
        <v>4509</v>
      </c>
      <c r="H3180" s="25" t="s">
        <v>15373</v>
      </c>
      <c r="I3180" s="22" t="s">
        <v>15374</v>
      </c>
      <c r="J3180" s="22">
        <v>3406</v>
      </c>
      <c r="K3180" s="26">
        <f t="shared" si="49"/>
        <v>382</v>
      </c>
      <c r="L3180" s="26">
        <v>382</v>
      </c>
      <c r="O3180" s="22" t="s">
        <v>4499</v>
      </c>
      <c r="P3180" s="22" t="s">
        <v>6558</v>
      </c>
      <c r="Q3180" s="22" t="s">
        <v>4500</v>
      </c>
      <c r="R3180" s="22" t="s">
        <v>4501</v>
      </c>
      <c r="S3180" s="22" t="s">
        <v>4502</v>
      </c>
      <c r="X3180" s="26"/>
      <c r="Y3180" s="26"/>
    </row>
    <row r="3181" spans="1:25" ht="50" x14ac:dyDescent="0.25">
      <c r="A3181" s="21">
        <v>3422</v>
      </c>
      <c r="B3181" s="22" t="s">
        <v>15338</v>
      </c>
      <c r="C3181" s="22" t="s">
        <v>4496</v>
      </c>
      <c r="E3181" s="24">
        <v>1995</v>
      </c>
      <c r="F3181" s="22">
        <v>972354</v>
      </c>
      <c r="G3181" s="23" t="s">
        <v>4510</v>
      </c>
      <c r="H3181" s="25" t="s">
        <v>15373</v>
      </c>
      <c r="I3181" s="22" t="s">
        <v>15374</v>
      </c>
      <c r="J3181" s="22">
        <v>3406</v>
      </c>
      <c r="K3181" s="26">
        <f t="shared" si="49"/>
        <v>300</v>
      </c>
      <c r="L3181" s="26">
        <v>300</v>
      </c>
      <c r="O3181" s="22" t="s">
        <v>4499</v>
      </c>
      <c r="P3181" s="22" t="s">
        <v>6558</v>
      </c>
      <c r="Q3181" s="22" t="s">
        <v>4500</v>
      </c>
      <c r="R3181" s="22" t="s">
        <v>4501</v>
      </c>
      <c r="S3181" s="22" t="s">
        <v>4502</v>
      </c>
      <c r="X3181" s="26"/>
      <c r="Y3181" s="26"/>
    </row>
    <row r="3182" spans="1:25" ht="37.5" x14ac:dyDescent="0.25">
      <c r="A3182" s="21">
        <v>3423</v>
      </c>
      <c r="B3182" s="22" t="s">
        <v>15338</v>
      </c>
      <c r="C3182" s="22" t="s">
        <v>4496</v>
      </c>
      <c r="E3182" s="24">
        <v>1995</v>
      </c>
      <c r="F3182" s="22">
        <v>972849</v>
      </c>
      <c r="G3182" s="23" t="s">
        <v>4511</v>
      </c>
      <c r="H3182" s="25" t="s">
        <v>15373</v>
      </c>
      <c r="I3182" s="22" t="s">
        <v>15382</v>
      </c>
      <c r="J3182" s="22" t="s">
        <v>4512</v>
      </c>
      <c r="K3182" s="26">
        <f t="shared" si="49"/>
        <v>393</v>
      </c>
      <c r="L3182" s="26">
        <v>393</v>
      </c>
      <c r="O3182" s="22" t="s">
        <v>4499</v>
      </c>
      <c r="P3182" s="22" t="s">
        <v>6558</v>
      </c>
      <c r="Q3182" s="22" t="s">
        <v>4500</v>
      </c>
      <c r="R3182" s="22" t="s">
        <v>4501</v>
      </c>
      <c r="S3182" s="22" t="s">
        <v>4502</v>
      </c>
      <c r="X3182" s="26"/>
      <c r="Y3182" s="26"/>
    </row>
    <row r="3183" spans="1:25" ht="37.5" x14ac:dyDescent="0.25">
      <c r="A3183" s="21">
        <v>3424</v>
      </c>
      <c r="B3183" s="22" t="s">
        <v>15338</v>
      </c>
      <c r="C3183" s="22" t="s">
        <v>4496</v>
      </c>
      <c r="F3183" s="22">
        <v>972339</v>
      </c>
      <c r="G3183" s="23" t="s">
        <v>4513</v>
      </c>
      <c r="H3183" s="25" t="s">
        <v>15373</v>
      </c>
      <c r="I3183" s="22" t="s">
        <v>15382</v>
      </c>
      <c r="J3183" s="22" t="s">
        <v>18317</v>
      </c>
      <c r="K3183" s="26">
        <f t="shared" si="49"/>
        <v>348</v>
      </c>
      <c r="L3183" s="26">
        <v>348</v>
      </c>
      <c r="O3183" s="22" t="s">
        <v>4499</v>
      </c>
      <c r="P3183" s="22" t="s">
        <v>6558</v>
      </c>
      <c r="Q3183" s="22" t="s">
        <v>4500</v>
      </c>
      <c r="R3183" s="22" t="s">
        <v>4501</v>
      </c>
      <c r="S3183" s="22" t="s">
        <v>4502</v>
      </c>
      <c r="X3183" s="26"/>
      <c r="Y3183" s="26"/>
    </row>
    <row r="3184" spans="1:25" ht="37.5" x14ac:dyDescent="0.25">
      <c r="A3184" s="21">
        <v>3425</v>
      </c>
      <c r="B3184" s="22" t="s">
        <v>15338</v>
      </c>
      <c r="C3184" s="22" t="s">
        <v>4496</v>
      </c>
      <c r="F3184" s="22">
        <v>972341</v>
      </c>
      <c r="G3184" s="23" t="s">
        <v>4514</v>
      </c>
      <c r="H3184" s="25" t="s">
        <v>15373</v>
      </c>
      <c r="I3184" s="22" t="s">
        <v>15382</v>
      </c>
      <c r="J3184" s="22" t="s">
        <v>16861</v>
      </c>
      <c r="K3184" s="26">
        <f t="shared" si="49"/>
        <v>348</v>
      </c>
      <c r="L3184" s="26">
        <v>348</v>
      </c>
      <c r="O3184" s="22" t="s">
        <v>4499</v>
      </c>
      <c r="P3184" s="22" t="s">
        <v>6558</v>
      </c>
      <c r="Q3184" s="22" t="s">
        <v>4500</v>
      </c>
      <c r="R3184" s="22" t="s">
        <v>4501</v>
      </c>
      <c r="S3184" s="22" t="s">
        <v>4502</v>
      </c>
      <c r="X3184" s="26"/>
      <c r="Y3184" s="26"/>
    </row>
    <row r="3185" spans="1:25" ht="37.5" x14ac:dyDescent="0.25">
      <c r="A3185" s="21">
        <v>3426</v>
      </c>
      <c r="B3185" s="22" t="s">
        <v>15338</v>
      </c>
      <c r="C3185" s="22" t="s">
        <v>4496</v>
      </c>
      <c r="F3185" s="22">
        <v>972347</v>
      </c>
      <c r="G3185" s="23" t="s">
        <v>4515</v>
      </c>
      <c r="H3185" s="25" t="s">
        <v>15373</v>
      </c>
      <c r="I3185" s="22" t="s">
        <v>15411</v>
      </c>
      <c r="J3185" s="22" t="s">
        <v>15744</v>
      </c>
      <c r="K3185" s="26">
        <f t="shared" si="49"/>
        <v>801</v>
      </c>
      <c r="L3185" s="26">
        <v>801</v>
      </c>
      <c r="O3185" s="22" t="s">
        <v>4499</v>
      </c>
      <c r="P3185" s="22" t="s">
        <v>6558</v>
      </c>
      <c r="Q3185" s="22" t="s">
        <v>4500</v>
      </c>
      <c r="R3185" s="22" t="s">
        <v>4501</v>
      </c>
      <c r="S3185" s="22" t="s">
        <v>4502</v>
      </c>
      <c r="X3185" s="26"/>
      <c r="Y3185" s="26"/>
    </row>
    <row r="3186" spans="1:25" ht="50" x14ac:dyDescent="0.25">
      <c r="A3186" s="21">
        <v>3427</v>
      </c>
      <c r="B3186" s="22" t="s">
        <v>15338</v>
      </c>
      <c r="C3186" s="22" t="s">
        <v>4496</v>
      </c>
      <c r="E3186" s="24">
        <v>1992</v>
      </c>
      <c r="F3186" s="22">
        <v>972343</v>
      </c>
      <c r="G3186" s="23" t="s">
        <v>4516</v>
      </c>
      <c r="H3186" s="25" t="s">
        <v>15373</v>
      </c>
      <c r="I3186" s="22" t="s">
        <v>15411</v>
      </c>
      <c r="J3186" s="22" t="s">
        <v>15412</v>
      </c>
      <c r="K3186" s="26">
        <f t="shared" si="49"/>
        <v>540</v>
      </c>
      <c r="L3186" s="26">
        <v>540</v>
      </c>
      <c r="O3186" s="22" t="s">
        <v>4499</v>
      </c>
      <c r="P3186" s="22" t="s">
        <v>6558</v>
      </c>
      <c r="Q3186" s="22" t="s">
        <v>4500</v>
      </c>
      <c r="R3186" s="22" t="s">
        <v>4501</v>
      </c>
      <c r="S3186" s="22" t="s">
        <v>4502</v>
      </c>
      <c r="X3186" s="26"/>
      <c r="Y3186" s="26"/>
    </row>
    <row r="3187" spans="1:25" ht="25" x14ac:dyDescent="0.25">
      <c r="A3187" s="21">
        <v>3428</v>
      </c>
      <c r="B3187" s="22" t="s">
        <v>15338</v>
      </c>
      <c r="C3187" s="22" t="s">
        <v>4517</v>
      </c>
      <c r="F3187" s="22">
        <v>40179</v>
      </c>
      <c r="G3187" s="23" t="s">
        <v>4518</v>
      </c>
      <c r="H3187" s="25" t="s">
        <v>15373</v>
      </c>
      <c r="I3187" s="22" t="s">
        <v>15374</v>
      </c>
      <c r="J3187" s="22" t="s">
        <v>16899</v>
      </c>
      <c r="K3187" s="26">
        <f t="shared" si="49"/>
        <v>660</v>
      </c>
      <c r="L3187" s="26">
        <v>660</v>
      </c>
      <c r="O3187" s="22" t="s">
        <v>4519</v>
      </c>
      <c r="P3187" s="22" t="s">
        <v>6558</v>
      </c>
      <c r="Q3187" s="22">
        <v>92103</v>
      </c>
      <c r="S3187" s="22" t="s">
        <v>4520</v>
      </c>
      <c r="X3187" s="26"/>
      <c r="Y3187" s="26"/>
    </row>
    <row r="3188" spans="1:25" ht="25" x14ac:dyDescent="0.25">
      <c r="A3188" s="21">
        <v>3429</v>
      </c>
      <c r="B3188" s="22" t="s">
        <v>15338</v>
      </c>
      <c r="C3188" s="22" t="s">
        <v>4517</v>
      </c>
      <c r="F3188" s="22">
        <v>40180</v>
      </c>
      <c r="G3188" s="23" t="s">
        <v>4521</v>
      </c>
      <c r="H3188" s="25" t="s">
        <v>15373</v>
      </c>
      <c r="I3188" s="22" t="s">
        <v>15374</v>
      </c>
      <c r="J3188" s="22" t="s">
        <v>16899</v>
      </c>
      <c r="K3188" s="26">
        <f t="shared" si="49"/>
        <v>660</v>
      </c>
      <c r="L3188" s="26">
        <v>660</v>
      </c>
      <c r="O3188" s="22" t="s">
        <v>4519</v>
      </c>
      <c r="P3188" s="22" t="s">
        <v>6558</v>
      </c>
      <c r="Q3188" s="22">
        <v>92103</v>
      </c>
      <c r="S3188" s="22" t="s">
        <v>4520</v>
      </c>
      <c r="X3188" s="26"/>
      <c r="Y3188" s="26"/>
    </row>
    <row r="3189" spans="1:25" ht="37.5" x14ac:dyDescent="0.25">
      <c r="A3189" s="21">
        <v>3430</v>
      </c>
      <c r="B3189" s="22" t="s">
        <v>15338</v>
      </c>
      <c r="C3189" s="22" t="s">
        <v>4517</v>
      </c>
      <c r="F3189" s="22">
        <v>900846</v>
      </c>
      <c r="G3189" s="23" t="s">
        <v>4522</v>
      </c>
      <c r="H3189" s="25" t="s">
        <v>15373</v>
      </c>
      <c r="I3189" s="22" t="s">
        <v>15374</v>
      </c>
      <c r="J3189" s="22" t="s">
        <v>16869</v>
      </c>
      <c r="K3189" s="26">
        <f t="shared" si="49"/>
        <v>660</v>
      </c>
      <c r="L3189" s="26">
        <v>660</v>
      </c>
      <c r="O3189" s="22" t="s">
        <v>4519</v>
      </c>
      <c r="P3189" s="22" t="s">
        <v>6558</v>
      </c>
      <c r="Q3189" s="22">
        <v>92103</v>
      </c>
      <c r="S3189" s="22" t="s">
        <v>4520</v>
      </c>
      <c r="X3189" s="26"/>
      <c r="Y3189" s="26"/>
    </row>
    <row r="3190" spans="1:25" ht="25" x14ac:dyDescent="0.25">
      <c r="A3190" s="21">
        <v>3431</v>
      </c>
      <c r="B3190" s="22" t="s">
        <v>15338</v>
      </c>
      <c r="C3190" s="22" t="s">
        <v>4523</v>
      </c>
      <c r="F3190" s="22">
        <v>972771</v>
      </c>
      <c r="G3190" s="23" t="s">
        <v>4524</v>
      </c>
      <c r="H3190" s="25" t="s">
        <v>15373</v>
      </c>
      <c r="I3190" s="22" t="s">
        <v>15374</v>
      </c>
      <c r="J3190" s="22" t="s">
        <v>4251</v>
      </c>
      <c r="K3190" s="26">
        <f t="shared" si="49"/>
        <v>946</v>
      </c>
      <c r="L3190" s="26">
        <v>946</v>
      </c>
      <c r="O3190" s="22" t="s">
        <v>4525</v>
      </c>
      <c r="P3190" s="22" t="s">
        <v>6566</v>
      </c>
      <c r="Q3190" s="22">
        <v>92093</v>
      </c>
      <c r="S3190" s="22" t="s">
        <v>4526</v>
      </c>
      <c r="X3190" s="26"/>
      <c r="Y3190" s="26"/>
    </row>
    <row r="3191" spans="1:25" ht="25" x14ac:dyDescent="0.25">
      <c r="A3191" s="21">
        <v>3432</v>
      </c>
      <c r="B3191" s="22" t="s">
        <v>15338</v>
      </c>
      <c r="C3191" s="22" t="s">
        <v>4523</v>
      </c>
      <c r="F3191" s="22">
        <v>972772</v>
      </c>
      <c r="G3191" s="23" t="s">
        <v>4527</v>
      </c>
      <c r="H3191" s="25" t="s">
        <v>15373</v>
      </c>
      <c r="I3191" s="22" t="s">
        <v>15374</v>
      </c>
      <c r="J3191" s="22" t="s">
        <v>4251</v>
      </c>
      <c r="K3191" s="26">
        <f t="shared" si="49"/>
        <v>946</v>
      </c>
      <c r="L3191" s="26">
        <v>946</v>
      </c>
      <c r="O3191" s="22" t="s">
        <v>4525</v>
      </c>
      <c r="P3191" s="22" t="s">
        <v>6566</v>
      </c>
      <c r="Q3191" s="22">
        <v>92093</v>
      </c>
      <c r="S3191" s="22" t="s">
        <v>4526</v>
      </c>
      <c r="X3191" s="26"/>
      <c r="Y3191" s="26"/>
    </row>
    <row r="3192" spans="1:25" ht="50" x14ac:dyDescent="0.25">
      <c r="A3192" s="21">
        <v>3433</v>
      </c>
      <c r="B3192" s="22" t="s">
        <v>15338</v>
      </c>
      <c r="C3192" s="22" t="s">
        <v>4528</v>
      </c>
      <c r="F3192" s="22">
        <v>20542</v>
      </c>
      <c r="G3192" s="23" t="s">
        <v>4529</v>
      </c>
      <c r="H3192" s="25" t="s">
        <v>15373</v>
      </c>
      <c r="I3192" s="22" t="s">
        <v>15374</v>
      </c>
      <c r="J3192" s="22" t="s">
        <v>4530</v>
      </c>
      <c r="K3192" s="26">
        <f t="shared" si="49"/>
        <v>750</v>
      </c>
      <c r="L3192" s="26">
        <v>750</v>
      </c>
      <c r="O3192" s="22" t="s">
        <v>4531</v>
      </c>
      <c r="P3192" s="22" t="s">
        <v>6558</v>
      </c>
      <c r="Q3192" s="22">
        <v>92101</v>
      </c>
      <c r="S3192" s="22" t="s">
        <v>4532</v>
      </c>
      <c r="X3192" s="26"/>
      <c r="Y3192" s="26"/>
    </row>
    <row r="3193" spans="1:25" ht="37.5" x14ac:dyDescent="0.25">
      <c r="A3193" s="21">
        <v>3434</v>
      </c>
      <c r="B3193" s="22" t="s">
        <v>15338</v>
      </c>
      <c r="C3193" s="22" t="s">
        <v>4528</v>
      </c>
      <c r="F3193" s="22">
        <v>950830</v>
      </c>
      <c r="G3193" s="23" t="s">
        <v>4533</v>
      </c>
      <c r="H3193" s="25" t="s">
        <v>15373</v>
      </c>
      <c r="I3193" s="22" t="s">
        <v>15374</v>
      </c>
      <c r="J3193" s="22">
        <v>3412</v>
      </c>
      <c r="K3193" s="26">
        <f t="shared" si="49"/>
        <v>500</v>
      </c>
      <c r="L3193" s="26">
        <v>500</v>
      </c>
      <c r="O3193" s="22" t="s">
        <v>4534</v>
      </c>
      <c r="P3193" s="22" t="s">
        <v>6558</v>
      </c>
      <c r="Q3193" s="22">
        <v>92101</v>
      </c>
      <c r="S3193" s="22" t="s">
        <v>4535</v>
      </c>
      <c r="X3193" s="26"/>
      <c r="Y3193" s="26"/>
    </row>
    <row r="3194" spans="1:25" ht="25" x14ac:dyDescent="0.25">
      <c r="A3194" s="21">
        <v>3435</v>
      </c>
      <c r="B3194" s="22" t="s">
        <v>15338</v>
      </c>
      <c r="C3194" s="22" t="s">
        <v>4528</v>
      </c>
      <c r="F3194" s="22">
        <v>960331</v>
      </c>
      <c r="G3194" s="23" t="s">
        <v>4536</v>
      </c>
      <c r="H3194" s="25" t="s">
        <v>15373</v>
      </c>
      <c r="I3194" s="22" t="s">
        <v>15374</v>
      </c>
      <c r="J3194" s="22">
        <v>3412</v>
      </c>
      <c r="K3194" s="26">
        <f t="shared" si="49"/>
        <v>490</v>
      </c>
      <c r="L3194" s="26">
        <v>490</v>
      </c>
      <c r="O3194" s="22" t="s">
        <v>4531</v>
      </c>
      <c r="P3194" s="22" t="s">
        <v>6558</v>
      </c>
      <c r="Q3194" s="22">
        <v>92101</v>
      </c>
      <c r="S3194" s="22" t="s">
        <v>4532</v>
      </c>
      <c r="X3194" s="26"/>
      <c r="Y3194" s="26"/>
    </row>
    <row r="3195" spans="1:25" ht="37.5" x14ac:dyDescent="0.25">
      <c r="A3195" s="21">
        <v>3436</v>
      </c>
      <c r="B3195" s="22" t="s">
        <v>15338</v>
      </c>
      <c r="C3195" s="22" t="s">
        <v>4537</v>
      </c>
      <c r="F3195" s="22">
        <v>41105</v>
      </c>
      <c r="G3195" s="23" t="s">
        <v>4538</v>
      </c>
      <c r="H3195" s="25" t="s">
        <v>15373</v>
      </c>
      <c r="I3195" s="22" t="s">
        <v>15382</v>
      </c>
      <c r="J3195" s="22" t="s">
        <v>4539</v>
      </c>
      <c r="K3195" s="26">
        <f t="shared" si="49"/>
        <v>520</v>
      </c>
      <c r="L3195" s="26">
        <v>520</v>
      </c>
      <c r="O3195" s="22" t="s">
        <v>4540</v>
      </c>
      <c r="P3195" s="22" t="s">
        <v>6558</v>
      </c>
      <c r="Q3195" s="22">
        <v>92127</v>
      </c>
      <c r="S3195" s="22" t="s">
        <v>4541</v>
      </c>
      <c r="X3195" s="26"/>
      <c r="Y3195" s="26"/>
    </row>
    <row r="3196" spans="1:25" ht="50" x14ac:dyDescent="0.25">
      <c r="A3196" s="21">
        <v>3437</v>
      </c>
      <c r="B3196" s="22" t="s">
        <v>15338</v>
      </c>
      <c r="C3196" s="22" t="s">
        <v>4542</v>
      </c>
      <c r="F3196" s="22">
        <v>870553</v>
      </c>
      <c r="G3196" s="23" t="s">
        <v>4543</v>
      </c>
      <c r="H3196" s="25" t="s">
        <v>15373</v>
      </c>
      <c r="I3196" s="22" t="s">
        <v>15382</v>
      </c>
      <c r="J3196" s="22" t="s">
        <v>14716</v>
      </c>
      <c r="K3196" s="26">
        <f t="shared" si="49"/>
        <v>600</v>
      </c>
      <c r="L3196" s="26">
        <v>600</v>
      </c>
      <c r="O3196" s="22" t="s">
        <v>4544</v>
      </c>
      <c r="P3196" s="22" t="s">
        <v>6558</v>
      </c>
      <c r="Q3196" s="22">
        <v>92101</v>
      </c>
      <c r="S3196" s="22" t="s">
        <v>4545</v>
      </c>
      <c r="X3196" s="26"/>
      <c r="Y3196" s="26"/>
    </row>
    <row r="3197" spans="1:25" ht="50" x14ac:dyDescent="0.25">
      <c r="A3197" s="21">
        <v>3438</v>
      </c>
      <c r="B3197" s="22" t="s">
        <v>15338</v>
      </c>
      <c r="C3197" s="22" t="s">
        <v>4546</v>
      </c>
      <c r="F3197" s="22">
        <v>930981</v>
      </c>
      <c r="G3197" s="23" t="s">
        <v>4547</v>
      </c>
      <c r="H3197" s="25" t="s">
        <v>15373</v>
      </c>
      <c r="I3197" s="22" t="s">
        <v>15374</v>
      </c>
      <c r="J3197" s="22">
        <v>3406</v>
      </c>
      <c r="K3197" s="26">
        <f t="shared" si="49"/>
        <v>349</v>
      </c>
      <c r="L3197" s="26">
        <v>349</v>
      </c>
      <c r="O3197" s="22" t="s">
        <v>4548</v>
      </c>
      <c r="P3197" s="22" t="s">
        <v>6558</v>
      </c>
      <c r="Q3197" s="22">
        <v>92111</v>
      </c>
      <c r="S3197" s="22" t="s">
        <v>4549</v>
      </c>
      <c r="X3197" s="26"/>
      <c r="Y3197" s="26"/>
    </row>
    <row r="3198" spans="1:25" ht="25" x14ac:dyDescent="0.25">
      <c r="A3198" s="21">
        <v>3439</v>
      </c>
      <c r="B3198" s="22" t="s">
        <v>15338</v>
      </c>
      <c r="C3198" s="22" t="s">
        <v>4550</v>
      </c>
      <c r="F3198" s="22">
        <v>971074</v>
      </c>
      <c r="G3198" s="23" t="s">
        <v>4551</v>
      </c>
      <c r="H3198" s="25" t="s">
        <v>16411</v>
      </c>
      <c r="I3198" s="22" t="s">
        <v>15382</v>
      </c>
      <c r="J3198" s="22" t="s">
        <v>16170</v>
      </c>
      <c r="K3198" s="26">
        <f t="shared" si="49"/>
        <v>480</v>
      </c>
      <c r="L3198" s="26">
        <v>480</v>
      </c>
      <c r="O3198" s="22" t="s">
        <v>4552</v>
      </c>
      <c r="P3198" s="22" t="s">
        <v>4553</v>
      </c>
      <c r="Q3198" s="22">
        <v>92055</v>
      </c>
      <c r="S3198" s="22" t="s">
        <v>4554</v>
      </c>
      <c r="X3198" s="26"/>
      <c r="Y3198" s="26"/>
    </row>
    <row r="3199" spans="1:25" ht="25" x14ac:dyDescent="0.25">
      <c r="A3199" s="21">
        <v>3440</v>
      </c>
      <c r="B3199" s="22" t="s">
        <v>15338</v>
      </c>
      <c r="C3199" s="22" t="s">
        <v>4555</v>
      </c>
      <c r="F3199" s="22">
        <v>974876</v>
      </c>
      <c r="G3199" s="23" t="s">
        <v>4556</v>
      </c>
      <c r="H3199" s="25" t="s">
        <v>15373</v>
      </c>
      <c r="I3199" s="22" t="s">
        <v>15382</v>
      </c>
      <c r="J3199" s="22" t="s">
        <v>4557</v>
      </c>
      <c r="K3199" s="26">
        <f t="shared" si="49"/>
        <v>319</v>
      </c>
      <c r="L3199" s="26">
        <v>319</v>
      </c>
      <c r="O3199" s="22" t="s">
        <v>4552</v>
      </c>
      <c r="P3199" s="22" t="s">
        <v>4553</v>
      </c>
      <c r="Q3199" s="22">
        <v>92055</v>
      </c>
      <c r="S3199" s="22" t="s">
        <v>4554</v>
      </c>
      <c r="X3199" s="26"/>
      <c r="Y3199" s="26"/>
    </row>
    <row r="3200" spans="1:25" ht="25" x14ac:dyDescent="0.25">
      <c r="A3200" s="21">
        <v>3441</v>
      </c>
      <c r="B3200" s="22" t="s">
        <v>15338</v>
      </c>
      <c r="C3200" s="22" t="s">
        <v>4555</v>
      </c>
      <c r="F3200" s="22">
        <v>974877</v>
      </c>
      <c r="G3200" s="23" t="s">
        <v>4558</v>
      </c>
      <c r="H3200" s="25" t="s">
        <v>15373</v>
      </c>
      <c r="I3200" s="22" t="s">
        <v>15382</v>
      </c>
      <c r="J3200" s="22" t="s">
        <v>4559</v>
      </c>
      <c r="K3200" s="26">
        <f t="shared" si="49"/>
        <v>319</v>
      </c>
      <c r="L3200" s="26">
        <v>319</v>
      </c>
      <c r="O3200" s="22" t="s">
        <v>4552</v>
      </c>
      <c r="P3200" s="22" t="s">
        <v>4553</v>
      </c>
      <c r="Q3200" s="22">
        <v>92055</v>
      </c>
      <c r="S3200" s="22" t="s">
        <v>4554</v>
      </c>
      <c r="X3200" s="26"/>
      <c r="Y3200" s="26"/>
    </row>
    <row r="3201" spans="1:25" ht="37.5" x14ac:dyDescent="0.25">
      <c r="A3201" s="21">
        <v>3442</v>
      </c>
      <c r="B3201" s="22" t="s">
        <v>15338</v>
      </c>
      <c r="C3201" s="22" t="s">
        <v>4560</v>
      </c>
      <c r="F3201" s="22">
        <v>971020</v>
      </c>
      <c r="G3201" s="23" t="s">
        <v>4561</v>
      </c>
      <c r="H3201" s="25" t="s">
        <v>15373</v>
      </c>
      <c r="I3201" s="22" t="s">
        <v>15374</v>
      </c>
      <c r="J3201" s="22">
        <v>3516</v>
      </c>
      <c r="K3201" s="26">
        <f t="shared" si="49"/>
        <v>719</v>
      </c>
      <c r="L3201" s="26">
        <v>719</v>
      </c>
      <c r="O3201" s="22" t="s">
        <v>4552</v>
      </c>
      <c r="P3201" s="22" t="s">
        <v>4553</v>
      </c>
      <c r="Q3201" s="22">
        <v>92055</v>
      </c>
      <c r="S3201" s="22" t="s">
        <v>4554</v>
      </c>
      <c r="X3201" s="26"/>
      <c r="Y3201" s="26"/>
    </row>
    <row r="3202" spans="1:25" ht="25" x14ac:dyDescent="0.25">
      <c r="A3202" s="21">
        <v>3443</v>
      </c>
      <c r="B3202" s="22" t="s">
        <v>15338</v>
      </c>
      <c r="C3202" s="22" t="s">
        <v>4562</v>
      </c>
      <c r="F3202" s="22">
        <v>960300</v>
      </c>
      <c r="G3202" s="23" t="s">
        <v>4563</v>
      </c>
      <c r="H3202" s="25" t="s">
        <v>15373</v>
      </c>
      <c r="I3202" s="22" t="s">
        <v>15668</v>
      </c>
      <c r="J3202" s="22" t="s">
        <v>14630</v>
      </c>
      <c r="K3202" s="26">
        <f t="shared" si="49"/>
        <v>1040</v>
      </c>
      <c r="L3202" s="26">
        <v>1040</v>
      </c>
      <c r="O3202" s="22" t="s">
        <v>4564</v>
      </c>
      <c r="P3202" s="22" t="s">
        <v>4565</v>
      </c>
      <c r="Q3202" s="22">
        <v>92055</v>
      </c>
      <c r="S3202" s="22" t="s">
        <v>4554</v>
      </c>
      <c r="X3202" s="26"/>
      <c r="Y3202" s="26"/>
    </row>
    <row r="3203" spans="1:25" ht="37.5" x14ac:dyDescent="0.25">
      <c r="A3203" s="21">
        <v>3444</v>
      </c>
      <c r="B3203" s="22" t="s">
        <v>15338</v>
      </c>
      <c r="C3203" s="22" t="s">
        <v>4566</v>
      </c>
      <c r="F3203" s="22">
        <v>971062</v>
      </c>
      <c r="G3203" s="23" t="s">
        <v>4567</v>
      </c>
      <c r="H3203" s="25" t="s">
        <v>15373</v>
      </c>
      <c r="I3203" s="22" t="s">
        <v>15374</v>
      </c>
      <c r="J3203" s="22" t="s">
        <v>16561</v>
      </c>
      <c r="K3203" s="26">
        <f t="shared" si="49"/>
        <v>350</v>
      </c>
      <c r="L3203" s="26">
        <v>350</v>
      </c>
      <c r="O3203" s="22" t="s">
        <v>4552</v>
      </c>
      <c r="P3203" s="22" t="s">
        <v>4553</v>
      </c>
      <c r="Q3203" s="22">
        <v>92055</v>
      </c>
      <c r="S3203" s="22" t="s">
        <v>4554</v>
      </c>
      <c r="X3203" s="26"/>
      <c r="Y3203" s="26"/>
    </row>
    <row r="3204" spans="1:25" ht="50" x14ac:dyDescent="0.25">
      <c r="A3204" s="21">
        <v>3445</v>
      </c>
      <c r="B3204" s="22" t="s">
        <v>15338</v>
      </c>
      <c r="C3204" s="22" t="s">
        <v>4566</v>
      </c>
      <c r="F3204" s="22">
        <v>920179</v>
      </c>
      <c r="G3204" s="23" t="s">
        <v>4568</v>
      </c>
      <c r="H3204" s="25" t="s">
        <v>15373</v>
      </c>
      <c r="I3204" s="22" t="s">
        <v>15374</v>
      </c>
      <c r="J3204" s="22" t="s">
        <v>16561</v>
      </c>
      <c r="K3204" s="26">
        <f t="shared" si="49"/>
        <v>350</v>
      </c>
      <c r="L3204" s="26">
        <v>350</v>
      </c>
      <c r="O3204" s="22" t="s">
        <v>4552</v>
      </c>
      <c r="P3204" s="22" t="s">
        <v>4553</v>
      </c>
      <c r="Q3204" s="22">
        <v>92055</v>
      </c>
      <c r="S3204" s="22" t="s">
        <v>4554</v>
      </c>
      <c r="X3204" s="26"/>
      <c r="Y3204" s="26"/>
    </row>
    <row r="3205" spans="1:25" ht="25" x14ac:dyDescent="0.25">
      <c r="A3205" s="21">
        <v>3446</v>
      </c>
      <c r="B3205" s="22" t="s">
        <v>15338</v>
      </c>
      <c r="C3205" s="22" t="s">
        <v>4569</v>
      </c>
      <c r="F3205" s="22">
        <v>971045</v>
      </c>
      <c r="G3205" s="23" t="s">
        <v>4570</v>
      </c>
      <c r="H3205" s="25" t="s">
        <v>15373</v>
      </c>
      <c r="I3205" s="22" t="s">
        <v>15374</v>
      </c>
      <c r="J3205" s="22">
        <v>3412</v>
      </c>
      <c r="K3205" s="26">
        <f t="shared" si="49"/>
        <v>527</v>
      </c>
      <c r="L3205" s="26">
        <v>527</v>
      </c>
      <c r="O3205" s="22" t="s">
        <v>4571</v>
      </c>
      <c r="P3205" s="22" t="s">
        <v>4553</v>
      </c>
      <c r="Q3205" s="22">
        <v>92055</v>
      </c>
      <c r="S3205" s="22" t="s">
        <v>4554</v>
      </c>
      <c r="X3205" s="26"/>
      <c r="Y3205" s="26"/>
    </row>
    <row r="3206" spans="1:25" ht="25" x14ac:dyDescent="0.25">
      <c r="A3206" s="21">
        <v>3447</v>
      </c>
      <c r="B3206" s="22" t="s">
        <v>15338</v>
      </c>
      <c r="C3206" s="22" t="s">
        <v>4572</v>
      </c>
      <c r="F3206" s="22">
        <v>974963</v>
      </c>
      <c r="G3206" s="23" t="s">
        <v>4573</v>
      </c>
      <c r="H3206" s="25" t="s">
        <v>15373</v>
      </c>
      <c r="I3206" s="22" t="s">
        <v>15374</v>
      </c>
      <c r="J3206" s="22">
        <v>3508</v>
      </c>
      <c r="K3206" s="26">
        <f t="shared" si="49"/>
        <v>623</v>
      </c>
      <c r="L3206" s="26">
        <v>623</v>
      </c>
      <c r="O3206" s="22" t="s">
        <v>4552</v>
      </c>
      <c r="P3206" s="22" t="s">
        <v>4553</v>
      </c>
      <c r="Q3206" s="22">
        <v>92055</v>
      </c>
      <c r="S3206" s="22" t="s">
        <v>4554</v>
      </c>
      <c r="X3206" s="26"/>
      <c r="Y3206" s="26"/>
    </row>
    <row r="3207" spans="1:25" ht="37.5" x14ac:dyDescent="0.25">
      <c r="A3207" s="21">
        <v>3448</v>
      </c>
      <c r="B3207" s="22" t="s">
        <v>15338</v>
      </c>
      <c r="C3207" s="22" t="s">
        <v>4572</v>
      </c>
      <c r="F3207" s="22">
        <v>974964</v>
      </c>
      <c r="G3207" s="23" t="s">
        <v>4574</v>
      </c>
      <c r="H3207" s="25" t="s">
        <v>15373</v>
      </c>
      <c r="I3207" s="22" t="s">
        <v>15374</v>
      </c>
      <c r="J3207" s="22">
        <v>3508</v>
      </c>
      <c r="K3207" s="26">
        <f t="shared" si="49"/>
        <v>623</v>
      </c>
      <c r="L3207" s="26">
        <v>623</v>
      </c>
      <c r="O3207" s="22" t="s">
        <v>4552</v>
      </c>
      <c r="P3207" s="22" t="s">
        <v>4553</v>
      </c>
      <c r="Q3207" s="22">
        <v>92055</v>
      </c>
      <c r="S3207" s="22" t="s">
        <v>4554</v>
      </c>
      <c r="X3207" s="26"/>
      <c r="Y3207" s="26"/>
    </row>
    <row r="3208" spans="1:25" ht="37.5" x14ac:dyDescent="0.25">
      <c r="A3208" s="21">
        <v>3449</v>
      </c>
      <c r="B3208" s="22" t="s">
        <v>15338</v>
      </c>
      <c r="C3208" s="22" t="s">
        <v>4572</v>
      </c>
      <c r="F3208" s="22">
        <v>974965</v>
      </c>
      <c r="G3208" s="23" t="s">
        <v>4575</v>
      </c>
      <c r="H3208" s="25" t="s">
        <v>15373</v>
      </c>
      <c r="I3208" s="22" t="s">
        <v>15374</v>
      </c>
      <c r="J3208" s="22">
        <v>3508</v>
      </c>
      <c r="K3208" s="26">
        <f t="shared" si="49"/>
        <v>623</v>
      </c>
      <c r="L3208" s="26">
        <v>623</v>
      </c>
      <c r="O3208" s="22" t="s">
        <v>4552</v>
      </c>
      <c r="P3208" s="22" t="s">
        <v>4553</v>
      </c>
      <c r="Q3208" s="22">
        <v>92055</v>
      </c>
      <c r="S3208" s="22" t="s">
        <v>4554</v>
      </c>
      <c r="X3208" s="26"/>
      <c r="Y3208" s="26"/>
    </row>
    <row r="3209" spans="1:25" ht="37.5" x14ac:dyDescent="0.25">
      <c r="A3209" s="21">
        <v>3450</v>
      </c>
      <c r="B3209" s="22" t="s">
        <v>15338</v>
      </c>
      <c r="C3209" s="22" t="s">
        <v>4572</v>
      </c>
      <c r="F3209" s="22">
        <v>974966</v>
      </c>
      <c r="G3209" s="23" t="s">
        <v>4576</v>
      </c>
      <c r="H3209" s="25" t="s">
        <v>15373</v>
      </c>
      <c r="I3209" s="22" t="s">
        <v>15374</v>
      </c>
      <c r="J3209" s="22">
        <v>3508</v>
      </c>
      <c r="K3209" s="26">
        <f t="shared" si="49"/>
        <v>623</v>
      </c>
      <c r="L3209" s="26">
        <v>623</v>
      </c>
      <c r="O3209" s="22" t="s">
        <v>4552</v>
      </c>
      <c r="P3209" s="22" t="s">
        <v>4553</v>
      </c>
      <c r="Q3209" s="22">
        <v>92055</v>
      </c>
      <c r="S3209" s="22" t="s">
        <v>4554</v>
      </c>
      <c r="X3209" s="26"/>
      <c r="Y3209" s="26"/>
    </row>
    <row r="3210" spans="1:25" ht="37.5" x14ac:dyDescent="0.25">
      <c r="A3210" s="21">
        <v>3451</v>
      </c>
      <c r="B3210" s="22" t="s">
        <v>15338</v>
      </c>
      <c r="C3210" s="22" t="s">
        <v>4572</v>
      </c>
      <c r="F3210" s="22">
        <v>974968</v>
      </c>
      <c r="G3210" s="23" t="s">
        <v>4577</v>
      </c>
      <c r="H3210" s="25" t="s">
        <v>15373</v>
      </c>
      <c r="I3210" s="22" t="s">
        <v>15374</v>
      </c>
      <c r="J3210" s="22">
        <v>3508</v>
      </c>
      <c r="K3210" s="26">
        <f t="shared" ref="K3210:K3273" si="50">L3210+M3210*(2/3)+N3210*(2/3)</f>
        <v>623</v>
      </c>
      <c r="L3210" s="26">
        <v>623</v>
      </c>
      <c r="O3210" s="22" t="s">
        <v>4552</v>
      </c>
      <c r="P3210" s="22" t="s">
        <v>4553</v>
      </c>
      <c r="Q3210" s="22">
        <v>92055</v>
      </c>
      <c r="S3210" s="22" t="s">
        <v>4554</v>
      </c>
      <c r="X3210" s="26"/>
      <c r="Y3210" s="26"/>
    </row>
    <row r="3211" spans="1:25" ht="37.5" x14ac:dyDescent="0.25">
      <c r="A3211" s="21">
        <v>3452</v>
      </c>
      <c r="B3211" s="22" t="s">
        <v>15338</v>
      </c>
      <c r="C3211" s="22" t="s">
        <v>4578</v>
      </c>
      <c r="F3211" s="22">
        <v>971053</v>
      </c>
      <c r="G3211" s="23" t="s">
        <v>4579</v>
      </c>
      <c r="H3211" s="25" t="s">
        <v>15373</v>
      </c>
      <c r="I3211" s="22" t="s">
        <v>15382</v>
      </c>
      <c r="J3211" s="22" t="s">
        <v>16811</v>
      </c>
      <c r="K3211" s="26">
        <f t="shared" si="50"/>
        <v>300</v>
      </c>
      <c r="L3211" s="26">
        <v>300</v>
      </c>
      <c r="O3211" s="22" t="s">
        <v>4552</v>
      </c>
      <c r="P3211" s="22" t="s">
        <v>4553</v>
      </c>
      <c r="Q3211" s="22">
        <v>92055</v>
      </c>
      <c r="S3211" s="22" t="s">
        <v>4554</v>
      </c>
      <c r="X3211" s="26"/>
      <c r="Y3211" s="26"/>
    </row>
    <row r="3212" spans="1:25" ht="62.5" x14ac:dyDescent="0.25">
      <c r="A3212" s="21">
        <v>3453</v>
      </c>
      <c r="B3212" s="22" t="s">
        <v>15338</v>
      </c>
      <c r="C3212" s="22" t="s">
        <v>4580</v>
      </c>
      <c r="F3212" s="22">
        <v>911051</v>
      </c>
      <c r="G3212" s="23" t="s">
        <v>4581</v>
      </c>
      <c r="H3212" s="25" t="s">
        <v>15373</v>
      </c>
      <c r="I3212" s="22" t="s">
        <v>15374</v>
      </c>
      <c r="J3212" s="22">
        <v>3412</v>
      </c>
      <c r="K3212" s="26">
        <f t="shared" si="50"/>
        <v>600</v>
      </c>
      <c r="L3212" s="26">
        <v>600</v>
      </c>
      <c r="O3212" s="22" t="s">
        <v>4582</v>
      </c>
      <c r="P3212" s="22" t="s">
        <v>6558</v>
      </c>
      <c r="Q3212" s="22">
        <v>92140</v>
      </c>
      <c r="S3212" s="22" t="s">
        <v>4583</v>
      </c>
      <c r="X3212" s="26"/>
      <c r="Y3212" s="26"/>
    </row>
    <row r="3213" spans="1:25" ht="37.5" x14ac:dyDescent="0.25">
      <c r="A3213" s="21">
        <v>3454</v>
      </c>
      <c r="B3213" s="22" t="s">
        <v>15338</v>
      </c>
      <c r="C3213" s="22" t="s">
        <v>4584</v>
      </c>
      <c r="F3213" s="22">
        <v>970539</v>
      </c>
      <c r="G3213" s="23" t="s">
        <v>4585</v>
      </c>
      <c r="H3213" s="25" t="s">
        <v>15373</v>
      </c>
      <c r="I3213" s="22" t="s">
        <v>15411</v>
      </c>
      <c r="J3213" s="22" t="s">
        <v>5858</v>
      </c>
      <c r="K3213" s="26">
        <f t="shared" si="50"/>
        <v>308</v>
      </c>
      <c r="L3213" s="26">
        <v>308</v>
      </c>
      <c r="O3213" s="22" t="s">
        <v>4586</v>
      </c>
      <c r="P3213" s="22" t="s">
        <v>6558</v>
      </c>
      <c r="Q3213" s="22">
        <v>92135</v>
      </c>
      <c r="S3213" s="22" t="s">
        <v>4891</v>
      </c>
      <c r="X3213" s="26"/>
      <c r="Y3213" s="26"/>
    </row>
    <row r="3214" spans="1:25" ht="37.5" x14ac:dyDescent="0.25">
      <c r="A3214" s="21">
        <v>3455</v>
      </c>
      <c r="B3214" s="22" t="s">
        <v>15338</v>
      </c>
      <c r="C3214" s="22" t="s">
        <v>4584</v>
      </c>
      <c r="F3214" s="22">
        <v>971448</v>
      </c>
      <c r="G3214" s="23" t="s">
        <v>4587</v>
      </c>
      <c r="H3214" s="25" t="s">
        <v>15373</v>
      </c>
      <c r="I3214" s="22" t="s">
        <v>16907</v>
      </c>
      <c r="J3214" s="22" t="s">
        <v>4588</v>
      </c>
      <c r="K3214" s="26">
        <f t="shared" si="50"/>
        <v>540</v>
      </c>
      <c r="L3214" s="26">
        <v>540</v>
      </c>
      <c r="O3214" s="22" t="s">
        <v>4586</v>
      </c>
      <c r="P3214" s="22" t="s">
        <v>6558</v>
      </c>
      <c r="Q3214" s="22">
        <v>92135</v>
      </c>
      <c r="S3214" s="22" t="s">
        <v>4891</v>
      </c>
      <c r="X3214" s="26"/>
      <c r="Y3214" s="26"/>
    </row>
    <row r="3215" spans="1:25" ht="62.5" x14ac:dyDescent="0.25">
      <c r="A3215" s="21">
        <v>3456</v>
      </c>
      <c r="B3215" s="22" t="s">
        <v>15338</v>
      </c>
      <c r="C3215" s="22" t="s">
        <v>4589</v>
      </c>
      <c r="F3215" s="22">
        <v>891149</v>
      </c>
      <c r="G3215" s="23" t="s">
        <v>4590</v>
      </c>
      <c r="H3215" s="25" t="s">
        <v>15373</v>
      </c>
      <c r="I3215" s="22" t="s">
        <v>15382</v>
      </c>
      <c r="J3215" s="22" t="s">
        <v>15779</v>
      </c>
      <c r="K3215" s="26">
        <f t="shared" si="50"/>
        <v>365</v>
      </c>
      <c r="L3215" s="26">
        <v>365</v>
      </c>
      <c r="O3215" s="22" t="s">
        <v>4591</v>
      </c>
      <c r="P3215" s="22" t="s">
        <v>6558</v>
      </c>
      <c r="Q3215" s="22">
        <v>92135</v>
      </c>
      <c r="S3215" s="22" t="s">
        <v>4592</v>
      </c>
      <c r="X3215" s="26"/>
      <c r="Y3215" s="26"/>
    </row>
    <row r="3216" spans="1:25" ht="62.5" x14ac:dyDescent="0.25">
      <c r="A3216" s="21">
        <v>3457</v>
      </c>
      <c r="B3216" s="22" t="s">
        <v>15338</v>
      </c>
      <c r="C3216" s="22" t="s">
        <v>4589</v>
      </c>
      <c r="F3216" s="22">
        <v>891150</v>
      </c>
      <c r="G3216" s="23" t="s">
        <v>4593</v>
      </c>
      <c r="H3216" s="25" t="s">
        <v>15373</v>
      </c>
      <c r="I3216" s="22" t="s">
        <v>15411</v>
      </c>
      <c r="J3216" s="22" t="s">
        <v>10989</v>
      </c>
      <c r="K3216" s="26">
        <f t="shared" si="50"/>
        <v>418</v>
      </c>
      <c r="L3216" s="26">
        <v>418</v>
      </c>
      <c r="O3216" s="22" t="s">
        <v>4591</v>
      </c>
      <c r="P3216" s="22" t="s">
        <v>6558</v>
      </c>
      <c r="Q3216" s="22">
        <v>92135</v>
      </c>
      <c r="S3216" s="22" t="s">
        <v>4592</v>
      </c>
      <c r="X3216" s="26"/>
      <c r="Y3216" s="26"/>
    </row>
    <row r="3217" spans="1:25" ht="37.5" x14ac:dyDescent="0.25">
      <c r="A3217" s="21">
        <v>3458</v>
      </c>
      <c r="B3217" s="22" t="s">
        <v>15338</v>
      </c>
      <c r="C3217" s="22" t="s">
        <v>4594</v>
      </c>
      <c r="F3217" s="22">
        <v>911433</v>
      </c>
      <c r="G3217" s="23" t="s">
        <v>4595</v>
      </c>
      <c r="H3217" s="25" t="s">
        <v>15373</v>
      </c>
      <c r="I3217" s="22" t="s">
        <v>15374</v>
      </c>
      <c r="J3217" s="22" t="s">
        <v>15460</v>
      </c>
      <c r="K3217" s="26">
        <f t="shared" si="50"/>
        <v>900</v>
      </c>
      <c r="L3217" s="26">
        <v>900</v>
      </c>
      <c r="O3217" s="22" t="s">
        <v>4596</v>
      </c>
      <c r="P3217" s="22" t="s">
        <v>6558</v>
      </c>
      <c r="Q3217" s="22" t="s">
        <v>4597</v>
      </c>
      <c r="S3217" s="22" t="s">
        <v>4598</v>
      </c>
      <c r="X3217" s="26"/>
      <c r="Y3217" s="26"/>
    </row>
    <row r="3218" spans="1:25" ht="37.5" x14ac:dyDescent="0.25">
      <c r="A3218" s="21">
        <v>3459</v>
      </c>
      <c r="B3218" s="22" t="s">
        <v>15338</v>
      </c>
      <c r="C3218" s="22" t="s">
        <v>4599</v>
      </c>
      <c r="F3218" s="22">
        <v>860327</v>
      </c>
      <c r="G3218" s="23" t="s">
        <v>4600</v>
      </c>
      <c r="H3218" s="25" t="s">
        <v>15373</v>
      </c>
      <c r="I3218" s="22" t="s">
        <v>15374</v>
      </c>
      <c r="J3218" s="22">
        <v>3516</v>
      </c>
      <c r="K3218" s="26">
        <f t="shared" si="50"/>
        <v>1400</v>
      </c>
      <c r="L3218" s="26">
        <v>1400</v>
      </c>
      <c r="O3218" s="22" t="s">
        <v>4601</v>
      </c>
      <c r="P3218" s="22" t="s">
        <v>6558</v>
      </c>
      <c r="Q3218" s="22">
        <v>92132</v>
      </c>
      <c r="S3218" s="22" t="s">
        <v>4602</v>
      </c>
      <c r="X3218" s="26"/>
      <c r="Y3218" s="26"/>
    </row>
    <row r="3219" spans="1:25" ht="37.5" x14ac:dyDescent="0.25">
      <c r="A3219" s="21">
        <v>3460</v>
      </c>
      <c r="B3219" s="22" t="s">
        <v>15338</v>
      </c>
      <c r="C3219" s="22" t="s">
        <v>4603</v>
      </c>
      <c r="F3219" s="22">
        <v>40906</v>
      </c>
      <c r="G3219" s="23" t="s">
        <v>4604</v>
      </c>
      <c r="H3219" s="25" t="s">
        <v>15373</v>
      </c>
      <c r="I3219" s="22" t="s">
        <v>15374</v>
      </c>
      <c r="J3219" s="22" t="s">
        <v>16899</v>
      </c>
      <c r="K3219" s="26">
        <f t="shared" si="50"/>
        <v>600</v>
      </c>
      <c r="L3219" s="26">
        <v>600</v>
      </c>
      <c r="O3219" s="22" t="s">
        <v>4826</v>
      </c>
      <c r="P3219" s="22" t="s">
        <v>6558</v>
      </c>
      <c r="Q3219" s="22">
        <v>92134</v>
      </c>
      <c r="S3219" s="22" t="s">
        <v>4592</v>
      </c>
      <c r="X3219" s="26"/>
      <c r="Y3219" s="26"/>
    </row>
    <row r="3220" spans="1:25" ht="37.5" x14ac:dyDescent="0.25">
      <c r="A3220" s="21">
        <v>3461</v>
      </c>
      <c r="B3220" s="22" t="s">
        <v>15338</v>
      </c>
      <c r="C3220" s="22" t="s">
        <v>4603</v>
      </c>
      <c r="F3220" s="22">
        <v>40907</v>
      </c>
      <c r="G3220" s="23" t="s">
        <v>4605</v>
      </c>
      <c r="H3220" s="25" t="s">
        <v>15373</v>
      </c>
      <c r="I3220" s="22" t="s">
        <v>15374</v>
      </c>
      <c r="J3220" s="22" t="s">
        <v>16899</v>
      </c>
      <c r="K3220" s="26">
        <f t="shared" si="50"/>
        <v>600</v>
      </c>
      <c r="L3220" s="26">
        <v>600</v>
      </c>
      <c r="O3220" s="22" t="s">
        <v>4826</v>
      </c>
      <c r="P3220" s="22" t="s">
        <v>6558</v>
      </c>
      <c r="Q3220" s="22">
        <v>92134</v>
      </c>
      <c r="S3220" s="22" t="s">
        <v>4592</v>
      </c>
      <c r="X3220" s="26"/>
      <c r="Y3220" s="26"/>
    </row>
    <row r="3221" spans="1:25" ht="37.5" x14ac:dyDescent="0.25">
      <c r="A3221" s="21">
        <v>3462</v>
      </c>
      <c r="B3221" s="22" t="s">
        <v>15338</v>
      </c>
      <c r="C3221" s="22" t="s">
        <v>4603</v>
      </c>
      <c r="F3221" s="22">
        <v>40908</v>
      </c>
      <c r="G3221" s="23" t="s">
        <v>4606</v>
      </c>
      <c r="H3221" s="25" t="s">
        <v>15373</v>
      </c>
      <c r="I3221" s="22" t="s">
        <v>15374</v>
      </c>
      <c r="J3221" s="22" t="s">
        <v>16899</v>
      </c>
      <c r="K3221" s="26">
        <f t="shared" si="50"/>
        <v>600</v>
      </c>
      <c r="L3221" s="26">
        <v>600</v>
      </c>
      <c r="O3221" s="22" t="s">
        <v>4826</v>
      </c>
      <c r="P3221" s="22" t="s">
        <v>6558</v>
      </c>
      <c r="Q3221" s="22">
        <v>92134</v>
      </c>
      <c r="S3221" s="22" t="s">
        <v>4592</v>
      </c>
      <c r="X3221" s="26"/>
      <c r="Y3221" s="26"/>
    </row>
    <row r="3222" spans="1:25" ht="50" x14ac:dyDescent="0.25">
      <c r="A3222" s="21">
        <v>3463</v>
      </c>
      <c r="B3222" s="22" t="s">
        <v>15338</v>
      </c>
      <c r="C3222" s="22" t="s">
        <v>4607</v>
      </c>
      <c r="F3222" s="22">
        <v>911126</v>
      </c>
      <c r="G3222" s="23" t="s">
        <v>4608</v>
      </c>
      <c r="H3222" s="25" t="s">
        <v>15373</v>
      </c>
      <c r="I3222" s="22" t="s">
        <v>15411</v>
      </c>
      <c r="J3222" s="22" t="s">
        <v>16884</v>
      </c>
      <c r="K3222" s="26">
        <f t="shared" si="50"/>
        <v>350</v>
      </c>
      <c r="L3222" s="26">
        <v>350</v>
      </c>
      <c r="O3222" s="22" t="s">
        <v>4609</v>
      </c>
      <c r="P3222" s="22" t="s">
        <v>6558</v>
      </c>
      <c r="Q3222" s="22">
        <v>92136</v>
      </c>
      <c r="S3222" s="22" t="s">
        <v>4610</v>
      </c>
      <c r="X3222" s="26"/>
      <c r="Y3222" s="26"/>
    </row>
    <row r="3223" spans="1:25" ht="25" x14ac:dyDescent="0.25">
      <c r="A3223" s="21">
        <v>3464</v>
      </c>
      <c r="B3223" s="22" t="s">
        <v>15338</v>
      </c>
      <c r="C3223" s="22" t="s">
        <v>4611</v>
      </c>
      <c r="F3223" s="22">
        <v>891146</v>
      </c>
      <c r="G3223" s="23" t="s">
        <v>4612</v>
      </c>
      <c r="H3223" s="25" t="s">
        <v>15373</v>
      </c>
      <c r="I3223" s="22" t="s">
        <v>15382</v>
      </c>
      <c r="J3223" s="22" t="s">
        <v>14807</v>
      </c>
      <c r="K3223" s="26">
        <f t="shared" si="50"/>
        <v>390</v>
      </c>
      <c r="L3223" s="26">
        <v>390</v>
      </c>
      <c r="O3223" s="22" t="s">
        <v>4613</v>
      </c>
      <c r="P3223" s="22" t="s">
        <v>6558</v>
      </c>
      <c r="Q3223" s="22">
        <v>92136</v>
      </c>
      <c r="S3223" s="22" t="s">
        <v>4614</v>
      </c>
      <c r="X3223" s="26"/>
      <c r="Y3223" s="26"/>
    </row>
    <row r="3224" spans="1:25" ht="37.5" x14ac:dyDescent="0.25">
      <c r="A3224" s="21">
        <v>3465</v>
      </c>
      <c r="B3224" s="22" t="s">
        <v>15338</v>
      </c>
      <c r="C3224" s="22" t="s">
        <v>4615</v>
      </c>
      <c r="F3224" s="22">
        <v>891147</v>
      </c>
      <c r="G3224" s="23" t="s">
        <v>4616</v>
      </c>
      <c r="H3224" s="25" t="s">
        <v>15373</v>
      </c>
      <c r="I3224" s="22" t="s">
        <v>15382</v>
      </c>
      <c r="J3224" s="22" t="s">
        <v>4617</v>
      </c>
      <c r="K3224" s="26">
        <f t="shared" si="50"/>
        <v>300</v>
      </c>
      <c r="L3224" s="26">
        <v>300</v>
      </c>
      <c r="O3224" s="22" t="s">
        <v>4618</v>
      </c>
      <c r="P3224" s="22" t="s">
        <v>6558</v>
      </c>
      <c r="Q3224" s="22">
        <v>92106</v>
      </c>
      <c r="S3224" s="22" t="s">
        <v>4619</v>
      </c>
      <c r="X3224" s="26"/>
      <c r="Y3224" s="26"/>
    </row>
    <row r="3225" spans="1:25" ht="37.5" x14ac:dyDescent="0.25">
      <c r="A3225" s="21">
        <v>3466</v>
      </c>
      <c r="B3225" s="22" t="s">
        <v>15338</v>
      </c>
      <c r="C3225" s="22" t="s">
        <v>4615</v>
      </c>
      <c r="F3225" s="22">
        <v>975555</v>
      </c>
      <c r="G3225" s="23" t="s">
        <v>4620</v>
      </c>
      <c r="H3225" s="25" t="s">
        <v>15373</v>
      </c>
      <c r="I3225" s="22" t="s">
        <v>15382</v>
      </c>
      <c r="J3225" s="22" t="s">
        <v>4617</v>
      </c>
      <c r="K3225" s="26">
        <f t="shared" si="50"/>
        <v>300</v>
      </c>
      <c r="L3225" s="26">
        <v>300</v>
      </c>
      <c r="O3225" s="22" t="s">
        <v>4618</v>
      </c>
      <c r="P3225" s="22" t="s">
        <v>6558</v>
      </c>
      <c r="Q3225" s="22">
        <v>92106</v>
      </c>
      <c r="S3225" s="22" t="s">
        <v>4619</v>
      </c>
      <c r="X3225" s="26"/>
      <c r="Y3225" s="26"/>
    </row>
    <row r="3226" spans="1:25" ht="25" x14ac:dyDescent="0.25">
      <c r="A3226" s="21">
        <v>3467</v>
      </c>
      <c r="B3226" s="22" t="s">
        <v>15338</v>
      </c>
      <c r="C3226" s="22" t="s">
        <v>4621</v>
      </c>
      <c r="F3226" s="22">
        <v>950381</v>
      </c>
      <c r="G3226" s="23" t="s">
        <v>4622</v>
      </c>
      <c r="H3226" s="25" t="s">
        <v>15373</v>
      </c>
      <c r="I3226" s="22" t="s">
        <v>15374</v>
      </c>
      <c r="J3226" s="22">
        <v>3412</v>
      </c>
      <c r="K3226" s="26">
        <f t="shared" si="50"/>
        <v>400</v>
      </c>
      <c r="L3226" s="26">
        <v>400</v>
      </c>
      <c r="O3226" s="22" t="s">
        <v>4623</v>
      </c>
      <c r="P3226" s="22" t="s">
        <v>5481</v>
      </c>
      <c r="Q3226" s="22">
        <v>92118</v>
      </c>
      <c r="S3226" s="22" t="s">
        <v>4624</v>
      </c>
      <c r="X3226" s="26"/>
      <c r="Y3226" s="26"/>
    </row>
    <row r="3227" spans="1:25" ht="25" x14ac:dyDescent="0.25">
      <c r="A3227" s="21">
        <v>3468</v>
      </c>
      <c r="B3227" s="22" t="s">
        <v>15338</v>
      </c>
      <c r="C3227" s="22" t="s">
        <v>4621</v>
      </c>
      <c r="F3227" s="22">
        <v>973489</v>
      </c>
      <c r="G3227" s="23" t="s">
        <v>4625</v>
      </c>
      <c r="H3227" s="25" t="s">
        <v>15373</v>
      </c>
      <c r="I3227" s="22" t="s">
        <v>15374</v>
      </c>
      <c r="J3227" s="22">
        <v>3412</v>
      </c>
      <c r="K3227" s="26">
        <f t="shared" si="50"/>
        <v>400</v>
      </c>
      <c r="L3227" s="26">
        <v>400</v>
      </c>
      <c r="O3227" s="22" t="s">
        <v>4623</v>
      </c>
      <c r="P3227" s="22" t="s">
        <v>5481</v>
      </c>
      <c r="Q3227" s="22">
        <v>92118</v>
      </c>
      <c r="S3227" s="22" t="s">
        <v>4624</v>
      </c>
      <c r="X3227" s="26"/>
      <c r="Y3227" s="26"/>
    </row>
    <row r="3228" spans="1:25" ht="37.5" x14ac:dyDescent="0.25">
      <c r="A3228" s="21">
        <v>3469</v>
      </c>
      <c r="B3228" s="22" t="s">
        <v>15338</v>
      </c>
      <c r="C3228" s="22" t="s">
        <v>4626</v>
      </c>
      <c r="F3228" s="22">
        <v>890603</v>
      </c>
      <c r="G3228" s="23" t="s">
        <v>4627</v>
      </c>
      <c r="H3228" s="25" t="s">
        <v>15373</v>
      </c>
      <c r="I3228" s="22" t="s">
        <v>15382</v>
      </c>
      <c r="J3228" s="22" t="s">
        <v>14642</v>
      </c>
      <c r="K3228" s="26">
        <f t="shared" si="50"/>
        <v>650</v>
      </c>
      <c r="L3228" s="26">
        <v>650</v>
      </c>
      <c r="O3228" s="22" t="s">
        <v>4628</v>
      </c>
      <c r="P3228" s="22" t="s">
        <v>6558</v>
      </c>
      <c r="Q3228" s="22">
        <v>91932</v>
      </c>
      <c r="S3228" s="22" t="s">
        <v>4629</v>
      </c>
      <c r="X3228" s="26"/>
      <c r="Y3228" s="26"/>
    </row>
    <row r="3229" spans="1:25" ht="25" x14ac:dyDescent="0.25">
      <c r="A3229" s="21">
        <v>3470</v>
      </c>
      <c r="B3229" s="22" t="s">
        <v>15338</v>
      </c>
      <c r="C3229" s="22" t="s">
        <v>4630</v>
      </c>
      <c r="F3229" s="22">
        <v>870806</v>
      </c>
      <c r="G3229" s="23" t="s">
        <v>4631</v>
      </c>
      <c r="H3229" s="25" t="s">
        <v>15373</v>
      </c>
      <c r="I3229" s="22" t="s">
        <v>15382</v>
      </c>
      <c r="J3229" s="22" t="s">
        <v>4632</v>
      </c>
      <c r="K3229" s="26">
        <f t="shared" si="50"/>
        <v>494</v>
      </c>
      <c r="L3229" s="26">
        <v>494</v>
      </c>
      <c r="O3229" s="22" t="s">
        <v>4633</v>
      </c>
      <c r="P3229" s="22" t="s">
        <v>6558</v>
      </c>
      <c r="Q3229" s="22">
        <v>92106</v>
      </c>
      <c r="S3229" s="22" t="s">
        <v>4634</v>
      </c>
      <c r="X3229" s="26"/>
      <c r="Y3229" s="26"/>
    </row>
    <row r="3230" spans="1:25" ht="25" x14ac:dyDescent="0.25">
      <c r="A3230" s="21">
        <v>3471</v>
      </c>
      <c r="B3230" s="22" t="s">
        <v>15338</v>
      </c>
      <c r="C3230" s="22" t="s">
        <v>4630</v>
      </c>
      <c r="F3230" s="22">
        <v>975250</v>
      </c>
      <c r="G3230" s="23" t="s">
        <v>4635</v>
      </c>
      <c r="H3230" s="25" t="s">
        <v>15373</v>
      </c>
      <c r="I3230" s="22" t="s">
        <v>15382</v>
      </c>
      <c r="J3230" s="22">
        <v>49964</v>
      </c>
      <c r="K3230" s="26">
        <f t="shared" si="50"/>
        <v>494</v>
      </c>
      <c r="L3230" s="26">
        <v>494</v>
      </c>
      <c r="O3230" s="22" t="s">
        <v>4633</v>
      </c>
      <c r="P3230" s="22" t="s">
        <v>6558</v>
      </c>
      <c r="Q3230" s="22">
        <v>92106</v>
      </c>
      <c r="S3230" s="22" t="s">
        <v>4634</v>
      </c>
      <c r="X3230" s="26"/>
      <c r="Y3230" s="26"/>
    </row>
    <row r="3231" spans="1:25" ht="25" x14ac:dyDescent="0.25">
      <c r="A3231" s="21">
        <v>3472</v>
      </c>
      <c r="B3231" s="22" t="s">
        <v>15338</v>
      </c>
      <c r="C3231" s="22" t="s">
        <v>4636</v>
      </c>
      <c r="F3231" s="22">
        <v>975828</v>
      </c>
      <c r="G3231" s="23" t="s">
        <v>4637</v>
      </c>
      <c r="H3231" s="25" t="s">
        <v>15373</v>
      </c>
      <c r="I3231" s="22" t="s">
        <v>15411</v>
      </c>
      <c r="J3231" s="22" t="s">
        <v>5433</v>
      </c>
      <c r="K3231" s="26">
        <f t="shared" si="50"/>
        <v>358</v>
      </c>
      <c r="L3231" s="26">
        <v>358</v>
      </c>
      <c r="O3231" s="22" t="s">
        <v>4638</v>
      </c>
      <c r="P3231" s="22" t="s">
        <v>6558</v>
      </c>
      <c r="Q3231" s="22">
        <v>92121</v>
      </c>
      <c r="X3231" s="26"/>
      <c r="Y3231" s="26"/>
    </row>
    <row r="3232" spans="1:25" ht="25" x14ac:dyDescent="0.25">
      <c r="A3232" s="21">
        <v>3473</v>
      </c>
      <c r="B3232" s="22" t="s">
        <v>15338</v>
      </c>
      <c r="C3232" s="22" t="s">
        <v>4639</v>
      </c>
      <c r="F3232" s="22">
        <v>972805</v>
      </c>
      <c r="G3232" s="23" t="s">
        <v>4640</v>
      </c>
      <c r="H3232" s="25" t="s">
        <v>15373</v>
      </c>
      <c r="I3232" s="22" t="s">
        <v>15382</v>
      </c>
      <c r="J3232" s="22" t="s">
        <v>4641</v>
      </c>
      <c r="K3232" s="26">
        <f t="shared" si="50"/>
        <v>400</v>
      </c>
      <c r="L3232" s="26">
        <v>400</v>
      </c>
      <c r="O3232" s="22" t="s">
        <v>4642</v>
      </c>
      <c r="P3232" s="22" t="s">
        <v>6558</v>
      </c>
      <c r="Q3232" s="22">
        <v>92104</v>
      </c>
      <c r="X3232" s="26"/>
      <c r="Y3232" s="26"/>
    </row>
    <row r="3233" spans="1:25" ht="25" x14ac:dyDescent="0.25">
      <c r="A3233" s="21">
        <v>3474</v>
      </c>
      <c r="B3233" s="22" t="s">
        <v>15338</v>
      </c>
      <c r="C3233" s="22" t="s">
        <v>4643</v>
      </c>
      <c r="F3233" s="22">
        <v>975089</v>
      </c>
      <c r="G3233" s="23" t="s">
        <v>4644</v>
      </c>
      <c r="H3233" s="25" t="s">
        <v>15373</v>
      </c>
      <c r="I3233" s="22" t="s">
        <v>16421</v>
      </c>
      <c r="J3233" s="22" t="s">
        <v>4645</v>
      </c>
      <c r="K3233" s="26">
        <f t="shared" si="50"/>
        <v>738</v>
      </c>
      <c r="L3233" s="26">
        <v>738</v>
      </c>
      <c r="O3233" s="22" t="s">
        <v>4646</v>
      </c>
      <c r="P3233" s="22" t="s">
        <v>6558</v>
      </c>
      <c r="Q3233" s="22">
        <v>92121</v>
      </c>
      <c r="X3233" s="26"/>
      <c r="Y3233" s="26"/>
    </row>
    <row r="3234" spans="1:25" ht="37.5" x14ac:dyDescent="0.25">
      <c r="A3234" s="21">
        <v>3475</v>
      </c>
      <c r="B3234" s="22" t="s">
        <v>15338</v>
      </c>
      <c r="C3234" s="22" t="s">
        <v>4647</v>
      </c>
      <c r="F3234" s="22">
        <v>975569</v>
      </c>
      <c r="G3234" s="23" t="s">
        <v>4648</v>
      </c>
      <c r="H3234" s="25" t="s">
        <v>15373</v>
      </c>
      <c r="I3234" s="22" t="s">
        <v>15411</v>
      </c>
      <c r="J3234" s="22" t="s">
        <v>4649</v>
      </c>
      <c r="K3234" s="26">
        <f t="shared" si="50"/>
        <v>780</v>
      </c>
      <c r="L3234" s="26">
        <v>780</v>
      </c>
      <c r="O3234" s="22" t="s">
        <v>4650</v>
      </c>
      <c r="P3234" s="22" t="s">
        <v>6558</v>
      </c>
      <c r="Q3234" s="22">
        <v>92111</v>
      </c>
      <c r="X3234" s="26"/>
      <c r="Y3234" s="26"/>
    </row>
    <row r="3235" spans="1:25" ht="37.5" x14ac:dyDescent="0.25">
      <c r="A3235" s="21">
        <v>3476</v>
      </c>
      <c r="B3235" s="22" t="s">
        <v>15338</v>
      </c>
      <c r="C3235" s="22" t="s">
        <v>4651</v>
      </c>
      <c r="F3235" s="22">
        <v>860853</v>
      </c>
      <c r="G3235" s="23" t="s">
        <v>4652</v>
      </c>
      <c r="H3235" s="25" t="s">
        <v>15373</v>
      </c>
      <c r="I3235" s="22" t="s">
        <v>15374</v>
      </c>
      <c r="J3235" s="22" t="s">
        <v>15918</v>
      </c>
      <c r="K3235" s="26">
        <f t="shared" si="50"/>
        <v>600</v>
      </c>
      <c r="L3235" s="26">
        <v>600</v>
      </c>
      <c r="O3235" s="22" t="s">
        <v>4653</v>
      </c>
      <c r="P3235" s="22" t="s">
        <v>6558</v>
      </c>
      <c r="Q3235" s="22">
        <v>92161</v>
      </c>
      <c r="S3235" s="22" t="s">
        <v>4654</v>
      </c>
      <c r="X3235" s="26"/>
      <c r="Y3235" s="26"/>
    </row>
    <row r="3236" spans="1:25" ht="37.5" x14ac:dyDescent="0.25">
      <c r="A3236" s="21">
        <v>3477</v>
      </c>
      <c r="B3236" s="22" t="s">
        <v>15338</v>
      </c>
      <c r="C3236" s="22" t="s">
        <v>4651</v>
      </c>
      <c r="F3236" s="22">
        <v>860854</v>
      </c>
      <c r="G3236" s="23" t="s">
        <v>4655</v>
      </c>
      <c r="H3236" s="25" t="s">
        <v>15373</v>
      </c>
      <c r="I3236" s="22" t="s">
        <v>15374</v>
      </c>
      <c r="J3236" s="22" t="s">
        <v>15918</v>
      </c>
      <c r="K3236" s="26">
        <f t="shared" si="50"/>
        <v>600</v>
      </c>
      <c r="L3236" s="26">
        <v>600</v>
      </c>
      <c r="O3236" s="22" t="s">
        <v>4653</v>
      </c>
      <c r="P3236" s="22" t="s">
        <v>6558</v>
      </c>
      <c r="Q3236" s="22">
        <v>92161</v>
      </c>
      <c r="S3236" s="22" t="s">
        <v>4654</v>
      </c>
      <c r="X3236" s="26"/>
      <c r="Y3236" s="26"/>
    </row>
    <row r="3237" spans="1:25" ht="37.5" x14ac:dyDescent="0.25">
      <c r="A3237" s="21">
        <v>3478</v>
      </c>
      <c r="B3237" s="22" t="s">
        <v>15338</v>
      </c>
      <c r="C3237" s="22" t="s">
        <v>4651</v>
      </c>
      <c r="F3237" s="22">
        <v>860855</v>
      </c>
      <c r="G3237" s="23" t="s">
        <v>4656</v>
      </c>
      <c r="H3237" s="25" t="s">
        <v>15373</v>
      </c>
      <c r="I3237" s="22" t="s">
        <v>15374</v>
      </c>
      <c r="J3237" s="22" t="s">
        <v>15918</v>
      </c>
      <c r="K3237" s="26">
        <f t="shared" si="50"/>
        <v>600</v>
      </c>
      <c r="L3237" s="26">
        <v>600</v>
      </c>
      <c r="O3237" s="22" t="s">
        <v>4653</v>
      </c>
      <c r="P3237" s="22" t="s">
        <v>6558</v>
      </c>
      <c r="Q3237" s="22">
        <v>92161</v>
      </c>
      <c r="S3237" s="22" t="s">
        <v>4654</v>
      </c>
      <c r="X3237" s="26"/>
      <c r="Y3237" s="26"/>
    </row>
    <row r="3238" spans="1:25" ht="37.5" x14ac:dyDescent="0.25">
      <c r="A3238" s="21">
        <v>3479</v>
      </c>
      <c r="B3238" s="22" t="s">
        <v>15338</v>
      </c>
      <c r="C3238" s="22" t="s">
        <v>4651</v>
      </c>
      <c r="F3238" s="22">
        <v>860856</v>
      </c>
      <c r="G3238" s="23" t="s">
        <v>4657</v>
      </c>
      <c r="H3238" s="25" t="s">
        <v>15373</v>
      </c>
      <c r="I3238" s="22" t="s">
        <v>15374</v>
      </c>
      <c r="J3238" s="22" t="s">
        <v>15918</v>
      </c>
      <c r="K3238" s="26">
        <f t="shared" si="50"/>
        <v>600</v>
      </c>
      <c r="L3238" s="26">
        <v>600</v>
      </c>
      <c r="O3238" s="22" t="s">
        <v>4653</v>
      </c>
      <c r="P3238" s="22" t="s">
        <v>6558</v>
      </c>
      <c r="Q3238" s="22">
        <v>92161</v>
      </c>
      <c r="S3238" s="22" t="s">
        <v>4654</v>
      </c>
      <c r="X3238" s="26"/>
      <c r="Y3238" s="26"/>
    </row>
    <row r="3239" spans="1:25" ht="25" x14ac:dyDescent="0.25">
      <c r="A3239" s="21">
        <v>3480</v>
      </c>
      <c r="B3239" s="22" t="s">
        <v>15338</v>
      </c>
      <c r="C3239" s="22" t="s">
        <v>4658</v>
      </c>
      <c r="F3239" s="22">
        <v>973883</v>
      </c>
      <c r="G3239" s="23" t="s">
        <v>4659</v>
      </c>
      <c r="H3239" s="25" t="s">
        <v>15373</v>
      </c>
      <c r="I3239" s="22" t="s">
        <v>15374</v>
      </c>
      <c r="J3239" s="22" t="s">
        <v>11983</v>
      </c>
      <c r="K3239" s="26">
        <f t="shared" si="50"/>
        <v>952</v>
      </c>
      <c r="L3239" s="26">
        <v>952</v>
      </c>
      <c r="O3239" s="22" t="s">
        <v>4660</v>
      </c>
      <c r="P3239" s="22" t="s">
        <v>6558</v>
      </c>
      <c r="Q3239" s="22">
        <v>92121</v>
      </c>
      <c r="X3239" s="26"/>
      <c r="Y3239" s="26"/>
    </row>
    <row r="3240" spans="1:25" ht="25" x14ac:dyDescent="0.25">
      <c r="A3240" s="21">
        <v>3481</v>
      </c>
      <c r="B3240" s="22" t="s">
        <v>15338</v>
      </c>
      <c r="C3240" s="22" t="s">
        <v>4661</v>
      </c>
      <c r="F3240" s="22">
        <v>860747</v>
      </c>
      <c r="G3240" s="23" t="s">
        <v>4662</v>
      </c>
      <c r="H3240" s="25" t="s">
        <v>15373</v>
      </c>
      <c r="I3240" s="22" t="s">
        <v>15411</v>
      </c>
      <c r="J3240" s="22" t="s">
        <v>11079</v>
      </c>
      <c r="K3240" s="26">
        <f t="shared" si="50"/>
        <v>1200</v>
      </c>
      <c r="L3240" s="26">
        <v>1200</v>
      </c>
      <c r="O3240" s="22" t="s">
        <v>4663</v>
      </c>
      <c r="P3240" s="22" t="s">
        <v>6558</v>
      </c>
      <c r="Q3240" s="22">
        <v>92101</v>
      </c>
      <c r="S3240" s="22" t="s">
        <v>4664</v>
      </c>
      <c r="X3240" s="26"/>
      <c r="Y3240" s="26"/>
    </row>
    <row r="3241" spans="1:25" ht="37.5" x14ac:dyDescent="0.25">
      <c r="A3241" s="21">
        <v>3482</v>
      </c>
      <c r="B3241" s="22" t="s">
        <v>15338</v>
      </c>
      <c r="C3241" s="22" t="s">
        <v>4665</v>
      </c>
      <c r="F3241" s="22">
        <v>901318</v>
      </c>
      <c r="G3241" s="23" t="s">
        <v>4666</v>
      </c>
      <c r="H3241" s="25" t="s">
        <v>15373</v>
      </c>
      <c r="I3241" s="22" t="s">
        <v>15382</v>
      </c>
      <c r="J3241" s="22" t="s">
        <v>5422</v>
      </c>
      <c r="K3241" s="26">
        <f t="shared" si="50"/>
        <v>350</v>
      </c>
      <c r="L3241" s="26">
        <v>350</v>
      </c>
      <c r="O3241" s="22" t="s">
        <v>4667</v>
      </c>
      <c r="P3241" s="22" t="s">
        <v>5028</v>
      </c>
      <c r="Q3241" s="22">
        <v>92067</v>
      </c>
      <c r="S3241" s="22" t="s">
        <v>4668</v>
      </c>
      <c r="X3241" s="26"/>
      <c r="Y3241" s="26"/>
    </row>
    <row r="3242" spans="1:25" ht="25" x14ac:dyDescent="0.25">
      <c r="A3242" s="21">
        <v>3483</v>
      </c>
      <c r="B3242" s="22" t="s">
        <v>15338</v>
      </c>
      <c r="C3242" s="22" t="s">
        <v>18272</v>
      </c>
      <c r="F3242" s="22">
        <v>971820</v>
      </c>
      <c r="G3242" s="23" t="s">
        <v>4669</v>
      </c>
      <c r="H3242" s="25" t="s">
        <v>15373</v>
      </c>
      <c r="I3242" s="22" t="s">
        <v>4670</v>
      </c>
      <c r="J3242" s="22" t="s">
        <v>4671</v>
      </c>
      <c r="K3242" s="26">
        <f t="shared" si="50"/>
        <v>600</v>
      </c>
      <c r="L3242" s="26">
        <v>600</v>
      </c>
      <c r="O3242" s="22" t="s">
        <v>4672</v>
      </c>
      <c r="P3242" s="22" t="s">
        <v>6558</v>
      </c>
      <c r="Q3242" s="22">
        <v>92123</v>
      </c>
      <c r="X3242" s="26"/>
      <c r="Y3242" s="26"/>
    </row>
    <row r="3243" spans="1:25" ht="25" x14ac:dyDescent="0.25">
      <c r="A3243" s="21">
        <v>3484</v>
      </c>
      <c r="B3243" s="22" t="s">
        <v>15338</v>
      </c>
      <c r="C3243" s="22" t="s">
        <v>4673</v>
      </c>
      <c r="F3243" s="22">
        <v>961223</v>
      </c>
      <c r="G3243" s="23" t="s">
        <v>4674</v>
      </c>
      <c r="H3243" s="25" t="s">
        <v>15373</v>
      </c>
      <c r="I3243" s="22" t="s">
        <v>16907</v>
      </c>
      <c r="J3243" s="22" t="s">
        <v>4675</v>
      </c>
      <c r="K3243" s="26">
        <f t="shared" si="50"/>
        <v>350</v>
      </c>
      <c r="L3243" s="26">
        <v>350</v>
      </c>
      <c r="O3243" s="22" t="s">
        <v>5300</v>
      </c>
      <c r="P3243" s="22" t="s">
        <v>6558</v>
      </c>
      <c r="Q3243" s="22">
        <v>92101</v>
      </c>
      <c r="X3243" s="26"/>
      <c r="Y3243" s="26"/>
    </row>
    <row r="3244" spans="1:25" ht="50" x14ac:dyDescent="0.25">
      <c r="A3244" s="21">
        <v>3485</v>
      </c>
      <c r="B3244" s="22" t="s">
        <v>15338</v>
      </c>
      <c r="C3244" s="22" t="s">
        <v>4676</v>
      </c>
      <c r="E3244" s="24">
        <v>2001</v>
      </c>
      <c r="F3244" s="22">
        <v>976918</v>
      </c>
      <c r="G3244" s="23" t="s">
        <v>3723</v>
      </c>
      <c r="H3244" s="25" t="s">
        <v>15373</v>
      </c>
      <c r="I3244" s="22" t="s">
        <v>15382</v>
      </c>
      <c r="J3244" s="22" t="s">
        <v>15391</v>
      </c>
      <c r="K3244" s="26">
        <f t="shared" si="50"/>
        <v>1250</v>
      </c>
      <c r="L3244" s="26">
        <v>1250</v>
      </c>
      <c r="O3244" s="22" t="s">
        <v>3724</v>
      </c>
      <c r="P3244" s="22" t="s">
        <v>3725</v>
      </c>
      <c r="Q3244" s="22">
        <v>92123</v>
      </c>
      <c r="X3244" s="26"/>
      <c r="Y3244" s="26"/>
    </row>
    <row r="3245" spans="1:25" ht="37.5" x14ac:dyDescent="0.25">
      <c r="A3245" s="21">
        <v>3486</v>
      </c>
      <c r="B3245" s="22" t="s">
        <v>15338</v>
      </c>
      <c r="C3245" s="22" t="s">
        <v>3726</v>
      </c>
      <c r="E3245" s="24">
        <v>2001</v>
      </c>
      <c r="F3245" s="22">
        <v>976442</v>
      </c>
      <c r="G3245" s="23" t="s">
        <v>3727</v>
      </c>
      <c r="H3245" s="25" t="s">
        <v>15373</v>
      </c>
      <c r="I3245" s="22" t="s">
        <v>15411</v>
      </c>
      <c r="J3245" s="22" t="s">
        <v>3728</v>
      </c>
      <c r="K3245" s="26">
        <f t="shared" si="50"/>
        <v>500</v>
      </c>
      <c r="L3245" s="26">
        <v>500</v>
      </c>
      <c r="O3245" s="22" t="s">
        <v>3729</v>
      </c>
      <c r="P3245" s="22" t="s">
        <v>3725</v>
      </c>
      <c r="Q3245" s="22">
        <v>92121</v>
      </c>
      <c r="R3245" s="22" t="s">
        <v>3730</v>
      </c>
      <c r="X3245" s="26"/>
      <c r="Y3245" s="26"/>
    </row>
    <row r="3246" spans="1:25" ht="37.5" x14ac:dyDescent="0.25">
      <c r="A3246" s="21">
        <v>3487</v>
      </c>
      <c r="B3246" s="22" t="s">
        <v>15338</v>
      </c>
      <c r="C3246" s="22" t="s">
        <v>3731</v>
      </c>
      <c r="E3246" s="24">
        <v>2001</v>
      </c>
      <c r="F3246" s="22">
        <v>976852</v>
      </c>
      <c r="G3246" s="23" t="s">
        <v>3732</v>
      </c>
      <c r="H3246" s="25" t="s">
        <v>15373</v>
      </c>
      <c r="I3246" s="22" t="s">
        <v>15411</v>
      </c>
      <c r="J3246" s="22" t="s">
        <v>8343</v>
      </c>
      <c r="K3246" s="26">
        <f t="shared" si="50"/>
        <v>1000</v>
      </c>
      <c r="L3246" s="26">
        <v>1000</v>
      </c>
      <c r="O3246" s="22" t="s">
        <v>3733</v>
      </c>
      <c r="P3246" s="22" t="s">
        <v>3725</v>
      </c>
      <c r="Q3246" s="22">
        <v>92121</v>
      </c>
      <c r="R3246" s="22" t="s">
        <v>3734</v>
      </c>
      <c r="X3246" s="26"/>
      <c r="Y3246" s="26"/>
    </row>
    <row r="3247" spans="1:25" ht="50" x14ac:dyDescent="0.25">
      <c r="A3247" s="21">
        <v>3488</v>
      </c>
      <c r="B3247" s="22" t="s">
        <v>15338</v>
      </c>
      <c r="C3247" s="22" t="s">
        <v>3731</v>
      </c>
      <c r="E3247" s="24">
        <v>2001</v>
      </c>
      <c r="F3247" s="22">
        <v>976910</v>
      </c>
      <c r="G3247" s="23" t="s">
        <v>3735</v>
      </c>
      <c r="H3247" s="25" t="s">
        <v>15373</v>
      </c>
      <c r="I3247" s="22" t="s">
        <v>15374</v>
      </c>
      <c r="J3247" s="22" t="s">
        <v>12592</v>
      </c>
      <c r="K3247" s="26">
        <f t="shared" si="50"/>
        <v>1250</v>
      </c>
      <c r="L3247" s="26">
        <v>1250</v>
      </c>
      <c r="O3247" s="22" t="s">
        <v>3736</v>
      </c>
      <c r="P3247" s="22" t="s">
        <v>3725</v>
      </c>
      <c r="Q3247" s="22">
        <v>92121</v>
      </c>
      <c r="R3247" s="22" t="s">
        <v>3737</v>
      </c>
      <c r="X3247" s="26"/>
      <c r="Y3247" s="26"/>
    </row>
    <row r="3248" spans="1:25" ht="37.5" x14ac:dyDescent="0.25">
      <c r="A3248" s="21">
        <v>3489</v>
      </c>
      <c r="B3248" s="22" t="s">
        <v>15338</v>
      </c>
      <c r="C3248" s="22" t="s">
        <v>3738</v>
      </c>
      <c r="E3248" s="24">
        <v>2001</v>
      </c>
      <c r="F3248" s="22">
        <v>976433</v>
      </c>
      <c r="G3248" s="23" t="s">
        <v>3739</v>
      </c>
      <c r="H3248" s="25" t="s">
        <v>15373</v>
      </c>
      <c r="I3248" s="22" t="s">
        <v>15374</v>
      </c>
      <c r="J3248" s="22">
        <v>3412</v>
      </c>
      <c r="K3248" s="26">
        <f t="shared" si="50"/>
        <v>800</v>
      </c>
      <c r="L3248" s="26">
        <v>800</v>
      </c>
      <c r="O3248" s="22" t="s">
        <v>3740</v>
      </c>
      <c r="P3248" s="22" t="s">
        <v>3725</v>
      </c>
      <c r="Q3248" s="22">
        <v>92126</v>
      </c>
      <c r="R3248" s="22" t="s">
        <v>3741</v>
      </c>
      <c r="X3248" s="26"/>
      <c r="Y3248" s="26"/>
    </row>
    <row r="3249" spans="1:25" ht="37.5" x14ac:dyDescent="0.25">
      <c r="A3249" s="21">
        <v>3490</v>
      </c>
      <c r="B3249" s="22" t="s">
        <v>15338</v>
      </c>
      <c r="C3249" s="22" t="s">
        <v>3742</v>
      </c>
      <c r="E3249" s="24">
        <v>2001</v>
      </c>
      <c r="F3249" s="22">
        <v>976196</v>
      </c>
      <c r="G3249" s="23" t="s">
        <v>3743</v>
      </c>
      <c r="H3249" s="25" t="s">
        <v>15373</v>
      </c>
      <c r="I3249" s="22" t="s">
        <v>15411</v>
      </c>
      <c r="J3249" s="22" t="s">
        <v>17521</v>
      </c>
      <c r="K3249" s="26">
        <f t="shared" si="50"/>
        <v>1125</v>
      </c>
      <c r="L3249" s="26">
        <v>1125</v>
      </c>
      <c r="O3249" s="22" t="s">
        <v>3744</v>
      </c>
      <c r="P3249" s="22" t="s">
        <v>3725</v>
      </c>
      <c r="Q3249" s="22">
        <v>92121</v>
      </c>
      <c r="R3249" s="22" t="s">
        <v>3745</v>
      </c>
      <c r="X3249" s="26"/>
      <c r="Y3249" s="26"/>
    </row>
    <row r="3250" spans="1:25" ht="37.5" x14ac:dyDescent="0.25">
      <c r="A3250" s="21">
        <v>3491</v>
      </c>
      <c r="B3250" s="22" t="s">
        <v>15338</v>
      </c>
      <c r="C3250" s="22" t="s">
        <v>3742</v>
      </c>
      <c r="E3250" s="24">
        <v>2001</v>
      </c>
      <c r="F3250" s="22">
        <v>976197</v>
      </c>
      <c r="G3250" s="23" t="s">
        <v>3746</v>
      </c>
      <c r="H3250" s="25" t="s">
        <v>15373</v>
      </c>
      <c r="I3250" s="22" t="s">
        <v>15374</v>
      </c>
      <c r="J3250" s="22" t="s">
        <v>3747</v>
      </c>
      <c r="K3250" s="26">
        <f t="shared" si="50"/>
        <v>1125</v>
      </c>
      <c r="L3250" s="26">
        <v>1125</v>
      </c>
      <c r="O3250" s="22" t="s">
        <v>3748</v>
      </c>
      <c r="P3250" s="22" t="s">
        <v>3725</v>
      </c>
      <c r="Q3250" s="22">
        <v>92121</v>
      </c>
      <c r="R3250" s="22" t="s">
        <v>3745</v>
      </c>
      <c r="X3250" s="26"/>
      <c r="Y3250" s="26"/>
    </row>
    <row r="3251" spans="1:25" ht="37.5" x14ac:dyDescent="0.25">
      <c r="A3251" s="21">
        <v>3492</v>
      </c>
      <c r="B3251" s="22" t="s">
        <v>15338</v>
      </c>
      <c r="C3251" s="22" t="s">
        <v>3749</v>
      </c>
      <c r="E3251" s="24">
        <v>2001</v>
      </c>
      <c r="F3251" s="22">
        <v>977046</v>
      </c>
      <c r="G3251" s="23" t="s">
        <v>3750</v>
      </c>
      <c r="H3251" s="25" t="s">
        <v>15373</v>
      </c>
      <c r="I3251" s="22" t="s">
        <v>15411</v>
      </c>
      <c r="J3251" s="22" t="s">
        <v>16517</v>
      </c>
      <c r="K3251" s="26">
        <f t="shared" si="50"/>
        <v>300</v>
      </c>
      <c r="L3251" s="26">
        <v>300</v>
      </c>
      <c r="O3251" s="22" t="s">
        <v>3751</v>
      </c>
      <c r="P3251" s="22" t="s">
        <v>3725</v>
      </c>
      <c r="Q3251" s="22">
        <v>92121</v>
      </c>
      <c r="R3251" s="22" t="s">
        <v>3752</v>
      </c>
      <c r="X3251" s="26"/>
      <c r="Y3251" s="26"/>
    </row>
    <row r="3252" spans="1:25" ht="50" x14ac:dyDescent="0.25">
      <c r="A3252" s="21">
        <v>3493</v>
      </c>
      <c r="B3252" s="22" t="s">
        <v>15338</v>
      </c>
      <c r="C3252" s="22" t="s">
        <v>3753</v>
      </c>
      <c r="E3252" s="24">
        <v>2001</v>
      </c>
      <c r="F3252" s="22">
        <v>977224</v>
      </c>
      <c r="G3252" s="23" t="s">
        <v>3754</v>
      </c>
      <c r="H3252" s="25" t="s">
        <v>15373</v>
      </c>
      <c r="I3252" s="22" t="s">
        <v>15411</v>
      </c>
      <c r="J3252" s="22" t="s">
        <v>16517</v>
      </c>
      <c r="K3252" s="26">
        <f t="shared" si="50"/>
        <v>355</v>
      </c>
      <c r="L3252" s="26">
        <v>355</v>
      </c>
      <c r="O3252" s="22" t="s">
        <v>3755</v>
      </c>
      <c r="P3252" s="22" t="s">
        <v>3725</v>
      </c>
      <c r="Q3252" s="22">
        <v>92121</v>
      </c>
      <c r="X3252" s="26"/>
      <c r="Y3252" s="26"/>
    </row>
    <row r="3253" spans="1:25" ht="50" x14ac:dyDescent="0.25">
      <c r="A3253" s="21">
        <v>3494</v>
      </c>
      <c r="B3253" s="22" t="s">
        <v>15338</v>
      </c>
      <c r="C3253" s="22" t="s">
        <v>3756</v>
      </c>
      <c r="E3253" s="24">
        <v>2002</v>
      </c>
      <c r="F3253" s="22">
        <v>977344</v>
      </c>
      <c r="G3253" s="23" t="s">
        <v>3757</v>
      </c>
      <c r="H3253" s="25" t="s">
        <v>15373</v>
      </c>
      <c r="I3253" s="22" t="s">
        <v>15411</v>
      </c>
      <c r="J3253" s="22" t="s">
        <v>14492</v>
      </c>
      <c r="K3253" s="26">
        <f t="shared" si="50"/>
        <v>800</v>
      </c>
      <c r="L3253" s="26">
        <v>800</v>
      </c>
      <c r="O3253" s="22" t="s">
        <v>3758</v>
      </c>
      <c r="P3253" s="22" t="s">
        <v>3759</v>
      </c>
      <c r="Q3253" s="22">
        <v>92096</v>
      </c>
      <c r="X3253" s="26"/>
      <c r="Y3253" s="26"/>
    </row>
    <row r="3254" spans="1:25" ht="37.5" x14ac:dyDescent="0.25">
      <c r="A3254" s="21">
        <v>3495</v>
      </c>
      <c r="B3254" s="22" t="s">
        <v>15338</v>
      </c>
      <c r="C3254" s="22" t="s">
        <v>3760</v>
      </c>
      <c r="E3254" s="24">
        <v>2001</v>
      </c>
      <c r="F3254" s="22">
        <v>976934</v>
      </c>
      <c r="G3254" s="23" t="s">
        <v>3761</v>
      </c>
      <c r="H3254" s="25" t="s">
        <v>15373</v>
      </c>
      <c r="I3254" s="22" t="s">
        <v>15374</v>
      </c>
      <c r="J3254" s="22">
        <v>3406</v>
      </c>
      <c r="K3254" s="26">
        <f t="shared" si="50"/>
        <v>350</v>
      </c>
      <c r="L3254" s="26">
        <v>350</v>
      </c>
      <c r="O3254" s="22" t="s">
        <v>3762</v>
      </c>
      <c r="P3254" s="22" t="s">
        <v>3725</v>
      </c>
      <c r="Q3254" s="22">
        <v>92121</v>
      </c>
      <c r="R3254" s="22" t="s">
        <v>3763</v>
      </c>
      <c r="X3254" s="26"/>
      <c r="Y3254" s="26"/>
    </row>
    <row r="3255" spans="1:25" ht="37.5" x14ac:dyDescent="0.25">
      <c r="A3255" s="21">
        <v>3496</v>
      </c>
      <c r="B3255" s="22" t="s">
        <v>15338</v>
      </c>
      <c r="C3255" s="22" t="s">
        <v>3764</v>
      </c>
      <c r="E3255" s="24">
        <v>2001</v>
      </c>
      <c r="F3255" s="22">
        <v>976931</v>
      </c>
      <c r="G3255" s="23" t="s">
        <v>3765</v>
      </c>
      <c r="H3255" s="25" t="s">
        <v>15373</v>
      </c>
      <c r="I3255" s="22" t="s">
        <v>15411</v>
      </c>
      <c r="J3255" s="22" t="s">
        <v>6673</v>
      </c>
      <c r="K3255" s="26">
        <f t="shared" si="50"/>
        <v>600</v>
      </c>
      <c r="L3255" s="26">
        <v>600</v>
      </c>
      <c r="O3255" s="22" t="s">
        <v>3766</v>
      </c>
      <c r="P3255" s="22" t="s">
        <v>3725</v>
      </c>
      <c r="Q3255" s="22">
        <v>92121</v>
      </c>
      <c r="X3255" s="26"/>
      <c r="Y3255" s="26"/>
    </row>
    <row r="3256" spans="1:25" ht="37.5" x14ac:dyDescent="0.25">
      <c r="A3256" s="21">
        <v>3497</v>
      </c>
      <c r="B3256" s="22" t="s">
        <v>15338</v>
      </c>
      <c r="C3256" s="22" t="s">
        <v>3764</v>
      </c>
      <c r="E3256" s="24">
        <v>2001</v>
      </c>
      <c r="F3256" s="22">
        <v>976835</v>
      </c>
      <c r="G3256" s="23" t="s">
        <v>3767</v>
      </c>
      <c r="H3256" s="25" t="s">
        <v>15373</v>
      </c>
      <c r="I3256" s="22" t="s">
        <v>15374</v>
      </c>
      <c r="J3256" s="22" t="s">
        <v>11983</v>
      </c>
      <c r="K3256" s="26">
        <f t="shared" si="50"/>
        <v>1001.3333333333333</v>
      </c>
      <c r="N3256" s="26">
        <v>1502</v>
      </c>
      <c r="O3256" s="22" t="s">
        <v>3768</v>
      </c>
      <c r="P3256" s="22" t="s">
        <v>3725</v>
      </c>
      <c r="Q3256" s="22">
        <v>92127</v>
      </c>
      <c r="R3256" s="22" t="s">
        <v>3769</v>
      </c>
      <c r="X3256" s="26"/>
      <c r="Y3256" s="26"/>
    </row>
    <row r="3257" spans="1:25" ht="50" x14ac:dyDescent="0.25">
      <c r="A3257" s="21">
        <v>3498</v>
      </c>
      <c r="B3257" s="22" t="s">
        <v>15338</v>
      </c>
      <c r="C3257" s="22" t="s">
        <v>3770</v>
      </c>
      <c r="E3257" s="24">
        <v>2001</v>
      </c>
      <c r="F3257" s="22">
        <v>977213</v>
      </c>
      <c r="G3257" s="23" t="s">
        <v>3771</v>
      </c>
      <c r="H3257" s="25" t="s">
        <v>15373</v>
      </c>
      <c r="I3257" s="22" t="s">
        <v>15374</v>
      </c>
      <c r="J3257" s="22">
        <v>3456</v>
      </c>
      <c r="K3257" s="26">
        <f t="shared" si="50"/>
        <v>400</v>
      </c>
      <c r="L3257" s="26">
        <v>400</v>
      </c>
      <c r="O3257" s="22" t="s">
        <v>3772</v>
      </c>
      <c r="P3257" s="22" t="s">
        <v>3725</v>
      </c>
      <c r="Q3257" s="22">
        <v>92121</v>
      </c>
      <c r="X3257" s="26"/>
      <c r="Y3257" s="26"/>
    </row>
    <row r="3258" spans="1:25" ht="37.5" x14ac:dyDescent="0.25">
      <c r="A3258" s="21">
        <v>3499</v>
      </c>
      <c r="B3258" s="22" t="s">
        <v>15338</v>
      </c>
      <c r="C3258" s="22" t="s">
        <v>3773</v>
      </c>
      <c r="E3258" s="24">
        <v>2002</v>
      </c>
      <c r="F3258" s="22">
        <v>977664</v>
      </c>
      <c r="G3258" s="23" t="s">
        <v>3774</v>
      </c>
      <c r="H3258" s="25" t="s">
        <v>15373</v>
      </c>
      <c r="I3258" s="22" t="s">
        <v>15411</v>
      </c>
      <c r="J3258" s="22" t="s">
        <v>3775</v>
      </c>
      <c r="K3258" s="26">
        <f t="shared" si="50"/>
        <v>1000</v>
      </c>
      <c r="L3258" s="26">
        <v>1000</v>
      </c>
      <c r="O3258" s="22" t="s">
        <v>3776</v>
      </c>
      <c r="P3258" s="22" t="s">
        <v>3777</v>
      </c>
      <c r="Q3258" s="22">
        <v>91911</v>
      </c>
      <c r="X3258" s="26"/>
      <c r="Y3258" s="26"/>
    </row>
    <row r="3259" spans="1:25" ht="37.5" x14ac:dyDescent="0.25">
      <c r="A3259" s="21">
        <v>3500</v>
      </c>
      <c r="B3259" s="22" t="s">
        <v>15338</v>
      </c>
      <c r="C3259" s="22" t="s">
        <v>3778</v>
      </c>
      <c r="E3259" s="24">
        <v>2001</v>
      </c>
      <c r="F3259" s="22">
        <v>976816</v>
      </c>
      <c r="G3259" s="23" t="s">
        <v>3779</v>
      </c>
      <c r="H3259" s="25" t="s">
        <v>15373</v>
      </c>
      <c r="I3259" s="22" t="s">
        <v>15382</v>
      </c>
      <c r="J3259" s="22" t="s">
        <v>16450</v>
      </c>
      <c r="K3259" s="26">
        <f t="shared" si="50"/>
        <v>1000</v>
      </c>
      <c r="L3259" s="26">
        <v>1000</v>
      </c>
      <c r="O3259" s="22" t="s">
        <v>3780</v>
      </c>
      <c r="P3259" s="22" t="s">
        <v>3781</v>
      </c>
      <c r="Q3259" s="22">
        <v>92029</v>
      </c>
      <c r="X3259" s="26"/>
      <c r="Y3259" s="26"/>
    </row>
    <row r="3260" spans="1:25" ht="37.5" x14ac:dyDescent="0.25">
      <c r="A3260" s="21">
        <v>3501</v>
      </c>
      <c r="B3260" s="22" t="s">
        <v>15338</v>
      </c>
      <c r="C3260" s="22" t="s">
        <v>3778</v>
      </c>
      <c r="E3260" s="24">
        <v>2001</v>
      </c>
      <c r="F3260" s="22">
        <v>976842</v>
      </c>
      <c r="G3260" s="23" t="s">
        <v>3782</v>
      </c>
      <c r="H3260" s="25" t="s">
        <v>15373</v>
      </c>
      <c r="I3260" s="22" t="s">
        <v>15382</v>
      </c>
      <c r="J3260" s="22" t="s">
        <v>16450</v>
      </c>
      <c r="K3260" s="26">
        <f t="shared" si="50"/>
        <v>1000</v>
      </c>
      <c r="L3260" s="26">
        <v>1000</v>
      </c>
      <c r="O3260" s="22" t="s">
        <v>3780</v>
      </c>
      <c r="P3260" s="22" t="s">
        <v>3781</v>
      </c>
      <c r="Q3260" s="22">
        <v>92029</v>
      </c>
      <c r="X3260" s="26"/>
      <c r="Y3260" s="26"/>
    </row>
    <row r="3261" spans="1:25" ht="37.5" x14ac:dyDescent="0.25">
      <c r="A3261" s="21">
        <v>3502</v>
      </c>
      <c r="B3261" s="22" t="s">
        <v>15338</v>
      </c>
      <c r="C3261" s="22" t="s">
        <v>3783</v>
      </c>
      <c r="E3261" s="24">
        <v>2001</v>
      </c>
      <c r="F3261" s="22">
        <v>977084</v>
      </c>
      <c r="G3261" s="23" t="s">
        <v>3784</v>
      </c>
      <c r="H3261" s="25" t="s">
        <v>15373</v>
      </c>
      <c r="I3261" s="22" t="s">
        <v>15411</v>
      </c>
      <c r="J3261" s="22" t="s">
        <v>16517</v>
      </c>
      <c r="K3261" s="26">
        <f t="shared" si="50"/>
        <v>355</v>
      </c>
      <c r="L3261" s="26">
        <v>355</v>
      </c>
      <c r="O3261" s="22" t="s">
        <v>3785</v>
      </c>
      <c r="P3261" s="22" t="s">
        <v>3725</v>
      </c>
      <c r="Q3261" s="22">
        <v>92121</v>
      </c>
      <c r="R3261" s="22" t="s">
        <v>3786</v>
      </c>
      <c r="X3261" s="26"/>
      <c r="Y3261" s="26"/>
    </row>
    <row r="3262" spans="1:25" ht="25" x14ac:dyDescent="0.25">
      <c r="A3262" s="21">
        <v>3503</v>
      </c>
      <c r="B3262" s="22" t="s">
        <v>15338</v>
      </c>
      <c r="C3262" s="22" t="s">
        <v>3787</v>
      </c>
      <c r="E3262" s="24">
        <v>2001</v>
      </c>
      <c r="F3262" s="22">
        <v>976234</v>
      </c>
      <c r="G3262" s="23" t="s">
        <v>3788</v>
      </c>
      <c r="H3262" s="25" t="s">
        <v>15373</v>
      </c>
      <c r="I3262" s="22" t="s">
        <v>15374</v>
      </c>
      <c r="J3262" s="22" t="s">
        <v>14555</v>
      </c>
      <c r="K3262" s="26">
        <f t="shared" si="50"/>
        <v>346</v>
      </c>
      <c r="N3262" s="26">
        <v>519</v>
      </c>
      <c r="O3262" s="22" t="s">
        <v>3789</v>
      </c>
      <c r="P3262" s="22" t="s">
        <v>3790</v>
      </c>
      <c r="Q3262" s="22">
        <v>92054</v>
      </c>
      <c r="R3262" s="22" t="s">
        <v>3791</v>
      </c>
      <c r="X3262" s="26"/>
      <c r="Y3262" s="26"/>
    </row>
    <row r="3263" spans="1:25" ht="37.5" x14ac:dyDescent="0.25">
      <c r="A3263" s="21">
        <v>3504</v>
      </c>
      <c r="B3263" s="22" t="s">
        <v>15338</v>
      </c>
      <c r="C3263" s="22" t="s">
        <v>3792</v>
      </c>
      <c r="E3263" s="24">
        <v>2001</v>
      </c>
      <c r="F3263" s="22">
        <v>976935</v>
      </c>
      <c r="G3263" s="23" t="s">
        <v>3793</v>
      </c>
      <c r="H3263" s="25" t="s">
        <v>15373</v>
      </c>
      <c r="I3263" s="22" t="s">
        <v>15411</v>
      </c>
      <c r="J3263" s="22" t="s">
        <v>6673</v>
      </c>
      <c r="K3263" s="26">
        <f t="shared" si="50"/>
        <v>750</v>
      </c>
      <c r="L3263" s="26">
        <v>750</v>
      </c>
      <c r="O3263" s="22" t="s">
        <v>3794</v>
      </c>
      <c r="P3263" s="22" t="s">
        <v>3725</v>
      </c>
      <c r="Q3263" s="22">
        <v>92121</v>
      </c>
      <c r="X3263" s="26"/>
      <c r="Y3263" s="26"/>
    </row>
    <row r="3264" spans="1:25" ht="37.5" x14ac:dyDescent="0.25">
      <c r="A3264" s="21">
        <v>3505</v>
      </c>
      <c r="B3264" s="22" t="s">
        <v>15338</v>
      </c>
      <c r="C3264" s="22" t="s">
        <v>3795</v>
      </c>
      <c r="E3264" s="24">
        <v>2001</v>
      </c>
      <c r="F3264" s="22">
        <v>977148</v>
      </c>
      <c r="G3264" s="23" t="s">
        <v>3796</v>
      </c>
      <c r="H3264" s="25" t="s">
        <v>15373</v>
      </c>
      <c r="I3264" s="22" t="s">
        <v>15411</v>
      </c>
      <c r="J3264" s="22" t="s">
        <v>6673</v>
      </c>
      <c r="K3264" s="26">
        <f t="shared" si="50"/>
        <v>750</v>
      </c>
      <c r="L3264" s="26">
        <v>750</v>
      </c>
      <c r="O3264" s="22" t="s">
        <v>3797</v>
      </c>
      <c r="P3264" s="22" t="s">
        <v>3725</v>
      </c>
      <c r="Q3264" s="22">
        <v>92121</v>
      </c>
      <c r="X3264" s="26"/>
      <c r="Y3264" s="26"/>
    </row>
    <row r="3265" spans="1:25" ht="37.5" x14ac:dyDescent="0.25">
      <c r="A3265" s="21">
        <v>3506</v>
      </c>
      <c r="B3265" s="22" t="s">
        <v>15338</v>
      </c>
      <c r="C3265" s="22" t="s">
        <v>3798</v>
      </c>
      <c r="E3265" s="24">
        <v>2001</v>
      </c>
      <c r="F3265" s="22">
        <v>976209</v>
      </c>
      <c r="G3265" s="23" t="s">
        <v>3799</v>
      </c>
      <c r="H3265" s="25" t="s">
        <v>15373</v>
      </c>
      <c r="I3265" s="22" t="s">
        <v>15374</v>
      </c>
      <c r="J3265" s="22">
        <v>3406</v>
      </c>
      <c r="K3265" s="26">
        <f t="shared" si="50"/>
        <v>400</v>
      </c>
      <c r="L3265" s="26">
        <v>400</v>
      </c>
      <c r="O3265" s="22" t="s">
        <v>3800</v>
      </c>
      <c r="P3265" s="22" t="s">
        <v>3725</v>
      </c>
      <c r="Q3265" s="22">
        <v>92152</v>
      </c>
      <c r="R3265" s="22" t="s">
        <v>3801</v>
      </c>
      <c r="X3265" s="26"/>
      <c r="Y3265" s="26"/>
    </row>
    <row r="3266" spans="1:25" ht="37.5" x14ac:dyDescent="0.25">
      <c r="A3266" s="21">
        <v>3507</v>
      </c>
      <c r="B3266" s="22" t="s">
        <v>15338</v>
      </c>
      <c r="C3266" s="22" t="s">
        <v>3798</v>
      </c>
      <c r="E3266" s="24">
        <v>2001</v>
      </c>
      <c r="F3266" s="22">
        <v>976210</v>
      </c>
      <c r="G3266" s="23" t="s">
        <v>4748</v>
      </c>
      <c r="H3266" s="25" t="s">
        <v>15373</v>
      </c>
      <c r="I3266" s="22" t="s">
        <v>15374</v>
      </c>
      <c r="J3266" s="22">
        <v>3412</v>
      </c>
      <c r="K3266" s="26">
        <f t="shared" si="50"/>
        <v>800</v>
      </c>
      <c r="L3266" s="26">
        <v>800</v>
      </c>
      <c r="O3266" s="22" t="s">
        <v>3800</v>
      </c>
      <c r="P3266" s="22" t="s">
        <v>3725</v>
      </c>
      <c r="Q3266" s="22">
        <v>92152</v>
      </c>
      <c r="R3266" s="22" t="s">
        <v>3801</v>
      </c>
      <c r="X3266" s="26"/>
      <c r="Y3266" s="26"/>
    </row>
    <row r="3267" spans="1:25" ht="37.5" x14ac:dyDescent="0.25">
      <c r="A3267" s="21">
        <v>3508</v>
      </c>
      <c r="B3267" s="22" t="s">
        <v>15338</v>
      </c>
      <c r="C3267" s="22" t="s">
        <v>3798</v>
      </c>
      <c r="E3267" s="24">
        <v>2001</v>
      </c>
      <c r="F3267" s="22">
        <v>976640</v>
      </c>
      <c r="G3267" s="23" t="s">
        <v>4749</v>
      </c>
      <c r="H3267" s="25" t="s">
        <v>15373</v>
      </c>
      <c r="I3267" s="22" t="s">
        <v>15411</v>
      </c>
      <c r="J3267" s="22" t="s">
        <v>17496</v>
      </c>
      <c r="K3267" s="26">
        <f t="shared" si="50"/>
        <v>1000</v>
      </c>
      <c r="L3267" s="26">
        <v>1000</v>
      </c>
      <c r="O3267" s="22" t="s">
        <v>4750</v>
      </c>
      <c r="P3267" s="22" t="s">
        <v>3725</v>
      </c>
      <c r="Q3267" s="22">
        <v>92110</v>
      </c>
      <c r="X3267" s="26"/>
      <c r="Y3267" s="26"/>
    </row>
    <row r="3268" spans="1:25" ht="37.5" x14ac:dyDescent="0.25">
      <c r="A3268" s="21">
        <v>3509</v>
      </c>
      <c r="B3268" s="22" t="s">
        <v>15338</v>
      </c>
      <c r="C3268" s="22" t="s">
        <v>3798</v>
      </c>
      <c r="E3268" s="24">
        <v>2001</v>
      </c>
      <c r="F3268" s="22">
        <v>976641</v>
      </c>
      <c r="G3268" s="23" t="s">
        <v>4749</v>
      </c>
      <c r="H3268" s="25" t="s">
        <v>15373</v>
      </c>
      <c r="I3268" s="22" t="s">
        <v>15411</v>
      </c>
      <c r="J3268" s="22" t="s">
        <v>17496</v>
      </c>
      <c r="K3268" s="26">
        <f t="shared" si="50"/>
        <v>1000</v>
      </c>
      <c r="L3268" s="26">
        <v>1000</v>
      </c>
      <c r="O3268" s="22" t="s">
        <v>4750</v>
      </c>
      <c r="P3268" s="22" t="s">
        <v>3725</v>
      </c>
      <c r="Q3268" s="22">
        <v>92110</v>
      </c>
      <c r="X3268" s="26"/>
      <c r="Y3268" s="26"/>
    </row>
    <row r="3269" spans="1:25" ht="37.5" x14ac:dyDescent="0.25">
      <c r="A3269" s="21">
        <v>3510</v>
      </c>
      <c r="B3269" s="22" t="s">
        <v>15338</v>
      </c>
      <c r="C3269" s="22" t="s">
        <v>3798</v>
      </c>
      <c r="E3269" s="24">
        <v>2001</v>
      </c>
      <c r="F3269" s="22">
        <v>976642</v>
      </c>
      <c r="G3269" s="23" t="s">
        <v>4749</v>
      </c>
      <c r="H3269" s="25" t="s">
        <v>15373</v>
      </c>
      <c r="I3269" s="22" t="s">
        <v>15411</v>
      </c>
      <c r="J3269" s="22" t="s">
        <v>17496</v>
      </c>
      <c r="K3269" s="26">
        <f t="shared" si="50"/>
        <v>1000</v>
      </c>
      <c r="L3269" s="26">
        <v>1000</v>
      </c>
      <c r="O3269" s="22" t="s">
        <v>4750</v>
      </c>
      <c r="P3269" s="22" t="s">
        <v>3725</v>
      </c>
      <c r="Q3269" s="22">
        <v>92110</v>
      </c>
      <c r="X3269" s="26"/>
      <c r="Y3269" s="26"/>
    </row>
    <row r="3270" spans="1:25" ht="37.5" x14ac:dyDescent="0.25">
      <c r="A3270" s="21">
        <v>3511</v>
      </c>
      <c r="B3270" s="22" t="s">
        <v>15338</v>
      </c>
      <c r="C3270" s="22" t="s">
        <v>3798</v>
      </c>
      <c r="E3270" s="24">
        <v>2001</v>
      </c>
      <c r="F3270" s="22">
        <v>976643</v>
      </c>
      <c r="G3270" s="23" t="s">
        <v>4749</v>
      </c>
      <c r="H3270" s="25" t="s">
        <v>15373</v>
      </c>
      <c r="I3270" s="22" t="s">
        <v>15411</v>
      </c>
      <c r="J3270" s="22" t="s">
        <v>17496</v>
      </c>
      <c r="K3270" s="26">
        <f t="shared" si="50"/>
        <v>1000</v>
      </c>
      <c r="L3270" s="26">
        <v>1000</v>
      </c>
      <c r="O3270" s="22" t="s">
        <v>4750</v>
      </c>
      <c r="P3270" s="22" t="s">
        <v>3725</v>
      </c>
      <c r="Q3270" s="22">
        <v>92110</v>
      </c>
      <c r="X3270" s="26"/>
      <c r="Y3270" s="26"/>
    </row>
    <row r="3271" spans="1:25" ht="37.5" x14ac:dyDescent="0.25">
      <c r="A3271" s="21">
        <v>3512</v>
      </c>
      <c r="B3271" s="22" t="s">
        <v>15338</v>
      </c>
      <c r="C3271" s="22" t="s">
        <v>3798</v>
      </c>
      <c r="E3271" s="24">
        <v>2001</v>
      </c>
      <c r="F3271" s="22">
        <v>976644</v>
      </c>
      <c r="G3271" s="23" t="s">
        <v>4749</v>
      </c>
      <c r="H3271" s="25" t="s">
        <v>15373</v>
      </c>
      <c r="I3271" s="22" t="s">
        <v>15411</v>
      </c>
      <c r="J3271" s="22" t="s">
        <v>17496</v>
      </c>
      <c r="K3271" s="26">
        <f t="shared" si="50"/>
        <v>1000</v>
      </c>
      <c r="L3271" s="26">
        <v>1000</v>
      </c>
      <c r="O3271" s="22" t="s">
        <v>4750</v>
      </c>
      <c r="P3271" s="22" t="s">
        <v>3725</v>
      </c>
      <c r="Q3271" s="22">
        <v>92110</v>
      </c>
      <c r="X3271" s="26"/>
      <c r="Y3271" s="26"/>
    </row>
    <row r="3272" spans="1:25" ht="37.5" x14ac:dyDescent="0.25">
      <c r="A3272" s="21">
        <v>3513</v>
      </c>
      <c r="B3272" s="22" t="s">
        <v>15338</v>
      </c>
      <c r="C3272" s="22" t="s">
        <v>3798</v>
      </c>
      <c r="E3272" s="24">
        <v>2001</v>
      </c>
      <c r="F3272" s="22">
        <v>977133</v>
      </c>
      <c r="G3272" s="23" t="s">
        <v>4751</v>
      </c>
      <c r="H3272" s="25" t="s">
        <v>15373</v>
      </c>
      <c r="I3272" s="22" t="s">
        <v>15374</v>
      </c>
      <c r="J3272" s="22" t="s">
        <v>12592</v>
      </c>
      <c r="K3272" s="26">
        <f t="shared" si="50"/>
        <v>1500</v>
      </c>
      <c r="L3272" s="26">
        <v>1500</v>
      </c>
      <c r="O3272" s="22" t="s">
        <v>4752</v>
      </c>
      <c r="P3272" s="22" t="s">
        <v>3725</v>
      </c>
      <c r="Q3272" s="22">
        <v>92135</v>
      </c>
      <c r="X3272" s="26"/>
      <c r="Y3272" s="26"/>
    </row>
    <row r="3273" spans="1:25" ht="25" x14ac:dyDescent="0.25">
      <c r="A3273" s="21">
        <v>3514</v>
      </c>
      <c r="B3273" s="22" t="s">
        <v>15338</v>
      </c>
      <c r="C3273" s="22" t="s">
        <v>4753</v>
      </c>
      <c r="E3273" s="24">
        <v>2001</v>
      </c>
      <c r="F3273" s="22">
        <v>976152</v>
      </c>
      <c r="G3273" s="23" t="s">
        <v>4754</v>
      </c>
      <c r="H3273" s="25" t="s">
        <v>15373</v>
      </c>
      <c r="I3273" s="22" t="s">
        <v>15374</v>
      </c>
      <c r="J3273" s="22" t="s">
        <v>12899</v>
      </c>
      <c r="K3273" s="26">
        <f t="shared" si="50"/>
        <v>2000</v>
      </c>
      <c r="L3273" s="26">
        <v>2000</v>
      </c>
      <c r="O3273" s="22" t="s">
        <v>4755</v>
      </c>
      <c r="P3273" s="22" t="s">
        <v>3725</v>
      </c>
      <c r="Q3273" s="22">
        <v>92123</v>
      </c>
      <c r="R3273" s="22" t="s">
        <v>4756</v>
      </c>
      <c r="X3273" s="26"/>
      <c r="Y3273" s="26"/>
    </row>
    <row r="3274" spans="1:25" ht="25" x14ac:dyDescent="0.25">
      <c r="A3274" s="21">
        <v>3515</v>
      </c>
      <c r="B3274" s="22" t="s">
        <v>15338</v>
      </c>
      <c r="C3274" s="22" t="s">
        <v>4753</v>
      </c>
      <c r="E3274" s="24">
        <v>2001</v>
      </c>
      <c r="F3274" s="22">
        <v>976153</v>
      </c>
      <c r="G3274" s="23" t="s">
        <v>4754</v>
      </c>
      <c r="H3274" s="25" t="s">
        <v>15373</v>
      </c>
      <c r="I3274" s="22" t="s">
        <v>15374</v>
      </c>
      <c r="J3274" s="22" t="s">
        <v>12899</v>
      </c>
      <c r="K3274" s="26">
        <f t="shared" ref="K3274:K3367" si="51">L3274+M3274*(2/3)+N3274*(2/3)</f>
        <v>2000</v>
      </c>
      <c r="L3274" s="26">
        <v>2000</v>
      </c>
      <c r="O3274" s="22" t="s">
        <v>4755</v>
      </c>
      <c r="P3274" s="22" t="s">
        <v>3725</v>
      </c>
      <c r="Q3274" s="22">
        <v>92123</v>
      </c>
      <c r="R3274" s="22" t="s">
        <v>4756</v>
      </c>
      <c r="X3274" s="26"/>
      <c r="Y3274" s="26"/>
    </row>
    <row r="3275" spans="1:25" ht="37.5" x14ac:dyDescent="0.25">
      <c r="A3275" s="21">
        <v>3516</v>
      </c>
      <c r="B3275" s="22" t="s">
        <v>15338</v>
      </c>
      <c r="C3275" s="22" t="s">
        <v>4757</v>
      </c>
      <c r="E3275" s="24">
        <v>2001</v>
      </c>
      <c r="F3275" s="22">
        <v>976358</v>
      </c>
      <c r="G3275" s="23" t="s">
        <v>4758</v>
      </c>
      <c r="H3275" s="25" t="s">
        <v>15373</v>
      </c>
      <c r="I3275" s="22" t="s">
        <v>6415</v>
      </c>
      <c r="J3275" s="22" t="s">
        <v>6416</v>
      </c>
      <c r="K3275" s="26">
        <f t="shared" si="51"/>
        <v>600</v>
      </c>
      <c r="L3275" s="26">
        <v>600</v>
      </c>
      <c r="O3275" s="22" t="s">
        <v>4759</v>
      </c>
      <c r="P3275" s="22" t="s">
        <v>3725</v>
      </c>
      <c r="Q3275" s="22">
        <v>92121</v>
      </c>
      <c r="R3275" s="22" t="s">
        <v>4760</v>
      </c>
      <c r="X3275" s="26"/>
      <c r="Y3275" s="26"/>
    </row>
    <row r="3276" spans="1:25" ht="37.5" x14ac:dyDescent="0.25">
      <c r="A3276" s="21">
        <v>3517</v>
      </c>
      <c r="B3276" s="22" t="s">
        <v>15338</v>
      </c>
      <c r="C3276" s="22" t="s">
        <v>4757</v>
      </c>
      <c r="E3276" s="24">
        <v>2001</v>
      </c>
      <c r="F3276" s="22">
        <v>976863</v>
      </c>
      <c r="G3276" s="23" t="s">
        <v>4761</v>
      </c>
      <c r="H3276" s="25" t="s">
        <v>15373</v>
      </c>
      <c r="I3276" s="22" t="s">
        <v>15709</v>
      </c>
      <c r="J3276" s="22" t="s">
        <v>4762</v>
      </c>
      <c r="K3276" s="26">
        <f t="shared" si="51"/>
        <v>382.66666666666663</v>
      </c>
      <c r="N3276" s="26">
        <v>574</v>
      </c>
      <c r="O3276" s="22" t="s">
        <v>4763</v>
      </c>
      <c r="P3276" s="22" t="s">
        <v>3725</v>
      </c>
      <c r="Q3276" s="22">
        <v>92123</v>
      </c>
      <c r="R3276" s="22" t="s">
        <v>4760</v>
      </c>
      <c r="X3276" s="26"/>
      <c r="Y3276" s="26"/>
    </row>
    <row r="3277" spans="1:25" ht="62.5" x14ac:dyDescent="0.25">
      <c r="A3277" s="21">
        <v>3518</v>
      </c>
      <c r="B3277" s="22" t="s">
        <v>15338</v>
      </c>
      <c r="C3277" s="22" t="s">
        <v>4764</v>
      </c>
      <c r="E3277" s="24">
        <v>2001</v>
      </c>
      <c r="F3277" s="22">
        <v>977102</v>
      </c>
      <c r="G3277" s="23" t="s">
        <v>4765</v>
      </c>
      <c r="H3277" s="25" t="s">
        <v>15373</v>
      </c>
      <c r="I3277" s="22" t="s">
        <v>15374</v>
      </c>
      <c r="J3277" s="22">
        <v>3412</v>
      </c>
      <c r="K3277" s="26">
        <f t="shared" si="51"/>
        <v>600</v>
      </c>
      <c r="L3277" s="26">
        <v>600</v>
      </c>
      <c r="O3277" s="22" t="s">
        <v>4766</v>
      </c>
      <c r="P3277" s="22" t="s">
        <v>3725</v>
      </c>
      <c r="Q3277" s="22">
        <v>92101</v>
      </c>
      <c r="R3277" s="22" t="s">
        <v>4767</v>
      </c>
      <c r="X3277" s="26"/>
      <c r="Y3277" s="26"/>
    </row>
    <row r="3278" spans="1:25" ht="37.5" x14ac:dyDescent="0.25">
      <c r="A3278" s="21">
        <v>3519</v>
      </c>
      <c r="B3278" s="22" t="s">
        <v>15338</v>
      </c>
      <c r="C3278" s="22" t="s">
        <v>4768</v>
      </c>
      <c r="E3278" s="24">
        <v>2001</v>
      </c>
      <c r="F3278" s="22">
        <v>977238</v>
      </c>
      <c r="G3278" s="23" t="s">
        <v>4769</v>
      </c>
      <c r="H3278" s="25" t="s">
        <v>15373</v>
      </c>
      <c r="I3278" s="22" t="s">
        <v>15382</v>
      </c>
      <c r="J3278" s="22" t="s">
        <v>16450</v>
      </c>
      <c r="K3278" s="26">
        <f t="shared" si="51"/>
        <v>1000</v>
      </c>
      <c r="L3278" s="26">
        <v>1000</v>
      </c>
      <c r="O3278" s="22" t="s">
        <v>4770</v>
      </c>
      <c r="P3278" s="22" t="s">
        <v>3725</v>
      </c>
      <c r="Q3278" s="22">
        <v>92121</v>
      </c>
      <c r="X3278" s="26"/>
      <c r="Y3278" s="26"/>
    </row>
    <row r="3279" spans="1:25" ht="37.5" x14ac:dyDescent="0.25">
      <c r="A3279" s="21">
        <v>3520</v>
      </c>
      <c r="B3279" s="22" t="s">
        <v>15338</v>
      </c>
      <c r="C3279" s="22" t="s">
        <v>4771</v>
      </c>
      <c r="E3279" s="24">
        <v>2001</v>
      </c>
      <c r="F3279" s="22">
        <v>976682</v>
      </c>
      <c r="G3279" s="23" t="s">
        <v>4772</v>
      </c>
      <c r="H3279" s="25" t="s">
        <v>15373</v>
      </c>
      <c r="I3279" s="22" t="s">
        <v>15411</v>
      </c>
      <c r="J3279" s="22" t="s">
        <v>13080</v>
      </c>
      <c r="K3279" s="26">
        <f t="shared" si="51"/>
        <v>600</v>
      </c>
      <c r="L3279" s="26">
        <v>600</v>
      </c>
      <c r="O3279" s="22" t="s">
        <v>4773</v>
      </c>
      <c r="P3279" s="22" t="s">
        <v>3725</v>
      </c>
      <c r="Q3279" s="22">
        <v>92121</v>
      </c>
      <c r="R3279" s="22" t="s">
        <v>4774</v>
      </c>
      <c r="X3279" s="26"/>
      <c r="Y3279" s="26"/>
    </row>
    <row r="3280" spans="1:25" ht="37.5" x14ac:dyDescent="0.25">
      <c r="A3280" s="21">
        <v>3521</v>
      </c>
      <c r="B3280" s="22" t="s">
        <v>15338</v>
      </c>
      <c r="C3280" s="22" t="s">
        <v>4775</v>
      </c>
      <c r="E3280" s="24">
        <v>2001</v>
      </c>
      <c r="F3280" s="22">
        <v>975945</v>
      </c>
      <c r="G3280" s="23" t="s">
        <v>4776</v>
      </c>
      <c r="H3280" s="25" t="s">
        <v>15373</v>
      </c>
      <c r="I3280" s="22" t="s">
        <v>15374</v>
      </c>
      <c r="J3280" s="22" t="s">
        <v>15701</v>
      </c>
      <c r="K3280" s="26">
        <f t="shared" si="51"/>
        <v>300</v>
      </c>
      <c r="M3280" s="26">
        <v>450</v>
      </c>
      <c r="O3280" s="22" t="s">
        <v>4777</v>
      </c>
      <c r="P3280" s="22" t="s">
        <v>3725</v>
      </c>
      <c r="Q3280" s="22">
        <v>92101</v>
      </c>
      <c r="X3280" s="26"/>
      <c r="Y3280" s="26"/>
    </row>
    <row r="3281" spans="1:25" ht="62.5" x14ac:dyDescent="0.25">
      <c r="A3281" s="21">
        <v>3522</v>
      </c>
      <c r="B3281" s="22" t="s">
        <v>15338</v>
      </c>
      <c r="C3281" s="22" t="s">
        <v>4778</v>
      </c>
      <c r="E3281" s="24">
        <v>2001</v>
      </c>
      <c r="F3281" s="22">
        <v>976651</v>
      </c>
      <c r="G3281" s="23" t="s">
        <v>4779</v>
      </c>
      <c r="H3281" s="25" t="s">
        <v>15373</v>
      </c>
      <c r="I3281" s="22" t="s">
        <v>15374</v>
      </c>
      <c r="J3281" s="22" t="s">
        <v>15400</v>
      </c>
      <c r="K3281" s="26">
        <f t="shared" si="51"/>
        <v>1500</v>
      </c>
      <c r="L3281" s="26">
        <v>1500</v>
      </c>
      <c r="O3281" s="22" t="s">
        <v>4780</v>
      </c>
      <c r="P3281" s="22" t="s">
        <v>3725</v>
      </c>
      <c r="Q3281" s="22">
        <v>92111</v>
      </c>
      <c r="X3281" s="26"/>
      <c r="Y3281" s="26"/>
    </row>
    <row r="3282" spans="1:25" ht="37.5" x14ac:dyDescent="0.25">
      <c r="A3282" s="21">
        <v>3523</v>
      </c>
      <c r="B3282" s="22" t="s">
        <v>15338</v>
      </c>
      <c r="C3282" s="22" t="s">
        <v>4781</v>
      </c>
      <c r="E3282" s="24">
        <v>2001</v>
      </c>
      <c r="F3282" s="22">
        <v>976831</v>
      </c>
      <c r="G3282" s="23" t="s">
        <v>4782</v>
      </c>
      <c r="H3282" s="25" t="s">
        <v>15373</v>
      </c>
      <c r="I3282" s="22" t="s">
        <v>15374</v>
      </c>
      <c r="J3282" s="22" t="s">
        <v>12592</v>
      </c>
      <c r="K3282" s="26">
        <f t="shared" si="51"/>
        <v>1436.6666666666665</v>
      </c>
      <c r="N3282" s="26">
        <v>2155</v>
      </c>
      <c r="O3282" s="22" t="s">
        <v>4783</v>
      </c>
      <c r="P3282" s="22" t="s">
        <v>3725</v>
      </c>
      <c r="Q3282" s="22">
        <v>92121</v>
      </c>
      <c r="R3282" s="22" t="s">
        <v>4784</v>
      </c>
      <c r="X3282" s="26"/>
      <c r="Y3282" s="26"/>
    </row>
    <row r="3283" spans="1:25" ht="25" x14ac:dyDescent="0.25">
      <c r="A3283" s="21">
        <v>3524</v>
      </c>
      <c r="B3283" s="22" t="s">
        <v>15338</v>
      </c>
      <c r="C3283" s="22" t="s">
        <v>4785</v>
      </c>
      <c r="E3283" s="24">
        <v>2001</v>
      </c>
      <c r="F3283" s="22">
        <v>976814</v>
      </c>
      <c r="G3283" s="23" t="s">
        <v>4786</v>
      </c>
      <c r="H3283" s="25" t="s">
        <v>15373</v>
      </c>
      <c r="I3283" s="22" t="s">
        <v>15411</v>
      </c>
      <c r="J3283" s="22" t="s">
        <v>9749</v>
      </c>
      <c r="K3283" s="26">
        <f t="shared" si="51"/>
        <v>405</v>
      </c>
      <c r="L3283" s="26">
        <v>405</v>
      </c>
      <c r="O3283" s="22" t="s">
        <v>4787</v>
      </c>
      <c r="P3283" s="22" t="s">
        <v>3725</v>
      </c>
      <c r="Q3283" s="22">
        <v>92121</v>
      </c>
      <c r="R3283" s="22" t="s">
        <v>4788</v>
      </c>
      <c r="X3283" s="26"/>
      <c r="Y3283" s="26"/>
    </row>
    <row r="3284" spans="1:25" ht="50" x14ac:dyDescent="0.25">
      <c r="A3284" s="21">
        <v>3525</v>
      </c>
      <c r="B3284" s="22" t="s">
        <v>15338</v>
      </c>
      <c r="C3284" s="22" t="s">
        <v>4789</v>
      </c>
      <c r="E3284" s="24">
        <v>2001</v>
      </c>
      <c r="F3284" s="22">
        <v>977091</v>
      </c>
      <c r="G3284" s="23" t="s">
        <v>4790</v>
      </c>
      <c r="H3284" s="25" t="s">
        <v>15373</v>
      </c>
      <c r="I3284" s="22" t="s">
        <v>6415</v>
      </c>
      <c r="J3284" s="22" t="s">
        <v>6416</v>
      </c>
      <c r="K3284" s="26">
        <f t="shared" si="51"/>
        <v>600</v>
      </c>
      <c r="L3284" s="26">
        <v>600</v>
      </c>
      <c r="O3284" s="22" t="s">
        <v>4791</v>
      </c>
      <c r="P3284" s="22" t="s">
        <v>3725</v>
      </c>
      <c r="Q3284" s="22">
        <v>92121</v>
      </c>
      <c r="R3284" s="22" t="s">
        <v>4792</v>
      </c>
      <c r="X3284" s="26"/>
      <c r="Y3284" s="26"/>
    </row>
    <row r="3285" spans="1:25" ht="50" x14ac:dyDescent="0.25">
      <c r="A3285" s="21">
        <v>3526</v>
      </c>
      <c r="B3285" s="22" t="s">
        <v>15338</v>
      </c>
      <c r="C3285" s="22" t="s">
        <v>4793</v>
      </c>
      <c r="E3285" s="24">
        <v>2001</v>
      </c>
      <c r="F3285" s="22">
        <v>977267</v>
      </c>
      <c r="G3285" s="23" t="s">
        <v>4794</v>
      </c>
      <c r="H3285" s="25" t="s">
        <v>15373</v>
      </c>
      <c r="I3285" s="22" t="s">
        <v>15411</v>
      </c>
      <c r="J3285" s="22" t="s">
        <v>3775</v>
      </c>
      <c r="K3285" s="26">
        <f t="shared" si="51"/>
        <v>1020</v>
      </c>
      <c r="L3285" s="26">
        <v>1020</v>
      </c>
      <c r="O3285" s="22" t="s">
        <v>4795</v>
      </c>
      <c r="P3285" s="22" t="s">
        <v>4796</v>
      </c>
      <c r="Q3285" s="22">
        <v>92009</v>
      </c>
      <c r="X3285" s="26"/>
      <c r="Y3285" s="26"/>
    </row>
    <row r="3286" spans="1:25" ht="50" x14ac:dyDescent="0.25">
      <c r="A3286" s="21">
        <v>3527</v>
      </c>
      <c r="B3286" s="22" t="s">
        <v>15338</v>
      </c>
      <c r="C3286" s="22" t="s">
        <v>4797</v>
      </c>
      <c r="E3286" s="24">
        <v>2001</v>
      </c>
      <c r="F3286" s="22">
        <v>976350</v>
      </c>
      <c r="G3286" s="23" t="s">
        <v>4798</v>
      </c>
      <c r="H3286" s="25" t="s">
        <v>15373</v>
      </c>
      <c r="I3286" s="22" t="s">
        <v>15374</v>
      </c>
      <c r="J3286" s="22">
        <v>3406</v>
      </c>
      <c r="K3286" s="26">
        <f t="shared" si="51"/>
        <v>300</v>
      </c>
      <c r="L3286" s="26">
        <v>300</v>
      </c>
      <c r="O3286" s="22" t="s">
        <v>4799</v>
      </c>
      <c r="P3286" s="22" t="s">
        <v>4796</v>
      </c>
      <c r="Q3286" s="22">
        <v>92008</v>
      </c>
      <c r="R3286" s="22" t="s">
        <v>4800</v>
      </c>
      <c r="X3286" s="26"/>
      <c r="Y3286" s="26"/>
    </row>
    <row r="3287" spans="1:25" ht="37.5" x14ac:dyDescent="0.25">
      <c r="A3287" s="21">
        <v>3528</v>
      </c>
      <c r="B3287" s="22" t="s">
        <v>15338</v>
      </c>
      <c r="C3287" s="22" t="s">
        <v>4801</v>
      </c>
      <c r="E3287" s="24">
        <v>2001</v>
      </c>
      <c r="F3287" s="22">
        <v>977014</v>
      </c>
      <c r="G3287" s="23" t="s">
        <v>4802</v>
      </c>
      <c r="H3287" s="25" t="s">
        <v>15373</v>
      </c>
      <c r="I3287" s="22" t="s">
        <v>15374</v>
      </c>
      <c r="J3287" s="22" t="s">
        <v>11983</v>
      </c>
      <c r="K3287" s="26">
        <f t="shared" si="51"/>
        <v>1000</v>
      </c>
      <c r="L3287" s="26">
        <v>1000</v>
      </c>
      <c r="O3287" s="22" t="s">
        <v>4803</v>
      </c>
      <c r="P3287" s="22" t="s">
        <v>4796</v>
      </c>
      <c r="Q3287" s="22">
        <v>92009</v>
      </c>
      <c r="R3287" s="22" t="s">
        <v>4804</v>
      </c>
      <c r="X3287" s="26"/>
      <c r="Y3287" s="26"/>
    </row>
    <row r="3288" spans="1:25" ht="37.5" x14ac:dyDescent="0.25">
      <c r="A3288" s="21">
        <v>3529</v>
      </c>
      <c r="B3288" s="22" t="s">
        <v>15338</v>
      </c>
      <c r="C3288" s="22" t="s">
        <v>4805</v>
      </c>
      <c r="E3288" s="24">
        <v>2002</v>
      </c>
      <c r="F3288" s="22">
        <v>977658</v>
      </c>
      <c r="G3288" s="23" t="s">
        <v>4806</v>
      </c>
      <c r="H3288" s="25" t="s">
        <v>15373</v>
      </c>
      <c r="I3288" s="22" t="s">
        <v>15411</v>
      </c>
      <c r="J3288" s="22" t="s">
        <v>16517</v>
      </c>
      <c r="K3288" s="26">
        <f t="shared" si="51"/>
        <v>410</v>
      </c>
      <c r="L3288" s="26">
        <v>410</v>
      </c>
      <c r="O3288" s="22" t="s">
        <v>4807</v>
      </c>
      <c r="P3288" s="22" t="s">
        <v>3790</v>
      </c>
      <c r="Q3288" s="22">
        <v>92054</v>
      </c>
      <c r="X3288" s="26"/>
      <c r="Y3288" s="26"/>
    </row>
    <row r="3289" spans="1:25" ht="25" x14ac:dyDescent="0.25">
      <c r="A3289" s="21">
        <v>3530</v>
      </c>
      <c r="B3289" s="22" t="s">
        <v>15338</v>
      </c>
      <c r="C3289" s="22" t="s">
        <v>4808</v>
      </c>
      <c r="E3289" s="24">
        <v>2001</v>
      </c>
      <c r="F3289" s="22">
        <v>976384</v>
      </c>
      <c r="G3289" s="23" t="s">
        <v>4809</v>
      </c>
      <c r="H3289" s="25" t="s">
        <v>15373</v>
      </c>
      <c r="I3289" s="22" t="s">
        <v>15374</v>
      </c>
      <c r="J3289" s="22" t="s">
        <v>11983</v>
      </c>
      <c r="K3289" s="26">
        <f t="shared" si="51"/>
        <v>1000</v>
      </c>
      <c r="L3289" s="26">
        <v>1000</v>
      </c>
      <c r="O3289" s="22" t="s">
        <v>4810</v>
      </c>
      <c r="P3289" s="22" t="s">
        <v>3725</v>
      </c>
      <c r="Q3289" s="22">
        <v>92121</v>
      </c>
      <c r="R3289" s="22" t="s">
        <v>4811</v>
      </c>
      <c r="X3289" s="26"/>
      <c r="Y3289" s="26"/>
    </row>
    <row r="3290" spans="1:25" ht="25" x14ac:dyDescent="0.25">
      <c r="A3290" s="21">
        <v>3531</v>
      </c>
      <c r="B3290" s="22" t="s">
        <v>15338</v>
      </c>
      <c r="C3290" s="22" t="s">
        <v>4812</v>
      </c>
      <c r="E3290" s="24">
        <v>2001</v>
      </c>
      <c r="F3290" s="22">
        <v>976743</v>
      </c>
      <c r="G3290" s="23" t="s">
        <v>4813</v>
      </c>
      <c r="H3290" s="25" t="s">
        <v>15373</v>
      </c>
      <c r="I3290" s="22" t="s">
        <v>15411</v>
      </c>
      <c r="J3290" s="22" t="s">
        <v>9749</v>
      </c>
      <c r="K3290" s="26">
        <f t="shared" si="51"/>
        <v>300</v>
      </c>
      <c r="L3290" s="26">
        <v>300</v>
      </c>
      <c r="O3290" s="22" t="s">
        <v>4814</v>
      </c>
      <c r="P3290" s="22" t="s">
        <v>3790</v>
      </c>
      <c r="Q3290" s="22" t="s">
        <v>4815</v>
      </c>
      <c r="X3290" s="26"/>
      <c r="Y3290" s="26"/>
    </row>
    <row r="3291" spans="1:25" ht="37.5" x14ac:dyDescent="0.25">
      <c r="A3291" s="21">
        <v>3532</v>
      </c>
      <c r="B3291" s="22" t="s">
        <v>15338</v>
      </c>
      <c r="C3291" s="22" t="s">
        <v>4816</v>
      </c>
      <c r="E3291" s="24">
        <v>2002</v>
      </c>
      <c r="F3291" s="22">
        <v>977272</v>
      </c>
      <c r="G3291" s="23" t="s">
        <v>4817</v>
      </c>
      <c r="H3291" s="25" t="s">
        <v>15373</v>
      </c>
      <c r="I3291" s="22" t="s">
        <v>15411</v>
      </c>
      <c r="J3291" s="22" t="s">
        <v>4684</v>
      </c>
      <c r="K3291" s="26">
        <f t="shared" si="51"/>
        <v>600</v>
      </c>
      <c r="L3291" s="26">
        <v>600</v>
      </c>
      <c r="O3291" s="22" t="s">
        <v>4818</v>
      </c>
      <c r="P3291" s="22" t="s">
        <v>3777</v>
      </c>
      <c r="Q3291" s="22">
        <v>91910</v>
      </c>
      <c r="X3291" s="26"/>
      <c r="Y3291" s="26"/>
    </row>
    <row r="3292" spans="1:25" ht="37.5" x14ac:dyDescent="0.25">
      <c r="A3292" s="21">
        <v>3533</v>
      </c>
      <c r="B3292" s="22" t="s">
        <v>15338</v>
      </c>
      <c r="C3292" s="22" t="s">
        <v>4819</v>
      </c>
      <c r="E3292" s="24">
        <v>2001</v>
      </c>
      <c r="F3292" s="22">
        <v>976607</v>
      </c>
      <c r="G3292" s="23" t="s">
        <v>3925</v>
      </c>
      <c r="H3292" s="25" t="s">
        <v>15373</v>
      </c>
      <c r="I3292" s="22" t="s">
        <v>8176</v>
      </c>
      <c r="J3292" s="22" t="s">
        <v>3926</v>
      </c>
      <c r="K3292" s="26">
        <f t="shared" si="51"/>
        <v>305</v>
      </c>
      <c r="L3292" s="26">
        <v>305</v>
      </c>
      <c r="O3292" s="22" t="s">
        <v>3927</v>
      </c>
      <c r="P3292" s="22" t="s">
        <v>3725</v>
      </c>
      <c r="Q3292" s="22">
        <v>92064</v>
      </c>
      <c r="X3292" s="26"/>
      <c r="Y3292" s="26"/>
    </row>
    <row r="3293" spans="1:25" ht="37.5" x14ac:dyDescent="0.25">
      <c r="A3293" s="21">
        <v>3534</v>
      </c>
      <c r="B3293" s="22" t="s">
        <v>15338</v>
      </c>
      <c r="C3293" s="22" t="s">
        <v>3928</v>
      </c>
      <c r="E3293" s="24">
        <v>2001</v>
      </c>
      <c r="F3293" s="22">
        <v>976616</v>
      </c>
      <c r="G3293" s="23" t="s">
        <v>3929</v>
      </c>
      <c r="H3293" s="25" t="s">
        <v>15373</v>
      </c>
      <c r="I3293" s="22" t="s">
        <v>15411</v>
      </c>
      <c r="J3293" s="22" t="s">
        <v>16226</v>
      </c>
      <c r="K3293" s="26">
        <f t="shared" si="51"/>
        <v>500</v>
      </c>
      <c r="L3293" s="26">
        <v>500</v>
      </c>
      <c r="O3293" s="22" t="s">
        <v>3930</v>
      </c>
      <c r="P3293" s="22" t="s">
        <v>3931</v>
      </c>
      <c r="Q3293" s="22">
        <v>92067</v>
      </c>
      <c r="X3293" s="26"/>
      <c r="Y3293" s="26"/>
    </row>
    <row r="3294" spans="1:25" ht="62.5" x14ac:dyDescent="0.25">
      <c r="A3294" s="21">
        <v>3535</v>
      </c>
      <c r="B3294" s="22" t="s">
        <v>15338</v>
      </c>
      <c r="C3294" s="22" t="s">
        <v>3932</v>
      </c>
      <c r="E3294" s="24">
        <v>2002</v>
      </c>
      <c r="F3294" s="22">
        <v>977363</v>
      </c>
      <c r="G3294" s="23" t="s">
        <v>3933</v>
      </c>
      <c r="H3294" s="25" t="s">
        <v>15373</v>
      </c>
      <c r="I3294" s="22" t="s">
        <v>15382</v>
      </c>
      <c r="J3294" s="22" t="s">
        <v>3934</v>
      </c>
      <c r="K3294" s="26">
        <f t="shared" si="51"/>
        <v>1000</v>
      </c>
      <c r="L3294" s="26">
        <v>1000</v>
      </c>
      <c r="O3294" s="22" t="s">
        <v>3935</v>
      </c>
      <c r="P3294" s="22" t="s">
        <v>3725</v>
      </c>
      <c r="Q3294" s="22">
        <v>92127</v>
      </c>
      <c r="X3294" s="26"/>
      <c r="Y3294" s="26"/>
    </row>
    <row r="3295" spans="1:25" ht="25" x14ac:dyDescent="0.25">
      <c r="A3295" s="21">
        <v>3536</v>
      </c>
      <c r="B3295" s="22" t="s">
        <v>15338</v>
      </c>
      <c r="C3295" s="22" t="s">
        <v>3936</v>
      </c>
      <c r="E3295" s="24">
        <v>2001</v>
      </c>
      <c r="F3295" s="22">
        <v>975627</v>
      </c>
      <c r="G3295" s="23" t="s">
        <v>3937</v>
      </c>
      <c r="H3295" s="25" t="s">
        <v>15373</v>
      </c>
      <c r="I3295" s="22" t="s">
        <v>15374</v>
      </c>
      <c r="J3295" s="22" t="s">
        <v>12899</v>
      </c>
      <c r="K3295" s="26">
        <f t="shared" si="51"/>
        <v>1917.3333333333333</v>
      </c>
      <c r="M3295" s="26">
        <v>2876</v>
      </c>
      <c r="O3295" s="22" t="s">
        <v>3938</v>
      </c>
      <c r="P3295" s="22" t="s">
        <v>3725</v>
      </c>
      <c r="Q3295" s="22">
        <v>92101</v>
      </c>
      <c r="X3295" s="26"/>
      <c r="Y3295" s="26"/>
    </row>
    <row r="3296" spans="1:25" ht="37.5" x14ac:dyDescent="0.25">
      <c r="A3296" s="21">
        <v>3537</v>
      </c>
      <c r="B3296" s="22" t="s">
        <v>15338</v>
      </c>
      <c r="C3296" s="22" t="s">
        <v>3936</v>
      </c>
      <c r="E3296" s="24">
        <v>2001</v>
      </c>
      <c r="F3296" s="22">
        <v>976158</v>
      </c>
      <c r="G3296" s="23" t="s">
        <v>3939</v>
      </c>
      <c r="H3296" s="25" t="s">
        <v>15373</v>
      </c>
      <c r="I3296" s="22" t="s">
        <v>7165</v>
      </c>
      <c r="J3296" s="22" t="s">
        <v>3940</v>
      </c>
      <c r="K3296" s="26">
        <f t="shared" si="51"/>
        <v>375.33333333333331</v>
      </c>
      <c r="M3296" s="26">
        <v>563</v>
      </c>
      <c r="O3296" s="22" t="s">
        <v>3941</v>
      </c>
      <c r="P3296" s="22" t="s">
        <v>3942</v>
      </c>
      <c r="Q3296" s="22">
        <v>92173</v>
      </c>
      <c r="R3296" s="22" t="s">
        <v>3943</v>
      </c>
      <c r="X3296" s="26"/>
      <c r="Y3296" s="26"/>
    </row>
    <row r="3297" spans="1:25" ht="25" x14ac:dyDescent="0.25">
      <c r="A3297" s="21">
        <v>3538</v>
      </c>
      <c r="B3297" s="22" t="s">
        <v>15338</v>
      </c>
      <c r="C3297" s="22" t="s">
        <v>3944</v>
      </c>
      <c r="E3297" s="24">
        <v>2001</v>
      </c>
      <c r="F3297" s="22">
        <v>976316</v>
      </c>
      <c r="G3297" s="23" t="s">
        <v>3945</v>
      </c>
      <c r="H3297" s="25" t="s">
        <v>15373</v>
      </c>
      <c r="I3297" s="22" t="s">
        <v>15411</v>
      </c>
      <c r="J3297" s="22" t="s">
        <v>16517</v>
      </c>
      <c r="K3297" s="26">
        <f t="shared" si="51"/>
        <v>300</v>
      </c>
      <c r="L3297" s="26">
        <v>300</v>
      </c>
      <c r="O3297" s="22" t="s">
        <v>3946</v>
      </c>
      <c r="P3297" s="22" t="s">
        <v>3725</v>
      </c>
      <c r="Q3297" s="22">
        <v>92130</v>
      </c>
      <c r="R3297" s="22" t="s">
        <v>3947</v>
      </c>
      <c r="X3297" s="26"/>
      <c r="Y3297" s="26"/>
    </row>
    <row r="3298" spans="1:25" ht="37.5" x14ac:dyDescent="0.25">
      <c r="A3298" s="21">
        <v>3539</v>
      </c>
      <c r="B3298" s="22" t="s">
        <v>15338</v>
      </c>
      <c r="C3298" s="22" t="s">
        <v>3948</v>
      </c>
      <c r="E3298" s="24">
        <v>2001</v>
      </c>
      <c r="F3298" s="22">
        <v>976352</v>
      </c>
      <c r="G3298" s="23" t="s">
        <v>4802</v>
      </c>
      <c r="H3298" s="25" t="s">
        <v>15373</v>
      </c>
      <c r="I3298" s="22" t="s">
        <v>15374</v>
      </c>
      <c r="J3298" s="22" t="s">
        <v>11983</v>
      </c>
      <c r="K3298" s="26">
        <f t="shared" si="51"/>
        <v>986.66666666666663</v>
      </c>
      <c r="N3298" s="26">
        <v>1480</v>
      </c>
      <c r="O3298" s="22" t="s">
        <v>3949</v>
      </c>
      <c r="P3298" s="22" t="s">
        <v>3725</v>
      </c>
      <c r="Q3298" s="22">
        <v>92101</v>
      </c>
      <c r="X3298" s="26"/>
      <c r="Y3298" s="26"/>
    </row>
    <row r="3299" spans="1:25" ht="25" x14ac:dyDescent="0.25">
      <c r="A3299" s="21">
        <v>3540</v>
      </c>
      <c r="B3299" s="22" t="s">
        <v>15338</v>
      </c>
      <c r="C3299" s="22" t="s">
        <v>3950</v>
      </c>
      <c r="E3299" s="24">
        <v>2001</v>
      </c>
      <c r="F3299" s="22">
        <v>975971</v>
      </c>
      <c r="G3299" s="23" t="s">
        <v>3951</v>
      </c>
      <c r="H3299" s="25" t="s">
        <v>15373</v>
      </c>
      <c r="I3299" s="22" t="s">
        <v>15382</v>
      </c>
      <c r="J3299" s="22" t="s">
        <v>16792</v>
      </c>
      <c r="K3299" s="26">
        <f t="shared" si="51"/>
        <v>356.66666666666663</v>
      </c>
      <c r="M3299" s="26">
        <v>535</v>
      </c>
      <c r="O3299" s="22" t="s">
        <v>4818</v>
      </c>
      <c r="P3299" s="22" t="s">
        <v>3777</v>
      </c>
      <c r="Q3299" s="22">
        <v>91910</v>
      </c>
      <c r="R3299" s="22" t="s">
        <v>3952</v>
      </c>
      <c r="X3299" s="26"/>
      <c r="Y3299" s="26"/>
    </row>
    <row r="3300" spans="1:25" ht="25" x14ac:dyDescent="0.25">
      <c r="A3300" s="21">
        <v>3541</v>
      </c>
      <c r="B3300" s="22" t="s">
        <v>15338</v>
      </c>
      <c r="C3300" s="22" t="s">
        <v>3953</v>
      </c>
      <c r="E3300" s="24">
        <v>2001</v>
      </c>
      <c r="F3300" s="22">
        <v>976270</v>
      </c>
      <c r="G3300" s="23" t="s">
        <v>3954</v>
      </c>
      <c r="H3300" s="25" t="s">
        <v>15373</v>
      </c>
      <c r="I3300" s="22" t="s">
        <v>15382</v>
      </c>
      <c r="J3300" s="22" t="s">
        <v>3955</v>
      </c>
      <c r="K3300" s="26">
        <f t="shared" si="51"/>
        <v>503.33333333333331</v>
      </c>
      <c r="M3300" s="26">
        <v>755</v>
      </c>
      <c r="O3300" s="22" t="s">
        <v>3956</v>
      </c>
      <c r="P3300" s="22" t="s">
        <v>3725</v>
      </c>
      <c r="Q3300" s="22">
        <v>92101</v>
      </c>
      <c r="R3300" s="22" t="s">
        <v>3957</v>
      </c>
      <c r="X3300" s="26"/>
      <c r="Y3300" s="26"/>
    </row>
    <row r="3301" spans="1:25" ht="37.5" x14ac:dyDescent="0.25">
      <c r="A3301" s="21">
        <v>3542</v>
      </c>
      <c r="B3301" s="22" t="s">
        <v>15338</v>
      </c>
      <c r="C3301" s="22" t="s">
        <v>3958</v>
      </c>
      <c r="E3301" s="24">
        <v>2001</v>
      </c>
      <c r="F3301" s="22">
        <v>976824</v>
      </c>
      <c r="G3301" s="23" t="s">
        <v>3959</v>
      </c>
      <c r="H3301" s="25" t="s">
        <v>15373</v>
      </c>
      <c r="I3301" s="22" t="s">
        <v>15374</v>
      </c>
      <c r="J3301" s="22" t="s">
        <v>9707</v>
      </c>
      <c r="K3301" s="26">
        <f t="shared" si="51"/>
        <v>500</v>
      </c>
      <c r="L3301" s="26">
        <v>500</v>
      </c>
      <c r="O3301" s="22" t="s">
        <v>3960</v>
      </c>
      <c r="P3301" s="22" t="s">
        <v>3725</v>
      </c>
      <c r="Q3301" s="22">
        <v>92121</v>
      </c>
      <c r="X3301" s="26"/>
      <c r="Y3301" s="26"/>
    </row>
    <row r="3302" spans="1:25" ht="25" x14ac:dyDescent="0.25">
      <c r="A3302" s="21">
        <v>3543</v>
      </c>
      <c r="B3302" s="22" t="s">
        <v>15338</v>
      </c>
      <c r="C3302" s="22" t="s">
        <v>3961</v>
      </c>
      <c r="E3302" s="24">
        <v>2001</v>
      </c>
      <c r="F3302" s="22">
        <v>975705</v>
      </c>
      <c r="G3302" s="23" t="s">
        <v>3962</v>
      </c>
      <c r="H3302" s="25" t="s">
        <v>15373</v>
      </c>
      <c r="I3302" s="22" t="s">
        <v>15709</v>
      </c>
      <c r="J3302" s="22" t="s">
        <v>3963</v>
      </c>
      <c r="K3302" s="26">
        <f t="shared" si="51"/>
        <v>1000.6666666666666</v>
      </c>
      <c r="M3302" s="26">
        <v>1501</v>
      </c>
      <c r="O3302" s="22" t="s">
        <v>3964</v>
      </c>
      <c r="P3302" s="22" t="s">
        <v>3725</v>
      </c>
      <c r="Q3302" s="22">
        <v>92121</v>
      </c>
      <c r="R3302" s="22" t="s">
        <v>3965</v>
      </c>
      <c r="X3302" s="26"/>
      <c r="Y3302" s="26"/>
    </row>
    <row r="3303" spans="1:25" ht="37.5" x14ac:dyDescent="0.25">
      <c r="A3303" s="21">
        <v>3544</v>
      </c>
      <c r="B3303" s="22" t="s">
        <v>15338</v>
      </c>
      <c r="C3303" s="22" t="s">
        <v>3966</v>
      </c>
      <c r="E3303" s="24">
        <v>2001</v>
      </c>
      <c r="F3303" s="22">
        <v>977107</v>
      </c>
      <c r="G3303" s="23" t="s">
        <v>3967</v>
      </c>
      <c r="H3303" s="25" t="s">
        <v>15373</v>
      </c>
      <c r="I3303" s="22" t="s">
        <v>15382</v>
      </c>
      <c r="J3303" s="22" t="s">
        <v>16792</v>
      </c>
      <c r="K3303" s="26">
        <f t="shared" si="51"/>
        <v>356.66666666666663</v>
      </c>
      <c r="N3303" s="26">
        <v>535</v>
      </c>
      <c r="O3303" s="22" t="s">
        <v>3968</v>
      </c>
      <c r="P3303" s="22" t="s">
        <v>3777</v>
      </c>
      <c r="Q3303" s="22">
        <v>91911</v>
      </c>
      <c r="R3303" s="22" t="s">
        <v>3969</v>
      </c>
      <c r="X3303" s="26"/>
      <c r="Y3303" s="26"/>
    </row>
    <row r="3304" spans="1:25" ht="37.5" x14ac:dyDescent="0.25">
      <c r="A3304" s="21">
        <v>3545</v>
      </c>
      <c r="B3304" s="22" t="s">
        <v>15338</v>
      </c>
      <c r="C3304" s="22" t="s">
        <v>3970</v>
      </c>
      <c r="E3304" s="24">
        <v>2001</v>
      </c>
      <c r="F3304" s="22">
        <v>976827</v>
      </c>
      <c r="G3304" s="23" t="s">
        <v>3971</v>
      </c>
      <c r="H3304" s="25" t="s">
        <v>15373</v>
      </c>
      <c r="I3304" s="22" t="s">
        <v>14275</v>
      </c>
      <c r="J3304" s="22" t="s">
        <v>12216</v>
      </c>
      <c r="K3304" s="26">
        <f t="shared" si="51"/>
        <v>350</v>
      </c>
      <c r="L3304" s="26">
        <v>350</v>
      </c>
      <c r="O3304" s="22" t="s">
        <v>3972</v>
      </c>
      <c r="P3304" s="22" t="s">
        <v>3725</v>
      </c>
      <c r="Q3304" s="22">
        <v>92121</v>
      </c>
      <c r="R3304" s="22" t="s">
        <v>3973</v>
      </c>
      <c r="X3304" s="26"/>
      <c r="Y3304" s="26"/>
    </row>
    <row r="3305" spans="1:25" ht="37.5" x14ac:dyDescent="0.25">
      <c r="A3305" s="21">
        <v>3546</v>
      </c>
      <c r="B3305" s="22" t="s">
        <v>15338</v>
      </c>
      <c r="C3305" s="22" t="s">
        <v>3974</v>
      </c>
      <c r="E3305" s="24">
        <v>2001</v>
      </c>
      <c r="F3305" s="22">
        <v>976085</v>
      </c>
      <c r="G3305" s="23" t="s">
        <v>3975</v>
      </c>
      <c r="H3305" s="25" t="s">
        <v>15373</v>
      </c>
      <c r="I3305" s="22" t="s">
        <v>15374</v>
      </c>
      <c r="J3305" s="22" t="s">
        <v>9707</v>
      </c>
      <c r="K3305" s="26">
        <f t="shared" si="51"/>
        <v>500</v>
      </c>
      <c r="L3305" s="26">
        <v>500</v>
      </c>
      <c r="O3305" s="22" t="s">
        <v>3976</v>
      </c>
      <c r="P3305" s="22" t="s">
        <v>3725</v>
      </c>
      <c r="Q3305" s="22">
        <v>92121</v>
      </c>
      <c r="X3305" s="26"/>
      <c r="Y3305" s="26"/>
    </row>
    <row r="3306" spans="1:25" ht="37.5" x14ac:dyDescent="0.25">
      <c r="A3306" s="21">
        <v>3547</v>
      </c>
      <c r="B3306" s="22" t="s">
        <v>15338</v>
      </c>
      <c r="C3306" s="22" t="s">
        <v>3974</v>
      </c>
      <c r="E3306" s="24">
        <v>2001</v>
      </c>
      <c r="F3306" s="22">
        <v>976385</v>
      </c>
      <c r="G3306" s="23" t="s">
        <v>3977</v>
      </c>
      <c r="H3306" s="25" t="s">
        <v>15373</v>
      </c>
      <c r="I3306" s="22" t="s">
        <v>15374</v>
      </c>
      <c r="J3306" s="22">
        <v>3406</v>
      </c>
      <c r="K3306" s="26">
        <f t="shared" si="51"/>
        <v>350</v>
      </c>
      <c r="L3306" s="26">
        <v>350</v>
      </c>
      <c r="O3306" s="22" t="s">
        <v>3976</v>
      </c>
      <c r="P3306" s="22" t="s">
        <v>3725</v>
      </c>
      <c r="Q3306" s="22">
        <v>92121</v>
      </c>
      <c r="X3306" s="26"/>
      <c r="Y3306" s="26"/>
    </row>
    <row r="3307" spans="1:25" ht="50" x14ac:dyDescent="0.25">
      <c r="A3307" s="21">
        <v>3548</v>
      </c>
      <c r="B3307" s="22" t="s">
        <v>15338</v>
      </c>
      <c r="C3307" s="22" t="s">
        <v>3978</v>
      </c>
      <c r="E3307" s="24">
        <v>2001</v>
      </c>
      <c r="F3307" s="22">
        <v>977021</v>
      </c>
      <c r="G3307" s="23" t="s">
        <v>3979</v>
      </c>
      <c r="H3307" s="25" t="s">
        <v>15373</v>
      </c>
      <c r="I3307" s="22" t="s">
        <v>15411</v>
      </c>
      <c r="J3307" s="22" t="s">
        <v>16517</v>
      </c>
      <c r="K3307" s="26">
        <f t="shared" si="51"/>
        <v>350</v>
      </c>
      <c r="L3307" s="26">
        <v>350</v>
      </c>
      <c r="O3307" s="22" t="s">
        <v>3980</v>
      </c>
      <c r="P3307" s="22" t="s">
        <v>3725</v>
      </c>
      <c r="Q3307" s="22">
        <v>91977</v>
      </c>
      <c r="R3307" s="22" t="s">
        <v>3981</v>
      </c>
      <c r="X3307" s="26"/>
      <c r="Y3307" s="26"/>
    </row>
    <row r="3308" spans="1:25" ht="50" x14ac:dyDescent="0.25">
      <c r="A3308" s="21">
        <v>3549</v>
      </c>
      <c r="B3308" s="22" t="s">
        <v>15338</v>
      </c>
      <c r="C3308" s="22" t="s">
        <v>3982</v>
      </c>
      <c r="E3308" s="24">
        <v>2001</v>
      </c>
      <c r="F3308" s="22">
        <v>977113</v>
      </c>
      <c r="G3308" s="23" t="s">
        <v>3983</v>
      </c>
      <c r="H3308" s="25" t="s">
        <v>15373</v>
      </c>
      <c r="I3308" s="22" t="s">
        <v>15374</v>
      </c>
      <c r="J3308" s="22" t="s">
        <v>14555</v>
      </c>
      <c r="K3308" s="26">
        <f t="shared" si="51"/>
        <v>350</v>
      </c>
      <c r="L3308" s="26">
        <v>350</v>
      </c>
      <c r="O3308" s="22" t="s">
        <v>3984</v>
      </c>
      <c r="P3308" s="22" t="s">
        <v>3725</v>
      </c>
      <c r="Q3308" s="22">
        <v>92101</v>
      </c>
      <c r="X3308" s="26"/>
      <c r="Y3308" s="26"/>
    </row>
    <row r="3309" spans="1:25" ht="37.5" x14ac:dyDescent="0.25">
      <c r="A3309" s="21">
        <v>3550</v>
      </c>
      <c r="B3309" s="22" t="s">
        <v>15338</v>
      </c>
      <c r="C3309" s="22" t="s">
        <v>3985</v>
      </c>
      <c r="E3309" s="24">
        <v>2001</v>
      </c>
      <c r="F3309" s="22">
        <v>977007</v>
      </c>
      <c r="G3309" s="23" t="s">
        <v>3986</v>
      </c>
      <c r="H3309" s="25" t="s">
        <v>15373</v>
      </c>
      <c r="I3309" s="22" t="s">
        <v>15382</v>
      </c>
      <c r="J3309" s="22" t="s">
        <v>16792</v>
      </c>
      <c r="K3309" s="26">
        <f t="shared" si="51"/>
        <v>350</v>
      </c>
      <c r="L3309" s="26">
        <v>350</v>
      </c>
      <c r="O3309" s="22" t="s">
        <v>3987</v>
      </c>
      <c r="P3309" s="22" t="s">
        <v>3725</v>
      </c>
      <c r="Q3309" s="22">
        <v>92653</v>
      </c>
      <c r="X3309" s="26"/>
      <c r="Y3309" s="26"/>
    </row>
    <row r="3310" spans="1:25" ht="50" x14ac:dyDescent="0.25">
      <c r="A3310" s="21">
        <v>3551</v>
      </c>
      <c r="B3310" s="22" t="s">
        <v>15338</v>
      </c>
      <c r="C3310" s="22" t="s">
        <v>3988</v>
      </c>
      <c r="E3310" s="24">
        <v>2001</v>
      </c>
      <c r="F3310" s="22">
        <v>976342</v>
      </c>
      <c r="G3310" s="23" t="s">
        <v>3989</v>
      </c>
      <c r="H3310" s="25" t="s">
        <v>15373</v>
      </c>
      <c r="I3310" s="22" t="s">
        <v>15374</v>
      </c>
      <c r="J3310" s="22" t="s">
        <v>12893</v>
      </c>
      <c r="K3310" s="26">
        <f t="shared" si="51"/>
        <v>1923.3333333333333</v>
      </c>
      <c r="N3310" s="26">
        <v>2885</v>
      </c>
      <c r="O3310" s="22" t="s">
        <v>3990</v>
      </c>
      <c r="P3310" s="22" t="s">
        <v>3725</v>
      </c>
      <c r="Q3310" s="22">
        <v>92123</v>
      </c>
      <c r="X3310" s="26"/>
      <c r="Y3310" s="26"/>
    </row>
    <row r="3311" spans="1:25" ht="37.5" x14ac:dyDescent="0.25">
      <c r="A3311" s="21">
        <v>3552</v>
      </c>
      <c r="B3311" s="22" t="s">
        <v>15338</v>
      </c>
      <c r="C3311" s="22" t="s">
        <v>3991</v>
      </c>
      <c r="E3311" s="24">
        <v>2001</v>
      </c>
      <c r="F3311" s="22">
        <v>976912</v>
      </c>
      <c r="G3311" s="23" t="s">
        <v>3992</v>
      </c>
      <c r="H3311" s="25" t="s">
        <v>15373</v>
      </c>
      <c r="I3311" s="22" t="s">
        <v>15374</v>
      </c>
      <c r="J3311" s="22">
        <v>3406</v>
      </c>
      <c r="K3311" s="26">
        <f t="shared" si="51"/>
        <v>300</v>
      </c>
      <c r="L3311" s="26">
        <v>300</v>
      </c>
      <c r="O3311" s="22" t="s">
        <v>3993</v>
      </c>
      <c r="P3311" s="22" t="s">
        <v>3725</v>
      </c>
      <c r="Q3311" s="22">
        <v>92123</v>
      </c>
      <c r="X3311" s="26"/>
      <c r="Y3311" s="26"/>
    </row>
    <row r="3312" spans="1:25" ht="37.5" x14ac:dyDescent="0.25">
      <c r="A3312" s="21">
        <v>3553</v>
      </c>
      <c r="B3312" s="22" t="s">
        <v>15338</v>
      </c>
      <c r="C3312" s="22" t="s">
        <v>3994</v>
      </c>
      <c r="E3312" s="24">
        <v>2002</v>
      </c>
      <c r="F3312" s="22">
        <v>977006</v>
      </c>
      <c r="G3312" s="23" t="s">
        <v>4751</v>
      </c>
      <c r="H3312" s="25" t="s">
        <v>15373</v>
      </c>
      <c r="I3312" s="22" t="s">
        <v>15374</v>
      </c>
      <c r="J3312" s="22" t="s">
        <v>12592</v>
      </c>
      <c r="K3312" s="26">
        <f t="shared" si="51"/>
        <v>1500</v>
      </c>
      <c r="L3312" s="26">
        <v>1500</v>
      </c>
      <c r="O3312" s="22" t="s">
        <v>3995</v>
      </c>
      <c r="P3312" s="22" t="s">
        <v>3725</v>
      </c>
      <c r="Q3312" s="22">
        <v>92121</v>
      </c>
      <c r="X3312" s="26"/>
      <c r="Y3312" s="26"/>
    </row>
    <row r="3313" spans="1:25" ht="37.5" x14ac:dyDescent="0.25">
      <c r="A3313" s="21">
        <v>3554</v>
      </c>
      <c r="B3313" s="22" t="s">
        <v>15338</v>
      </c>
      <c r="C3313" s="22" t="s">
        <v>4496</v>
      </c>
      <c r="E3313" s="24">
        <v>2001</v>
      </c>
      <c r="F3313" s="22">
        <v>976415</v>
      </c>
      <c r="G3313" s="23" t="s">
        <v>3996</v>
      </c>
      <c r="H3313" s="25" t="s">
        <v>15373</v>
      </c>
      <c r="I3313" s="22" t="s">
        <v>7165</v>
      </c>
      <c r="J3313" s="22" t="s">
        <v>4557</v>
      </c>
      <c r="K3313" s="26">
        <f t="shared" si="51"/>
        <v>300</v>
      </c>
      <c r="L3313" s="26">
        <v>300</v>
      </c>
      <c r="O3313" s="22" t="s">
        <v>3997</v>
      </c>
      <c r="P3313" s="22" t="s">
        <v>3998</v>
      </c>
      <c r="Q3313" s="22" t="s">
        <v>3999</v>
      </c>
      <c r="R3313" s="22" t="s">
        <v>4000</v>
      </c>
      <c r="X3313" s="26"/>
      <c r="Y3313" s="26"/>
    </row>
    <row r="3314" spans="1:25" ht="25" x14ac:dyDescent="0.25">
      <c r="A3314" s="21">
        <v>3555</v>
      </c>
      <c r="B3314" s="22" t="s">
        <v>15338</v>
      </c>
      <c r="C3314" s="22" t="s">
        <v>4001</v>
      </c>
      <c r="E3314" s="24">
        <v>2001</v>
      </c>
      <c r="F3314" s="22">
        <v>976531</v>
      </c>
      <c r="G3314" s="23" t="s">
        <v>4002</v>
      </c>
      <c r="H3314" s="25" t="s">
        <v>15373</v>
      </c>
      <c r="I3314" s="22" t="s">
        <v>15374</v>
      </c>
      <c r="J3314" s="22">
        <v>3406</v>
      </c>
      <c r="K3314" s="26">
        <f t="shared" si="51"/>
        <v>350</v>
      </c>
      <c r="L3314" s="26">
        <v>350</v>
      </c>
      <c r="O3314" s="22" t="s">
        <v>4003</v>
      </c>
      <c r="P3314" s="22" t="s">
        <v>3725</v>
      </c>
      <c r="Q3314" s="22">
        <v>92108</v>
      </c>
      <c r="R3314" s="22" t="s">
        <v>4004</v>
      </c>
      <c r="X3314" s="26"/>
      <c r="Y3314" s="26"/>
    </row>
    <row r="3315" spans="1:25" ht="25" x14ac:dyDescent="0.25">
      <c r="A3315" s="21">
        <v>3556</v>
      </c>
      <c r="B3315" s="22" t="s">
        <v>15338</v>
      </c>
      <c r="C3315" s="22" t="s">
        <v>4005</v>
      </c>
      <c r="E3315" s="24">
        <v>2001</v>
      </c>
      <c r="F3315" s="22">
        <v>976266</v>
      </c>
      <c r="G3315" s="23" t="s">
        <v>4006</v>
      </c>
      <c r="H3315" s="25" t="s">
        <v>15373</v>
      </c>
      <c r="I3315" s="22" t="s">
        <v>15374</v>
      </c>
      <c r="J3315" s="22" t="s">
        <v>12899</v>
      </c>
      <c r="K3315" s="26">
        <f t="shared" si="51"/>
        <v>2130.6666666666665</v>
      </c>
      <c r="N3315" s="26">
        <v>3196</v>
      </c>
      <c r="O3315" s="22" t="s">
        <v>4007</v>
      </c>
      <c r="P3315" s="22" t="s">
        <v>3725</v>
      </c>
      <c r="Q3315" s="22">
        <v>92127</v>
      </c>
      <c r="X3315" s="26"/>
      <c r="Y3315" s="26"/>
    </row>
    <row r="3316" spans="1:25" ht="25" x14ac:dyDescent="0.25">
      <c r="A3316" s="21">
        <v>3557</v>
      </c>
      <c r="B3316" s="22" t="s">
        <v>15338</v>
      </c>
      <c r="C3316" s="22" t="s">
        <v>4005</v>
      </c>
      <c r="E3316" s="24">
        <v>2001</v>
      </c>
      <c r="F3316" s="22">
        <v>976266</v>
      </c>
      <c r="G3316" s="23" t="s">
        <v>4008</v>
      </c>
      <c r="H3316" s="25" t="s">
        <v>15373</v>
      </c>
      <c r="I3316" s="22" t="s">
        <v>15374</v>
      </c>
      <c r="J3316" s="22" t="s">
        <v>12899</v>
      </c>
      <c r="K3316" s="26">
        <f t="shared" si="51"/>
        <v>2130.6666666666665</v>
      </c>
      <c r="N3316" s="26">
        <v>3196</v>
      </c>
      <c r="O3316" s="22" t="s">
        <v>4007</v>
      </c>
      <c r="P3316" s="22" t="s">
        <v>3725</v>
      </c>
      <c r="Q3316" s="22">
        <v>92127</v>
      </c>
      <c r="R3316" s="22" t="s">
        <v>4009</v>
      </c>
      <c r="X3316" s="26"/>
      <c r="Y3316" s="26"/>
    </row>
    <row r="3317" spans="1:25" ht="37.5" x14ac:dyDescent="0.25">
      <c r="A3317" s="21">
        <v>3558</v>
      </c>
      <c r="B3317" s="22" t="s">
        <v>15338</v>
      </c>
      <c r="C3317" s="22" t="s">
        <v>4010</v>
      </c>
      <c r="E3317" s="24">
        <v>2001</v>
      </c>
      <c r="F3317" s="22">
        <v>976883</v>
      </c>
      <c r="G3317" s="23" t="s">
        <v>4011</v>
      </c>
      <c r="H3317" s="25" t="s">
        <v>15373</v>
      </c>
      <c r="I3317" s="22" t="s">
        <v>15374</v>
      </c>
      <c r="J3317" s="22" t="s">
        <v>12592</v>
      </c>
      <c r="K3317" s="26">
        <f t="shared" si="51"/>
        <v>1250</v>
      </c>
      <c r="L3317" s="26">
        <v>1250</v>
      </c>
      <c r="O3317" s="22" t="s">
        <v>3997</v>
      </c>
      <c r="P3317" s="22" t="s">
        <v>3998</v>
      </c>
      <c r="Q3317" s="22">
        <v>92093</v>
      </c>
      <c r="R3317" s="22" t="s">
        <v>4012</v>
      </c>
      <c r="X3317" s="26"/>
      <c r="Y3317" s="26"/>
    </row>
    <row r="3318" spans="1:25" ht="50" x14ac:dyDescent="0.25">
      <c r="A3318" s="21">
        <v>3559</v>
      </c>
      <c r="B3318" s="22" t="s">
        <v>15338</v>
      </c>
      <c r="C3318" s="22" t="s">
        <v>4013</v>
      </c>
      <c r="E3318" s="24">
        <v>2001</v>
      </c>
      <c r="F3318" s="22">
        <v>977083</v>
      </c>
      <c r="G3318" s="23" t="s">
        <v>4014</v>
      </c>
      <c r="H3318" s="25" t="s">
        <v>15373</v>
      </c>
      <c r="I3318" s="22" t="s">
        <v>15382</v>
      </c>
      <c r="J3318" s="22" t="s">
        <v>17551</v>
      </c>
      <c r="K3318" s="26">
        <f t="shared" si="51"/>
        <v>300</v>
      </c>
      <c r="L3318" s="26">
        <v>300</v>
      </c>
      <c r="O3318" s="22" t="s">
        <v>4015</v>
      </c>
      <c r="P3318" s="22" t="s">
        <v>4016</v>
      </c>
      <c r="Q3318" s="22">
        <v>92055</v>
      </c>
      <c r="R3318" s="22" t="s">
        <v>4017</v>
      </c>
      <c r="X3318" s="26"/>
      <c r="Y3318" s="26"/>
    </row>
    <row r="3319" spans="1:25" ht="25" x14ac:dyDescent="0.25">
      <c r="A3319" s="21">
        <v>3560</v>
      </c>
      <c r="B3319" s="22" t="s">
        <v>15338</v>
      </c>
      <c r="C3319" s="22" t="s">
        <v>4018</v>
      </c>
      <c r="E3319" s="24">
        <v>2001</v>
      </c>
      <c r="F3319" s="22">
        <v>975865</v>
      </c>
      <c r="G3319" s="23" t="s">
        <v>4019</v>
      </c>
      <c r="H3319" s="25" t="s">
        <v>15373</v>
      </c>
      <c r="I3319" s="22" t="s">
        <v>15411</v>
      </c>
      <c r="J3319" s="22" t="s">
        <v>5540</v>
      </c>
      <c r="K3319" s="26">
        <f t="shared" si="51"/>
        <v>300</v>
      </c>
      <c r="L3319" s="26">
        <v>300</v>
      </c>
      <c r="O3319" s="22" t="s">
        <v>4020</v>
      </c>
      <c r="P3319" s="22" t="s">
        <v>3725</v>
      </c>
      <c r="Q3319" s="22">
        <v>92121</v>
      </c>
      <c r="R3319" s="22" t="s">
        <v>4021</v>
      </c>
      <c r="X3319" s="26"/>
      <c r="Y3319" s="26"/>
    </row>
    <row r="3320" spans="1:25" ht="37.5" x14ac:dyDescent="0.25">
      <c r="A3320" s="21">
        <v>3561</v>
      </c>
      <c r="B3320" s="22" t="s">
        <v>15338</v>
      </c>
      <c r="C3320" s="22" t="s">
        <v>4022</v>
      </c>
      <c r="E3320" s="24">
        <v>2001</v>
      </c>
      <c r="F3320" s="22">
        <v>976909</v>
      </c>
      <c r="G3320" s="23" t="s">
        <v>4023</v>
      </c>
      <c r="H3320" s="25" t="s">
        <v>15373</v>
      </c>
      <c r="I3320" s="22" t="s">
        <v>15374</v>
      </c>
      <c r="J3320" s="22" t="s">
        <v>16360</v>
      </c>
      <c r="K3320" s="26">
        <f t="shared" si="51"/>
        <v>750</v>
      </c>
      <c r="L3320" s="26">
        <v>750</v>
      </c>
      <c r="O3320" s="22" t="s">
        <v>4024</v>
      </c>
      <c r="P3320" s="22" t="s">
        <v>4025</v>
      </c>
      <c r="Q3320" s="22">
        <v>92019</v>
      </c>
      <c r="R3320" s="22" t="s">
        <v>4026</v>
      </c>
      <c r="X3320" s="26"/>
      <c r="Y3320" s="26"/>
    </row>
    <row r="3321" spans="1:25" ht="25" x14ac:dyDescent="0.25">
      <c r="A3321" s="21">
        <v>3562</v>
      </c>
      <c r="B3321" s="22" t="s">
        <v>15338</v>
      </c>
      <c r="C3321" s="22" t="s">
        <v>4027</v>
      </c>
      <c r="E3321" s="24">
        <v>2001</v>
      </c>
      <c r="F3321" s="22">
        <v>975913</v>
      </c>
      <c r="G3321" s="23" t="s">
        <v>4028</v>
      </c>
      <c r="H3321" s="25" t="s">
        <v>15373</v>
      </c>
      <c r="I3321" s="22" t="s">
        <v>15374</v>
      </c>
      <c r="J3321" s="22" t="s">
        <v>15701</v>
      </c>
      <c r="K3321" s="26">
        <f t="shared" si="51"/>
        <v>391.33333333333331</v>
      </c>
      <c r="M3321" s="26">
        <v>587</v>
      </c>
      <c r="O3321" s="22" t="s">
        <v>4029</v>
      </c>
      <c r="P3321" s="22" t="s">
        <v>3725</v>
      </c>
      <c r="Q3321" s="22">
        <v>92130</v>
      </c>
      <c r="X3321" s="26"/>
      <c r="Y3321" s="26"/>
    </row>
    <row r="3322" spans="1:25" ht="25" x14ac:dyDescent="0.25">
      <c r="A3322" s="21">
        <v>3563</v>
      </c>
      <c r="B3322" s="22" t="s">
        <v>15338</v>
      </c>
      <c r="C3322" s="22" t="s">
        <v>4030</v>
      </c>
      <c r="E3322" s="24">
        <v>2001</v>
      </c>
      <c r="F3322" s="22">
        <v>976618</v>
      </c>
      <c r="G3322" s="23" t="s">
        <v>4031</v>
      </c>
      <c r="H3322" s="25" t="s">
        <v>15373</v>
      </c>
      <c r="I3322" s="22" t="s">
        <v>15374</v>
      </c>
      <c r="J3322" s="22">
        <v>3406</v>
      </c>
      <c r="K3322" s="26">
        <f t="shared" si="51"/>
        <v>300</v>
      </c>
      <c r="L3322" s="26">
        <v>300</v>
      </c>
      <c r="O3322" s="22" t="s">
        <v>4032</v>
      </c>
      <c r="P3322" s="22" t="s">
        <v>3781</v>
      </c>
      <c r="Q3322" s="22">
        <v>92026</v>
      </c>
      <c r="R3322" s="22" t="s">
        <v>4033</v>
      </c>
      <c r="X3322" s="26"/>
      <c r="Y3322" s="26"/>
    </row>
    <row r="3323" spans="1:25" ht="25" x14ac:dyDescent="0.25">
      <c r="A3323" s="21">
        <v>3564</v>
      </c>
      <c r="B3323" s="22" t="s">
        <v>15338</v>
      </c>
      <c r="C3323" s="22" t="s">
        <v>4034</v>
      </c>
      <c r="E3323" s="24">
        <v>2001</v>
      </c>
      <c r="F3323" s="22">
        <v>976285</v>
      </c>
      <c r="G3323" s="23" t="s">
        <v>4035</v>
      </c>
      <c r="H3323" s="25" t="s">
        <v>15373</v>
      </c>
      <c r="I3323" s="22" t="s">
        <v>15374</v>
      </c>
      <c r="J3323" s="22" t="s">
        <v>11983</v>
      </c>
      <c r="K3323" s="26">
        <f t="shared" si="51"/>
        <v>986.66666666666663</v>
      </c>
      <c r="M3323" s="26">
        <v>1480</v>
      </c>
      <c r="O3323" s="22" t="s">
        <v>4036</v>
      </c>
      <c r="P3323" s="22" t="s">
        <v>3725</v>
      </c>
      <c r="Q3323" s="22">
        <v>92111</v>
      </c>
      <c r="R3323" s="22" t="s">
        <v>4037</v>
      </c>
      <c r="X3323" s="26"/>
      <c r="Y3323" s="26"/>
    </row>
    <row r="3324" spans="1:25" ht="50" x14ac:dyDescent="0.25">
      <c r="A3324" s="21">
        <v>3565</v>
      </c>
      <c r="B3324" s="22" t="s">
        <v>15338</v>
      </c>
      <c r="C3324" s="22" t="s">
        <v>4038</v>
      </c>
      <c r="E3324" s="24">
        <v>2002</v>
      </c>
      <c r="F3324" s="22">
        <v>978697</v>
      </c>
      <c r="G3324" s="23" t="s">
        <v>4039</v>
      </c>
      <c r="H3324" s="25" t="s">
        <v>15373</v>
      </c>
      <c r="I3324" s="22" t="s">
        <v>15411</v>
      </c>
      <c r="J3324" s="22" t="s">
        <v>8146</v>
      </c>
      <c r="K3324" s="26">
        <f t="shared" si="51"/>
        <v>510</v>
      </c>
      <c r="L3324" s="26">
        <v>510</v>
      </c>
      <c r="O3324" s="22" t="s">
        <v>4040</v>
      </c>
      <c r="P3324" s="22" t="s">
        <v>3725</v>
      </c>
      <c r="Q3324" s="22">
        <v>92127</v>
      </c>
      <c r="R3324" s="22" t="s">
        <v>4041</v>
      </c>
      <c r="X3324" s="26"/>
      <c r="Y3324" s="26"/>
    </row>
    <row r="3325" spans="1:25" ht="37.5" x14ac:dyDescent="0.25">
      <c r="A3325" s="21">
        <v>3566</v>
      </c>
      <c r="B3325" s="22" t="s">
        <v>15338</v>
      </c>
      <c r="C3325" s="22" t="s">
        <v>4042</v>
      </c>
      <c r="E3325" s="24">
        <v>2002</v>
      </c>
      <c r="F3325" s="22">
        <v>978382</v>
      </c>
      <c r="G3325" s="23" t="s">
        <v>4043</v>
      </c>
      <c r="H3325" s="25" t="s">
        <v>15373</v>
      </c>
      <c r="I3325" s="22" t="s">
        <v>15411</v>
      </c>
      <c r="J3325" s="22" t="s">
        <v>8146</v>
      </c>
      <c r="K3325" s="26">
        <f t="shared" si="51"/>
        <v>500</v>
      </c>
      <c r="L3325" s="26">
        <v>500</v>
      </c>
      <c r="O3325" s="22" t="s">
        <v>4044</v>
      </c>
      <c r="P3325" s="22" t="s">
        <v>4045</v>
      </c>
      <c r="Q3325" s="22">
        <v>92083</v>
      </c>
      <c r="X3325" s="26"/>
      <c r="Y3325" s="26"/>
    </row>
    <row r="3326" spans="1:25" ht="37.5" x14ac:dyDescent="0.25">
      <c r="A3326" s="21">
        <v>3567</v>
      </c>
      <c r="B3326" s="22" t="s">
        <v>15338</v>
      </c>
      <c r="C3326" s="22" t="s">
        <v>4046</v>
      </c>
      <c r="E3326" s="24">
        <v>2002</v>
      </c>
      <c r="F3326" s="22">
        <v>977740</v>
      </c>
      <c r="G3326" s="23" t="s">
        <v>4047</v>
      </c>
      <c r="H3326" s="25" t="s">
        <v>15373</v>
      </c>
      <c r="I3326" s="22" t="s">
        <v>15411</v>
      </c>
      <c r="J3326" s="22" t="s">
        <v>16517</v>
      </c>
      <c r="K3326" s="26">
        <f t="shared" si="51"/>
        <v>300</v>
      </c>
      <c r="L3326" s="26">
        <v>300</v>
      </c>
      <c r="O3326" s="22" t="s">
        <v>4048</v>
      </c>
      <c r="P3326" s="22" t="s">
        <v>4796</v>
      </c>
      <c r="Q3326" s="22">
        <v>92008</v>
      </c>
      <c r="X3326" s="26"/>
      <c r="Y3326" s="26"/>
    </row>
    <row r="3327" spans="1:25" ht="37.5" x14ac:dyDescent="0.25">
      <c r="A3327" s="21">
        <v>3568</v>
      </c>
      <c r="B3327" s="22" t="s">
        <v>15338</v>
      </c>
      <c r="C3327" s="22" t="s">
        <v>3770</v>
      </c>
      <c r="E3327" s="24">
        <v>2002</v>
      </c>
      <c r="F3327" s="22">
        <v>976981</v>
      </c>
      <c r="G3327" s="23" t="s">
        <v>4049</v>
      </c>
      <c r="H3327" s="25" t="s">
        <v>15373</v>
      </c>
      <c r="I3327" s="22" t="s">
        <v>15374</v>
      </c>
      <c r="J3327" s="22" t="s">
        <v>15918</v>
      </c>
      <c r="K3327" s="26">
        <f t="shared" si="51"/>
        <v>400</v>
      </c>
      <c r="L3327" s="26">
        <v>400</v>
      </c>
      <c r="O3327" s="22" t="s">
        <v>3772</v>
      </c>
      <c r="P3327" s="22" t="s">
        <v>3725</v>
      </c>
      <c r="Q3327" s="22">
        <v>92121</v>
      </c>
      <c r="X3327" s="26"/>
      <c r="Y3327" s="26"/>
    </row>
    <row r="3328" spans="1:25" ht="50" x14ac:dyDescent="0.25">
      <c r="A3328" s="21">
        <v>3569</v>
      </c>
      <c r="B3328" s="22" t="s">
        <v>15338</v>
      </c>
      <c r="C3328" s="22" t="s">
        <v>4050</v>
      </c>
      <c r="E3328" s="24">
        <v>2003</v>
      </c>
      <c r="F3328" s="22">
        <v>978908</v>
      </c>
      <c r="G3328" s="23" t="s">
        <v>4051</v>
      </c>
      <c r="H3328" s="25" t="s">
        <v>15373</v>
      </c>
      <c r="I3328" s="22" t="s">
        <v>15411</v>
      </c>
      <c r="J3328" s="22" t="s">
        <v>17521</v>
      </c>
      <c r="K3328" s="26">
        <f t="shared" si="51"/>
        <v>1500</v>
      </c>
      <c r="L3328" s="26">
        <v>1500</v>
      </c>
      <c r="O3328" s="22" t="s">
        <v>4052</v>
      </c>
      <c r="P3328" s="22" t="s">
        <v>3725</v>
      </c>
      <c r="Q3328" s="22">
        <v>92127</v>
      </c>
      <c r="R3328" s="22" t="s">
        <v>4053</v>
      </c>
      <c r="X3328" s="26"/>
      <c r="Y3328" s="26"/>
    </row>
    <row r="3329" spans="1:25" ht="50" x14ac:dyDescent="0.25">
      <c r="A3329" s="21">
        <v>3570</v>
      </c>
      <c r="B3329" s="22" t="s">
        <v>15338</v>
      </c>
      <c r="C3329" s="22" t="s">
        <v>4050</v>
      </c>
      <c r="E3329" s="24">
        <v>2003</v>
      </c>
      <c r="F3329" s="22">
        <v>978909</v>
      </c>
      <c r="G3329" s="23" t="s">
        <v>4051</v>
      </c>
      <c r="H3329" s="25" t="s">
        <v>15373</v>
      </c>
      <c r="I3329" s="22" t="s">
        <v>15411</v>
      </c>
      <c r="J3329" s="22" t="s">
        <v>17521</v>
      </c>
      <c r="K3329" s="26">
        <f>L3329+M3329*(2/3)+N3329*(2/3)</f>
        <v>1500</v>
      </c>
      <c r="L3329" s="26">
        <v>1500</v>
      </c>
      <c r="O3329" s="22" t="s">
        <v>4052</v>
      </c>
      <c r="P3329" s="22" t="s">
        <v>3725</v>
      </c>
      <c r="Q3329" s="22">
        <v>92127</v>
      </c>
      <c r="R3329" s="22" t="s">
        <v>4053</v>
      </c>
      <c r="X3329" s="26"/>
      <c r="Y3329" s="26"/>
    </row>
    <row r="3330" spans="1:25" ht="37.5" x14ac:dyDescent="0.25">
      <c r="A3330" s="21">
        <v>3571</v>
      </c>
      <c r="B3330" s="22" t="s">
        <v>15338</v>
      </c>
      <c r="C3330" s="22" t="s">
        <v>4054</v>
      </c>
      <c r="E3330" s="24">
        <v>2002</v>
      </c>
      <c r="F3330" s="22">
        <v>977794</v>
      </c>
      <c r="G3330" s="23" t="s">
        <v>4055</v>
      </c>
      <c r="H3330" s="25" t="s">
        <v>15373</v>
      </c>
      <c r="I3330" s="22" t="s">
        <v>15382</v>
      </c>
      <c r="J3330" s="22" t="s">
        <v>16799</v>
      </c>
      <c r="K3330" s="26">
        <f t="shared" si="51"/>
        <v>450</v>
      </c>
      <c r="L3330" s="26">
        <v>450</v>
      </c>
      <c r="O3330" s="22" t="s">
        <v>4056</v>
      </c>
      <c r="P3330" s="22" t="s">
        <v>4016</v>
      </c>
      <c r="Q3330" s="22">
        <v>92055</v>
      </c>
      <c r="X3330" s="26"/>
      <c r="Y3330" s="26"/>
    </row>
    <row r="3331" spans="1:25" ht="50" x14ac:dyDescent="0.25">
      <c r="A3331" s="21">
        <v>3572</v>
      </c>
      <c r="B3331" s="22" t="s">
        <v>15338</v>
      </c>
      <c r="C3331" s="22" t="s">
        <v>4057</v>
      </c>
      <c r="E3331" s="24">
        <v>2002</v>
      </c>
      <c r="F3331" s="22">
        <v>977775</v>
      </c>
      <c r="G3331" s="23" t="s">
        <v>4058</v>
      </c>
      <c r="H3331" s="25" t="s">
        <v>15373</v>
      </c>
      <c r="I3331" s="22" t="s">
        <v>15374</v>
      </c>
      <c r="J3331" s="22" t="s">
        <v>12899</v>
      </c>
      <c r="K3331" s="26">
        <f t="shared" si="51"/>
        <v>2000</v>
      </c>
      <c r="L3331" s="26">
        <v>2000</v>
      </c>
      <c r="O3331" s="22" t="s">
        <v>4059</v>
      </c>
      <c r="P3331" s="22" t="s">
        <v>3725</v>
      </c>
      <c r="Q3331" s="22">
        <v>92121</v>
      </c>
      <c r="X3331" s="26"/>
      <c r="Y3331" s="26"/>
    </row>
    <row r="3332" spans="1:25" ht="62.5" x14ac:dyDescent="0.25">
      <c r="A3332" s="21">
        <v>3573</v>
      </c>
      <c r="B3332" s="22" t="s">
        <v>15338</v>
      </c>
      <c r="C3332" s="22" t="s">
        <v>3798</v>
      </c>
      <c r="E3332" s="24">
        <v>2002</v>
      </c>
      <c r="F3332" s="22">
        <v>977729</v>
      </c>
      <c r="G3332" s="23" t="s">
        <v>4060</v>
      </c>
      <c r="H3332" s="25" t="s">
        <v>15373</v>
      </c>
      <c r="I3332" s="22" t="s">
        <v>15374</v>
      </c>
      <c r="J3332" s="22" t="s">
        <v>16899</v>
      </c>
      <c r="K3332" s="26">
        <f t="shared" si="51"/>
        <v>800</v>
      </c>
      <c r="L3332" s="26">
        <v>800</v>
      </c>
      <c r="O3332" s="22" t="s">
        <v>4061</v>
      </c>
      <c r="P3332" s="22" t="s">
        <v>4062</v>
      </c>
      <c r="Q3332" s="22">
        <v>92136</v>
      </c>
      <c r="R3332" s="22" t="s">
        <v>4063</v>
      </c>
      <c r="X3332" s="26"/>
      <c r="Y3332" s="26"/>
    </row>
    <row r="3333" spans="1:25" ht="50" x14ac:dyDescent="0.25">
      <c r="A3333" s="21">
        <v>3574</v>
      </c>
      <c r="B3333" s="22" t="s">
        <v>15338</v>
      </c>
      <c r="C3333" s="22" t="s">
        <v>4064</v>
      </c>
      <c r="E3333" s="24">
        <v>2002</v>
      </c>
      <c r="F3333" s="22">
        <v>977397</v>
      </c>
      <c r="G3333" s="23" t="s">
        <v>4065</v>
      </c>
      <c r="H3333" s="25" t="s">
        <v>15373</v>
      </c>
      <c r="I3333" s="22" t="s">
        <v>15374</v>
      </c>
      <c r="J3333" s="22" t="s">
        <v>12592</v>
      </c>
      <c r="K3333" s="26">
        <f t="shared" si="51"/>
        <v>1500</v>
      </c>
      <c r="L3333" s="26">
        <v>1500</v>
      </c>
      <c r="O3333" s="22" t="s">
        <v>4066</v>
      </c>
      <c r="P3333" s="22" t="s">
        <v>4067</v>
      </c>
      <c r="Q3333" s="22">
        <v>92064</v>
      </c>
      <c r="X3333" s="26"/>
      <c r="Y3333" s="26"/>
    </row>
    <row r="3334" spans="1:25" ht="50" x14ac:dyDescent="0.25">
      <c r="A3334" s="21">
        <v>3575</v>
      </c>
      <c r="B3334" s="22" t="s">
        <v>15338</v>
      </c>
      <c r="C3334" s="22" t="s">
        <v>4068</v>
      </c>
      <c r="E3334" s="24">
        <v>2002</v>
      </c>
      <c r="F3334" s="22">
        <v>977639</v>
      </c>
      <c r="G3334" s="23" t="s">
        <v>4069</v>
      </c>
      <c r="H3334" s="25" t="s">
        <v>15373</v>
      </c>
      <c r="I3334" s="22" t="s">
        <v>15411</v>
      </c>
      <c r="J3334" s="22" t="s">
        <v>17521</v>
      </c>
      <c r="K3334" s="26">
        <f t="shared" si="51"/>
        <v>1500</v>
      </c>
      <c r="L3334" s="26">
        <v>1500</v>
      </c>
      <c r="O3334" s="22" t="s">
        <v>4070</v>
      </c>
      <c r="P3334" s="22" t="s">
        <v>3790</v>
      </c>
      <c r="Q3334" s="22">
        <v>92054</v>
      </c>
      <c r="X3334" s="26"/>
      <c r="Y3334" s="26"/>
    </row>
    <row r="3335" spans="1:25" ht="50" x14ac:dyDescent="0.25">
      <c r="A3335" s="21">
        <v>3576</v>
      </c>
      <c r="B3335" s="22" t="s">
        <v>15338</v>
      </c>
      <c r="C3335" s="22" t="s">
        <v>4071</v>
      </c>
      <c r="E3335" s="24">
        <v>2002</v>
      </c>
      <c r="F3335" s="22">
        <v>977399</v>
      </c>
      <c r="G3335" s="23" t="s">
        <v>4072</v>
      </c>
      <c r="H3335" s="25" t="s">
        <v>15373</v>
      </c>
      <c r="I3335" s="22" t="s">
        <v>15411</v>
      </c>
      <c r="J3335" s="22" t="s">
        <v>4073</v>
      </c>
      <c r="K3335" s="26">
        <f t="shared" si="51"/>
        <v>405</v>
      </c>
      <c r="L3335" s="26">
        <v>405</v>
      </c>
      <c r="O3335" s="22" t="s">
        <v>4074</v>
      </c>
      <c r="P3335" s="22" t="s">
        <v>4796</v>
      </c>
      <c r="Q3335" s="22">
        <v>92008</v>
      </c>
      <c r="X3335" s="26"/>
      <c r="Y3335" s="26"/>
    </row>
    <row r="3336" spans="1:25" ht="50" x14ac:dyDescent="0.25">
      <c r="A3336" s="21">
        <v>3577</v>
      </c>
      <c r="B3336" s="22" t="s">
        <v>15338</v>
      </c>
      <c r="C3336" s="22" t="s">
        <v>4797</v>
      </c>
      <c r="E3336" s="24">
        <v>2002</v>
      </c>
      <c r="F3336" s="22">
        <v>978518</v>
      </c>
      <c r="G3336" s="23" t="s">
        <v>4075</v>
      </c>
      <c r="H3336" s="25" t="s">
        <v>15373</v>
      </c>
      <c r="I3336" s="22" t="s">
        <v>15374</v>
      </c>
      <c r="J3336" s="22">
        <v>3412</v>
      </c>
      <c r="K3336" s="26">
        <f t="shared" si="51"/>
        <v>750</v>
      </c>
      <c r="L3336" s="26">
        <v>750</v>
      </c>
      <c r="O3336" s="22" t="s">
        <v>4076</v>
      </c>
      <c r="P3336" s="22" t="s">
        <v>4796</v>
      </c>
      <c r="Q3336" s="22">
        <v>91978</v>
      </c>
      <c r="X3336" s="26"/>
      <c r="Y3336" s="26"/>
    </row>
    <row r="3337" spans="1:25" ht="50" x14ac:dyDescent="0.25">
      <c r="A3337" s="21">
        <v>3578</v>
      </c>
      <c r="B3337" s="22" t="s">
        <v>15338</v>
      </c>
      <c r="C3337" s="22" t="s">
        <v>4077</v>
      </c>
      <c r="E3337" s="24">
        <v>2002</v>
      </c>
      <c r="F3337" s="22">
        <v>978509</v>
      </c>
      <c r="G3337" s="23" t="s">
        <v>4078</v>
      </c>
      <c r="H3337" s="25" t="s">
        <v>15373</v>
      </c>
      <c r="I3337" s="22" t="s">
        <v>15411</v>
      </c>
      <c r="J3337" s="22" t="s">
        <v>16517</v>
      </c>
      <c r="K3337" s="26">
        <f t="shared" si="51"/>
        <v>300</v>
      </c>
      <c r="L3337" s="26">
        <v>300</v>
      </c>
      <c r="O3337" s="22" t="s">
        <v>4079</v>
      </c>
      <c r="P3337" s="22" t="s">
        <v>4080</v>
      </c>
      <c r="Q3337" s="22">
        <v>91978</v>
      </c>
      <c r="X3337" s="26"/>
      <c r="Y3337" s="26"/>
    </row>
    <row r="3338" spans="1:25" ht="37.5" x14ac:dyDescent="0.25">
      <c r="A3338" s="21">
        <v>3579</v>
      </c>
      <c r="B3338" s="22" t="s">
        <v>15338</v>
      </c>
      <c r="C3338" s="22" t="s">
        <v>4081</v>
      </c>
      <c r="E3338" s="24">
        <v>2002</v>
      </c>
      <c r="F3338" s="22">
        <v>976956</v>
      </c>
      <c r="G3338" s="23" t="s">
        <v>4082</v>
      </c>
      <c r="H3338" s="25" t="s">
        <v>15373</v>
      </c>
      <c r="I3338" s="22" t="s">
        <v>15374</v>
      </c>
      <c r="J3338" s="22" t="s">
        <v>16377</v>
      </c>
      <c r="K3338" s="26">
        <f t="shared" si="51"/>
        <v>300</v>
      </c>
      <c r="L3338" s="26">
        <v>300</v>
      </c>
      <c r="O3338" s="22" t="s">
        <v>4083</v>
      </c>
      <c r="P3338" s="22" t="s">
        <v>4084</v>
      </c>
      <c r="Q3338" s="22">
        <v>91962</v>
      </c>
      <c r="R3338" s="22" t="s">
        <v>4085</v>
      </c>
      <c r="X3338" s="26"/>
      <c r="Y3338" s="26"/>
    </row>
    <row r="3339" spans="1:25" ht="37.5" x14ac:dyDescent="0.25">
      <c r="A3339" s="21">
        <v>3580</v>
      </c>
      <c r="B3339" s="22" t="s">
        <v>15338</v>
      </c>
      <c r="C3339" s="22" t="s">
        <v>4081</v>
      </c>
      <c r="E3339" s="24">
        <v>2003</v>
      </c>
      <c r="F3339" s="22">
        <v>976957</v>
      </c>
      <c r="G3339" s="23" t="s">
        <v>4086</v>
      </c>
      <c r="H3339" s="25" t="s">
        <v>15373</v>
      </c>
      <c r="I3339" s="22" t="s">
        <v>15374</v>
      </c>
      <c r="J3339" s="22" t="s">
        <v>16377</v>
      </c>
      <c r="K3339" s="26">
        <f t="shared" si="51"/>
        <v>300</v>
      </c>
      <c r="L3339" s="26">
        <v>300</v>
      </c>
      <c r="O3339" s="22" t="s">
        <v>4087</v>
      </c>
      <c r="P3339" s="22" t="s">
        <v>3781</v>
      </c>
      <c r="Q3339" s="22">
        <v>92025</v>
      </c>
      <c r="R3339" s="22" t="s">
        <v>4085</v>
      </c>
      <c r="X3339" s="26"/>
      <c r="Y3339" s="26"/>
    </row>
    <row r="3340" spans="1:25" ht="37.5" x14ac:dyDescent="0.25">
      <c r="A3340" s="21">
        <v>3581</v>
      </c>
      <c r="B3340" s="22" t="s">
        <v>15338</v>
      </c>
      <c r="C3340" s="22" t="s">
        <v>4805</v>
      </c>
      <c r="E3340" s="24">
        <v>2002</v>
      </c>
      <c r="F3340" s="22">
        <v>978357</v>
      </c>
      <c r="G3340" s="23" t="s">
        <v>4088</v>
      </c>
      <c r="H3340" s="25" t="s">
        <v>15373</v>
      </c>
      <c r="I3340" s="22" t="s">
        <v>15411</v>
      </c>
      <c r="J3340" s="22" t="s">
        <v>16517</v>
      </c>
      <c r="K3340" s="26">
        <f t="shared" si="51"/>
        <v>365</v>
      </c>
      <c r="L3340" s="26">
        <v>365</v>
      </c>
      <c r="O3340" s="22" t="s">
        <v>4089</v>
      </c>
      <c r="P3340" s="22" t="s">
        <v>4045</v>
      </c>
      <c r="Q3340" s="22">
        <v>92083</v>
      </c>
      <c r="X3340" s="26"/>
      <c r="Y3340" s="26"/>
    </row>
    <row r="3341" spans="1:25" ht="50" x14ac:dyDescent="0.25">
      <c r="A3341" s="21">
        <v>3582</v>
      </c>
      <c r="B3341" s="22" t="s">
        <v>15338</v>
      </c>
      <c r="C3341" s="22" t="s">
        <v>4090</v>
      </c>
      <c r="E3341" s="24">
        <v>2002</v>
      </c>
      <c r="F3341" s="22">
        <v>978821</v>
      </c>
      <c r="G3341" s="23" t="s">
        <v>4091</v>
      </c>
      <c r="H3341" s="25" t="s">
        <v>15373</v>
      </c>
      <c r="I3341" s="22" t="s">
        <v>15411</v>
      </c>
      <c r="J3341" s="22" t="s">
        <v>16517</v>
      </c>
      <c r="K3341" s="26">
        <f t="shared" si="51"/>
        <v>350</v>
      </c>
      <c r="L3341" s="26">
        <v>350</v>
      </c>
      <c r="O3341" s="22" t="s">
        <v>4092</v>
      </c>
      <c r="P3341" s="22" t="s">
        <v>3725</v>
      </c>
      <c r="Q3341" s="22">
        <v>92131</v>
      </c>
      <c r="R3341" s="22" t="s">
        <v>4093</v>
      </c>
      <c r="X3341" s="26"/>
      <c r="Y3341" s="26"/>
    </row>
    <row r="3342" spans="1:25" ht="50" x14ac:dyDescent="0.25">
      <c r="A3342" s="21">
        <v>3583</v>
      </c>
      <c r="B3342" s="22" t="s">
        <v>15338</v>
      </c>
      <c r="C3342" s="22" t="s">
        <v>4094</v>
      </c>
      <c r="E3342" s="24">
        <v>2002</v>
      </c>
      <c r="F3342" s="22">
        <v>978741</v>
      </c>
      <c r="G3342" s="23" t="s">
        <v>4095</v>
      </c>
      <c r="H3342" s="25" t="s">
        <v>15373</v>
      </c>
      <c r="I3342" s="22" t="s">
        <v>15411</v>
      </c>
      <c r="J3342" s="22" t="s">
        <v>16517</v>
      </c>
      <c r="K3342" s="26">
        <f t="shared" si="51"/>
        <v>300</v>
      </c>
      <c r="L3342" s="26">
        <v>300</v>
      </c>
      <c r="O3342" s="22" t="s">
        <v>4096</v>
      </c>
      <c r="P3342" s="22" t="s">
        <v>3725</v>
      </c>
      <c r="Q3342" s="22">
        <v>92121</v>
      </c>
      <c r="R3342" s="22" t="s">
        <v>4097</v>
      </c>
      <c r="X3342" s="26"/>
      <c r="Y3342" s="26"/>
    </row>
    <row r="3343" spans="1:25" ht="50" x14ac:dyDescent="0.25">
      <c r="A3343" s="21">
        <v>3584</v>
      </c>
      <c r="B3343" s="22" t="s">
        <v>15338</v>
      </c>
      <c r="C3343" s="22" t="s">
        <v>4098</v>
      </c>
      <c r="E3343" s="24">
        <v>2002</v>
      </c>
      <c r="F3343" s="22">
        <v>978805</v>
      </c>
      <c r="G3343" s="23" t="s">
        <v>4099</v>
      </c>
      <c r="H3343" s="25" t="s">
        <v>15373</v>
      </c>
      <c r="I3343" s="22" t="s">
        <v>15382</v>
      </c>
      <c r="J3343" s="22" t="s">
        <v>16799</v>
      </c>
      <c r="K3343" s="26">
        <f t="shared" si="51"/>
        <v>500</v>
      </c>
      <c r="L3343" s="26">
        <v>500</v>
      </c>
      <c r="O3343" s="22" t="s">
        <v>4100</v>
      </c>
      <c r="P3343" s="22" t="s">
        <v>4062</v>
      </c>
      <c r="Q3343" s="22">
        <v>92147</v>
      </c>
      <c r="R3343" s="22" t="s">
        <v>4101</v>
      </c>
      <c r="X3343" s="26"/>
      <c r="Y3343" s="26"/>
    </row>
    <row r="3344" spans="1:25" ht="50" x14ac:dyDescent="0.25">
      <c r="A3344" s="21">
        <v>3585</v>
      </c>
      <c r="B3344" s="22" t="s">
        <v>15338</v>
      </c>
      <c r="C3344" s="22" t="s">
        <v>4098</v>
      </c>
      <c r="E3344" s="24">
        <v>2002</v>
      </c>
      <c r="F3344" s="22">
        <v>978806</v>
      </c>
      <c r="G3344" s="23" t="s">
        <v>4102</v>
      </c>
      <c r="H3344" s="25" t="s">
        <v>15373</v>
      </c>
      <c r="I3344" s="22" t="s">
        <v>15382</v>
      </c>
      <c r="J3344" s="22" t="s">
        <v>16799</v>
      </c>
      <c r="K3344" s="26">
        <f t="shared" si="51"/>
        <v>500</v>
      </c>
      <c r="L3344" s="26">
        <v>500</v>
      </c>
      <c r="O3344" s="22" t="s">
        <v>4103</v>
      </c>
      <c r="P3344" s="22" t="s">
        <v>4062</v>
      </c>
      <c r="Q3344" s="22">
        <v>92147</v>
      </c>
      <c r="R3344" s="22" t="s">
        <v>4101</v>
      </c>
      <c r="X3344" s="26"/>
      <c r="Y3344" s="26"/>
    </row>
    <row r="3345" spans="1:25" ht="37.5" x14ac:dyDescent="0.25">
      <c r="A3345" s="21">
        <v>3586</v>
      </c>
      <c r="B3345" s="22" t="s">
        <v>15338</v>
      </c>
      <c r="C3345" s="22" t="s">
        <v>3936</v>
      </c>
      <c r="E3345" s="24">
        <v>2002</v>
      </c>
      <c r="F3345" s="22">
        <v>977308</v>
      </c>
      <c r="G3345" s="23" t="s">
        <v>4104</v>
      </c>
      <c r="H3345" s="25" t="s">
        <v>15373</v>
      </c>
      <c r="I3345" s="22" t="s">
        <v>15374</v>
      </c>
      <c r="J3345" s="22" t="s">
        <v>15701</v>
      </c>
      <c r="K3345" s="26">
        <f t="shared" si="51"/>
        <v>350</v>
      </c>
      <c r="L3345" s="26">
        <v>350</v>
      </c>
      <c r="O3345" s="22" t="s">
        <v>4105</v>
      </c>
      <c r="P3345" s="22" t="s">
        <v>3725</v>
      </c>
      <c r="Q3345" s="22">
        <v>92121</v>
      </c>
      <c r="X3345" s="26"/>
      <c r="Y3345" s="26"/>
    </row>
    <row r="3346" spans="1:25" ht="62.5" x14ac:dyDescent="0.25">
      <c r="A3346" s="21">
        <v>3587</v>
      </c>
      <c r="B3346" s="22" t="s">
        <v>15338</v>
      </c>
      <c r="C3346" s="22" t="s">
        <v>3936</v>
      </c>
      <c r="E3346" s="24">
        <v>2002</v>
      </c>
      <c r="F3346" s="22">
        <v>977307</v>
      </c>
      <c r="G3346" s="23" t="s">
        <v>4106</v>
      </c>
      <c r="H3346" s="25" t="s">
        <v>15373</v>
      </c>
      <c r="I3346" s="22" t="s">
        <v>15374</v>
      </c>
      <c r="J3346" s="22" t="s">
        <v>12592</v>
      </c>
      <c r="K3346" s="26">
        <f t="shared" si="51"/>
        <v>1500</v>
      </c>
      <c r="L3346" s="26">
        <v>1500</v>
      </c>
      <c r="O3346" s="22" t="s">
        <v>4107</v>
      </c>
      <c r="P3346" s="22" t="s">
        <v>3790</v>
      </c>
      <c r="Q3346" s="22">
        <v>92054</v>
      </c>
      <c r="X3346" s="26"/>
      <c r="Y3346" s="26"/>
    </row>
    <row r="3347" spans="1:25" ht="25" x14ac:dyDescent="0.25">
      <c r="A3347" s="21">
        <v>3588</v>
      </c>
      <c r="B3347" s="22" t="s">
        <v>15338</v>
      </c>
      <c r="C3347" s="22" t="s">
        <v>3936</v>
      </c>
      <c r="E3347" s="24">
        <v>2002</v>
      </c>
      <c r="F3347" s="22">
        <v>978008</v>
      </c>
      <c r="G3347" s="23" t="s">
        <v>4108</v>
      </c>
      <c r="H3347" s="25" t="s">
        <v>15373</v>
      </c>
      <c r="I3347" s="22" t="s">
        <v>15374</v>
      </c>
      <c r="J3347" s="22" t="s">
        <v>4109</v>
      </c>
      <c r="K3347" s="26">
        <f t="shared" si="51"/>
        <v>800</v>
      </c>
      <c r="L3347" s="26">
        <v>800</v>
      </c>
      <c r="O3347" s="22" t="s">
        <v>4110</v>
      </c>
      <c r="P3347" s="22" t="s">
        <v>4111</v>
      </c>
      <c r="Q3347" s="22">
        <v>92028</v>
      </c>
      <c r="X3347" s="26"/>
      <c r="Y3347" s="26"/>
    </row>
    <row r="3348" spans="1:25" ht="62.5" x14ac:dyDescent="0.25">
      <c r="A3348" s="21">
        <v>3589</v>
      </c>
      <c r="B3348" s="22" t="s">
        <v>15338</v>
      </c>
      <c r="C3348" s="22" t="s">
        <v>4112</v>
      </c>
      <c r="E3348" s="24">
        <v>2002</v>
      </c>
      <c r="F3348" s="22">
        <v>977637</v>
      </c>
      <c r="G3348" s="23" t="s">
        <v>4113</v>
      </c>
      <c r="H3348" s="25" t="s">
        <v>16310</v>
      </c>
      <c r="I3348" s="22" t="s">
        <v>15382</v>
      </c>
      <c r="J3348" s="22" t="s">
        <v>4114</v>
      </c>
      <c r="K3348" s="26">
        <f t="shared" si="51"/>
        <v>330</v>
      </c>
      <c r="L3348" s="26">
        <v>330</v>
      </c>
      <c r="O3348" s="22" t="s">
        <v>4115</v>
      </c>
      <c r="P3348" s="22" t="s">
        <v>3759</v>
      </c>
      <c r="Q3348" s="22">
        <v>92069</v>
      </c>
      <c r="X3348" s="26"/>
      <c r="Y3348" s="26"/>
    </row>
    <row r="3349" spans="1:25" ht="37.5" x14ac:dyDescent="0.25">
      <c r="A3349" s="21">
        <v>3590</v>
      </c>
      <c r="B3349" s="22" t="s">
        <v>15338</v>
      </c>
      <c r="C3349" s="22" t="s">
        <v>4116</v>
      </c>
      <c r="E3349" s="24">
        <v>2003</v>
      </c>
      <c r="F3349" s="22">
        <v>979184</v>
      </c>
      <c r="G3349" s="23" t="s">
        <v>4117</v>
      </c>
      <c r="H3349" s="25" t="s">
        <v>15373</v>
      </c>
      <c r="I3349" s="22" t="s">
        <v>15382</v>
      </c>
      <c r="J3349" s="22" t="s">
        <v>16799</v>
      </c>
      <c r="K3349" s="26">
        <f>L3349+M3349*(2/3)+N3349*(2/3)</f>
        <v>450</v>
      </c>
      <c r="L3349" s="26">
        <v>450</v>
      </c>
      <c r="O3349" s="22" t="s">
        <v>4118</v>
      </c>
      <c r="P3349" s="22" t="s">
        <v>3725</v>
      </c>
      <c r="Q3349" s="22">
        <v>92101</v>
      </c>
      <c r="X3349" s="26"/>
      <c r="Y3349" s="26"/>
    </row>
    <row r="3350" spans="1:25" ht="50" x14ac:dyDescent="0.25">
      <c r="A3350" s="21">
        <v>3591</v>
      </c>
      <c r="B3350" s="22" t="s">
        <v>15338</v>
      </c>
      <c r="C3350" s="22" t="s">
        <v>4119</v>
      </c>
      <c r="E3350" s="24">
        <v>2002</v>
      </c>
      <c r="F3350" s="22">
        <v>978310</v>
      </c>
      <c r="G3350" s="23" t="s">
        <v>4120</v>
      </c>
      <c r="H3350" s="25" t="s">
        <v>15373</v>
      </c>
      <c r="I3350" s="22" t="s">
        <v>15374</v>
      </c>
      <c r="J3350" s="22" t="s">
        <v>16869</v>
      </c>
      <c r="K3350" s="26">
        <f t="shared" si="51"/>
        <v>608.66666666666663</v>
      </c>
      <c r="M3350" s="26">
        <v>913</v>
      </c>
      <c r="O3350" s="22" t="s">
        <v>4121</v>
      </c>
      <c r="P3350" s="22" t="s">
        <v>3725</v>
      </c>
      <c r="Q3350" s="22">
        <v>92106</v>
      </c>
      <c r="X3350" s="26"/>
      <c r="Y3350" s="26"/>
    </row>
    <row r="3351" spans="1:25" ht="37.5" x14ac:dyDescent="0.25">
      <c r="A3351" s="21">
        <v>3592</v>
      </c>
      <c r="B3351" s="22" t="s">
        <v>15338</v>
      </c>
      <c r="C3351" s="22" t="s">
        <v>4122</v>
      </c>
      <c r="E3351" s="24">
        <v>2002</v>
      </c>
      <c r="F3351" s="22">
        <v>978174</v>
      </c>
      <c r="G3351" s="23" t="s">
        <v>4123</v>
      </c>
      <c r="H3351" s="25" t="s">
        <v>15373</v>
      </c>
      <c r="I3351" s="22" t="s">
        <v>15411</v>
      </c>
      <c r="J3351" s="22" t="s">
        <v>8146</v>
      </c>
      <c r="K3351" s="26">
        <f t="shared" si="51"/>
        <v>510</v>
      </c>
      <c r="N3351" s="26">
        <v>765</v>
      </c>
      <c r="O3351" s="22" t="s">
        <v>4124</v>
      </c>
      <c r="P3351" s="22" t="s">
        <v>3725</v>
      </c>
      <c r="Q3351" s="22">
        <v>92101</v>
      </c>
      <c r="X3351" s="26"/>
      <c r="Y3351" s="26"/>
    </row>
    <row r="3352" spans="1:25" ht="25" x14ac:dyDescent="0.25">
      <c r="A3352" s="21">
        <v>3593</v>
      </c>
      <c r="B3352" s="22" t="s">
        <v>15338</v>
      </c>
      <c r="C3352" s="22" t="s">
        <v>4125</v>
      </c>
      <c r="E3352" s="24">
        <v>2002</v>
      </c>
      <c r="F3352" s="22">
        <v>978015</v>
      </c>
      <c r="G3352" s="23" t="s">
        <v>4126</v>
      </c>
      <c r="H3352" s="25" t="s">
        <v>15373</v>
      </c>
      <c r="I3352" s="22" t="s">
        <v>15382</v>
      </c>
      <c r="J3352" s="22" t="s">
        <v>15955</v>
      </c>
      <c r="K3352" s="26">
        <f t="shared" si="51"/>
        <v>750</v>
      </c>
      <c r="L3352" s="26">
        <v>750</v>
      </c>
      <c r="O3352" s="22" t="s">
        <v>4127</v>
      </c>
      <c r="P3352" s="22" t="s">
        <v>3725</v>
      </c>
      <c r="Q3352" s="22">
        <v>92173</v>
      </c>
      <c r="X3352" s="26"/>
      <c r="Y3352" s="26"/>
    </row>
    <row r="3353" spans="1:25" ht="25" x14ac:dyDescent="0.25">
      <c r="A3353" s="21">
        <v>3594</v>
      </c>
      <c r="B3353" s="22" t="s">
        <v>15338</v>
      </c>
      <c r="C3353" s="22" t="s">
        <v>4125</v>
      </c>
      <c r="E3353" s="24">
        <v>2002</v>
      </c>
      <c r="F3353" s="22">
        <v>978016</v>
      </c>
      <c r="G3353" s="23" t="s">
        <v>4126</v>
      </c>
      <c r="H3353" s="25" t="s">
        <v>15373</v>
      </c>
      <c r="I3353" s="22" t="s">
        <v>15382</v>
      </c>
      <c r="J3353" s="22" t="s">
        <v>15955</v>
      </c>
      <c r="K3353" s="26">
        <f t="shared" si="51"/>
        <v>750</v>
      </c>
      <c r="L3353" s="26">
        <v>750</v>
      </c>
      <c r="O3353" s="22" t="s">
        <v>4127</v>
      </c>
      <c r="P3353" s="22" t="s">
        <v>3725</v>
      </c>
      <c r="Q3353" s="22">
        <v>92173</v>
      </c>
      <c r="X3353" s="26"/>
      <c r="Y3353" s="26"/>
    </row>
    <row r="3354" spans="1:25" ht="50" x14ac:dyDescent="0.25">
      <c r="A3354" s="21">
        <v>3595</v>
      </c>
      <c r="B3354" s="22" t="s">
        <v>15338</v>
      </c>
      <c r="C3354" s="22" t="s">
        <v>4128</v>
      </c>
      <c r="E3354" s="24">
        <v>2002</v>
      </c>
      <c r="F3354" s="22">
        <v>977645</v>
      </c>
      <c r="G3354" s="23" t="s">
        <v>4129</v>
      </c>
      <c r="H3354" s="25" t="s">
        <v>15373</v>
      </c>
      <c r="I3354" s="22" t="s">
        <v>15411</v>
      </c>
      <c r="J3354" s="22" t="s">
        <v>4130</v>
      </c>
      <c r="K3354" s="26">
        <f t="shared" si="51"/>
        <v>836</v>
      </c>
      <c r="L3354" s="26">
        <v>836</v>
      </c>
      <c r="O3354" s="22" t="s">
        <v>4131</v>
      </c>
      <c r="P3354" s="22" t="s">
        <v>3725</v>
      </c>
      <c r="Q3354" s="22">
        <v>92182</v>
      </c>
      <c r="X3354" s="26"/>
      <c r="Y3354" s="26"/>
    </row>
    <row r="3355" spans="1:25" ht="50" x14ac:dyDescent="0.25">
      <c r="A3355" s="21">
        <v>3596</v>
      </c>
      <c r="B3355" s="22" t="s">
        <v>15338</v>
      </c>
      <c r="C3355" s="22" t="s">
        <v>4132</v>
      </c>
      <c r="E3355" s="24">
        <v>2002</v>
      </c>
      <c r="F3355" s="22">
        <v>977116</v>
      </c>
      <c r="G3355" s="23" t="s">
        <v>4133</v>
      </c>
      <c r="H3355" s="25" t="s">
        <v>15373</v>
      </c>
      <c r="I3355" s="22" t="s">
        <v>15382</v>
      </c>
      <c r="J3355" s="22" t="s">
        <v>16799</v>
      </c>
      <c r="K3355" s="26">
        <f t="shared" si="51"/>
        <v>450</v>
      </c>
      <c r="L3355" s="26">
        <v>450</v>
      </c>
      <c r="O3355" s="22" t="s">
        <v>4134</v>
      </c>
      <c r="P3355" s="22" t="s">
        <v>3725</v>
      </c>
      <c r="Q3355" s="22">
        <v>92101</v>
      </c>
      <c r="X3355" s="26"/>
      <c r="Y3355" s="26"/>
    </row>
    <row r="3356" spans="1:25" ht="50" x14ac:dyDescent="0.25">
      <c r="A3356" s="21">
        <v>3597</v>
      </c>
      <c r="B3356" s="22" t="s">
        <v>15338</v>
      </c>
      <c r="C3356" s="22" t="s">
        <v>4496</v>
      </c>
      <c r="E3356" s="24">
        <v>2002</v>
      </c>
      <c r="F3356" s="22">
        <v>977380</v>
      </c>
      <c r="G3356" s="23" t="s">
        <v>4135</v>
      </c>
      <c r="H3356" s="25" t="s">
        <v>15373</v>
      </c>
      <c r="I3356" s="22" t="s">
        <v>15374</v>
      </c>
      <c r="J3356" s="22" t="s">
        <v>9707</v>
      </c>
      <c r="K3356" s="26">
        <f t="shared" si="51"/>
        <v>550</v>
      </c>
      <c r="L3356" s="26">
        <v>550</v>
      </c>
      <c r="O3356" s="22" t="s">
        <v>4136</v>
      </c>
      <c r="P3356" s="22" t="s">
        <v>3725</v>
      </c>
      <c r="Q3356" s="22">
        <v>92093</v>
      </c>
      <c r="X3356" s="26"/>
      <c r="Y3356" s="26"/>
    </row>
    <row r="3357" spans="1:25" ht="50" x14ac:dyDescent="0.25">
      <c r="A3357" s="21">
        <v>3598</v>
      </c>
      <c r="B3357" s="22" t="s">
        <v>15338</v>
      </c>
      <c r="C3357" s="22" t="s">
        <v>4496</v>
      </c>
      <c r="E3357" s="24">
        <v>2002</v>
      </c>
      <c r="F3357" s="22">
        <v>978480</v>
      </c>
      <c r="G3357" s="23" t="s">
        <v>4137</v>
      </c>
      <c r="H3357" s="25" t="s">
        <v>15373</v>
      </c>
      <c r="I3357" s="22" t="s">
        <v>15374</v>
      </c>
      <c r="J3357" s="22" t="s">
        <v>11983</v>
      </c>
      <c r="K3357" s="26">
        <f t="shared" si="51"/>
        <v>1000</v>
      </c>
      <c r="L3357" s="26">
        <v>1000</v>
      </c>
      <c r="O3357" s="22" t="s">
        <v>4138</v>
      </c>
      <c r="P3357" s="22" t="s">
        <v>3998</v>
      </c>
      <c r="Q3357" s="22">
        <v>92093</v>
      </c>
      <c r="R3357" s="22" t="s">
        <v>4012</v>
      </c>
      <c r="X3357" s="26"/>
      <c r="Y3357" s="26"/>
    </row>
    <row r="3358" spans="1:25" ht="50" x14ac:dyDescent="0.25">
      <c r="A3358" s="21">
        <v>3599</v>
      </c>
      <c r="B3358" s="22" t="s">
        <v>15338</v>
      </c>
      <c r="C3358" s="22" t="s">
        <v>4496</v>
      </c>
      <c r="E3358" s="24">
        <v>2002</v>
      </c>
      <c r="F3358" s="22">
        <v>978745</v>
      </c>
      <c r="G3358" s="23" t="s">
        <v>4139</v>
      </c>
      <c r="H3358" s="25" t="s">
        <v>15373</v>
      </c>
      <c r="I3358" s="22" t="s">
        <v>15374</v>
      </c>
      <c r="J3358" s="22" t="s">
        <v>11368</v>
      </c>
      <c r="K3358" s="26">
        <f t="shared" si="51"/>
        <v>1000</v>
      </c>
      <c r="L3358" s="26">
        <v>1000</v>
      </c>
      <c r="O3358" s="22" t="s">
        <v>4138</v>
      </c>
      <c r="P3358" s="22" t="s">
        <v>3998</v>
      </c>
      <c r="Q3358" s="22">
        <v>92093</v>
      </c>
      <c r="R3358" s="22" t="s">
        <v>4012</v>
      </c>
      <c r="X3358" s="26"/>
      <c r="Y3358" s="26"/>
    </row>
    <row r="3359" spans="1:25" ht="50" x14ac:dyDescent="0.25">
      <c r="A3359" s="21">
        <v>3600</v>
      </c>
      <c r="B3359" s="22" t="s">
        <v>15338</v>
      </c>
      <c r="C3359" s="22" t="s">
        <v>4496</v>
      </c>
      <c r="E3359" s="24">
        <v>2003</v>
      </c>
      <c r="F3359" s="22">
        <v>978624</v>
      </c>
      <c r="G3359" s="23" t="s">
        <v>4140</v>
      </c>
      <c r="H3359" s="25" t="s">
        <v>15373</v>
      </c>
      <c r="I3359" s="22" t="s">
        <v>15411</v>
      </c>
      <c r="J3359" s="22" t="s">
        <v>8343</v>
      </c>
      <c r="K3359" s="26">
        <f t="shared" si="51"/>
        <v>1020</v>
      </c>
      <c r="L3359" s="26">
        <v>1020</v>
      </c>
      <c r="O3359" s="22" t="s">
        <v>4141</v>
      </c>
      <c r="P3359" s="22" t="s">
        <v>3725</v>
      </c>
      <c r="Q3359" s="22">
        <v>92110</v>
      </c>
      <c r="R3359" s="22" t="s">
        <v>4142</v>
      </c>
      <c r="X3359" s="26"/>
      <c r="Y3359" s="26"/>
    </row>
    <row r="3360" spans="1:25" ht="25" x14ac:dyDescent="0.25">
      <c r="A3360" s="21">
        <v>3601</v>
      </c>
      <c r="B3360" s="22" t="s">
        <v>15338</v>
      </c>
      <c r="C3360" s="22" t="s">
        <v>4143</v>
      </c>
      <c r="E3360" s="24">
        <v>2003</v>
      </c>
      <c r="F3360" s="22">
        <v>978754</v>
      </c>
      <c r="G3360" s="23" t="s">
        <v>4144</v>
      </c>
      <c r="H3360" s="25" t="s">
        <v>15373</v>
      </c>
      <c r="I3360" s="22" t="s">
        <v>15374</v>
      </c>
      <c r="J3360" s="22">
        <v>3512</v>
      </c>
      <c r="K3360" s="26">
        <f t="shared" si="51"/>
        <v>1800</v>
      </c>
      <c r="L3360" s="26">
        <v>1800</v>
      </c>
      <c r="O3360" s="22" t="s">
        <v>4145</v>
      </c>
      <c r="P3360" s="22" t="s">
        <v>3942</v>
      </c>
      <c r="Q3360" s="22">
        <v>92173</v>
      </c>
      <c r="X3360" s="26"/>
      <c r="Y3360" s="26"/>
    </row>
    <row r="3361" spans="1:25" ht="37.5" x14ac:dyDescent="0.25">
      <c r="A3361" s="21">
        <v>3602</v>
      </c>
      <c r="B3361" s="22" t="s">
        <v>15338</v>
      </c>
      <c r="C3361" s="22" t="s">
        <v>4146</v>
      </c>
      <c r="E3361" s="24">
        <v>2002</v>
      </c>
      <c r="F3361" s="22">
        <v>978210</v>
      </c>
      <c r="G3361" s="23" t="s">
        <v>4147</v>
      </c>
      <c r="H3361" s="25" t="s">
        <v>15373</v>
      </c>
      <c r="I3361" s="22" t="s">
        <v>15374</v>
      </c>
      <c r="J3361" s="22" t="s">
        <v>12899</v>
      </c>
      <c r="K3361" s="26">
        <f t="shared" si="51"/>
        <v>2000</v>
      </c>
      <c r="L3361" s="26">
        <v>2000</v>
      </c>
      <c r="O3361" s="22" t="s">
        <v>4148</v>
      </c>
      <c r="P3361" s="22" t="s">
        <v>3725</v>
      </c>
      <c r="Q3361" s="22">
        <v>92134</v>
      </c>
      <c r="X3361" s="26"/>
      <c r="Y3361" s="26"/>
    </row>
    <row r="3362" spans="1:25" ht="37.5" x14ac:dyDescent="0.25">
      <c r="A3362" s="21">
        <v>3603</v>
      </c>
      <c r="B3362" s="22" t="s">
        <v>15338</v>
      </c>
      <c r="C3362" s="22" t="s">
        <v>4146</v>
      </c>
      <c r="E3362" s="24">
        <v>2002</v>
      </c>
      <c r="F3362" s="22">
        <v>978211</v>
      </c>
      <c r="G3362" s="23" t="s">
        <v>4147</v>
      </c>
      <c r="H3362" s="25" t="s">
        <v>15373</v>
      </c>
      <c r="I3362" s="22" t="s">
        <v>15374</v>
      </c>
      <c r="J3362" s="22" t="s">
        <v>12899</v>
      </c>
      <c r="K3362" s="26">
        <f t="shared" si="51"/>
        <v>2000</v>
      </c>
      <c r="L3362" s="26">
        <v>2000</v>
      </c>
      <c r="O3362" s="22" t="s">
        <v>4148</v>
      </c>
      <c r="P3362" s="22" t="s">
        <v>3725</v>
      </c>
      <c r="Q3362" s="22">
        <v>92134</v>
      </c>
      <c r="X3362" s="26"/>
      <c r="Y3362" s="26"/>
    </row>
    <row r="3363" spans="1:25" ht="50" x14ac:dyDescent="0.25">
      <c r="A3363" s="21">
        <v>3604</v>
      </c>
      <c r="B3363" s="22" t="s">
        <v>15338</v>
      </c>
      <c r="C3363" s="22" t="s">
        <v>4018</v>
      </c>
      <c r="E3363" s="24">
        <v>2002</v>
      </c>
      <c r="F3363" s="22">
        <v>978836</v>
      </c>
      <c r="G3363" s="23" t="s">
        <v>4149</v>
      </c>
      <c r="H3363" s="25" t="s">
        <v>15373</v>
      </c>
      <c r="I3363" s="22" t="s">
        <v>15411</v>
      </c>
      <c r="J3363" s="22" t="s">
        <v>17547</v>
      </c>
      <c r="K3363" s="26">
        <f t="shared" si="51"/>
        <v>300</v>
      </c>
      <c r="L3363" s="26">
        <v>300</v>
      </c>
      <c r="O3363" s="22" t="s">
        <v>4150</v>
      </c>
      <c r="P3363" s="22" t="s">
        <v>3725</v>
      </c>
      <c r="Q3363" s="22">
        <v>92121</v>
      </c>
      <c r="R3363" s="22" t="s">
        <v>4021</v>
      </c>
      <c r="X3363" s="26"/>
      <c r="Y3363" s="26"/>
    </row>
    <row r="3364" spans="1:25" ht="37.5" x14ac:dyDescent="0.25">
      <c r="A3364" s="21">
        <v>3605</v>
      </c>
      <c r="B3364" s="22" t="s">
        <v>15338</v>
      </c>
      <c r="C3364" s="22" t="s">
        <v>4151</v>
      </c>
      <c r="E3364" s="24">
        <v>2003</v>
      </c>
      <c r="F3364" s="22">
        <v>979382</v>
      </c>
      <c r="G3364" s="23" t="s">
        <v>4152</v>
      </c>
      <c r="H3364" s="25" t="s">
        <v>15373</v>
      </c>
      <c r="I3364" s="22" t="s">
        <v>15374</v>
      </c>
      <c r="J3364" s="22">
        <v>3456</v>
      </c>
      <c r="K3364" s="26">
        <f t="shared" si="51"/>
        <v>500</v>
      </c>
      <c r="L3364" s="26">
        <v>500</v>
      </c>
      <c r="O3364" s="22" t="s">
        <v>4153</v>
      </c>
      <c r="P3364" s="22" t="s">
        <v>4154</v>
      </c>
      <c r="Q3364" s="22">
        <v>92071</v>
      </c>
      <c r="R3364" s="22" t="s">
        <v>4155</v>
      </c>
      <c r="X3364" s="26"/>
      <c r="Y3364" s="26"/>
    </row>
    <row r="3365" spans="1:25" ht="50" x14ac:dyDescent="0.25">
      <c r="A3365" s="21">
        <v>3606</v>
      </c>
      <c r="B3365" s="22" t="s">
        <v>15338</v>
      </c>
      <c r="C3365" s="22" t="s">
        <v>4156</v>
      </c>
      <c r="E3365" s="24">
        <v>2003</v>
      </c>
      <c r="F3365" s="22">
        <v>978702</v>
      </c>
      <c r="G3365" s="23" t="s">
        <v>4157</v>
      </c>
      <c r="H3365" s="25" t="s">
        <v>15373</v>
      </c>
      <c r="I3365" s="22" t="s">
        <v>15374</v>
      </c>
      <c r="J3365" s="22" t="s">
        <v>12592</v>
      </c>
      <c r="K3365" s="26">
        <f t="shared" si="51"/>
        <v>1500</v>
      </c>
      <c r="L3365" s="26">
        <v>1500</v>
      </c>
      <c r="O3365" s="22" t="s">
        <v>4158</v>
      </c>
      <c r="P3365" s="22" t="s">
        <v>3790</v>
      </c>
      <c r="Q3365" s="22">
        <v>92054</v>
      </c>
      <c r="X3365" s="26"/>
      <c r="Y3365" s="26"/>
    </row>
    <row r="3366" spans="1:25" ht="50" x14ac:dyDescent="0.25">
      <c r="A3366" s="21">
        <v>3607</v>
      </c>
      <c r="B3366" s="22" t="s">
        <v>15338</v>
      </c>
      <c r="C3366" s="22" t="s">
        <v>4159</v>
      </c>
      <c r="E3366" s="24">
        <v>2003</v>
      </c>
      <c r="F3366" s="22">
        <v>979462</v>
      </c>
      <c r="G3366" s="23" t="s">
        <v>4160</v>
      </c>
      <c r="H3366" s="25" t="s">
        <v>15373</v>
      </c>
      <c r="I3366" s="22" t="s">
        <v>15374</v>
      </c>
      <c r="J3366" s="22" t="s">
        <v>18147</v>
      </c>
      <c r="K3366" s="26">
        <f t="shared" si="51"/>
        <v>500</v>
      </c>
      <c r="L3366" s="26">
        <v>500</v>
      </c>
      <c r="O3366" s="22" t="s">
        <v>4161</v>
      </c>
      <c r="P3366" s="22" t="s">
        <v>3725</v>
      </c>
      <c r="Q3366" s="22">
        <v>92127</v>
      </c>
      <c r="R3366" s="22" t="s">
        <v>4162</v>
      </c>
      <c r="X3366" s="26"/>
      <c r="Y3366" s="26"/>
    </row>
    <row r="3367" spans="1:25" ht="50" x14ac:dyDescent="0.25">
      <c r="A3367" s="21">
        <v>3608</v>
      </c>
      <c r="B3367" s="22" t="s">
        <v>15338</v>
      </c>
      <c r="C3367" s="22" t="s">
        <v>4163</v>
      </c>
      <c r="E3367" s="24">
        <v>2003</v>
      </c>
      <c r="F3367" s="22">
        <v>940962</v>
      </c>
      <c r="G3367" s="23" t="s">
        <v>4164</v>
      </c>
      <c r="H3367" s="25" t="s">
        <v>15373</v>
      </c>
      <c r="I3367" s="22" t="s">
        <v>15382</v>
      </c>
      <c r="J3367" s="22" t="s">
        <v>14850</v>
      </c>
      <c r="K3367" s="26">
        <f t="shared" si="51"/>
        <v>300</v>
      </c>
      <c r="L3367" s="26">
        <v>300</v>
      </c>
      <c r="O3367" s="22" t="s">
        <v>4165</v>
      </c>
      <c r="P3367" s="22" t="s">
        <v>3725</v>
      </c>
      <c r="Q3367" s="22">
        <v>92127</v>
      </c>
      <c r="R3367" s="22" t="s">
        <v>4166</v>
      </c>
      <c r="X3367" s="26"/>
      <c r="Y3367" s="26"/>
    </row>
    <row r="3368" spans="1:25" ht="50" x14ac:dyDescent="0.25">
      <c r="A3368" s="21">
        <v>3609</v>
      </c>
      <c r="B3368" s="22" t="s">
        <v>15338</v>
      </c>
      <c r="C3368" s="22" t="s">
        <v>3936</v>
      </c>
      <c r="E3368" s="24">
        <v>2003</v>
      </c>
      <c r="F3368" s="22">
        <v>979032</v>
      </c>
      <c r="G3368" s="23" t="s">
        <v>4167</v>
      </c>
      <c r="H3368" s="25" t="s">
        <v>15373</v>
      </c>
      <c r="I3368" s="22" t="s">
        <v>15374</v>
      </c>
      <c r="J3368" s="22" t="s">
        <v>11983</v>
      </c>
      <c r="K3368" s="26">
        <f t="shared" ref="K3368:K3431" si="52">L3368+M3368*(2/3)+N3368*(2/3)</f>
        <v>1000</v>
      </c>
      <c r="L3368" s="26">
        <v>1000</v>
      </c>
      <c r="O3368" s="22" t="s">
        <v>4168</v>
      </c>
      <c r="P3368" s="22" t="s">
        <v>4796</v>
      </c>
      <c r="Q3368" s="22">
        <v>92008</v>
      </c>
      <c r="X3368" s="26"/>
      <c r="Y3368" s="26"/>
    </row>
    <row r="3369" spans="1:25" ht="37.5" x14ac:dyDescent="0.25">
      <c r="A3369" s="21">
        <v>3610</v>
      </c>
      <c r="B3369" s="22" t="s">
        <v>15338</v>
      </c>
      <c r="C3369" s="22" t="s">
        <v>3936</v>
      </c>
      <c r="E3369" s="24">
        <v>2003</v>
      </c>
      <c r="F3369" s="22">
        <v>979031</v>
      </c>
      <c r="G3369" s="23" t="s">
        <v>4169</v>
      </c>
      <c r="H3369" s="25" t="s">
        <v>15373</v>
      </c>
      <c r="I3369" s="22" t="s">
        <v>15374</v>
      </c>
      <c r="J3369" s="22" t="s">
        <v>9707</v>
      </c>
      <c r="K3369" s="26">
        <f t="shared" si="52"/>
        <v>800</v>
      </c>
      <c r="L3369" s="26">
        <v>800</v>
      </c>
      <c r="O3369" s="22" t="s">
        <v>4170</v>
      </c>
      <c r="P3369" s="22" t="s">
        <v>4045</v>
      </c>
      <c r="Q3369" s="22">
        <v>92084</v>
      </c>
      <c r="X3369" s="26"/>
      <c r="Y3369" s="26"/>
    </row>
    <row r="3370" spans="1:25" ht="37.5" x14ac:dyDescent="0.25">
      <c r="A3370" s="21">
        <v>3611</v>
      </c>
      <c r="B3370" s="22" t="s">
        <v>15338</v>
      </c>
      <c r="C3370" s="22" t="s">
        <v>4171</v>
      </c>
      <c r="E3370" s="24">
        <v>2003</v>
      </c>
      <c r="F3370" s="22">
        <v>978705</v>
      </c>
      <c r="G3370" s="23" t="s">
        <v>4172</v>
      </c>
      <c r="H3370" s="25" t="s">
        <v>15373</v>
      </c>
      <c r="I3370" s="22" t="s">
        <v>15411</v>
      </c>
      <c r="J3370" s="22" t="s">
        <v>16803</v>
      </c>
      <c r="K3370" s="26">
        <f t="shared" si="52"/>
        <v>1500</v>
      </c>
      <c r="L3370" s="26">
        <v>1500</v>
      </c>
      <c r="O3370" s="22" t="s">
        <v>4173</v>
      </c>
      <c r="P3370" s="22" t="s">
        <v>3725</v>
      </c>
      <c r="Q3370" s="22">
        <v>92121</v>
      </c>
      <c r="R3370" s="22" t="s">
        <v>3737</v>
      </c>
      <c r="X3370" s="26"/>
      <c r="Y3370" s="26"/>
    </row>
    <row r="3371" spans="1:25" ht="37.5" x14ac:dyDescent="0.25">
      <c r="A3371" s="21">
        <v>3612</v>
      </c>
      <c r="B3371" s="22" t="s">
        <v>15338</v>
      </c>
      <c r="C3371" s="22" t="s">
        <v>4171</v>
      </c>
      <c r="E3371" s="24">
        <v>2003</v>
      </c>
      <c r="F3371" s="22">
        <v>978865</v>
      </c>
      <c r="G3371" s="23" t="s">
        <v>4174</v>
      </c>
      <c r="H3371" s="25" t="s">
        <v>15373</v>
      </c>
      <c r="I3371" s="22" t="s">
        <v>15411</v>
      </c>
      <c r="J3371" s="22" t="s">
        <v>10176</v>
      </c>
      <c r="K3371" s="26">
        <f t="shared" si="52"/>
        <v>2000</v>
      </c>
      <c r="L3371" s="26">
        <v>2000</v>
      </c>
      <c r="O3371" s="22" t="s">
        <v>4173</v>
      </c>
      <c r="P3371" s="22" t="s">
        <v>3725</v>
      </c>
      <c r="Q3371" s="22">
        <v>92121</v>
      </c>
      <c r="R3371" s="22" t="s">
        <v>3737</v>
      </c>
      <c r="X3371" s="26"/>
      <c r="Y3371" s="26"/>
    </row>
    <row r="3372" spans="1:25" ht="50" x14ac:dyDescent="0.25">
      <c r="A3372" s="21">
        <v>3613</v>
      </c>
      <c r="B3372" s="22" t="s">
        <v>15338</v>
      </c>
      <c r="C3372" s="22" t="s">
        <v>4171</v>
      </c>
      <c r="E3372" s="24">
        <v>2003</v>
      </c>
      <c r="F3372" s="22">
        <v>979286</v>
      </c>
      <c r="G3372" s="23" t="s">
        <v>4175</v>
      </c>
      <c r="H3372" s="25" t="s">
        <v>15373</v>
      </c>
      <c r="I3372" s="22" t="s">
        <v>15411</v>
      </c>
      <c r="J3372" s="22" t="s">
        <v>10176</v>
      </c>
      <c r="K3372" s="26">
        <f>L3372+M3372*(2/3)+N3372*(2/3)</f>
        <v>2000</v>
      </c>
      <c r="L3372" s="26">
        <v>2000</v>
      </c>
      <c r="O3372" s="22" t="s">
        <v>4173</v>
      </c>
      <c r="P3372" s="22" t="s">
        <v>3725</v>
      </c>
      <c r="Q3372" s="22">
        <v>92121</v>
      </c>
      <c r="R3372" s="22" t="s">
        <v>3737</v>
      </c>
      <c r="X3372" s="26"/>
      <c r="Y3372" s="26"/>
    </row>
    <row r="3373" spans="1:25" ht="25" x14ac:dyDescent="0.25">
      <c r="A3373" s="21">
        <v>3614</v>
      </c>
      <c r="B3373" s="22" t="s">
        <v>15338</v>
      </c>
      <c r="C3373" s="22" t="s">
        <v>4176</v>
      </c>
      <c r="E3373" s="24">
        <v>2003</v>
      </c>
      <c r="F3373" s="22">
        <v>979559</v>
      </c>
      <c r="G3373" s="23" t="s">
        <v>4177</v>
      </c>
      <c r="H3373" s="25" t="s">
        <v>15373</v>
      </c>
      <c r="I3373" s="22" t="s">
        <v>15382</v>
      </c>
      <c r="J3373" s="22" t="s">
        <v>16799</v>
      </c>
      <c r="K3373" s="26">
        <f t="shared" si="52"/>
        <v>503.33333333333331</v>
      </c>
      <c r="N3373" s="26">
        <v>755</v>
      </c>
      <c r="O3373" s="22" t="s">
        <v>4178</v>
      </c>
      <c r="P3373" s="22" t="s">
        <v>3725</v>
      </c>
      <c r="Q3373" s="22">
        <v>92101</v>
      </c>
      <c r="R3373" s="22" t="s">
        <v>4179</v>
      </c>
      <c r="X3373" s="26"/>
      <c r="Y3373" s="26"/>
    </row>
    <row r="3374" spans="1:25" ht="37.5" x14ac:dyDescent="0.25">
      <c r="A3374" s="21">
        <v>3615</v>
      </c>
      <c r="B3374" s="22" t="s">
        <v>15338</v>
      </c>
      <c r="C3374" s="22" t="s">
        <v>4805</v>
      </c>
      <c r="E3374" s="24">
        <v>2003</v>
      </c>
      <c r="F3374" s="22">
        <v>979689</v>
      </c>
      <c r="G3374" s="23" t="s">
        <v>4180</v>
      </c>
      <c r="H3374" s="25" t="s">
        <v>15373</v>
      </c>
      <c r="I3374" s="22" t="s">
        <v>15411</v>
      </c>
      <c r="J3374" s="22" t="s">
        <v>12732</v>
      </c>
      <c r="K3374" s="26">
        <f t="shared" si="52"/>
        <v>366.66666666666663</v>
      </c>
      <c r="N3374" s="26">
        <v>550</v>
      </c>
      <c r="O3374" s="22" t="s">
        <v>4181</v>
      </c>
      <c r="P3374" s="22" t="s">
        <v>3777</v>
      </c>
      <c r="Q3374" s="22">
        <v>91914</v>
      </c>
      <c r="R3374" s="22" t="s">
        <v>4182</v>
      </c>
      <c r="X3374" s="26"/>
      <c r="Y3374" s="26"/>
    </row>
    <row r="3375" spans="1:25" ht="50" x14ac:dyDescent="0.25">
      <c r="A3375" s="21">
        <v>3616</v>
      </c>
      <c r="B3375" s="22" t="s">
        <v>15338</v>
      </c>
      <c r="C3375" s="22" t="s">
        <v>4781</v>
      </c>
      <c r="E3375" s="24">
        <v>2003</v>
      </c>
      <c r="F3375" s="22">
        <v>979339</v>
      </c>
      <c r="G3375" s="23" t="s">
        <v>4139</v>
      </c>
      <c r="H3375" s="25" t="s">
        <v>15373</v>
      </c>
      <c r="I3375" s="22" t="s">
        <v>15374</v>
      </c>
      <c r="J3375" s="22" t="s">
        <v>11368</v>
      </c>
      <c r="K3375" s="26">
        <f t="shared" si="52"/>
        <v>1000</v>
      </c>
      <c r="L3375" s="26">
        <v>1000</v>
      </c>
      <c r="O3375" s="22" t="s">
        <v>4183</v>
      </c>
      <c r="P3375" s="22" t="s">
        <v>3725</v>
      </c>
      <c r="Q3375" s="22">
        <v>92121</v>
      </c>
      <c r="R3375" s="22" t="s">
        <v>4184</v>
      </c>
      <c r="X3375" s="26"/>
      <c r="Y3375" s="26"/>
    </row>
    <row r="3376" spans="1:25" ht="50" x14ac:dyDescent="0.25">
      <c r="A3376" s="21">
        <v>3617</v>
      </c>
      <c r="B3376" s="22" t="s">
        <v>15338</v>
      </c>
      <c r="C3376" s="22" t="s">
        <v>4781</v>
      </c>
      <c r="E3376" s="24">
        <v>2003</v>
      </c>
      <c r="F3376" s="22">
        <v>979338</v>
      </c>
      <c r="G3376" s="23" t="s">
        <v>4139</v>
      </c>
      <c r="H3376" s="25" t="s">
        <v>15373</v>
      </c>
      <c r="I3376" s="22" t="s">
        <v>15374</v>
      </c>
      <c r="J3376" s="22" t="s">
        <v>11368</v>
      </c>
      <c r="K3376" s="26">
        <f>L3376+M3376*(2/3)+N3376*(2/3)</f>
        <v>1000</v>
      </c>
      <c r="L3376" s="26">
        <v>1000</v>
      </c>
      <c r="O3376" s="22" t="s">
        <v>4183</v>
      </c>
      <c r="P3376" s="22" t="s">
        <v>3725</v>
      </c>
      <c r="Q3376" s="22">
        <v>92121</v>
      </c>
      <c r="R3376" s="22" t="s">
        <v>4184</v>
      </c>
      <c r="X3376" s="26"/>
      <c r="Y3376" s="26"/>
    </row>
    <row r="3377" spans="1:25" ht="62.5" x14ac:dyDescent="0.25">
      <c r="A3377" s="21">
        <v>3618</v>
      </c>
      <c r="B3377" s="22" t="s">
        <v>15338</v>
      </c>
      <c r="C3377" s="22" t="s">
        <v>4185</v>
      </c>
      <c r="E3377" s="24">
        <v>2003</v>
      </c>
      <c r="F3377" s="22">
        <v>979684</v>
      </c>
      <c r="G3377" s="23" t="s">
        <v>4186</v>
      </c>
      <c r="H3377" s="25" t="s">
        <v>15373</v>
      </c>
      <c r="I3377" s="22" t="s">
        <v>15382</v>
      </c>
      <c r="J3377" s="22" t="s">
        <v>4187</v>
      </c>
      <c r="K3377" s="26">
        <f t="shared" si="52"/>
        <v>480</v>
      </c>
      <c r="L3377" s="26">
        <v>480</v>
      </c>
      <c r="O3377" s="22" t="s">
        <v>4188</v>
      </c>
      <c r="P3377" s="22" t="s">
        <v>3725</v>
      </c>
      <c r="Q3377" s="22">
        <v>92106</v>
      </c>
      <c r="R3377" s="22" t="s">
        <v>4189</v>
      </c>
      <c r="X3377" s="26"/>
      <c r="Y3377" s="26"/>
    </row>
    <row r="3378" spans="1:25" ht="37.5" x14ac:dyDescent="0.25">
      <c r="A3378" s="21">
        <v>3619</v>
      </c>
      <c r="B3378" s="22" t="s">
        <v>15338</v>
      </c>
      <c r="C3378" s="22" t="s">
        <v>4190</v>
      </c>
      <c r="E3378" s="24">
        <v>2003</v>
      </c>
      <c r="F3378" s="22">
        <v>979691</v>
      </c>
      <c r="G3378" s="23" t="s">
        <v>4191</v>
      </c>
      <c r="H3378" s="25" t="s">
        <v>15373</v>
      </c>
      <c r="I3378" s="22" t="s">
        <v>15411</v>
      </c>
      <c r="J3378" s="22" t="s">
        <v>8271</v>
      </c>
      <c r="K3378" s="26">
        <f t="shared" si="52"/>
        <v>750</v>
      </c>
      <c r="L3378" s="26">
        <v>750</v>
      </c>
      <c r="O3378" s="22" t="s">
        <v>4192</v>
      </c>
      <c r="P3378" s="22" t="s">
        <v>3725</v>
      </c>
      <c r="Q3378" s="22">
        <v>92121</v>
      </c>
      <c r="R3378" s="22" t="s">
        <v>4193</v>
      </c>
      <c r="X3378" s="26"/>
      <c r="Y3378" s="26"/>
    </row>
    <row r="3379" spans="1:25" ht="50" x14ac:dyDescent="0.25">
      <c r="A3379" s="21">
        <v>4000</v>
      </c>
      <c r="B3379" s="22" t="s">
        <v>15328</v>
      </c>
      <c r="C3379" s="22" t="s">
        <v>4194</v>
      </c>
      <c r="E3379" s="24">
        <v>1993</v>
      </c>
      <c r="F3379" s="22">
        <v>7717</v>
      </c>
      <c r="G3379" s="23" t="s">
        <v>4195</v>
      </c>
      <c r="H3379" s="25" t="s">
        <v>15373</v>
      </c>
      <c r="I3379" s="22" t="s">
        <v>15374</v>
      </c>
      <c r="J3379" s="22">
        <v>3508</v>
      </c>
      <c r="K3379" s="26">
        <f t="shared" si="52"/>
        <v>820</v>
      </c>
      <c r="L3379" s="26">
        <v>820</v>
      </c>
      <c r="O3379" s="22" t="s">
        <v>3305</v>
      </c>
      <c r="P3379" s="22" t="s">
        <v>3306</v>
      </c>
      <c r="Q3379" s="22" t="s">
        <v>3307</v>
      </c>
      <c r="T3379" s="22">
        <v>8.17</v>
      </c>
      <c r="U3379" s="22">
        <v>0.38</v>
      </c>
      <c r="X3379" s="26"/>
      <c r="Y3379" s="26"/>
    </row>
    <row r="3380" spans="1:25" ht="50" x14ac:dyDescent="0.25">
      <c r="A3380" s="21">
        <v>4001</v>
      </c>
      <c r="B3380" s="22" t="s">
        <v>15328</v>
      </c>
      <c r="C3380" s="22" t="s">
        <v>4194</v>
      </c>
      <c r="E3380" s="24">
        <v>1993</v>
      </c>
      <c r="F3380" s="22">
        <v>7712</v>
      </c>
      <c r="G3380" s="23" t="s">
        <v>3308</v>
      </c>
      <c r="H3380" s="25" t="s">
        <v>15373</v>
      </c>
      <c r="I3380" s="22" t="s">
        <v>15374</v>
      </c>
      <c r="J3380" s="22">
        <v>3508</v>
      </c>
      <c r="K3380" s="26">
        <f t="shared" si="52"/>
        <v>820</v>
      </c>
      <c r="L3380" s="26">
        <v>820</v>
      </c>
      <c r="O3380" s="22" t="s">
        <v>3305</v>
      </c>
      <c r="P3380" s="22" t="s">
        <v>3306</v>
      </c>
      <c r="Q3380" s="22" t="s">
        <v>3307</v>
      </c>
      <c r="T3380" s="22">
        <v>8.17</v>
      </c>
      <c r="U3380" s="22">
        <v>0.38</v>
      </c>
      <c r="X3380" s="26"/>
      <c r="Y3380" s="26"/>
    </row>
    <row r="3381" spans="1:25" ht="50" x14ac:dyDescent="0.25">
      <c r="A3381" s="21">
        <v>4002</v>
      </c>
      <c r="B3381" s="22" t="s">
        <v>15328</v>
      </c>
      <c r="C3381" s="22" t="s">
        <v>3309</v>
      </c>
      <c r="E3381" s="24">
        <v>1995</v>
      </c>
      <c r="F3381" s="22" t="s">
        <v>3310</v>
      </c>
      <c r="G3381" s="23" t="s">
        <v>3311</v>
      </c>
      <c r="H3381" s="25" t="s">
        <v>15373</v>
      </c>
      <c r="I3381" s="22" t="s">
        <v>15411</v>
      </c>
      <c r="J3381" s="22" t="s">
        <v>13484</v>
      </c>
      <c r="K3381" s="26">
        <f t="shared" si="52"/>
        <v>1900</v>
      </c>
      <c r="L3381" s="26">
        <v>1900</v>
      </c>
      <c r="O3381" s="22" t="s">
        <v>3312</v>
      </c>
      <c r="P3381" s="22" t="s">
        <v>3313</v>
      </c>
      <c r="Q3381" s="22" t="s">
        <v>3314</v>
      </c>
      <c r="T3381" s="22">
        <v>8.17</v>
      </c>
      <c r="U3381" s="22">
        <v>0.38</v>
      </c>
      <c r="X3381" s="26"/>
      <c r="Y3381" s="26"/>
    </row>
    <row r="3382" spans="1:25" ht="50" x14ac:dyDescent="0.25">
      <c r="A3382" s="21">
        <v>4003</v>
      </c>
      <c r="B3382" s="22" t="s">
        <v>15328</v>
      </c>
      <c r="C3382" s="22" t="s">
        <v>3315</v>
      </c>
      <c r="E3382" s="24">
        <v>1985</v>
      </c>
      <c r="F3382" s="22">
        <v>7750</v>
      </c>
      <c r="G3382" s="23" t="s">
        <v>3316</v>
      </c>
      <c r="H3382" s="25" t="s">
        <v>15373</v>
      </c>
      <c r="I3382" s="22" t="s">
        <v>15411</v>
      </c>
      <c r="J3382" s="22" t="s">
        <v>10125</v>
      </c>
      <c r="K3382" s="26">
        <f t="shared" si="52"/>
        <v>450</v>
      </c>
      <c r="L3382" s="26">
        <v>450</v>
      </c>
      <c r="O3382" s="22" t="s">
        <v>3317</v>
      </c>
      <c r="P3382" s="22" t="s">
        <v>3318</v>
      </c>
      <c r="Q3382" s="22" t="s">
        <v>3319</v>
      </c>
      <c r="T3382" s="22">
        <v>11</v>
      </c>
      <c r="U3382" s="22">
        <v>0.53</v>
      </c>
      <c r="X3382" s="26"/>
      <c r="Y3382" s="26"/>
    </row>
    <row r="3383" spans="1:25" ht="62.5" x14ac:dyDescent="0.25">
      <c r="A3383" s="21">
        <v>4004</v>
      </c>
      <c r="B3383" s="22" t="s">
        <v>15328</v>
      </c>
      <c r="C3383" s="22" t="s">
        <v>3320</v>
      </c>
      <c r="F3383" s="22">
        <v>7092</v>
      </c>
      <c r="G3383" s="23" t="s">
        <v>3321</v>
      </c>
      <c r="H3383" s="25" t="s">
        <v>15373</v>
      </c>
      <c r="I3383" s="22" t="s">
        <v>16160</v>
      </c>
      <c r="J3383" s="22" t="s">
        <v>13579</v>
      </c>
      <c r="K3383" s="26">
        <f t="shared" si="52"/>
        <v>1000</v>
      </c>
      <c r="L3383" s="26">
        <v>1000</v>
      </c>
      <c r="O3383" s="22" t="s">
        <v>3322</v>
      </c>
      <c r="P3383" s="22" t="s">
        <v>3323</v>
      </c>
      <c r="Q3383" s="22" t="s">
        <v>3324</v>
      </c>
      <c r="T3383" s="22">
        <v>12</v>
      </c>
      <c r="U3383" s="22">
        <v>0.53</v>
      </c>
      <c r="X3383" s="26"/>
      <c r="Y3383" s="26"/>
    </row>
    <row r="3384" spans="1:25" ht="37.5" x14ac:dyDescent="0.25">
      <c r="A3384" s="21">
        <v>4005</v>
      </c>
      <c r="B3384" s="22" t="s">
        <v>15328</v>
      </c>
      <c r="C3384" s="22" t="s">
        <v>3320</v>
      </c>
      <c r="E3384" s="24">
        <v>1991</v>
      </c>
      <c r="F3384" s="22">
        <v>8320</v>
      </c>
      <c r="G3384" s="23" t="s">
        <v>3325</v>
      </c>
      <c r="H3384" s="25" t="s">
        <v>15373</v>
      </c>
      <c r="I3384" s="22" t="s">
        <v>16160</v>
      </c>
      <c r="J3384" s="22" t="s">
        <v>3326</v>
      </c>
      <c r="K3384" s="26">
        <f t="shared" si="52"/>
        <v>400</v>
      </c>
      <c r="L3384" s="26">
        <v>400</v>
      </c>
      <c r="O3384" s="22" t="s">
        <v>3327</v>
      </c>
      <c r="P3384" s="22" t="s">
        <v>3328</v>
      </c>
      <c r="Q3384" s="22" t="s">
        <v>3324</v>
      </c>
      <c r="T3384" s="22">
        <v>8.17</v>
      </c>
      <c r="U3384" s="22">
        <v>0.38</v>
      </c>
      <c r="X3384" s="26"/>
      <c r="Y3384" s="26"/>
    </row>
    <row r="3385" spans="1:25" ht="50" x14ac:dyDescent="0.25">
      <c r="A3385" s="21">
        <v>4006</v>
      </c>
      <c r="B3385" s="22" t="s">
        <v>15328</v>
      </c>
      <c r="C3385" s="22" t="s">
        <v>3329</v>
      </c>
      <c r="E3385" s="24">
        <v>1989</v>
      </c>
      <c r="F3385" s="22" t="s">
        <v>3330</v>
      </c>
      <c r="G3385" s="23" t="s">
        <v>3331</v>
      </c>
      <c r="H3385" s="25" t="s">
        <v>15373</v>
      </c>
      <c r="I3385" s="22" t="s">
        <v>15374</v>
      </c>
      <c r="J3385" s="22">
        <v>3412</v>
      </c>
      <c r="K3385" s="26">
        <f t="shared" si="52"/>
        <v>600</v>
      </c>
      <c r="L3385" s="26">
        <v>600</v>
      </c>
      <c r="O3385" s="22" t="s">
        <v>3332</v>
      </c>
      <c r="P3385" s="22" t="s">
        <v>3333</v>
      </c>
      <c r="Q3385" s="22" t="s">
        <v>3334</v>
      </c>
      <c r="T3385" s="22">
        <v>8.17</v>
      </c>
      <c r="U3385" s="22">
        <v>0.38</v>
      </c>
      <c r="X3385" s="26"/>
      <c r="Y3385" s="26"/>
    </row>
    <row r="3386" spans="1:25" ht="50" x14ac:dyDescent="0.25">
      <c r="A3386" s="21">
        <v>4007</v>
      </c>
      <c r="B3386" s="22" t="s">
        <v>15328</v>
      </c>
      <c r="C3386" s="22" t="s">
        <v>3329</v>
      </c>
      <c r="E3386" s="24">
        <v>1989</v>
      </c>
      <c r="F3386" s="22" t="s">
        <v>3335</v>
      </c>
      <c r="G3386" s="23" t="s">
        <v>3336</v>
      </c>
      <c r="H3386" s="25" t="s">
        <v>15373</v>
      </c>
      <c r="I3386" s="22" t="s">
        <v>15374</v>
      </c>
      <c r="J3386" s="22" t="s">
        <v>16360</v>
      </c>
      <c r="K3386" s="26">
        <f t="shared" si="52"/>
        <v>600</v>
      </c>
      <c r="L3386" s="26">
        <v>600</v>
      </c>
      <c r="O3386" s="22" t="s">
        <v>3332</v>
      </c>
      <c r="P3386" s="22" t="s">
        <v>3333</v>
      </c>
      <c r="Q3386" s="22" t="s">
        <v>3334</v>
      </c>
      <c r="T3386" s="22">
        <v>8.17</v>
      </c>
      <c r="U3386" s="22">
        <v>0.38</v>
      </c>
      <c r="X3386" s="26"/>
      <c r="Y3386" s="26"/>
    </row>
    <row r="3387" spans="1:25" ht="37.5" x14ac:dyDescent="0.25">
      <c r="A3387" s="21">
        <v>4008</v>
      </c>
      <c r="B3387" s="22" t="s">
        <v>15328</v>
      </c>
      <c r="C3387" s="22" t="s">
        <v>3337</v>
      </c>
      <c r="E3387" s="24">
        <v>1998</v>
      </c>
      <c r="F3387" s="22">
        <v>8255</v>
      </c>
      <c r="G3387" s="23" t="s">
        <v>3338</v>
      </c>
      <c r="H3387" s="25" t="s">
        <v>15373</v>
      </c>
      <c r="I3387" s="22" t="s">
        <v>15374</v>
      </c>
      <c r="J3387" s="22">
        <v>3508</v>
      </c>
      <c r="K3387" s="26">
        <f t="shared" si="52"/>
        <v>930</v>
      </c>
      <c r="L3387" s="26">
        <v>930</v>
      </c>
      <c r="O3387" s="22" t="s">
        <v>3339</v>
      </c>
      <c r="P3387" s="22" t="s">
        <v>3340</v>
      </c>
      <c r="Q3387" s="22" t="s">
        <v>3341</v>
      </c>
      <c r="T3387" s="22">
        <v>8.17</v>
      </c>
      <c r="U3387" s="22">
        <v>0.38</v>
      </c>
      <c r="X3387" s="26"/>
      <c r="Y3387" s="26"/>
    </row>
    <row r="3388" spans="1:25" ht="37.5" x14ac:dyDescent="0.25">
      <c r="A3388" s="21">
        <v>4009</v>
      </c>
      <c r="B3388" s="22" t="s">
        <v>15328</v>
      </c>
      <c r="C3388" s="22" t="s">
        <v>3337</v>
      </c>
      <c r="E3388" s="24">
        <v>1998</v>
      </c>
      <c r="F3388" s="22">
        <v>8256</v>
      </c>
      <c r="G3388" s="23" t="s">
        <v>3342</v>
      </c>
      <c r="H3388" s="25" t="s">
        <v>15373</v>
      </c>
      <c r="I3388" s="22" t="s">
        <v>15374</v>
      </c>
      <c r="J3388" s="22">
        <v>3508</v>
      </c>
      <c r="K3388" s="26">
        <f t="shared" si="52"/>
        <v>930</v>
      </c>
      <c r="L3388" s="26">
        <v>930</v>
      </c>
      <c r="O3388" s="22" t="s">
        <v>3339</v>
      </c>
      <c r="P3388" s="22" t="s">
        <v>3340</v>
      </c>
      <c r="Q3388" s="22" t="s">
        <v>3341</v>
      </c>
      <c r="T3388" s="22">
        <v>8.17</v>
      </c>
      <c r="U3388" s="22">
        <v>0.38</v>
      </c>
      <c r="X3388" s="26"/>
      <c r="Y3388" s="26"/>
    </row>
    <row r="3389" spans="1:25" ht="50" x14ac:dyDescent="0.25">
      <c r="A3389" s="21">
        <v>4010</v>
      </c>
      <c r="B3389" s="22" t="s">
        <v>15328</v>
      </c>
      <c r="C3389" s="22" t="s">
        <v>3337</v>
      </c>
      <c r="E3389" s="24">
        <v>1996</v>
      </c>
      <c r="F3389" s="22">
        <v>8300</v>
      </c>
      <c r="G3389" s="23" t="s">
        <v>3343</v>
      </c>
      <c r="H3389" s="25" t="s">
        <v>15373</v>
      </c>
      <c r="I3389" s="22" t="s">
        <v>15374</v>
      </c>
      <c r="J3389" s="22">
        <v>3412</v>
      </c>
      <c r="K3389" s="26">
        <f t="shared" si="52"/>
        <v>500</v>
      </c>
      <c r="L3389" s="26">
        <v>500</v>
      </c>
      <c r="O3389" s="22" t="s">
        <v>3344</v>
      </c>
      <c r="P3389" s="22" t="s">
        <v>3340</v>
      </c>
      <c r="Q3389" s="22" t="s">
        <v>3307</v>
      </c>
      <c r="T3389" s="22">
        <v>6.9</v>
      </c>
      <c r="U3389" s="22">
        <v>0.4</v>
      </c>
      <c r="X3389" s="26"/>
      <c r="Y3389" s="26"/>
    </row>
    <row r="3390" spans="1:25" ht="37.5" x14ac:dyDescent="0.25">
      <c r="A3390" s="21">
        <v>4011</v>
      </c>
      <c r="B3390" s="22" t="s">
        <v>15328</v>
      </c>
      <c r="C3390" s="22" t="s">
        <v>3337</v>
      </c>
      <c r="E3390" s="24">
        <v>1999</v>
      </c>
      <c r="F3390" s="22">
        <v>10583</v>
      </c>
      <c r="G3390" s="23" t="s">
        <v>3345</v>
      </c>
      <c r="H3390" s="25" t="s">
        <v>15373</v>
      </c>
      <c r="I3390" s="22" t="s">
        <v>15374</v>
      </c>
      <c r="J3390" s="22" t="s">
        <v>15420</v>
      </c>
      <c r="K3390" s="26">
        <f t="shared" si="52"/>
        <v>1250</v>
      </c>
      <c r="L3390" s="26">
        <v>1250</v>
      </c>
      <c r="O3390" s="22" t="s">
        <v>3339</v>
      </c>
      <c r="P3390" s="22" t="s">
        <v>3340</v>
      </c>
      <c r="Q3390" s="22" t="s">
        <v>3341</v>
      </c>
      <c r="T3390" s="22">
        <v>8.17</v>
      </c>
      <c r="U3390" s="22">
        <v>0.38</v>
      </c>
      <c r="X3390" s="26"/>
      <c r="Y3390" s="26"/>
    </row>
    <row r="3391" spans="1:25" ht="62.5" x14ac:dyDescent="0.25">
      <c r="A3391" s="21">
        <v>4012</v>
      </c>
      <c r="B3391" s="22" t="s">
        <v>15328</v>
      </c>
      <c r="C3391" s="22" t="s">
        <v>3346</v>
      </c>
      <c r="E3391" s="24">
        <v>1992</v>
      </c>
      <c r="F3391" s="22">
        <v>7782</v>
      </c>
      <c r="G3391" s="23" t="s">
        <v>3347</v>
      </c>
      <c r="H3391" s="25" t="s">
        <v>15373</v>
      </c>
      <c r="I3391" s="22" t="s">
        <v>15411</v>
      </c>
      <c r="J3391" s="22" t="s">
        <v>12830</v>
      </c>
      <c r="K3391" s="26">
        <f t="shared" si="52"/>
        <v>655</v>
      </c>
      <c r="L3391" s="26">
        <v>655</v>
      </c>
      <c r="O3391" s="22" t="s">
        <v>3348</v>
      </c>
      <c r="P3391" s="22" t="s">
        <v>3349</v>
      </c>
      <c r="Q3391" s="22" t="s">
        <v>3350</v>
      </c>
      <c r="T3391" s="22">
        <v>8.17</v>
      </c>
      <c r="U3391" s="22">
        <v>0.38</v>
      </c>
      <c r="X3391" s="26"/>
      <c r="Y3391" s="26"/>
    </row>
    <row r="3392" spans="1:25" ht="37.5" x14ac:dyDescent="0.25">
      <c r="A3392" s="21">
        <v>4013</v>
      </c>
      <c r="B3392" s="22" t="s">
        <v>15328</v>
      </c>
      <c r="C3392" s="22" t="s">
        <v>3351</v>
      </c>
      <c r="E3392" s="24">
        <v>1986</v>
      </c>
      <c r="F3392" s="22">
        <v>7783</v>
      </c>
      <c r="G3392" s="23" t="s">
        <v>3352</v>
      </c>
      <c r="H3392" s="25" t="s">
        <v>15373</v>
      </c>
      <c r="I3392" s="22" t="s">
        <v>15374</v>
      </c>
      <c r="J3392" s="22">
        <v>3406</v>
      </c>
      <c r="K3392" s="26">
        <f t="shared" si="52"/>
        <v>300</v>
      </c>
      <c r="L3392" s="26">
        <v>300</v>
      </c>
      <c r="O3392" s="22" t="s">
        <v>3348</v>
      </c>
      <c r="P3392" s="22" t="s">
        <v>3349</v>
      </c>
      <c r="Q3392" s="22" t="s">
        <v>3350</v>
      </c>
      <c r="T3392" s="22">
        <v>11</v>
      </c>
      <c r="U3392" s="22">
        <v>0.53</v>
      </c>
      <c r="X3392" s="26"/>
      <c r="Y3392" s="26"/>
    </row>
    <row r="3393" spans="1:25" ht="50" x14ac:dyDescent="0.25">
      <c r="A3393" s="21">
        <v>4014</v>
      </c>
      <c r="B3393" s="22" t="s">
        <v>15328</v>
      </c>
      <c r="C3393" s="22" t="s">
        <v>3353</v>
      </c>
      <c r="E3393" s="24">
        <v>1986</v>
      </c>
      <c r="F3393" s="22">
        <v>7784</v>
      </c>
      <c r="G3393" s="23" t="s">
        <v>3354</v>
      </c>
      <c r="H3393" s="25" t="s">
        <v>15373</v>
      </c>
      <c r="I3393" s="22" t="s">
        <v>15374</v>
      </c>
      <c r="J3393" s="22">
        <v>9406</v>
      </c>
      <c r="K3393" s="26">
        <f t="shared" si="52"/>
        <v>300</v>
      </c>
      <c r="L3393" s="26">
        <v>300</v>
      </c>
      <c r="O3393" s="22" t="s">
        <v>3355</v>
      </c>
      <c r="P3393" s="22" t="s">
        <v>3349</v>
      </c>
      <c r="Q3393" s="22" t="s">
        <v>3350</v>
      </c>
      <c r="T3393" s="22">
        <v>11</v>
      </c>
      <c r="U3393" s="22">
        <v>0.53</v>
      </c>
      <c r="X3393" s="26"/>
      <c r="Y3393" s="26"/>
    </row>
    <row r="3394" spans="1:25" ht="37.5" x14ac:dyDescent="0.25">
      <c r="A3394" s="21">
        <v>4015</v>
      </c>
      <c r="B3394" s="22" t="s">
        <v>15328</v>
      </c>
      <c r="C3394" s="22" t="s">
        <v>3356</v>
      </c>
      <c r="E3394" s="24">
        <v>1995</v>
      </c>
      <c r="F3394" s="22">
        <v>8830</v>
      </c>
      <c r="G3394" s="23" t="s">
        <v>3357</v>
      </c>
      <c r="H3394" s="25" t="s">
        <v>15373</v>
      </c>
      <c r="I3394" s="22" t="s">
        <v>15374</v>
      </c>
      <c r="J3394" s="22" t="s">
        <v>15420</v>
      </c>
      <c r="K3394" s="26">
        <f t="shared" si="52"/>
        <v>1250</v>
      </c>
      <c r="L3394" s="26">
        <v>1250</v>
      </c>
      <c r="O3394" s="22" t="s">
        <v>3358</v>
      </c>
      <c r="P3394" s="22" t="s">
        <v>3333</v>
      </c>
      <c r="Q3394" s="22" t="s">
        <v>3334</v>
      </c>
      <c r="T3394" s="22">
        <v>8.17</v>
      </c>
      <c r="U3394" s="22">
        <v>0.38</v>
      </c>
      <c r="X3394" s="26"/>
      <c r="Y3394" s="26"/>
    </row>
    <row r="3395" spans="1:25" ht="50" x14ac:dyDescent="0.25">
      <c r="A3395" s="21">
        <v>4016</v>
      </c>
      <c r="B3395" s="22" t="s">
        <v>15328</v>
      </c>
      <c r="C3395" s="22" t="s">
        <v>3359</v>
      </c>
      <c r="E3395" s="24">
        <v>1992</v>
      </c>
      <c r="F3395" s="22" t="s">
        <v>3360</v>
      </c>
      <c r="G3395" s="23" t="s">
        <v>3361</v>
      </c>
      <c r="H3395" s="25" t="s">
        <v>15373</v>
      </c>
      <c r="I3395" s="22" t="s">
        <v>15374</v>
      </c>
      <c r="J3395" s="22">
        <v>3512</v>
      </c>
      <c r="K3395" s="26">
        <f t="shared" si="52"/>
        <v>1250</v>
      </c>
      <c r="L3395" s="26">
        <v>1250</v>
      </c>
      <c r="O3395" s="22" t="s">
        <v>3362</v>
      </c>
      <c r="P3395" s="22" t="s">
        <v>3363</v>
      </c>
      <c r="Q3395" s="22" t="s">
        <v>3364</v>
      </c>
      <c r="T3395" s="22">
        <v>8.17</v>
      </c>
      <c r="U3395" s="22">
        <v>0.38</v>
      </c>
      <c r="X3395" s="26"/>
      <c r="Y3395" s="26"/>
    </row>
    <row r="3396" spans="1:25" ht="50" x14ac:dyDescent="0.25">
      <c r="A3396" s="21">
        <v>4017</v>
      </c>
      <c r="B3396" s="22" t="s">
        <v>15328</v>
      </c>
      <c r="C3396" s="22" t="s">
        <v>3365</v>
      </c>
      <c r="E3396" s="24">
        <v>1991</v>
      </c>
      <c r="F3396" s="22">
        <v>7554</v>
      </c>
      <c r="G3396" s="23" t="s">
        <v>3366</v>
      </c>
      <c r="H3396" s="25" t="s">
        <v>15373</v>
      </c>
      <c r="I3396" s="22" t="s">
        <v>15374</v>
      </c>
      <c r="J3396" s="22" t="s">
        <v>4498</v>
      </c>
      <c r="K3396" s="26">
        <f t="shared" si="52"/>
        <v>2000</v>
      </c>
      <c r="L3396" s="26">
        <v>2000</v>
      </c>
      <c r="O3396" s="22" t="s">
        <v>3367</v>
      </c>
      <c r="P3396" s="22" t="s">
        <v>3349</v>
      </c>
      <c r="Q3396" s="22" t="s">
        <v>3368</v>
      </c>
      <c r="T3396" s="22">
        <v>8.17</v>
      </c>
      <c r="U3396" s="22">
        <v>0.38</v>
      </c>
      <c r="X3396" s="26"/>
      <c r="Y3396" s="26"/>
    </row>
    <row r="3397" spans="1:25" ht="50" x14ac:dyDescent="0.25">
      <c r="A3397" s="21">
        <v>4018</v>
      </c>
      <c r="B3397" s="22" t="s">
        <v>15328</v>
      </c>
      <c r="C3397" s="22" t="s">
        <v>4281</v>
      </c>
      <c r="E3397" s="24">
        <v>1994</v>
      </c>
      <c r="F3397" s="22" t="s">
        <v>4282</v>
      </c>
      <c r="G3397" s="23" t="s">
        <v>4283</v>
      </c>
      <c r="H3397" s="25" t="s">
        <v>15373</v>
      </c>
      <c r="I3397" s="22" t="s">
        <v>15382</v>
      </c>
      <c r="J3397" s="22" t="s">
        <v>14562</v>
      </c>
      <c r="K3397" s="26">
        <f t="shared" si="52"/>
        <v>600</v>
      </c>
      <c r="L3397" s="26">
        <v>600</v>
      </c>
      <c r="O3397" s="22" t="s">
        <v>4284</v>
      </c>
      <c r="P3397" s="22" t="s">
        <v>3349</v>
      </c>
      <c r="Q3397" s="22" t="s">
        <v>4285</v>
      </c>
      <c r="T3397" s="22">
        <v>8.17</v>
      </c>
      <c r="U3397" s="22">
        <v>0.38</v>
      </c>
      <c r="X3397" s="26"/>
      <c r="Y3397" s="26"/>
    </row>
    <row r="3398" spans="1:25" ht="62.5" x14ac:dyDescent="0.25">
      <c r="A3398" s="21">
        <v>4019</v>
      </c>
      <c r="B3398" s="22" t="s">
        <v>15328</v>
      </c>
      <c r="C3398" s="22" t="s">
        <v>4286</v>
      </c>
      <c r="E3398" s="24">
        <v>1994</v>
      </c>
      <c r="F3398" s="22" t="s">
        <v>4287</v>
      </c>
      <c r="G3398" s="23" t="s">
        <v>4288</v>
      </c>
      <c r="H3398" s="25" t="s">
        <v>15373</v>
      </c>
      <c r="I3398" s="22" t="s">
        <v>15374</v>
      </c>
      <c r="J3398" s="22" t="s">
        <v>15677</v>
      </c>
      <c r="K3398" s="26">
        <f t="shared" si="52"/>
        <v>1500</v>
      </c>
      <c r="L3398" s="26">
        <v>1500</v>
      </c>
      <c r="O3398" s="22" t="s">
        <v>4289</v>
      </c>
      <c r="P3398" s="22" t="s">
        <v>3340</v>
      </c>
      <c r="Q3398" s="22" t="s">
        <v>4290</v>
      </c>
      <c r="T3398" s="22">
        <v>8.17</v>
      </c>
      <c r="U3398" s="22">
        <v>0.38</v>
      </c>
      <c r="X3398" s="26"/>
      <c r="Y3398" s="26"/>
    </row>
    <row r="3399" spans="1:25" ht="37.5" x14ac:dyDescent="0.25">
      <c r="A3399" s="21">
        <v>4020</v>
      </c>
      <c r="B3399" s="22" t="s">
        <v>15328</v>
      </c>
      <c r="C3399" s="22" t="s">
        <v>4291</v>
      </c>
      <c r="E3399" s="24">
        <v>1995</v>
      </c>
      <c r="F3399" s="22" t="s">
        <v>4292</v>
      </c>
      <c r="G3399" s="23" t="s">
        <v>4293</v>
      </c>
      <c r="H3399" s="25" t="s">
        <v>15373</v>
      </c>
      <c r="I3399" s="22" t="s">
        <v>15374</v>
      </c>
      <c r="J3399" s="22">
        <v>3512</v>
      </c>
      <c r="K3399" s="26">
        <f t="shared" si="52"/>
        <v>1100</v>
      </c>
      <c r="L3399" s="26">
        <v>1100</v>
      </c>
      <c r="O3399" s="22" t="s">
        <v>4294</v>
      </c>
      <c r="P3399" s="22" t="s">
        <v>4295</v>
      </c>
      <c r="Q3399" s="22" t="s">
        <v>4296</v>
      </c>
      <c r="T3399" s="22">
        <v>8.17</v>
      </c>
      <c r="U3399" s="22">
        <v>0.38</v>
      </c>
      <c r="X3399" s="26"/>
      <c r="Y3399" s="26"/>
    </row>
    <row r="3400" spans="1:25" ht="50" x14ac:dyDescent="0.25">
      <c r="A3400" s="21">
        <v>4021</v>
      </c>
      <c r="B3400" s="22" t="s">
        <v>15328</v>
      </c>
      <c r="C3400" s="22" t="s">
        <v>4297</v>
      </c>
      <c r="E3400" s="24">
        <v>1997</v>
      </c>
      <c r="F3400" s="22">
        <v>7945</v>
      </c>
      <c r="G3400" s="23" t="s">
        <v>4298</v>
      </c>
      <c r="H3400" s="25" t="s">
        <v>15373</v>
      </c>
      <c r="I3400" s="22" t="s">
        <v>15374</v>
      </c>
      <c r="J3400" s="22">
        <v>3406</v>
      </c>
      <c r="K3400" s="26">
        <f t="shared" si="52"/>
        <v>300</v>
      </c>
      <c r="L3400" s="26">
        <v>300</v>
      </c>
      <c r="O3400" s="22" t="s">
        <v>4299</v>
      </c>
      <c r="P3400" s="22" t="s">
        <v>4295</v>
      </c>
      <c r="Q3400" s="22" t="s">
        <v>3314</v>
      </c>
      <c r="T3400" s="22">
        <v>6.9</v>
      </c>
      <c r="U3400" s="22">
        <v>0.4</v>
      </c>
      <c r="X3400" s="26"/>
      <c r="Y3400" s="26"/>
    </row>
    <row r="3401" spans="1:25" ht="37.5" x14ac:dyDescent="0.25">
      <c r="A3401" s="21">
        <v>4022</v>
      </c>
      <c r="B3401" s="22" t="s">
        <v>15328</v>
      </c>
      <c r="C3401" s="22" t="s">
        <v>4300</v>
      </c>
      <c r="E3401" s="24">
        <v>1999</v>
      </c>
      <c r="F3401" s="22">
        <v>9823</v>
      </c>
      <c r="G3401" s="23" t="s">
        <v>4301</v>
      </c>
      <c r="H3401" s="25" t="s">
        <v>15373</v>
      </c>
      <c r="I3401" s="22" t="s">
        <v>15374</v>
      </c>
      <c r="J3401" s="22">
        <v>3512</v>
      </c>
      <c r="K3401" s="26">
        <f t="shared" si="52"/>
        <v>1500</v>
      </c>
      <c r="L3401" s="26">
        <v>1500</v>
      </c>
      <c r="O3401" s="22" t="s">
        <v>4302</v>
      </c>
      <c r="P3401" s="22" t="s">
        <v>3333</v>
      </c>
      <c r="Q3401" s="22" t="s">
        <v>3334</v>
      </c>
      <c r="T3401" s="22">
        <v>8.17</v>
      </c>
      <c r="U3401" s="22">
        <v>0.38</v>
      </c>
      <c r="X3401" s="26"/>
      <c r="Y3401" s="26"/>
    </row>
    <row r="3402" spans="1:25" ht="50" x14ac:dyDescent="0.25">
      <c r="A3402" s="21">
        <v>4023</v>
      </c>
      <c r="B3402" s="22" t="s">
        <v>15328</v>
      </c>
      <c r="C3402" s="22" t="s">
        <v>3315</v>
      </c>
      <c r="E3402" s="24">
        <v>1994</v>
      </c>
      <c r="F3402" s="22">
        <v>7749</v>
      </c>
      <c r="G3402" s="23" t="s">
        <v>4303</v>
      </c>
      <c r="H3402" s="25" t="s">
        <v>15373</v>
      </c>
      <c r="I3402" s="22" t="s">
        <v>15411</v>
      </c>
      <c r="J3402" s="22" t="s">
        <v>15744</v>
      </c>
      <c r="K3402" s="26">
        <f t="shared" si="52"/>
        <v>750</v>
      </c>
      <c r="L3402" s="26">
        <v>750</v>
      </c>
      <c r="O3402" s="22" t="s">
        <v>4304</v>
      </c>
      <c r="P3402" s="22" t="s">
        <v>4305</v>
      </c>
      <c r="Q3402" s="22" t="s">
        <v>3319</v>
      </c>
      <c r="T3402" s="22">
        <v>8.17</v>
      </c>
      <c r="U3402" s="22">
        <v>0.38</v>
      </c>
      <c r="X3402" s="26"/>
      <c r="Y3402" s="26"/>
    </row>
    <row r="3403" spans="1:25" ht="50" x14ac:dyDescent="0.25">
      <c r="A3403" s="21">
        <v>4024</v>
      </c>
      <c r="B3403" s="22" t="s">
        <v>15328</v>
      </c>
      <c r="C3403" s="22" t="s">
        <v>4306</v>
      </c>
      <c r="E3403" s="24">
        <v>1994</v>
      </c>
      <c r="F3403" s="22" t="s">
        <v>4307</v>
      </c>
      <c r="G3403" s="23" t="s">
        <v>4308</v>
      </c>
      <c r="H3403" s="25" t="s">
        <v>15373</v>
      </c>
      <c r="I3403" s="22" t="s">
        <v>15374</v>
      </c>
      <c r="J3403" s="22" t="s">
        <v>17288</v>
      </c>
      <c r="K3403" s="26">
        <f t="shared" si="52"/>
        <v>300</v>
      </c>
      <c r="L3403" s="26">
        <v>300</v>
      </c>
      <c r="O3403" s="22" t="s">
        <v>4309</v>
      </c>
      <c r="P3403" s="22" t="s">
        <v>4310</v>
      </c>
      <c r="Q3403" s="22" t="s">
        <v>4311</v>
      </c>
      <c r="T3403" s="22">
        <v>8.17</v>
      </c>
      <c r="U3403" s="22">
        <v>0.38</v>
      </c>
      <c r="X3403" s="26"/>
      <c r="Y3403" s="26"/>
    </row>
    <row r="3404" spans="1:25" ht="50" x14ac:dyDescent="0.25">
      <c r="A3404" s="21">
        <v>4025</v>
      </c>
      <c r="B3404" s="22" t="s">
        <v>15328</v>
      </c>
      <c r="C3404" s="22" t="s">
        <v>4306</v>
      </c>
      <c r="E3404" s="24">
        <v>1995</v>
      </c>
      <c r="F3404" s="22" t="s">
        <v>4312</v>
      </c>
      <c r="G3404" s="23" t="s">
        <v>4313</v>
      </c>
      <c r="H3404" s="25" t="s">
        <v>15373</v>
      </c>
      <c r="I3404" s="22" t="s">
        <v>15374</v>
      </c>
      <c r="J3404" s="22" t="s">
        <v>15677</v>
      </c>
      <c r="K3404" s="26">
        <f t="shared" si="52"/>
        <v>1500</v>
      </c>
      <c r="L3404" s="26">
        <v>1500</v>
      </c>
      <c r="O3404" s="22" t="s">
        <v>4314</v>
      </c>
      <c r="P3404" s="22" t="s">
        <v>4310</v>
      </c>
      <c r="Q3404" s="22" t="s">
        <v>4315</v>
      </c>
      <c r="R3404" s="22" t="s">
        <v>4316</v>
      </c>
      <c r="S3404" s="22" t="s">
        <v>4317</v>
      </c>
      <c r="T3404" s="22">
        <v>8.17</v>
      </c>
      <c r="U3404" s="22">
        <v>0.38</v>
      </c>
      <c r="X3404" s="26"/>
      <c r="Y3404" s="26"/>
    </row>
    <row r="3405" spans="1:25" ht="50" x14ac:dyDescent="0.25">
      <c r="A3405" s="21">
        <v>4026</v>
      </c>
      <c r="B3405" s="22" t="s">
        <v>15328</v>
      </c>
      <c r="C3405" s="22" t="s">
        <v>4306</v>
      </c>
      <c r="E3405" s="24">
        <v>1990</v>
      </c>
      <c r="F3405" s="22" t="s">
        <v>4318</v>
      </c>
      <c r="G3405" s="23" t="s">
        <v>4319</v>
      </c>
      <c r="H3405" s="25" t="s">
        <v>15373</v>
      </c>
      <c r="I3405" s="22" t="s">
        <v>15374</v>
      </c>
      <c r="J3405" s="22" t="s">
        <v>15677</v>
      </c>
      <c r="K3405" s="26">
        <f t="shared" si="52"/>
        <v>1500</v>
      </c>
      <c r="L3405" s="26">
        <v>1500</v>
      </c>
      <c r="O3405" s="22" t="s">
        <v>4314</v>
      </c>
      <c r="P3405" s="22" t="s">
        <v>4310</v>
      </c>
      <c r="Q3405" s="22" t="s">
        <v>4315</v>
      </c>
      <c r="R3405" s="22" t="s">
        <v>4316</v>
      </c>
      <c r="S3405" s="22" t="s">
        <v>4317</v>
      </c>
      <c r="T3405" s="22">
        <v>8.17</v>
      </c>
      <c r="U3405" s="22">
        <v>0.38</v>
      </c>
      <c r="X3405" s="26"/>
      <c r="Y3405" s="26"/>
    </row>
    <row r="3406" spans="1:25" ht="50" x14ac:dyDescent="0.25">
      <c r="A3406" s="21">
        <v>4027</v>
      </c>
      <c r="B3406" s="22" t="s">
        <v>15328</v>
      </c>
      <c r="C3406" s="22" t="s">
        <v>4320</v>
      </c>
      <c r="E3406" s="24">
        <v>1990</v>
      </c>
      <c r="F3406" s="22">
        <v>6751</v>
      </c>
      <c r="G3406" s="23" t="s">
        <v>4321</v>
      </c>
      <c r="H3406" s="25" t="s">
        <v>15373</v>
      </c>
      <c r="I3406" s="22" t="s">
        <v>15374</v>
      </c>
      <c r="J3406" s="22">
        <v>3412</v>
      </c>
      <c r="K3406" s="26">
        <f t="shared" si="52"/>
        <v>600</v>
      </c>
      <c r="L3406" s="26">
        <v>600</v>
      </c>
      <c r="O3406" s="22" t="s">
        <v>4322</v>
      </c>
      <c r="P3406" s="22" t="s">
        <v>4323</v>
      </c>
      <c r="Q3406" s="22" t="s">
        <v>4324</v>
      </c>
      <c r="T3406" s="22">
        <v>8.17</v>
      </c>
      <c r="U3406" s="22">
        <v>0.38</v>
      </c>
      <c r="X3406" s="26"/>
      <c r="Y3406" s="26"/>
    </row>
    <row r="3407" spans="1:25" ht="50" x14ac:dyDescent="0.25">
      <c r="A3407" s="21">
        <v>4028</v>
      </c>
      <c r="B3407" s="22" t="s">
        <v>15328</v>
      </c>
      <c r="C3407" s="22" t="s">
        <v>4320</v>
      </c>
      <c r="E3407" s="24">
        <v>1993</v>
      </c>
      <c r="F3407" s="22">
        <v>6752</v>
      </c>
      <c r="G3407" s="23" t="s">
        <v>4325</v>
      </c>
      <c r="H3407" s="25" t="s">
        <v>15373</v>
      </c>
      <c r="I3407" s="22" t="s">
        <v>15374</v>
      </c>
      <c r="J3407" s="22">
        <v>3412</v>
      </c>
      <c r="K3407" s="26">
        <f t="shared" si="52"/>
        <v>500</v>
      </c>
      <c r="L3407" s="26">
        <v>500</v>
      </c>
      <c r="O3407" s="22" t="s">
        <v>4322</v>
      </c>
      <c r="P3407" s="22" t="s">
        <v>4323</v>
      </c>
      <c r="Q3407" s="22" t="s">
        <v>4324</v>
      </c>
      <c r="T3407" s="22">
        <v>8.17</v>
      </c>
      <c r="U3407" s="22">
        <v>0.38</v>
      </c>
      <c r="X3407" s="26"/>
      <c r="Y3407" s="26"/>
    </row>
    <row r="3408" spans="1:25" ht="50" x14ac:dyDescent="0.25">
      <c r="A3408" s="21">
        <v>4029</v>
      </c>
      <c r="B3408" s="22" t="s">
        <v>15328</v>
      </c>
      <c r="C3408" s="22" t="s">
        <v>4326</v>
      </c>
      <c r="E3408" s="24">
        <v>1994</v>
      </c>
      <c r="F3408" s="22">
        <v>8054</v>
      </c>
      <c r="G3408" s="23" t="s">
        <v>4327</v>
      </c>
      <c r="H3408" s="25" t="s">
        <v>15373</v>
      </c>
      <c r="I3408" s="22" t="s">
        <v>15374</v>
      </c>
      <c r="J3408" s="22" t="s">
        <v>13590</v>
      </c>
      <c r="K3408" s="26">
        <f t="shared" si="52"/>
        <v>400</v>
      </c>
      <c r="L3408" s="26">
        <v>400</v>
      </c>
      <c r="O3408" s="22" t="s">
        <v>4328</v>
      </c>
      <c r="P3408" s="22" t="s">
        <v>4329</v>
      </c>
      <c r="Q3408" s="22" t="s">
        <v>4330</v>
      </c>
      <c r="R3408" s="22" t="s">
        <v>4331</v>
      </c>
      <c r="S3408" s="22" t="s">
        <v>4332</v>
      </c>
      <c r="T3408" s="22">
        <v>8.17</v>
      </c>
      <c r="U3408" s="22">
        <v>0.38</v>
      </c>
      <c r="X3408" s="26"/>
      <c r="Y3408" s="26"/>
    </row>
    <row r="3409" spans="1:25" ht="50" x14ac:dyDescent="0.25">
      <c r="A3409" s="21">
        <v>4030</v>
      </c>
      <c r="B3409" s="22" t="s">
        <v>15328</v>
      </c>
      <c r="C3409" s="22" t="s">
        <v>4326</v>
      </c>
      <c r="E3409" s="24">
        <v>1994</v>
      </c>
      <c r="F3409" s="22">
        <v>8055</v>
      </c>
      <c r="G3409" s="23" t="s">
        <v>4333</v>
      </c>
      <c r="H3409" s="25" t="s">
        <v>15373</v>
      </c>
      <c r="I3409" s="22" t="s">
        <v>15374</v>
      </c>
      <c r="J3409" s="22" t="s">
        <v>13590</v>
      </c>
      <c r="K3409" s="26">
        <f t="shared" si="52"/>
        <v>400</v>
      </c>
      <c r="L3409" s="26">
        <v>400</v>
      </c>
      <c r="O3409" s="22" t="s">
        <v>4328</v>
      </c>
      <c r="P3409" s="22" t="s">
        <v>4329</v>
      </c>
      <c r="Q3409" s="22" t="s">
        <v>4330</v>
      </c>
      <c r="R3409" s="22" t="s">
        <v>4331</v>
      </c>
      <c r="S3409" s="22" t="s">
        <v>4332</v>
      </c>
      <c r="T3409" s="22">
        <v>8.17</v>
      </c>
      <c r="U3409" s="22">
        <v>0.38</v>
      </c>
      <c r="X3409" s="26"/>
      <c r="Y3409" s="26"/>
    </row>
    <row r="3410" spans="1:25" ht="62.5" x14ac:dyDescent="0.25">
      <c r="A3410" s="21">
        <v>4031</v>
      </c>
      <c r="B3410" s="22" t="s">
        <v>15328</v>
      </c>
      <c r="C3410" s="22" t="s">
        <v>4326</v>
      </c>
      <c r="E3410" s="24">
        <v>1994</v>
      </c>
      <c r="F3410" s="22">
        <v>8056</v>
      </c>
      <c r="G3410" s="23" t="s">
        <v>4334</v>
      </c>
      <c r="H3410" s="25" t="s">
        <v>15373</v>
      </c>
      <c r="I3410" s="22" t="s">
        <v>15374</v>
      </c>
      <c r="J3410" s="22" t="s">
        <v>15677</v>
      </c>
      <c r="K3410" s="26">
        <f t="shared" si="52"/>
        <v>2000</v>
      </c>
      <c r="L3410" s="26">
        <v>2000</v>
      </c>
      <c r="O3410" s="22" t="s">
        <v>4335</v>
      </c>
      <c r="P3410" s="22" t="s">
        <v>4329</v>
      </c>
      <c r="Q3410" s="22" t="s">
        <v>4330</v>
      </c>
      <c r="R3410" s="22" t="s">
        <v>4331</v>
      </c>
      <c r="S3410" s="22" t="s">
        <v>4332</v>
      </c>
      <c r="T3410" s="22">
        <v>8.17</v>
      </c>
      <c r="U3410" s="22">
        <v>0.38</v>
      </c>
      <c r="X3410" s="26"/>
      <c r="Y3410" s="26"/>
    </row>
    <row r="3411" spans="1:25" ht="62.5" x14ac:dyDescent="0.25">
      <c r="A3411" s="21">
        <v>4032</v>
      </c>
      <c r="B3411" s="22" t="s">
        <v>15328</v>
      </c>
      <c r="C3411" s="22" t="s">
        <v>4326</v>
      </c>
      <c r="E3411" s="24">
        <v>1994</v>
      </c>
      <c r="F3411" s="22">
        <v>8057</v>
      </c>
      <c r="G3411" s="23" t="s">
        <v>4336</v>
      </c>
      <c r="H3411" s="25" t="s">
        <v>15373</v>
      </c>
      <c r="I3411" s="22" t="s">
        <v>15374</v>
      </c>
      <c r="J3411" s="22" t="s">
        <v>15677</v>
      </c>
      <c r="K3411" s="26">
        <f t="shared" si="52"/>
        <v>2000</v>
      </c>
      <c r="L3411" s="26">
        <v>2000</v>
      </c>
      <c r="O3411" s="22" t="s">
        <v>4335</v>
      </c>
      <c r="P3411" s="22" t="s">
        <v>4329</v>
      </c>
      <c r="Q3411" s="22" t="s">
        <v>4330</v>
      </c>
      <c r="R3411" s="22" t="s">
        <v>4331</v>
      </c>
      <c r="S3411" s="22" t="s">
        <v>4332</v>
      </c>
      <c r="T3411" s="22">
        <v>8.17</v>
      </c>
      <c r="U3411" s="22">
        <v>0.38</v>
      </c>
      <c r="X3411" s="26"/>
      <c r="Y3411" s="26"/>
    </row>
    <row r="3412" spans="1:25" ht="37.5" x14ac:dyDescent="0.25">
      <c r="A3412" s="21">
        <v>4033</v>
      </c>
      <c r="B3412" s="22" t="s">
        <v>15328</v>
      </c>
      <c r="C3412" s="22" t="s">
        <v>4337</v>
      </c>
      <c r="E3412" s="24">
        <v>1987</v>
      </c>
      <c r="F3412" s="22" t="s">
        <v>4338</v>
      </c>
      <c r="G3412" s="23" t="s">
        <v>4339</v>
      </c>
      <c r="H3412" s="25" t="s">
        <v>15373</v>
      </c>
      <c r="I3412" s="22" t="s">
        <v>15411</v>
      </c>
      <c r="J3412" s="22" t="s">
        <v>12830</v>
      </c>
      <c r="K3412" s="26">
        <f t="shared" si="52"/>
        <v>655</v>
      </c>
      <c r="L3412" s="26">
        <v>655</v>
      </c>
      <c r="O3412" s="22" t="s">
        <v>4340</v>
      </c>
      <c r="P3412" s="22" t="s">
        <v>4341</v>
      </c>
      <c r="Q3412" s="22" t="s">
        <v>3314</v>
      </c>
      <c r="T3412" s="22">
        <v>11</v>
      </c>
      <c r="U3412" s="22">
        <v>0.53</v>
      </c>
      <c r="X3412" s="26"/>
      <c r="Y3412" s="26"/>
    </row>
    <row r="3413" spans="1:25" ht="62.5" x14ac:dyDescent="0.25">
      <c r="A3413" s="21">
        <v>4034</v>
      </c>
      <c r="B3413" s="22" t="s">
        <v>15328</v>
      </c>
      <c r="C3413" s="22" t="s">
        <v>4337</v>
      </c>
      <c r="E3413" s="24">
        <v>1987</v>
      </c>
      <c r="F3413" s="22" t="s">
        <v>4342</v>
      </c>
      <c r="G3413" s="23" t="s">
        <v>4343</v>
      </c>
      <c r="H3413" s="25" t="s">
        <v>15373</v>
      </c>
      <c r="I3413" s="22" t="s">
        <v>15411</v>
      </c>
      <c r="J3413" s="22" t="s">
        <v>16276</v>
      </c>
      <c r="K3413" s="26">
        <f t="shared" si="52"/>
        <v>750</v>
      </c>
      <c r="L3413" s="26">
        <v>750</v>
      </c>
      <c r="O3413" s="22" t="s">
        <v>4344</v>
      </c>
      <c r="P3413" s="22" t="s">
        <v>4341</v>
      </c>
      <c r="Q3413" s="22" t="s">
        <v>3314</v>
      </c>
      <c r="T3413" s="22">
        <v>11</v>
      </c>
      <c r="U3413" s="22">
        <v>0.53</v>
      </c>
      <c r="X3413" s="26"/>
      <c r="Y3413" s="26"/>
    </row>
    <row r="3414" spans="1:25" ht="37.5" x14ac:dyDescent="0.25">
      <c r="A3414" s="21">
        <v>4035</v>
      </c>
      <c r="B3414" s="22" t="s">
        <v>15328</v>
      </c>
      <c r="C3414" s="22" t="s">
        <v>4345</v>
      </c>
      <c r="E3414" s="24">
        <v>1997</v>
      </c>
      <c r="F3414" s="22">
        <v>9910</v>
      </c>
      <c r="G3414" s="23" t="s">
        <v>4346</v>
      </c>
      <c r="H3414" s="25" t="s">
        <v>15373</v>
      </c>
      <c r="I3414" s="22" t="s">
        <v>15374</v>
      </c>
      <c r="J3414" s="22">
        <v>3408</v>
      </c>
      <c r="K3414" s="26">
        <f t="shared" si="52"/>
        <v>400</v>
      </c>
      <c r="L3414" s="26">
        <v>400</v>
      </c>
      <c r="O3414" s="22" t="s">
        <v>4347</v>
      </c>
      <c r="P3414" s="22" t="s">
        <v>4348</v>
      </c>
      <c r="Q3414" s="22" t="s">
        <v>4349</v>
      </c>
      <c r="T3414" s="22">
        <v>6.9</v>
      </c>
      <c r="U3414" s="22">
        <v>0.4</v>
      </c>
      <c r="X3414" s="26"/>
      <c r="Y3414" s="26"/>
    </row>
    <row r="3415" spans="1:25" ht="37.5" x14ac:dyDescent="0.25">
      <c r="A3415" s="21">
        <v>4036</v>
      </c>
      <c r="B3415" s="22" t="s">
        <v>15328</v>
      </c>
      <c r="C3415" s="22" t="s">
        <v>4350</v>
      </c>
      <c r="E3415" s="24">
        <v>1997</v>
      </c>
      <c r="F3415" s="22">
        <v>9916</v>
      </c>
      <c r="G3415" s="23" t="s">
        <v>4351</v>
      </c>
      <c r="H3415" s="25" t="s">
        <v>15373</v>
      </c>
      <c r="I3415" s="22" t="s">
        <v>15374</v>
      </c>
      <c r="J3415" s="22">
        <v>3412</v>
      </c>
      <c r="K3415" s="26">
        <f t="shared" si="52"/>
        <v>600</v>
      </c>
      <c r="L3415" s="26">
        <v>600</v>
      </c>
      <c r="O3415" s="22" t="s">
        <v>4352</v>
      </c>
      <c r="P3415" s="22" t="s">
        <v>4348</v>
      </c>
      <c r="Q3415" s="22" t="s">
        <v>4349</v>
      </c>
      <c r="T3415" s="22">
        <v>8.17</v>
      </c>
      <c r="U3415" s="22">
        <v>0.38</v>
      </c>
      <c r="X3415" s="26"/>
      <c r="Y3415" s="26"/>
    </row>
    <row r="3416" spans="1:25" ht="37.5" x14ac:dyDescent="0.25">
      <c r="A3416" s="21">
        <v>4037</v>
      </c>
      <c r="B3416" s="22" t="s">
        <v>15328</v>
      </c>
      <c r="C3416" s="22" t="s">
        <v>4353</v>
      </c>
      <c r="E3416" s="24">
        <v>1999</v>
      </c>
      <c r="F3416" s="22">
        <v>9918</v>
      </c>
      <c r="G3416" s="23" t="s">
        <v>3477</v>
      </c>
      <c r="H3416" s="25" t="s">
        <v>15373</v>
      </c>
      <c r="I3416" s="22" t="s">
        <v>15374</v>
      </c>
      <c r="J3416" s="22">
        <v>3412</v>
      </c>
      <c r="K3416" s="26">
        <f t="shared" si="52"/>
        <v>600</v>
      </c>
      <c r="L3416" s="26">
        <v>600</v>
      </c>
      <c r="O3416" s="22" t="s">
        <v>3478</v>
      </c>
      <c r="P3416" s="22" t="s">
        <v>4348</v>
      </c>
      <c r="Q3416" s="22" t="s">
        <v>4349</v>
      </c>
      <c r="T3416" s="22">
        <v>8.17</v>
      </c>
      <c r="U3416" s="22">
        <v>0.38</v>
      </c>
      <c r="X3416" s="26"/>
      <c r="Y3416" s="26"/>
    </row>
    <row r="3417" spans="1:25" ht="50" x14ac:dyDescent="0.25">
      <c r="A3417" s="21">
        <v>4038</v>
      </c>
      <c r="B3417" s="22" t="s">
        <v>15328</v>
      </c>
      <c r="C3417" s="22" t="s">
        <v>3936</v>
      </c>
      <c r="E3417" s="24">
        <v>1997</v>
      </c>
      <c r="F3417" s="22">
        <v>9170</v>
      </c>
      <c r="G3417" s="23" t="s">
        <v>3479</v>
      </c>
      <c r="H3417" s="25" t="s">
        <v>15373</v>
      </c>
      <c r="I3417" s="22" t="s">
        <v>15374</v>
      </c>
      <c r="J3417" s="22">
        <v>3512</v>
      </c>
      <c r="K3417" s="26">
        <f t="shared" si="52"/>
        <v>1100</v>
      </c>
      <c r="L3417" s="26">
        <v>1100</v>
      </c>
      <c r="O3417" s="22" t="s">
        <v>3480</v>
      </c>
      <c r="P3417" s="22" t="s">
        <v>4341</v>
      </c>
      <c r="Q3417" s="22" t="s">
        <v>3368</v>
      </c>
      <c r="T3417" s="22">
        <v>8.17</v>
      </c>
      <c r="U3417" s="22">
        <v>0.38</v>
      </c>
      <c r="X3417" s="26"/>
      <c r="Y3417" s="26"/>
    </row>
    <row r="3418" spans="1:25" ht="50" x14ac:dyDescent="0.25">
      <c r="A3418" s="21">
        <v>4039</v>
      </c>
      <c r="B3418" s="22" t="s">
        <v>15328</v>
      </c>
      <c r="C3418" s="22" t="s">
        <v>3481</v>
      </c>
      <c r="E3418" s="24">
        <v>1989</v>
      </c>
      <c r="F3418" s="22">
        <v>7682</v>
      </c>
      <c r="G3418" s="23" t="s">
        <v>3482</v>
      </c>
      <c r="H3418" s="25" t="s">
        <v>15373</v>
      </c>
      <c r="I3418" s="22" t="s">
        <v>3483</v>
      </c>
      <c r="J3418" s="22" t="s">
        <v>3484</v>
      </c>
      <c r="K3418" s="26">
        <f t="shared" si="52"/>
        <v>2500</v>
      </c>
      <c r="L3418" s="26">
        <v>2500</v>
      </c>
      <c r="O3418" s="22" t="s">
        <v>3485</v>
      </c>
      <c r="P3418" s="22" t="s">
        <v>3340</v>
      </c>
      <c r="Q3418" s="22">
        <v>93943</v>
      </c>
      <c r="T3418" s="22">
        <v>8.17</v>
      </c>
      <c r="U3418" s="22">
        <v>0.38</v>
      </c>
      <c r="X3418" s="26"/>
      <c r="Y3418" s="26"/>
    </row>
    <row r="3419" spans="1:25" ht="37.5" x14ac:dyDescent="0.25">
      <c r="A3419" s="21">
        <v>4040</v>
      </c>
      <c r="B3419" s="22" t="s">
        <v>15328</v>
      </c>
      <c r="C3419" s="22" t="s">
        <v>3486</v>
      </c>
      <c r="E3419" s="24">
        <v>1995</v>
      </c>
      <c r="F3419" s="22" t="s">
        <v>3487</v>
      </c>
      <c r="G3419" s="23" t="s">
        <v>3488</v>
      </c>
      <c r="H3419" s="25" t="s">
        <v>15373</v>
      </c>
      <c r="I3419" s="22" t="s">
        <v>15411</v>
      </c>
      <c r="J3419" s="22" t="s">
        <v>16462</v>
      </c>
      <c r="K3419" s="26">
        <f t="shared" si="52"/>
        <v>800</v>
      </c>
      <c r="L3419" s="26">
        <v>800</v>
      </c>
      <c r="O3419" s="22" t="s">
        <v>3489</v>
      </c>
      <c r="P3419" s="22" t="s">
        <v>4341</v>
      </c>
      <c r="Q3419" s="22" t="s">
        <v>3314</v>
      </c>
      <c r="T3419" s="22">
        <v>8.17</v>
      </c>
      <c r="U3419" s="22">
        <v>0.38</v>
      </c>
      <c r="X3419" s="26"/>
      <c r="Y3419" s="26"/>
    </row>
    <row r="3420" spans="1:25" ht="50" x14ac:dyDescent="0.25">
      <c r="A3420" s="21">
        <v>4041</v>
      </c>
      <c r="B3420" s="22" t="s">
        <v>15328</v>
      </c>
      <c r="C3420" s="22" t="s">
        <v>3486</v>
      </c>
      <c r="E3420" s="24">
        <v>1997</v>
      </c>
      <c r="F3420" s="22">
        <v>8263</v>
      </c>
      <c r="G3420" s="23" t="s">
        <v>3490</v>
      </c>
      <c r="H3420" s="25" t="s">
        <v>15373</v>
      </c>
      <c r="I3420" s="22" t="s">
        <v>15374</v>
      </c>
      <c r="J3420" s="22">
        <v>3516</v>
      </c>
      <c r="K3420" s="26">
        <f t="shared" si="52"/>
        <v>1750</v>
      </c>
      <c r="L3420" s="26">
        <v>1750</v>
      </c>
      <c r="O3420" s="22" t="s">
        <v>3491</v>
      </c>
      <c r="P3420" s="22" t="s">
        <v>3349</v>
      </c>
      <c r="Q3420" s="22" t="s">
        <v>3314</v>
      </c>
      <c r="T3420" s="22">
        <v>8.17</v>
      </c>
      <c r="U3420" s="22">
        <v>0.38</v>
      </c>
      <c r="X3420" s="26"/>
      <c r="Y3420" s="26"/>
    </row>
    <row r="3421" spans="1:25" ht="50" x14ac:dyDescent="0.25">
      <c r="A3421" s="21">
        <v>4042</v>
      </c>
      <c r="B3421" s="22" t="s">
        <v>15328</v>
      </c>
      <c r="C3421" s="22" t="s">
        <v>3486</v>
      </c>
      <c r="E3421" s="24">
        <v>1997</v>
      </c>
      <c r="F3421" s="22">
        <v>8264</v>
      </c>
      <c r="G3421" s="23" t="s">
        <v>3492</v>
      </c>
      <c r="H3421" s="25" t="s">
        <v>15373</v>
      </c>
      <c r="I3421" s="22" t="s">
        <v>15374</v>
      </c>
      <c r="J3421" s="22">
        <v>3516</v>
      </c>
      <c r="K3421" s="26">
        <f t="shared" si="52"/>
        <v>1750</v>
      </c>
      <c r="L3421" s="26">
        <v>1750</v>
      </c>
      <c r="O3421" s="22" t="s">
        <v>3491</v>
      </c>
      <c r="P3421" s="22" t="s">
        <v>3349</v>
      </c>
      <c r="Q3421" s="22" t="s">
        <v>3314</v>
      </c>
      <c r="T3421" s="22">
        <v>8.17</v>
      </c>
      <c r="U3421" s="22">
        <v>0.38</v>
      </c>
      <c r="X3421" s="26"/>
      <c r="Y3421" s="26"/>
    </row>
    <row r="3422" spans="1:25" ht="37.5" x14ac:dyDescent="0.25">
      <c r="A3422" s="21">
        <v>4043</v>
      </c>
      <c r="B3422" s="22" t="s">
        <v>15328</v>
      </c>
      <c r="C3422" s="22" t="s">
        <v>3493</v>
      </c>
      <c r="E3422" s="24">
        <v>1996</v>
      </c>
      <c r="F3422" s="22">
        <v>10360</v>
      </c>
      <c r="G3422" s="23" t="s">
        <v>3494</v>
      </c>
      <c r="H3422" s="25" t="s">
        <v>15373</v>
      </c>
      <c r="I3422" s="22" t="s">
        <v>15374</v>
      </c>
      <c r="J3422" s="22">
        <v>3406</v>
      </c>
      <c r="K3422" s="26">
        <f t="shared" si="52"/>
        <v>300</v>
      </c>
      <c r="L3422" s="26">
        <v>300</v>
      </c>
      <c r="O3422" s="22" t="s">
        <v>3495</v>
      </c>
      <c r="P3422" s="22" t="s">
        <v>3349</v>
      </c>
      <c r="Q3422" s="22" t="s">
        <v>3314</v>
      </c>
      <c r="T3422" s="22">
        <v>6.9</v>
      </c>
      <c r="U3422" s="22">
        <v>0.4</v>
      </c>
      <c r="X3422" s="26"/>
      <c r="Y3422" s="26"/>
    </row>
    <row r="3423" spans="1:25" ht="50" x14ac:dyDescent="0.25">
      <c r="A3423" s="21">
        <v>4044</v>
      </c>
      <c r="B3423" s="22" t="s">
        <v>15328</v>
      </c>
      <c r="C3423" s="22" t="s">
        <v>3496</v>
      </c>
      <c r="E3423" s="24">
        <v>1985</v>
      </c>
      <c r="F3423" s="22">
        <v>7032</v>
      </c>
      <c r="G3423" s="23" t="s">
        <v>3497</v>
      </c>
      <c r="H3423" s="25" t="s">
        <v>15373</v>
      </c>
      <c r="I3423" s="22" t="s">
        <v>15382</v>
      </c>
      <c r="J3423" s="22" t="s">
        <v>5124</v>
      </c>
      <c r="K3423" s="26">
        <f t="shared" si="52"/>
        <v>500</v>
      </c>
      <c r="L3423" s="26">
        <v>500</v>
      </c>
      <c r="O3423" s="22" t="s">
        <v>3498</v>
      </c>
      <c r="P3423" s="22" t="s">
        <v>3328</v>
      </c>
      <c r="Q3423" s="22" t="s">
        <v>3324</v>
      </c>
      <c r="T3423" s="22">
        <v>11</v>
      </c>
      <c r="U3423" s="22">
        <v>0.53</v>
      </c>
      <c r="X3423" s="26"/>
      <c r="Y3423" s="26"/>
    </row>
    <row r="3424" spans="1:25" ht="62.5" x14ac:dyDescent="0.25">
      <c r="A3424" s="21">
        <v>4045</v>
      </c>
      <c r="B3424" s="22" t="s">
        <v>15328</v>
      </c>
      <c r="C3424" s="22" t="s">
        <v>3496</v>
      </c>
      <c r="E3424" s="24">
        <v>1991</v>
      </c>
      <c r="F3424" s="22">
        <v>7476</v>
      </c>
      <c r="G3424" s="23" t="s">
        <v>3499</v>
      </c>
      <c r="H3424" s="25" t="s">
        <v>15373</v>
      </c>
      <c r="I3424" s="22" t="s">
        <v>15382</v>
      </c>
      <c r="J3424" s="22" t="s">
        <v>3500</v>
      </c>
      <c r="K3424" s="26">
        <f t="shared" si="52"/>
        <v>750</v>
      </c>
      <c r="L3424" s="26">
        <v>750</v>
      </c>
      <c r="O3424" s="22" t="s">
        <v>3498</v>
      </c>
      <c r="P3424" s="22" t="s">
        <v>3328</v>
      </c>
      <c r="Q3424" s="22" t="s">
        <v>3324</v>
      </c>
      <c r="T3424" s="22">
        <v>8.17</v>
      </c>
      <c r="U3424" s="22">
        <v>0.38</v>
      </c>
      <c r="X3424" s="26"/>
      <c r="Y3424" s="26"/>
    </row>
    <row r="3425" spans="1:25" ht="50" x14ac:dyDescent="0.25">
      <c r="A3425" s="21">
        <v>4046</v>
      </c>
      <c r="B3425" s="22" t="s">
        <v>15328</v>
      </c>
      <c r="C3425" s="22" t="s">
        <v>3496</v>
      </c>
      <c r="E3425" s="24">
        <v>1991</v>
      </c>
      <c r="F3425" s="22">
        <v>7033</v>
      </c>
      <c r="G3425" s="23" t="s">
        <v>3501</v>
      </c>
      <c r="H3425" s="25" t="s">
        <v>15373</v>
      </c>
      <c r="I3425" s="22" t="s">
        <v>15411</v>
      </c>
      <c r="J3425" s="22" t="s">
        <v>15068</v>
      </c>
      <c r="K3425" s="26">
        <f t="shared" si="52"/>
        <v>800</v>
      </c>
      <c r="L3425" s="26">
        <v>800</v>
      </c>
      <c r="O3425" s="22" t="s">
        <v>3498</v>
      </c>
      <c r="P3425" s="22" t="s">
        <v>3328</v>
      </c>
      <c r="Q3425" s="22" t="s">
        <v>3324</v>
      </c>
      <c r="T3425" s="22">
        <v>8.17</v>
      </c>
      <c r="U3425" s="22">
        <v>0.38</v>
      </c>
      <c r="X3425" s="26"/>
      <c r="Y3425" s="26"/>
    </row>
    <row r="3426" spans="1:25" ht="75" x14ac:dyDescent="0.25">
      <c r="A3426" s="21">
        <v>4047</v>
      </c>
      <c r="B3426" s="22" t="s">
        <v>15328</v>
      </c>
      <c r="C3426" s="22" t="s">
        <v>3496</v>
      </c>
      <c r="E3426" s="24">
        <v>1996</v>
      </c>
      <c r="F3426" s="22">
        <v>8408</v>
      </c>
      <c r="G3426" s="23" t="s">
        <v>3502</v>
      </c>
      <c r="H3426" s="25" t="s">
        <v>15373</v>
      </c>
      <c r="I3426" s="22" t="s">
        <v>15382</v>
      </c>
      <c r="J3426" s="22" t="s">
        <v>15723</v>
      </c>
      <c r="K3426" s="26">
        <f t="shared" si="52"/>
        <v>1000</v>
      </c>
      <c r="L3426" s="26">
        <v>1000</v>
      </c>
      <c r="O3426" s="22" t="s">
        <v>3498</v>
      </c>
      <c r="P3426" s="22" t="s">
        <v>3328</v>
      </c>
      <c r="Q3426" s="22" t="s">
        <v>3324</v>
      </c>
      <c r="T3426" s="22">
        <v>8.17</v>
      </c>
      <c r="U3426" s="22">
        <v>0.38</v>
      </c>
      <c r="X3426" s="26"/>
      <c r="Y3426" s="26"/>
    </row>
    <row r="3427" spans="1:25" ht="75" x14ac:dyDescent="0.25">
      <c r="A3427" s="21">
        <v>4048</v>
      </c>
      <c r="B3427" s="22" t="s">
        <v>15328</v>
      </c>
      <c r="C3427" s="22" t="s">
        <v>3496</v>
      </c>
      <c r="E3427" s="24">
        <v>1996</v>
      </c>
      <c r="F3427" s="22">
        <v>8407</v>
      </c>
      <c r="G3427" s="23" t="s">
        <v>3503</v>
      </c>
      <c r="H3427" s="25" t="s">
        <v>15373</v>
      </c>
      <c r="I3427" s="22" t="s">
        <v>15382</v>
      </c>
      <c r="J3427" s="22" t="s">
        <v>15723</v>
      </c>
      <c r="K3427" s="26">
        <f t="shared" si="52"/>
        <v>1000</v>
      </c>
      <c r="L3427" s="26">
        <v>1000</v>
      </c>
      <c r="O3427" s="22" t="s">
        <v>3498</v>
      </c>
      <c r="P3427" s="22" t="s">
        <v>3328</v>
      </c>
      <c r="Q3427" s="22" t="s">
        <v>3324</v>
      </c>
      <c r="T3427" s="22">
        <v>8.17</v>
      </c>
      <c r="U3427" s="22">
        <v>0.38</v>
      </c>
      <c r="X3427" s="26"/>
      <c r="Y3427" s="26"/>
    </row>
    <row r="3428" spans="1:25" ht="75" x14ac:dyDescent="0.25">
      <c r="A3428" s="21">
        <v>4049</v>
      </c>
      <c r="B3428" s="22" t="s">
        <v>15328</v>
      </c>
      <c r="C3428" s="22" t="s">
        <v>3496</v>
      </c>
      <c r="E3428" s="24">
        <v>1996</v>
      </c>
      <c r="F3428" s="22" t="s">
        <v>3504</v>
      </c>
      <c r="G3428" s="23" t="s">
        <v>3505</v>
      </c>
      <c r="H3428" s="25" t="s">
        <v>15373</v>
      </c>
      <c r="I3428" s="22" t="s">
        <v>15382</v>
      </c>
      <c r="J3428" s="22" t="s">
        <v>8120</v>
      </c>
      <c r="K3428" s="26">
        <f t="shared" si="52"/>
        <v>800</v>
      </c>
      <c r="L3428" s="26">
        <v>800</v>
      </c>
      <c r="O3428" s="22" t="s">
        <v>3498</v>
      </c>
      <c r="P3428" s="22" t="s">
        <v>3328</v>
      </c>
      <c r="Q3428" s="22" t="s">
        <v>3324</v>
      </c>
      <c r="T3428" s="22">
        <v>8.17</v>
      </c>
      <c r="U3428" s="22">
        <v>0.38</v>
      </c>
      <c r="X3428" s="26"/>
      <c r="Y3428" s="26"/>
    </row>
    <row r="3429" spans="1:25" ht="75" x14ac:dyDescent="0.25">
      <c r="A3429" s="21">
        <v>4050</v>
      </c>
      <c r="B3429" s="22" t="s">
        <v>15328</v>
      </c>
      <c r="C3429" s="22" t="s">
        <v>3496</v>
      </c>
      <c r="E3429" s="24">
        <v>1996</v>
      </c>
      <c r="F3429" s="22" t="s">
        <v>3506</v>
      </c>
      <c r="G3429" s="23" t="s">
        <v>3507</v>
      </c>
      <c r="H3429" s="25" t="s">
        <v>15373</v>
      </c>
      <c r="I3429" s="22" t="s">
        <v>15382</v>
      </c>
      <c r="J3429" s="22" t="s">
        <v>8120</v>
      </c>
      <c r="K3429" s="26">
        <f t="shared" si="52"/>
        <v>800</v>
      </c>
      <c r="L3429" s="26">
        <v>800</v>
      </c>
      <c r="O3429" s="22" t="s">
        <v>3498</v>
      </c>
      <c r="P3429" s="22" t="s">
        <v>3328</v>
      </c>
      <c r="Q3429" s="22" t="s">
        <v>3324</v>
      </c>
      <c r="T3429" s="22">
        <v>8.17</v>
      </c>
      <c r="U3429" s="22">
        <v>0.38</v>
      </c>
      <c r="X3429" s="26"/>
      <c r="Y3429" s="26"/>
    </row>
    <row r="3430" spans="1:25" ht="75" x14ac:dyDescent="0.25">
      <c r="A3430" s="21">
        <v>4051</v>
      </c>
      <c r="B3430" s="22" t="s">
        <v>15328</v>
      </c>
      <c r="C3430" s="22" t="s">
        <v>3496</v>
      </c>
      <c r="E3430" s="24">
        <v>1993</v>
      </c>
      <c r="F3430" s="22" t="s">
        <v>3508</v>
      </c>
      <c r="G3430" s="23" t="s">
        <v>3509</v>
      </c>
      <c r="H3430" s="25" t="s">
        <v>15373</v>
      </c>
      <c r="I3430" s="22" t="s">
        <v>15382</v>
      </c>
      <c r="J3430" s="22" t="s">
        <v>15723</v>
      </c>
      <c r="K3430" s="26">
        <f t="shared" si="52"/>
        <v>960</v>
      </c>
      <c r="L3430" s="26">
        <v>960</v>
      </c>
      <c r="O3430" s="22" t="s">
        <v>3498</v>
      </c>
      <c r="P3430" s="22" t="s">
        <v>3328</v>
      </c>
      <c r="Q3430" s="22" t="s">
        <v>3324</v>
      </c>
      <c r="T3430" s="22">
        <v>8.17</v>
      </c>
      <c r="U3430" s="22">
        <v>0.38</v>
      </c>
      <c r="X3430" s="26"/>
      <c r="Y3430" s="26"/>
    </row>
    <row r="3431" spans="1:25" ht="75" x14ac:dyDescent="0.25">
      <c r="A3431" s="21">
        <v>4052</v>
      </c>
      <c r="B3431" s="22" t="s">
        <v>15328</v>
      </c>
      <c r="C3431" s="22" t="s">
        <v>3496</v>
      </c>
      <c r="E3431" s="24">
        <v>1993</v>
      </c>
      <c r="F3431" s="22" t="s">
        <v>3510</v>
      </c>
      <c r="G3431" s="23" t="s">
        <v>3511</v>
      </c>
      <c r="H3431" s="25" t="s">
        <v>15373</v>
      </c>
      <c r="I3431" s="22" t="s">
        <v>15382</v>
      </c>
      <c r="J3431" s="22" t="s">
        <v>3512</v>
      </c>
      <c r="K3431" s="26">
        <f t="shared" si="52"/>
        <v>960</v>
      </c>
      <c r="L3431" s="26">
        <v>960</v>
      </c>
      <c r="O3431" s="22" t="s">
        <v>3498</v>
      </c>
      <c r="P3431" s="22" t="s">
        <v>3328</v>
      </c>
      <c r="Q3431" s="22" t="s">
        <v>3324</v>
      </c>
      <c r="T3431" s="22">
        <v>8.17</v>
      </c>
      <c r="U3431" s="22">
        <v>0.38</v>
      </c>
      <c r="X3431" s="26"/>
      <c r="Y3431" s="26"/>
    </row>
    <row r="3432" spans="1:25" ht="37.5" x14ac:dyDescent="0.25">
      <c r="A3432" s="21">
        <v>4053</v>
      </c>
      <c r="B3432" s="22" t="s">
        <v>15328</v>
      </c>
      <c r="C3432" s="22" t="s">
        <v>3513</v>
      </c>
      <c r="E3432" s="24">
        <v>1994</v>
      </c>
      <c r="F3432" s="22">
        <v>7687</v>
      </c>
      <c r="G3432" s="23" t="s">
        <v>3514</v>
      </c>
      <c r="H3432" s="25" t="s">
        <v>15373</v>
      </c>
      <c r="I3432" s="22" t="s">
        <v>15374</v>
      </c>
      <c r="J3432" s="22">
        <v>3406</v>
      </c>
      <c r="K3432" s="26">
        <f t="shared" ref="K3432:K3495" si="53">L3432+M3432*(2/3)+N3432*(2/3)</f>
        <v>310</v>
      </c>
      <c r="L3432" s="26">
        <v>310</v>
      </c>
      <c r="O3432" s="22" t="s">
        <v>3515</v>
      </c>
      <c r="P3432" s="22" t="s">
        <v>3349</v>
      </c>
      <c r="Q3432" s="22" t="s">
        <v>3314</v>
      </c>
      <c r="T3432" s="22">
        <v>8.17</v>
      </c>
      <c r="U3432" s="22">
        <v>0.38</v>
      </c>
      <c r="X3432" s="26"/>
      <c r="Y3432" s="26"/>
    </row>
    <row r="3433" spans="1:25" ht="37.5" x14ac:dyDescent="0.25">
      <c r="A3433" s="21">
        <v>4054</v>
      </c>
      <c r="B3433" s="22" t="s">
        <v>15328</v>
      </c>
      <c r="C3433" s="22" t="s">
        <v>3513</v>
      </c>
      <c r="E3433" s="24">
        <v>1994</v>
      </c>
      <c r="F3433" s="22">
        <v>7688</v>
      </c>
      <c r="G3433" s="23" t="s">
        <v>3516</v>
      </c>
      <c r="H3433" s="25" t="s">
        <v>15373</v>
      </c>
      <c r="I3433" s="22" t="s">
        <v>15411</v>
      </c>
      <c r="J3433" s="22" t="s">
        <v>15838</v>
      </c>
      <c r="K3433" s="26">
        <f t="shared" si="53"/>
        <v>300</v>
      </c>
      <c r="L3433" s="26">
        <v>300</v>
      </c>
      <c r="O3433" s="22" t="s">
        <v>3517</v>
      </c>
      <c r="P3433" s="22" t="s">
        <v>3349</v>
      </c>
      <c r="Q3433" s="22" t="s">
        <v>3350</v>
      </c>
      <c r="T3433" s="22">
        <v>8.17</v>
      </c>
      <c r="U3433" s="22">
        <v>0.38</v>
      </c>
      <c r="X3433" s="26"/>
      <c r="Y3433" s="26"/>
    </row>
    <row r="3434" spans="1:25" ht="37.5" x14ac:dyDescent="0.25">
      <c r="A3434" s="21">
        <v>4055</v>
      </c>
      <c r="B3434" s="22" t="s">
        <v>15328</v>
      </c>
      <c r="C3434" s="22" t="s">
        <v>3518</v>
      </c>
      <c r="E3434" s="24">
        <v>1993</v>
      </c>
      <c r="F3434" s="22" t="s">
        <v>3519</v>
      </c>
      <c r="G3434" s="23" t="s">
        <v>3520</v>
      </c>
      <c r="H3434" s="25" t="s">
        <v>15373</v>
      </c>
      <c r="I3434" s="22" t="s">
        <v>15374</v>
      </c>
      <c r="J3434" s="22" t="s">
        <v>3521</v>
      </c>
      <c r="K3434" s="26">
        <f t="shared" si="53"/>
        <v>500</v>
      </c>
      <c r="L3434" s="26">
        <v>500</v>
      </c>
      <c r="O3434" s="22" t="s">
        <v>3522</v>
      </c>
      <c r="P3434" s="22" t="s">
        <v>3523</v>
      </c>
      <c r="Q3434" s="22" t="s">
        <v>3341</v>
      </c>
      <c r="T3434" s="22">
        <v>8.17</v>
      </c>
      <c r="U3434" s="22">
        <v>0.38</v>
      </c>
      <c r="X3434" s="26"/>
      <c r="Y3434" s="26"/>
    </row>
    <row r="3435" spans="1:25" ht="37.5" x14ac:dyDescent="0.25">
      <c r="A3435" s="21">
        <v>4056</v>
      </c>
      <c r="B3435" s="22" t="s">
        <v>15328</v>
      </c>
      <c r="C3435" s="22" t="s">
        <v>3524</v>
      </c>
      <c r="E3435" s="24">
        <v>1996</v>
      </c>
      <c r="F3435" s="22">
        <v>8781</v>
      </c>
      <c r="G3435" s="23" t="s">
        <v>3525</v>
      </c>
      <c r="H3435" s="25" t="s">
        <v>15373</v>
      </c>
      <c r="I3435" s="22" t="s">
        <v>15374</v>
      </c>
      <c r="J3435" s="22" t="s">
        <v>15701</v>
      </c>
      <c r="K3435" s="26">
        <f t="shared" si="53"/>
        <v>400</v>
      </c>
      <c r="L3435" s="26">
        <v>400</v>
      </c>
      <c r="O3435" s="22" t="s">
        <v>3526</v>
      </c>
      <c r="P3435" s="22" t="s">
        <v>3527</v>
      </c>
      <c r="Q3435" s="22" t="s">
        <v>3324</v>
      </c>
      <c r="T3435" s="22">
        <v>6.9</v>
      </c>
      <c r="U3435" s="22">
        <v>0.4</v>
      </c>
      <c r="X3435" s="26"/>
      <c r="Y3435" s="26"/>
    </row>
    <row r="3436" spans="1:25" ht="50" x14ac:dyDescent="0.25">
      <c r="A3436" s="21">
        <v>4057</v>
      </c>
      <c r="B3436" s="22" t="s">
        <v>15328</v>
      </c>
      <c r="C3436" s="22" t="s">
        <v>3528</v>
      </c>
      <c r="E3436" s="24">
        <v>1999</v>
      </c>
      <c r="F3436" s="22">
        <v>9942</v>
      </c>
      <c r="G3436" s="23" t="s">
        <v>3529</v>
      </c>
      <c r="H3436" s="25" t="s">
        <v>15373</v>
      </c>
      <c r="I3436" s="22" t="s">
        <v>15382</v>
      </c>
      <c r="J3436" s="22" t="s">
        <v>16569</v>
      </c>
      <c r="K3436" s="26">
        <f t="shared" si="53"/>
        <v>400</v>
      </c>
      <c r="L3436" s="26">
        <v>400</v>
      </c>
      <c r="O3436" s="22" t="s">
        <v>3530</v>
      </c>
      <c r="P3436" s="22" t="s">
        <v>3349</v>
      </c>
      <c r="Q3436" s="22" t="s">
        <v>3314</v>
      </c>
      <c r="T3436" s="22">
        <v>6.9</v>
      </c>
      <c r="U3436" s="22">
        <v>0.4</v>
      </c>
      <c r="X3436" s="26"/>
      <c r="Y3436" s="26"/>
    </row>
    <row r="3437" spans="1:25" ht="37.5" x14ac:dyDescent="0.25">
      <c r="A3437" s="21">
        <v>4058</v>
      </c>
      <c r="B3437" s="22" t="s">
        <v>15328</v>
      </c>
      <c r="C3437" s="22" t="s">
        <v>3531</v>
      </c>
      <c r="E3437" s="24">
        <v>1994</v>
      </c>
      <c r="F3437" s="22" t="s">
        <v>3532</v>
      </c>
      <c r="G3437" s="23" t="s">
        <v>3533</v>
      </c>
      <c r="H3437" s="25" t="s">
        <v>15373</v>
      </c>
      <c r="I3437" s="22" t="s">
        <v>15374</v>
      </c>
      <c r="J3437" s="22" t="s">
        <v>16561</v>
      </c>
      <c r="K3437" s="26">
        <f t="shared" si="53"/>
        <v>350</v>
      </c>
      <c r="L3437" s="26">
        <v>350</v>
      </c>
      <c r="O3437" s="22" t="s">
        <v>3534</v>
      </c>
      <c r="P3437" s="22" t="s">
        <v>3535</v>
      </c>
      <c r="Q3437" s="22" t="s">
        <v>3536</v>
      </c>
      <c r="T3437" s="22">
        <v>8.17</v>
      </c>
      <c r="U3437" s="22">
        <v>0.38</v>
      </c>
      <c r="X3437" s="26"/>
      <c r="Y3437" s="26"/>
    </row>
    <row r="3438" spans="1:25" ht="37.5" x14ac:dyDescent="0.25">
      <c r="A3438" s="21">
        <v>4059</v>
      </c>
      <c r="B3438" s="22" t="s">
        <v>15328</v>
      </c>
      <c r="C3438" s="22" t="s">
        <v>3537</v>
      </c>
      <c r="E3438" s="24">
        <v>1990</v>
      </c>
      <c r="F3438" s="22" t="s">
        <v>3538</v>
      </c>
      <c r="G3438" s="23" t="s">
        <v>3539</v>
      </c>
      <c r="H3438" s="25" t="s">
        <v>15373</v>
      </c>
      <c r="I3438" s="22" t="s">
        <v>15382</v>
      </c>
      <c r="J3438" s="22" t="s">
        <v>3540</v>
      </c>
      <c r="K3438" s="26">
        <f t="shared" si="53"/>
        <v>400</v>
      </c>
      <c r="L3438" s="26">
        <v>400</v>
      </c>
      <c r="O3438" s="22" t="s">
        <v>3541</v>
      </c>
      <c r="P3438" s="22" t="s">
        <v>4323</v>
      </c>
      <c r="Q3438" s="22" t="s">
        <v>4324</v>
      </c>
      <c r="T3438" s="22">
        <v>8.17</v>
      </c>
      <c r="U3438" s="22">
        <v>0.38</v>
      </c>
      <c r="X3438" s="26"/>
      <c r="Y3438" s="26"/>
    </row>
    <row r="3439" spans="1:25" ht="37.5" x14ac:dyDescent="0.25">
      <c r="A3439" s="21">
        <v>4060</v>
      </c>
      <c r="B3439" s="22" t="s">
        <v>15328</v>
      </c>
      <c r="C3439" s="22" t="s">
        <v>3542</v>
      </c>
      <c r="E3439" s="24">
        <v>1996</v>
      </c>
      <c r="F3439" s="22">
        <v>8326</v>
      </c>
      <c r="G3439" s="23" t="s">
        <v>3543</v>
      </c>
      <c r="H3439" s="25" t="s">
        <v>15373</v>
      </c>
      <c r="I3439" s="22" t="s">
        <v>15374</v>
      </c>
      <c r="J3439" s="22">
        <v>3412</v>
      </c>
      <c r="K3439" s="26">
        <f t="shared" si="53"/>
        <v>500</v>
      </c>
      <c r="L3439" s="26">
        <v>500</v>
      </c>
      <c r="O3439" s="22" t="s">
        <v>3544</v>
      </c>
      <c r="P3439" s="22" t="s">
        <v>4323</v>
      </c>
      <c r="Q3439" s="22" t="s">
        <v>4324</v>
      </c>
      <c r="T3439" s="22">
        <v>6.9</v>
      </c>
      <c r="U3439" s="22">
        <v>0.4</v>
      </c>
      <c r="X3439" s="26"/>
      <c r="Y3439" s="26"/>
    </row>
    <row r="3440" spans="1:25" ht="37.5" x14ac:dyDescent="0.25">
      <c r="A3440" s="21">
        <v>4061</v>
      </c>
      <c r="B3440" s="22" t="s">
        <v>15328</v>
      </c>
      <c r="C3440" s="22" t="s">
        <v>3545</v>
      </c>
      <c r="E3440" s="24">
        <v>1987</v>
      </c>
      <c r="F3440" s="22">
        <v>9151</v>
      </c>
      <c r="G3440" s="23" t="s">
        <v>3546</v>
      </c>
      <c r="H3440" s="25" t="s">
        <v>15373</v>
      </c>
      <c r="I3440" s="22" t="s">
        <v>15374</v>
      </c>
      <c r="J3440" s="22" t="s">
        <v>15701</v>
      </c>
      <c r="K3440" s="26">
        <f t="shared" si="53"/>
        <v>350</v>
      </c>
      <c r="L3440" s="26">
        <v>350</v>
      </c>
      <c r="O3440" s="22" t="s">
        <v>3547</v>
      </c>
      <c r="P3440" s="22" t="s">
        <v>3523</v>
      </c>
      <c r="Q3440" s="22" t="s">
        <v>3341</v>
      </c>
      <c r="T3440" s="22">
        <v>11</v>
      </c>
      <c r="U3440" s="22">
        <v>0.53</v>
      </c>
      <c r="X3440" s="26"/>
      <c r="Y3440" s="26"/>
    </row>
    <row r="3441" spans="1:25" ht="62.5" x14ac:dyDescent="0.25">
      <c r="A3441" s="21">
        <v>4062</v>
      </c>
      <c r="B3441" s="22" t="s">
        <v>15328</v>
      </c>
      <c r="C3441" s="22" t="s">
        <v>3548</v>
      </c>
      <c r="E3441" s="24">
        <v>1993</v>
      </c>
      <c r="F3441" s="22">
        <v>8027</v>
      </c>
      <c r="G3441" s="23" t="s">
        <v>3549</v>
      </c>
      <c r="H3441" s="25" t="s">
        <v>15373</v>
      </c>
      <c r="I3441" s="22" t="s">
        <v>15411</v>
      </c>
      <c r="J3441" s="22" t="s">
        <v>15542</v>
      </c>
      <c r="K3441" s="26">
        <f t="shared" si="53"/>
        <v>600</v>
      </c>
      <c r="L3441" s="26">
        <v>600</v>
      </c>
      <c r="O3441" s="22" t="s">
        <v>3550</v>
      </c>
      <c r="P3441" s="22" t="s">
        <v>3328</v>
      </c>
      <c r="Q3441" s="22" t="s">
        <v>3324</v>
      </c>
      <c r="T3441" s="22">
        <v>8.17</v>
      </c>
      <c r="U3441" s="22">
        <v>0.38</v>
      </c>
      <c r="X3441" s="26"/>
      <c r="Y3441" s="26"/>
    </row>
    <row r="3442" spans="1:25" ht="50" x14ac:dyDescent="0.25">
      <c r="A3442" s="21">
        <v>4063</v>
      </c>
      <c r="B3442" s="22" t="s">
        <v>15328</v>
      </c>
      <c r="C3442" s="22" t="s">
        <v>3551</v>
      </c>
      <c r="E3442" s="24">
        <v>1989</v>
      </c>
      <c r="F3442" s="22">
        <v>7910</v>
      </c>
      <c r="G3442" s="23" t="s">
        <v>3552</v>
      </c>
      <c r="H3442" s="25" t="s">
        <v>15373</v>
      </c>
      <c r="I3442" s="22" t="s">
        <v>15382</v>
      </c>
      <c r="J3442" s="22" t="s">
        <v>14716</v>
      </c>
      <c r="K3442" s="26">
        <f t="shared" si="53"/>
        <v>600</v>
      </c>
      <c r="L3442" s="26">
        <v>600</v>
      </c>
      <c r="O3442" s="22" t="s">
        <v>3553</v>
      </c>
      <c r="P3442" s="22" t="s">
        <v>3328</v>
      </c>
      <c r="Q3442" s="22" t="s">
        <v>3324</v>
      </c>
      <c r="T3442" s="22">
        <v>8.17</v>
      </c>
      <c r="U3442" s="22">
        <v>0.38</v>
      </c>
      <c r="X3442" s="26"/>
      <c r="Y3442" s="26"/>
    </row>
    <row r="3443" spans="1:25" ht="37.5" x14ac:dyDescent="0.25">
      <c r="A3443" s="21">
        <v>4064</v>
      </c>
      <c r="B3443" s="22" t="s">
        <v>15328</v>
      </c>
      <c r="C3443" s="22" t="s">
        <v>3554</v>
      </c>
      <c r="E3443" s="24">
        <v>1996</v>
      </c>
      <c r="F3443" s="22">
        <v>8502</v>
      </c>
      <c r="G3443" s="23" t="s">
        <v>3555</v>
      </c>
      <c r="H3443" s="25" t="s">
        <v>15373</v>
      </c>
      <c r="I3443" s="22" t="s">
        <v>15374</v>
      </c>
      <c r="J3443" s="22" t="s">
        <v>15261</v>
      </c>
      <c r="K3443" s="26">
        <f t="shared" si="53"/>
        <v>750</v>
      </c>
      <c r="L3443" s="26">
        <v>750</v>
      </c>
      <c r="O3443" s="22" t="s">
        <v>3556</v>
      </c>
      <c r="P3443" s="22" t="s">
        <v>3557</v>
      </c>
      <c r="Q3443" s="22" t="s">
        <v>3558</v>
      </c>
      <c r="T3443" s="22">
        <v>8.17</v>
      </c>
      <c r="U3443" s="22">
        <v>0.38</v>
      </c>
      <c r="X3443" s="26"/>
      <c r="Y3443" s="26"/>
    </row>
    <row r="3444" spans="1:25" ht="62.5" x14ac:dyDescent="0.25">
      <c r="A3444" s="21">
        <v>4065</v>
      </c>
      <c r="B3444" s="22" t="s">
        <v>15328</v>
      </c>
      <c r="C3444" s="22" t="s">
        <v>3559</v>
      </c>
      <c r="E3444" s="24">
        <v>1987</v>
      </c>
      <c r="F3444" s="22">
        <v>8926</v>
      </c>
      <c r="G3444" s="23" t="s">
        <v>3560</v>
      </c>
      <c r="H3444" s="25" t="s">
        <v>15373</v>
      </c>
      <c r="I3444" s="22" t="s">
        <v>15382</v>
      </c>
      <c r="J3444" s="22" t="s">
        <v>16784</v>
      </c>
      <c r="K3444" s="26">
        <f t="shared" si="53"/>
        <v>500</v>
      </c>
      <c r="L3444" s="26">
        <v>500</v>
      </c>
      <c r="O3444" s="22" t="s">
        <v>3561</v>
      </c>
      <c r="P3444" s="22" t="s">
        <v>3333</v>
      </c>
      <c r="Q3444" s="22" t="s">
        <v>3334</v>
      </c>
      <c r="T3444" s="22">
        <v>11</v>
      </c>
      <c r="U3444" s="22">
        <v>0.53</v>
      </c>
      <c r="X3444" s="26"/>
      <c r="Y3444" s="26"/>
    </row>
    <row r="3445" spans="1:25" ht="37.5" x14ac:dyDescent="0.25">
      <c r="A3445" s="21">
        <v>4066</v>
      </c>
      <c r="B3445" s="22" t="s">
        <v>15328</v>
      </c>
      <c r="C3445" s="22" t="s">
        <v>3559</v>
      </c>
      <c r="E3445" s="24">
        <v>1999</v>
      </c>
      <c r="F3445" s="22">
        <v>10039</v>
      </c>
      <c r="G3445" s="23" t="s">
        <v>3562</v>
      </c>
      <c r="H3445" s="25" t="s">
        <v>15373</v>
      </c>
      <c r="I3445" s="22" t="s">
        <v>15382</v>
      </c>
      <c r="J3445" s="22" t="s">
        <v>14562</v>
      </c>
      <c r="K3445" s="26">
        <f t="shared" si="53"/>
        <v>600</v>
      </c>
      <c r="L3445" s="26">
        <v>600</v>
      </c>
      <c r="O3445" s="22" t="s">
        <v>3563</v>
      </c>
      <c r="P3445" s="22" t="s">
        <v>3333</v>
      </c>
      <c r="Q3445" s="22" t="s">
        <v>3334</v>
      </c>
      <c r="T3445" s="22">
        <v>8.17</v>
      </c>
      <c r="U3445" s="22">
        <v>0.38</v>
      </c>
      <c r="X3445" s="26"/>
      <c r="Y3445" s="26"/>
    </row>
    <row r="3446" spans="1:25" ht="37.5" x14ac:dyDescent="0.25">
      <c r="A3446" s="21">
        <v>4067</v>
      </c>
      <c r="B3446" s="22" t="s">
        <v>15328</v>
      </c>
      <c r="C3446" s="22" t="s">
        <v>3564</v>
      </c>
      <c r="E3446" s="24">
        <v>1990</v>
      </c>
      <c r="F3446" s="22">
        <v>7883</v>
      </c>
      <c r="G3446" s="23" t="s">
        <v>3565</v>
      </c>
      <c r="H3446" s="25" t="s">
        <v>15373</v>
      </c>
      <c r="I3446" s="22" t="s">
        <v>15374</v>
      </c>
      <c r="J3446" s="22" t="s">
        <v>9175</v>
      </c>
      <c r="K3446" s="26">
        <f t="shared" si="53"/>
        <v>350</v>
      </c>
      <c r="L3446" s="26">
        <v>350</v>
      </c>
      <c r="O3446" s="22" t="s">
        <v>3566</v>
      </c>
      <c r="P3446" s="22" t="s">
        <v>3333</v>
      </c>
      <c r="Q3446" s="22" t="s">
        <v>3334</v>
      </c>
      <c r="T3446" s="22">
        <v>8.17</v>
      </c>
      <c r="U3446" s="22">
        <v>0.38</v>
      </c>
      <c r="X3446" s="26"/>
      <c r="Y3446" s="26"/>
    </row>
    <row r="3447" spans="1:25" ht="62.5" x14ac:dyDescent="0.25">
      <c r="A3447" s="21">
        <v>4068</v>
      </c>
      <c r="B3447" s="22" t="s">
        <v>15328</v>
      </c>
      <c r="C3447" s="22" t="s">
        <v>3567</v>
      </c>
      <c r="E3447" s="24">
        <v>1994</v>
      </c>
      <c r="F3447" s="22">
        <v>7884</v>
      </c>
      <c r="G3447" s="23" t="s">
        <v>3568</v>
      </c>
      <c r="H3447" s="25" t="s">
        <v>15373</v>
      </c>
      <c r="I3447" s="22" t="s">
        <v>15411</v>
      </c>
      <c r="J3447" s="22" t="s">
        <v>15877</v>
      </c>
      <c r="K3447" s="26">
        <f t="shared" si="53"/>
        <v>400</v>
      </c>
      <c r="L3447" s="26">
        <v>400</v>
      </c>
      <c r="O3447" s="22" t="s">
        <v>3569</v>
      </c>
      <c r="P3447" s="22" t="s">
        <v>3333</v>
      </c>
      <c r="Q3447" s="22" t="s">
        <v>3334</v>
      </c>
      <c r="T3447" s="22">
        <v>8.17</v>
      </c>
      <c r="U3447" s="22">
        <v>0.38</v>
      </c>
      <c r="X3447" s="26"/>
      <c r="Y3447" s="26"/>
    </row>
    <row r="3448" spans="1:25" ht="50" x14ac:dyDescent="0.25">
      <c r="A3448" s="21">
        <v>4069</v>
      </c>
      <c r="B3448" s="22" t="s">
        <v>15328</v>
      </c>
      <c r="C3448" s="22" t="s">
        <v>3570</v>
      </c>
      <c r="E3448" s="24">
        <v>1995</v>
      </c>
      <c r="F3448" s="22" t="s">
        <v>3571</v>
      </c>
      <c r="G3448" s="23" t="s">
        <v>3572</v>
      </c>
      <c r="H3448" s="25" t="s">
        <v>15373</v>
      </c>
      <c r="I3448" s="22" t="s">
        <v>15374</v>
      </c>
      <c r="J3448" s="22" t="s">
        <v>15918</v>
      </c>
      <c r="K3448" s="26">
        <f t="shared" si="53"/>
        <v>930</v>
      </c>
      <c r="L3448" s="26">
        <v>930</v>
      </c>
      <c r="O3448" s="22" t="s">
        <v>3573</v>
      </c>
      <c r="P3448" s="22" t="s">
        <v>3349</v>
      </c>
      <c r="Q3448" s="22" t="s">
        <v>3314</v>
      </c>
      <c r="T3448" s="22">
        <v>8.17</v>
      </c>
      <c r="U3448" s="22">
        <v>0.38</v>
      </c>
      <c r="X3448" s="26"/>
      <c r="Y3448" s="26"/>
    </row>
    <row r="3449" spans="1:25" ht="37.5" x14ac:dyDescent="0.25">
      <c r="A3449" s="21">
        <v>4070</v>
      </c>
      <c r="B3449" s="22" t="s">
        <v>15328</v>
      </c>
      <c r="C3449" s="22" t="s">
        <v>3574</v>
      </c>
      <c r="E3449" s="24">
        <v>1992</v>
      </c>
      <c r="F3449" s="22" t="s">
        <v>3575</v>
      </c>
      <c r="G3449" s="23" t="s">
        <v>3576</v>
      </c>
      <c r="H3449" s="25" t="s">
        <v>15373</v>
      </c>
      <c r="I3449" s="22" t="s">
        <v>15374</v>
      </c>
      <c r="J3449" s="22" t="s">
        <v>13590</v>
      </c>
      <c r="K3449" s="26">
        <f t="shared" si="53"/>
        <v>400</v>
      </c>
      <c r="L3449" s="26">
        <v>400</v>
      </c>
      <c r="O3449" s="22" t="s">
        <v>3577</v>
      </c>
      <c r="P3449" s="22" t="s">
        <v>3578</v>
      </c>
      <c r="Q3449" s="22" t="s">
        <v>3579</v>
      </c>
      <c r="T3449" s="22">
        <v>8.17</v>
      </c>
      <c r="U3449" s="22">
        <v>0.38</v>
      </c>
      <c r="X3449" s="26"/>
      <c r="Y3449" s="26"/>
    </row>
    <row r="3450" spans="1:25" ht="50" x14ac:dyDescent="0.25">
      <c r="A3450" s="21">
        <v>4071</v>
      </c>
      <c r="B3450" s="22" t="s">
        <v>15328</v>
      </c>
      <c r="C3450" s="22" t="s">
        <v>3574</v>
      </c>
      <c r="E3450" s="24">
        <v>2000</v>
      </c>
      <c r="F3450" s="22">
        <v>10557</v>
      </c>
      <c r="G3450" s="23" t="s">
        <v>3580</v>
      </c>
      <c r="H3450" s="25" t="s">
        <v>15373</v>
      </c>
      <c r="I3450" s="22" t="s">
        <v>12850</v>
      </c>
      <c r="J3450" s="22" t="s">
        <v>3581</v>
      </c>
      <c r="K3450" s="26">
        <f t="shared" si="53"/>
        <v>303</v>
      </c>
      <c r="L3450" s="26">
        <v>303</v>
      </c>
      <c r="O3450" s="22" t="s">
        <v>3582</v>
      </c>
      <c r="T3450" s="22">
        <v>6.9</v>
      </c>
      <c r="U3450" s="22">
        <v>0.4</v>
      </c>
      <c r="X3450" s="26"/>
      <c r="Y3450" s="26"/>
    </row>
    <row r="3451" spans="1:25" ht="37.5" x14ac:dyDescent="0.25">
      <c r="A3451" s="21">
        <v>4072</v>
      </c>
      <c r="B3451" s="22" t="s">
        <v>15328</v>
      </c>
      <c r="C3451" s="22" t="s">
        <v>3574</v>
      </c>
      <c r="E3451" s="24">
        <v>1998</v>
      </c>
      <c r="F3451" s="22">
        <v>9546</v>
      </c>
      <c r="G3451" s="23" t="s">
        <v>3583</v>
      </c>
      <c r="H3451" s="25" t="s">
        <v>15373</v>
      </c>
      <c r="I3451" s="22" t="s">
        <v>15374</v>
      </c>
      <c r="J3451" s="22">
        <v>3406</v>
      </c>
      <c r="K3451" s="26">
        <f t="shared" si="53"/>
        <v>300</v>
      </c>
      <c r="L3451" s="26">
        <v>300</v>
      </c>
      <c r="O3451" s="22" t="s">
        <v>3584</v>
      </c>
      <c r="P3451" s="22" t="s">
        <v>3328</v>
      </c>
      <c r="Q3451" s="22" t="s">
        <v>3324</v>
      </c>
      <c r="T3451" s="22">
        <v>6.9</v>
      </c>
      <c r="U3451" s="22">
        <v>0.4</v>
      </c>
      <c r="X3451" s="26"/>
      <c r="Y3451" s="26"/>
    </row>
    <row r="3452" spans="1:25" ht="50" x14ac:dyDescent="0.25">
      <c r="A3452" s="21">
        <v>4073</v>
      </c>
      <c r="B3452" s="22" t="s">
        <v>15328</v>
      </c>
      <c r="C3452" s="22" t="s">
        <v>3585</v>
      </c>
      <c r="E3452" s="24">
        <v>1994</v>
      </c>
      <c r="F3452" s="22">
        <v>10014</v>
      </c>
      <c r="G3452" s="23" t="s">
        <v>3586</v>
      </c>
      <c r="H3452" s="25" t="s">
        <v>15373</v>
      </c>
      <c r="I3452" s="22" t="s">
        <v>15374</v>
      </c>
      <c r="J3452" s="22" t="s">
        <v>3587</v>
      </c>
      <c r="K3452" s="26">
        <f t="shared" si="53"/>
        <v>600</v>
      </c>
      <c r="L3452" s="26">
        <v>600</v>
      </c>
      <c r="O3452" s="22" t="s">
        <v>3588</v>
      </c>
      <c r="P3452" s="22" t="s">
        <v>3527</v>
      </c>
      <c r="Q3452" s="22" t="s">
        <v>3324</v>
      </c>
      <c r="T3452" s="22">
        <v>8.17</v>
      </c>
      <c r="U3452" s="22">
        <v>0.38</v>
      </c>
      <c r="X3452" s="26"/>
      <c r="Y3452" s="26"/>
    </row>
    <row r="3453" spans="1:25" ht="37.5" x14ac:dyDescent="0.25">
      <c r="A3453" s="21">
        <v>4074</v>
      </c>
      <c r="B3453" s="22" t="s">
        <v>15328</v>
      </c>
      <c r="C3453" s="22" t="s">
        <v>3589</v>
      </c>
      <c r="E3453" s="24">
        <v>1998</v>
      </c>
      <c r="F3453" s="22" t="s">
        <v>3590</v>
      </c>
      <c r="G3453" s="23" t="s">
        <v>3591</v>
      </c>
      <c r="H3453" s="25" t="s">
        <v>15373</v>
      </c>
      <c r="I3453" s="22" t="s">
        <v>15382</v>
      </c>
      <c r="J3453" s="22" t="s">
        <v>14716</v>
      </c>
      <c r="K3453" s="26">
        <f t="shared" si="53"/>
        <v>500</v>
      </c>
      <c r="L3453" s="26">
        <v>500</v>
      </c>
      <c r="O3453" s="22" t="s">
        <v>3592</v>
      </c>
      <c r="P3453" s="22" t="s">
        <v>3328</v>
      </c>
      <c r="Q3453" s="22" t="s">
        <v>3593</v>
      </c>
      <c r="T3453" s="22">
        <v>6.9</v>
      </c>
      <c r="U3453" s="22">
        <v>0.4</v>
      </c>
      <c r="X3453" s="26"/>
      <c r="Y3453" s="26"/>
    </row>
    <row r="3454" spans="1:25" ht="37.5" x14ac:dyDescent="0.25">
      <c r="A3454" s="21">
        <v>4075</v>
      </c>
      <c r="B3454" s="22" t="s">
        <v>15328</v>
      </c>
      <c r="C3454" s="22" t="s">
        <v>3589</v>
      </c>
      <c r="E3454" s="24">
        <v>1986</v>
      </c>
      <c r="F3454" s="22" t="s">
        <v>3594</v>
      </c>
      <c r="G3454" s="23" t="s">
        <v>3595</v>
      </c>
      <c r="H3454" s="25" t="s">
        <v>15373</v>
      </c>
      <c r="I3454" s="22" t="s">
        <v>15382</v>
      </c>
      <c r="J3454" s="22" t="s">
        <v>13225</v>
      </c>
      <c r="K3454" s="26">
        <f t="shared" si="53"/>
        <v>500</v>
      </c>
      <c r="L3454" s="26">
        <v>500</v>
      </c>
      <c r="O3454" s="22" t="s">
        <v>3596</v>
      </c>
      <c r="P3454" s="22" t="s">
        <v>3328</v>
      </c>
      <c r="Q3454" s="22" t="s">
        <v>3324</v>
      </c>
      <c r="T3454" s="22">
        <v>11</v>
      </c>
      <c r="U3454" s="22">
        <v>0.53</v>
      </c>
      <c r="X3454" s="26"/>
      <c r="Y3454" s="26"/>
    </row>
    <row r="3455" spans="1:25" ht="50" x14ac:dyDescent="0.25">
      <c r="A3455" s="21">
        <v>4076</v>
      </c>
      <c r="B3455" s="22" t="s">
        <v>15328</v>
      </c>
      <c r="C3455" s="22" t="s">
        <v>3597</v>
      </c>
      <c r="E3455" s="24">
        <v>1999</v>
      </c>
      <c r="F3455" s="22">
        <v>9736</v>
      </c>
      <c r="G3455" s="23" t="s">
        <v>3598</v>
      </c>
      <c r="H3455" s="25" t="s">
        <v>15373</v>
      </c>
      <c r="I3455" s="22" t="s">
        <v>15374</v>
      </c>
      <c r="J3455" s="22">
        <v>3406</v>
      </c>
      <c r="K3455" s="26">
        <f t="shared" si="53"/>
        <v>320</v>
      </c>
      <c r="L3455" s="26">
        <v>320</v>
      </c>
      <c r="O3455" s="22" t="s">
        <v>3599</v>
      </c>
      <c r="P3455" s="22" t="s">
        <v>3349</v>
      </c>
      <c r="Q3455" s="22" t="s">
        <v>3368</v>
      </c>
      <c r="T3455" s="22">
        <v>6.9</v>
      </c>
      <c r="U3455" s="22">
        <v>0.4</v>
      </c>
      <c r="X3455" s="26"/>
      <c r="Y3455" s="26"/>
    </row>
    <row r="3456" spans="1:25" ht="50" x14ac:dyDescent="0.25">
      <c r="A3456" s="21">
        <v>4077</v>
      </c>
      <c r="B3456" s="22" t="s">
        <v>15328</v>
      </c>
      <c r="C3456" s="22" t="s">
        <v>3600</v>
      </c>
      <c r="E3456" s="24">
        <v>1995</v>
      </c>
      <c r="F3456" s="22">
        <v>8011</v>
      </c>
      <c r="G3456" s="23" t="s">
        <v>3601</v>
      </c>
      <c r="H3456" s="25" t="s">
        <v>15373</v>
      </c>
      <c r="I3456" s="22" t="s">
        <v>15382</v>
      </c>
      <c r="J3456" s="22" t="s">
        <v>16811</v>
      </c>
      <c r="K3456" s="26">
        <f t="shared" si="53"/>
        <v>350</v>
      </c>
      <c r="L3456" s="26">
        <v>350</v>
      </c>
      <c r="O3456" s="22" t="s">
        <v>3602</v>
      </c>
      <c r="P3456" s="22" t="s">
        <v>3527</v>
      </c>
      <c r="Q3456" s="22" t="s">
        <v>4290</v>
      </c>
      <c r="T3456" s="22">
        <v>8.17</v>
      </c>
      <c r="U3456" s="22">
        <v>0.38</v>
      </c>
      <c r="X3456" s="26"/>
      <c r="Y3456" s="26"/>
    </row>
    <row r="3457" spans="1:25" ht="50" x14ac:dyDescent="0.25">
      <c r="A3457" s="21">
        <v>4078</v>
      </c>
      <c r="B3457" s="22" t="s">
        <v>15328</v>
      </c>
      <c r="C3457" s="22" t="s">
        <v>3365</v>
      </c>
      <c r="E3457" s="24">
        <v>1998</v>
      </c>
      <c r="F3457" s="22" t="s">
        <v>3603</v>
      </c>
      <c r="G3457" s="23" t="s">
        <v>3604</v>
      </c>
      <c r="H3457" s="25" t="s">
        <v>15373</v>
      </c>
      <c r="I3457" s="22" t="s">
        <v>15374</v>
      </c>
      <c r="J3457" s="22" t="s">
        <v>16561</v>
      </c>
      <c r="K3457" s="26">
        <f t="shared" si="53"/>
        <v>300</v>
      </c>
      <c r="L3457" s="26">
        <v>300</v>
      </c>
      <c r="O3457" s="22" t="s">
        <v>3605</v>
      </c>
      <c r="P3457" s="22" t="s">
        <v>3349</v>
      </c>
      <c r="Q3457" s="22" t="s">
        <v>3368</v>
      </c>
      <c r="T3457" s="22">
        <v>6.9</v>
      </c>
      <c r="U3457" s="22">
        <v>0.4</v>
      </c>
      <c r="X3457" s="26"/>
      <c r="Y3457" s="26"/>
    </row>
    <row r="3458" spans="1:25" ht="37.5" x14ac:dyDescent="0.25">
      <c r="A3458" s="21">
        <v>4079</v>
      </c>
      <c r="B3458" s="22" t="s">
        <v>15328</v>
      </c>
      <c r="C3458" s="22" t="s">
        <v>3365</v>
      </c>
      <c r="E3458" s="24">
        <v>1993</v>
      </c>
      <c r="F3458" s="22">
        <v>7552</v>
      </c>
      <c r="G3458" s="23" t="s">
        <v>3606</v>
      </c>
      <c r="H3458" s="25" t="s">
        <v>15373</v>
      </c>
      <c r="I3458" s="22" t="s">
        <v>15374</v>
      </c>
      <c r="J3458" s="22">
        <v>3406</v>
      </c>
      <c r="K3458" s="26">
        <f t="shared" si="53"/>
        <v>350</v>
      </c>
      <c r="L3458" s="26">
        <v>350</v>
      </c>
      <c r="O3458" s="22" t="s">
        <v>3607</v>
      </c>
      <c r="P3458" s="22" t="s">
        <v>3349</v>
      </c>
      <c r="Q3458" s="22" t="s">
        <v>4285</v>
      </c>
      <c r="T3458" s="22">
        <v>8.17</v>
      </c>
      <c r="U3458" s="22">
        <v>0.38</v>
      </c>
      <c r="X3458" s="26"/>
      <c r="Y3458" s="26"/>
    </row>
    <row r="3459" spans="1:25" ht="50" x14ac:dyDescent="0.25">
      <c r="A3459" s="21">
        <v>4080</v>
      </c>
      <c r="B3459" s="22" t="s">
        <v>15328</v>
      </c>
      <c r="C3459" s="22" t="s">
        <v>3608</v>
      </c>
      <c r="E3459" s="24">
        <v>1999</v>
      </c>
      <c r="F3459" s="22">
        <v>9924</v>
      </c>
      <c r="G3459" s="23" t="s">
        <v>3609</v>
      </c>
      <c r="H3459" s="25" t="s">
        <v>15373</v>
      </c>
      <c r="I3459" s="22" t="s">
        <v>15374</v>
      </c>
      <c r="J3459" s="22" t="s">
        <v>17288</v>
      </c>
      <c r="K3459" s="26">
        <f t="shared" si="53"/>
        <v>300</v>
      </c>
      <c r="L3459" s="26">
        <v>300</v>
      </c>
      <c r="O3459" s="22" t="s">
        <v>3610</v>
      </c>
      <c r="P3459" s="22" t="s">
        <v>3611</v>
      </c>
      <c r="Q3459" s="22" t="s">
        <v>3612</v>
      </c>
      <c r="T3459" s="22">
        <v>6.9</v>
      </c>
      <c r="U3459" s="22">
        <v>0.4</v>
      </c>
      <c r="X3459" s="26"/>
      <c r="Y3459" s="26"/>
    </row>
    <row r="3460" spans="1:25" ht="37.5" x14ac:dyDescent="0.25">
      <c r="A3460" s="21">
        <v>4081</v>
      </c>
      <c r="B3460" s="22" t="s">
        <v>15328</v>
      </c>
      <c r="C3460" s="22" t="s">
        <v>3613</v>
      </c>
      <c r="E3460" s="24">
        <v>1999</v>
      </c>
      <c r="F3460" s="22">
        <v>10119</v>
      </c>
      <c r="G3460" s="23" t="s">
        <v>3614</v>
      </c>
      <c r="H3460" s="25" t="s">
        <v>15373</v>
      </c>
      <c r="I3460" s="22" t="s">
        <v>15374</v>
      </c>
      <c r="J3460" s="22">
        <v>3406</v>
      </c>
      <c r="K3460" s="26">
        <f t="shared" si="53"/>
        <v>300</v>
      </c>
      <c r="L3460" s="26">
        <v>300</v>
      </c>
      <c r="O3460" s="22" t="s">
        <v>3615</v>
      </c>
      <c r="P3460" s="22" t="s">
        <v>4329</v>
      </c>
      <c r="Q3460" s="22" t="s">
        <v>4311</v>
      </c>
      <c r="T3460" s="22">
        <v>6.9</v>
      </c>
      <c r="U3460" s="22">
        <v>0.4</v>
      </c>
      <c r="X3460" s="26"/>
      <c r="Y3460" s="26"/>
    </row>
    <row r="3461" spans="1:25" ht="37.5" x14ac:dyDescent="0.25">
      <c r="A3461" s="21">
        <v>4082</v>
      </c>
      <c r="B3461" s="22" t="s">
        <v>15328</v>
      </c>
      <c r="C3461" s="22" t="s">
        <v>3613</v>
      </c>
      <c r="E3461" s="24">
        <v>2000</v>
      </c>
      <c r="F3461" s="22">
        <v>10259</v>
      </c>
      <c r="G3461" s="23" t="s">
        <v>3616</v>
      </c>
      <c r="H3461" s="25" t="s">
        <v>15373</v>
      </c>
      <c r="I3461" s="22" t="s">
        <v>15374</v>
      </c>
      <c r="J3461" s="22">
        <v>3506</v>
      </c>
      <c r="K3461" s="26">
        <f t="shared" si="53"/>
        <v>300</v>
      </c>
      <c r="L3461" s="26">
        <v>300</v>
      </c>
      <c r="O3461" s="22" t="s">
        <v>3617</v>
      </c>
      <c r="P3461" s="22" t="s">
        <v>3618</v>
      </c>
      <c r="Q3461" s="22" t="s">
        <v>3619</v>
      </c>
      <c r="T3461" s="22">
        <v>6.9</v>
      </c>
      <c r="U3461" s="22">
        <v>0.4</v>
      </c>
      <c r="X3461" s="26"/>
      <c r="Y3461" s="26"/>
    </row>
    <row r="3462" spans="1:25" ht="62.5" x14ac:dyDescent="0.25">
      <c r="A3462" s="21">
        <v>4083</v>
      </c>
      <c r="B3462" s="22" t="s">
        <v>15328</v>
      </c>
      <c r="C3462" s="22" t="s">
        <v>3620</v>
      </c>
      <c r="E3462" s="24">
        <v>1996</v>
      </c>
      <c r="F3462" s="22">
        <v>8514</v>
      </c>
      <c r="G3462" s="23" t="s">
        <v>3621</v>
      </c>
      <c r="H3462" s="25" t="s">
        <v>15373</v>
      </c>
      <c r="I3462" s="22" t="s">
        <v>15374</v>
      </c>
      <c r="J3462" s="22">
        <v>3412</v>
      </c>
      <c r="K3462" s="26">
        <f t="shared" si="53"/>
        <v>679</v>
      </c>
      <c r="L3462" s="26">
        <v>679</v>
      </c>
      <c r="O3462" s="22" t="s">
        <v>3622</v>
      </c>
      <c r="P3462" s="22" t="s">
        <v>3340</v>
      </c>
      <c r="Q3462" s="22" t="s">
        <v>4290</v>
      </c>
      <c r="T3462" s="22">
        <v>8.17</v>
      </c>
      <c r="U3462" s="22">
        <v>0.38</v>
      </c>
      <c r="X3462" s="26"/>
      <c r="Y3462" s="26"/>
    </row>
    <row r="3463" spans="1:25" ht="62.5" x14ac:dyDescent="0.25">
      <c r="A3463" s="21">
        <v>4084</v>
      </c>
      <c r="B3463" s="22" t="s">
        <v>15328</v>
      </c>
      <c r="C3463" s="22" t="s">
        <v>3481</v>
      </c>
      <c r="E3463" s="24">
        <v>1991</v>
      </c>
      <c r="F3463" s="22">
        <v>8223</v>
      </c>
      <c r="G3463" s="23" t="s">
        <v>3623</v>
      </c>
      <c r="H3463" s="25" t="s">
        <v>15373</v>
      </c>
      <c r="I3463" s="22" t="s">
        <v>15382</v>
      </c>
      <c r="J3463" s="22" t="s">
        <v>16861</v>
      </c>
      <c r="K3463" s="26">
        <f t="shared" si="53"/>
        <v>300</v>
      </c>
      <c r="L3463" s="26">
        <v>300</v>
      </c>
      <c r="O3463" s="22" t="s">
        <v>3624</v>
      </c>
      <c r="P3463" s="22" t="s">
        <v>3625</v>
      </c>
      <c r="Q3463" s="22">
        <v>93943</v>
      </c>
      <c r="T3463" s="22">
        <v>8.17</v>
      </c>
      <c r="U3463" s="22">
        <v>0.38</v>
      </c>
      <c r="X3463" s="26"/>
      <c r="Y3463" s="26"/>
    </row>
    <row r="3464" spans="1:25" ht="62.5" x14ac:dyDescent="0.25">
      <c r="A3464" s="21">
        <v>4085</v>
      </c>
      <c r="B3464" s="22" t="s">
        <v>15328</v>
      </c>
      <c r="C3464" s="22" t="s">
        <v>3936</v>
      </c>
      <c r="E3464" s="24">
        <v>1997</v>
      </c>
      <c r="F3464" s="22">
        <v>9169</v>
      </c>
      <c r="G3464" s="23" t="s">
        <v>3626</v>
      </c>
      <c r="H3464" s="25" t="s">
        <v>15373</v>
      </c>
      <c r="I3464" s="22" t="s">
        <v>15411</v>
      </c>
      <c r="J3464" s="22" t="s">
        <v>15744</v>
      </c>
      <c r="K3464" s="26">
        <f t="shared" si="53"/>
        <v>750</v>
      </c>
      <c r="L3464" s="26">
        <v>750</v>
      </c>
      <c r="O3464" s="22" t="s">
        <v>3627</v>
      </c>
      <c r="P3464" s="22" t="s">
        <v>3328</v>
      </c>
      <c r="Q3464" s="22" t="s">
        <v>3324</v>
      </c>
      <c r="T3464" s="22">
        <v>8.17</v>
      </c>
      <c r="U3464" s="22">
        <v>0.38</v>
      </c>
      <c r="X3464" s="26"/>
      <c r="Y3464" s="26"/>
    </row>
    <row r="3465" spans="1:25" ht="62.5" x14ac:dyDescent="0.25">
      <c r="A3465" s="21">
        <v>4086</v>
      </c>
      <c r="B3465" s="22" t="s">
        <v>15328</v>
      </c>
      <c r="C3465" s="22" t="s">
        <v>3936</v>
      </c>
      <c r="E3465" s="24">
        <v>1997</v>
      </c>
      <c r="F3465" s="22">
        <v>9171</v>
      </c>
      <c r="G3465" s="23" t="s">
        <v>3628</v>
      </c>
      <c r="H3465" s="25" t="s">
        <v>15373</v>
      </c>
      <c r="I3465" s="22" t="s">
        <v>15411</v>
      </c>
      <c r="J3465" s="22" t="s">
        <v>16276</v>
      </c>
      <c r="K3465" s="26">
        <f t="shared" si="53"/>
        <v>300</v>
      </c>
      <c r="L3465" s="26">
        <v>300</v>
      </c>
      <c r="O3465" s="22" t="s">
        <v>3629</v>
      </c>
      <c r="P3465" s="22" t="s">
        <v>3333</v>
      </c>
      <c r="Q3465" s="22" t="s">
        <v>3334</v>
      </c>
      <c r="T3465" s="22">
        <v>6.9</v>
      </c>
      <c r="U3465" s="22">
        <v>0.4</v>
      </c>
      <c r="X3465" s="26"/>
      <c r="Y3465" s="26"/>
    </row>
    <row r="3466" spans="1:25" ht="37.5" x14ac:dyDescent="0.25">
      <c r="A3466" s="21">
        <v>4088</v>
      </c>
      <c r="B3466" s="22" t="s">
        <v>15328</v>
      </c>
      <c r="C3466" s="22" t="s">
        <v>3630</v>
      </c>
      <c r="E3466" s="24">
        <v>1991</v>
      </c>
      <c r="F3466" s="22">
        <v>9760</v>
      </c>
      <c r="G3466" s="23" t="s">
        <v>3631</v>
      </c>
      <c r="H3466" s="25" t="s">
        <v>15373</v>
      </c>
      <c r="I3466" s="22" t="s">
        <v>15374</v>
      </c>
      <c r="J3466" s="22">
        <v>3412</v>
      </c>
      <c r="K3466" s="26">
        <f t="shared" si="53"/>
        <v>600</v>
      </c>
      <c r="L3466" s="26">
        <v>600</v>
      </c>
      <c r="O3466" s="22" t="s">
        <v>3632</v>
      </c>
      <c r="P3466" s="22" t="s">
        <v>3328</v>
      </c>
      <c r="Q3466" s="22" t="s">
        <v>3324</v>
      </c>
      <c r="T3466" s="22">
        <v>8.17</v>
      </c>
      <c r="U3466" s="22">
        <v>0.38</v>
      </c>
      <c r="X3466" s="26"/>
      <c r="Y3466" s="26"/>
    </row>
    <row r="3467" spans="1:25" ht="50" x14ac:dyDescent="0.25">
      <c r="A3467" s="21">
        <v>4089</v>
      </c>
      <c r="B3467" s="22" t="s">
        <v>15328</v>
      </c>
      <c r="C3467" s="22" t="s">
        <v>3633</v>
      </c>
      <c r="E3467" s="24">
        <v>1995</v>
      </c>
      <c r="F3467" s="22" t="s">
        <v>3634</v>
      </c>
      <c r="G3467" s="23" t="s">
        <v>3635</v>
      </c>
      <c r="H3467" s="25" t="s">
        <v>15373</v>
      </c>
      <c r="I3467" s="22" t="s">
        <v>15382</v>
      </c>
      <c r="J3467" s="22" t="s">
        <v>14659</v>
      </c>
      <c r="K3467" s="26">
        <f t="shared" si="53"/>
        <v>500</v>
      </c>
      <c r="L3467" s="26">
        <v>500</v>
      </c>
      <c r="O3467" s="22" t="s">
        <v>3636</v>
      </c>
      <c r="P3467" s="22" t="s">
        <v>3557</v>
      </c>
      <c r="Q3467" s="22" t="s">
        <v>3558</v>
      </c>
      <c r="T3467" s="22">
        <v>8.17</v>
      </c>
      <c r="U3467" s="22">
        <v>0.38</v>
      </c>
      <c r="X3467" s="26"/>
      <c r="Y3467" s="26"/>
    </row>
    <row r="3468" spans="1:25" ht="37.5" x14ac:dyDescent="0.25">
      <c r="A3468" s="21">
        <v>4090</v>
      </c>
      <c r="B3468" s="22" t="s">
        <v>15328</v>
      </c>
      <c r="C3468" s="22" t="s">
        <v>3633</v>
      </c>
      <c r="E3468" s="24">
        <v>1991</v>
      </c>
      <c r="F3468" s="22" t="s">
        <v>3637</v>
      </c>
      <c r="G3468" s="23" t="s">
        <v>3638</v>
      </c>
      <c r="H3468" s="25" t="s">
        <v>15373</v>
      </c>
      <c r="I3468" s="22" t="s">
        <v>15374</v>
      </c>
      <c r="J3468" s="22" t="s">
        <v>16561</v>
      </c>
      <c r="K3468" s="26">
        <f t="shared" si="53"/>
        <v>350</v>
      </c>
      <c r="L3468" s="26">
        <v>350</v>
      </c>
      <c r="O3468" s="22" t="s">
        <v>3639</v>
      </c>
      <c r="P3468" s="22" t="s">
        <v>3557</v>
      </c>
      <c r="Q3468" s="22" t="s">
        <v>3558</v>
      </c>
      <c r="T3468" s="22">
        <v>8.17</v>
      </c>
      <c r="U3468" s="22">
        <v>0.38</v>
      </c>
      <c r="X3468" s="26"/>
      <c r="Y3468" s="26"/>
    </row>
    <row r="3469" spans="1:25" ht="62.5" x14ac:dyDescent="0.25">
      <c r="A3469" s="21">
        <v>4091</v>
      </c>
      <c r="B3469" s="22" t="s">
        <v>15328</v>
      </c>
      <c r="C3469" s="22" t="s">
        <v>3640</v>
      </c>
      <c r="E3469" s="24">
        <v>1991</v>
      </c>
      <c r="F3469" s="22">
        <v>7633</v>
      </c>
      <c r="G3469" s="23" t="s">
        <v>3641</v>
      </c>
      <c r="H3469" s="25" t="s">
        <v>15373</v>
      </c>
      <c r="I3469" s="22" t="s">
        <v>15382</v>
      </c>
      <c r="J3469" s="22" t="s">
        <v>16811</v>
      </c>
      <c r="K3469" s="26">
        <f t="shared" si="53"/>
        <v>350</v>
      </c>
      <c r="L3469" s="26">
        <v>350</v>
      </c>
      <c r="O3469" s="22" t="s">
        <v>3642</v>
      </c>
      <c r="T3469" s="22">
        <v>8.17</v>
      </c>
      <c r="U3469" s="22">
        <v>0.38</v>
      </c>
      <c r="X3469" s="26"/>
      <c r="Y3469" s="26"/>
    </row>
    <row r="3470" spans="1:25" ht="50" x14ac:dyDescent="0.25">
      <c r="A3470" s="21">
        <v>4092</v>
      </c>
      <c r="B3470" s="22" t="s">
        <v>15328</v>
      </c>
      <c r="C3470" s="22" t="s">
        <v>3643</v>
      </c>
      <c r="E3470" s="24">
        <v>1988</v>
      </c>
      <c r="F3470" s="22">
        <v>9195</v>
      </c>
      <c r="G3470" s="23" t="s">
        <v>3644</v>
      </c>
      <c r="H3470" s="25" t="s">
        <v>15373</v>
      </c>
      <c r="I3470" s="22" t="s">
        <v>15411</v>
      </c>
      <c r="J3470" s="22" t="s">
        <v>16276</v>
      </c>
      <c r="K3470" s="26">
        <f t="shared" si="53"/>
        <v>315</v>
      </c>
      <c r="L3470" s="26">
        <v>315</v>
      </c>
      <c r="O3470" s="22" t="s">
        <v>3645</v>
      </c>
      <c r="P3470" s="22" t="s">
        <v>3646</v>
      </c>
      <c r="Q3470" s="22" t="s">
        <v>3314</v>
      </c>
      <c r="T3470" s="22">
        <v>8.17</v>
      </c>
      <c r="U3470" s="22">
        <v>0.38</v>
      </c>
      <c r="X3470" s="26"/>
      <c r="Y3470" s="26"/>
    </row>
    <row r="3471" spans="1:25" ht="50" x14ac:dyDescent="0.25">
      <c r="A3471" s="21">
        <v>4093</v>
      </c>
      <c r="B3471" s="22" t="s">
        <v>15328</v>
      </c>
      <c r="C3471" s="22" t="s">
        <v>3647</v>
      </c>
      <c r="E3471" s="24">
        <v>1995</v>
      </c>
      <c r="F3471" s="22">
        <v>8268</v>
      </c>
      <c r="G3471" s="23" t="s">
        <v>3648</v>
      </c>
      <c r="H3471" s="25" t="s">
        <v>15373</v>
      </c>
      <c r="I3471" s="22" t="s">
        <v>15382</v>
      </c>
      <c r="J3471" s="22" t="s">
        <v>14562</v>
      </c>
      <c r="K3471" s="26">
        <f t="shared" si="53"/>
        <v>600</v>
      </c>
      <c r="L3471" s="26">
        <v>600</v>
      </c>
      <c r="O3471" s="22" t="s">
        <v>3649</v>
      </c>
      <c r="P3471" s="22" t="s">
        <v>3328</v>
      </c>
      <c r="Q3471" s="22" t="s">
        <v>3324</v>
      </c>
      <c r="T3471" s="22">
        <v>8.17</v>
      </c>
      <c r="U3471" s="22">
        <v>0.38</v>
      </c>
      <c r="X3471" s="26"/>
      <c r="Y3471" s="26"/>
    </row>
    <row r="3472" spans="1:25" ht="62.5" x14ac:dyDescent="0.25">
      <c r="A3472" s="21">
        <v>4094</v>
      </c>
      <c r="B3472" s="22" t="s">
        <v>15328</v>
      </c>
      <c r="C3472" s="22" t="s">
        <v>3650</v>
      </c>
      <c r="E3472" s="24">
        <v>1997</v>
      </c>
      <c r="F3472" s="22">
        <v>8968</v>
      </c>
      <c r="G3472" s="23" t="s">
        <v>3651</v>
      </c>
      <c r="H3472" s="25" t="s">
        <v>15373</v>
      </c>
      <c r="I3472" s="22" t="s">
        <v>15382</v>
      </c>
      <c r="J3472" s="22" t="s">
        <v>3652</v>
      </c>
      <c r="K3472" s="26">
        <f t="shared" si="53"/>
        <v>500</v>
      </c>
      <c r="L3472" s="26">
        <v>500</v>
      </c>
      <c r="O3472" s="22" t="s">
        <v>3653</v>
      </c>
      <c r="P3472" s="22" t="s">
        <v>3333</v>
      </c>
      <c r="Q3472" s="22" t="s">
        <v>3334</v>
      </c>
      <c r="T3472" s="22">
        <v>6.9</v>
      </c>
      <c r="U3472" s="22">
        <v>0.4</v>
      </c>
      <c r="X3472" s="26"/>
      <c r="Y3472" s="26"/>
    </row>
    <row r="3473" spans="1:25" ht="25" x14ac:dyDescent="0.25">
      <c r="A3473" s="21">
        <v>4095</v>
      </c>
      <c r="B3473" s="22" t="s">
        <v>15328</v>
      </c>
      <c r="C3473" s="22" t="s">
        <v>3654</v>
      </c>
      <c r="F3473" s="22" t="s">
        <v>3655</v>
      </c>
      <c r="G3473" s="23" t="s">
        <v>3656</v>
      </c>
      <c r="H3473" s="25" t="s">
        <v>15373</v>
      </c>
      <c r="I3473" s="22" t="s">
        <v>15382</v>
      </c>
      <c r="J3473" s="22" t="s">
        <v>3657</v>
      </c>
      <c r="K3473" s="26">
        <f t="shared" si="53"/>
        <v>350</v>
      </c>
      <c r="L3473" s="26">
        <v>350</v>
      </c>
      <c r="O3473" s="22" t="s">
        <v>16311</v>
      </c>
      <c r="T3473" s="22">
        <v>12</v>
      </c>
      <c r="U3473" s="22">
        <v>0.53</v>
      </c>
      <c r="X3473" s="26"/>
      <c r="Y3473" s="26"/>
    </row>
    <row r="3474" spans="1:25" ht="25" x14ac:dyDescent="0.25">
      <c r="A3474" s="21">
        <v>4096</v>
      </c>
      <c r="B3474" s="22" t="s">
        <v>15328</v>
      </c>
      <c r="C3474" s="22" t="s">
        <v>3658</v>
      </c>
      <c r="F3474" s="22" t="s">
        <v>3655</v>
      </c>
      <c r="G3474" s="23" t="s">
        <v>16160</v>
      </c>
      <c r="H3474" s="25" t="s">
        <v>15373</v>
      </c>
      <c r="I3474" s="22" t="s">
        <v>16160</v>
      </c>
      <c r="J3474" s="22" t="s">
        <v>16311</v>
      </c>
      <c r="K3474" s="26">
        <f t="shared" si="53"/>
        <v>400</v>
      </c>
      <c r="L3474" s="26">
        <v>400</v>
      </c>
      <c r="O3474" s="22" t="s">
        <v>3327</v>
      </c>
      <c r="P3474" s="22" t="s">
        <v>3328</v>
      </c>
      <c r="Q3474" s="22" t="s">
        <v>3324</v>
      </c>
      <c r="T3474" s="22">
        <v>12</v>
      </c>
      <c r="U3474" s="22">
        <v>0.53</v>
      </c>
      <c r="X3474" s="26"/>
      <c r="Y3474" s="26"/>
    </row>
    <row r="3475" spans="1:25" ht="25" x14ac:dyDescent="0.25">
      <c r="A3475" s="21">
        <v>4097</v>
      </c>
      <c r="B3475" s="22" t="s">
        <v>15328</v>
      </c>
      <c r="C3475" s="22" t="s">
        <v>3659</v>
      </c>
      <c r="F3475" s="22" t="s">
        <v>3655</v>
      </c>
      <c r="G3475" s="23" t="s">
        <v>3660</v>
      </c>
      <c r="H3475" s="25" t="s">
        <v>15373</v>
      </c>
      <c r="I3475" s="22" t="s">
        <v>15382</v>
      </c>
      <c r="J3475" s="22" t="s">
        <v>13225</v>
      </c>
      <c r="K3475" s="26">
        <f t="shared" si="53"/>
        <v>520</v>
      </c>
      <c r="L3475" s="26">
        <v>520</v>
      </c>
      <c r="O3475" s="22" t="s">
        <v>3661</v>
      </c>
      <c r="P3475" s="22" t="s">
        <v>3662</v>
      </c>
      <c r="Q3475" s="22" t="s">
        <v>3334</v>
      </c>
      <c r="T3475" s="22">
        <v>12</v>
      </c>
      <c r="U3475" s="22">
        <v>0.53</v>
      </c>
      <c r="X3475" s="26"/>
      <c r="Y3475" s="26"/>
    </row>
    <row r="3476" spans="1:25" ht="25" x14ac:dyDescent="0.25">
      <c r="A3476" s="21">
        <v>4098</v>
      </c>
      <c r="B3476" s="22" t="s">
        <v>15328</v>
      </c>
      <c r="C3476" s="22" t="s">
        <v>3337</v>
      </c>
      <c r="F3476" s="22" t="s">
        <v>3655</v>
      </c>
      <c r="G3476" s="23" t="s">
        <v>3663</v>
      </c>
      <c r="H3476" s="25" t="s">
        <v>15373</v>
      </c>
      <c r="I3476" s="22" t="s">
        <v>15374</v>
      </c>
      <c r="J3476" s="22" t="s">
        <v>3664</v>
      </c>
      <c r="K3476" s="26">
        <f t="shared" si="53"/>
        <v>300</v>
      </c>
      <c r="L3476" s="26">
        <v>300</v>
      </c>
      <c r="O3476" s="22" t="s">
        <v>3665</v>
      </c>
      <c r="P3476" s="22" t="s">
        <v>3340</v>
      </c>
      <c r="Q3476" s="22" t="s">
        <v>4290</v>
      </c>
      <c r="T3476" s="22">
        <v>12</v>
      </c>
      <c r="U3476" s="22">
        <v>0.53</v>
      </c>
      <c r="X3476" s="26"/>
      <c r="Y3476" s="26"/>
    </row>
    <row r="3477" spans="1:25" ht="25" x14ac:dyDescent="0.25">
      <c r="A3477" s="21">
        <v>4099</v>
      </c>
      <c r="B3477" s="22" t="s">
        <v>15328</v>
      </c>
      <c r="C3477" s="22" t="s">
        <v>3337</v>
      </c>
      <c r="F3477" s="22" t="s">
        <v>3655</v>
      </c>
      <c r="G3477" s="23" t="s">
        <v>3666</v>
      </c>
      <c r="H3477" s="25" t="s">
        <v>15373</v>
      </c>
      <c r="I3477" s="22" t="s">
        <v>15374</v>
      </c>
      <c r="J3477" s="22">
        <v>3208</v>
      </c>
      <c r="K3477" s="26">
        <f t="shared" si="53"/>
        <v>300</v>
      </c>
      <c r="L3477" s="26">
        <v>300</v>
      </c>
      <c r="O3477" s="22" t="s">
        <v>3667</v>
      </c>
      <c r="P3477" s="22" t="s">
        <v>3340</v>
      </c>
      <c r="Q3477" s="22" t="s">
        <v>3307</v>
      </c>
      <c r="T3477" s="22">
        <v>12</v>
      </c>
      <c r="U3477" s="22">
        <v>0.53</v>
      </c>
      <c r="X3477" s="26"/>
      <c r="Y3477" s="26"/>
    </row>
    <row r="3478" spans="1:25" ht="25" x14ac:dyDescent="0.25">
      <c r="A3478" s="21">
        <v>4100</v>
      </c>
      <c r="B3478" s="22" t="s">
        <v>15328</v>
      </c>
      <c r="C3478" s="22" t="s">
        <v>3337</v>
      </c>
      <c r="F3478" s="22" t="s">
        <v>3655</v>
      </c>
      <c r="G3478" s="23" t="s">
        <v>3668</v>
      </c>
      <c r="H3478" s="25" t="s">
        <v>15373</v>
      </c>
      <c r="I3478" s="22" t="s">
        <v>16160</v>
      </c>
      <c r="J3478" s="22" t="s">
        <v>3669</v>
      </c>
      <c r="K3478" s="26">
        <f t="shared" si="53"/>
        <v>500</v>
      </c>
      <c r="L3478" s="26">
        <v>500</v>
      </c>
      <c r="O3478" s="22" t="s">
        <v>3670</v>
      </c>
      <c r="P3478" s="22" t="s">
        <v>3340</v>
      </c>
      <c r="Q3478" s="22" t="s">
        <v>3307</v>
      </c>
      <c r="T3478" s="22">
        <v>12</v>
      </c>
      <c r="U3478" s="22">
        <v>0.53</v>
      </c>
      <c r="X3478" s="26"/>
      <c r="Y3478" s="26"/>
    </row>
    <row r="3479" spans="1:25" ht="25" x14ac:dyDescent="0.25">
      <c r="A3479" s="21">
        <v>4101</v>
      </c>
      <c r="B3479" s="22" t="s">
        <v>15328</v>
      </c>
      <c r="C3479" s="22" t="s">
        <v>3589</v>
      </c>
      <c r="F3479" s="22" t="s">
        <v>3655</v>
      </c>
      <c r="G3479" s="23" t="s">
        <v>15382</v>
      </c>
      <c r="H3479" s="25" t="s">
        <v>15373</v>
      </c>
      <c r="I3479" s="22" t="s">
        <v>15382</v>
      </c>
      <c r="J3479" s="22" t="s">
        <v>16311</v>
      </c>
      <c r="K3479" s="26">
        <f t="shared" si="53"/>
        <v>500</v>
      </c>
      <c r="L3479" s="26">
        <v>500</v>
      </c>
      <c r="O3479" s="22" t="s">
        <v>3592</v>
      </c>
      <c r="P3479" s="22" t="s">
        <v>3328</v>
      </c>
      <c r="Q3479" s="22" t="s">
        <v>3593</v>
      </c>
      <c r="T3479" s="22">
        <v>12</v>
      </c>
      <c r="U3479" s="22">
        <v>0.53</v>
      </c>
      <c r="X3479" s="26"/>
      <c r="Y3479" s="26"/>
    </row>
    <row r="3480" spans="1:25" ht="25" x14ac:dyDescent="0.25">
      <c r="A3480" s="21">
        <v>4102</v>
      </c>
      <c r="B3480" s="22" t="s">
        <v>15328</v>
      </c>
      <c r="C3480" s="22" t="s">
        <v>3589</v>
      </c>
      <c r="F3480" s="22" t="s">
        <v>3655</v>
      </c>
      <c r="G3480" s="23" t="s">
        <v>16160</v>
      </c>
      <c r="H3480" s="25" t="s">
        <v>15373</v>
      </c>
      <c r="I3480" s="22" t="s">
        <v>16160</v>
      </c>
      <c r="J3480" s="22" t="s">
        <v>16311</v>
      </c>
      <c r="K3480" s="26">
        <f t="shared" si="53"/>
        <v>500</v>
      </c>
      <c r="L3480" s="26">
        <v>500</v>
      </c>
      <c r="O3480" s="22" t="s">
        <v>3592</v>
      </c>
      <c r="P3480" s="22" t="s">
        <v>3328</v>
      </c>
      <c r="Q3480" s="22" t="s">
        <v>3593</v>
      </c>
      <c r="T3480" s="22">
        <v>12</v>
      </c>
      <c r="U3480" s="22">
        <v>0.53</v>
      </c>
      <c r="X3480" s="26"/>
      <c r="Y3480" s="26"/>
    </row>
    <row r="3481" spans="1:25" x14ac:dyDescent="0.25">
      <c r="A3481" s="21">
        <v>4103</v>
      </c>
      <c r="B3481" s="22" t="s">
        <v>15328</v>
      </c>
      <c r="C3481" s="22" t="s">
        <v>3608</v>
      </c>
      <c r="F3481" s="22" t="s">
        <v>3655</v>
      </c>
      <c r="G3481" s="23" t="s">
        <v>3671</v>
      </c>
      <c r="H3481" s="25" t="s">
        <v>15373</v>
      </c>
      <c r="I3481" s="22" t="s">
        <v>15374</v>
      </c>
      <c r="J3481" s="22">
        <v>3412</v>
      </c>
      <c r="K3481" s="26">
        <f t="shared" si="53"/>
        <v>470</v>
      </c>
      <c r="L3481" s="26">
        <v>470</v>
      </c>
      <c r="O3481" s="22" t="s">
        <v>3672</v>
      </c>
      <c r="P3481" s="22" t="s">
        <v>3349</v>
      </c>
      <c r="Q3481" s="22" t="s">
        <v>3368</v>
      </c>
      <c r="T3481" s="22">
        <v>12</v>
      </c>
      <c r="U3481" s="22">
        <v>0.53</v>
      </c>
      <c r="X3481" s="26"/>
      <c r="Y3481" s="26"/>
    </row>
    <row r="3482" spans="1:25" x14ac:dyDescent="0.25">
      <c r="A3482" s="21">
        <v>4104</v>
      </c>
      <c r="B3482" s="22" t="s">
        <v>15328</v>
      </c>
      <c r="C3482" s="22" t="s">
        <v>3673</v>
      </c>
      <c r="F3482" s="22" t="s">
        <v>3655</v>
      </c>
      <c r="G3482" s="23" t="s">
        <v>3674</v>
      </c>
      <c r="H3482" s="25" t="s">
        <v>15373</v>
      </c>
      <c r="I3482" s="22" t="s">
        <v>15382</v>
      </c>
      <c r="J3482" s="22">
        <v>1150</v>
      </c>
      <c r="K3482" s="26">
        <f t="shared" si="53"/>
        <v>365</v>
      </c>
      <c r="L3482" s="26">
        <v>365</v>
      </c>
      <c r="O3482" s="22" t="s">
        <v>3675</v>
      </c>
      <c r="P3482" s="22" t="s">
        <v>4295</v>
      </c>
      <c r="Q3482" s="22" t="s">
        <v>4296</v>
      </c>
      <c r="T3482" s="22">
        <v>12</v>
      </c>
      <c r="U3482" s="22">
        <v>0.53</v>
      </c>
      <c r="X3482" s="26"/>
      <c r="Y3482" s="26"/>
    </row>
    <row r="3483" spans="1:25" x14ac:dyDescent="0.25">
      <c r="A3483" s="21">
        <v>4105</v>
      </c>
      <c r="B3483" s="22" t="s">
        <v>15328</v>
      </c>
      <c r="C3483" s="22" t="s">
        <v>3676</v>
      </c>
      <c r="F3483" s="22" t="s">
        <v>3655</v>
      </c>
      <c r="G3483" s="23" t="s">
        <v>3677</v>
      </c>
      <c r="H3483" s="25" t="s">
        <v>15373</v>
      </c>
      <c r="I3483" s="22" t="s">
        <v>15374</v>
      </c>
      <c r="J3483" s="22">
        <v>3406</v>
      </c>
      <c r="K3483" s="26">
        <f t="shared" si="53"/>
        <v>300</v>
      </c>
      <c r="L3483" s="26">
        <v>300</v>
      </c>
      <c r="O3483" s="22" t="s">
        <v>3348</v>
      </c>
      <c r="P3483" s="22" t="s">
        <v>3349</v>
      </c>
      <c r="Q3483" s="22" t="s">
        <v>3350</v>
      </c>
      <c r="T3483" s="22">
        <v>12</v>
      </c>
      <c r="U3483" s="22">
        <v>0.53</v>
      </c>
      <c r="X3483" s="26"/>
      <c r="Y3483" s="26"/>
    </row>
    <row r="3484" spans="1:25" ht="25" x14ac:dyDescent="0.25">
      <c r="A3484" s="21">
        <v>4106</v>
      </c>
      <c r="B3484" s="22" t="s">
        <v>15328</v>
      </c>
      <c r="C3484" s="22" t="s">
        <v>3678</v>
      </c>
      <c r="F3484" s="22" t="s">
        <v>3655</v>
      </c>
      <c r="G3484" s="23" t="s">
        <v>3679</v>
      </c>
      <c r="H3484" s="25" t="s">
        <v>15373</v>
      </c>
      <c r="I3484" s="22" t="s">
        <v>15411</v>
      </c>
      <c r="J3484" s="22" t="s">
        <v>15838</v>
      </c>
      <c r="K3484" s="26">
        <f t="shared" si="53"/>
        <v>350</v>
      </c>
      <c r="L3484" s="26">
        <v>350</v>
      </c>
      <c r="O3484" s="22" t="s">
        <v>3680</v>
      </c>
      <c r="P3484" s="22" t="s">
        <v>3523</v>
      </c>
      <c r="Q3484" s="22" t="s">
        <v>3341</v>
      </c>
      <c r="T3484" s="22">
        <v>12</v>
      </c>
      <c r="U3484" s="22">
        <v>0.53</v>
      </c>
      <c r="X3484" s="26"/>
      <c r="Y3484" s="26"/>
    </row>
    <row r="3485" spans="1:25" x14ac:dyDescent="0.25">
      <c r="A3485" s="21">
        <v>4107</v>
      </c>
      <c r="B3485" s="22" t="s">
        <v>15328</v>
      </c>
      <c r="C3485" s="22" t="s">
        <v>3936</v>
      </c>
      <c r="F3485" s="22" t="s">
        <v>3655</v>
      </c>
      <c r="G3485" s="23" t="s">
        <v>3681</v>
      </c>
      <c r="H3485" s="25" t="s">
        <v>16311</v>
      </c>
      <c r="I3485" s="22" t="s">
        <v>16311</v>
      </c>
      <c r="J3485" s="22" t="s">
        <v>16311</v>
      </c>
      <c r="K3485" s="26">
        <f t="shared" si="53"/>
        <v>750</v>
      </c>
      <c r="L3485" s="26">
        <v>750</v>
      </c>
      <c r="O3485" s="22" t="s">
        <v>3682</v>
      </c>
      <c r="P3485" s="22" t="s">
        <v>3340</v>
      </c>
      <c r="Q3485" s="22">
        <v>93940</v>
      </c>
      <c r="T3485" s="22">
        <v>12</v>
      </c>
      <c r="U3485" s="22">
        <v>0.53</v>
      </c>
      <c r="X3485" s="26"/>
      <c r="Y3485" s="26"/>
    </row>
    <row r="3486" spans="1:25" ht="25" x14ac:dyDescent="0.25">
      <c r="A3486" s="21">
        <v>4108</v>
      </c>
      <c r="B3486" s="22" t="s">
        <v>15328</v>
      </c>
      <c r="C3486" s="22" t="s">
        <v>3683</v>
      </c>
      <c r="F3486" s="22" t="s">
        <v>3655</v>
      </c>
      <c r="G3486" s="23" t="s">
        <v>3684</v>
      </c>
      <c r="H3486" s="25" t="s">
        <v>15373</v>
      </c>
      <c r="I3486" s="22" t="s">
        <v>15411</v>
      </c>
      <c r="J3486" s="22" t="s">
        <v>3685</v>
      </c>
      <c r="K3486" s="26">
        <f t="shared" si="53"/>
        <v>350</v>
      </c>
      <c r="L3486" s="26">
        <v>350</v>
      </c>
      <c r="O3486" s="22" t="s">
        <v>3686</v>
      </c>
      <c r="P3486" s="22" t="s">
        <v>3328</v>
      </c>
      <c r="Q3486" s="22" t="s">
        <v>3324</v>
      </c>
      <c r="T3486" s="22">
        <v>12</v>
      </c>
      <c r="U3486" s="22">
        <v>0.53</v>
      </c>
      <c r="X3486" s="26"/>
      <c r="Y3486" s="26"/>
    </row>
    <row r="3487" spans="1:25" ht="25" x14ac:dyDescent="0.25">
      <c r="A3487" s="21">
        <v>4109</v>
      </c>
      <c r="B3487" s="22" t="s">
        <v>15328</v>
      </c>
      <c r="C3487" s="22" t="s">
        <v>3687</v>
      </c>
      <c r="F3487" s="22" t="s">
        <v>3655</v>
      </c>
      <c r="G3487" s="23" t="s">
        <v>3671</v>
      </c>
      <c r="H3487" s="25" t="s">
        <v>15373</v>
      </c>
      <c r="I3487" s="22" t="s">
        <v>15374</v>
      </c>
      <c r="J3487" s="22">
        <v>3412</v>
      </c>
      <c r="K3487" s="26">
        <f t="shared" si="53"/>
        <v>400</v>
      </c>
      <c r="L3487" s="26">
        <v>400</v>
      </c>
      <c r="O3487" s="22" t="s">
        <v>3688</v>
      </c>
      <c r="P3487" s="22" t="s">
        <v>3689</v>
      </c>
      <c r="Q3487" s="22" t="s">
        <v>3690</v>
      </c>
      <c r="T3487" s="22">
        <v>12</v>
      </c>
      <c r="U3487" s="22">
        <v>0.53</v>
      </c>
      <c r="X3487" s="26"/>
      <c r="Y3487" s="26"/>
    </row>
    <row r="3488" spans="1:25" ht="25" x14ac:dyDescent="0.25">
      <c r="A3488" s="21">
        <v>4110</v>
      </c>
      <c r="B3488" s="22" t="s">
        <v>15328</v>
      </c>
      <c r="C3488" s="22" t="s">
        <v>3687</v>
      </c>
      <c r="F3488" s="22" t="s">
        <v>3655</v>
      </c>
      <c r="G3488" s="23" t="s">
        <v>3671</v>
      </c>
      <c r="H3488" s="25" t="s">
        <v>15373</v>
      </c>
      <c r="I3488" s="22" t="s">
        <v>15374</v>
      </c>
      <c r="J3488" s="22">
        <v>3412</v>
      </c>
      <c r="K3488" s="26">
        <f t="shared" si="53"/>
        <v>400</v>
      </c>
      <c r="L3488" s="26">
        <v>400</v>
      </c>
      <c r="O3488" s="22" t="s">
        <v>3691</v>
      </c>
      <c r="P3488" s="22" t="s">
        <v>3328</v>
      </c>
      <c r="Q3488" s="22" t="s">
        <v>3324</v>
      </c>
      <c r="T3488" s="22">
        <v>12</v>
      </c>
      <c r="U3488" s="22">
        <v>0.53</v>
      </c>
      <c r="X3488" s="26"/>
      <c r="Y3488" s="26"/>
    </row>
    <row r="3489" spans="1:25" ht="25" x14ac:dyDescent="0.25">
      <c r="A3489" s="21">
        <v>4111</v>
      </c>
      <c r="B3489" s="22" t="s">
        <v>15328</v>
      </c>
      <c r="C3489" s="22" t="s">
        <v>3687</v>
      </c>
      <c r="F3489" s="22" t="s">
        <v>3655</v>
      </c>
      <c r="G3489" s="23" t="s">
        <v>3692</v>
      </c>
      <c r="H3489" s="25" t="s">
        <v>15373</v>
      </c>
      <c r="I3489" s="22" t="s">
        <v>15374</v>
      </c>
      <c r="J3489" s="22" t="s">
        <v>16360</v>
      </c>
      <c r="K3489" s="26">
        <f t="shared" si="53"/>
        <v>600</v>
      </c>
      <c r="L3489" s="26">
        <v>600</v>
      </c>
      <c r="O3489" s="22" t="s">
        <v>3693</v>
      </c>
      <c r="P3489" s="22" t="s">
        <v>3328</v>
      </c>
      <c r="Q3489" s="22" t="s">
        <v>3324</v>
      </c>
      <c r="T3489" s="22">
        <v>12</v>
      </c>
      <c r="U3489" s="22">
        <v>0.53</v>
      </c>
      <c r="X3489" s="26"/>
      <c r="Y3489" s="26"/>
    </row>
    <row r="3490" spans="1:25" ht="50" x14ac:dyDescent="0.25">
      <c r="A3490" s="21">
        <v>4112</v>
      </c>
      <c r="B3490" s="22" t="s">
        <v>15328</v>
      </c>
      <c r="C3490" s="22" t="s">
        <v>3654</v>
      </c>
      <c r="E3490" s="24">
        <v>2001</v>
      </c>
      <c r="F3490" s="22">
        <v>10945</v>
      </c>
      <c r="G3490" s="23" t="s">
        <v>3694</v>
      </c>
      <c r="H3490" s="25" t="s">
        <v>15373</v>
      </c>
      <c r="I3490" s="22" t="s">
        <v>15382</v>
      </c>
      <c r="J3490" s="22" t="s">
        <v>16799</v>
      </c>
      <c r="K3490" s="26">
        <f t="shared" si="53"/>
        <v>500</v>
      </c>
      <c r="L3490" s="26">
        <v>500</v>
      </c>
      <c r="O3490" s="22" t="s">
        <v>3695</v>
      </c>
      <c r="P3490" s="22" t="s">
        <v>3318</v>
      </c>
      <c r="Q3490" s="22">
        <v>93923</v>
      </c>
      <c r="X3490" s="26"/>
      <c r="Y3490" s="26"/>
    </row>
    <row r="3491" spans="1:25" ht="50" x14ac:dyDescent="0.25">
      <c r="A3491" s="21">
        <v>4113</v>
      </c>
      <c r="B3491" s="22" t="s">
        <v>15328</v>
      </c>
      <c r="C3491" s="22" t="s">
        <v>3696</v>
      </c>
      <c r="E3491" s="24">
        <v>2002</v>
      </c>
      <c r="F3491" s="22">
        <v>11012</v>
      </c>
      <c r="G3491" s="23" t="s">
        <v>3697</v>
      </c>
      <c r="H3491" s="25" t="s">
        <v>15373</v>
      </c>
      <c r="I3491" s="22" t="s">
        <v>14275</v>
      </c>
      <c r="J3491" s="22" t="s">
        <v>3698</v>
      </c>
      <c r="K3491" s="26">
        <f t="shared" si="53"/>
        <v>500</v>
      </c>
      <c r="L3491" s="26">
        <v>500</v>
      </c>
      <c r="O3491" s="22" t="s">
        <v>3699</v>
      </c>
      <c r="P3491" s="22" t="s">
        <v>3662</v>
      </c>
      <c r="Q3491" s="22" t="s">
        <v>3700</v>
      </c>
      <c r="X3491" s="26"/>
      <c r="Y3491" s="26"/>
    </row>
    <row r="3492" spans="1:25" ht="37.5" x14ac:dyDescent="0.25">
      <c r="A3492" s="21">
        <v>4114</v>
      </c>
      <c r="B3492" s="22" t="s">
        <v>15328</v>
      </c>
      <c r="C3492" s="22" t="s">
        <v>4281</v>
      </c>
      <c r="E3492" s="24">
        <v>2001</v>
      </c>
      <c r="F3492" s="22">
        <v>10054</v>
      </c>
      <c r="G3492" s="23" t="s">
        <v>3701</v>
      </c>
      <c r="H3492" s="25" t="s">
        <v>15373</v>
      </c>
      <c r="I3492" s="22" t="s">
        <v>15374</v>
      </c>
      <c r="J3492" s="22">
        <v>3412</v>
      </c>
      <c r="K3492" s="26">
        <f t="shared" si="53"/>
        <v>470</v>
      </c>
      <c r="L3492" s="26">
        <v>470</v>
      </c>
      <c r="O3492" s="22" t="s">
        <v>4284</v>
      </c>
      <c r="P3492" s="22" t="s">
        <v>4341</v>
      </c>
      <c r="Q3492" s="22">
        <v>93905</v>
      </c>
      <c r="X3492" s="26"/>
      <c r="Y3492" s="26"/>
    </row>
    <row r="3493" spans="1:25" ht="62.5" x14ac:dyDescent="0.25">
      <c r="A3493" s="21">
        <v>4115</v>
      </c>
      <c r="B3493" s="22" t="s">
        <v>15328</v>
      </c>
      <c r="C3493" s="22" t="s">
        <v>3702</v>
      </c>
      <c r="E3493" s="24">
        <v>2001</v>
      </c>
      <c r="F3493" s="22">
        <v>10811</v>
      </c>
      <c r="G3493" s="23" t="s">
        <v>3703</v>
      </c>
      <c r="H3493" s="25" t="s">
        <v>15373</v>
      </c>
      <c r="I3493" s="22" t="s">
        <v>15411</v>
      </c>
      <c r="J3493" s="22" t="s">
        <v>3704</v>
      </c>
      <c r="K3493" s="26">
        <f t="shared" si="53"/>
        <v>1250</v>
      </c>
      <c r="L3493" s="26">
        <v>1250</v>
      </c>
      <c r="O3493" s="22" t="s">
        <v>3705</v>
      </c>
      <c r="P3493" s="22" t="s">
        <v>3662</v>
      </c>
      <c r="Q3493" s="22">
        <v>95076</v>
      </c>
      <c r="X3493" s="26"/>
      <c r="Y3493" s="26"/>
    </row>
    <row r="3494" spans="1:25" ht="37.5" x14ac:dyDescent="0.25">
      <c r="A3494" s="21">
        <v>4116</v>
      </c>
      <c r="B3494" s="22" t="s">
        <v>15328</v>
      </c>
      <c r="C3494" s="22" t="s">
        <v>3706</v>
      </c>
      <c r="E3494" s="24">
        <v>2001</v>
      </c>
      <c r="F3494" s="22">
        <v>10739</v>
      </c>
      <c r="G3494" s="23" t="s">
        <v>3707</v>
      </c>
      <c r="H3494" s="25" t="s">
        <v>15373</v>
      </c>
      <c r="I3494" s="22" t="s">
        <v>15374</v>
      </c>
      <c r="J3494" s="22">
        <v>3412</v>
      </c>
      <c r="K3494" s="26">
        <f t="shared" si="53"/>
        <v>800</v>
      </c>
      <c r="L3494" s="26">
        <v>800</v>
      </c>
      <c r="O3494" s="22" t="s">
        <v>3708</v>
      </c>
      <c r="P3494" s="22" t="s">
        <v>3709</v>
      </c>
      <c r="Q3494" s="22">
        <v>95045</v>
      </c>
      <c r="X3494" s="26"/>
      <c r="Y3494" s="26"/>
    </row>
    <row r="3495" spans="1:25" ht="37.5" x14ac:dyDescent="0.25">
      <c r="A3495" s="21">
        <v>4117</v>
      </c>
      <c r="B3495" s="22" t="s">
        <v>15328</v>
      </c>
      <c r="C3495" s="22" t="s">
        <v>3710</v>
      </c>
      <c r="E3495" s="24">
        <v>2001</v>
      </c>
      <c r="F3495" s="22">
        <v>10274</v>
      </c>
      <c r="G3495" s="23" t="s">
        <v>3711</v>
      </c>
      <c r="H3495" s="25" t="s">
        <v>15373</v>
      </c>
      <c r="I3495" s="22" t="s">
        <v>15382</v>
      </c>
      <c r="J3495" s="22" t="s">
        <v>16450</v>
      </c>
      <c r="K3495" s="26">
        <f t="shared" si="53"/>
        <v>750</v>
      </c>
      <c r="L3495" s="26">
        <v>750</v>
      </c>
      <c r="O3495" s="22" t="s">
        <v>3712</v>
      </c>
      <c r="P3495" s="22" t="s">
        <v>4341</v>
      </c>
      <c r="Q3495" s="22">
        <v>93901</v>
      </c>
      <c r="X3495" s="26"/>
      <c r="Y3495" s="26"/>
    </row>
    <row r="3496" spans="1:25" ht="37.5" x14ac:dyDescent="0.25">
      <c r="A3496" s="21">
        <v>4118</v>
      </c>
      <c r="B3496" s="22" t="s">
        <v>15328</v>
      </c>
      <c r="C3496" s="22" t="s">
        <v>3713</v>
      </c>
      <c r="E3496" s="24">
        <v>2001</v>
      </c>
      <c r="F3496" s="22">
        <v>10284</v>
      </c>
      <c r="G3496" s="23" t="s">
        <v>3714</v>
      </c>
      <c r="H3496" s="25" t="s">
        <v>15373</v>
      </c>
      <c r="I3496" s="22" t="s">
        <v>15374</v>
      </c>
      <c r="J3496" s="22" t="s">
        <v>16377</v>
      </c>
      <c r="K3496" s="26">
        <f t="shared" ref="K3496:K3559" si="54">L3496+M3496*(2/3)+N3496*(2/3)</f>
        <v>350</v>
      </c>
      <c r="L3496" s="26">
        <v>350</v>
      </c>
      <c r="O3496" s="22" t="s">
        <v>3715</v>
      </c>
      <c r="P3496" s="22" t="s">
        <v>3716</v>
      </c>
      <c r="Q3496" s="22">
        <v>93930</v>
      </c>
      <c r="X3496" s="26"/>
      <c r="Y3496" s="26"/>
    </row>
    <row r="3497" spans="1:25" ht="50" x14ac:dyDescent="0.25">
      <c r="A3497" s="21">
        <v>4119</v>
      </c>
      <c r="B3497" s="22" t="s">
        <v>15328</v>
      </c>
      <c r="C3497" s="22" t="s">
        <v>3717</v>
      </c>
      <c r="E3497" s="24">
        <v>2001</v>
      </c>
      <c r="F3497" s="22">
        <v>10933</v>
      </c>
      <c r="G3497" s="23" t="s">
        <v>3718</v>
      </c>
      <c r="H3497" s="25" t="s">
        <v>15373</v>
      </c>
      <c r="I3497" s="22" t="s">
        <v>15709</v>
      </c>
      <c r="J3497" s="22" t="s">
        <v>3963</v>
      </c>
      <c r="K3497" s="26">
        <f t="shared" si="54"/>
        <v>1020</v>
      </c>
      <c r="L3497" s="26">
        <v>1020</v>
      </c>
      <c r="O3497" s="22" t="s">
        <v>3719</v>
      </c>
      <c r="P3497" s="22" t="s">
        <v>3662</v>
      </c>
      <c r="Q3497" s="22">
        <v>95076</v>
      </c>
      <c r="X3497" s="26"/>
      <c r="Y3497" s="26"/>
    </row>
    <row r="3498" spans="1:25" ht="50" x14ac:dyDescent="0.25">
      <c r="A3498" s="21">
        <v>4120</v>
      </c>
      <c r="B3498" s="22" t="s">
        <v>15328</v>
      </c>
      <c r="C3498" s="22" t="s">
        <v>3720</v>
      </c>
      <c r="E3498" s="24">
        <v>2002</v>
      </c>
      <c r="F3498" s="22">
        <v>10943</v>
      </c>
      <c r="G3498" s="23" t="s">
        <v>3721</v>
      </c>
      <c r="H3498" s="25" t="s">
        <v>15373</v>
      </c>
      <c r="I3498" s="22" t="s">
        <v>15411</v>
      </c>
      <c r="J3498" s="22" t="s">
        <v>8146</v>
      </c>
      <c r="K3498" s="26">
        <f t="shared" si="54"/>
        <v>500</v>
      </c>
      <c r="L3498" s="26">
        <v>500</v>
      </c>
      <c r="O3498" s="22" t="s">
        <v>3722</v>
      </c>
      <c r="P3498" s="22" t="s">
        <v>3318</v>
      </c>
      <c r="Q3498" s="22">
        <v>93923</v>
      </c>
      <c r="X3498" s="26"/>
      <c r="Y3498" s="26"/>
    </row>
    <row r="3499" spans="1:25" ht="50" x14ac:dyDescent="0.25">
      <c r="A3499" s="21">
        <v>4121</v>
      </c>
      <c r="B3499" s="22" t="s">
        <v>15328</v>
      </c>
      <c r="C3499" s="22" t="s">
        <v>3720</v>
      </c>
      <c r="E3499" s="24">
        <v>2002</v>
      </c>
      <c r="F3499" s="22">
        <v>10944</v>
      </c>
      <c r="G3499" s="23" t="s">
        <v>2700</v>
      </c>
      <c r="H3499" s="25" t="s">
        <v>15373</v>
      </c>
      <c r="I3499" s="22" t="s">
        <v>15411</v>
      </c>
      <c r="J3499" s="22" t="s">
        <v>8146</v>
      </c>
      <c r="K3499" s="26">
        <f t="shared" si="54"/>
        <v>500</v>
      </c>
      <c r="L3499" s="26">
        <v>500</v>
      </c>
      <c r="O3499" s="22" t="s">
        <v>2701</v>
      </c>
      <c r="P3499" s="22" t="s">
        <v>3318</v>
      </c>
      <c r="Q3499" s="22">
        <v>93923</v>
      </c>
      <c r="X3499" s="26"/>
      <c r="Y3499" s="26"/>
    </row>
    <row r="3500" spans="1:25" ht="50" x14ac:dyDescent="0.25">
      <c r="A3500" s="21">
        <v>4122</v>
      </c>
      <c r="B3500" s="22" t="s">
        <v>15328</v>
      </c>
      <c r="C3500" s="22" t="s">
        <v>3720</v>
      </c>
      <c r="E3500" s="24">
        <v>2002</v>
      </c>
      <c r="F3500" s="22">
        <v>11141</v>
      </c>
      <c r="G3500" s="23" t="s">
        <v>2702</v>
      </c>
      <c r="H3500" s="25" t="s">
        <v>15373</v>
      </c>
      <c r="I3500" s="22" t="s">
        <v>15411</v>
      </c>
      <c r="J3500" s="22" t="s">
        <v>16517</v>
      </c>
      <c r="K3500" s="26">
        <f t="shared" si="54"/>
        <v>350</v>
      </c>
      <c r="L3500" s="26">
        <v>350</v>
      </c>
      <c r="O3500" s="22" t="s">
        <v>2703</v>
      </c>
      <c r="P3500" s="22" t="s">
        <v>4341</v>
      </c>
      <c r="Q3500" s="22">
        <v>93908</v>
      </c>
      <c r="X3500" s="26"/>
      <c r="Y3500" s="26"/>
    </row>
    <row r="3501" spans="1:25" ht="50" x14ac:dyDescent="0.25">
      <c r="A3501" s="21">
        <v>4123</v>
      </c>
      <c r="B3501" s="22" t="s">
        <v>15328</v>
      </c>
      <c r="C3501" s="22" t="s">
        <v>3720</v>
      </c>
      <c r="E3501" s="24">
        <v>2002</v>
      </c>
      <c r="F3501" s="22">
        <v>11143</v>
      </c>
      <c r="G3501" s="23" t="s">
        <v>2704</v>
      </c>
      <c r="H3501" s="25" t="s">
        <v>15373</v>
      </c>
      <c r="I3501" s="22" t="s">
        <v>15382</v>
      </c>
      <c r="J3501" s="22" t="s">
        <v>16799</v>
      </c>
      <c r="K3501" s="26">
        <f t="shared" si="54"/>
        <v>500</v>
      </c>
      <c r="L3501" s="26">
        <v>500</v>
      </c>
      <c r="O3501" s="22" t="s">
        <v>2705</v>
      </c>
      <c r="P3501" s="22" t="s">
        <v>3318</v>
      </c>
      <c r="Q3501" s="22">
        <v>93923</v>
      </c>
      <c r="X3501" s="26"/>
      <c r="Y3501" s="26"/>
    </row>
    <row r="3502" spans="1:25" ht="62.5" x14ac:dyDescent="0.25">
      <c r="A3502" s="21">
        <v>4124</v>
      </c>
      <c r="B3502" s="22" t="s">
        <v>15328</v>
      </c>
      <c r="C3502" s="22" t="s">
        <v>2706</v>
      </c>
      <c r="E3502" s="24">
        <v>2002</v>
      </c>
      <c r="F3502" s="22">
        <v>10905</v>
      </c>
      <c r="G3502" s="23" t="s">
        <v>2707</v>
      </c>
      <c r="H3502" s="25" t="s">
        <v>15373</v>
      </c>
      <c r="I3502" s="22" t="s">
        <v>14275</v>
      </c>
      <c r="J3502" s="22" t="s">
        <v>3698</v>
      </c>
      <c r="K3502" s="26">
        <f t="shared" si="54"/>
        <v>500</v>
      </c>
      <c r="L3502" s="26">
        <v>500</v>
      </c>
      <c r="O3502" s="22" t="s">
        <v>2708</v>
      </c>
      <c r="P3502" s="22" t="s">
        <v>3323</v>
      </c>
      <c r="Q3502" s="22">
        <v>95060</v>
      </c>
      <c r="X3502" s="26"/>
      <c r="Y3502" s="26"/>
    </row>
    <row r="3503" spans="1:25" ht="50" x14ac:dyDescent="0.25">
      <c r="A3503" s="21">
        <v>4125</v>
      </c>
      <c r="B3503" s="22" t="s">
        <v>15328</v>
      </c>
      <c r="C3503" s="22" t="s">
        <v>3481</v>
      </c>
      <c r="E3503" s="24">
        <v>2002</v>
      </c>
      <c r="F3503" s="22">
        <v>11174</v>
      </c>
      <c r="G3503" s="23" t="s">
        <v>2709</v>
      </c>
      <c r="H3503" s="25" t="s">
        <v>15373</v>
      </c>
      <c r="I3503" s="22" t="s">
        <v>15411</v>
      </c>
      <c r="J3503" s="22" t="s">
        <v>17547</v>
      </c>
      <c r="K3503" s="26">
        <f t="shared" si="54"/>
        <v>300</v>
      </c>
      <c r="L3503" s="26">
        <v>300</v>
      </c>
      <c r="O3503" s="22" t="s">
        <v>2710</v>
      </c>
      <c r="P3503" s="22" t="s">
        <v>3625</v>
      </c>
      <c r="Q3503" s="22">
        <v>93943</v>
      </c>
      <c r="X3503" s="26"/>
      <c r="Y3503" s="26"/>
    </row>
    <row r="3504" spans="1:25" ht="37.5" x14ac:dyDescent="0.25">
      <c r="A3504" s="21">
        <v>4126</v>
      </c>
      <c r="B3504" s="22" t="s">
        <v>15328</v>
      </c>
      <c r="C3504" s="22" t="s">
        <v>2711</v>
      </c>
      <c r="E3504" s="24">
        <v>2002</v>
      </c>
      <c r="F3504" s="22">
        <v>10931</v>
      </c>
      <c r="G3504" s="23" t="s">
        <v>2712</v>
      </c>
      <c r="H3504" s="25" t="s">
        <v>15373</v>
      </c>
      <c r="I3504" s="22" t="s">
        <v>15709</v>
      </c>
      <c r="J3504" s="22" t="s">
        <v>3963</v>
      </c>
      <c r="K3504" s="26">
        <f t="shared" si="54"/>
        <v>1020</v>
      </c>
      <c r="L3504" s="26">
        <v>1020</v>
      </c>
      <c r="O3504" s="22" t="s">
        <v>2713</v>
      </c>
      <c r="P3504" s="22" t="s">
        <v>3662</v>
      </c>
      <c r="Q3504" s="22">
        <v>95076</v>
      </c>
      <c r="X3504" s="26"/>
      <c r="Y3504" s="26"/>
    </row>
    <row r="3505" spans="1:25" ht="50" x14ac:dyDescent="0.25">
      <c r="A3505" s="21">
        <v>4127</v>
      </c>
      <c r="B3505" s="22" t="s">
        <v>15328</v>
      </c>
      <c r="C3505" s="22" t="s">
        <v>3936</v>
      </c>
      <c r="E3505" s="24">
        <v>2002</v>
      </c>
      <c r="F3505" s="22">
        <v>11293</v>
      </c>
      <c r="G3505" s="23" t="s">
        <v>2714</v>
      </c>
      <c r="H3505" s="25" t="s">
        <v>15373</v>
      </c>
      <c r="I3505" s="22" t="s">
        <v>15382</v>
      </c>
      <c r="J3505" s="22" t="s">
        <v>16792</v>
      </c>
      <c r="K3505" s="26">
        <f t="shared" si="54"/>
        <v>300</v>
      </c>
      <c r="L3505" s="26">
        <v>300</v>
      </c>
      <c r="O3505" s="22" t="s">
        <v>2715</v>
      </c>
      <c r="P3505" s="22" t="s">
        <v>2716</v>
      </c>
      <c r="Q3505" s="22">
        <v>95023</v>
      </c>
      <c r="X3505" s="26"/>
      <c r="Y3505" s="26"/>
    </row>
    <row r="3506" spans="1:25" ht="50" x14ac:dyDescent="0.25">
      <c r="A3506" s="21">
        <v>4128</v>
      </c>
      <c r="B3506" s="22" t="s">
        <v>15328</v>
      </c>
      <c r="C3506" s="22" t="s">
        <v>3936</v>
      </c>
      <c r="E3506" s="24">
        <v>2002</v>
      </c>
      <c r="F3506" s="22">
        <v>11294</v>
      </c>
      <c r="G3506" s="23" t="s">
        <v>2717</v>
      </c>
      <c r="H3506" s="25" t="s">
        <v>15373</v>
      </c>
      <c r="I3506" s="22" t="s">
        <v>15374</v>
      </c>
      <c r="J3506" s="22">
        <v>3406</v>
      </c>
      <c r="K3506" s="26">
        <f t="shared" si="54"/>
        <v>300</v>
      </c>
      <c r="L3506" s="26">
        <v>300</v>
      </c>
      <c r="O3506" s="22" t="s">
        <v>2718</v>
      </c>
      <c r="P3506" s="22" t="s">
        <v>2719</v>
      </c>
      <c r="Q3506" s="22">
        <v>95004</v>
      </c>
      <c r="X3506" s="26"/>
      <c r="Y3506" s="26"/>
    </row>
    <row r="3507" spans="1:25" ht="50" x14ac:dyDescent="0.25">
      <c r="A3507" s="21">
        <v>4129</v>
      </c>
      <c r="B3507" s="22" t="s">
        <v>15328</v>
      </c>
      <c r="C3507" s="22" t="s">
        <v>2720</v>
      </c>
      <c r="E3507" s="24">
        <v>2002</v>
      </c>
      <c r="F3507" s="22">
        <v>11130</v>
      </c>
      <c r="G3507" s="23" t="s">
        <v>2721</v>
      </c>
      <c r="H3507" s="25" t="s">
        <v>15373</v>
      </c>
      <c r="I3507" s="22" t="s">
        <v>7165</v>
      </c>
      <c r="J3507" s="22" t="s">
        <v>2722</v>
      </c>
      <c r="K3507" s="26">
        <f t="shared" si="54"/>
        <v>450</v>
      </c>
      <c r="L3507" s="26">
        <v>450</v>
      </c>
      <c r="O3507" s="22" t="s">
        <v>2723</v>
      </c>
      <c r="P3507" s="22" t="s">
        <v>2724</v>
      </c>
      <c r="Q3507" s="22">
        <v>95066</v>
      </c>
      <c r="X3507" s="26"/>
      <c r="Y3507" s="26"/>
    </row>
    <row r="3508" spans="1:25" ht="62.5" x14ac:dyDescent="0.25">
      <c r="A3508" s="21">
        <v>4130</v>
      </c>
      <c r="B3508" s="22" t="s">
        <v>15328</v>
      </c>
      <c r="C3508" s="22" t="s">
        <v>3481</v>
      </c>
      <c r="E3508" s="24">
        <v>2002</v>
      </c>
      <c r="F3508" s="22">
        <v>11420</v>
      </c>
      <c r="G3508" s="23" t="s">
        <v>2725</v>
      </c>
      <c r="H3508" s="25" t="s">
        <v>15373</v>
      </c>
      <c r="I3508" s="22" t="s">
        <v>15382</v>
      </c>
      <c r="J3508" s="22" t="s">
        <v>16799</v>
      </c>
      <c r="K3508" s="26">
        <f t="shared" si="54"/>
        <v>500</v>
      </c>
      <c r="L3508" s="26">
        <v>500</v>
      </c>
      <c r="O3508" s="22" t="s">
        <v>2726</v>
      </c>
      <c r="P3508" s="22" t="s">
        <v>3625</v>
      </c>
      <c r="Q3508" s="22">
        <v>93943</v>
      </c>
      <c r="X3508" s="26"/>
      <c r="Y3508" s="26"/>
    </row>
    <row r="3509" spans="1:25" ht="37.5" x14ac:dyDescent="0.25">
      <c r="A3509" s="21">
        <v>4131</v>
      </c>
      <c r="B3509" s="22" t="s">
        <v>15328</v>
      </c>
      <c r="C3509" s="22" t="s">
        <v>2727</v>
      </c>
      <c r="E3509" s="24">
        <v>2003</v>
      </c>
      <c r="F3509" s="22">
        <v>11308</v>
      </c>
      <c r="G3509" s="23" t="s">
        <v>2728</v>
      </c>
      <c r="H3509" s="25" t="s">
        <v>15373</v>
      </c>
      <c r="I3509" s="22" t="s">
        <v>15374</v>
      </c>
      <c r="J3509" s="22">
        <v>3456</v>
      </c>
      <c r="K3509" s="26">
        <f t="shared" si="54"/>
        <v>400</v>
      </c>
      <c r="L3509" s="26">
        <v>400</v>
      </c>
      <c r="O3509" s="22" t="s">
        <v>2729</v>
      </c>
      <c r="P3509" s="22" t="s">
        <v>2730</v>
      </c>
      <c r="Q3509" s="22" t="s">
        <v>4349</v>
      </c>
      <c r="X3509" s="26"/>
      <c r="Y3509" s="26"/>
    </row>
    <row r="3510" spans="1:25" ht="37.5" x14ac:dyDescent="0.25">
      <c r="A3510" s="21">
        <v>4132</v>
      </c>
      <c r="B3510" s="22" t="s">
        <v>15328</v>
      </c>
      <c r="C3510" s="22" t="s">
        <v>2731</v>
      </c>
      <c r="E3510" s="24">
        <v>2002</v>
      </c>
      <c r="F3510" s="22">
        <v>11391</v>
      </c>
      <c r="G3510" s="23" t="s">
        <v>2732</v>
      </c>
      <c r="H3510" s="25" t="s">
        <v>15373</v>
      </c>
      <c r="I3510" s="22" t="s">
        <v>15374</v>
      </c>
      <c r="J3510" s="22">
        <v>3406</v>
      </c>
      <c r="K3510" s="26">
        <f t="shared" si="54"/>
        <v>350</v>
      </c>
      <c r="L3510" s="26">
        <v>350</v>
      </c>
      <c r="O3510" s="22" t="s">
        <v>4322</v>
      </c>
      <c r="P3510" s="22" t="s">
        <v>2716</v>
      </c>
      <c r="Q3510" s="22" t="s">
        <v>4324</v>
      </c>
      <c r="X3510" s="26"/>
      <c r="Y3510" s="26"/>
    </row>
    <row r="3511" spans="1:25" ht="50" x14ac:dyDescent="0.25">
      <c r="A3511" s="21">
        <v>4133</v>
      </c>
      <c r="B3511" s="22" t="s">
        <v>15328</v>
      </c>
      <c r="C3511" s="22" t="s">
        <v>2733</v>
      </c>
      <c r="E3511" s="24">
        <v>2003</v>
      </c>
      <c r="F3511" s="22">
        <v>11339</v>
      </c>
      <c r="G3511" s="23" t="s">
        <v>2734</v>
      </c>
      <c r="H3511" s="25" t="s">
        <v>15373</v>
      </c>
      <c r="I3511" s="22" t="s">
        <v>15374</v>
      </c>
      <c r="J3511" s="22">
        <v>3412</v>
      </c>
      <c r="K3511" s="26">
        <f t="shared" si="54"/>
        <v>790.66666666666663</v>
      </c>
      <c r="N3511" s="26">
        <v>1186</v>
      </c>
      <c r="O3511" s="22" t="s">
        <v>2735</v>
      </c>
      <c r="P3511" s="22" t="s">
        <v>3662</v>
      </c>
      <c r="Q3511" s="22">
        <v>95076</v>
      </c>
      <c r="X3511" s="26"/>
      <c r="Y3511" s="26"/>
    </row>
    <row r="3512" spans="1:25" ht="50" x14ac:dyDescent="0.25">
      <c r="A3512" s="21">
        <v>4134</v>
      </c>
      <c r="B3512" s="22" t="s">
        <v>15328</v>
      </c>
      <c r="C3512" s="22" t="s">
        <v>4326</v>
      </c>
      <c r="E3512" s="24">
        <v>2003</v>
      </c>
      <c r="F3512" s="22">
        <v>10997</v>
      </c>
      <c r="G3512" s="23" t="s">
        <v>2736</v>
      </c>
      <c r="H3512" s="25" t="s">
        <v>15373</v>
      </c>
      <c r="I3512" s="22" t="s">
        <v>15374</v>
      </c>
      <c r="J3512" s="22">
        <v>3406</v>
      </c>
      <c r="K3512" s="26">
        <f t="shared" si="54"/>
        <v>391.33333333333331</v>
      </c>
      <c r="N3512" s="26">
        <v>587</v>
      </c>
      <c r="O3512" s="22" t="s">
        <v>4328</v>
      </c>
      <c r="P3512" s="22" t="s">
        <v>2737</v>
      </c>
      <c r="Q3512" s="22" t="s">
        <v>4330</v>
      </c>
      <c r="R3512" s="22" t="s">
        <v>4331</v>
      </c>
      <c r="S3512" s="22" t="s">
        <v>4332</v>
      </c>
      <c r="X3512" s="26"/>
      <c r="Y3512" s="26"/>
    </row>
    <row r="3513" spans="1:25" ht="37.5" x14ac:dyDescent="0.25">
      <c r="A3513" s="21">
        <v>4200</v>
      </c>
      <c r="B3513" s="22" t="s">
        <v>15335</v>
      </c>
      <c r="C3513" s="22" t="s">
        <v>2738</v>
      </c>
      <c r="E3513" s="24">
        <v>1998</v>
      </c>
      <c r="F3513" s="22">
        <v>13599</v>
      </c>
      <c r="G3513" s="23" t="s">
        <v>2739</v>
      </c>
      <c r="H3513" s="25" t="s">
        <v>15373</v>
      </c>
      <c r="I3513" s="22" t="s">
        <v>15382</v>
      </c>
      <c r="J3513" s="22" t="s">
        <v>16925</v>
      </c>
      <c r="K3513" s="26">
        <f t="shared" si="54"/>
        <v>1480</v>
      </c>
      <c r="M3513" s="26">
        <v>2220</v>
      </c>
      <c r="O3513" s="22" t="s">
        <v>2740</v>
      </c>
      <c r="P3513" s="22" t="s">
        <v>2741</v>
      </c>
      <c r="Q3513" s="22" t="s">
        <v>2742</v>
      </c>
      <c r="R3513" s="22" t="s">
        <v>2743</v>
      </c>
      <c r="S3513" s="22" t="s">
        <v>2744</v>
      </c>
      <c r="T3513" s="22">
        <v>8.17</v>
      </c>
      <c r="U3513" s="22">
        <v>0.38</v>
      </c>
      <c r="X3513" s="26"/>
      <c r="Y3513" s="26"/>
    </row>
    <row r="3514" spans="1:25" ht="37.5" x14ac:dyDescent="0.25">
      <c r="A3514" s="21">
        <v>4201</v>
      </c>
      <c r="B3514" s="22" t="s">
        <v>15335</v>
      </c>
      <c r="C3514" s="22" t="s">
        <v>2745</v>
      </c>
      <c r="E3514" s="24">
        <v>1999</v>
      </c>
      <c r="F3514" s="22">
        <v>14070</v>
      </c>
      <c r="G3514" s="23" t="s">
        <v>2746</v>
      </c>
      <c r="H3514" s="25" t="s">
        <v>15373</v>
      </c>
      <c r="I3514" s="22" t="s">
        <v>15411</v>
      </c>
      <c r="J3514" s="22" t="s">
        <v>13637</v>
      </c>
      <c r="K3514" s="26">
        <f t="shared" si="54"/>
        <v>1166.6666666666665</v>
      </c>
      <c r="M3514" s="26">
        <v>1750</v>
      </c>
      <c r="O3514" s="22" t="s">
        <v>2747</v>
      </c>
      <c r="P3514" s="22" t="s">
        <v>2741</v>
      </c>
      <c r="Q3514" s="22" t="s">
        <v>2748</v>
      </c>
      <c r="R3514" s="22" t="s">
        <v>2749</v>
      </c>
      <c r="S3514" s="22" t="s">
        <v>2750</v>
      </c>
      <c r="T3514" s="22">
        <v>8.17</v>
      </c>
      <c r="U3514" s="22">
        <v>0.38</v>
      </c>
      <c r="X3514" s="26"/>
      <c r="Y3514" s="26"/>
    </row>
    <row r="3515" spans="1:25" ht="37.5" x14ac:dyDescent="0.25">
      <c r="A3515" s="21">
        <v>4202</v>
      </c>
      <c r="B3515" s="22" t="s">
        <v>15335</v>
      </c>
      <c r="C3515" s="22" t="s">
        <v>2751</v>
      </c>
      <c r="E3515" s="24">
        <v>1992</v>
      </c>
      <c r="F3515" s="22">
        <v>10422</v>
      </c>
      <c r="G3515" s="23" t="s">
        <v>2752</v>
      </c>
      <c r="H3515" s="25" t="s">
        <v>15373</v>
      </c>
      <c r="I3515" s="22" t="s">
        <v>15411</v>
      </c>
      <c r="J3515" s="22" t="s">
        <v>2753</v>
      </c>
      <c r="K3515" s="26">
        <f t="shared" si="54"/>
        <v>553.33333333333326</v>
      </c>
      <c r="N3515" s="26">
        <v>830</v>
      </c>
      <c r="O3515" s="22" t="s">
        <v>2754</v>
      </c>
      <c r="P3515" s="22" t="s">
        <v>2755</v>
      </c>
      <c r="Q3515" s="22" t="s">
        <v>2756</v>
      </c>
      <c r="R3515" s="22" t="s">
        <v>2757</v>
      </c>
      <c r="S3515" s="22" t="s">
        <v>2758</v>
      </c>
      <c r="T3515" s="22">
        <v>8.17</v>
      </c>
      <c r="U3515" s="22">
        <v>0.38</v>
      </c>
      <c r="X3515" s="26"/>
      <c r="Y3515" s="26"/>
    </row>
    <row r="3516" spans="1:25" ht="25" x14ac:dyDescent="0.25">
      <c r="A3516" s="21">
        <v>4203</v>
      </c>
      <c r="B3516" s="22" t="s">
        <v>15335</v>
      </c>
      <c r="C3516" s="22" t="s">
        <v>2759</v>
      </c>
      <c r="E3516" s="24">
        <v>1999</v>
      </c>
      <c r="F3516" s="22">
        <v>14240</v>
      </c>
      <c r="G3516" s="23" t="s">
        <v>2760</v>
      </c>
      <c r="H3516" s="25" t="s">
        <v>15373</v>
      </c>
      <c r="I3516" s="22" t="s">
        <v>15411</v>
      </c>
      <c r="J3516" s="22" t="s">
        <v>17698</v>
      </c>
      <c r="K3516" s="26">
        <f t="shared" si="54"/>
        <v>316</v>
      </c>
      <c r="M3516" s="26">
        <v>474</v>
      </c>
      <c r="O3516" s="22" t="s">
        <v>2761</v>
      </c>
      <c r="P3516" s="22" t="s">
        <v>2755</v>
      </c>
      <c r="Q3516" s="22" t="s">
        <v>2756</v>
      </c>
      <c r="R3516" s="22" t="s">
        <v>2762</v>
      </c>
      <c r="S3516" s="22" t="s">
        <v>2763</v>
      </c>
      <c r="T3516" s="22">
        <v>6.9</v>
      </c>
      <c r="U3516" s="22">
        <v>0.4</v>
      </c>
      <c r="X3516" s="26"/>
      <c r="Y3516" s="26"/>
    </row>
    <row r="3517" spans="1:25" ht="25" x14ac:dyDescent="0.25">
      <c r="A3517" s="21">
        <v>4204</v>
      </c>
      <c r="B3517" s="22" t="s">
        <v>15335</v>
      </c>
      <c r="C3517" s="22" t="s">
        <v>2759</v>
      </c>
      <c r="E3517" s="24">
        <v>1999</v>
      </c>
      <c r="F3517" s="22">
        <v>14212</v>
      </c>
      <c r="G3517" s="23" t="s">
        <v>2764</v>
      </c>
      <c r="H3517" s="25" t="s">
        <v>15373</v>
      </c>
      <c r="I3517" s="22" t="s">
        <v>16160</v>
      </c>
      <c r="J3517" s="22" t="s">
        <v>2765</v>
      </c>
      <c r="K3517" s="26">
        <f t="shared" si="54"/>
        <v>626.66666666666663</v>
      </c>
      <c r="M3517" s="26">
        <v>940</v>
      </c>
      <c r="O3517" s="22" t="s">
        <v>2766</v>
      </c>
      <c r="P3517" s="22" t="s">
        <v>2755</v>
      </c>
      <c r="Q3517" s="22" t="s">
        <v>2756</v>
      </c>
      <c r="R3517" s="22" t="s">
        <v>2767</v>
      </c>
      <c r="S3517" s="22" t="s">
        <v>2768</v>
      </c>
      <c r="T3517" s="22">
        <v>8.17</v>
      </c>
      <c r="U3517" s="22">
        <v>0.38</v>
      </c>
      <c r="X3517" s="26"/>
      <c r="Y3517" s="26"/>
    </row>
    <row r="3518" spans="1:25" ht="37.5" x14ac:dyDescent="0.25">
      <c r="A3518" s="21">
        <v>4205</v>
      </c>
      <c r="B3518" s="22" t="s">
        <v>15335</v>
      </c>
      <c r="C3518" s="22" t="s">
        <v>2769</v>
      </c>
      <c r="E3518" s="24">
        <v>1999</v>
      </c>
      <c r="F3518" s="22">
        <v>16648</v>
      </c>
      <c r="G3518" s="23" t="s">
        <v>2770</v>
      </c>
      <c r="H3518" s="25" t="s">
        <v>15373</v>
      </c>
      <c r="I3518" s="22" t="s">
        <v>15382</v>
      </c>
      <c r="J3518" s="22" t="s">
        <v>16792</v>
      </c>
      <c r="K3518" s="26">
        <f t="shared" si="54"/>
        <v>356.66666666666663</v>
      </c>
      <c r="M3518" s="26">
        <v>535</v>
      </c>
      <c r="O3518" s="22" t="s">
        <v>2771</v>
      </c>
      <c r="P3518" s="22" t="s">
        <v>2772</v>
      </c>
      <c r="Q3518" s="22" t="s">
        <v>2773</v>
      </c>
      <c r="R3518" s="22" t="s">
        <v>2774</v>
      </c>
      <c r="S3518" s="22" t="s">
        <v>2775</v>
      </c>
      <c r="T3518" s="22">
        <v>6.9</v>
      </c>
      <c r="U3518" s="22">
        <v>0.4</v>
      </c>
      <c r="X3518" s="26"/>
      <c r="Y3518" s="26"/>
    </row>
    <row r="3519" spans="1:25" ht="62.5" x14ac:dyDescent="0.25">
      <c r="A3519" s="21">
        <v>4206</v>
      </c>
      <c r="B3519" s="22" t="s">
        <v>15335</v>
      </c>
      <c r="C3519" s="22" t="s">
        <v>2769</v>
      </c>
      <c r="E3519" s="24">
        <v>2000</v>
      </c>
      <c r="F3519" s="22">
        <v>16649</v>
      </c>
      <c r="G3519" s="23" t="s">
        <v>2776</v>
      </c>
      <c r="H3519" s="25" t="s">
        <v>15373</v>
      </c>
      <c r="I3519" s="22" t="s">
        <v>15382</v>
      </c>
      <c r="J3519" s="22" t="s">
        <v>16784</v>
      </c>
      <c r="K3519" s="26">
        <f t="shared" si="54"/>
        <v>500</v>
      </c>
      <c r="L3519" s="26">
        <v>500</v>
      </c>
      <c r="O3519" s="22" t="s">
        <v>2777</v>
      </c>
      <c r="P3519" s="22" t="s">
        <v>2772</v>
      </c>
      <c r="Q3519" s="22" t="s">
        <v>2773</v>
      </c>
      <c r="R3519" s="22" t="s">
        <v>2774</v>
      </c>
      <c r="S3519" s="22" t="s">
        <v>2775</v>
      </c>
      <c r="T3519" s="22">
        <v>6.9</v>
      </c>
      <c r="U3519" s="22">
        <v>0.4</v>
      </c>
      <c r="X3519" s="26"/>
      <c r="Y3519" s="26"/>
    </row>
    <row r="3520" spans="1:25" ht="37.5" x14ac:dyDescent="0.25">
      <c r="A3520" s="21">
        <v>4207</v>
      </c>
      <c r="B3520" s="22" t="s">
        <v>15335</v>
      </c>
      <c r="C3520" s="22" t="s">
        <v>2778</v>
      </c>
      <c r="E3520" s="24">
        <v>2000</v>
      </c>
      <c r="F3520" s="22">
        <v>15058</v>
      </c>
      <c r="G3520" s="23" t="s">
        <v>3802</v>
      </c>
      <c r="H3520" s="25" t="s">
        <v>15373</v>
      </c>
      <c r="I3520" s="22" t="s">
        <v>15411</v>
      </c>
      <c r="J3520" s="22" t="s">
        <v>15744</v>
      </c>
      <c r="K3520" s="26">
        <f t="shared" si="54"/>
        <v>821.33333333333326</v>
      </c>
      <c r="M3520" s="26">
        <v>1232</v>
      </c>
      <c r="O3520" s="22" t="s">
        <v>3803</v>
      </c>
      <c r="P3520" s="22" t="s">
        <v>2741</v>
      </c>
      <c r="Q3520" s="22" t="s">
        <v>3804</v>
      </c>
      <c r="R3520" s="22" t="s">
        <v>3805</v>
      </c>
      <c r="S3520" s="22" t="s">
        <v>3806</v>
      </c>
      <c r="T3520" s="22">
        <v>6.9</v>
      </c>
      <c r="U3520" s="22">
        <v>0.4</v>
      </c>
      <c r="X3520" s="26"/>
      <c r="Y3520" s="26"/>
    </row>
    <row r="3521" spans="1:25" ht="37.5" x14ac:dyDescent="0.25">
      <c r="A3521" s="21">
        <v>4208</v>
      </c>
      <c r="B3521" s="22" t="s">
        <v>15335</v>
      </c>
      <c r="C3521" s="22" t="s">
        <v>3807</v>
      </c>
      <c r="E3521" s="24">
        <v>1995</v>
      </c>
      <c r="F3521" s="22">
        <v>11052</v>
      </c>
      <c r="G3521" s="23" t="s">
        <v>3808</v>
      </c>
      <c r="H3521" s="25" t="s">
        <v>15373</v>
      </c>
      <c r="I3521" s="22" t="s">
        <v>15411</v>
      </c>
      <c r="J3521" s="22" t="s">
        <v>3809</v>
      </c>
      <c r="K3521" s="26">
        <f t="shared" si="54"/>
        <v>300</v>
      </c>
      <c r="L3521" s="26">
        <v>300</v>
      </c>
      <c r="O3521" s="22" t="s">
        <v>3810</v>
      </c>
      <c r="P3521" s="22" t="s">
        <v>3811</v>
      </c>
      <c r="Q3521" s="22" t="s">
        <v>3812</v>
      </c>
      <c r="R3521" s="22" t="s">
        <v>3813</v>
      </c>
      <c r="S3521" s="22" t="s">
        <v>3814</v>
      </c>
      <c r="T3521" s="22">
        <v>8.17</v>
      </c>
      <c r="U3521" s="22">
        <v>0.38</v>
      </c>
      <c r="X3521" s="26"/>
      <c r="Y3521" s="26"/>
    </row>
    <row r="3522" spans="1:25" ht="37.5" x14ac:dyDescent="0.25">
      <c r="A3522" s="21">
        <v>4209</v>
      </c>
      <c r="B3522" s="22" t="s">
        <v>15335</v>
      </c>
      <c r="C3522" s="22" t="s">
        <v>3807</v>
      </c>
      <c r="E3522" s="24">
        <v>1998</v>
      </c>
      <c r="F3522" s="22">
        <v>13679</v>
      </c>
      <c r="G3522" s="23" t="s">
        <v>3815</v>
      </c>
      <c r="H3522" s="25" t="s">
        <v>15373</v>
      </c>
      <c r="I3522" s="22" t="s">
        <v>15411</v>
      </c>
      <c r="J3522" s="22" t="s">
        <v>3816</v>
      </c>
      <c r="K3522" s="26">
        <f t="shared" si="54"/>
        <v>300</v>
      </c>
      <c r="L3522" s="26">
        <v>300</v>
      </c>
      <c r="O3522" s="22" t="s">
        <v>3817</v>
      </c>
      <c r="P3522" s="22" t="s">
        <v>3811</v>
      </c>
      <c r="Q3522" s="22" t="s">
        <v>3812</v>
      </c>
      <c r="R3522" s="22" t="s">
        <v>3813</v>
      </c>
      <c r="S3522" s="22" t="s">
        <v>3814</v>
      </c>
      <c r="T3522" s="22">
        <v>6.9</v>
      </c>
      <c r="U3522" s="22">
        <v>0.4</v>
      </c>
      <c r="X3522" s="26"/>
      <c r="Y3522" s="26"/>
    </row>
    <row r="3523" spans="1:25" ht="37.5" x14ac:dyDescent="0.25">
      <c r="A3523" s="21">
        <v>4210</v>
      </c>
      <c r="B3523" s="22" t="s">
        <v>15335</v>
      </c>
      <c r="C3523" s="22" t="s">
        <v>3807</v>
      </c>
      <c r="E3523" s="24">
        <v>1995</v>
      </c>
      <c r="F3523" s="22">
        <v>11053</v>
      </c>
      <c r="G3523" s="23" t="s">
        <v>3818</v>
      </c>
      <c r="H3523" s="25" t="s">
        <v>15373</v>
      </c>
      <c r="I3523" s="22" t="s">
        <v>15411</v>
      </c>
      <c r="J3523" s="22" t="s">
        <v>3819</v>
      </c>
      <c r="K3523" s="26">
        <f t="shared" si="54"/>
        <v>400</v>
      </c>
      <c r="L3523" s="26">
        <v>400</v>
      </c>
      <c r="O3523" s="22" t="s">
        <v>3810</v>
      </c>
      <c r="P3523" s="22" t="s">
        <v>3811</v>
      </c>
      <c r="Q3523" s="22" t="s">
        <v>3812</v>
      </c>
      <c r="R3523" s="22" t="s">
        <v>3813</v>
      </c>
      <c r="S3523" s="22" t="s">
        <v>3814</v>
      </c>
      <c r="T3523" s="22">
        <v>8.17</v>
      </c>
      <c r="U3523" s="22">
        <v>0.38</v>
      </c>
      <c r="X3523" s="26"/>
      <c r="Y3523" s="26"/>
    </row>
    <row r="3524" spans="1:25" ht="37.5" x14ac:dyDescent="0.25">
      <c r="A3524" s="21">
        <v>4211</v>
      </c>
      <c r="B3524" s="22" t="s">
        <v>15335</v>
      </c>
      <c r="C3524" s="22" t="s">
        <v>3807</v>
      </c>
      <c r="E3524" s="24">
        <v>2000</v>
      </c>
      <c r="F3524" s="22">
        <v>14446</v>
      </c>
      <c r="G3524" s="23" t="s">
        <v>3820</v>
      </c>
      <c r="H3524" s="25" t="s">
        <v>15373</v>
      </c>
      <c r="I3524" s="22" t="s">
        <v>15411</v>
      </c>
      <c r="J3524" s="22" t="s">
        <v>4233</v>
      </c>
      <c r="K3524" s="26">
        <f t="shared" si="54"/>
        <v>510</v>
      </c>
      <c r="M3524" s="26">
        <v>765</v>
      </c>
      <c r="O3524" s="22" t="s">
        <v>3817</v>
      </c>
      <c r="P3524" s="22" t="s">
        <v>3811</v>
      </c>
      <c r="Q3524" s="22" t="s">
        <v>3812</v>
      </c>
      <c r="R3524" s="22" t="s">
        <v>3813</v>
      </c>
      <c r="S3524" s="22" t="s">
        <v>3814</v>
      </c>
      <c r="T3524" s="22">
        <v>6.9</v>
      </c>
      <c r="U3524" s="22">
        <v>0.4</v>
      </c>
      <c r="X3524" s="26"/>
      <c r="Y3524" s="26"/>
    </row>
    <row r="3525" spans="1:25" ht="37.5" x14ac:dyDescent="0.25">
      <c r="A3525" s="21">
        <v>4212</v>
      </c>
      <c r="B3525" s="22" t="s">
        <v>15335</v>
      </c>
      <c r="C3525" s="22" t="s">
        <v>3807</v>
      </c>
      <c r="E3525" s="24">
        <v>2000</v>
      </c>
      <c r="F3525" s="22">
        <v>14774</v>
      </c>
      <c r="G3525" s="23" t="s">
        <v>3821</v>
      </c>
      <c r="H3525" s="25" t="s">
        <v>15373</v>
      </c>
      <c r="I3525" s="22" t="s">
        <v>15411</v>
      </c>
      <c r="J3525" s="22" t="s">
        <v>3822</v>
      </c>
      <c r="K3525" s="26">
        <f t="shared" si="54"/>
        <v>746.66666666666663</v>
      </c>
      <c r="M3525" s="26">
        <v>1120</v>
      </c>
      <c r="O3525" s="22" t="s">
        <v>3810</v>
      </c>
      <c r="P3525" s="22" t="s">
        <v>3811</v>
      </c>
      <c r="Q3525" s="22" t="s">
        <v>3812</v>
      </c>
      <c r="R3525" s="22" t="s">
        <v>3813</v>
      </c>
      <c r="S3525" s="22" t="s">
        <v>3814</v>
      </c>
      <c r="T3525" s="22">
        <v>6.9</v>
      </c>
      <c r="U3525" s="22">
        <v>0.4</v>
      </c>
      <c r="X3525" s="26"/>
      <c r="Y3525" s="26"/>
    </row>
    <row r="3526" spans="1:25" ht="37.5" x14ac:dyDescent="0.25">
      <c r="A3526" s="21">
        <v>4213</v>
      </c>
      <c r="B3526" s="22" t="s">
        <v>15335</v>
      </c>
      <c r="C3526" s="22" t="s">
        <v>3807</v>
      </c>
      <c r="E3526" s="24">
        <v>2000</v>
      </c>
      <c r="F3526" s="22">
        <v>14775</v>
      </c>
      <c r="G3526" s="23" t="s">
        <v>3823</v>
      </c>
      <c r="H3526" s="25" t="s">
        <v>15373</v>
      </c>
      <c r="I3526" s="22" t="s">
        <v>15411</v>
      </c>
      <c r="J3526" s="22" t="s">
        <v>3822</v>
      </c>
      <c r="K3526" s="26">
        <f t="shared" si="54"/>
        <v>746.66666666666663</v>
      </c>
      <c r="M3526" s="26">
        <v>1120</v>
      </c>
      <c r="O3526" s="22" t="s">
        <v>3810</v>
      </c>
      <c r="P3526" s="22" t="s">
        <v>3811</v>
      </c>
      <c r="Q3526" s="22" t="s">
        <v>3812</v>
      </c>
      <c r="R3526" s="22" t="s">
        <v>3813</v>
      </c>
      <c r="S3526" s="22" t="s">
        <v>3814</v>
      </c>
      <c r="T3526" s="22">
        <v>6.9</v>
      </c>
      <c r="U3526" s="22">
        <v>0.4</v>
      </c>
      <c r="X3526" s="26"/>
      <c r="Y3526" s="26"/>
    </row>
    <row r="3527" spans="1:25" ht="37.5" x14ac:dyDescent="0.25">
      <c r="A3527" s="21">
        <v>4215</v>
      </c>
      <c r="B3527" s="22" t="s">
        <v>15335</v>
      </c>
      <c r="C3527" s="22" t="s">
        <v>3824</v>
      </c>
      <c r="E3527" s="24">
        <v>1992</v>
      </c>
      <c r="F3527" s="22">
        <v>10276</v>
      </c>
      <c r="G3527" s="23" t="s">
        <v>3825</v>
      </c>
      <c r="H3527" s="25" t="s">
        <v>15373</v>
      </c>
      <c r="I3527" s="22" t="s">
        <v>15374</v>
      </c>
      <c r="J3527" s="22" t="s">
        <v>9175</v>
      </c>
      <c r="K3527" s="26">
        <f t="shared" si="54"/>
        <v>356</v>
      </c>
      <c r="N3527" s="26">
        <v>534</v>
      </c>
      <c r="O3527" s="22" t="s">
        <v>3826</v>
      </c>
      <c r="P3527" s="22" t="s">
        <v>2741</v>
      </c>
      <c r="Q3527" s="22" t="s">
        <v>3827</v>
      </c>
      <c r="R3527" s="22" t="s">
        <v>3828</v>
      </c>
      <c r="S3527" s="22" t="s">
        <v>3829</v>
      </c>
      <c r="T3527" s="22">
        <v>8.17</v>
      </c>
      <c r="U3527" s="22">
        <v>0.38</v>
      </c>
      <c r="X3527" s="26"/>
      <c r="Y3527" s="26"/>
    </row>
    <row r="3528" spans="1:25" ht="37.5" x14ac:dyDescent="0.25">
      <c r="A3528" s="21">
        <v>4216</v>
      </c>
      <c r="B3528" s="22" t="s">
        <v>15335</v>
      </c>
      <c r="C3528" s="22" t="s">
        <v>6672</v>
      </c>
      <c r="E3528" s="24">
        <v>2000</v>
      </c>
      <c r="F3528" s="22">
        <v>15308</v>
      </c>
      <c r="G3528" s="23" t="s">
        <v>3830</v>
      </c>
      <c r="H3528" s="25" t="s">
        <v>15373</v>
      </c>
      <c r="I3528" s="22" t="s">
        <v>15374</v>
      </c>
      <c r="J3528" s="22" t="s">
        <v>3831</v>
      </c>
      <c r="K3528" s="26">
        <f t="shared" si="54"/>
        <v>1250</v>
      </c>
      <c r="L3528" s="26">
        <v>1250</v>
      </c>
      <c r="O3528" s="22" t="s">
        <v>3832</v>
      </c>
      <c r="P3528" s="22" t="s">
        <v>2741</v>
      </c>
      <c r="Q3528" s="22" t="s">
        <v>3804</v>
      </c>
      <c r="R3528" s="22" t="s">
        <v>3833</v>
      </c>
      <c r="S3528" s="22" t="s">
        <v>3834</v>
      </c>
      <c r="T3528" s="22">
        <v>6.9</v>
      </c>
      <c r="U3528" s="22">
        <v>0.4</v>
      </c>
      <c r="X3528" s="26"/>
      <c r="Y3528" s="26"/>
    </row>
    <row r="3529" spans="1:25" ht="37.5" x14ac:dyDescent="0.25">
      <c r="A3529" s="21">
        <v>4217</v>
      </c>
      <c r="B3529" s="22" t="s">
        <v>15335</v>
      </c>
      <c r="C3529" s="22" t="s">
        <v>3835</v>
      </c>
      <c r="E3529" s="24">
        <v>1997</v>
      </c>
      <c r="F3529" s="22">
        <v>13187</v>
      </c>
      <c r="G3529" s="23" t="s">
        <v>3836</v>
      </c>
      <c r="H3529" s="25" t="s">
        <v>15373</v>
      </c>
      <c r="I3529" s="22" t="s">
        <v>15411</v>
      </c>
      <c r="J3529" s="22" t="s">
        <v>15542</v>
      </c>
      <c r="K3529" s="26">
        <f t="shared" si="54"/>
        <v>631.33333333333326</v>
      </c>
      <c r="N3529" s="26">
        <v>947</v>
      </c>
      <c r="O3529" s="22" t="s">
        <v>3837</v>
      </c>
      <c r="P3529" s="22" t="s">
        <v>2741</v>
      </c>
      <c r="Q3529" s="22" t="s">
        <v>3838</v>
      </c>
      <c r="R3529" s="22" t="s">
        <v>3839</v>
      </c>
      <c r="S3529" s="22" t="s">
        <v>3840</v>
      </c>
      <c r="T3529" s="22">
        <v>8.17</v>
      </c>
      <c r="U3529" s="22">
        <v>0.38</v>
      </c>
      <c r="X3529" s="26"/>
      <c r="Y3529" s="26"/>
    </row>
    <row r="3530" spans="1:25" ht="37.5" x14ac:dyDescent="0.25">
      <c r="A3530" s="21">
        <v>4218</v>
      </c>
      <c r="B3530" s="22" t="s">
        <v>15335</v>
      </c>
      <c r="C3530" s="22" t="s">
        <v>3835</v>
      </c>
      <c r="E3530" s="24">
        <v>2000</v>
      </c>
      <c r="F3530" s="22">
        <v>15244</v>
      </c>
      <c r="G3530" s="23" t="s">
        <v>3841</v>
      </c>
      <c r="H3530" s="25" t="s">
        <v>15373</v>
      </c>
      <c r="I3530" s="22" t="s">
        <v>15382</v>
      </c>
      <c r="J3530" s="22" t="s">
        <v>15640</v>
      </c>
      <c r="K3530" s="26">
        <f t="shared" si="54"/>
        <v>993.33333333333326</v>
      </c>
      <c r="M3530" s="26">
        <v>1490</v>
      </c>
      <c r="O3530" s="22" t="s">
        <v>3842</v>
      </c>
      <c r="P3530" s="22" t="s">
        <v>2741</v>
      </c>
      <c r="Q3530" s="22" t="s">
        <v>3838</v>
      </c>
      <c r="R3530" s="22" t="s">
        <v>3839</v>
      </c>
      <c r="S3530" s="22" t="s">
        <v>3840</v>
      </c>
      <c r="T3530" s="22">
        <v>6.9</v>
      </c>
      <c r="U3530" s="22">
        <v>0.4</v>
      </c>
      <c r="X3530" s="26"/>
      <c r="Y3530" s="26"/>
    </row>
    <row r="3531" spans="1:25" ht="37.5" x14ac:dyDescent="0.25">
      <c r="A3531" s="21">
        <v>4219</v>
      </c>
      <c r="B3531" s="22" t="s">
        <v>15335</v>
      </c>
      <c r="C3531" s="22" t="s">
        <v>18350</v>
      </c>
      <c r="E3531" s="24">
        <v>1997</v>
      </c>
      <c r="F3531" s="22">
        <v>13208</v>
      </c>
      <c r="G3531" s="23" t="s">
        <v>3843</v>
      </c>
      <c r="H3531" s="25" t="s">
        <v>15373</v>
      </c>
      <c r="I3531" s="22" t="s">
        <v>15382</v>
      </c>
      <c r="J3531" s="22" t="s">
        <v>14369</v>
      </c>
      <c r="K3531" s="26">
        <f t="shared" si="54"/>
        <v>800</v>
      </c>
      <c r="M3531" s="26">
        <v>1200</v>
      </c>
      <c r="O3531" s="22" t="s">
        <v>3844</v>
      </c>
      <c r="P3531" s="22" t="s">
        <v>2755</v>
      </c>
      <c r="Q3531" s="22" t="s">
        <v>2756</v>
      </c>
      <c r="R3531" s="22" t="s">
        <v>3845</v>
      </c>
      <c r="S3531" s="22" t="s">
        <v>3846</v>
      </c>
      <c r="T3531" s="22">
        <v>8.17</v>
      </c>
      <c r="U3531" s="22">
        <v>0.38</v>
      </c>
      <c r="X3531" s="26"/>
      <c r="Y3531" s="26"/>
    </row>
    <row r="3532" spans="1:25" ht="37.5" x14ac:dyDescent="0.25">
      <c r="A3532" s="21">
        <v>4220</v>
      </c>
      <c r="B3532" s="22" t="s">
        <v>15335</v>
      </c>
      <c r="C3532" s="22" t="s">
        <v>3847</v>
      </c>
      <c r="E3532" s="24">
        <v>1999</v>
      </c>
      <c r="F3532" s="22">
        <v>14102</v>
      </c>
      <c r="G3532" s="23" t="s">
        <v>3848</v>
      </c>
      <c r="H3532" s="25" t="s">
        <v>15373</v>
      </c>
      <c r="I3532" s="22" t="s">
        <v>15374</v>
      </c>
      <c r="J3532" s="22" t="s">
        <v>15523</v>
      </c>
      <c r="K3532" s="26">
        <f t="shared" si="54"/>
        <v>1212</v>
      </c>
      <c r="M3532" s="26">
        <v>1818</v>
      </c>
      <c r="O3532" s="22" t="s">
        <v>3849</v>
      </c>
      <c r="P3532" s="22" t="s">
        <v>2755</v>
      </c>
      <c r="Q3532" s="22" t="s">
        <v>2756</v>
      </c>
      <c r="R3532" s="22" t="s">
        <v>3850</v>
      </c>
      <c r="S3532" s="22" t="s">
        <v>3851</v>
      </c>
      <c r="T3532" s="22">
        <v>8.17</v>
      </c>
      <c r="U3532" s="22">
        <v>0.38</v>
      </c>
      <c r="X3532" s="26"/>
      <c r="Y3532" s="26"/>
    </row>
    <row r="3533" spans="1:25" ht="37.5" x14ac:dyDescent="0.25">
      <c r="A3533" s="21">
        <v>4221</v>
      </c>
      <c r="B3533" s="22" t="s">
        <v>15335</v>
      </c>
      <c r="C3533" s="22" t="s">
        <v>3847</v>
      </c>
      <c r="E3533" s="24">
        <v>1999</v>
      </c>
      <c r="F3533" s="22">
        <v>14103</v>
      </c>
      <c r="G3533" s="23" t="s">
        <v>3852</v>
      </c>
      <c r="H3533" s="25" t="s">
        <v>15373</v>
      </c>
      <c r="I3533" s="22" t="s">
        <v>15374</v>
      </c>
      <c r="J3533" s="22" t="s">
        <v>15523</v>
      </c>
      <c r="K3533" s="26">
        <f t="shared" si="54"/>
        <v>1212</v>
      </c>
      <c r="M3533" s="26">
        <v>1818</v>
      </c>
      <c r="O3533" s="22" t="s">
        <v>3849</v>
      </c>
      <c r="P3533" s="22" t="s">
        <v>2755</v>
      </c>
      <c r="Q3533" s="22" t="s">
        <v>2756</v>
      </c>
      <c r="R3533" s="22" t="s">
        <v>3850</v>
      </c>
      <c r="S3533" s="22" t="s">
        <v>3851</v>
      </c>
      <c r="T3533" s="22">
        <v>8.17</v>
      </c>
      <c r="U3533" s="22">
        <v>0.38</v>
      </c>
      <c r="X3533" s="26"/>
      <c r="Y3533" s="26"/>
    </row>
    <row r="3534" spans="1:25" ht="37.5" x14ac:dyDescent="0.25">
      <c r="A3534" s="21">
        <v>4222</v>
      </c>
      <c r="B3534" s="22" t="s">
        <v>15335</v>
      </c>
      <c r="C3534" s="22" t="s">
        <v>3853</v>
      </c>
      <c r="E3534" s="24">
        <v>1997</v>
      </c>
      <c r="F3534" s="22">
        <v>13321</v>
      </c>
      <c r="G3534" s="23" t="s">
        <v>3854</v>
      </c>
      <c r="H3534" s="25" t="s">
        <v>15373</v>
      </c>
      <c r="I3534" s="22" t="s">
        <v>15374</v>
      </c>
      <c r="J3534" s="22">
        <v>3406</v>
      </c>
      <c r="K3534" s="26">
        <f t="shared" si="54"/>
        <v>346</v>
      </c>
      <c r="M3534" s="26">
        <v>519</v>
      </c>
      <c r="O3534" s="22" t="s">
        <v>3855</v>
      </c>
      <c r="P3534" s="22" t="s">
        <v>2741</v>
      </c>
      <c r="Q3534" s="22" t="s">
        <v>3804</v>
      </c>
      <c r="R3534" s="22" t="s">
        <v>3856</v>
      </c>
      <c r="S3534" s="22" t="s">
        <v>3857</v>
      </c>
      <c r="T3534" s="22">
        <v>6.9</v>
      </c>
      <c r="U3534" s="22">
        <v>0.4</v>
      </c>
      <c r="X3534" s="26"/>
      <c r="Y3534" s="26"/>
    </row>
    <row r="3535" spans="1:25" ht="50" x14ac:dyDescent="0.25">
      <c r="A3535" s="21">
        <v>4223</v>
      </c>
      <c r="B3535" s="22" t="s">
        <v>15335</v>
      </c>
      <c r="C3535" s="22" t="s">
        <v>3858</v>
      </c>
      <c r="E3535" s="24">
        <v>2000</v>
      </c>
      <c r="F3535" s="22">
        <v>14856</v>
      </c>
      <c r="G3535" s="23" t="s">
        <v>3859</v>
      </c>
      <c r="H3535" s="25" t="s">
        <v>15373</v>
      </c>
      <c r="I3535" s="22" t="s">
        <v>15374</v>
      </c>
      <c r="J3535" s="22" t="s">
        <v>12592</v>
      </c>
      <c r="K3535" s="26">
        <f t="shared" si="54"/>
        <v>1448</v>
      </c>
      <c r="M3535" s="26">
        <v>2172</v>
      </c>
      <c r="O3535" s="22" t="s">
        <v>3860</v>
      </c>
      <c r="P3535" s="22" t="s">
        <v>2741</v>
      </c>
      <c r="Q3535" s="22" t="s">
        <v>3861</v>
      </c>
      <c r="R3535" s="22" t="s">
        <v>3862</v>
      </c>
      <c r="S3535" s="22" t="s">
        <v>3863</v>
      </c>
      <c r="T3535" s="22">
        <v>6.9</v>
      </c>
      <c r="U3535" s="22">
        <v>0.4</v>
      </c>
      <c r="X3535" s="26"/>
      <c r="Y3535" s="26"/>
    </row>
    <row r="3536" spans="1:25" ht="37.5" x14ac:dyDescent="0.25">
      <c r="A3536" s="21">
        <v>4224</v>
      </c>
      <c r="B3536" s="22" t="s">
        <v>15335</v>
      </c>
      <c r="C3536" s="22" t="s">
        <v>3864</v>
      </c>
      <c r="E3536" s="24">
        <v>2001</v>
      </c>
      <c r="F3536" s="22">
        <v>15430</v>
      </c>
      <c r="G3536" s="23" t="s">
        <v>3865</v>
      </c>
      <c r="H3536" s="25" t="s">
        <v>15373</v>
      </c>
      <c r="I3536" s="22" t="s">
        <v>15374</v>
      </c>
      <c r="J3536" s="22">
        <v>3406</v>
      </c>
      <c r="K3536" s="26">
        <f t="shared" si="54"/>
        <v>391.33333333333331</v>
      </c>
      <c r="M3536" s="26">
        <v>587</v>
      </c>
      <c r="O3536" s="22" t="s">
        <v>3866</v>
      </c>
      <c r="P3536" s="22" t="s">
        <v>2772</v>
      </c>
      <c r="Q3536" s="22" t="s">
        <v>2773</v>
      </c>
      <c r="R3536" s="22" t="s">
        <v>3867</v>
      </c>
      <c r="S3536" s="22" t="s">
        <v>3868</v>
      </c>
      <c r="T3536" s="22">
        <v>6.9</v>
      </c>
      <c r="U3536" s="22">
        <v>0.4</v>
      </c>
      <c r="X3536" s="26"/>
      <c r="Y3536" s="26"/>
    </row>
    <row r="3537" spans="1:25" ht="37.5" x14ac:dyDescent="0.25">
      <c r="A3537" s="21">
        <v>4225</v>
      </c>
      <c r="B3537" s="22" t="s">
        <v>15335</v>
      </c>
      <c r="C3537" s="22" t="s">
        <v>3869</v>
      </c>
      <c r="E3537" s="24">
        <v>1999</v>
      </c>
      <c r="F3537" s="22">
        <v>14098</v>
      </c>
      <c r="G3537" s="23" t="s">
        <v>3870</v>
      </c>
      <c r="H3537" s="25" t="s">
        <v>15373</v>
      </c>
      <c r="I3537" s="22" t="s">
        <v>15411</v>
      </c>
      <c r="J3537" s="22" t="s">
        <v>12508</v>
      </c>
      <c r="K3537" s="26">
        <f t="shared" si="54"/>
        <v>500</v>
      </c>
      <c r="M3537" s="26">
        <v>750</v>
      </c>
      <c r="O3537" s="22" t="s">
        <v>3871</v>
      </c>
      <c r="P3537" s="22" t="s">
        <v>3811</v>
      </c>
      <c r="Q3537" s="22" t="s">
        <v>3872</v>
      </c>
      <c r="R3537" s="22" t="s">
        <v>3873</v>
      </c>
      <c r="S3537" s="22" t="s">
        <v>3874</v>
      </c>
      <c r="T3537" s="22">
        <v>6.9</v>
      </c>
      <c r="U3537" s="22">
        <v>0.4</v>
      </c>
      <c r="X3537" s="26"/>
      <c r="Y3537" s="26"/>
    </row>
    <row r="3538" spans="1:25" ht="37.5" x14ac:dyDescent="0.25">
      <c r="A3538" s="21">
        <v>4226</v>
      </c>
      <c r="B3538" s="22" t="s">
        <v>15335</v>
      </c>
      <c r="C3538" s="22" t="s">
        <v>3875</v>
      </c>
      <c r="E3538" s="24">
        <v>2000</v>
      </c>
      <c r="F3538" s="22">
        <v>14926</v>
      </c>
      <c r="G3538" s="23" t="s">
        <v>3876</v>
      </c>
      <c r="H3538" s="25" t="s">
        <v>15373</v>
      </c>
      <c r="I3538" s="22" t="s">
        <v>15382</v>
      </c>
      <c r="J3538" s="22" t="s">
        <v>3877</v>
      </c>
      <c r="K3538" s="26">
        <f t="shared" si="54"/>
        <v>356.66666666666663</v>
      </c>
      <c r="M3538" s="26">
        <v>535</v>
      </c>
      <c r="O3538" s="22" t="s">
        <v>3878</v>
      </c>
      <c r="P3538" s="22" t="s">
        <v>3879</v>
      </c>
      <c r="Q3538" s="22" t="s">
        <v>3880</v>
      </c>
      <c r="R3538" s="22" t="s">
        <v>3881</v>
      </c>
      <c r="S3538" s="22" t="s">
        <v>3882</v>
      </c>
      <c r="T3538" s="22">
        <v>6.9</v>
      </c>
      <c r="U3538" s="22">
        <v>0.4</v>
      </c>
      <c r="X3538" s="26"/>
      <c r="Y3538" s="26"/>
    </row>
    <row r="3539" spans="1:25" ht="37.5" x14ac:dyDescent="0.25">
      <c r="A3539" s="21">
        <v>4227</v>
      </c>
      <c r="B3539" s="22" t="s">
        <v>15335</v>
      </c>
      <c r="C3539" s="22" t="s">
        <v>3883</v>
      </c>
      <c r="E3539" s="24">
        <v>1997</v>
      </c>
      <c r="F3539" s="22">
        <v>11020</v>
      </c>
      <c r="G3539" s="23" t="s">
        <v>3884</v>
      </c>
      <c r="H3539" s="25" t="s">
        <v>15373</v>
      </c>
      <c r="I3539" s="22" t="s">
        <v>15411</v>
      </c>
      <c r="J3539" s="22" t="s">
        <v>15412</v>
      </c>
      <c r="K3539" s="26">
        <f t="shared" si="54"/>
        <v>553.33333333333326</v>
      </c>
      <c r="N3539" s="26">
        <v>830</v>
      </c>
      <c r="O3539" s="22" t="s">
        <v>3885</v>
      </c>
      <c r="P3539" s="22" t="s">
        <v>3811</v>
      </c>
      <c r="Q3539" s="22" t="s">
        <v>3872</v>
      </c>
      <c r="R3539" s="22" t="s">
        <v>3886</v>
      </c>
      <c r="S3539" s="22" t="s">
        <v>3887</v>
      </c>
      <c r="T3539" s="22">
        <v>8.17</v>
      </c>
      <c r="U3539" s="22">
        <v>0.38</v>
      </c>
      <c r="X3539" s="26"/>
      <c r="Y3539" s="26"/>
    </row>
    <row r="3540" spans="1:25" ht="37.5" x14ac:dyDescent="0.25">
      <c r="A3540" s="21">
        <v>4228</v>
      </c>
      <c r="B3540" s="22" t="s">
        <v>15335</v>
      </c>
      <c r="C3540" s="22" t="s">
        <v>3888</v>
      </c>
      <c r="E3540" s="24">
        <v>2000</v>
      </c>
      <c r="F3540" s="22">
        <v>15025</v>
      </c>
      <c r="G3540" s="23" t="s">
        <v>3889</v>
      </c>
      <c r="H3540" s="25" t="s">
        <v>15373</v>
      </c>
      <c r="I3540" s="22" t="s">
        <v>15382</v>
      </c>
      <c r="J3540" s="22" t="s">
        <v>16799</v>
      </c>
      <c r="K3540" s="26">
        <f t="shared" si="54"/>
        <v>503.33333333333331</v>
      </c>
      <c r="M3540" s="26">
        <v>755</v>
      </c>
      <c r="O3540" s="22" t="s">
        <v>3890</v>
      </c>
      <c r="P3540" s="22" t="s">
        <v>3811</v>
      </c>
      <c r="Q3540" s="22" t="s">
        <v>2748</v>
      </c>
      <c r="R3540" s="22" t="s">
        <v>3891</v>
      </c>
      <c r="S3540" s="22" t="s">
        <v>3892</v>
      </c>
      <c r="T3540" s="22">
        <v>6.9</v>
      </c>
      <c r="U3540" s="22">
        <v>0.4</v>
      </c>
      <c r="X3540" s="26"/>
      <c r="Y3540" s="26"/>
    </row>
    <row r="3541" spans="1:25" ht="37.5" x14ac:dyDescent="0.25">
      <c r="A3541" s="21">
        <v>4229</v>
      </c>
      <c r="B3541" s="22" t="s">
        <v>15335</v>
      </c>
      <c r="C3541" s="22" t="s">
        <v>3893</v>
      </c>
      <c r="E3541" s="24">
        <v>1994</v>
      </c>
      <c r="F3541" s="22">
        <v>10071</v>
      </c>
      <c r="G3541" s="23" t="s">
        <v>3894</v>
      </c>
      <c r="H3541" s="25" t="s">
        <v>15373</v>
      </c>
      <c r="I3541" s="22" t="s">
        <v>15374</v>
      </c>
      <c r="J3541" s="22" t="s">
        <v>16561</v>
      </c>
      <c r="K3541" s="26">
        <f t="shared" si="54"/>
        <v>346</v>
      </c>
      <c r="N3541" s="26">
        <v>519</v>
      </c>
      <c r="O3541" s="22" t="s">
        <v>3895</v>
      </c>
      <c r="P3541" s="22" t="s">
        <v>3896</v>
      </c>
      <c r="Q3541" s="22" t="s">
        <v>3897</v>
      </c>
      <c r="R3541" s="22" t="s">
        <v>3898</v>
      </c>
      <c r="S3541" s="22" t="s">
        <v>3899</v>
      </c>
      <c r="T3541" s="22">
        <v>8.17</v>
      </c>
      <c r="U3541" s="22">
        <v>0.38</v>
      </c>
      <c r="X3541" s="26"/>
      <c r="Y3541" s="26"/>
    </row>
    <row r="3542" spans="1:25" ht="50" x14ac:dyDescent="0.25">
      <c r="A3542" s="21">
        <v>4231</v>
      </c>
      <c r="B3542" s="22" t="s">
        <v>15335</v>
      </c>
      <c r="C3542" s="22" t="s">
        <v>3900</v>
      </c>
      <c r="E3542" s="24">
        <v>2000</v>
      </c>
      <c r="F3542" s="22">
        <v>15169</v>
      </c>
      <c r="G3542" s="23" t="s">
        <v>3901</v>
      </c>
      <c r="H3542" s="25" t="s">
        <v>15373</v>
      </c>
      <c r="I3542" s="22" t="s">
        <v>15411</v>
      </c>
      <c r="J3542" s="22" t="s">
        <v>16884</v>
      </c>
      <c r="K3542" s="26">
        <f t="shared" si="54"/>
        <v>383.33333333333331</v>
      </c>
      <c r="M3542" s="26">
        <v>575</v>
      </c>
      <c r="O3542" s="22" t="s">
        <v>3803</v>
      </c>
      <c r="P3542" s="22" t="s">
        <v>2741</v>
      </c>
      <c r="Q3542" s="22" t="s">
        <v>3804</v>
      </c>
      <c r="R3542" s="22" t="s">
        <v>3902</v>
      </c>
      <c r="S3542" s="22" t="s">
        <v>3903</v>
      </c>
      <c r="T3542" s="22">
        <v>6.9</v>
      </c>
      <c r="U3542" s="22">
        <v>0.4</v>
      </c>
      <c r="X3542" s="26"/>
      <c r="Y3542" s="26"/>
    </row>
    <row r="3543" spans="1:25" ht="37.5" x14ac:dyDescent="0.25">
      <c r="A3543" s="21">
        <v>4232</v>
      </c>
      <c r="B3543" s="22" t="s">
        <v>15335</v>
      </c>
      <c r="C3543" s="22" t="s">
        <v>3904</v>
      </c>
      <c r="E3543" s="24">
        <v>1999</v>
      </c>
      <c r="F3543" s="22">
        <v>13777</v>
      </c>
      <c r="G3543" s="23" t="s">
        <v>3905</v>
      </c>
      <c r="H3543" s="25" t="s">
        <v>15373</v>
      </c>
      <c r="I3543" s="22" t="s">
        <v>15411</v>
      </c>
      <c r="J3543" s="22" t="s">
        <v>17383</v>
      </c>
      <c r="K3543" s="26">
        <f t="shared" si="54"/>
        <v>316</v>
      </c>
      <c r="M3543" s="26">
        <v>474</v>
      </c>
      <c r="O3543" s="22" t="s">
        <v>3906</v>
      </c>
      <c r="P3543" s="22" t="s">
        <v>3907</v>
      </c>
      <c r="Q3543" s="22" t="s">
        <v>3908</v>
      </c>
      <c r="R3543" s="22" t="s">
        <v>3909</v>
      </c>
      <c r="S3543" s="22" t="s">
        <v>3910</v>
      </c>
      <c r="T3543" s="22">
        <v>6.9</v>
      </c>
      <c r="U3543" s="22">
        <v>0.4</v>
      </c>
      <c r="X3543" s="26"/>
      <c r="Y3543" s="26"/>
    </row>
    <row r="3544" spans="1:25" ht="37.5" x14ac:dyDescent="0.25">
      <c r="A3544" s="21">
        <v>4233</v>
      </c>
      <c r="B3544" s="22" t="s">
        <v>15335</v>
      </c>
      <c r="C3544" s="22" t="s">
        <v>3911</v>
      </c>
      <c r="E3544" s="24">
        <v>1999</v>
      </c>
      <c r="F3544" s="22">
        <v>14428</v>
      </c>
      <c r="G3544" s="23" t="s">
        <v>3912</v>
      </c>
      <c r="H3544" s="25" t="s">
        <v>15373</v>
      </c>
      <c r="I3544" s="22" t="s">
        <v>15382</v>
      </c>
      <c r="J3544" s="22" t="s">
        <v>14850</v>
      </c>
      <c r="K3544" s="26">
        <f t="shared" si="54"/>
        <v>310</v>
      </c>
      <c r="N3544" s="26">
        <v>465</v>
      </c>
      <c r="O3544" s="22" t="s">
        <v>3913</v>
      </c>
      <c r="R3544" s="22" t="s">
        <v>3914</v>
      </c>
      <c r="S3544" s="22" t="s">
        <v>3915</v>
      </c>
      <c r="T3544" s="22">
        <v>6.9</v>
      </c>
      <c r="U3544" s="22">
        <v>0.4</v>
      </c>
      <c r="X3544" s="26"/>
      <c r="Y3544" s="26"/>
    </row>
    <row r="3545" spans="1:25" ht="37.5" x14ac:dyDescent="0.25">
      <c r="A3545" s="21">
        <v>4234</v>
      </c>
      <c r="B3545" s="22" t="s">
        <v>15335</v>
      </c>
      <c r="C3545" s="22" t="s">
        <v>3911</v>
      </c>
      <c r="E3545" s="24">
        <v>2000</v>
      </c>
      <c r="F3545" s="22">
        <v>15047</v>
      </c>
      <c r="G3545" s="23" t="s">
        <v>3916</v>
      </c>
      <c r="H3545" s="25" t="s">
        <v>15373</v>
      </c>
      <c r="I3545" s="22" t="s">
        <v>15382</v>
      </c>
      <c r="J3545" s="22" t="s">
        <v>3917</v>
      </c>
      <c r="K3545" s="26">
        <f t="shared" si="54"/>
        <v>310</v>
      </c>
      <c r="N3545" s="26">
        <v>465</v>
      </c>
      <c r="O3545" s="22" t="s">
        <v>3918</v>
      </c>
      <c r="P3545" s="22" t="s">
        <v>2741</v>
      </c>
      <c r="Q3545" s="22" t="s">
        <v>3804</v>
      </c>
      <c r="R3545" s="22" t="s">
        <v>3914</v>
      </c>
      <c r="S3545" s="22" t="s">
        <v>3915</v>
      </c>
      <c r="T3545" s="22">
        <v>6.9</v>
      </c>
      <c r="U3545" s="22">
        <v>0.4</v>
      </c>
      <c r="X3545" s="26"/>
      <c r="Y3545" s="26"/>
    </row>
    <row r="3546" spans="1:25" ht="50" x14ac:dyDescent="0.25">
      <c r="A3546" s="21">
        <v>4235</v>
      </c>
      <c r="B3546" s="22" t="s">
        <v>15335</v>
      </c>
      <c r="C3546" s="22" t="s">
        <v>3911</v>
      </c>
      <c r="E3546" s="24">
        <v>2000</v>
      </c>
      <c r="F3546" s="22">
        <v>15230</v>
      </c>
      <c r="G3546" s="23" t="s">
        <v>3919</v>
      </c>
      <c r="H3546" s="25" t="s">
        <v>15373</v>
      </c>
      <c r="I3546" s="22" t="s">
        <v>15411</v>
      </c>
      <c r="J3546" s="22" t="s">
        <v>17383</v>
      </c>
      <c r="K3546" s="26">
        <f t="shared" si="54"/>
        <v>316</v>
      </c>
      <c r="M3546" s="26">
        <v>474</v>
      </c>
      <c r="O3546" s="22" t="s">
        <v>3920</v>
      </c>
      <c r="P3546" s="22" t="s">
        <v>2741</v>
      </c>
      <c r="Q3546" s="22" t="s">
        <v>3861</v>
      </c>
      <c r="R3546" s="22" t="s">
        <v>3921</v>
      </c>
      <c r="S3546" s="22" t="s">
        <v>3922</v>
      </c>
      <c r="T3546" s="22">
        <v>6.9</v>
      </c>
      <c r="U3546" s="22">
        <v>0.4</v>
      </c>
      <c r="X3546" s="26"/>
      <c r="Y3546" s="26"/>
    </row>
    <row r="3547" spans="1:25" ht="37.5" x14ac:dyDescent="0.25">
      <c r="A3547" s="21">
        <v>4238</v>
      </c>
      <c r="B3547" s="22" t="s">
        <v>15335</v>
      </c>
      <c r="C3547" s="22" t="s">
        <v>3911</v>
      </c>
      <c r="E3547" s="24">
        <v>2000</v>
      </c>
      <c r="F3547" s="22">
        <v>14390</v>
      </c>
      <c r="G3547" s="23" t="s">
        <v>3923</v>
      </c>
      <c r="H3547" s="25" t="s">
        <v>15373</v>
      </c>
      <c r="I3547" s="22" t="s">
        <v>15411</v>
      </c>
      <c r="J3547" s="22" t="s">
        <v>16276</v>
      </c>
      <c r="K3547" s="26">
        <f t="shared" si="54"/>
        <v>360</v>
      </c>
      <c r="M3547" s="26">
        <v>540</v>
      </c>
      <c r="O3547" s="22" t="s">
        <v>3913</v>
      </c>
      <c r="R3547" s="22" t="s">
        <v>3914</v>
      </c>
      <c r="S3547" s="22" t="s">
        <v>3915</v>
      </c>
      <c r="T3547" s="22">
        <v>6.9</v>
      </c>
      <c r="U3547" s="22">
        <v>0.4</v>
      </c>
      <c r="X3547" s="26"/>
      <c r="Y3547" s="26"/>
    </row>
    <row r="3548" spans="1:25" ht="37.5" x14ac:dyDescent="0.25">
      <c r="A3548" s="21">
        <v>4239</v>
      </c>
      <c r="B3548" s="22" t="s">
        <v>15335</v>
      </c>
      <c r="C3548" s="22" t="s">
        <v>3911</v>
      </c>
      <c r="E3548" s="24">
        <v>2000</v>
      </c>
      <c r="F3548" s="22">
        <v>14391</v>
      </c>
      <c r="G3548" s="23" t="s">
        <v>3924</v>
      </c>
      <c r="H3548" s="25" t="s">
        <v>15373</v>
      </c>
      <c r="I3548" s="22" t="s">
        <v>15411</v>
      </c>
      <c r="J3548" s="22" t="s">
        <v>16276</v>
      </c>
      <c r="K3548" s="26">
        <f t="shared" si="54"/>
        <v>360</v>
      </c>
      <c r="M3548" s="26">
        <v>540</v>
      </c>
      <c r="O3548" s="22" t="s">
        <v>3913</v>
      </c>
      <c r="R3548" s="22" t="s">
        <v>3914</v>
      </c>
      <c r="S3548" s="22" t="s">
        <v>3915</v>
      </c>
      <c r="T3548" s="22">
        <v>6.9</v>
      </c>
      <c r="U3548" s="22">
        <v>0.4</v>
      </c>
      <c r="X3548" s="26"/>
      <c r="Y3548" s="26"/>
    </row>
    <row r="3549" spans="1:25" ht="37.5" x14ac:dyDescent="0.25">
      <c r="A3549" s="21">
        <v>4240</v>
      </c>
      <c r="B3549" s="22" t="s">
        <v>15335</v>
      </c>
      <c r="C3549" s="22" t="s">
        <v>3911</v>
      </c>
      <c r="E3549" s="24">
        <v>1998</v>
      </c>
      <c r="F3549" s="22">
        <v>14750</v>
      </c>
      <c r="G3549" s="23" t="s">
        <v>2914</v>
      </c>
      <c r="H3549" s="25" t="s">
        <v>15373</v>
      </c>
      <c r="I3549" s="22" t="s">
        <v>15411</v>
      </c>
      <c r="J3549" s="22" t="s">
        <v>16517</v>
      </c>
      <c r="K3549" s="26">
        <f t="shared" si="54"/>
        <v>366.66666666666663</v>
      </c>
      <c r="M3549" s="26">
        <v>550</v>
      </c>
      <c r="O3549" s="22" t="s">
        <v>2915</v>
      </c>
      <c r="P3549" s="22" t="s">
        <v>2741</v>
      </c>
      <c r="Q3549" s="22" t="s">
        <v>2916</v>
      </c>
      <c r="R3549" s="22" t="s">
        <v>3914</v>
      </c>
      <c r="S3549" s="22" t="s">
        <v>3915</v>
      </c>
      <c r="T3549" s="22">
        <v>6.9</v>
      </c>
      <c r="U3549" s="22">
        <v>0.4</v>
      </c>
      <c r="X3549" s="26"/>
      <c r="Y3549" s="26"/>
    </row>
    <row r="3550" spans="1:25" ht="37.5" x14ac:dyDescent="0.25">
      <c r="A3550" s="21">
        <v>4250</v>
      </c>
      <c r="B3550" s="22" t="s">
        <v>15335</v>
      </c>
      <c r="C3550" s="22" t="s">
        <v>2917</v>
      </c>
      <c r="E3550" s="24">
        <v>1992</v>
      </c>
      <c r="F3550" s="22">
        <v>9679</v>
      </c>
      <c r="G3550" s="23" t="s">
        <v>2918</v>
      </c>
      <c r="H3550" s="25" t="s">
        <v>15373</v>
      </c>
      <c r="I3550" s="22" t="s">
        <v>15374</v>
      </c>
      <c r="J3550" s="22">
        <v>3412</v>
      </c>
      <c r="K3550" s="26">
        <f t="shared" si="54"/>
        <v>499.33333333333331</v>
      </c>
      <c r="N3550" s="26">
        <v>749</v>
      </c>
      <c r="O3550" s="22" t="s">
        <v>2919</v>
      </c>
      <c r="P3550" s="22" t="s">
        <v>2741</v>
      </c>
      <c r="Q3550" s="22" t="s">
        <v>3804</v>
      </c>
      <c r="R3550" s="22" t="s">
        <v>2920</v>
      </c>
      <c r="S3550" s="22" t="s">
        <v>2921</v>
      </c>
      <c r="T3550" s="22">
        <v>8.17</v>
      </c>
      <c r="U3550" s="22">
        <v>0.38</v>
      </c>
      <c r="X3550" s="26"/>
      <c r="Y3550" s="26"/>
    </row>
    <row r="3551" spans="1:25" ht="37.5" x14ac:dyDescent="0.25">
      <c r="A3551" s="21">
        <v>4251</v>
      </c>
      <c r="B3551" s="22" t="s">
        <v>15335</v>
      </c>
      <c r="C3551" s="22" t="s">
        <v>2922</v>
      </c>
      <c r="E3551" s="24">
        <v>1994</v>
      </c>
      <c r="F3551" s="22">
        <v>9672</v>
      </c>
      <c r="G3551" s="23" t="s">
        <v>2923</v>
      </c>
      <c r="H3551" s="25" t="s">
        <v>15373</v>
      </c>
      <c r="I3551" s="22" t="s">
        <v>15382</v>
      </c>
      <c r="J3551" s="22" t="s">
        <v>2924</v>
      </c>
      <c r="K3551" s="26">
        <f t="shared" si="54"/>
        <v>506.66666666666663</v>
      </c>
      <c r="N3551" s="26">
        <v>760</v>
      </c>
      <c r="O3551" s="22" t="s">
        <v>2925</v>
      </c>
      <c r="P3551" s="22" t="s">
        <v>2926</v>
      </c>
      <c r="Q3551" s="22">
        <v>95690</v>
      </c>
      <c r="R3551" s="22" t="s">
        <v>2927</v>
      </c>
      <c r="S3551" s="22" t="s">
        <v>2928</v>
      </c>
      <c r="T3551" s="22">
        <v>8.17</v>
      </c>
      <c r="U3551" s="22">
        <v>0.38</v>
      </c>
      <c r="X3551" s="26"/>
      <c r="Y3551" s="26"/>
    </row>
    <row r="3552" spans="1:25" ht="37.5" x14ac:dyDescent="0.25">
      <c r="A3552" s="21">
        <v>4252</v>
      </c>
      <c r="B3552" s="22" t="s">
        <v>15335</v>
      </c>
      <c r="C3552" s="22" t="s">
        <v>3888</v>
      </c>
      <c r="E3552" s="24">
        <v>1995</v>
      </c>
      <c r="F3552" s="22">
        <v>11984</v>
      </c>
      <c r="G3552" s="23" t="s">
        <v>2929</v>
      </c>
      <c r="H3552" s="25" t="s">
        <v>15373</v>
      </c>
      <c r="I3552" s="22" t="s">
        <v>15374</v>
      </c>
      <c r="J3552" s="22" t="s">
        <v>9175</v>
      </c>
      <c r="K3552" s="26">
        <f t="shared" si="54"/>
        <v>350</v>
      </c>
      <c r="M3552" s="26">
        <v>525</v>
      </c>
      <c r="O3552" s="22" t="s">
        <v>2930</v>
      </c>
      <c r="P3552" s="22" t="s">
        <v>2931</v>
      </c>
      <c r="Q3552" s="22" t="s">
        <v>2932</v>
      </c>
      <c r="R3552" s="22" t="s">
        <v>3891</v>
      </c>
      <c r="S3552" s="22" t="s">
        <v>3892</v>
      </c>
      <c r="T3552" s="22">
        <v>8.17</v>
      </c>
      <c r="U3552" s="22">
        <v>0.38</v>
      </c>
      <c r="X3552" s="26"/>
      <c r="Y3552" s="26"/>
    </row>
    <row r="3553" spans="1:25" ht="37.5" x14ac:dyDescent="0.25">
      <c r="A3553" s="21">
        <v>4253</v>
      </c>
      <c r="B3553" s="22" t="s">
        <v>15335</v>
      </c>
      <c r="C3553" s="22" t="s">
        <v>3888</v>
      </c>
      <c r="E3553" s="24">
        <v>1998</v>
      </c>
      <c r="F3553" s="22">
        <v>13358</v>
      </c>
      <c r="G3553" s="23" t="s">
        <v>2933</v>
      </c>
      <c r="H3553" s="25" t="s">
        <v>15373</v>
      </c>
      <c r="I3553" s="22" t="s">
        <v>15382</v>
      </c>
      <c r="J3553" s="22" t="s">
        <v>16784</v>
      </c>
      <c r="K3553" s="26">
        <f t="shared" si="54"/>
        <v>503.33333333333331</v>
      </c>
      <c r="N3553" s="26">
        <v>755</v>
      </c>
      <c r="O3553" s="22" t="s">
        <v>2934</v>
      </c>
      <c r="P3553" s="22" t="s">
        <v>3811</v>
      </c>
      <c r="Q3553" s="22" t="s">
        <v>2748</v>
      </c>
      <c r="R3553" s="22" t="s">
        <v>3891</v>
      </c>
      <c r="S3553" s="22" t="s">
        <v>3892</v>
      </c>
      <c r="T3553" s="22">
        <v>8.17</v>
      </c>
      <c r="U3553" s="22">
        <v>0.38</v>
      </c>
      <c r="X3553" s="26"/>
      <c r="Y3553" s="26"/>
    </row>
    <row r="3554" spans="1:25" ht="37.5" x14ac:dyDescent="0.25">
      <c r="A3554" s="21">
        <v>4254</v>
      </c>
      <c r="B3554" s="22" t="s">
        <v>15335</v>
      </c>
      <c r="C3554" s="22" t="s">
        <v>2935</v>
      </c>
      <c r="E3554" s="24">
        <v>1994</v>
      </c>
      <c r="F3554" s="22">
        <v>16812</v>
      </c>
      <c r="G3554" s="23" t="s">
        <v>2936</v>
      </c>
      <c r="H3554" s="25" t="s">
        <v>15373</v>
      </c>
      <c r="I3554" s="22" t="s">
        <v>15382</v>
      </c>
      <c r="J3554" s="22" t="s">
        <v>16861</v>
      </c>
      <c r="K3554" s="26">
        <f t="shared" si="54"/>
        <v>400</v>
      </c>
      <c r="N3554" s="26">
        <v>600</v>
      </c>
      <c r="O3554" s="22" t="s">
        <v>2937</v>
      </c>
      <c r="P3554" s="22" t="s">
        <v>2741</v>
      </c>
      <c r="Q3554" s="22" t="s">
        <v>2916</v>
      </c>
      <c r="R3554" s="22" t="s">
        <v>2938</v>
      </c>
      <c r="S3554" s="22" t="s">
        <v>2939</v>
      </c>
      <c r="T3554" s="22">
        <v>8.17</v>
      </c>
      <c r="U3554" s="22">
        <v>0.38</v>
      </c>
      <c r="X3554" s="26"/>
      <c r="Y3554" s="26"/>
    </row>
    <row r="3555" spans="1:25" ht="50" x14ac:dyDescent="0.25">
      <c r="A3555" s="21">
        <v>4255</v>
      </c>
      <c r="B3555" s="22" t="s">
        <v>15335</v>
      </c>
      <c r="C3555" s="22" t="s">
        <v>2940</v>
      </c>
      <c r="E3555" s="24">
        <v>1991</v>
      </c>
      <c r="F3555" s="22">
        <v>9716</v>
      </c>
      <c r="G3555" s="23" t="s">
        <v>2941</v>
      </c>
      <c r="H3555" s="25" t="s">
        <v>15373</v>
      </c>
      <c r="I3555" s="22" t="s">
        <v>14622</v>
      </c>
      <c r="J3555" s="22" t="s">
        <v>2942</v>
      </c>
      <c r="K3555" s="26">
        <f t="shared" si="54"/>
        <v>350</v>
      </c>
      <c r="L3555" s="26">
        <v>350</v>
      </c>
      <c r="O3555" s="22" t="s">
        <v>2943</v>
      </c>
      <c r="P3555" s="22" t="s">
        <v>2944</v>
      </c>
      <c r="Q3555" s="22" t="s">
        <v>3908</v>
      </c>
      <c r="R3555" s="22" t="s">
        <v>2945</v>
      </c>
      <c r="S3555" s="22" t="s">
        <v>2946</v>
      </c>
      <c r="T3555" s="22">
        <v>8.17</v>
      </c>
      <c r="U3555" s="22">
        <v>0.38</v>
      </c>
      <c r="X3555" s="26"/>
      <c r="Y3555" s="26"/>
    </row>
    <row r="3556" spans="1:25" ht="50" x14ac:dyDescent="0.25">
      <c r="A3556" s="21">
        <v>4256</v>
      </c>
      <c r="B3556" s="22" t="s">
        <v>15335</v>
      </c>
      <c r="C3556" s="22" t="s">
        <v>2940</v>
      </c>
      <c r="E3556" s="24">
        <v>1991</v>
      </c>
      <c r="F3556" s="22">
        <v>8461</v>
      </c>
      <c r="G3556" s="23" t="s">
        <v>2947</v>
      </c>
      <c r="H3556" s="25" t="s">
        <v>15373</v>
      </c>
      <c r="I3556" s="22" t="s">
        <v>15411</v>
      </c>
      <c r="J3556" s="22" t="s">
        <v>14388</v>
      </c>
      <c r="K3556" s="26">
        <f t="shared" si="54"/>
        <v>756.66666666666663</v>
      </c>
      <c r="N3556" s="26">
        <v>1135</v>
      </c>
      <c r="O3556" s="22" t="s">
        <v>2948</v>
      </c>
      <c r="P3556" s="22" t="s">
        <v>2741</v>
      </c>
      <c r="Q3556" s="22" t="s">
        <v>2742</v>
      </c>
      <c r="R3556" s="22" t="s">
        <v>2949</v>
      </c>
      <c r="S3556" s="22" t="s">
        <v>2950</v>
      </c>
      <c r="T3556" s="22">
        <v>8.17</v>
      </c>
      <c r="U3556" s="22">
        <v>0.38</v>
      </c>
      <c r="X3556" s="26"/>
      <c r="Y3556" s="26"/>
    </row>
    <row r="3557" spans="1:25" ht="50" x14ac:dyDescent="0.25">
      <c r="A3557" s="21">
        <v>4257</v>
      </c>
      <c r="B3557" s="22" t="s">
        <v>15335</v>
      </c>
      <c r="C3557" s="22" t="s">
        <v>2940</v>
      </c>
      <c r="E3557" s="24">
        <v>1991</v>
      </c>
      <c r="F3557" s="22">
        <v>9560</v>
      </c>
      <c r="G3557" s="23" t="s">
        <v>2951</v>
      </c>
      <c r="H3557" s="25" t="s">
        <v>15373</v>
      </c>
      <c r="I3557" s="22" t="s">
        <v>15411</v>
      </c>
      <c r="J3557" s="22" t="s">
        <v>14388</v>
      </c>
      <c r="K3557" s="26">
        <f t="shared" si="54"/>
        <v>756.66666666666663</v>
      </c>
      <c r="N3557" s="26">
        <v>1135</v>
      </c>
      <c r="O3557" s="22" t="s">
        <v>2948</v>
      </c>
      <c r="P3557" s="22" t="s">
        <v>2741</v>
      </c>
      <c r="Q3557" s="22" t="s">
        <v>2742</v>
      </c>
      <c r="R3557" s="22" t="s">
        <v>2949</v>
      </c>
      <c r="S3557" s="22" t="s">
        <v>2950</v>
      </c>
      <c r="T3557" s="22">
        <v>8.17</v>
      </c>
      <c r="U3557" s="22">
        <v>0.38</v>
      </c>
      <c r="X3557" s="26"/>
      <c r="Y3557" s="26"/>
    </row>
    <row r="3558" spans="1:25" ht="25" x14ac:dyDescent="0.25">
      <c r="A3558" s="21">
        <v>4258</v>
      </c>
      <c r="B3558" s="22" t="s">
        <v>15335</v>
      </c>
      <c r="C3558" s="22" t="s">
        <v>2952</v>
      </c>
      <c r="E3558" s="24">
        <v>1995</v>
      </c>
      <c r="F3558" s="22">
        <v>11996</v>
      </c>
      <c r="G3558" s="23" t="s">
        <v>2953</v>
      </c>
      <c r="H3558" s="25" t="s">
        <v>15373</v>
      </c>
      <c r="I3558" s="22" t="s">
        <v>15382</v>
      </c>
      <c r="J3558" s="22" t="s">
        <v>16861</v>
      </c>
      <c r="K3558" s="26">
        <f t="shared" si="54"/>
        <v>400</v>
      </c>
      <c r="M3558" s="26">
        <v>600</v>
      </c>
      <c r="O3558" s="22" t="s">
        <v>2954</v>
      </c>
      <c r="P3558" s="22" t="s">
        <v>2741</v>
      </c>
      <c r="Q3558" s="22" t="s">
        <v>2955</v>
      </c>
      <c r="R3558" s="22" t="s">
        <v>2956</v>
      </c>
      <c r="S3558" s="22" t="s">
        <v>2957</v>
      </c>
      <c r="T3558" s="22">
        <v>8.17</v>
      </c>
      <c r="U3558" s="22">
        <v>0.38</v>
      </c>
      <c r="X3558" s="26"/>
      <c r="Y3558" s="26"/>
    </row>
    <row r="3559" spans="1:25" ht="37.5" x14ac:dyDescent="0.25">
      <c r="A3559" s="21">
        <v>4259</v>
      </c>
      <c r="B3559" s="22" t="s">
        <v>15335</v>
      </c>
      <c r="C3559" s="22" t="s">
        <v>2958</v>
      </c>
      <c r="E3559" s="24">
        <v>1997</v>
      </c>
      <c r="F3559" s="22">
        <v>11899</v>
      </c>
      <c r="G3559" s="23" t="s">
        <v>2959</v>
      </c>
      <c r="H3559" s="25" t="s">
        <v>15373</v>
      </c>
      <c r="I3559" s="22" t="s">
        <v>15374</v>
      </c>
      <c r="J3559" s="22">
        <v>3408</v>
      </c>
      <c r="K3559" s="26">
        <f t="shared" si="54"/>
        <v>402</v>
      </c>
      <c r="M3559" s="26">
        <v>603</v>
      </c>
      <c r="O3559" s="22" t="s">
        <v>2960</v>
      </c>
      <c r="P3559" s="22" t="s">
        <v>2741</v>
      </c>
      <c r="Q3559" s="22" t="s">
        <v>2961</v>
      </c>
      <c r="R3559" s="22" t="s">
        <v>2962</v>
      </c>
      <c r="S3559" s="22" t="s">
        <v>2963</v>
      </c>
      <c r="T3559" s="22">
        <v>6.9</v>
      </c>
      <c r="U3559" s="22">
        <v>0.4</v>
      </c>
      <c r="X3559" s="26"/>
      <c r="Y3559" s="26"/>
    </row>
    <row r="3560" spans="1:25" ht="37.5" x14ac:dyDescent="0.25">
      <c r="A3560" s="21">
        <v>4260</v>
      </c>
      <c r="B3560" s="22" t="s">
        <v>15335</v>
      </c>
      <c r="C3560" s="22" t="s">
        <v>2964</v>
      </c>
      <c r="E3560" s="24">
        <v>1994</v>
      </c>
      <c r="F3560" s="22">
        <v>11370</v>
      </c>
      <c r="G3560" s="23" t="s">
        <v>2965</v>
      </c>
      <c r="H3560" s="25" t="s">
        <v>15373</v>
      </c>
      <c r="I3560" s="22" t="s">
        <v>15411</v>
      </c>
      <c r="J3560" s="22" t="s">
        <v>16437</v>
      </c>
      <c r="K3560" s="26">
        <f t="shared" ref="K3560:K3623" si="55">L3560+M3560*(2/3)+N3560*(2/3)</f>
        <v>1346.6666666666665</v>
      </c>
      <c r="M3560" s="26">
        <v>2020</v>
      </c>
      <c r="O3560" s="22" t="s">
        <v>2966</v>
      </c>
      <c r="P3560" s="22" t="s">
        <v>2755</v>
      </c>
      <c r="Q3560" s="22" t="s">
        <v>2756</v>
      </c>
      <c r="R3560" s="22" t="s">
        <v>2967</v>
      </c>
      <c r="S3560" s="22" t="s">
        <v>2968</v>
      </c>
      <c r="T3560" s="22">
        <v>8.17</v>
      </c>
      <c r="U3560" s="22">
        <v>0.38</v>
      </c>
      <c r="X3560" s="26"/>
      <c r="Y3560" s="26"/>
    </row>
    <row r="3561" spans="1:25" ht="37.5" x14ac:dyDescent="0.25">
      <c r="A3561" s="21">
        <v>4261</v>
      </c>
      <c r="B3561" s="22" t="s">
        <v>15335</v>
      </c>
      <c r="C3561" s="22" t="s">
        <v>2964</v>
      </c>
      <c r="E3561" s="24">
        <v>1994</v>
      </c>
      <c r="F3561" s="22">
        <v>11371</v>
      </c>
      <c r="G3561" s="23" t="s">
        <v>2969</v>
      </c>
      <c r="H3561" s="25" t="s">
        <v>15373</v>
      </c>
      <c r="I3561" s="22" t="s">
        <v>15411</v>
      </c>
      <c r="J3561" s="22" t="s">
        <v>16437</v>
      </c>
      <c r="K3561" s="26">
        <f t="shared" si="55"/>
        <v>1346.6666666666665</v>
      </c>
      <c r="M3561" s="26">
        <v>2020</v>
      </c>
      <c r="O3561" s="22" t="s">
        <v>2966</v>
      </c>
      <c r="P3561" s="22" t="s">
        <v>2755</v>
      </c>
      <c r="Q3561" s="22" t="s">
        <v>2756</v>
      </c>
      <c r="R3561" s="22" t="s">
        <v>2967</v>
      </c>
      <c r="S3561" s="22" t="s">
        <v>2968</v>
      </c>
      <c r="T3561" s="22">
        <v>8.17</v>
      </c>
      <c r="U3561" s="22">
        <v>0.38</v>
      </c>
      <c r="X3561" s="26"/>
      <c r="Y3561" s="26"/>
    </row>
    <row r="3562" spans="1:25" ht="37.5" x14ac:dyDescent="0.25">
      <c r="A3562" s="21">
        <v>4262</v>
      </c>
      <c r="B3562" s="22" t="s">
        <v>15335</v>
      </c>
      <c r="C3562" s="22" t="s">
        <v>2964</v>
      </c>
      <c r="E3562" s="24">
        <v>1994</v>
      </c>
      <c r="F3562" s="22">
        <v>11372</v>
      </c>
      <c r="G3562" s="23" t="s">
        <v>2970</v>
      </c>
      <c r="H3562" s="25" t="s">
        <v>15373</v>
      </c>
      <c r="I3562" s="22" t="s">
        <v>15411</v>
      </c>
      <c r="J3562" s="22" t="s">
        <v>16437</v>
      </c>
      <c r="K3562" s="26">
        <f t="shared" si="55"/>
        <v>1346.6666666666665</v>
      </c>
      <c r="M3562" s="26">
        <v>2020</v>
      </c>
      <c r="O3562" s="22" t="s">
        <v>2966</v>
      </c>
      <c r="P3562" s="22" t="s">
        <v>2755</v>
      </c>
      <c r="Q3562" s="22" t="s">
        <v>2756</v>
      </c>
      <c r="R3562" s="22" t="s">
        <v>2967</v>
      </c>
      <c r="S3562" s="22" t="s">
        <v>2968</v>
      </c>
      <c r="T3562" s="22">
        <v>8.17</v>
      </c>
      <c r="U3562" s="22">
        <v>0.38</v>
      </c>
      <c r="X3562" s="26"/>
      <c r="Y3562" s="26"/>
    </row>
    <row r="3563" spans="1:25" ht="37.5" x14ac:dyDescent="0.25">
      <c r="A3563" s="21">
        <v>4263</v>
      </c>
      <c r="B3563" s="22" t="s">
        <v>15335</v>
      </c>
      <c r="C3563" s="22" t="s">
        <v>2971</v>
      </c>
      <c r="E3563" s="24">
        <v>1993</v>
      </c>
      <c r="F3563" s="22">
        <v>9760</v>
      </c>
      <c r="G3563" s="23" t="s">
        <v>2972</v>
      </c>
      <c r="H3563" s="25" t="s">
        <v>15373</v>
      </c>
      <c r="I3563" s="22" t="s">
        <v>15382</v>
      </c>
      <c r="J3563" s="22" t="s">
        <v>2973</v>
      </c>
      <c r="K3563" s="26">
        <f t="shared" si="55"/>
        <v>365</v>
      </c>
      <c r="L3563" s="26">
        <v>365</v>
      </c>
      <c r="O3563" s="22" t="s">
        <v>2974</v>
      </c>
      <c r="P3563" s="22" t="s">
        <v>2741</v>
      </c>
      <c r="Q3563" s="22" t="s">
        <v>3908</v>
      </c>
      <c r="R3563" s="22" t="s">
        <v>2975</v>
      </c>
      <c r="S3563" s="22" t="s">
        <v>2976</v>
      </c>
      <c r="T3563" s="22">
        <v>8.17</v>
      </c>
      <c r="U3563" s="22">
        <v>0.38</v>
      </c>
      <c r="X3563" s="26"/>
      <c r="Y3563" s="26"/>
    </row>
    <row r="3564" spans="1:25" ht="37.5" x14ac:dyDescent="0.25">
      <c r="A3564" s="21">
        <v>4264</v>
      </c>
      <c r="B3564" s="22" t="s">
        <v>15335</v>
      </c>
      <c r="C3564" s="22" t="s">
        <v>2977</v>
      </c>
      <c r="E3564" s="24">
        <v>1998</v>
      </c>
      <c r="F3564" s="22">
        <v>13839</v>
      </c>
      <c r="G3564" s="23" t="s">
        <v>2978</v>
      </c>
      <c r="H3564" s="25" t="s">
        <v>15373</v>
      </c>
      <c r="I3564" s="22" t="s">
        <v>15411</v>
      </c>
      <c r="J3564" s="22" t="s">
        <v>2979</v>
      </c>
      <c r="K3564" s="26">
        <f t="shared" si="55"/>
        <v>950</v>
      </c>
      <c r="M3564" s="26">
        <v>1425</v>
      </c>
      <c r="O3564" s="22" t="s">
        <v>2980</v>
      </c>
      <c r="P3564" s="22" t="s">
        <v>2741</v>
      </c>
      <c r="Q3564" s="22" t="s">
        <v>3872</v>
      </c>
      <c r="R3564" s="22" t="s">
        <v>2981</v>
      </c>
      <c r="S3564" s="22" t="s">
        <v>2982</v>
      </c>
      <c r="T3564" s="22">
        <v>8.17</v>
      </c>
      <c r="U3564" s="22">
        <v>0.38</v>
      </c>
      <c r="X3564" s="26"/>
      <c r="Y3564" s="26"/>
    </row>
    <row r="3565" spans="1:25" ht="37.5" x14ac:dyDescent="0.25">
      <c r="A3565" s="21">
        <v>4265</v>
      </c>
      <c r="B3565" s="22" t="s">
        <v>15335</v>
      </c>
      <c r="C3565" s="22" t="s">
        <v>2977</v>
      </c>
      <c r="E3565" s="24">
        <v>1995</v>
      </c>
      <c r="F3565" s="22">
        <v>11359</v>
      </c>
      <c r="G3565" s="23" t="s">
        <v>2983</v>
      </c>
      <c r="H3565" s="25" t="s">
        <v>15373</v>
      </c>
      <c r="I3565" s="22" t="s">
        <v>15374</v>
      </c>
      <c r="J3565" s="22">
        <v>3516</v>
      </c>
      <c r="K3565" s="26">
        <f t="shared" si="55"/>
        <v>1445.3333333333333</v>
      </c>
      <c r="M3565" s="26">
        <v>2168</v>
      </c>
      <c r="O3565" s="22" t="s">
        <v>2980</v>
      </c>
      <c r="P3565" s="22" t="s">
        <v>2741</v>
      </c>
      <c r="Q3565" s="22" t="s">
        <v>3872</v>
      </c>
      <c r="R3565" s="22" t="s">
        <v>2981</v>
      </c>
      <c r="S3565" s="22" t="s">
        <v>2982</v>
      </c>
      <c r="T3565" s="22">
        <v>8.17</v>
      </c>
      <c r="U3565" s="22">
        <v>0.38</v>
      </c>
      <c r="X3565" s="26"/>
      <c r="Y3565" s="26"/>
    </row>
    <row r="3566" spans="1:25" ht="37.5" x14ac:dyDescent="0.25">
      <c r="A3566" s="21">
        <v>4266</v>
      </c>
      <c r="B3566" s="22" t="s">
        <v>15335</v>
      </c>
      <c r="C3566" s="22" t="s">
        <v>2977</v>
      </c>
      <c r="E3566" s="24">
        <v>1995</v>
      </c>
      <c r="F3566" s="22">
        <v>11655</v>
      </c>
      <c r="G3566" s="23" t="s">
        <v>2984</v>
      </c>
      <c r="H3566" s="25" t="s">
        <v>15373</v>
      </c>
      <c r="I3566" s="22" t="s">
        <v>15374</v>
      </c>
      <c r="J3566" s="22">
        <v>3516</v>
      </c>
      <c r="K3566" s="26">
        <f t="shared" si="55"/>
        <v>1445.3333333333333</v>
      </c>
      <c r="M3566" s="26">
        <v>2168</v>
      </c>
      <c r="O3566" s="22" t="s">
        <v>2980</v>
      </c>
      <c r="P3566" s="22" t="s">
        <v>2741</v>
      </c>
      <c r="Q3566" s="22" t="s">
        <v>3872</v>
      </c>
      <c r="R3566" s="22" t="s">
        <v>2981</v>
      </c>
      <c r="S3566" s="22" t="s">
        <v>2982</v>
      </c>
      <c r="T3566" s="22">
        <v>8.17</v>
      </c>
      <c r="U3566" s="22">
        <v>0.38</v>
      </c>
      <c r="X3566" s="26"/>
      <c r="Y3566" s="26"/>
    </row>
    <row r="3567" spans="1:25" ht="37.5" x14ac:dyDescent="0.25">
      <c r="A3567" s="21">
        <v>4267</v>
      </c>
      <c r="B3567" s="22" t="s">
        <v>15335</v>
      </c>
      <c r="C3567" s="22" t="s">
        <v>2977</v>
      </c>
      <c r="E3567" s="24">
        <v>1998</v>
      </c>
      <c r="F3567" s="22">
        <v>13840</v>
      </c>
      <c r="G3567" s="23" t="s">
        <v>2985</v>
      </c>
      <c r="H3567" s="25" t="s">
        <v>15373</v>
      </c>
      <c r="I3567" s="22" t="s">
        <v>15374</v>
      </c>
      <c r="J3567" s="22">
        <v>3516</v>
      </c>
      <c r="K3567" s="26">
        <f t="shared" si="55"/>
        <v>1458</v>
      </c>
      <c r="M3567" s="26">
        <v>2187</v>
      </c>
      <c r="O3567" s="22" t="s">
        <v>2980</v>
      </c>
      <c r="P3567" s="22" t="s">
        <v>2741</v>
      </c>
      <c r="Q3567" s="22" t="s">
        <v>3872</v>
      </c>
      <c r="R3567" s="22" t="s">
        <v>2981</v>
      </c>
      <c r="S3567" s="22" t="s">
        <v>2982</v>
      </c>
      <c r="T3567" s="22">
        <v>8.17</v>
      </c>
      <c r="U3567" s="22">
        <v>0.38</v>
      </c>
      <c r="X3567" s="26"/>
      <c r="Y3567" s="26"/>
    </row>
    <row r="3568" spans="1:25" ht="25" x14ac:dyDescent="0.25">
      <c r="A3568" s="21">
        <v>4268</v>
      </c>
      <c r="B3568" s="22" t="s">
        <v>15335</v>
      </c>
      <c r="C3568" s="22" t="s">
        <v>2986</v>
      </c>
      <c r="E3568" s="24">
        <v>1997</v>
      </c>
      <c r="F3568" s="22">
        <v>13548</v>
      </c>
      <c r="G3568" s="23" t="s">
        <v>2987</v>
      </c>
      <c r="H3568" s="25" t="s">
        <v>15373</v>
      </c>
      <c r="I3568" s="22" t="s">
        <v>15374</v>
      </c>
      <c r="J3568" s="22">
        <v>3412</v>
      </c>
      <c r="K3568" s="26">
        <f t="shared" si="55"/>
        <v>499.33333333333331</v>
      </c>
      <c r="M3568" s="26">
        <v>749</v>
      </c>
      <c r="O3568" s="22" t="s">
        <v>2988</v>
      </c>
      <c r="P3568" s="22" t="s">
        <v>2741</v>
      </c>
      <c r="Q3568" s="22" t="s">
        <v>3861</v>
      </c>
      <c r="R3568" s="22" t="s">
        <v>2989</v>
      </c>
      <c r="S3568" s="22" t="s">
        <v>2990</v>
      </c>
      <c r="T3568" s="22">
        <v>6.9</v>
      </c>
      <c r="U3568" s="22">
        <v>0.4</v>
      </c>
      <c r="X3568" s="26"/>
      <c r="Y3568" s="26"/>
    </row>
    <row r="3569" spans="1:25" ht="37.5" x14ac:dyDescent="0.25">
      <c r="A3569" s="21">
        <v>4269</v>
      </c>
      <c r="B3569" s="22" t="s">
        <v>15335</v>
      </c>
      <c r="C3569" s="22" t="s">
        <v>2991</v>
      </c>
      <c r="F3569" s="22">
        <v>10288</v>
      </c>
      <c r="G3569" s="23" t="s">
        <v>2992</v>
      </c>
      <c r="H3569" s="25" t="s">
        <v>15373</v>
      </c>
      <c r="I3569" s="22" t="s">
        <v>16311</v>
      </c>
      <c r="J3569" s="22" t="s">
        <v>16311</v>
      </c>
      <c r="K3569" s="26">
        <f t="shared" si="55"/>
        <v>350</v>
      </c>
      <c r="L3569" s="26">
        <v>350</v>
      </c>
      <c r="O3569" s="22" t="s">
        <v>2993</v>
      </c>
      <c r="P3569" s="22" t="s">
        <v>2755</v>
      </c>
      <c r="Q3569" s="22" t="s">
        <v>2756</v>
      </c>
      <c r="X3569" s="26"/>
      <c r="Y3569" s="26"/>
    </row>
    <row r="3570" spans="1:25" ht="50" x14ac:dyDescent="0.25">
      <c r="A3570" s="21">
        <v>4270</v>
      </c>
      <c r="B3570" s="22" t="s">
        <v>15335</v>
      </c>
      <c r="C3570" s="22" t="s">
        <v>2991</v>
      </c>
      <c r="E3570" s="24">
        <v>1995</v>
      </c>
      <c r="F3570" s="22">
        <v>10643</v>
      </c>
      <c r="G3570" s="23" t="s">
        <v>2994</v>
      </c>
      <c r="H3570" s="25" t="s">
        <v>15373</v>
      </c>
      <c r="I3570" s="22" t="s">
        <v>15374</v>
      </c>
      <c r="J3570" s="22">
        <v>3508</v>
      </c>
      <c r="K3570" s="26">
        <f t="shared" si="55"/>
        <v>737.33333333333326</v>
      </c>
      <c r="M3570" s="26">
        <v>1106</v>
      </c>
      <c r="O3570" s="22" t="s">
        <v>2995</v>
      </c>
      <c r="P3570" s="22" t="s">
        <v>2741</v>
      </c>
      <c r="Q3570" s="22" t="s">
        <v>2996</v>
      </c>
      <c r="R3570" s="22" t="s">
        <v>2997</v>
      </c>
      <c r="S3570" s="22" t="s">
        <v>2998</v>
      </c>
      <c r="T3570" s="22">
        <v>8.17</v>
      </c>
      <c r="U3570" s="22">
        <v>0.38</v>
      </c>
      <c r="X3570" s="26"/>
      <c r="Y3570" s="26"/>
    </row>
    <row r="3571" spans="1:25" ht="37.5" x14ac:dyDescent="0.25">
      <c r="A3571" s="21">
        <v>4271</v>
      </c>
      <c r="B3571" s="22" t="s">
        <v>15335</v>
      </c>
      <c r="C3571" s="22" t="s">
        <v>2999</v>
      </c>
      <c r="E3571" s="24">
        <v>1997</v>
      </c>
      <c r="F3571" s="22">
        <v>13647</v>
      </c>
      <c r="G3571" s="23" t="s">
        <v>3000</v>
      </c>
      <c r="H3571" s="25" t="s">
        <v>15373</v>
      </c>
      <c r="I3571" s="22" t="s">
        <v>15382</v>
      </c>
      <c r="J3571" s="22" t="s">
        <v>3001</v>
      </c>
      <c r="K3571" s="26">
        <f t="shared" si="55"/>
        <v>400</v>
      </c>
      <c r="M3571" s="26">
        <v>600</v>
      </c>
      <c r="O3571" s="22" t="s">
        <v>3002</v>
      </c>
      <c r="P3571" s="22" t="s">
        <v>2926</v>
      </c>
      <c r="Q3571" s="22" t="s">
        <v>3003</v>
      </c>
      <c r="R3571" s="22" t="s">
        <v>3004</v>
      </c>
      <c r="S3571" s="22" t="s">
        <v>3005</v>
      </c>
      <c r="T3571" s="22">
        <v>6.9</v>
      </c>
      <c r="U3571" s="22">
        <v>0.4</v>
      </c>
      <c r="X3571" s="26"/>
      <c r="Y3571" s="26"/>
    </row>
    <row r="3572" spans="1:25" ht="37.5" x14ac:dyDescent="0.25">
      <c r="A3572" s="21">
        <v>4272</v>
      </c>
      <c r="B3572" s="22" t="s">
        <v>15335</v>
      </c>
      <c r="C3572" s="22" t="s">
        <v>3006</v>
      </c>
      <c r="E3572" s="24">
        <v>1994</v>
      </c>
      <c r="F3572" s="22">
        <v>11280</v>
      </c>
      <c r="G3572" s="23" t="s">
        <v>3007</v>
      </c>
      <c r="H3572" s="25" t="s">
        <v>15373</v>
      </c>
      <c r="I3572" s="22" t="s">
        <v>15411</v>
      </c>
      <c r="J3572" s="22" t="s">
        <v>15744</v>
      </c>
      <c r="K3572" s="26">
        <f t="shared" si="55"/>
        <v>821.33333333333326</v>
      </c>
      <c r="M3572" s="26">
        <v>1232</v>
      </c>
      <c r="O3572" s="22" t="s">
        <v>3008</v>
      </c>
      <c r="P3572" s="22" t="s">
        <v>2741</v>
      </c>
      <c r="Q3572" s="22" t="s">
        <v>2742</v>
      </c>
      <c r="R3572" s="22" t="s">
        <v>3009</v>
      </c>
      <c r="S3572" s="22" t="s">
        <v>3010</v>
      </c>
      <c r="T3572" s="22">
        <v>8.17</v>
      </c>
      <c r="U3572" s="22">
        <v>0.38</v>
      </c>
      <c r="X3572" s="26"/>
      <c r="Y3572" s="26"/>
    </row>
    <row r="3573" spans="1:25" ht="37.5" x14ac:dyDescent="0.25">
      <c r="A3573" s="21">
        <v>4273</v>
      </c>
      <c r="B3573" s="22" t="s">
        <v>15335</v>
      </c>
      <c r="C3573" s="22" t="s">
        <v>3011</v>
      </c>
      <c r="E3573" s="24">
        <v>1994</v>
      </c>
      <c r="F3573" s="22">
        <v>10004</v>
      </c>
      <c r="G3573" s="23" t="s">
        <v>3012</v>
      </c>
      <c r="H3573" s="25" t="s">
        <v>15373</v>
      </c>
      <c r="I3573" s="22" t="s">
        <v>15382</v>
      </c>
      <c r="J3573" s="22" t="s">
        <v>7395</v>
      </c>
      <c r="K3573" s="26">
        <f t="shared" si="55"/>
        <v>800</v>
      </c>
      <c r="L3573" s="26">
        <v>800</v>
      </c>
      <c r="O3573" s="22" t="s">
        <v>3013</v>
      </c>
      <c r="P3573" s="22" t="s">
        <v>2755</v>
      </c>
      <c r="Q3573" s="22" t="s">
        <v>2748</v>
      </c>
      <c r="R3573" s="22" t="s">
        <v>3014</v>
      </c>
      <c r="S3573" s="22" t="s">
        <v>3015</v>
      </c>
      <c r="T3573" s="22">
        <v>8.17</v>
      </c>
      <c r="U3573" s="22">
        <v>0.38</v>
      </c>
      <c r="X3573" s="26"/>
      <c r="Y3573" s="26"/>
    </row>
    <row r="3574" spans="1:25" ht="37.5" x14ac:dyDescent="0.25">
      <c r="A3574" s="21">
        <v>4274</v>
      </c>
      <c r="B3574" s="22" t="s">
        <v>15335</v>
      </c>
      <c r="C3574" s="22" t="s">
        <v>3011</v>
      </c>
      <c r="E3574" s="24">
        <v>1994</v>
      </c>
      <c r="F3574" s="22">
        <v>10006</v>
      </c>
      <c r="G3574" s="23" t="s">
        <v>3016</v>
      </c>
      <c r="H3574" s="25" t="s">
        <v>15373</v>
      </c>
      <c r="I3574" s="22" t="s">
        <v>15382</v>
      </c>
      <c r="J3574" s="22" t="s">
        <v>7395</v>
      </c>
      <c r="K3574" s="26">
        <f t="shared" si="55"/>
        <v>800</v>
      </c>
      <c r="L3574" s="26">
        <v>800</v>
      </c>
      <c r="O3574" s="22" t="s">
        <v>3013</v>
      </c>
      <c r="P3574" s="22" t="s">
        <v>2755</v>
      </c>
      <c r="Q3574" s="22" t="s">
        <v>2748</v>
      </c>
      <c r="R3574" s="22" t="s">
        <v>3014</v>
      </c>
      <c r="S3574" s="22" t="s">
        <v>3015</v>
      </c>
      <c r="T3574" s="22">
        <v>8.17</v>
      </c>
      <c r="U3574" s="22">
        <v>0.38</v>
      </c>
      <c r="X3574" s="26"/>
      <c r="Y3574" s="26"/>
    </row>
    <row r="3575" spans="1:25" ht="37.5" x14ac:dyDescent="0.25">
      <c r="A3575" s="21">
        <v>4275</v>
      </c>
      <c r="B3575" s="22" t="s">
        <v>15335</v>
      </c>
      <c r="C3575" s="22" t="s">
        <v>3011</v>
      </c>
      <c r="E3575" s="24">
        <v>1994</v>
      </c>
      <c r="F3575" s="22">
        <v>10007</v>
      </c>
      <c r="G3575" s="23" t="s">
        <v>3017</v>
      </c>
      <c r="H3575" s="25" t="s">
        <v>15373</v>
      </c>
      <c r="I3575" s="22" t="s">
        <v>15382</v>
      </c>
      <c r="J3575" s="22" t="s">
        <v>3018</v>
      </c>
      <c r="K3575" s="26">
        <f t="shared" si="55"/>
        <v>865</v>
      </c>
      <c r="L3575" s="26">
        <v>865</v>
      </c>
      <c r="O3575" s="22" t="s">
        <v>3013</v>
      </c>
      <c r="P3575" s="22" t="s">
        <v>2755</v>
      </c>
      <c r="Q3575" s="22" t="s">
        <v>2748</v>
      </c>
      <c r="R3575" s="22" t="s">
        <v>3014</v>
      </c>
      <c r="S3575" s="22" t="s">
        <v>3015</v>
      </c>
      <c r="T3575" s="22">
        <v>8.17</v>
      </c>
      <c r="U3575" s="22">
        <v>0.38</v>
      </c>
      <c r="X3575" s="26"/>
      <c r="Y3575" s="26"/>
    </row>
    <row r="3576" spans="1:25" ht="37.5" x14ac:dyDescent="0.25">
      <c r="A3576" s="21">
        <v>4276</v>
      </c>
      <c r="B3576" s="22" t="s">
        <v>15335</v>
      </c>
      <c r="C3576" s="22" t="s">
        <v>3011</v>
      </c>
      <c r="E3576" s="24">
        <v>1994</v>
      </c>
      <c r="F3576" s="22">
        <v>9406</v>
      </c>
      <c r="G3576" s="23" t="s">
        <v>3019</v>
      </c>
      <c r="H3576" s="25" t="s">
        <v>15373</v>
      </c>
      <c r="I3576" s="22" t="s">
        <v>15382</v>
      </c>
      <c r="J3576" s="22" t="s">
        <v>15723</v>
      </c>
      <c r="K3576" s="26">
        <f t="shared" si="55"/>
        <v>1500</v>
      </c>
      <c r="L3576" s="26">
        <v>1500</v>
      </c>
      <c r="O3576" s="22" t="s">
        <v>3013</v>
      </c>
      <c r="P3576" s="22" t="s">
        <v>2755</v>
      </c>
      <c r="Q3576" s="22" t="s">
        <v>2748</v>
      </c>
      <c r="R3576" s="22" t="s">
        <v>3014</v>
      </c>
      <c r="S3576" s="22" t="s">
        <v>3015</v>
      </c>
      <c r="T3576" s="22">
        <v>8.17</v>
      </c>
      <c r="U3576" s="22">
        <v>0.38</v>
      </c>
      <c r="X3576" s="26"/>
      <c r="Y3576" s="26"/>
    </row>
    <row r="3577" spans="1:25" ht="37.5" x14ac:dyDescent="0.25">
      <c r="A3577" s="21">
        <v>4277</v>
      </c>
      <c r="B3577" s="22" t="s">
        <v>15335</v>
      </c>
      <c r="C3577" s="22" t="s">
        <v>3011</v>
      </c>
      <c r="E3577" s="24">
        <v>1994</v>
      </c>
      <c r="F3577" s="22">
        <v>9407</v>
      </c>
      <c r="G3577" s="23" t="s">
        <v>3020</v>
      </c>
      <c r="H3577" s="25" t="s">
        <v>15373</v>
      </c>
      <c r="I3577" s="22" t="s">
        <v>15382</v>
      </c>
      <c r="J3577" s="22" t="s">
        <v>15723</v>
      </c>
      <c r="K3577" s="26">
        <f t="shared" si="55"/>
        <v>1500</v>
      </c>
      <c r="L3577" s="26">
        <v>1500</v>
      </c>
      <c r="O3577" s="22" t="s">
        <v>3013</v>
      </c>
      <c r="P3577" s="22" t="s">
        <v>2755</v>
      </c>
      <c r="Q3577" s="22" t="s">
        <v>2748</v>
      </c>
      <c r="R3577" s="22" t="s">
        <v>3014</v>
      </c>
      <c r="S3577" s="22" t="s">
        <v>3015</v>
      </c>
      <c r="T3577" s="22">
        <v>8.17</v>
      </c>
      <c r="U3577" s="22">
        <v>0.38</v>
      </c>
      <c r="X3577" s="26"/>
      <c r="Y3577" s="26"/>
    </row>
    <row r="3578" spans="1:25" ht="37.5" x14ac:dyDescent="0.25">
      <c r="A3578" s="21">
        <v>4278</v>
      </c>
      <c r="B3578" s="22" t="s">
        <v>15335</v>
      </c>
      <c r="C3578" s="22" t="s">
        <v>3011</v>
      </c>
      <c r="E3578" s="24">
        <v>1994</v>
      </c>
      <c r="F3578" s="22">
        <v>10005</v>
      </c>
      <c r="G3578" s="23" t="s">
        <v>3021</v>
      </c>
      <c r="H3578" s="25" t="s">
        <v>15373</v>
      </c>
      <c r="I3578" s="22" t="s">
        <v>15382</v>
      </c>
      <c r="J3578" s="22" t="s">
        <v>15723</v>
      </c>
      <c r="K3578" s="26">
        <f t="shared" si="55"/>
        <v>1233.3333333333333</v>
      </c>
      <c r="N3578" s="26">
        <v>1850</v>
      </c>
      <c r="O3578" s="22" t="s">
        <v>3013</v>
      </c>
      <c r="P3578" s="22" t="s">
        <v>2755</v>
      </c>
      <c r="Q3578" s="22" t="s">
        <v>2748</v>
      </c>
      <c r="R3578" s="22" t="s">
        <v>3014</v>
      </c>
      <c r="S3578" s="22" t="s">
        <v>3015</v>
      </c>
      <c r="T3578" s="22">
        <v>8.17</v>
      </c>
      <c r="U3578" s="22">
        <v>0.38</v>
      </c>
      <c r="X3578" s="26"/>
      <c r="Y3578" s="26"/>
    </row>
    <row r="3579" spans="1:25" ht="37.5" x14ac:dyDescent="0.25">
      <c r="A3579" s="21">
        <v>4279</v>
      </c>
      <c r="B3579" s="22" t="s">
        <v>15335</v>
      </c>
      <c r="C3579" s="22" t="s">
        <v>3022</v>
      </c>
      <c r="E3579" s="24">
        <v>1990</v>
      </c>
      <c r="F3579" s="22">
        <v>9418</v>
      </c>
      <c r="G3579" s="23" t="s">
        <v>3023</v>
      </c>
      <c r="H3579" s="25" t="s">
        <v>15373</v>
      </c>
      <c r="I3579" s="22" t="s">
        <v>15382</v>
      </c>
      <c r="J3579" s="22" t="s">
        <v>14642</v>
      </c>
      <c r="K3579" s="26">
        <f t="shared" si="55"/>
        <v>756.66666666666663</v>
      </c>
      <c r="M3579" s="26">
        <v>1135</v>
      </c>
      <c r="O3579" s="22" t="s">
        <v>3024</v>
      </c>
      <c r="P3579" s="22" t="s">
        <v>2741</v>
      </c>
      <c r="Q3579" s="22" t="s">
        <v>2916</v>
      </c>
      <c r="R3579" s="22" t="s">
        <v>3025</v>
      </c>
      <c r="S3579" s="22" t="s">
        <v>3026</v>
      </c>
      <c r="T3579" s="22">
        <v>8.17</v>
      </c>
      <c r="U3579" s="22">
        <v>0.38</v>
      </c>
      <c r="X3579" s="26"/>
      <c r="Y3579" s="26"/>
    </row>
    <row r="3580" spans="1:25" ht="37.5" x14ac:dyDescent="0.25">
      <c r="A3580" s="21">
        <v>4280</v>
      </c>
      <c r="B3580" s="22" t="s">
        <v>15335</v>
      </c>
      <c r="C3580" s="22" t="s">
        <v>3022</v>
      </c>
      <c r="E3580" s="24">
        <v>1990</v>
      </c>
      <c r="F3580" s="22">
        <v>9419</v>
      </c>
      <c r="G3580" s="23" t="s">
        <v>3027</v>
      </c>
      <c r="H3580" s="25" t="s">
        <v>15373</v>
      </c>
      <c r="I3580" s="22" t="s">
        <v>15382</v>
      </c>
      <c r="J3580" s="22" t="s">
        <v>14642</v>
      </c>
      <c r="K3580" s="26">
        <f t="shared" si="55"/>
        <v>756.66666666666663</v>
      </c>
      <c r="M3580" s="26">
        <v>1135</v>
      </c>
      <c r="O3580" s="22" t="s">
        <v>3024</v>
      </c>
      <c r="P3580" s="22" t="s">
        <v>2741</v>
      </c>
      <c r="Q3580" s="22" t="s">
        <v>2916</v>
      </c>
      <c r="R3580" s="22" t="s">
        <v>3025</v>
      </c>
      <c r="S3580" s="22" t="s">
        <v>3026</v>
      </c>
      <c r="T3580" s="22">
        <v>8.17</v>
      </c>
      <c r="U3580" s="22">
        <v>0.38</v>
      </c>
      <c r="X3580" s="26"/>
      <c r="Y3580" s="26"/>
    </row>
    <row r="3581" spans="1:25" ht="37.5" x14ac:dyDescent="0.25">
      <c r="A3581" s="21">
        <v>4281</v>
      </c>
      <c r="B3581" s="22" t="s">
        <v>15335</v>
      </c>
      <c r="C3581" s="22" t="s">
        <v>3028</v>
      </c>
      <c r="E3581" s="24">
        <v>1992</v>
      </c>
      <c r="F3581" s="22">
        <v>9629</v>
      </c>
      <c r="G3581" s="23" t="s">
        <v>3029</v>
      </c>
      <c r="H3581" s="25" t="s">
        <v>15373</v>
      </c>
      <c r="I3581" s="22" t="s">
        <v>15382</v>
      </c>
      <c r="J3581" s="22">
        <v>33113114</v>
      </c>
      <c r="K3581" s="26">
        <f t="shared" si="55"/>
        <v>756.66666666666663</v>
      </c>
      <c r="M3581" s="26">
        <v>1135</v>
      </c>
      <c r="O3581" s="22" t="s">
        <v>3030</v>
      </c>
      <c r="P3581" s="22" t="s">
        <v>2772</v>
      </c>
      <c r="Q3581" s="22" t="s">
        <v>2773</v>
      </c>
      <c r="R3581" s="22" t="s">
        <v>3031</v>
      </c>
      <c r="S3581" s="22" t="s">
        <v>3032</v>
      </c>
      <c r="T3581" s="22">
        <v>8.17</v>
      </c>
      <c r="U3581" s="22">
        <v>0.38</v>
      </c>
      <c r="X3581" s="26"/>
      <c r="Y3581" s="26"/>
    </row>
    <row r="3582" spans="1:25" ht="50" x14ac:dyDescent="0.25">
      <c r="A3582" s="21">
        <v>4282</v>
      </c>
      <c r="B3582" s="22" t="s">
        <v>15335</v>
      </c>
      <c r="C3582" s="22" t="s">
        <v>3033</v>
      </c>
      <c r="E3582" s="24">
        <v>1992</v>
      </c>
      <c r="F3582" s="22">
        <v>10747</v>
      </c>
      <c r="G3582" s="23" t="s">
        <v>3034</v>
      </c>
      <c r="H3582" s="25" t="s">
        <v>15373</v>
      </c>
      <c r="I3582" s="22" t="s">
        <v>15374</v>
      </c>
      <c r="J3582" s="22" t="s">
        <v>17270</v>
      </c>
      <c r="K3582" s="26">
        <f t="shared" si="55"/>
        <v>316.66666666666663</v>
      </c>
      <c r="N3582" s="26">
        <v>475</v>
      </c>
      <c r="O3582" s="22" t="s">
        <v>3035</v>
      </c>
      <c r="P3582" s="22" t="s">
        <v>3879</v>
      </c>
      <c r="Q3582" s="22" t="s">
        <v>3036</v>
      </c>
      <c r="R3582" s="22" t="s">
        <v>3037</v>
      </c>
      <c r="S3582" s="22" t="s">
        <v>3038</v>
      </c>
      <c r="T3582" s="22">
        <v>8.17</v>
      </c>
      <c r="U3582" s="22">
        <v>0.38</v>
      </c>
      <c r="X3582" s="26"/>
      <c r="Y3582" s="26"/>
    </row>
    <row r="3583" spans="1:25" ht="25" x14ac:dyDescent="0.25">
      <c r="A3583" s="21">
        <v>4283</v>
      </c>
      <c r="B3583" s="22" t="s">
        <v>15335</v>
      </c>
      <c r="C3583" s="22" t="s">
        <v>3039</v>
      </c>
      <c r="E3583" s="24">
        <v>1997</v>
      </c>
      <c r="F3583" s="22">
        <v>13463</v>
      </c>
      <c r="G3583" s="23" t="s">
        <v>3040</v>
      </c>
      <c r="H3583" s="25" t="s">
        <v>15373</v>
      </c>
      <c r="I3583" s="22" t="s">
        <v>15374</v>
      </c>
      <c r="J3583" s="22">
        <v>3512</v>
      </c>
      <c r="K3583" s="26">
        <f t="shared" si="55"/>
        <v>595.33333333333326</v>
      </c>
      <c r="N3583" s="26">
        <v>893</v>
      </c>
      <c r="O3583" s="22" t="s">
        <v>3041</v>
      </c>
      <c r="P3583" s="22" t="s">
        <v>3042</v>
      </c>
      <c r="Q3583" s="22" t="s">
        <v>3043</v>
      </c>
      <c r="R3583" s="22" t="s">
        <v>3044</v>
      </c>
      <c r="S3583" s="22" t="s">
        <v>3045</v>
      </c>
      <c r="T3583" s="22">
        <v>8.17</v>
      </c>
      <c r="U3583" s="22">
        <v>0.38</v>
      </c>
      <c r="X3583" s="26"/>
      <c r="Y3583" s="26"/>
    </row>
    <row r="3584" spans="1:25" ht="37.5" x14ac:dyDescent="0.25">
      <c r="A3584" s="21">
        <v>4284</v>
      </c>
      <c r="B3584" s="22" t="s">
        <v>15335</v>
      </c>
      <c r="C3584" s="22" t="s">
        <v>3039</v>
      </c>
      <c r="E3584" s="24">
        <v>2000</v>
      </c>
      <c r="F3584" s="22">
        <v>14710</v>
      </c>
      <c r="G3584" s="23" t="s">
        <v>3046</v>
      </c>
      <c r="H3584" s="25" t="s">
        <v>15373</v>
      </c>
      <c r="I3584" s="22" t="s">
        <v>14275</v>
      </c>
      <c r="J3584" s="22" t="s">
        <v>14276</v>
      </c>
      <c r="K3584" s="26">
        <f t="shared" si="55"/>
        <v>499.33333333333331</v>
      </c>
      <c r="M3584" s="26">
        <v>749</v>
      </c>
      <c r="O3584" s="22" t="s">
        <v>3047</v>
      </c>
      <c r="P3584" s="22" t="s">
        <v>3042</v>
      </c>
      <c r="Q3584" s="22" t="s">
        <v>3043</v>
      </c>
      <c r="R3584" s="22" t="s">
        <v>3048</v>
      </c>
      <c r="S3584" s="22" t="s">
        <v>3049</v>
      </c>
      <c r="T3584" s="22">
        <v>6.9</v>
      </c>
      <c r="U3584" s="22">
        <v>0.4</v>
      </c>
      <c r="X3584" s="26"/>
      <c r="Y3584" s="26"/>
    </row>
    <row r="3585" spans="1:25" ht="37.5" x14ac:dyDescent="0.25">
      <c r="A3585" s="21">
        <v>4285</v>
      </c>
      <c r="B3585" s="22" t="s">
        <v>15335</v>
      </c>
      <c r="C3585" s="22" t="s">
        <v>3050</v>
      </c>
      <c r="E3585" s="24">
        <v>1992</v>
      </c>
      <c r="F3585" s="22">
        <v>9666</v>
      </c>
      <c r="G3585" s="23" t="s">
        <v>3051</v>
      </c>
      <c r="H3585" s="25" t="s">
        <v>15373</v>
      </c>
      <c r="I3585" s="22" t="s">
        <v>15374</v>
      </c>
      <c r="J3585" s="22">
        <v>3412</v>
      </c>
      <c r="K3585" s="26">
        <f t="shared" si="55"/>
        <v>605.33333333333326</v>
      </c>
      <c r="N3585" s="26">
        <v>908</v>
      </c>
      <c r="O3585" s="22" t="s">
        <v>3052</v>
      </c>
      <c r="P3585" s="22" t="s">
        <v>3896</v>
      </c>
      <c r="Q3585" s="22" t="s">
        <v>3897</v>
      </c>
      <c r="R3585" s="22" t="s">
        <v>3053</v>
      </c>
      <c r="S3585" s="22" t="s">
        <v>3054</v>
      </c>
      <c r="T3585" s="22">
        <v>8.17</v>
      </c>
      <c r="U3585" s="22">
        <v>0.38</v>
      </c>
      <c r="X3585" s="26"/>
      <c r="Y3585" s="26"/>
    </row>
    <row r="3586" spans="1:25" ht="50" x14ac:dyDescent="0.25">
      <c r="A3586" s="21">
        <v>4286</v>
      </c>
      <c r="B3586" s="22" t="s">
        <v>15335</v>
      </c>
      <c r="C3586" s="22" t="s">
        <v>3050</v>
      </c>
      <c r="E3586" s="24">
        <v>1995</v>
      </c>
      <c r="F3586" s="22">
        <v>11820</v>
      </c>
      <c r="G3586" s="23" t="s">
        <v>3055</v>
      </c>
      <c r="H3586" s="25" t="s">
        <v>15373</v>
      </c>
      <c r="I3586" s="22" t="s">
        <v>15374</v>
      </c>
      <c r="J3586" s="22">
        <v>3516</v>
      </c>
      <c r="K3586" s="26">
        <f t="shared" si="55"/>
        <v>1898</v>
      </c>
      <c r="M3586" s="26">
        <v>2847</v>
      </c>
      <c r="O3586" s="22" t="s">
        <v>3052</v>
      </c>
      <c r="P3586" s="22" t="s">
        <v>3896</v>
      </c>
      <c r="Q3586" s="22" t="s">
        <v>3897</v>
      </c>
      <c r="R3586" s="22" t="s">
        <v>3053</v>
      </c>
      <c r="S3586" s="22" t="s">
        <v>3054</v>
      </c>
      <c r="T3586" s="22">
        <v>8.17</v>
      </c>
      <c r="U3586" s="22">
        <v>0.38</v>
      </c>
      <c r="X3586" s="26"/>
      <c r="Y3586" s="26"/>
    </row>
    <row r="3587" spans="1:25" ht="37.5" x14ac:dyDescent="0.25">
      <c r="A3587" s="21">
        <v>4287</v>
      </c>
      <c r="B3587" s="22" t="s">
        <v>15335</v>
      </c>
      <c r="C3587" s="22" t="s">
        <v>3056</v>
      </c>
      <c r="E3587" s="24">
        <v>1992</v>
      </c>
      <c r="F3587" s="22">
        <v>10061</v>
      </c>
      <c r="G3587" s="23" t="s">
        <v>3057</v>
      </c>
      <c r="H3587" s="25" t="s">
        <v>15373</v>
      </c>
      <c r="I3587" s="22" t="s">
        <v>15382</v>
      </c>
      <c r="J3587" s="22" t="s">
        <v>14369</v>
      </c>
      <c r="K3587" s="26">
        <f t="shared" si="55"/>
        <v>743.33333333333326</v>
      </c>
      <c r="N3587" s="26">
        <v>1115</v>
      </c>
      <c r="O3587" s="22" t="s">
        <v>3058</v>
      </c>
      <c r="P3587" s="22" t="s">
        <v>2741</v>
      </c>
      <c r="Q3587" s="22" t="s">
        <v>3059</v>
      </c>
      <c r="R3587" s="22" t="s">
        <v>3060</v>
      </c>
      <c r="S3587" s="22" t="s">
        <v>3061</v>
      </c>
      <c r="T3587" s="22">
        <v>8.17</v>
      </c>
      <c r="U3587" s="22">
        <v>0.38</v>
      </c>
      <c r="X3587" s="26"/>
      <c r="Y3587" s="26"/>
    </row>
    <row r="3588" spans="1:25" ht="37.5" x14ac:dyDescent="0.25">
      <c r="A3588" s="21">
        <v>4288</v>
      </c>
      <c r="B3588" s="22" t="s">
        <v>15335</v>
      </c>
      <c r="C3588" s="22" t="s">
        <v>3056</v>
      </c>
      <c r="E3588" s="24">
        <v>1992</v>
      </c>
      <c r="F3588" s="22">
        <v>10062</v>
      </c>
      <c r="G3588" s="23" t="s">
        <v>3062</v>
      </c>
      <c r="H3588" s="25" t="s">
        <v>15373</v>
      </c>
      <c r="I3588" s="22" t="s">
        <v>15382</v>
      </c>
      <c r="J3588" s="22" t="s">
        <v>14369</v>
      </c>
      <c r="K3588" s="26">
        <f t="shared" si="55"/>
        <v>743.33333333333326</v>
      </c>
      <c r="N3588" s="26">
        <v>1115</v>
      </c>
      <c r="O3588" s="22" t="s">
        <v>3058</v>
      </c>
      <c r="P3588" s="22" t="s">
        <v>2741</v>
      </c>
      <c r="Q3588" s="22" t="s">
        <v>3059</v>
      </c>
      <c r="R3588" s="22" t="s">
        <v>3060</v>
      </c>
      <c r="S3588" s="22" t="s">
        <v>3061</v>
      </c>
      <c r="T3588" s="22">
        <v>8.17</v>
      </c>
      <c r="U3588" s="22">
        <v>0.38</v>
      </c>
      <c r="X3588" s="26"/>
      <c r="Y3588" s="26"/>
    </row>
    <row r="3589" spans="1:25" ht="37.5" x14ac:dyDescent="0.25">
      <c r="A3589" s="21">
        <v>4289</v>
      </c>
      <c r="B3589" s="22" t="s">
        <v>15335</v>
      </c>
      <c r="C3589" s="22" t="s">
        <v>3063</v>
      </c>
      <c r="E3589" s="24">
        <v>1993</v>
      </c>
      <c r="F3589" s="22">
        <v>9991</v>
      </c>
      <c r="G3589" s="23" t="s">
        <v>3064</v>
      </c>
      <c r="H3589" s="25" t="s">
        <v>15373</v>
      </c>
      <c r="I3589" s="22" t="s">
        <v>15382</v>
      </c>
      <c r="J3589" s="22" t="s">
        <v>3065</v>
      </c>
      <c r="K3589" s="26">
        <f t="shared" si="55"/>
        <v>400</v>
      </c>
      <c r="M3589" s="26">
        <v>600</v>
      </c>
      <c r="O3589" s="22" t="s">
        <v>3066</v>
      </c>
      <c r="P3589" s="22" t="s">
        <v>2741</v>
      </c>
      <c r="Q3589" s="22" t="s">
        <v>2961</v>
      </c>
      <c r="R3589" s="22" t="s">
        <v>3067</v>
      </c>
      <c r="S3589" s="22" t="s">
        <v>3068</v>
      </c>
      <c r="T3589" s="22">
        <v>8.17</v>
      </c>
      <c r="U3589" s="22">
        <v>0.38</v>
      </c>
      <c r="X3589" s="26"/>
      <c r="Y3589" s="26"/>
    </row>
    <row r="3590" spans="1:25" ht="37.5" x14ac:dyDescent="0.25">
      <c r="A3590" s="21">
        <v>4290</v>
      </c>
      <c r="B3590" s="22" t="s">
        <v>15335</v>
      </c>
      <c r="C3590" s="22" t="s">
        <v>3069</v>
      </c>
      <c r="E3590" s="24">
        <v>1996</v>
      </c>
      <c r="F3590" s="22">
        <v>12531</v>
      </c>
      <c r="G3590" s="23" t="s">
        <v>3070</v>
      </c>
      <c r="H3590" s="25" t="s">
        <v>15373</v>
      </c>
      <c r="I3590" s="22" t="s">
        <v>15382</v>
      </c>
      <c r="J3590" s="22" t="s">
        <v>16861</v>
      </c>
      <c r="K3590" s="26">
        <f t="shared" si="55"/>
        <v>500</v>
      </c>
      <c r="L3590" s="26">
        <v>500</v>
      </c>
      <c r="O3590" s="22" t="s">
        <v>3071</v>
      </c>
      <c r="P3590" s="22" t="s">
        <v>3072</v>
      </c>
      <c r="Q3590" s="22">
        <v>95671</v>
      </c>
      <c r="R3590" s="22" t="s">
        <v>3073</v>
      </c>
      <c r="S3590" s="22" t="s">
        <v>3074</v>
      </c>
      <c r="T3590" s="22">
        <v>6.9</v>
      </c>
      <c r="U3590" s="22">
        <v>0.4</v>
      </c>
      <c r="X3590" s="26"/>
      <c r="Y3590" s="26"/>
    </row>
    <row r="3591" spans="1:25" ht="37.5" x14ac:dyDescent="0.25">
      <c r="A3591" s="21">
        <v>4291</v>
      </c>
      <c r="B3591" s="22" t="s">
        <v>15335</v>
      </c>
      <c r="C3591" s="22" t="s">
        <v>3069</v>
      </c>
      <c r="E3591" s="24">
        <v>1995</v>
      </c>
      <c r="F3591" s="22">
        <v>12041</v>
      </c>
      <c r="G3591" s="23" t="s">
        <v>3075</v>
      </c>
      <c r="H3591" s="25" t="s">
        <v>15373</v>
      </c>
      <c r="I3591" s="22" t="s">
        <v>15374</v>
      </c>
      <c r="J3591" s="22">
        <v>3516</v>
      </c>
      <c r="K3591" s="26">
        <f t="shared" si="55"/>
        <v>1500</v>
      </c>
      <c r="L3591" s="26">
        <v>1500</v>
      </c>
      <c r="O3591" s="22" t="s">
        <v>3076</v>
      </c>
      <c r="P3591" s="22" t="s">
        <v>3072</v>
      </c>
      <c r="Q3591" s="22">
        <v>95671</v>
      </c>
      <c r="R3591" s="22" t="s">
        <v>3073</v>
      </c>
      <c r="S3591" s="22" t="s">
        <v>3074</v>
      </c>
      <c r="T3591" s="22">
        <v>8.17</v>
      </c>
      <c r="U3591" s="22">
        <v>0.38</v>
      </c>
      <c r="X3591" s="26"/>
      <c r="Y3591" s="26"/>
    </row>
    <row r="3592" spans="1:25" ht="37.5" x14ac:dyDescent="0.25">
      <c r="A3592" s="21">
        <v>4293</v>
      </c>
      <c r="B3592" s="22" t="s">
        <v>15335</v>
      </c>
      <c r="C3592" s="22" t="s">
        <v>3069</v>
      </c>
      <c r="E3592" s="24">
        <v>1991</v>
      </c>
      <c r="F3592" s="22">
        <v>9604</v>
      </c>
      <c r="G3592" s="23" t="s">
        <v>3077</v>
      </c>
      <c r="H3592" s="25" t="s">
        <v>15373</v>
      </c>
      <c r="I3592" s="22" t="s">
        <v>15709</v>
      </c>
      <c r="J3592" s="22" t="s">
        <v>3078</v>
      </c>
      <c r="K3592" s="26">
        <f t="shared" si="55"/>
        <v>447.33333333333331</v>
      </c>
      <c r="M3592" s="26">
        <v>671</v>
      </c>
      <c r="O3592" s="22" t="s">
        <v>3079</v>
      </c>
      <c r="P3592" s="22" t="s">
        <v>2772</v>
      </c>
      <c r="Q3592" s="22">
        <v>95630</v>
      </c>
      <c r="R3592" s="22" t="s">
        <v>3080</v>
      </c>
      <c r="S3592" s="22" t="s">
        <v>3081</v>
      </c>
      <c r="T3592" s="22">
        <v>8.17</v>
      </c>
      <c r="U3592" s="22">
        <v>0.38</v>
      </c>
      <c r="X3592" s="26"/>
      <c r="Y3592" s="26"/>
    </row>
    <row r="3593" spans="1:25" ht="37.5" x14ac:dyDescent="0.25">
      <c r="A3593" s="21">
        <v>4294</v>
      </c>
      <c r="B3593" s="22" t="s">
        <v>15335</v>
      </c>
      <c r="C3593" s="22" t="s">
        <v>3069</v>
      </c>
      <c r="E3593" s="24">
        <v>1991</v>
      </c>
      <c r="F3593" s="22">
        <v>9601</v>
      </c>
      <c r="G3593" s="23" t="s">
        <v>3082</v>
      </c>
      <c r="H3593" s="25" t="s">
        <v>15373</v>
      </c>
      <c r="I3593" s="22" t="s">
        <v>15709</v>
      </c>
      <c r="J3593" s="22" t="s">
        <v>3083</v>
      </c>
      <c r="K3593" s="26">
        <f t="shared" si="55"/>
        <v>536.66666666666663</v>
      </c>
      <c r="M3593" s="26">
        <v>805</v>
      </c>
      <c r="O3593" s="22" t="s">
        <v>3084</v>
      </c>
      <c r="P3593" s="22" t="s">
        <v>2772</v>
      </c>
      <c r="Q3593" s="22">
        <v>95630</v>
      </c>
      <c r="R3593" s="22" t="s">
        <v>3080</v>
      </c>
      <c r="S3593" s="22" t="s">
        <v>3081</v>
      </c>
      <c r="T3593" s="22">
        <v>8.17</v>
      </c>
      <c r="U3593" s="22">
        <v>0.38</v>
      </c>
      <c r="X3593" s="26"/>
      <c r="Y3593" s="26"/>
    </row>
    <row r="3594" spans="1:25" ht="37.5" x14ac:dyDescent="0.25">
      <c r="A3594" s="21">
        <v>4295</v>
      </c>
      <c r="B3594" s="22" t="s">
        <v>15335</v>
      </c>
      <c r="C3594" s="22" t="s">
        <v>3069</v>
      </c>
      <c r="E3594" s="24">
        <v>1991</v>
      </c>
      <c r="F3594" s="22">
        <v>9602</v>
      </c>
      <c r="G3594" s="23" t="s">
        <v>3085</v>
      </c>
      <c r="H3594" s="25" t="s">
        <v>15373</v>
      </c>
      <c r="I3594" s="22" t="s">
        <v>15709</v>
      </c>
      <c r="J3594" s="22" t="s">
        <v>3083</v>
      </c>
      <c r="K3594" s="26">
        <f t="shared" si="55"/>
        <v>536.66666666666663</v>
      </c>
      <c r="M3594" s="26">
        <v>805</v>
      </c>
      <c r="O3594" s="22" t="s">
        <v>3086</v>
      </c>
      <c r="P3594" s="22" t="s">
        <v>2772</v>
      </c>
      <c r="Q3594" s="22">
        <v>95630</v>
      </c>
      <c r="R3594" s="22" t="s">
        <v>3080</v>
      </c>
      <c r="S3594" s="22" t="s">
        <v>3081</v>
      </c>
      <c r="T3594" s="22">
        <v>8.17</v>
      </c>
      <c r="U3594" s="22">
        <v>0.38</v>
      </c>
      <c r="X3594" s="26"/>
      <c r="Y3594" s="26"/>
    </row>
    <row r="3595" spans="1:25" ht="37.5" x14ac:dyDescent="0.25">
      <c r="A3595" s="21">
        <v>4296</v>
      </c>
      <c r="B3595" s="22" t="s">
        <v>15335</v>
      </c>
      <c r="C3595" s="22" t="s">
        <v>3069</v>
      </c>
      <c r="E3595" s="24">
        <v>1991</v>
      </c>
      <c r="F3595" s="22">
        <v>9603</v>
      </c>
      <c r="G3595" s="23" t="s">
        <v>3087</v>
      </c>
      <c r="H3595" s="25" t="s">
        <v>15373</v>
      </c>
      <c r="I3595" s="22" t="s">
        <v>15709</v>
      </c>
      <c r="J3595" s="22" t="s">
        <v>3083</v>
      </c>
      <c r="K3595" s="26">
        <f t="shared" si="55"/>
        <v>536.66666666666663</v>
      </c>
      <c r="M3595" s="26">
        <v>805</v>
      </c>
      <c r="O3595" s="22" t="s">
        <v>3088</v>
      </c>
      <c r="P3595" s="22" t="s">
        <v>2772</v>
      </c>
      <c r="Q3595" s="22">
        <v>95630</v>
      </c>
      <c r="R3595" s="22" t="s">
        <v>3080</v>
      </c>
      <c r="S3595" s="22" t="s">
        <v>3081</v>
      </c>
      <c r="T3595" s="22">
        <v>8.17</v>
      </c>
      <c r="U3595" s="22">
        <v>0.38</v>
      </c>
      <c r="X3595" s="26"/>
      <c r="Y3595" s="26"/>
    </row>
    <row r="3596" spans="1:25" ht="37.5" x14ac:dyDescent="0.25">
      <c r="A3596" s="21">
        <v>4297</v>
      </c>
      <c r="B3596" s="22" t="s">
        <v>15335</v>
      </c>
      <c r="C3596" s="22" t="s">
        <v>3089</v>
      </c>
      <c r="E3596" s="24">
        <v>1990</v>
      </c>
      <c r="F3596" s="22">
        <v>9579</v>
      </c>
      <c r="G3596" s="23" t="s">
        <v>3090</v>
      </c>
      <c r="H3596" s="25" t="s">
        <v>15373</v>
      </c>
      <c r="I3596" s="22" t="s">
        <v>15382</v>
      </c>
      <c r="J3596" s="22" t="s">
        <v>3091</v>
      </c>
      <c r="K3596" s="26">
        <f t="shared" si="55"/>
        <v>586.66666666666663</v>
      </c>
      <c r="M3596" s="26">
        <v>880</v>
      </c>
      <c r="O3596" s="22" t="s">
        <v>3092</v>
      </c>
      <c r="P3596" s="22" t="s">
        <v>2741</v>
      </c>
      <c r="Q3596" s="22" t="s">
        <v>2916</v>
      </c>
      <c r="R3596" s="22" t="s">
        <v>3093</v>
      </c>
      <c r="S3596" s="22" t="s">
        <v>3094</v>
      </c>
      <c r="T3596" s="22">
        <v>8.17</v>
      </c>
      <c r="U3596" s="22">
        <v>0.38</v>
      </c>
      <c r="X3596" s="26"/>
      <c r="Y3596" s="26"/>
    </row>
    <row r="3597" spans="1:25" ht="37.5" x14ac:dyDescent="0.25">
      <c r="A3597" s="21">
        <v>4298</v>
      </c>
      <c r="B3597" s="22" t="s">
        <v>15335</v>
      </c>
      <c r="C3597" s="22" t="s">
        <v>3089</v>
      </c>
      <c r="E3597" s="24">
        <v>1990</v>
      </c>
      <c r="F3597" s="22">
        <v>9580</v>
      </c>
      <c r="G3597" s="23" t="s">
        <v>3095</v>
      </c>
      <c r="H3597" s="25" t="s">
        <v>15373</v>
      </c>
      <c r="I3597" s="22" t="s">
        <v>15382</v>
      </c>
      <c r="J3597" s="22" t="s">
        <v>3091</v>
      </c>
      <c r="K3597" s="26">
        <f t="shared" si="55"/>
        <v>586.66666666666663</v>
      </c>
      <c r="M3597" s="26">
        <v>880</v>
      </c>
      <c r="O3597" s="22" t="s">
        <v>3092</v>
      </c>
      <c r="P3597" s="22" t="s">
        <v>2741</v>
      </c>
      <c r="Q3597" s="22" t="s">
        <v>2916</v>
      </c>
      <c r="R3597" s="22" t="s">
        <v>3093</v>
      </c>
      <c r="S3597" s="22" t="s">
        <v>3094</v>
      </c>
      <c r="T3597" s="22">
        <v>8.17</v>
      </c>
      <c r="U3597" s="22">
        <v>0.38</v>
      </c>
      <c r="X3597" s="26"/>
      <c r="Y3597" s="26"/>
    </row>
    <row r="3598" spans="1:25" ht="37.5" x14ac:dyDescent="0.25">
      <c r="A3598" s="21">
        <v>4299</v>
      </c>
      <c r="B3598" s="22" t="s">
        <v>15335</v>
      </c>
      <c r="C3598" s="22" t="s">
        <v>3089</v>
      </c>
      <c r="E3598" s="24">
        <v>1990</v>
      </c>
      <c r="F3598" s="22">
        <v>9581</v>
      </c>
      <c r="G3598" s="23" t="s">
        <v>3096</v>
      </c>
      <c r="H3598" s="25" t="s">
        <v>15373</v>
      </c>
      <c r="I3598" s="22" t="s">
        <v>15382</v>
      </c>
      <c r="J3598" s="22" t="s">
        <v>3091</v>
      </c>
      <c r="K3598" s="26">
        <f t="shared" si="55"/>
        <v>586.66666666666663</v>
      </c>
      <c r="M3598" s="26">
        <v>880</v>
      </c>
      <c r="O3598" s="22" t="s">
        <v>3092</v>
      </c>
      <c r="P3598" s="22" t="s">
        <v>2741</v>
      </c>
      <c r="Q3598" s="22" t="s">
        <v>2916</v>
      </c>
      <c r="R3598" s="22" t="s">
        <v>3093</v>
      </c>
      <c r="S3598" s="22" t="s">
        <v>3094</v>
      </c>
      <c r="T3598" s="22">
        <v>8.17</v>
      </c>
      <c r="U3598" s="22">
        <v>0.38</v>
      </c>
      <c r="X3598" s="26"/>
      <c r="Y3598" s="26"/>
    </row>
    <row r="3599" spans="1:25" ht="37.5" x14ac:dyDescent="0.25">
      <c r="A3599" s="21">
        <v>4300</v>
      </c>
      <c r="B3599" s="22" t="s">
        <v>15335</v>
      </c>
      <c r="C3599" s="22" t="s">
        <v>3089</v>
      </c>
      <c r="E3599" s="24">
        <v>1990</v>
      </c>
      <c r="F3599" s="22">
        <v>9582</v>
      </c>
      <c r="G3599" s="23" t="s">
        <v>3097</v>
      </c>
      <c r="H3599" s="25" t="s">
        <v>15373</v>
      </c>
      <c r="I3599" s="22" t="s">
        <v>15382</v>
      </c>
      <c r="J3599" s="22" t="s">
        <v>3091</v>
      </c>
      <c r="K3599" s="26">
        <f t="shared" si="55"/>
        <v>586.66666666666663</v>
      </c>
      <c r="M3599" s="26">
        <v>880</v>
      </c>
      <c r="O3599" s="22" t="s">
        <v>3092</v>
      </c>
      <c r="P3599" s="22" t="s">
        <v>2741</v>
      </c>
      <c r="Q3599" s="22" t="s">
        <v>2916</v>
      </c>
      <c r="R3599" s="22" t="s">
        <v>3093</v>
      </c>
      <c r="S3599" s="22" t="s">
        <v>3094</v>
      </c>
      <c r="T3599" s="22">
        <v>8.17</v>
      </c>
      <c r="U3599" s="22">
        <v>0.38</v>
      </c>
      <c r="X3599" s="26"/>
      <c r="Y3599" s="26"/>
    </row>
    <row r="3600" spans="1:25" ht="37.5" x14ac:dyDescent="0.25">
      <c r="A3600" s="21">
        <v>4301</v>
      </c>
      <c r="B3600" s="22" t="s">
        <v>15335</v>
      </c>
      <c r="C3600" s="22" t="s">
        <v>3098</v>
      </c>
      <c r="E3600" s="24">
        <v>1991</v>
      </c>
      <c r="F3600" s="22">
        <v>9621</v>
      </c>
      <c r="G3600" s="23" t="s">
        <v>3099</v>
      </c>
      <c r="H3600" s="25" t="s">
        <v>15373</v>
      </c>
      <c r="I3600" s="22" t="s">
        <v>15374</v>
      </c>
      <c r="J3600" s="22" t="s">
        <v>3100</v>
      </c>
      <c r="K3600" s="26">
        <f t="shared" si="55"/>
        <v>320</v>
      </c>
      <c r="M3600" s="26">
        <v>480</v>
      </c>
      <c r="O3600" s="22" t="s">
        <v>3101</v>
      </c>
      <c r="P3600" s="22" t="s">
        <v>2741</v>
      </c>
      <c r="Q3600" s="22" t="s">
        <v>3102</v>
      </c>
      <c r="R3600" s="22" t="s">
        <v>3103</v>
      </c>
      <c r="S3600" s="22" t="s">
        <v>3104</v>
      </c>
      <c r="T3600" s="22">
        <v>8.17</v>
      </c>
      <c r="U3600" s="22">
        <v>0.38</v>
      </c>
      <c r="X3600" s="26"/>
      <c r="Y3600" s="26"/>
    </row>
    <row r="3601" spans="1:25" ht="25" x14ac:dyDescent="0.25">
      <c r="A3601" s="21">
        <v>4302</v>
      </c>
      <c r="B3601" s="22" t="s">
        <v>15335</v>
      </c>
      <c r="C3601" s="22" t="s">
        <v>3098</v>
      </c>
      <c r="E3601" s="24">
        <v>1998</v>
      </c>
      <c r="F3601" s="22">
        <v>9177</v>
      </c>
      <c r="G3601" s="23" t="s">
        <v>3105</v>
      </c>
      <c r="H3601" s="25" t="s">
        <v>15373</v>
      </c>
      <c r="I3601" s="22" t="s">
        <v>15374</v>
      </c>
      <c r="J3601" s="22" t="s">
        <v>3521</v>
      </c>
      <c r="K3601" s="26">
        <f t="shared" si="55"/>
        <v>340</v>
      </c>
      <c r="M3601" s="26">
        <v>510</v>
      </c>
      <c r="O3601" s="22" t="s">
        <v>3101</v>
      </c>
      <c r="P3601" s="22" t="s">
        <v>2741</v>
      </c>
      <c r="Q3601" s="22" t="s">
        <v>3102</v>
      </c>
      <c r="R3601" s="22" t="s">
        <v>3103</v>
      </c>
      <c r="S3601" s="22" t="s">
        <v>3104</v>
      </c>
      <c r="T3601" s="22">
        <v>6.9</v>
      </c>
      <c r="U3601" s="22">
        <v>0.4</v>
      </c>
      <c r="X3601" s="26"/>
      <c r="Y3601" s="26"/>
    </row>
    <row r="3602" spans="1:25" ht="37.5" x14ac:dyDescent="0.25">
      <c r="A3602" s="21">
        <v>4303</v>
      </c>
      <c r="B3602" s="22" t="s">
        <v>15335</v>
      </c>
      <c r="C3602" s="22" t="s">
        <v>3098</v>
      </c>
      <c r="E3602" s="24">
        <v>1985</v>
      </c>
      <c r="F3602" s="22">
        <v>7417</v>
      </c>
      <c r="G3602" s="23" t="s">
        <v>3106</v>
      </c>
      <c r="H3602" s="25" t="s">
        <v>15373</v>
      </c>
      <c r="I3602" s="22" t="s">
        <v>15374</v>
      </c>
      <c r="J3602" s="22" t="s">
        <v>3107</v>
      </c>
      <c r="K3602" s="26">
        <f t="shared" si="55"/>
        <v>646.66666666666663</v>
      </c>
      <c r="M3602" s="26">
        <v>970</v>
      </c>
      <c r="O3602" s="22" t="s">
        <v>3108</v>
      </c>
      <c r="P3602" s="22" t="s">
        <v>2741</v>
      </c>
      <c r="Q3602" s="22" t="s">
        <v>3102</v>
      </c>
      <c r="R3602" s="22" t="s">
        <v>3103</v>
      </c>
      <c r="S3602" s="22" t="s">
        <v>3104</v>
      </c>
      <c r="T3602" s="22">
        <v>11</v>
      </c>
      <c r="U3602" s="22">
        <v>0.53</v>
      </c>
      <c r="X3602" s="26"/>
      <c r="Y3602" s="26"/>
    </row>
    <row r="3603" spans="1:25" ht="37.5" x14ac:dyDescent="0.25">
      <c r="A3603" s="21">
        <v>4304</v>
      </c>
      <c r="B3603" s="22" t="s">
        <v>15335</v>
      </c>
      <c r="C3603" s="22" t="s">
        <v>3098</v>
      </c>
      <c r="E3603" s="24">
        <v>1991</v>
      </c>
      <c r="F3603" s="22">
        <v>9620</v>
      </c>
      <c r="G3603" s="23" t="s">
        <v>3109</v>
      </c>
      <c r="H3603" s="25" t="s">
        <v>15373</v>
      </c>
      <c r="I3603" s="22" t="s">
        <v>15382</v>
      </c>
      <c r="J3603" s="22" t="s">
        <v>3110</v>
      </c>
      <c r="K3603" s="26">
        <f t="shared" si="55"/>
        <v>786.66666666666663</v>
      </c>
      <c r="M3603" s="26">
        <v>1180</v>
      </c>
      <c r="O3603" s="22" t="s">
        <v>3101</v>
      </c>
      <c r="P3603" s="22" t="s">
        <v>2741</v>
      </c>
      <c r="Q3603" s="22" t="s">
        <v>3102</v>
      </c>
      <c r="R3603" s="22" t="s">
        <v>3103</v>
      </c>
      <c r="S3603" s="22" t="s">
        <v>3104</v>
      </c>
      <c r="T3603" s="22">
        <v>8.17</v>
      </c>
      <c r="U3603" s="22">
        <v>0.38</v>
      </c>
      <c r="X3603" s="26"/>
      <c r="Y3603" s="26"/>
    </row>
    <row r="3604" spans="1:25" ht="37.5" x14ac:dyDescent="0.25">
      <c r="A3604" s="21">
        <v>4309</v>
      </c>
      <c r="B3604" s="22" t="s">
        <v>15335</v>
      </c>
      <c r="C3604" s="22" t="s">
        <v>3911</v>
      </c>
      <c r="E3604" s="24">
        <v>2000</v>
      </c>
      <c r="F3604" s="22">
        <v>14773</v>
      </c>
      <c r="G3604" s="23" t="s">
        <v>3111</v>
      </c>
      <c r="H3604" s="25" t="s">
        <v>15373</v>
      </c>
      <c r="I3604" s="22" t="s">
        <v>15411</v>
      </c>
      <c r="J3604" s="22" t="s">
        <v>3112</v>
      </c>
      <c r="K3604" s="26">
        <f t="shared" si="55"/>
        <v>1466.6666666666665</v>
      </c>
      <c r="M3604" s="26">
        <v>2200</v>
      </c>
      <c r="O3604" s="22" t="s">
        <v>3113</v>
      </c>
      <c r="P3604" s="22" t="s">
        <v>2741</v>
      </c>
      <c r="Q3604" s="22" t="s">
        <v>3102</v>
      </c>
      <c r="R3604" s="22" t="s">
        <v>3114</v>
      </c>
      <c r="S3604" s="22" t="s">
        <v>3115</v>
      </c>
      <c r="T3604" s="22">
        <v>6.9</v>
      </c>
      <c r="U3604" s="22">
        <v>0.4</v>
      </c>
      <c r="X3604" s="26"/>
      <c r="Y3604" s="26"/>
    </row>
    <row r="3605" spans="1:25" ht="37.5" x14ac:dyDescent="0.25">
      <c r="A3605" s="21">
        <v>4310</v>
      </c>
      <c r="B3605" s="22" t="s">
        <v>15335</v>
      </c>
      <c r="C3605" s="22" t="s">
        <v>3911</v>
      </c>
      <c r="E3605" s="24">
        <v>1999</v>
      </c>
      <c r="F3605" s="22">
        <v>14460</v>
      </c>
      <c r="G3605" s="23" t="s">
        <v>3116</v>
      </c>
      <c r="H3605" s="25" t="s">
        <v>15373</v>
      </c>
      <c r="I3605" s="22" t="s">
        <v>15374</v>
      </c>
      <c r="J3605" s="22" t="s">
        <v>6965</v>
      </c>
      <c r="K3605" s="26">
        <f t="shared" si="55"/>
        <v>1917.3333333333333</v>
      </c>
      <c r="M3605" s="26">
        <v>2876</v>
      </c>
      <c r="O3605" s="22" t="s">
        <v>3117</v>
      </c>
      <c r="P3605" s="22" t="s">
        <v>2741</v>
      </c>
      <c r="Q3605" s="22" t="s">
        <v>2742</v>
      </c>
      <c r="R3605" s="22" t="s">
        <v>3914</v>
      </c>
      <c r="S3605" s="22" t="s">
        <v>3915</v>
      </c>
      <c r="T3605" s="22">
        <v>8.17</v>
      </c>
      <c r="U3605" s="22">
        <v>0.38</v>
      </c>
      <c r="X3605" s="26"/>
      <c r="Y3605" s="26"/>
    </row>
    <row r="3606" spans="1:25" ht="37.5" x14ac:dyDescent="0.25">
      <c r="A3606" s="21">
        <v>4311</v>
      </c>
      <c r="B3606" s="22" t="s">
        <v>15335</v>
      </c>
      <c r="C3606" s="22" t="s">
        <v>3911</v>
      </c>
      <c r="E3606" s="24">
        <v>1999</v>
      </c>
      <c r="F3606" s="22">
        <v>14461</v>
      </c>
      <c r="G3606" s="23" t="s">
        <v>3118</v>
      </c>
      <c r="H3606" s="25" t="s">
        <v>15373</v>
      </c>
      <c r="I3606" s="22" t="s">
        <v>15374</v>
      </c>
      <c r="J3606" s="22" t="s">
        <v>6965</v>
      </c>
      <c r="K3606" s="26">
        <f t="shared" si="55"/>
        <v>1917.3333333333333</v>
      </c>
      <c r="M3606" s="26">
        <v>2876</v>
      </c>
      <c r="O3606" s="22" t="s">
        <v>3117</v>
      </c>
      <c r="P3606" s="22" t="s">
        <v>2741</v>
      </c>
      <c r="Q3606" s="22" t="s">
        <v>2742</v>
      </c>
      <c r="R3606" s="22" t="s">
        <v>3914</v>
      </c>
      <c r="S3606" s="22" t="s">
        <v>3915</v>
      </c>
      <c r="T3606" s="22">
        <v>8.17</v>
      </c>
      <c r="U3606" s="22">
        <v>0.38</v>
      </c>
      <c r="X3606" s="26"/>
      <c r="Y3606" s="26"/>
    </row>
    <row r="3607" spans="1:25" ht="37.5" x14ac:dyDescent="0.25">
      <c r="A3607" s="21">
        <v>4312</v>
      </c>
      <c r="B3607" s="22" t="s">
        <v>15335</v>
      </c>
      <c r="C3607" s="22" t="s">
        <v>3911</v>
      </c>
      <c r="E3607" s="24">
        <v>1999</v>
      </c>
      <c r="F3607" s="22">
        <v>14462</v>
      </c>
      <c r="G3607" s="23" t="s">
        <v>3119</v>
      </c>
      <c r="H3607" s="25" t="s">
        <v>15373</v>
      </c>
      <c r="I3607" s="22" t="s">
        <v>15374</v>
      </c>
      <c r="J3607" s="22" t="s">
        <v>6965</v>
      </c>
      <c r="K3607" s="26">
        <f t="shared" si="55"/>
        <v>1917.3333333333333</v>
      </c>
      <c r="M3607" s="26">
        <v>2876</v>
      </c>
      <c r="O3607" s="22" t="s">
        <v>3117</v>
      </c>
      <c r="P3607" s="22" t="s">
        <v>2741</v>
      </c>
      <c r="Q3607" s="22" t="s">
        <v>2742</v>
      </c>
      <c r="R3607" s="22" t="s">
        <v>3914</v>
      </c>
      <c r="S3607" s="22" t="s">
        <v>3915</v>
      </c>
      <c r="T3607" s="22">
        <v>8.17</v>
      </c>
      <c r="U3607" s="22">
        <v>0.38</v>
      </c>
      <c r="X3607" s="26"/>
      <c r="Y3607" s="26"/>
    </row>
    <row r="3608" spans="1:25" ht="37.5" x14ac:dyDescent="0.25">
      <c r="A3608" s="21">
        <v>4313</v>
      </c>
      <c r="B3608" s="22" t="s">
        <v>15335</v>
      </c>
      <c r="C3608" s="22" t="s">
        <v>3911</v>
      </c>
      <c r="E3608" s="24">
        <v>1999</v>
      </c>
      <c r="F3608" s="22">
        <v>14463</v>
      </c>
      <c r="G3608" s="23" t="s">
        <v>3120</v>
      </c>
      <c r="H3608" s="25" t="s">
        <v>15373</v>
      </c>
      <c r="I3608" s="22" t="s">
        <v>15374</v>
      </c>
      <c r="J3608" s="22" t="s">
        <v>6965</v>
      </c>
      <c r="K3608" s="26">
        <f t="shared" si="55"/>
        <v>1917.3333333333333</v>
      </c>
      <c r="M3608" s="26">
        <v>2876</v>
      </c>
      <c r="O3608" s="22" t="s">
        <v>3117</v>
      </c>
      <c r="P3608" s="22" t="s">
        <v>2741</v>
      </c>
      <c r="Q3608" s="22" t="s">
        <v>2742</v>
      </c>
      <c r="R3608" s="22" t="s">
        <v>3914</v>
      </c>
      <c r="S3608" s="22" t="s">
        <v>3915</v>
      </c>
      <c r="T3608" s="22">
        <v>8.17</v>
      </c>
      <c r="U3608" s="22">
        <v>0.38</v>
      </c>
      <c r="X3608" s="26"/>
      <c r="Y3608" s="26"/>
    </row>
    <row r="3609" spans="1:25" ht="37.5" x14ac:dyDescent="0.25">
      <c r="A3609" s="21">
        <v>4314</v>
      </c>
      <c r="B3609" s="22" t="s">
        <v>15335</v>
      </c>
      <c r="C3609" s="22" t="s">
        <v>3911</v>
      </c>
      <c r="E3609" s="24">
        <v>1999</v>
      </c>
      <c r="F3609" s="22">
        <v>14509</v>
      </c>
      <c r="G3609" s="23" t="s">
        <v>3121</v>
      </c>
      <c r="H3609" s="25" t="s">
        <v>15373</v>
      </c>
      <c r="I3609" s="22" t="s">
        <v>15411</v>
      </c>
      <c r="J3609" s="22" t="s">
        <v>3122</v>
      </c>
      <c r="K3609" s="26">
        <f t="shared" si="55"/>
        <v>1956.6666666666665</v>
      </c>
      <c r="M3609" s="26">
        <v>2935</v>
      </c>
      <c r="O3609" s="22" t="s">
        <v>3123</v>
      </c>
      <c r="P3609" s="22" t="s">
        <v>2741</v>
      </c>
      <c r="Q3609" s="22" t="s">
        <v>2916</v>
      </c>
      <c r="T3609" s="22">
        <v>8.17</v>
      </c>
      <c r="U3609" s="22">
        <v>0.38</v>
      </c>
      <c r="X3609" s="26"/>
      <c r="Y3609" s="26"/>
    </row>
    <row r="3610" spans="1:25" ht="37.5" x14ac:dyDescent="0.25">
      <c r="A3610" s="21">
        <v>4316</v>
      </c>
      <c r="B3610" s="22" t="s">
        <v>15335</v>
      </c>
      <c r="C3610" s="22" t="s">
        <v>2940</v>
      </c>
      <c r="E3610" s="24">
        <v>1994</v>
      </c>
      <c r="F3610" s="22">
        <v>11502</v>
      </c>
      <c r="G3610" s="23" t="s">
        <v>3124</v>
      </c>
      <c r="H3610" s="25" t="s">
        <v>15373</v>
      </c>
      <c r="I3610" s="22" t="s">
        <v>15382</v>
      </c>
      <c r="J3610" s="22" t="s">
        <v>14850</v>
      </c>
      <c r="K3610" s="26">
        <f t="shared" si="55"/>
        <v>310</v>
      </c>
      <c r="N3610" s="26">
        <v>465</v>
      </c>
      <c r="O3610" s="22" t="s">
        <v>2937</v>
      </c>
      <c r="P3610" s="22" t="s">
        <v>2741</v>
      </c>
      <c r="Q3610" s="22" t="s">
        <v>2916</v>
      </c>
      <c r="R3610" s="22" t="s">
        <v>3125</v>
      </c>
      <c r="S3610" s="22" t="s">
        <v>3126</v>
      </c>
      <c r="T3610" s="22">
        <v>8.17</v>
      </c>
      <c r="U3610" s="22">
        <v>0.38</v>
      </c>
      <c r="X3610" s="26"/>
      <c r="Y3610" s="26"/>
    </row>
    <row r="3611" spans="1:25" ht="37.5" x14ac:dyDescent="0.25">
      <c r="A3611" s="21">
        <v>4317</v>
      </c>
      <c r="B3611" s="22" t="s">
        <v>15335</v>
      </c>
      <c r="C3611" s="22" t="s">
        <v>2940</v>
      </c>
      <c r="E3611" s="24">
        <v>1998</v>
      </c>
      <c r="F3611" s="22">
        <v>13728</v>
      </c>
      <c r="G3611" s="23" t="s">
        <v>3127</v>
      </c>
      <c r="H3611" s="25" t="s">
        <v>15373</v>
      </c>
      <c r="I3611" s="22" t="s">
        <v>15382</v>
      </c>
      <c r="J3611" s="22" t="s">
        <v>3128</v>
      </c>
      <c r="K3611" s="26">
        <f t="shared" si="55"/>
        <v>310</v>
      </c>
      <c r="M3611" s="26">
        <v>465</v>
      </c>
      <c r="O3611" s="22" t="s">
        <v>3129</v>
      </c>
      <c r="P3611" s="22" t="s">
        <v>3130</v>
      </c>
      <c r="Q3611" s="22" t="s">
        <v>3131</v>
      </c>
      <c r="R3611" s="22" t="s">
        <v>3132</v>
      </c>
      <c r="S3611" s="22" t="s">
        <v>3133</v>
      </c>
      <c r="T3611" s="22">
        <v>6.9</v>
      </c>
      <c r="U3611" s="22">
        <v>0.4</v>
      </c>
      <c r="X3611" s="26"/>
      <c r="Y3611" s="26"/>
    </row>
    <row r="3612" spans="1:25" ht="37.5" x14ac:dyDescent="0.25">
      <c r="A3612" s="21">
        <v>4319</v>
      </c>
      <c r="B3612" s="22" t="s">
        <v>15335</v>
      </c>
      <c r="C3612" s="22" t="s">
        <v>2940</v>
      </c>
      <c r="E3612" s="24">
        <v>1994</v>
      </c>
      <c r="F3612" s="22">
        <v>12745</v>
      </c>
      <c r="G3612" s="23" t="s">
        <v>3134</v>
      </c>
      <c r="H3612" s="25" t="s">
        <v>15373</v>
      </c>
      <c r="I3612" s="22" t="s">
        <v>15411</v>
      </c>
      <c r="J3612" s="22" t="s">
        <v>17698</v>
      </c>
      <c r="K3612" s="26">
        <f t="shared" si="55"/>
        <v>316</v>
      </c>
      <c r="N3612" s="26">
        <v>474</v>
      </c>
      <c r="O3612" s="22" t="s">
        <v>3135</v>
      </c>
      <c r="P3612" s="22" t="s">
        <v>2741</v>
      </c>
      <c r="Q3612" s="22" t="s">
        <v>2916</v>
      </c>
      <c r="R3612" s="22" t="s">
        <v>3136</v>
      </c>
      <c r="S3612" s="22" t="s">
        <v>3137</v>
      </c>
      <c r="T3612" s="22">
        <v>8.17</v>
      </c>
      <c r="U3612" s="22">
        <v>0.38</v>
      </c>
      <c r="X3612" s="26"/>
      <c r="Y3612" s="26"/>
    </row>
    <row r="3613" spans="1:25" ht="37.5" x14ac:dyDescent="0.25">
      <c r="A3613" s="21">
        <v>4320</v>
      </c>
      <c r="B3613" s="22" t="s">
        <v>15335</v>
      </c>
      <c r="C3613" s="22" t="s">
        <v>2940</v>
      </c>
      <c r="E3613" s="24">
        <v>1998</v>
      </c>
      <c r="F3613" s="22">
        <v>12747</v>
      </c>
      <c r="G3613" s="23" t="s">
        <v>3138</v>
      </c>
      <c r="H3613" s="25" t="s">
        <v>15373</v>
      </c>
      <c r="I3613" s="22" t="s">
        <v>15411</v>
      </c>
      <c r="J3613" s="22" t="s">
        <v>17698</v>
      </c>
      <c r="K3613" s="26">
        <f t="shared" si="55"/>
        <v>316</v>
      </c>
      <c r="N3613" s="26">
        <v>474</v>
      </c>
      <c r="O3613" s="22" t="s">
        <v>3139</v>
      </c>
      <c r="P3613" s="22" t="s">
        <v>2741</v>
      </c>
      <c r="Q3613" s="22" t="s">
        <v>3804</v>
      </c>
      <c r="R3613" s="22" t="s">
        <v>3136</v>
      </c>
      <c r="S3613" s="22" t="s">
        <v>3137</v>
      </c>
      <c r="T3613" s="22">
        <v>6.9</v>
      </c>
      <c r="U3613" s="22">
        <v>0.4</v>
      </c>
      <c r="X3613" s="26"/>
      <c r="Y3613" s="26"/>
    </row>
    <row r="3614" spans="1:25" ht="50" x14ac:dyDescent="0.25">
      <c r="A3614" s="21">
        <v>4321</v>
      </c>
      <c r="B3614" s="22" t="s">
        <v>15335</v>
      </c>
      <c r="C3614" s="22" t="s">
        <v>2940</v>
      </c>
      <c r="E3614" s="24">
        <v>1992</v>
      </c>
      <c r="F3614" s="22">
        <v>10493</v>
      </c>
      <c r="G3614" s="23" t="s">
        <v>3140</v>
      </c>
      <c r="H3614" s="25" t="s">
        <v>15373</v>
      </c>
      <c r="I3614" s="22" t="s">
        <v>15374</v>
      </c>
      <c r="J3614" s="22" t="s">
        <v>16561</v>
      </c>
      <c r="K3614" s="26">
        <f t="shared" si="55"/>
        <v>350</v>
      </c>
      <c r="L3614" s="26">
        <v>350</v>
      </c>
      <c r="O3614" s="22" t="s">
        <v>3141</v>
      </c>
      <c r="P3614" s="22" t="s">
        <v>3811</v>
      </c>
      <c r="Q3614" s="22" t="s">
        <v>3812</v>
      </c>
      <c r="R3614" s="22" t="s">
        <v>3142</v>
      </c>
      <c r="S3614" s="22" t="s">
        <v>3143</v>
      </c>
      <c r="T3614" s="22">
        <v>8.17</v>
      </c>
      <c r="U3614" s="22">
        <v>0.38</v>
      </c>
      <c r="X3614" s="26"/>
      <c r="Y3614" s="26"/>
    </row>
    <row r="3615" spans="1:25" ht="37.5" x14ac:dyDescent="0.25">
      <c r="A3615" s="21">
        <v>4322</v>
      </c>
      <c r="B3615" s="22" t="s">
        <v>15335</v>
      </c>
      <c r="C3615" s="22" t="s">
        <v>2940</v>
      </c>
      <c r="E3615" s="24">
        <v>1999</v>
      </c>
      <c r="F3615" s="22">
        <v>14121</v>
      </c>
      <c r="G3615" s="23" t="s">
        <v>3144</v>
      </c>
      <c r="H3615" s="25" t="s">
        <v>15373</v>
      </c>
      <c r="I3615" s="22" t="s">
        <v>15374</v>
      </c>
      <c r="J3615" s="22">
        <v>3406</v>
      </c>
      <c r="K3615" s="26">
        <f t="shared" si="55"/>
        <v>391.33333333333331</v>
      </c>
      <c r="M3615" s="26">
        <v>587</v>
      </c>
      <c r="O3615" s="22" t="s">
        <v>3145</v>
      </c>
      <c r="P3615" s="22" t="s">
        <v>3811</v>
      </c>
      <c r="Q3615" s="22" t="s">
        <v>3812</v>
      </c>
      <c r="R3615" s="22" t="s">
        <v>3142</v>
      </c>
      <c r="S3615" s="22" t="s">
        <v>3143</v>
      </c>
      <c r="T3615" s="22">
        <v>6.9</v>
      </c>
      <c r="U3615" s="22">
        <v>0.4</v>
      </c>
      <c r="X3615" s="26"/>
      <c r="Y3615" s="26"/>
    </row>
    <row r="3616" spans="1:25" ht="25" x14ac:dyDescent="0.25">
      <c r="A3616" s="21">
        <v>4323</v>
      </c>
      <c r="B3616" s="22" t="s">
        <v>15335</v>
      </c>
      <c r="C3616" s="22" t="s">
        <v>2940</v>
      </c>
      <c r="E3616" s="24">
        <v>1994</v>
      </c>
      <c r="F3616" s="22">
        <v>11545</v>
      </c>
      <c r="G3616" s="23" t="s">
        <v>3146</v>
      </c>
      <c r="H3616" s="25" t="s">
        <v>15373</v>
      </c>
      <c r="I3616" s="22" t="s">
        <v>15382</v>
      </c>
      <c r="J3616" s="22" t="s">
        <v>3147</v>
      </c>
      <c r="K3616" s="26">
        <f t="shared" si="55"/>
        <v>400</v>
      </c>
      <c r="N3616" s="26">
        <v>600</v>
      </c>
      <c r="O3616" s="22" t="s">
        <v>3148</v>
      </c>
      <c r="P3616" s="22" t="s">
        <v>2741</v>
      </c>
      <c r="Q3616" s="22" t="s">
        <v>2916</v>
      </c>
      <c r="R3616" s="22" t="s">
        <v>3136</v>
      </c>
      <c r="S3616" s="22" t="s">
        <v>3137</v>
      </c>
      <c r="T3616" s="22">
        <v>8.17</v>
      </c>
      <c r="U3616" s="22">
        <v>0.38</v>
      </c>
      <c r="X3616" s="26"/>
      <c r="Y3616" s="26"/>
    </row>
    <row r="3617" spans="1:25" ht="37.5" x14ac:dyDescent="0.25">
      <c r="A3617" s="21">
        <v>4324</v>
      </c>
      <c r="B3617" s="22" t="s">
        <v>15335</v>
      </c>
      <c r="C3617" s="22" t="s">
        <v>2940</v>
      </c>
      <c r="E3617" s="24">
        <v>1996</v>
      </c>
      <c r="F3617" s="22">
        <v>12947</v>
      </c>
      <c r="G3617" s="23" t="s">
        <v>3149</v>
      </c>
      <c r="H3617" s="25" t="s">
        <v>15373</v>
      </c>
      <c r="I3617" s="22" t="s">
        <v>15411</v>
      </c>
      <c r="J3617" s="22" t="s">
        <v>15877</v>
      </c>
      <c r="K3617" s="26">
        <f t="shared" si="55"/>
        <v>428.66666666666663</v>
      </c>
      <c r="N3617" s="26">
        <v>643</v>
      </c>
      <c r="O3617" s="22" t="s">
        <v>3150</v>
      </c>
      <c r="P3617" s="22" t="s">
        <v>2741</v>
      </c>
      <c r="Q3617" s="22" t="s">
        <v>3151</v>
      </c>
      <c r="R3617" s="22" t="s">
        <v>3136</v>
      </c>
      <c r="S3617" s="22" t="s">
        <v>3137</v>
      </c>
      <c r="T3617" s="22">
        <v>6.9</v>
      </c>
      <c r="U3617" s="22">
        <v>0.4</v>
      </c>
      <c r="X3617" s="26"/>
      <c r="Y3617" s="26"/>
    </row>
    <row r="3618" spans="1:25" ht="37.5" x14ac:dyDescent="0.25">
      <c r="A3618" s="21">
        <v>4325</v>
      </c>
      <c r="B3618" s="22" t="s">
        <v>15335</v>
      </c>
      <c r="C3618" s="22" t="s">
        <v>2940</v>
      </c>
      <c r="E3618" s="24">
        <v>1999</v>
      </c>
      <c r="F3618" s="22">
        <v>14124</v>
      </c>
      <c r="G3618" s="23" t="s">
        <v>3152</v>
      </c>
      <c r="H3618" s="25" t="s">
        <v>15373</v>
      </c>
      <c r="I3618" s="22" t="s">
        <v>15411</v>
      </c>
      <c r="J3618" s="22" t="s">
        <v>3153</v>
      </c>
      <c r="K3618" s="26">
        <f t="shared" si="55"/>
        <v>428.66666666666663</v>
      </c>
      <c r="N3618" s="26">
        <v>643</v>
      </c>
      <c r="O3618" s="22" t="s">
        <v>3154</v>
      </c>
      <c r="P3618" s="22" t="s">
        <v>2741</v>
      </c>
      <c r="Q3618" s="22" t="s">
        <v>3155</v>
      </c>
      <c r="R3618" s="22" t="s">
        <v>3156</v>
      </c>
      <c r="S3618" s="22" t="s">
        <v>3157</v>
      </c>
      <c r="T3618" s="22">
        <v>6.9</v>
      </c>
      <c r="U3618" s="22">
        <v>0.4</v>
      </c>
      <c r="X3618" s="26"/>
      <c r="Y3618" s="26"/>
    </row>
    <row r="3619" spans="1:25" ht="37.5" x14ac:dyDescent="0.25">
      <c r="A3619" s="21">
        <v>4326</v>
      </c>
      <c r="B3619" s="22" t="s">
        <v>15335</v>
      </c>
      <c r="C3619" s="22" t="s">
        <v>2940</v>
      </c>
      <c r="E3619" s="24">
        <v>1996</v>
      </c>
      <c r="F3619" s="22">
        <v>12866</v>
      </c>
      <c r="G3619" s="23" t="s">
        <v>3158</v>
      </c>
      <c r="H3619" s="25" t="s">
        <v>15373</v>
      </c>
      <c r="I3619" s="22" t="s">
        <v>15374</v>
      </c>
      <c r="J3619" s="22" t="s">
        <v>3159</v>
      </c>
      <c r="K3619" s="26">
        <f t="shared" si="55"/>
        <v>500</v>
      </c>
      <c r="N3619" s="26">
        <v>750</v>
      </c>
      <c r="O3619" s="22" t="s">
        <v>3160</v>
      </c>
      <c r="P3619" s="22" t="s">
        <v>2741</v>
      </c>
      <c r="Q3619" s="22" t="s">
        <v>3151</v>
      </c>
      <c r="R3619" s="22" t="s">
        <v>3136</v>
      </c>
      <c r="S3619" s="22" t="s">
        <v>3137</v>
      </c>
      <c r="T3619" s="22">
        <v>6.9</v>
      </c>
      <c r="U3619" s="22">
        <v>0.4</v>
      </c>
      <c r="X3619" s="26"/>
      <c r="Y3619" s="26"/>
    </row>
    <row r="3620" spans="1:25" ht="37.5" x14ac:dyDescent="0.25">
      <c r="A3620" s="21">
        <v>4327</v>
      </c>
      <c r="B3620" s="22" t="s">
        <v>15335</v>
      </c>
      <c r="C3620" s="22" t="s">
        <v>2940</v>
      </c>
      <c r="E3620" s="24">
        <v>1998</v>
      </c>
      <c r="F3620" s="22">
        <v>12746</v>
      </c>
      <c r="G3620" s="23" t="s">
        <v>3161</v>
      </c>
      <c r="H3620" s="25" t="s">
        <v>15373</v>
      </c>
      <c r="I3620" s="22" t="s">
        <v>15411</v>
      </c>
      <c r="J3620" s="22" t="s">
        <v>3162</v>
      </c>
      <c r="K3620" s="26">
        <f t="shared" si="55"/>
        <v>500</v>
      </c>
      <c r="M3620" s="26">
        <v>750</v>
      </c>
      <c r="O3620" s="22" t="s">
        <v>3135</v>
      </c>
      <c r="P3620" s="22" t="s">
        <v>2741</v>
      </c>
      <c r="Q3620" s="22" t="s">
        <v>3804</v>
      </c>
      <c r="R3620" s="22" t="s">
        <v>3136</v>
      </c>
      <c r="S3620" s="22" t="s">
        <v>3137</v>
      </c>
      <c r="T3620" s="22">
        <v>6.9</v>
      </c>
      <c r="U3620" s="22">
        <v>0.4</v>
      </c>
      <c r="X3620" s="26"/>
      <c r="Y3620" s="26"/>
    </row>
    <row r="3621" spans="1:25" ht="50" x14ac:dyDescent="0.25">
      <c r="A3621" s="21">
        <v>4329</v>
      </c>
      <c r="B3621" s="22" t="s">
        <v>15335</v>
      </c>
      <c r="C3621" s="22" t="s">
        <v>2940</v>
      </c>
      <c r="E3621" s="24">
        <v>2001</v>
      </c>
      <c r="F3621" s="22">
        <v>15516</v>
      </c>
      <c r="G3621" s="23" t="s">
        <v>3163</v>
      </c>
      <c r="H3621" s="25" t="s">
        <v>15373</v>
      </c>
      <c r="I3621" s="22" t="s">
        <v>15411</v>
      </c>
      <c r="J3621" s="22" t="s">
        <v>3164</v>
      </c>
      <c r="K3621" s="26">
        <f t="shared" si="55"/>
        <v>606.66666666666663</v>
      </c>
      <c r="M3621" s="26">
        <v>910</v>
      </c>
      <c r="O3621" s="22" t="s">
        <v>3165</v>
      </c>
      <c r="P3621" s="22" t="s">
        <v>2741</v>
      </c>
      <c r="Q3621" s="22">
        <v>95758</v>
      </c>
      <c r="R3621" s="22" t="s">
        <v>3166</v>
      </c>
      <c r="S3621" s="22" t="s">
        <v>3167</v>
      </c>
      <c r="T3621" s="22">
        <v>6.9</v>
      </c>
      <c r="U3621" s="22">
        <v>0.4</v>
      </c>
      <c r="X3621" s="26"/>
      <c r="Y3621" s="26"/>
    </row>
    <row r="3622" spans="1:25" ht="37.5" x14ac:dyDescent="0.25">
      <c r="A3622" s="21">
        <v>4330</v>
      </c>
      <c r="B3622" s="22" t="s">
        <v>15335</v>
      </c>
      <c r="C3622" s="22" t="s">
        <v>2940</v>
      </c>
      <c r="E3622" s="24">
        <v>1990</v>
      </c>
      <c r="F3622" s="22">
        <v>9933</v>
      </c>
      <c r="G3622" s="23" t="s">
        <v>3168</v>
      </c>
      <c r="H3622" s="25" t="s">
        <v>15373</v>
      </c>
      <c r="I3622" s="22" t="s">
        <v>15374</v>
      </c>
      <c r="J3622" s="22" t="s">
        <v>16360</v>
      </c>
      <c r="K3622" s="26">
        <f t="shared" si="55"/>
        <v>646.66666666666663</v>
      </c>
      <c r="N3622" s="26">
        <v>970</v>
      </c>
      <c r="O3622" s="22" t="s">
        <v>3169</v>
      </c>
      <c r="P3622" s="22" t="s">
        <v>2741</v>
      </c>
      <c r="Q3622" s="22" t="s">
        <v>3861</v>
      </c>
      <c r="R3622" s="22" t="s">
        <v>3170</v>
      </c>
      <c r="S3622" s="22" t="s">
        <v>3171</v>
      </c>
      <c r="T3622" s="22">
        <v>8.17</v>
      </c>
      <c r="U3622" s="22">
        <v>0.38</v>
      </c>
      <c r="X3622" s="26"/>
      <c r="Y3622" s="26"/>
    </row>
    <row r="3623" spans="1:25" ht="50" x14ac:dyDescent="0.25">
      <c r="A3623" s="21">
        <v>4331</v>
      </c>
      <c r="B3623" s="22" t="s">
        <v>15335</v>
      </c>
      <c r="C3623" s="22" t="s">
        <v>2940</v>
      </c>
      <c r="E3623" s="24">
        <v>1995</v>
      </c>
      <c r="F3623" s="22">
        <v>12133</v>
      </c>
      <c r="G3623" s="23" t="s">
        <v>3172</v>
      </c>
      <c r="H3623" s="25" t="s">
        <v>15373</v>
      </c>
      <c r="I3623" s="22" t="s">
        <v>15374</v>
      </c>
      <c r="J3623" s="22" t="s">
        <v>14709</v>
      </c>
      <c r="K3623" s="26">
        <f t="shared" si="55"/>
        <v>683.33333333333326</v>
      </c>
      <c r="M3623" s="26">
        <v>1025</v>
      </c>
      <c r="O3623" s="22" t="s">
        <v>2937</v>
      </c>
      <c r="P3623" s="22" t="s">
        <v>2741</v>
      </c>
      <c r="Q3623" s="22" t="s">
        <v>2916</v>
      </c>
      <c r="R3623" s="22" t="s">
        <v>3125</v>
      </c>
      <c r="S3623" s="22" t="s">
        <v>3126</v>
      </c>
      <c r="T3623" s="22">
        <v>8.17</v>
      </c>
      <c r="U3623" s="22">
        <v>0.38</v>
      </c>
      <c r="X3623" s="26"/>
      <c r="Y3623" s="26"/>
    </row>
    <row r="3624" spans="1:25" ht="50" x14ac:dyDescent="0.25">
      <c r="A3624" s="21">
        <v>4332</v>
      </c>
      <c r="B3624" s="22" t="s">
        <v>15335</v>
      </c>
      <c r="C3624" s="22" t="s">
        <v>2940</v>
      </c>
      <c r="E3624" s="24">
        <v>2001</v>
      </c>
      <c r="F3624" s="22">
        <v>15030</v>
      </c>
      <c r="G3624" s="23" t="s">
        <v>3173</v>
      </c>
      <c r="H3624" s="25" t="s">
        <v>15373</v>
      </c>
      <c r="I3624" s="22" t="s">
        <v>15411</v>
      </c>
      <c r="J3624" s="22" t="s">
        <v>3174</v>
      </c>
      <c r="K3624" s="26">
        <f t="shared" ref="K3624:K3687" si="56">L3624+M3624*(2/3)+N3624*(2/3)</f>
        <v>750</v>
      </c>
      <c r="L3624" s="26">
        <v>750</v>
      </c>
      <c r="O3624" s="22" t="s">
        <v>3175</v>
      </c>
      <c r="P3624" s="22" t="s">
        <v>2741</v>
      </c>
      <c r="Q3624" s="22" t="s">
        <v>3176</v>
      </c>
      <c r="R3624" s="22" t="s">
        <v>3177</v>
      </c>
      <c r="S3624" s="22" t="s">
        <v>3178</v>
      </c>
      <c r="T3624" s="22">
        <v>6.9</v>
      </c>
      <c r="U3624" s="22">
        <v>0.4</v>
      </c>
      <c r="X3624" s="26"/>
      <c r="Y3624" s="26"/>
    </row>
    <row r="3625" spans="1:25" ht="37.5" x14ac:dyDescent="0.25">
      <c r="A3625" s="21">
        <v>4333</v>
      </c>
      <c r="B3625" s="22" t="s">
        <v>15335</v>
      </c>
      <c r="C3625" s="22" t="s">
        <v>2940</v>
      </c>
      <c r="E3625" s="24">
        <v>1997</v>
      </c>
      <c r="F3625" s="22">
        <v>12767</v>
      </c>
      <c r="G3625" s="23" t="s">
        <v>3179</v>
      </c>
      <c r="H3625" s="25" t="s">
        <v>15373</v>
      </c>
      <c r="I3625" s="22" t="s">
        <v>15374</v>
      </c>
      <c r="J3625" s="22">
        <v>3512</v>
      </c>
      <c r="K3625" s="26">
        <f t="shared" si="56"/>
        <v>1100</v>
      </c>
      <c r="L3625" s="26">
        <v>1100</v>
      </c>
      <c r="O3625" s="22" t="s">
        <v>3180</v>
      </c>
      <c r="P3625" s="22" t="s">
        <v>2741</v>
      </c>
      <c r="Q3625" s="22" t="s">
        <v>3181</v>
      </c>
      <c r="R3625" s="22" t="s">
        <v>3125</v>
      </c>
      <c r="S3625" s="22" t="s">
        <v>3182</v>
      </c>
      <c r="T3625" s="22">
        <v>8.17</v>
      </c>
      <c r="U3625" s="22">
        <v>0.38</v>
      </c>
      <c r="X3625" s="26"/>
      <c r="Y3625" s="26"/>
    </row>
    <row r="3626" spans="1:25" ht="37.5" x14ac:dyDescent="0.25">
      <c r="A3626" s="21">
        <v>4334</v>
      </c>
      <c r="B3626" s="22" t="s">
        <v>15335</v>
      </c>
      <c r="C3626" s="22" t="s">
        <v>2940</v>
      </c>
      <c r="E3626" s="24">
        <v>1999</v>
      </c>
      <c r="F3626" s="22">
        <v>13648</v>
      </c>
      <c r="G3626" s="23" t="s">
        <v>3183</v>
      </c>
      <c r="H3626" s="25" t="s">
        <v>15373</v>
      </c>
      <c r="I3626" s="22" t="s">
        <v>15374</v>
      </c>
      <c r="J3626" s="22">
        <v>3516</v>
      </c>
      <c r="K3626" s="26">
        <f t="shared" si="56"/>
        <v>1917.3333333333333</v>
      </c>
      <c r="M3626" s="26">
        <v>2876</v>
      </c>
      <c r="O3626" s="22" t="s">
        <v>3184</v>
      </c>
      <c r="P3626" s="22" t="s">
        <v>2741</v>
      </c>
      <c r="Q3626" s="22" t="s">
        <v>3151</v>
      </c>
      <c r="R3626" s="22" t="s">
        <v>3136</v>
      </c>
      <c r="S3626" s="22" t="s">
        <v>3137</v>
      </c>
      <c r="T3626" s="22">
        <v>8.17</v>
      </c>
      <c r="U3626" s="22">
        <v>0.38</v>
      </c>
      <c r="X3626" s="26"/>
      <c r="Y3626" s="26"/>
    </row>
    <row r="3627" spans="1:25" ht="37.5" x14ac:dyDescent="0.25">
      <c r="A3627" s="21">
        <v>4335</v>
      </c>
      <c r="B3627" s="22" t="s">
        <v>15335</v>
      </c>
      <c r="C3627" s="22" t="s">
        <v>2940</v>
      </c>
      <c r="E3627" s="24">
        <v>1999</v>
      </c>
      <c r="F3627" s="22">
        <v>13650</v>
      </c>
      <c r="G3627" s="23" t="s">
        <v>3185</v>
      </c>
      <c r="H3627" s="25" t="s">
        <v>15373</v>
      </c>
      <c r="I3627" s="22" t="s">
        <v>15374</v>
      </c>
      <c r="J3627" s="22">
        <v>3516</v>
      </c>
      <c r="K3627" s="26">
        <f t="shared" si="56"/>
        <v>1917.3333333333333</v>
      </c>
      <c r="M3627" s="26">
        <v>2876</v>
      </c>
      <c r="O3627" s="22" t="s">
        <v>3184</v>
      </c>
      <c r="P3627" s="22" t="s">
        <v>2741</v>
      </c>
      <c r="Q3627" s="22" t="s">
        <v>3151</v>
      </c>
      <c r="R3627" s="22" t="s">
        <v>3136</v>
      </c>
      <c r="S3627" s="22" t="s">
        <v>3137</v>
      </c>
      <c r="T3627" s="22">
        <v>8.17</v>
      </c>
      <c r="U3627" s="22">
        <v>0.38</v>
      </c>
      <c r="X3627" s="26"/>
      <c r="Y3627" s="26"/>
    </row>
    <row r="3628" spans="1:25" ht="37.5" x14ac:dyDescent="0.25">
      <c r="A3628" s="21">
        <v>4336</v>
      </c>
      <c r="B3628" s="22" t="s">
        <v>15335</v>
      </c>
      <c r="C3628" s="22" t="s">
        <v>3186</v>
      </c>
      <c r="E3628" s="24">
        <v>1997</v>
      </c>
      <c r="F3628" s="22">
        <v>12922</v>
      </c>
      <c r="G3628" s="23" t="s">
        <v>3187</v>
      </c>
      <c r="H3628" s="25" t="s">
        <v>15373</v>
      </c>
      <c r="I3628" s="22" t="s">
        <v>15411</v>
      </c>
      <c r="J3628" s="22" t="s">
        <v>15451</v>
      </c>
      <c r="K3628" s="26">
        <f t="shared" si="56"/>
        <v>553.33333333333326</v>
      </c>
      <c r="M3628" s="26">
        <v>830</v>
      </c>
      <c r="O3628" s="22" t="s">
        <v>3188</v>
      </c>
      <c r="P3628" s="22" t="s">
        <v>2741</v>
      </c>
      <c r="Q3628" s="22" t="s">
        <v>2916</v>
      </c>
      <c r="R3628" s="22" t="s">
        <v>3189</v>
      </c>
      <c r="S3628" s="22" t="s">
        <v>3190</v>
      </c>
      <c r="T3628" s="22">
        <v>8.17</v>
      </c>
      <c r="U3628" s="22">
        <v>0.38</v>
      </c>
      <c r="X3628" s="26"/>
      <c r="Y3628" s="26"/>
    </row>
    <row r="3629" spans="1:25" ht="37.5" x14ac:dyDescent="0.25">
      <c r="A3629" s="21">
        <v>4337</v>
      </c>
      <c r="B3629" s="22" t="s">
        <v>15335</v>
      </c>
      <c r="C3629" s="22" t="s">
        <v>2958</v>
      </c>
      <c r="E3629" s="24">
        <v>1997</v>
      </c>
      <c r="F3629" s="22">
        <v>14625</v>
      </c>
      <c r="G3629" s="23" t="s">
        <v>3191</v>
      </c>
      <c r="H3629" s="25" t="s">
        <v>15373</v>
      </c>
      <c r="I3629" s="22" t="s">
        <v>15411</v>
      </c>
      <c r="J3629" s="22" t="s">
        <v>16517</v>
      </c>
      <c r="K3629" s="26">
        <f t="shared" si="56"/>
        <v>366.66666666666663</v>
      </c>
      <c r="M3629" s="26">
        <v>550</v>
      </c>
      <c r="O3629" s="22" t="s">
        <v>3192</v>
      </c>
      <c r="P3629" s="22" t="s">
        <v>2741</v>
      </c>
      <c r="Q3629" s="22" t="s">
        <v>2916</v>
      </c>
      <c r="R3629" s="22" t="s">
        <v>3193</v>
      </c>
      <c r="S3629" s="22" t="s">
        <v>3194</v>
      </c>
      <c r="T3629" s="22">
        <v>6.9</v>
      </c>
      <c r="U3629" s="22">
        <v>0.4</v>
      </c>
      <c r="X3629" s="26"/>
      <c r="Y3629" s="26"/>
    </row>
    <row r="3630" spans="1:25" ht="37.5" x14ac:dyDescent="0.25">
      <c r="A3630" s="21">
        <v>4338</v>
      </c>
      <c r="B3630" s="22" t="s">
        <v>15335</v>
      </c>
      <c r="C3630" s="22" t="s">
        <v>3195</v>
      </c>
      <c r="E3630" s="24">
        <v>2000</v>
      </c>
      <c r="F3630" s="22">
        <v>15384</v>
      </c>
      <c r="G3630" s="23" t="s">
        <v>3196</v>
      </c>
      <c r="H3630" s="25" t="s">
        <v>15373</v>
      </c>
      <c r="I3630" s="22" t="s">
        <v>15411</v>
      </c>
      <c r="J3630" s="22" t="s">
        <v>15068</v>
      </c>
      <c r="K3630" s="26">
        <f t="shared" si="56"/>
        <v>821.33333333333326</v>
      </c>
      <c r="N3630" s="26">
        <v>1232</v>
      </c>
      <c r="O3630" s="22" t="s">
        <v>3197</v>
      </c>
      <c r="P3630" s="22" t="s">
        <v>3198</v>
      </c>
      <c r="Q3630" s="22">
        <v>95652</v>
      </c>
      <c r="R3630" s="22" t="s">
        <v>3199</v>
      </c>
      <c r="S3630" s="22" t="s">
        <v>3200</v>
      </c>
      <c r="T3630" s="22">
        <v>6.9</v>
      </c>
      <c r="U3630" s="22">
        <v>0.4</v>
      </c>
      <c r="X3630" s="26"/>
      <c r="Y3630" s="26"/>
    </row>
    <row r="3631" spans="1:25" ht="37.5" x14ac:dyDescent="0.25">
      <c r="A3631" s="21">
        <v>4339</v>
      </c>
      <c r="B3631" s="22" t="s">
        <v>15335</v>
      </c>
      <c r="C3631" s="22" t="s">
        <v>3201</v>
      </c>
      <c r="E3631" s="24">
        <v>2000</v>
      </c>
      <c r="F3631" s="22">
        <v>14579</v>
      </c>
      <c r="G3631" s="23" t="s">
        <v>3202</v>
      </c>
      <c r="H3631" s="25" t="s">
        <v>15373</v>
      </c>
      <c r="I3631" s="22" t="s">
        <v>15374</v>
      </c>
      <c r="J3631" s="22" t="s">
        <v>3203</v>
      </c>
      <c r="K3631" s="26">
        <f t="shared" si="56"/>
        <v>1448</v>
      </c>
      <c r="M3631" s="26">
        <v>2172</v>
      </c>
      <c r="O3631" s="22" t="s">
        <v>3204</v>
      </c>
      <c r="P3631" s="22" t="s">
        <v>3811</v>
      </c>
      <c r="Q3631" s="22" t="s">
        <v>3205</v>
      </c>
      <c r="R3631" s="22" t="s">
        <v>3206</v>
      </c>
      <c r="S3631" s="22" t="s">
        <v>3207</v>
      </c>
      <c r="T3631" s="22">
        <v>6.9</v>
      </c>
      <c r="U3631" s="22">
        <v>0.4</v>
      </c>
      <c r="X3631" s="26"/>
      <c r="Y3631" s="26"/>
    </row>
    <row r="3632" spans="1:25" ht="37.5" x14ac:dyDescent="0.25">
      <c r="A3632" s="21">
        <v>4340</v>
      </c>
      <c r="B3632" s="22" t="s">
        <v>15335</v>
      </c>
      <c r="C3632" s="22" t="s">
        <v>3208</v>
      </c>
      <c r="E3632" s="24">
        <v>2000</v>
      </c>
      <c r="F3632" s="22">
        <v>15102</v>
      </c>
      <c r="G3632" s="23" t="s">
        <v>3209</v>
      </c>
      <c r="H3632" s="25" t="s">
        <v>15373</v>
      </c>
      <c r="I3632" s="22" t="s">
        <v>15411</v>
      </c>
      <c r="J3632" s="22" t="s">
        <v>12508</v>
      </c>
      <c r="K3632" s="26">
        <f t="shared" si="56"/>
        <v>500</v>
      </c>
      <c r="M3632" s="26">
        <v>750</v>
      </c>
      <c r="O3632" s="22" t="s">
        <v>3210</v>
      </c>
      <c r="P3632" s="22" t="s">
        <v>2741</v>
      </c>
      <c r="Q3632" s="22" t="s">
        <v>3872</v>
      </c>
      <c r="R3632" s="22" t="s">
        <v>3211</v>
      </c>
      <c r="S3632" s="22" t="s">
        <v>3212</v>
      </c>
      <c r="T3632" s="22">
        <v>6.9</v>
      </c>
      <c r="U3632" s="22">
        <v>0.4</v>
      </c>
      <c r="X3632" s="26"/>
      <c r="Y3632" s="26"/>
    </row>
    <row r="3633" spans="1:25" ht="37.5" x14ac:dyDescent="0.25">
      <c r="A3633" s="21">
        <v>4342</v>
      </c>
      <c r="B3633" s="22" t="s">
        <v>15335</v>
      </c>
      <c r="C3633" s="22" t="s">
        <v>3213</v>
      </c>
      <c r="E3633" s="24">
        <v>2000</v>
      </c>
      <c r="F3633" s="22">
        <v>14453</v>
      </c>
      <c r="G3633" s="23" t="s">
        <v>3214</v>
      </c>
      <c r="H3633" s="25" t="s">
        <v>15373</v>
      </c>
      <c r="I3633" s="22" t="s">
        <v>15382</v>
      </c>
      <c r="J3633" s="22" t="s">
        <v>16784</v>
      </c>
      <c r="K3633" s="26">
        <f t="shared" si="56"/>
        <v>503.33333333333331</v>
      </c>
      <c r="M3633" s="26">
        <v>755</v>
      </c>
      <c r="O3633" s="22" t="s">
        <v>3215</v>
      </c>
      <c r="P3633" s="22" t="s">
        <v>2755</v>
      </c>
      <c r="Q3633" s="22" t="s">
        <v>2756</v>
      </c>
      <c r="T3633" s="22">
        <v>6.9</v>
      </c>
      <c r="U3633" s="22">
        <v>0.4</v>
      </c>
      <c r="X3633" s="26"/>
      <c r="Y3633" s="26"/>
    </row>
    <row r="3634" spans="1:25" ht="37.5" x14ac:dyDescent="0.25">
      <c r="A3634" s="21">
        <v>4343</v>
      </c>
      <c r="B3634" s="22" t="s">
        <v>15335</v>
      </c>
      <c r="C3634" s="22" t="s">
        <v>3213</v>
      </c>
      <c r="E3634" s="24">
        <v>2000</v>
      </c>
      <c r="F3634" s="22">
        <v>14454</v>
      </c>
      <c r="G3634" s="23" t="s">
        <v>3214</v>
      </c>
      <c r="H3634" s="25" t="s">
        <v>15373</v>
      </c>
      <c r="I3634" s="22" t="s">
        <v>15382</v>
      </c>
      <c r="J3634" s="22" t="s">
        <v>16784</v>
      </c>
      <c r="K3634" s="26">
        <f t="shared" si="56"/>
        <v>503.33333333333331</v>
      </c>
      <c r="M3634" s="26">
        <v>755</v>
      </c>
      <c r="O3634" s="22" t="s">
        <v>3216</v>
      </c>
      <c r="P3634" s="22" t="s">
        <v>2755</v>
      </c>
      <c r="Q3634" s="22" t="s">
        <v>2756</v>
      </c>
      <c r="R3634" s="22" t="s">
        <v>3217</v>
      </c>
      <c r="S3634" s="22" t="s">
        <v>3218</v>
      </c>
      <c r="T3634" s="22">
        <v>6.9</v>
      </c>
      <c r="U3634" s="22">
        <v>0.4</v>
      </c>
      <c r="X3634" s="26"/>
      <c r="Y3634" s="26"/>
    </row>
    <row r="3635" spans="1:25" ht="37.5" x14ac:dyDescent="0.25">
      <c r="A3635" s="21">
        <v>4344</v>
      </c>
      <c r="B3635" s="22" t="s">
        <v>15335</v>
      </c>
      <c r="C3635" s="22" t="s">
        <v>3213</v>
      </c>
      <c r="E3635" s="24">
        <v>2000</v>
      </c>
      <c r="F3635" s="22">
        <v>14591</v>
      </c>
      <c r="G3635" s="23" t="s">
        <v>3219</v>
      </c>
      <c r="H3635" s="25" t="s">
        <v>15373</v>
      </c>
      <c r="I3635" s="22" t="s">
        <v>15411</v>
      </c>
      <c r="J3635" s="22" t="s">
        <v>3220</v>
      </c>
      <c r="K3635" s="26">
        <f t="shared" si="56"/>
        <v>746.66666666666663</v>
      </c>
      <c r="M3635" s="26">
        <v>1120</v>
      </c>
      <c r="O3635" s="22" t="s">
        <v>3216</v>
      </c>
      <c r="P3635" s="22" t="s">
        <v>2755</v>
      </c>
      <c r="Q3635" s="22" t="s">
        <v>2756</v>
      </c>
      <c r="R3635" s="22" t="s">
        <v>3217</v>
      </c>
      <c r="S3635" s="22" t="s">
        <v>3218</v>
      </c>
      <c r="T3635" s="22">
        <v>6.9</v>
      </c>
      <c r="U3635" s="22">
        <v>0.4</v>
      </c>
      <c r="X3635" s="26"/>
      <c r="Y3635" s="26"/>
    </row>
    <row r="3636" spans="1:25" ht="37.5" x14ac:dyDescent="0.25">
      <c r="A3636" s="21">
        <v>4345</v>
      </c>
      <c r="B3636" s="22" t="s">
        <v>15335</v>
      </c>
      <c r="C3636" s="22" t="s">
        <v>3213</v>
      </c>
      <c r="E3636" s="24">
        <v>2000</v>
      </c>
      <c r="F3636" s="22">
        <v>14766</v>
      </c>
      <c r="G3636" s="23" t="s">
        <v>3221</v>
      </c>
      <c r="H3636" s="25" t="s">
        <v>15373</v>
      </c>
      <c r="I3636" s="22" t="s">
        <v>15374</v>
      </c>
      <c r="J3636" s="22" t="s">
        <v>12592</v>
      </c>
      <c r="K3636" s="26">
        <f t="shared" si="56"/>
        <v>1448</v>
      </c>
      <c r="M3636" s="26">
        <v>2172</v>
      </c>
      <c r="O3636" s="22" t="s">
        <v>3222</v>
      </c>
      <c r="P3636" s="22" t="s">
        <v>2755</v>
      </c>
      <c r="Q3636" s="22" t="s">
        <v>2756</v>
      </c>
      <c r="R3636" s="22" t="s">
        <v>3217</v>
      </c>
      <c r="S3636" s="22" t="s">
        <v>3218</v>
      </c>
      <c r="T3636" s="22">
        <v>6.9</v>
      </c>
      <c r="U3636" s="22">
        <v>0.4</v>
      </c>
      <c r="X3636" s="26"/>
      <c r="Y3636" s="26"/>
    </row>
    <row r="3637" spans="1:25" ht="37.5" x14ac:dyDescent="0.25">
      <c r="A3637" s="21">
        <v>4346</v>
      </c>
      <c r="B3637" s="22" t="s">
        <v>15335</v>
      </c>
      <c r="C3637" s="22" t="s">
        <v>3223</v>
      </c>
      <c r="E3637" s="24">
        <v>2000</v>
      </c>
      <c r="F3637" s="22">
        <v>14995</v>
      </c>
      <c r="G3637" s="23" t="s">
        <v>3224</v>
      </c>
      <c r="H3637" s="25" t="s">
        <v>15373</v>
      </c>
      <c r="I3637" s="22" t="s">
        <v>15382</v>
      </c>
      <c r="J3637" s="22" t="s">
        <v>14850</v>
      </c>
      <c r="K3637" s="26">
        <f t="shared" si="56"/>
        <v>310</v>
      </c>
      <c r="M3637" s="26">
        <v>465</v>
      </c>
      <c r="O3637" s="22" t="s">
        <v>3225</v>
      </c>
      <c r="P3637" s="22" t="s">
        <v>2741</v>
      </c>
      <c r="Q3637" s="22" t="s">
        <v>3226</v>
      </c>
      <c r="R3637" s="22" t="s">
        <v>3227</v>
      </c>
      <c r="S3637" s="22" t="s">
        <v>3228</v>
      </c>
      <c r="T3637" s="22">
        <v>6.9</v>
      </c>
      <c r="U3637" s="22">
        <v>0.4</v>
      </c>
      <c r="X3637" s="26"/>
      <c r="Y3637" s="26"/>
    </row>
    <row r="3638" spans="1:25" ht="37.5" x14ac:dyDescent="0.25">
      <c r="A3638" s="21">
        <v>4347</v>
      </c>
      <c r="B3638" s="22" t="s">
        <v>15335</v>
      </c>
      <c r="C3638" s="22" t="s">
        <v>3229</v>
      </c>
      <c r="E3638" s="24">
        <v>2000</v>
      </c>
      <c r="F3638" s="22">
        <v>15407</v>
      </c>
      <c r="G3638" s="23" t="s">
        <v>3230</v>
      </c>
      <c r="H3638" s="25" t="s">
        <v>15373</v>
      </c>
      <c r="I3638" s="22" t="s">
        <v>15382</v>
      </c>
      <c r="J3638" s="22" t="s">
        <v>16569</v>
      </c>
      <c r="K3638" s="26">
        <f t="shared" si="56"/>
        <v>403.33333333333331</v>
      </c>
      <c r="M3638" s="26">
        <v>605</v>
      </c>
      <c r="O3638" s="22" t="s">
        <v>3231</v>
      </c>
      <c r="P3638" s="22" t="s">
        <v>2755</v>
      </c>
      <c r="Q3638" s="22" t="s">
        <v>2756</v>
      </c>
      <c r="R3638" s="22" t="s">
        <v>3232</v>
      </c>
      <c r="S3638" s="22" t="s">
        <v>3233</v>
      </c>
      <c r="T3638" s="22">
        <v>6.9</v>
      </c>
      <c r="U3638" s="22">
        <v>0.4</v>
      </c>
      <c r="X3638" s="26"/>
      <c r="Y3638" s="26"/>
    </row>
    <row r="3639" spans="1:25" ht="37.5" x14ac:dyDescent="0.25">
      <c r="A3639" s="21">
        <v>4348</v>
      </c>
      <c r="B3639" s="22" t="s">
        <v>15335</v>
      </c>
      <c r="C3639" s="22" t="s">
        <v>2964</v>
      </c>
      <c r="E3639" s="24">
        <v>2000</v>
      </c>
      <c r="F3639" s="22">
        <v>14155</v>
      </c>
      <c r="G3639" s="23" t="s">
        <v>3234</v>
      </c>
      <c r="H3639" s="25" t="s">
        <v>15373</v>
      </c>
      <c r="I3639" s="22" t="s">
        <v>15374</v>
      </c>
      <c r="J3639" s="22" t="s">
        <v>16869</v>
      </c>
      <c r="K3639" s="26">
        <f t="shared" si="56"/>
        <v>600</v>
      </c>
      <c r="N3639" s="26">
        <v>900</v>
      </c>
      <c r="O3639" s="22" t="s">
        <v>3235</v>
      </c>
      <c r="P3639" s="22" t="s">
        <v>2755</v>
      </c>
      <c r="Q3639" s="22" t="s">
        <v>2756</v>
      </c>
      <c r="R3639" s="22" t="s">
        <v>2967</v>
      </c>
      <c r="S3639" s="22" t="s">
        <v>2968</v>
      </c>
      <c r="T3639" s="22">
        <v>6.9</v>
      </c>
      <c r="U3639" s="22">
        <v>0.4</v>
      </c>
      <c r="X3639" s="26"/>
      <c r="Y3639" s="26"/>
    </row>
    <row r="3640" spans="1:25" ht="50" x14ac:dyDescent="0.25">
      <c r="A3640" s="21">
        <v>4349</v>
      </c>
      <c r="B3640" s="22" t="s">
        <v>15335</v>
      </c>
      <c r="C3640" s="22" t="s">
        <v>3236</v>
      </c>
      <c r="E3640" s="24">
        <v>2000</v>
      </c>
      <c r="F3640" s="22">
        <v>14792</v>
      </c>
      <c r="G3640" s="23" t="s">
        <v>3237</v>
      </c>
      <c r="H3640" s="25" t="s">
        <v>15373</v>
      </c>
      <c r="I3640" s="22" t="s">
        <v>15374</v>
      </c>
      <c r="J3640" s="22">
        <v>3412</v>
      </c>
      <c r="K3640" s="26">
        <f t="shared" si="56"/>
        <v>738.66666666666663</v>
      </c>
      <c r="M3640" s="26">
        <v>1108</v>
      </c>
      <c r="O3640" s="22" t="s">
        <v>3238</v>
      </c>
      <c r="P3640" s="22" t="s">
        <v>2755</v>
      </c>
      <c r="Q3640" s="22" t="s">
        <v>2756</v>
      </c>
      <c r="R3640" s="22" t="s">
        <v>3239</v>
      </c>
      <c r="S3640" s="22" t="s">
        <v>3240</v>
      </c>
      <c r="T3640" s="22">
        <v>6.9</v>
      </c>
      <c r="U3640" s="22">
        <v>0.4</v>
      </c>
      <c r="X3640" s="26"/>
      <c r="Y3640" s="26"/>
    </row>
    <row r="3641" spans="1:25" ht="50" x14ac:dyDescent="0.25">
      <c r="A3641" s="21">
        <v>4350</v>
      </c>
      <c r="B3641" s="22" t="s">
        <v>15335</v>
      </c>
      <c r="C3641" s="22" t="s">
        <v>3241</v>
      </c>
      <c r="E3641" s="24">
        <v>2000</v>
      </c>
      <c r="F3641" s="22">
        <v>15280</v>
      </c>
      <c r="G3641" s="23" t="s">
        <v>3242</v>
      </c>
      <c r="H3641" s="25" t="s">
        <v>15373</v>
      </c>
      <c r="I3641" s="22" t="s">
        <v>15709</v>
      </c>
      <c r="J3641" s="22" t="s">
        <v>3243</v>
      </c>
      <c r="K3641" s="26">
        <f t="shared" si="56"/>
        <v>438</v>
      </c>
      <c r="M3641" s="26">
        <v>657</v>
      </c>
      <c r="O3641" s="22" t="s">
        <v>3244</v>
      </c>
      <c r="P3641" s="22" t="s">
        <v>2772</v>
      </c>
      <c r="Q3641" s="22" t="s">
        <v>2773</v>
      </c>
      <c r="R3641" s="22" t="s">
        <v>3902</v>
      </c>
      <c r="S3641" s="22" t="s">
        <v>3245</v>
      </c>
      <c r="T3641" s="22">
        <v>6.9</v>
      </c>
      <c r="U3641" s="22">
        <v>0.4</v>
      </c>
      <c r="X3641" s="26"/>
      <c r="Y3641" s="26"/>
    </row>
    <row r="3642" spans="1:25" ht="37.5" x14ac:dyDescent="0.25">
      <c r="A3642" s="21">
        <v>4351</v>
      </c>
      <c r="B3642" s="22" t="s">
        <v>15335</v>
      </c>
      <c r="C3642" s="22" t="s">
        <v>3246</v>
      </c>
      <c r="E3642" s="24">
        <v>1999</v>
      </c>
      <c r="F3642" s="22">
        <v>13865</v>
      </c>
      <c r="G3642" s="23" t="s">
        <v>3247</v>
      </c>
      <c r="H3642" s="25" t="s">
        <v>15373</v>
      </c>
      <c r="I3642" s="22" t="s">
        <v>15411</v>
      </c>
      <c r="J3642" s="22" t="s">
        <v>15451</v>
      </c>
      <c r="K3642" s="26">
        <f t="shared" si="56"/>
        <v>481.33333333333331</v>
      </c>
      <c r="M3642" s="26">
        <v>722</v>
      </c>
      <c r="O3642" s="22" t="s">
        <v>3248</v>
      </c>
      <c r="P3642" s="22" t="s">
        <v>2741</v>
      </c>
      <c r="Q3642" s="22" t="s">
        <v>3861</v>
      </c>
      <c r="R3642" s="22" t="s">
        <v>3249</v>
      </c>
      <c r="S3642" s="22" t="s">
        <v>3250</v>
      </c>
      <c r="T3642" s="22">
        <v>6.9</v>
      </c>
      <c r="U3642" s="22">
        <v>0.4</v>
      </c>
      <c r="X3642" s="26"/>
      <c r="Y3642" s="26"/>
    </row>
    <row r="3643" spans="1:25" ht="37.5" x14ac:dyDescent="0.25">
      <c r="A3643" s="21">
        <v>4352</v>
      </c>
      <c r="B3643" s="22" t="s">
        <v>15335</v>
      </c>
      <c r="C3643" s="22" t="s">
        <v>3246</v>
      </c>
      <c r="E3643" s="24">
        <v>1999</v>
      </c>
      <c r="F3643" s="22">
        <v>13866</v>
      </c>
      <c r="G3643" s="23" t="s">
        <v>3251</v>
      </c>
      <c r="H3643" s="25" t="s">
        <v>15373</v>
      </c>
      <c r="I3643" s="22" t="s">
        <v>15411</v>
      </c>
      <c r="J3643" s="22" t="s">
        <v>15451</v>
      </c>
      <c r="K3643" s="26">
        <f t="shared" si="56"/>
        <v>481.33333333333331</v>
      </c>
      <c r="M3643" s="26">
        <v>722</v>
      </c>
      <c r="O3643" s="22" t="s">
        <v>3248</v>
      </c>
      <c r="P3643" s="22" t="s">
        <v>2741</v>
      </c>
      <c r="Q3643" s="22" t="s">
        <v>3861</v>
      </c>
      <c r="R3643" s="22" t="s">
        <v>3249</v>
      </c>
      <c r="S3643" s="22" t="s">
        <v>3250</v>
      </c>
      <c r="T3643" s="22">
        <v>6.9</v>
      </c>
      <c r="U3643" s="22">
        <v>0.4</v>
      </c>
      <c r="X3643" s="26"/>
      <c r="Y3643" s="26"/>
    </row>
    <row r="3644" spans="1:25" ht="37.5" x14ac:dyDescent="0.25">
      <c r="A3644" s="21">
        <v>4353</v>
      </c>
      <c r="B3644" s="22" t="s">
        <v>15335</v>
      </c>
      <c r="C3644" s="22" t="s">
        <v>3252</v>
      </c>
      <c r="E3644" s="24">
        <v>1995</v>
      </c>
      <c r="F3644" s="22">
        <v>12151</v>
      </c>
      <c r="G3644" s="23" t="s">
        <v>3253</v>
      </c>
      <c r="H3644" s="25" t="s">
        <v>15373</v>
      </c>
      <c r="I3644" s="22" t="s">
        <v>15411</v>
      </c>
      <c r="J3644" s="22" t="s">
        <v>16437</v>
      </c>
      <c r="K3644" s="26">
        <f t="shared" si="56"/>
        <v>1516.6666666666665</v>
      </c>
      <c r="M3644" s="26">
        <v>2275</v>
      </c>
      <c r="O3644" s="22" t="s">
        <v>3254</v>
      </c>
      <c r="P3644" s="22" t="s">
        <v>2755</v>
      </c>
      <c r="Q3644" s="22" t="s">
        <v>2756</v>
      </c>
      <c r="R3644" s="22" t="s">
        <v>3255</v>
      </c>
      <c r="S3644" s="22" t="s">
        <v>3256</v>
      </c>
      <c r="T3644" s="22">
        <v>8.17</v>
      </c>
      <c r="U3644" s="22">
        <v>0.38</v>
      </c>
      <c r="X3644" s="26"/>
      <c r="Y3644" s="26"/>
    </row>
    <row r="3645" spans="1:25" ht="37.5" x14ac:dyDescent="0.25">
      <c r="A3645" s="21">
        <v>4354</v>
      </c>
      <c r="B3645" s="22" t="s">
        <v>15335</v>
      </c>
      <c r="C3645" s="22" t="s">
        <v>3257</v>
      </c>
      <c r="E3645" s="24">
        <v>1993</v>
      </c>
      <c r="F3645" s="22">
        <v>16281</v>
      </c>
      <c r="G3645" s="23" t="s">
        <v>3258</v>
      </c>
      <c r="H3645" s="25" t="s">
        <v>15373</v>
      </c>
      <c r="I3645" s="22" t="s">
        <v>15374</v>
      </c>
      <c r="J3645" s="22" t="s">
        <v>15191</v>
      </c>
      <c r="K3645" s="26">
        <f t="shared" si="56"/>
        <v>728.66666666666663</v>
      </c>
      <c r="M3645" s="26">
        <v>1093</v>
      </c>
      <c r="O3645" s="22" t="s">
        <v>3259</v>
      </c>
      <c r="P3645" s="22" t="s">
        <v>2755</v>
      </c>
      <c r="Q3645" s="22" t="s">
        <v>2756</v>
      </c>
      <c r="R3645" s="22" t="s">
        <v>3260</v>
      </c>
      <c r="S3645" s="22" t="s">
        <v>3261</v>
      </c>
      <c r="T3645" s="22">
        <v>8.17</v>
      </c>
      <c r="U3645" s="22">
        <v>0.38</v>
      </c>
      <c r="X3645" s="26"/>
      <c r="Y3645" s="26"/>
    </row>
    <row r="3646" spans="1:25" ht="37.5" x14ac:dyDescent="0.25">
      <c r="A3646" s="21">
        <v>4355</v>
      </c>
      <c r="B3646" s="22" t="s">
        <v>15335</v>
      </c>
      <c r="C3646" s="22" t="s">
        <v>3262</v>
      </c>
      <c r="E3646" s="24">
        <v>1994</v>
      </c>
      <c r="F3646" s="22">
        <v>11374</v>
      </c>
      <c r="G3646" s="23" t="s">
        <v>3263</v>
      </c>
      <c r="H3646" s="25" t="s">
        <v>15373</v>
      </c>
      <c r="I3646" s="22" t="s">
        <v>15374</v>
      </c>
      <c r="J3646" s="22" t="s">
        <v>15191</v>
      </c>
      <c r="K3646" s="26">
        <f t="shared" si="56"/>
        <v>728.66666666666663</v>
      </c>
      <c r="N3646" s="26">
        <v>1093</v>
      </c>
      <c r="O3646" s="22" t="s">
        <v>3264</v>
      </c>
      <c r="P3646" s="22" t="s">
        <v>2755</v>
      </c>
      <c r="Q3646" s="22" t="s">
        <v>2756</v>
      </c>
      <c r="R3646" s="22" t="s">
        <v>3265</v>
      </c>
      <c r="S3646" s="22" t="s">
        <v>3266</v>
      </c>
      <c r="T3646" s="22">
        <v>8.17</v>
      </c>
      <c r="U3646" s="22">
        <v>0.38</v>
      </c>
      <c r="X3646" s="26"/>
      <c r="Y3646" s="26"/>
    </row>
    <row r="3647" spans="1:25" ht="37.5" x14ac:dyDescent="0.25">
      <c r="A3647" s="21">
        <v>4356</v>
      </c>
      <c r="B3647" s="22" t="s">
        <v>15335</v>
      </c>
      <c r="C3647" s="22" t="s">
        <v>3262</v>
      </c>
      <c r="E3647" s="24">
        <v>1995</v>
      </c>
      <c r="F3647" s="22">
        <v>11857</v>
      </c>
      <c r="G3647" s="23" t="s">
        <v>3267</v>
      </c>
      <c r="H3647" s="25" t="s">
        <v>15373</v>
      </c>
      <c r="I3647" s="22" t="s">
        <v>15374</v>
      </c>
      <c r="J3647" s="22">
        <v>3412</v>
      </c>
      <c r="K3647" s="26">
        <f t="shared" si="56"/>
        <v>738.66666666666663</v>
      </c>
      <c r="N3647" s="26">
        <v>1108</v>
      </c>
      <c r="O3647" s="22" t="s">
        <v>3268</v>
      </c>
      <c r="P3647" s="22" t="s">
        <v>2755</v>
      </c>
      <c r="Q3647" s="22" t="s">
        <v>2756</v>
      </c>
      <c r="R3647" s="22" t="s">
        <v>3265</v>
      </c>
      <c r="S3647" s="22" t="s">
        <v>3266</v>
      </c>
      <c r="T3647" s="22">
        <v>8.17</v>
      </c>
      <c r="U3647" s="22">
        <v>0.38</v>
      </c>
      <c r="X3647" s="26"/>
      <c r="Y3647" s="26"/>
    </row>
    <row r="3648" spans="1:25" ht="37.5" x14ac:dyDescent="0.25">
      <c r="A3648" s="21">
        <v>4357</v>
      </c>
      <c r="B3648" s="22" t="s">
        <v>15335</v>
      </c>
      <c r="C3648" s="22" t="s">
        <v>3262</v>
      </c>
      <c r="E3648" s="24">
        <v>1996</v>
      </c>
      <c r="F3648" s="22">
        <v>12170</v>
      </c>
      <c r="G3648" s="23" t="s">
        <v>3269</v>
      </c>
      <c r="H3648" s="25" t="s">
        <v>15373</v>
      </c>
      <c r="I3648" s="22" t="s">
        <v>15374</v>
      </c>
      <c r="J3648" s="22" t="s">
        <v>9707</v>
      </c>
      <c r="K3648" s="26">
        <f t="shared" si="56"/>
        <v>739.33333333333326</v>
      </c>
      <c r="N3648" s="26">
        <v>1109</v>
      </c>
      <c r="O3648" s="22" t="s">
        <v>3270</v>
      </c>
      <c r="P3648" s="22" t="s">
        <v>2755</v>
      </c>
      <c r="Q3648" s="22" t="s">
        <v>2756</v>
      </c>
      <c r="R3648" s="22" t="s">
        <v>3265</v>
      </c>
      <c r="S3648" s="22" t="s">
        <v>3266</v>
      </c>
      <c r="T3648" s="22">
        <v>8.17</v>
      </c>
      <c r="U3648" s="22">
        <v>0.38</v>
      </c>
      <c r="X3648" s="26"/>
      <c r="Y3648" s="26"/>
    </row>
    <row r="3649" spans="1:25" ht="37.5" x14ac:dyDescent="0.25">
      <c r="A3649" s="21">
        <v>4358</v>
      </c>
      <c r="B3649" s="22" t="s">
        <v>15335</v>
      </c>
      <c r="C3649" s="22" t="s">
        <v>3262</v>
      </c>
      <c r="E3649" s="24">
        <v>1998</v>
      </c>
      <c r="F3649" s="22">
        <v>13218</v>
      </c>
      <c r="G3649" s="23" t="s">
        <v>3271</v>
      </c>
      <c r="H3649" s="25" t="s">
        <v>15373</v>
      </c>
      <c r="I3649" s="22" t="s">
        <v>15374</v>
      </c>
      <c r="J3649" s="22">
        <v>3412</v>
      </c>
      <c r="K3649" s="26">
        <f t="shared" si="56"/>
        <v>738.66666666666663</v>
      </c>
      <c r="N3649" s="26">
        <v>1108</v>
      </c>
      <c r="O3649" s="22" t="s">
        <v>3272</v>
      </c>
      <c r="P3649" s="22" t="s">
        <v>2755</v>
      </c>
      <c r="Q3649" s="22" t="s">
        <v>3861</v>
      </c>
      <c r="R3649" s="22" t="s">
        <v>3265</v>
      </c>
      <c r="S3649" s="22" t="s">
        <v>3266</v>
      </c>
      <c r="T3649" s="22">
        <v>8.17</v>
      </c>
      <c r="U3649" s="22">
        <v>0.38</v>
      </c>
      <c r="X3649" s="26"/>
      <c r="Y3649" s="26"/>
    </row>
    <row r="3650" spans="1:25" ht="37.5" x14ac:dyDescent="0.25">
      <c r="A3650" s="21">
        <v>4359</v>
      </c>
      <c r="B3650" s="22" t="s">
        <v>15335</v>
      </c>
      <c r="C3650" s="22" t="s">
        <v>3262</v>
      </c>
      <c r="E3650" s="24">
        <v>1996</v>
      </c>
      <c r="F3650" s="22">
        <v>12171</v>
      </c>
      <c r="G3650" s="23" t="s">
        <v>3273</v>
      </c>
      <c r="H3650" s="25" t="s">
        <v>15373</v>
      </c>
      <c r="I3650" s="22" t="s">
        <v>15374</v>
      </c>
      <c r="J3650" s="22">
        <v>3512</v>
      </c>
      <c r="K3650" s="26">
        <f t="shared" si="56"/>
        <v>1212</v>
      </c>
      <c r="N3650" s="26">
        <v>1818</v>
      </c>
      <c r="O3650" s="22" t="s">
        <v>3270</v>
      </c>
      <c r="P3650" s="22" t="s">
        <v>2755</v>
      </c>
      <c r="Q3650" s="22" t="s">
        <v>2756</v>
      </c>
      <c r="R3650" s="22" t="s">
        <v>3265</v>
      </c>
      <c r="S3650" s="22" t="s">
        <v>3266</v>
      </c>
      <c r="T3650" s="22">
        <v>8.17</v>
      </c>
      <c r="U3650" s="22">
        <v>0.38</v>
      </c>
      <c r="X3650" s="26"/>
      <c r="Y3650" s="26"/>
    </row>
    <row r="3651" spans="1:25" ht="37.5" x14ac:dyDescent="0.25">
      <c r="A3651" s="21">
        <v>4360</v>
      </c>
      <c r="B3651" s="22" t="s">
        <v>15335</v>
      </c>
      <c r="C3651" s="22" t="s">
        <v>3262</v>
      </c>
      <c r="E3651" s="24">
        <v>1998</v>
      </c>
      <c r="F3651" s="22">
        <v>13664</v>
      </c>
      <c r="G3651" s="23" t="s">
        <v>3274</v>
      </c>
      <c r="H3651" s="25" t="s">
        <v>15373</v>
      </c>
      <c r="I3651" s="22" t="s">
        <v>15374</v>
      </c>
      <c r="J3651" s="22">
        <v>3512</v>
      </c>
      <c r="K3651" s="26">
        <f t="shared" si="56"/>
        <v>1212</v>
      </c>
      <c r="N3651" s="26">
        <v>1818</v>
      </c>
      <c r="O3651" s="22" t="s">
        <v>3275</v>
      </c>
      <c r="P3651" s="22" t="s">
        <v>2755</v>
      </c>
      <c r="Q3651" s="22" t="s">
        <v>2756</v>
      </c>
      <c r="R3651" s="22" t="s">
        <v>3265</v>
      </c>
      <c r="S3651" s="22" t="s">
        <v>3266</v>
      </c>
      <c r="T3651" s="22">
        <v>8.17</v>
      </c>
      <c r="U3651" s="22">
        <v>0.38</v>
      </c>
      <c r="X3651" s="26"/>
      <c r="Y3651" s="26"/>
    </row>
    <row r="3652" spans="1:25" ht="25" x14ac:dyDescent="0.25">
      <c r="A3652" s="21">
        <v>4362</v>
      </c>
      <c r="B3652" s="22" t="s">
        <v>15335</v>
      </c>
      <c r="C3652" s="22" t="s">
        <v>3276</v>
      </c>
      <c r="E3652" s="24">
        <v>1998</v>
      </c>
      <c r="F3652" s="22">
        <v>10290</v>
      </c>
      <c r="G3652" s="23" t="s">
        <v>3277</v>
      </c>
      <c r="H3652" s="25" t="s">
        <v>15373</v>
      </c>
      <c r="I3652" s="22" t="s">
        <v>15374</v>
      </c>
      <c r="J3652" s="22" t="s">
        <v>15441</v>
      </c>
      <c r="K3652" s="26">
        <f t="shared" si="56"/>
        <v>499.33333333333331</v>
      </c>
      <c r="M3652" s="26">
        <v>749</v>
      </c>
      <c r="O3652" s="22" t="s">
        <v>3278</v>
      </c>
      <c r="P3652" s="22" t="s">
        <v>3811</v>
      </c>
      <c r="Q3652" s="22" t="s">
        <v>3205</v>
      </c>
      <c r="R3652" s="22" t="s">
        <v>3279</v>
      </c>
      <c r="S3652" s="22" t="s">
        <v>3280</v>
      </c>
      <c r="T3652" s="22">
        <v>6.9</v>
      </c>
      <c r="U3652" s="22">
        <v>0.4</v>
      </c>
      <c r="X3652" s="26"/>
      <c r="Y3652" s="26"/>
    </row>
    <row r="3653" spans="1:25" ht="37.5" x14ac:dyDescent="0.25">
      <c r="A3653" s="21">
        <v>4363</v>
      </c>
      <c r="B3653" s="22" t="s">
        <v>15335</v>
      </c>
      <c r="C3653" s="22" t="s">
        <v>3281</v>
      </c>
      <c r="E3653" s="24">
        <v>1999</v>
      </c>
      <c r="F3653" s="22">
        <v>13661</v>
      </c>
      <c r="G3653" s="23" t="s">
        <v>3282</v>
      </c>
      <c r="H3653" s="25" t="s">
        <v>15373</v>
      </c>
      <c r="I3653" s="22" t="s">
        <v>15374</v>
      </c>
      <c r="J3653" s="22" t="s">
        <v>16869</v>
      </c>
      <c r="K3653" s="26">
        <f t="shared" si="56"/>
        <v>739.33333333333326</v>
      </c>
      <c r="M3653" s="26">
        <v>1109</v>
      </c>
      <c r="O3653" s="22" t="s">
        <v>3283</v>
      </c>
      <c r="P3653" s="22" t="s">
        <v>2741</v>
      </c>
      <c r="Q3653" s="22" t="s">
        <v>3181</v>
      </c>
      <c r="R3653" s="22" t="s">
        <v>3284</v>
      </c>
      <c r="S3653" s="22" t="s">
        <v>3285</v>
      </c>
      <c r="T3653" s="22">
        <v>8.17</v>
      </c>
      <c r="U3653" s="22">
        <v>0.38</v>
      </c>
      <c r="X3653" s="26"/>
      <c r="Y3653" s="26"/>
    </row>
    <row r="3654" spans="1:25" ht="37.5" x14ac:dyDescent="0.25">
      <c r="A3654" s="21">
        <v>4364</v>
      </c>
      <c r="B3654" s="22" t="s">
        <v>15335</v>
      </c>
      <c r="C3654" s="22" t="s">
        <v>2977</v>
      </c>
      <c r="E3654" s="24">
        <v>1998</v>
      </c>
      <c r="F3654" s="22">
        <v>13841</v>
      </c>
      <c r="G3654" s="23" t="s">
        <v>3286</v>
      </c>
      <c r="H3654" s="25" t="s">
        <v>15373</v>
      </c>
      <c r="I3654" s="22" t="s">
        <v>15374</v>
      </c>
      <c r="J3654" s="22">
        <v>3516</v>
      </c>
      <c r="K3654" s="26">
        <f t="shared" si="56"/>
        <v>1458</v>
      </c>
      <c r="M3654" s="26">
        <v>2187</v>
      </c>
      <c r="O3654" s="22" t="s">
        <v>2980</v>
      </c>
      <c r="P3654" s="22" t="s">
        <v>2741</v>
      </c>
      <c r="Q3654" s="22" t="s">
        <v>3872</v>
      </c>
      <c r="R3654" s="22" t="s">
        <v>2981</v>
      </c>
      <c r="S3654" s="22" t="s">
        <v>2982</v>
      </c>
      <c r="T3654" s="22">
        <v>8.17</v>
      </c>
      <c r="U3654" s="22">
        <v>0.38</v>
      </c>
      <c r="X3654" s="26"/>
      <c r="Y3654" s="26"/>
    </row>
    <row r="3655" spans="1:25" ht="37.5" x14ac:dyDescent="0.25">
      <c r="A3655" s="21">
        <v>4365</v>
      </c>
      <c r="B3655" s="22" t="s">
        <v>15335</v>
      </c>
      <c r="C3655" s="22" t="s">
        <v>3287</v>
      </c>
      <c r="E3655" s="24">
        <v>2000</v>
      </c>
      <c r="F3655" s="22">
        <v>15229</v>
      </c>
      <c r="G3655" s="23" t="s">
        <v>3288</v>
      </c>
      <c r="H3655" s="25" t="s">
        <v>15373</v>
      </c>
      <c r="I3655" s="22" t="s">
        <v>15382</v>
      </c>
      <c r="J3655" s="22" t="s">
        <v>16811</v>
      </c>
      <c r="K3655" s="26">
        <f t="shared" si="56"/>
        <v>356.66666666666663</v>
      </c>
      <c r="M3655" s="26">
        <v>535</v>
      </c>
      <c r="O3655" s="22" t="s">
        <v>3289</v>
      </c>
      <c r="P3655" s="22" t="s">
        <v>2926</v>
      </c>
      <c r="Q3655" s="22" t="s">
        <v>3003</v>
      </c>
      <c r="T3655" s="22">
        <v>6.9</v>
      </c>
      <c r="U3655" s="22">
        <v>0.4</v>
      </c>
      <c r="X3655" s="26"/>
      <c r="Y3655" s="26"/>
    </row>
    <row r="3656" spans="1:25" ht="37.5" x14ac:dyDescent="0.25">
      <c r="A3656" s="21">
        <v>4366</v>
      </c>
      <c r="B3656" s="22" t="s">
        <v>15335</v>
      </c>
      <c r="C3656" s="22" t="s">
        <v>3287</v>
      </c>
      <c r="E3656" s="24">
        <v>1999</v>
      </c>
      <c r="F3656" s="22">
        <v>14490</v>
      </c>
      <c r="G3656" s="23" t="s">
        <v>3290</v>
      </c>
      <c r="H3656" s="25" t="s">
        <v>15373</v>
      </c>
      <c r="I3656" s="22" t="s">
        <v>15374</v>
      </c>
      <c r="J3656" s="22">
        <v>3516</v>
      </c>
      <c r="K3656" s="26">
        <f t="shared" si="56"/>
        <v>1445.3333333333333</v>
      </c>
      <c r="M3656" s="26">
        <v>2168</v>
      </c>
      <c r="O3656" s="22" t="s">
        <v>3291</v>
      </c>
      <c r="P3656" s="22" t="s">
        <v>2741</v>
      </c>
      <c r="Q3656" s="22" t="s">
        <v>2916</v>
      </c>
      <c r="R3656" s="22" t="s">
        <v>3292</v>
      </c>
      <c r="S3656" s="22" t="s">
        <v>3293</v>
      </c>
      <c r="T3656" s="22">
        <v>8.17</v>
      </c>
      <c r="U3656" s="22">
        <v>0.38</v>
      </c>
      <c r="X3656" s="26"/>
      <c r="Y3656" s="26"/>
    </row>
    <row r="3657" spans="1:25" ht="50" x14ac:dyDescent="0.25">
      <c r="A3657" s="21">
        <v>4367</v>
      </c>
      <c r="B3657" s="22" t="s">
        <v>15335</v>
      </c>
      <c r="C3657" s="22" t="s">
        <v>3294</v>
      </c>
      <c r="E3657" s="24">
        <v>2001</v>
      </c>
      <c r="F3657" s="22">
        <v>15380</v>
      </c>
      <c r="G3657" s="23" t="s">
        <v>3295</v>
      </c>
      <c r="H3657" s="25" t="s">
        <v>15373</v>
      </c>
      <c r="I3657" s="22" t="s">
        <v>15382</v>
      </c>
      <c r="J3657" s="22" t="s">
        <v>16450</v>
      </c>
      <c r="K3657" s="26">
        <f t="shared" si="56"/>
        <v>993.33333333333326</v>
      </c>
      <c r="M3657" s="26">
        <v>1490</v>
      </c>
      <c r="O3657" s="22" t="s">
        <v>3296</v>
      </c>
      <c r="P3657" s="22" t="s">
        <v>2741</v>
      </c>
      <c r="Q3657" s="22">
        <v>95814</v>
      </c>
      <c r="R3657" s="22" t="s">
        <v>3297</v>
      </c>
      <c r="S3657" s="22" t="s">
        <v>3298</v>
      </c>
      <c r="T3657" s="22">
        <v>6.9</v>
      </c>
      <c r="U3657" s="22">
        <v>0.4</v>
      </c>
      <c r="X3657" s="26"/>
      <c r="Y3657" s="26"/>
    </row>
    <row r="3658" spans="1:25" ht="25" x14ac:dyDescent="0.25">
      <c r="A3658" s="21">
        <v>4368</v>
      </c>
      <c r="B3658" s="22" t="s">
        <v>15335</v>
      </c>
      <c r="C3658" s="22" t="s">
        <v>3299</v>
      </c>
      <c r="E3658" s="24">
        <v>1998</v>
      </c>
      <c r="F3658" s="22">
        <v>13335</v>
      </c>
      <c r="G3658" s="23" t="s">
        <v>3300</v>
      </c>
      <c r="H3658" s="25" t="s">
        <v>15373</v>
      </c>
      <c r="I3658" s="22" t="s">
        <v>15382</v>
      </c>
      <c r="J3658" s="22" t="s">
        <v>3301</v>
      </c>
      <c r="K3658" s="26">
        <f t="shared" si="56"/>
        <v>310</v>
      </c>
      <c r="M3658" s="26">
        <v>465</v>
      </c>
      <c r="O3658" s="22" t="s">
        <v>3302</v>
      </c>
      <c r="P3658" s="22" t="s">
        <v>2772</v>
      </c>
      <c r="Q3658" s="22" t="s">
        <v>2773</v>
      </c>
      <c r="R3658" s="22" t="s">
        <v>3303</v>
      </c>
      <c r="S3658" s="22" t="s">
        <v>3304</v>
      </c>
      <c r="T3658" s="22">
        <v>6.9</v>
      </c>
      <c r="U3658" s="22">
        <v>0.4</v>
      </c>
      <c r="X3658" s="26"/>
      <c r="Y3658" s="26"/>
    </row>
    <row r="3659" spans="1:25" ht="25" x14ac:dyDescent="0.25">
      <c r="A3659" s="21">
        <v>4369</v>
      </c>
      <c r="B3659" s="22" t="s">
        <v>15335</v>
      </c>
      <c r="C3659" s="22" t="s">
        <v>3299</v>
      </c>
      <c r="E3659" s="24">
        <v>1985</v>
      </c>
      <c r="F3659" s="22">
        <v>8226</v>
      </c>
      <c r="G3659" s="23" t="s">
        <v>2103</v>
      </c>
      <c r="H3659" s="25" t="s">
        <v>15373</v>
      </c>
      <c r="I3659" s="22" t="s">
        <v>15382</v>
      </c>
      <c r="J3659" s="22" t="s">
        <v>10076</v>
      </c>
      <c r="K3659" s="26">
        <f t="shared" si="56"/>
        <v>400</v>
      </c>
      <c r="M3659" s="26">
        <v>600</v>
      </c>
      <c r="O3659" s="22" t="s">
        <v>2104</v>
      </c>
      <c r="P3659" s="22" t="s">
        <v>2772</v>
      </c>
      <c r="Q3659" s="22" t="s">
        <v>2773</v>
      </c>
      <c r="R3659" s="22" t="s">
        <v>3303</v>
      </c>
      <c r="S3659" s="22" t="s">
        <v>3304</v>
      </c>
      <c r="T3659" s="22">
        <v>11</v>
      </c>
      <c r="U3659" s="22">
        <v>0.53</v>
      </c>
      <c r="X3659" s="26"/>
      <c r="Y3659" s="26"/>
    </row>
    <row r="3660" spans="1:25" ht="25" x14ac:dyDescent="0.25">
      <c r="A3660" s="21">
        <v>4370</v>
      </c>
      <c r="B3660" s="22" t="s">
        <v>15335</v>
      </c>
      <c r="C3660" s="22" t="s">
        <v>3299</v>
      </c>
      <c r="E3660" s="24">
        <v>1995</v>
      </c>
      <c r="F3660" s="22">
        <v>11669</v>
      </c>
      <c r="G3660" s="23" t="s">
        <v>2105</v>
      </c>
      <c r="H3660" s="25" t="s">
        <v>15373</v>
      </c>
      <c r="I3660" s="22" t="s">
        <v>15382</v>
      </c>
      <c r="J3660" s="22" t="s">
        <v>16861</v>
      </c>
      <c r="K3660" s="26">
        <f t="shared" si="56"/>
        <v>400</v>
      </c>
      <c r="M3660" s="26">
        <v>600</v>
      </c>
      <c r="O3660" s="22" t="s">
        <v>2104</v>
      </c>
      <c r="P3660" s="22" t="s">
        <v>2772</v>
      </c>
      <c r="Q3660" s="22" t="s">
        <v>2773</v>
      </c>
      <c r="R3660" s="22" t="s">
        <v>3303</v>
      </c>
      <c r="S3660" s="22" t="s">
        <v>3304</v>
      </c>
      <c r="T3660" s="22">
        <v>8.17</v>
      </c>
      <c r="U3660" s="22">
        <v>0.38</v>
      </c>
      <c r="X3660" s="26"/>
      <c r="Y3660" s="26"/>
    </row>
    <row r="3661" spans="1:25" ht="25" x14ac:dyDescent="0.25">
      <c r="A3661" s="21">
        <v>4371</v>
      </c>
      <c r="B3661" s="22" t="s">
        <v>15335</v>
      </c>
      <c r="C3661" s="22" t="s">
        <v>3299</v>
      </c>
      <c r="E3661" s="24">
        <v>1998</v>
      </c>
      <c r="F3661" s="22">
        <v>13333</v>
      </c>
      <c r="G3661" s="23" t="s">
        <v>2106</v>
      </c>
      <c r="H3661" s="25" t="s">
        <v>15373</v>
      </c>
      <c r="I3661" s="22" t="s">
        <v>15382</v>
      </c>
      <c r="J3661" s="22" t="s">
        <v>15640</v>
      </c>
      <c r="K3661" s="26">
        <f t="shared" si="56"/>
        <v>993.33333333333326</v>
      </c>
      <c r="M3661" s="26">
        <v>1490</v>
      </c>
      <c r="O3661" s="22" t="s">
        <v>3302</v>
      </c>
      <c r="P3661" s="22" t="s">
        <v>2772</v>
      </c>
      <c r="Q3661" s="22" t="s">
        <v>2773</v>
      </c>
      <c r="R3661" s="22" t="s">
        <v>3303</v>
      </c>
      <c r="S3661" s="22" t="s">
        <v>3304</v>
      </c>
      <c r="T3661" s="22">
        <v>8.17</v>
      </c>
      <c r="U3661" s="22">
        <v>0.38</v>
      </c>
      <c r="X3661" s="26"/>
      <c r="Y3661" s="26"/>
    </row>
    <row r="3662" spans="1:25" ht="25" x14ac:dyDescent="0.25">
      <c r="A3662" s="21">
        <v>4372</v>
      </c>
      <c r="B3662" s="22" t="s">
        <v>15335</v>
      </c>
      <c r="C3662" s="22" t="s">
        <v>3299</v>
      </c>
      <c r="E3662" s="24">
        <v>1998</v>
      </c>
      <c r="F3662" s="22">
        <v>13334</v>
      </c>
      <c r="G3662" s="23" t="s">
        <v>2107</v>
      </c>
      <c r="H3662" s="25" t="s">
        <v>15373</v>
      </c>
      <c r="I3662" s="22" t="s">
        <v>15382</v>
      </c>
      <c r="J3662" s="22" t="s">
        <v>15640</v>
      </c>
      <c r="K3662" s="26">
        <f t="shared" si="56"/>
        <v>993.33333333333326</v>
      </c>
      <c r="M3662" s="26">
        <v>1490</v>
      </c>
      <c r="O3662" s="22" t="s">
        <v>3302</v>
      </c>
      <c r="P3662" s="22" t="s">
        <v>2772</v>
      </c>
      <c r="Q3662" s="22" t="s">
        <v>2773</v>
      </c>
      <c r="R3662" s="22" t="s">
        <v>3303</v>
      </c>
      <c r="S3662" s="22" t="s">
        <v>3304</v>
      </c>
      <c r="T3662" s="22">
        <v>8.17</v>
      </c>
      <c r="U3662" s="22">
        <v>0.38</v>
      </c>
      <c r="X3662" s="26"/>
      <c r="Y3662" s="26"/>
    </row>
    <row r="3663" spans="1:25" ht="25" x14ac:dyDescent="0.25">
      <c r="A3663" s="21">
        <v>4373</v>
      </c>
      <c r="B3663" s="22" t="s">
        <v>15335</v>
      </c>
      <c r="C3663" s="22" t="s">
        <v>3299</v>
      </c>
      <c r="E3663" s="24">
        <v>1992</v>
      </c>
      <c r="F3663" s="22">
        <v>9754</v>
      </c>
      <c r="G3663" s="23" t="s">
        <v>2108</v>
      </c>
      <c r="H3663" s="25" t="s">
        <v>15373</v>
      </c>
      <c r="I3663" s="22" t="s">
        <v>15374</v>
      </c>
      <c r="J3663" s="22">
        <v>3516</v>
      </c>
      <c r="K3663" s="26">
        <f t="shared" si="56"/>
        <v>1445.3333333333333</v>
      </c>
      <c r="M3663" s="26">
        <v>2168</v>
      </c>
      <c r="O3663" s="22" t="s">
        <v>2104</v>
      </c>
      <c r="P3663" s="22" t="s">
        <v>2772</v>
      </c>
      <c r="Q3663" s="22" t="s">
        <v>2773</v>
      </c>
      <c r="R3663" s="22" t="s">
        <v>3303</v>
      </c>
      <c r="S3663" s="22" t="s">
        <v>3304</v>
      </c>
      <c r="T3663" s="22">
        <v>8.17</v>
      </c>
      <c r="U3663" s="22">
        <v>0.38</v>
      </c>
      <c r="X3663" s="26"/>
      <c r="Y3663" s="26"/>
    </row>
    <row r="3664" spans="1:25" ht="25" x14ac:dyDescent="0.25">
      <c r="A3664" s="21">
        <v>4374</v>
      </c>
      <c r="B3664" s="22" t="s">
        <v>15335</v>
      </c>
      <c r="C3664" s="22" t="s">
        <v>3299</v>
      </c>
      <c r="E3664" s="24">
        <v>1992</v>
      </c>
      <c r="F3664" s="22">
        <v>9755</v>
      </c>
      <c r="G3664" s="23" t="s">
        <v>2109</v>
      </c>
      <c r="H3664" s="25" t="s">
        <v>15373</v>
      </c>
      <c r="I3664" s="22" t="s">
        <v>15374</v>
      </c>
      <c r="J3664" s="22">
        <v>3516</v>
      </c>
      <c r="K3664" s="26">
        <f t="shared" si="56"/>
        <v>1445.3333333333333</v>
      </c>
      <c r="M3664" s="26">
        <v>2168</v>
      </c>
      <c r="O3664" s="22" t="s">
        <v>2104</v>
      </c>
      <c r="P3664" s="22" t="s">
        <v>2772</v>
      </c>
      <c r="Q3664" s="22" t="s">
        <v>2773</v>
      </c>
      <c r="R3664" s="22" t="s">
        <v>3303</v>
      </c>
      <c r="S3664" s="22" t="s">
        <v>3304</v>
      </c>
      <c r="T3664" s="22">
        <v>8.17</v>
      </c>
      <c r="U3664" s="22">
        <v>0.38</v>
      </c>
      <c r="X3664" s="26"/>
      <c r="Y3664" s="26"/>
    </row>
    <row r="3665" spans="1:25" ht="25" x14ac:dyDescent="0.25">
      <c r="A3665" s="21">
        <v>4375</v>
      </c>
      <c r="B3665" s="22" t="s">
        <v>15335</v>
      </c>
      <c r="C3665" s="22" t="s">
        <v>3299</v>
      </c>
      <c r="E3665" s="24">
        <v>1992</v>
      </c>
      <c r="F3665" s="22">
        <v>9756</v>
      </c>
      <c r="G3665" s="23" t="s">
        <v>2110</v>
      </c>
      <c r="H3665" s="25" t="s">
        <v>15373</v>
      </c>
      <c r="I3665" s="22" t="s">
        <v>15374</v>
      </c>
      <c r="J3665" s="22">
        <v>3516</v>
      </c>
      <c r="K3665" s="26">
        <f t="shared" si="56"/>
        <v>1445.3333333333333</v>
      </c>
      <c r="M3665" s="26">
        <v>2168</v>
      </c>
      <c r="O3665" s="22" t="s">
        <v>2104</v>
      </c>
      <c r="P3665" s="22" t="s">
        <v>2772</v>
      </c>
      <c r="Q3665" s="22" t="s">
        <v>2773</v>
      </c>
      <c r="R3665" s="22" t="s">
        <v>3303</v>
      </c>
      <c r="S3665" s="22" t="s">
        <v>3304</v>
      </c>
      <c r="T3665" s="22">
        <v>8.17</v>
      </c>
      <c r="U3665" s="22">
        <v>0.38</v>
      </c>
      <c r="X3665" s="26"/>
      <c r="Y3665" s="26"/>
    </row>
    <row r="3666" spans="1:25" ht="37.5" x14ac:dyDescent="0.25">
      <c r="A3666" s="21">
        <v>4376</v>
      </c>
      <c r="B3666" s="22" t="s">
        <v>15335</v>
      </c>
      <c r="C3666" s="22" t="s">
        <v>2111</v>
      </c>
      <c r="E3666" s="24">
        <v>1999</v>
      </c>
      <c r="F3666" s="22">
        <v>13971</v>
      </c>
      <c r="G3666" s="23" t="s">
        <v>2112</v>
      </c>
      <c r="H3666" s="25" t="s">
        <v>15373</v>
      </c>
      <c r="I3666" s="22" t="s">
        <v>15382</v>
      </c>
      <c r="J3666" s="22" t="s">
        <v>15640</v>
      </c>
      <c r="K3666" s="26">
        <f t="shared" si="56"/>
        <v>993.33333333333326</v>
      </c>
      <c r="N3666" s="26">
        <v>1490</v>
      </c>
      <c r="O3666" s="22" t="s">
        <v>2113</v>
      </c>
      <c r="P3666" s="22" t="s">
        <v>2755</v>
      </c>
      <c r="Q3666" s="22" t="s">
        <v>3838</v>
      </c>
      <c r="R3666" s="22" t="s">
        <v>2114</v>
      </c>
      <c r="S3666" s="22" t="s">
        <v>2115</v>
      </c>
      <c r="T3666" s="22">
        <v>8.17</v>
      </c>
      <c r="U3666" s="22">
        <v>0.38</v>
      </c>
      <c r="X3666" s="26"/>
      <c r="Y3666" s="26"/>
    </row>
    <row r="3667" spans="1:25" ht="37.5" x14ac:dyDescent="0.25">
      <c r="A3667" s="21">
        <v>4377</v>
      </c>
      <c r="B3667" s="22" t="s">
        <v>15335</v>
      </c>
      <c r="C3667" s="22" t="s">
        <v>2111</v>
      </c>
      <c r="E3667" s="24">
        <v>1999</v>
      </c>
      <c r="F3667" s="22">
        <v>13972</v>
      </c>
      <c r="G3667" s="23" t="s">
        <v>2116</v>
      </c>
      <c r="H3667" s="25" t="s">
        <v>15373</v>
      </c>
      <c r="I3667" s="22" t="s">
        <v>15382</v>
      </c>
      <c r="J3667" s="22" t="s">
        <v>15640</v>
      </c>
      <c r="K3667" s="26">
        <f t="shared" si="56"/>
        <v>993.33333333333326</v>
      </c>
      <c r="N3667" s="26">
        <v>1490</v>
      </c>
      <c r="O3667" s="22" t="s">
        <v>2113</v>
      </c>
      <c r="P3667" s="22" t="s">
        <v>2755</v>
      </c>
      <c r="Q3667" s="22" t="s">
        <v>3838</v>
      </c>
      <c r="R3667" s="22" t="s">
        <v>2114</v>
      </c>
      <c r="S3667" s="22" t="s">
        <v>2115</v>
      </c>
      <c r="T3667" s="22">
        <v>8.17</v>
      </c>
      <c r="U3667" s="22">
        <v>0.38</v>
      </c>
      <c r="X3667" s="26"/>
      <c r="Y3667" s="26"/>
    </row>
    <row r="3668" spans="1:25" ht="50" x14ac:dyDescent="0.25">
      <c r="A3668" s="21">
        <v>4378</v>
      </c>
      <c r="B3668" s="22" t="s">
        <v>15335</v>
      </c>
      <c r="C3668" s="22" t="s">
        <v>2991</v>
      </c>
      <c r="E3668" s="24">
        <v>2000</v>
      </c>
      <c r="F3668" s="22">
        <v>14704</v>
      </c>
      <c r="G3668" s="23" t="s">
        <v>2117</v>
      </c>
      <c r="H3668" s="25" t="s">
        <v>15373</v>
      </c>
      <c r="I3668" s="22" t="s">
        <v>15374</v>
      </c>
      <c r="J3668" s="22">
        <v>3406</v>
      </c>
      <c r="K3668" s="26">
        <f t="shared" si="56"/>
        <v>316.66666666666663</v>
      </c>
      <c r="N3668" s="26">
        <v>475</v>
      </c>
      <c r="O3668" s="22" t="s">
        <v>2995</v>
      </c>
      <c r="P3668" s="22" t="s">
        <v>2741</v>
      </c>
      <c r="Q3668" s="22" t="s">
        <v>2996</v>
      </c>
      <c r="R3668" s="22" t="s">
        <v>2997</v>
      </c>
      <c r="S3668" s="22" t="s">
        <v>2998</v>
      </c>
      <c r="T3668" s="22">
        <v>6.9</v>
      </c>
      <c r="U3668" s="22">
        <v>0.4</v>
      </c>
      <c r="X3668" s="26"/>
      <c r="Y3668" s="26"/>
    </row>
    <row r="3669" spans="1:25" ht="37.5" x14ac:dyDescent="0.25">
      <c r="A3669" s="21">
        <v>4379</v>
      </c>
      <c r="B3669" s="22" t="s">
        <v>15335</v>
      </c>
      <c r="C3669" s="22" t="s">
        <v>2991</v>
      </c>
      <c r="E3669" s="24">
        <v>2000</v>
      </c>
      <c r="F3669" s="22">
        <v>14743</v>
      </c>
      <c r="G3669" s="23" t="s">
        <v>2118</v>
      </c>
      <c r="H3669" s="25" t="s">
        <v>15373</v>
      </c>
      <c r="I3669" s="22" t="s">
        <v>15374</v>
      </c>
      <c r="J3669" s="22" t="s">
        <v>15261</v>
      </c>
      <c r="K3669" s="26">
        <f t="shared" si="56"/>
        <v>502.66666666666663</v>
      </c>
      <c r="M3669" s="26">
        <v>754</v>
      </c>
      <c r="O3669" s="22" t="s">
        <v>2119</v>
      </c>
      <c r="P3669" s="22" t="s">
        <v>2741</v>
      </c>
      <c r="Q3669" s="22" t="s">
        <v>3827</v>
      </c>
      <c r="R3669" s="22" t="s">
        <v>2120</v>
      </c>
      <c r="S3669" s="22" t="s">
        <v>2998</v>
      </c>
      <c r="T3669" s="22">
        <v>6.9</v>
      </c>
      <c r="U3669" s="22">
        <v>0.4</v>
      </c>
      <c r="X3669" s="26"/>
      <c r="Y3669" s="26"/>
    </row>
    <row r="3670" spans="1:25" ht="37.5" x14ac:dyDescent="0.25">
      <c r="A3670" s="21">
        <v>4380</v>
      </c>
      <c r="B3670" s="22" t="s">
        <v>15335</v>
      </c>
      <c r="C3670" s="22" t="s">
        <v>6671</v>
      </c>
      <c r="E3670" s="24">
        <v>1997</v>
      </c>
      <c r="F3670" s="22">
        <v>13083</v>
      </c>
      <c r="G3670" s="23" t="s">
        <v>2121</v>
      </c>
      <c r="H3670" s="25" t="s">
        <v>15373</v>
      </c>
      <c r="I3670" s="22" t="s">
        <v>15382</v>
      </c>
      <c r="J3670" s="22" t="s">
        <v>16784</v>
      </c>
      <c r="K3670" s="26">
        <f t="shared" si="56"/>
        <v>503.33333333333331</v>
      </c>
      <c r="N3670" s="26">
        <v>755</v>
      </c>
      <c r="O3670" s="22" t="s">
        <v>2122</v>
      </c>
      <c r="P3670" s="22" t="s">
        <v>2741</v>
      </c>
      <c r="Q3670" s="22" t="s">
        <v>3827</v>
      </c>
      <c r="R3670" s="22" t="s">
        <v>2123</v>
      </c>
      <c r="S3670" s="22" t="s">
        <v>2124</v>
      </c>
      <c r="T3670" s="22">
        <v>8.17</v>
      </c>
      <c r="U3670" s="22">
        <v>0.38</v>
      </c>
      <c r="X3670" s="26"/>
      <c r="Y3670" s="26"/>
    </row>
    <row r="3671" spans="1:25" ht="50" x14ac:dyDescent="0.25">
      <c r="A3671" s="21">
        <v>4381</v>
      </c>
      <c r="B3671" s="22" t="s">
        <v>15335</v>
      </c>
      <c r="C3671" s="22" t="s">
        <v>2125</v>
      </c>
      <c r="E3671" s="24">
        <v>1985</v>
      </c>
      <c r="F3671" s="22">
        <v>7966</v>
      </c>
      <c r="G3671" s="23" t="s">
        <v>2126</v>
      </c>
      <c r="H3671" s="25" t="s">
        <v>15373</v>
      </c>
      <c r="I3671" s="22" t="s">
        <v>15411</v>
      </c>
      <c r="J3671" s="22" t="s">
        <v>12830</v>
      </c>
      <c r="K3671" s="26">
        <f t="shared" si="56"/>
        <v>547.33333333333326</v>
      </c>
      <c r="M3671" s="26">
        <v>821</v>
      </c>
      <c r="O3671" s="22" t="s">
        <v>2127</v>
      </c>
      <c r="P3671" s="22" t="s">
        <v>2741</v>
      </c>
      <c r="Q3671" s="22" t="s">
        <v>2128</v>
      </c>
      <c r="R3671" s="22" t="s">
        <v>2129</v>
      </c>
      <c r="S3671" s="22" t="s">
        <v>2130</v>
      </c>
      <c r="T3671" s="22">
        <v>11</v>
      </c>
      <c r="U3671" s="22">
        <v>0.53</v>
      </c>
      <c r="X3671" s="26"/>
      <c r="Y3671" s="26"/>
    </row>
    <row r="3672" spans="1:25" ht="37.5" x14ac:dyDescent="0.25">
      <c r="A3672" s="21">
        <v>4382</v>
      </c>
      <c r="B3672" s="22" t="s">
        <v>15335</v>
      </c>
      <c r="C3672" s="22" t="s">
        <v>2125</v>
      </c>
      <c r="E3672" s="24">
        <v>1998</v>
      </c>
      <c r="F3672" s="22">
        <v>10390</v>
      </c>
      <c r="G3672" s="23" t="s">
        <v>2131</v>
      </c>
      <c r="H3672" s="25" t="s">
        <v>15373</v>
      </c>
      <c r="I3672" s="22" t="s">
        <v>15382</v>
      </c>
      <c r="J3672" s="22" t="s">
        <v>2132</v>
      </c>
      <c r="K3672" s="26">
        <f t="shared" si="56"/>
        <v>866.66666666666663</v>
      </c>
      <c r="M3672" s="26">
        <v>1300</v>
      </c>
      <c r="O3672" s="22" t="s">
        <v>2133</v>
      </c>
      <c r="P3672" s="22" t="s">
        <v>2741</v>
      </c>
      <c r="Q3672" s="22" t="s">
        <v>3812</v>
      </c>
      <c r="R3672" s="22" t="s">
        <v>2134</v>
      </c>
      <c r="S3672" s="22" t="s">
        <v>2130</v>
      </c>
      <c r="T3672" s="22">
        <v>8.17</v>
      </c>
      <c r="U3672" s="22">
        <v>0.38</v>
      </c>
      <c r="X3672" s="26"/>
      <c r="Y3672" s="26"/>
    </row>
    <row r="3673" spans="1:25" ht="37.5" x14ac:dyDescent="0.25">
      <c r="A3673" s="21">
        <v>4384</v>
      </c>
      <c r="B3673" s="22" t="s">
        <v>15335</v>
      </c>
      <c r="C3673" s="22" t="s">
        <v>2135</v>
      </c>
      <c r="E3673" s="24">
        <v>1996</v>
      </c>
      <c r="F3673" s="22">
        <v>12481</v>
      </c>
      <c r="G3673" s="23" t="s">
        <v>2136</v>
      </c>
      <c r="H3673" s="25" t="s">
        <v>15373</v>
      </c>
      <c r="I3673" s="22" t="s">
        <v>15411</v>
      </c>
      <c r="J3673" s="22" t="s">
        <v>2137</v>
      </c>
      <c r="K3673" s="26">
        <f t="shared" si="56"/>
        <v>631.33333333333326</v>
      </c>
      <c r="M3673" s="26">
        <v>947</v>
      </c>
      <c r="O3673" s="22" t="s">
        <v>2138</v>
      </c>
      <c r="P3673" s="22" t="s">
        <v>2741</v>
      </c>
      <c r="Q3673" s="22" t="s">
        <v>3861</v>
      </c>
      <c r="R3673" s="22" t="s">
        <v>2139</v>
      </c>
      <c r="S3673" s="22" t="s">
        <v>2140</v>
      </c>
      <c r="T3673" s="22">
        <v>8.17</v>
      </c>
      <c r="U3673" s="22">
        <v>0.38</v>
      </c>
      <c r="X3673" s="26"/>
      <c r="Y3673" s="26"/>
    </row>
    <row r="3674" spans="1:25" ht="37.5" x14ac:dyDescent="0.25">
      <c r="A3674" s="21">
        <v>4390</v>
      </c>
      <c r="B3674" s="22" t="s">
        <v>15335</v>
      </c>
      <c r="C3674" s="22" t="s">
        <v>2141</v>
      </c>
      <c r="E3674" s="24">
        <v>2000</v>
      </c>
      <c r="F3674" s="22">
        <v>15449</v>
      </c>
      <c r="G3674" s="23" t="s">
        <v>2142</v>
      </c>
      <c r="H3674" s="25" t="s">
        <v>15373</v>
      </c>
      <c r="I3674" s="22" t="s">
        <v>15709</v>
      </c>
      <c r="J3674" s="22" t="s">
        <v>2143</v>
      </c>
      <c r="K3674" s="26">
        <f t="shared" si="56"/>
        <v>1600</v>
      </c>
      <c r="M3674" s="26">
        <v>2400</v>
      </c>
      <c r="O3674" s="22" t="s">
        <v>2144</v>
      </c>
      <c r="P3674" s="22" t="s">
        <v>3198</v>
      </c>
      <c r="Q3674" s="22">
        <v>95652</v>
      </c>
      <c r="R3674" s="22" t="s">
        <v>2145</v>
      </c>
      <c r="S3674" s="22" t="s">
        <v>2146</v>
      </c>
      <c r="T3674" s="22">
        <v>6.9</v>
      </c>
      <c r="U3674" s="22">
        <v>0.4</v>
      </c>
      <c r="X3674" s="26"/>
      <c r="Y3674" s="26"/>
    </row>
    <row r="3675" spans="1:25" ht="37.5" x14ac:dyDescent="0.25">
      <c r="A3675" s="21">
        <v>4391</v>
      </c>
      <c r="B3675" s="22" t="s">
        <v>15335</v>
      </c>
      <c r="C3675" s="22" t="s">
        <v>2141</v>
      </c>
      <c r="E3675" s="24">
        <v>2000</v>
      </c>
      <c r="F3675" s="22">
        <v>15450</v>
      </c>
      <c r="G3675" s="23" t="s">
        <v>2147</v>
      </c>
      <c r="H3675" s="25" t="s">
        <v>15373</v>
      </c>
      <c r="I3675" s="22" t="s">
        <v>15709</v>
      </c>
      <c r="J3675" s="22" t="s">
        <v>2143</v>
      </c>
      <c r="K3675" s="26">
        <f t="shared" si="56"/>
        <v>1600</v>
      </c>
      <c r="M3675" s="26">
        <v>2400</v>
      </c>
      <c r="O3675" s="22" t="s">
        <v>2144</v>
      </c>
      <c r="P3675" s="22" t="s">
        <v>3198</v>
      </c>
      <c r="Q3675" s="22">
        <v>95652</v>
      </c>
      <c r="R3675" s="22" t="s">
        <v>2145</v>
      </c>
      <c r="S3675" s="22" t="s">
        <v>2146</v>
      </c>
      <c r="T3675" s="22">
        <v>6.9</v>
      </c>
      <c r="U3675" s="22">
        <v>0.4</v>
      </c>
      <c r="X3675" s="26"/>
      <c r="Y3675" s="26"/>
    </row>
    <row r="3676" spans="1:25" ht="25" x14ac:dyDescent="0.25">
      <c r="A3676" s="21">
        <v>4392</v>
      </c>
      <c r="B3676" s="22" t="s">
        <v>15335</v>
      </c>
      <c r="C3676" s="22" t="s">
        <v>3011</v>
      </c>
      <c r="E3676" s="24">
        <v>1998</v>
      </c>
      <c r="F3676" s="22">
        <v>13822</v>
      </c>
      <c r="G3676" s="23" t="s">
        <v>2148</v>
      </c>
      <c r="H3676" s="25" t="s">
        <v>15373</v>
      </c>
      <c r="I3676" s="22" t="s">
        <v>15411</v>
      </c>
      <c r="J3676" s="22" t="s">
        <v>15542</v>
      </c>
      <c r="K3676" s="26">
        <f t="shared" si="56"/>
        <v>631.33333333333326</v>
      </c>
      <c r="M3676" s="26">
        <v>947</v>
      </c>
      <c r="O3676" s="22" t="s">
        <v>2149</v>
      </c>
      <c r="P3676" s="22" t="s">
        <v>2755</v>
      </c>
      <c r="Q3676" s="22" t="s">
        <v>2756</v>
      </c>
      <c r="R3676" s="22" t="s">
        <v>2150</v>
      </c>
      <c r="S3676" s="22" t="s">
        <v>2151</v>
      </c>
      <c r="T3676" s="22">
        <v>8.17</v>
      </c>
      <c r="U3676" s="22">
        <v>0.38</v>
      </c>
      <c r="X3676" s="26"/>
      <c r="Y3676" s="26"/>
    </row>
    <row r="3677" spans="1:25" ht="50" x14ac:dyDescent="0.25">
      <c r="A3677" s="21">
        <v>4394</v>
      </c>
      <c r="B3677" s="22" t="s">
        <v>15335</v>
      </c>
      <c r="C3677" s="22" t="s">
        <v>2152</v>
      </c>
      <c r="E3677" s="24">
        <v>2000</v>
      </c>
      <c r="F3677" s="22">
        <v>15194</v>
      </c>
      <c r="G3677" s="23" t="s">
        <v>2153</v>
      </c>
      <c r="H3677" s="25" t="s">
        <v>15373</v>
      </c>
      <c r="I3677" s="22" t="s">
        <v>15374</v>
      </c>
      <c r="J3677" s="22">
        <v>3412</v>
      </c>
      <c r="K3677" s="26">
        <f t="shared" si="56"/>
        <v>750</v>
      </c>
      <c r="L3677" s="26">
        <v>750</v>
      </c>
      <c r="O3677" s="22" t="s">
        <v>2154</v>
      </c>
      <c r="P3677" s="22" t="s">
        <v>2755</v>
      </c>
      <c r="Q3677" s="22" t="s">
        <v>2756</v>
      </c>
      <c r="R3677" s="22" t="s">
        <v>2155</v>
      </c>
      <c r="S3677" s="22" t="s">
        <v>2156</v>
      </c>
      <c r="T3677" s="22">
        <v>6.9</v>
      </c>
      <c r="U3677" s="22">
        <v>0.4</v>
      </c>
      <c r="X3677" s="26"/>
      <c r="Y3677" s="26"/>
    </row>
    <row r="3678" spans="1:25" ht="50" x14ac:dyDescent="0.25">
      <c r="A3678" s="21">
        <v>4395</v>
      </c>
      <c r="B3678" s="22" t="s">
        <v>15335</v>
      </c>
      <c r="C3678" s="22" t="s">
        <v>2152</v>
      </c>
      <c r="E3678" s="24">
        <v>2000</v>
      </c>
      <c r="F3678" s="22">
        <v>15195</v>
      </c>
      <c r="G3678" s="23" t="s">
        <v>2157</v>
      </c>
      <c r="H3678" s="25" t="s">
        <v>15373</v>
      </c>
      <c r="I3678" s="22" t="s">
        <v>15374</v>
      </c>
      <c r="J3678" s="22">
        <v>3508</v>
      </c>
      <c r="K3678" s="26">
        <f t="shared" si="56"/>
        <v>750</v>
      </c>
      <c r="L3678" s="26">
        <v>750</v>
      </c>
      <c r="O3678" s="22" t="s">
        <v>2154</v>
      </c>
      <c r="P3678" s="22" t="s">
        <v>2755</v>
      </c>
      <c r="Q3678" s="22" t="s">
        <v>2756</v>
      </c>
      <c r="R3678" s="22" t="s">
        <v>2155</v>
      </c>
      <c r="S3678" s="22" t="s">
        <v>2156</v>
      </c>
      <c r="T3678" s="22">
        <v>6.9</v>
      </c>
      <c r="U3678" s="22">
        <v>0.4</v>
      </c>
      <c r="X3678" s="26"/>
      <c r="Y3678" s="26"/>
    </row>
    <row r="3679" spans="1:25" ht="50" x14ac:dyDescent="0.25">
      <c r="A3679" s="21">
        <v>4396</v>
      </c>
      <c r="B3679" s="22" t="s">
        <v>15335</v>
      </c>
      <c r="C3679" s="22" t="s">
        <v>2152</v>
      </c>
      <c r="E3679" s="24">
        <v>2000</v>
      </c>
      <c r="F3679" s="22">
        <v>15196</v>
      </c>
      <c r="G3679" s="23" t="s">
        <v>2158</v>
      </c>
      <c r="H3679" s="25" t="s">
        <v>15373</v>
      </c>
      <c r="I3679" s="22" t="s">
        <v>15374</v>
      </c>
      <c r="J3679" s="22">
        <v>3508</v>
      </c>
      <c r="K3679" s="26">
        <f t="shared" si="56"/>
        <v>750</v>
      </c>
      <c r="L3679" s="26">
        <v>750</v>
      </c>
      <c r="O3679" s="22" t="s">
        <v>2154</v>
      </c>
      <c r="P3679" s="22" t="s">
        <v>2755</v>
      </c>
      <c r="Q3679" s="22" t="s">
        <v>2756</v>
      </c>
      <c r="R3679" s="22" t="s">
        <v>2155</v>
      </c>
      <c r="S3679" s="22" t="s">
        <v>2156</v>
      </c>
      <c r="T3679" s="22">
        <v>6.9</v>
      </c>
      <c r="U3679" s="22">
        <v>0.4</v>
      </c>
      <c r="X3679" s="26"/>
      <c r="Y3679" s="26"/>
    </row>
    <row r="3680" spans="1:25" ht="25" x14ac:dyDescent="0.25">
      <c r="A3680" s="21">
        <v>4397</v>
      </c>
      <c r="B3680" s="22" t="s">
        <v>15335</v>
      </c>
      <c r="C3680" s="22" t="s">
        <v>17807</v>
      </c>
      <c r="E3680" s="24">
        <v>1994</v>
      </c>
      <c r="F3680" s="22">
        <v>10612</v>
      </c>
      <c r="G3680" s="23" t="s">
        <v>2159</v>
      </c>
      <c r="H3680" s="25" t="s">
        <v>15373</v>
      </c>
      <c r="I3680" s="22" t="s">
        <v>15382</v>
      </c>
      <c r="J3680" s="22" t="s">
        <v>16861</v>
      </c>
      <c r="K3680" s="26">
        <f t="shared" si="56"/>
        <v>400</v>
      </c>
      <c r="M3680" s="26">
        <v>600</v>
      </c>
      <c r="O3680" s="22" t="s">
        <v>2160</v>
      </c>
      <c r="P3680" s="22" t="s">
        <v>2755</v>
      </c>
      <c r="Q3680" s="22" t="s">
        <v>2756</v>
      </c>
      <c r="R3680" s="22" t="s">
        <v>2161</v>
      </c>
      <c r="S3680" s="22" t="s">
        <v>2162</v>
      </c>
      <c r="T3680" s="22">
        <v>8.17</v>
      </c>
      <c r="U3680" s="22">
        <v>0.38</v>
      </c>
      <c r="X3680" s="26"/>
      <c r="Y3680" s="26"/>
    </row>
    <row r="3681" spans="1:25" ht="50" x14ac:dyDescent="0.25">
      <c r="A3681" s="21">
        <v>4398</v>
      </c>
      <c r="B3681" s="22" t="s">
        <v>15335</v>
      </c>
      <c r="C3681" s="22" t="s">
        <v>3033</v>
      </c>
      <c r="E3681" s="24">
        <v>1992</v>
      </c>
      <c r="F3681" s="22">
        <v>9606</v>
      </c>
      <c r="G3681" s="23" t="s">
        <v>2163</v>
      </c>
      <c r="H3681" s="25" t="s">
        <v>15373</v>
      </c>
      <c r="I3681" s="22" t="s">
        <v>15374</v>
      </c>
      <c r="J3681" s="22" t="s">
        <v>14833</v>
      </c>
      <c r="K3681" s="26">
        <f t="shared" si="56"/>
        <v>733.33333333333326</v>
      </c>
      <c r="N3681" s="26">
        <v>1100</v>
      </c>
      <c r="O3681" s="22" t="s">
        <v>3035</v>
      </c>
      <c r="P3681" s="22" t="s">
        <v>3879</v>
      </c>
      <c r="Q3681" s="22" t="s">
        <v>3036</v>
      </c>
      <c r="R3681" s="22" t="s">
        <v>3037</v>
      </c>
      <c r="S3681" s="22" t="s">
        <v>3038</v>
      </c>
      <c r="T3681" s="22">
        <v>8.17</v>
      </c>
      <c r="U3681" s="22">
        <v>0.38</v>
      </c>
      <c r="X3681" s="26"/>
      <c r="Y3681" s="26"/>
    </row>
    <row r="3682" spans="1:25" ht="50" x14ac:dyDescent="0.25">
      <c r="A3682" s="21">
        <v>4399</v>
      </c>
      <c r="B3682" s="22" t="s">
        <v>15335</v>
      </c>
      <c r="C3682" s="22" t="s">
        <v>3033</v>
      </c>
      <c r="E3682" s="24">
        <v>2000</v>
      </c>
      <c r="F3682" s="22">
        <v>13439</v>
      </c>
      <c r="G3682" s="23" t="s">
        <v>2164</v>
      </c>
      <c r="H3682" s="25" t="s">
        <v>15373</v>
      </c>
      <c r="I3682" s="22" t="s">
        <v>15374</v>
      </c>
      <c r="J3682" s="22" t="s">
        <v>15677</v>
      </c>
      <c r="K3682" s="26">
        <f t="shared" si="56"/>
        <v>1445.3333333333333</v>
      </c>
      <c r="N3682" s="26">
        <v>2168</v>
      </c>
      <c r="O3682" s="22" t="s">
        <v>3035</v>
      </c>
      <c r="P3682" s="22" t="s">
        <v>3879</v>
      </c>
      <c r="Q3682" s="22" t="s">
        <v>3036</v>
      </c>
      <c r="R3682" s="22" t="s">
        <v>3037</v>
      </c>
      <c r="S3682" s="22" t="s">
        <v>3038</v>
      </c>
      <c r="T3682" s="22">
        <v>6.9</v>
      </c>
      <c r="U3682" s="22">
        <v>0.4</v>
      </c>
      <c r="X3682" s="26"/>
      <c r="Y3682" s="26"/>
    </row>
    <row r="3683" spans="1:25" ht="25" x14ac:dyDescent="0.25">
      <c r="A3683" s="21">
        <v>4400</v>
      </c>
      <c r="B3683" s="22" t="s">
        <v>15335</v>
      </c>
      <c r="C3683" s="22" t="s">
        <v>2165</v>
      </c>
      <c r="E3683" s="24">
        <v>1996</v>
      </c>
      <c r="F3683" s="22">
        <v>12622</v>
      </c>
      <c r="G3683" s="23" t="s">
        <v>2166</v>
      </c>
      <c r="H3683" s="25" t="s">
        <v>15373</v>
      </c>
      <c r="I3683" s="22" t="s">
        <v>15382</v>
      </c>
      <c r="J3683" s="22" t="s">
        <v>14659</v>
      </c>
      <c r="K3683" s="26">
        <f t="shared" si="56"/>
        <v>500</v>
      </c>
      <c r="M3683" s="26">
        <v>750</v>
      </c>
      <c r="O3683" s="22" t="s">
        <v>2167</v>
      </c>
      <c r="P3683" s="22" t="s">
        <v>2741</v>
      </c>
      <c r="Q3683" s="22" t="s">
        <v>2128</v>
      </c>
      <c r="R3683" s="22" t="s">
        <v>3025</v>
      </c>
      <c r="S3683" s="22" t="s">
        <v>2168</v>
      </c>
      <c r="T3683" s="22">
        <v>6.9</v>
      </c>
      <c r="U3683" s="22">
        <v>0.4</v>
      </c>
      <c r="X3683" s="26"/>
      <c r="Y3683" s="26"/>
    </row>
    <row r="3684" spans="1:25" ht="37.5" x14ac:dyDescent="0.25">
      <c r="A3684" s="21">
        <v>4401</v>
      </c>
      <c r="B3684" s="22" t="s">
        <v>15335</v>
      </c>
      <c r="C3684" s="22" t="s">
        <v>2165</v>
      </c>
      <c r="E3684" s="24">
        <v>1996</v>
      </c>
      <c r="F3684" s="22">
        <v>12621</v>
      </c>
      <c r="G3684" s="23" t="s">
        <v>2169</v>
      </c>
      <c r="H3684" s="25" t="s">
        <v>15373</v>
      </c>
      <c r="I3684" s="22" t="s">
        <v>15382</v>
      </c>
      <c r="J3684" s="22" t="s">
        <v>2170</v>
      </c>
      <c r="K3684" s="26">
        <f t="shared" si="56"/>
        <v>800</v>
      </c>
      <c r="M3684" s="26">
        <v>1200</v>
      </c>
      <c r="O3684" s="22" t="s">
        <v>2167</v>
      </c>
      <c r="P3684" s="22" t="s">
        <v>2741</v>
      </c>
      <c r="Q3684" s="22" t="s">
        <v>2128</v>
      </c>
      <c r="R3684" s="22" t="s">
        <v>3025</v>
      </c>
      <c r="S3684" s="22" t="s">
        <v>2168</v>
      </c>
      <c r="T3684" s="22">
        <v>8.17</v>
      </c>
      <c r="U3684" s="22">
        <v>0.38</v>
      </c>
      <c r="X3684" s="26"/>
      <c r="Y3684" s="26"/>
    </row>
    <row r="3685" spans="1:25" ht="62.5" x14ac:dyDescent="0.25">
      <c r="A3685" s="21">
        <v>4402</v>
      </c>
      <c r="B3685" s="22" t="s">
        <v>15335</v>
      </c>
      <c r="C3685" s="22" t="s">
        <v>2171</v>
      </c>
      <c r="E3685" s="24">
        <v>2001</v>
      </c>
      <c r="F3685" s="22">
        <v>15464</v>
      </c>
      <c r="G3685" s="23" t="s">
        <v>2172</v>
      </c>
      <c r="H3685" s="25" t="s">
        <v>15373</v>
      </c>
      <c r="I3685" s="22" t="s">
        <v>15411</v>
      </c>
      <c r="J3685" s="22" t="s">
        <v>15877</v>
      </c>
      <c r="K3685" s="26">
        <f t="shared" si="56"/>
        <v>428.66666666666663</v>
      </c>
      <c r="M3685" s="26">
        <v>643</v>
      </c>
      <c r="O3685" s="22" t="s">
        <v>2173</v>
      </c>
      <c r="P3685" s="22" t="s">
        <v>2174</v>
      </c>
      <c r="Q3685" s="22" t="s">
        <v>2175</v>
      </c>
      <c r="R3685" s="22" t="s">
        <v>2176</v>
      </c>
      <c r="S3685" s="22" t="s">
        <v>2177</v>
      </c>
      <c r="T3685" s="22">
        <v>6.9</v>
      </c>
      <c r="U3685" s="22">
        <v>0.4</v>
      </c>
      <c r="X3685" s="26"/>
      <c r="Y3685" s="26"/>
    </row>
    <row r="3686" spans="1:25" ht="37.5" x14ac:dyDescent="0.25">
      <c r="A3686" s="21">
        <v>4404</v>
      </c>
      <c r="B3686" s="22" t="s">
        <v>15335</v>
      </c>
      <c r="C3686" s="22" t="s">
        <v>5789</v>
      </c>
      <c r="E3686" s="24">
        <v>1999</v>
      </c>
      <c r="F3686" s="22">
        <v>13535</v>
      </c>
      <c r="G3686" s="23" t="s">
        <v>2178</v>
      </c>
      <c r="H3686" s="25" t="s">
        <v>15373</v>
      </c>
      <c r="I3686" s="22" t="s">
        <v>15411</v>
      </c>
      <c r="J3686" s="22" t="s">
        <v>12457</v>
      </c>
      <c r="K3686" s="26">
        <f t="shared" si="56"/>
        <v>386</v>
      </c>
      <c r="M3686" s="26">
        <v>579</v>
      </c>
      <c r="O3686" s="22" t="s">
        <v>2179</v>
      </c>
      <c r="P3686" s="22" t="s">
        <v>2741</v>
      </c>
      <c r="Q3686" s="22" t="s">
        <v>2961</v>
      </c>
      <c r="R3686" s="22" t="s">
        <v>2180</v>
      </c>
      <c r="S3686" s="22" t="s">
        <v>2181</v>
      </c>
      <c r="T3686" s="22">
        <v>6.9</v>
      </c>
      <c r="U3686" s="22">
        <v>0.4</v>
      </c>
      <c r="X3686" s="26"/>
      <c r="Y3686" s="26"/>
    </row>
    <row r="3687" spans="1:25" ht="50" x14ac:dyDescent="0.25">
      <c r="A3687" s="21">
        <v>4405</v>
      </c>
      <c r="B3687" s="22" t="s">
        <v>15335</v>
      </c>
      <c r="C3687" s="22" t="s">
        <v>5789</v>
      </c>
      <c r="E3687" s="24">
        <v>1998</v>
      </c>
      <c r="F3687" s="22">
        <v>11989</v>
      </c>
      <c r="G3687" s="23" t="s">
        <v>2182</v>
      </c>
      <c r="H3687" s="25" t="s">
        <v>15373</v>
      </c>
      <c r="I3687" s="22" t="s">
        <v>15411</v>
      </c>
      <c r="J3687" s="22" t="s">
        <v>16254</v>
      </c>
      <c r="K3687" s="26">
        <f t="shared" si="56"/>
        <v>420</v>
      </c>
      <c r="M3687" s="26">
        <v>630</v>
      </c>
      <c r="O3687" s="22" t="s">
        <v>2183</v>
      </c>
      <c r="P3687" s="22" t="s">
        <v>2174</v>
      </c>
      <c r="Q3687" s="22" t="s">
        <v>2175</v>
      </c>
      <c r="R3687" s="22" t="s">
        <v>2184</v>
      </c>
      <c r="S3687" s="22" t="s">
        <v>2185</v>
      </c>
      <c r="T3687" s="22">
        <v>6.9</v>
      </c>
      <c r="U3687" s="22">
        <v>0.4</v>
      </c>
      <c r="X3687" s="26"/>
      <c r="Y3687" s="26"/>
    </row>
    <row r="3688" spans="1:25" ht="37.5" x14ac:dyDescent="0.25">
      <c r="A3688" s="21">
        <v>4406</v>
      </c>
      <c r="B3688" s="22" t="s">
        <v>15335</v>
      </c>
      <c r="C3688" s="22" t="s">
        <v>5789</v>
      </c>
      <c r="E3688" s="24">
        <v>2000</v>
      </c>
      <c r="F3688" s="22">
        <v>14477</v>
      </c>
      <c r="G3688" s="23" t="s">
        <v>2186</v>
      </c>
      <c r="H3688" s="25" t="s">
        <v>15373</v>
      </c>
      <c r="I3688" s="22" t="s">
        <v>15374</v>
      </c>
      <c r="J3688" s="22" t="s">
        <v>2187</v>
      </c>
      <c r="K3688" s="26">
        <f t="shared" ref="K3688:K3751" si="57">L3688+M3688*(2/3)+N3688*(2/3)</f>
        <v>597.33333333333326</v>
      </c>
      <c r="M3688" s="26">
        <v>896</v>
      </c>
      <c r="O3688" s="22" t="s">
        <v>2188</v>
      </c>
      <c r="P3688" s="22" t="s">
        <v>2741</v>
      </c>
      <c r="Q3688" s="22" t="s">
        <v>2961</v>
      </c>
      <c r="R3688" s="22" t="s">
        <v>2189</v>
      </c>
      <c r="S3688" s="22" t="s">
        <v>2190</v>
      </c>
      <c r="T3688" s="22">
        <v>6.9</v>
      </c>
      <c r="U3688" s="22">
        <v>0.4</v>
      </c>
      <c r="X3688" s="26"/>
      <c r="Y3688" s="26"/>
    </row>
    <row r="3689" spans="1:25" ht="25" x14ac:dyDescent="0.25">
      <c r="A3689" s="21">
        <v>4407</v>
      </c>
      <c r="B3689" s="22" t="s">
        <v>15335</v>
      </c>
      <c r="C3689" s="22" t="s">
        <v>5789</v>
      </c>
      <c r="E3689" s="24">
        <v>1992</v>
      </c>
      <c r="F3689" s="22">
        <v>10364</v>
      </c>
      <c r="G3689" s="23" t="s">
        <v>2191</v>
      </c>
      <c r="H3689" s="25" t="s">
        <v>15373</v>
      </c>
      <c r="I3689" s="22" t="s">
        <v>15411</v>
      </c>
      <c r="J3689" s="22" t="s">
        <v>2192</v>
      </c>
      <c r="K3689" s="26">
        <f t="shared" si="57"/>
        <v>766.66666666666663</v>
      </c>
      <c r="M3689" s="26">
        <v>1150</v>
      </c>
      <c r="O3689" s="22" t="s">
        <v>2193</v>
      </c>
      <c r="P3689" s="22" t="s">
        <v>2741</v>
      </c>
      <c r="Q3689" s="22" t="s">
        <v>2916</v>
      </c>
      <c r="R3689" s="22" t="s">
        <v>2189</v>
      </c>
      <c r="S3689" s="22" t="s">
        <v>2190</v>
      </c>
      <c r="T3689" s="22">
        <v>8.17</v>
      </c>
      <c r="U3689" s="22">
        <v>0.38</v>
      </c>
      <c r="X3689" s="26"/>
      <c r="Y3689" s="26"/>
    </row>
    <row r="3690" spans="1:25" ht="50" x14ac:dyDescent="0.25">
      <c r="A3690" s="21">
        <v>4408</v>
      </c>
      <c r="B3690" s="22" t="s">
        <v>15335</v>
      </c>
      <c r="C3690" s="22" t="s">
        <v>5789</v>
      </c>
      <c r="E3690" s="24">
        <v>1995</v>
      </c>
      <c r="F3690" s="22">
        <v>11973</v>
      </c>
      <c r="G3690" s="23" t="s">
        <v>2194</v>
      </c>
      <c r="H3690" s="25" t="s">
        <v>15373</v>
      </c>
      <c r="I3690" s="22" t="s">
        <v>15411</v>
      </c>
      <c r="J3690" s="22" t="s">
        <v>15744</v>
      </c>
      <c r="K3690" s="26">
        <f t="shared" si="57"/>
        <v>750</v>
      </c>
      <c r="L3690" s="26">
        <v>750</v>
      </c>
      <c r="O3690" s="22" t="s">
        <v>2195</v>
      </c>
      <c r="P3690" s="22" t="s">
        <v>2741</v>
      </c>
      <c r="Q3690" s="22" t="s">
        <v>2128</v>
      </c>
      <c r="R3690" s="22" t="s">
        <v>2189</v>
      </c>
      <c r="S3690" s="22" t="s">
        <v>2190</v>
      </c>
      <c r="T3690" s="22">
        <v>8.17</v>
      </c>
      <c r="U3690" s="22">
        <v>0.38</v>
      </c>
      <c r="X3690" s="26"/>
      <c r="Y3690" s="26"/>
    </row>
    <row r="3691" spans="1:25" ht="37.5" x14ac:dyDescent="0.25">
      <c r="A3691" s="21">
        <v>4409</v>
      </c>
      <c r="B3691" s="22" t="s">
        <v>15335</v>
      </c>
      <c r="C3691" s="22" t="s">
        <v>5789</v>
      </c>
      <c r="E3691" s="24">
        <v>1997</v>
      </c>
      <c r="F3691" s="22">
        <v>12633</v>
      </c>
      <c r="G3691" s="23" t="s">
        <v>3369</v>
      </c>
      <c r="H3691" s="25" t="s">
        <v>15373</v>
      </c>
      <c r="I3691" s="22" t="s">
        <v>15411</v>
      </c>
      <c r="J3691" s="22" t="s">
        <v>15068</v>
      </c>
      <c r="K3691" s="26">
        <f t="shared" si="57"/>
        <v>821.33333333333326</v>
      </c>
      <c r="M3691" s="26">
        <v>1232</v>
      </c>
      <c r="O3691" s="22" t="s">
        <v>3370</v>
      </c>
      <c r="P3691" s="22" t="s">
        <v>2741</v>
      </c>
      <c r="Q3691" s="22" t="s">
        <v>3176</v>
      </c>
      <c r="R3691" s="22" t="s">
        <v>3371</v>
      </c>
      <c r="S3691" s="22" t="s">
        <v>3372</v>
      </c>
      <c r="T3691" s="22">
        <v>8.17</v>
      </c>
      <c r="U3691" s="22">
        <v>0.38</v>
      </c>
      <c r="X3691" s="26"/>
      <c r="Y3691" s="26"/>
    </row>
    <row r="3692" spans="1:25" ht="50" x14ac:dyDescent="0.25">
      <c r="A3692" s="21">
        <v>4410</v>
      </c>
      <c r="B3692" s="22" t="s">
        <v>15335</v>
      </c>
      <c r="C3692" s="22" t="s">
        <v>5789</v>
      </c>
      <c r="E3692" s="24">
        <v>1994</v>
      </c>
      <c r="F3692" s="22">
        <v>10906</v>
      </c>
      <c r="G3692" s="23" t="s">
        <v>3373</v>
      </c>
      <c r="H3692" s="25" t="s">
        <v>15373</v>
      </c>
      <c r="I3692" s="22" t="s">
        <v>15374</v>
      </c>
      <c r="J3692" s="22">
        <v>3512</v>
      </c>
      <c r="K3692" s="26">
        <f t="shared" si="57"/>
        <v>980</v>
      </c>
      <c r="L3692" s="26">
        <v>980</v>
      </c>
      <c r="O3692" s="22" t="s">
        <v>3374</v>
      </c>
      <c r="P3692" s="22" t="s">
        <v>2741</v>
      </c>
      <c r="Q3692" s="22" t="s">
        <v>3375</v>
      </c>
      <c r="R3692" s="22" t="s">
        <v>2180</v>
      </c>
      <c r="S3692" s="22" t="s">
        <v>2181</v>
      </c>
      <c r="T3692" s="22">
        <v>8.17</v>
      </c>
      <c r="U3692" s="22">
        <v>0.38</v>
      </c>
      <c r="X3692" s="26"/>
      <c r="Y3692" s="26"/>
    </row>
    <row r="3693" spans="1:25" ht="50" x14ac:dyDescent="0.25">
      <c r="A3693" s="21">
        <v>4411</v>
      </c>
      <c r="B3693" s="22" t="s">
        <v>15335</v>
      </c>
      <c r="C3693" s="22" t="s">
        <v>5789</v>
      </c>
      <c r="E3693" s="24">
        <v>2001</v>
      </c>
      <c r="F3693" s="22">
        <v>15517</v>
      </c>
      <c r="G3693" s="23" t="s">
        <v>3376</v>
      </c>
      <c r="H3693" s="25" t="s">
        <v>15373</v>
      </c>
      <c r="I3693" s="22" t="s">
        <v>15382</v>
      </c>
      <c r="J3693" s="22" t="s">
        <v>16450</v>
      </c>
      <c r="K3693" s="26">
        <f t="shared" si="57"/>
        <v>993.33333333333326</v>
      </c>
      <c r="M3693" s="26">
        <v>1490</v>
      </c>
      <c r="O3693" s="22" t="s">
        <v>3377</v>
      </c>
      <c r="P3693" s="22" t="s">
        <v>2741</v>
      </c>
      <c r="Q3693" s="22">
        <v>95834</v>
      </c>
      <c r="T3693" s="22">
        <v>6.9</v>
      </c>
      <c r="U3693" s="22">
        <v>0.4</v>
      </c>
      <c r="X3693" s="26"/>
      <c r="Y3693" s="26"/>
    </row>
    <row r="3694" spans="1:25" ht="37.5" x14ac:dyDescent="0.25">
      <c r="A3694" s="21">
        <v>4412</v>
      </c>
      <c r="B3694" s="22" t="s">
        <v>15335</v>
      </c>
      <c r="C3694" s="22" t="s">
        <v>5789</v>
      </c>
      <c r="E3694" s="24">
        <v>1999</v>
      </c>
      <c r="F3694" s="22">
        <v>12584</v>
      </c>
      <c r="G3694" s="23" t="s">
        <v>3378</v>
      </c>
      <c r="H3694" s="25" t="s">
        <v>15373</v>
      </c>
      <c r="I3694" s="22" t="s">
        <v>15374</v>
      </c>
      <c r="J3694" s="22">
        <v>3512</v>
      </c>
      <c r="K3694" s="26">
        <f t="shared" si="57"/>
        <v>1057.3333333333333</v>
      </c>
      <c r="M3694" s="26">
        <v>1586</v>
      </c>
      <c r="O3694" s="22" t="s">
        <v>3379</v>
      </c>
      <c r="P3694" s="22" t="s">
        <v>2741</v>
      </c>
      <c r="Q3694" s="22" t="s">
        <v>3155</v>
      </c>
      <c r="R3694" s="22" t="s">
        <v>2180</v>
      </c>
      <c r="S3694" s="22" t="s">
        <v>2181</v>
      </c>
      <c r="T3694" s="22">
        <v>8.17</v>
      </c>
      <c r="U3694" s="22">
        <v>0.38</v>
      </c>
      <c r="X3694" s="26"/>
      <c r="Y3694" s="26"/>
    </row>
    <row r="3695" spans="1:25" ht="37.5" x14ac:dyDescent="0.25">
      <c r="A3695" s="21">
        <v>4413</v>
      </c>
      <c r="B3695" s="22" t="s">
        <v>15335</v>
      </c>
      <c r="C3695" s="22" t="s">
        <v>5789</v>
      </c>
      <c r="E3695" s="24">
        <v>1995</v>
      </c>
      <c r="F3695" s="22">
        <v>11571</v>
      </c>
      <c r="G3695" s="23" t="s">
        <v>3380</v>
      </c>
      <c r="H3695" s="25" t="s">
        <v>15373</v>
      </c>
      <c r="I3695" s="22" t="s">
        <v>15374</v>
      </c>
      <c r="J3695" s="22">
        <v>3516</v>
      </c>
      <c r="K3695" s="26">
        <f t="shared" si="57"/>
        <v>1345.3333333333333</v>
      </c>
      <c r="M3695" s="26">
        <v>2018</v>
      </c>
      <c r="O3695" s="22" t="s">
        <v>3379</v>
      </c>
      <c r="P3695" s="22" t="s">
        <v>2741</v>
      </c>
      <c r="Q3695" s="22" t="s">
        <v>3155</v>
      </c>
      <c r="R3695" s="22" t="s">
        <v>2180</v>
      </c>
      <c r="S3695" s="22" t="s">
        <v>2181</v>
      </c>
      <c r="T3695" s="22">
        <v>8.17</v>
      </c>
      <c r="U3695" s="22">
        <v>0.38</v>
      </c>
      <c r="X3695" s="26"/>
      <c r="Y3695" s="26"/>
    </row>
    <row r="3696" spans="1:25" ht="25" x14ac:dyDescent="0.25">
      <c r="A3696" s="21">
        <v>4414</v>
      </c>
      <c r="B3696" s="22" t="s">
        <v>15335</v>
      </c>
      <c r="C3696" s="22" t="s">
        <v>5789</v>
      </c>
      <c r="E3696" s="24">
        <v>1995</v>
      </c>
      <c r="F3696" s="22">
        <v>12131</v>
      </c>
      <c r="G3696" s="23" t="s">
        <v>3381</v>
      </c>
      <c r="H3696" s="25" t="s">
        <v>15373</v>
      </c>
      <c r="I3696" s="22" t="s">
        <v>15374</v>
      </c>
      <c r="J3696" s="22">
        <v>3516</v>
      </c>
      <c r="K3696" s="26">
        <f t="shared" si="57"/>
        <v>1680</v>
      </c>
      <c r="M3696" s="26">
        <v>2520</v>
      </c>
      <c r="O3696" s="22" t="s">
        <v>3382</v>
      </c>
      <c r="P3696" s="22" t="s">
        <v>2741</v>
      </c>
      <c r="Q3696" s="22" t="s">
        <v>3155</v>
      </c>
      <c r="R3696" s="22" t="s">
        <v>2180</v>
      </c>
      <c r="S3696" s="22" t="s">
        <v>2181</v>
      </c>
      <c r="T3696" s="22">
        <v>8.17</v>
      </c>
      <c r="U3696" s="22">
        <v>0.38</v>
      </c>
      <c r="X3696" s="26"/>
      <c r="Y3696" s="26"/>
    </row>
    <row r="3697" spans="1:25" ht="25" x14ac:dyDescent="0.25">
      <c r="A3697" s="21">
        <v>4415</v>
      </c>
      <c r="B3697" s="22" t="s">
        <v>15335</v>
      </c>
      <c r="C3697" s="22" t="s">
        <v>5789</v>
      </c>
      <c r="E3697" s="24">
        <v>1995</v>
      </c>
      <c r="F3697" s="22">
        <v>12132</v>
      </c>
      <c r="G3697" s="23" t="s">
        <v>3383</v>
      </c>
      <c r="H3697" s="25" t="s">
        <v>15373</v>
      </c>
      <c r="I3697" s="22" t="s">
        <v>15374</v>
      </c>
      <c r="J3697" s="22">
        <v>3516</v>
      </c>
      <c r="K3697" s="26">
        <f t="shared" si="57"/>
        <v>1680</v>
      </c>
      <c r="M3697" s="26">
        <v>2520</v>
      </c>
      <c r="O3697" s="22" t="s">
        <v>3382</v>
      </c>
      <c r="P3697" s="22" t="s">
        <v>2741</v>
      </c>
      <c r="Q3697" s="22" t="s">
        <v>3155</v>
      </c>
      <c r="R3697" s="22" t="s">
        <v>2180</v>
      </c>
      <c r="S3697" s="22" t="s">
        <v>2181</v>
      </c>
      <c r="T3697" s="22">
        <v>8.17</v>
      </c>
      <c r="U3697" s="22">
        <v>0.38</v>
      </c>
      <c r="X3697" s="26"/>
      <c r="Y3697" s="26"/>
    </row>
    <row r="3698" spans="1:25" ht="37.5" x14ac:dyDescent="0.25">
      <c r="A3698" s="21">
        <v>4416</v>
      </c>
      <c r="B3698" s="22" t="s">
        <v>15335</v>
      </c>
      <c r="C3698" s="22" t="s">
        <v>5789</v>
      </c>
      <c r="E3698" s="24">
        <v>1997</v>
      </c>
      <c r="F3698" s="22">
        <v>12583</v>
      </c>
      <c r="G3698" s="23" t="s">
        <v>3384</v>
      </c>
      <c r="H3698" s="25" t="s">
        <v>15373</v>
      </c>
      <c r="I3698" s="22" t="s">
        <v>15374</v>
      </c>
      <c r="J3698" s="22">
        <v>3516</v>
      </c>
      <c r="K3698" s="26">
        <f t="shared" si="57"/>
        <v>1917.3333333333333</v>
      </c>
      <c r="M3698" s="26">
        <v>2876</v>
      </c>
      <c r="O3698" s="22" t="s">
        <v>3385</v>
      </c>
      <c r="P3698" s="22" t="s">
        <v>2741</v>
      </c>
      <c r="Q3698" s="22" t="s">
        <v>3861</v>
      </c>
      <c r="R3698" s="22" t="s">
        <v>3386</v>
      </c>
      <c r="S3698" s="22" t="s">
        <v>3387</v>
      </c>
      <c r="T3698" s="22">
        <v>8.17</v>
      </c>
      <c r="U3698" s="22">
        <v>0.38</v>
      </c>
      <c r="X3698" s="26"/>
      <c r="Y3698" s="26"/>
    </row>
    <row r="3699" spans="1:25" ht="37.5" x14ac:dyDescent="0.25">
      <c r="A3699" s="21">
        <v>4417</v>
      </c>
      <c r="B3699" s="22" t="s">
        <v>15335</v>
      </c>
      <c r="C3699" s="22" t="s">
        <v>5789</v>
      </c>
      <c r="E3699" s="24">
        <v>1997</v>
      </c>
      <c r="F3699" s="22">
        <v>12593</v>
      </c>
      <c r="G3699" s="23" t="s">
        <v>3388</v>
      </c>
      <c r="H3699" s="25" t="s">
        <v>15373</v>
      </c>
      <c r="I3699" s="22" t="s">
        <v>15374</v>
      </c>
      <c r="J3699" s="22">
        <v>3516</v>
      </c>
      <c r="K3699" s="26">
        <f t="shared" si="57"/>
        <v>1917.3333333333333</v>
      </c>
      <c r="M3699" s="26">
        <v>2876</v>
      </c>
      <c r="O3699" s="22" t="s">
        <v>3385</v>
      </c>
      <c r="P3699" s="22" t="s">
        <v>2741</v>
      </c>
      <c r="Q3699" s="22" t="s">
        <v>3861</v>
      </c>
      <c r="R3699" s="22" t="s">
        <v>3386</v>
      </c>
      <c r="S3699" s="22" t="s">
        <v>3387</v>
      </c>
      <c r="T3699" s="22">
        <v>8.17</v>
      </c>
      <c r="U3699" s="22">
        <v>0.38</v>
      </c>
      <c r="X3699" s="26"/>
      <c r="Y3699" s="26"/>
    </row>
    <row r="3700" spans="1:25" ht="37.5" x14ac:dyDescent="0.25">
      <c r="A3700" s="21">
        <v>4418</v>
      </c>
      <c r="B3700" s="22" t="s">
        <v>15335</v>
      </c>
      <c r="C3700" s="22" t="s">
        <v>5789</v>
      </c>
      <c r="E3700" s="24">
        <v>1997</v>
      </c>
      <c r="F3700" s="22">
        <v>13183</v>
      </c>
      <c r="G3700" s="23" t="s">
        <v>3389</v>
      </c>
      <c r="H3700" s="25" t="s">
        <v>15373</v>
      </c>
      <c r="I3700" s="22" t="s">
        <v>15374</v>
      </c>
      <c r="J3700" s="22">
        <v>3516</v>
      </c>
      <c r="K3700" s="26">
        <f t="shared" si="57"/>
        <v>1917.3333333333333</v>
      </c>
      <c r="M3700" s="26">
        <v>2876</v>
      </c>
      <c r="O3700" s="22" t="s">
        <v>3390</v>
      </c>
      <c r="P3700" s="22" t="s">
        <v>2741</v>
      </c>
      <c r="Q3700" s="22" t="s">
        <v>3861</v>
      </c>
      <c r="R3700" s="22" t="s">
        <v>3386</v>
      </c>
      <c r="S3700" s="22" t="s">
        <v>3387</v>
      </c>
      <c r="T3700" s="22">
        <v>8.17</v>
      </c>
      <c r="U3700" s="22">
        <v>0.38</v>
      </c>
      <c r="X3700" s="26"/>
      <c r="Y3700" s="26"/>
    </row>
    <row r="3701" spans="1:25" ht="37.5" x14ac:dyDescent="0.25">
      <c r="A3701" s="21">
        <v>4420</v>
      </c>
      <c r="B3701" s="22" t="s">
        <v>15335</v>
      </c>
      <c r="C3701" s="22" t="s">
        <v>3391</v>
      </c>
      <c r="E3701" s="24">
        <v>2000</v>
      </c>
      <c r="F3701" s="22">
        <v>15007</v>
      </c>
      <c r="G3701" s="23" t="s">
        <v>3392</v>
      </c>
      <c r="H3701" s="25" t="s">
        <v>15373</v>
      </c>
      <c r="I3701" s="22" t="s">
        <v>15374</v>
      </c>
      <c r="J3701" s="22" t="s">
        <v>3393</v>
      </c>
      <c r="K3701" s="26">
        <f t="shared" si="57"/>
        <v>988</v>
      </c>
      <c r="M3701" s="26">
        <v>1482</v>
      </c>
      <c r="O3701" s="22" t="s">
        <v>3394</v>
      </c>
      <c r="P3701" s="22" t="s">
        <v>2741</v>
      </c>
      <c r="Q3701" s="22" t="s">
        <v>3226</v>
      </c>
      <c r="R3701" s="22" t="s">
        <v>3395</v>
      </c>
      <c r="S3701" s="22" t="s">
        <v>3396</v>
      </c>
      <c r="T3701" s="22">
        <v>6.9</v>
      </c>
      <c r="U3701" s="22">
        <v>0.4</v>
      </c>
      <c r="X3701" s="26"/>
      <c r="Y3701" s="26"/>
    </row>
    <row r="3702" spans="1:25" ht="37.5" x14ac:dyDescent="0.25">
      <c r="A3702" s="21">
        <v>4421</v>
      </c>
      <c r="B3702" s="22" t="s">
        <v>15335</v>
      </c>
      <c r="C3702" s="22" t="s">
        <v>5015</v>
      </c>
      <c r="E3702" s="24">
        <v>2000</v>
      </c>
      <c r="F3702" s="22">
        <v>15065</v>
      </c>
      <c r="G3702" s="23" t="s">
        <v>3397</v>
      </c>
      <c r="H3702" s="25" t="s">
        <v>15373</v>
      </c>
      <c r="I3702" s="22" t="s">
        <v>15382</v>
      </c>
      <c r="J3702" s="22" t="s">
        <v>16792</v>
      </c>
      <c r="K3702" s="26">
        <f t="shared" si="57"/>
        <v>356.66666666666663</v>
      </c>
      <c r="M3702" s="26">
        <v>535</v>
      </c>
      <c r="O3702" s="22" t="s">
        <v>3398</v>
      </c>
      <c r="P3702" s="22" t="s">
        <v>2741</v>
      </c>
      <c r="Q3702" s="22" t="s">
        <v>3861</v>
      </c>
      <c r="R3702" s="22" t="s">
        <v>3399</v>
      </c>
      <c r="S3702" s="22" t="s">
        <v>3400</v>
      </c>
      <c r="T3702" s="22">
        <v>6.9</v>
      </c>
      <c r="U3702" s="22">
        <v>0.4</v>
      </c>
      <c r="X3702" s="26"/>
      <c r="Y3702" s="26"/>
    </row>
    <row r="3703" spans="1:25" ht="37.5" x14ac:dyDescent="0.25">
      <c r="A3703" s="21">
        <v>4423</v>
      </c>
      <c r="B3703" s="22" t="s">
        <v>15335</v>
      </c>
      <c r="C3703" s="22" t="s">
        <v>5015</v>
      </c>
      <c r="E3703" s="24">
        <v>2000</v>
      </c>
      <c r="F3703" s="22">
        <v>15289</v>
      </c>
      <c r="G3703" s="23" t="s">
        <v>3401</v>
      </c>
      <c r="H3703" s="25" t="s">
        <v>15373</v>
      </c>
      <c r="I3703" s="22" t="s">
        <v>15382</v>
      </c>
      <c r="J3703" s="22" t="s">
        <v>15391</v>
      </c>
      <c r="K3703" s="26">
        <f t="shared" si="57"/>
        <v>1480</v>
      </c>
      <c r="M3703" s="26">
        <v>2220</v>
      </c>
      <c r="O3703" s="22" t="s">
        <v>3402</v>
      </c>
      <c r="P3703" s="22" t="s">
        <v>2755</v>
      </c>
      <c r="Q3703" s="22" t="s">
        <v>2756</v>
      </c>
      <c r="R3703" s="22" t="s">
        <v>3403</v>
      </c>
      <c r="S3703" s="22" t="s">
        <v>3404</v>
      </c>
      <c r="T3703" s="22">
        <v>6.9</v>
      </c>
      <c r="U3703" s="22">
        <v>0.4</v>
      </c>
      <c r="X3703" s="26"/>
      <c r="Y3703" s="26"/>
    </row>
    <row r="3704" spans="1:25" ht="37.5" x14ac:dyDescent="0.25">
      <c r="A3704" s="21">
        <v>4424</v>
      </c>
      <c r="B3704" s="22" t="s">
        <v>15335</v>
      </c>
      <c r="C3704" s="22" t="s">
        <v>5015</v>
      </c>
      <c r="E3704" s="24">
        <v>2000</v>
      </c>
      <c r="F3704" s="22">
        <v>15290</v>
      </c>
      <c r="G3704" s="23" t="s">
        <v>3405</v>
      </c>
      <c r="H3704" s="25" t="s">
        <v>15373</v>
      </c>
      <c r="I3704" s="22" t="s">
        <v>15382</v>
      </c>
      <c r="J3704" s="22" t="s">
        <v>15391</v>
      </c>
      <c r="K3704" s="26">
        <f t="shared" si="57"/>
        <v>1480</v>
      </c>
      <c r="M3704" s="26">
        <v>2220</v>
      </c>
      <c r="O3704" s="22" t="s">
        <v>3402</v>
      </c>
      <c r="P3704" s="22" t="s">
        <v>2755</v>
      </c>
      <c r="Q3704" s="22" t="s">
        <v>2756</v>
      </c>
      <c r="R3704" s="22" t="s">
        <v>3403</v>
      </c>
      <c r="S3704" s="22" t="s">
        <v>3404</v>
      </c>
      <c r="T3704" s="22">
        <v>6.9</v>
      </c>
      <c r="U3704" s="22">
        <v>0.4</v>
      </c>
      <c r="X3704" s="26"/>
      <c r="Y3704" s="26"/>
    </row>
    <row r="3705" spans="1:25" ht="37.5" x14ac:dyDescent="0.25">
      <c r="A3705" s="21">
        <v>4425</v>
      </c>
      <c r="B3705" s="22" t="s">
        <v>15335</v>
      </c>
      <c r="C3705" s="22" t="s">
        <v>5015</v>
      </c>
      <c r="E3705" s="24">
        <v>2000</v>
      </c>
      <c r="F3705" s="22">
        <v>15291</v>
      </c>
      <c r="G3705" s="23" t="s">
        <v>3406</v>
      </c>
      <c r="H3705" s="25" t="s">
        <v>15373</v>
      </c>
      <c r="I3705" s="22" t="s">
        <v>15382</v>
      </c>
      <c r="J3705" s="22" t="s">
        <v>15391</v>
      </c>
      <c r="K3705" s="26">
        <f t="shared" si="57"/>
        <v>1480</v>
      </c>
      <c r="M3705" s="26">
        <v>2220</v>
      </c>
      <c r="O3705" s="22" t="s">
        <v>3402</v>
      </c>
      <c r="P3705" s="22" t="s">
        <v>2755</v>
      </c>
      <c r="Q3705" s="22" t="s">
        <v>2756</v>
      </c>
      <c r="R3705" s="22" t="s">
        <v>3403</v>
      </c>
      <c r="S3705" s="22" t="s">
        <v>3404</v>
      </c>
      <c r="T3705" s="22">
        <v>6.9</v>
      </c>
      <c r="U3705" s="22">
        <v>0.4</v>
      </c>
      <c r="X3705" s="26"/>
      <c r="Y3705" s="26"/>
    </row>
    <row r="3706" spans="1:25" ht="37.5" x14ac:dyDescent="0.25">
      <c r="A3706" s="21">
        <v>4426</v>
      </c>
      <c r="B3706" s="22" t="s">
        <v>15335</v>
      </c>
      <c r="C3706" s="22" t="s">
        <v>3407</v>
      </c>
      <c r="E3706" s="24">
        <v>2001</v>
      </c>
      <c r="F3706" s="22">
        <v>15495</v>
      </c>
      <c r="G3706" s="23" t="s">
        <v>3408</v>
      </c>
      <c r="H3706" s="25" t="s">
        <v>15373</v>
      </c>
      <c r="I3706" s="22" t="s">
        <v>15374</v>
      </c>
      <c r="J3706" s="22" t="s">
        <v>12899</v>
      </c>
      <c r="K3706" s="26">
        <f t="shared" si="57"/>
        <v>1917.3333333333333</v>
      </c>
      <c r="M3706" s="26">
        <v>2876</v>
      </c>
      <c r="O3706" s="22" t="s">
        <v>3409</v>
      </c>
      <c r="P3706" s="22" t="s">
        <v>2741</v>
      </c>
      <c r="Q3706" s="22" t="s">
        <v>3804</v>
      </c>
      <c r="T3706" s="22">
        <v>6.9</v>
      </c>
      <c r="U3706" s="22">
        <v>0.4</v>
      </c>
      <c r="X3706" s="26"/>
      <c r="Y3706" s="26"/>
    </row>
    <row r="3707" spans="1:25" ht="37.5" x14ac:dyDescent="0.25">
      <c r="A3707" s="21">
        <v>4427</v>
      </c>
      <c r="B3707" s="22" t="s">
        <v>15335</v>
      </c>
      <c r="C3707" s="22" t="s">
        <v>3410</v>
      </c>
      <c r="E3707" s="24">
        <v>2001</v>
      </c>
      <c r="F3707" s="22">
        <v>15529</v>
      </c>
      <c r="G3707" s="23" t="s">
        <v>3411</v>
      </c>
      <c r="H3707" s="25" t="s">
        <v>15373</v>
      </c>
      <c r="I3707" s="22" t="s">
        <v>15382</v>
      </c>
      <c r="J3707" s="22" t="s">
        <v>16792</v>
      </c>
      <c r="K3707" s="26">
        <f t="shared" si="57"/>
        <v>356.66666666666663</v>
      </c>
      <c r="M3707" s="26">
        <v>535</v>
      </c>
      <c r="O3707" s="22" t="s">
        <v>3412</v>
      </c>
      <c r="P3707" s="22" t="s">
        <v>2741</v>
      </c>
      <c r="Q3707" s="22" t="s">
        <v>2916</v>
      </c>
      <c r="R3707" s="22" t="s">
        <v>3413</v>
      </c>
      <c r="S3707" s="22" t="s">
        <v>3414</v>
      </c>
      <c r="T3707" s="22">
        <v>6.9</v>
      </c>
      <c r="U3707" s="22">
        <v>0.4</v>
      </c>
      <c r="X3707" s="26"/>
      <c r="Y3707" s="26"/>
    </row>
    <row r="3708" spans="1:25" ht="37.5" x14ac:dyDescent="0.25">
      <c r="A3708" s="21">
        <v>4428</v>
      </c>
      <c r="B3708" s="22" t="s">
        <v>15335</v>
      </c>
      <c r="C3708" s="22" t="s">
        <v>3410</v>
      </c>
      <c r="E3708" s="24">
        <v>2001</v>
      </c>
      <c r="F3708" s="22">
        <v>15530</v>
      </c>
      <c r="G3708" s="23" t="s">
        <v>3415</v>
      </c>
      <c r="H3708" s="25" t="s">
        <v>15373</v>
      </c>
      <c r="I3708" s="22" t="s">
        <v>15382</v>
      </c>
      <c r="J3708" s="22" t="s">
        <v>16792</v>
      </c>
      <c r="K3708" s="26">
        <f t="shared" si="57"/>
        <v>356.66666666666663</v>
      </c>
      <c r="M3708" s="26">
        <v>535</v>
      </c>
      <c r="O3708" s="22" t="s">
        <v>3412</v>
      </c>
      <c r="P3708" s="22" t="s">
        <v>2741</v>
      </c>
      <c r="Q3708" s="22" t="s">
        <v>2916</v>
      </c>
      <c r="R3708" s="22" t="s">
        <v>3413</v>
      </c>
      <c r="S3708" s="22" t="s">
        <v>3414</v>
      </c>
      <c r="T3708" s="22">
        <v>6.9</v>
      </c>
      <c r="U3708" s="22">
        <v>0.4</v>
      </c>
      <c r="X3708" s="26"/>
      <c r="Y3708" s="26"/>
    </row>
    <row r="3709" spans="1:25" ht="37.5" x14ac:dyDescent="0.25">
      <c r="A3709" s="21">
        <v>4429</v>
      </c>
      <c r="B3709" s="22" t="s">
        <v>15335</v>
      </c>
      <c r="C3709" s="22" t="s">
        <v>3416</v>
      </c>
      <c r="E3709" s="24">
        <v>1992</v>
      </c>
      <c r="F3709" s="22">
        <v>9624</v>
      </c>
      <c r="G3709" s="23" t="s">
        <v>3417</v>
      </c>
      <c r="H3709" s="25" t="s">
        <v>15373</v>
      </c>
      <c r="I3709" s="22" t="s">
        <v>15382</v>
      </c>
      <c r="J3709" s="22" t="s">
        <v>16861</v>
      </c>
      <c r="K3709" s="26">
        <f t="shared" si="57"/>
        <v>400</v>
      </c>
      <c r="N3709" s="26">
        <v>600</v>
      </c>
      <c r="O3709" s="22" t="s">
        <v>3418</v>
      </c>
      <c r="P3709" s="22" t="s">
        <v>2741</v>
      </c>
      <c r="Q3709" s="22" t="s">
        <v>3861</v>
      </c>
      <c r="R3709" s="22" t="s">
        <v>3419</v>
      </c>
      <c r="S3709" s="22" t="s">
        <v>3420</v>
      </c>
      <c r="T3709" s="22">
        <v>8.17</v>
      </c>
      <c r="U3709" s="22">
        <v>0.38</v>
      </c>
      <c r="X3709" s="26"/>
      <c r="Y3709" s="26"/>
    </row>
    <row r="3710" spans="1:25" ht="25" x14ac:dyDescent="0.25">
      <c r="A3710" s="21">
        <v>4430</v>
      </c>
      <c r="B3710" s="22" t="s">
        <v>15335</v>
      </c>
      <c r="C3710" s="22" t="s">
        <v>3421</v>
      </c>
      <c r="E3710" s="24">
        <v>1994</v>
      </c>
      <c r="F3710" s="22">
        <v>9710</v>
      </c>
      <c r="G3710" s="23" t="s">
        <v>3422</v>
      </c>
      <c r="H3710" s="25" t="s">
        <v>15373</v>
      </c>
      <c r="I3710" s="22" t="s">
        <v>15411</v>
      </c>
      <c r="J3710" s="22" t="s">
        <v>14158</v>
      </c>
      <c r="K3710" s="26">
        <f t="shared" si="57"/>
        <v>821.33333333333326</v>
      </c>
      <c r="N3710" s="26">
        <v>1232</v>
      </c>
      <c r="O3710" s="22" t="s">
        <v>3289</v>
      </c>
      <c r="P3710" s="22" t="s">
        <v>2926</v>
      </c>
      <c r="Q3710" s="22" t="s">
        <v>3003</v>
      </c>
      <c r="R3710" s="22" t="s">
        <v>3423</v>
      </c>
      <c r="S3710" s="22" t="s">
        <v>3424</v>
      </c>
      <c r="T3710" s="22">
        <v>8.17</v>
      </c>
      <c r="U3710" s="22">
        <v>0.38</v>
      </c>
      <c r="X3710" s="26"/>
      <c r="Y3710" s="26"/>
    </row>
    <row r="3711" spans="1:25" ht="37.5" x14ac:dyDescent="0.25">
      <c r="A3711" s="21">
        <v>4436</v>
      </c>
      <c r="B3711" s="22" t="s">
        <v>15335</v>
      </c>
      <c r="C3711" s="22" t="s">
        <v>3425</v>
      </c>
      <c r="E3711" s="24">
        <v>1999</v>
      </c>
      <c r="F3711" s="22">
        <v>14624</v>
      </c>
      <c r="G3711" s="23" t="s">
        <v>3426</v>
      </c>
      <c r="H3711" s="25" t="s">
        <v>15373</v>
      </c>
      <c r="I3711" s="22" t="s">
        <v>15411</v>
      </c>
      <c r="J3711" s="22" t="s">
        <v>15412</v>
      </c>
      <c r="K3711" s="26">
        <f t="shared" si="57"/>
        <v>631.33333333333326</v>
      </c>
      <c r="M3711" s="26">
        <v>947</v>
      </c>
      <c r="O3711" s="22" t="s">
        <v>3427</v>
      </c>
      <c r="P3711" s="22" t="s">
        <v>2174</v>
      </c>
      <c r="Q3711" s="22" t="s">
        <v>2955</v>
      </c>
      <c r="R3711" s="22" t="s">
        <v>3428</v>
      </c>
      <c r="S3711" s="22" t="s">
        <v>3429</v>
      </c>
      <c r="T3711" s="22">
        <v>8.17</v>
      </c>
      <c r="U3711" s="22">
        <v>0.38</v>
      </c>
      <c r="X3711" s="26"/>
      <c r="Y3711" s="26"/>
    </row>
    <row r="3712" spans="1:25" ht="37.5" x14ac:dyDescent="0.25">
      <c r="A3712" s="21">
        <v>4437</v>
      </c>
      <c r="B3712" s="22" t="s">
        <v>15335</v>
      </c>
      <c r="C3712" s="22" t="s">
        <v>3430</v>
      </c>
      <c r="E3712" s="24">
        <v>1998</v>
      </c>
      <c r="F3712" s="22">
        <v>13405</v>
      </c>
      <c r="G3712" s="23" t="s">
        <v>3431</v>
      </c>
      <c r="H3712" s="25" t="s">
        <v>15373</v>
      </c>
      <c r="I3712" s="22" t="s">
        <v>15411</v>
      </c>
      <c r="J3712" s="22" t="s">
        <v>16276</v>
      </c>
      <c r="K3712" s="26">
        <f t="shared" si="57"/>
        <v>378.66666666666663</v>
      </c>
      <c r="M3712" s="26">
        <v>568</v>
      </c>
      <c r="O3712" s="22" t="s">
        <v>3432</v>
      </c>
      <c r="P3712" s="22" t="s">
        <v>2772</v>
      </c>
      <c r="Q3712" s="22" t="s">
        <v>2773</v>
      </c>
      <c r="R3712" s="22" t="s">
        <v>3433</v>
      </c>
      <c r="S3712" s="22" t="s">
        <v>3434</v>
      </c>
      <c r="T3712" s="22">
        <v>6.9</v>
      </c>
      <c r="U3712" s="22">
        <v>0.4</v>
      </c>
      <c r="X3712" s="26"/>
      <c r="Y3712" s="26"/>
    </row>
    <row r="3713" spans="1:25" ht="37.5" x14ac:dyDescent="0.25">
      <c r="A3713" s="21">
        <v>4438</v>
      </c>
      <c r="B3713" s="22" t="s">
        <v>15335</v>
      </c>
      <c r="C3713" s="22" t="s">
        <v>3430</v>
      </c>
      <c r="E3713" s="24">
        <v>1998</v>
      </c>
      <c r="F3713" s="22">
        <v>13406</v>
      </c>
      <c r="G3713" s="23" t="s">
        <v>3435</v>
      </c>
      <c r="H3713" s="25" t="s">
        <v>15373</v>
      </c>
      <c r="I3713" s="22" t="s">
        <v>15411</v>
      </c>
      <c r="J3713" s="22" t="s">
        <v>16276</v>
      </c>
      <c r="K3713" s="26">
        <f t="shared" si="57"/>
        <v>378.66666666666663</v>
      </c>
      <c r="M3713" s="26">
        <v>568</v>
      </c>
      <c r="O3713" s="22" t="s">
        <v>3432</v>
      </c>
      <c r="P3713" s="22" t="s">
        <v>2772</v>
      </c>
      <c r="Q3713" s="22" t="s">
        <v>2773</v>
      </c>
      <c r="R3713" s="22" t="s">
        <v>3433</v>
      </c>
      <c r="S3713" s="22" t="s">
        <v>3434</v>
      </c>
      <c r="T3713" s="22">
        <v>6.9</v>
      </c>
      <c r="U3713" s="22">
        <v>0.4</v>
      </c>
      <c r="X3713" s="26"/>
      <c r="Y3713" s="26"/>
    </row>
    <row r="3714" spans="1:25" ht="25" x14ac:dyDescent="0.25">
      <c r="A3714" s="21">
        <v>4439</v>
      </c>
      <c r="B3714" s="22" t="s">
        <v>15335</v>
      </c>
      <c r="C3714" s="22" t="s">
        <v>3436</v>
      </c>
      <c r="E3714" s="24">
        <v>1997</v>
      </c>
      <c r="F3714" s="22">
        <v>12712</v>
      </c>
      <c r="G3714" s="23" t="s">
        <v>3437</v>
      </c>
      <c r="H3714" s="25" t="s">
        <v>15373</v>
      </c>
      <c r="I3714" s="22" t="s">
        <v>15382</v>
      </c>
      <c r="J3714" s="22" t="s">
        <v>15723</v>
      </c>
      <c r="K3714" s="26">
        <f t="shared" si="57"/>
        <v>1233.3333333333333</v>
      </c>
      <c r="M3714" s="26">
        <v>1850</v>
      </c>
      <c r="O3714" s="22" t="s">
        <v>3438</v>
      </c>
      <c r="P3714" s="22" t="s">
        <v>2741</v>
      </c>
      <c r="Q3714" s="22" t="s">
        <v>3059</v>
      </c>
      <c r="R3714" s="22" t="s">
        <v>3439</v>
      </c>
      <c r="S3714" s="22" t="s">
        <v>3440</v>
      </c>
      <c r="T3714" s="22">
        <v>8.17</v>
      </c>
      <c r="U3714" s="22">
        <v>0.38</v>
      </c>
      <c r="X3714" s="26"/>
      <c r="Y3714" s="26"/>
    </row>
    <row r="3715" spans="1:25" ht="25" x14ac:dyDescent="0.25">
      <c r="A3715" s="21">
        <v>4440</v>
      </c>
      <c r="B3715" s="22" t="s">
        <v>15335</v>
      </c>
      <c r="C3715" s="22" t="s">
        <v>3436</v>
      </c>
      <c r="E3715" s="24">
        <v>1997</v>
      </c>
      <c r="F3715" s="22">
        <v>12713</v>
      </c>
      <c r="G3715" s="23" t="s">
        <v>3441</v>
      </c>
      <c r="H3715" s="25" t="s">
        <v>15373</v>
      </c>
      <c r="I3715" s="22" t="s">
        <v>15382</v>
      </c>
      <c r="J3715" s="22" t="s">
        <v>15723</v>
      </c>
      <c r="K3715" s="26">
        <f t="shared" si="57"/>
        <v>1233.3333333333333</v>
      </c>
      <c r="M3715" s="26">
        <v>1850</v>
      </c>
      <c r="O3715" s="22" t="s">
        <v>3438</v>
      </c>
      <c r="P3715" s="22" t="s">
        <v>2741</v>
      </c>
      <c r="Q3715" s="22" t="s">
        <v>3059</v>
      </c>
      <c r="R3715" s="22" t="s">
        <v>3439</v>
      </c>
      <c r="S3715" s="22" t="s">
        <v>3440</v>
      </c>
      <c r="T3715" s="22">
        <v>8.17</v>
      </c>
      <c r="U3715" s="22">
        <v>0.38</v>
      </c>
      <c r="X3715" s="26"/>
      <c r="Y3715" s="26"/>
    </row>
    <row r="3716" spans="1:25" ht="50" x14ac:dyDescent="0.25">
      <c r="A3716" s="21">
        <v>4441</v>
      </c>
      <c r="B3716" s="22" t="s">
        <v>15335</v>
      </c>
      <c r="C3716" s="22" t="s">
        <v>3056</v>
      </c>
      <c r="E3716" s="24">
        <v>1999</v>
      </c>
      <c r="F3716" s="22">
        <v>14360</v>
      </c>
      <c r="G3716" s="23" t="s">
        <v>3442</v>
      </c>
      <c r="H3716" s="25" t="s">
        <v>15373</v>
      </c>
      <c r="I3716" s="22" t="s">
        <v>15411</v>
      </c>
      <c r="J3716" s="22" t="s">
        <v>12755</v>
      </c>
      <c r="K3716" s="26">
        <f t="shared" si="57"/>
        <v>1010</v>
      </c>
      <c r="M3716" s="26">
        <v>1515</v>
      </c>
      <c r="O3716" s="22" t="s">
        <v>3443</v>
      </c>
      <c r="P3716" s="22" t="s">
        <v>2741</v>
      </c>
      <c r="Q3716" s="22" t="s">
        <v>2916</v>
      </c>
      <c r="R3716" s="22" t="s">
        <v>3444</v>
      </c>
      <c r="S3716" s="22" t="s">
        <v>3445</v>
      </c>
      <c r="T3716" s="22">
        <v>8.17</v>
      </c>
      <c r="U3716" s="22">
        <v>0.38</v>
      </c>
      <c r="X3716" s="26"/>
      <c r="Y3716" s="26"/>
    </row>
    <row r="3717" spans="1:25" ht="50" x14ac:dyDescent="0.25">
      <c r="A3717" s="21">
        <v>4442</v>
      </c>
      <c r="B3717" s="22" t="s">
        <v>15335</v>
      </c>
      <c r="C3717" s="22" t="s">
        <v>3056</v>
      </c>
      <c r="E3717" s="24">
        <v>1999</v>
      </c>
      <c r="F3717" s="22">
        <v>14361</v>
      </c>
      <c r="G3717" s="23" t="s">
        <v>3446</v>
      </c>
      <c r="H3717" s="25" t="s">
        <v>15373</v>
      </c>
      <c r="I3717" s="22" t="s">
        <v>15411</v>
      </c>
      <c r="J3717" s="22" t="s">
        <v>12755</v>
      </c>
      <c r="K3717" s="26">
        <f t="shared" si="57"/>
        <v>1010</v>
      </c>
      <c r="M3717" s="26">
        <v>1515</v>
      </c>
      <c r="O3717" s="22" t="s">
        <v>3443</v>
      </c>
      <c r="P3717" s="22" t="s">
        <v>2741</v>
      </c>
      <c r="Q3717" s="22" t="s">
        <v>2916</v>
      </c>
      <c r="R3717" s="22" t="s">
        <v>3444</v>
      </c>
      <c r="S3717" s="22" t="s">
        <v>3445</v>
      </c>
      <c r="T3717" s="22">
        <v>8.17</v>
      </c>
      <c r="U3717" s="22">
        <v>0.38</v>
      </c>
      <c r="X3717" s="26"/>
      <c r="Y3717" s="26"/>
    </row>
    <row r="3718" spans="1:25" ht="25" x14ac:dyDescent="0.25">
      <c r="A3718" s="21">
        <v>4443</v>
      </c>
      <c r="B3718" s="22" t="s">
        <v>15335</v>
      </c>
      <c r="C3718" s="22" t="s">
        <v>3447</v>
      </c>
      <c r="E3718" s="24">
        <v>1996</v>
      </c>
      <c r="F3718" s="22">
        <v>12634</v>
      </c>
      <c r="G3718" s="23" t="s">
        <v>3448</v>
      </c>
      <c r="H3718" s="25" t="s">
        <v>15373</v>
      </c>
      <c r="I3718" s="22" t="s">
        <v>15374</v>
      </c>
      <c r="J3718" s="22">
        <v>3412</v>
      </c>
      <c r="K3718" s="26">
        <f t="shared" si="57"/>
        <v>597.33333333333326</v>
      </c>
      <c r="M3718" s="26">
        <v>896</v>
      </c>
      <c r="O3718" s="22" t="s">
        <v>3449</v>
      </c>
      <c r="P3718" s="22" t="s">
        <v>2741</v>
      </c>
      <c r="Q3718" s="22" t="s">
        <v>2961</v>
      </c>
      <c r="R3718" s="22" t="s">
        <v>3450</v>
      </c>
      <c r="S3718" s="22" t="s">
        <v>3451</v>
      </c>
      <c r="T3718" s="22">
        <v>8.17</v>
      </c>
      <c r="U3718" s="22">
        <v>0.38</v>
      </c>
      <c r="X3718" s="26"/>
      <c r="Y3718" s="26"/>
    </row>
    <row r="3719" spans="1:25" ht="37.5" x14ac:dyDescent="0.25">
      <c r="A3719" s="21">
        <v>4444</v>
      </c>
      <c r="B3719" s="22" t="s">
        <v>15335</v>
      </c>
      <c r="C3719" s="22" t="s">
        <v>3063</v>
      </c>
      <c r="E3719" s="24">
        <v>1997</v>
      </c>
      <c r="F3719" s="22">
        <v>12880</v>
      </c>
      <c r="G3719" s="23" t="s">
        <v>3452</v>
      </c>
      <c r="H3719" s="25" t="s">
        <v>15373</v>
      </c>
      <c r="I3719" s="22" t="s">
        <v>16160</v>
      </c>
      <c r="J3719" s="22" t="s">
        <v>3453</v>
      </c>
      <c r="K3719" s="26">
        <f t="shared" si="57"/>
        <v>308</v>
      </c>
      <c r="N3719" s="26">
        <v>462</v>
      </c>
      <c r="O3719" s="22" t="s">
        <v>3454</v>
      </c>
      <c r="P3719" s="22" t="s">
        <v>2741</v>
      </c>
      <c r="Q3719" s="22" t="s">
        <v>3861</v>
      </c>
      <c r="R3719" s="22" t="s">
        <v>3455</v>
      </c>
      <c r="S3719" s="22" t="s">
        <v>3456</v>
      </c>
      <c r="T3719" s="22">
        <v>6.9</v>
      </c>
      <c r="U3719" s="22">
        <v>0.4</v>
      </c>
      <c r="X3719" s="26"/>
      <c r="Y3719" s="26"/>
    </row>
    <row r="3720" spans="1:25" ht="37.5" x14ac:dyDescent="0.25">
      <c r="A3720" s="21">
        <v>4446</v>
      </c>
      <c r="B3720" s="22" t="s">
        <v>15335</v>
      </c>
      <c r="C3720" s="22" t="s">
        <v>3063</v>
      </c>
      <c r="E3720" s="24">
        <v>1997</v>
      </c>
      <c r="F3720" s="22">
        <v>12885</v>
      </c>
      <c r="G3720" s="23" t="s">
        <v>3457</v>
      </c>
      <c r="H3720" s="25" t="s">
        <v>16310</v>
      </c>
      <c r="I3720" s="22" t="s">
        <v>15374</v>
      </c>
      <c r="J3720" s="22" t="s">
        <v>3458</v>
      </c>
      <c r="K3720" s="26">
        <f t="shared" si="57"/>
        <v>402.66666666666663</v>
      </c>
      <c r="M3720" s="26">
        <v>604</v>
      </c>
      <c r="O3720" s="22" t="s">
        <v>3459</v>
      </c>
      <c r="P3720" s="22" t="s">
        <v>2741</v>
      </c>
      <c r="Q3720" s="22" t="s">
        <v>2916</v>
      </c>
      <c r="R3720" s="22" t="s">
        <v>3460</v>
      </c>
      <c r="S3720" s="22" t="s">
        <v>3461</v>
      </c>
      <c r="X3720" s="26"/>
      <c r="Y3720" s="26"/>
    </row>
    <row r="3721" spans="1:25" ht="37.5" x14ac:dyDescent="0.25">
      <c r="A3721" s="21">
        <v>4447</v>
      </c>
      <c r="B3721" s="22" t="s">
        <v>15335</v>
      </c>
      <c r="C3721" s="22" t="s">
        <v>3063</v>
      </c>
      <c r="E3721" s="24">
        <v>2000</v>
      </c>
      <c r="F3721" s="22">
        <v>12825</v>
      </c>
      <c r="G3721" s="23" t="s">
        <v>3462</v>
      </c>
      <c r="H3721" s="25" t="s">
        <v>15373</v>
      </c>
      <c r="I3721" s="22" t="s">
        <v>15382</v>
      </c>
      <c r="J3721" s="22" t="s">
        <v>3463</v>
      </c>
      <c r="K3721" s="26">
        <f t="shared" si="57"/>
        <v>600</v>
      </c>
      <c r="M3721" s="26">
        <v>900</v>
      </c>
      <c r="O3721" s="22" t="s">
        <v>3464</v>
      </c>
      <c r="P3721" s="22" t="s">
        <v>2741</v>
      </c>
      <c r="Q3721" s="22" t="s">
        <v>2916</v>
      </c>
      <c r="R3721" s="22" t="s">
        <v>3465</v>
      </c>
      <c r="S3721" s="22" t="s">
        <v>3466</v>
      </c>
      <c r="T3721" s="22">
        <v>6.9</v>
      </c>
      <c r="U3721" s="22">
        <v>0.4</v>
      </c>
      <c r="X3721" s="26"/>
      <c r="Y3721" s="26"/>
    </row>
    <row r="3722" spans="1:25" ht="37.5" x14ac:dyDescent="0.25">
      <c r="A3722" s="21">
        <v>4448</v>
      </c>
      <c r="B3722" s="22" t="s">
        <v>15335</v>
      </c>
      <c r="C3722" s="22" t="s">
        <v>3063</v>
      </c>
      <c r="E3722" s="24">
        <v>2000</v>
      </c>
      <c r="F3722" s="22">
        <v>14677</v>
      </c>
      <c r="G3722" s="23" t="s">
        <v>3467</v>
      </c>
      <c r="H3722" s="25" t="s">
        <v>15373</v>
      </c>
      <c r="I3722" s="22" t="s">
        <v>15411</v>
      </c>
      <c r="J3722" s="22" t="s">
        <v>15068</v>
      </c>
      <c r="K3722" s="26">
        <f t="shared" si="57"/>
        <v>780</v>
      </c>
      <c r="M3722" s="26">
        <v>1170</v>
      </c>
      <c r="O3722" s="22" t="s">
        <v>3468</v>
      </c>
      <c r="P3722" s="22" t="s">
        <v>2755</v>
      </c>
      <c r="Q3722" s="22" t="s">
        <v>3131</v>
      </c>
      <c r="R3722" s="22" t="s">
        <v>3469</v>
      </c>
      <c r="S3722" s="22" t="s">
        <v>3470</v>
      </c>
      <c r="T3722" s="22">
        <v>6.9</v>
      </c>
      <c r="U3722" s="22">
        <v>0.4</v>
      </c>
      <c r="X3722" s="26"/>
      <c r="Y3722" s="26"/>
    </row>
    <row r="3723" spans="1:25" ht="37.5" x14ac:dyDescent="0.25">
      <c r="A3723" s="21">
        <v>4449</v>
      </c>
      <c r="B3723" s="22" t="s">
        <v>15335</v>
      </c>
      <c r="C3723" s="22" t="s">
        <v>3471</v>
      </c>
      <c r="E3723" s="24">
        <v>1999</v>
      </c>
      <c r="F3723" s="22">
        <v>13967</v>
      </c>
      <c r="G3723" s="23" t="s">
        <v>3472</v>
      </c>
      <c r="H3723" s="25" t="s">
        <v>15373</v>
      </c>
      <c r="I3723" s="22" t="s">
        <v>15374</v>
      </c>
      <c r="J3723" s="22" t="s">
        <v>16561</v>
      </c>
      <c r="K3723" s="26">
        <f t="shared" si="57"/>
        <v>391.33333333333331</v>
      </c>
      <c r="M3723" s="26">
        <v>587</v>
      </c>
      <c r="O3723" s="22" t="s">
        <v>3473</v>
      </c>
      <c r="P3723" s="22" t="s">
        <v>2741</v>
      </c>
      <c r="Q3723" s="22" t="s">
        <v>2742</v>
      </c>
      <c r="R3723" s="22" t="s">
        <v>3474</v>
      </c>
      <c r="S3723" s="22" t="s">
        <v>3475</v>
      </c>
      <c r="T3723" s="22">
        <v>6.9</v>
      </c>
      <c r="U3723" s="22">
        <v>0.4</v>
      </c>
      <c r="X3723" s="26"/>
      <c r="Y3723" s="26"/>
    </row>
    <row r="3724" spans="1:25" ht="25" x14ac:dyDescent="0.25">
      <c r="A3724" s="21">
        <v>4450</v>
      </c>
      <c r="B3724" s="22" t="s">
        <v>15335</v>
      </c>
      <c r="C3724" s="22" t="s">
        <v>3476</v>
      </c>
      <c r="E3724" s="24">
        <v>1997</v>
      </c>
      <c r="F3724" s="22">
        <v>13213</v>
      </c>
      <c r="G3724" s="23" t="s">
        <v>2386</v>
      </c>
      <c r="H3724" s="25" t="s">
        <v>15373</v>
      </c>
      <c r="I3724" s="22" t="s">
        <v>15374</v>
      </c>
      <c r="J3724" s="22">
        <v>3412</v>
      </c>
      <c r="K3724" s="26">
        <f t="shared" si="57"/>
        <v>413.33333333333331</v>
      </c>
      <c r="M3724" s="26">
        <v>620</v>
      </c>
      <c r="O3724" s="22" t="s">
        <v>2387</v>
      </c>
      <c r="P3724" s="22" t="s">
        <v>2741</v>
      </c>
      <c r="Q3724" s="22" t="s">
        <v>3181</v>
      </c>
      <c r="R3724" s="22" t="s">
        <v>2388</v>
      </c>
      <c r="S3724" s="22" t="s">
        <v>2389</v>
      </c>
      <c r="T3724" s="22">
        <v>6.9</v>
      </c>
      <c r="U3724" s="22">
        <v>0.4</v>
      </c>
      <c r="X3724" s="26"/>
      <c r="Y3724" s="26"/>
    </row>
    <row r="3725" spans="1:25" ht="25" x14ac:dyDescent="0.25">
      <c r="A3725" s="21">
        <v>4451</v>
      </c>
      <c r="B3725" s="22" t="s">
        <v>15335</v>
      </c>
      <c r="C3725" s="22" t="s">
        <v>3476</v>
      </c>
      <c r="E3725" s="24">
        <v>1997</v>
      </c>
      <c r="F3725" s="22">
        <v>13476</v>
      </c>
      <c r="G3725" s="23" t="s">
        <v>2390</v>
      </c>
      <c r="H3725" s="25" t="s">
        <v>15373</v>
      </c>
      <c r="I3725" s="22" t="s">
        <v>15374</v>
      </c>
      <c r="J3725" s="22">
        <v>3412</v>
      </c>
      <c r="K3725" s="26">
        <f t="shared" si="57"/>
        <v>503.33333333333331</v>
      </c>
      <c r="M3725" s="26">
        <v>755</v>
      </c>
      <c r="O3725" s="22" t="s">
        <v>2387</v>
      </c>
      <c r="P3725" s="22" t="s">
        <v>2741</v>
      </c>
      <c r="Q3725" s="22" t="s">
        <v>3181</v>
      </c>
      <c r="R3725" s="22" t="s">
        <v>2388</v>
      </c>
      <c r="S3725" s="22" t="s">
        <v>2389</v>
      </c>
      <c r="T3725" s="22">
        <v>8.17</v>
      </c>
      <c r="U3725" s="22">
        <v>0.38</v>
      </c>
      <c r="X3725" s="26"/>
      <c r="Y3725" s="26"/>
    </row>
    <row r="3726" spans="1:25" ht="37.5" x14ac:dyDescent="0.25">
      <c r="A3726" s="21">
        <v>4452</v>
      </c>
      <c r="B3726" s="22" t="s">
        <v>15335</v>
      </c>
      <c r="C3726" s="22" t="s">
        <v>3476</v>
      </c>
      <c r="E3726" s="24">
        <v>1998</v>
      </c>
      <c r="F3726" s="22">
        <v>13772</v>
      </c>
      <c r="G3726" s="23" t="s">
        <v>2391</v>
      </c>
      <c r="H3726" s="25" t="s">
        <v>15373</v>
      </c>
      <c r="I3726" s="22" t="s">
        <v>15411</v>
      </c>
      <c r="J3726" s="22" t="s">
        <v>15744</v>
      </c>
      <c r="K3726" s="26">
        <f t="shared" si="57"/>
        <v>834.66666666666663</v>
      </c>
      <c r="M3726" s="26">
        <v>1252</v>
      </c>
      <c r="O3726" s="22" t="s">
        <v>2392</v>
      </c>
      <c r="P3726" s="22" t="s">
        <v>2741</v>
      </c>
      <c r="Q3726" s="22" t="s">
        <v>2393</v>
      </c>
      <c r="R3726" s="22" t="s">
        <v>2394</v>
      </c>
      <c r="S3726" s="22" t="s">
        <v>2395</v>
      </c>
      <c r="T3726" s="22">
        <v>8.17</v>
      </c>
      <c r="U3726" s="22">
        <v>0.38</v>
      </c>
      <c r="X3726" s="26"/>
      <c r="Y3726" s="26"/>
    </row>
    <row r="3727" spans="1:25" ht="37.5" x14ac:dyDescent="0.25">
      <c r="A3727" s="21">
        <v>4453</v>
      </c>
      <c r="B3727" s="22" t="s">
        <v>15335</v>
      </c>
      <c r="C3727" s="22" t="s">
        <v>3476</v>
      </c>
      <c r="E3727" s="24">
        <v>1993</v>
      </c>
      <c r="F3727" s="22">
        <v>10771</v>
      </c>
      <c r="G3727" s="23" t="s">
        <v>2396</v>
      </c>
      <c r="H3727" s="25" t="s">
        <v>15373</v>
      </c>
      <c r="I3727" s="22" t="s">
        <v>15382</v>
      </c>
      <c r="J3727" s="22" t="s">
        <v>2397</v>
      </c>
      <c r="K3727" s="26">
        <f t="shared" si="57"/>
        <v>893.33333333333326</v>
      </c>
      <c r="M3727" s="26">
        <v>1340</v>
      </c>
      <c r="O3727" s="22" t="s">
        <v>2398</v>
      </c>
      <c r="P3727" s="22" t="s">
        <v>2741</v>
      </c>
      <c r="Q3727" s="22" t="s">
        <v>2916</v>
      </c>
      <c r="R3727" s="22" t="s">
        <v>2399</v>
      </c>
      <c r="S3727" s="22" t="s">
        <v>2400</v>
      </c>
      <c r="T3727" s="22">
        <v>8.17</v>
      </c>
      <c r="U3727" s="22">
        <v>0.38</v>
      </c>
      <c r="X3727" s="26"/>
      <c r="Y3727" s="26"/>
    </row>
    <row r="3728" spans="1:25" ht="37.5" x14ac:dyDescent="0.25">
      <c r="A3728" s="21">
        <v>4460</v>
      </c>
      <c r="B3728" s="22" t="s">
        <v>15335</v>
      </c>
      <c r="C3728" s="22" t="s">
        <v>2401</v>
      </c>
      <c r="E3728" s="24">
        <v>2001</v>
      </c>
      <c r="F3728" s="22">
        <v>15537</v>
      </c>
      <c r="G3728" s="23" t="s">
        <v>2402</v>
      </c>
      <c r="H3728" s="25" t="s">
        <v>15373</v>
      </c>
      <c r="I3728" s="22" t="s">
        <v>15411</v>
      </c>
      <c r="J3728" s="22" t="s">
        <v>16517</v>
      </c>
      <c r="K3728" s="26">
        <f t="shared" si="57"/>
        <v>326.66666666666663</v>
      </c>
      <c r="M3728" s="26">
        <v>490</v>
      </c>
      <c r="O3728" s="22" t="s">
        <v>2403</v>
      </c>
      <c r="P3728" s="22" t="s">
        <v>2741</v>
      </c>
      <c r="Q3728" s="22" t="s">
        <v>3861</v>
      </c>
      <c r="T3728" s="22">
        <v>6.9</v>
      </c>
      <c r="U3728" s="22">
        <v>0.4</v>
      </c>
      <c r="X3728" s="26"/>
      <c r="Y3728" s="26"/>
    </row>
    <row r="3729" spans="1:25" ht="25" x14ac:dyDescent="0.25">
      <c r="A3729" s="21">
        <v>4462</v>
      </c>
      <c r="B3729" s="22" t="s">
        <v>15335</v>
      </c>
      <c r="C3729" s="22" t="s">
        <v>2404</v>
      </c>
      <c r="E3729" s="24">
        <v>1994</v>
      </c>
      <c r="F3729" s="22">
        <v>9467</v>
      </c>
      <c r="G3729" s="23" t="s">
        <v>2405</v>
      </c>
      <c r="H3729" s="25" t="s">
        <v>15373</v>
      </c>
      <c r="I3729" s="22" t="s">
        <v>15382</v>
      </c>
      <c r="J3729" s="22" t="s">
        <v>2406</v>
      </c>
      <c r="K3729" s="26">
        <f t="shared" si="57"/>
        <v>500</v>
      </c>
      <c r="M3729" s="26">
        <v>750</v>
      </c>
      <c r="O3729" s="22" t="s">
        <v>2407</v>
      </c>
      <c r="P3729" s="22" t="s">
        <v>2741</v>
      </c>
      <c r="Q3729" s="22" t="s">
        <v>3059</v>
      </c>
      <c r="R3729" s="22" t="s">
        <v>2408</v>
      </c>
      <c r="S3729" s="22" t="s">
        <v>2409</v>
      </c>
      <c r="T3729" s="22">
        <v>8.17</v>
      </c>
      <c r="U3729" s="22">
        <v>0.38</v>
      </c>
      <c r="X3729" s="26"/>
      <c r="Y3729" s="26"/>
    </row>
    <row r="3730" spans="1:25" ht="37.5" x14ac:dyDescent="0.25">
      <c r="A3730" s="21">
        <v>4463</v>
      </c>
      <c r="B3730" s="22" t="s">
        <v>15335</v>
      </c>
      <c r="C3730" s="22" t="s">
        <v>2404</v>
      </c>
      <c r="E3730" s="24">
        <v>1994</v>
      </c>
      <c r="F3730" s="22">
        <v>11494</v>
      </c>
      <c r="G3730" s="23" t="s">
        <v>2410</v>
      </c>
      <c r="H3730" s="25" t="s">
        <v>15373</v>
      </c>
      <c r="I3730" s="22" t="s">
        <v>15374</v>
      </c>
      <c r="J3730" s="22">
        <v>3412</v>
      </c>
      <c r="K3730" s="26">
        <f t="shared" si="57"/>
        <v>593.33333333333326</v>
      </c>
      <c r="N3730" s="26">
        <v>890</v>
      </c>
      <c r="O3730" s="22" t="s">
        <v>2937</v>
      </c>
      <c r="P3730" s="22" t="s">
        <v>2741</v>
      </c>
      <c r="Q3730" s="22" t="s">
        <v>2916</v>
      </c>
      <c r="R3730" s="22" t="s">
        <v>2411</v>
      </c>
      <c r="S3730" s="22" t="s">
        <v>2412</v>
      </c>
      <c r="T3730" s="22">
        <v>8.17</v>
      </c>
      <c r="U3730" s="22">
        <v>0.38</v>
      </c>
      <c r="X3730" s="26"/>
      <c r="Y3730" s="26"/>
    </row>
    <row r="3731" spans="1:25" ht="37.5" x14ac:dyDescent="0.25">
      <c r="A3731" s="21">
        <v>4464</v>
      </c>
      <c r="B3731" s="22" t="s">
        <v>15335</v>
      </c>
      <c r="C3731" s="22" t="s">
        <v>2404</v>
      </c>
      <c r="E3731" s="24">
        <v>1999</v>
      </c>
      <c r="F3731" s="22">
        <v>10919</v>
      </c>
      <c r="G3731" s="23" t="s">
        <v>2413</v>
      </c>
      <c r="H3731" s="25" t="s">
        <v>15373</v>
      </c>
      <c r="I3731" s="22" t="s">
        <v>15374</v>
      </c>
      <c r="J3731" s="22" t="s">
        <v>2414</v>
      </c>
      <c r="K3731" s="26">
        <f t="shared" si="57"/>
        <v>1917.3333333333333</v>
      </c>
      <c r="M3731" s="26">
        <v>2876</v>
      </c>
      <c r="O3731" s="22" t="s">
        <v>2415</v>
      </c>
      <c r="P3731" s="22" t="s">
        <v>2741</v>
      </c>
      <c r="Q3731" s="22" t="s">
        <v>2916</v>
      </c>
      <c r="R3731" s="22" t="s">
        <v>2416</v>
      </c>
      <c r="S3731" s="22" t="s">
        <v>2417</v>
      </c>
      <c r="T3731" s="22">
        <v>8.17</v>
      </c>
      <c r="U3731" s="22">
        <v>0.38</v>
      </c>
      <c r="X3731" s="26"/>
      <c r="Y3731" s="26"/>
    </row>
    <row r="3732" spans="1:25" ht="37.5" x14ac:dyDescent="0.25">
      <c r="A3732" s="21">
        <v>4465</v>
      </c>
      <c r="B3732" s="22" t="s">
        <v>15335</v>
      </c>
      <c r="C3732" s="22" t="s">
        <v>2404</v>
      </c>
      <c r="E3732" s="24">
        <v>1999</v>
      </c>
      <c r="F3732" s="22">
        <v>10920</v>
      </c>
      <c r="G3732" s="23" t="s">
        <v>2418</v>
      </c>
      <c r="H3732" s="25" t="s">
        <v>15373</v>
      </c>
      <c r="I3732" s="22" t="s">
        <v>15374</v>
      </c>
      <c r="J3732" s="22" t="s">
        <v>2414</v>
      </c>
      <c r="K3732" s="26">
        <f t="shared" si="57"/>
        <v>1917.3333333333333</v>
      </c>
      <c r="M3732" s="26">
        <v>2876</v>
      </c>
      <c r="O3732" s="22" t="s">
        <v>2415</v>
      </c>
      <c r="P3732" s="22" t="s">
        <v>2741</v>
      </c>
      <c r="Q3732" s="22" t="s">
        <v>2916</v>
      </c>
      <c r="R3732" s="22" t="s">
        <v>2416</v>
      </c>
      <c r="S3732" s="22" t="s">
        <v>2417</v>
      </c>
      <c r="T3732" s="22">
        <v>8.17</v>
      </c>
      <c r="U3732" s="22">
        <v>0.38</v>
      </c>
      <c r="X3732" s="26"/>
      <c r="Y3732" s="26"/>
    </row>
    <row r="3733" spans="1:25" ht="37.5" x14ac:dyDescent="0.25">
      <c r="A3733" s="21">
        <v>4466</v>
      </c>
      <c r="B3733" s="22" t="s">
        <v>15335</v>
      </c>
      <c r="C3733" s="22" t="s">
        <v>2404</v>
      </c>
      <c r="E3733" s="24">
        <v>1999</v>
      </c>
      <c r="F3733" s="22">
        <v>10921</v>
      </c>
      <c r="G3733" s="23" t="s">
        <v>2419</v>
      </c>
      <c r="H3733" s="25" t="s">
        <v>15373</v>
      </c>
      <c r="I3733" s="22" t="s">
        <v>15374</v>
      </c>
      <c r="J3733" s="22" t="s">
        <v>2414</v>
      </c>
      <c r="K3733" s="26">
        <f t="shared" si="57"/>
        <v>1917.3333333333333</v>
      </c>
      <c r="M3733" s="26">
        <v>2876</v>
      </c>
      <c r="O3733" s="22" t="s">
        <v>2415</v>
      </c>
      <c r="P3733" s="22" t="s">
        <v>2741</v>
      </c>
      <c r="Q3733" s="22" t="s">
        <v>2916</v>
      </c>
      <c r="R3733" s="22" t="s">
        <v>2416</v>
      </c>
      <c r="S3733" s="22" t="s">
        <v>2417</v>
      </c>
      <c r="T3733" s="22">
        <v>8.17</v>
      </c>
      <c r="U3733" s="22">
        <v>0.38</v>
      </c>
      <c r="X3733" s="26"/>
      <c r="Y3733" s="26"/>
    </row>
    <row r="3734" spans="1:25" ht="37.5" x14ac:dyDescent="0.25">
      <c r="A3734" s="21">
        <v>4467</v>
      </c>
      <c r="B3734" s="22" t="s">
        <v>15335</v>
      </c>
      <c r="C3734" s="22" t="s">
        <v>2404</v>
      </c>
      <c r="E3734" s="24">
        <v>1999</v>
      </c>
      <c r="F3734" s="22">
        <v>11703</v>
      </c>
      <c r="G3734" s="23" t="s">
        <v>2420</v>
      </c>
      <c r="H3734" s="25" t="s">
        <v>15373</v>
      </c>
      <c r="I3734" s="22" t="s">
        <v>15374</v>
      </c>
      <c r="J3734" s="22" t="s">
        <v>2414</v>
      </c>
      <c r="K3734" s="26">
        <f t="shared" si="57"/>
        <v>1917.3333333333333</v>
      </c>
      <c r="M3734" s="26">
        <v>2876</v>
      </c>
      <c r="O3734" s="22" t="s">
        <v>2415</v>
      </c>
      <c r="P3734" s="22" t="s">
        <v>2741</v>
      </c>
      <c r="Q3734" s="22" t="s">
        <v>2916</v>
      </c>
      <c r="R3734" s="22" t="s">
        <v>2416</v>
      </c>
      <c r="S3734" s="22" t="s">
        <v>2417</v>
      </c>
      <c r="T3734" s="22">
        <v>8.17</v>
      </c>
      <c r="U3734" s="22">
        <v>0.38</v>
      </c>
      <c r="X3734" s="26"/>
      <c r="Y3734" s="26"/>
    </row>
    <row r="3735" spans="1:25" ht="37.5" x14ac:dyDescent="0.25">
      <c r="A3735" s="21">
        <v>4468</v>
      </c>
      <c r="B3735" s="22" t="s">
        <v>15335</v>
      </c>
      <c r="C3735" s="22" t="s">
        <v>2421</v>
      </c>
      <c r="E3735" s="24">
        <v>1996</v>
      </c>
      <c r="F3735" s="22">
        <v>10684</v>
      </c>
      <c r="G3735" s="23" t="s">
        <v>2422</v>
      </c>
      <c r="H3735" s="25" t="s">
        <v>15373</v>
      </c>
      <c r="I3735" s="22" t="s">
        <v>15382</v>
      </c>
      <c r="J3735" s="22" t="s">
        <v>14914</v>
      </c>
      <c r="K3735" s="26">
        <f t="shared" si="57"/>
        <v>310</v>
      </c>
      <c r="M3735" s="26">
        <v>465</v>
      </c>
      <c r="O3735" s="22" t="s">
        <v>2423</v>
      </c>
      <c r="P3735" s="22" t="s">
        <v>2741</v>
      </c>
      <c r="Q3735" s="22" t="s">
        <v>2996</v>
      </c>
      <c r="R3735" s="22" t="s">
        <v>2424</v>
      </c>
      <c r="S3735" s="22" t="s">
        <v>2425</v>
      </c>
      <c r="T3735" s="22">
        <v>6.9</v>
      </c>
      <c r="U3735" s="22">
        <v>0.4</v>
      </c>
      <c r="X3735" s="26"/>
      <c r="Y3735" s="26"/>
    </row>
    <row r="3736" spans="1:25" ht="25" x14ac:dyDescent="0.25">
      <c r="A3736" s="21">
        <v>4469</v>
      </c>
      <c r="B3736" s="22" t="s">
        <v>15335</v>
      </c>
      <c r="C3736" s="22" t="s">
        <v>2421</v>
      </c>
      <c r="E3736" s="24">
        <v>1996</v>
      </c>
      <c r="F3736" s="22">
        <v>12855</v>
      </c>
      <c r="G3736" s="23" t="s">
        <v>2426</v>
      </c>
      <c r="H3736" s="25" t="s">
        <v>15373</v>
      </c>
      <c r="I3736" s="22" t="s">
        <v>15382</v>
      </c>
      <c r="J3736" s="22" t="s">
        <v>14850</v>
      </c>
      <c r="K3736" s="26">
        <f t="shared" si="57"/>
        <v>310</v>
      </c>
      <c r="N3736" s="26">
        <v>465</v>
      </c>
      <c r="O3736" s="22" t="s">
        <v>2427</v>
      </c>
      <c r="P3736" s="22" t="s">
        <v>2741</v>
      </c>
      <c r="Q3736" s="22" t="s">
        <v>3861</v>
      </c>
      <c r="T3736" s="22">
        <v>6.9</v>
      </c>
      <c r="U3736" s="22">
        <v>0.4</v>
      </c>
      <c r="X3736" s="26"/>
      <c r="Y3736" s="26"/>
    </row>
    <row r="3737" spans="1:25" ht="37.5" x14ac:dyDescent="0.25">
      <c r="A3737" s="21">
        <v>4470</v>
      </c>
      <c r="B3737" s="22" t="s">
        <v>15335</v>
      </c>
      <c r="C3737" s="22" t="s">
        <v>2421</v>
      </c>
      <c r="E3737" s="24">
        <v>2000</v>
      </c>
      <c r="F3737" s="22">
        <v>13726</v>
      </c>
      <c r="G3737" s="23" t="s">
        <v>2428</v>
      </c>
      <c r="H3737" s="25" t="s">
        <v>15373</v>
      </c>
      <c r="I3737" s="22" t="s">
        <v>15374</v>
      </c>
      <c r="J3737" s="22" t="s">
        <v>15677</v>
      </c>
      <c r="K3737" s="26">
        <f t="shared" si="57"/>
        <v>1344.6666666666665</v>
      </c>
      <c r="M3737" s="26">
        <v>2017</v>
      </c>
      <c r="O3737" s="22" t="s">
        <v>2429</v>
      </c>
      <c r="P3737" s="22" t="s">
        <v>2741</v>
      </c>
      <c r="Q3737" s="22" t="s">
        <v>2916</v>
      </c>
      <c r="T3737" s="22">
        <v>6.9</v>
      </c>
      <c r="U3737" s="22">
        <v>0.4</v>
      </c>
      <c r="X3737" s="26"/>
      <c r="Y3737" s="26"/>
    </row>
    <row r="3738" spans="1:25" ht="37.5" x14ac:dyDescent="0.25">
      <c r="A3738" s="21">
        <v>4471</v>
      </c>
      <c r="B3738" s="22" t="s">
        <v>15335</v>
      </c>
      <c r="C3738" s="22" t="s">
        <v>2430</v>
      </c>
      <c r="E3738" s="24">
        <v>1997</v>
      </c>
      <c r="F3738" s="22">
        <v>13085</v>
      </c>
      <c r="G3738" s="23" t="s">
        <v>2431</v>
      </c>
      <c r="H3738" s="25" t="s">
        <v>15373</v>
      </c>
      <c r="I3738" s="22" t="s">
        <v>15411</v>
      </c>
      <c r="J3738" s="22" t="s">
        <v>2432</v>
      </c>
      <c r="K3738" s="26">
        <f t="shared" si="57"/>
        <v>400</v>
      </c>
      <c r="M3738" s="26">
        <v>600</v>
      </c>
      <c r="O3738" s="22" t="s">
        <v>2433</v>
      </c>
      <c r="P3738" s="22" t="s">
        <v>2741</v>
      </c>
      <c r="Q3738" s="22" t="s">
        <v>2916</v>
      </c>
      <c r="R3738" s="22" t="s">
        <v>2434</v>
      </c>
      <c r="S3738" s="22" t="s">
        <v>2435</v>
      </c>
      <c r="T3738" s="22">
        <v>6.9</v>
      </c>
      <c r="U3738" s="22">
        <v>0.4</v>
      </c>
      <c r="X3738" s="26"/>
      <c r="Y3738" s="26"/>
    </row>
    <row r="3739" spans="1:25" ht="37.5" x14ac:dyDescent="0.25">
      <c r="A3739" s="21">
        <v>4472</v>
      </c>
      <c r="B3739" s="22" t="s">
        <v>15335</v>
      </c>
      <c r="C3739" s="22" t="s">
        <v>2430</v>
      </c>
      <c r="E3739" s="24">
        <v>1997</v>
      </c>
      <c r="F3739" s="22">
        <v>13086</v>
      </c>
      <c r="G3739" s="23" t="s">
        <v>2436</v>
      </c>
      <c r="H3739" s="25" t="s">
        <v>15373</v>
      </c>
      <c r="I3739" s="22" t="s">
        <v>15411</v>
      </c>
      <c r="J3739" s="22" t="s">
        <v>16884</v>
      </c>
      <c r="K3739" s="26">
        <f t="shared" si="57"/>
        <v>400</v>
      </c>
      <c r="N3739" s="26">
        <v>600</v>
      </c>
      <c r="O3739" s="22" t="s">
        <v>3130</v>
      </c>
      <c r="P3739" s="22" t="s">
        <v>2741</v>
      </c>
      <c r="Q3739" s="22" t="s">
        <v>2756</v>
      </c>
      <c r="R3739" s="22" t="s">
        <v>2437</v>
      </c>
      <c r="S3739" s="22" t="s">
        <v>2435</v>
      </c>
      <c r="T3739" s="22">
        <v>6.9</v>
      </c>
      <c r="U3739" s="22">
        <v>0.4</v>
      </c>
      <c r="X3739" s="26"/>
      <c r="Y3739" s="26"/>
    </row>
    <row r="3740" spans="1:25" ht="37.5" x14ac:dyDescent="0.25">
      <c r="A3740" s="21">
        <v>4473</v>
      </c>
      <c r="B3740" s="22" t="s">
        <v>15335</v>
      </c>
      <c r="C3740" s="22" t="s">
        <v>2430</v>
      </c>
      <c r="E3740" s="24">
        <v>1999</v>
      </c>
      <c r="F3740" s="22">
        <v>13890</v>
      </c>
      <c r="G3740" s="23" t="s">
        <v>2438</v>
      </c>
      <c r="H3740" s="25" t="s">
        <v>15373</v>
      </c>
      <c r="I3740" s="22" t="s">
        <v>15411</v>
      </c>
      <c r="J3740" s="22" t="s">
        <v>15124</v>
      </c>
      <c r="K3740" s="26">
        <f t="shared" si="57"/>
        <v>780</v>
      </c>
      <c r="M3740" s="26">
        <v>1170</v>
      </c>
      <c r="O3740" s="22" t="s">
        <v>2439</v>
      </c>
      <c r="P3740" s="22" t="s">
        <v>3130</v>
      </c>
      <c r="Q3740" s="22" t="s">
        <v>3131</v>
      </c>
      <c r="R3740" s="22" t="s">
        <v>2440</v>
      </c>
      <c r="S3740" s="22" t="s">
        <v>2441</v>
      </c>
      <c r="T3740" s="22">
        <v>8.17</v>
      </c>
      <c r="U3740" s="22">
        <v>0.38</v>
      </c>
      <c r="X3740" s="26"/>
      <c r="Y3740" s="26"/>
    </row>
    <row r="3741" spans="1:25" ht="37.5" x14ac:dyDescent="0.25">
      <c r="A3741" s="21">
        <v>4474</v>
      </c>
      <c r="B3741" s="22" t="s">
        <v>15335</v>
      </c>
      <c r="C3741" s="22" t="s">
        <v>2430</v>
      </c>
      <c r="E3741" s="24">
        <v>1999</v>
      </c>
      <c r="F3741" s="22">
        <v>13891</v>
      </c>
      <c r="G3741" s="23" t="s">
        <v>2442</v>
      </c>
      <c r="H3741" s="25" t="s">
        <v>15373</v>
      </c>
      <c r="I3741" s="22" t="s">
        <v>15411</v>
      </c>
      <c r="J3741" s="22" t="s">
        <v>15124</v>
      </c>
      <c r="K3741" s="26">
        <f t="shared" si="57"/>
        <v>780</v>
      </c>
      <c r="M3741" s="26">
        <v>1170</v>
      </c>
      <c r="O3741" s="22" t="s">
        <v>2439</v>
      </c>
      <c r="P3741" s="22" t="s">
        <v>3130</v>
      </c>
      <c r="Q3741" s="22" t="s">
        <v>3131</v>
      </c>
      <c r="R3741" s="22" t="s">
        <v>2440</v>
      </c>
      <c r="S3741" s="22" t="s">
        <v>2441</v>
      </c>
      <c r="T3741" s="22">
        <v>8.17</v>
      </c>
      <c r="U3741" s="22">
        <v>0.38</v>
      </c>
      <c r="X3741" s="26"/>
      <c r="Y3741" s="26"/>
    </row>
    <row r="3742" spans="1:25" ht="37.5" x14ac:dyDescent="0.25">
      <c r="A3742" s="21">
        <v>4475</v>
      </c>
      <c r="B3742" s="22" t="s">
        <v>15335</v>
      </c>
      <c r="C3742" s="22" t="s">
        <v>2430</v>
      </c>
      <c r="E3742" s="24">
        <v>1999</v>
      </c>
      <c r="F3742" s="22">
        <v>13892</v>
      </c>
      <c r="G3742" s="23" t="s">
        <v>2443</v>
      </c>
      <c r="H3742" s="25" t="s">
        <v>15373</v>
      </c>
      <c r="I3742" s="22" t="s">
        <v>15411</v>
      </c>
      <c r="J3742" s="22" t="s">
        <v>15124</v>
      </c>
      <c r="K3742" s="26">
        <f t="shared" si="57"/>
        <v>780</v>
      </c>
      <c r="M3742" s="26">
        <v>1170</v>
      </c>
      <c r="O3742" s="22" t="s">
        <v>2439</v>
      </c>
      <c r="P3742" s="22" t="s">
        <v>3130</v>
      </c>
      <c r="Q3742" s="22" t="s">
        <v>3131</v>
      </c>
      <c r="R3742" s="22" t="s">
        <v>2440</v>
      </c>
      <c r="S3742" s="22" t="s">
        <v>2441</v>
      </c>
      <c r="T3742" s="22">
        <v>8.17</v>
      </c>
      <c r="U3742" s="22">
        <v>0.38</v>
      </c>
      <c r="X3742" s="26"/>
      <c r="Y3742" s="26"/>
    </row>
    <row r="3743" spans="1:25" ht="37.5" x14ac:dyDescent="0.25">
      <c r="A3743" s="21">
        <v>4476</v>
      </c>
      <c r="B3743" s="22" t="s">
        <v>15335</v>
      </c>
      <c r="C3743" s="22" t="s">
        <v>2430</v>
      </c>
      <c r="E3743" s="24">
        <v>1999</v>
      </c>
      <c r="F3743" s="22">
        <v>13893</v>
      </c>
      <c r="G3743" s="23" t="s">
        <v>2444</v>
      </c>
      <c r="H3743" s="25" t="s">
        <v>15373</v>
      </c>
      <c r="I3743" s="22" t="s">
        <v>15411</v>
      </c>
      <c r="J3743" s="22" t="s">
        <v>15124</v>
      </c>
      <c r="K3743" s="26">
        <f t="shared" si="57"/>
        <v>780</v>
      </c>
      <c r="M3743" s="26">
        <v>1170</v>
      </c>
      <c r="O3743" s="22" t="s">
        <v>2439</v>
      </c>
      <c r="P3743" s="22" t="s">
        <v>3130</v>
      </c>
      <c r="Q3743" s="22" t="s">
        <v>3131</v>
      </c>
      <c r="R3743" s="22" t="s">
        <v>2440</v>
      </c>
      <c r="S3743" s="22" t="s">
        <v>2441</v>
      </c>
      <c r="T3743" s="22">
        <v>8.17</v>
      </c>
      <c r="U3743" s="22">
        <v>0.38</v>
      </c>
      <c r="X3743" s="26"/>
      <c r="Y3743" s="26"/>
    </row>
    <row r="3744" spans="1:25" ht="37.5" x14ac:dyDescent="0.25">
      <c r="A3744" s="21">
        <v>4477</v>
      </c>
      <c r="B3744" s="22" t="s">
        <v>15335</v>
      </c>
      <c r="C3744" s="22" t="s">
        <v>2445</v>
      </c>
      <c r="E3744" s="24">
        <v>1999</v>
      </c>
      <c r="F3744" s="22">
        <v>13907</v>
      </c>
      <c r="G3744" s="23" t="s">
        <v>2446</v>
      </c>
      <c r="H3744" s="25" t="s">
        <v>15373</v>
      </c>
      <c r="I3744" s="22" t="s">
        <v>16160</v>
      </c>
      <c r="J3744" s="22" t="s">
        <v>2447</v>
      </c>
      <c r="K3744" s="26">
        <f t="shared" si="57"/>
        <v>600</v>
      </c>
      <c r="L3744" s="26">
        <v>600</v>
      </c>
      <c r="O3744" s="22" t="s">
        <v>2448</v>
      </c>
      <c r="P3744" s="22" t="s">
        <v>3130</v>
      </c>
      <c r="Q3744" s="22" t="s">
        <v>2449</v>
      </c>
      <c r="R3744" s="22" t="s">
        <v>2450</v>
      </c>
      <c r="S3744" s="22" t="s">
        <v>2451</v>
      </c>
      <c r="T3744" s="22">
        <v>8.17</v>
      </c>
      <c r="U3744" s="22">
        <v>0.38</v>
      </c>
      <c r="X3744" s="26"/>
      <c r="Y3744" s="26"/>
    </row>
    <row r="3745" spans="1:25" ht="37.5" x14ac:dyDescent="0.25">
      <c r="A3745" s="21">
        <v>4478</v>
      </c>
      <c r="B3745" s="22" t="s">
        <v>15335</v>
      </c>
      <c r="C3745" s="22" t="s">
        <v>4542</v>
      </c>
      <c r="E3745" s="24">
        <v>2001</v>
      </c>
      <c r="F3745" s="22">
        <v>15518</v>
      </c>
      <c r="G3745" s="23" t="s">
        <v>2452</v>
      </c>
      <c r="H3745" s="25" t="s">
        <v>15373</v>
      </c>
      <c r="I3745" s="22" t="s">
        <v>15374</v>
      </c>
      <c r="J3745" s="22" t="s">
        <v>12592</v>
      </c>
      <c r="K3745" s="26">
        <f t="shared" si="57"/>
        <v>1206.6666666666665</v>
      </c>
      <c r="M3745" s="26">
        <v>1810</v>
      </c>
      <c r="O3745" s="22" t="s">
        <v>2453</v>
      </c>
      <c r="P3745" s="22" t="s">
        <v>2755</v>
      </c>
      <c r="Q3745" s="22" t="s">
        <v>2756</v>
      </c>
      <c r="R3745" s="22" t="s">
        <v>2454</v>
      </c>
      <c r="S3745" s="22" t="s">
        <v>2455</v>
      </c>
      <c r="T3745" s="22">
        <v>6.9</v>
      </c>
      <c r="U3745" s="22">
        <v>0.4</v>
      </c>
      <c r="X3745" s="26"/>
      <c r="Y3745" s="26"/>
    </row>
    <row r="3746" spans="1:25" ht="37.5" x14ac:dyDescent="0.25">
      <c r="A3746" s="21">
        <v>4479</v>
      </c>
      <c r="B3746" s="22" t="s">
        <v>15335</v>
      </c>
      <c r="C3746" s="22" t="s">
        <v>2456</v>
      </c>
      <c r="E3746" s="24">
        <v>2000</v>
      </c>
      <c r="F3746" s="22">
        <v>14692</v>
      </c>
      <c r="G3746" s="23" t="s">
        <v>2457</v>
      </c>
      <c r="H3746" s="25" t="s">
        <v>15373</v>
      </c>
      <c r="I3746" s="22" t="s">
        <v>15382</v>
      </c>
      <c r="J3746" s="22" t="s">
        <v>16784</v>
      </c>
      <c r="K3746" s="26">
        <f t="shared" si="57"/>
        <v>500</v>
      </c>
      <c r="M3746" s="26">
        <v>750</v>
      </c>
      <c r="O3746" s="22" t="s">
        <v>2458</v>
      </c>
      <c r="P3746" s="22" t="s">
        <v>2755</v>
      </c>
      <c r="Q3746" s="22" t="s">
        <v>2756</v>
      </c>
      <c r="R3746" s="22" t="s">
        <v>2459</v>
      </c>
      <c r="S3746" s="22" t="s">
        <v>2460</v>
      </c>
      <c r="T3746" s="22">
        <v>6.9</v>
      </c>
      <c r="U3746" s="22">
        <v>0.4</v>
      </c>
      <c r="X3746" s="26"/>
      <c r="Y3746" s="26"/>
    </row>
    <row r="3747" spans="1:25" ht="37.5" x14ac:dyDescent="0.25">
      <c r="A3747" s="21">
        <v>4480</v>
      </c>
      <c r="B3747" s="22" t="s">
        <v>15335</v>
      </c>
      <c r="C3747" s="22" t="s">
        <v>2456</v>
      </c>
      <c r="E3747" s="24">
        <v>2000</v>
      </c>
      <c r="F3747" s="22">
        <v>14966</v>
      </c>
      <c r="G3747" s="23" t="s">
        <v>2461</v>
      </c>
      <c r="H3747" s="25" t="s">
        <v>15373</v>
      </c>
      <c r="I3747" s="22" t="s">
        <v>15411</v>
      </c>
      <c r="J3747" s="22" t="s">
        <v>2462</v>
      </c>
      <c r="K3747" s="26">
        <f t="shared" si="57"/>
        <v>900</v>
      </c>
      <c r="M3747" s="26">
        <v>1350</v>
      </c>
      <c r="O3747" s="22" t="s">
        <v>2463</v>
      </c>
      <c r="P3747" s="22" t="s">
        <v>2755</v>
      </c>
      <c r="Q3747" s="22" t="s">
        <v>2756</v>
      </c>
      <c r="R3747" s="22" t="s">
        <v>2459</v>
      </c>
      <c r="S3747" s="22" t="s">
        <v>2460</v>
      </c>
      <c r="T3747" s="22">
        <v>6.9</v>
      </c>
      <c r="U3747" s="22">
        <v>0.4</v>
      </c>
      <c r="X3747" s="26"/>
      <c r="Y3747" s="26"/>
    </row>
    <row r="3748" spans="1:25" ht="37.5" x14ac:dyDescent="0.25">
      <c r="A3748" s="21">
        <v>4481</v>
      </c>
      <c r="B3748" s="22" t="s">
        <v>15335</v>
      </c>
      <c r="C3748" s="22" t="s">
        <v>2456</v>
      </c>
      <c r="E3748" s="24">
        <v>2000</v>
      </c>
      <c r="F3748" s="22">
        <v>15348</v>
      </c>
      <c r="G3748" s="23" t="s">
        <v>2464</v>
      </c>
      <c r="H3748" s="25" t="s">
        <v>15373</v>
      </c>
      <c r="I3748" s="22" t="s">
        <v>15411</v>
      </c>
      <c r="J3748" s="22" t="s">
        <v>2465</v>
      </c>
      <c r="K3748" s="26">
        <f t="shared" si="57"/>
        <v>996.66666666666663</v>
      </c>
      <c r="M3748" s="26">
        <v>1495</v>
      </c>
      <c r="O3748" s="22" t="s">
        <v>2458</v>
      </c>
      <c r="P3748" s="22" t="s">
        <v>2755</v>
      </c>
      <c r="Q3748" s="22" t="s">
        <v>2756</v>
      </c>
      <c r="R3748" s="22" t="s">
        <v>2459</v>
      </c>
      <c r="S3748" s="22" t="s">
        <v>2460</v>
      </c>
      <c r="T3748" s="22">
        <v>6.9</v>
      </c>
      <c r="U3748" s="22">
        <v>0.4</v>
      </c>
      <c r="X3748" s="26"/>
      <c r="Y3748" s="26"/>
    </row>
    <row r="3749" spans="1:25" ht="37.5" x14ac:dyDescent="0.25">
      <c r="A3749" s="21">
        <v>4482</v>
      </c>
      <c r="B3749" s="22" t="s">
        <v>15335</v>
      </c>
      <c r="C3749" s="22" t="s">
        <v>2466</v>
      </c>
      <c r="E3749" s="24">
        <v>1999</v>
      </c>
      <c r="F3749" s="22">
        <v>14590</v>
      </c>
      <c r="G3749" s="23" t="s">
        <v>2467</v>
      </c>
      <c r="H3749" s="25" t="s">
        <v>15373</v>
      </c>
      <c r="I3749" s="22" t="s">
        <v>15382</v>
      </c>
      <c r="J3749" s="22" t="s">
        <v>2468</v>
      </c>
      <c r="K3749" s="26">
        <f t="shared" si="57"/>
        <v>400</v>
      </c>
      <c r="M3749" s="26">
        <v>600</v>
      </c>
      <c r="O3749" s="22" t="s">
        <v>2469</v>
      </c>
      <c r="P3749" s="22" t="s">
        <v>2741</v>
      </c>
      <c r="Q3749" s="22" t="s">
        <v>3861</v>
      </c>
      <c r="R3749" s="22" t="s">
        <v>2470</v>
      </c>
      <c r="S3749" s="22" t="s">
        <v>2471</v>
      </c>
      <c r="T3749" s="22">
        <v>6.9</v>
      </c>
      <c r="U3749" s="22">
        <v>0.4</v>
      </c>
      <c r="X3749" s="26"/>
      <c r="Y3749" s="26"/>
    </row>
    <row r="3750" spans="1:25" ht="37.5" x14ac:dyDescent="0.25">
      <c r="A3750" s="21">
        <v>4483</v>
      </c>
      <c r="B3750" s="22" t="s">
        <v>15335</v>
      </c>
      <c r="C3750" s="22" t="s">
        <v>2472</v>
      </c>
      <c r="E3750" s="24">
        <v>1997</v>
      </c>
      <c r="F3750" s="22">
        <v>12484</v>
      </c>
      <c r="G3750" s="23" t="s">
        <v>2473</v>
      </c>
      <c r="H3750" s="25" t="s">
        <v>15373</v>
      </c>
      <c r="I3750" s="22" t="s">
        <v>15382</v>
      </c>
      <c r="J3750" s="22" t="s">
        <v>14642</v>
      </c>
      <c r="K3750" s="26">
        <f t="shared" si="57"/>
        <v>756.66666666666663</v>
      </c>
      <c r="M3750" s="26">
        <v>1135</v>
      </c>
      <c r="O3750" s="22" t="s">
        <v>2474</v>
      </c>
      <c r="P3750" s="22" t="s">
        <v>2741</v>
      </c>
      <c r="Q3750" s="22" t="s">
        <v>3804</v>
      </c>
      <c r="R3750" s="22" t="s">
        <v>2475</v>
      </c>
      <c r="S3750" s="22" t="s">
        <v>2476</v>
      </c>
      <c r="T3750" s="22">
        <v>8.17</v>
      </c>
      <c r="U3750" s="22">
        <v>0.38</v>
      </c>
      <c r="X3750" s="26"/>
      <c r="Y3750" s="26"/>
    </row>
    <row r="3751" spans="1:25" ht="37.5" x14ac:dyDescent="0.25">
      <c r="A3751" s="21">
        <v>4484</v>
      </c>
      <c r="B3751" s="22" t="s">
        <v>15335</v>
      </c>
      <c r="C3751" s="22" t="s">
        <v>2472</v>
      </c>
      <c r="E3751" s="24">
        <v>1997</v>
      </c>
      <c r="F3751" s="22">
        <v>13214</v>
      </c>
      <c r="G3751" s="23" t="s">
        <v>2477</v>
      </c>
      <c r="H3751" s="25" t="s">
        <v>15373</v>
      </c>
      <c r="I3751" s="22" t="s">
        <v>15382</v>
      </c>
      <c r="J3751" s="22" t="s">
        <v>15383</v>
      </c>
      <c r="K3751" s="26">
        <f t="shared" si="57"/>
        <v>800</v>
      </c>
      <c r="N3751" s="26">
        <v>1200</v>
      </c>
      <c r="O3751" s="22" t="s">
        <v>2478</v>
      </c>
      <c r="P3751" s="22" t="s">
        <v>2741</v>
      </c>
      <c r="Q3751" s="22" t="s">
        <v>2996</v>
      </c>
      <c r="T3751" s="22">
        <v>8.17</v>
      </c>
      <c r="U3751" s="22">
        <v>0.38</v>
      </c>
      <c r="X3751" s="26"/>
      <c r="Y3751" s="26"/>
    </row>
    <row r="3752" spans="1:25" ht="37.5" x14ac:dyDescent="0.25">
      <c r="A3752" s="21">
        <v>4485</v>
      </c>
      <c r="B3752" s="22" t="s">
        <v>15335</v>
      </c>
      <c r="C3752" s="22" t="s">
        <v>2479</v>
      </c>
      <c r="E3752" s="24">
        <v>1998</v>
      </c>
      <c r="F3752" s="22">
        <v>12588</v>
      </c>
      <c r="G3752" s="23" t="s">
        <v>2480</v>
      </c>
      <c r="H3752" s="25" t="s">
        <v>15373</v>
      </c>
      <c r="I3752" s="22" t="s">
        <v>15411</v>
      </c>
      <c r="J3752" s="22" t="s">
        <v>16306</v>
      </c>
      <c r="K3752" s="26">
        <f t="shared" ref="K3752:K3815" si="58">L3752+M3752*(2/3)+N3752*(2/3)</f>
        <v>378.66666666666663</v>
      </c>
      <c r="M3752" s="26">
        <v>568</v>
      </c>
      <c r="O3752" s="22" t="s">
        <v>2481</v>
      </c>
      <c r="P3752" s="22" t="s">
        <v>2772</v>
      </c>
      <c r="Q3752" s="22" t="s">
        <v>2773</v>
      </c>
      <c r="R3752" s="22" t="s">
        <v>2482</v>
      </c>
      <c r="S3752" s="22" t="s">
        <v>2483</v>
      </c>
      <c r="T3752" s="22">
        <v>6.9</v>
      </c>
      <c r="U3752" s="22">
        <v>0.4</v>
      </c>
      <c r="X3752" s="26"/>
      <c r="Y3752" s="26"/>
    </row>
    <row r="3753" spans="1:25" ht="50" x14ac:dyDescent="0.25">
      <c r="A3753" s="21">
        <v>4486</v>
      </c>
      <c r="B3753" s="22" t="s">
        <v>15335</v>
      </c>
      <c r="C3753" s="22" t="s">
        <v>2484</v>
      </c>
      <c r="E3753" s="24">
        <v>2001</v>
      </c>
      <c r="F3753" s="22">
        <v>15888</v>
      </c>
      <c r="G3753" s="23" t="s">
        <v>2485</v>
      </c>
      <c r="H3753" s="25" t="s">
        <v>15373</v>
      </c>
      <c r="I3753" s="22" t="s">
        <v>15411</v>
      </c>
      <c r="J3753" s="22" t="s">
        <v>2486</v>
      </c>
      <c r="K3753" s="26">
        <f t="shared" si="58"/>
        <v>506.66666666666663</v>
      </c>
      <c r="N3753" s="26">
        <v>760</v>
      </c>
      <c r="O3753" s="22" t="s">
        <v>2487</v>
      </c>
      <c r="P3753" s="22" t="s">
        <v>2741</v>
      </c>
      <c r="Q3753" s="22">
        <v>95814</v>
      </c>
      <c r="X3753" s="26"/>
      <c r="Y3753" s="26"/>
    </row>
    <row r="3754" spans="1:25" ht="50" x14ac:dyDescent="0.25">
      <c r="A3754" s="21">
        <v>4487</v>
      </c>
      <c r="B3754" s="22" t="s">
        <v>15335</v>
      </c>
      <c r="C3754" s="22" t="s">
        <v>2488</v>
      </c>
      <c r="E3754" s="24">
        <v>2001</v>
      </c>
      <c r="F3754" s="22">
        <v>15697</v>
      </c>
      <c r="G3754" s="23" t="s">
        <v>2489</v>
      </c>
      <c r="H3754" s="25" t="s">
        <v>15373</v>
      </c>
      <c r="I3754" s="22" t="s">
        <v>15411</v>
      </c>
      <c r="J3754" s="22" t="s">
        <v>15744</v>
      </c>
      <c r="K3754" s="26">
        <f t="shared" si="58"/>
        <v>841.33333333333326</v>
      </c>
      <c r="N3754" s="26">
        <v>1262</v>
      </c>
      <c r="O3754" s="22" t="s">
        <v>2490</v>
      </c>
      <c r="P3754" s="22" t="s">
        <v>2741</v>
      </c>
      <c r="Q3754" s="22">
        <v>95814</v>
      </c>
      <c r="R3754" s="22" t="s">
        <v>2491</v>
      </c>
      <c r="S3754" s="22" t="s">
        <v>2492</v>
      </c>
      <c r="X3754" s="26"/>
      <c r="Y3754" s="26"/>
    </row>
    <row r="3755" spans="1:25" ht="75" x14ac:dyDescent="0.25">
      <c r="A3755" s="21">
        <v>4488</v>
      </c>
      <c r="B3755" s="22" t="s">
        <v>15335</v>
      </c>
      <c r="C3755" s="22" t="s">
        <v>2751</v>
      </c>
      <c r="E3755" s="24">
        <v>2001</v>
      </c>
      <c r="F3755" s="22">
        <v>15335</v>
      </c>
      <c r="G3755" s="23" t="s">
        <v>2493</v>
      </c>
      <c r="H3755" s="25" t="s">
        <v>15373</v>
      </c>
      <c r="I3755" s="22" t="s">
        <v>15411</v>
      </c>
      <c r="J3755" s="22" t="s">
        <v>10767</v>
      </c>
      <c r="K3755" s="26">
        <f t="shared" si="58"/>
        <v>378.66666666666663</v>
      </c>
      <c r="M3755" s="26">
        <v>568</v>
      </c>
      <c r="O3755" s="22" t="s">
        <v>2494</v>
      </c>
      <c r="P3755" s="22" t="s">
        <v>2741</v>
      </c>
      <c r="Q3755" s="22">
        <v>95813</v>
      </c>
      <c r="R3755" s="22" t="s">
        <v>2757</v>
      </c>
      <c r="S3755" s="22" t="s">
        <v>2758</v>
      </c>
      <c r="X3755" s="26"/>
      <c r="Y3755" s="26"/>
    </row>
    <row r="3756" spans="1:25" ht="50" x14ac:dyDescent="0.25">
      <c r="A3756" s="21">
        <v>4489</v>
      </c>
      <c r="B3756" s="22" t="s">
        <v>15335</v>
      </c>
      <c r="C3756" s="22" t="s">
        <v>2495</v>
      </c>
      <c r="E3756" s="24">
        <v>2001</v>
      </c>
      <c r="F3756" s="22">
        <v>15613</v>
      </c>
      <c r="G3756" s="23" t="s">
        <v>2496</v>
      </c>
      <c r="H3756" s="25" t="s">
        <v>15373</v>
      </c>
      <c r="I3756" s="22" t="s">
        <v>15411</v>
      </c>
      <c r="J3756" s="22" t="s">
        <v>8271</v>
      </c>
      <c r="K3756" s="26">
        <f t="shared" si="58"/>
        <v>746.66666666666663</v>
      </c>
      <c r="M3756" s="26">
        <v>1120</v>
      </c>
      <c r="O3756" s="22" t="s">
        <v>2497</v>
      </c>
      <c r="P3756" s="22" t="s">
        <v>2755</v>
      </c>
      <c r="Q3756" s="22">
        <v>95870</v>
      </c>
      <c r="R3756" s="22" t="s">
        <v>2498</v>
      </c>
      <c r="S3756" s="22" t="s">
        <v>2499</v>
      </c>
      <c r="X3756" s="26"/>
      <c r="Y3756" s="26"/>
    </row>
    <row r="3757" spans="1:25" ht="50" x14ac:dyDescent="0.25">
      <c r="A3757" s="21">
        <v>4490</v>
      </c>
      <c r="B3757" s="22" t="s">
        <v>15335</v>
      </c>
      <c r="C3757" s="22" t="s">
        <v>3807</v>
      </c>
      <c r="E3757" s="24">
        <v>2001</v>
      </c>
      <c r="F3757" s="22">
        <v>15850</v>
      </c>
      <c r="G3757" s="23" t="s">
        <v>2500</v>
      </c>
      <c r="H3757" s="25" t="s">
        <v>15373</v>
      </c>
      <c r="I3757" s="22" t="s">
        <v>15411</v>
      </c>
      <c r="J3757" s="22" t="s">
        <v>2501</v>
      </c>
      <c r="K3757" s="26">
        <f t="shared" si="58"/>
        <v>1000</v>
      </c>
      <c r="L3757" s="26">
        <v>1000</v>
      </c>
      <c r="O3757" s="22" t="s">
        <v>3817</v>
      </c>
      <c r="P3757" s="22" t="s">
        <v>3811</v>
      </c>
      <c r="Q3757" s="22">
        <v>95758</v>
      </c>
      <c r="R3757" s="22" t="s">
        <v>3813</v>
      </c>
      <c r="S3757" s="22" t="s">
        <v>3814</v>
      </c>
      <c r="X3757" s="26"/>
      <c r="Y3757" s="26"/>
    </row>
    <row r="3758" spans="1:25" ht="25" x14ac:dyDescent="0.25">
      <c r="A3758" s="21">
        <v>4491</v>
      </c>
      <c r="B3758" s="22" t="s">
        <v>15335</v>
      </c>
      <c r="C3758" s="22" t="s">
        <v>3847</v>
      </c>
      <c r="E3758" s="24">
        <v>2001</v>
      </c>
      <c r="F3758" s="22">
        <v>16028</v>
      </c>
      <c r="G3758" s="23" t="s">
        <v>2502</v>
      </c>
      <c r="H3758" s="25" t="s">
        <v>15373</v>
      </c>
      <c r="I3758" s="22" t="s">
        <v>15382</v>
      </c>
      <c r="J3758" s="22" t="s">
        <v>2503</v>
      </c>
      <c r="K3758" s="26">
        <f t="shared" si="58"/>
        <v>503.33333333333331</v>
      </c>
      <c r="N3758" s="26">
        <v>755</v>
      </c>
      <c r="O3758" s="22" t="s">
        <v>2504</v>
      </c>
      <c r="P3758" s="22" t="s">
        <v>2755</v>
      </c>
      <c r="Q3758" s="22" t="s">
        <v>2756</v>
      </c>
      <c r="R3758" s="22" t="s">
        <v>3850</v>
      </c>
      <c r="S3758" s="22" t="s">
        <v>3851</v>
      </c>
      <c r="X3758" s="26"/>
      <c r="Y3758" s="26"/>
    </row>
    <row r="3759" spans="1:25" ht="37.5" x14ac:dyDescent="0.25">
      <c r="A3759" s="21">
        <v>4492</v>
      </c>
      <c r="B3759" s="22" t="s">
        <v>15335</v>
      </c>
      <c r="C3759" s="22" t="s">
        <v>2505</v>
      </c>
      <c r="E3759" s="24">
        <v>2001</v>
      </c>
      <c r="F3759" s="22">
        <v>16368</v>
      </c>
      <c r="G3759" s="23" t="s">
        <v>2506</v>
      </c>
      <c r="H3759" s="25" t="s">
        <v>15373</v>
      </c>
      <c r="I3759" s="22" t="s">
        <v>15374</v>
      </c>
      <c r="J3759" s="22">
        <v>3412</v>
      </c>
      <c r="K3759" s="26">
        <v>500</v>
      </c>
      <c r="L3759" s="26">
        <v>500</v>
      </c>
      <c r="O3759" s="22" t="s">
        <v>2507</v>
      </c>
      <c r="P3759" s="22" t="s">
        <v>2772</v>
      </c>
      <c r="Q3759" s="22">
        <v>95630</v>
      </c>
      <c r="R3759" s="22" t="s">
        <v>2508</v>
      </c>
      <c r="S3759" s="22" t="s">
        <v>2509</v>
      </c>
      <c r="X3759" s="26"/>
      <c r="Y3759" s="26"/>
    </row>
    <row r="3760" spans="1:25" ht="50" x14ac:dyDescent="0.25">
      <c r="A3760" s="21">
        <v>4493</v>
      </c>
      <c r="B3760" s="22" t="s">
        <v>15335</v>
      </c>
      <c r="C3760" s="22" t="s">
        <v>2510</v>
      </c>
      <c r="E3760" s="24">
        <v>2001</v>
      </c>
      <c r="F3760" s="22">
        <v>15485</v>
      </c>
      <c r="G3760" s="23" t="s">
        <v>2511</v>
      </c>
      <c r="H3760" s="25" t="s">
        <v>15373</v>
      </c>
      <c r="I3760" s="22" t="s">
        <v>15382</v>
      </c>
      <c r="J3760" s="22" t="s">
        <v>15031</v>
      </c>
      <c r="K3760" s="26">
        <f t="shared" si="58"/>
        <v>993.33333333333326</v>
      </c>
      <c r="M3760" s="26">
        <v>1490</v>
      </c>
      <c r="O3760" s="22" t="s">
        <v>2512</v>
      </c>
      <c r="P3760" s="22" t="s">
        <v>2741</v>
      </c>
      <c r="Q3760" s="22">
        <v>95814</v>
      </c>
      <c r="R3760" s="22" t="s">
        <v>2513</v>
      </c>
      <c r="S3760" s="22" t="s">
        <v>2514</v>
      </c>
      <c r="X3760" s="26"/>
      <c r="Y3760" s="26"/>
    </row>
    <row r="3761" spans="1:25" ht="37.5" x14ac:dyDescent="0.25">
      <c r="A3761" s="21">
        <v>4494</v>
      </c>
      <c r="B3761" s="22" t="s">
        <v>15335</v>
      </c>
      <c r="C3761" s="22" t="s">
        <v>3875</v>
      </c>
      <c r="E3761" s="24">
        <v>2001</v>
      </c>
      <c r="F3761" s="22">
        <v>15210</v>
      </c>
      <c r="G3761" s="23" t="s">
        <v>2515</v>
      </c>
      <c r="H3761" s="25" t="s">
        <v>15373</v>
      </c>
      <c r="I3761" s="22" t="s">
        <v>15411</v>
      </c>
      <c r="J3761" s="22" t="s">
        <v>8271</v>
      </c>
      <c r="K3761" s="26">
        <f t="shared" si="58"/>
        <v>996.66666666666663</v>
      </c>
      <c r="N3761" s="26">
        <v>1495</v>
      </c>
      <c r="O3761" s="22" t="s">
        <v>2516</v>
      </c>
      <c r="P3761" s="22" t="s">
        <v>3879</v>
      </c>
      <c r="Q3761" s="22">
        <v>95608</v>
      </c>
      <c r="R3761" s="22" t="s">
        <v>3881</v>
      </c>
      <c r="S3761" s="22" t="s">
        <v>3882</v>
      </c>
      <c r="X3761" s="26"/>
      <c r="Y3761" s="26"/>
    </row>
    <row r="3762" spans="1:25" ht="37.5" x14ac:dyDescent="0.25">
      <c r="A3762" s="21">
        <v>4495</v>
      </c>
      <c r="B3762" s="22" t="s">
        <v>15335</v>
      </c>
      <c r="C3762" s="22" t="s">
        <v>2922</v>
      </c>
      <c r="E3762" s="24">
        <v>2001</v>
      </c>
      <c r="F3762" s="22">
        <v>15687</v>
      </c>
      <c r="G3762" s="23" t="s">
        <v>2517</v>
      </c>
      <c r="H3762" s="25" t="s">
        <v>15373</v>
      </c>
      <c r="I3762" s="22" t="s">
        <v>15382</v>
      </c>
      <c r="J3762" s="22" t="s">
        <v>16811</v>
      </c>
      <c r="K3762" s="26">
        <f t="shared" si="58"/>
        <v>356.66666666666663</v>
      </c>
      <c r="M3762" s="26">
        <v>535</v>
      </c>
      <c r="O3762" s="22" t="s">
        <v>2518</v>
      </c>
      <c r="P3762" s="22" t="s">
        <v>2741</v>
      </c>
      <c r="Q3762" s="22">
        <v>95820</v>
      </c>
      <c r="R3762" s="22" t="s">
        <v>3004</v>
      </c>
      <c r="S3762" s="22" t="s">
        <v>2928</v>
      </c>
      <c r="X3762" s="26"/>
      <c r="Y3762" s="26"/>
    </row>
    <row r="3763" spans="1:25" ht="50" x14ac:dyDescent="0.25">
      <c r="A3763" s="21">
        <v>4496</v>
      </c>
      <c r="B3763" s="22" t="s">
        <v>15335</v>
      </c>
      <c r="C3763" s="22" t="s">
        <v>3911</v>
      </c>
      <c r="E3763" s="24">
        <v>2001</v>
      </c>
      <c r="F3763" s="22">
        <v>15885</v>
      </c>
      <c r="G3763" s="23" t="s">
        <v>2519</v>
      </c>
      <c r="H3763" s="25" t="s">
        <v>15373</v>
      </c>
      <c r="I3763" s="22" t="s">
        <v>15382</v>
      </c>
      <c r="J3763" s="22" t="s">
        <v>2520</v>
      </c>
      <c r="K3763" s="26">
        <f t="shared" si="58"/>
        <v>800</v>
      </c>
      <c r="L3763" s="26">
        <v>800</v>
      </c>
      <c r="O3763" s="22" t="s">
        <v>2521</v>
      </c>
      <c r="P3763" s="22" t="s">
        <v>2741</v>
      </c>
      <c r="Q3763" s="22">
        <v>95838</v>
      </c>
      <c r="R3763" s="22" t="s">
        <v>3114</v>
      </c>
      <c r="S3763" s="22" t="s">
        <v>3115</v>
      </c>
      <c r="X3763" s="26"/>
      <c r="Y3763" s="26"/>
    </row>
    <row r="3764" spans="1:25" ht="37.5" x14ac:dyDescent="0.25">
      <c r="A3764" s="21">
        <v>4497</v>
      </c>
      <c r="B3764" s="22" t="s">
        <v>15335</v>
      </c>
      <c r="C3764" s="22" t="s">
        <v>3911</v>
      </c>
      <c r="E3764" s="24">
        <v>2001</v>
      </c>
      <c r="F3764" s="22">
        <v>15582</v>
      </c>
      <c r="G3764" s="23" t="s">
        <v>2522</v>
      </c>
      <c r="H3764" s="25" t="s">
        <v>15373</v>
      </c>
      <c r="I3764" s="22" t="s">
        <v>15374</v>
      </c>
      <c r="J3764" s="22" t="s">
        <v>15523</v>
      </c>
      <c r="K3764" s="26">
        <f t="shared" si="58"/>
        <v>1057.3333333333333</v>
      </c>
      <c r="N3764" s="26">
        <v>1586</v>
      </c>
      <c r="O3764" s="22" t="s">
        <v>2523</v>
      </c>
      <c r="P3764" s="22" t="s">
        <v>2741</v>
      </c>
      <c r="Q3764" s="22">
        <v>95832</v>
      </c>
      <c r="R3764" s="22" t="s">
        <v>3914</v>
      </c>
      <c r="S3764" s="22" t="s">
        <v>3915</v>
      </c>
      <c r="X3764" s="26"/>
      <c r="Y3764" s="26"/>
    </row>
    <row r="3765" spans="1:25" ht="37.5" x14ac:dyDescent="0.25">
      <c r="A3765" s="21">
        <v>4498</v>
      </c>
      <c r="B3765" s="22" t="s">
        <v>15335</v>
      </c>
      <c r="C3765" s="22" t="s">
        <v>3911</v>
      </c>
      <c r="E3765" s="24">
        <v>2001</v>
      </c>
      <c r="F3765" s="22">
        <v>15793</v>
      </c>
      <c r="G3765" s="23" t="s">
        <v>2524</v>
      </c>
      <c r="H3765" s="25" t="s">
        <v>15373</v>
      </c>
      <c r="I3765" s="22" t="s">
        <v>15411</v>
      </c>
      <c r="J3765" s="22" t="s">
        <v>8271</v>
      </c>
      <c r="K3765" s="26">
        <f t="shared" si="58"/>
        <v>746.66666666666663</v>
      </c>
      <c r="N3765" s="26">
        <v>1120</v>
      </c>
      <c r="O3765" s="22" t="s">
        <v>2525</v>
      </c>
      <c r="P3765" s="22" t="s">
        <v>2741</v>
      </c>
      <c r="Q3765" s="22">
        <v>95834</v>
      </c>
      <c r="R3765" s="22" t="s">
        <v>2526</v>
      </c>
      <c r="S3765" s="22" t="s">
        <v>2527</v>
      </c>
      <c r="X3765" s="26"/>
      <c r="Y3765" s="26"/>
    </row>
    <row r="3766" spans="1:25" ht="37.5" x14ac:dyDescent="0.25">
      <c r="A3766" s="21">
        <v>4499</v>
      </c>
      <c r="B3766" s="22" t="s">
        <v>15335</v>
      </c>
      <c r="C3766" s="22" t="s">
        <v>3911</v>
      </c>
      <c r="E3766" s="24">
        <v>2001</v>
      </c>
      <c r="F3766" s="22">
        <v>15581</v>
      </c>
      <c r="G3766" s="23" t="s">
        <v>2528</v>
      </c>
      <c r="H3766" s="25" t="s">
        <v>15373</v>
      </c>
      <c r="I3766" s="22" t="s">
        <v>15411</v>
      </c>
      <c r="J3766" s="22" t="s">
        <v>17383</v>
      </c>
      <c r="K3766" s="26">
        <f t="shared" si="58"/>
        <v>300</v>
      </c>
      <c r="M3766" s="26">
        <v>450</v>
      </c>
      <c r="O3766" s="22" t="s">
        <v>2529</v>
      </c>
      <c r="P3766" s="22" t="s">
        <v>2741</v>
      </c>
      <c r="Q3766" s="22">
        <v>95823</v>
      </c>
      <c r="R3766" s="22" t="s">
        <v>3921</v>
      </c>
      <c r="S3766" s="22" t="s">
        <v>3922</v>
      </c>
      <c r="X3766" s="26"/>
      <c r="Y3766" s="26"/>
    </row>
    <row r="3767" spans="1:25" ht="37.5" x14ac:dyDescent="0.25">
      <c r="A3767" s="21">
        <v>4500</v>
      </c>
      <c r="B3767" s="22" t="s">
        <v>15335</v>
      </c>
      <c r="C3767" s="22" t="s">
        <v>2940</v>
      </c>
      <c r="E3767" s="24">
        <v>2001</v>
      </c>
      <c r="F3767" s="22">
        <v>15548</v>
      </c>
      <c r="G3767" s="23" t="s">
        <v>2530</v>
      </c>
      <c r="H3767" s="25" t="s">
        <v>15373</v>
      </c>
      <c r="I3767" s="22" t="s">
        <v>15382</v>
      </c>
      <c r="J3767" s="22" t="s">
        <v>16792</v>
      </c>
      <c r="K3767" s="26">
        <f t="shared" si="58"/>
        <v>356.66666666666663</v>
      </c>
      <c r="M3767" s="26">
        <v>535</v>
      </c>
      <c r="O3767" s="22" t="s">
        <v>2531</v>
      </c>
      <c r="P3767" s="22" t="s">
        <v>3811</v>
      </c>
      <c r="Q3767" s="22" t="s">
        <v>2532</v>
      </c>
      <c r="R3767" s="22" t="s">
        <v>2533</v>
      </c>
      <c r="S3767" s="22" t="s">
        <v>2534</v>
      </c>
      <c r="X3767" s="26"/>
      <c r="Y3767" s="26"/>
    </row>
    <row r="3768" spans="1:25" ht="50" x14ac:dyDescent="0.25">
      <c r="A3768" s="21">
        <v>9800</v>
      </c>
      <c r="B3768" s="22" t="s">
        <v>15335</v>
      </c>
      <c r="C3768" s="22" t="s">
        <v>2535</v>
      </c>
      <c r="E3768" s="24">
        <v>2001</v>
      </c>
      <c r="F3768" s="22">
        <v>15835</v>
      </c>
      <c r="G3768" s="23" t="s">
        <v>2536</v>
      </c>
      <c r="H3768" s="25" t="s">
        <v>15373</v>
      </c>
      <c r="I3768" s="22" t="s">
        <v>15374</v>
      </c>
      <c r="J3768" s="22" t="s">
        <v>9707</v>
      </c>
      <c r="K3768" s="26">
        <f t="shared" si="58"/>
        <v>800</v>
      </c>
      <c r="L3768" s="26">
        <v>800</v>
      </c>
      <c r="O3768" s="22" t="s">
        <v>2537</v>
      </c>
      <c r="P3768" s="22" t="s">
        <v>2741</v>
      </c>
      <c r="Q3768" s="22">
        <v>95814</v>
      </c>
      <c r="R3768" s="22" t="s">
        <v>2538</v>
      </c>
      <c r="S3768" s="22" t="s">
        <v>2539</v>
      </c>
      <c r="X3768" s="26"/>
      <c r="Y3768" s="26"/>
    </row>
    <row r="3769" spans="1:25" ht="50" x14ac:dyDescent="0.25">
      <c r="A3769" s="21">
        <v>9801</v>
      </c>
      <c r="B3769" s="22" t="s">
        <v>15335</v>
      </c>
      <c r="C3769" s="22" t="s">
        <v>2540</v>
      </c>
      <c r="E3769" s="24">
        <v>2002</v>
      </c>
      <c r="F3769" s="22">
        <v>15977</v>
      </c>
      <c r="G3769" s="23" t="s">
        <v>2541</v>
      </c>
      <c r="H3769" s="25" t="s">
        <v>15373</v>
      </c>
      <c r="I3769" s="22" t="s">
        <v>15382</v>
      </c>
      <c r="J3769" s="22" t="s">
        <v>2542</v>
      </c>
      <c r="K3769" s="26">
        <f t="shared" si="58"/>
        <v>750</v>
      </c>
      <c r="L3769" s="26">
        <v>750</v>
      </c>
      <c r="O3769" s="22" t="s">
        <v>2173</v>
      </c>
      <c r="P3769" s="22" t="s">
        <v>2174</v>
      </c>
      <c r="Q3769" s="22">
        <v>95660</v>
      </c>
      <c r="R3769" s="22" t="s">
        <v>2543</v>
      </c>
      <c r="S3769" s="22" t="s">
        <v>2544</v>
      </c>
      <c r="X3769" s="26"/>
      <c r="Y3769" s="26"/>
    </row>
    <row r="3770" spans="1:25" ht="37.5" x14ac:dyDescent="0.25">
      <c r="A3770" s="21">
        <v>9802</v>
      </c>
      <c r="B3770" s="22" t="s">
        <v>15335</v>
      </c>
      <c r="C3770" s="22" t="s">
        <v>2545</v>
      </c>
      <c r="E3770" s="24">
        <v>2001</v>
      </c>
      <c r="F3770" s="22">
        <v>15929</v>
      </c>
      <c r="G3770" s="23" t="s">
        <v>2546</v>
      </c>
      <c r="H3770" s="25" t="s">
        <v>15373</v>
      </c>
      <c r="I3770" s="22" t="s">
        <v>7528</v>
      </c>
      <c r="J3770" s="22" t="s">
        <v>2547</v>
      </c>
      <c r="K3770" s="26">
        <f t="shared" si="58"/>
        <v>616.66666666666663</v>
      </c>
      <c r="M3770" s="26">
        <v>925</v>
      </c>
      <c r="O3770" s="22" t="s">
        <v>2548</v>
      </c>
      <c r="P3770" s="22" t="s">
        <v>2549</v>
      </c>
      <c r="Q3770" s="22">
        <v>95652</v>
      </c>
      <c r="X3770" s="26"/>
      <c r="Y3770" s="26"/>
    </row>
    <row r="3771" spans="1:25" ht="37.5" x14ac:dyDescent="0.25">
      <c r="A3771" s="21">
        <v>9803</v>
      </c>
      <c r="B3771" s="22" t="s">
        <v>15335</v>
      </c>
      <c r="C3771" s="22" t="s">
        <v>3299</v>
      </c>
      <c r="E3771" s="24">
        <v>2001</v>
      </c>
      <c r="F3771" s="22">
        <v>15447</v>
      </c>
      <c r="G3771" s="23" t="s">
        <v>2550</v>
      </c>
      <c r="H3771" s="25" t="s">
        <v>15373</v>
      </c>
      <c r="I3771" s="22" t="s">
        <v>15382</v>
      </c>
      <c r="J3771" s="22" t="s">
        <v>2551</v>
      </c>
      <c r="K3771" s="26">
        <f t="shared" si="58"/>
        <v>993.33333333333326</v>
      </c>
      <c r="N3771" s="26">
        <v>1490</v>
      </c>
      <c r="O3771" s="22" t="s">
        <v>2104</v>
      </c>
      <c r="P3771" s="22" t="s">
        <v>2772</v>
      </c>
      <c r="Q3771" s="22" t="s">
        <v>2773</v>
      </c>
      <c r="R3771" s="22" t="s">
        <v>3303</v>
      </c>
      <c r="S3771" s="22" t="s">
        <v>3304</v>
      </c>
      <c r="X3771" s="26"/>
      <c r="Y3771" s="26"/>
    </row>
    <row r="3772" spans="1:25" ht="25" x14ac:dyDescent="0.25">
      <c r="A3772" s="21">
        <v>9804</v>
      </c>
      <c r="B3772" s="22" t="s">
        <v>15335</v>
      </c>
      <c r="C3772" s="22" t="s">
        <v>3299</v>
      </c>
      <c r="E3772" s="24">
        <v>2001</v>
      </c>
      <c r="F3772" s="22">
        <v>15143</v>
      </c>
      <c r="G3772" s="23" t="s">
        <v>2552</v>
      </c>
      <c r="H3772" s="25" t="s">
        <v>15373</v>
      </c>
      <c r="I3772" s="22" t="s">
        <v>15382</v>
      </c>
      <c r="J3772" s="22" t="s">
        <v>15391</v>
      </c>
      <c r="K3772" s="26">
        <f t="shared" si="58"/>
        <v>1480</v>
      </c>
      <c r="M3772" s="26">
        <v>2220</v>
      </c>
      <c r="O3772" s="22" t="s">
        <v>2104</v>
      </c>
      <c r="P3772" s="22" t="s">
        <v>2772</v>
      </c>
      <c r="Q3772" s="22" t="s">
        <v>2773</v>
      </c>
      <c r="R3772" s="22" t="s">
        <v>3303</v>
      </c>
      <c r="S3772" s="22" t="s">
        <v>3304</v>
      </c>
      <c r="X3772" s="26"/>
      <c r="Y3772" s="26"/>
    </row>
    <row r="3773" spans="1:25" ht="25" x14ac:dyDescent="0.25">
      <c r="A3773" s="21">
        <v>9805</v>
      </c>
      <c r="B3773" s="22" t="s">
        <v>15335</v>
      </c>
      <c r="C3773" s="22" t="s">
        <v>3299</v>
      </c>
      <c r="E3773" s="24">
        <v>2001</v>
      </c>
      <c r="F3773" s="22">
        <v>15144</v>
      </c>
      <c r="G3773" s="23" t="s">
        <v>2553</v>
      </c>
      <c r="H3773" s="25" t="s">
        <v>15373</v>
      </c>
      <c r="I3773" s="22" t="s">
        <v>15382</v>
      </c>
      <c r="J3773" s="22" t="s">
        <v>16792</v>
      </c>
      <c r="K3773" s="26">
        <f t="shared" si="58"/>
        <v>356.66666666666663</v>
      </c>
      <c r="M3773" s="26">
        <v>535</v>
      </c>
      <c r="O3773" s="22" t="s">
        <v>2104</v>
      </c>
      <c r="P3773" s="22" t="s">
        <v>2772</v>
      </c>
      <c r="Q3773" s="22" t="s">
        <v>2773</v>
      </c>
      <c r="R3773" s="22" t="s">
        <v>3303</v>
      </c>
      <c r="S3773" s="22" t="s">
        <v>3304</v>
      </c>
      <c r="X3773" s="26"/>
      <c r="Y3773" s="26"/>
    </row>
    <row r="3774" spans="1:25" ht="37.5" x14ac:dyDescent="0.25">
      <c r="A3774" s="21">
        <v>9806</v>
      </c>
      <c r="B3774" s="22" t="s">
        <v>15335</v>
      </c>
      <c r="C3774" s="22" t="s">
        <v>2554</v>
      </c>
      <c r="E3774" s="24">
        <v>2001</v>
      </c>
      <c r="F3774" s="22">
        <v>15892</v>
      </c>
      <c r="G3774" s="23" t="s">
        <v>2555</v>
      </c>
      <c r="H3774" s="25" t="s">
        <v>15373</v>
      </c>
      <c r="I3774" s="22" t="s">
        <v>15382</v>
      </c>
      <c r="J3774" s="22" t="s">
        <v>14850</v>
      </c>
      <c r="K3774" s="26">
        <f t="shared" si="58"/>
        <v>310</v>
      </c>
      <c r="N3774" s="26">
        <v>465</v>
      </c>
      <c r="O3774" s="22" t="s">
        <v>2490</v>
      </c>
      <c r="P3774" s="22" t="s">
        <v>2741</v>
      </c>
      <c r="Q3774" s="22">
        <v>95814</v>
      </c>
      <c r="R3774" s="22" t="s">
        <v>2556</v>
      </c>
      <c r="S3774" s="22" t="s">
        <v>2557</v>
      </c>
      <c r="X3774" s="26"/>
      <c r="Y3774" s="26"/>
    </row>
    <row r="3775" spans="1:25" ht="50" x14ac:dyDescent="0.25">
      <c r="A3775" s="21">
        <v>9807</v>
      </c>
      <c r="B3775" s="22" t="s">
        <v>15335</v>
      </c>
      <c r="C3775" s="22" t="s">
        <v>2558</v>
      </c>
      <c r="E3775" s="24">
        <v>2001</v>
      </c>
      <c r="F3775" s="22">
        <v>15428</v>
      </c>
      <c r="G3775" s="23" t="s">
        <v>2559</v>
      </c>
      <c r="H3775" s="25" t="s">
        <v>15373</v>
      </c>
      <c r="I3775" s="22" t="s">
        <v>15411</v>
      </c>
      <c r="J3775" s="22" t="s">
        <v>18628</v>
      </c>
      <c r="K3775" s="26">
        <f t="shared" si="58"/>
        <v>366.66666666666663</v>
      </c>
      <c r="M3775" s="26">
        <v>550</v>
      </c>
      <c r="O3775" s="22" t="s">
        <v>2560</v>
      </c>
      <c r="P3775" s="22" t="s">
        <v>2772</v>
      </c>
      <c r="Q3775" s="22">
        <v>95630</v>
      </c>
      <c r="R3775" s="22" t="s">
        <v>4182</v>
      </c>
      <c r="S3775" s="22" t="s">
        <v>2561</v>
      </c>
      <c r="X3775" s="26"/>
      <c r="Y3775" s="26"/>
    </row>
    <row r="3776" spans="1:25" ht="50" x14ac:dyDescent="0.25">
      <c r="A3776" s="21">
        <v>9808</v>
      </c>
      <c r="B3776" s="22" t="s">
        <v>15335</v>
      </c>
      <c r="C3776" s="22" t="s">
        <v>2562</v>
      </c>
      <c r="E3776" s="24">
        <v>2002</v>
      </c>
      <c r="F3776" s="22">
        <v>16044</v>
      </c>
      <c r="G3776" s="23" t="s">
        <v>2563</v>
      </c>
      <c r="H3776" s="25" t="s">
        <v>15373</v>
      </c>
      <c r="I3776" s="22" t="s">
        <v>15411</v>
      </c>
      <c r="J3776" s="22" t="s">
        <v>2564</v>
      </c>
      <c r="K3776" s="26">
        <f t="shared" si="58"/>
        <v>1000</v>
      </c>
      <c r="L3776" s="26">
        <v>1000</v>
      </c>
      <c r="O3776" s="22" t="s">
        <v>2565</v>
      </c>
      <c r="P3776" s="22" t="s">
        <v>2755</v>
      </c>
      <c r="Q3776" s="22">
        <v>95670</v>
      </c>
      <c r="R3776" s="22" t="s">
        <v>2566</v>
      </c>
      <c r="S3776" s="22" t="s">
        <v>2567</v>
      </c>
      <c r="X3776" s="26"/>
      <c r="Y3776" s="26"/>
    </row>
    <row r="3777" spans="1:25" ht="37.5" x14ac:dyDescent="0.25">
      <c r="A3777" s="21">
        <v>9809</v>
      </c>
      <c r="B3777" s="22" t="s">
        <v>15335</v>
      </c>
      <c r="C3777" s="22" t="s">
        <v>3022</v>
      </c>
      <c r="E3777" s="24">
        <v>1987</v>
      </c>
      <c r="F3777" s="22">
        <v>8466</v>
      </c>
      <c r="G3777" s="23" t="s">
        <v>2568</v>
      </c>
      <c r="H3777" s="25" t="s">
        <v>15373</v>
      </c>
      <c r="I3777" s="22" t="s">
        <v>15374</v>
      </c>
      <c r="J3777" s="22">
        <v>3412</v>
      </c>
      <c r="K3777" s="26">
        <f t="shared" si="58"/>
        <v>593.33333333333326</v>
      </c>
      <c r="M3777" s="26">
        <v>890</v>
      </c>
      <c r="O3777" s="22" t="s">
        <v>3024</v>
      </c>
      <c r="P3777" s="22" t="s">
        <v>2741</v>
      </c>
      <c r="Q3777" s="22">
        <v>95819</v>
      </c>
      <c r="R3777" s="22" t="s">
        <v>3025</v>
      </c>
      <c r="S3777" s="22" t="s">
        <v>3026</v>
      </c>
      <c r="X3777" s="26"/>
      <c r="Y3777" s="26"/>
    </row>
    <row r="3778" spans="1:25" ht="25" x14ac:dyDescent="0.25">
      <c r="A3778" s="21">
        <v>9810</v>
      </c>
      <c r="B3778" s="22" t="s">
        <v>15335</v>
      </c>
      <c r="C3778" s="22" t="s">
        <v>3022</v>
      </c>
      <c r="E3778" s="24">
        <v>1983</v>
      </c>
      <c r="F3778" s="22">
        <v>7395</v>
      </c>
      <c r="G3778" s="23" t="s">
        <v>2569</v>
      </c>
      <c r="H3778" s="25" t="s">
        <v>15373</v>
      </c>
      <c r="I3778" s="22" t="s">
        <v>15411</v>
      </c>
      <c r="J3778" s="22">
        <v>149</v>
      </c>
      <c r="K3778" s="26">
        <f t="shared" si="58"/>
        <v>1033.3333333333333</v>
      </c>
      <c r="M3778" s="26">
        <v>1550</v>
      </c>
      <c r="O3778" s="22" t="s">
        <v>3024</v>
      </c>
      <c r="P3778" s="22" t="s">
        <v>2741</v>
      </c>
      <c r="Q3778" s="22">
        <v>95819</v>
      </c>
      <c r="R3778" s="22" t="s">
        <v>3025</v>
      </c>
      <c r="S3778" s="22" t="s">
        <v>3026</v>
      </c>
      <c r="X3778" s="26"/>
      <c r="Y3778" s="26"/>
    </row>
    <row r="3779" spans="1:25" ht="50" x14ac:dyDescent="0.25">
      <c r="A3779" s="21">
        <v>9811</v>
      </c>
      <c r="B3779" s="22" t="s">
        <v>15335</v>
      </c>
      <c r="C3779" s="22" t="s">
        <v>2570</v>
      </c>
      <c r="E3779" s="24">
        <v>2001</v>
      </c>
      <c r="F3779" s="22">
        <v>16050</v>
      </c>
      <c r="G3779" s="23" t="s">
        <v>2571</v>
      </c>
      <c r="H3779" s="25" t="s">
        <v>15373</v>
      </c>
      <c r="I3779" s="22" t="s">
        <v>14275</v>
      </c>
      <c r="J3779" s="22" t="s">
        <v>7010</v>
      </c>
      <c r="K3779" s="26">
        <f t="shared" si="58"/>
        <v>450</v>
      </c>
      <c r="L3779" s="26">
        <v>450</v>
      </c>
      <c r="O3779" s="22" t="s">
        <v>2572</v>
      </c>
      <c r="P3779" s="22" t="s">
        <v>2549</v>
      </c>
      <c r="Q3779" s="22">
        <v>95652</v>
      </c>
      <c r="R3779" s="22" t="s">
        <v>2573</v>
      </c>
      <c r="S3779" s="22" t="s">
        <v>2574</v>
      </c>
      <c r="X3779" s="26"/>
      <c r="Y3779" s="26"/>
    </row>
    <row r="3780" spans="1:25" ht="37.5" x14ac:dyDescent="0.25">
      <c r="A3780" s="21">
        <v>9812</v>
      </c>
      <c r="B3780" s="22" t="s">
        <v>15335</v>
      </c>
      <c r="C3780" s="22" t="s">
        <v>2575</v>
      </c>
      <c r="E3780" s="24">
        <v>2000</v>
      </c>
      <c r="F3780" s="22">
        <v>16844</v>
      </c>
      <c r="G3780" s="23" t="s">
        <v>2576</v>
      </c>
      <c r="H3780" s="25" t="s">
        <v>16411</v>
      </c>
      <c r="I3780" s="22" t="s">
        <v>15382</v>
      </c>
      <c r="J3780" s="22" t="s">
        <v>2577</v>
      </c>
      <c r="K3780" s="26">
        <f t="shared" si="58"/>
        <v>492</v>
      </c>
      <c r="M3780" s="26">
        <v>738</v>
      </c>
      <c r="O3780" s="22" t="s">
        <v>2578</v>
      </c>
      <c r="P3780" s="22" t="s">
        <v>2579</v>
      </c>
      <c r="Q3780" s="22">
        <v>95843</v>
      </c>
      <c r="R3780" s="22" t="s">
        <v>2580</v>
      </c>
      <c r="S3780" s="22" t="s">
        <v>2581</v>
      </c>
      <c r="X3780" s="26"/>
      <c r="Y3780" s="26"/>
    </row>
    <row r="3781" spans="1:25" ht="37.5" x14ac:dyDescent="0.25">
      <c r="A3781" s="21">
        <v>9813</v>
      </c>
      <c r="B3781" s="22" t="s">
        <v>15335</v>
      </c>
      <c r="C3781" s="22" t="s">
        <v>5789</v>
      </c>
      <c r="E3781" s="24">
        <v>2001</v>
      </c>
      <c r="F3781" s="22">
        <v>15942</v>
      </c>
      <c r="G3781" s="23" t="s">
        <v>2582</v>
      </c>
      <c r="H3781" s="25" t="s">
        <v>15373</v>
      </c>
      <c r="I3781" s="22" t="s">
        <v>15374</v>
      </c>
      <c r="J3781" s="22" t="s">
        <v>2583</v>
      </c>
      <c r="K3781" s="26">
        <f t="shared" si="58"/>
        <v>350</v>
      </c>
      <c r="L3781" s="26">
        <v>350</v>
      </c>
      <c r="O3781" s="22" t="s">
        <v>2584</v>
      </c>
      <c r="P3781" s="22" t="s">
        <v>2741</v>
      </c>
      <c r="Q3781" s="22">
        <v>95814</v>
      </c>
      <c r="R3781" s="22" t="s">
        <v>2180</v>
      </c>
      <c r="S3781" s="22" t="s">
        <v>2181</v>
      </c>
      <c r="X3781" s="26"/>
      <c r="Y3781" s="26"/>
    </row>
    <row r="3782" spans="1:25" ht="37.5" x14ac:dyDescent="0.25">
      <c r="A3782" s="21">
        <v>9814</v>
      </c>
      <c r="B3782" s="22" t="s">
        <v>15335</v>
      </c>
      <c r="C3782" s="22" t="s">
        <v>5789</v>
      </c>
      <c r="E3782" s="24">
        <v>2001</v>
      </c>
      <c r="F3782" s="22">
        <v>15411</v>
      </c>
      <c r="G3782" s="23" t="s">
        <v>2585</v>
      </c>
      <c r="H3782" s="25" t="s">
        <v>15373</v>
      </c>
      <c r="I3782" s="22" t="s">
        <v>15374</v>
      </c>
      <c r="J3782" s="22" t="s">
        <v>12899</v>
      </c>
      <c r="K3782" s="26">
        <f t="shared" si="58"/>
        <v>1898.3333333333333</v>
      </c>
      <c r="N3782" s="26">
        <v>2847.5</v>
      </c>
      <c r="O3782" s="22" t="s">
        <v>2586</v>
      </c>
      <c r="P3782" s="22" t="s">
        <v>2741</v>
      </c>
      <c r="Q3782" s="22">
        <v>95815</v>
      </c>
      <c r="R3782" s="22" t="s">
        <v>2184</v>
      </c>
      <c r="S3782" s="22" t="s">
        <v>2185</v>
      </c>
      <c r="X3782" s="26"/>
      <c r="Y3782" s="26"/>
    </row>
    <row r="3783" spans="1:25" ht="37.5" x14ac:dyDescent="0.25">
      <c r="A3783" s="21">
        <v>9815</v>
      </c>
      <c r="B3783" s="22" t="s">
        <v>15335</v>
      </c>
      <c r="C3783" s="22" t="s">
        <v>5789</v>
      </c>
      <c r="E3783" s="24">
        <v>2001</v>
      </c>
      <c r="F3783" s="22">
        <v>14933</v>
      </c>
      <c r="G3783" s="23" t="s">
        <v>2587</v>
      </c>
      <c r="H3783" s="25" t="s">
        <v>15373</v>
      </c>
      <c r="I3783" s="22" t="s">
        <v>15374</v>
      </c>
      <c r="J3783" s="22" t="s">
        <v>9707</v>
      </c>
      <c r="K3783" s="26">
        <f t="shared" si="58"/>
        <v>548.66666666666663</v>
      </c>
      <c r="M3783" s="26">
        <v>823</v>
      </c>
      <c r="O3783" s="22" t="s">
        <v>2588</v>
      </c>
      <c r="P3783" s="22" t="s">
        <v>2772</v>
      </c>
      <c r="Q3783" s="22">
        <v>95630</v>
      </c>
      <c r="X3783" s="26"/>
      <c r="Y3783" s="26"/>
    </row>
    <row r="3784" spans="1:25" ht="50" x14ac:dyDescent="0.25">
      <c r="A3784" s="21">
        <v>9816</v>
      </c>
      <c r="B3784" s="22" t="s">
        <v>15335</v>
      </c>
      <c r="C3784" s="22" t="s">
        <v>17987</v>
      </c>
      <c r="E3784" s="24">
        <v>1996</v>
      </c>
      <c r="F3784" s="22">
        <v>12264</v>
      </c>
      <c r="G3784" s="23" t="s">
        <v>2589</v>
      </c>
      <c r="H3784" s="25" t="s">
        <v>16310</v>
      </c>
      <c r="I3784" s="22" t="s">
        <v>16160</v>
      </c>
      <c r="J3784" s="22" t="s">
        <v>2590</v>
      </c>
      <c r="K3784" s="26">
        <f t="shared" si="58"/>
        <v>666.66666666666663</v>
      </c>
      <c r="M3784" s="26">
        <v>1000</v>
      </c>
      <c r="O3784" s="22" t="s">
        <v>2591</v>
      </c>
      <c r="P3784" s="22" t="s">
        <v>2592</v>
      </c>
      <c r="Q3784" s="22">
        <v>95641</v>
      </c>
      <c r="X3784" s="26"/>
      <c r="Y3784" s="26"/>
    </row>
    <row r="3785" spans="1:25" ht="50" x14ac:dyDescent="0.25">
      <c r="A3785" s="21">
        <v>9817</v>
      </c>
      <c r="B3785" s="22" t="s">
        <v>15335</v>
      </c>
      <c r="C3785" s="22" t="s">
        <v>17987</v>
      </c>
      <c r="E3785" s="24">
        <v>1996</v>
      </c>
      <c r="F3785" s="22">
        <v>12263</v>
      </c>
      <c r="G3785" s="23" t="s">
        <v>2593</v>
      </c>
      <c r="H3785" s="25" t="s">
        <v>16310</v>
      </c>
      <c r="I3785" s="22" t="s">
        <v>16160</v>
      </c>
      <c r="J3785" s="22" t="s">
        <v>2590</v>
      </c>
      <c r="K3785" s="26">
        <f t="shared" si="58"/>
        <v>666.66666666666663</v>
      </c>
      <c r="M3785" s="26">
        <v>1000</v>
      </c>
      <c r="O3785" s="22" t="s">
        <v>2591</v>
      </c>
      <c r="P3785" s="22" t="s">
        <v>2592</v>
      </c>
      <c r="Q3785" s="22">
        <v>95641</v>
      </c>
      <c r="X3785" s="26"/>
      <c r="Y3785" s="26"/>
    </row>
    <row r="3786" spans="1:25" ht="50" x14ac:dyDescent="0.25">
      <c r="A3786" s="21">
        <v>9818</v>
      </c>
      <c r="B3786" s="22" t="s">
        <v>15335</v>
      </c>
      <c r="C3786" s="22" t="s">
        <v>2594</v>
      </c>
      <c r="E3786" s="24">
        <v>2001</v>
      </c>
      <c r="F3786" s="22">
        <v>15251</v>
      </c>
      <c r="G3786" s="23" t="s">
        <v>2595</v>
      </c>
      <c r="H3786" s="25" t="s">
        <v>15373</v>
      </c>
      <c r="I3786" s="22" t="s">
        <v>15374</v>
      </c>
      <c r="J3786" s="22" t="s">
        <v>11983</v>
      </c>
      <c r="K3786" s="26">
        <f t="shared" si="58"/>
        <v>1001.3333333333333</v>
      </c>
      <c r="M3786" s="26">
        <v>1502</v>
      </c>
      <c r="O3786" s="22" t="s">
        <v>2596</v>
      </c>
      <c r="P3786" s="22" t="s">
        <v>2755</v>
      </c>
      <c r="Q3786" s="22">
        <v>95670</v>
      </c>
      <c r="X3786" s="26"/>
      <c r="Y3786" s="26"/>
    </row>
    <row r="3787" spans="1:25" ht="50" x14ac:dyDescent="0.25">
      <c r="A3787" s="21">
        <v>9819</v>
      </c>
      <c r="B3787" s="22" t="s">
        <v>15335</v>
      </c>
      <c r="C3787" s="22" t="s">
        <v>2597</v>
      </c>
      <c r="E3787" s="24">
        <v>2001</v>
      </c>
      <c r="F3787" s="22">
        <v>15963</v>
      </c>
      <c r="G3787" s="23" t="s">
        <v>2598</v>
      </c>
      <c r="H3787" s="25" t="s">
        <v>15373</v>
      </c>
      <c r="I3787" s="22" t="s">
        <v>15374</v>
      </c>
      <c r="J3787" s="22" t="s">
        <v>12899</v>
      </c>
      <c r="K3787" s="26">
        <f t="shared" si="58"/>
        <v>2000</v>
      </c>
      <c r="L3787" s="26">
        <v>2000</v>
      </c>
      <c r="O3787" s="22" t="s">
        <v>2599</v>
      </c>
      <c r="P3787" s="22" t="s">
        <v>2741</v>
      </c>
      <c r="Q3787" s="22">
        <v>95834</v>
      </c>
      <c r="X3787" s="26"/>
      <c r="Y3787" s="26"/>
    </row>
    <row r="3788" spans="1:25" ht="50" x14ac:dyDescent="0.25">
      <c r="A3788" s="21">
        <v>9820</v>
      </c>
      <c r="B3788" s="22" t="s">
        <v>15335</v>
      </c>
      <c r="C3788" s="22" t="s">
        <v>2600</v>
      </c>
      <c r="E3788" s="24">
        <v>2001</v>
      </c>
      <c r="F3788" s="22">
        <v>15541</v>
      </c>
      <c r="G3788" s="23" t="s">
        <v>2601</v>
      </c>
      <c r="H3788" s="25" t="s">
        <v>15373</v>
      </c>
      <c r="I3788" s="22" t="s">
        <v>15382</v>
      </c>
      <c r="J3788" s="22" t="s">
        <v>15723</v>
      </c>
      <c r="K3788" s="26">
        <f t="shared" si="58"/>
        <v>1233.3333333333333</v>
      </c>
      <c r="M3788" s="26">
        <v>1850</v>
      </c>
      <c r="O3788" s="22" t="s">
        <v>2602</v>
      </c>
      <c r="P3788" s="22" t="s">
        <v>2741</v>
      </c>
      <c r="Q3788" s="22">
        <v>95814</v>
      </c>
      <c r="R3788" s="22" t="s">
        <v>2603</v>
      </c>
      <c r="S3788" s="22" t="s">
        <v>2604</v>
      </c>
      <c r="X3788" s="26"/>
      <c r="Y3788" s="26"/>
    </row>
    <row r="3789" spans="1:25" ht="37.5" x14ac:dyDescent="0.25">
      <c r="A3789" s="21">
        <v>9821</v>
      </c>
      <c r="B3789" s="22" t="s">
        <v>15335</v>
      </c>
      <c r="C3789" s="22" t="s">
        <v>2605</v>
      </c>
      <c r="E3789" s="24">
        <v>2001</v>
      </c>
      <c r="F3789" s="22">
        <v>15715</v>
      </c>
      <c r="G3789" s="23" t="s">
        <v>2606</v>
      </c>
      <c r="H3789" s="25" t="s">
        <v>15373</v>
      </c>
      <c r="I3789" s="22" t="s">
        <v>15709</v>
      </c>
      <c r="J3789" s="22" t="s">
        <v>15636</v>
      </c>
      <c r="K3789" s="26">
        <f t="shared" si="58"/>
        <v>567.33333333333326</v>
      </c>
      <c r="M3789" s="26">
        <v>851</v>
      </c>
      <c r="O3789" s="22" t="s">
        <v>2607</v>
      </c>
      <c r="P3789" s="22" t="s">
        <v>2741</v>
      </c>
      <c r="Q3789" s="22">
        <v>95814</v>
      </c>
      <c r="R3789" s="22" t="s">
        <v>2608</v>
      </c>
      <c r="S3789" s="22" t="s">
        <v>2609</v>
      </c>
      <c r="X3789" s="26"/>
      <c r="Y3789" s="26"/>
    </row>
    <row r="3790" spans="1:25" ht="50" x14ac:dyDescent="0.25">
      <c r="A3790" s="21">
        <v>9822</v>
      </c>
      <c r="B3790" s="22" t="s">
        <v>15335</v>
      </c>
      <c r="C3790" s="22" t="s">
        <v>2610</v>
      </c>
      <c r="E3790" s="24">
        <v>2001</v>
      </c>
      <c r="F3790" s="22">
        <v>15985</v>
      </c>
      <c r="G3790" s="23" t="s">
        <v>2611</v>
      </c>
      <c r="H3790" s="25" t="s">
        <v>15373</v>
      </c>
      <c r="I3790" s="22" t="s">
        <v>15374</v>
      </c>
      <c r="J3790" s="22" t="s">
        <v>15701</v>
      </c>
      <c r="K3790" s="26">
        <f t="shared" si="58"/>
        <v>399.33333333333331</v>
      </c>
      <c r="N3790" s="26">
        <v>599</v>
      </c>
      <c r="O3790" s="22" t="s">
        <v>2612</v>
      </c>
      <c r="P3790" s="22" t="s">
        <v>3907</v>
      </c>
      <c r="Q3790" s="22">
        <v>95632</v>
      </c>
      <c r="R3790" s="22" t="s">
        <v>2613</v>
      </c>
      <c r="S3790" s="22" t="s">
        <v>2614</v>
      </c>
      <c r="X3790" s="26"/>
      <c r="Y3790" s="26"/>
    </row>
    <row r="3791" spans="1:25" ht="50" x14ac:dyDescent="0.25">
      <c r="A3791" s="21">
        <v>9823</v>
      </c>
      <c r="B3791" s="22" t="s">
        <v>15335</v>
      </c>
      <c r="C3791" s="22" t="s">
        <v>2615</v>
      </c>
      <c r="E3791" s="24">
        <v>2001</v>
      </c>
      <c r="F3791" s="22">
        <v>15011</v>
      </c>
      <c r="G3791" s="23" t="s">
        <v>2616</v>
      </c>
      <c r="H3791" s="25" t="s">
        <v>15373</v>
      </c>
      <c r="I3791" s="22" t="s">
        <v>15411</v>
      </c>
      <c r="J3791" s="22" t="s">
        <v>2617</v>
      </c>
      <c r="K3791" s="26">
        <f t="shared" si="58"/>
        <v>1076.6666666666665</v>
      </c>
      <c r="M3791" s="26">
        <v>1615</v>
      </c>
      <c r="O3791" s="22" t="s">
        <v>2618</v>
      </c>
      <c r="P3791" s="22" t="s">
        <v>2741</v>
      </c>
      <c r="Q3791" s="22">
        <v>95816</v>
      </c>
      <c r="R3791" s="22" t="s">
        <v>2619</v>
      </c>
      <c r="S3791" s="22" t="s">
        <v>2620</v>
      </c>
      <c r="X3791" s="26"/>
      <c r="Y3791" s="26"/>
    </row>
    <row r="3792" spans="1:25" ht="37.5" x14ac:dyDescent="0.25">
      <c r="A3792" s="21">
        <v>9824</v>
      </c>
      <c r="B3792" s="22" t="s">
        <v>15335</v>
      </c>
      <c r="C3792" s="22" t="s">
        <v>2615</v>
      </c>
      <c r="E3792" s="24">
        <v>2000</v>
      </c>
      <c r="F3792" s="22">
        <v>10463</v>
      </c>
      <c r="G3792" s="23" t="s">
        <v>2621</v>
      </c>
      <c r="H3792" s="25" t="s">
        <v>15373</v>
      </c>
      <c r="I3792" s="22" t="s">
        <v>15411</v>
      </c>
      <c r="J3792" s="22" t="s">
        <v>15068</v>
      </c>
      <c r="K3792" s="26">
        <f t="shared" si="58"/>
        <v>821.33333333333326</v>
      </c>
      <c r="N3792" s="26">
        <v>1232</v>
      </c>
      <c r="O3792" s="22" t="s">
        <v>2622</v>
      </c>
      <c r="P3792" s="22" t="s">
        <v>2741</v>
      </c>
      <c r="Q3792" s="22">
        <v>95816</v>
      </c>
      <c r="R3792" s="22" t="s">
        <v>2623</v>
      </c>
      <c r="S3792" s="22" t="s">
        <v>2624</v>
      </c>
      <c r="X3792" s="26"/>
      <c r="Y3792" s="26"/>
    </row>
    <row r="3793" spans="1:25" ht="37.5" x14ac:dyDescent="0.25">
      <c r="A3793" s="21">
        <v>9825</v>
      </c>
      <c r="B3793" s="22" t="s">
        <v>15335</v>
      </c>
      <c r="C3793" s="22" t="s">
        <v>2615</v>
      </c>
      <c r="E3793" s="24">
        <v>2000</v>
      </c>
      <c r="F3793" s="22">
        <v>10464</v>
      </c>
      <c r="G3793" s="23" t="s">
        <v>2625</v>
      </c>
      <c r="H3793" s="25" t="s">
        <v>15373</v>
      </c>
      <c r="I3793" s="22" t="s">
        <v>15411</v>
      </c>
      <c r="J3793" s="22" t="s">
        <v>15068</v>
      </c>
      <c r="K3793" s="26">
        <f t="shared" si="58"/>
        <v>821.33333333333326</v>
      </c>
      <c r="N3793" s="26">
        <v>1232</v>
      </c>
      <c r="O3793" s="22" t="s">
        <v>2622</v>
      </c>
      <c r="P3793" s="22" t="s">
        <v>2741</v>
      </c>
      <c r="Q3793" s="22">
        <v>95816</v>
      </c>
      <c r="R3793" s="22" t="s">
        <v>2623</v>
      </c>
      <c r="S3793" s="22" t="s">
        <v>2624</v>
      </c>
      <c r="X3793" s="26"/>
      <c r="Y3793" s="26"/>
    </row>
    <row r="3794" spans="1:25" ht="37.5" x14ac:dyDescent="0.25">
      <c r="A3794" s="21">
        <v>9826</v>
      </c>
      <c r="B3794" s="22" t="s">
        <v>15335</v>
      </c>
      <c r="C3794" s="22" t="s">
        <v>2615</v>
      </c>
      <c r="E3794" s="24">
        <v>2000</v>
      </c>
      <c r="F3794" s="22">
        <v>10465</v>
      </c>
      <c r="G3794" s="23" t="s">
        <v>2626</v>
      </c>
      <c r="H3794" s="25" t="s">
        <v>15373</v>
      </c>
      <c r="I3794" s="22" t="s">
        <v>15411</v>
      </c>
      <c r="J3794" s="22" t="s">
        <v>15068</v>
      </c>
      <c r="K3794" s="26">
        <f t="shared" si="58"/>
        <v>821.33333333333326</v>
      </c>
      <c r="N3794" s="26">
        <v>1232</v>
      </c>
      <c r="O3794" s="22" t="s">
        <v>2622</v>
      </c>
      <c r="P3794" s="22" t="s">
        <v>2741</v>
      </c>
      <c r="Q3794" s="22">
        <v>95816</v>
      </c>
      <c r="R3794" s="22" t="s">
        <v>2623</v>
      </c>
      <c r="S3794" s="22" t="s">
        <v>2624</v>
      </c>
      <c r="X3794" s="26"/>
      <c r="Y3794" s="26"/>
    </row>
    <row r="3795" spans="1:25" ht="50" x14ac:dyDescent="0.25">
      <c r="A3795" s="21">
        <v>9827</v>
      </c>
      <c r="B3795" s="22" t="s">
        <v>15335</v>
      </c>
      <c r="C3795" s="22" t="s">
        <v>2615</v>
      </c>
      <c r="E3795" s="24">
        <v>2001</v>
      </c>
      <c r="F3795" s="22">
        <v>15012</v>
      </c>
      <c r="G3795" s="23" t="s">
        <v>2627</v>
      </c>
      <c r="H3795" s="25" t="s">
        <v>15373</v>
      </c>
      <c r="I3795" s="22" t="s">
        <v>15411</v>
      </c>
      <c r="J3795" s="22" t="s">
        <v>2617</v>
      </c>
      <c r="K3795" s="26">
        <f t="shared" si="58"/>
        <v>1076.6666666666665</v>
      </c>
      <c r="M3795" s="26">
        <v>1615</v>
      </c>
      <c r="O3795" s="22" t="s">
        <v>2618</v>
      </c>
      <c r="P3795" s="22" t="s">
        <v>2741</v>
      </c>
      <c r="Q3795" s="22">
        <v>95816</v>
      </c>
      <c r="R3795" s="22" t="s">
        <v>2619</v>
      </c>
      <c r="S3795" s="22" t="s">
        <v>2620</v>
      </c>
      <c r="X3795" s="26"/>
      <c r="Y3795" s="26"/>
    </row>
    <row r="3796" spans="1:25" ht="37.5" x14ac:dyDescent="0.25">
      <c r="A3796" s="21">
        <v>9828</v>
      </c>
      <c r="B3796" s="22" t="s">
        <v>15335</v>
      </c>
      <c r="C3796" s="22" t="s">
        <v>2615</v>
      </c>
      <c r="E3796" s="24">
        <v>2001</v>
      </c>
      <c r="F3796" s="22">
        <v>15659</v>
      </c>
      <c r="G3796" s="23" t="s">
        <v>2628</v>
      </c>
      <c r="H3796" s="25" t="s">
        <v>15373</v>
      </c>
      <c r="I3796" s="22" t="s">
        <v>15411</v>
      </c>
      <c r="J3796" s="22" t="s">
        <v>8271</v>
      </c>
      <c r="K3796" s="26">
        <f t="shared" si="58"/>
        <v>746.66666666666663</v>
      </c>
      <c r="M3796" s="26">
        <v>1120</v>
      </c>
      <c r="O3796" s="22" t="s">
        <v>2618</v>
      </c>
      <c r="P3796" s="22" t="s">
        <v>2741</v>
      </c>
      <c r="Q3796" s="22">
        <v>95816</v>
      </c>
      <c r="R3796" s="22" t="s">
        <v>2623</v>
      </c>
      <c r="S3796" s="22" t="s">
        <v>2624</v>
      </c>
      <c r="X3796" s="26"/>
      <c r="Y3796" s="26"/>
    </row>
    <row r="3797" spans="1:25" ht="37.5" x14ac:dyDescent="0.25">
      <c r="A3797" s="21">
        <v>9829</v>
      </c>
      <c r="B3797" s="22" t="s">
        <v>15335</v>
      </c>
      <c r="C3797" s="22" t="s">
        <v>2629</v>
      </c>
      <c r="E3797" s="24">
        <v>2001</v>
      </c>
      <c r="F3797" s="22">
        <v>14592</v>
      </c>
      <c r="G3797" s="23" t="s">
        <v>2630</v>
      </c>
      <c r="H3797" s="25" t="s">
        <v>15373</v>
      </c>
      <c r="I3797" s="22" t="s">
        <v>15382</v>
      </c>
      <c r="J3797" s="22" t="s">
        <v>16450</v>
      </c>
      <c r="K3797" s="26">
        <f t="shared" si="58"/>
        <v>993.33333333333326</v>
      </c>
      <c r="M3797" s="26">
        <v>1490</v>
      </c>
      <c r="O3797" s="22" t="s">
        <v>2631</v>
      </c>
      <c r="P3797" s="22" t="s">
        <v>2741</v>
      </c>
      <c r="Q3797" s="22">
        <v>95655</v>
      </c>
      <c r="R3797" s="22" t="s">
        <v>2632</v>
      </c>
      <c r="S3797" s="22" t="s">
        <v>2633</v>
      </c>
      <c r="X3797" s="26"/>
      <c r="Y3797" s="26"/>
    </row>
    <row r="3798" spans="1:25" ht="50" x14ac:dyDescent="0.25">
      <c r="A3798" s="21">
        <v>9830</v>
      </c>
      <c r="B3798" s="22" t="s">
        <v>15335</v>
      </c>
      <c r="C3798" s="22" t="s">
        <v>2634</v>
      </c>
      <c r="E3798" s="24">
        <v>2001</v>
      </c>
      <c r="F3798" s="22">
        <v>14352</v>
      </c>
      <c r="G3798" s="23" t="s">
        <v>2635</v>
      </c>
      <c r="H3798" s="25" t="s">
        <v>15373</v>
      </c>
      <c r="I3798" s="22" t="s">
        <v>15374</v>
      </c>
      <c r="J3798" s="22" t="s">
        <v>4498</v>
      </c>
      <c r="K3798" s="26">
        <f t="shared" si="58"/>
        <v>1680</v>
      </c>
      <c r="N3798" s="26">
        <v>2520</v>
      </c>
      <c r="O3798" s="22" t="s">
        <v>2636</v>
      </c>
      <c r="P3798" s="22" t="s">
        <v>2755</v>
      </c>
      <c r="Q3798" s="22">
        <v>95670</v>
      </c>
      <c r="R3798" s="22" t="s">
        <v>2637</v>
      </c>
      <c r="S3798" s="22" t="s">
        <v>2638</v>
      </c>
      <c r="X3798" s="26"/>
      <c r="Y3798" s="26"/>
    </row>
    <row r="3799" spans="1:25" ht="50" x14ac:dyDescent="0.25">
      <c r="A3799" s="21">
        <v>9831</v>
      </c>
      <c r="B3799" s="22" t="s">
        <v>15335</v>
      </c>
      <c r="C3799" s="22" t="s">
        <v>2634</v>
      </c>
      <c r="E3799" s="24">
        <v>2001</v>
      </c>
      <c r="F3799" s="22">
        <v>14353</v>
      </c>
      <c r="G3799" s="23" t="s">
        <v>2639</v>
      </c>
      <c r="H3799" s="25" t="s">
        <v>15373</v>
      </c>
      <c r="I3799" s="22" t="s">
        <v>15374</v>
      </c>
      <c r="J3799" s="22" t="s">
        <v>4498</v>
      </c>
      <c r="K3799" s="26">
        <f t="shared" si="58"/>
        <v>1680</v>
      </c>
      <c r="N3799" s="26">
        <v>2520</v>
      </c>
      <c r="O3799" s="22" t="s">
        <v>2636</v>
      </c>
      <c r="P3799" s="22" t="s">
        <v>2755</v>
      </c>
      <c r="Q3799" s="22">
        <v>95670</v>
      </c>
      <c r="R3799" s="22" t="s">
        <v>2637</v>
      </c>
      <c r="S3799" s="22" t="s">
        <v>2638</v>
      </c>
      <c r="X3799" s="26"/>
      <c r="Y3799" s="26"/>
    </row>
    <row r="3800" spans="1:25" ht="50" x14ac:dyDescent="0.25">
      <c r="A3800" s="21">
        <v>9832</v>
      </c>
      <c r="B3800" s="22" t="s">
        <v>15335</v>
      </c>
      <c r="C3800" s="22" t="s">
        <v>2634</v>
      </c>
      <c r="E3800" s="24">
        <v>2001</v>
      </c>
      <c r="F3800" s="22">
        <v>14354</v>
      </c>
      <c r="G3800" s="23" t="s">
        <v>2640</v>
      </c>
      <c r="H3800" s="25" t="s">
        <v>15373</v>
      </c>
      <c r="I3800" s="22" t="s">
        <v>15374</v>
      </c>
      <c r="J3800" s="22" t="s">
        <v>4498</v>
      </c>
      <c r="K3800" s="26">
        <f t="shared" si="58"/>
        <v>1680</v>
      </c>
      <c r="N3800" s="26">
        <v>2520</v>
      </c>
      <c r="O3800" s="22" t="s">
        <v>2636</v>
      </c>
      <c r="P3800" s="22" t="s">
        <v>2755</v>
      </c>
      <c r="Q3800" s="22">
        <v>95670</v>
      </c>
      <c r="R3800" s="22" t="s">
        <v>2637</v>
      </c>
      <c r="S3800" s="22" t="s">
        <v>2638</v>
      </c>
      <c r="X3800" s="26"/>
      <c r="Y3800" s="26"/>
    </row>
    <row r="3801" spans="1:25" ht="25" x14ac:dyDescent="0.25">
      <c r="A3801" s="21">
        <v>9833</v>
      </c>
      <c r="B3801" s="22" t="s">
        <v>15335</v>
      </c>
      <c r="C3801" s="22" t="s">
        <v>2641</v>
      </c>
      <c r="E3801" s="24">
        <v>2001</v>
      </c>
      <c r="F3801" s="22">
        <v>16156</v>
      </c>
      <c r="G3801" s="23" t="s">
        <v>2642</v>
      </c>
      <c r="H3801" s="25" t="s">
        <v>15373</v>
      </c>
      <c r="I3801" s="22" t="s">
        <v>15374</v>
      </c>
      <c r="J3801" s="22" t="s">
        <v>12592</v>
      </c>
      <c r="K3801" s="26">
        <f t="shared" si="58"/>
        <v>1448</v>
      </c>
      <c r="N3801" s="26">
        <v>2172</v>
      </c>
      <c r="O3801" s="22" t="s">
        <v>2643</v>
      </c>
      <c r="P3801" s="22" t="s">
        <v>2741</v>
      </c>
      <c r="Q3801" s="22">
        <v>95816</v>
      </c>
      <c r="X3801" s="26"/>
      <c r="Y3801" s="26"/>
    </row>
    <row r="3802" spans="1:25" ht="25" x14ac:dyDescent="0.25">
      <c r="A3802" s="21">
        <v>9834</v>
      </c>
      <c r="B3802" s="22" t="s">
        <v>15335</v>
      </c>
      <c r="C3802" s="22" t="s">
        <v>2641</v>
      </c>
      <c r="E3802" s="24">
        <v>2001</v>
      </c>
      <c r="F3802" s="22">
        <v>16157</v>
      </c>
      <c r="G3802" s="23" t="s">
        <v>2644</v>
      </c>
      <c r="H3802" s="25" t="s">
        <v>15373</v>
      </c>
      <c r="I3802" s="22" t="s">
        <v>15374</v>
      </c>
      <c r="J3802" s="22" t="s">
        <v>12592</v>
      </c>
      <c r="K3802" s="26">
        <f t="shared" si="58"/>
        <v>1448</v>
      </c>
      <c r="N3802" s="26">
        <v>2172</v>
      </c>
      <c r="O3802" s="22" t="s">
        <v>2643</v>
      </c>
      <c r="P3802" s="22" t="s">
        <v>2741</v>
      </c>
      <c r="Q3802" s="22">
        <v>95816</v>
      </c>
      <c r="X3802" s="26"/>
      <c r="Y3802" s="26"/>
    </row>
    <row r="3803" spans="1:25" ht="25" x14ac:dyDescent="0.25">
      <c r="A3803" s="21">
        <v>9835</v>
      </c>
      <c r="B3803" s="22" t="s">
        <v>15335</v>
      </c>
      <c r="C3803" s="22" t="s">
        <v>2641</v>
      </c>
      <c r="E3803" s="24">
        <v>2001</v>
      </c>
      <c r="F3803" s="22">
        <v>16158</v>
      </c>
      <c r="G3803" s="23" t="s">
        <v>2645</v>
      </c>
      <c r="H3803" s="25" t="s">
        <v>15373</v>
      </c>
      <c r="I3803" s="22" t="s">
        <v>15374</v>
      </c>
      <c r="J3803" s="22" t="s">
        <v>12592</v>
      </c>
      <c r="K3803" s="26">
        <f t="shared" si="58"/>
        <v>1448</v>
      </c>
      <c r="N3803" s="26">
        <v>2172</v>
      </c>
      <c r="O3803" s="22" t="s">
        <v>2643</v>
      </c>
      <c r="P3803" s="22" t="s">
        <v>2741</v>
      </c>
      <c r="Q3803" s="22">
        <v>95816</v>
      </c>
      <c r="X3803" s="26"/>
      <c r="Y3803" s="26"/>
    </row>
    <row r="3804" spans="1:25" ht="37.5" x14ac:dyDescent="0.25">
      <c r="A3804" s="21">
        <v>9836</v>
      </c>
      <c r="B3804" s="22" t="s">
        <v>15335</v>
      </c>
      <c r="C3804" s="22" t="s">
        <v>2404</v>
      </c>
      <c r="E3804" s="24">
        <v>2001</v>
      </c>
      <c r="F3804" s="22">
        <v>14475</v>
      </c>
      <c r="G3804" s="23" t="s">
        <v>2646</v>
      </c>
      <c r="H3804" s="25" t="s">
        <v>15373</v>
      </c>
      <c r="I3804" s="22" t="s">
        <v>15374</v>
      </c>
      <c r="J3804" s="22" t="s">
        <v>2414</v>
      </c>
      <c r="K3804" s="26">
        <f t="shared" si="58"/>
        <v>1917.3333333333333</v>
      </c>
      <c r="M3804" s="26">
        <v>2876</v>
      </c>
      <c r="O3804" s="22" t="s">
        <v>2647</v>
      </c>
      <c r="P3804" s="22" t="s">
        <v>2741</v>
      </c>
      <c r="Q3804" s="22">
        <v>95817</v>
      </c>
      <c r="R3804" s="22" t="s">
        <v>2416</v>
      </c>
      <c r="S3804" s="22" t="s">
        <v>2417</v>
      </c>
      <c r="X3804" s="26"/>
      <c r="Y3804" s="26"/>
    </row>
    <row r="3805" spans="1:25" ht="50" x14ac:dyDescent="0.25">
      <c r="A3805" s="21">
        <v>9837</v>
      </c>
      <c r="B3805" s="22" t="s">
        <v>15335</v>
      </c>
      <c r="C3805" s="22" t="s">
        <v>2648</v>
      </c>
      <c r="E3805" s="24">
        <v>2001</v>
      </c>
      <c r="F3805" s="22">
        <v>15448</v>
      </c>
      <c r="G3805" s="23" t="s">
        <v>2649</v>
      </c>
      <c r="H3805" s="25" t="s">
        <v>15373</v>
      </c>
      <c r="I3805" s="22" t="s">
        <v>15374</v>
      </c>
      <c r="J3805" s="22">
        <v>3412</v>
      </c>
      <c r="K3805" s="26">
        <f t="shared" si="58"/>
        <v>597.33333333333326</v>
      </c>
      <c r="N3805" s="26">
        <v>896</v>
      </c>
      <c r="O3805" s="22" t="s">
        <v>2650</v>
      </c>
      <c r="P3805" s="22" t="s">
        <v>2651</v>
      </c>
      <c r="Q3805" s="22">
        <v>98678</v>
      </c>
      <c r="R3805" s="22" t="s">
        <v>2652</v>
      </c>
      <c r="S3805" s="22" t="s">
        <v>2653</v>
      </c>
      <c r="X3805" s="26"/>
      <c r="Y3805" s="26"/>
    </row>
    <row r="3806" spans="1:25" ht="37.5" x14ac:dyDescent="0.25">
      <c r="A3806" s="21">
        <v>9838</v>
      </c>
      <c r="B3806" s="22" t="s">
        <v>15335</v>
      </c>
      <c r="C3806" s="22" t="s">
        <v>4647</v>
      </c>
      <c r="E3806" s="24">
        <v>2001</v>
      </c>
      <c r="F3806" s="22">
        <v>15828</v>
      </c>
      <c r="G3806" s="23" t="s">
        <v>2654</v>
      </c>
      <c r="H3806" s="25" t="s">
        <v>15373</v>
      </c>
      <c r="I3806" s="22" t="s">
        <v>15374</v>
      </c>
      <c r="J3806" s="22">
        <v>3516</v>
      </c>
      <c r="K3806" s="26">
        <f t="shared" si="58"/>
        <v>2145</v>
      </c>
      <c r="L3806" s="26">
        <v>2145</v>
      </c>
      <c r="O3806" s="22" t="s">
        <v>2655</v>
      </c>
      <c r="P3806" s="22" t="s">
        <v>2755</v>
      </c>
      <c r="Q3806" s="22">
        <v>95670</v>
      </c>
      <c r="X3806" s="26"/>
      <c r="Y3806" s="26"/>
    </row>
    <row r="3807" spans="1:25" ht="37.5" x14ac:dyDescent="0.25">
      <c r="A3807" s="21">
        <v>9839</v>
      </c>
      <c r="B3807" s="22" t="s">
        <v>15335</v>
      </c>
      <c r="C3807" s="22" t="s">
        <v>2656</v>
      </c>
      <c r="E3807" s="24">
        <v>2001</v>
      </c>
      <c r="F3807" s="22">
        <v>16349</v>
      </c>
      <c r="G3807" s="23" t="s">
        <v>2657</v>
      </c>
      <c r="H3807" s="25" t="s">
        <v>15373</v>
      </c>
      <c r="I3807" s="22" t="s">
        <v>15374</v>
      </c>
      <c r="J3807" s="22">
        <v>3516</v>
      </c>
      <c r="K3807" s="26">
        <f t="shared" si="58"/>
        <v>1917.3333333333333</v>
      </c>
      <c r="M3807" s="26">
        <v>2876</v>
      </c>
      <c r="O3807" s="22" t="s">
        <v>2658</v>
      </c>
      <c r="P3807" s="22" t="s">
        <v>2741</v>
      </c>
      <c r="Q3807" s="22">
        <v>95834</v>
      </c>
      <c r="R3807" s="22" t="s">
        <v>2659</v>
      </c>
      <c r="S3807" s="22" t="s">
        <v>2660</v>
      </c>
      <c r="X3807" s="26"/>
      <c r="Y3807" s="26"/>
    </row>
    <row r="3808" spans="1:25" ht="37.5" x14ac:dyDescent="0.25">
      <c r="A3808" s="21">
        <v>9840</v>
      </c>
      <c r="B3808" s="22" t="s">
        <v>15335</v>
      </c>
      <c r="C3808" s="22" t="s">
        <v>2656</v>
      </c>
      <c r="E3808" s="24">
        <v>2001</v>
      </c>
      <c r="F3808" s="22">
        <v>16348</v>
      </c>
      <c r="G3808" s="23" t="s">
        <v>2661</v>
      </c>
      <c r="H3808" s="25" t="s">
        <v>15373</v>
      </c>
      <c r="I3808" s="22" t="s">
        <v>15374</v>
      </c>
      <c r="J3808" s="22">
        <v>3516</v>
      </c>
      <c r="K3808" s="26">
        <f t="shared" si="58"/>
        <v>1917.3333333333333</v>
      </c>
      <c r="M3808" s="26">
        <v>2876</v>
      </c>
      <c r="O3808" s="22" t="s">
        <v>2658</v>
      </c>
      <c r="P3808" s="22" t="s">
        <v>2741</v>
      </c>
      <c r="Q3808" s="22">
        <v>95834</v>
      </c>
      <c r="R3808" s="22" t="s">
        <v>2659</v>
      </c>
      <c r="S3808" s="22" t="s">
        <v>2660</v>
      </c>
      <c r="X3808" s="26"/>
      <c r="Y3808" s="26"/>
    </row>
    <row r="3809" spans="1:25" ht="37.5" x14ac:dyDescent="0.25">
      <c r="A3809" s="21">
        <v>9841</v>
      </c>
      <c r="B3809" s="22" t="s">
        <v>15335</v>
      </c>
      <c r="C3809" s="22" t="s">
        <v>2656</v>
      </c>
      <c r="E3809" s="24">
        <v>2001</v>
      </c>
      <c r="F3809" s="22">
        <v>16350</v>
      </c>
      <c r="G3809" s="23" t="s">
        <v>2662</v>
      </c>
      <c r="H3809" s="25" t="s">
        <v>15373</v>
      </c>
      <c r="I3809" s="22" t="s">
        <v>15374</v>
      </c>
      <c r="J3809" s="22">
        <v>3516</v>
      </c>
      <c r="K3809" s="26">
        <f t="shared" si="58"/>
        <v>1917.3333333333333</v>
      </c>
      <c r="M3809" s="26">
        <v>2876</v>
      </c>
      <c r="O3809" s="22" t="s">
        <v>2658</v>
      </c>
      <c r="P3809" s="22" t="s">
        <v>2741</v>
      </c>
      <c r="Q3809" s="22">
        <v>95834</v>
      </c>
      <c r="R3809" s="22" t="s">
        <v>2659</v>
      </c>
      <c r="S3809" s="22" t="s">
        <v>2660</v>
      </c>
      <c r="X3809" s="26"/>
      <c r="Y3809" s="26"/>
    </row>
    <row r="3810" spans="1:25" ht="37.5" x14ac:dyDescent="0.25">
      <c r="A3810" s="21">
        <v>9842</v>
      </c>
      <c r="B3810" s="22" t="s">
        <v>15335</v>
      </c>
      <c r="C3810" s="22" t="s">
        <v>2656</v>
      </c>
      <c r="E3810" s="24">
        <v>2001</v>
      </c>
      <c r="F3810" s="22">
        <v>16351</v>
      </c>
      <c r="G3810" s="23" t="s">
        <v>2663</v>
      </c>
      <c r="H3810" s="25" t="s">
        <v>15373</v>
      </c>
      <c r="I3810" s="22" t="s">
        <v>15374</v>
      </c>
      <c r="J3810" s="22">
        <v>3516</v>
      </c>
      <c r="K3810" s="26">
        <f t="shared" si="58"/>
        <v>1917.3333333333333</v>
      </c>
      <c r="M3810" s="26">
        <v>2876</v>
      </c>
      <c r="O3810" s="22" t="s">
        <v>2658</v>
      </c>
      <c r="P3810" s="22" t="s">
        <v>2741</v>
      </c>
      <c r="Q3810" s="22">
        <v>95834</v>
      </c>
      <c r="R3810" s="22" t="s">
        <v>2659</v>
      </c>
      <c r="S3810" s="22" t="s">
        <v>2660</v>
      </c>
      <c r="X3810" s="26"/>
      <c r="Y3810" s="26"/>
    </row>
    <row r="3811" spans="1:25" ht="50" x14ac:dyDescent="0.25">
      <c r="A3811" s="21">
        <v>9843</v>
      </c>
      <c r="B3811" s="22" t="s">
        <v>15335</v>
      </c>
      <c r="C3811" s="22" t="s">
        <v>2664</v>
      </c>
      <c r="E3811" s="24">
        <v>2001</v>
      </c>
      <c r="F3811" s="22">
        <v>16058</v>
      </c>
      <c r="G3811" s="23" t="s">
        <v>2665</v>
      </c>
      <c r="H3811" s="25" t="s">
        <v>15373</v>
      </c>
      <c r="I3811" s="22" t="s">
        <v>15411</v>
      </c>
      <c r="J3811" s="22" t="s">
        <v>8271</v>
      </c>
      <c r="K3811" s="26">
        <f t="shared" si="58"/>
        <v>746.66666666666663</v>
      </c>
      <c r="N3811" s="26">
        <v>1120</v>
      </c>
      <c r="O3811" s="22" t="s">
        <v>2666</v>
      </c>
      <c r="P3811" s="22" t="s">
        <v>2549</v>
      </c>
      <c r="Q3811" s="22">
        <v>95652</v>
      </c>
      <c r="R3811" s="22" t="s">
        <v>2667</v>
      </c>
      <c r="S3811" s="22" t="s">
        <v>2668</v>
      </c>
      <c r="X3811" s="26"/>
      <c r="Y3811" s="26"/>
    </row>
    <row r="3812" spans="1:25" ht="50" x14ac:dyDescent="0.25">
      <c r="A3812" s="21">
        <v>9844</v>
      </c>
      <c r="B3812" s="22" t="s">
        <v>15335</v>
      </c>
      <c r="C3812" s="22" t="s">
        <v>2664</v>
      </c>
      <c r="E3812" s="24">
        <v>2001</v>
      </c>
      <c r="F3812" s="22">
        <v>15720</v>
      </c>
      <c r="G3812" s="23" t="s">
        <v>2669</v>
      </c>
      <c r="H3812" s="25" t="s">
        <v>15373</v>
      </c>
      <c r="I3812" s="22" t="s">
        <v>15411</v>
      </c>
      <c r="J3812" s="22" t="s">
        <v>8271</v>
      </c>
      <c r="K3812" s="26">
        <f t="shared" si="58"/>
        <v>746.66666666666663</v>
      </c>
      <c r="N3812" s="26">
        <v>1120</v>
      </c>
      <c r="O3812" s="22" t="s">
        <v>2666</v>
      </c>
      <c r="P3812" s="22" t="s">
        <v>2549</v>
      </c>
      <c r="Q3812" s="22">
        <v>95652</v>
      </c>
      <c r="R3812" s="22" t="s">
        <v>2667</v>
      </c>
      <c r="S3812" s="22" t="s">
        <v>2668</v>
      </c>
      <c r="X3812" s="26"/>
      <c r="Y3812" s="26"/>
    </row>
    <row r="3813" spans="1:25" ht="50" x14ac:dyDescent="0.25">
      <c r="A3813" s="21">
        <v>9845</v>
      </c>
      <c r="B3813" s="22" t="s">
        <v>15335</v>
      </c>
      <c r="C3813" s="22" t="s">
        <v>2670</v>
      </c>
      <c r="E3813" s="24">
        <v>2001</v>
      </c>
      <c r="F3813" s="22">
        <v>16045</v>
      </c>
      <c r="G3813" s="23" t="s">
        <v>2671</v>
      </c>
      <c r="H3813" s="25" t="s">
        <v>15373</v>
      </c>
      <c r="I3813" s="22" t="s">
        <v>6415</v>
      </c>
      <c r="J3813" s="22" t="s">
        <v>2672</v>
      </c>
      <c r="K3813" s="26">
        <f t="shared" si="58"/>
        <v>564</v>
      </c>
      <c r="N3813" s="26">
        <v>846</v>
      </c>
      <c r="O3813" s="22" t="s">
        <v>2673</v>
      </c>
      <c r="P3813" s="22" t="s">
        <v>3130</v>
      </c>
      <c r="Q3813" s="22">
        <v>95655</v>
      </c>
      <c r="R3813" s="22" t="s">
        <v>2674</v>
      </c>
      <c r="S3813" s="22" t="s">
        <v>2675</v>
      </c>
      <c r="X3813" s="26"/>
      <c r="Y3813" s="26"/>
    </row>
    <row r="3814" spans="1:25" ht="50" x14ac:dyDescent="0.25">
      <c r="A3814" s="21">
        <v>9846</v>
      </c>
      <c r="B3814" s="22" t="s">
        <v>15335</v>
      </c>
      <c r="C3814" s="22" t="s">
        <v>2575</v>
      </c>
      <c r="E3814" s="24">
        <v>2001</v>
      </c>
      <c r="F3814" s="22">
        <v>16864</v>
      </c>
      <c r="G3814" s="23" t="s">
        <v>2676</v>
      </c>
      <c r="H3814" s="25" t="s">
        <v>15373</v>
      </c>
      <c r="I3814" s="22" t="s">
        <v>15374</v>
      </c>
      <c r="J3814" s="22">
        <v>3406</v>
      </c>
      <c r="K3814" s="26">
        <f t="shared" si="58"/>
        <v>387</v>
      </c>
      <c r="L3814" s="26">
        <v>387</v>
      </c>
      <c r="O3814" s="22" t="s">
        <v>2677</v>
      </c>
      <c r="P3814" s="22" t="s">
        <v>2741</v>
      </c>
      <c r="Q3814" s="22">
        <v>95821</v>
      </c>
      <c r="R3814" s="22" t="s">
        <v>2580</v>
      </c>
      <c r="S3814" s="22" t="s">
        <v>2581</v>
      </c>
      <c r="X3814" s="26"/>
      <c r="Y3814" s="26"/>
    </row>
    <row r="3815" spans="1:25" ht="50" x14ac:dyDescent="0.25">
      <c r="A3815" s="21">
        <v>9847</v>
      </c>
      <c r="B3815" s="22" t="s">
        <v>15335</v>
      </c>
      <c r="C3815" s="22" t="s">
        <v>2575</v>
      </c>
      <c r="E3815" s="24">
        <v>2001</v>
      </c>
      <c r="F3815" s="22">
        <v>16858</v>
      </c>
      <c r="G3815" s="23" t="s">
        <v>2678</v>
      </c>
      <c r="H3815" s="25" t="s">
        <v>15373</v>
      </c>
      <c r="I3815" s="22" t="s">
        <v>15374</v>
      </c>
      <c r="J3815" s="22">
        <v>3406</v>
      </c>
      <c r="K3815" s="26">
        <f t="shared" si="58"/>
        <v>387</v>
      </c>
      <c r="L3815" s="26">
        <v>387</v>
      </c>
      <c r="O3815" s="22" t="s">
        <v>2679</v>
      </c>
      <c r="P3815" s="22" t="s">
        <v>2741</v>
      </c>
      <c r="Q3815" s="22">
        <v>95825</v>
      </c>
      <c r="R3815" s="22" t="s">
        <v>2580</v>
      </c>
      <c r="S3815" s="22" t="s">
        <v>2581</v>
      </c>
      <c r="X3815" s="26"/>
      <c r="Y3815" s="26"/>
    </row>
    <row r="3816" spans="1:25" ht="50" x14ac:dyDescent="0.25">
      <c r="A3816" s="21">
        <v>9848</v>
      </c>
      <c r="B3816" s="22" t="s">
        <v>15335</v>
      </c>
      <c r="C3816" s="22" t="s">
        <v>2575</v>
      </c>
      <c r="E3816" s="24">
        <v>2001</v>
      </c>
      <c r="F3816" s="22">
        <v>16856</v>
      </c>
      <c r="G3816" s="23" t="s">
        <v>2680</v>
      </c>
      <c r="H3816" s="25" t="s">
        <v>15373</v>
      </c>
      <c r="I3816" s="22" t="s">
        <v>15374</v>
      </c>
      <c r="J3816" s="22">
        <v>3406</v>
      </c>
      <c r="K3816" s="26">
        <f t="shared" ref="K3816:K3828" si="59">L3816+M3816*(2/3)+N3816*(2/3)</f>
        <v>387</v>
      </c>
      <c r="L3816" s="26">
        <v>387</v>
      </c>
      <c r="O3816" s="22" t="s">
        <v>2679</v>
      </c>
      <c r="P3816" s="22" t="s">
        <v>2741</v>
      </c>
      <c r="Q3816" s="22">
        <v>95825</v>
      </c>
      <c r="R3816" s="22" t="s">
        <v>2580</v>
      </c>
      <c r="S3816" s="22" t="s">
        <v>2581</v>
      </c>
      <c r="X3816" s="26"/>
      <c r="Y3816" s="26"/>
    </row>
    <row r="3817" spans="1:25" ht="50" x14ac:dyDescent="0.25">
      <c r="A3817" s="21">
        <v>9849</v>
      </c>
      <c r="B3817" s="22" t="s">
        <v>15335</v>
      </c>
      <c r="C3817" s="22" t="s">
        <v>2575</v>
      </c>
      <c r="E3817" s="24">
        <v>2001</v>
      </c>
      <c r="F3817" s="22">
        <v>16855</v>
      </c>
      <c r="G3817" s="23" t="s">
        <v>2681</v>
      </c>
      <c r="H3817" s="25" t="s">
        <v>15373</v>
      </c>
      <c r="I3817" s="22" t="s">
        <v>15374</v>
      </c>
      <c r="J3817" s="22">
        <v>3406</v>
      </c>
      <c r="K3817" s="26">
        <f t="shared" si="59"/>
        <v>387</v>
      </c>
      <c r="L3817" s="26">
        <v>387</v>
      </c>
      <c r="O3817" s="22" t="s">
        <v>2682</v>
      </c>
      <c r="P3817" s="22" t="s">
        <v>2174</v>
      </c>
      <c r="Q3817" s="22">
        <v>95660</v>
      </c>
      <c r="R3817" s="22" t="s">
        <v>2580</v>
      </c>
      <c r="S3817" s="22" t="s">
        <v>2581</v>
      </c>
      <c r="X3817" s="26"/>
      <c r="Y3817" s="26"/>
    </row>
    <row r="3818" spans="1:25" ht="50" x14ac:dyDescent="0.25">
      <c r="A3818" s="21">
        <v>9850</v>
      </c>
      <c r="B3818" s="22" t="s">
        <v>15335</v>
      </c>
      <c r="C3818" s="22" t="s">
        <v>2575</v>
      </c>
      <c r="E3818" s="24">
        <v>2001</v>
      </c>
      <c r="F3818" s="22">
        <v>16853</v>
      </c>
      <c r="G3818" s="23" t="s">
        <v>2683</v>
      </c>
      <c r="H3818" s="25" t="s">
        <v>15373</v>
      </c>
      <c r="I3818" s="22" t="s">
        <v>15374</v>
      </c>
      <c r="J3818" s="22">
        <v>3406</v>
      </c>
      <c r="K3818" s="26">
        <f t="shared" si="59"/>
        <v>387</v>
      </c>
      <c r="L3818" s="26">
        <v>387</v>
      </c>
      <c r="O3818" s="22" t="s">
        <v>2684</v>
      </c>
      <c r="P3818" s="22" t="s">
        <v>2741</v>
      </c>
      <c r="Q3818" s="22">
        <v>95821</v>
      </c>
      <c r="R3818" s="22" t="s">
        <v>2580</v>
      </c>
      <c r="S3818" s="22" t="s">
        <v>2581</v>
      </c>
      <c r="X3818" s="26"/>
      <c r="Y3818" s="26"/>
    </row>
    <row r="3819" spans="1:25" ht="50" x14ac:dyDescent="0.25">
      <c r="A3819" s="21">
        <v>9851</v>
      </c>
      <c r="B3819" s="22" t="s">
        <v>15335</v>
      </c>
      <c r="C3819" s="22" t="s">
        <v>2575</v>
      </c>
      <c r="E3819" s="24">
        <v>2001</v>
      </c>
      <c r="F3819" s="22">
        <v>16854</v>
      </c>
      <c r="G3819" s="23" t="s">
        <v>2685</v>
      </c>
      <c r="H3819" s="25" t="s">
        <v>15373</v>
      </c>
      <c r="I3819" s="22" t="s">
        <v>15374</v>
      </c>
      <c r="J3819" s="22">
        <v>3406</v>
      </c>
      <c r="K3819" s="26">
        <f t="shared" si="59"/>
        <v>387</v>
      </c>
      <c r="L3819" s="26">
        <v>387</v>
      </c>
      <c r="O3819" s="22" t="s">
        <v>2686</v>
      </c>
      <c r="P3819" s="22" t="s">
        <v>2741</v>
      </c>
      <c r="Q3819" s="22">
        <v>95821</v>
      </c>
      <c r="R3819" s="22" t="s">
        <v>2580</v>
      </c>
      <c r="S3819" s="22" t="s">
        <v>2581</v>
      </c>
      <c r="X3819" s="26"/>
      <c r="Y3819" s="26"/>
    </row>
    <row r="3820" spans="1:25" ht="50" x14ac:dyDescent="0.25">
      <c r="A3820" s="21">
        <v>9852</v>
      </c>
      <c r="B3820" s="22" t="s">
        <v>15335</v>
      </c>
      <c r="C3820" s="22" t="s">
        <v>2575</v>
      </c>
      <c r="E3820" s="24">
        <v>2001</v>
      </c>
      <c r="F3820" s="22">
        <v>16852</v>
      </c>
      <c r="G3820" s="23" t="s">
        <v>2687</v>
      </c>
      <c r="H3820" s="25" t="s">
        <v>15373</v>
      </c>
      <c r="I3820" s="22" t="s">
        <v>15374</v>
      </c>
      <c r="J3820" s="22">
        <v>3406</v>
      </c>
      <c r="K3820" s="26">
        <f t="shared" si="59"/>
        <v>387</v>
      </c>
      <c r="L3820" s="26">
        <v>387</v>
      </c>
      <c r="O3820" s="22" t="s">
        <v>2688</v>
      </c>
      <c r="P3820" s="22" t="s">
        <v>2741</v>
      </c>
      <c r="Q3820" s="22">
        <v>95821</v>
      </c>
      <c r="R3820" s="22" t="s">
        <v>2580</v>
      </c>
      <c r="S3820" s="22" t="s">
        <v>2581</v>
      </c>
      <c r="X3820" s="26"/>
      <c r="Y3820" s="26"/>
    </row>
    <row r="3821" spans="1:25" ht="50" x14ac:dyDescent="0.25">
      <c r="A3821" s="21">
        <v>9853</v>
      </c>
      <c r="B3821" s="22" t="s">
        <v>15335</v>
      </c>
      <c r="C3821" s="22" t="s">
        <v>2575</v>
      </c>
      <c r="E3821" s="24">
        <v>2001</v>
      </c>
      <c r="F3821" s="22">
        <v>16851</v>
      </c>
      <c r="G3821" s="23" t="s">
        <v>2689</v>
      </c>
      <c r="H3821" s="25" t="s">
        <v>15373</v>
      </c>
      <c r="I3821" s="22" t="s">
        <v>15374</v>
      </c>
      <c r="J3821" s="22">
        <v>3406</v>
      </c>
      <c r="K3821" s="26">
        <f t="shared" si="59"/>
        <v>387</v>
      </c>
      <c r="L3821" s="26">
        <v>387</v>
      </c>
      <c r="O3821" s="22" t="s">
        <v>2684</v>
      </c>
      <c r="P3821" s="22" t="s">
        <v>2741</v>
      </c>
      <c r="Q3821" s="22">
        <v>95821</v>
      </c>
      <c r="R3821" s="22" t="s">
        <v>2580</v>
      </c>
      <c r="S3821" s="22" t="s">
        <v>2581</v>
      </c>
      <c r="X3821" s="26"/>
      <c r="Y3821" s="26"/>
    </row>
    <row r="3822" spans="1:25" ht="50" x14ac:dyDescent="0.25">
      <c r="A3822" s="21">
        <v>9854</v>
      </c>
      <c r="B3822" s="22" t="s">
        <v>15335</v>
      </c>
      <c r="C3822" s="22" t="s">
        <v>2575</v>
      </c>
      <c r="E3822" s="24">
        <v>2001</v>
      </c>
      <c r="F3822" s="22">
        <v>16850</v>
      </c>
      <c r="G3822" s="23" t="s">
        <v>2690</v>
      </c>
      <c r="H3822" s="25" t="s">
        <v>15373</v>
      </c>
      <c r="I3822" s="22" t="s">
        <v>15374</v>
      </c>
      <c r="J3822" s="22">
        <v>3406</v>
      </c>
      <c r="K3822" s="26">
        <f t="shared" si="59"/>
        <v>354</v>
      </c>
      <c r="L3822" s="26">
        <v>354</v>
      </c>
      <c r="O3822" s="22" t="s">
        <v>2691</v>
      </c>
      <c r="P3822" s="22" t="s">
        <v>2174</v>
      </c>
      <c r="Q3822" s="22">
        <v>95660</v>
      </c>
      <c r="R3822" s="22" t="s">
        <v>2580</v>
      </c>
      <c r="S3822" s="22" t="s">
        <v>2581</v>
      </c>
      <c r="X3822" s="26"/>
      <c r="Y3822" s="26"/>
    </row>
    <row r="3823" spans="1:25" ht="37.5" x14ac:dyDescent="0.25">
      <c r="A3823" s="21">
        <v>9855</v>
      </c>
      <c r="B3823" s="22" t="s">
        <v>15335</v>
      </c>
      <c r="C3823" s="22" t="s">
        <v>2692</v>
      </c>
      <c r="E3823" s="24">
        <v>2001</v>
      </c>
      <c r="F3823" s="22">
        <v>16137</v>
      </c>
      <c r="G3823" s="23" t="s">
        <v>2693</v>
      </c>
      <c r="H3823" s="25" t="s">
        <v>15373</v>
      </c>
      <c r="I3823" s="22" t="s">
        <v>15709</v>
      </c>
      <c r="J3823" s="22" t="s">
        <v>15636</v>
      </c>
      <c r="K3823" s="26">
        <f t="shared" si="59"/>
        <v>585.33333333333326</v>
      </c>
      <c r="N3823" s="26">
        <v>878</v>
      </c>
      <c r="O3823" s="22" t="s">
        <v>3837</v>
      </c>
      <c r="P3823" s="22" t="s">
        <v>2741</v>
      </c>
      <c r="Q3823" s="22">
        <v>95827</v>
      </c>
      <c r="R3823" s="22" t="s">
        <v>2694</v>
      </c>
      <c r="S3823" s="22" t="s">
        <v>2695</v>
      </c>
      <c r="X3823" s="26"/>
      <c r="Y3823" s="26"/>
    </row>
    <row r="3824" spans="1:25" ht="50" x14ac:dyDescent="0.25">
      <c r="A3824" s="21">
        <v>9856</v>
      </c>
      <c r="B3824" s="22" t="s">
        <v>15335</v>
      </c>
      <c r="C3824" s="22" t="s">
        <v>2935</v>
      </c>
      <c r="E3824" s="24">
        <v>2002</v>
      </c>
      <c r="F3824" s="22">
        <v>16219</v>
      </c>
      <c r="G3824" s="23" t="s">
        <v>2696</v>
      </c>
      <c r="H3824" s="25" t="s">
        <v>15373</v>
      </c>
      <c r="I3824" s="22" t="s">
        <v>7165</v>
      </c>
      <c r="J3824" s="22" t="s">
        <v>12732</v>
      </c>
      <c r="K3824" s="26">
        <f t="shared" si="59"/>
        <v>423.33333333333331</v>
      </c>
      <c r="N3824" s="26">
        <v>635</v>
      </c>
      <c r="O3824" s="22" t="s">
        <v>2697</v>
      </c>
      <c r="P3824" s="22" t="s">
        <v>3130</v>
      </c>
      <c r="Q3824" s="22">
        <v>95655</v>
      </c>
      <c r="R3824" s="22" t="s">
        <v>2698</v>
      </c>
      <c r="S3824" s="22" t="s">
        <v>2699</v>
      </c>
      <c r="X3824" s="26"/>
      <c r="Y3824" s="26"/>
    </row>
    <row r="3825" spans="1:25" ht="50" x14ac:dyDescent="0.25">
      <c r="A3825" s="21">
        <v>9857</v>
      </c>
      <c r="B3825" s="22" t="s">
        <v>15335</v>
      </c>
      <c r="C3825" s="22" t="s">
        <v>3911</v>
      </c>
      <c r="E3825" s="24">
        <v>2001</v>
      </c>
      <c r="F3825" s="22">
        <v>15883</v>
      </c>
      <c r="G3825" s="23" t="s">
        <v>1319</v>
      </c>
      <c r="H3825" s="25" t="s">
        <v>15373</v>
      </c>
      <c r="I3825" s="22" t="s">
        <v>15411</v>
      </c>
      <c r="J3825" s="22" t="s">
        <v>8146</v>
      </c>
      <c r="K3825" s="26">
        <f t="shared" si="59"/>
        <v>460</v>
      </c>
      <c r="L3825" s="26">
        <v>460</v>
      </c>
      <c r="O3825" s="22" t="s">
        <v>1320</v>
      </c>
      <c r="P3825" s="22" t="s">
        <v>2741</v>
      </c>
      <c r="Q3825" s="22">
        <v>95822</v>
      </c>
      <c r="R3825" s="22" t="s">
        <v>3114</v>
      </c>
      <c r="S3825" s="22" t="s">
        <v>3115</v>
      </c>
      <c r="X3825" s="26"/>
      <c r="Y3825" s="26"/>
    </row>
    <row r="3826" spans="1:25" ht="37.5" x14ac:dyDescent="0.25">
      <c r="A3826" s="21">
        <v>9858</v>
      </c>
      <c r="B3826" s="22" t="s">
        <v>15335</v>
      </c>
      <c r="C3826" s="22" t="s">
        <v>3911</v>
      </c>
      <c r="E3826" s="24">
        <v>1999</v>
      </c>
      <c r="F3826" s="22">
        <v>14868</v>
      </c>
      <c r="G3826" s="23" t="s">
        <v>1321</v>
      </c>
      <c r="H3826" s="25" t="s">
        <v>15373</v>
      </c>
      <c r="I3826" s="22" t="s">
        <v>15411</v>
      </c>
      <c r="J3826" s="22" t="s">
        <v>3112</v>
      </c>
      <c r="K3826" s="26">
        <f t="shared" si="59"/>
        <v>1233.3333333333333</v>
      </c>
      <c r="N3826" s="26">
        <v>1850</v>
      </c>
      <c r="O3826" s="22" t="s">
        <v>1322</v>
      </c>
      <c r="P3826" s="22" t="s">
        <v>2741</v>
      </c>
      <c r="Q3826" s="22">
        <v>95814</v>
      </c>
      <c r="R3826" s="22" t="s">
        <v>1323</v>
      </c>
      <c r="S3826" s="22" t="s">
        <v>1324</v>
      </c>
      <c r="X3826" s="26"/>
      <c r="Y3826" s="26"/>
    </row>
    <row r="3827" spans="1:25" ht="37.5" x14ac:dyDescent="0.25">
      <c r="A3827" s="21">
        <v>9859</v>
      </c>
      <c r="B3827" s="22" t="s">
        <v>15335</v>
      </c>
      <c r="C3827" s="22" t="s">
        <v>1325</v>
      </c>
      <c r="E3827" s="24">
        <v>2001</v>
      </c>
      <c r="F3827" s="22">
        <v>15674</v>
      </c>
      <c r="G3827" s="23" t="s">
        <v>1326</v>
      </c>
      <c r="H3827" s="25" t="s">
        <v>15373</v>
      </c>
      <c r="I3827" s="22" t="s">
        <v>15382</v>
      </c>
      <c r="J3827" s="22" t="s">
        <v>1327</v>
      </c>
      <c r="K3827" s="26">
        <f t="shared" si="59"/>
        <v>1948</v>
      </c>
      <c r="M3827" s="26">
        <v>2922</v>
      </c>
      <c r="O3827" s="22" t="s">
        <v>1328</v>
      </c>
      <c r="P3827" s="22" t="s">
        <v>2741</v>
      </c>
      <c r="Q3827" s="22">
        <v>95670</v>
      </c>
      <c r="R3827" s="22" t="s">
        <v>1329</v>
      </c>
      <c r="S3827" s="22" t="s">
        <v>1330</v>
      </c>
      <c r="X3827" s="26"/>
      <c r="Y3827" s="26"/>
    </row>
    <row r="3828" spans="1:25" ht="37.5" x14ac:dyDescent="0.25">
      <c r="A3828" s="21">
        <v>9860</v>
      </c>
      <c r="B3828" s="22" t="s">
        <v>15335</v>
      </c>
      <c r="C3828" s="22" t="s">
        <v>1325</v>
      </c>
      <c r="E3828" s="24">
        <v>2001</v>
      </c>
      <c r="F3828" s="22">
        <v>15673</v>
      </c>
      <c r="G3828" s="23" t="s">
        <v>1331</v>
      </c>
      <c r="H3828" s="25" t="s">
        <v>15373</v>
      </c>
      <c r="I3828" s="22" t="s">
        <v>15382</v>
      </c>
      <c r="J3828" s="22" t="s">
        <v>1327</v>
      </c>
      <c r="K3828" s="26">
        <f t="shared" si="59"/>
        <v>1948</v>
      </c>
      <c r="M3828" s="26">
        <v>2922</v>
      </c>
      <c r="O3828" s="22" t="s">
        <v>1328</v>
      </c>
      <c r="P3828" s="22" t="s">
        <v>2741</v>
      </c>
      <c r="Q3828" s="22">
        <v>95670</v>
      </c>
      <c r="R3828" s="22" t="s">
        <v>1329</v>
      </c>
      <c r="S3828" s="22" t="s">
        <v>1330</v>
      </c>
      <c r="X3828" s="26"/>
      <c r="Y3828" s="26"/>
    </row>
    <row r="3829" spans="1:25" ht="50" x14ac:dyDescent="0.25">
      <c r="A3829" s="21">
        <v>9861</v>
      </c>
      <c r="B3829" s="22" t="s">
        <v>15335</v>
      </c>
      <c r="C3829" s="22" t="s">
        <v>1332</v>
      </c>
      <c r="E3829" s="24">
        <v>2001</v>
      </c>
      <c r="F3829" s="22">
        <v>16102</v>
      </c>
      <c r="G3829" s="23" t="s">
        <v>1333</v>
      </c>
      <c r="H3829" s="25" t="s">
        <v>15373</v>
      </c>
      <c r="I3829" s="22" t="s">
        <v>15411</v>
      </c>
      <c r="J3829" s="22" t="s">
        <v>17547</v>
      </c>
      <c r="K3829" s="26">
        <f t="shared" ref="K3829:K3892" si="60">L3829+M3829*(2/3)+N3829*(2/3)</f>
        <v>326.66666666666663</v>
      </c>
      <c r="N3829" s="26">
        <v>490</v>
      </c>
      <c r="O3829" s="22" t="s">
        <v>2596</v>
      </c>
      <c r="P3829" s="22" t="s">
        <v>2755</v>
      </c>
      <c r="Q3829" s="22">
        <v>95670</v>
      </c>
      <c r="R3829" s="22" t="s">
        <v>1334</v>
      </c>
      <c r="S3829" s="22" t="s">
        <v>1335</v>
      </c>
      <c r="X3829" s="26"/>
      <c r="Y3829" s="26"/>
    </row>
    <row r="3830" spans="1:25" ht="37.5" x14ac:dyDescent="0.25">
      <c r="A3830" s="21">
        <v>9862</v>
      </c>
      <c r="B3830" s="22" t="s">
        <v>15335</v>
      </c>
      <c r="C3830" s="22" t="s">
        <v>1336</v>
      </c>
      <c r="E3830" s="24">
        <v>2002</v>
      </c>
      <c r="F3830" s="22">
        <v>16525</v>
      </c>
      <c r="G3830" s="23" t="s">
        <v>1337</v>
      </c>
      <c r="H3830" s="25" t="s">
        <v>15373</v>
      </c>
      <c r="I3830" s="22" t="s">
        <v>15382</v>
      </c>
      <c r="J3830" s="22" t="s">
        <v>15391</v>
      </c>
      <c r="K3830" s="26">
        <f>L3830+M3830*(2/3)+N3830*(2/3)</f>
        <v>1480</v>
      </c>
      <c r="N3830" s="26">
        <v>2220</v>
      </c>
      <c r="O3830" s="22" t="s">
        <v>1338</v>
      </c>
      <c r="P3830" s="22" t="s">
        <v>2755</v>
      </c>
      <c r="Q3830" s="22">
        <v>95670</v>
      </c>
      <c r="R3830" s="22" t="s">
        <v>1339</v>
      </c>
      <c r="S3830" s="22" t="s">
        <v>1340</v>
      </c>
      <c r="X3830" s="26"/>
      <c r="Y3830" s="26"/>
    </row>
    <row r="3831" spans="1:25" ht="37.5" x14ac:dyDescent="0.25">
      <c r="A3831" s="21">
        <v>9863</v>
      </c>
      <c r="B3831" s="22" t="s">
        <v>15335</v>
      </c>
      <c r="C3831" s="22" t="s">
        <v>1336</v>
      </c>
      <c r="E3831" s="24">
        <v>2002</v>
      </c>
      <c r="F3831" s="22">
        <v>16526</v>
      </c>
      <c r="G3831" s="23" t="s">
        <v>1341</v>
      </c>
      <c r="H3831" s="25" t="s">
        <v>15373</v>
      </c>
      <c r="I3831" s="22" t="s">
        <v>15382</v>
      </c>
      <c r="J3831" s="22" t="s">
        <v>15391</v>
      </c>
      <c r="K3831" s="26">
        <f t="shared" si="60"/>
        <v>1480</v>
      </c>
      <c r="N3831" s="26">
        <v>2220</v>
      </c>
      <c r="O3831" s="22" t="s">
        <v>1342</v>
      </c>
      <c r="P3831" s="22" t="s">
        <v>2755</v>
      </c>
      <c r="Q3831" s="22">
        <v>95670</v>
      </c>
      <c r="R3831" s="22" t="s">
        <v>1339</v>
      </c>
      <c r="S3831" s="22" t="s">
        <v>1340</v>
      </c>
      <c r="X3831" s="26"/>
      <c r="Y3831" s="26"/>
    </row>
    <row r="3832" spans="1:25" ht="62.5" x14ac:dyDescent="0.25">
      <c r="A3832" s="21">
        <v>9864</v>
      </c>
      <c r="B3832" s="22" t="s">
        <v>15335</v>
      </c>
      <c r="C3832" s="22" t="s">
        <v>3281</v>
      </c>
      <c r="E3832" s="24">
        <v>2001</v>
      </c>
      <c r="F3832" s="22">
        <v>16098</v>
      </c>
      <c r="G3832" s="23" t="s">
        <v>1343</v>
      </c>
      <c r="H3832" s="25" t="s">
        <v>15373</v>
      </c>
      <c r="I3832" s="22" t="s">
        <v>15374</v>
      </c>
      <c r="J3832" s="22" t="s">
        <v>15261</v>
      </c>
      <c r="K3832" s="26">
        <f t="shared" si="60"/>
        <v>597.33333333333326</v>
      </c>
      <c r="N3832" s="26">
        <v>896</v>
      </c>
      <c r="O3832" s="22" t="s">
        <v>1344</v>
      </c>
      <c r="P3832" s="22" t="s">
        <v>2741</v>
      </c>
      <c r="Q3832" s="22">
        <v>95817</v>
      </c>
      <c r="R3832" s="22" t="s">
        <v>1345</v>
      </c>
      <c r="S3832" s="22" t="s">
        <v>1346</v>
      </c>
      <c r="X3832" s="26"/>
      <c r="Y3832" s="26"/>
    </row>
    <row r="3833" spans="1:25" ht="50" x14ac:dyDescent="0.25">
      <c r="A3833" s="21">
        <v>9865</v>
      </c>
      <c r="B3833" s="22" t="s">
        <v>15335</v>
      </c>
      <c r="C3833" s="22" t="s">
        <v>1347</v>
      </c>
      <c r="E3833" s="24">
        <v>2001</v>
      </c>
      <c r="F3833" s="22">
        <v>15891</v>
      </c>
      <c r="G3833" s="23" t="s">
        <v>1348</v>
      </c>
      <c r="H3833" s="25" t="s">
        <v>15373</v>
      </c>
      <c r="I3833" s="22" t="s">
        <v>15411</v>
      </c>
      <c r="J3833" s="22" t="s">
        <v>16803</v>
      </c>
      <c r="K3833" s="26">
        <f t="shared" si="60"/>
        <v>1250</v>
      </c>
      <c r="L3833" s="26">
        <v>1250</v>
      </c>
      <c r="O3833" s="22" t="s">
        <v>1349</v>
      </c>
      <c r="P3833" s="22" t="s">
        <v>2755</v>
      </c>
      <c r="Q3833" s="22">
        <v>95827</v>
      </c>
      <c r="R3833" s="22" t="s">
        <v>1350</v>
      </c>
      <c r="S3833" s="22" t="s">
        <v>1351</v>
      </c>
      <c r="X3833" s="26"/>
      <c r="Y3833" s="26"/>
    </row>
    <row r="3834" spans="1:25" ht="50" x14ac:dyDescent="0.25">
      <c r="A3834" s="21">
        <v>9866</v>
      </c>
      <c r="B3834" s="22" t="s">
        <v>15335</v>
      </c>
      <c r="C3834" s="22" t="s">
        <v>1352</v>
      </c>
      <c r="E3834" s="24">
        <v>2002</v>
      </c>
      <c r="F3834" s="22">
        <v>16413</v>
      </c>
      <c r="G3834" s="23" t="s">
        <v>1353</v>
      </c>
      <c r="H3834" s="25" t="s">
        <v>15373</v>
      </c>
      <c r="I3834" s="22" t="s">
        <v>15382</v>
      </c>
      <c r="J3834" s="22" t="s">
        <v>16799</v>
      </c>
      <c r="K3834" s="26">
        <f t="shared" si="60"/>
        <v>503.33333333333331</v>
      </c>
      <c r="N3834" s="26">
        <v>755</v>
      </c>
      <c r="O3834" s="22" t="s">
        <v>1354</v>
      </c>
      <c r="P3834" s="22" t="s">
        <v>1355</v>
      </c>
      <c r="Q3834" s="22">
        <v>95604</v>
      </c>
      <c r="R3834" s="22" t="s">
        <v>1356</v>
      </c>
      <c r="S3834" s="22" t="s">
        <v>1357</v>
      </c>
      <c r="X3834" s="26"/>
      <c r="Y3834" s="26"/>
    </row>
    <row r="3835" spans="1:25" ht="50" x14ac:dyDescent="0.25">
      <c r="A3835" s="21">
        <v>9867</v>
      </c>
      <c r="B3835" s="22" t="s">
        <v>15335</v>
      </c>
      <c r="C3835" s="22" t="s">
        <v>1358</v>
      </c>
      <c r="E3835" s="24">
        <v>2001</v>
      </c>
      <c r="F3835" s="22">
        <v>16029</v>
      </c>
      <c r="G3835" s="23" t="s">
        <v>1359</v>
      </c>
      <c r="H3835" s="25" t="s">
        <v>15373</v>
      </c>
      <c r="I3835" s="22" t="s">
        <v>15411</v>
      </c>
      <c r="J3835" s="22" t="s">
        <v>16803</v>
      </c>
      <c r="K3835" s="26">
        <f t="shared" si="60"/>
        <v>1233.3333333333333</v>
      </c>
      <c r="N3835" s="26">
        <v>1850</v>
      </c>
      <c r="O3835" s="22" t="s">
        <v>2618</v>
      </c>
      <c r="P3835" s="22" t="s">
        <v>2741</v>
      </c>
      <c r="Q3835" s="22">
        <v>95816</v>
      </c>
      <c r="R3835" s="22" t="s">
        <v>1360</v>
      </c>
      <c r="S3835" s="22" t="s">
        <v>1361</v>
      </c>
      <c r="X3835" s="26"/>
      <c r="Y3835" s="26"/>
    </row>
    <row r="3836" spans="1:25" ht="37.5" x14ac:dyDescent="0.25">
      <c r="A3836" s="21">
        <v>9868</v>
      </c>
      <c r="B3836" s="22" t="s">
        <v>15335</v>
      </c>
      <c r="C3836" s="22" t="s">
        <v>2664</v>
      </c>
      <c r="E3836" s="24">
        <v>2001</v>
      </c>
      <c r="F3836" s="22">
        <v>15927</v>
      </c>
      <c r="G3836" s="23" t="s">
        <v>1362</v>
      </c>
      <c r="H3836" s="25" t="s">
        <v>15373</v>
      </c>
      <c r="I3836" s="22" t="s">
        <v>15382</v>
      </c>
      <c r="J3836" s="22" t="s">
        <v>15391</v>
      </c>
      <c r="K3836" s="26">
        <f t="shared" si="60"/>
        <v>1480</v>
      </c>
      <c r="N3836" s="26">
        <v>2220</v>
      </c>
      <c r="O3836" s="22" t="s">
        <v>1363</v>
      </c>
      <c r="P3836" s="22" t="s">
        <v>2741</v>
      </c>
      <c r="Q3836" s="22">
        <v>95822</v>
      </c>
      <c r="R3836" s="22" t="s">
        <v>1364</v>
      </c>
      <c r="S3836" s="22" t="s">
        <v>1365</v>
      </c>
      <c r="X3836" s="26"/>
      <c r="Y3836" s="26"/>
    </row>
    <row r="3837" spans="1:25" ht="37.5" x14ac:dyDescent="0.25">
      <c r="A3837" s="21">
        <v>9869</v>
      </c>
      <c r="B3837" s="22" t="s">
        <v>15335</v>
      </c>
      <c r="C3837" s="22" t="s">
        <v>1366</v>
      </c>
      <c r="E3837" s="24">
        <v>2001</v>
      </c>
      <c r="F3837" s="22">
        <v>15863</v>
      </c>
      <c r="G3837" s="23" t="s">
        <v>1367</v>
      </c>
      <c r="H3837" s="25" t="s">
        <v>15373</v>
      </c>
      <c r="I3837" s="22" t="s">
        <v>15411</v>
      </c>
      <c r="J3837" s="22" t="s">
        <v>13080</v>
      </c>
      <c r="K3837" s="26">
        <f t="shared" si="60"/>
        <v>606.66666666666663</v>
      </c>
      <c r="N3837" s="26">
        <v>910</v>
      </c>
      <c r="O3837" s="22" t="s">
        <v>1368</v>
      </c>
      <c r="P3837" s="22" t="s">
        <v>2741</v>
      </c>
      <c r="Q3837" s="22">
        <v>91356</v>
      </c>
      <c r="R3837" s="22" t="s">
        <v>1369</v>
      </c>
      <c r="S3837" s="22" t="s">
        <v>1370</v>
      </c>
      <c r="X3837" s="26"/>
      <c r="Y3837" s="26"/>
    </row>
    <row r="3838" spans="1:25" ht="37.5" x14ac:dyDescent="0.25">
      <c r="A3838" s="21">
        <v>9870</v>
      </c>
      <c r="B3838" s="22" t="s">
        <v>15335</v>
      </c>
      <c r="C3838" s="22" t="s">
        <v>1371</v>
      </c>
      <c r="E3838" s="24">
        <v>2000</v>
      </c>
      <c r="F3838" s="22">
        <v>15223</v>
      </c>
      <c r="G3838" s="23" t="s">
        <v>1372</v>
      </c>
      <c r="H3838" s="25" t="s">
        <v>15373</v>
      </c>
      <c r="I3838" s="22" t="s">
        <v>15411</v>
      </c>
      <c r="J3838" s="22" t="s">
        <v>8271</v>
      </c>
      <c r="K3838" s="26">
        <f>L3838+M3838*(2/3)+N3838*(2/3)</f>
        <v>746.66666666666663</v>
      </c>
      <c r="M3838" s="26">
        <v>1120</v>
      </c>
      <c r="O3838" s="22" t="s">
        <v>2448</v>
      </c>
      <c r="P3838" s="22" t="s">
        <v>3130</v>
      </c>
      <c r="Q3838" s="22">
        <v>95655</v>
      </c>
      <c r="R3838" s="22" t="s">
        <v>1373</v>
      </c>
      <c r="S3838" s="22" t="s">
        <v>1374</v>
      </c>
      <c r="X3838" s="26"/>
      <c r="Y3838" s="26"/>
    </row>
    <row r="3839" spans="1:25" ht="37.5" x14ac:dyDescent="0.25">
      <c r="A3839" s="21">
        <v>9871</v>
      </c>
      <c r="B3839" s="22" t="s">
        <v>15335</v>
      </c>
      <c r="C3839" s="22" t="s">
        <v>1371</v>
      </c>
      <c r="E3839" s="24">
        <v>2000</v>
      </c>
      <c r="F3839" s="22">
        <v>15224</v>
      </c>
      <c r="G3839" s="23" t="s">
        <v>1375</v>
      </c>
      <c r="H3839" s="25" t="s">
        <v>15373</v>
      </c>
      <c r="I3839" s="22" t="s">
        <v>15411</v>
      </c>
      <c r="J3839" s="22" t="s">
        <v>8271</v>
      </c>
      <c r="K3839" s="26">
        <f>L3839+M3839*(2/3)+N3839*(2/3)</f>
        <v>746.66666666666663</v>
      </c>
      <c r="M3839" s="26">
        <v>1120</v>
      </c>
      <c r="O3839" s="22" t="s">
        <v>2448</v>
      </c>
      <c r="P3839" s="22" t="s">
        <v>3130</v>
      </c>
      <c r="Q3839" s="22">
        <v>95655</v>
      </c>
      <c r="R3839" s="22" t="s">
        <v>1373</v>
      </c>
      <c r="S3839" s="22" t="s">
        <v>1374</v>
      </c>
      <c r="X3839" s="26"/>
      <c r="Y3839" s="26"/>
    </row>
    <row r="3840" spans="1:25" ht="37.5" x14ac:dyDescent="0.25">
      <c r="A3840" s="21">
        <v>9872</v>
      </c>
      <c r="B3840" s="22" t="s">
        <v>15335</v>
      </c>
      <c r="C3840" s="22" t="s">
        <v>1371</v>
      </c>
      <c r="E3840" s="24">
        <v>2000</v>
      </c>
      <c r="F3840" s="22">
        <v>15225</v>
      </c>
      <c r="G3840" s="23" t="s">
        <v>1376</v>
      </c>
      <c r="H3840" s="25" t="s">
        <v>15373</v>
      </c>
      <c r="I3840" s="22" t="s">
        <v>15411</v>
      </c>
      <c r="J3840" s="22" t="s">
        <v>8271</v>
      </c>
      <c r="K3840" s="26">
        <f>L3840+M3840*(2/3)+N3840*(2/3)</f>
        <v>746.66666666666663</v>
      </c>
      <c r="M3840" s="26">
        <v>1120</v>
      </c>
      <c r="O3840" s="22" t="s">
        <v>2448</v>
      </c>
      <c r="P3840" s="22" t="s">
        <v>3130</v>
      </c>
      <c r="Q3840" s="22">
        <v>95655</v>
      </c>
      <c r="R3840" s="22" t="s">
        <v>1373</v>
      </c>
      <c r="S3840" s="22" t="s">
        <v>1374</v>
      </c>
      <c r="X3840" s="26"/>
      <c r="Y3840" s="26"/>
    </row>
    <row r="3841" spans="1:25" ht="37.5" x14ac:dyDescent="0.25">
      <c r="A3841" s="21">
        <v>9873</v>
      </c>
      <c r="B3841" s="22" t="s">
        <v>15335</v>
      </c>
      <c r="C3841" s="22" t="s">
        <v>4542</v>
      </c>
      <c r="E3841" s="24">
        <v>2002</v>
      </c>
      <c r="F3841" s="22">
        <v>16236</v>
      </c>
      <c r="G3841" s="23" t="s">
        <v>1377</v>
      </c>
      <c r="H3841" s="25" t="s">
        <v>15373</v>
      </c>
      <c r="I3841" s="22" t="s">
        <v>15374</v>
      </c>
      <c r="J3841" s="22" t="s">
        <v>12899</v>
      </c>
      <c r="K3841" s="26">
        <f t="shared" si="60"/>
        <v>1898</v>
      </c>
      <c r="M3841" s="26">
        <v>2847</v>
      </c>
      <c r="O3841" s="22" t="s">
        <v>1378</v>
      </c>
      <c r="P3841" s="22" t="s">
        <v>2755</v>
      </c>
      <c r="Q3841" s="22">
        <v>95670</v>
      </c>
      <c r="R3841" s="22" t="s">
        <v>1379</v>
      </c>
      <c r="S3841" s="22" t="s">
        <v>1380</v>
      </c>
      <c r="X3841" s="26"/>
      <c r="Y3841" s="26"/>
    </row>
    <row r="3842" spans="1:25" ht="37.5" x14ac:dyDescent="0.25">
      <c r="A3842" s="21">
        <v>9874</v>
      </c>
      <c r="B3842" s="22" t="s">
        <v>15335</v>
      </c>
      <c r="C3842" s="22" t="s">
        <v>4542</v>
      </c>
      <c r="E3842" s="24">
        <v>2002</v>
      </c>
      <c r="F3842" s="22">
        <v>16237</v>
      </c>
      <c r="G3842" s="23" t="s">
        <v>1381</v>
      </c>
      <c r="H3842" s="25" t="s">
        <v>15373</v>
      </c>
      <c r="I3842" s="22" t="s">
        <v>15374</v>
      </c>
      <c r="J3842" s="22" t="s">
        <v>12899</v>
      </c>
      <c r="K3842" s="26">
        <f t="shared" si="60"/>
        <v>1898</v>
      </c>
      <c r="M3842" s="26">
        <v>2847</v>
      </c>
      <c r="O3842" s="22" t="s">
        <v>1378</v>
      </c>
      <c r="P3842" s="22" t="s">
        <v>2755</v>
      </c>
      <c r="Q3842" s="22">
        <v>95670</v>
      </c>
      <c r="R3842" s="22" t="s">
        <v>1379</v>
      </c>
      <c r="S3842" s="22" t="s">
        <v>1380</v>
      </c>
      <c r="X3842" s="26"/>
      <c r="Y3842" s="26"/>
    </row>
    <row r="3843" spans="1:25" ht="50" x14ac:dyDescent="0.25">
      <c r="A3843" s="21">
        <v>9875</v>
      </c>
      <c r="B3843" s="22" t="s">
        <v>15335</v>
      </c>
      <c r="C3843" s="22" t="s">
        <v>1382</v>
      </c>
      <c r="E3843" s="24">
        <v>2002</v>
      </c>
      <c r="F3843" s="22">
        <v>16283</v>
      </c>
      <c r="G3843" s="23" t="s">
        <v>1383</v>
      </c>
      <c r="H3843" s="25" t="s">
        <v>15373</v>
      </c>
      <c r="I3843" s="22" t="s">
        <v>15382</v>
      </c>
      <c r="J3843" s="22" t="s">
        <v>16799</v>
      </c>
      <c r="K3843" s="26">
        <f t="shared" si="60"/>
        <v>503.33333333333331</v>
      </c>
      <c r="N3843" s="26">
        <v>755</v>
      </c>
      <c r="O3843" s="22" t="s">
        <v>1384</v>
      </c>
      <c r="P3843" s="22" t="s">
        <v>2741</v>
      </c>
      <c r="Q3843" s="22">
        <v>95826</v>
      </c>
      <c r="R3843" s="22" t="s">
        <v>1385</v>
      </c>
      <c r="S3843" s="22" t="s">
        <v>1386</v>
      </c>
      <c r="X3843" s="26"/>
      <c r="Y3843" s="26"/>
    </row>
    <row r="3844" spans="1:25" ht="37.5" x14ac:dyDescent="0.25">
      <c r="A3844" s="21">
        <v>9876</v>
      </c>
      <c r="B3844" s="22" t="s">
        <v>15335</v>
      </c>
      <c r="C3844" s="22" t="s">
        <v>1387</v>
      </c>
      <c r="E3844" s="24">
        <v>2002</v>
      </c>
      <c r="F3844" s="22">
        <v>16643</v>
      </c>
      <c r="G3844" s="23" t="s">
        <v>1388</v>
      </c>
      <c r="H3844" s="25" t="s">
        <v>15373</v>
      </c>
      <c r="I3844" s="22" t="s">
        <v>15382</v>
      </c>
      <c r="J3844" s="22" t="s">
        <v>16799</v>
      </c>
      <c r="K3844" s="26">
        <f t="shared" si="60"/>
        <v>503.33333333333331</v>
      </c>
      <c r="N3844" s="26">
        <v>755</v>
      </c>
      <c r="O3844" s="22" t="s">
        <v>1389</v>
      </c>
      <c r="P3844" s="22" t="s">
        <v>2741</v>
      </c>
      <c r="Q3844" s="22">
        <v>95816</v>
      </c>
      <c r="R3844" s="22" t="s">
        <v>1390</v>
      </c>
      <c r="S3844" s="22" t="s">
        <v>1391</v>
      </c>
      <c r="X3844" s="26"/>
      <c r="Y3844" s="26"/>
    </row>
    <row r="3845" spans="1:25" ht="37.5" x14ac:dyDescent="0.25">
      <c r="A3845" s="21">
        <v>9877</v>
      </c>
      <c r="B3845" s="22" t="s">
        <v>15335</v>
      </c>
      <c r="C3845" s="22" t="s">
        <v>3911</v>
      </c>
      <c r="E3845" s="24">
        <v>2002</v>
      </c>
      <c r="F3845" s="22">
        <v>15630</v>
      </c>
      <c r="G3845" s="23" t="s">
        <v>1392</v>
      </c>
      <c r="H3845" s="25" t="s">
        <v>15373</v>
      </c>
      <c r="I3845" s="22" t="s">
        <v>1393</v>
      </c>
      <c r="J3845" s="22" t="s">
        <v>1394</v>
      </c>
      <c r="K3845" s="26">
        <f t="shared" si="60"/>
        <v>973.33333333333326</v>
      </c>
      <c r="N3845" s="26">
        <v>1460</v>
      </c>
      <c r="O3845" s="22" t="s">
        <v>1395</v>
      </c>
      <c r="P3845" s="22" t="s">
        <v>2741</v>
      </c>
      <c r="Q3845" s="22">
        <v>95814</v>
      </c>
      <c r="R3845" s="22" t="s">
        <v>3914</v>
      </c>
      <c r="S3845" s="22" t="s">
        <v>3915</v>
      </c>
      <c r="X3845" s="26"/>
      <c r="Y3845" s="26"/>
    </row>
    <row r="3846" spans="1:25" ht="37.5" x14ac:dyDescent="0.25">
      <c r="A3846" s="21">
        <v>9878</v>
      </c>
      <c r="B3846" s="22" t="s">
        <v>15335</v>
      </c>
      <c r="C3846" s="22" t="s">
        <v>3911</v>
      </c>
      <c r="E3846" s="24">
        <v>2002</v>
      </c>
      <c r="F3846" s="22">
        <v>15629</v>
      </c>
      <c r="G3846" s="23" t="s">
        <v>1396</v>
      </c>
      <c r="H3846" s="25" t="s">
        <v>15373</v>
      </c>
      <c r="I3846" s="22" t="s">
        <v>1393</v>
      </c>
      <c r="J3846" s="22" t="s">
        <v>1397</v>
      </c>
      <c r="K3846" s="26">
        <f t="shared" si="60"/>
        <v>973.33333333333326</v>
      </c>
      <c r="N3846" s="26">
        <v>1460</v>
      </c>
      <c r="O3846" s="22" t="s">
        <v>1398</v>
      </c>
      <c r="P3846" s="22" t="s">
        <v>2741</v>
      </c>
      <c r="Q3846" s="22">
        <v>95826</v>
      </c>
      <c r="R3846" s="22" t="s">
        <v>3914</v>
      </c>
      <c r="S3846" s="22" t="s">
        <v>3915</v>
      </c>
      <c r="X3846" s="26"/>
      <c r="Y3846" s="26"/>
    </row>
    <row r="3847" spans="1:25" ht="37.5" x14ac:dyDescent="0.25">
      <c r="A3847" s="21">
        <v>9879</v>
      </c>
      <c r="B3847" s="22" t="s">
        <v>15335</v>
      </c>
      <c r="C3847" s="22" t="s">
        <v>3911</v>
      </c>
      <c r="E3847" s="24">
        <v>2002</v>
      </c>
      <c r="F3847" s="22">
        <v>15908</v>
      </c>
      <c r="G3847" s="23" t="s">
        <v>1399</v>
      </c>
      <c r="H3847" s="25" t="s">
        <v>15373</v>
      </c>
      <c r="I3847" s="22" t="s">
        <v>15382</v>
      </c>
      <c r="J3847" s="22" t="s">
        <v>16792</v>
      </c>
      <c r="K3847" s="26">
        <f t="shared" si="60"/>
        <v>356.66666666666663</v>
      </c>
      <c r="N3847" s="26">
        <v>535</v>
      </c>
      <c r="O3847" s="22" t="s">
        <v>1400</v>
      </c>
      <c r="P3847" s="22" t="s">
        <v>2741</v>
      </c>
      <c r="Q3847" s="22">
        <v>95823</v>
      </c>
      <c r="R3847" s="22" t="s">
        <v>3921</v>
      </c>
      <c r="S3847" s="22" t="s">
        <v>1401</v>
      </c>
      <c r="X3847" s="26"/>
      <c r="Y3847" s="26"/>
    </row>
    <row r="3848" spans="1:25" ht="37.5" x14ac:dyDescent="0.25">
      <c r="A3848" s="21">
        <v>9880</v>
      </c>
      <c r="B3848" s="22" t="s">
        <v>15335</v>
      </c>
      <c r="C3848" s="22" t="s">
        <v>1402</v>
      </c>
      <c r="E3848" s="24">
        <v>2002</v>
      </c>
      <c r="F3848" s="22">
        <v>16434</v>
      </c>
      <c r="G3848" s="23" t="s">
        <v>1403</v>
      </c>
      <c r="H3848" s="25" t="s">
        <v>15373</v>
      </c>
      <c r="I3848" s="22" t="s">
        <v>15382</v>
      </c>
      <c r="J3848" s="22" t="s">
        <v>16792</v>
      </c>
      <c r="K3848" s="26">
        <f t="shared" si="60"/>
        <v>356.66666666666663</v>
      </c>
      <c r="M3848" s="26">
        <v>535</v>
      </c>
      <c r="O3848" s="22" t="s">
        <v>1400</v>
      </c>
      <c r="P3848" s="22" t="s">
        <v>2741</v>
      </c>
      <c r="Q3848" s="22">
        <v>95823</v>
      </c>
      <c r="R3848" s="22" t="s">
        <v>1404</v>
      </c>
      <c r="S3848" s="22" t="s">
        <v>1401</v>
      </c>
      <c r="X3848" s="26"/>
      <c r="Y3848" s="26"/>
    </row>
    <row r="3849" spans="1:25" ht="37.5" x14ac:dyDescent="0.25">
      <c r="A3849" s="21">
        <v>9881</v>
      </c>
      <c r="B3849" s="22" t="s">
        <v>15335</v>
      </c>
      <c r="C3849" s="22" t="s">
        <v>1402</v>
      </c>
      <c r="E3849" s="24">
        <v>2002</v>
      </c>
      <c r="F3849" s="22">
        <v>16117</v>
      </c>
      <c r="G3849" s="23" t="s">
        <v>1405</v>
      </c>
      <c r="H3849" s="25" t="s">
        <v>15373</v>
      </c>
      <c r="I3849" s="22" t="s">
        <v>15382</v>
      </c>
      <c r="J3849" s="22" t="s">
        <v>14562</v>
      </c>
      <c r="K3849" s="26">
        <f t="shared" si="60"/>
        <v>600</v>
      </c>
      <c r="N3849" s="26">
        <v>900</v>
      </c>
      <c r="O3849" s="22" t="s">
        <v>1406</v>
      </c>
      <c r="P3849" s="22" t="s">
        <v>2741</v>
      </c>
      <c r="Q3849" s="22">
        <v>95832</v>
      </c>
      <c r="R3849" s="22" t="s">
        <v>3914</v>
      </c>
      <c r="S3849" s="22" t="s">
        <v>3915</v>
      </c>
      <c r="X3849" s="26"/>
      <c r="Y3849" s="26"/>
    </row>
    <row r="3850" spans="1:25" ht="37.5" x14ac:dyDescent="0.25">
      <c r="A3850" s="21">
        <v>9882</v>
      </c>
      <c r="B3850" s="22" t="s">
        <v>15335</v>
      </c>
      <c r="C3850" s="22" t="s">
        <v>2940</v>
      </c>
      <c r="E3850" s="24">
        <v>2002</v>
      </c>
      <c r="F3850" s="22">
        <v>16524</v>
      </c>
      <c r="G3850" s="23" t="s">
        <v>2779</v>
      </c>
      <c r="H3850" s="25" t="s">
        <v>15373</v>
      </c>
      <c r="I3850" s="22" t="s">
        <v>15374</v>
      </c>
      <c r="J3850" s="22">
        <v>3456</v>
      </c>
      <c r="K3850" s="26">
        <f t="shared" si="60"/>
        <v>509.33333333333331</v>
      </c>
      <c r="N3850" s="26">
        <v>764</v>
      </c>
      <c r="O3850" s="22" t="s">
        <v>2780</v>
      </c>
      <c r="P3850" s="22" t="s">
        <v>2741</v>
      </c>
      <c r="Q3850" s="22">
        <v>95827</v>
      </c>
      <c r="R3850" s="22" t="s">
        <v>2781</v>
      </c>
      <c r="S3850" s="22" t="s">
        <v>2782</v>
      </c>
      <c r="X3850" s="26"/>
      <c r="Y3850" s="26"/>
    </row>
    <row r="3851" spans="1:25" ht="50" x14ac:dyDescent="0.25">
      <c r="A3851" s="21">
        <v>9883</v>
      </c>
      <c r="B3851" s="22" t="s">
        <v>15335</v>
      </c>
      <c r="C3851" s="22" t="s">
        <v>3195</v>
      </c>
      <c r="E3851" s="24">
        <v>2002</v>
      </c>
      <c r="F3851" s="22">
        <v>15864</v>
      </c>
      <c r="G3851" s="23" t="s">
        <v>2783</v>
      </c>
      <c r="H3851" s="25" t="s">
        <v>15373</v>
      </c>
      <c r="I3851" s="22" t="s">
        <v>15374</v>
      </c>
      <c r="J3851" s="22" t="s">
        <v>2784</v>
      </c>
      <c r="K3851" s="26">
        <f t="shared" si="60"/>
        <v>974.66666666666663</v>
      </c>
      <c r="M3851" s="26">
        <v>1462</v>
      </c>
      <c r="O3851" s="22" t="s">
        <v>2785</v>
      </c>
      <c r="P3851" s="22" t="s">
        <v>2549</v>
      </c>
      <c r="Q3851" s="22">
        <v>95652</v>
      </c>
      <c r="R3851" s="22" t="s">
        <v>2786</v>
      </c>
      <c r="S3851" s="22" t="s">
        <v>2787</v>
      </c>
      <c r="X3851" s="26"/>
      <c r="Y3851" s="26"/>
    </row>
    <row r="3852" spans="1:25" ht="37.5" x14ac:dyDescent="0.25">
      <c r="A3852" s="21">
        <v>9884</v>
      </c>
      <c r="B3852" s="22" t="s">
        <v>15335</v>
      </c>
      <c r="C3852" s="22" t="s">
        <v>2788</v>
      </c>
      <c r="E3852" s="24">
        <v>2003</v>
      </c>
      <c r="F3852" s="22">
        <v>16620</v>
      </c>
      <c r="G3852" s="23" t="s">
        <v>2789</v>
      </c>
      <c r="H3852" s="25" t="s">
        <v>15373</v>
      </c>
      <c r="I3852" s="22" t="s">
        <v>15411</v>
      </c>
      <c r="J3852" s="22" t="s">
        <v>16803</v>
      </c>
      <c r="K3852" s="26">
        <f t="shared" si="60"/>
        <v>1233.3333333333333</v>
      </c>
      <c r="M3852" s="26">
        <v>1850</v>
      </c>
      <c r="O3852" s="22" t="s">
        <v>2790</v>
      </c>
      <c r="P3852" s="22" t="s">
        <v>2755</v>
      </c>
      <c r="Q3852" s="22">
        <v>95670</v>
      </c>
      <c r="R3852" s="22" t="s">
        <v>2791</v>
      </c>
      <c r="S3852" s="22" t="s">
        <v>2792</v>
      </c>
      <c r="X3852" s="26"/>
      <c r="Y3852" s="26"/>
    </row>
    <row r="3853" spans="1:25" ht="37.5" x14ac:dyDescent="0.25">
      <c r="A3853" s="21">
        <v>9885</v>
      </c>
      <c r="B3853" s="22" t="s">
        <v>15335</v>
      </c>
      <c r="C3853" s="22" t="s">
        <v>2793</v>
      </c>
      <c r="E3853" s="24">
        <v>2002</v>
      </c>
      <c r="F3853" s="22">
        <v>16672</v>
      </c>
      <c r="G3853" s="23" t="s">
        <v>2794</v>
      </c>
      <c r="H3853" s="25" t="s">
        <v>15373</v>
      </c>
      <c r="I3853" s="22" t="s">
        <v>15411</v>
      </c>
      <c r="J3853" s="22" t="s">
        <v>2795</v>
      </c>
      <c r="K3853" s="26">
        <f t="shared" si="60"/>
        <v>510</v>
      </c>
      <c r="N3853" s="26">
        <v>765</v>
      </c>
      <c r="O3853" s="22" t="s">
        <v>2796</v>
      </c>
      <c r="P3853" s="22" t="s">
        <v>2741</v>
      </c>
      <c r="Q3853" s="22">
        <v>95814</v>
      </c>
      <c r="R3853" s="22" t="s">
        <v>2797</v>
      </c>
      <c r="S3853" s="22" t="s">
        <v>2798</v>
      </c>
      <c r="X3853" s="26"/>
      <c r="Y3853" s="26"/>
    </row>
    <row r="3854" spans="1:25" ht="37.5" x14ac:dyDescent="0.25">
      <c r="A3854" s="21">
        <v>9886</v>
      </c>
      <c r="B3854" s="22" t="s">
        <v>15335</v>
      </c>
      <c r="C3854" s="22" t="s">
        <v>3276</v>
      </c>
      <c r="E3854" s="24">
        <v>2002</v>
      </c>
      <c r="F3854" s="22">
        <v>16776</v>
      </c>
      <c r="G3854" s="23" t="s">
        <v>2799</v>
      </c>
      <c r="H3854" s="25" t="s">
        <v>15373</v>
      </c>
      <c r="I3854" s="22" t="s">
        <v>15382</v>
      </c>
      <c r="J3854" s="22" t="s">
        <v>16799</v>
      </c>
      <c r="K3854" s="26">
        <f t="shared" si="60"/>
        <v>503.33333333333331</v>
      </c>
      <c r="M3854" s="26">
        <v>755</v>
      </c>
      <c r="O3854" s="22" t="s">
        <v>3278</v>
      </c>
      <c r="P3854" s="22" t="s">
        <v>3811</v>
      </c>
      <c r="Q3854" s="22">
        <v>95624</v>
      </c>
      <c r="R3854" s="22" t="s">
        <v>2800</v>
      </c>
      <c r="S3854" s="22" t="s">
        <v>2801</v>
      </c>
      <c r="X3854" s="26"/>
      <c r="Y3854" s="26"/>
    </row>
    <row r="3855" spans="1:25" ht="50" x14ac:dyDescent="0.25">
      <c r="A3855" s="21">
        <v>9887</v>
      </c>
      <c r="B3855" s="22" t="s">
        <v>15335</v>
      </c>
      <c r="C3855" s="22" t="s">
        <v>2558</v>
      </c>
      <c r="E3855" s="24">
        <v>2002</v>
      </c>
      <c r="F3855" s="22">
        <v>16589</v>
      </c>
      <c r="G3855" s="23" t="s">
        <v>2802</v>
      </c>
      <c r="H3855" s="25" t="s">
        <v>15373</v>
      </c>
      <c r="I3855" s="22" t="s">
        <v>15411</v>
      </c>
      <c r="J3855" s="22" t="s">
        <v>16517</v>
      </c>
      <c r="K3855" s="26">
        <f t="shared" si="60"/>
        <v>366.66666666666663</v>
      </c>
      <c r="N3855" s="26">
        <v>550</v>
      </c>
      <c r="O3855" s="22" t="s">
        <v>2803</v>
      </c>
      <c r="P3855" s="22" t="s">
        <v>3896</v>
      </c>
      <c r="Q3855" s="22">
        <v>95610</v>
      </c>
      <c r="R3855" s="22" t="s">
        <v>4182</v>
      </c>
      <c r="S3855" s="22" t="s">
        <v>2561</v>
      </c>
      <c r="X3855" s="26"/>
      <c r="Y3855" s="26"/>
    </row>
    <row r="3856" spans="1:25" ht="37.5" x14ac:dyDescent="0.25">
      <c r="A3856" s="21">
        <v>9888</v>
      </c>
      <c r="B3856" s="22" t="s">
        <v>15335</v>
      </c>
      <c r="C3856" s="22" t="s">
        <v>2804</v>
      </c>
      <c r="E3856" s="24">
        <v>2002</v>
      </c>
      <c r="F3856" s="22">
        <v>16595</v>
      </c>
      <c r="G3856" s="23" t="s">
        <v>2805</v>
      </c>
      <c r="H3856" s="25" t="s">
        <v>15373</v>
      </c>
      <c r="I3856" s="22" t="s">
        <v>15374</v>
      </c>
      <c r="J3856" s="22">
        <v>3412</v>
      </c>
      <c r="K3856" s="26">
        <f t="shared" si="60"/>
        <v>739.33333333333326</v>
      </c>
      <c r="N3856" s="26">
        <v>1109</v>
      </c>
      <c r="O3856" s="22" t="s">
        <v>2806</v>
      </c>
      <c r="P3856" s="22" t="s">
        <v>2741</v>
      </c>
      <c r="Q3856" s="22">
        <v>95814</v>
      </c>
      <c r="R3856" s="22" t="s">
        <v>2807</v>
      </c>
      <c r="S3856" s="22" t="s">
        <v>2808</v>
      </c>
      <c r="X3856" s="26"/>
      <c r="Y3856" s="26"/>
    </row>
    <row r="3857" spans="1:25" ht="37.5" x14ac:dyDescent="0.25">
      <c r="A3857" s="21">
        <v>9889</v>
      </c>
      <c r="B3857" s="22" t="s">
        <v>15335</v>
      </c>
      <c r="C3857" s="22" t="s">
        <v>2809</v>
      </c>
      <c r="E3857" s="24">
        <v>2003</v>
      </c>
      <c r="F3857" s="22">
        <v>16974</v>
      </c>
      <c r="G3857" s="23" t="s">
        <v>2810</v>
      </c>
      <c r="H3857" s="25" t="s">
        <v>15373</v>
      </c>
      <c r="I3857" s="22" t="s">
        <v>15382</v>
      </c>
      <c r="J3857" s="22" t="s">
        <v>16450</v>
      </c>
      <c r="K3857" s="26">
        <f t="shared" si="60"/>
        <v>993.33333333333326</v>
      </c>
      <c r="M3857" s="26">
        <v>1490</v>
      </c>
      <c r="O3857" s="22" t="s">
        <v>3296</v>
      </c>
      <c r="P3857" s="22" t="s">
        <v>2741</v>
      </c>
      <c r="Q3857" s="22">
        <v>95814</v>
      </c>
      <c r="R3857" s="22" t="s">
        <v>2811</v>
      </c>
      <c r="S3857" s="22" t="s">
        <v>2812</v>
      </c>
      <c r="X3857" s="26"/>
      <c r="Y3857" s="26"/>
    </row>
    <row r="3858" spans="1:25" ht="37.5" x14ac:dyDescent="0.25">
      <c r="A3858" s="21">
        <v>9890</v>
      </c>
      <c r="B3858" s="22" t="s">
        <v>15335</v>
      </c>
      <c r="C3858" s="22" t="s">
        <v>2813</v>
      </c>
      <c r="E3858" s="24">
        <v>2003</v>
      </c>
      <c r="F3858" s="22">
        <v>16657</v>
      </c>
      <c r="G3858" s="23" t="s">
        <v>2814</v>
      </c>
      <c r="H3858" s="25" t="s">
        <v>15373</v>
      </c>
      <c r="I3858" s="22" t="s">
        <v>15411</v>
      </c>
      <c r="J3858" s="22" t="s">
        <v>3822</v>
      </c>
      <c r="K3858" s="26">
        <f t="shared" si="60"/>
        <v>746.66666666666663</v>
      </c>
      <c r="M3858" s="26">
        <v>1120</v>
      </c>
      <c r="O3858" s="22" t="s">
        <v>2815</v>
      </c>
      <c r="P3858" s="22" t="s">
        <v>2741</v>
      </c>
      <c r="Q3858" s="22">
        <v>95814</v>
      </c>
      <c r="R3858" s="22" t="s">
        <v>2816</v>
      </c>
      <c r="S3858" s="22" t="s">
        <v>2817</v>
      </c>
      <c r="X3858" s="26"/>
      <c r="Y3858" s="26"/>
    </row>
    <row r="3859" spans="1:25" ht="37.5" x14ac:dyDescent="0.25">
      <c r="A3859" s="21">
        <v>9891</v>
      </c>
      <c r="B3859" s="22" t="s">
        <v>15335</v>
      </c>
      <c r="C3859" s="22" t="s">
        <v>2818</v>
      </c>
      <c r="E3859" s="24">
        <v>2003</v>
      </c>
      <c r="F3859" s="22">
        <v>16815</v>
      </c>
      <c r="G3859" s="23" t="s">
        <v>2819</v>
      </c>
      <c r="H3859" s="25" t="s">
        <v>15373</v>
      </c>
      <c r="I3859" s="22" t="s">
        <v>15382</v>
      </c>
      <c r="J3859" s="22" t="s">
        <v>17551</v>
      </c>
      <c r="K3859" s="26">
        <f t="shared" si="60"/>
        <v>313.33333333333331</v>
      </c>
      <c r="N3859" s="26">
        <v>470</v>
      </c>
      <c r="O3859" s="22" t="s">
        <v>2820</v>
      </c>
      <c r="P3859" s="22" t="s">
        <v>2741</v>
      </c>
      <c r="Q3859" s="22">
        <v>95817</v>
      </c>
      <c r="R3859" s="22" t="s">
        <v>2821</v>
      </c>
      <c r="S3859" s="22" t="s">
        <v>2822</v>
      </c>
      <c r="X3859" s="26"/>
      <c r="Y3859" s="26"/>
    </row>
    <row r="3860" spans="1:25" ht="37.5" x14ac:dyDescent="0.25">
      <c r="A3860" s="21">
        <v>9892</v>
      </c>
      <c r="B3860" s="22" t="s">
        <v>15335</v>
      </c>
      <c r="C3860" s="22" t="s">
        <v>2823</v>
      </c>
      <c r="E3860" s="24">
        <v>2003</v>
      </c>
      <c r="F3860" s="22">
        <v>17099</v>
      </c>
      <c r="G3860" s="23" t="s">
        <v>2824</v>
      </c>
      <c r="H3860" s="25" t="s">
        <v>15373</v>
      </c>
      <c r="I3860" s="22" t="s">
        <v>15374</v>
      </c>
      <c r="J3860" s="22" t="s">
        <v>12893</v>
      </c>
      <c r="K3860" s="26">
        <f t="shared" si="60"/>
        <v>1917.3333333333333</v>
      </c>
      <c r="M3860" s="26">
        <v>2876</v>
      </c>
      <c r="O3860" s="22" t="s">
        <v>2825</v>
      </c>
      <c r="P3860" s="22" t="s">
        <v>2741</v>
      </c>
      <c r="Q3860" s="22">
        <v>95834</v>
      </c>
      <c r="R3860" s="22" t="s">
        <v>2826</v>
      </c>
      <c r="S3860" s="22" t="s">
        <v>3857</v>
      </c>
      <c r="X3860" s="26"/>
      <c r="Y3860" s="26"/>
    </row>
    <row r="3861" spans="1:25" ht="37.5" x14ac:dyDescent="0.25">
      <c r="A3861" s="21">
        <v>9893</v>
      </c>
      <c r="B3861" s="22" t="s">
        <v>15335</v>
      </c>
      <c r="C3861" s="22" t="s">
        <v>2827</v>
      </c>
      <c r="E3861" s="24">
        <v>2003</v>
      </c>
      <c r="F3861" s="22">
        <v>16901</v>
      </c>
      <c r="G3861" s="23" t="s">
        <v>2828</v>
      </c>
      <c r="H3861" s="25" t="s">
        <v>15373</v>
      </c>
      <c r="I3861" s="22" t="s">
        <v>15382</v>
      </c>
      <c r="J3861" s="22" t="s">
        <v>16799</v>
      </c>
      <c r="K3861" s="26">
        <f t="shared" si="60"/>
        <v>503.33333333333331</v>
      </c>
      <c r="M3861" s="26">
        <v>755</v>
      </c>
      <c r="O3861" s="22" t="s">
        <v>2829</v>
      </c>
      <c r="P3861" s="22" t="s">
        <v>2772</v>
      </c>
      <c r="Q3861" s="22">
        <v>95630</v>
      </c>
      <c r="R3861" s="22" t="s">
        <v>2830</v>
      </c>
      <c r="S3861" s="22" t="s">
        <v>2831</v>
      </c>
      <c r="X3861" s="26"/>
      <c r="Y3861" s="26"/>
    </row>
    <row r="3862" spans="1:25" ht="50" x14ac:dyDescent="0.25">
      <c r="A3862" s="21">
        <v>9894</v>
      </c>
      <c r="B3862" s="22" t="s">
        <v>15335</v>
      </c>
      <c r="C3862" s="22" t="s">
        <v>2832</v>
      </c>
      <c r="E3862" s="24">
        <v>2003</v>
      </c>
      <c r="F3862" s="22">
        <v>16796</v>
      </c>
      <c r="G3862" s="23" t="s">
        <v>2833</v>
      </c>
      <c r="H3862" s="25" t="s">
        <v>15373</v>
      </c>
      <c r="I3862" s="22" t="s">
        <v>15382</v>
      </c>
      <c r="J3862" s="22" t="s">
        <v>16450</v>
      </c>
      <c r="K3862" s="26">
        <f t="shared" si="60"/>
        <v>993.33333333333326</v>
      </c>
      <c r="M3862" s="26">
        <v>1490</v>
      </c>
      <c r="O3862" s="22" t="s">
        <v>2834</v>
      </c>
      <c r="P3862" s="22" t="s">
        <v>3811</v>
      </c>
      <c r="Q3862" s="22">
        <v>92666</v>
      </c>
      <c r="R3862" s="22" t="s">
        <v>2835</v>
      </c>
      <c r="S3862" s="22" t="s">
        <v>2836</v>
      </c>
      <c r="X3862" s="26"/>
      <c r="Y3862" s="26"/>
    </row>
    <row r="3863" spans="1:25" ht="37.5" x14ac:dyDescent="0.25">
      <c r="A3863" s="21">
        <v>9895</v>
      </c>
      <c r="B3863" s="22" t="s">
        <v>15335</v>
      </c>
      <c r="C3863" s="22" t="s">
        <v>2940</v>
      </c>
      <c r="E3863" s="24">
        <v>2003</v>
      </c>
      <c r="F3863" s="22">
        <v>17283</v>
      </c>
      <c r="G3863" s="23" t="s">
        <v>2837</v>
      </c>
      <c r="H3863" s="25" t="s">
        <v>15373</v>
      </c>
      <c r="I3863" s="22" t="s">
        <v>15382</v>
      </c>
      <c r="J3863" s="22" t="s">
        <v>15955</v>
      </c>
      <c r="K3863" s="26">
        <f t="shared" si="60"/>
        <v>756.66666666666663</v>
      </c>
      <c r="M3863" s="26">
        <v>1135</v>
      </c>
      <c r="O3863" s="22" t="s">
        <v>2943</v>
      </c>
      <c r="P3863" s="22" t="s">
        <v>2944</v>
      </c>
      <c r="Q3863" s="22">
        <v>95683</v>
      </c>
      <c r="R3863" s="22" t="s">
        <v>2838</v>
      </c>
      <c r="S3863" s="22" t="s">
        <v>2839</v>
      </c>
      <c r="X3863" s="26"/>
      <c r="Y3863" s="26"/>
    </row>
    <row r="3864" spans="1:25" ht="37.5" x14ac:dyDescent="0.25">
      <c r="A3864" s="21">
        <v>9896</v>
      </c>
      <c r="B3864" s="22" t="s">
        <v>15335</v>
      </c>
      <c r="C3864" s="22" t="s">
        <v>2840</v>
      </c>
      <c r="E3864" s="24">
        <v>2003</v>
      </c>
      <c r="F3864" s="22">
        <v>16513</v>
      </c>
      <c r="G3864" s="23" t="s">
        <v>2841</v>
      </c>
      <c r="H3864" s="25" t="s">
        <v>15373</v>
      </c>
      <c r="I3864" s="22" t="s">
        <v>15382</v>
      </c>
      <c r="J3864" s="22" t="s">
        <v>13225</v>
      </c>
      <c r="K3864" s="26">
        <f t="shared" si="60"/>
        <v>506.66666666666663</v>
      </c>
      <c r="M3864" s="26">
        <v>760</v>
      </c>
      <c r="O3864" s="22" t="s">
        <v>2842</v>
      </c>
      <c r="P3864" s="22" t="s">
        <v>2741</v>
      </c>
      <c r="Q3864" s="22">
        <v>95814</v>
      </c>
      <c r="R3864" s="22" t="s">
        <v>2843</v>
      </c>
      <c r="S3864" s="22" t="s">
        <v>2844</v>
      </c>
      <c r="X3864" s="26"/>
      <c r="Y3864" s="26"/>
    </row>
    <row r="3865" spans="1:25" ht="62.5" x14ac:dyDescent="0.25">
      <c r="A3865" s="21">
        <v>9897</v>
      </c>
      <c r="B3865" s="22" t="s">
        <v>15335</v>
      </c>
      <c r="C3865" s="22" t="s">
        <v>2575</v>
      </c>
      <c r="E3865" s="24">
        <v>2003</v>
      </c>
      <c r="F3865" s="22">
        <v>16650</v>
      </c>
      <c r="G3865" s="23" t="s">
        <v>2845</v>
      </c>
      <c r="H3865" s="25" t="s">
        <v>16411</v>
      </c>
      <c r="I3865" s="22" t="s">
        <v>15382</v>
      </c>
      <c r="J3865" s="22" t="s">
        <v>16170</v>
      </c>
      <c r="K3865" s="26">
        <f t="shared" si="60"/>
        <v>492</v>
      </c>
      <c r="M3865" s="26">
        <v>738</v>
      </c>
      <c r="O3865" s="22" t="s">
        <v>2846</v>
      </c>
      <c r="P3865" s="22" t="s">
        <v>2579</v>
      </c>
      <c r="Q3865" s="22">
        <v>95843</v>
      </c>
      <c r="R3865" s="22" t="s">
        <v>2580</v>
      </c>
      <c r="S3865" s="22" t="s">
        <v>2581</v>
      </c>
      <c r="X3865" s="26"/>
      <c r="Y3865" s="26"/>
    </row>
    <row r="3866" spans="1:25" ht="37.5" x14ac:dyDescent="0.25">
      <c r="A3866" s="21">
        <v>9898</v>
      </c>
      <c r="B3866" s="22" t="s">
        <v>15335</v>
      </c>
      <c r="C3866" s="22" t="s">
        <v>2847</v>
      </c>
      <c r="E3866" s="24">
        <v>2003</v>
      </c>
      <c r="F3866" s="22">
        <v>16989</v>
      </c>
      <c r="G3866" s="23" t="s">
        <v>2848</v>
      </c>
      <c r="H3866" s="25" t="s">
        <v>15373</v>
      </c>
      <c r="I3866" s="22" t="s">
        <v>15411</v>
      </c>
      <c r="J3866" s="22" t="s">
        <v>15744</v>
      </c>
      <c r="K3866" s="26">
        <f t="shared" si="60"/>
        <v>841.33333333333326</v>
      </c>
      <c r="N3866" s="26">
        <v>1262</v>
      </c>
      <c r="O3866" s="22" t="s">
        <v>2490</v>
      </c>
      <c r="P3866" s="22" t="s">
        <v>2741</v>
      </c>
      <c r="Q3866" s="22">
        <v>95814</v>
      </c>
      <c r="R3866" s="22" t="s">
        <v>2849</v>
      </c>
      <c r="S3866" s="22" t="s">
        <v>2492</v>
      </c>
      <c r="X3866" s="26"/>
      <c r="Y3866" s="26"/>
    </row>
    <row r="3867" spans="1:25" ht="50" x14ac:dyDescent="0.25">
      <c r="A3867" s="21">
        <v>9899</v>
      </c>
      <c r="B3867" s="22" t="s">
        <v>15335</v>
      </c>
      <c r="C3867" s="22" t="s">
        <v>1352</v>
      </c>
      <c r="E3867" s="24">
        <v>2003</v>
      </c>
      <c r="F3867" s="22">
        <v>16346</v>
      </c>
      <c r="G3867" s="23" t="s">
        <v>2850</v>
      </c>
      <c r="H3867" s="25" t="s">
        <v>15373</v>
      </c>
      <c r="I3867" s="22" t="s">
        <v>15382</v>
      </c>
      <c r="J3867" s="22" t="s">
        <v>16799</v>
      </c>
      <c r="K3867" s="26">
        <f t="shared" si="60"/>
        <v>500</v>
      </c>
      <c r="L3867" s="26">
        <v>500</v>
      </c>
      <c r="O3867" s="22" t="s">
        <v>2851</v>
      </c>
      <c r="P3867" s="22" t="s">
        <v>2741</v>
      </c>
      <c r="Q3867" s="22">
        <v>95814</v>
      </c>
      <c r="R3867" s="22" t="s">
        <v>2852</v>
      </c>
      <c r="S3867" s="22" t="s">
        <v>2853</v>
      </c>
      <c r="X3867" s="26"/>
      <c r="Y3867" s="26"/>
    </row>
    <row r="3868" spans="1:25" ht="50" x14ac:dyDescent="0.25">
      <c r="A3868" s="21">
        <v>9900</v>
      </c>
      <c r="B3868" s="22" t="s">
        <v>15335</v>
      </c>
      <c r="C3868" s="22" t="s">
        <v>1352</v>
      </c>
      <c r="E3868" s="24">
        <v>2003</v>
      </c>
      <c r="F3868" s="22">
        <v>16772</v>
      </c>
      <c r="G3868" s="23" t="s">
        <v>2854</v>
      </c>
      <c r="H3868" s="25" t="s">
        <v>15373</v>
      </c>
      <c r="I3868" s="22" t="s">
        <v>15411</v>
      </c>
      <c r="J3868" s="22" t="s">
        <v>6673</v>
      </c>
      <c r="K3868" s="26">
        <f t="shared" si="60"/>
        <v>606.66666666666663</v>
      </c>
      <c r="M3868" s="26">
        <v>910</v>
      </c>
      <c r="O3868" s="22" t="s">
        <v>2855</v>
      </c>
      <c r="P3868" s="22" t="s">
        <v>2741</v>
      </c>
      <c r="Q3868" s="22">
        <v>95814</v>
      </c>
      <c r="R3868" s="22" t="s">
        <v>1356</v>
      </c>
      <c r="S3868" s="22" t="s">
        <v>1357</v>
      </c>
      <c r="X3868" s="26"/>
      <c r="Y3868" s="26"/>
    </row>
    <row r="3869" spans="1:25" ht="50" x14ac:dyDescent="0.25">
      <c r="A3869" s="21">
        <v>9901</v>
      </c>
      <c r="B3869" s="22" t="s">
        <v>15335</v>
      </c>
      <c r="C3869" s="22" t="s">
        <v>1352</v>
      </c>
      <c r="E3869" s="24">
        <v>2003</v>
      </c>
      <c r="F3869" s="22">
        <v>16773</v>
      </c>
      <c r="G3869" s="23" t="s">
        <v>2856</v>
      </c>
      <c r="H3869" s="25" t="s">
        <v>15373</v>
      </c>
      <c r="I3869" s="22" t="s">
        <v>15411</v>
      </c>
      <c r="J3869" s="22" t="s">
        <v>17521</v>
      </c>
      <c r="K3869" s="26">
        <f t="shared" si="60"/>
        <v>1233.3333333333333</v>
      </c>
      <c r="M3869" s="26">
        <v>1850</v>
      </c>
      <c r="O3869" s="22" t="s">
        <v>2855</v>
      </c>
      <c r="P3869" s="22" t="s">
        <v>2741</v>
      </c>
      <c r="Q3869" s="22">
        <v>95814</v>
      </c>
      <c r="R3869" s="22" t="s">
        <v>1356</v>
      </c>
      <c r="S3869" s="22" t="s">
        <v>1357</v>
      </c>
      <c r="X3869" s="26"/>
      <c r="Y3869" s="26"/>
    </row>
    <row r="3870" spans="1:25" ht="37.5" x14ac:dyDescent="0.25">
      <c r="A3870" s="21">
        <v>9902</v>
      </c>
      <c r="B3870" s="22" t="s">
        <v>15335</v>
      </c>
      <c r="C3870" s="22" t="s">
        <v>2857</v>
      </c>
      <c r="E3870" s="24">
        <v>2003</v>
      </c>
      <c r="F3870" s="22">
        <v>15800</v>
      </c>
      <c r="G3870" s="23" t="s">
        <v>2858</v>
      </c>
      <c r="H3870" s="25" t="s">
        <v>15373</v>
      </c>
      <c r="I3870" s="22" t="s">
        <v>15374</v>
      </c>
      <c r="J3870" s="22">
        <v>3516</v>
      </c>
      <c r="K3870" s="26">
        <f t="shared" si="60"/>
        <v>1680</v>
      </c>
      <c r="M3870" s="26">
        <v>2520</v>
      </c>
      <c r="O3870" s="22" t="s">
        <v>2859</v>
      </c>
      <c r="P3870" s="22" t="s">
        <v>2741</v>
      </c>
      <c r="Q3870" s="22">
        <v>95814</v>
      </c>
      <c r="R3870" s="22" t="s">
        <v>2860</v>
      </c>
      <c r="S3870" s="22" t="s">
        <v>2861</v>
      </c>
      <c r="X3870" s="26"/>
      <c r="Y3870" s="26"/>
    </row>
    <row r="3871" spans="1:25" ht="37.5" x14ac:dyDescent="0.25">
      <c r="A3871" s="21">
        <v>9903</v>
      </c>
      <c r="B3871" s="22" t="s">
        <v>15335</v>
      </c>
      <c r="C3871" s="22" t="s">
        <v>2641</v>
      </c>
      <c r="E3871" s="24">
        <v>2003</v>
      </c>
      <c r="F3871" s="22">
        <v>16981</v>
      </c>
      <c r="G3871" s="23" t="s">
        <v>2862</v>
      </c>
      <c r="H3871" s="25" t="s">
        <v>15373</v>
      </c>
      <c r="I3871" s="22" t="s">
        <v>15374</v>
      </c>
      <c r="J3871" s="22" t="s">
        <v>18147</v>
      </c>
      <c r="K3871" s="26">
        <f t="shared" si="60"/>
        <v>461.33333333333331</v>
      </c>
      <c r="N3871" s="26">
        <v>692</v>
      </c>
      <c r="O3871" s="22" t="s">
        <v>2863</v>
      </c>
      <c r="P3871" s="22" t="s">
        <v>2864</v>
      </c>
      <c r="Q3871" s="22">
        <v>95655</v>
      </c>
      <c r="R3871" s="22" t="s">
        <v>2865</v>
      </c>
      <c r="S3871" s="22" t="s">
        <v>2866</v>
      </c>
      <c r="X3871" s="26"/>
      <c r="Y3871" s="26"/>
    </row>
    <row r="3872" spans="1:25" x14ac:dyDescent="0.25">
      <c r="A3872" s="21">
        <v>4500</v>
      </c>
      <c r="B3872" s="22" t="s">
        <v>16584</v>
      </c>
      <c r="C3872" s="22" t="s">
        <v>2867</v>
      </c>
      <c r="F3872" s="22" t="s">
        <v>2868</v>
      </c>
      <c r="H3872" s="25" t="s">
        <v>15373</v>
      </c>
      <c r="I3872" s="22" t="s">
        <v>15374</v>
      </c>
      <c r="J3872" s="22" t="s">
        <v>10290</v>
      </c>
      <c r="K3872" s="26">
        <f t="shared" si="60"/>
        <v>666.66666666666663</v>
      </c>
      <c r="N3872" s="26">
        <v>1000</v>
      </c>
      <c r="O3872" s="22" t="s">
        <v>2869</v>
      </c>
      <c r="P3872" s="22" t="s">
        <v>2870</v>
      </c>
      <c r="Q3872" s="22" t="s">
        <v>2871</v>
      </c>
      <c r="X3872" s="26"/>
      <c r="Y3872" s="26"/>
    </row>
    <row r="3873" spans="1:25" x14ac:dyDescent="0.25">
      <c r="A3873" s="21">
        <v>4501</v>
      </c>
      <c r="B3873" s="22" t="s">
        <v>16584</v>
      </c>
      <c r="C3873" s="22" t="s">
        <v>2872</v>
      </c>
      <c r="F3873" s="22" t="s">
        <v>2873</v>
      </c>
      <c r="H3873" s="25" t="s">
        <v>15373</v>
      </c>
      <c r="I3873" s="22" t="s">
        <v>15382</v>
      </c>
      <c r="J3873" s="22" t="s">
        <v>15031</v>
      </c>
      <c r="K3873" s="26">
        <f t="shared" si="60"/>
        <v>993.33333333333326</v>
      </c>
      <c r="N3873" s="26">
        <v>1490</v>
      </c>
      <c r="O3873" s="22" t="s">
        <v>2872</v>
      </c>
      <c r="P3873" s="22" t="s">
        <v>2874</v>
      </c>
      <c r="Q3873" s="22" t="s">
        <v>2875</v>
      </c>
      <c r="X3873" s="26"/>
      <c r="Y3873" s="26"/>
    </row>
    <row r="3874" spans="1:25" ht="25" x14ac:dyDescent="0.25">
      <c r="A3874" s="21">
        <v>4502</v>
      </c>
      <c r="B3874" s="22" t="s">
        <v>16584</v>
      </c>
      <c r="C3874" s="22" t="s">
        <v>2876</v>
      </c>
      <c r="F3874" s="22" t="s">
        <v>2877</v>
      </c>
      <c r="H3874" s="25" t="s">
        <v>15373</v>
      </c>
      <c r="I3874" s="22" t="s">
        <v>15411</v>
      </c>
      <c r="J3874" s="22" t="s">
        <v>15542</v>
      </c>
      <c r="K3874" s="26">
        <f t="shared" si="60"/>
        <v>631.33333333333326</v>
      </c>
      <c r="N3874" s="26">
        <v>947</v>
      </c>
      <c r="O3874" s="22" t="s">
        <v>2878</v>
      </c>
      <c r="P3874" s="22" t="s">
        <v>2879</v>
      </c>
      <c r="Q3874" s="22" t="s">
        <v>2880</v>
      </c>
      <c r="X3874" s="26"/>
      <c r="Y3874" s="26"/>
    </row>
    <row r="3875" spans="1:25" ht="25" x14ac:dyDescent="0.25">
      <c r="A3875" s="21">
        <v>4503</v>
      </c>
      <c r="B3875" s="22" t="s">
        <v>16584</v>
      </c>
      <c r="C3875" s="22" t="s">
        <v>2876</v>
      </c>
      <c r="F3875" s="22" t="s">
        <v>2881</v>
      </c>
      <c r="H3875" s="25" t="s">
        <v>15373</v>
      </c>
      <c r="I3875" s="22" t="s">
        <v>15374</v>
      </c>
      <c r="J3875" s="22" t="s">
        <v>8802</v>
      </c>
      <c r="K3875" s="26">
        <f t="shared" si="60"/>
        <v>346</v>
      </c>
      <c r="N3875" s="26">
        <v>519</v>
      </c>
      <c r="O3875" s="22" t="s">
        <v>2882</v>
      </c>
      <c r="P3875" s="22" t="s">
        <v>2879</v>
      </c>
      <c r="Q3875" s="22" t="s">
        <v>2880</v>
      </c>
      <c r="X3875" s="26"/>
      <c r="Y3875" s="26"/>
    </row>
    <row r="3876" spans="1:25" x14ac:dyDescent="0.25">
      <c r="A3876" s="21">
        <v>4504</v>
      </c>
      <c r="B3876" s="22" t="s">
        <v>16584</v>
      </c>
      <c r="C3876" s="22" t="s">
        <v>2876</v>
      </c>
      <c r="F3876" s="22" t="s">
        <v>2883</v>
      </c>
      <c r="H3876" s="25" t="s">
        <v>15373</v>
      </c>
      <c r="I3876" s="22" t="s">
        <v>15374</v>
      </c>
      <c r="J3876" s="22" t="s">
        <v>8802</v>
      </c>
      <c r="K3876" s="26">
        <f t="shared" si="60"/>
        <v>333.33333333333331</v>
      </c>
      <c r="N3876" s="26">
        <v>500</v>
      </c>
      <c r="O3876" s="22" t="s">
        <v>2884</v>
      </c>
      <c r="P3876" s="22" t="s">
        <v>2879</v>
      </c>
      <c r="Q3876" s="22" t="s">
        <v>2880</v>
      </c>
      <c r="X3876" s="26"/>
      <c r="Y3876" s="26"/>
    </row>
    <row r="3877" spans="1:25" ht="25" x14ac:dyDescent="0.25">
      <c r="A3877" s="21">
        <v>4505</v>
      </c>
      <c r="B3877" s="22" t="s">
        <v>16584</v>
      </c>
      <c r="C3877" s="22" t="s">
        <v>2885</v>
      </c>
      <c r="F3877" s="22" t="s">
        <v>2886</v>
      </c>
      <c r="H3877" s="25" t="s">
        <v>15373</v>
      </c>
      <c r="I3877" s="22" t="s">
        <v>15411</v>
      </c>
      <c r="J3877" s="22" t="s">
        <v>2887</v>
      </c>
      <c r="K3877" s="26">
        <f t="shared" si="60"/>
        <v>1466.6666666666665</v>
      </c>
      <c r="N3877" s="26">
        <v>2200</v>
      </c>
      <c r="O3877" s="22" t="s">
        <v>2885</v>
      </c>
      <c r="P3877" s="22" t="s">
        <v>2888</v>
      </c>
      <c r="Q3877" s="22" t="s">
        <v>2889</v>
      </c>
      <c r="X3877" s="26"/>
      <c r="Y3877" s="26"/>
    </row>
    <row r="3878" spans="1:25" ht="25" x14ac:dyDescent="0.25">
      <c r="A3878" s="21">
        <v>4506</v>
      </c>
      <c r="B3878" s="22" t="s">
        <v>16584</v>
      </c>
      <c r="C3878" s="22" t="s">
        <v>2885</v>
      </c>
      <c r="F3878" s="22" t="s">
        <v>2890</v>
      </c>
      <c r="H3878" s="25" t="s">
        <v>15373</v>
      </c>
      <c r="I3878" s="22" t="s">
        <v>15411</v>
      </c>
      <c r="J3878" s="22" t="s">
        <v>2887</v>
      </c>
      <c r="K3878" s="26">
        <f t="shared" si="60"/>
        <v>1466.6666666666665</v>
      </c>
      <c r="N3878" s="26">
        <v>2200</v>
      </c>
      <c r="O3878" s="22" t="s">
        <v>2885</v>
      </c>
      <c r="P3878" s="22" t="s">
        <v>2888</v>
      </c>
      <c r="Q3878" s="22" t="s">
        <v>2889</v>
      </c>
      <c r="X3878" s="26"/>
      <c r="Y3878" s="26"/>
    </row>
    <row r="3879" spans="1:25" ht="37.5" x14ac:dyDescent="0.25">
      <c r="A3879" s="21">
        <v>4507</v>
      </c>
      <c r="B3879" s="22" t="s">
        <v>16584</v>
      </c>
      <c r="C3879" s="22" t="s">
        <v>2891</v>
      </c>
      <c r="F3879" s="22" t="s">
        <v>2892</v>
      </c>
      <c r="H3879" s="25" t="s">
        <v>15373</v>
      </c>
      <c r="I3879" s="22" t="s">
        <v>15374</v>
      </c>
      <c r="J3879" s="22" t="s">
        <v>15918</v>
      </c>
      <c r="K3879" s="26">
        <f t="shared" si="60"/>
        <v>732</v>
      </c>
      <c r="N3879" s="26">
        <v>1098</v>
      </c>
      <c r="O3879" s="22" t="s">
        <v>2893</v>
      </c>
      <c r="P3879" s="22" t="s">
        <v>2879</v>
      </c>
      <c r="Q3879" s="22">
        <v>92226</v>
      </c>
      <c r="R3879" s="22" t="s">
        <v>2894</v>
      </c>
      <c r="S3879" s="22" t="s">
        <v>2895</v>
      </c>
      <c r="X3879" s="26"/>
      <c r="Y3879" s="26"/>
    </row>
    <row r="3880" spans="1:25" ht="37.5" x14ac:dyDescent="0.25">
      <c r="A3880" s="21">
        <v>4508</v>
      </c>
      <c r="B3880" s="22" t="s">
        <v>16584</v>
      </c>
      <c r="C3880" s="22" t="s">
        <v>2891</v>
      </c>
      <c r="F3880" s="22" t="s">
        <v>2896</v>
      </c>
      <c r="H3880" s="25" t="s">
        <v>15373</v>
      </c>
      <c r="I3880" s="22" t="s">
        <v>15382</v>
      </c>
      <c r="J3880" s="22" t="s">
        <v>13380</v>
      </c>
      <c r="K3880" s="26">
        <f t="shared" si="60"/>
        <v>456.66666666666663</v>
      </c>
      <c r="N3880" s="26">
        <v>685</v>
      </c>
      <c r="O3880" s="22" t="s">
        <v>2893</v>
      </c>
      <c r="P3880" s="22" t="s">
        <v>2879</v>
      </c>
      <c r="Q3880" s="22">
        <v>92226</v>
      </c>
      <c r="R3880" s="22" t="s">
        <v>2894</v>
      </c>
      <c r="S3880" s="22" t="s">
        <v>2895</v>
      </c>
      <c r="X3880" s="26"/>
      <c r="Y3880" s="26"/>
    </row>
    <row r="3881" spans="1:25" ht="25" x14ac:dyDescent="0.25">
      <c r="A3881" s="21">
        <v>4509</v>
      </c>
      <c r="B3881" s="22" t="s">
        <v>16584</v>
      </c>
      <c r="C3881" s="22" t="s">
        <v>2897</v>
      </c>
      <c r="F3881" s="22" t="s">
        <v>2898</v>
      </c>
      <c r="H3881" s="25" t="s">
        <v>15373</v>
      </c>
      <c r="I3881" s="22" t="s">
        <v>15411</v>
      </c>
      <c r="J3881" s="22" t="s">
        <v>15542</v>
      </c>
      <c r="K3881" s="26">
        <f t="shared" si="60"/>
        <v>631.33333333333326</v>
      </c>
      <c r="N3881" s="26">
        <v>947</v>
      </c>
      <c r="O3881" s="22" t="s">
        <v>2899</v>
      </c>
      <c r="P3881" s="22" t="s">
        <v>2888</v>
      </c>
      <c r="Q3881" s="22" t="s">
        <v>2889</v>
      </c>
      <c r="X3881" s="26"/>
      <c r="Y3881" s="26"/>
    </row>
    <row r="3882" spans="1:25" ht="25" x14ac:dyDescent="0.25">
      <c r="A3882" s="21">
        <v>4510</v>
      </c>
      <c r="B3882" s="22" t="s">
        <v>16584</v>
      </c>
      <c r="C3882" s="22" t="s">
        <v>2900</v>
      </c>
      <c r="F3882" s="22" t="s">
        <v>2901</v>
      </c>
      <c r="H3882" s="25" t="s">
        <v>15373</v>
      </c>
      <c r="I3882" s="22" t="s">
        <v>15382</v>
      </c>
      <c r="J3882" s="22" t="s">
        <v>2902</v>
      </c>
      <c r="K3882" s="26">
        <f t="shared" si="60"/>
        <v>500</v>
      </c>
      <c r="N3882" s="26">
        <v>750</v>
      </c>
      <c r="O3882" s="22" t="s">
        <v>2900</v>
      </c>
      <c r="P3882" s="22" t="s">
        <v>2903</v>
      </c>
      <c r="Q3882" s="22" t="s">
        <v>2904</v>
      </c>
      <c r="X3882" s="26"/>
      <c r="Y3882" s="26"/>
    </row>
    <row r="3883" spans="1:25" x14ac:dyDescent="0.25">
      <c r="A3883" s="21">
        <v>4511</v>
      </c>
      <c r="B3883" s="22" t="s">
        <v>16584</v>
      </c>
      <c r="C3883" s="22" t="s">
        <v>2905</v>
      </c>
      <c r="F3883" s="22" t="s">
        <v>2906</v>
      </c>
      <c r="H3883" s="25" t="s">
        <v>16411</v>
      </c>
      <c r="I3883" s="22" t="s">
        <v>16160</v>
      </c>
      <c r="J3883" s="22" t="s">
        <v>2907</v>
      </c>
      <c r="K3883" s="26">
        <f t="shared" si="60"/>
        <v>592.66666666666663</v>
      </c>
      <c r="N3883" s="26">
        <v>889</v>
      </c>
      <c r="O3883" s="22" t="s">
        <v>2905</v>
      </c>
      <c r="P3883" s="22" t="s">
        <v>2908</v>
      </c>
      <c r="Q3883" s="22" t="s">
        <v>2909</v>
      </c>
      <c r="X3883" s="26"/>
      <c r="Y3883" s="26"/>
    </row>
    <row r="3884" spans="1:25" ht="25" x14ac:dyDescent="0.25">
      <c r="A3884" s="21">
        <v>4512</v>
      </c>
      <c r="B3884" s="22" t="s">
        <v>16584</v>
      </c>
      <c r="C3884" s="22" t="s">
        <v>2910</v>
      </c>
      <c r="F3884" s="22" t="s">
        <v>2911</v>
      </c>
      <c r="H3884" s="25" t="s">
        <v>15373</v>
      </c>
      <c r="I3884" s="22" t="s">
        <v>15374</v>
      </c>
      <c r="J3884" s="22" t="s">
        <v>2912</v>
      </c>
      <c r="K3884" s="26">
        <f t="shared" si="60"/>
        <v>891.33333333333326</v>
      </c>
      <c r="N3884" s="26">
        <v>1337</v>
      </c>
      <c r="O3884" s="22" t="s">
        <v>2913</v>
      </c>
      <c r="P3884" s="22" t="s">
        <v>2874</v>
      </c>
      <c r="Q3884" s="22" t="s">
        <v>2875</v>
      </c>
      <c r="X3884" s="26"/>
      <c r="Y3884" s="26"/>
    </row>
    <row r="3885" spans="1:25" ht="25" x14ac:dyDescent="0.25">
      <c r="A3885" s="21">
        <v>4513</v>
      </c>
      <c r="B3885" s="22" t="s">
        <v>16584</v>
      </c>
      <c r="C3885" s="22" t="s">
        <v>1686</v>
      </c>
      <c r="F3885" s="22" t="s">
        <v>1687</v>
      </c>
      <c r="H3885" s="25" t="s">
        <v>15373</v>
      </c>
      <c r="I3885" s="22" t="s">
        <v>15382</v>
      </c>
      <c r="J3885" s="22" t="s">
        <v>16811</v>
      </c>
      <c r="K3885" s="26">
        <f t="shared" si="60"/>
        <v>356.66666666666663</v>
      </c>
      <c r="N3885" s="26">
        <v>535</v>
      </c>
      <c r="O3885" s="22" t="s">
        <v>1686</v>
      </c>
      <c r="P3885" s="22" t="s">
        <v>1688</v>
      </c>
      <c r="Q3885" s="22" t="s">
        <v>1689</v>
      </c>
      <c r="X3885" s="26"/>
      <c r="Y3885" s="26"/>
    </row>
    <row r="3886" spans="1:25" ht="25" x14ac:dyDescent="0.25">
      <c r="A3886" s="21">
        <v>4514</v>
      </c>
      <c r="B3886" s="22" t="s">
        <v>16584</v>
      </c>
      <c r="C3886" s="22" t="s">
        <v>1690</v>
      </c>
      <c r="F3886" s="22" t="s">
        <v>1691</v>
      </c>
      <c r="H3886" s="25" t="s">
        <v>15373</v>
      </c>
      <c r="I3886" s="22" t="s">
        <v>15374</v>
      </c>
      <c r="J3886" s="22" t="s">
        <v>4979</v>
      </c>
      <c r="K3886" s="26">
        <f t="shared" si="60"/>
        <v>891.33333333333326</v>
      </c>
      <c r="N3886" s="26">
        <v>1337</v>
      </c>
      <c r="O3886" s="22" t="s">
        <v>1690</v>
      </c>
      <c r="P3886" s="22" t="s">
        <v>2874</v>
      </c>
      <c r="Q3886" s="22" t="s">
        <v>2875</v>
      </c>
      <c r="X3886" s="26"/>
      <c r="Y3886" s="26"/>
    </row>
    <row r="3887" spans="1:25" ht="25" x14ac:dyDescent="0.25">
      <c r="A3887" s="21">
        <v>4515</v>
      </c>
      <c r="B3887" s="22" t="s">
        <v>16584</v>
      </c>
      <c r="C3887" s="22" t="s">
        <v>1690</v>
      </c>
      <c r="F3887" s="22" t="s">
        <v>1692</v>
      </c>
      <c r="H3887" s="25" t="s">
        <v>15373</v>
      </c>
      <c r="I3887" s="22" t="s">
        <v>15374</v>
      </c>
      <c r="J3887" s="22" t="s">
        <v>4979</v>
      </c>
      <c r="K3887" s="26">
        <f t="shared" si="60"/>
        <v>891.33333333333326</v>
      </c>
      <c r="N3887" s="26">
        <v>1337</v>
      </c>
      <c r="O3887" s="22" t="s">
        <v>1690</v>
      </c>
      <c r="P3887" s="22" t="s">
        <v>2874</v>
      </c>
      <c r="Q3887" s="22" t="s">
        <v>2875</v>
      </c>
      <c r="X3887" s="26"/>
      <c r="Y3887" s="26"/>
    </row>
    <row r="3888" spans="1:25" x14ac:dyDescent="0.25">
      <c r="A3888" s="21">
        <v>4516</v>
      </c>
      <c r="B3888" s="22" t="s">
        <v>16584</v>
      </c>
      <c r="C3888" s="22" t="s">
        <v>1693</v>
      </c>
      <c r="F3888" s="22" t="s">
        <v>1694</v>
      </c>
      <c r="H3888" s="25" t="s">
        <v>15373</v>
      </c>
      <c r="I3888" s="22" t="s">
        <v>15374</v>
      </c>
      <c r="J3888" s="22" t="s">
        <v>1695</v>
      </c>
      <c r="K3888" s="26">
        <f t="shared" si="60"/>
        <v>737.33333333333326</v>
      </c>
      <c r="N3888" s="26">
        <v>1106</v>
      </c>
      <c r="O3888" s="22" t="s">
        <v>1696</v>
      </c>
      <c r="P3888" s="22" t="s">
        <v>2903</v>
      </c>
      <c r="Q3888" s="22" t="s">
        <v>2904</v>
      </c>
      <c r="X3888" s="26"/>
      <c r="Y3888" s="26"/>
    </row>
    <row r="3889" spans="1:25" ht="25" x14ac:dyDescent="0.25">
      <c r="A3889" s="21">
        <v>4517</v>
      </c>
      <c r="B3889" s="22" t="s">
        <v>16584</v>
      </c>
      <c r="C3889" s="22" t="s">
        <v>1697</v>
      </c>
      <c r="F3889" s="22" t="s">
        <v>1698</v>
      </c>
      <c r="H3889" s="25" t="s">
        <v>15373</v>
      </c>
      <c r="I3889" s="22" t="s">
        <v>15374</v>
      </c>
      <c r="J3889" s="22" t="s">
        <v>10290</v>
      </c>
      <c r="K3889" s="26">
        <f t="shared" si="60"/>
        <v>600</v>
      </c>
      <c r="N3889" s="26">
        <v>900</v>
      </c>
      <c r="O3889" s="22" t="s">
        <v>1699</v>
      </c>
      <c r="P3889" s="22" t="s">
        <v>1700</v>
      </c>
      <c r="Q3889" s="22" t="s">
        <v>1701</v>
      </c>
      <c r="X3889" s="26"/>
      <c r="Y3889" s="26"/>
    </row>
    <row r="3890" spans="1:25" x14ac:dyDescent="0.25">
      <c r="A3890" s="21">
        <v>4518</v>
      </c>
      <c r="B3890" s="22" t="s">
        <v>16584</v>
      </c>
      <c r="C3890" s="22" t="s">
        <v>1702</v>
      </c>
      <c r="F3890" s="22" t="s">
        <v>1703</v>
      </c>
      <c r="H3890" s="25" t="s">
        <v>15373</v>
      </c>
      <c r="I3890" s="22" t="s">
        <v>1704</v>
      </c>
      <c r="J3890" s="22" t="s">
        <v>1705</v>
      </c>
      <c r="K3890" s="26">
        <f t="shared" si="60"/>
        <v>730</v>
      </c>
      <c r="N3890" s="26">
        <v>1095</v>
      </c>
      <c r="O3890" s="22" t="s">
        <v>1706</v>
      </c>
      <c r="P3890" s="22" t="s">
        <v>1707</v>
      </c>
      <c r="Q3890" s="22" t="s">
        <v>1708</v>
      </c>
      <c r="X3890" s="26"/>
      <c r="Y3890" s="26"/>
    </row>
    <row r="3891" spans="1:25" x14ac:dyDescent="0.25">
      <c r="A3891" s="21">
        <v>4519</v>
      </c>
      <c r="B3891" s="22" t="s">
        <v>16584</v>
      </c>
      <c r="C3891" s="22" t="s">
        <v>1702</v>
      </c>
      <c r="F3891" s="22" t="s">
        <v>1709</v>
      </c>
      <c r="H3891" s="25" t="s">
        <v>15373</v>
      </c>
      <c r="I3891" s="22" t="s">
        <v>1704</v>
      </c>
      <c r="J3891" s="22" t="s">
        <v>1705</v>
      </c>
      <c r="K3891" s="26">
        <f t="shared" si="60"/>
        <v>730</v>
      </c>
      <c r="N3891" s="26">
        <v>1095</v>
      </c>
      <c r="O3891" s="22" t="s">
        <v>1706</v>
      </c>
      <c r="P3891" s="22" t="s">
        <v>1707</v>
      </c>
      <c r="Q3891" s="22" t="s">
        <v>1708</v>
      </c>
      <c r="X3891" s="26"/>
      <c r="Y3891" s="26"/>
    </row>
    <row r="3892" spans="1:25" x14ac:dyDescent="0.25">
      <c r="A3892" s="21">
        <v>4520</v>
      </c>
      <c r="B3892" s="22" t="s">
        <v>16584</v>
      </c>
      <c r="C3892" s="22" t="s">
        <v>1702</v>
      </c>
      <c r="F3892" s="22" t="s">
        <v>1710</v>
      </c>
      <c r="H3892" s="25" t="s">
        <v>15373</v>
      </c>
      <c r="I3892" s="22" t="s">
        <v>4670</v>
      </c>
      <c r="J3892" s="22" t="s">
        <v>1711</v>
      </c>
      <c r="K3892" s="26">
        <f t="shared" si="60"/>
        <v>600</v>
      </c>
      <c r="N3892" s="26">
        <v>900</v>
      </c>
      <c r="O3892" s="22" t="s">
        <v>1706</v>
      </c>
      <c r="P3892" s="22" t="s">
        <v>1707</v>
      </c>
      <c r="Q3892" s="22" t="s">
        <v>1708</v>
      </c>
      <c r="X3892" s="26"/>
      <c r="Y3892" s="26"/>
    </row>
    <row r="3893" spans="1:25" x14ac:dyDescent="0.25">
      <c r="A3893" s="21">
        <v>4521</v>
      </c>
      <c r="B3893" s="22" t="s">
        <v>16584</v>
      </c>
      <c r="C3893" s="22" t="s">
        <v>1702</v>
      </c>
      <c r="F3893" s="22" t="s">
        <v>1712</v>
      </c>
      <c r="H3893" s="25" t="s">
        <v>15373</v>
      </c>
      <c r="I3893" s="22" t="s">
        <v>4670</v>
      </c>
      <c r="J3893" s="22" t="s">
        <v>1711</v>
      </c>
      <c r="K3893" s="26">
        <f t="shared" ref="K3893:K3956" si="61">L3893+M3893*(2/3)+N3893*(2/3)</f>
        <v>600</v>
      </c>
      <c r="N3893" s="26">
        <v>900</v>
      </c>
      <c r="O3893" s="22" t="s">
        <v>1706</v>
      </c>
      <c r="P3893" s="22" t="s">
        <v>1707</v>
      </c>
      <c r="Q3893" s="22" t="s">
        <v>1708</v>
      </c>
      <c r="X3893" s="26"/>
      <c r="Y3893" s="26"/>
    </row>
    <row r="3894" spans="1:25" ht="25" x14ac:dyDescent="0.25">
      <c r="A3894" s="21">
        <v>4522</v>
      </c>
      <c r="B3894" s="22" t="s">
        <v>16584</v>
      </c>
      <c r="C3894" s="22" t="s">
        <v>1713</v>
      </c>
      <c r="F3894" s="22" t="s">
        <v>1714</v>
      </c>
      <c r="H3894" s="25" t="s">
        <v>15373</v>
      </c>
      <c r="I3894" s="22" t="s">
        <v>15411</v>
      </c>
      <c r="J3894" s="22" t="s">
        <v>1715</v>
      </c>
      <c r="K3894" s="26">
        <f t="shared" si="61"/>
        <v>441.33333333333331</v>
      </c>
      <c r="N3894" s="26">
        <v>662</v>
      </c>
      <c r="O3894" s="22" t="s">
        <v>1716</v>
      </c>
      <c r="P3894" s="22" t="s">
        <v>2870</v>
      </c>
      <c r="Q3894" s="22" t="s">
        <v>2871</v>
      </c>
      <c r="X3894" s="26"/>
      <c r="Y3894" s="26"/>
    </row>
    <row r="3895" spans="1:25" ht="25" x14ac:dyDescent="0.25">
      <c r="A3895" s="21">
        <v>4523</v>
      </c>
      <c r="B3895" s="22" t="s">
        <v>16584</v>
      </c>
      <c r="C3895" s="22" t="s">
        <v>1717</v>
      </c>
      <c r="F3895" s="22" t="s">
        <v>1718</v>
      </c>
      <c r="H3895" s="25" t="s">
        <v>15373</v>
      </c>
      <c r="I3895" s="22" t="s">
        <v>15374</v>
      </c>
      <c r="J3895" s="22" t="s">
        <v>10290</v>
      </c>
      <c r="K3895" s="26">
        <f t="shared" si="61"/>
        <v>452.66666666666663</v>
      </c>
      <c r="N3895" s="26">
        <v>679</v>
      </c>
      <c r="O3895" s="22" t="s">
        <v>1719</v>
      </c>
      <c r="P3895" s="22" t="s">
        <v>1720</v>
      </c>
      <c r="Q3895" s="22" t="s">
        <v>1721</v>
      </c>
      <c r="X3895" s="26"/>
      <c r="Y3895" s="26"/>
    </row>
    <row r="3896" spans="1:25" x14ac:dyDescent="0.25">
      <c r="A3896" s="21">
        <v>4524</v>
      </c>
      <c r="B3896" s="22" t="s">
        <v>16584</v>
      </c>
      <c r="C3896" s="22" t="s">
        <v>1722</v>
      </c>
      <c r="F3896" s="22" t="s">
        <v>1723</v>
      </c>
      <c r="H3896" s="25" t="s">
        <v>15373</v>
      </c>
      <c r="I3896" s="22" t="s">
        <v>15374</v>
      </c>
      <c r="J3896" s="22" t="s">
        <v>1724</v>
      </c>
      <c r="K3896" s="26">
        <f t="shared" si="61"/>
        <v>593.33333333333326</v>
      </c>
      <c r="N3896" s="26">
        <v>890</v>
      </c>
      <c r="O3896" s="22" t="s">
        <v>1725</v>
      </c>
      <c r="P3896" s="22" t="s">
        <v>1726</v>
      </c>
      <c r="Q3896" s="22" t="s">
        <v>1727</v>
      </c>
      <c r="X3896" s="26"/>
      <c r="Y3896" s="26"/>
    </row>
    <row r="3897" spans="1:25" x14ac:dyDescent="0.25">
      <c r="A3897" s="21">
        <v>4525</v>
      </c>
      <c r="B3897" s="22" t="s">
        <v>16584</v>
      </c>
      <c r="C3897" s="22" t="s">
        <v>1722</v>
      </c>
      <c r="F3897" s="22" t="s">
        <v>1728</v>
      </c>
      <c r="H3897" s="25" t="s">
        <v>15373</v>
      </c>
      <c r="I3897" s="22" t="s">
        <v>15374</v>
      </c>
      <c r="J3897" s="22" t="s">
        <v>1724</v>
      </c>
      <c r="K3897" s="26">
        <f t="shared" si="61"/>
        <v>593.33333333333326</v>
      </c>
      <c r="N3897" s="26">
        <v>890</v>
      </c>
      <c r="O3897" s="22" t="s">
        <v>1725</v>
      </c>
      <c r="P3897" s="22" t="s">
        <v>1726</v>
      </c>
      <c r="Q3897" s="22" t="s">
        <v>1727</v>
      </c>
      <c r="X3897" s="26"/>
      <c r="Y3897" s="26"/>
    </row>
    <row r="3898" spans="1:25" x14ac:dyDescent="0.25">
      <c r="A3898" s="21">
        <v>4526</v>
      </c>
      <c r="B3898" s="22" t="s">
        <v>16584</v>
      </c>
      <c r="C3898" s="22" t="s">
        <v>1729</v>
      </c>
      <c r="F3898" s="22" t="s">
        <v>1730</v>
      </c>
      <c r="H3898" s="25" t="s">
        <v>15373</v>
      </c>
      <c r="I3898" s="22" t="s">
        <v>15382</v>
      </c>
      <c r="J3898" s="22" t="s">
        <v>1731</v>
      </c>
      <c r="K3898" s="26">
        <f t="shared" si="61"/>
        <v>993.33333333333326</v>
      </c>
      <c r="N3898" s="26">
        <v>1490</v>
      </c>
      <c r="O3898" s="22" t="s">
        <v>1732</v>
      </c>
      <c r="P3898" s="22" t="s">
        <v>1733</v>
      </c>
      <c r="Q3898" s="22" t="s">
        <v>1734</v>
      </c>
      <c r="X3898" s="26"/>
      <c r="Y3898" s="26"/>
    </row>
    <row r="3899" spans="1:25" x14ac:dyDescent="0.25">
      <c r="A3899" s="21">
        <v>4527</v>
      </c>
      <c r="B3899" s="22" t="s">
        <v>16584</v>
      </c>
      <c r="C3899" s="22" t="s">
        <v>1729</v>
      </c>
      <c r="F3899" s="22" t="s">
        <v>1735</v>
      </c>
      <c r="H3899" s="25" t="s">
        <v>15373</v>
      </c>
      <c r="I3899" s="22" t="s">
        <v>15374</v>
      </c>
      <c r="J3899" s="22" t="s">
        <v>8802</v>
      </c>
      <c r="K3899" s="26">
        <f t="shared" si="61"/>
        <v>337.33333333333331</v>
      </c>
      <c r="N3899" s="26">
        <v>506</v>
      </c>
      <c r="O3899" s="22" t="s">
        <v>1732</v>
      </c>
      <c r="P3899" s="22" t="s">
        <v>1733</v>
      </c>
      <c r="Q3899" s="22" t="s">
        <v>1734</v>
      </c>
      <c r="X3899" s="26"/>
      <c r="Y3899" s="26"/>
    </row>
    <row r="3900" spans="1:25" ht="25" x14ac:dyDescent="0.25">
      <c r="A3900" s="21">
        <v>4528</v>
      </c>
      <c r="B3900" s="22" t="s">
        <v>16584</v>
      </c>
      <c r="C3900" s="22" t="s">
        <v>1736</v>
      </c>
      <c r="F3900" s="22" t="s">
        <v>1737</v>
      </c>
      <c r="H3900" s="25" t="s">
        <v>15373</v>
      </c>
      <c r="I3900" s="22" t="s">
        <v>15374</v>
      </c>
      <c r="J3900" s="22" t="s">
        <v>16360</v>
      </c>
      <c r="K3900" s="26">
        <f t="shared" si="61"/>
        <v>573.33333333333326</v>
      </c>
      <c r="N3900" s="26">
        <v>860</v>
      </c>
      <c r="O3900" s="22" t="s">
        <v>1738</v>
      </c>
      <c r="P3900" s="22" t="s">
        <v>1739</v>
      </c>
      <c r="Q3900" s="22" t="s">
        <v>1740</v>
      </c>
      <c r="X3900" s="26"/>
      <c r="Y3900" s="26"/>
    </row>
    <row r="3901" spans="1:25" ht="25" x14ac:dyDescent="0.25">
      <c r="A3901" s="21">
        <v>4529</v>
      </c>
      <c r="B3901" s="22" t="s">
        <v>16584</v>
      </c>
      <c r="C3901" s="22" t="s">
        <v>1741</v>
      </c>
      <c r="F3901" s="22" t="s">
        <v>1742</v>
      </c>
      <c r="H3901" s="25" t="s">
        <v>15373</v>
      </c>
      <c r="I3901" s="22" t="s">
        <v>15374</v>
      </c>
      <c r="J3901" s="22" t="s">
        <v>10290</v>
      </c>
      <c r="K3901" s="26">
        <f t="shared" si="61"/>
        <v>446.66666666666663</v>
      </c>
      <c r="N3901" s="26">
        <v>670</v>
      </c>
      <c r="O3901" s="22" t="s">
        <v>1743</v>
      </c>
      <c r="P3901" s="22" t="s">
        <v>2888</v>
      </c>
      <c r="Q3901" s="22" t="s">
        <v>2889</v>
      </c>
      <c r="X3901" s="26"/>
      <c r="Y3901" s="26"/>
    </row>
    <row r="3902" spans="1:25" ht="25" x14ac:dyDescent="0.25">
      <c r="A3902" s="21">
        <v>4530</v>
      </c>
      <c r="B3902" s="22" t="s">
        <v>16584</v>
      </c>
      <c r="C3902" s="22" t="s">
        <v>1741</v>
      </c>
      <c r="F3902" s="22" t="s">
        <v>1744</v>
      </c>
      <c r="H3902" s="25" t="s">
        <v>15373</v>
      </c>
      <c r="I3902" s="22" t="s">
        <v>15374</v>
      </c>
      <c r="J3902" s="22" t="s">
        <v>9626</v>
      </c>
      <c r="K3902" s="26">
        <f t="shared" si="61"/>
        <v>402.66666666666663</v>
      </c>
      <c r="N3902" s="26">
        <v>604</v>
      </c>
      <c r="O3902" s="22" t="s">
        <v>1743</v>
      </c>
      <c r="P3902" s="22" t="s">
        <v>2888</v>
      </c>
      <c r="Q3902" s="22" t="s">
        <v>2889</v>
      </c>
      <c r="X3902" s="26"/>
      <c r="Y3902" s="26"/>
    </row>
    <row r="3903" spans="1:25" ht="25" x14ac:dyDescent="0.25">
      <c r="A3903" s="21">
        <v>4531</v>
      </c>
      <c r="B3903" s="22" t="s">
        <v>16584</v>
      </c>
      <c r="C3903" s="22" t="s">
        <v>1741</v>
      </c>
      <c r="F3903" s="22" t="s">
        <v>1745</v>
      </c>
      <c r="H3903" s="25" t="s">
        <v>15373</v>
      </c>
      <c r="I3903" s="22" t="s">
        <v>15382</v>
      </c>
      <c r="J3903" s="22" t="s">
        <v>1746</v>
      </c>
      <c r="K3903" s="26">
        <f t="shared" si="61"/>
        <v>310</v>
      </c>
      <c r="N3903" s="26">
        <v>465</v>
      </c>
      <c r="O3903" s="22" t="s">
        <v>1743</v>
      </c>
      <c r="P3903" s="22" t="s">
        <v>2888</v>
      </c>
      <c r="Q3903" s="22" t="s">
        <v>2889</v>
      </c>
      <c r="X3903" s="26"/>
      <c r="Y3903" s="26"/>
    </row>
    <row r="3904" spans="1:25" ht="25" x14ac:dyDescent="0.25">
      <c r="A3904" s="21">
        <v>4532</v>
      </c>
      <c r="B3904" s="22" t="s">
        <v>16584</v>
      </c>
      <c r="C3904" s="22" t="s">
        <v>1747</v>
      </c>
      <c r="F3904" s="22" t="s">
        <v>1748</v>
      </c>
      <c r="H3904" s="25" t="s">
        <v>15373</v>
      </c>
      <c r="I3904" s="22" t="s">
        <v>15374</v>
      </c>
      <c r="J3904" s="22" t="s">
        <v>1749</v>
      </c>
      <c r="K3904" s="26">
        <f t="shared" si="61"/>
        <v>540</v>
      </c>
      <c r="N3904" s="26">
        <v>810</v>
      </c>
      <c r="O3904" s="22" t="s">
        <v>1747</v>
      </c>
      <c r="P3904" s="22" t="s">
        <v>2874</v>
      </c>
      <c r="Q3904" s="22" t="s">
        <v>2875</v>
      </c>
      <c r="X3904" s="26"/>
      <c r="Y3904" s="26"/>
    </row>
    <row r="3905" spans="1:25" ht="25" x14ac:dyDescent="0.25">
      <c r="A3905" s="21">
        <v>4533</v>
      </c>
      <c r="B3905" s="22" t="s">
        <v>16584</v>
      </c>
      <c r="C3905" s="22" t="s">
        <v>1747</v>
      </c>
      <c r="F3905" s="22" t="s">
        <v>1750</v>
      </c>
      <c r="H3905" s="25" t="s">
        <v>15373</v>
      </c>
      <c r="I3905" s="22" t="s">
        <v>15374</v>
      </c>
      <c r="J3905" s="22" t="s">
        <v>1749</v>
      </c>
      <c r="K3905" s="26">
        <f t="shared" si="61"/>
        <v>540</v>
      </c>
      <c r="N3905" s="26">
        <v>810</v>
      </c>
      <c r="O3905" s="22" t="s">
        <v>1747</v>
      </c>
      <c r="P3905" s="22" t="s">
        <v>2874</v>
      </c>
      <c r="Q3905" s="22" t="s">
        <v>2875</v>
      </c>
      <c r="X3905" s="26"/>
      <c r="Y3905" s="26"/>
    </row>
    <row r="3906" spans="1:25" x14ac:dyDescent="0.25">
      <c r="A3906" s="21">
        <v>4534</v>
      </c>
      <c r="B3906" s="22" t="s">
        <v>16584</v>
      </c>
      <c r="C3906" s="22" t="s">
        <v>1751</v>
      </c>
      <c r="F3906" s="22" t="s">
        <v>1752</v>
      </c>
      <c r="H3906" s="25" t="s">
        <v>15373</v>
      </c>
      <c r="I3906" s="22" t="s">
        <v>4670</v>
      </c>
      <c r="J3906" s="22" t="s">
        <v>1753</v>
      </c>
      <c r="K3906" s="26">
        <f t="shared" si="61"/>
        <v>600</v>
      </c>
      <c r="N3906" s="26">
        <v>900</v>
      </c>
      <c r="O3906" s="22" t="s">
        <v>1754</v>
      </c>
      <c r="P3906" s="22" t="s">
        <v>1755</v>
      </c>
      <c r="Q3906" s="22" t="s">
        <v>1756</v>
      </c>
      <c r="X3906" s="26"/>
      <c r="Y3906" s="26"/>
    </row>
    <row r="3907" spans="1:25" ht="25" x14ac:dyDescent="0.25">
      <c r="A3907" s="21">
        <v>4535</v>
      </c>
      <c r="B3907" s="22" t="s">
        <v>16584</v>
      </c>
      <c r="C3907" s="22" t="s">
        <v>1757</v>
      </c>
      <c r="F3907" s="22" t="s">
        <v>1758</v>
      </c>
      <c r="H3907" s="25" t="s">
        <v>15373</v>
      </c>
      <c r="I3907" s="22" t="s">
        <v>15411</v>
      </c>
      <c r="J3907" s="22" t="s">
        <v>1759</v>
      </c>
      <c r="K3907" s="26">
        <f t="shared" si="61"/>
        <v>606.66666666666663</v>
      </c>
      <c r="N3907" s="26">
        <v>910</v>
      </c>
      <c r="O3907" s="22" t="s">
        <v>1760</v>
      </c>
      <c r="P3907" s="22" t="s">
        <v>1761</v>
      </c>
      <c r="Q3907" s="22" t="s">
        <v>1762</v>
      </c>
      <c r="X3907" s="26"/>
      <c r="Y3907" s="26"/>
    </row>
    <row r="3908" spans="1:25" ht="25" x14ac:dyDescent="0.25">
      <c r="A3908" s="21">
        <v>4536</v>
      </c>
      <c r="B3908" s="22" t="s">
        <v>16584</v>
      </c>
      <c r="C3908" s="22" t="s">
        <v>1763</v>
      </c>
      <c r="F3908" s="22" t="s">
        <v>1764</v>
      </c>
      <c r="H3908" s="25" t="s">
        <v>15373</v>
      </c>
      <c r="I3908" s="22" t="s">
        <v>15374</v>
      </c>
      <c r="J3908" s="22" t="s">
        <v>16856</v>
      </c>
      <c r="K3908" s="26">
        <f t="shared" si="61"/>
        <v>800</v>
      </c>
      <c r="N3908" s="26">
        <v>1200</v>
      </c>
      <c r="O3908" s="22" t="s">
        <v>1765</v>
      </c>
      <c r="P3908" s="22" t="s">
        <v>1739</v>
      </c>
      <c r="Q3908" s="22" t="s">
        <v>1740</v>
      </c>
      <c r="X3908" s="26"/>
      <c r="Y3908" s="26"/>
    </row>
    <row r="3909" spans="1:25" ht="25" x14ac:dyDescent="0.25">
      <c r="A3909" s="21">
        <v>4537</v>
      </c>
      <c r="B3909" s="22" t="s">
        <v>16584</v>
      </c>
      <c r="C3909" s="22" t="s">
        <v>1763</v>
      </c>
      <c r="F3909" s="22" t="s">
        <v>1766</v>
      </c>
      <c r="H3909" s="25" t="s">
        <v>15373</v>
      </c>
      <c r="I3909" s="22" t="s">
        <v>15382</v>
      </c>
      <c r="J3909" s="22" t="s">
        <v>14642</v>
      </c>
      <c r="K3909" s="26">
        <f t="shared" si="61"/>
        <v>600</v>
      </c>
      <c r="N3909" s="26">
        <v>900</v>
      </c>
      <c r="O3909" s="22" t="s">
        <v>1765</v>
      </c>
      <c r="P3909" s="22" t="s">
        <v>1739</v>
      </c>
      <c r="Q3909" s="22" t="s">
        <v>1740</v>
      </c>
      <c r="X3909" s="26"/>
      <c r="Y3909" s="26"/>
    </row>
    <row r="3910" spans="1:25" ht="25" x14ac:dyDescent="0.25">
      <c r="A3910" s="21">
        <v>4538</v>
      </c>
      <c r="B3910" s="22" t="s">
        <v>16584</v>
      </c>
      <c r="C3910" s="22" t="s">
        <v>1763</v>
      </c>
      <c r="F3910" s="22" t="s">
        <v>1767</v>
      </c>
      <c r="H3910" s="25" t="s">
        <v>15373</v>
      </c>
      <c r="I3910" s="22" t="s">
        <v>15374</v>
      </c>
      <c r="J3910" s="22" t="s">
        <v>10290</v>
      </c>
      <c r="K3910" s="26">
        <f t="shared" si="61"/>
        <v>593.33333333333326</v>
      </c>
      <c r="N3910" s="26">
        <v>890</v>
      </c>
      <c r="O3910" s="22" t="s">
        <v>1765</v>
      </c>
      <c r="P3910" s="22" t="s">
        <v>1739</v>
      </c>
      <c r="Q3910" s="22" t="s">
        <v>1740</v>
      </c>
      <c r="X3910" s="26"/>
      <c r="Y3910" s="26"/>
    </row>
    <row r="3911" spans="1:25" ht="25" x14ac:dyDescent="0.25">
      <c r="A3911" s="21">
        <v>4539</v>
      </c>
      <c r="B3911" s="22" t="s">
        <v>16584</v>
      </c>
      <c r="C3911" s="22" t="s">
        <v>1763</v>
      </c>
      <c r="F3911" s="22" t="s">
        <v>1768</v>
      </c>
      <c r="H3911" s="25" t="s">
        <v>15373</v>
      </c>
      <c r="I3911" s="22" t="s">
        <v>15374</v>
      </c>
      <c r="J3911" s="22" t="s">
        <v>10290</v>
      </c>
      <c r="K3911" s="26">
        <f t="shared" si="61"/>
        <v>499.33333333333331</v>
      </c>
      <c r="N3911" s="26">
        <v>749</v>
      </c>
      <c r="O3911" s="22" t="s">
        <v>1765</v>
      </c>
      <c r="P3911" s="22" t="s">
        <v>1739</v>
      </c>
      <c r="Q3911" s="22" t="s">
        <v>1740</v>
      </c>
      <c r="X3911" s="26"/>
      <c r="Y3911" s="26"/>
    </row>
    <row r="3912" spans="1:25" ht="25" x14ac:dyDescent="0.25">
      <c r="A3912" s="21">
        <v>4540</v>
      </c>
      <c r="B3912" s="22" t="s">
        <v>16584</v>
      </c>
      <c r="C3912" s="22" t="s">
        <v>1763</v>
      </c>
      <c r="F3912" s="22" t="s">
        <v>1769</v>
      </c>
      <c r="H3912" s="25" t="s">
        <v>15373</v>
      </c>
      <c r="I3912" s="22" t="s">
        <v>15374</v>
      </c>
      <c r="J3912" s="22" t="s">
        <v>10290</v>
      </c>
      <c r="K3912" s="26">
        <f t="shared" si="61"/>
        <v>499.33333333333331</v>
      </c>
      <c r="N3912" s="26">
        <v>749</v>
      </c>
      <c r="O3912" s="22" t="s">
        <v>1765</v>
      </c>
      <c r="P3912" s="22" t="s">
        <v>1739</v>
      </c>
      <c r="Q3912" s="22" t="s">
        <v>1740</v>
      </c>
      <c r="X3912" s="26"/>
      <c r="Y3912" s="26"/>
    </row>
    <row r="3913" spans="1:25" ht="25" x14ac:dyDescent="0.25">
      <c r="A3913" s="21">
        <v>4541</v>
      </c>
      <c r="B3913" s="22" t="s">
        <v>16584</v>
      </c>
      <c r="C3913" s="22" t="s">
        <v>1763</v>
      </c>
      <c r="F3913" s="22" t="s">
        <v>1770</v>
      </c>
      <c r="H3913" s="25" t="s">
        <v>15373</v>
      </c>
      <c r="I3913" s="22" t="s">
        <v>15668</v>
      </c>
      <c r="J3913" s="22" t="s">
        <v>16311</v>
      </c>
      <c r="K3913" s="26">
        <f t="shared" si="61"/>
        <v>466.66666666666663</v>
      </c>
      <c r="N3913" s="26">
        <v>700</v>
      </c>
      <c r="O3913" s="22" t="s">
        <v>1765</v>
      </c>
      <c r="P3913" s="22" t="s">
        <v>1739</v>
      </c>
      <c r="Q3913" s="22" t="s">
        <v>1740</v>
      </c>
      <c r="X3913" s="26"/>
      <c r="Y3913" s="26"/>
    </row>
    <row r="3914" spans="1:25" ht="25" x14ac:dyDescent="0.25">
      <c r="A3914" s="21">
        <v>4542</v>
      </c>
      <c r="B3914" s="22" t="s">
        <v>16584</v>
      </c>
      <c r="C3914" s="22" t="s">
        <v>1763</v>
      </c>
      <c r="F3914" s="22" t="s">
        <v>1771</v>
      </c>
      <c r="H3914" s="25" t="s">
        <v>15373</v>
      </c>
      <c r="I3914" s="22" t="s">
        <v>15374</v>
      </c>
      <c r="J3914" s="22" t="s">
        <v>8802</v>
      </c>
      <c r="K3914" s="26">
        <f t="shared" si="61"/>
        <v>391.33333333333331</v>
      </c>
      <c r="N3914" s="26">
        <v>587</v>
      </c>
      <c r="O3914" s="22" t="s">
        <v>1765</v>
      </c>
      <c r="P3914" s="22" t="s">
        <v>1739</v>
      </c>
      <c r="Q3914" s="22" t="s">
        <v>1740</v>
      </c>
      <c r="X3914" s="26"/>
      <c r="Y3914" s="26"/>
    </row>
    <row r="3915" spans="1:25" ht="25" x14ac:dyDescent="0.25">
      <c r="A3915" s="21">
        <v>4543</v>
      </c>
      <c r="B3915" s="22" t="s">
        <v>16584</v>
      </c>
      <c r="C3915" s="22" t="s">
        <v>1763</v>
      </c>
      <c r="F3915" s="22" t="s">
        <v>1772</v>
      </c>
      <c r="H3915" s="25" t="s">
        <v>15373</v>
      </c>
      <c r="I3915" s="22" t="s">
        <v>15411</v>
      </c>
      <c r="J3915" s="22" t="s">
        <v>1773</v>
      </c>
      <c r="K3915" s="26">
        <f t="shared" si="61"/>
        <v>378.66666666666663</v>
      </c>
      <c r="N3915" s="26">
        <v>568</v>
      </c>
      <c r="O3915" s="22" t="s">
        <v>1765</v>
      </c>
      <c r="P3915" s="22" t="s">
        <v>1739</v>
      </c>
      <c r="Q3915" s="22" t="s">
        <v>1740</v>
      </c>
      <c r="X3915" s="26"/>
      <c r="Y3915" s="26"/>
    </row>
    <row r="3916" spans="1:25" ht="25" x14ac:dyDescent="0.25">
      <c r="A3916" s="21">
        <v>4544</v>
      </c>
      <c r="B3916" s="22" t="s">
        <v>16584</v>
      </c>
      <c r="C3916" s="22" t="s">
        <v>1763</v>
      </c>
      <c r="F3916" s="22" t="s">
        <v>1774</v>
      </c>
      <c r="H3916" s="25" t="s">
        <v>15373</v>
      </c>
      <c r="I3916" s="22" t="s">
        <v>1775</v>
      </c>
      <c r="J3916" s="22" t="s">
        <v>1776</v>
      </c>
      <c r="K3916" s="26">
        <f t="shared" si="61"/>
        <v>375.33333333333331</v>
      </c>
      <c r="N3916" s="26">
        <v>563</v>
      </c>
      <c r="O3916" s="22" t="s">
        <v>1765</v>
      </c>
      <c r="P3916" s="22" t="s">
        <v>1739</v>
      </c>
      <c r="Q3916" s="22" t="s">
        <v>1740</v>
      </c>
      <c r="X3916" s="26"/>
      <c r="Y3916" s="26"/>
    </row>
    <row r="3917" spans="1:25" ht="25" x14ac:dyDescent="0.25">
      <c r="A3917" s="21">
        <v>4545</v>
      </c>
      <c r="B3917" s="22" t="s">
        <v>16584</v>
      </c>
      <c r="C3917" s="22" t="s">
        <v>1763</v>
      </c>
      <c r="F3917" s="22" t="s">
        <v>1777</v>
      </c>
      <c r="H3917" s="25" t="s">
        <v>15373</v>
      </c>
      <c r="I3917" s="22" t="s">
        <v>15374</v>
      </c>
      <c r="J3917" s="22" t="s">
        <v>8802</v>
      </c>
      <c r="K3917" s="26">
        <f t="shared" si="61"/>
        <v>346</v>
      </c>
      <c r="N3917" s="26">
        <v>519</v>
      </c>
      <c r="O3917" s="22" t="s">
        <v>1765</v>
      </c>
      <c r="P3917" s="22" t="s">
        <v>1739</v>
      </c>
      <c r="Q3917" s="22" t="s">
        <v>1740</v>
      </c>
      <c r="X3917" s="26"/>
      <c r="Y3917" s="26"/>
    </row>
    <row r="3918" spans="1:25" ht="25" x14ac:dyDescent="0.25">
      <c r="A3918" s="21">
        <v>4546</v>
      </c>
      <c r="B3918" s="22" t="s">
        <v>16584</v>
      </c>
      <c r="C3918" s="22" t="s">
        <v>1763</v>
      </c>
      <c r="F3918" s="22" t="s">
        <v>1778</v>
      </c>
      <c r="H3918" s="25" t="s">
        <v>15373</v>
      </c>
      <c r="I3918" s="22" t="s">
        <v>15374</v>
      </c>
      <c r="J3918" s="22" t="s">
        <v>8802</v>
      </c>
      <c r="K3918" s="26">
        <f t="shared" si="61"/>
        <v>346</v>
      </c>
      <c r="N3918" s="26">
        <v>519</v>
      </c>
      <c r="O3918" s="22" t="s">
        <v>1765</v>
      </c>
      <c r="P3918" s="22" t="s">
        <v>1739</v>
      </c>
      <c r="Q3918" s="22" t="s">
        <v>1740</v>
      </c>
      <c r="X3918" s="26"/>
      <c r="Y3918" s="26"/>
    </row>
    <row r="3919" spans="1:25" ht="25" x14ac:dyDescent="0.25">
      <c r="A3919" s="21">
        <v>4547</v>
      </c>
      <c r="B3919" s="22" t="s">
        <v>16584</v>
      </c>
      <c r="C3919" s="22" t="s">
        <v>1763</v>
      </c>
      <c r="F3919" s="22" t="s">
        <v>1779</v>
      </c>
      <c r="H3919" s="25" t="s">
        <v>15373</v>
      </c>
      <c r="I3919" s="22" t="s">
        <v>15374</v>
      </c>
      <c r="J3919" s="22" t="s">
        <v>8802</v>
      </c>
      <c r="K3919" s="26">
        <f t="shared" si="61"/>
        <v>346</v>
      </c>
      <c r="N3919" s="26">
        <v>519</v>
      </c>
      <c r="O3919" s="22" t="s">
        <v>1765</v>
      </c>
      <c r="P3919" s="22" t="s">
        <v>1739</v>
      </c>
      <c r="Q3919" s="22" t="s">
        <v>1740</v>
      </c>
      <c r="X3919" s="26"/>
      <c r="Y3919" s="26"/>
    </row>
    <row r="3920" spans="1:25" ht="25" x14ac:dyDescent="0.25">
      <c r="A3920" s="21">
        <v>4548</v>
      </c>
      <c r="B3920" s="22" t="s">
        <v>16584</v>
      </c>
      <c r="C3920" s="22" t="s">
        <v>1780</v>
      </c>
      <c r="F3920" s="22" t="s">
        <v>1781</v>
      </c>
      <c r="H3920" s="25" t="s">
        <v>15373</v>
      </c>
      <c r="I3920" s="22" t="s">
        <v>15382</v>
      </c>
      <c r="J3920" s="22" t="s">
        <v>16792</v>
      </c>
      <c r="K3920" s="26">
        <f t="shared" si="61"/>
        <v>356.66666666666663</v>
      </c>
      <c r="N3920" s="26">
        <v>535</v>
      </c>
      <c r="O3920" s="22" t="s">
        <v>1782</v>
      </c>
      <c r="P3920" s="22" t="s">
        <v>1761</v>
      </c>
      <c r="Q3920" s="22" t="s">
        <v>1762</v>
      </c>
      <c r="X3920" s="26"/>
      <c r="Y3920" s="26"/>
    </row>
    <row r="3921" spans="1:25" ht="25" x14ac:dyDescent="0.25">
      <c r="A3921" s="21">
        <v>4549</v>
      </c>
      <c r="B3921" s="22" t="s">
        <v>16584</v>
      </c>
      <c r="C3921" s="22" t="s">
        <v>1780</v>
      </c>
      <c r="F3921" s="22" t="s">
        <v>1783</v>
      </c>
      <c r="H3921" s="25" t="s">
        <v>15373</v>
      </c>
      <c r="I3921" s="22" t="s">
        <v>15382</v>
      </c>
      <c r="J3921" s="22" t="s">
        <v>16792</v>
      </c>
      <c r="K3921" s="26">
        <f t="shared" si="61"/>
        <v>356.66666666666663</v>
      </c>
      <c r="N3921" s="26">
        <v>535</v>
      </c>
      <c r="O3921" s="22" t="s">
        <v>1782</v>
      </c>
      <c r="P3921" s="22" t="s">
        <v>1761</v>
      </c>
      <c r="Q3921" s="22" t="s">
        <v>1762</v>
      </c>
      <c r="X3921" s="26"/>
      <c r="Y3921" s="26"/>
    </row>
    <row r="3922" spans="1:25" ht="25" x14ac:dyDescent="0.25">
      <c r="A3922" s="21">
        <v>4550</v>
      </c>
      <c r="B3922" s="22" t="s">
        <v>16584</v>
      </c>
      <c r="C3922" s="22" t="s">
        <v>1784</v>
      </c>
      <c r="F3922" s="22" t="s">
        <v>1785</v>
      </c>
      <c r="H3922" s="25" t="s">
        <v>16310</v>
      </c>
      <c r="I3922" s="22" t="s">
        <v>15382</v>
      </c>
      <c r="J3922" s="22" t="s">
        <v>1786</v>
      </c>
      <c r="K3922" s="26">
        <f t="shared" si="61"/>
        <v>466.66666666666663</v>
      </c>
      <c r="N3922" s="26">
        <v>700</v>
      </c>
      <c r="O3922" s="22" t="s">
        <v>1787</v>
      </c>
      <c r="P3922" s="22" t="s">
        <v>2888</v>
      </c>
      <c r="Q3922" s="22" t="s">
        <v>2889</v>
      </c>
      <c r="X3922" s="26"/>
      <c r="Y3922" s="26"/>
    </row>
    <row r="3923" spans="1:25" x14ac:dyDescent="0.25">
      <c r="A3923" s="21">
        <v>4551</v>
      </c>
      <c r="B3923" s="22" t="s">
        <v>16584</v>
      </c>
      <c r="C3923" s="22" t="s">
        <v>1784</v>
      </c>
      <c r="F3923" s="22" t="s">
        <v>1788</v>
      </c>
      <c r="H3923" s="25" t="s">
        <v>15373</v>
      </c>
      <c r="I3923" s="22" t="s">
        <v>15382</v>
      </c>
      <c r="J3923" s="22" t="s">
        <v>1789</v>
      </c>
      <c r="K3923" s="26">
        <f t="shared" si="61"/>
        <v>400</v>
      </c>
      <c r="N3923" s="26">
        <v>600</v>
      </c>
      <c r="O3923" s="22" t="s">
        <v>1787</v>
      </c>
      <c r="P3923" s="22" t="s">
        <v>2888</v>
      </c>
      <c r="Q3923" s="22" t="s">
        <v>2889</v>
      </c>
      <c r="X3923" s="26"/>
      <c r="Y3923" s="26"/>
    </row>
    <row r="3924" spans="1:25" x14ac:dyDescent="0.25">
      <c r="A3924" s="21">
        <v>4552</v>
      </c>
      <c r="B3924" s="22" t="s">
        <v>16584</v>
      </c>
      <c r="C3924" s="22" t="s">
        <v>1784</v>
      </c>
      <c r="F3924" s="22" t="s">
        <v>1790</v>
      </c>
      <c r="H3924" s="25" t="s">
        <v>15373</v>
      </c>
      <c r="I3924" s="22" t="s">
        <v>14622</v>
      </c>
      <c r="J3924" s="22" t="s">
        <v>1791</v>
      </c>
      <c r="K3924" s="26">
        <f t="shared" si="61"/>
        <v>400</v>
      </c>
      <c r="N3924" s="26">
        <v>600</v>
      </c>
      <c r="O3924" s="22" t="s">
        <v>1787</v>
      </c>
      <c r="P3924" s="22" t="s">
        <v>2888</v>
      </c>
      <c r="Q3924" s="22" t="s">
        <v>2889</v>
      </c>
      <c r="X3924" s="26"/>
      <c r="Y3924" s="26"/>
    </row>
    <row r="3925" spans="1:25" x14ac:dyDescent="0.25">
      <c r="A3925" s="21">
        <v>4553</v>
      </c>
      <c r="B3925" s="22" t="s">
        <v>16584</v>
      </c>
      <c r="C3925" s="22" t="s">
        <v>1784</v>
      </c>
      <c r="F3925" s="22" t="s">
        <v>1792</v>
      </c>
      <c r="H3925" s="25" t="s">
        <v>15373</v>
      </c>
      <c r="I3925" s="22" t="s">
        <v>1793</v>
      </c>
      <c r="J3925" s="22" t="s">
        <v>1794</v>
      </c>
      <c r="K3925" s="26">
        <f t="shared" si="61"/>
        <v>396</v>
      </c>
      <c r="N3925" s="26">
        <v>594</v>
      </c>
      <c r="O3925" s="22" t="s">
        <v>1787</v>
      </c>
      <c r="P3925" s="22" t="s">
        <v>2888</v>
      </c>
      <c r="Q3925" s="22" t="s">
        <v>2889</v>
      </c>
      <c r="X3925" s="26"/>
      <c r="Y3925" s="26"/>
    </row>
    <row r="3926" spans="1:25" x14ac:dyDescent="0.25">
      <c r="A3926" s="21">
        <v>4554</v>
      </c>
      <c r="B3926" s="22" t="s">
        <v>16584</v>
      </c>
      <c r="C3926" s="22" t="s">
        <v>1784</v>
      </c>
      <c r="F3926" s="22" t="s">
        <v>1795</v>
      </c>
      <c r="H3926" s="25" t="s">
        <v>15373</v>
      </c>
      <c r="I3926" s="22" t="s">
        <v>15382</v>
      </c>
      <c r="J3926" s="22" t="s">
        <v>5021</v>
      </c>
      <c r="K3926" s="26">
        <f t="shared" si="61"/>
        <v>370</v>
      </c>
      <c r="N3926" s="26">
        <v>555</v>
      </c>
      <c r="O3926" s="22" t="s">
        <v>1787</v>
      </c>
      <c r="P3926" s="22" t="s">
        <v>2888</v>
      </c>
      <c r="Q3926" s="22" t="s">
        <v>2889</v>
      </c>
      <c r="X3926" s="26"/>
      <c r="Y3926" s="26"/>
    </row>
    <row r="3927" spans="1:25" x14ac:dyDescent="0.25">
      <c r="A3927" s="21">
        <v>4555</v>
      </c>
      <c r="B3927" s="22" t="s">
        <v>16584</v>
      </c>
      <c r="C3927" s="22" t="s">
        <v>1784</v>
      </c>
      <c r="F3927" s="22" t="s">
        <v>1796</v>
      </c>
      <c r="H3927" s="25" t="s">
        <v>15373</v>
      </c>
      <c r="I3927" s="22" t="s">
        <v>15382</v>
      </c>
      <c r="J3927" s="22" t="s">
        <v>16811</v>
      </c>
      <c r="K3927" s="26">
        <f t="shared" si="61"/>
        <v>356.66666666666663</v>
      </c>
      <c r="N3927" s="26">
        <v>535</v>
      </c>
      <c r="O3927" s="22" t="s">
        <v>1787</v>
      </c>
      <c r="P3927" s="22" t="s">
        <v>2888</v>
      </c>
      <c r="Q3927" s="22" t="s">
        <v>2889</v>
      </c>
      <c r="X3927" s="26"/>
      <c r="Y3927" s="26"/>
    </row>
    <row r="3928" spans="1:25" x14ac:dyDescent="0.25">
      <c r="A3928" s="21">
        <v>4556</v>
      </c>
      <c r="B3928" s="22" t="s">
        <v>16584</v>
      </c>
      <c r="C3928" s="22" t="s">
        <v>1784</v>
      </c>
      <c r="F3928" s="22" t="s">
        <v>1797</v>
      </c>
      <c r="H3928" s="25" t="s">
        <v>15373</v>
      </c>
      <c r="I3928" s="22" t="s">
        <v>15382</v>
      </c>
      <c r="J3928" s="22" t="s">
        <v>16811</v>
      </c>
      <c r="K3928" s="26">
        <f t="shared" si="61"/>
        <v>356.66666666666663</v>
      </c>
      <c r="N3928" s="26">
        <v>535</v>
      </c>
      <c r="O3928" s="22" t="s">
        <v>1787</v>
      </c>
      <c r="P3928" s="22" t="s">
        <v>2888</v>
      </c>
      <c r="Q3928" s="22" t="s">
        <v>2889</v>
      </c>
      <c r="X3928" s="26"/>
      <c r="Y3928" s="26"/>
    </row>
    <row r="3929" spans="1:25" x14ac:dyDescent="0.25">
      <c r="A3929" s="21">
        <v>4557</v>
      </c>
      <c r="B3929" s="22" t="s">
        <v>16584</v>
      </c>
      <c r="C3929" s="22" t="s">
        <v>1798</v>
      </c>
      <c r="F3929" s="22" t="s">
        <v>1799</v>
      </c>
      <c r="H3929" s="25" t="s">
        <v>15373</v>
      </c>
      <c r="I3929" s="22" t="s">
        <v>15411</v>
      </c>
      <c r="J3929" s="22" t="s">
        <v>1800</v>
      </c>
      <c r="K3929" s="26">
        <f t="shared" si="61"/>
        <v>730</v>
      </c>
      <c r="N3929" s="26">
        <v>1095</v>
      </c>
      <c r="O3929" s="22" t="s">
        <v>1801</v>
      </c>
      <c r="P3929" s="22" t="s">
        <v>2874</v>
      </c>
      <c r="Q3929" s="22" t="s">
        <v>2875</v>
      </c>
      <c r="X3929" s="26"/>
      <c r="Y3929" s="26"/>
    </row>
    <row r="3930" spans="1:25" x14ac:dyDescent="0.25">
      <c r="A3930" s="21">
        <v>4558</v>
      </c>
      <c r="B3930" s="22" t="s">
        <v>16584</v>
      </c>
      <c r="C3930" s="22" t="s">
        <v>1798</v>
      </c>
      <c r="F3930" s="22" t="s">
        <v>1802</v>
      </c>
      <c r="H3930" s="25" t="s">
        <v>15373</v>
      </c>
      <c r="I3930" s="22" t="s">
        <v>15374</v>
      </c>
      <c r="J3930" s="22" t="s">
        <v>16869</v>
      </c>
      <c r="K3930" s="26">
        <f t="shared" si="61"/>
        <v>502.66666666666663</v>
      </c>
      <c r="N3930" s="26">
        <v>754</v>
      </c>
      <c r="O3930" s="22" t="s">
        <v>1803</v>
      </c>
      <c r="P3930" s="22" t="s">
        <v>2888</v>
      </c>
      <c r="Q3930" s="22" t="s">
        <v>2889</v>
      </c>
      <c r="X3930" s="26"/>
      <c r="Y3930" s="26"/>
    </row>
    <row r="3931" spans="1:25" x14ac:dyDescent="0.25">
      <c r="A3931" s="21">
        <v>4559</v>
      </c>
      <c r="B3931" s="22" t="s">
        <v>16584</v>
      </c>
      <c r="C3931" s="22" t="s">
        <v>1798</v>
      </c>
      <c r="F3931" s="22" t="s">
        <v>1804</v>
      </c>
      <c r="H3931" s="25" t="s">
        <v>15373</v>
      </c>
      <c r="I3931" s="22" t="s">
        <v>15382</v>
      </c>
      <c r="J3931" s="22" t="s">
        <v>1805</v>
      </c>
      <c r="K3931" s="26">
        <f t="shared" si="61"/>
        <v>356.66666666666663</v>
      </c>
      <c r="N3931" s="26">
        <v>535</v>
      </c>
      <c r="O3931" s="22" t="s">
        <v>1806</v>
      </c>
      <c r="P3931" s="22" t="s">
        <v>2903</v>
      </c>
      <c r="Q3931" s="22" t="s">
        <v>2904</v>
      </c>
      <c r="X3931" s="26"/>
      <c r="Y3931" s="26"/>
    </row>
    <row r="3932" spans="1:25" ht="25" x14ac:dyDescent="0.25">
      <c r="A3932" s="21">
        <v>4560</v>
      </c>
      <c r="B3932" s="22" t="s">
        <v>16584</v>
      </c>
      <c r="C3932" s="22" t="s">
        <v>1807</v>
      </c>
      <c r="F3932" s="22" t="s">
        <v>1808</v>
      </c>
      <c r="H3932" s="25" t="s">
        <v>16310</v>
      </c>
      <c r="I3932" s="22" t="s">
        <v>16160</v>
      </c>
      <c r="J3932" s="22" t="s">
        <v>1809</v>
      </c>
      <c r="K3932" s="26">
        <f t="shared" si="61"/>
        <v>494</v>
      </c>
      <c r="N3932" s="26">
        <v>741</v>
      </c>
      <c r="O3932" s="22" t="s">
        <v>1810</v>
      </c>
      <c r="P3932" s="22" t="s">
        <v>2874</v>
      </c>
      <c r="Q3932" s="22" t="s">
        <v>2875</v>
      </c>
      <c r="X3932" s="26"/>
      <c r="Y3932" s="26"/>
    </row>
    <row r="3933" spans="1:25" x14ac:dyDescent="0.25">
      <c r="A3933" s="21">
        <v>4561</v>
      </c>
      <c r="B3933" s="22" t="s">
        <v>16584</v>
      </c>
      <c r="C3933" s="22" t="s">
        <v>1811</v>
      </c>
      <c r="F3933" s="22" t="s">
        <v>1812</v>
      </c>
      <c r="H3933" s="25" t="s">
        <v>15373</v>
      </c>
      <c r="I3933" s="22" t="s">
        <v>15382</v>
      </c>
      <c r="J3933" s="22" t="s">
        <v>1813</v>
      </c>
      <c r="K3933" s="26">
        <f t="shared" si="61"/>
        <v>433.33333333333331</v>
      </c>
      <c r="N3933" s="26">
        <v>650</v>
      </c>
      <c r="O3933" s="22" t="s">
        <v>1811</v>
      </c>
      <c r="P3933" s="22" t="s">
        <v>2888</v>
      </c>
      <c r="Q3933" s="22" t="s">
        <v>2889</v>
      </c>
      <c r="X3933" s="26"/>
      <c r="Y3933" s="26"/>
    </row>
    <row r="3934" spans="1:25" ht="37.5" x14ac:dyDescent="0.25">
      <c r="A3934" s="21">
        <v>4562</v>
      </c>
      <c r="B3934" s="22" t="s">
        <v>16584</v>
      </c>
      <c r="C3934" s="22" t="s">
        <v>1814</v>
      </c>
      <c r="E3934" s="24">
        <v>2002</v>
      </c>
      <c r="F3934" s="22" t="s">
        <v>1815</v>
      </c>
      <c r="G3934" s="23" t="s">
        <v>1816</v>
      </c>
      <c r="H3934" s="25" t="s">
        <v>15373</v>
      </c>
      <c r="I3934" s="22" t="s">
        <v>15382</v>
      </c>
      <c r="J3934" s="22" t="s">
        <v>1817</v>
      </c>
      <c r="K3934" s="26">
        <f t="shared" si="61"/>
        <v>450</v>
      </c>
      <c r="N3934" s="26">
        <v>675</v>
      </c>
      <c r="O3934" s="22" t="s">
        <v>2937</v>
      </c>
      <c r="P3934" s="22" t="s">
        <v>2874</v>
      </c>
      <c r="Q3934" s="22">
        <v>92392</v>
      </c>
      <c r="X3934" s="26"/>
      <c r="Y3934" s="26"/>
    </row>
    <row r="3935" spans="1:25" ht="37.5" x14ac:dyDescent="0.25">
      <c r="A3935" s="21">
        <v>4563</v>
      </c>
      <c r="B3935" s="22" t="s">
        <v>16584</v>
      </c>
      <c r="C3935" s="22" t="s">
        <v>1763</v>
      </c>
      <c r="E3935" s="24">
        <v>2002</v>
      </c>
      <c r="F3935" s="22" t="s">
        <v>1818</v>
      </c>
      <c r="G3935" s="23" t="s">
        <v>1819</v>
      </c>
      <c r="H3935" s="25" t="s">
        <v>15373</v>
      </c>
      <c r="I3935" s="22" t="s">
        <v>15374</v>
      </c>
      <c r="J3935" s="22" t="s">
        <v>9707</v>
      </c>
      <c r="K3935" s="26">
        <f t="shared" si="61"/>
        <v>790.66666666666663</v>
      </c>
      <c r="N3935" s="26">
        <v>1186</v>
      </c>
      <c r="O3935" s="22" t="s">
        <v>1820</v>
      </c>
      <c r="P3935" s="22" t="s">
        <v>1739</v>
      </c>
      <c r="Q3935" s="22" t="s">
        <v>1821</v>
      </c>
      <c r="X3935" s="26"/>
      <c r="Y3935" s="26"/>
    </row>
    <row r="3936" spans="1:25" ht="37.5" x14ac:dyDescent="0.25">
      <c r="A3936" s="21">
        <v>4564</v>
      </c>
      <c r="B3936" s="22" t="s">
        <v>16584</v>
      </c>
      <c r="C3936" s="22" t="s">
        <v>1763</v>
      </c>
      <c r="E3936" s="24">
        <v>2002</v>
      </c>
      <c r="F3936" s="22" t="s">
        <v>1822</v>
      </c>
      <c r="G3936" s="23" t="s">
        <v>1823</v>
      </c>
      <c r="H3936" s="25" t="s">
        <v>15373</v>
      </c>
      <c r="I3936" s="22" t="s">
        <v>15374</v>
      </c>
      <c r="J3936" s="22" t="s">
        <v>9707</v>
      </c>
      <c r="K3936" s="26">
        <f t="shared" si="61"/>
        <v>790.66666666666663</v>
      </c>
      <c r="N3936" s="26">
        <v>1186</v>
      </c>
      <c r="O3936" s="22" t="s">
        <v>1820</v>
      </c>
      <c r="P3936" s="22" t="s">
        <v>1739</v>
      </c>
      <c r="Q3936" s="22" t="s">
        <v>1821</v>
      </c>
      <c r="X3936" s="26"/>
      <c r="Y3936" s="26"/>
    </row>
    <row r="3937" spans="1:25" ht="37.5" x14ac:dyDescent="0.25">
      <c r="A3937" s="21">
        <v>4565</v>
      </c>
      <c r="B3937" s="22" t="s">
        <v>16584</v>
      </c>
      <c r="C3937" s="22" t="s">
        <v>1824</v>
      </c>
      <c r="E3937" s="24">
        <v>2002</v>
      </c>
      <c r="F3937" s="22" t="s">
        <v>1825</v>
      </c>
      <c r="G3937" s="23" t="s">
        <v>1826</v>
      </c>
      <c r="H3937" s="25" t="s">
        <v>15373</v>
      </c>
      <c r="I3937" s="22" t="s">
        <v>15374</v>
      </c>
      <c r="J3937" s="22">
        <v>3406</v>
      </c>
      <c r="K3937" s="26">
        <f t="shared" si="61"/>
        <v>346</v>
      </c>
      <c r="N3937" s="26">
        <v>519</v>
      </c>
      <c r="O3937" s="22" t="s">
        <v>1827</v>
      </c>
      <c r="P3937" s="22" t="s">
        <v>1828</v>
      </c>
      <c r="Q3937" s="22">
        <v>92308</v>
      </c>
      <c r="X3937" s="26"/>
      <c r="Y3937" s="26"/>
    </row>
    <row r="3938" spans="1:25" ht="37.5" x14ac:dyDescent="0.25">
      <c r="A3938" s="21">
        <v>4566</v>
      </c>
      <c r="B3938" s="22" t="s">
        <v>16584</v>
      </c>
      <c r="C3938" s="22" t="s">
        <v>1824</v>
      </c>
      <c r="E3938" s="24">
        <v>2002</v>
      </c>
      <c r="F3938" s="22" t="s">
        <v>1829</v>
      </c>
      <c r="G3938" s="23" t="s">
        <v>1830</v>
      </c>
      <c r="H3938" s="25" t="s">
        <v>15373</v>
      </c>
      <c r="I3938" s="22" t="s">
        <v>15374</v>
      </c>
      <c r="J3938" s="22">
        <v>3406</v>
      </c>
      <c r="K3938" s="26">
        <f t="shared" si="61"/>
        <v>346</v>
      </c>
      <c r="N3938" s="26">
        <v>519</v>
      </c>
      <c r="O3938" s="22" t="s">
        <v>1827</v>
      </c>
      <c r="P3938" s="22" t="s">
        <v>1828</v>
      </c>
      <c r="Q3938" s="22">
        <v>92308</v>
      </c>
      <c r="X3938" s="26"/>
      <c r="Y3938" s="26"/>
    </row>
    <row r="3939" spans="1:25" ht="37.5" x14ac:dyDescent="0.25">
      <c r="A3939" s="21">
        <v>4567</v>
      </c>
      <c r="B3939" s="22" t="s">
        <v>16584</v>
      </c>
      <c r="C3939" s="22" t="s">
        <v>1824</v>
      </c>
      <c r="E3939" s="24">
        <v>2002</v>
      </c>
      <c r="F3939" s="22" t="s">
        <v>1831</v>
      </c>
      <c r="G3939" s="23" t="s">
        <v>1832</v>
      </c>
      <c r="H3939" s="25" t="s">
        <v>15373</v>
      </c>
      <c r="I3939" s="22" t="s">
        <v>15374</v>
      </c>
      <c r="J3939" s="22">
        <v>3406</v>
      </c>
      <c r="K3939" s="26">
        <f t="shared" si="61"/>
        <v>346</v>
      </c>
      <c r="N3939" s="26">
        <v>519</v>
      </c>
      <c r="O3939" s="22" t="s">
        <v>1827</v>
      </c>
      <c r="P3939" s="22" t="s">
        <v>1828</v>
      </c>
      <c r="Q3939" s="22">
        <v>92308</v>
      </c>
      <c r="X3939" s="26"/>
      <c r="Y3939" s="26"/>
    </row>
    <row r="3940" spans="1:25" ht="50" x14ac:dyDescent="0.25">
      <c r="A3940" s="21">
        <v>4568</v>
      </c>
      <c r="B3940" s="22" t="s">
        <v>16584</v>
      </c>
      <c r="C3940" s="22" t="s">
        <v>1780</v>
      </c>
      <c r="E3940" s="24">
        <v>2002</v>
      </c>
      <c r="F3940" s="22" t="s">
        <v>1833</v>
      </c>
      <c r="G3940" s="23" t="s">
        <v>1834</v>
      </c>
      <c r="H3940" s="25" t="s">
        <v>15373</v>
      </c>
      <c r="I3940" s="22" t="s">
        <v>15374</v>
      </c>
      <c r="J3940" s="22" t="s">
        <v>9707</v>
      </c>
      <c r="K3940" s="26">
        <f t="shared" si="61"/>
        <v>548.66666666666663</v>
      </c>
      <c r="N3940" s="26">
        <v>823</v>
      </c>
      <c r="O3940" s="22" t="s">
        <v>1835</v>
      </c>
      <c r="P3940" s="22" t="s">
        <v>1761</v>
      </c>
      <c r="Q3940" s="22" t="s">
        <v>1836</v>
      </c>
      <c r="X3940" s="26"/>
      <c r="Y3940" s="26"/>
    </row>
    <row r="3941" spans="1:25" ht="37.5" x14ac:dyDescent="0.25">
      <c r="A3941" s="21">
        <v>4569</v>
      </c>
      <c r="B3941" s="22" t="s">
        <v>16584</v>
      </c>
      <c r="C3941" s="22" t="s">
        <v>1837</v>
      </c>
      <c r="E3941" s="24">
        <v>2002</v>
      </c>
      <c r="F3941" s="22" t="s">
        <v>1838</v>
      </c>
      <c r="G3941" s="23" t="s">
        <v>1839</v>
      </c>
      <c r="H3941" s="25" t="s">
        <v>15373</v>
      </c>
      <c r="I3941" s="22" t="s">
        <v>15411</v>
      </c>
      <c r="J3941" s="22" t="s">
        <v>1840</v>
      </c>
      <c r="K3941" s="26">
        <f t="shared" si="61"/>
        <v>436</v>
      </c>
      <c r="N3941" s="26">
        <v>654</v>
      </c>
      <c r="O3941" s="22" t="s">
        <v>1841</v>
      </c>
      <c r="P3941" s="22" t="s">
        <v>2874</v>
      </c>
      <c r="Q3941" s="22">
        <v>92392</v>
      </c>
      <c r="X3941" s="26"/>
      <c r="Y3941" s="26"/>
    </row>
    <row r="3942" spans="1:25" ht="37.5" x14ac:dyDescent="0.25">
      <c r="A3942" s="21">
        <v>4570</v>
      </c>
      <c r="B3942" s="22" t="s">
        <v>16584</v>
      </c>
      <c r="C3942" s="22" t="s">
        <v>1842</v>
      </c>
      <c r="E3942" s="24">
        <v>2002</v>
      </c>
      <c r="F3942" s="22" t="s">
        <v>1843</v>
      </c>
      <c r="G3942" s="23" t="s">
        <v>1844</v>
      </c>
      <c r="H3942" s="25" t="s">
        <v>15373</v>
      </c>
      <c r="I3942" s="22" t="s">
        <v>15411</v>
      </c>
      <c r="J3942" s="22" t="s">
        <v>1845</v>
      </c>
      <c r="K3942" s="26">
        <f t="shared" si="61"/>
        <v>1033.3333333333333</v>
      </c>
      <c r="N3942" s="26">
        <v>1550</v>
      </c>
      <c r="O3942" s="22" t="s">
        <v>1846</v>
      </c>
      <c r="P3942" s="22" t="s">
        <v>1847</v>
      </c>
      <c r="Q3942" s="22">
        <v>93524</v>
      </c>
      <c r="X3942" s="26"/>
      <c r="Y3942" s="26"/>
    </row>
    <row r="3943" spans="1:25" ht="25" x14ac:dyDescent="0.25">
      <c r="A3943" s="21">
        <v>4571</v>
      </c>
      <c r="B3943" s="22" t="s">
        <v>16584</v>
      </c>
      <c r="C3943" s="22" t="s">
        <v>1848</v>
      </c>
      <c r="E3943" s="24">
        <v>2002</v>
      </c>
      <c r="F3943" s="22" t="s">
        <v>1849</v>
      </c>
      <c r="G3943" s="23" t="s">
        <v>1850</v>
      </c>
      <c r="H3943" s="25" t="s">
        <v>15373</v>
      </c>
      <c r="I3943" s="22" t="s">
        <v>15374</v>
      </c>
      <c r="J3943" s="22" t="s">
        <v>18147</v>
      </c>
      <c r="K3943" s="26">
        <f t="shared" si="61"/>
        <v>509.33333333333331</v>
      </c>
      <c r="N3943" s="26">
        <v>764</v>
      </c>
      <c r="O3943" s="22" t="s">
        <v>1851</v>
      </c>
      <c r="P3943" s="22" t="s">
        <v>1828</v>
      </c>
      <c r="Q3943" s="22">
        <v>92307</v>
      </c>
      <c r="X3943" s="26"/>
      <c r="Y3943" s="26"/>
    </row>
    <row r="3944" spans="1:25" ht="62.5" x14ac:dyDescent="0.25">
      <c r="A3944" s="21">
        <v>4572</v>
      </c>
      <c r="B3944" s="22" t="s">
        <v>16584</v>
      </c>
      <c r="C3944" s="22" t="s">
        <v>1824</v>
      </c>
      <c r="E3944" s="24">
        <v>2003</v>
      </c>
      <c r="F3944" s="22" t="s">
        <v>1852</v>
      </c>
      <c r="G3944" s="23" t="s">
        <v>1853</v>
      </c>
      <c r="H3944" s="25" t="s">
        <v>15373</v>
      </c>
      <c r="I3944" s="22" t="s">
        <v>15411</v>
      </c>
      <c r="J3944" s="22" t="s">
        <v>1854</v>
      </c>
      <c r="K3944" s="26">
        <f t="shared" si="61"/>
        <v>800</v>
      </c>
      <c r="N3944" s="26">
        <v>1200</v>
      </c>
      <c r="O3944" s="22" t="s">
        <v>1855</v>
      </c>
      <c r="P3944" s="22" t="s">
        <v>1828</v>
      </c>
      <c r="Q3944" s="22">
        <v>92308</v>
      </c>
      <c r="X3944" s="26"/>
      <c r="Y3944" s="26"/>
    </row>
    <row r="3945" spans="1:25" ht="50" x14ac:dyDescent="0.25">
      <c r="A3945" s="21">
        <v>4573</v>
      </c>
      <c r="B3945" s="22" t="s">
        <v>16584</v>
      </c>
      <c r="C3945" s="22" t="s">
        <v>1856</v>
      </c>
      <c r="E3945" s="24">
        <v>2003</v>
      </c>
      <c r="F3945" s="22" t="s">
        <v>1857</v>
      </c>
      <c r="G3945" s="23" t="s">
        <v>1858</v>
      </c>
      <c r="H3945" s="25" t="s">
        <v>15373</v>
      </c>
      <c r="I3945" s="22" t="s">
        <v>15374</v>
      </c>
      <c r="J3945" s="22" t="s">
        <v>12899</v>
      </c>
      <c r="K3945" s="26">
        <f t="shared" si="61"/>
        <v>1898.6666666666665</v>
      </c>
      <c r="N3945" s="26">
        <v>2848</v>
      </c>
      <c r="O3945" s="22" t="s">
        <v>1859</v>
      </c>
      <c r="P3945" s="22" t="s">
        <v>2874</v>
      </c>
      <c r="Q3945" s="22">
        <v>92394</v>
      </c>
      <c r="X3945" s="26"/>
      <c r="Y3945" s="26"/>
    </row>
    <row r="3946" spans="1:25" ht="50" x14ac:dyDescent="0.25">
      <c r="A3946" s="21">
        <v>4574</v>
      </c>
      <c r="B3946" s="22" t="s">
        <v>16584</v>
      </c>
      <c r="C3946" s="22" t="s">
        <v>1729</v>
      </c>
      <c r="E3946" s="24">
        <v>2003</v>
      </c>
      <c r="F3946" s="22" t="s">
        <v>1860</v>
      </c>
      <c r="G3946" s="23" t="s">
        <v>1861</v>
      </c>
      <c r="H3946" s="25" t="s">
        <v>15373</v>
      </c>
      <c r="I3946" s="22" t="s">
        <v>15374</v>
      </c>
      <c r="J3946" s="22">
        <v>3512</v>
      </c>
      <c r="K3946" s="26">
        <f t="shared" si="61"/>
        <v>1410.6666666666665</v>
      </c>
      <c r="N3946" s="26">
        <v>2116</v>
      </c>
      <c r="O3946" s="22" t="s">
        <v>1862</v>
      </c>
      <c r="P3946" s="22" t="s">
        <v>1733</v>
      </c>
      <c r="Q3946" s="22">
        <v>92356</v>
      </c>
      <c r="X3946" s="26"/>
      <c r="Y3946" s="26"/>
    </row>
    <row r="3947" spans="1:25" ht="37.5" x14ac:dyDescent="0.25">
      <c r="A3947" s="21">
        <v>4575</v>
      </c>
      <c r="B3947" s="22" t="s">
        <v>16584</v>
      </c>
      <c r="C3947" s="22" t="s">
        <v>1780</v>
      </c>
      <c r="E3947" s="24">
        <v>2003</v>
      </c>
      <c r="F3947" s="22" t="s">
        <v>1863</v>
      </c>
      <c r="G3947" s="23" t="s">
        <v>1864</v>
      </c>
      <c r="H3947" s="25" t="s">
        <v>15373</v>
      </c>
      <c r="I3947" s="22" t="s">
        <v>15411</v>
      </c>
      <c r="J3947" s="22" t="s">
        <v>17496</v>
      </c>
      <c r="K3947" s="26">
        <f t="shared" si="61"/>
        <v>996.66666666666663</v>
      </c>
      <c r="N3947" s="26">
        <v>1495</v>
      </c>
      <c r="O3947" s="22" t="s">
        <v>1835</v>
      </c>
      <c r="P3947" s="22" t="s">
        <v>1761</v>
      </c>
      <c r="Q3947" s="22" t="s">
        <v>1836</v>
      </c>
      <c r="X3947" s="26"/>
      <c r="Y3947" s="26"/>
    </row>
    <row r="3948" spans="1:25" ht="37.5" x14ac:dyDescent="0.25">
      <c r="A3948" s="21">
        <v>4576</v>
      </c>
      <c r="B3948" s="22" t="s">
        <v>16584</v>
      </c>
      <c r="C3948" s="22" t="s">
        <v>1798</v>
      </c>
      <c r="E3948" s="24">
        <v>2003</v>
      </c>
      <c r="F3948" s="22" t="s">
        <v>1865</v>
      </c>
      <c r="G3948" s="23" t="s">
        <v>1866</v>
      </c>
      <c r="H3948" s="25" t="s">
        <v>15373</v>
      </c>
      <c r="I3948" s="22" t="s">
        <v>15374</v>
      </c>
      <c r="J3948" s="22" t="s">
        <v>1867</v>
      </c>
      <c r="K3948" s="26">
        <f t="shared" si="61"/>
        <v>597.33333333333326</v>
      </c>
      <c r="N3948" s="26">
        <v>896</v>
      </c>
      <c r="O3948" s="22" t="s">
        <v>1868</v>
      </c>
      <c r="P3948" s="22" t="s">
        <v>2903</v>
      </c>
      <c r="Q3948" s="22">
        <v>92345</v>
      </c>
      <c r="X3948" s="26"/>
      <c r="Y3948" s="26"/>
    </row>
    <row r="3949" spans="1:25" ht="25" x14ac:dyDescent="0.25">
      <c r="A3949" s="21">
        <v>4625</v>
      </c>
      <c r="B3949" s="22" t="s">
        <v>15344</v>
      </c>
      <c r="C3949" s="22" t="s">
        <v>1869</v>
      </c>
      <c r="E3949" s="24">
        <v>1998</v>
      </c>
      <c r="F3949" s="22" t="s">
        <v>1870</v>
      </c>
      <c r="G3949" s="23" t="s">
        <v>1871</v>
      </c>
      <c r="H3949" s="25" t="s">
        <v>15373</v>
      </c>
      <c r="I3949" s="22" t="s">
        <v>15382</v>
      </c>
      <c r="J3949" s="22" t="s">
        <v>16569</v>
      </c>
      <c r="K3949" s="26">
        <f t="shared" si="61"/>
        <v>403.33333333333331</v>
      </c>
      <c r="N3949" s="26">
        <v>605</v>
      </c>
      <c r="O3949" s="22" t="s">
        <v>1872</v>
      </c>
      <c r="P3949" s="22" t="s">
        <v>1355</v>
      </c>
      <c r="Q3949" s="22" t="s">
        <v>1873</v>
      </c>
      <c r="T3949" s="22">
        <v>6.9</v>
      </c>
      <c r="U3949" s="22">
        <v>0.4</v>
      </c>
      <c r="X3949" s="26"/>
      <c r="Y3949" s="26"/>
    </row>
    <row r="3950" spans="1:25" ht="37.5" x14ac:dyDescent="0.25">
      <c r="A3950" s="21">
        <v>4626</v>
      </c>
      <c r="B3950" s="22" t="s">
        <v>15344</v>
      </c>
      <c r="C3950" s="22" t="s">
        <v>1874</v>
      </c>
      <c r="E3950" s="24">
        <v>1994</v>
      </c>
      <c r="F3950" s="22" t="s">
        <v>1875</v>
      </c>
      <c r="G3950" s="23" t="s">
        <v>1876</v>
      </c>
      <c r="H3950" s="25" t="s">
        <v>15373</v>
      </c>
      <c r="I3950" s="22" t="s">
        <v>16907</v>
      </c>
      <c r="J3950" s="22" t="s">
        <v>1877</v>
      </c>
      <c r="K3950" s="26">
        <f t="shared" si="61"/>
        <v>428.66666666666663</v>
      </c>
      <c r="N3950" s="26">
        <v>643</v>
      </c>
      <c r="O3950" s="22" t="s">
        <v>1878</v>
      </c>
      <c r="P3950" s="22" t="s">
        <v>1879</v>
      </c>
      <c r="Q3950" s="22" t="s">
        <v>1880</v>
      </c>
      <c r="T3950" s="22">
        <v>8.17</v>
      </c>
      <c r="U3950" s="22">
        <v>0.38</v>
      </c>
      <c r="X3950" s="26"/>
      <c r="Y3950" s="26"/>
    </row>
    <row r="3951" spans="1:25" ht="37.5" x14ac:dyDescent="0.25">
      <c r="A3951" s="21">
        <v>4627</v>
      </c>
      <c r="B3951" s="22" t="s">
        <v>15344</v>
      </c>
      <c r="C3951" s="22" t="s">
        <v>1881</v>
      </c>
      <c r="E3951" s="24">
        <v>1995</v>
      </c>
      <c r="F3951" s="22" t="s">
        <v>1882</v>
      </c>
      <c r="G3951" s="23" t="s">
        <v>1883</v>
      </c>
      <c r="H3951" s="25" t="s">
        <v>15373</v>
      </c>
      <c r="I3951" s="22" t="s">
        <v>15374</v>
      </c>
      <c r="J3951" s="22" t="s">
        <v>1884</v>
      </c>
      <c r="K3951" s="26">
        <f t="shared" si="61"/>
        <v>396.66666666666663</v>
      </c>
      <c r="N3951" s="26">
        <v>595</v>
      </c>
      <c r="O3951" s="22" t="s">
        <v>1885</v>
      </c>
      <c r="P3951" s="22" t="s">
        <v>1886</v>
      </c>
      <c r="Q3951" s="22" t="s">
        <v>1887</v>
      </c>
      <c r="T3951" s="22">
        <v>8.17</v>
      </c>
      <c r="U3951" s="22">
        <v>0.38</v>
      </c>
      <c r="X3951" s="26"/>
      <c r="Y3951" s="26"/>
    </row>
    <row r="3952" spans="1:25" ht="50" x14ac:dyDescent="0.25">
      <c r="A3952" s="21">
        <v>4628</v>
      </c>
      <c r="B3952" s="22" t="s">
        <v>15344</v>
      </c>
      <c r="C3952" s="22" t="s">
        <v>1888</v>
      </c>
      <c r="E3952" s="24">
        <v>1998</v>
      </c>
      <c r="F3952" s="22" t="s">
        <v>1889</v>
      </c>
      <c r="G3952" s="23" t="s">
        <v>1890</v>
      </c>
      <c r="H3952" s="25" t="s">
        <v>15373</v>
      </c>
      <c r="I3952" s="22" t="s">
        <v>15374</v>
      </c>
      <c r="J3952" s="22" t="s">
        <v>12592</v>
      </c>
      <c r="K3952" s="26">
        <f t="shared" si="61"/>
        <v>1448</v>
      </c>
      <c r="N3952" s="26">
        <v>2172</v>
      </c>
      <c r="O3952" s="22" t="s">
        <v>1891</v>
      </c>
      <c r="P3952" s="22" t="s">
        <v>1892</v>
      </c>
      <c r="Q3952" s="22">
        <v>95937</v>
      </c>
      <c r="T3952" s="22">
        <v>8.17</v>
      </c>
      <c r="U3952" s="22">
        <v>0.38</v>
      </c>
      <c r="X3952" s="26"/>
      <c r="Y3952" s="26"/>
    </row>
    <row r="3953" spans="1:25" ht="50" x14ac:dyDescent="0.25">
      <c r="A3953" s="21">
        <v>4629</v>
      </c>
      <c r="B3953" s="22" t="s">
        <v>15344</v>
      </c>
      <c r="C3953" s="22" t="s">
        <v>1888</v>
      </c>
      <c r="E3953" s="24">
        <v>2000</v>
      </c>
      <c r="F3953" s="22" t="s">
        <v>1893</v>
      </c>
      <c r="G3953" s="23" t="s">
        <v>1894</v>
      </c>
      <c r="H3953" s="25" t="s">
        <v>15373</v>
      </c>
      <c r="I3953" s="22" t="s">
        <v>15374</v>
      </c>
      <c r="J3953" s="22" t="s">
        <v>12592</v>
      </c>
      <c r="K3953" s="26">
        <f t="shared" si="61"/>
        <v>1448</v>
      </c>
      <c r="N3953" s="26">
        <v>2172</v>
      </c>
      <c r="O3953" s="22" t="s">
        <v>1891</v>
      </c>
      <c r="P3953" s="22" t="s">
        <v>1892</v>
      </c>
      <c r="Q3953" s="22">
        <v>95937</v>
      </c>
      <c r="T3953" s="22">
        <v>6.9</v>
      </c>
      <c r="U3953" s="22">
        <v>0.4</v>
      </c>
      <c r="X3953" s="26"/>
      <c r="Y3953" s="26"/>
    </row>
    <row r="3954" spans="1:25" ht="37.5" x14ac:dyDescent="0.25">
      <c r="A3954" s="21">
        <v>4630</v>
      </c>
      <c r="B3954" s="22" t="s">
        <v>15344</v>
      </c>
      <c r="C3954" s="22" t="s">
        <v>1895</v>
      </c>
      <c r="E3954" s="24">
        <v>1995</v>
      </c>
      <c r="F3954" s="22" t="s">
        <v>1896</v>
      </c>
      <c r="G3954" s="23" t="s">
        <v>1897</v>
      </c>
      <c r="H3954" s="25" t="s">
        <v>15373</v>
      </c>
      <c r="I3954" s="22" t="s">
        <v>15382</v>
      </c>
      <c r="J3954" s="22" t="s">
        <v>1898</v>
      </c>
      <c r="K3954" s="26">
        <f t="shared" si="61"/>
        <v>1233.3333333333333</v>
      </c>
      <c r="N3954" s="26">
        <v>1850</v>
      </c>
      <c r="O3954" s="22" t="s">
        <v>1899</v>
      </c>
      <c r="P3954" s="22" t="s">
        <v>1355</v>
      </c>
      <c r="Q3954" s="22" t="s">
        <v>1873</v>
      </c>
      <c r="T3954" s="22">
        <v>8.17</v>
      </c>
      <c r="U3954" s="22">
        <v>0.38</v>
      </c>
      <c r="X3954" s="26"/>
      <c r="Y3954" s="26"/>
    </row>
    <row r="3955" spans="1:25" ht="37.5" x14ac:dyDescent="0.25">
      <c r="A3955" s="21">
        <v>4631</v>
      </c>
      <c r="B3955" s="22" t="s">
        <v>15344</v>
      </c>
      <c r="C3955" s="22" t="s">
        <v>1895</v>
      </c>
      <c r="E3955" s="24">
        <v>1995</v>
      </c>
      <c r="F3955" s="22" t="s">
        <v>1900</v>
      </c>
      <c r="G3955" s="23" t="s">
        <v>1901</v>
      </c>
      <c r="H3955" s="25" t="s">
        <v>15373</v>
      </c>
      <c r="I3955" s="22" t="s">
        <v>15382</v>
      </c>
      <c r="J3955" s="22" t="s">
        <v>1898</v>
      </c>
      <c r="K3955" s="26">
        <f t="shared" si="61"/>
        <v>1233.3333333333333</v>
      </c>
      <c r="N3955" s="26">
        <v>1850</v>
      </c>
      <c r="O3955" s="22" t="s">
        <v>1899</v>
      </c>
      <c r="P3955" s="22" t="s">
        <v>1355</v>
      </c>
      <c r="Q3955" s="22" t="s">
        <v>1873</v>
      </c>
      <c r="T3955" s="22">
        <v>8.17</v>
      </c>
      <c r="U3955" s="22">
        <v>0.38</v>
      </c>
      <c r="X3955" s="26"/>
      <c r="Y3955" s="26"/>
    </row>
    <row r="3956" spans="1:25" ht="25" x14ac:dyDescent="0.25">
      <c r="A3956" s="21">
        <v>4632</v>
      </c>
      <c r="B3956" s="22" t="s">
        <v>15344</v>
      </c>
      <c r="C3956" s="22" t="s">
        <v>1902</v>
      </c>
      <c r="E3956" s="24">
        <v>1998</v>
      </c>
      <c r="F3956" s="22" t="s">
        <v>1903</v>
      </c>
      <c r="G3956" s="23" t="s">
        <v>1904</v>
      </c>
      <c r="H3956" s="25" t="s">
        <v>15373</v>
      </c>
      <c r="I3956" s="22" t="s">
        <v>15374</v>
      </c>
      <c r="J3956" s="22" t="s">
        <v>14165</v>
      </c>
      <c r="K3956" s="26">
        <f t="shared" si="61"/>
        <v>1898</v>
      </c>
      <c r="N3956" s="26">
        <v>2847</v>
      </c>
      <c r="O3956" s="22" t="s">
        <v>1905</v>
      </c>
      <c r="P3956" s="22" t="s">
        <v>1879</v>
      </c>
      <c r="Q3956" s="22" t="s">
        <v>1906</v>
      </c>
      <c r="R3956" s="22" t="s">
        <v>1907</v>
      </c>
      <c r="S3956" s="22" t="s">
        <v>1908</v>
      </c>
      <c r="T3956" s="22">
        <v>8.17</v>
      </c>
      <c r="U3956" s="22">
        <v>0.38</v>
      </c>
      <c r="X3956" s="26"/>
      <c r="Y3956" s="26"/>
    </row>
    <row r="3957" spans="1:25" ht="37.5" x14ac:dyDescent="0.25">
      <c r="A3957" s="21">
        <v>4633</v>
      </c>
      <c r="B3957" s="22" t="s">
        <v>15344</v>
      </c>
      <c r="C3957" s="22" t="s">
        <v>1902</v>
      </c>
      <c r="E3957" s="24">
        <v>1995</v>
      </c>
      <c r="F3957" s="22" t="s">
        <v>1909</v>
      </c>
      <c r="G3957" s="23" t="s">
        <v>1910</v>
      </c>
      <c r="H3957" s="25" t="s">
        <v>15373</v>
      </c>
      <c r="I3957" s="22" t="s">
        <v>15374</v>
      </c>
      <c r="J3957" s="22" t="s">
        <v>8802</v>
      </c>
      <c r="K3957" s="26">
        <f t="shared" ref="K3957:K4020" si="62">L3957+M3957*(2/3)+N3957*(2/3)</f>
        <v>312.66666666666663</v>
      </c>
      <c r="N3957" s="26">
        <v>469</v>
      </c>
      <c r="O3957" s="22" t="s">
        <v>1911</v>
      </c>
      <c r="P3957" s="22" t="s">
        <v>1879</v>
      </c>
      <c r="Q3957" s="22" t="s">
        <v>1906</v>
      </c>
      <c r="R3957" s="22" t="s">
        <v>1912</v>
      </c>
      <c r="S3957" s="22" t="s">
        <v>1908</v>
      </c>
      <c r="T3957" s="22">
        <v>8.17</v>
      </c>
      <c r="U3957" s="22">
        <v>0.38</v>
      </c>
      <c r="X3957" s="26"/>
      <c r="Y3957" s="26"/>
    </row>
    <row r="3958" spans="1:25" ht="50" x14ac:dyDescent="0.25">
      <c r="A3958" s="21">
        <v>4634</v>
      </c>
      <c r="B3958" s="22" t="s">
        <v>15344</v>
      </c>
      <c r="C3958" s="22" t="s">
        <v>1913</v>
      </c>
      <c r="E3958" s="24">
        <v>1995</v>
      </c>
      <c r="F3958" s="22" t="s">
        <v>1914</v>
      </c>
      <c r="G3958" s="23" t="s">
        <v>1915</v>
      </c>
      <c r="H3958" s="25" t="s">
        <v>15373</v>
      </c>
      <c r="I3958" s="22" t="s">
        <v>15411</v>
      </c>
      <c r="J3958" s="22" t="s">
        <v>12830</v>
      </c>
      <c r="K3958" s="26">
        <f t="shared" si="62"/>
        <v>640</v>
      </c>
      <c r="N3958" s="26">
        <v>960</v>
      </c>
      <c r="O3958" s="22" t="s">
        <v>1916</v>
      </c>
      <c r="P3958" s="22" t="s">
        <v>1879</v>
      </c>
      <c r="Q3958" s="22">
        <v>95696</v>
      </c>
      <c r="R3958" s="22" t="s">
        <v>1912</v>
      </c>
      <c r="S3958" s="22" t="s">
        <v>1908</v>
      </c>
      <c r="T3958" s="22">
        <v>8.17</v>
      </c>
      <c r="U3958" s="22">
        <v>0.38</v>
      </c>
      <c r="X3958" s="26"/>
      <c r="Y3958" s="26"/>
    </row>
    <row r="3959" spans="1:25" ht="50" x14ac:dyDescent="0.25">
      <c r="A3959" s="21">
        <v>4635</v>
      </c>
      <c r="B3959" s="22" t="s">
        <v>15344</v>
      </c>
      <c r="C3959" s="22" t="s">
        <v>1913</v>
      </c>
      <c r="E3959" s="24">
        <v>1995</v>
      </c>
      <c r="F3959" s="22" t="s">
        <v>1917</v>
      </c>
      <c r="G3959" s="23" t="s">
        <v>1918</v>
      </c>
      <c r="H3959" s="25" t="s">
        <v>15373</v>
      </c>
      <c r="I3959" s="22" t="s">
        <v>15411</v>
      </c>
      <c r="J3959" s="22" t="s">
        <v>12830</v>
      </c>
      <c r="K3959" s="26">
        <f t="shared" si="62"/>
        <v>640</v>
      </c>
      <c r="N3959" s="26">
        <v>960</v>
      </c>
      <c r="O3959" s="22" t="s">
        <v>1916</v>
      </c>
      <c r="P3959" s="22" t="s">
        <v>1879</v>
      </c>
      <c r="Q3959" s="22">
        <v>95696</v>
      </c>
      <c r="R3959" s="22" t="s">
        <v>1912</v>
      </c>
      <c r="S3959" s="22" t="s">
        <v>1908</v>
      </c>
      <c r="T3959" s="22">
        <v>8.17</v>
      </c>
      <c r="U3959" s="22">
        <v>0.38</v>
      </c>
      <c r="X3959" s="26"/>
      <c r="Y3959" s="26"/>
    </row>
    <row r="3960" spans="1:25" ht="50" x14ac:dyDescent="0.25">
      <c r="A3960" s="21">
        <v>4636</v>
      </c>
      <c r="B3960" s="22" t="s">
        <v>15344</v>
      </c>
      <c r="C3960" s="22" t="s">
        <v>1913</v>
      </c>
      <c r="E3960" s="24">
        <v>1995</v>
      </c>
      <c r="F3960" s="22" t="s">
        <v>1919</v>
      </c>
      <c r="G3960" s="23" t="s">
        <v>1920</v>
      </c>
      <c r="H3960" s="25" t="s">
        <v>15373</v>
      </c>
      <c r="I3960" s="22" t="s">
        <v>15709</v>
      </c>
      <c r="J3960" s="22" t="s">
        <v>1921</v>
      </c>
      <c r="K3960" s="26">
        <f t="shared" si="62"/>
        <v>626.66666666666663</v>
      </c>
      <c r="N3960" s="26">
        <v>940</v>
      </c>
      <c r="O3960" s="22" t="s">
        <v>1916</v>
      </c>
      <c r="P3960" s="22" t="s">
        <v>1879</v>
      </c>
      <c r="Q3960" s="22">
        <v>95696</v>
      </c>
      <c r="R3960" s="22" t="s">
        <v>1912</v>
      </c>
      <c r="S3960" s="22" t="s">
        <v>1908</v>
      </c>
      <c r="T3960" s="22">
        <v>8.17</v>
      </c>
      <c r="U3960" s="22">
        <v>0.38</v>
      </c>
      <c r="X3960" s="26"/>
      <c r="Y3960" s="26"/>
    </row>
    <row r="3961" spans="1:25" ht="37.5" x14ac:dyDescent="0.25">
      <c r="A3961" s="21">
        <v>4637</v>
      </c>
      <c r="B3961" s="22" t="s">
        <v>15344</v>
      </c>
      <c r="C3961" s="22" t="s">
        <v>1913</v>
      </c>
      <c r="E3961" s="24">
        <v>1995</v>
      </c>
      <c r="F3961" s="22" t="s">
        <v>1922</v>
      </c>
      <c r="G3961" s="23" t="s">
        <v>1923</v>
      </c>
      <c r="H3961" s="25" t="s">
        <v>15373</v>
      </c>
      <c r="I3961" s="22" t="s">
        <v>15709</v>
      </c>
      <c r="J3961" s="22" t="s">
        <v>1924</v>
      </c>
      <c r="K3961" s="26">
        <f t="shared" si="62"/>
        <v>626.66666666666663</v>
      </c>
      <c r="N3961" s="26">
        <v>940</v>
      </c>
      <c r="O3961" s="22" t="s">
        <v>1916</v>
      </c>
      <c r="P3961" s="22" t="s">
        <v>1879</v>
      </c>
      <c r="Q3961" s="22">
        <v>95696</v>
      </c>
      <c r="R3961" s="22" t="s">
        <v>1912</v>
      </c>
      <c r="S3961" s="22" t="s">
        <v>1908</v>
      </c>
      <c r="T3961" s="22">
        <v>8.17</v>
      </c>
      <c r="U3961" s="22">
        <v>0.38</v>
      </c>
      <c r="X3961" s="26"/>
      <c r="Y3961" s="26"/>
    </row>
    <row r="3962" spans="1:25" ht="37.5" x14ac:dyDescent="0.25">
      <c r="A3962" s="21">
        <v>4638</v>
      </c>
      <c r="B3962" s="22" t="s">
        <v>15344</v>
      </c>
      <c r="C3962" s="22" t="s">
        <v>1913</v>
      </c>
      <c r="E3962" s="24">
        <v>1995</v>
      </c>
      <c r="F3962" s="22" t="s">
        <v>1925</v>
      </c>
      <c r="G3962" s="23" t="s">
        <v>1926</v>
      </c>
      <c r="H3962" s="25" t="s">
        <v>15373</v>
      </c>
      <c r="I3962" s="22" t="s">
        <v>15709</v>
      </c>
      <c r="J3962" s="22" t="s">
        <v>10117</v>
      </c>
      <c r="K3962" s="26">
        <f t="shared" si="62"/>
        <v>500</v>
      </c>
      <c r="N3962" s="26">
        <v>750</v>
      </c>
      <c r="O3962" s="22" t="s">
        <v>1916</v>
      </c>
      <c r="P3962" s="22" t="s">
        <v>1879</v>
      </c>
      <c r="Q3962" s="22">
        <v>95696</v>
      </c>
      <c r="R3962" s="22" t="s">
        <v>1912</v>
      </c>
      <c r="S3962" s="22" t="s">
        <v>1908</v>
      </c>
      <c r="T3962" s="22">
        <v>8.17</v>
      </c>
      <c r="U3962" s="22">
        <v>0.38</v>
      </c>
      <c r="X3962" s="26"/>
      <c r="Y3962" s="26"/>
    </row>
    <row r="3963" spans="1:25" ht="37.5" x14ac:dyDescent="0.25">
      <c r="A3963" s="21">
        <v>4639</v>
      </c>
      <c r="B3963" s="22" t="s">
        <v>15344</v>
      </c>
      <c r="C3963" s="22" t="s">
        <v>1927</v>
      </c>
      <c r="E3963" s="24">
        <v>2000</v>
      </c>
      <c r="F3963" s="22" t="s">
        <v>1928</v>
      </c>
      <c r="G3963" s="23" t="s">
        <v>1929</v>
      </c>
      <c r="H3963" s="25" t="s">
        <v>15373</v>
      </c>
      <c r="I3963" s="22" t="s">
        <v>15709</v>
      </c>
      <c r="J3963" s="22" t="s">
        <v>1930</v>
      </c>
      <c r="K3963" s="26">
        <f t="shared" si="62"/>
        <v>375.33333333333331</v>
      </c>
      <c r="N3963" s="26">
        <v>563</v>
      </c>
      <c r="O3963" s="22" t="s">
        <v>1931</v>
      </c>
      <c r="P3963" s="22" t="s">
        <v>1932</v>
      </c>
      <c r="Q3963" s="22" t="s">
        <v>1933</v>
      </c>
      <c r="T3963" s="22">
        <v>6.9</v>
      </c>
      <c r="U3963" s="22">
        <v>0.4</v>
      </c>
      <c r="X3963" s="26"/>
      <c r="Y3963" s="26"/>
    </row>
    <row r="3964" spans="1:25" ht="37.5" x14ac:dyDescent="0.25">
      <c r="A3964" s="21">
        <v>4640</v>
      </c>
      <c r="B3964" s="22" t="s">
        <v>15344</v>
      </c>
      <c r="C3964" s="22" t="s">
        <v>1934</v>
      </c>
      <c r="E3964" s="24">
        <v>1995</v>
      </c>
      <c r="F3964" s="22" t="s">
        <v>1935</v>
      </c>
      <c r="G3964" s="23" t="s">
        <v>1936</v>
      </c>
      <c r="H3964" s="25" t="s">
        <v>16310</v>
      </c>
      <c r="I3964" s="22" t="s">
        <v>16160</v>
      </c>
      <c r="J3964" s="22" t="s">
        <v>1937</v>
      </c>
      <c r="K3964" s="26">
        <f t="shared" si="62"/>
        <v>733.33333333333326</v>
      </c>
      <c r="N3964" s="26">
        <v>1100</v>
      </c>
      <c r="O3964" s="22" t="s">
        <v>1938</v>
      </c>
      <c r="P3964" s="22" t="s">
        <v>1939</v>
      </c>
      <c r="Q3964" s="22">
        <v>95625</v>
      </c>
      <c r="T3964" s="22">
        <v>8.17</v>
      </c>
      <c r="U3964" s="22">
        <v>0.38</v>
      </c>
      <c r="X3964" s="26"/>
      <c r="Y3964" s="26"/>
    </row>
    <row r="3965" spans="1:25" ht="25" x14ac:dyDescent="0.25">
      <c r="A3965" s="21">
        <v>4641</v>
      </c>
      <c r="B3965" s="22" t="s">
        <v>15344</v>
      </c>
      <c r="C3965" s="22" t="s">
        <v>1934</v>
      </c>
      <c r="E3965" s="24">
        <v>1995</v>
      </c>
      <c r="F3965" s="22" t="s">
        <v>1940</v>
      </c>
      <c r="G3965" s="23" t="s">
        <v>1941</v>
      </c>
      <c r="H3965" s="25" t="s">
        <v>15373</v>
      </c>
      <c r="I3965" s="22" t="s">
        <v>15374</v>
      </c>
      <c r="J3965" s="22" t="s">
        <v>10290</v>
      </c>
      <c r="K3965" s="26">
        <f t="shared" si="62"/>
        <v>460</v>
      </c>
      <c r="N3965" s="26">
        <v>690</v>
      </c>
      <c r="O3965" s="22" t="s">
        <v>1942</v>
      </c>
      <c r="P3965" s="22" t="s">
        <v>1879</v>
      </c>
      <c r="Q3965" s="22" t="s">
        <v>1943</v>
      </c>
      <c r="T3965" s="22">
        <v>8.17</v>
      </c>
      <c r="U3965" s="22">
        <v>0.38</v>
      </c>
      <c r="X3965" s="26"/>
      <c r="Y3965" s="26"/>
    </row>
    <row r="3966" spans="1:25" ht="37.5" x14ac:dyDescent="0.25">
      <c r="A3966" s="21">
        <v>4642</v>
      </c>
      <c r="B3966" s="22" t="s">
        <v>15344</v>
      </c>
      <c r="C3966" s="22" t="s">
        <v>1944</v>
      </c>
      <c r="E3966" s="24">
        <v>1995</v>
      </c>
      <c r="F3966" s="22" t="s">
        <v>1945</v>
      </c>
      <c r="G3966" s="23" t="s">
        <v>1946</v>
      </c>
      <c r="H3966" s="25" t="s">
        <v>15373</v>
      </c>
      <c r="I3966" s="22" t="s">
        <v>15382</v>
      </c>
      <c r="J3966" s="22" t="s">
        <v>1947</v>
      </c>
      <c r="K3966" s="26">
        <f t="shared" si="62"/>
        <v>566.66666666666663</v>
      </c>
      <c r="N3966" s="26">
        <v>850</v>
      </c>
      <c r="O3966" s="22" t="s">
        <v>1948</v>
      </c>
      <c r="P3966" s="22" t="s">
        <v>1355</v>
      </c>
      <c r="Q3966" s="22" t="s">
        <v>1949</v>
      </c>
      <c r="T3966" s="22">
        <v>8.17</v>
      </c>
      <c r="U3966" s="22">
        <v>0.38</v>
      </c>
      <c r="X3966" s="26"/>
      <c r="Y3966" s="26"/>
    </row>
    <row r="3967" spans="1:25" ht="37.5" x14ac:dyDescent="0.25">
      <c r="A3967" s="21">
        <v>4643</v>
      </c>
      <c r="B3967" s="22" t="s">
        <v>15344</v>
      </c>
      <c r="C3967" s="22" t="s">
        <v>1944</v>
      </c>
      <c r="E3967" s="24">
        <v>1995</v>
      </c>
      <c r="F3967" s="22" t="s">
        <v>1950</v>
      </c>
      <c r="G3967" s="23" t="s">
        <v>1951</v>
      </c>
      <c r="H3967" s="25" t="s">
        <v>15373</v>
      </c>
      <c r="I3967" s="22" t="s">
        <v>15411</v>
      </c>
      <c r="J3967" s="22" t="s">
        <v>10125</v>
      </c>
      <c r="K3967" s="26">
        <f t="shared" si="62"/>
        <v>553.33333333333326</v>
      </c>
      <c r="N3967" s="26">
        <v>830</v>
      </c>
      <c r="O3967" s="22" t="s">
        <v>1952</v>
      </c>
      <c r="P3967" s="22" t="s">
        <v>1355</v>
      </c>
      <c r="Q3967" s="22" t="s">
        <v>1949</v>
      </c>
      <c r="T3967" s="22">
        <v>8.17</v>
      </c>
      <c r="U3967" s="22">
        <v>0.38</v>
      </c>
      <c r="X3967" s="26"/>
      <c r="Y3967" s="26"/>
    </row>
    <row r="3968" spans="1:25" ht="37.5" x14ac:dyDescent="0.25">
      <c r="A3968" s="21">
        <v>4644</v>
      </c>
      <c r="B3968" s="22" t="s">
        <v>15344</v>
      </c>
      <c r="C3968" s="22" t="s">
        <v>1944</v>
      </c>
      <c r="E3968" s="24">
        <v>1995</v>
      </c>
      <c r="F3968" s="22" t="s">
        <v>1953</v>
      </c>
      <c r="G3968" s="23" t="s">
        <v>1954</v>
      </c>
      <c r="H3968" s="25" t="s">
        <v>15373</v>
      </c>
      <c r="I3968" s="22" t="s">
        <v>15411</v>
      </c>
      <c r="J3968" s="22" t="s">
        <v>10125</v>
      </c>
      <c r="K3968" s="26">
        <f t="shared" si="62"/>
        <v>494</v>
      </c>
      <c r="N3968" s="26">
        <v>741</v>
      </c>
      <c r="O3968" s="22" t="s">
        <v>1955</v>
      </c>
      <c r="P3968" s="22" t="s">
        <v>1355</v>
      </c>
      <c r="Q3968" s="22" t="s">
        <v>1949</v>
      </c>
      <c r="T3968" s="22">
        <v>8.17</v>
      </c>
      <c r="U3968" s="22">
        <v>0.38</v>
      </c>
      <c r="X3968" s="26"/>
      <c r="Y3968" s="26"/>
    </row>
    <row r="3969" spans="1:25" ht="25" x14ac:dyDescent="0.25">
      <c r="A3969" s="21">
        <v>4645</v>
      </c>
      <c r="B3969" s="22" t="s">
        <v>15344</v>
      </c>
      <c r="C3969" s="22" t="s">
        <v>1944</v>
      </c>
      <c r="E3969" s="24">
        <v>2000</v>
      </c>
      <c r="F3969" s="22" t="s">
        <v>1956</v>
      </c>
      <c r="G3969" s="23" t="s">
        <v>1957</v>
      </c>
      <c r="H3969" s="25" t="s">
        <v>15373</v>
      </c>
      <c r="I3969" s="22" t="s">
        <v>15411</v>
      </c>
      <c r="J3969" s="22" t="s">
        <v>8146</v>
      </c>
      <c r="K3969" s="26">
        <f t="shared" si="62"/>
        <v>456.66666666666663</v>
      </c>
      <c r="N3969" s="26">
        <v>685</v>
      </c>
      <c r="O3969" s="22" t="s">
        <v>1958</v>
      </c>
      <c r="P3969" s="22" t="s">
        <v>1355</v>
      </c>
      <c r="Q3969" s="22" t="s">
        <v>1949</v>
      </c>
      <c r="T3969" s="22">
        <v>6.9</v>
      </c>
      <c r="U3969" s="22">
        <v>0.4</v>
      </c>
      <c r="X3969" s="26"/>
      <c r="Y3969" s="26"/>
    </row>
    <row r="3970" spans="1:25" ht="25" x14ac:dyDescent="0.25">
      <c r="A3970" s="21">
        <v>4646</v>
      </c>
      <c r="B3970" s="22" t="s">
        <v>15344</v>
      </c>
      <c r="C3970" s="22" t="s">
        <v>1959</v>
      </c>
      <c r="E3970" s="24">
        <v>1995</v>
      </c>
      <c r="F3970" s="22" t="s">
        <v>1960</v>
      </c>
      <c r="G3970" s="23" t="s">
        <v>1961</v>
      </c>
      <c r="H3970" s="25" t="s">
        <v>15373</v>
      </c>
      <c r="I3970" s="22" t="s">
        <v>15374</v>
      </c>
      <c r="J3970" s="22" t="s">
        <v>1962</v>
      </c>
      <c r="K3970" s="26">
        <f t="shared" si="62"/>
        <v>593.33333333333326</v>
      </c>
      <c r="N3970" s="26">
        <v>890</v>
      </c>
      <c r="O3970" s="22" t="s">
        <v>1963</v>
      </c>
      <c r="P3970" s="22" t="s">
        <v>1964</v>
      </c>
      <c r="Q3970" s="22" t="s">
        <v>1965</v>
      </c>
      <c r="T3970" s="22">
        <v>8.17</v>
      </c>
      <c r="U3970" s="22">
        <v>0.38</v>
      </c>
      <c r="X3970" s="26"/>
      <c r="Y3970" s="26"/>
    </row>
    <row r="3971" spans="1:25" ht="37.5" x14ac:dyDescent="0.25">
      <c r="A3971" s="21">
        <v>4647</v>
      </c>
      <c r="B3971" s="22" t="s">
        <v>15344</v>
      </c>
      <c r="C3971" s="22" t="s">
        <v>1966</v>
      </c>
      <c r="E3971" s="24">
        <v>1997</v>
      </c>
      <c r="F3971" s="22" t="s">
        <v>1967</v>
      </c>
      <c r="G3971" s="23" t="s">
        <v>1968</v>
      </c>
      <c r="H3971" s="25" t="s">
        <v>15373</v>
      </c>
      <c r="I3971" s="22" t="s">
        <v>15411</v>
      </c>
      <c r="J3971" s="22" t="s">
        <v>16469</v>
      </c>
      <c r="K3971" s="26">
        <f t="shared" si="62"/>
        <v>1956.6666666666665</v>
      </c>
      <c r="N3971" s="26">
        <v>2935</v>
      </c>
      <c r="O3971" s="22" t="s">
        <v>1969</v>
      </c>
      <c r="P3971" s="22" t="s">
        <v>1879</v>
      </c>
      <c r="Q3971" s="22" t="s">
        <v>1943</v>
      </c>
      <c r="T3971" s="22">
        <v>8.17</v>
      </c>
      <c r="U3971" s="22">
        <v>0.38</v>
      </c>
      <c r="X3971" s="26"/>
      <c r="Y3971" s="26"/>
    </row>
    <row r="3972" spans="1:25" ht="37.5" x14ac:dyDescent="0.25">
      <c r="A3972" s="21">
        <v>4648</v>
      </c>
      <c r="B3972" s="22" t="s">
        <v>15344</v>
      </c>
      <c r="C3972" s="22" t="s">
        <v>1966</v>
      </c>
      <c r="E3972" s="24">
        <v>1997</v>
      </c>
      <c r="F3972" s="22" t="s">
        <v>1970</v>
      </c>
      <c r="G3972" s="23" t="s">
        <v>1971</v>
      </c>
      <c r="H3972" s="25" t="s">
        <v>15373</v>
      </c>
      <c r="I3972" s="22" t="s">
        <v>15411</v>
      </c>
      <c r="J3972" s="22" t="s">
        <v>16469</v>
      </c>
      <c r="K3972" s="26">
        <f t="shared" si="62"/>
        <v>1956.6666666666665</v>
      </c>
      <c r="N3972" s="26">
        <v>2935</v>
      </c>
      <c r="O3972" s="22" t="s">
        <v>1969</v>
      </c>
      <c r="P3972" s="22" t="s">
        <v>1879</v>
      </c>
      <c r="Q3972" s="22" t="s">
        <v>1943</v>
      </c>
      <c r="T3972" s="22">
        <v>8.17</v>
      </c>
      <c r="U3972" s="22">
        <v>0.38</v>
      </c>
      <c r="X3972" s="26"/>
      <c r="Y3972" s="26"/>
    </row>
    <row r="3973" spans="1:25" ht="37.5" x14ac:dyDescent="0.25">
      <c r="A3973" s="21">
        <v>4649</v>
      </c>
      <c r="B3973" s="22" t="s">
        <v>15344</v>
      </c>
      <c r="C3973" s="22" t="s">
        <v>1972</v>
      </c>
      <c r="E3973" s="24">
        <v>2000</v>
      </c>
      <c r="F3973" s="22" t="s">
        <v>1973</v>
      </c>
      <c r="G3973" s="23" t="s">
        <v>1974</v>
      </c>
      <c r="H3973" s="25" t="s">
        <v>15373</v>
      </c>
      <c r="I3973" s="22" t="s">
        <v>15411</v>
      </c>
      <c r="J3973" s="22" t="s">
        <v>15124</v>
      </c>
      <c r="K3973" s="26">
        <f t="shared" si="62"/>
        <v>730</v>
      </c>
      <c r="N3973" s="26">
        <v>1095</v>
      </c>
      <c r="O3973" s="22" t="s">
        <v>1975</v>
      </c>
      <c r="P3973" s="22" t="s">
        <v>1886</v>
      </c>
      <c r="Q3973" s="22" t="s">
        <v>1887</v>
      </c>
      <c r="T3973" s="22">
        <v>6.9</v>
      </c>
      <c r="U3973" s="22">
        <v>0.4</v>
      </c>
      <c r="X3973" s="26"/>
      <c r="Y3973" s="26"/>
    </row>
    <row r="3974" spans="1:25" ht="37.5" x14ac:dyDescent="0.25">
      <c r="A3974" s="21">
        <v>4650</v>
      </c>
      <c r="B3974" s="22" t="s">
        <v>15344</v>
      </c>
      <c r="C3974" s="22" t="s">
        <v>1976</v>
      </c>
      <c r="E3974" s="24">
        <v>1996</v>
      </c>
      <c r="F3974" s="22" t="s">
        <v>1977</v>
      </c>
      <c r="G3974" s="23" t="s">
        <v>1978</v>
      </c>
      <c r="H3974" s="25" t="s">
        <v>15373</v>
      </c>
      <c r="I3974" s="22" t="s">
        <v>15411</v>
      </c>
      <c r="J3974" s="22" t="s">
        <v>1979</v>
      </c>
      <c r="K3974" s="26">
        <f t="shared" si="62"/>
        <v>1033.3333333333333</v>
      </c>
      <c r="N3974" s="26">
        <v>1550</v>
      </c>
      <c r="O3974" s="22" t="s">
        <v>1980</v>
      </c>
      <c r="P3974" s="22" t="s">
        <v>1879</v>
      </c>
      <c r="Q3974" s="22" t="s">
        <v>1880</v>
      </c>
      <c r="T3974" s="22">
        <v>8.17</v>
      </c>
      <c r="U3974" s="22">
        <v>0.38</v>
      </c>
      <c r="X3974" s="26"/>
      <c r="Y3974" s="26"/>
    </row>
    <row r="3975" spans="1:25" ht="37.5" x14ac:dyDescent="0.25">
      <c r="A3975" s="21">
        <v>4651</v>
      </c>
      <c r="B3975" s="22" t="s">
        <v>15344</v>
      </c>
      <c r="C3975" s="22" t="s">
        <v>1981</v>
      </c>
      <c r="E3975" s="24">
        <v>1995</v>
      </c>
      <c r="F3975" s="22" t="s">
        <v>1982</v>
      </c>
      <c r="G3975" s="23" t="s">
        <v>1983</v>
      </c>
      <c r="H3975" s="25" t="s">
        <v>15373</v>
      </c>
      <c r="I3975" s="22" t="s">
        <v>15382</v>
      </c>
      <c r="J3975" s="22" t="s">
        <v>7395</v>
      </c>
      <c r="K3975" s="26">
        <f t="shared" si="62"/>
        <v>770</v>
      </c>
      <c r="N3975" s="26">
        <v>1155</v>
      </c>
      <c r="O3975" s="22" t="s">
        <v>1984</v>
      </c>
      <c r="P3975" s="22" t="s">
        <v>1355</v>
      </c>
      <c r="Q3975" s="22">
        <v>95605</v>
      </c>
      <c r="T3975" s="22">
        <v>8.17</v>
      </c>
      <c r="U3975" s="22">
        <v>0.38</v>
      </c>
      <c r="X3975" s="26"/>
      <c r="Y3975" s="26"/>
    </row>
    <row r="3976" spans="1:25" ht="25" x14ac:dyDescent="0.25">
      <c r="A3976" s="21">
        <v>4652</v>
      </c>
      <c r="B3976" s="22" t="s">
        <v>15344</v>
      </c>
      <c r="C3976" s="22" t="s">
        <v>1985</v>
      </c>
      <c r="E3976" s="24">
        <v>1994</v>
      </c>
      <c r="F3976" s="22" t="s">
        <v>1986</v>
      </c>
      <c r="G3976" s="23" t="s">
        <v>1987</v>
      </c>
      <c r="H3976" s="25" t="s">
        <v>15373</v>
      </c>
      <c r="I3976" s="22" t="s">
        <v>15382</v>
      </c>
      <c r="J3976" s="22" t="s">
        <v>15723</v>
      </c>
      <c r="K3976" s="26">
        <f t="shared" si="62"/>
        <v>1233.3333333333333</v>
      </c>
      <c r="N3976" s="26">
        <v>1850</v>
      </c>
      <c r="O3976" s="22" t="s">
        <v>1988</v>
      </c>
      <c r="P3976" s="22" t="s">
        <v>1355</v>
      </c>
      <c r="Q3976" s="22" t="s">
        <v>1949</v>
      </c>
      <c r="T3976" s="22">
        <v>8.17</v>
      </c>
      <c r="U3976" s="22">
        <v>0.38</v>
      </c>
      <c r="X3976" s="26"/>
      <c r="Y3976" s="26"/>
    </row>
    <row r="3977" spans="1:25" ht="25" x14ac:dyDescent="0.25">
      <c r="A3977" s="21">
        <v>4653</v>
      </c>
      <c r="B3977" s="22" t="s">
        <v>15344</v>
      </c>
      <c r="C3977" s="22" t="s">
        <v>1985</v>
      </c>
      <c r="E3977" s="24">
        <v>1994</v>
      </c>
      <c r="F3977" s="22" t="s">
        <v>1989</v>
      </c>
      <c r="G3977" s="23" t="s">
        <v>1990</v>
      </c>
      <c r="H3977" s="25" t="s">
        <v>15373</v>
      </c>
      <c r="I3977" s="22" t="s">
        <v>15382</v>
      </c>
      <c r="J3977" s="22" t="s">
        <v>15723</v>
      </c>
      <c r="K3977" s="26">
        <f t="shared" si="62"/>
        <v>1233.3333333333333</v>
      </c>
      <c r="N3977" s="26">
        <v>1850</v>
      </c>
      <c r="O3977" s="22" t="s">
        <v>1988</v>
      </c>
      <c r="P3977" s="22" t="s">
        <v>1355</v>
      </c>
      <c r="Q3977" s="22" t="s">
        <v>1949</v>
      </c>
      <c r="T3977" s="22">
        <v>8.17</v>
      </c>
      <c r="U3977" s="22">
        <v>0.38</v>
      </c>
      <c r="X3977" s="26"/>
      <c r="Y3977" s="26"/>
    </row>
    <row r="3978" spans="1:25" ht="25" x14ac:dyDescent="0.25">
      <c r="A3978" s="21">
        <v>4654</v>
      </c>
      <c r="B3978" s="22" t="s">
        <v>15344</v>
      </c>
      <c r="C3978" s="22" t="s">
        <v>1985</v>
      </c>
      <c r="E3978" s="24">
        <v>1994</v>
      </c>
      <c r="F3978" s="22" t="s">
        <v>1991</v>
      </c>
      <c r="G3978" s="23" t="s">
        <v>1992</v>
      </c>
      <c r="H3978" s="25" t="s">
        <v>15373</v>
      </c>
      <c r="I3978" s="22" t="s">
        <v>15382</v>
      </c>
      <c r="J3978" s="22" t="s">
        <v>15723</v>
      </c>
      <c r="K3978" s="26">
        <f t="shared" si="62"/>
        <v>1233.3333333333333</v>
      </c>
      <c r="N3978" s="26">
        <v>1850</v>
      </c>
      <c r="O3978" s="22" t="s">
        <v>1988</v>
      </c>
      <c r="P3978" s="22" t="s">
        <v>1355</v>
      </c>
      <c r="Q3978" s="22" t="s">
        <v>1949</v>
      </c>
      <c r="T3978" s="22">
        <v>8.17</v>
      </c>
      <c r="U3978" s="22">
        <v>0.38</v>
      </c>
      <c r="X3978" s="26"/>
      <c r="Y3978" s="26"/>
    </row>
    <row r="3979" spans="1:25" ht="25" x14ac:dyDescent="0.25">
      <c r="A3979" s="21">
        <v>4655</v>
      </c>
      <c r="B3979" s="22" t="s">
        <v>15344</v>
      </c>
      <c r="C3979" s="22" t="s">
        <v>1985</v>
      </c>
      <c r="E3979" s="24">
        <v>1994</v>
      </c>
      <c r="F3979" s="22" t="s">
        <v>1993</v>
      </c>
      <c r="G3979" s="23" t="s">
        <v>1994</v>
      </c>
      <c r="H3979" s="25" t="s">
        <v>15373</v>
      </c>
      <c r="I3979" s="22" t="s">
        <v>15382</v>
      </c>
      <c r="J3979" s="22" t="s">
        <v>15723</v>
      </c>
      <c r="K3979" s="26">
        <f t="shared" si="62"/>
        <v>1233.3333333333333</v>
      </c>
      <c r="N3979" s="26">
        <v>1850</v>
      </c>
      <c r="O3979" s="22" t="s">
        <v>1988</v>
      </c>
      <c r="P3979" s="22" t="s">
        <v>1355</v>
      </c>
      <c r="Q3979" s="22" t="s">
        <v>1949</v>
      </c>
      <c r="T3979" s="22">
        <v>8.17</v>
      </c>
      <c r="U3979" s="22">
        <v>0.38</v>
      </c>
      <c r="X3979" s="26"/>
      <c r="Y3979" s="26"/>
    </row>
    <row r="3980" spans="1:25" ht="25" x14ac:dyDescent="0.25">
      <c r="A3980" s="21">
        <v>4656</v>
      </c>
      <c r="B3980" s="22" t="s">
        <v>15344</v>
      </c>
      <c r="C3980" s="22" t="s">
        <v>1995</v>
      </c>
      <c r="E3980" s="24">
        <v>1999</v>
      </c>
      <c r="F3980" s="22" t="s">
        <v>1996</v>
      </c>
      <c r="G3980" s="23" t="s">
        <v>1997</v>
      </c>
      <c r="H3980" s="25" t="s">
        <v>15373</v>
      </c>
      <c r="I3980" s="22" t="s">
        <v>15374</v>
      </c>
      <c r="J3980" s="22" t="s">
        <v>10290</v>
      </c>
      <c r="K3980" s="26">
        <f t="shared" si="62"/>
        <v>597.33333333333326</v>
      </c>
      <c r="N3980" s="26">
        <v>896</v>
      </c>
      <c r="O3980" s="22" t="s">
        <v>1998</v>
      </c>
      <c r="P3980" s="22" t="s">
        <v>1355</v>
      </c>
      <c r="Q3980" s="22" t="s">
        <v>1949</v>
      </c>
      <c r="T3980" s="22">
        <v>8.17</v>
      </c>
      <c r="U3980" s="22">
        <v>0.38</v>
      </c>
      <c r="X3980" s="26"/>
      <c r="Y3980" s="26"/>
    </row>
    <row r="3981" spans="1:25" ht="37.5" x14ac:dyDescent="0.25">
      <c r="A3981" s="21">
        <v>4657</v>
      </c>
      <c r="B3981" s="22" t="s">
        <v>15344</v>
      </c>
      <c r="C3981" s="22" t="s">
        <v>3936</v>
      </c>
      <c r="E3981" s="24">
        <v>1996</v>
      </c>
      <c r="F3981" s="22" t="s">
        <v>1999</v>
      </c>
      <c r="G3981" s="23" t="s">
        <v>2000</v>
      </c>
      <c r="H3981" s="25" t="s">
        <v>15373</v>
      </c>
      <c r="I3981" s="22" t="s">
        <v>15411</v>
      </c>
      <c r="J3981" s="22" t="s">
        <v>2001</v>
      </c>
      <c r="K3981" s="26">
        <f t="shared" si="62"/>
        <v>1166.6666666666665</v>
      </c>
      <c r="N3981" s="26">
        <v>1750</v>
      </c>
      <c r="O3981" s="22" t="s">
        <v>2002</v>
      </c>
      <c r="P3981" s="22" t="s">
        <v>1355</v>
      </c>
      <c r="Q3981" s="22" t="s">
        <v>1949</v>
      </c>
      <c r="T3981" s="22">
        <v>8.17</v>
      </c>
      <c r="U3981" s="22">
        <v>0.38</v>
      </c>
      <c r="X3981" s="26"/>
      <c r="Y3981" s="26"/>
    </row>
    <row r="3982" spans="1:25" ht="37.5" x14ac:dyDescent="0.25">
      <c r="A3982" s="21">
        <v>4658</v>
      </c>
      <c r="B3982" s="22" t="s">
        <v>15344</v>
      </c>
      <c r="C3982" s="22" t="s">
        <v>3936</v>
      </c>
      <c r="E3982" s="24">
        <v>1999</v>
      </c>
      <c r="F3982" s="22" t="s">
        <v>2003</v>
      </c>
      <c r="G3982" s="23" t="s">
        <v>2004</v>
      </c>
      <c r="H3982" s="25" t="s">
        <v>15373</v>
      </c>
      <c r="I3982" s="22" t="s">
        <v>15411</v>
      </c>
      <c r="J3982" s="22" t="s">
        <v>16276</v>
      </c>
      <c r="K3982" s="26">
        <f t="shared" si="62"/>
        <v>327.33333333333331</v>
      </c>
      <c r="N3982" s="26">
        <v>491</v>
      </c>
      <c r="O3982" s="22" t="s">
        <v>2005</v>
      </c>
      <c r="P3982" s="22" t="s">
        <v>1879</v>
      </c>
      <c r="Q3982" s="22" t="s">
        <v>1880</v>
      </c>
      <c r="T3982" s="22">
        <v>6.9</v>
      </c>
      <c r="U3982" s="22">
        <v>0.4</v>
      </c>
      <c r="X3982" s="26"/>
      <c r="Y3982" s="26"/>
    </row>
    <row r="3983" spans="1:25" ht="37.5" x14ac:dyDescent="0.25">
      <c r="A3983" s="21">
        <v>4659</v>
      </c>
      <c r="B3983" s="22" t="s">
        <v>15344</v>
      </c>
      <c r="C3983" s="22" t="s">
        <v>2006</v>
      </c>
      <c r="E3983" s="24">
        <v>1997</v>
      </c>
      <c r="F3983" s="22" t="s">
        <v>2007</v>
      </c>
      <c r="G3983" s="23" t="s">
        <v>2008</v>
      </c>
      <c r="H3983" s="25" t="s">
        <v>15373</v>
      </c>
      <c r="I3983" s="22" t="s">
        <v>15374</v>
      </c>
      <c r="J3983" s="22" t="s">
        <v>10290</v>
      </c>
      <c r="K3983" s="26">
        <f t="shared" si="62"/>
        <v>597.33333333333326</v>
      </c>
      <c r="N3983" s="26">
        <v>896</v>
      </c>
      <c r="O3983" s="22" t="s">
        <v>2009</v>
      </c>
      <c r="P3983" s="22" t="s">
        <v>1355</v>
      </c>
      <c r="Q3983" s="22" t="s">
        <v>1873</v>
      </c>
      <c r="T3983" s="22">
        <v>8.17</v>
      </c>
      <c r="U3983" s="22">
        <v>0.38</v>
      </c>
      <c r="X3983" s="26"/>
      <c r="Y3983" s="26"/>
    </row>
    <row r="3984" spans="1:25" ht="25" x14ac:dyDescent="0.25">
      <c r="A3984" s="21">
        <v>4660</v>
      </c>
      <c r="B3984" s="22" t="s">
        <v>15344</v>
      </c>
      <c r="C3984" s="22" t="s">
        <v>2010</v>
      </c>
      <c r="E3984" s="24">
        <v>1994</v>
      </c>
      <c r="F3984" s="22" t="s">
        <v>2011</v>
      </c>
      <c r="G3984" s="23" t="s">
        <v>2012</v>
      </c>
      <c r="H3984" s="25" t="s">
        <v>15373</v>
      </c>
      <c r="I3984" s="22" t="s">
        <v>15411</v>
      </c>
      <c r="J3984" s="22" t="s">
        <v>16884</v>
      </c>
      <c r="K3984" s="26">
        <f t="shared" si="62"/>
        <v>400</v>
      </c>
      <c r="N3984" s="26">
        <v>600</v>
      </c>
      <c r="O3984" s="22" t="s">
        <v>2013</v>
      </c>
      <c r="P3984" s="22" t="s">
        <v>1355</v>
      </c>
      <c r="Q3984" s="22">
        <v>95691</v>
      </c>
      <c r="T3984" s="22">
        <v>8.17</v>
      </c>
      <c r="U3984" s="22">
        <v>0.38</v>
      </c>
      <c r="X3984" s="26"/>
      <c r="Y3984" s="26"/>
    </row>
    <row r="3985" spans="1:25" ht="25" x14ac:dyDescent="0.25">
      <c r="A3985" s="21">
        <v>4661</v>
      </c>
      <c r="B3985" s="22" t="s">
        <v>15344</v>
      </c>
      <c r="C3985" s="22" t="s">
        <v>2014</v>
      </c>
      <c r="E3985" s="24">
        <v>2001</v>
      </c>
      <c r="F3985" s="22" t="s">
        <v>2015</v>
      </c>
      <c r="G3985" s="23" t="s">
        <v>2016</v>
      </c>
      <c r="H3985" s="25" t="s">
        <v>15373</v>
      </c>
      <c r="I3985" s="22" t="s">
        <v>15374</v>
      </c>
      <c r="J3985" s="22" t="s">
        <v>11983</v>
      </c>
      <c r="K3985" s="26">
        <f t="shared" si="62"/>
        <v>986.66666666666663</v>
      </c>
      <c r="N3985" s="26">
        <v>1480</v>
      </c>
      <c r="O3985" s="22" t="s">
        <v>2017</v>
      </c>
      <c r="P3985" s="22" t="s">
        <v>1355</v>
      </c>
      <c r="Q3985" s="22" t="s">
        <v>1873</v>
      </c>
      <c r="T3985" s="22">
        <v>6.9</v>
      </c>
      <c r="U3985" s="22">
        <v>0.4</v>
      </c>
      <c r="X3985" s="26"/>
      <c r="Y3985" s="26"/>
    </row>
    <row r="3986" spans="1:25" ht="25" x14ac:dyDescent="0.25">
      <c r="A3986" s="21">
        <v>4662</v>
      </c>
      <c r="B3986" s="22" t="s">
        <v>15344</v>
      </c>
      <c r="C3986" s="22" t="s">
        <v>2018</v>
      </c>
      <c r="E3986" s="24">
        <v>1994</v>
      </c>
      <c r="F3986" s="22" t="s">
        <v>2019</v>
      </c>
      <c r="G3986" s="23" t="s">
        <v>2020</v>
      </c>
      <c r="H3986" s="25" t="s">
        <v>15373</v>
      </c>
      <c r="I3986" s="22" t="s">
        <v>15382</v>
      </c>
      <c r="J3986" s="22" t="s">
        <v>9774</v>
      </c>
      <c r="K3986" s="26">
        <f t="shared" si="62"/>
        <v>1080</v>
      </c>
      <c r="N3986" s="26">
        <v>1620</v>
      </c>
      <c r="O3986" s="22" t="s">
        <v>2021</v>
      </c>
      <c r="P3986" s="22" t="s">
        <v>2022</v>
      </c>
      <c r="Q3986" s="22" t="s">
        <v>2023</v>
      </c>
      <c r="T3986" s="22">
        <v>8.17</v>
      </c>
      <c r="U3986" s="22">
        <v>0.38</v>
      </c>
      <c r="X3986" s="26"/>
      <c r="Y3986" s="26"/>
    </row>
    <row r="3987" spans="1:25" ht="37.5" x14ac:dyDescent="0.25">
      <c r="A3987" s="21">
        <v>4663</v>
      </c>
      <c r="B3987" s="22" t="s">
        <v>15344</v>
      </c>
      <c r="C3987" s="22" t="s">
        <v>2024</v>
      </c>
      <c r="E3987" s="24">
        <v>1997</v>
      </c>
      <c r="F3987" s="22" t="s">
        <v>2025</v>
      </c>
      <c r="G3987" s="23" t="s">
        <v>2026</v>
      </c>
      <c r="H3987" s="25" t="s">
        <v>15373</v>
      </c>
      <c r="I3987" s="22" t="s">
        <v>15382</v>
      </c>
      <c r="J3987" s="22" t="s">
        <v>14850</v>
      </c>
      <c r="K3987" s="26">
        <f t="shared" si="62"/>
        <v>310</v>
      </c>
      <c r="N3987" s="26">
        <v>465</v>
      </c>
      <c r="O3987" s="22" t="s">
        <v>2027</v>
      </c>
      <c r="P3987" s="22" t="s">
        <v>1964</v>
      </c>
      <c r="Q3987" s="22">
        <v>95776</v>
      </c>
      <c r="T3987" s="22">
        <v>6.9</v>
      </c>
      <c r="U3987" s="22">
        <v>0.4</v>
      </c>
      <c r="X3987" s="26"/>
      <c r="Y3987" s="26"/>
    </row>
    <row r="3988" spans="1:25" ht="37.5" x14ac:dyDescent="0.25">
      <c r="A3988" s="21">
        <v>4664</v>
      </c>
      <c r="B3988" s="22" t="s">
        <v>15344</v>
      </c>
      <c r="C3988" s="22" t="s">
        <v>2028</v>
      </c>
      <c r="E3988" s="24">
        <v>1998</v>
      </c>
      <c r="F3988" s="22" t="s">
        <v>2029</v>
      </c>
      <c r="G3988" s="23" t="s">
        <v>2030</v>
      </c>
      <c r="H3988" s="25" t="s">
        <v>15373</v>
      </c>
      <c r="I3988" s="22" t="s">
        <v>15374</v>
      </c>
      <c r="J3988" s="22" t="s">
        <v>10290</v>
      </c>
      <c r="K3988" s="26">
        <f t="shared" si="62"/>
        <v>739.33333333333326</v>
      </c>
      <c r="N3988" s="26">
        <v>1109</v>
      </c>
      <c r="O3988" s="22" t="s">
        <v>2031</v>
      </c>
      <c r="P3988" s="22" t="s">
        <v>1355</v>
      </c>
      <c r="Q3988" s="22" t="s">
        <v>1949</v>
      </c>
      <c r="T3988" s="22">
        <v>8.17</v>
      </c>
      <c r="U3988" s="22">
        <v>0.38</v>
      </c>
      <c r="X3988" s="26"/>
      <c r="Y3988" s="26"/>
    </row>
    <row r="3989" spans="1:25" ht="37.5" x14ac:dyDescent="0.25">
      <c r="A3989" s="21">
        <v>4665</v>
      </c>
      <c r="B3989" s="22" t="s">
        <v>15344</v>
      </c>
      <c r="C3989" s="22" t="s">
        <v>2032</v>
      </c>
      <c r="E3989" s="24">
        <v>1999</v>
      </c>
      <c r="F3989" s="22" t="s">
        <v>2033</v>
      </c>
      <c r="G3989" s="23" t="s">
        <v>2034</v>
      </c>
      <c r="H3989" s="25" t="s">
        <v>15373</v>
      </c>
      <c r="I3989" s="22" t="s">
        <v>15411</v>
      </c>
      <c r="J3989" s="22" t="s">
        <v>13002</v>
      </c>
      <c r="K3989" s="26">
        <f t="shared" si="62"/>
        <v>1033.3333333333333</v>
      </c>
      <c r="N3989" s="26">
        <v>1550</v>
      </c>
      <c r="O3989" s="22" t="s">
        <v>2035</v>
      </c>
      <c r="P3989" s="22" t="s">
        <v>2022</v>
      </c>
      <c r="Q3989" s="22" t="s">
        <v>2023</v>
      </c>
      <c r="T3989" s="22">
        <v>8.17</v>
      </c>
      <c r="U3989" s="22">
        <v>0.38</v>
      </c>
      <c r="X3989" s="26"/>
      <c r="Y3989" s="26"/>
    </row>
    <row r="3990" spans="1:25" ht="37.5" x14ac:dyDescent="0.25">
      <c r="A3990" s="21">
        <v>4666</v>
      </c>
      <c r="B3990" s="22" t="s">
        <v>15344</v>
      </c>
      <c r="C3990" s="22" t="s">
        <v>2032</v>
      </c>
      <c r="E3990" s="24">
        <v>1997</v>
      </c>
      <c r="F3990" s="22" t="s">
        <v>2036</v>
      </c>
      <c r="G3990" s="23" t="s">
        <v>2037</v>
      </c>
      <c r="H3990" s="25" t="s">
        <v>15373</v>
      </c>
      <c r="I3990" s="22" t="s">
        <v>15411</v>
      </c>
      <c r="J3990" s="22" t="s">
        <v>15744</v>
      </c>
      <c r="K3990" s="26">
        <f t="shared" si="62"/>
        <v>834.66666666666663</v>
      </c>
      <c r="N3990" s="26">
        <v>1252</v>
      </c>
      <c r="O3990" s="22" t="s">
        <v>2038</v>
      </c>
      <c r="P3990" s="22" t="s">
        <v>2022</v>
      </c>
      <c r="Q3990" s="22" t="s">
        <v>2023</v>
      </c>
      <c r="T3990" s="22">
        <v>8.17</v>
      </c>
      <c r="U3990" s="22">
        <v>0.38</v>
      </c>
      <c r="X3990" s="26"/>
      <c r="Y3990" s="26"/>
    </row>
    <row r="3991" spans="1:25" ht="25" x14ac:dyDescent="0.25">
      <c r="A3991" s="21">
        <v>4667</v>
      </c>
      <c r="B3991" s="22" t="s">
        <v>15344</v>
      </c>
      <c r="C3991" s="22" t="s">
        <v>2032</v>
      </c>
      <c r="E3991" s="24">
        <v>2001</v>
      </c>
      <c r="F3991" s="22" t="s">
        <v>2039</v>
      </c>
      <c r="G3991" s="23" t="s">
        <v>2040</v>
      </c>
      <c r="H3991" s="25" t="s">
        <v>15373</v>
      </c>
      <c r="I3991" s="22" t="s">
        <v>15382</v>
      </c>
      <c r="J3991" s="22" t="s">
        <v>14659</v>
      </c>
      <c r="K3991" s="26">
        <f t="shared" si="62"/>
        <v>500</v>
      </c>
      <c r="N3991" s="26">
        <v>750</v>
      </c>
      <c r="O3991" s="22" t="s">
        <v>2041</v>
      </c>
      <c r="P3991" s="22" t="s">
        <v>2022</v>
      </c>
      <c r="Q3991" s="22" t="s">
        <v>2023</v>
      </c>
      <c r="T3991" s="22">
        <v>6.9</v>
      </c>
      <c r="U3991" s="22">
        <v>0.4</v>
      </c>
      <c r="X3991" s="26"/>
      <c r="Y3991" s="26"/>
    </row>
    <row r="3992" spans="1:25" ht="37.5" x14ac:dyDescent="0.25">
      <c r="A3992" s="21">
        <v>4668</v>
      </c>
      <c r="B3992" s="22" t="s">
        <v>15344</v>
      </c>
      <c r="C3992" s="22" t="s">
        <v>2032</v>
      </c>
      <c r="E3992" s="24">
        <v>1994</v>
      </c>
      <c r="F3992" s="22" t="s">
        <v>2042</v>
      </c>
      <c r="G3992" s="23" t="s">
        <v>2043</v>
      </c>
      <c r="H3992" s="25" t="s">
        <v>15373</v>
      </c>
      <c r="I3992" s="22" t="s">
        <v>15382</v>
      </c>
      <c r="J3992" s="22" t="s">
        <v>14659</v>
      </c>
      <c r="K3992" s="26">
        <f t="shared" si="62"/>
        <v>500</v>
      </c>
      <c r="N3992" s="26">
        <v>750</v>
      </c>
      <c r="O3992" s="22" t="s">
        <v>2044</v>
      </c>
      <c r="P3992" s="22" t="s">
        <v>2022</v>
      </c>
      <c r="Q3992" s="22" t="s">
        <v>2023</v>
      </c>
      <c r="T3992" s="22">
        <v>8.17</v>
      </c>
      <c r="U3992" s="22">
        <v>0.38</v>
      </c>
      <c r="X3992" s="26"/>
      <c r="Y3992" s="26"/>
    </row>
    <row r="3993" spans="1:25" ht="37.5" x14ac:dyDescent="0.25">
      <c r="A3993" s="21">
        <v>4669</v>
      </c>
      <c r="B3993" s="22" t="s">
        <v>15344</v>
      </c>
      <c r="C3993" s="22" t="s">
        <v>2032</v>
      </c>
      <c r="E3993" s="24">
        <v>1994</v>
      </c>
      <c r="F3993" s="22" t="s">
        <v>2045</v>
      </c>
      <c r="G3993" s="23" t="s">
        <v>2046</v>
      </c>
      <c r="H3993" s="25" t="s">
        <v>15373</v>
      </c>
      <c r="I3993" s="22" t="s">
        <v>15411</v>
      </c>
      <c r="J3993" s="22" t="s">
        <v>2047</v>
      </c>
      <c r="K3993" s="26">
        <f t="shared" si="62"/>
        <v>493.33333333333331</v>
      </c>
      <c r="N3993" s="26">
        <v>740</v>
      </c>
      <c r="O3993" s="22" t="s">
        <v>2048</v>
      </c>
      <c r="P3993" s="22" t="s">
        <v>2022</v>
      </c>
      <c r="Q3993" s="22" t="s">
        <v>2023</v>
      </c>
      <c r="T3993" s="22">
        <v>8.17</v>
      </c>
      <c r="U3993" s="22">
        <v>0.38</v>
      </c>
      <c r="X3993" s="26"/>
      <c r="Y3993" s="26"/>
    </row>
    <row r="3994" spans="1:25" ht="37.5" x14ac:dyDescent="0.25">
      <c r="A3994" s="21">
        <v>4670</v>
      </c>
      <c r="B3994" s="22" t="s">
        <v>15344</v>
      </c>
      <c r="C3994" s="22" t="s">
        <v>2032</v>
      </c>
      <c r="E3994" s="24">
        <v>1994</v>
      </c>
      <c r="F3994" s="22" t="s">
        <v>2049</v>
      </c>
      <c r="G3994" s="23" t="s">
        <v>2050</v>
      </c>
      <c r="H3994" s="25" t="s">
        <v>15373</v>
      </c>
      <c r="I3994" s="22" t="s">
        <v>15411</v>
      </c>
      <c r="J3994" s="22" t="s">
        <v>10989</v>
      </c>
      <c r="K3994" s="26">
        <f t="shared" si="62"/>
        <v>428.66666666666663</v>
      </c>
      <c r="N3994" s="26">
        <v>643</v>
      </c>
      <c r="O3994" s="22" t="s">
        <v>2051</v>
      </c>
      <c r="P3994" s="22" t="s">
        <v>2022</v>
      </c>
      <c r="Q3994" s="22" t="s">
        <v>2023</v>
      </c>
      <c r="T3994" s="22">
        <v>8.17</v>
      </c>
      <c r="U3994" s="22">
        <v>0.38</v>
      </c>
      <c r="X3994" s="26"/>
      <c r="Y3994" s="26"/>
    </row>
    <row r="3995" spans="1:25" ht="37.5" x14ac:dyDescent="0.25">
      <c r="A3995" s="21">
        <v>4671</v>
      </c>
      <c r="B3995" s="22" t="s">
        <v>15344</v>
      </c>
      <c r="C3995" s="22" t="s">
        <v>2032</v>
      </c>
      <c r="E3995" s="24">
        <v>1995</v>
      </c>
      <c r="F3995" s="22" t="s">
        <v>2052</v>
      </c>
      <c r="G3995" s="23" t="s">
        <v>2053</v>
      </c>
      <c r="H3995" s="25" t="s">
        <v>16310</v>
      </c>
      <c r="I3995" s="22" t="s">
        <v>16160</v>
      </c>
      <c r="J3995" s="22" t="s">
        <v>2054</v>
      </c>
      <c r="K3995" s="26">
        <f t="shared" si="62"/>
        <v>424</v>
      </c>
      <c r="N3995" s="26">
        <v>636</v>
      </c>
      <c r="O3995" s="22" t="s">
        <v>2055</v>
      </c>
      <c r="P3995" s="22" t="s">
        <v>2022</v>
      </c>
      <c r="Q3995" s="22" t="s">
        <v>2023</v>
      </c>
      <c r="T3995" s="22">
        <v>8.17</v>
      </c>
      <c r="U3995" s="22">
        <v>0.38</v>
      </c>
      <c r="X3995" s="26"/>
      <c r="Y3995" s="26"/>
    </row>
    <row r="3996" spans="1:25" ht="50" x14ac:dyDescent="0.25">
      <c r="A3996" s="21">
        <v>4672</v>
      </c>
      <c r="B3996" s="22" t="s">
        <v>15344</v>
      </c>
      <c r="C3996" s="22" t="s">
        <v>2032</v>
      </c>
      <c r="E3996" s="24">
        <v>1994</v>
      </c>
      <c r="F3996" s="22" t="s">
        <v>2056</v>
      </c>
      <c r="G3996" s="23" t="s">
        <v>2057</v>
      </c>
      <c r="H3996" s="25" t="s">
        <v>15373</v>
      </c>
      <c r="I3996" s="22" t="s">
        <v>15382</v>
      </c>
      <c r="J3996" s="22" t="s">
        <v>2058</v>
      </c>
      <c r="K3996" s="26">
        <f t="shared" si="62"/>
        <v>373.33333333333331</v>
      </c>
      <c r="N3996" s="26">
        <v>560</v>
      </c>
      <c r="O3996" s="22" t="s">
        <v>2059</v>
      </c>
      <c r="P3996" s="22" t="s">
        <v>2022</v>
      </c>
      <c r="Q3996" s="22" t="s">
        <v>2023</v>
      </c>
      <c r="T3996" s="22">
        <v>8.17</v>
      </c>
      <c r="U3996" s="22">
        <v>0.38</v>
      </c>
      <c r="X3996" s="26"/>
      <c r="Y3996" s="26"/>
    </row>
    <row r="3997" spans="1:25" ht="37.5" x14ac:dyDescent="0.25">
      <c r="A3997" s="21">
        <v>4673</v>
      </c>
      <c r="B3997" s="22" t="s">
        <v>15344</v>
      </c>
      <c r="C3997" s="22" t="s">
        <v>2032</v>
      </c>
      <c r="E3997" s="24">
        <v>1998</v>
      </c>
      <c r="F3997" s="22" t="s">
        <v>2060</v>
      </c>
      <c r="G3997" s="23" t="s">
        <v>2061</v>
      </c>
      <c r="H3997" s="25" t="s">
        <v>15373</v>
      </c>
      <c r="I3997" s="22" t="s">
        <v>15382</v>
      </c>
      <c r="J3997" s="22" t="s">
        <v>14850</v>
      </c>
      <c r="K3997" s="26">
        <f t="shared" si="62"/>
        <v>356.66666666666663</v>
      </c>
      <c r="N3997" s="26">
        <v>535</v>
      </c>
      <c r="O3997" s="22" t="s">
        <v>2062</v>
      </c>
      <c r="P3997" s="22" t="s">
        <v>2022</v>
      </c>
      <c r="Q3997" s="22" t="s">
        <v>2023</v>
      </c>
      <c r="T3997" s="22">
        <v>6.9</v>
      </c>
      <c r="U3997" s="22">
        <v>0.4</v>
      </c>
      <c r="X3997" s="26"/>
      <c r="Y3997" s="26"/>
    </row>
    <row r="3998" spans="1:25" ht="37.5" x14ac:dyDescent="0.25">
      <c r="A3998" s="21">
        <v>4674</v>
      </c>
      <c r="B3998" s="22" t="s">
        <v>15344</v>
      </c>
      <c r="C3998" s="22" t="s">
        <v>2032</v>
      </c>
      <c r="E3998" s="24">
        <v>1999</v>
      </c>
      <c r="F3998" s="22" t="s">
        <v>2063</v>
      </c>
      <c r="G3998" s="23" t="s">
        <v>2064</v>
      </c>
      <c r="H3998" s="25" t="s">
        <v>15373</v>
      </c>
      <c r="I3998" s="22" t="s">
        <v>15382</v>
      </c>
      <c r="J3998" s="22" t="s">
        <v>16811</v>
      </c>
      <c r="K3998" s="26">
        <f t="shared" si="62"/>
        <v>356.66666666666663</v>
      </c>
      <c r="N3998" s="26">
        <v>535</v>
      </c>
      <c r="O3998" s="22" t="s">
        <v>2065</v>
      </c>
      <c r="P3998" s="22" t="s">
        <v>2022</v>
      </c>
      <c r="Q3998" s="22" t="s">
        <v>2023</v>
      </c>
      <c r="T3998" s="22">
        <v>6.9</v>
      </c>
      <c r="U3998" s="22">
        <v>0.4</v>
      </c>
      <c r="X3998" s="26"/>
      <c r="Y3998" s="26"/>
    </row>
    <row r="3999" spans="1:25" ht="37.5" x14ac:dyDescent="0.25">
      <c r="A3999" s="21">
        <v>4675</v>
      </c>
      <c r="B3999" s="22" t="s">
        <v>15344</v>
      </c>
      <c r="C3999" s="22" t="s">
        <v>2032</v>
      </c>
      <c r="E3999" s="24">
        <v>1998</v>
      </c>
      <c r="F3999" s="22" t="s">
        <v>2066</v>
      </c>
      <c r="G3999" s="23" t="s">
        <v>2067</v>
      </c>
      <c r="H3999" s="25" t="s">
        <v>15373</v>
      </c>
      <c r="I3999" s="22" t="s">
        <v>15382</v>
      </c>
      <c r="J3999" s="22" t="s">
        <v>14850</v>
      </c>
      <c r="K3999" s="26">
        <f t="shared" si="62"/>
        <v>310</v>
      </c>
      <c r="N3999" s="26">
        <v>465</v>
      </c>
      <c r="O3999" s="22" t="s">
        <v>2068</v>
      </c>
      <c r="P3999" s="22" t="s">
        <v>2022</v>
      </c>
      <c r="Q3999" s="22" t="s">
        <v>2023</v>
      </c>
      <c r="T3999" s="22">
        <v>6.9</v>
      </c>
      <c r="U3999" s="22">
        <v>0.4</v>
      </c>
      <c r="X3999" s="26"/>
      <c r="Y3999" s="26"/>
    </row>
    <row r="4000" spans="1:25" ht="25" x14ac:dyDescent="0.25">
      <c r="A4000" s="21">
        <v>4676</v>
      </c>
      <c r="B4000" s="22" t="s">
        <v>15344</v>
      </c>
      <c r="C4000" s="22" t="s">
        <v>2032</v>
      </c>
      <c r="E4000" s="24">
        <v>2001</v>
      </c>
      <c r="F4000" s="22" t="s">
        <v>2069</v>
      </c>
      <c r="G4000" s="23" t="s">
        <v>2070</v>
      </c>
      <c r="H4000" s="25" t="s">
        <v>15373</v>
      </c>
      <c r="I4000" s="22" t="s">
        <v>15382</v>
      </c>
      <c r="J4000" s="22" t="s">
        <v>14850</v>
      </c>
      <c r="K4000" s="26">
        <f t="shared" si="62"/>
        <v>310</v>
      </c>
      <c r="N4000" s="26">
        <v>465</v>
      </c>
      <c r="O4000" s="22" t="s">
        <v>2071</v>
      </c>
      <c r="P4000" s="22" t="s">
        <v>2022</v>
      </c>
      <c r="Q4000" s="22" t="s">
        <v>2023</v>
      </c>
      <c r="T4000" s="22">
        <v>6.9</v>
      </c>
      <c r="U4000" s="22">
        <v>0.4</v>
      </c>
      <c r="X4000" s="26"/>
      <c r="Y4000" s="26"/>
    </row>
    <row r="4001" spans="1:25" ht="25" x14ac:dyDescent="0.25">
      <c r="A4001" s="21">
        <v>4677</v>
      </c>
      <c r="B4001" s="22" t="s">
        <v>15344</v>
      </c>
      <c r="C4001" s="22" t="s">
        <v>2032</v>
      </c>
      <c r="E4001" s="24">
        <v>2000</v>
      </c>
      <c r="F4001" s="22" t="s">
        <v>2072</v>
      </c>
      <c r="G4001" s="23" t="s">
        <v>2073</v>
      </c>
      <c r="H4001" s="25" t="s">
        <v>15373</v>
      </c>
      <c r="I4001" s="22" t="s">
        <v>15382</v>
      </c>
      <c r="J4001" s="22" t="s">
        <v>14850</v>
      </c>
      <c r="K4001" s="26">
        <f t="shared" si="62"/>
        <v>310</v>
      </c>
      <c r="N4001" s="26">
        <v>465</v>
      </c>
      <c r="O4001" s="22" t="s">
        <v>2074</v>
      </c>
      <c r="P4001" s="22" t="s">
        <v>2022</v>
      </c>
      <c r="Q4001" s="22" t="s">
        <v>2023</v>
      </c>
      <c r="T4001" s="22">
        <v>6.9</v>
      </c>
      <c r="U4001" s="22">
        <v>0.4</v>
      </c>
      <c r="X4001" s="26"/>
      <c r="Y4001" s="26"/>
    </row>
    <row r="4002" spans="1:25" ht="50" x14ac:dyDescent="0.25">
      <c r="A4002" s="21">
        <v>4678</v>
      </c>
      <c r="B4002" s="22" t="s">
        <v>15344</v>
      </c>
      <c r="C4002" s="22" t="s">
        <v>2075</v>
      </c>
      <c r="E4002" s="24">
        <v>1998</v>
      </c>
      <c r="F4002" s="22" t="s">
        <v>2076</v>
      </c>
      <c r="G4002" s="23" t="s">
        <v>2077</v>
      </c>
      <c r="H4002" s="25" t="s">
        <v>15373</v>
      </c>
      <c r="I4002" s="22" t="s">
        <v>15668</v>
      </c>
      <c r="J4002" s="22" t="s">
        <v>2078</v>
      </c>
      <c r="K4002" s="26">
        <f t="shared" si="62"/>
        <v>2400</v>
      </c>
      <c r="N4002" s="26">
        <v>3600</v>
      </c>
      <c r="O4002" s="22" t="s">
        <v>2079</v>
      </c>
      <c r="P4002" s="22" t="s">
        <v>1886</v>
      </c>
      <c r="Q4002" s="22" t="s">
        <v>1887</v>
      </c>
      <c r="T4002" s="22">
        <v>8.17</v>
      </c>
      <c r="U4002" s="22">
        <v>0.38</v>
      </c>
      <c r="X4002" s="26"/>
      <c r="Y4002" s="26"/>
    </row>
    <row r="4003" spans="1:25" ht="37.5" x14ac:dyDescent="0.25">
      <c r="A4003" s="21">
        <v>4679</v>
      </c>
      <c r="B4003" s="22" t="s">
        <v>15344</v>
      </c>
      <c r="C4003" s="22" t="s">
        <v>2075</v>
      </c>
      <c r="E4003" s="24">
        <v>1995</v>
      </c>
      <c r="F4003" s="22" t="s">
        <v>2080</v>
      </c>
      <c r="G4003" s="23" t="s">
        <v>2081</v>
      </c>
      <c r="H4003" s="25" t="s">
        <v>15373</v>
      </c>
      <c r="I4003" s="22" t="s">
        <v>15668</v>
      </c>
      <c r="J4003" s="22" t="s">
        <v>4434</v>
      </c>
      <c r="K4003" s="26">
        <f t="shared" si="62"/>
        <v>2400</v>
      </c>
      <c r="N4003" s="26">
        <v>3600</v>
      </c>
      <c r="O4003" s="22" t="s">
        <v>2079</v>
      </c>
      <c r="P4003" s="22" t="s">
        <v>1886</v>
      </c>
      <c r="Q4003" s="22" t="s">
        <v>1887</v>
      </c>
      <c r="T4003" s="22">
        <v>8.17</v>
      </c>
      <c r="U4003" s="22">
        <v>0.38</v>
      </c>
      <c r="X4003" s="26"/>
      <c r="Y4003" s="26"/>
    </row>
    <row r="4004" spans="1:25" ht="25" x14ac:dyDescent="0.25">
      <c r="A4004" s="21">
        <v>4680</v>
      </c>
      <c r="B4004" s="22" t="s">
        <v>15344</v>
      </c>
      <c r="C4004" s="22" t="s">
        <v>2082</v>
      </c>
      <c r="E4004" s="24">
        <v>2000</v>
      </c>
      <c r="F4004" s="22" t="s">
        <v>2083</v>
      </c>
      <c r="G4004" s="23" t="s">
        <v>2084</v>
      </c>
      <c r="H4004" s="25" t="s">
        <v>15373</v>
      </c>
      <c r="I4004" s="22" t="s">
        <v>15382</v>
      </c>
      <c r="J4004" s="22" t="s">
        <v>14562</v>
      </c>
      <c r="K4004" s="26">
        <f t="shared" si="62"/>
        <v>600</v>
      </c>
      <c r="N4004" s="26">
        <v>900</v>
      </c>
      <c r="O4004" s="22" t="s">
        <v>2085</v>
      </c>
      <c r="P4004" s="22" t="s">
        <v>1964</v>
      </c>
      <c r="Q4004" s="22">
        <v>95776</v>
      </c>
      <c r="T4004" s="22">
        <v>6.9</v>
      </c>
      <c r="U4004" s="22">
        <v>0.4</v>
      </c>
      <c r="X4004" s="26"/>
      <c r="Y4004" s="26"/>
    </row>
    <row r="4005" spans="1:25" ht="25" x14ac:dyDescent="0.25">
      <c r="A4005" s="21">
        <v>4681</v>
      </c>
      <c r="B4005" s="22" t="s">
        <v>15344</v>
      </c>
      <c r="C4005" s="22" t="s">
        <v>2086</v>
      </c>
      <c r="E4005" s="24">
        <v>1994</v>
      </c>
      <c r="F4005" s="22" t="s">
        <v>2087</v>
      </c>
      <c r="G4005" s="23" t="s">
        <v>2088</v>
      </c>
      <c r="H4005" s="25" t="s">
        <v>15373</v>
      </c>
      <c r="I4005" s="22" t="s">
        <v>15374</v>
      </c>
      <c r="J4005" s="22" t="s">
        <v>10290</v>
      </c>
      <c r="K4005" s="26">
        <f t="shared" si="62"/>
        <v>593.33333333333326</v>
      </c>
      <c r="N4005" s="26">
        <v>890</v>
      </c>
      <c r="O4005" s="22" t="s">
        <v>2089</v>
      </c>
      <c r="P4005" s="22" t="s">
        <v>1964</v>
      </c>
      <c r="Q4005" s="22" t="s">
        <v>1965</v>
      </c>
      <c r="T4005" s="22">
        <v>8.17</v>
      </c>
      <c r="U4005" s="22">
        <v>0.38</v>
      </c>
      <c r="X4005" s="26"/>
      <c r="Y4005" s="26"/>
    </row>
    <row r="4006" spans="1:25" ht="25" x14ac:dyDescent="0.25">
      <c r="A4006" s="21">
        <v>4682</v>
      </c>
      <c r="B4006" s="22" t="s">
        <v>15344</v>
      </c>
      <c r="C4006" s="22" t="s">
        <v>2090</v>
      </c>
      <c r="E4006" s="24">
        <v>1999</v>
      </c>
      <c r="F4006" s="22" t="s">
        <v>2091</v>
      </c>
      <c r="G4006" s="23" t="s">
        <v>2092</v>
      </c>
      <c r="H4006" s="25" t="s">
        <v>15373</v>
      </c>
      <c r="I4006" s="22" t="s">
        <v>15382</v>
      </c>
      <c r="J4006" s="22" t="s">
        <v>14562</v>
      </c>
      <c r="K4006" s="26">
        <f t="shared" si="62"/>
        <v>600</v>
      </c>
      <c r="N4006" s="26">
        <v>900</v>
      </c>
      <c r="O4006" s="22" t="s">
        <v>2093</v>
      </c>
      <c r="P4006" s="22" t="s">
        <v>1964</v>
      </c>
      <c r="Q4006" s="22">
        <v>95695</v>
      </c>
      <c r="T4006" s="22">
        <v>8.17</v>
      </c>
      <c r="U4006" s="22">
        <v>0.38</v>
      </c>
      <c r="X4006" s="26"/>
      <c r="Y4006" s="26"/>
    </row>
    <row r="4007" spans="1:25" ht="25" x14ac:dyDescent="0.25">
      <c r="A4007" s="21">
        <v>4683</v>
      </c>
      <c r="B4007" s="22" t="s">
        <v>15344</v>
      </c>
      <c r="C4007" s="22" t="s">
        <v>2090</v>
      </c>
      <c r="E4007" s="24">
        <v>1994</v>
      </c>
      <c r="F4007" s="22" t="s">
        <v>2094</v>
      </c>
      <c r="G4007" s="23" t="s">
        <v>2095</v>
      </c>
      <c r="H4007" s="25" t="s">
        <v>15373</v>
      </c>
      <c r="I4007" s="22" t="s">
        <v>15374</v>
      </c>
      <c r="J4007" s="22" t="s">
        <v>13525</v>
      </c>
      <c r="K4007" s="26">
        <f t="shared" si="62"/>
        <v>383.33333333333331</v>
      </c>
      <c r="N4007" s="26">
        <v>575</v>
      </c>
      <c r="O4007" s="22" t="s">
        <v>2093</v>
      </c>
      <c r="P4007" s="22" t="s">
        <v>1964</v>
      </c>
      <c r="Q4007" s="22">
        <v>95695</v>
      </c>
      <c r="T4007" s="22">
        <v>8.17</v>
      </c>
      <c r="U4007" s="22">
        <v>0.38</v>
      </c>
      <c r="X4007" s="26"/>
      <c r="Y4007" s="26"/>
    </row>
    <row r="4008" spans="1:25" ht="25" x14ac:dyDescent="0.25">
      <c r="A4008" s="21">
        <v>4684</v>
      </c>
      <c r="B4008" s="22" t="s">
        <v>15344</v>
      </c>
      <c r="C4008" s="22" t="s">
        <v>1869</v>
      </c>
      <c r="E4008" s="24">
        <v>2001</v>
      </c>
      <c r="F4008" s="22" t="s">
        <v>2096</v>
      </c>
      <c r="G4008" s="23" t="s">
        <v>2097</v>
      </c>
      <c r="H4008" s="25" t="s">
        <v>15373</v>
      </c>
      <c r="I4008" s="22" t="s">
        <v>15374</v>
      </c>
      <c r="J4008" s="22">
        <v>3516</v>
      </c>
      <c r="K4008" s="26">
        <f t="shared" si="62"/>
        <v>1898.6666666666665</v>
      </c>
      <c r="N4008" s="26">
        <v>2848</v>
      </c>
      <c r="O4008" s="22" t="s">
        <v>1872</v>
      </c>
      <c r="P4008" s="22" t="s">
        <v>1355</v>
      </c>
      <c r="Q4008" s="22">
        <v>95605</v>
      </c>
      <c r="X4008" s="26"/>
      <c r="Y4008" s="26"/>
    </row>
    <row r="4009" spans="1:25" ht="37.5" x14ac:dyDescent="0.25">
      <c r="A4009" s="21">
        <v>4685</v>
      </c>
      <c r="B4009" s="22" t="s">
        <v>15344</v>
      </c>
      <c r="C4009" s="22" t="s">
        <v>2098</v>
      </c>
      <c r="E4009" s="24">
        <v>2001</v>
      </c>
      <c r="F4009" s="22" t="s">
        <v>2099</v>
      </c>
      <c r="G4009" s="23" t="s">
        <v>2100</v>
      </c>
      <c r="H4009" s="25" t="s">
        <v>15373</v>
      </c>
      <c r="I4009" s="22" t="s">
        <v>15374</v>
      </c>
      <c r="J4009" s="22">
        <v>3412</v>
      </c>
      <c r="K4009" s="26">
        <f t="shared" si="62"/>
        <v>742.66666666666663</v>
      </c>
      <c r="N4009" s="26">
        <v>1114</v>
      </c>
      <c r="O4009" s="22" t="s">
        <v>2101</v>
      </c>
      <c r="P4009" s="22" t="s">
        <v>1886</v>
      </c>
      <c r="Q4009" s="22">
        <v>95620</v>
      </c>
      <c r="X4009" s="26"/>
      <c r="Y4009" s="26"/>
    </row>
    <row r="4010" spans="1:25" ht="37.5" x14ac:dyDescent="0.25">
      <c r="A4010" s="21">
        <v>4686</v>
      </c>
      <c r="B4010" s="22" t="s">
        <v>15344</v>
      </c>
      <c r="C4010" s="22" t="s">
        <v>3613</v>
      </c>
      <c r="E4010" s="24">
        <v>2001</v>
      </c>
      <c r="F4010" s="22" t="s">
        <v>2102</v>
      </c>
      <c r="G4010" s="23" t="s">
        <v>217</v>
      </c>
      <c r="H4010" s="25" t="s">
        <v>15373</v>
      </c>
      <c r="I4010" s="22" t="s">
        <v>15374</v>
      </c>
      <c r="J4010" s="22">
        <v>3516</v>
      </c>
      <c r="K4010" s="26">
        <f t="shared" si="62"/>
        <v>1917.3333333333333</v>
      </c>
      <c r="N4010" s="26">
        <v>2876</v>
      </c>
      <c r="O4010" s="22" t="s">
        <v>218</v>
      </c>
      <c r="P4010" s="22" t="s">
        <v>1355</v>
      </c>
      <c r="Q4010" s="22" t="s">
        <v>219</v>
      </c>
      <c r="X4010" s="26"/>
      <c r="Y4010" s="26"/>
    </row>
    <row r="4011" spans="1:25" ht="37.5" x14ac:dyDescent="0.25">
      <c r="A4011" s="21">
        <v>4687</v>
      </c>
      <c r="B4011" s="22" t="s">
        <v>15344</v>
      </c>
      <c r="C4011" s="22" t="s">
        <v>2032</v>
      </c>
      <c r="E4011" s="24">
        <v>2001</v>
      </c>
      <c r="F4011" s="22" t="s">
        <v>220</v>
      </c>
      <c r="G4011" s="23" t="s">
        <v>221</v>
      </c>
      <c r="H4011" s="25" t="s">
        <v>15373</v>
      </c>
      <c r="I4011" s="22" t="s">
        <v>15374</v>
      </c>
      <c r="J4011" s="22" t="s">
        <v>16856</v>
      </c>
      <c r="K4011" s="26">
        <f t="shared" si="62"/>
        <v>650</v>
      </c>
      <c r="N4011" s="26">
        <v>975</v>
      </c>
      <c r="O4011" s="22" t="s">
        <v>222</v>
      </c>
      <c r="P4011" s="22" t="s">
        <v>2022</v>
      </c>
      <c r="Q4011" s="22">
        <v>95616</v>
      </c>
      <c r="X4011" s="26"/>
      <c r="Y4011" s="26"/>
    </row>
    <row r="4012" spans="1:25" ht="25" x14ac:dyDescent="0.25">
      <c r="A4012" s="21">
        <v>4688</v>
      </c>
      <c r="B4012" s="22" t="s">
        <v>15344</v>
      </c>
      <c r="C4012" s="22" t="s">
        <v>223</v>
      </c>
      <c r="E4012" s="24">
        <v>2001</v>
      </c>
      <c r="F4012" s="22" t="s">
        <v>224</v>
      </c>
      <c r="G4012" s="23" t="s">
        <v>225</v>
      </c>
      <c r="H4012" s="25" t="s">
        <v>15373</v>
      </c>
      <c r="I4012" s="22" t="s">
        <v>15374</v>
      </c>
      <c r="J4012" s="22" t="s">
        <v>11983</v>
      </c>
      <c r="K4012" s="26">
        <f t="shared" si="62"/>
        <v>978</v>
      </c>
      <c r="N4012" s="26">
        <v>1467</v>
      </c>
      <c r="O4012" s="22" t="s">
        <v>226</v>
      </c>
      <c r="P4012" s="22" t="s">
        <v>1355</v>
      </c>
      <c r="Q4012" s="22">
        <v>95605</v>
      </c>
      <c r="X4012" s="26"/>
      <c r="Y4012" s="26"/>
    </row>
    <row r="4013" spans="1:25" ht="25" x14ac:dyDescent="0.25">
      <c r="A4013" s="21">
        <v>4689</v>
      </c>
      <c r="B4013" s="22" t="s">
        <v>15344</v>
      </c>
      <c r="C4013" s="22" t="s">
        <v>1959</v>
      </c>
      <c r="E4013" s="24">
        <v>2001</v>
      </c>
      <c r="F4013" s="22" t="s">
        <v>227</v>
      </c>
      <c r="G4013" s="23" t="s">
        <v>228</v>
      </c>
      <c r="H4013" s="25" t="s">
        <v>15373</v>
      </c>
      <c r="I4013" s="22" t="s">
        <v>15374</v>
      </c>
      <c r="J4013" s="22">
        <v>3412</v>
      </c>
      <c r="K4013" s="26">
        <f t="shared" si="62"/>
        <v>608.66666666666663</v>
      </c>
      <c r="N4013" s="26">
        <v>913</v>
      </c>
      <c r="O4013" s="22" t="s">
        <v>229</v>
      </c>
      <c r="P4013" s="22" t="s">
        <v>1355</v>
      </c>
      <c r="Q4013" s="22">
        <v>95605</v>
      </c>
      <c r="X4013" s="26"/>
      <c r="Y4013" s="26"/>
    </row>
    <row r="4014" spans="1:25" ht="25" x14ac:dyDescent="0.25">
      <c r="A4014" s="21">
        <v>4690</v>
      </c>
      <c r="B4014" s="22" t="s">
        <v>15344</v>
      </c>
      <c r="C4014" s="22" t="s">
        <v>230</v>
      </c>
      <c r="E4014" s="24">
        <v>2001</v>
      </c>
      <c r="F4014" s="22" t="s">
        <v>231</v>
      </c>
      <c r="G4014" s="23" t="s">
        <v>232</v>
      </c>
      <c r="H4014" s="25" t="s">
        <v>15373</v>
      </c>
      <c r="I4014" s="22" t="s">
        <v>15382</v>
      </c>
      <c r="J4014" s="22" t="s">
        <v>18421</v>
      </c>
      <c r="K4014" s="26">
        <f t="shared" si="62"/>
        <v>456.66666666666663</v>
      </c>
      <c r="N4014" s="26">
        <v>685</v>
      </c>
      <c r="O4014" s="22" t="s">
        <v>233</v>
      </c>
      <c r="P4014" s="22" t="s">
        <v>234</v>
      </c>
      <c r="X4014" s="26"/>
      <c r="Y4014" s="26"/>
    </row>
    <row r="4015" spans="1:25" ht="25" x14ac:dyDescent="0.25">
      <c r="A4015" s="21">
        <v>4691</v>
      </c>
      <c r="B4015" s="22" t="s">
        <v>15344</v>
      </c>
      <c r="C4015" s="22" t="s">
        <v>2032</v>
      </c>
      <c r="E4015" s="24">
        <v>2001</v>
      </c>
      <c r="F4015" s="22" t="s">
        <v>235</v>
      </c>
      <c r="G4015" s="23" t="s">
        <v>236</v>
      </c>
      <c r="H4015" s="25" t="s">
        <v>15373</v>
      </c>
      <c r="I4015" s="22" t="s">
        <v>15382</v>
      </c>
      <c r="J4015" s="22" t="s">
        <v>15955</v>
      </c>
      <c r="K4015" s="26">
        <f t="shared" si="62"/>
        <v>756.66666666666663</v>
      </c>
      <c r="N4015" s="26">
        <v>1135</v>
      </c>
      <c r="O4015" s="22" t="s">
        <v>237</v>
      </c>
      <c r="P4015" s="22" t="s">
        <v>2022</v>
      </c>
      <c r="Q4015" s="22">
        <v>95616</v>
      </c>
      <c r="X4015" s="26"/>
      <c r="Y4015" s="26"/>
    </row>
    <row r="4016" spans="1:25" ht="25" x14ac:dyDescent="0.25">
      <c r="A4016" s="21">
        <v>4692</v>
      </c>
      <c r="B4016" s="22" t="s">
        <v>15344</v>
      </c>
      <c r="C4016" s="22" t="s">
        <v>2032</v>
      </c>
      <c r="E4016" s="24">
        <v>2001</v>
      </c>
      <c r="F4016" s="22" t="s">
        <v>238</v>
      </c>
      <c r="G4016" s="23" t="s">
        <v>239</v>
      </c>
      <c r="H4016" s="25" t="s">
        <v>15373</v>
      </c>
      <c r="I4016" s="22" t="s">
        <v>15374</v>
      </c>
      <c r="J4016" s="22" t="s">
        <v>16856</v>
      </c>
      <c r="K4016" s="26">
        <f t="shared" si="62"/>
        <v>650</v>
      </c>
      <c r="N4016" s="26">
        <v>975</v>
      </c>
      <c r="O4016" s="22" t="s">
        <v>240</v>
      </c>
      <c r="P4016" s="22" t="s">
        <v>2022</v>
      </c>
      <c r="Q4016" s="22">
        <v>95616</v>
      </c>
      <c r="X4016" s="26"/>
      <c r="Y4016" s="26"/>
    </row>
    <row r="4017" spans="1:25" ht="50" x14ac:dyDescent="0.25">
      <c r="A4017" s="21">
        <v>4693</v>
      </c>
      <c r="B4017" s="22" t="s">
        <v>15344</v>
      </c>
      <c r="C4017" s="22" t="s">
        <v>2032</v>
      </c>
      <c r="E4017" s="24">
        <v>2001</v>
      </c>
      <c r="F4017" s="22" t="s">
        <v>241</v>
      </c>
      <c r="G4017" s="23" t="s">
        <v>242</v>
      </c>
      <c r="H4017" s="25" t="s">
        <v>15373</v>
      </c>
      <c r="I4017" s="22" t="s">
        <v>15411</v>
      </c>
      <c r="J4017" s="22" t="s">
        <v>8271</v>
      </c>
      <c r="K4017" s="26">
        <f t="shared" si="62"/>
        <v>746.66666666666663</v>
      </c>
      <c r="N4017" s="26">
        <v>1120</v>
      </c>
      <c r="O4017" s="22" t="s">
        <v>243</v>
      </c>
      <c r="P4017" s="22" t="s">
        <v>2022</v>
      </c>
      <c r="Q4017" s="22">
        <v>95616</v>
      </c>
      <c r="X4017" s="26"/>
      <c r="Y4017" s="26"/>
    </row>
    <row r="4018" spans="1:25" ht="25" x14ac:dyDescent="0.25">
      <c r="A4018" s="21">
        <v>4694</v>
      </c>
      <c r="B4018" s="22" t="s">
        <v>15344</v>
      </c>
      <c r="C4018" s="22" t="s">
        <v>244</v>
      </c>
      <c r="E4018" s="24">
        <v>2002</v>
      </c>
      <c r="F4018" s="22" t="s">
        <v>245</v>
      </c>
      <c r="G4018" s="23" t="s">
        <v>246</v>
      </c>
      <c r="H4018" s="25" t="s">
        <v>15373</v>
      </c>
      <c r="I4018" s="22" t="s">
        <v>15411</v>
      </c>
      <c r="J4018" s="22" t="s">
        <v>247</v>
      </c>
      <c r="K4018" s="26">
        <f t="shared" si="62"/>
        <v>316</v>
      </c>
      <c r="N4018" s="26">
        <v>474</v>
      </c>
      <c r="O4018" s="22" t="s">
        <v>248</v>
      </c>
      <c r="P4018" s="22" t="s">
        <v>1886</v>
      </c>
      <c r="Q4018" s="22">
        <v>95605</v>
      </c>
      <c r="X4018" s="26"/>
      <c r="Y4018" s="26"/>
    </row>
    <row r="4019" spans="1:25" ht="25" x14ac:dyDescent="0.25">
      <c r="A4019" s="21">
        <v>4695</v>
      </c>
      <c r="B4019" s="22" t="s">
        <v>15344</v>
      </c>
      <c r="C4019" s="22" t="s">
        <v>249</v>
      </c>
      <c r="E4019" s="24">
        <v>2002</v>
      </c>
      <c r="F4019" s="22" t="s">
        <v>250</v>
      </c>
      <c r="G4019" s="23" t="s">
        <v>251</v>
      </c>
      <c r="H4019" s="25" t="s">
        <v>15373</v>
      </c>
      <c r="I4019" s="22" t="s">
        <v>15411</v>
      </c>
      <c r="J4019" s="22" t="s">
        <v>8271</v>
      </c>
      <c r="K4019" s="26">
        <f t="shared" si="62"/>
        <v>746.66666666666663</v>
      </c>
      <c r="N4019" s="26">
        <v>1120</v>
      </c>
      <c r="O4019" s="22" t="s">
        <v>252</v>
      </c>
      <c r="P4019" s="22" t="s">
        <v>1939</v>
      </c>
      <c r="Q4019" s="22">
        <v>95687</v>
      </c>
      <c r="X4019" s="26"/>
      <c r="Y4019" s="26"/>
    </row>
    <row r="4020" spans="1:25" ht="25" x14ac:dyDescent="0.25">
      <c r="A4020" s="21">
        <v>4696</v>
      </c>
      <c r="B4020" s="22" t="s">
        <v>15344</v>
      </c>
      <c r="C4020" s="22" t="s">
        <v>253</v>
      </c>
      <c r="E4020" s="24">
        <v>2002</v>
      </c>
      <c r="F4020" s="22" t="s">
        <v>254</v>
      </c>
      <c r="G4020" s="23" t="s">
        <v>255</v>
      </c>
      <c r="H4020" s="25" t="s">
        <v>15373</v>
      </c>
      <c r="I4020" s="22" t="s">
        <v>15374</v>
      </c>
      <c r="J4020" s="22">
        <v>3512</v>
      </c>
      <c r="K4020" s="26">
        <f t="shared" si="62"/>
        <v>1204.6666666666665</v>
      </c>
      <c r="N4020" s="26">
        <v>1807</v>
      </c>
      <c r="O4020" s="22" t="s">
        <v>2101</v>
      </c>
      <c r="P4020" s="22" t="s">
        <v>1886</v>
      </c>
      <c r="Q4020" s="22">
        <v>95620</v>
      </c>
      <c r="X4020" s="26"/>
      <c r="Y4020" s="26"/>
    </row>
    <row r="4021" spans="1:25" ht="25" x14ac:dyDescent="0.25">
      <c r="A4021" s="21">
        <v>4697</v>
      </c>
      <c r="B4021" s="22" t="s">
        <v>15344</v>
      </c>
      <c r="C4021" s="22" t="s">
        <v>256</v>
      </c>
      <c r="E4021" s="24">
        <v>2002</v>
      </c>
      <c r="F4021" s="22" t="s">
        <v>257</v>
      </c>
      <c r="G4021" s="23" t="s">
        <v>258</v>
      </c>
      <c r="H4021" s="25" t="s">
        <v>15373</v>
      </c>
      <c r="I4021" s="22" t="s">
        <v>15374</v>
      </c>
      <c r="J4021" s="22" t="s">
        <v>12899</v>
      </c>
      <c r="K4021" s="26">
        <f t="shared" ref="K4021:K4084" si="63">L4021+M4021*(2/3)+N4021*(2/3)</f>
        <v>1898</v>
      </c>
      <c r="N4021" s="26">
        <v>2847</v>
      </c>
      <c r="O4021" s="22" t="s">
        <v>259</v>
      </c>
      <c r="P4021" s="22" t="s">
        <v>1879</v>
      </c>
      <c r="Q4021" s="22">
        <v>95688</v>
      </c>
      <c r="X4021" s="26"/>
      <c r="Y4021" s="26"/>
    </row>
    <row r="4022" spans="1:25" ht="25" x14ac:dyDescent="0.25">
      <c r="A4022" s="21">
        <v>4698</v>
      </c>
      <c r="B4022" s="22" t="s">
        <v>15344</v>
      </c>
      <c r="C4022" s="22" t="s">
        <v>1959</v>
      </c>
      <c r="E4022" s="24">
        <v>2002</v>
      </c>
      <c r="F4022" s="22" t="s">
        <v>260</v>
      </c>
      <c r="G4022" s="23" t="s">
        <v>261</v>
      </c>
      <c r="H4022" s="25" t="s">
        <v>15373</v>
      </c>
      <c r="I4022" s="22" t="s">
        <v>15411</v>
      </c>
      <c r="J4022" s="22" t="s">
        <v>13637</v>
      </c>
      <c r="K4022" s="26">
        <f t="shared" si="63"/>
        <v>1108.6666666666665</v>
      </c>
      <c r="N4022" s="26">
        <v>1663</v>
      </c>
      <c r="O4022" s="22" t="s">
        <v>262</v>
      </c>
      <c r="P4022" s="22" t="s">
        <v>1964</v>
      </c>
      <c r="Q4022" s="22">
        <v>95776</v>
      </c>
      <c r="X4022" s="26"/>
      <c r="Y4022" s="26"/>
    </row>
    <row r="4023" spans="1:25" ht="25" x14ac:dyDescent="0.25">
      <c r="A4023" s="21">
        <v>4699</v>
      </c>
      <c r="B4023" s="22" t="s">
        <v>15344</v>
      </c>
      <c r="C4023" s="22" t="s">
        <v>263</v>
      </c>
      <c r="E4023" s="24">
        <v>2002</v>
      </c>
      <c r="F4023" s="22" t="s">
        <v>264</v>
      </c>
      <c r="G4023" s="23" t="s">
        <v>265</v>
      </c>
      <c r="H4023" s="25" t="s">
        <v>15373</v>
      </c>
      <c r="I4023" s="22" t="s">
        <v>15374</v>
      </c>
      <c r="J4023" s="22">
        <v>3456</v>
      </c>
      <c r="K4023" s="26">
        <f t="shared" si="63"/>
        <v>456.66666666666663</v>
      </c>
      <c r="N4023" s="26">
        <v>685</v>
      </c>
      <c r="O4023" s="22" t="s">
        <v>266</v>
      </c>
      <c r="P4023" s="22" t="s">
        <v>1355</v>
      </c>
      <c r="Q4023" s="22">
        <v>95605</v>
      </c>
      <c r="X4023" s="26"/>
      <c r="Y4023" s="26"/>
    </row>
    <row r="4024" spans="1:25" ht="25" x14ac:dyDescent="0.25">
      <c r="A4024" s="21">
        <v>4700</v>
      </c>
      <c r="B4024" s="22" t="s">
        <v>15344</v>
      </c>
      <c r="C4024" s="22" t="s">
        <v>267</v>
      </c>
      <c r="E4024" s="24">
        <v>2002</v>
      </c>
      <c r="F4024" s="22" t="s">
        <v>268</v>
      </c>
      <c r="G4024" s="23" t="s">
        <v>269</v>
      </c>
      <c r="H4024" s="25" t="s">
        <v>15373</v>
      </c>
      <c r="I4024" s="22" t="s">
        <v>15411</v>
      </c>
      <c r="J4024" s="22" t="s">
        <v>13941</v>
      </c>
      <c r="K4024" s="26">
        <f t="shared" si="63"/>
        <v>800</v>
      </c>
      <c r="N4024" s="26">
        <v>1200</v>
      </c>
      <c r="O4024" s="22" t="s">
        <v>270</v>
      </c>
      <c r="P4024" s="22" t="s">
        <v>1879</v>
      </c>
      <c r="Q4024" s="22">
        <v>95688</v>
      </c>
      <c r="X4024" s="26"/>
      <c r="Y4024" s="26"/>
    </row>
    <row r="4025" spans="1:25" ht="25" x14ac:dyDescent="0.25">
      <c r="A4025" s="21">
        <v>4701</v>
      </c>
      <c r="B4025" s="22" t="s">
        <v>15344</v>
      </c>
      <c r="C4025" s="22" t="s">
        <v>3936</v>
      </c>
      <c r="E4025" s="24">
        <v>2002</v>
      </c>
      <c r="F4025" s="22" t="s">
        <v>271</v>
      </c>
      <c r="G4025" s="23" t="s">
        <v>272</v>
      </c>
      <c r="H4025" s="25" t="s">
        <v>15373</v>
      </c>
      <c r="I4025" s="22" t="s">
        <v>15382</v>
      </c>
      <c r="J4025" s="22" t="s">
        <v>16792</v>
      </c>
      <c r="K4025" s="26">
        <f t="shared" si="63"/>
        <v>356.66666666666663</v>
      </c>
      <c r="N4025" s="26">
        <v>535</v>
      </c>
      <c r="O4025" s="22" t="s">
        <v>273</v>
      </c>
      <c r="P4025" s="22" t="s">
        <v>1355</v>
      </c>
      <c r="Q4025" s="22">
        <v>95691</v>
      </c>
      <c r="X4025" s="26"/>
      <c r="Y4025" s="26"/>
    </row>
    <row r="4026" spans="1:25" ht="25" x14ac:dyDescent="0.25">
      <c r="A4026" s="21">
        <v>4702</v>
      </c>
      <c r="B4026" s="22" t="s">
        <v>15344</v>
      </c>
      <c r="C4026" s="22" t="s">
        <v>274</v>
      </c>
      <c r="E4026" s="24">
        <v>2002</v>
      </c>
      <c r="F4026" s="22" t="s">
        <v>275</v>
      </c>
      <c r="G4026" s="23" t="s">
        <v>276</v>
      </c>
      <c r="H4026" s="25" t="s">
        <v>15373</v>
      </c>
      <c r="I4026" s="22" t="s">
        <v>15382</v>
      </c>
      <c r="J4026" s="22" t="s">
        <v>277</v>
      </c>
      <c r="K4026" s="26">
        <f t="shared" si="63"/>
        <v>310</v>
      </c>
      <c r="N4026" s="26">
        <v>465</v>
      </c>
      <c r="O4026" s="22" t="s">
        <v>278</v>
      </c>
      <c r="P4026" s="22" t="s">
        <v>1886</v>
      </c>
      <c r="Q4026" s="22">
        <v>95620</v>
      </c>
      <c r="X4026" s="26"/>
      <c r="Y4026" s="26"/>
    </row>
    <row r="4027" spans="1:25" ht="25" x14ac:dyDescent="0.25">
      <c r="A4027" s="21">
        <v>4703</v>
      </c>
      <c r="B4027" s="22" t="s">
        <v>15344</v>
      </c>
      <c r="C4027" s="22" t="s">
        <v>279</v>
      </c>
      <c r="E4027" s="24">
        <v>2002</v>
      </c>
      <c r="F4027" s="22" t="s">
        <v>280</v>
      </c>
      <c r="G4027" s="23" t="s">
        <v>281</v>
      </c>
      <c r="H4027" s="25" t="s">
        <v>16310</v>
      </c>
      <c r="I4027" s="22" t="s">
        <v>4670</v>
      </c>
      <c r="J4027" s="22" t="s">
        <v>282</v>
      </c>
      <c r="K4027" s="26">
        <f t="shared" si="63"/>
        <v>329.33333333333331</v>
      </c>
      <c r="N4027" s="26">
        <v>494</v>
      </c>
      <c r="O4027" s="22" t="s">
        <v>283</v>
      </c>
      <c r="P4027" s="22" t="s">
        <v>1964</v>
      </c>
      <c r="Q4027" s="22">
        <v>95776</v>
      </c>
      <c r="X4027" s="26"/>
      <c r="Y4027" s="26"/>
    </row>
    <row r="4028" spans="1:25" ht="25" x14ac:dyDescent="0.25">
      <c r="A4028" s="21">
        <v>4704</v>
      </c>
      <c r="B4028" s="22" t="s">
        <v>15344</v>
      </c>
      <c r="C4028" s="22" t="s">
        <v>1934</v>
      </c>
      <c r="E4028" s="24">
        <v>2003</v>
      </c>
      <c r="F4028" s="22" t="s">
        <v>284</v>
      </c>
      <c r="G4028" s="23" t="s">
        <v>285</v>
      </c>
      <c r="H4028" s="25" t="s">
        <v>15373</v>
      </c>
      <c r="I4028" s="22" t="s">
        <v>15374</v>
      </c>
      <c r="J4028" s="22" t="s">
        <v>12899</v>
      </c>
      <c r="K4028" s="26">
        <f t="shared" si="63"/>
        <v>2000</v>
      </c>
      <c r="N4028" s="26">
        <v>3000</v>
      </c>
      <c r="O4028" s="22" t="s">
        <v>286</v>
      </c>
      <c r="P4028" s="22" t="s">
        <v>1939</v>
      </c>
      <c r="Q4028" s="22">
        <v>95687</v>
      </c>
      <c r="X4028" s="26"/>
      <c r="Y4028" s="26"/>
    </row>
    <row r="4029" spans="1:25" ht="25" x14ac:dyDescent="0.25">
      <c r="A4029" s="21">
        <v>4705</v>
      </c>
      <c r="B4029" s="22" t="s">
        <v>15344</v>
      </c>
      <c r="C4029" s="22" t="s">
        <v>1944</v>
      </c>
      <c r="E4029" s="24">
        <v>2003</v>
      </c>
      <c r="F4029" s="22" t="s">
        <v>287</v>
      </c>
      <c r="G4029" s="23" t="s">
        <v>288</v>
      </c>
      <c r="H4029" s="25" t="s">
        <v>15373</v>
      </c>
      <c r="I4029" s="22" t="s">
        <v>15382</v>
      </c>
      <c r="J4029" s="22" t="s">
        <v>12903</v>
      </c>
      <c r="K4029" s="26">
        <f t="shared" si="63"/>
        <v>2044.6666666666665</v>
      </c>
      <c r="N4029" s="26">
        <v>3067</v>
      </c>
      <c r="O4029" s="22" t="s">
        <v>289</v>
      </c>
      <c r="P4029" s="22" t="s">
        <v>1355</v>
      </c>
      <c r="Q4029" s="22">
        <v>95605</v>
      </c>
      <c r="X4029" s="26"/>
      <c r="Y4029" s="26"/>
    </row>
    <row r="4030" spans="1:25" ht="25" x14ac:dyDescent="0.25">
      <c r="A4030" s="21">
        <v>4706</v>
      </c>
      <c r="B4030" s="22" t="s">
        <v>15344</v>
      </c>
      <c r="C4030" s="22" t="s">
        <v>290</v>
      </c>
      <c r="E4030" s="24">
        <v>2003</v>
      </c>
      <c r="F4030" s="22" t="s">
        <v>291</v>
      </c>
      <c r="G4030" s="23" t="s">
        <v>292</v>
      </c>
      <c r="H4030" s="25" t="s">
        <v>15373</v>
      </c>
      <c r="I4030" s="22" t="s">
        <v>15374</v>
      </c>
      <c r="J4030" s="22">
        <v>3456</v>
      </c>
      <c r="K4030" s="26">
        <f t="shared" si="63"/>
        <v>509.33333333333331</v>
      </c>
      <c r="N4030" s="26">
        <v>764</v>
      </c>
      <c r="O4030" s="22" t="s">
        <v>293</v>
      </c>
      <c r="P4030" s="22" t="s">
        <v>1879</v>
      </c>
      <c r="Q4030" s="22">
        <v>95688</v>
      </c>
      <c r="X4030" s="26"/>
      <c r="Y4030" s="26"/>
    </row>
    <row r="4031" spans="1:25" ht="25" x14ac:dyDescent="0.25">
      <c r="A4031" s="21">
        <v>4707</v>
      </c>
      <c r="B4031" s="22" t="s">
        <v>15344</v>
      </c>
      <c r="C4031" s="22" t="s">
        <v>3936</v>
      </c>
      <c r="E4031" s="24">
        <v>2003</v>
      </c>
      <c r="F4031" s="22" t="s">
        <v>294</v>
      </c>
      <c r="G4031" s="23" t="s">
        <v>295</v>
      </c>
      <c r="H4031" s="25" t="s">
        <v>15373</v>
      </c>
      <c r="I4031" s="22" t="s">
        <v>15374</v>
      </c>
      <c r="J4031" s="22" t="s">
        <v>11983</v>
      </c>
      <c r="K4031" s="26">
        <f t="shared" si="63"/>
        <v>986.66666666666663</v>
      </c>
      <c r="N4031" s="26">
        <v>1480</v>
      </c>
      <c r="O4031" s="22" t="s">
        <v>2005</v>
      </c>
      <c r="P4031" s="22" t="s">
        <v>1879</v>
      </c>
      <c r="Q4031" s="22" t="s">
        <v>1880</v>
      </c>
      <c r="X4031" s="26"/>
      <c r="Y4031" s="26"/>
    </row>
    <row r="4032" spans="1:25" ht="25" x14ac:dyDescent="0.25">
      <c r="A4032" s="21">
        <v>4708</v>
      </c>
      <c r="B4032" s="22" t="s">
        <v>15344</v>
      </c>
      <c r="C4032" s="22" t="s">
        <v>296</v>
      </c>
      <c r="E4032" s="24">
        <v>2003</v>
      </c>
      <c r="F4032" s="22" t="s">
        <v>297</v>
      </c>
      <c r="G4032" s="23" t="s">
        <v>298</v>
      </c>
      <c r="H4032" s="25" t="s">
        <v>15373</v>
      </c>
      <c r="I4032" s="22" t="s">
        <v>15374</v>
      </c>
      <c r="J4032" s="22">
        <v>3412</v>
      </c>
      <c r="K4032" s="26">
        <f t="shared" si="63"/>
        <v>498.66666666666663</v>
      </c>
      <c r="N4032" s="26">
        <v>748</v>
      </c>
      <c r="O4032" s="22" t="s">
        <v>299</v>
      </c>
      <c r="P4032" s="22" t="s">
        <v>1964</v>
      </c>
      <c r="Q4032" s="22">
        <v>95776</v>
      </c>
      <c r="X4032" s="26"/>
      <c r="Y4032" s="26"/>
    </row>
    <row r="4033" spans="1:25" ht="37.5" x14ac:dyDescent="0.25">
      <c r="A4033" s="21">
        <v>4709</v>
      </c>
      <c r="B4033" s="22" t="s">
        <v>15344</v>
      </c>
      <c r="C4033" s="22" t="s">
        <v>2032</v>
      </c>
      <c r="E4033" s="24">
        <v>2003</v>
      </c>
      <c r="F4033" s="22" t="s">
        <v>300</v>
      </c>
      <c r="G4033" s="23" t="s">
        <v>301</v>
      </c>
      <c r="H4033" s="25" t="s">
        <v>15373</v>
      </c>
      <c r="I4033" s="22" t="s">
        <v>15411</v>
      </c>
      <c r="J4033" s="22" t="s">
        <v>14492</v>
      </c>
      <c r="K4033" s="26">
        <f t="shared" si="63"/>
        <v>800</v>
      </c>
      <c r="N4033" s="26">
        <v>1200</v>
      </c>
      <c r="O4033" s="22" t="s">
        <v>302</v>
      </c>
      <c r="P4033" s="22" t="s">
        <v>2022</v>
      </c>
      <c r="Q4033" s="22">
        <v>95616</v>
      </c>
      <c r="X4033" s="26"/>
      <c r="Y4033" s="26"/>
    </row>
    <row r="4034" spans="1:25" ht="25" x14ac:dyDescent="0.25">
      <c r="A4034" s="21">
        <v>4710</v>
      </c>
      <c r="B4034" s="22" t="s">
        <v>15344</v>
      </c>
      <c r="C4034" s="22" t="s">
        <v>2032</v>
      </c>
      <c r="E4034" s="24">
        <v>2003</v>
      </c>
      <c r="F4034" s="22" t="s">
        <v>303</v>
      </c>
      <c r="G4034" s="23" t="s">
        <v>304</v>
      </c>
      <c r="H4034" s="25" t="s">
        <v>15373</v>
      </c>
      <c r="I4034" s="22" t="s">
        <v>15382</v>
      </c>
      <c r="J4034" s="22" t="s">
        <v>16799</v>
      </c>
      <c r="K4034" s="26">
        <f t="shared" si="63"/>
        <v>503.33333333333331</v>
      </c>
      <c r="N4034" s="26">
        <v>755</v>
      </c>
      <c r="O4034" s="22" t="s">
        <v>305</v>
      </c>
      <c r="P4034" s="22" t="s">
        <v>2022</v>
      </c>
      <c r="Q4034" s="22">
        <v>95616</v>
      </c>
      <c r="X4034" s="26"/>
      <c r="Y4034" s="26"/>
    </row>
    <row r="4035" spans="1:25" ht="25" x14ac:dyDescent="0.25">
      <c r="A4035" s="21">
        <v>4711</v>
      </c>
      <c r="B4035" s="22" t="s">
        <v>15344</v>
      </c>
      <c r="C4035" s="22" t="s">
        <v>2032</v>
      </c>
      <c r="E4035" s="24">
        <v>2003</v>
      </c>
      <c r="F4035" s="22" t="s">
        <v>306</v>
      </c>
      <c r="G4035" s="23" t="s">
        <v>307</v>
      </c>
      <c r="H4035" s="25" t="s">
        <v>15373</v>
      </c>
      <c r="I4035" s="22" t="s">
        <v>15411</v>
      </c>
      <c r="J4035" s="22" t="s">
        <v>10176</v>
      </c>
      <c r="K4035" s="26">
        <f t="shared" si="63"/>
        <v>1956.6666666666665</v>
      </c>
      <c r="N4035" s="26">
        <v>2935</v>
      </c>
      <c r="O4035" s="22" t="s">
        <v>308</v>
      </c>
      <c r="P4035" s="22" t="s">
        <v>2022</v>
      </c>
      <c r="Q4035" s="22">
        <v>95616</v>
      </c>
      <c r="X4035" s="26"/>
      <c r="Y4035" s="26"/>
    </row>
    <row r="4036" spans="1:25" ht="25" x14ac:dyDescent="0.25">
      <c r="A4036" s="21">
        <v>4712</v>
      </c>
      <c r="B4036" s="22" t="s">
        <v>15344</v>
      </c>
      <c r="C4036" s="22" t="s">
        <v>2032</v>
      </c>
      <c r="E4036" s="24">
        <v>2003</v>
      </c>
      <c r="F4036" s="22" t="s">
        <v>309</v>
      </c>
      <c r="G4036" s="23" t="s">
        <v>310</v>
      </c>
      <c r="H4036" s="25" t="s">
        <v>15373</v>
      </c>
      <c r="I4036" s="22" t="s">
        <v>15411</v>
      </c>
      <c r="J4036" s="22" t="s">
        <v>8271</v>
      </c>
      <c r="K4036" s="26">
        <f t="shared" si="63"/>
        <v>746.66666666666663</v>
      </c>
      <c r="N4036" s="26">
        <v>1120</v>
      </c>
      <c r="O4036" s="22" t="s">
        <v>311</v>
      </c>
      <c r="P4036" s="22" t="s">
        <v>2022</v>
      </c>
      <c r="Q4036" s="22">
        <v>95616</v>
      </c>
      <c r="X4036" s="26"/>
      <c r="Y4036" s="26"/>
    </row>
    <row r="4037" spans="1:25" ht="50" x14ac:dyDescent="0.25">
      <c r="A4037" s="21">
        <v>4713</v>
      </c>
      <c r="B4037" s="22" t="s">
        <v>15344</v>
      </c>
      <c r="C4037" s="22" t="s">
        <v>2032</v>
      </c>
      <c r="E4037" s="24">
        <v>2003</v>
      </c>
      <c r="F4037" s="22" t="s">
        <v>312</v>
      </c>
      <c r="G4037" s="23" t="s">
        <v>313</v>
      </c>
      <c r="H4037" s="25" t="s">
        <v>15373</v>
      </c>
      <c r="I4037" s="22" t="s">
        <v>15374</v>
      </c>
      <c r="J4037" s="22" t="s">
        <v>18147</v>
      </c>
      <c r="K4037" s="26">
        <f t="shared" si="63"/>
        <v>509.33333333333331</v>
      </c>
      <c r="N4037" s="26">
        <v>764</v>
      </c>
      <c r="O4037" s="22" t="s">
        <v>314</v>
      </c>
      <c r="P4037" s="22" t="s">
        <v>2022</v>
      </c>
      <c r="Q4037" s="22">
        <v>95616</v>
      </c>
      <c r="X4037" s="26"/>
      <c r="Y4037" s="26"/>
    </row>
    <row r="4038" spans="1:25" ht="25" x14ac:dyDescent="0.25">
      <c r="A4038" s="21">
        <v>4714</v>
      </c>
      <c r="B4038" s="22" t="s">
        <v>15344</v>
      </c>
      <c r="C4038" s="22" t="s">
        <v>315</v>
      </c>
      <c r="E4038" s="24">
        <v>2003</v>
      </c>
      <c r="F4038" s="22" t="s">
        <v>316</v>
      </c>
      <c r="G4038" s="23" t="s">
        <v>317</v>
      </c>
      <c r="H4038" s="25" t="s">
        <v>15373</v>
      </c>
      <c r="I4038" s="22" t="s">
        <v>15382</v>
      </c>
      <c r="J4038" s="22" t="s">
        <v>14716</v>
      </c>
      <c r="K4038" s="26">
        <f t="shared" si="63"/>
        <v>600</v>
      </c>
      <c r="N4038" s="26">
        <v>900</v>
      </c>
      <c r="O4038" s="22" t="s">
        <v>318</v>
      </c>
      <c r="P4038" s="22" t="s">
        <v>1879</v>
      </c>
      <c r="Q4038" s="22">
        <v>95687</v>
      </c>
      <c r="X4038" s="26"/>
      <c r="Y4038" s="26"/>
    </row>
    <row r="4039" spans="1:25" x14ac:dyDescent="0.25">
      <c r="A4039" s="21">
        <v>4750</v>
      </c>
      <c r="B4039" s="22" t="s">
        <v>15312</v>
      </c>
      <c r="C4039" s="22" t="s">
        <v>319</v>
      </c>
      <c r="F4039" s="22" t="s">
        <v>320</v>
      </c>
      <c r="H4039" s="25" t="s">
        <v>15373</v>
      </c>
      <c r="I4039" s="22" t="s">
        <v>15374</v>
      </c>
      <c r="J4039" s="22" t="s">
        <v>321</v>
      </c>
      <c r="K4039" s="26">
        <f t="shared" si="63"/>
        <v>742.66666666666663</v>
      </c>
      <c r="N4039" s="26">
        <v>1114</v>
      </c>
      <c r="O4039" s="22" t="s">
        <v>319</v>
      </c>
      <c r="P4039" s="22" t="s">
        <v>322</v>
      </c>
      <c r="Q4039" s="22" t="s">
        <v>323</v>
      </c>
      <c r="X4039" s="26"/>
      <c r="Y4039" s="26"/>
    </row>
    <row r="4040" spans="1:25" ht="25" x14ac:dyDescent="0.25">
      <c r="A4040" s="21">
        <v>4751</v>
      </c>
      <c r="B4040" s="22" t="s">
        <v>15312</v>
      </c>
      <c r="C4040" s="22" t="s">
        <v>324</v>
      </c>
      <c r="F4040" s="22" t="s">
        <v>2196</v>
      </c>
      <c r="H4040" s="25" t="s">
        <v>15373</v>
      </c>
      <c r="I4040" s="22" t="s">
        <v>15374</v>
      </c>
      <c r="J4040" s="22" t="s">
        <v>8802</v>
      </c>
      <c r="K4040" s="26">
        <f t="shared" si="63"/>
        <v>346</v>
      </c>
      <c r="N4040" s="26">
        <v>519</v>
      </c>
      <c r="O4040" s="22" t="s">
        <v>2197</v>
      </c>
      <c r="P4040" s="22" t="s">
        <v>322</v>
      </c>
      <c r="Q4040" s="22" t="s">
        <v>323</v>
      </c>
      <c r="X4040" s="26"/>
      <c r="Y4040" s="26"/>
    </row>
    <row r="4041" spans="1:25" ht="25" x14ac:dyDescent="0.25">
      <c r="A4041" s="21">
        <v>4752</v>
      </c>
      <c r="B4041" s="22" t="s">
        <v>15312</v>
      </c>
      <c r="C4041" s="22" t="s">
        <v>2198</v>
      </c>
      <c r="F4041" s="22" t="s">
        <v>2199</v>
      </c>
      <c r="H4041" s="25" t="s">
        <v>15373</v>
      </c>
      <c r="I4041" s="22" t="s">
        <v>15411</v>
      </c>
      <c r="J4041" s="22" t="s">
        <v>15068</v>
      </c>
      <c r="K4041" s="26">
        <f t="shared" si="63"/>
        <v>730</v>
      </c>
      <c r="N4041" s="26">
        <v>1095</v>
      </c>
      <c r="O4041" s="22" t="s">
        <v>2200</v>
      </c>
      <c r="P4041" s="22" t="s">
        <v>2201</v>
      </c>
      <c r="Q4041" s="22" t="s">
        <v>2202</v>
      </c>
      <c r="X4041" s="26"/>
      <c r="Y4041" s="26"/>
    </row>
    <row r="4042" spans="1:25" ht="25" x14ac:dyDescent="0.25">
      <c r="A4042" s="21">
        <v>4753</v>
      </c>
      <c r="B4042" s="22" t="s">
        <v>15312</v>
      </c>
      <c r="C4042" s="22" t="s">
        <v>2198</v>
      </c>
      <c r="F4042" s="22" t="s">
        <v>2203</v>
      </c>
      <c r="H4042" s="25" t="s">
        <v>15373</v>
      </c>
      <c r="I4042" s="22" t="s">
        <v>15411</v>
      </c>
      <c r="J4042" s="22" t="s">
        <v>16306</v>
      </c>
      <c r="K4042" s="26">
        <f t="shared" si="63"/>
        <v>428.66666666666663</v>
      </c>
      <c r="N4042" s="26">
        <v>643</v>
      </c>
      <c r="O4042" s="22" t="s">
        <v>2200</v>
      </c>
      <c r="P4042" s="22" t="s">
        <v>2201</v>
      </c>
      <c r="Q4042" s="22" t="s">
        <v>2202</v>
      </c>
      <c r="X4042" s="26"/>
      <c r="Y4042" s="26"/>
    </row>
    <row r="4043" spans="1:25" ht="25" x14ac:dyDescent="0.25">
      <c r="A4043" s="21">
        <v>4754</v>
      </c>
      <c r="B4043" s="22" t="s">
        <v>15312</v>
      </c>
      <c r="C4043" s="22" t="s">
        <v>2198</v>
      </c>
      <c r="F4043" s="22" t="s">
        <v>2204</v>
      </c>
      <c r="H4043" s="25" t="s">
        <v>15373</v>
      </c>
      <c r="I4043" s="22" t="s">
        <v>15411</v>
      </c>
      <c r="J4043" s="22" t="s">
        <v>16884</v>
      </c>
      <c r="K4043" s="26">
        <f t="shared" si="63"/>
        <v>376.66666666666663</v>
      </c>
      <c r="N4043" s="26">
        <v>565</v>
      </c>
      <c r="O4043" s="22" t="s">
        <v>2200</v>
      </c>
      <c r="P4043" s="22" t="s">
        <v>2201</v>
      </c>
      <c r="Q4043" s="22" t="s">
        <v>2202</v>
      </c>
      <c r="X4043" s="26"/>
      <c r="Y4043" s="26"/>
    </row>
    <row r="4044" spans="1:25" ht="25" x14ac:dyDescent="0.25">
      <c r="A4044" s="21">
        <v>4755</v>
      </c>
      <c r="B4044" s="22" t="s">
        <v>15312</v>
      </c>
      <c r="C4044" s="22" t="s">
        <v>2198</v>
      </c>
      <c r="F4044" s="22" t="s">
        <v>2205</v>
      </c>
      <c r="H4044" s="25" t="s">
        <v>15373</v>
      </c>
      <c r="I4044" s="22" t="s">
        <v>15411</v>
      </c>
      <c r="J4044" s="22" t="s">
        <v>15669</v>
      </c>
      <c r="K4044" s="26">
        <f t="shared" si="63"/>
        <v>360</v>
      </c>
      <c r="N4044" s="26">
        <v>540</v>
      </c>
      <c r="O4044" s="22" t="s">
        <v>2200</v>
      </c>
      <c r="P4044" s="22" t="s">
        <v>2201</v>
      </c>
      <c r="Q4044" s="22" t="s">
        <v>2202</v>
      </c>
      <c r="X4044" s="26"/>
      <c r="Y4044" s="26"/>
    </row>
    <row r="4045" spans="1:25" ht="25" x14ac:dyDescent="0.25">
      <c r="A4045" s="21">
        <v>4756</v>
      </c>
      <c r="B4045" s="22" t="s">
        <v>15312</v>
      </c>
      <c r="C4045" s="22" t="s">
        <v>2900</v>
      </c>
      <c r="F4045" s="22" t="s">
        <v>2206</v>
      </c>
      <c r="H4045" s="25" t="s">
        <v>16159</v>
      </c>
      <c r="I4045" s="22" t="s">
        <v>15374</v>
      </c>
      <c r="J4045" s="22" t="s">
        <v>10290</v>
      </c>
      <c r="K4045" s="26">
        <f t="shared" si="63"/>
        <v>482.66666666666663</v>
      </c>
      <c r="N4045" s="26">
        <v>724</v>
      </c>
      <c r="O4045" s="22" t="s">
        <v>2207</v>
      </c>
      <c r="X4045" s="26"/>
      <c r="Y4045" s="26"/>
    </row>
    <row r="4046" spans="1:25" ht="25" x14ac:dyDescent="0.25">
      <c r="A4046" s="21">
        <v>4757</v>
      </c>
      <c r="B4046" s="22" t="s">
        <v>15312</v>
      </c>
      <c r="C4046" s="22" t="s">
        <v>2208</v>
      </c>
      <c r="F4046" s="22" t="s">
        <v>2209</v>
      </c>
      <c r="H4046" s="25" t="s">
        <v>15373</v>
      </c>
      <c r="I4046" s="22" t="s">
        <v>15382</v>
      </c>
      <c r="J4046" s="22" t="s">
        <v>9218</v>
      </c>
      <c r="K4046" s="26">
        <f t="shared" si="63"/>
        <v>473.33333333333331</v>
      </c>
      <c r="N4046" s="26">
        <v>710</v>
      </c>
      <c r="O4046" s="22" t="s">
        <v>2210</v>
      </c>
      <c r="P4046" s="22" t="s">
        <v>322</v>
      </c>
      <c r="Q4046" s="22" t="s">
        <v>2211</v>
      </c>
      <c r="X4046" s="26"/>
      <c r="Y4046" s="26"/>
    </row>
    <row r="4047" spans="1:25" x14ac:dyDescent="0.25">
      <c r="A4047" s="21">
        <v>4758</v>
      </c>
      <c r="B4047" s="22" t="s">
        <v>15312</v>
      </c>
      <c r="C4047" s="22" t="s">
        <v>2212</v>
      </c>
      <c r="F4047" s="22" t="s">
        <v>2213</v>
      </c>
      <c r="H4047" s="25" t="s">
        <v>16159</v>
      </c>
      <c r="I4047" s="22" t="s">
        <v>15635</v>
      </c>
      <c r="J4047" s="22" t="s">
        <v>2214</v>
      </c>
      <c r="K4047" s="26">
        <f t="shared" si="63"/>
        <v>1200</v>
      </c>
      <c r="N4047" s="26">
        <v>1800</v>
      </c>
      <c r="O4047" s="22" t="s">
        <v>2212</v>
      </c>
      <c r="P4047" s="22" t="s">
        <v>322</v>
      </c>
      <c r="Q4047" s="22" t="s">
        <v>2211</v>
      </c>
      <c r="X4047" s="26"/>
      <c r="Y4047" s="26"/>
    </row>
    <row r="4048" spans="1:25" x14ac:dyDescent="0.25">
      <c r="A4048" s="21">
        <v>4759</v>
      </c>
      <c r="B4048" s="22" t="s">
        <v>15312</v>
      </c>
      <c r="C4048" s="22" t="s">
        <v>2215</v>
      </c>
      <c r="F4048" s="22" t="s">
        <v>2216</v>
      </c>
      <c r="H4048" s="25" t="s">
        <v>15373</v>
      </c>
      <c r="I4048" s="22" t="s">
        <v>15374</v>
      </c>
      <c r="J4048" s="22" t="s">
        <v>15516</v>
      </c>
      <c r="K4048" s="26">
        <f t="shared" si="63"/>
        <v>739.33333333333326</v>
      </c>
      <c r="N4048" s="26">
        <v>1109</v>
      </c>
      <c r="O4048" s="22" t="s">
        <v>2217</v>
      </c>
      <c r="P4048" s="22" t="s">
        <v>2201</v>
      </c>
      <c r="Q4048" s="22" t="s">
        <v>2202</v>
      </c>
      <c r="X4048" s="26"/>
      <c r="Y4048" s="26"/>
    </row>
    <row r="4049" spans="1:25" x14ac:dyDescent="0.25">
      <c r="A4049" s="21">
        <v>4760</v>
      </c>
      <c r="B4049" s="22" t="s">
        <v>15312</v>
      </c>
      <c r="C4049" s="22" t="s">
        <v>2218</v>
      </c>
      <c r="F4049" s="22" t="s">
        <v>2219</v>
      </c>
      <c r="H4049" s="25" t="s">
        <v>15373</v>
      </c>
      <c r="I4049" s="22" t="s">
        <v>15374</v>
      </c>
      <c r="J4049" s="22" t="s">
        <v>10290</v>
      </c>
      <c r="K4049" s="26">
        <f t="shared" si="63"/>
        <v>499.33333333333331</v>
      </c>
      <c r="N4049" s="26">
        <v>749</v>
      </c>
      <c r="O4049" s="22" t="s">
        <v>2218</v>
      </c>
      <c r="P4049" s="22" t="s">
        <v>2201</v>
      </c>
      <c r="Q4049" s="22" t="s">
        <v>2202</v>
      </c>
      <c r="X4049" s="26"/>
      <c r="Y4049" s="26"/>
    </row>
    <row r="4050" spans="1:25" x14ac:dyDescent="0.25">
      <c r="A4050" s="21">
        <v>4761</v>
      </c>
      <c r="B4050" s="22" t="s">
        <v>15312</v>
      </c>
      <c r="C4050" s="22" t="s">
        <v>2220</v>
      </c>
      <c r="F4050" s="22" t="s">
        <v>2221</v>
      </c>
      <c r="H4050" s="25" t="s">
        <v>15373</v>
      </c>
      <c r="I4050" s="22" t="s">
        <v>15411</v>
      </c>
      <c r="J4050" s="22" t="s">
        <v>13002</v>
      </c>
      <c r="K4050" s="26">
        <f t="shared" si="63"/>
        <v>1033.3333333333333</v>
      </c>
      <c r="N4050" s="26">
        <v>1550</v>
      </c>
      <c r="O4050" s="22" t="s">
        <v>2222</v>
      </c>
      <c r="P4050" s="22" t="s">
        <v>2201</v>
      </c>
      <c r="Q4050" s="22" t="s">
        <v>2202</v>
      </c>
      <c r="X4050" s="26"/>
      <c r="Y4050" s="26"/>
    </row>
    <row r="4051" spans="1:25" ht="25" x14ac:dyDescent="0.25">
      <c r="A4051" s="21">
        <v>4762</v>
      </c>
      <c r="B4051" s="22" t="s">
        <v>15312</v>
      </c>
      <c r="C4051" s="22" t="s">
        <v>2220</v>
      </c>
      <c r="F4051" s="22" t="s">
        <v>2223</v>
      </c>
      <c r="H4051" s="25" t="s">
        <v>15373</v>
      </c>
      <c r="I4051" s="22" t="s">
        <v>15382</v>
      </c>
      <c r="J4051" s="22" t="s">
        <v>14642</v>
      </c>
      <c r="K4051" s="26">
        <f t="shared" si="63"/>
        <v>756.66666666666663</v>
      </c>
      <c r="N4051" s="26">
        <v>1135</v>
      </c>
      <c r="O4051" s="22" t="s">
        <v>2224</v>
      </c>
      <c r="P4051" s="22" t="s">
        <v>322</v>
      </c>
      <c r="Q4051" s="22" t="s">
        <v>323</v>
      </c>
      <c r="X4051" s="26"/>
      <c r="Y4051" s="26"/>
    </row>
    <row r="4052" spans="1:25" ht="25" x14ac:dyDescent="0.25">
      <c r="A4052" s="21">
        <v>4763</v>
      </c>
      <c r="B4052" s="22" t="s">
        <v>15312</v>
      </c>
      <c r="C4052" s="22" t="s">
        <v>2225</v>
      </c>
      <c r="F4052" s="22" t="s">
        <v>2226</v>
      </c>
      <c r="H4052" s="25" t="s">
        <v>15373</v>
      </c>
      <c r="I4052" s="22" t="s">
        <v>15382</v>
      </c>
      <c r="J4052" s="22" t="s">
        <v>2227</v>
      </c>
      <c r="K4052" s="26">
        <f t="shared" si="63"/>
        <v>506.66666666666663</v>
      </c>
      <c r="N4052" s="26">
        <v>760</v>
      </c>
      <c r="O4052" s="22" t="s">
        <v>2228</v>
      </c>
      <c r="P4052" s="22" t="s">
        <v>2201</v>
      </c>
      <c r="Q4052" s="22" t="s">
        <v>2202</v>
      </c>
      <c r="X4052" s="26"/>
      <c r="Y4052" s="26"/>
    </row>
    <row r="4053" spans="1:25" ht="25" x14ac:dyDescent="0.25">
      <c r="A4053" s="21">
        <v>4764</v>
      </c>
      <c r="B4053" s="22" t="s">
        <v>15312</v>
      </c>
      <c r="C4053" s="22" t="s">
        <v>2225</v>
      </c>
      <c r="F4053" s="22" t="s">
        <v>2229</v>
      </c>
      <c r="H4053" s="25" t="s">
        <v>15373</v>
      </c>
      <c r="I4053" s="22" t="s">
        <v>15411</v>
      </c>
      <c r="J4053" s="22" t="s">
        <v>12508</v>
      </c>
      <c r="K4053" s="26">
        <f t="shared" si="63"/>
        <v>500</v>
      </c>
      <c r="N4053" s="26">
        <v>750</v>
      </c>
      <c r="O4053" s="22" t="s">
        <v>2230</v>
      </c>
      <c r="P4053" s="22" t="s">
        <v>2201</v>
      </c>
      <c r="Q4053" s="22" t="s">
        <v>2202</v>
      </c>
      <c r="X4053" s="26"/>
      <c r="Y4053" s="26"/>
    </row>
    <row r="4054" spans="1:25" ht="25" x14ac:dyDescent="0.25">
      <c r="A4054" s="21">
        <v>4765</v>
      </c>
      <c r="B4054" s="22" t="s">
        <v>15312</v>
      </c>
      <c r="C4054" s="22" t="s">
        <v>1717</v>
      </c>
      <c r="F4054" s="22" t="s">
        <v>2231</v>
      </c>
      <c r="H4054" s="25" t="s">
        <v>15373</v>
      </c>
      <c r="I4054" s="22" t="s">
        <v>15411</v>
      </c>
      <c r="J4054" s="22" t="s">
        <v>8936</v>
      </c>
      <c r="K4054" s="26">
        <f t="shared" si="63"/>
        <v>446.66666666666663</v>
      </c>
      <c r="N4054" s="26">
        <v>670</v>
      </c>
      <c r="O4054" s="22" t="s">
        <v>1717</v>
      </c>
      <c r="P4054" s="22" t="s">
        <v>322</v>
      </c>
      <c r="Q4054" s="22" t="s">
        <v>323</v>
      </c>
      <c r="X4054" s="26"/>
      <c r="Y4054" s="26"/>
    </row>
    <row r="4055" spans="1:25" ht="25" x14ac:dyDescent="0.25">
      <c r="A4055" s="21">
        <v>4766</v>
      </c>
      <c r="B4055" s="22" t="s">
        <v>15312</v>
      </c>
      <c r="C4055" s="22" t="s">
        <v>1717</v>
      </c>
      <c r="F4055" s="22" t="s">
        <v>2232</v>
      </c>
      <c r="H4055" s="25" t="s">
        <v>15373</v>
      </c>
      <c r="I4055" s="22" t="s">
        <v>15374</v>
      </c>
      <c r="J4055" s="22" t="s">
        <v>2233</v>
      </c>
      <c r="K4055" s="26">
        <f t="shared" si="63"/>
        <v>391.33333333333331</v>
      </c>
      <c r="N4055" s="26">
        <v>587</v>
      </c>
      <c r="O4055" s="22" t="s">
        <v>1717</v>
      </c>
      <c r="P4055" s="22" t="s">
        <v>322</v>
      </c>
      <c r="Q4055" s="22" t="s">
        <v>323</v>
      </c>
      <c r="X4055" s="26"/>
      <c r="Y4055" s="26"/>
    </row>
    <row r="4056" spans="1:25" ht="25" x14ac:dyDescent="0.25">
      <c r="A4056" s="21">
        <v>4767</v>
      </c>
      <c r="B4056" s="22" t="s">
        <v>15312</v>
      </c>
      <c r="C4056" s="22" t="s">
        <v>1717</v>
      </c>
      <c r="F4056" s="22" t="s">
        <v>2234</v>
      </c>
      <c r="H4056" s="25" t="s">
        <v>15373</v>
      </c>
      <c r="I4056" s="22" t="s">
        <v>15411</v>
      </c>
      <c r="J4056" s="22" t="s">
        <v>2235</v>
      </c>
      <c r="K4056" s="26">
        <f t="shared" si="63"/>
        <v>356.66666666666663</v>
      </c>
      <c r="N4056" s="26">
        <v>535</v>
      </c>
      <c r="O4056" s="22" t="s">
        <v>1717</v>
      </c>
      <c r="P4056" s="22" t="s">
        <v>322</v>
      </c>
      <c r="Q4056" s="22" t="s">
        <v>323</v>
      </c>
      <c r="X4056" s="26"/>
      <c r="Y4056" s="26"/>
    </row>
    <row r="4057" spans="1:25" ht="25" x14ac:dyDescent="0.25">
      <c r="A4057" s="21">
        <v>4768</v>
      </c>
      <c r="B4057" s="22" t="s">
        <v>15312</v>
      </c>
      <c r="C4057" s="22" t="s">
        <v>1717</v>
      </c>
      <c r="F4057" s="22" t="s">
        <v>2236</v>
      </c>
      <c r="H4057" s="25" t="s">
        <v>15373</v>
      </c>
      <c r="I4057" s="22" t="s">
        <v>15411</v>
      </c>
      <c r="J4057" s="22" t="s">
        <v>2235</v>
      </c>
      <c r="K4057" s="26">
        <f t="shared" si="63"/>
        <v>356.66666666666663</v>
      </c>
      <c r="N4057" s="26">
        <v>535</v>
      </c>
      <c r="O4057" s="22" t="s">
        <v>1717</v>
      </c>
      <c r="P4057" s="22" t="s">
        <v>322</v>
      </c>
      <c r="Q4057" s="22" t="s">
        <v>323</v>
      </c>
      <c r="X4057" s="26"/>
      <c r="Y4057" s="26"/>
    </row>
    <row r="4058" spans="1:25" x14ac:dyDescent="0.25">
      <c r="A4058" s="21">
        <v>4769</v>
      </c>
      <c r="B4058" s="22" t="s">
        <v>15312</v>
      </c>
      <c r="C4058" s="22" t="s">
        <v>2237</v>
      </c>
      <c r="F4058" s="22" t="s">
        <v>2238</v>
      </c>
      <c r="H4058" s="25" t="s">
        <v>15373</v>
      </c>
      <c r="I4058" s="22" t="s">
        <v>15374</v>
      </c>
      <c r="J4058" s="22" t="s">
        <v>9626</v>
      </c>
      <c r="K4058" s="26">
        <f t="shared" si="63"/>
        <v>402</v>
      </c>
      <c r="N4058" s="26">
        <v>603</v>
      </c>
      <c r="O4058" s="22" t="s">
        <v>2237</v>
      </c>
      <c r="P4058" s="22" t="s">
        <v>322</v>
      </c>
      <c r="Q4058" s="22" t="s">
        <v>323</v>
      </c>
      <c r="X4058" s="26"/>
      <c r="Y4058" s="26"/>
    </row>
    <row r="4059" spans="1:25" x14ac:dyDescent="0.25">
      <c r="A4059" s="21">
        <v>4770</v>
      </c>
      <c r="B4059" s="22" t="s">
        <v>15312</v>
      </c>
      <c r="C4059" s="22" t="s">
        <v>2237</v>
      </c>
      <c r="F4059" s="22" t="s">
        <v>2239</v>
      </c>
      <c r="H4059" s="25" t="s">
        <v>15373</v>
      </c>
      <c r="I4059" s="22" t="s">
        <v>15382</v>
      </c>
      <c r="J4059" s="22" t="s">
        <v>2240</v>
      </c>
      <c r="K4059" s="26">
        <f t="shared" si="63"/>
        <v>310</v>
      </c>
      <c r="N4059" s="26">
        <v>465</v>
      </c>
      <c r="O4059" s="22" t="s">
        <v>2237</v>
      </c>
      <c r="P4059" s="22" t="s">
        <v>322</v>
      </c>
      <c r="Q4059" s="22" t="s">
        <v>323</v>
      </c>
      <c r="X4059" s="26"/>
      <c r="Y4059" s="26"/>
    </row>
    <row r="4060" spans="1:25" x14ac:dyDescent="0.25">
      <c r="A4060" s="21">
        <v>4771</v>
      </c>
      <c r="B4060" s="22" t="s">
        <v>15312</v>
      </c>
      <c r="C4060" s="22" t="s">
        <v>2241</v>
      </c>
      <c r="F4060" s="22" t="s">
        <v>2242</v>
      </c>
      <c r="H4060" s="25" t="s">
        <v>15373</v>
      </c>
      <c r="I4060" s="22" t="s">
        <v>15411</v>
      </c>
      <c r="J4060" s="22" t="s">
        <v>2243</v>
      </c>
      <c r="K4060" s="26">
        <f t="shared" si="63"/>
        <v>446.66666666666663</v>
      </c>
      <c r="N4060" s="26">
        <v>670</v>
      </c>
      <c r="O4060" s="22" t="s">
        <v>2244</v>
      </c>
      <c r="P4060" s="22" t="s">
        <v>322</v>
      </c>
      <c r="Q4060" s="22" t="s">
        <v>323</v>
      </c>
      <c r="X4060" s="26"/>
      <c r="Y4060" s="26"/>
    </row>
    <row r="4061" spans="1:25" ht="25" x14ac:dyDescent="0.25">
      <c r="A4061" s="21">
        <v>4772</v>
      </c>
      <c r="B4061" s="22" t="s">
        <v>15312</v>
      </c>
      <c r="C4061" s="22" t="s">
        <v>2245</v>
      </c>
      <c r="F4061" s="22" t="s">
        <v>2246</v>
      </c>
      <c r="H4061" s="25" t="s">
        <v>15373</v>
      </c>
      <c r="I4061" s="22" t="s">
        <v>15374</v>
      </c>
      <c r="J4061" s="22" t="s">
        <v>2247</v>
      </c>
      <c r="K4061" s="26">
        <f t="shared" si="63"/>
        <v>793.33333333333326</v>
      </c>
      <c r="N4061" s="26">
        <v>1190</v>
      </c>
      <c r="O4061" s="22" t="s">
        <v>2248</v>
      </c>
      <c r="P4061" s="22" t="s">
        <v>322</v>
      </c>
      <c r="Q4061" s="22" t="s">
        <v>323</v>
      </c>
      <c r="X4061" s="26"/>
      <c r="Y4061" s="26"/>
    </row>
    <row r="4062" spans="1:25" ht="25" x14ac:dyDescent="0.25">
      <c r="A4062" s="21">
        <v>4773</v>
      </c>
      <c r="B4062" s="22" t="s">
        <v>15312</v>
      </c>
      <c r="C4062" s="22" t="s">
        <v>2245</v>
      </c>
      <c r="F4062" s="22" t="s">
        <v>2249</v>
      </c>
      <c r="H4062" s="25" t="s">
        <v>15373</v>
      </c>
      <c r="I4062" s="22" t="s">
        <v>8176</v>
      </c>
      <c r="J4062" s="22" t="s">
        <v>2250</v>
      </c>
      <c r="K4062" s="26">
        <f t="shared" si="63"/>
        <v>350.66666666666663</v>
      </c>
      <c r="N4062" s="26">
        <v>526</v>
      </c>
      <c r="O4062" s="22" t="s">
        <v>2251</v>
      </c>
      <c r="P4062" s="22" t="s">
        <v>322</v>
      </c>
      <c r="Q4062" s="22" t="s">
        <v>323</v>
      </c>
      <c r="X4062" s="26"/>
      <c r="Y4062" s="26"/>
    </row>
    <row r="4063" spans="1:25" ht="25" x14ac:dyDescent="0.25">
      <c r="A4063" s="21">
        <v>4774</v>
      </c>
      <c r="B4063" s="22" t="s">
        <v>15312</v>
      </c>
      <c r="C4063" s="22" t="s">
        <v>2245</v>
      </c>
      <c r="F4063" s="22" t="s">
        <v>2252</v>
      </c>
      <c r="H4063" s="25" t="s">
        <v>15373</v>
      </c>
      <c r="I4063" s="22" t="s">
        <v>8176</v>
      </c>
      <c r="J4063" s="22" t="s">
        <v>2250</v>
      </c>
      <c r="K4063" s="26">
        <f t="shared" si="63"/>
        <v>350.66666666666663</v>
      </c>
      <c r="N4063" s="26">
        <v>526</v>
      </c>
      <c r="O4063" s="22" t="s">
        <v>2251</v>
      </c>
      <c r="P4063" s="22" t="s">
        <v>322</v>
      </c>
      <c r="Q4063" s="22" t="s">
        <v>323</v>
      </c>
      <c r="X4063" s="26"/>
      <c r="Y4063" s="26"/>
    </row>
    <row r="4064" spans="1:25" x14ac:dyDescent="0.25">
      <c r="A4064" s="21">
        <v>4775</v>
      </c>
      <c r="B4064" s="22" t="s">
        <v>15312</v>
      </c>
      <c r="C4064" s="22" t="s">
        <v>2253</v>
      </c>
      <c r="F4064" s="22" t="s">
        <v>2254</v>
      </c>
      <c r="H4064" s="25" t="s">
        <v>15373</v>
      </c>
      <c r="I4064" s="22" t="s">
        <v>15411</v>
      </c>
      <c r="J4064" s="22" t="s">
        <v>2255</v>
      </c>
      <c r="K4064" s="26">
        <f t="shared" si="63"/>
        <v>606.66666666666663</v>
      </c>
      <c r="N4064" s="26">
        <v>910</v>
      </c>
      <c r="O4064" s="22" t="s">
        <v>2253</v>
      </c>
      <c r="P4064" s="22" t="s">
        <v>2201</v>
      </c>
      <c r="Q4064" s="22" t="s">
        <v>2202</v>
      </c>
      <c r="X4064" s="26"/>
      <c r="Y4064" s="26"/>
    </row>
    <row r="4065" spans="1:25" x14ac:dyDescent="0.25">
      <c r="A4065" s="21">
        <v>4776</v>
      </c>
      <c r="B4065" s="22" t="s">
        <v>15312</v>
      </c>
      <c r="C4065" s="22" t="s">
        <v>2253</v>
      </c>
      <c r="F4065" s="22" t="s">
        <v>2256</v>
      </c>
      <c r="H4065" s="25" t="s">
        <v>15373</v>
      </c>
      <c r="I4065" s="22" t="s">
        <v>15411</v>
      </c>
      <c r="J4065" s="22" t="s">
        <v>2255</v>
      </c>
      <c r="K4065" s="26">
        <f t="shared" si="63"/>
        <v>606.66666666666663</v>
      </c>
      <c r="N4065" s="26">
        <v>910</v>
      </c>
      <c r="O4065" s="22" t="s">
        <v>2253</v>
      </c>
      <c r="P4065" s="22" t="s">
        <v>2201</v>
      </c>
      <c r="Q4065" s="22" t="s">
        <v>2202</v>
      </c>
      <c r="X4065" s="26"/>
      <c r="Y4065" s="26"/>
    </row>
    <row r="4066" spans="1:25" ht="25" x14ac:dyDescent="0.25">
      <c r="A4066" s="21">
        <v>4777</v>
      </c>
      <c r="B4066" s="22" t="s">
        <v>15312</v>
      </c>
      <c r="C4066" s="22" t="s">
        <v>2257</v>
      </c>
      <c r="F4066" s="22" t="s">
        <v>2258</v>
      </c>
      <c r="H4066" s="25" t="s">
        <v>15373</v>
      </c>
      <c r="I4066" s="22" t="s">
        <v>15374</v>
      </c>
      <c r="J4066" s="22" t="s">
        <v>15677</v>
      </c>
      <c r="K4066" s="26">
        <f t="shared" si="63"/>
        <v>1665.3333333333333</v>
      </c>
      <c r="N4066" s="26">
        <v>2498</v>
      </c>
      <c r="O4066" s="22" t="s">
        <v>2257</v>
      </c>
      <c r="P4066" s="22" t="s">
        <v>322</v>
      </c>
      <c r="Q4066" s="22" t="s">
        <v>323</v>
      </c>
      <c r="X4066" s="26"/>
      <c r="Y4066" s="26"/>
    </row>
    <row r="4067" spans="1:25" ht="25" x14ac:dyDescent="0.25">
      <c r="A4067" s="21">
        <v>4778</v>
      </c>
      <c r="B4067" s="22" t="s">
        <v>15312</v>
      </c>
      <c r="C4067" s="22" t="s">
        <v>2259</v>
      </c>
      <c r="F4067" s="22" t="s">
        <v>2260</v>
      </c>
      <c r="H4067" s="25" t="s">
        <v>15373</v>
      </c>
      <c r="I4067" s="22" t="s">
        <v>15382</v>
      </c>
      <c r="J4067" s="22" t="s">
        <v>2240</v>
      </c>
      <c r="K4067" s="26">
        <f t="shared" si="63"/>
        <v>310</v>
      </c>
      <c r="N4067" s="26">
        <v>465</v>
      </c>
      <c r="O4067" s="22" t="s">
        <v>2261</v>
      </c>
      <c r="P4067" s="22" t="s">
        <v>322</v>
      </c>
      <c r="Q4067" s="22" t="s">
        <v>323</v>
      </c>
      <c r="X4067" s="26"/>
      <c r="Y4067" s="26"/>
    </row>
    <row r="4068" spans="1:25" ht="25" x14ac:dyDescent="0.25">
      <c r="A4068" s="21">
        <v>4779</v>
      </c>
      <c r="B4068" s="22" t="s">
        <v>15312</v>
      </c>
      <c r="C4068" s="22" t="s">
        <v>2262</v>
      </c>
      <c r="F4068" s="22" t="s">
        <v>2263</v>
      </c>
      <c r="H4068" s="25" t="s">
        <v>15373</v>
      </c>
      <c r="I4068" s="22" t="s">
        <v>15411</v>
      </c>
      <c r="J4068" s="22" t="s">
        <v>16331</v>
      </c>
      <c r="K4068" s="26">
        <f t="shared" si="63"/>
        <v>730</v>
      </c>
      <c r="N4068" s="26">
        <v>1095</v>
      </c>
      <c r="O4068" s="22" t="s">
        <v>2264</v>
      </c>
      <c r="P4068" s="22" t="s">
        <v>322</v>
      </c>
      <c r="Q4068" s="22" t="s">
        <v>323</v>
      </c>
      <c r="X4068" s="26"/>
      <c r="Y4068" s="26"/>
    </row>
    <row r="4069" spans="1:25" ht="25" x14ac:dyDescent="0.25">
      <c r="A4069" s="21">
        <v>4780</v>
      </c>
      <c r="B4069" s="22" t="s">
        <v>15312</v>
      </c>
      <c r="C4069" s="22" t="s">
        <v>2262</v>
      </c>
      <c r="F4069" s="22" t="s">
        <v>2265</v>
      </c>
      <c r="H4069" s="25" t="s">
        <v>15373</v>
      </c>
      <c r="I4069" s="22" t="s">
        <v>15411</v>
      </c>
      <c r="J4069" s="22" t="s">
        <v>16331</v>
      </c>
      <c r="K4069" s="26">
        <f t="shared" si="63"/>
        <v>730</v>
      </c>
      <c r="N4069" s="26">
        <v>1095</v>
      </c>
      <c r="O4069" s="22" t="s">
        <v>2264</v>
      </c>
      <c r="P4069" s="22" t="s">
        <v>322</v>
      </c>
      <c r="Q4069" s="22" t="s">
        <v>323</v>
      </c>
      <c r="X4069" s="26"/>
      <c r="Y4069" s="26"/>
    </row>
    <row r="4070" spans="1:25" ht="25" x14ac:dyDescent="0.25">
      <c r="A4070" s="21">
        <v>4781</v>
      </c>
      <c r="B4070" s="22" t="s">
        <v>15312</v>
      </c>
      <c r="C4070" s="22" t="s">
        <v>2266</v>
      </c>
      <c r="F4070" s="22" t="s">
        <v>2267</v>
      </c>
      <c r="H4070" s="25" t="s">
        <v>15373</v>
      </c>
      <c r="I4070" s="22" t="s">
        <v>15374</v>
      </c>
      <c r="J4070" s="22" t="s">
        <v>17288</v>
      </c>
      <c r="K4070" s="26">
        <f t="shared" si="63"/>
        <v>309.33333333333331</v>
      </c>
      <c r="N4070" s="26">
        <v>464</v>
      </c>
      <c r="O4070" s="22" t="s">
        <v>2266</v>
      </c>
      <c r="P4070" s="22" t="s">
        <v>322</v>
      </c>
      <c r="Q4070" s="22" t="s">
        <v>323</v>
      </c>
      <c r="X4070" s="26"/>
      <c r="Y4070" s="26"/>
    </row>
    <row r="4071" spans="1:25" x14ac:dyDescent="0.25">
      <c r="A4071" s="21">
        <v>4782</v>
      </c>
      <c r="B4071" s="22" t="s">
        <v>15312</v>
      </c>
      <c r="C4071" s="22" t="s">
        <v>1798</v>
      </c>
      <c r="F4071" s="22" t="s">
        <v>2268</v>
      </c>
      <c r="H4071" s="25" t="s">
        <v>15373</v>
      </c>
      <c r="I4071" s="22" t="s">
        <v>15382</v>
      </c>
      <c r="J4071" s="22" t="s">
        <v>8716</v>
      </c>
      <c r="K4071" s="26">
        <f t="shared" si="63"/>
        <v>993.33333333333326</v>
      </c>
      <c r="N4071" s="26">
        <v>1490</v>
      </c>
      <c r="O4071" s="22" t="s">
        <v>2269</v>
      </c>
      <c r="P4071" s="22" t="s">
        <v>2201</v>
      </c>
      <c r="Q4071" s="22" t="s">
        <v>2202</v>
      </c>
      <c r="X4071" s="26"/>
      <c r="Y4071" s="26"/>
    </row>
    <row r="4072" spans="1:25" x14ac:dyDescent="0.25">
      <c r="A4072" s="21">
        <v>4783</v>
      </c>
      <c r="B4072" s="22" t="s">
        <v>15312</v>
      </c>
      <c r="C4072" s="22" t="s">
        <v>1798</v>
      </c>
      <c r="F4072" s="22" t="s">
        <v>2270</v>
      </c>
      <c r="H4072" s="25" t="s">
        <v>15373</v>
      </c>
      <c r="I4072" s="22" t="s">
        <v>15374</v>
      </c>
      <c r="J4072" s="22" t="s">
        <v>16869</v>
      </c>
      <c r="K4072" s="26">
        <f t="shared" si="63"/>
        <v>593.33333333333326</v>
      </c>
      <c r="N4072" s="26">
        <v>890</v>
      </c>
      <c r="O4072" s="22" t="s">
        <v>2271</v>
      </c>
      <c r="P4072" s="22" t="s">
        <v>2201</v>
      </c>
      <c r="Q4072" s="22" t="s">
        <v>2202</v>
      </c>
      <c r="X4072" s="26"/>
      <c r="Y4072" s="26"/>
    </row>
    <row r="4073" spans="1:25" ht="37.5" x14ac:dyDescent="0.25">
      <c r="A4073" s="21">
        <v>4784</v>
      </c>
      <c r="B4073" s="22" t="s">
        <v>15312</v>
      </c>
      <c r="C4073" s="22" t="s">
        <v>2272</v>
      </c>
      <c r="E4073" s="24">
        <v>2001</v>
      </c>
      <c r="F4073" s="22" t="s">
        <v>2273</v>
      </c>
      <c r="G4073" s="23" t="s">
        <v>2274</v>
      </c>
      <c r="H4073" s="25" t="s">
        <v>15373</v>
      </c>
      <c r="I4073" s="22" t="s">
        <v>15382</v>
      </c>
      <c r="J4073" s="22" t="s">
        <v>2275</v>
      </c>
      <c r="K4073" s="26">
        <f t="shared" si="63"/>
        <v>350</v>
      </c>
      <c r="L4073" s="26">
        <v>350</v>
      </c>
      <c r="O4073" s="22" t="s">
        <v>2276</v>
      </c>
      <c r="P4073" s="22" t="s">
        <v>322</v>
      </c>
      <c r="Q4073" s="22">
        <v>93550</v>
      </c>
      <c r="X4073" s="26"/>
      <c r="Y4073" s="26"/>
    </row>
    <row r="4074" spans="1:25" ht="37.5" x14ac:dyDescent="0.25">
      <c r="A4074" s="21">
        <v>4785</v>
      </c>
      <c r="B4074" s="22" t="s">
        <v>15312</v>
      </c>
      <c r="C4074" s="22" t="s">
        <v>2272</v>
      </c>
      <c r="E4074" s="24">
        <v>2001</v>
      </c>
      <c r="F4074" s="22" t="s">
        <v>2277</v>
      </c>
      <c r="G4074" s="23" t="s">
        <v>2278</v>
      </c>
      <c r="H4074" s="25" t="s">
        <v>15373</v>
      </c>
      <c r="I4074" s="22" t="s">
        <v>15382</v>
      </c>
      <c r="J4074" s="22" t="s">
        <v>2275</v>
      </c>
      <c r="K4074" s="26">
        <f t="shared" si="63"/>
        <v>350</v>
      </c>
      <c r="L4074" s="26">
        <v>350</v>
      </c>
      <c r="O4074" s="22" t="s">
        <v>2279</v>
      </c>
      <c r="P4074" s="22" t="s">
        <v>322</v>
      </c>
      <c r="Q4074" s="22">
        <v>93550</v>
      </c>
      <c r="X4074" s="26"/>
      <c r="Y4074" s="26"/>
    </row>
    <row r="4075" spans="1:25" ht="37.5" x14ac:dyDescent="0.25">
      <c r="A4075" s="21">
        <v>4786</v>
      </c>
      <c r="B4075" s="22" t="s">
        <v>15312</v>
      </c>
      <c r="C4075" s="22" t="s">
        <v>2272</v>
      </c>
      <c r="E4075" s="24">
        <v>2001</v>
      </c>
      <c r="F4075" s="22" t="s">
        <v>2280</v>
      </c>
      <c r="G4075" s="23" t="s">
        <v>2278</v>
      </c>
      <c r="H4075" s="25" t="s">
        <v>15373</v>
      </c>
      <c r="I4075" s="22" t="s">
        <v>15382</v>
      </c>
      <c r="J4075" s="22" t="s">
        <v>2275</v>
      </c>
      <c r="K4075" s="26">
        <f t="shared" si="63"/>
        <v>350</v>
      </c>
      <c r="L4075" s="26">
        <v>350</v>
      </c>
      <c r="O4075" s="22" t="s">
        <v>2279</v>
      </c>
      <c r="P4075" s="22" t="s">
        <v>322</v>
      </c>
      <c r="Q4075" s="22">
        <v>93550</v>
      </c>
      <c r="X4075" s="26"/>
      <c r="Y4075" s="26"/>
    </row>
    <row r="4076" spans="1:25" ht="25" x14ac:dyDescent="0.25">
      <c r="A4076" s="21">
        <v>4787</v>
      </c>
      <c r="B4076" s="22" t="s">
        <v>15312</v>
      </c>
      <c r="C4076" s="22" t="s">
        <v>2281</v>
      </c>
      <c r="E4076" s="24">
        <v>2001</v>
      </c>
      <c r="F4076" s="22" t="s">
        <v>2282</v>
      </c>
      <c r="G4076" s="23" t="s">
        <v>2283</v>
      </c>
      <c r="H4076" s="25" t="s">
        <v>15373</v>
      </c>
      <c r="I4076" s="22" t="s">
        <v>15374</v>
      </c>
      <c r="J4076" s="22" t="s">
        <v>16899</v>
      </c>
      <c r="K4076" s="26">
        <f t="shared" si="63"/>
        <v>499.33333333333331</v>
      </c>
      <c r="N4076" s="26">
        <v>749</v>
      </c>
      <c r="O4076" s="22" t="s">
        <v>2284</v>
      </c>
      <c r="P4076" s="22" t="s">
        <v>322</v>
      </c>
      <c r="Q4076" s="22">
        <v>93350</v>
      </c>
      <c r="X4076" s="26"/>
      <c r="Y4076" s="26"/>
    </row>
    <row r="4077" spans="1:25" ht="25" x14ac:dyDescent="0.25">
      <c r="A4077" s="21">
        <v>4788</v>
      </c>
      <c r="B4077" s="22" t="s">
        <v>15312</v>
      </c>
      <c r="C4077" s="22" t="s">
        <v>2281</v>
      </c>
      <c r="E4077" s="24">
        <v>2001</v>
      </c>
      <c r="F4077" s="22" t="s">
        <v>2285</v>
      </c>
      <c r="G4077" s="23" t="s">
        <v>2283</v>
      </c>
      <c r="H4077" s="25" t="s">
        <v>15373</v>
      </c>
      <c r="I4077" s="22" t="s">
        <v>15374</v>
      </c>
      <c r="J4077" s="22" t="s">
        <v>16899</v>
      </c>
      <c r="K4077" s="26">
        <f t="shared" si="63"/>
        <v>499.33333333333331</v>
      </c>
      <c r="N4077" s="26">
        <v>749</v>
      </c>
      <c r="O4077" s="22" t="s">
        <v>2284</v>
      </c>
      <c r="P4077" s="22" t="s">
        <v>322</v>
      </c>
      <c r="Q4077" s="22">
        <v>93350</v>
      </c>
      <c r="X4077" s="26"/>
      <c r="Y4077" s="26"/>
    </row>
    <row r="4078" spans="1:25" ht="25" x14ac:dyDescent="0.25">
      <c r="A4078" s="21">
        <v>4789</v>
      </c>
      <c r="B4078" s="22" t="s">
        <v>15312</v>
      </c>
      <c r="C4078" s="22" t="s">
        <v>2281</v>
      </c>
      <c r="E4078" s="24">
        <v>2001</v>
      </c>
      <c r="F4078" s="22" t="s">
        <v>2286</v>
      </c>
      <c r="G4078" s="23" t="s">
        <v>2283</v>
      </c>
      <c r="H4078" s="25" t="s">
        <v>15373</v>
      </c>
      <c r="I4078" s="22" t="s">
        <v>15374</v>
      </c>
      <c r="J4078" s="22" t="s">
        <v>16899</v>
      </c>
      <c r="K4078" s="26">
        <f t="shared" si="63"/>
        <v>499.33333333333331</v>
      </c>
      <c r="N4078" s="26">
        <v>749</v>
      </c>
      <c r="O4078" s="22" t="s">
        <v>2284</v>
      </c>
      <c r="P4078" s="22" t="s">
        <v>322</v>
      </c>
      <c r="Q4078" s="22">
        <v>93350</v>
      </c>
      <c r="X4078" s="26"/>
      <c r="Y4078" s="26"/>
    </row>
    <row r="4079" spans="1:25" ht="25" x14ac:dyDescent="0.25">
      <c r="A4079" s="21">
        <v>4790</v>
      </c>
      <c r="B4079" s="22" t="s">
        <v>15312</v>
      </c>
      <c r="C4079" s="22" t="s">
        <v>2281</v>
      </c>
      <c r="E4079" s="24">
        <v>2001</v>
      </c>
      <c r="F4079" s="22" t="s">
        <v>2287</v>
      </c>
      <c r="G4079" s="23" t="s">
        <v>2283</v>
      </c>
      <c r="H4079" s="25" t="s">
        <v>15373</v>
      </c>
      <c r="I4079" s="22" t="s">
        <v>15374</v>
      </c>
      <c r="J4079" s="22" t="s">
        <v>16899</v>
      </c>
      <c r="K4079" s="26">
        <f t="shared" si="63"/>
        <v>499.33333333333331</v>
      </c>
      <c r="N4079" s="26">
        <v>749</v>
      </c>
      <c r="O4079" s="22" t="s">
        <v>2284</v>
      </c>
      <c r="P4079" s="22" t="s">
        <v>322</v>
      </c>
      <c r="Q4079" s="22">
        <v>93350</v>
      </c>
      <c r="X4079" s="26"/>
      <c r="Y4079" s="26"/>
    </row>
    <row r="4080" spans="1:25" ht="37.5" x14ac:dyDescent="0.25">
      <c r="A4080" s="21">
        <v>4791</v>
      </c>
      <c r="B4080" s="22" t="s">
        <v>15312</v>
      </c>
      <c r="C4080" s="22" t="s">
        <v>3936</v>
      </c>
      <c r="E4080" s="24">
        <v>2001</v>
      </c>
      <c r="F4080" s="22" t="s">
        <v>2288</v>
      </c>
      <c r="G4080" s="23" t="s">
        <v>2289</v>
      </c>
      <c r="H4080" s="25" t="s">
        <v>15373</v>
      </c>
      <c r="I4080" s="22" t="s">
        <v>15374</v>
      </c>
      <c r="J4080" s="22" t="s">
        <v>11983</v>
      </c>
      <c r="K4080" s="26">
        <f t="shared" si="63"/>
        <v>986.66666666666663</v>
      </c>
      <c r="N4080" s="26">
        <v>1480</v>
      </c>
      <c r="O4080" s="22" t="s">
        <v>2290</v>
      </c>
      <c r="P4080" s="22" t="s">
        <v>2291</v>
      </c>
      <c r="Q4080" s="22">
        <v>93543</v>
      </c>
      <c r="X4080" s="26"/>
      <c r="Y4080" s="26"/>
    </row>
    <row r="4081" spans="1:25" ht="37.5" x14ac:dyDescent="0.25">
      <c r="A4081" s="21">
        <v>4792</v>
      </c>
      <c r="B4081" s="22" t="s">
        <v>15312</v>
      </c>
      <c r="C4081" s="22" t="s">
        <v>2292</v>
      </c>
      <c r="E4081" s="24">
        <v>2002</v>
      </c>
      <c r="F4081" s="22" t="s">
        <v>2293</v>
      </c>
      <c r="G4081" s="23" t="s">
        <v>2294</v>
      </c>
      <c r="H4081" s="25" t="s">
        <v>15373</v>
      </c>
      <c r="I4081" s="22" t="s">
        <v>15374</v>
      </c>
      <c r="J4081" s="22" t="s">
        <v>11983</v>
      </c>
      <c r="K4081" s="26">
        <f t="shared" si="63"/>
        <v>1000</v>
      </c>
      <c r="L4081" s="26">
        <v>1000</v>
      </c>
      <c r="O4081" s="22" t="s">
        <v>2295</v>
      </c>
      <c r="P4081" s="22" t="s">
        <v>2201</v>
      </c>
      <c r="Q4081" s="22">
        <v>93535</v>
      </c>
      <c r="X4081" s="26"/>
      <c r="Y4081" s="26"/>
    </row>
    <row r="4082" spans="1:25" ht="37.5" x14ac:dyDescent="0.25">
      <c r="A4082" s="21">
        <v>4793</v>
      </c>
      <c r="B4082" s="22" t="s">
        <v>15312</v>
      </c>
      <c r="C4082" s="22" t="s">
        <v>2281</v>
      </c>
      <c r="E4082" s="24">
        <v>2002</v>
      </c>
      <c r="F4082" s="22" t="s">
        <v>2296</v>
      </c>
      <c r="G4082" s="23" t="s">
        <v>2297</v>
      </c>
      <c r="H4082" s="25" t="s">
        <v>15373</v>
      </c>
      <c r="I4082" s="22" t="s">
        <v>15374</v>
      </c>
      <c r="J4082" s="22" t="s">
        <v>16869</v>
      </c>
      <c r="K4082" s="26">
        <f t="shared" si="63"/>
        <v>544.66666666666663</v>
      </c>
      <c r="N4082" s="26">
        <v>817</v>
      </c>
      <c r="O4082" s="22" t="s">
        <v>2284</v>
      </c>
      <c r="P4082" s="22" t="s">
        <v>322</v>
      </c>
      <c r="Q4082" s="22">
        <v>93350</v>
      </c>
      <c r="X4082" s="26"/>
      <c r="Y4082" s="26"/>
    </row>
    <row r="4083" spans="1:25" ht="50" x14ac:dyDescent="0.25">
      <c r="A4083" s="21">
        <v>4794</v>
      </c>
      <c r="B4083" s="22" t="s">
        <v>15312</v>
      </c>
      <c r="C4083" s="22" t="s">
        <v>2298</v>
      </c>
      <c r="E4083" s="24">
        <v>2003</v>
      </c>
      <c r="F4083" s="22" t="s">
        <v>2299</v>
      </c>
      <c r="G4083" s="23" t="s">
        <v>2300</v>
      </c>
      <c r="H4083" s="25" t="s">
        <v>15373</v>
      </c>
      <c r="I4083" s="22" t="s">
        <v>15382</v>
      </c>
      <c r="J4083" s="22" t="s">
        <v>7779</v>
      </c>
      <c r="K4083" s="26">
        <f t="shared" si="63"/>
        <v>1948</v>
      </c>
      <c r="N4083" s="26">
        <v>2922</v>
      </c>
      <c r="O4083" s="22" t="s">
        <v>2301</v>
      </c>
      <c r="P4083" s="22" t="s">
        <v>2201</v>
      </c>
      <c r="Q4083" s="22">
        <v>93534</v>
      </c>
      <c r="X4083" s="26"/>
      <c r="Y4083" s="26"/>
    </row>
    <row r="4084" spans="1:25" ht="25" x14ac:dyDescent="0.25">
      <c r="A4084" s="21">
        <v>4875</v>
      </c>
      <c r="B4084" s="22" t="s">
        <v>15320</v>
      </c>
      <c r="C4084" s="22" t="s">
        <v>2302</v>
      </c>
      <c r="E4084" s="24">
        <v>1995</v>
      </c>
      <c r="F4084" s="22" t="s">
        <v>2303</v>
      </c>
      <c r="G4084" s="23" t="s">
        <v>2304</v>
      </c>
      <c r="H4084" s="25" t="s">
        <v>15373</v>
      </c>
      <c r="I4084" s="22" t="s">
        <v>15411</v>
      </c>
      <c r="J4084" s="22" t="s">
        <v>2305</v>
      </c>
      <c r="K4084" s="26">
        <f t="shared" si="63"/>
        <v>631.33333333333326</v>
      </c>
      <c r="M4084" s="26">
        <v>947</v>
      </c>
      <c r="O4084" s="22" t="s">
        <v>2306</v>
      </c>
      <c r="P4084" s="22" t="s">
        <v>2307</v>
      </c>
      <c r="Q4084" s="22">
        <v>96158</v>
      </c>
      <c r="R4084" s="22" t="s">
        <v>2308</v>
      </c>
      <c r="S4084" s="22" t="s">
        <v>2309</v>
      </c>
      <c r="T4084" s="22">
        <v>6.9</v>
      </c>
      <c r="U4084" s="22">
        <v>0.4</v>
      </c>
      <c r="X4084" s="26"/>
      <c r="Y4084" s="26"/>
    </row>
    <row r="4085" spans="1:25" ht="25" x14ac:dyDescent="0.25">
      <c r="A4085" s="21">
        <v>4876</v>
      </c>
      <c r="B4085" s="22" t="s">
        <v>15320</v>
      </c>
      <c r="C4085" s="22" t="s">
        <v>2310</v>
      </c>
      <c r="E4085" s="24">
        <v>1996</v>
      </c>
      <c r="F4085" s="22" t="s">
        <v>2311</v>
      </c>
      <c r="G4085" s="23" t="s">
        <v>2312</v>
      </c>
      <c r="H4085" s="25" t="s">
        <v>15373</v>
      </c>
      <c r="I4085" s="22" t="s">
        <v>15411</v>
      </c>
      <c r="J4085" s="22" t="s">
        <v>2313</v>
      </c>
      <c r="K4085" s="26">
        <f t="shared" ref="K4085:K4148" si="64">L4085+M4085*(2/3)+N4085*(2/3)</f>
        <v>821.33333333333326</v>
      </c>
      <c r="M4085" s="26">
        <v>1232</v>
      </c>
      <c r="O4085" s="22" t="s">
        <v>2314</v>
      </c>
      <c r="P4085" s="22" t="s">
        <v>2315</v>
      </c>
      <c r="Q4085" s="22">
        <v>95682</v>
      </c>
      <c r="R4085" s="22" t="s">
        <v>2316</v>
      </c>
      <c r="S4085" s="22" t="s">
        <v>2317</v>
      </c>
      <c r="T4085" s="22">
        <v>8.17</v>
      </c>
      <c r="U4085" s="22">
        <v>0.38</v>
      </c>
      <c r="X4085" s="26"/>
      <c r="Y4085" s="26"/>
    </row>
    <row r="4086" spans="1:25" ht="25" x14ac:dyDescent="0.25">
      <c r="A4086" s="21">
        <v>4877</v>
      </c>
      <c r="B4086" s="22" t="s">
        <v>15320</v>
      </c>
      <c r="C4086" s="22" t="s">
        <v>2310</v>
      </c>
      <c r="E4086" s="24">
        <v>1997</v>
      </c>
      <c r="F4086" s="22" t="s">
        <v>2318</v>
      </c>
      <c r="G4086" s="23" t="s">
        <v>2319</v>
      </c>
      <c r="H4086" s="25" t="s">
        <v>15373</v>
      </c>
      <c r="I4086" s="22" t="s">
        <v>15411</v>
      </c>
      <c r="J4086" s="22" t="s">
        <v>10989</v>
      </c>
      <c r="K4086" s="26">
        <f t="shared" si="64"/>
        <v>428.66666666666663</v>
      </c>
      <c r="M4086" s="26">
        <v>643</v>
      </c>
      <c r="O4086" s="22" t="s">
        <v>2320</v>
      </c>
      <c r="P4086" s="22" t="s">
        <v>2321</v>
      </c>
      <c r="Q4086" s="22">
        <v>95762</v>
      </c>
      <c r="R4086" s="22" t="s">
        <v>2322</v>
      </c>
      <c r="S4086" s="22" t="s">
        <v>2323</v>
      </c>
      <c r="T4086" s="22">
        <v>6.9</v>
      </c>
      <c r="U4086" s="22">
        <v>0.4</v>
      </c>
      <c r="X4086" s="26"/>
      <c r="Y4086" s="26"/>
    </row>
    <row r="4087" spans="1:25" ht="25" x14ac:dyDescent="0.25">
      <c r="A4087" s="21">
        <v>4878</v>
      </c>
      <c r="B4087" s="22" t="s">
        <v>15320</v>
      </c>
      <c r="C4087" s="22" t="s">
        <v>2324</v>
      </c>
      <c r="E4087" s="24">
        <v>1991</v>
      </c>
      <c r="F4087" s="22" t="s">
        <v>2325</v>
      </c>
      <c r="G4087" s="23" t="s">
        <v>2326</v>
      </c>
      <c r="H4087" s="25" t="s">
        <v>15373</v>
      </c>
      <c r="I4087" s="22" t="s">
        <v>15382</v>
      </c>
      <c r="J4087" s="22" t="s">
        <v>2327</v>
      </c>
      <c r="K4087" s="26">
        <f t="shared" si="64"/>
        <v>456.66666666666663</v>
      </c>
      <c r="M4087" s="26">
        <v>685</v>
      </c>
      <c r="O4087" s="22" t="s">
        <v>2328</v>
      </c>
      <c r="P4087" s="22" t="s">
        <v>2307</v>
      </c>
      <c r="Q4087" s="22">
        <v>96150</v>
      </c>
      <c r="R4087" s="22" t="s">
        <v>2329</v>
      </c>
      <c r="S4087" s="22" t="s">
        <v>2330</v>
      </c>
      <c r="T4087" s="22">
        <v>6.9</v>
      </c>
      <c r="U4087" s="22">
        <v>0.4</v>
      </c>
      <c r="X4087" s="26"/>
      <c r="Y4087" s="26"/>
    </row>
    <row r="4088" spans="1:25" ht="25" x14ac:dyDescent="0.25">
      <c r="A4088" s="21">
        <v>4879</v>
      </c>
      <c r="B4088" s="22" t="s">
        <v>15320</v>
      </c>
      <c r="C4088" s="22" t="s">
        <v>2331</v>
      </c>
      <c r="E4088" s="24">
        <v>2000</v>
      </c>
      <c r="F4088" s="22" t="s">
        <v>2332</v>
      </c>
      <c r="G4088" s="23" t="s">
        <v>2333</v>
      </c>
      <c r="H4088" s="25" t="s">
        <v>15373</v>
      </c>
      <c r="I4088" s="22" t="s">
        <v>15382</v>
      </c>
      <c r="J4088" s="22" t="s">
        <v>2334</v>
      </c>
      <c r="K4088" s="26">
        <f t="shared" si="64"/>
        <v>700</v>
      </c>
      <c r="M4088" s="26">
        <v>1050</v>
      </c>
      <c r="O4088" s="22" t="s">
        <v>2335</v>
      </c>
      <c r="P4088" s="22" t="s">
        <v>2307</v>
      </c>
      <c r="Q4088" s="22">
        <v>96150</v>
      </c>
      <c r="R4088" s="22" t="s">
        <v>2336</v>
      </c>
      <c r="S4088" s="22" t="s">
        <v>2337</v>
      </c>
      <c r="T4088" s="22">
        <v>6.9</v>
      </c>
      <c r="U4088" s="22">
        <v>0.4</v>
      </c>
      <c r="X4088" s="26"/>
      <c r="Y4088" s="26"/>
    </row>
    <row r="4089" spans="1:25" ht="25" x14ac:dyDescent="0.25">
      <c r="A4089" s="21">
        <v>4880</v>
      </c>
      <c r="B4089" s="22" t="s">
        <v>15320</v>
      </c>
      <c r="C4089" s="22" t="s">
        <v>2331</v>
      </c>
      <c r="E4089" s="24">
        <v>2000</v>
      </c>
      <c r="F4089" s="22" t="s">
        <v>2338</v>
      </c>
      <c r="G4089" s="23" t="s">
        <v>2339</v>
      </c>
      <c r="H4089" s="25" t="s">
        <v>15373</v>
      </c>
      <c r="I4089" s="22" t="s">
        <v>15382</v>
      </c>
      <c r="J4089" s="22" t="s">
        <v>2334</v>
      </c>
      <c r="K4089" s="26">
        <f t="shared" si="64"/>
        <v>700</v>
      </c>
      <c r="M4089" s="26">
        <v>1050</v>
      </c>
      <c r="O4089" s="22" t="s">
        <v>2335</v>
      </c>
      <c r="P4089" s="22" t="s">
        <v>2307</v>
      </c>
      <c r="Q4089" s="22">
        <v>96150</v>
      </c>
      <c r="R4089" s="22" t="s">
        <v>2336</v>
      </c>
      <c r="S4089" s="22" t="s">
        <v>2337</v>
      </c>
      <c r="T4089" s="22">
        <v>6.9</v>
      </c>
      <c r="U4089" s="22">
        <v>0.4</v>
      </c>
      <c r="X4089" s="26"/>
      <c r="Y4089" s="26"/>
    </row>
    <row r="4090" spans="1:25" ht="25" x14ac:dyDescent="0.25">
      <c r="A4090" s="21">
        <v>4881</v>
      </c>
      <c r="B4090" s="22" t="s">
        <v>15320</v>
      </c>
      <c r="C4090" s="22" t="s">
        <v>2340</v>
      </c>
      <c r="E4090" s="24">
        <v>1994</v>
      </c>
      <c r="F4090" s="22" t="s">
        <v>2341</v>
      </c>
      <c r="G4090" s="23" t="s">
        <v>2342</v>
      </c>
      <c r="H4090" s="25" t="s">
        <v>15373</v>
      </c>
      <c r="I4090" s="22" t="s">
        <v>15382</v>
      </c>
      <c r="J4090" s="22" t="s">
        <v>2343</v>
      </c>
      <c r="K4090" s="26">
        <f t="shared" si="64"/>
        <v>400</v>
      </c>
      <c r="M4090" s="26">
        <v>600</v>
      </c>
      <c r="O4090" s="22" t="s">
        <v>2344</v>
      </c>
      <c r="P4090" s="22" t="s">
        <v>2307</v>
      </c>
      <c r="Q4090" s="22">
        <v>96150</v>
      </c>
      <c r="R4090" s="22" t="s">
        <v>2345</v>
      </c>
      <c r="S4090" s="22" t="s">
        <v>2346</v>
      </c>
      <c r="T4090" s="22">
        <v>6.9</v>
      </c>
      <c r="U4090" s="22">
        <v>0.4</v>
      </c>
      <c r="X4090" s="26"/>
      <c r="Y4090" s="26"/>
    </row>
    <row r="4091" spans="1:25" ht="25" x14ac:dyDescent="0.25">
      <c r="A4091" s="21">
        <v>4882</v>
      </c>
      <c r="B4091" s="22" t="s">
        <v>15320</v>
      </c>
      <c r="C4091" s="22" t="s">
        <v>2347</v>
      </c>
      <c r="E4091" s="24">
        <v>1992</v>
      </c>
      <c r="F4091" s="22" t="s">
        <v>2348</v>
      </c>
      <c r="G4091" s="23" t="s">
        <v>2349</v>
      </c>
      <c r="H4091" s="25" t="s">
        <v>15373</v>
      </c>
      <c r="I4091" s="22" t="s">
        <v>15382</v>
      </c>
      <c r="J4091" s="22" t="s">
        <v>2350</v>
      </c>
      <c r="K4091" s="26">
        <f t="shared" si="64"/>
        <v>466.66666666666663</v>
      </c>
      <c r="M4091" s="26">
        <v>700</v>
      </c>
      <c r="O4091" s="22" t="s">
        <v>2344</v>
      </c>
      <c r="P4091" s="22" t="s">
        <v>2307</v>
      </c>
      <c r="Q4091" s="22">
        <v>96150</v>
      </c>
      <c r="R4091" s="22" t="s">
        <v>2345</v>
      </c>
      <c r="S4091" s="22" t="s">
        <v>2346</v>
      </c>
      <c r="T4091" s="22">
        <v>6.9</v>
      </c>
      <c r="U4091" s="22">
        <v>0.4</v>
      </c>
      <c r="X4091" s="26"/>
      <c r="Y4091" s="26"/>
    </row>
    <row r="4092" spans="1:25" x14ac:dyDescent="0.25">
      <c r="A4092" s="21">
        <v>4883</v>
      </c>
      <c r="B4092" s="22" t="s">
        <v>15320</v>
      </c>
      <c r="C4092" s="22" t="s">
        <v>2351</v>
      </c>
      <c r="E4092" s="24">
        <v>1992</v>
      </c>
      <c r="F4092" s="22" t="s">
        <v>2352</v>
      </c>
      <c r="G4092" s="23" t="s">
        <v>2353</v>
      </c>
      <c r="H4092" s="25" t="s">
        <v>15373</v>
      </c>
      <c r="I4092" s="22" t="s">
        <v>15382</v>
      </c>
      <c r="J4092" s="22" t="s">
        <v>14642</v>
      </c>
      <c r="K4092" s="26">
        <f t="shared" si="64"/>
        <v>750</v>
      </c>
      <c r="L4092" s="26">
        <v>750</v>
      </c>
      <c r="O4092" s="22" t="s">
        <v>2354</v>
      </c>
      <c r="P4092" s="22" t="s">
        <v>2355</v>
      </c>
      <c r="Q4092" s="22">
        <v>95667</v>
      </c>
      <c r="R4092" s="22" t="s">
        <v>2356</v>
      </c>
      <c r="S4092" s="22" t="s">
        <v>2357</v>
      </c>
      <c r="T4092" s="22">
        <v>8.17</v>
      </c>
      <c r="U4092" s="22">
        <v>0.38</v>
      </c>
      <c r="X4092" s="26"/>
      <c r="Y4092" s="26"/>
    </row>
    <row r="4093" spans="1:25" ht="25" x14ac:dyDescent="0.25">
      <c r="A4093" s="21">
        <v>4884</v>
      </c>
      <c r="B4093" s="22" t="s">
        <v>15320</v>
      </c>
      <c r="C4093" s="22" t="s">
        <v>2351</v>
      </c>
      <c r="E4093" s="24">
        <v>1988</v>
      </c>
      <c r="F4093" s="22" t="s">
        <v>2358</v>
      </c>
      <c r="G4093" s="23" t="s">
        <v>2359</v>
      </c>
      <c r="H4093" s="25" t="s">
        <v>15373</v>
      </c>
      <c r="I4093" s="22" t="s">
        <v>15382</v>
      </c>
      <c r="J4093" s="22" t="s">
        <v>2360</v>
      </c>
      <c r="K4093" s="26">
        <f t="shared" si="64"/>
        <v>400</v>
      </c>
      <c r="L4093" s="26">
        <v>400</v>
      </c>
      <c r="O4093" s="22" t="s">
        <v>2354</v>
      </c>
      <c r="P4093" s="22" t="s">
        <v>2355</v>
      </c>
      <c r="Q4093" s="22">
        <v>95667</v>
      </c>
      <c r="R4093" s="22" t="s">
        <v>2356</v>
      </c>
      <c r="S4093" s="22" t="s">
        <v>2357</v>
      </c>
      <c r="T4093" s="22">
        <v>8.17</v>
      </c>
      <c r="U4093" s="22">
        <v>0.38</v>
      </c>
      <c r="X4093" s="26"/>
      <c r="Y4093" s="26"/>
    </row>
    <row r="4094" spans="1:25" ht="25" x14ac:dyDescent="0.25">
      <c r="A4094" s="21">
        <v>4885</v>
      </c>
      <c r="B4094" s="22" t="s">
        <v>15320</v>
      </c>
      <c r="C4094" s="22" t="s">
        <v>2361</v>
      </c>
      <c r="E4094" s="24">
        <v>1996</v>
      </c>
      <c r="F4094" s="22" t="s">
        <v>2362</v>
      </c>
      <c r="G4094" s="23" t="s">
        <v>2363</v>
      </c>
      <c r="H4094" s="25" t="s">
        <v>15373</v>
      </c>
      <c r="I4094" s="22" t="s">
        <v>15382</v>
      </c>
      <c r="J4094" s="22" t="s">
        <v>16925</v>
      </c>
      <c r="K4094" s="26">
        <f t="shared" si="64"/>
        <v>1466.6666666666665</v>
      </c>
      <c r="M4094" s="26">
        <v>2200</v>
      </c>
      <c r="O4094" s="22" t="s">
        <v>2364</v>
      </c>
      <c r="P4094" s="22" t="s">
        <v>2321</v>
      </c>
      <c r="Q4094" s="22">
        <v>95762</v>
      </c>
      <c r="R4094" s="22" t="s">
        <v>2114</v>
      </c>
      <c r="S4094" s="22" t="s">
        <v>2115</v>
      </c>
      <c r="T4094" s="22">
        <v>8.17</v>
      </c>
      <c r="U4094" s="22">
        <v>0.38</v>
      </c>
      <c r="X4094" s="26"/>
      <c r="Y4094" s="26"/>
    </row>
    <row r="4095" spans="1:25" ht="25" x14ac:dyDescent="0.25">
      <c r="A4095" s="21">
        <v>4886</v>
      </c>
      <c r="B4095" s="22" t="s">
        <v>15320</v>
      </c>
      <c r="C4095" s="22" t="s">
        <v>2365</v>
      </c>
      <c r="E4095" s="24">
        <v>1995</v>
      </c>
      <c r="F4095" s="22" t="s">
        <v>2366</v>
      </c>
      <c r="G4095" s="23" t="s">
        <v>2367</v>
      </c>
      <c r="H4095" s="25" t="s">
        <v>15373</v>
      </c>
      <c r="I4095" s="22" t="s">
        <v>2368</v>
      </c>
      <c r="J4095" s="22" t="s">
        <v>2369</v>
      </c>
      <c r="K4095" s="26">
        <f t="shared" si="64"/>
        <v>460</v>
      </c>
      <c r="M4095" s="26">
        <v>690</v>
      </c>
      <c r="O4095" s="22" t="s">
        <v>2370</v>
      </c>
      <c r="P4095" s="22" t="s">
        <v>2307</v>
      </c>
      <c r="Q4095" s="22">
        <v>95705</v>
      </c>
      <c r="R4095" s="22" t="s">
        <v>2371</v>
      </c>
      <c r="S4095" s="22" t="s">
        <v>2372</v>
      </c>
      <c r="T4095" s="22">
        <v>8.17</v>
      </c>
      <c r="U4095" s="22">
        <v>0.38</v>
      </c>
      <c r="X4095" s="26"/>
      <c r="Y4095" s="26"/>
    </row>
    <row r="4096" spans="1:25" ht="25" x14ac:dyDescent="0.25">
      <c r="A4096" s="21">
        <v>4887</v>
      </c>
      <c r="B4096" s="22" t="s">
        <v>15320</v>
      </c>
      <c r="C4096" s="22" t="s">
        <v>2365</v>
      </c>
      <c r="E4096" s="24">
        <v>1997</v>
      </c>
      <c r="F4096" s="22" t="s">
        <v>2373</v>
      </c>
      <c r="G4096" s="23" t="s">
        <v>2374</v>
      </c>
      <c r="H4096" s="25" t="s">
        <v>15373</v>
      </c>
      <c r="I4096" s="22" t="s">
        <v>15411</v>
      </c>
      <c r="J4096" s="22" t="s">
        <v>16276</v>
      </c>
      <c r="K4096" s="26">
        <f t="shared" si="64"/>
        <v>378.66666666666663</v>
      </c>
      <c r="M4096" s="26">
        <v>568</v>
      </c>
      <c r="O4096" s="22" t="s">
        <v>2375</v>
      </c>
      <c r="P4096" s="22" t="s">
        <v>2355</v>
      </c>
      <c r="Q4096" s="22">
        <v>95667</v>
      </c>
      <c r="R4096" s="22" t="s">
        <v>2371</v>
      </c>
      <c r="S4096" s="22" t="s">
        <v>2372</v>
      </c>
      <c r="T4096" s="22">
        <v>6.9</v>
      </c>
      <c r="U4096" s="22">
        <v>0.4</v>
      </c>
      <c r="X4096" s="26"/>
      <c r="Y4096" s="26"/>
    </row>
    <row r="4097" spans="1:25" ht="25" x14ac:dyDescent="0.25">
      <c r="A4097" s="21">
        <v>4888</v>
      </c>
      <c r="B4097" s="22" t="s">
        <v>15320</v>
      </c>
      <c r="C4097" s="22" t="s">
        <v>2376</v>
      </c>
      <c r="E4097" s="24">
        <v>1999</v>
      </c>
      <c r="F4097" s="22" t="s">
        <v>2377</v>
      </c>
      <c r="G4097" s="23" t="s">
        <v>2378</v>
      </c>
      <c r="H4097" s="25" t="s">
        <v>15373</v>
      </c>
      <c r="I4097" s="22" t="s">
        <v>15374</v>
      </c>
      <c r="J4097" s="22">
        <v>3412</v>
      </c>
      <c r="K4097" s="26">
        <f t="shared" si="64"/>
        <v>739.33333333333326</v>
      </c>
      <c r="M4097" s="26">
        <v>1109</v>
      </c>
      <c r="O4097" s="22" t="s">
        <v>2379</v>
      </c>
      <c r="P4097" s="22" t="s">
        <v>2380</v>
      </c>
      <c r="Q4097" s="22">
        <v>95735</v>
      </c>
      <c r="R4097" s="22" t="s">
        <v>2381</v>
      </c>
      <c r="S4097" s="22" t="s">
        <v>2382</v>
      </c>
      <c r="T4097" s="22">
        <v>8.17</v>
      </c>
      <c r="U4097" s="22">
        <v>0.38</v>
      </c>
      <c r="X4097" s="26"/>
      <c r="Y4097" s="26"/>
    </row>
    <row r="4098" spans="1:25" ht="25" x14ac:dyDescent="0.25">
      <c r="A4098" s="21">
        <v>4889</v>
      </c>
      <c r="B4098" s="22" t="s">
        <v>15320</v>
      </c>
      <c r="C4098" s="22" t="s">
        <v>2376</v>
      </c>
      <c r="E4098" s="24">
        <v>1992</v>
      </c>
      <c r="F4098" s="22" t="s">
        <v>2383</v>
      </c>
      <c r="G4098" s="23" t="s">
        <v>2384</v>
      </c>
      <c r="H4098" s="25" t="s">
        <v>15373</v>
      </c>
      <c r="I4098" s="22" t="s">
        <v>15411</v>
      </c>
      <c r="J4098" s="22" t="s">
        <v>11079</v>
      </c>
      <c r="K4098" s="26">
        <f t="shared" si="64"/>
        <v>730</v>
      </c>
      <c r="M4098" s="26">
        <v>1095</v>
      </c>
      <c r="O4098" s="22" t="s">
        <v>2379</v>
      </c>
      <c r="P4098" s="22" t="s">
        <v>2380</v>
      </c>
      <c r="Q4098" s="22">
        <v>95735</v>
      </c>
      <c r="R4098" s="22" t="s">
        <v>2381</v>
      </c>
      <c r="S4098" s="22" t="s">
        <v>2382</v>
      </c>
      <c r="T4098" s="22">
        <v>8.17</v>
      </c>
      <c r="U4098" s="22">
        <v>0.38</v>
      </c>
      <c r="X4098" s="26"/>
      <c r="Y4098" s="26"/>
    </row>
    <row r="4099" spans="1:25" ht="25" x14ac:dyDescent="0.25">
      <c r="A4099" s="21">
        <v>4890</v>
      </c>
      <c r="B4099" s="22" t="s">
        <v>15320</v>
      </c>
      <c r="C4099" s="22" t="s">
        <v>2376</v>
      </c>
      <c r="E4099" s="24">
        <v>1999</v>
      </c>
      <c r="F4099" s="22" t="s">
        <v>2385</v>
      </c>
      <c r="G4099" s="23" t="s">
        <v>839</v>
      </c>
      <c r="H4099" s="25" t="s">
        <v>15373</v>
      </c>
      <c r="I4099" s="22" t="s">
        <v>15411</v>
      </c>
      <c r="J4099" s="22" t="s">
        <v>1800</v>
      </c>
      <c r="K4099" s="26">
        <f t="shared" si="64"/>
        <v>606.66666666666663</v>
      </c>
      <c r="M4099" s="26">
        <v>910</v>
      </c>
      <c r="O4099" s="22" t="s">
        <v>2379</v>
      </c>
      <c r="P4099" s="22" t="s">
        <v>2380</v>
      </c>
      <c r="Q4099" s="22">
        <v>95735</v>
      </c>
      <c r="R4099" s="22" t="s">
        <v>2381</v>
      </c>
      <c r="S4099" s="22" t="s">
        <v>2382</v>
      </c>
      <c r="T4099" s="22">
        <v>8.17</v>
      </c>
      <c r="U4099" s="22">
        <v>0.38</v>
      </c>
      <c r="X4099" s="26"/>
      <c r="Y4099" s="26"/>
    </row>
    <row r="4100" spans="1:25" ht="25" x14ac:dyDescent="0.25">
      <c r="A4100" s="21">
        <v>4891</v>
      </c>
      <c r="B4100" s="22" t="s">
        <v>15320</v>
      </c>
      <c r="C4100" s="22" t="s">
        <v>840</v>
      </c>
      <c r="E4100" s="24">
        <v>1995</v>
      </c>
      <c r="F4100" s="22" t="s">
        <v>841</v>
      </c>
      <c r="G4100" s="23" t="s">
        <v>842</v>
      </c>
      <c r="H4100" s="25" t="s">
        <v>15373</v>
      </c>
      <c r="I4100" s="22" t="s">
        <v>15411</v>
      </c>
      <c r="J4100" s="22" t="s">
        <v>16437</v>
      </c>
      <c r="K4100" s="26">
        <f t="shared" si="64"/>
        <v>1430.6666666666665</v>
      </c>
      <c r="M4100" s="26">
        <v>2146</v>
      </c>
      <c r="O4100" s="22" t="s">
        <v>843</v>
      </c>
      <c r="P4100" s="22" t="s">
        <v>844</v>
      </c>
      <c r="Q4100" s="22">
        <v>96155</v>
      </c>
      <c r="R4100" s="22" t="s">
        <v>845</v>
      </c>
      <c r="S4100" s="22" t="s">
        <v>846</v>
      </c>
      <c r="T4100" s="22">
        <v>8.17</v>
      </c>
      <c r="U4100" s="22">
        <v>0.38</v>
      </c>
      <c r="X4100" s="26"/>
      <c r="Y4100" s="26"/>
    </row>
    <row r="4101" spans="1:25" ht="25" x14ac:dyDescent="0.25">
      <c r="A4101" s="21">
        <v>4892</v>
      </c>
      <c r="B4101" s="22" t="s">
        <v>15320</v>
      </c>
      <c r="C4101" s="22" t="s">
        <v>840</v>
      </c>
      <c r="E4101" s="24">
        <v>1995</v>
      </c>
      <c r="F4101" s="22" t="s">
        <v>847</v>
      </c>
      <c r="G4101" s="23" t="s">
        <v>842</v>
      </c>
      <c r="H4101" s="25" t="s">
        <v>15373</v>
      </c>
      <c r="I4101" s="22" t="s">
        <v>15411</v>
      </c>
      <c r="J4101" s="22" t="s">
        <v>16437</v>
      </c>
      <c r="K4101" s="26">
        <f t="shared" si="64"/>
        <v>1430.6666666666665</v>
      </c>
      <c r="M4101" s="26">
        <v>2146</v>
      </c>
      <c r="O4101" s="22" t="s">
        <v>843</v>
      </c>
      <c r="P4101" s="22" t="s">
        <v>844</v>
      </c>
      <c r="Q4101" s="22">
        <v>96155</v>
      </c>
      <c r="R4101" s="22" t="s">
        <v>845</v>
      </c>
      <c r="S4101" s="22" t="s">
        <v>846</v>
      </c>
      <c r="T4101" s="22">
        <v>8.17</v>
      </c>
      <c r="U4101" s="22">
        <v>0.38</v>
      </c>
      <c r="X4101" s="26"/>
      <c r="Y4101" s="26"/>
    </row>
    <row r="4102" spans="1:25" ht="25" x14ac:dyDescent="0.25">
      <c r="A4102" s="21">
        <v>4893</v>
      </c>
      <c r="B4102" s="22" t="s">
        <v>15320</v>
      </c>
      <c r="C4102" s="22" t="s">
        <v>840</v>
      </c>
      <c r="E4102" s="24">
        <v>1994</v>
      </c>
      <c r="F4102" s="22" t="s">
        <v>848</v>
      </c>
      <c r="G4102" s="23" t="s">
        <v>849</v>
      </c>
      <c r="H4102" s="25" t="s">
        <v>15373</v>
      </c>
      <c r="I4102" s="22" t="s">
        <v>15411</v>
      </c>
      <c r="J4102" s="22" t="s">
        <v>13484</v>
      </c>
      <c r="K4102" s="26">
        <f t="shared" si="64"/>
        <v>1430.6666666666665</v>
      </c>
      <c r="N4102" s="26">
        <v>2146</v>
      </c>
      <c r="O4102" s="22" t="s">
        <v>850</v>
      </c>
      <c r="P4102" s="22" t="s">
        <v>2307</v>
      </c>
      <c r="Q4102" s="22">
        <v>96150</v>
      </c>
      <c r="R4102" s="22" t="s">
        <v>845</v>
      </c>
      <c r="S4102" s="22" t="s">
        <v>846</v>
      </c>
      <c r="T4102" s="22">
        <v>8.17</v>
      </c>
      <c r="U4102" s="22">
        <v>0.38</v>
      </c>
      <c r="X4102" s="26"/>
      <c r="Y4102" s="26"/>
    </row>
    <row r="4103" spans="1:25" ht="25" x14ac:dyDescent="0.25">
      <c r="A4103" s="21">
        <v>4894</v>
      </c>
      <c r="B4103" s="22" t="s">
        <v>15320</v>
      </c>
      <c r="C4103" s="22" t="s">
        <v>840</v>
      </c>
      <c r="E4103" s="24">
        <v>1995</v>
      </c>
      <c r="F4103" s="22" t="s">
        <v>851</v>
      </c>
      <c r="G4103" s="23" t="s">
        <v>852</v>
      </c>
      <c r="H4103" s="25" t="s">
        <v>15373</v>
      </c>
      <c r="I4103" s="22" t="s">
        <v>15374</v>
      </c>
      <c r="J4103" s="22">
        <v>3412</v>
      </c>
      <c r="K4103" s="26">
        <f t="shared" si="64"/>
        <v>382.66666666666663</v>
      </c>
      <c r="M4103" s="26">
        <v>574</v>
      </c>
      <c r="O4103" s="22" t="s">
        <v>850</v>
      </c>
      <c r="P4103" s="22" t="s">
        <v>2307</v>
      </c>
      <c r="Q4103" s="22">
        <v>96150</v>
      </c>
      <c r="R4103" s="22" t="s">
        <v>845</v>
      </c>
      <c r="S4103" s="22" t="s">
        <v>846</v>
      </c>
      <c r="T4103" s="22">
        <v>8.17</v>
      </c>
      <c r="U4103" s="22">
        <v>0.38</v>
      </c>
      <c r="X4103" s="26"/>
      <c r="Y4103" s="26"/>
    </row>
    <row r="4104" spans="1:25" ht="25" x14ac:dyDescent="0.25">
      <c r="A4104" s="21">
        <v>4895</v>
      </c>
      <c r="B4104" s="22" t="s">
        <v>15320</v>
      </c>
      <c r="C4104" s="22" t="s">
        <v>840</v>
      </c>
      <c r="E4104" s="24">
        <v>2000</v>
      </c>
      <c r="F4104" s="22" t="s">
        <v>853</v>
      </c>
      <c r="G4104" s="23" t="s">
        <v>854</v>
      </c>
      <c r="H4104" s="25" t="s">
        <v>15373</v>
      </c>
      <c r="I4104" s="22" t="s">
        <v>15411</v>
      </c>
      <c r="J4104" s="22" t="s">
        <v>17383</v>
      </c>
      <c r="K4104" s="26">
        <f t="shared" si="64"/>
        <v>316</v>
      </c>
      <c r="M4104" s="26">
        <v>474</v>
      </c>
      <c r="O4104" s="22" t="s">
        <v>855</v>
      </c>
      <c r="P4104" s="22" t="s">
        <v>2307</v>
      </c>
      <c r="Q4104" s="22">
        <v>96150</v>
      </c>
      <c r="R4104" s="22" t="s">
        <v>845</v>
      </c>
      <c r="S4104" s="22" t="s">
        <v>846</v>
      </c>
      <c r="T4104" s="22">
        <v>6.9</v>
      </c>
      <c r="U4104" s="22">
        <v>0.4</v>
      </c>
      <c r="X4104" s="26"/>
      <c r="Y4104" s="26"/>
    </row>
    <row r="4105" spans="1:25" ht="37.5" x14ac:dyDescent="0.25">
      <c r="A4105" s="21">
        <v>4896</v>
      </c>
      <c r="B4105" s="22" t="s">
        <v>15320</v>
      </c>
      <c r="C4105" s="22" t="s">
        <v>840</v>
      </c>
      <c r="E4105" s="24">
        <v>1995</v>
      </c>
      <c r="F4105" s="22" t="s">
        <v>856</v>
      </c>
      <c r="G4105" s="23" t="s">
        <v>857</v>
      </c>
      <c r="H4105" s="25" t="s">
        <v>16310</v>
      </c>
      <c r="I4105" s="22" t="s">
        <v>15411</v>
      </c>
      <c r="J4105" s="22" t="s">
        <v>17383</v>
      </c>
      <c r="K4105" s="26">
        <f t="shared" si="64"/>
        <v>316</v>
      </c>
      <c r="M4105" s="26">
        <v>474</v>
      </c>
      <c r="O4105" s="22" t="s">
        <v>850</v>
      </c>
      <c r="P4105" s="22" t="s">
        <v>2307</v>
      </c>
      <c r="Q4105" s="22">
        <v>96150</v>
      </c>
      <c r="R4105" s="22" t="s">
        <v>845</v>
      </c>
      <c r="S4105" s="22" t="s">
        <v>846</v>
      </c>
      <c r="X4105" s="26"/>
      <c r="Y4105" s="26"/>
    </row>
    <row r="4106" spans="1:25" ht="25" x14ac:dyDescent="0.25">
      <c r="A4106" s="21">
        <v>4897</v>
      </c>
      <c r="B4106" s="22" t="s">
        <v>15320</v>
      </c>
      <c r="C4106" s="22" t="s">
        <v>840</v>
      </c>
      <c r="E4106" s="24">
        <v>1995</v>
      </c>
      <c r="F4106" s="22" t="s">
        <v>858</v>
      </c>
      <c r="G4106" s="23" t="s">
        <v>859</v>
      </c>
      <c r="H4106" s="25" t="s">
        <v>16310</v>
      </c>
      <c r="I4106" s="22" t="s">
        <v>16160</v>
      </c>
      <c r="J4106" s="22" t="s">
        <v>860</v>
      </c>
      <c r="K4106" s="26">
        <f t="shared" si="64"/>
        <v>300</v>
      </c>
      <c r="M4106" s="26">
        <v>450</v>
      </c>
      <c r="O4106" s="22" t="s">
        <v>850</v>
      </c>
      <c r="P4106" s="22" t="s">
        <v>2307</v>
      </c>
      <c r="Q4106" s="22">
        <v>96150</v>
      </c>
      <c r="R4106" s="22" t="s">
        <v>845</v>
      </c>
      <c r="S4106" s="22" t="s">
        <v>846</v>
      </c>
      <c r="X4106" s="26"/>
      <c r="Y4106" s="26"/>
    </row>
    <row r="4107" spans="1:25" ht="25" x14ac:dyDescent="0.25">
      <c r="A4107" s="21">
        <v>4898</v>
      </c>
      <c r="B4107" s="22" t="s">
        <v>15320</v>
      </c>
      <c r="C4107" s="22" t="s">
        <v>861</v>
      </c>
      <c r="E4107" s="24">
        <v>2001</v>
      </c>
      <c r="F4107" s="22" t="s">
        <v>862</v>
      </c>
      <c r="G4107" s="23" t="s">
        <v>863</v>
      </c>
      <c r="H4107" s="25" t="s">
        <v>15373</v>
      </c>
      <c r="I4107" s="22" t="s">
        <v>15411</v>
      </c>
      <c r="J4107" s="22" t="s">
        <v>864</v>
      </c>
      <c r="K4107" s="26">
        <f t="shared" si="64"/>
        <v>996.66666666666663</v>
      </c>
      <c r="N4107" s="26">
        <v>1495</v>
      </c>
      <c r="O4107" s="22" t="s">
        <v>865</v>
      </c>
      <c r="P4107" s="22" t="s">
        <v>2321</v>
      </c>
      <c r="Q4107" s="22">
        <v>95762</v>
      </c>
      <c r="R4107" s="22" t="s">
        <v>866</v>
      </c>
      <c r="S4107" s="22" t="s">
        <v>867</v>
      </c>
      <c r="X4107" s="26"/>
      <c r="Y4107" s="26"/>
    </row>
    <row r="4108" spans="1:25" ht="25" x14ac:dyDescent="0.25">
      <c r="A4108" s="21">
        <v>4899</v>
      </c>
      <c r="B4108" s="22" t="s">
        <v>15320</v>
      </c>
      <c r="C4108" s="22" t="s">
        <v>868</v>
      </c>
      <c r="E4108" s="24">
        <v>2001</v>
      </c>
      <c r="F4108" s="22" t="s">
        <v>869</v>
      </c>
      <c r="G4108" s="23" t="s">
        <v>870</v>
      </c>
      <c r="H4108" s="25" t="s">
        <v>15373</v>
      </c>
      <c r="I4108" s="22" t="s">
        <v>16907</v>
      </c>
      <c r="J4108" s="22" t="s">
        <v>871</v>
      </c>
      <c r="K4108" s="26">
        <f t="shared" si="64"/>
        <v>500</v>
      </c>
      <c r="L4108" s="26">
        <v>500</v>
      </c>
      <c r="O4108" s="22" t="s">
        <v>872</v>
      </c>
      <c r="P4108" s="22" t="s">
        <v>2355</v>
      </c>
      <c r="Q4108" s="22">
        <v>95667</v>
      </c>
      <c r="R4108" s="22" t="s">
        <v>873</v>
      </c>
      <c r="S4108" s="22" t="s">
        <v>874</v>
      </c>
      <c r="X4108" s="26"/>
      <c r="Y4108" s="26"/>
    </row>
    <row r="4109" spans="1:25" ht="25" x14ac:dyDescent="0.25">
      <c r="A4109" s="21">
        <v>4900</v>
      </c>
      <c r="B4109" s="22" t="s">
        <v>15320</v>
      </c>
      <c r="C4109" s="22" t="s">
        <v>2302</v>
      </c>
      <c r="E4109" s="24">
        <v>1991</v>
      </c>
      <c r="F4109" s="22" t="s">
        <v>875</v>
      </c>
      <c r="G4109" s="23" t="s">
        <v>876</v>
      </c>
      <c r="H4109" s="25" t="s">
        <v>15373</v>
      </c>
      <c r="I4109" s="22" t="s">
        <v>15374</v>
      </c>
      <c r="J4109" s="22" t="s">
        <v>16561</v>
      </c>
      <c r="K4109" s="26">
        <f t="shared" si="64"/>
        <v>350</v>
      </c>
      <c r="L4109" s="26">
        <v>350</v>
      </c>
      <c r="O4109" s="22" t="s">
        <v>2306</v>
      </c>
      <c r="P4109" s="22" t="s">
        <v>2307</v>
      </c>
      <c r="Q4109" s="22">
        <v>96158</v>
      </c>
      <c r="R4109" s="22" t="s">
        <v>2308</v>
      </c>
      <c r="S4109" s="22" t="s">
        <v>2309</v>
      </c>
      <c r="X4109" s="26"/>
      <c r="Y4109" s="26"/>
    </row>
    <row r="4110" spans="1:25" ht="25" x14ac:dyDescent="0.25">
      <c r="A4110" s="21">
        <v>4901</v>
      </c>
      <c r="B4110" s="22" t="s">
        <v>15320</v>
      </c>
      <c r="C4110" s="22" t="s">
        <v>2302</v>
      </c>
      <c r="E4110" s="24">
        <v>1972</v>
      </c>
      <c r="F4110" s="22" t="s">
        <v>877</v>
      </c>
      <c r="G4110" s="23" t="s">
        <v>878</v>
      </c>
      <c r="H4110" s="25" t="s">
        <v>15373</v>
      </c>
      <c r="I4110" s="22" t="s">
        <v>15382</v>
      </c>
      <c r="J4110" s="22" t="s">
        <v>4494</v>
      </c>
      <c r="K4110" s="26">
        <f t="shared" si="64"/>
        <v>466.66666666666663</v>
      </c>
      <c r="M4110" s="26">
        <v>700</v>
      </c>
      <c r="O4110" s="22" t="s">
        <v>2306</v>
      </c>
      <c r="P4110" s="22" t="s">
        <v>2307</v>
      </c>
      <c r="Q4110" s="22">
        <v>96158</v>
      </c>
      <c r="R4110" s="22" t="s">
        <v>2308</v>
      </c>
      <c r="S4110" s="22" t="s">
        <v>2309</v>
      </c>
      <c r="X4110" s="26"/>
      <c r="Y4110" s="26"/>
    </row>
    <row r="4111" spans="1:25" ht="25" x14ac:dyDescent="0.25">
      <c r="A4111" s="21">
        <v>4902</v>
      </c>
      <c r="B4111" s="22" t="s">
        <v>15320</v>
      </c>
      <c r="C4111" s="22" t="s">
        <v>879</v>
      </c>
      <c r="E4111" s="24">
        <v>2000</v>
      </c>
      <c r="F4111" s="22" t="s">
        <v>880</v>
      </c>
      <c r="G4111" s="23" t="s">
        <v>881</v>
      </c>
      <c r="H4111" s="25" t="s">
        <v>15373</v>
      </c>
      <c r="I4111" s="22" t="s">
        <v>15411</v>
      </c>
      <c r="J4111" s="22" t="s">
        <v>882</v>
      </c>
      <c r="K4111" s="26">
        <f t="shared" si="64"/>
        <v>631.33333333333326</v>
      </c>
      <c r="M4111" s="26">
        <v>947</v>
      </c>
      <c r="O4111" s="22" t="s">
        <v>883</v>
      </c>
      <c r="P4111" s="22" t="s">
        <v>2355</v>
      </c>
      <c r="Q4111" s="22">
        <v>95667</v>
      </c>
      <c r="R4111" s="22" t="s">
        <v>884</v>
      </c>
      <c r="S4111" s="22" t="s">
        <v>885</v>
      </c>
      <c r="X4111" s="26"/>
      <c r="Y4111" s="26"/>
    </row>
    <row r="4112" spans="1:25" ht="37.5" x14ac:dyDescent="0.25">
      <c r="A4112" s="21">
        <v>4903</v>
      </c>
      <c r="B4112" s="22" t="s">
        <v>15320</v>
      </c>
      <c r="C4112" s="22" t="s">
        <v>2361</v>
      </c>
      <c r="E4112" s="24">
        <v>2002</v>
      </c>
      <c r="F4112" s="22" t="s">
        <v>886</v>
      </c>
      <c r="G4112" s="23" t="s">
        <v>887</v>
      </c>
      <c r="H4112" s="25" t="s">
        <v>888</v>
      </c>
      <c r="I4112" s="22" t="s">
        <v>15382</v>
      </c>
      <c r="J4112" s="22" t="s">
        <v>889</v>
      </c>
      <c r="K4112" s="26">
        <f t="shared" si="64"/>
        <v>1466.6666666666665</v>
      </c>
      <c r="M4112" s="26">
        <v>2200</v>
      </c>
      <c r="O4112" s="22" t="s">
        <v>2364</v>
      </c>
      <c r="P4112" s="22" t="s">
        <v>2321</v>
      </c>
      <c r="Q4112" s="22">
        <v>95762</v>
      </c>
      <c r="R4112" s="22" t="s">
        <v>2114</v>
      </c>
      <c r="S4112" s="22" t="s">
        <v>2115</v>
      </c>
      <c r="X4112" s="26"/>
      <c r="Y4112" s="26"/>
    </row>
    <row r="4113" spans="1:25" ht="25" x14ac:dyDescent="0.25">
      <c r="A4113" s="21">
        <v>4904</v>
      </c>
      <c r="B4113" s="22" t="s">
        <v>15320</v>
      </c>
      <c r="C4113" s="22" t="s">
        <v>2310</v>
      </c>
      <c r="E4113" s="24">
        <v>2003</v>
      </c>
      <c r="F4113" s="22" t="s">
        <v>890</v>
      </c>
      <c r="G4113" s="23" t="s">
        <v>891</v>
      </c>
      <c r="H4113" s="25" t="s">
        <v>15373</v>
      </c>
      <c r="I4113" s="22" t="s">
        <v>15411</v>
      </c>
      <c r="J4113" s="22" t="s">
        <v>8146</v>
      </c>
      <c r="K4113" s="26">
        <f t="shared" si="64"/>
        <v>510</v>
      </c>
      <c r="M4113" s="26">
        <v>765</v>
      </c>
      <c r="O4113" s="22" t="s">
        <v>892</v>
      </c>
      <c r="P4113" s="22" t="s">
        <v>2321</v>
      </c>
      <c r="Q4113" s="22">
        <v>95630</v>
      </c>
      <c r="R4113" s="22" t="s">
        <v>893</v>
      </c>
      <c r="S4113" s="22" t="s">
        <v>894</v>
      </c>
      <c r="X4113" s="26"/>
      <c r="Y4113" s="26"/>
    </row>
    <row r="4114" spans="1:25" ht="25" x14ac:dyDescent="0.25">
      <c r="A4114" s="21">
        <v>4905</v>
      </c>
      <c r="B4114" s="22" t="s">
        <v>15320</v>
      </c>
      <c r="C4114" s="22" t="s">
        <v>895</v>
      </c>
      <c r="E4114" s="24">
        <v>2002</v>
      </c>
      <c r="F4114" s="22" t="s">
        <v>896</v>
      </c>
      <c r="G4114" s="23" t="s">
        <v>897</v>
      </c>
      <c r="H4114" s="25" t="s">
        <v>15373</v>
      </c>
      <c r="I4114" s="22" t="s">
        <v>15374</v>
      </c>
      <c r="J4114" s="22" t="s">
        <v>16561</v>
      </c>
      <c r="K4114" s="26">
        <f t="shared" si="64"/>
        <v>391.33333333333331</v>
      </c>
      <c r="M4114" s="26">
        <v>587</v>
      </c>
      <c r="O4114" s="22" t="s">
        <v>898</v>
      </c>
      <c r="P4114" s="22" t="s">
        <v>2307</v>
      </c>
      <c r="Q4114" s="22">
        <v>96150</v>
      </c>
      <c r="R4114" s="22" t="s">
        <v>2329</v>
      </c>
      <c r="S4114" s="22" t="s">
        <v>899</v>
      </c>
      <c r="X4114" s="26"/>
      <c r="Y4114" s="26"/>
    </row>
    <row r="4115" spans="1:25" ht="25" x14ac:dyDescent="0.25">
      <c r="A4115" s="21">
        <v>4906</v>
      </c>
      <c r="B4115" s="22" t="s">
        <v>15320</v>
      </c>
      <c r="C4115" s="22" t="s">
        <v>2365</v>
      </c>
      <c r="E4115" s="24">
        <v>2003</v>
      </c>
      <c r="F4115" s="22" t="s">
        <v>900</v>
      </c>
      <c r="G4115" s="23" t="s">
        <v>901</v>
      </c>
      <c r="H4115" s="25" t="s">
        <v>15373</v>
      </c>
      <c r="I4115" s="22" t="s">
        <v>15382</v>
      </c>
      <c r="J4115" s="22" t="s">
        <v>16799</v>
      </c>
      <c r="K4115" s="26">
        <f t="shared" si="64"/>
        <v>503.33333333333331</v>
      </c>
      <c r="M4115" s="26">
        <v>755</v>
      </c>
      <c r="O4115" s="22" t="s">
        <v>902</v>
      </c>
      <c r="P4115" s="22" t="s">
        <v>903</v>
      </c>
      <c r="Q4115" s="22">
        <v>95726</v>
      </c>
      <c r="R4115" s="22" t="s">
        <v>904</v>
      </c>
      <c r="S4115" s="22" t="s">
        <v>905</v>
      </c>
      <c r="X4115" s="26"/>
      <c r="Y4115" s="26"/>
    </row>
    <row r="4116" spans="1:25" ht="25" x14ac:dyDescent="0.25">
      <c r="A4116" s="21">
        <v>4907</v>
      </c>
      <c r="B4116" s="22" t="s">
        <v>15320</v>
      </c>
      <c r="C4116" s="22" t="s">
        <v>2365</v>
      </c>
      <c r="E4116" s="24">
        <v>2003</v>
      </c>
      <c r="F4116" s="22" t="s">
        <v>906</v>
      </c>
      <c r="G4116" s="23" t="s">
        <v>907</v>
      </c>
      <c r="H4116" s="25" t="s">
        <v>15373</v>
      </c>
      <c r="I4116" s="22" t="s">
        <v>15382</v>
      </c>
      <c r="J4116" s="22" t="s">
        <v>16792</v>
      </c>
      <c r="K4116" s="26">
        <f t="shared" si="64"/>
        <v>356.66666666666663</v>
      </c>
      <c r="M4116" s="26">
        <v>535</v>
      </c>
      <c r="O4116" s="22" t="s">
        <v>908</v>
      </c>
      <c r="P4116" s="22" t="s">
        <v>2321</v>
      </c>
      <c r="Q4116" s="22">
        <v>95630</v>
      </c>
      <c r="R4116" s="22" t="s">
        <v>904</v>
      </c>
      <c r="S4116" s="22" t="s">
        <v>905</v>
      </c>
      <c r="X4116" s="26"/>
      <c r="Y4116" s="26"/>
    </row>
    <row r="4117" spans="1:25" ht="25" x14ac:dyDescent="0.25">
      <c r="A4117" s="21">
        <v>4908</v>
      </c>
      <c r="B4117" s="22" t="s">
        <v>15320</v>
      </c>
      <c r="C4117" s="22" t="s">
        <v>909</v>
      </c>
      <c r="E4117" s="24">
        <v>2002</v>
      </c>
      <c r="F4117" s="22" t="s">
        <v>910</v>
      </c>
      <c r="G4117" s="23" t="s">
        <v>911</v>
      </c>
      <c r="H4117" s="25" t="s">
        <v>15373</v>
      </c>
      <c r="I4117" s="22" t="s">
        <v>15374</v>
      </c>
      <c r="J4117" s="22">
        <v>3406</v>
      </c>
      <c r="K4117" s="26">
        <f t="shared" si="64"/>
        <v>300</v>
      </c>
      <c r="M4117" s="26">
        <v>450</v>
      </c>
      <c r="O4117" s="22" t="s">
        <v>912</v>
      </c>
      <c r="P4117" s="22" t="s">
        <v>2307</v>
      </c>
      <c r="Q4117" s="22">
        <v>96150</v>
      </c>
      <c r="R4117" s="22" t="s">
        <v>845</v>
      </c>
      <c r="S4117" s="22" t="s">
        <v>913</v>
      </c>
      <c r="X4117" s="26"/>
      <c r="Y4117" s="26"/>
    </row>
    <row r="4118" spans="1:25" ht="25" x14ac:dyDescent="0.25">
      <c r="A4118" s="21">
        <v>5000</v>
      </c>
      <c r="B4118" s="22" t="s">
        <v>15322</v>
      </c>
      <c r="C4118" s="22" t="s">
        <v>914</v>
      </c>
      <c r="H4118" s="25" t="s">
        <v>15373</v>
      </c>
      <c r="I4118" s="22" t="s">
        <v>15374</v>
      </c>
      <c r="J4118" s="22" t="s">
        <v>15460</v>
      </c>
      <c r="K4118" s="26">
        <f t="shared" si="64"/>
        <v>1000</v>
      </c>
      <c r="M4118" s="26">
        <v>1500</v>
      </c>
      <c r="O4118" s="22" t="s">
        <v>915</v>
      </c>
      <c r="P4118" s="22" t="s">
        <v>916</v>
      </c>
      <c r="Q4118" s="22" t="s">
        <v>917</v>
      </c>
      <c r="X4118" s="26"/>
      <c r="Y4118" s="26"/>
    </row>
    <row r="4119" spans="1:25" ht="25" x14ac:dyDescent="0.25">
      <c r="A4119" s="21">
        <v>5001</v>
      </c>
      <c r="B4119" s="22" t="s">
        <v>15322</v>
      </c>
      <c r="C4119" s="22" t="s">
        <v>914</v>
      </c>
      <c r="H4119" s="25" t="s">
        <v>15373</v>
      </c>
      <c r="I4119" s="22" t="s">
        <v>15374</v>
      </c>
      <c r="J4119" s="22" t="s">
        <v>15460</v>
      </c>
      <c r="K4119" s="26">
        <f t="shared" si="64"/>
        <v>1000</v>
      </c>
      <c r="M4119" s="26">
        <v>1500</v>
      </c>
      <c r="O4119" s="22" t="s">
        <v>915</v>
      </c>
      <c r="P4119" s="22" t="s">
        <v>916</v>
      </c>
      <c r="Q4119" s="22" t="s">
        <v>917</v>
      </c>
      <c r="X4119" s="26"/>
      <c r="Y4119" s="26"/>
    </row>
    <row r="4120" spans="1:25" ht="37.5" x14ac:dyDescent="0.25">
      <c r="A4120" s="21">
        <v>5002</v>
      </c>
      <c r="B4120" s="22" t="s">
        <v>15322</v>
      </c>
      <c r="C4120" s="22" t="s">
        <v>918</v>
      </c>
      <c r="G4120" s="23" t="s">
        <v>919</v>
      </c>
      <c r="H4120" s="25" t="s">
        <v>15373</v>
      </c>
      <c r="I4120" s="22" t="s">
        <v>15374</v>
      </c>
      <c r="J4120" s="22" t="s">
        <v>15701</v>
      </c>
      <c r="K4120" s="26">
        <f t="shared" si="64"/>
        <v>300</v>
      </c>
      <c r="M4120" s="26">
        <v>450</v>
      </c>
      <c r="O4120" s="22" t="s">
        <v>920</v>
      </c>
      <c r="P4120" s="22" t="s">
        <v>921</v>
      </c>
      <c r="Q4120" s="22" t="s">
        <v>922</v>
      </c>
      <c r="X4120" s="26"/>
      <c r="Y4120" s="26"/>
    </row>
    <row r="4121" spans="1:25" ht="37.5" x14ac:dyDescent="0.25">
      <c r="A4121" s="21">
        <v>5003</v>
      </c>
      <c r="B4121" s="22" t="s">
        <v>15322</v>
      </c>
      <c r="C4121" s="22" t="s">
        <v>918</v>
      </c>
      <c r="G4121" s="23" t="s">
        <v>919</v>
      </c>
      <c r="H4121" s="25" t="s">
        <v>15373</v>
      </c>
      <c r="I4121" s="22" t="s">
        <v>15374</v>
      </c>
      <c r="J4121" s="22" t="s">
        <v>15701</v>
      </c>
      <c r="K4121" s="26">
        <f t="shared" si="64"/>
        <v>300</v>
      </c>
      <c r="M4121" s="26">
        <v>450</v>
      </c>
      <c r="O4121" s="22" t="s">
        <v>920</v>
      </c>
      <c r="P4121" s="22" t="s">
        <v>923</v>
      </c>
      <c r="Q4121" s="22" t="s">
        <v>922</v>
      </c>
      <c r="X4121" s="26"/>
      <c r="Y4121" s="26"/>
    </row>
    <row r="4122" spans="1:25" ht="25" x14ac:dyDescent="0.25">
      <c r="A4122" s="21">
        <v>5004</v>
      </c>
      <c r="B4122" s="22" t="s">
        <v>15322</v>
      </c>
      <c r="C4122" s="22" t="s">
        <v>924</v>
      </c>
      <c r="G4122" s="23" t="s">
        <v>925</v>
      </c>
      <c r="H4122" s="25" t="s">
        <v>15373</v>
      </c>
      <c r="I4122" s="22" t="s">
        <v>15374</v>
      </c>
      <c r="J4122" s="22">
        <v>3512</v>
      </c>
      <c r="K4122" s="26">
        <f t="shared" si="64"/>
        <v>1061.3333333333333</v>
      </c>
      <c r="M4122" s="26">
        <v>1592</v>
      </c>
      <c r="O4122" s="22" t="s">
        <v>926</v>
      </c>
      <c r="P4122" s="22" t="s">
        <v>927</v>
      </c>
      <c r="X4122" s="26"/>
      <c r="Y4122" s="26"/>
    </row>
    <row r="4123" spans="1:25" ht="25" x14ac:dyDescent="0.25">
      <c r="A4123" s="21">
        <v>5005</v>
      </c>
      <c r="B4123" s="22" t="s">
        <v>15322</v>
      </c>
      <c r="C4123" s="22" t="s">
        <v>928</v>
      </c>
      <c r="H4123" s="25" t="s">
        <v>15373</v>
      </c>
      <c r="I4123" s="22" t="s">
        <v>16311</v>
      </c>
      <c r="J4123" s="22">
        <v>399</v>
      </c>
      <c r="K4123" s="26">
        <f t="shared" si="64"/>
        <v>796.66666666666663</v>
      </c>
      <c r="M4123" s="26">
        <v>1195</v>
      </c>
      <c r="O4123" s="22" t="s">
        <v>929</v>
      </c>
      <c r="P4123" s="22" t="s">
        <v>930</v>
      </c>
      <c r="Q4123" s="22">
        <v>95646</v>
      </c>
      <c r="X4123" s="26"/>
      <c r="Y4123" s="26"/>
    </row>
    <row r="4124" spans="1:25" ht="25" x14ac:dyDescent="0.25">
      <c r="A4124" s="21">
        <v>5006</v>
      </c>
      <c r="B4124" s="22" t="s">
        <v>15322</v>
      </c>
      <c r="C4124" s="22" t="s">
        <v>928</v>
      </c>
      <c r="H4124" s="25" t="s">
        <v>15373</v>
      </c>
      <c r="I4124" s="22" t="s">
        <v>16311</v>
      </c>
      <c r="J4124" s="22">
        <v>398</v>
      </c>
      <c r="K4124" s="26">
        <f t="shared" si="64"/>
        <v>568.66666666666663</v>
      </c>
      <c r="M4124" s="26">
        <v>853</v>
      </c>
      <c r="O4124" s="22" t="s">
        <v>929</v>
      </c>
      <c r="P4124" s="22" t="s">
        <v>930</v>
      </c>
      <c r="Q4124" s="22">
        <v>95646</v>
      </c>
      <c r="X4124" s="26"/>
      <c r="Y4124" s="26"/>
    </row>
    <row r="4125" spans="1:25" ht="25" x14ac:dyDescent="0.25">
      <c r="A4125" s="21">
        <v>5007</v>
      </c>
      <c r="B4125" s="22" t="s">
        <v>15322</v>
      </c>
      <c r="C4125" s="22" t="s">
        <v>928</v>
      </c>
      <c r="H4125" s="25" t="s">
        <v>15373</v>
      </c>
      <c r="I4125" s="22" t="s">
        <v>16311</v>
      </c>
      <c r="J4125" s="22">
        <v>398</v>
      </c>
      <c r="K4125" s="26">
        <f t="shared" si="64"/>
        <v>568.66666666666663</v>
      </c>
      <c r="M4125" s="26">
        <v>853</v>
      </c>
      <c r="O4125" s="22" t="s">
        <v>929</v>
      </c>
      <c r="P4125" s="22" t="s">
        <v>930</v>
      </c>
      <c r="Q4125" s="22">
        <v>95646</v>
      </c>
      <c r="X4125" s="26"/>
      <c r="Y4125" s="26"/>
    </row>
    <row r="4126" spans="1:25" ht="25" x14ac:dyDescent="0.25">
      <c r="A4126" s="21">
        <v>5008</v>
      </c>
      <c r="B4126" s="22" t="s">
        <v>15322</v>
      </c>
      <c r="C4126" s="22" t="s">
        <v>928</v>
      </c>
      <c r="H4126" s="25" t="s">
        <v>15373</v>
      </c>
      <c r="I4126" s="22" t="s">
        <v>16311</v>
      </c>
      <c r="J4126" s="22">
        <v>399</v>
      </c>
      <c r="K4126" s="26">
        <f t="shared" si="64"/>
        <v>796.66666666666663</v>
      </c>
      <c r="M4126" s="26">
        <v>1195</v>
      </c>
      <c r="O4126" s="22" t="s">
        <v>929</v>
      </c>
      <c r="P4126" s="22" t="s">
        <v>930</v>
      </c>
      <c r="Q4126" s="22">
        <v>95646</v>
      </c>
      <c r="X4126" s="26"/>
      <c r="Y4126" s="26"/>
    </row>
    <row r="4127" spans="1:25" ht="25" x14ac:dyDescent="0.25">
      <c r="A4127" s="21">
        <v>5009</v>
      </c>
      <c r="B4127" s="22" t="s">
        <v>15322</v>
      </c>
      <c r="C4127" s="22" t="s">
        <v>928</v>
      </c>
      <c r="H4127" s="25" t="s">
        <v>15373</v>
      </c>
      <c r="I4127" s="22" t="s">
        <v>16311</v>
      </c>
      <c r="J4127" s="22">
        <v>399</v>
      </c>
      <c r="K4127" s="26">
        <f t="shared" si="64"/>
        <v>796.66666666666663</v>
      </c>
      <c r="M4127" s="26">
        <v>1195</v>
      </c>
      <c r="O4127" s="22" t="s">
        <v>929</v>
      </c>
      <c r="P4127" s="22" t="s">
        <v>930</v>
      </c>
      <c r="Q4127" s="22">
        <v>95646</v>
      </c>
      <c r="X4127" s="26"/>
      <c r="Y4127" s="26"/>
    </row>
    <row r="4128" spans="1:25" ht="25" x14ac:dyDescent="0.25">
      <c r="A4128" s="21">
        <v>5010</v>
      </c>
      <c r="B4128" s="22" t="s">
        <v>15322</v>
      </c>
      <c r="C4128" s="22" t="s">
        <v>928</v>
      </c>
      <c r="H4128" s="25" t="s">
        <v>15373</v>
      </c>
      <c r="I4128" s="22" t="s">
        <v>16311</v>
      </c>
      <c r="J4128" s="22">
        <v>399</v>
      </c>
      <c r="K4128" s="26">
        <f t="shared" si="64"/>
        <v>796.66666666666663</v>
      </c>
      <c r="M4128" s="26">
        <v>1195</v>
      </c>
      <c r="O4128" s="22" t="s">
        <v>929</v>
      </c>
      <c r="P4128" s="22" t="s">
        <v>930</v>
      </c>
      <c r="Q4128" s="22">
        <v>95646</v>
      </c>
      <c r="X4128" s="26"/>
      <c r="Y4128" s="26"/>
    </row>
    <row r="4129" spans="1:25" ht="25" x14ac:dyDescent="0.25">
      <c r="A4129" s="21">
        <v>5125</v>
      </c>
      <c r="B4129" s="22" t="s">
        <v>15311</v>
      </c>
      <c r="C4129" s="22" t="s">
        <v>931</v>
      </c>
      <c r="F4129" s="22" t="s">
        <v>932</v>
      </c>
      <c r="G4129" s="23" t="s">
        <v>933</v>
      </c>
      <c r="H4129" s="25" t="s">
        <v>15373</v>
      </c>
      <c r="I4129" s="22" t="s">
        <v>15374</v>
      </c>
      <c r="J4129" s="22" t="s">
        <v>16311</v>
      </c>
      <c r="K4129" s="26">
        <f t="shared" si="64"/>
        <v>400</v>
      </c>
      <c r="L4129" s="26">
        <v>400</v>
      </c>
      <c r="O4129" s="22" t="s">
        <v>934</v>
      </c>
      <c r="P4129" s="22" t="s">
        <v>935</v>
      </c>
      <c r="Q4129" s="22" t="s">
        <v>936</v>
      </c>
      <c r="X4129" s="26"/>
      <c r="Y4129" s="26"/>
    </row>
    <row r="4130" spans="1:25" ht="25" x14ac:dyDescent="0.25">
      <c r="A4130" s="21">
        <v>5126</v>
      </c>
      <c r="B4130" s="22" t="s">
        <v>15311</v>
      </c>
      <c r="C4130" s="22" t="s">
        <v>937</v>
      </c>
      <c r="F4130" s="22" t="s">
        <v>938</v>
      </c>
      <c r="G4130" s="23" t="s">
        <v>939</v>
      </c>
      <c r="H4130" s="25" t="s">
        <v>15373</v>
      </c>
      <c r="I4130" s="22" t="s">
        <v>17308</v>
      </c>
      <c r="J4130" s="22" t="s">
        <v>16311</v>
      </c>
      <c r="K4130" s="26">
        <f t="shared" si="64"/>
        <v>649</v>
      </c>
      <c r="L4130" s="26">
        <v>649</v>
      </c>
      <c r="O4130" s="22" t="s">
        <v>934</v>
      </c>
      <c r="P4130" s="22" t="s">
        <v>935</v>
      </c>
      <c r="Q4130" s="22" t="s">
        <v>936</v>
      </c>
      <c r="X4130" s="26"/>
      <c r="Y4130" s="26"/>
    </row>
    <row r="4131" spans="1:25" ht="25" x14ac:dyDescent="0.25">
      <c r="A4131" s="21">
        <v>5127</v>
      </c>
      <c r="B4131" s="22" t="s">
        <v>15311</v>
      </c>
      <c r="C4131" s="22" t="s">
        <v>940</v>
      </c>
      <c r="F4131" s="22" t="s">
        <v>941</v>
      </c>
      <c r="G4131" s="23" t="s">
        <v>942</v>
      </c>
      <c r="H4131" s="25" t="s">
        <v>15373</v>
      </c>
      <c r="I4131" s="22" t="s">
        <v>15374</v>
      </c>
      <c r="J4131" s="22">
        <v>3508</v>
      </c>
      <c r="K4131" s="26">
        <f t="shared" si="64"/>
        <v>750</v>
      </c>
      <c r="L4131" s="26">
        <v>750</v>
      </c>
      <c r="O4131" s="22" t="s">
        <v>943</v>
      </c>
      <c r="P4131" s="22" t="s">
        <v>944</v>
      </c>
      <c r="Q4131" s="22">
        <v>95640</v>
      </c>
      <c r="R4131" s="22" t="s">
        <v>945</v>
      </c>
      <c r="S4131" s="22" t="s">
        <v>946</v>
      </c>
      <c r="X4131" s="26"/>
      <c r="Y4131" s="26"/>
    </row>
    <row r="4132" spans="1:25" ht="25" x14ac:dyDescent="0.25">
      <c r="A4132" s="21">
        <v>5128</v>
      </c>
      <c r="B4132" s="22" t="s">
        <v>15311</v>
      </c>
      <c r="C4132" s="22" t="s">
        <v>940</v>
      </c>
      <c r="F4132" s="22" t="s">
        <v>941</v>
      </c>
      <c r="G4132" s="23" t="s">
        <v>947</v>
      </c>
      <c r="H4132" s="25" t="s">
        <v>15373</v>
      </c>
      <c r="I4132" s="22" t="s">
        <v>15374</v>
      </c>
      <c r="J4132" s="22">
        <v>3508</v>
      </c>
      <c r="K4132" s="26">
        <f t="shared" si="64"/>
        <v>750</v>
      </c>
      <c r="L4132" s="26">
        <v>750</v>
      </c>
      <c r="O4132" s="22" t="s">
        <v>943</v>
      </c>
      <c r="P4132" s="22" t="s">
        <v>944</v>
      </c>
      <c r="Q4132" s="22">
        <v>95640</v>
      </c>
      <c r="R4132" s="22" t="s">
        <v>945</v>
      </c>
      <c r="S4132" s="22" t="s">
        <v>946</v>
      </c>
      <c r="X4132" s="26"/>
      <c r="Y4132" s="26"/>
    </row>
    <row r="4133" spans="1:25" ht="25" x14ac:dyDescent="0.25">
      <c r="A4133" s="21">
        <v>5129</v>
      </c>
      <c r="B4133" s="22" t="s">
        <v>15311</v>
      </c>
      <c r="C4133" s="22" t="s">
        <v>940</v>
      </c>
      <c r="F4133" s="22" t="s">
        <v>948</v>
      </c>
      <c r="G4133" s="23" t="s">
        <v>949</v>
      </c>
      <c r="H4133" s="25" t="s">
        <v>15373</v>
      </c>
      <c r="I4133" s="22" t="s">
        <v>15374</v>
      </c>
      <c r="J4133" s="22">
        <v>3516</v>
      </c>
      <c r="K4133" s="26">
        <f t="shared" si="64"/>
        <v>1500</v>
      </c>
      <c r="L4133" s="26">
        <v>1500</v>
      </c>
      <c r="O4133" s="22" t="s">
        <v>943</v>
      </c>
      <c r="P4133" s="22" t="s">
        <v>944</v>
      </c>
      <c r="Q4133" s="22">
        <v>95640</v>
      </c>
      <c r="R4133" s="22" t="s">
        <v>945</v>
      </c>
      <c r="S4133" s="22" t="s">
        <v>946</v>
      </c>
      <c r="X4133" s="26"/>
      <c r="Y4133" s="26"/>
    </row>
    <row r="4134" spans="1:25" ht="25" x14ac:dyDescent="0.25">
      <c r="A4134" s="21">
        <v>5130</v>
      </c>
      <c r="B4134" s="22" t="s">
        <v>15311</v>
      </c>
      <c r="C4134" s="22" t="s">
        <v>950</v>
      </c>
      <c r="F4134" s="22" t="s">
        <v>951</v>
      </c>
      <c r="G4134" s="23" t="s">
        <v>952</v>
      </c>
      <c r="H4134" s="25" t="s">
        <v>15373</v>
      </c>
      <c r="I4134" s="22" t="s">
        <v>15411</v>
      </c>
      <c r="J4134" s="22" t="s">
        <v>16311</v>
      </c>
      <c r="K4134" s="26">
        <f t="shared" si="64"/>
        <v>750</v>
      </c>
      <c r="L4134" s="26">
        <v>750</v>
      </c>
      <c r="O4134" s="22" t="s">
        <v>953</v>
      </c>
      <c r="P4134" s="22" t="s">
        <v>944</v>
      </c>
      <c r="Q4134" s="22" t="s">
        <v>954</v>
      </c>
      <c r="X4134" s="26"/>
      <c r="Y4134" s="26"/>
    </row>
    <row r="4135" spans="1:25" ht="25" x14ac:dyDescent="0.25">
      <c r="A4135" s="21">
        <v>5131</v>
      </c>
      <c r="B4135" s="22" t="s">
        <v>15311</v>
      </c>
      <c r="C4135" s="22" t="s">
        <v>950</v>
      </c>
      <c r="F4135" s="22" t="s">
        <v>955</v>
      </c>
      <c r="G4135" s="23" t="s">
        <v>956</v>
      </c>
      <c r="H4135" s="25" t="s">
        <v>15373</v>
      </c>
      <c r="I4135" s="22" t="s">
        <v>15382</v>
      </c>
      <c r="J4135" s="22" t="s">
        <v>15391</v>
      </c>
      <c r="K4135" s="26">
        <f t="shared" si="64"/>
        <v>1250</v>
      </c>
      <c r="L4135" s="26">
        <v>1250</v>
      </c>
      <c r="O4135" s="22" t="s">
        <v>953</v>
      </c>
      <c r="P4135" s="22" t="s">
        <v>944</v>
      </c>
      <c r="Q4135" s="22" t="s">
        <v>954</v>
      </c>
      <c r="X4135" s="26"/>
      <c r="Y4135" s="26"/>
    </row>
    <row r="4136" spans="1:25" x14ac:dyDescent="0.25">
      <c r="A4136" s="21">
        <v>5132</v>
      </c>
      <c r="B4136" s="22" t="s">
        <v>15311</v>
      </c>
      <c r="C4136" s="22" t="s">
        <v>957</v>
      </c>
      <c r="F4136" s="22" t="s">
        <v>958</v>
      </c>
      <c r="G4136" s="23" t="s">
        <v>959</v>
      </c>
      <c r="H4136" s="25" t="s">
        <v>15373</v>
      </c>
      <c r="I4136" s="22" t="s">
        <v>15374</v>
      </c>
      <c r="J4136" s="22" t="s">
        <v>16311</v>
      </c>
      <c r="K4136" s="26">
        <f t="shared" si="64"/>
        <v>900</v>
      </c>
      <c r="L4136" s="26">
        <v>900</v>
      </c>
      <c r="O4136" s="22" t="s">
        <v>960</v>
      </c>
      <c r="P4136" s="22" t="s">
        <v>935</v>
      </c>
      <c r="Q4136" s="22" t="s">
        <v>936</v>
      </c>
      <c r="X4136" s="26"/>
      <c r="Y4136" s="26"/>
    </row>
    <row r="4137" spans="1:25" x14ac:dyDescent="0.25">
      <c r="A4137" s="21">
        <v>5200</v>
      </c>
      <c r="B4137" s="22" t="s">
        <v>15314</v>
      </c>
      <c r="C4137" s="22" t="s">
        <v>961</v>
      </c>
      <c r="E4137" s="24" t="s">
        <v>962</v>
      </c>
      <c r="G4137" s="23" t="s">
        <v>963</v>
      </c>
      <c r="H4137" s="25" t="s">
        <v>15373</v>
      </c>
      <c r="I4137" s="22" t="s">
        <v>15374</v>
      </c>
      <c r="J4137" s="22" t="s">
        <v>16311</v>
      </c>
      <c r="K4137" s="26">
        <f t="shared" si="64"/>
        <v>300</v>
      </c>
      <c r="L4137" s="26">
        <v>300</v>
      </c>
      <c r="O4137" s="22" t="s">
        <v>964</v>
      </c>
      <c r="P4137" s="22" t="s">
        <v>965</v>
      </c>
      <c r="Q4137" s="22">
        <v>95932</v>
      </c>
      <c r="R4137" s="22" t="s">
        <v>966</v>
      </c>
      <c r="S4137" s="22" t="s">
        <v>967</v>
      </c>
      <c r="T4137" s="22">
        <v>8.17</v>
      </c>
      <c r="U4137" s="22">
        <v>0.38</v>
      </c>
      <c r="X4137" s="26"/>
      <c r="Y4137" s="26"/>
    </row>
    <row r="4138" spans="1:25" ht="25" x14ac:dyDescent="0.25">
      <c r="A4138" s="21">
        <v>5201</v>
      </c>
      <c r="B4138" s="22" t="s">
        <v>15314</v>
      </c>
      <c r="C4138" s="22" t="s">
        <v>3613</v>
      </c>
      <c r="E4138" s="24">
        <v>2000</v>
      </c>
      <c r="G4138" s="23" t="s">
        <v>968</v>
      </c>
      <c r="H4138" s="25" t="s">
        <v>15373</v>
      </c>
      <c r="I4138" s="22" t="s">
        <v>15374</v>
      </c>
      <c r="J4138" s="22">
        <v>3406</v>
      </c>
      <c r="K4138" s="26">
        <f t="shared" si="64"/>
        <v>400</v>
      </c>
      <c r="L4138" s="26">
        <v>400</v>
      </c>
      <c r="O4138" s="22" t="s">
        <v>969</v>
      </c>
      <c r="P4138" s="22" t="s">
        <v>965</v>
      </c>
      <c r="Q4138" s="22">
        <v>95932</v>
      </c>
      <c r="R4138" s="22" t="s">
        <v>970</v>
      </c>
      <c r="S4138" s="22" t="s">
        <v>971</v>
      </c>
      <c r="T4138" s="22">
        <v>6.9</v>
      </c>
      <c r="U4138" s="22">
        <v>0.4</v>
      </c>
      <c r="X4138" s="26"/>
      <c r="Y4138" s="26"/>
    </row>
    <row r="4139" spans="1:25" ht="25" x14ac:dyDescent="0.25">
      <c r="A4139" s="21">
        <v>5250</v>
      </c>
      <c r="B4139" s="22" t="s">
        <v>15340</v>
      </c>
      <c r="C4139" s="22" t="s">
        <v>972</v>
      </c>
      <c r="H4139" s="25" t="s">
        <v>15373</v>
      </c>
      <c r="I4139" s="22" t="s">
        <v>16311</v>
      </c>
      <c r="J4139" s="22" t="s">
        <v>16311</v>
      </c>
      <c r="K4139" s="26">
        <f t="shared" si="64"/>
        <v>333.33333333333331</v>
      </c>
      <c r="M4139" s="26">
        <v>500</v>
      </c>
      <c r="O4139" s="22" t="s">
        <v>973</v>
      </c>
      <c r="P4139" s="22" t="s">
        <v>974</v>
      </c>
      <c r="Q4139" s="22">
        <v>93420</v>
      </c>
      <c r="R4139" s="22" t="s">
        <v>975</v>
      </c>
      <c r="S4139" s="22" t="s">
        <v>976</v>
      </c>
      <c r="X4139" s="26"/>
      <c r="Y4139" s="26"/>
    </row>
    <row r="4140" spans="1:25" ht="25" x14ac:dyDescent="0.25">
      <c r="A4140" s="21">
        <v>5251</v>
      </c>
      <c r="B4140" s="22" t="s">
        <v>15340</v>
      </c>
      <c r="C4140" s="22" t="s">
        <v>972</v>
      </c>
      <c r="H4140" s="25" t="s">
        <v>15373</v>
      </c>
      <c r="I4140" s="22" t="s">
        <v>16311</v>
      </c>
      <c r="J4140" s="22" t="s">
        <v>16311</v>
      </c>
      <c r="K4140" s="26">
        <f t="shared" si="64"/>
        <v>333.33333333333331</v>
      </c>
      <c r="M4140" s="26">
        <v>500</v>
      </c>
      <c r="O4140" s="22" t="s">
        <v>973</v>
      </c>
      <c r="P4140" s="22" t="s">
        <v>974</v>
      </c>
      <c r="Q4140" s="22">
        <v>93420</v>
      </c>
      <c r="R4140" s="22" t="s">
        <v>975</v>
      </c>
      <c r="S4140" s="22" t="s">
        <v>976</v>
      </c>
      <c r="X4140" s="26"/>
      <c r="Y4140" s="26"/>
    </row>
    <row r="4141" spans="1:25" x14ac:dyDescent="0.25">
      <c r="A4141" s="21">
        <v>5252</v>
      </c>
      <c r="B4141" s="22" t="s">
        <v>15340</v>
      </c>
      <c r="C4141" s="22" t="s">
        <v>977</v>
      </c>
      <c r="H4141" s="25" t="s">
        <v>15373</v>
      </c>
      <c r="I4141" s="22" t="s">
        <v>15709</v>
      </c>
      <c r="J4141" s="22" t="s">
        <v>16311</v>
      </c>
      <c r="K4141" s="26">
        <f t="shared" si="64"/>
        <v>893.33333333333326</v>
      </c>
      <c r="M4141" s="26">
        <v>1340</v>
      </c>
      <c r="O4141" s="22" t="s">
        <v>978</v>
      </c>
      <c r="P4141" s="22" t="s">
        <v>979</v>
      </c>
      <c r="Q4141" s="22">
        <v>93423</v>
      </c>
      <c r="R4141" s="22" t="s">
        <v>980</v>
      </c>
      <c r="S4141" s="22" t="s">
        <v>981</v>
      </c>
      <c r="X4141" s="26"/>
      <c r="Y4141" s="26"/>
    </row>
    <row r="4142" spans="1:25" x14ac:dyDescent="0.25">
      <c r="A4142" s="21">
        <v>5253</v>
      </c>
      <c r="B4142" s="22" t="s">
        <v>15340</v>
      </c>
      <c r="C4142" s="22" t="s">
        <v>977</v>
      </c>
      <c r="H4142" s="25" t="s">
        <v>15373</v>
      </c>
      <c r="I4142" s="22" t="s">
        <v>15374</v>
      </c>
      <c r="J4142" s="22">
        <v>3516</v>
      </c>
      <c r="K4142" s="26">
        <f t="shared" si="64"/>
        <v>1166.6666666666665</v>
      </c>
      <c r="M4142" s="26">
        <v>1750</v>
      </c>
      <c r="O4142" s="22" t="s">
        <v>978</v>
      </c>
      <c r="P4142" s="22" t="s">
        <v>982</v>
      </c>
      <c r="Q4142" s="22">
        <v>93423</v>
      </c>
      <c r="R4142" s="22" t="s">
        <v>983</v>
      </c>
      <c r="S4142" s="22" t="s">
        <v>981</v>
      </c>
      <c r="X4142" s="26"/>
      <c r="Y4142" s="26"/>
    </row>
    <row r="4143" spans="1:25" x14ac:dyDescent="0.25">
      <c r="A4143" s="21">
        <v>5254</v>
      </c>
      <c r="B4143" s="22" t="s">
        <v>15340</v>
      </c>
      <c r="C4143" s="22" t="s">
        <v>984</v>
      </c>
      <c r="H4143" s="25" t="s">
        <v>15373</v>
      </c>
      <c r="I4143" s="22" t="s">
        <v>16311</v>
      </c>
      <c r="J4143" s="22" t="s">
        <v>16311</v>
      </c>
      <c r="K4143" s="26">
        <f t="shared" si="64"/>
        <v>533.33333333333326</v>
      </c>
      <c r="M4143" s="26">
        <v>800</v>
      </c>
      <c r="O4143" s="22" t="s">
        <v>985</v>
      </c>
      <c r="P4143" s="22" t="s">
        <v>986</v>
      </c>
      <c r="Q4143" s="22">
        <v>93401</v>
      </c>
      <c r="R4143" s="22" t="s">
        <v>987</v>
      </c>
      <c r="S4143" s="22" t="s">
        <v>988</v>
      </c>
      <c r="X4143" s="26"/>
      <c r="Y4143" s="26"/>
    </row>
    <row r="4144" spans="1:25" x14ac:dyDescent="0.25">
      <c r="A4144" s="21">
        <v>5255</v>
      </c>
      <c r="B4144" s="22" t="s">
        <v>15340</v>
      </c>
      <c r="C4144" s="22" t="s">
        <v>989</v>
      </c>
      <c r="H4144" s="25" t="s">
        <v>15373</v>
      </c>
      <c r="I4144" s="22" t="s">
        <v>14275</v>
      </c>
      <c r="J4144" s="22" t="s">
        <v>990</v>
      </c>
      <c r="K4144" s="26">
        <f t="shared" si="64"/>
        <v>319.33333333333331</v>
      </c>
      <c r="M4144" s="26">
        <v>479</v>
      </c>
      <c r="O4144" s="22" t="s">
        <v>991</v>
      </c>
      <c r="P4144" s="22" t="s">
        <v>992</v>
      </c>
      <c r="Q4144" s="22">
        <v>93461</v>
      </c>
      <c r="R4144" s="22" t="s">
        <v>993</v>
      </c>
      <c r="S4144" s="22" t="s">
        <v>994</v>
      </c>
      <c r="X4144" s="26"/>
      <c r="Y4144" s="26"/>
    </row>
    <row r="4145" spans="1:25" x14ac:dyDescent="0.25">
      <c r="A4145" s="21">
        <v>5257</v>
      </c>
      <c r="B4145" s="22" t="s">
        <v>15340</v>
      </c>
      <c r="C4145" s="22" t="s">
        <v>3936</v>
      </c>
      <c r="E4145" s="24">
        <v>2000</v>
      </c>
      <c r="H4145" s="25" t="s">
        <v>16311</v>
      </c>
      <c r="I4145" s="22" t="s">
        <v>15374</v>
      </c>
      <c r="J4145" s="22" t="s">
        <v>995</v>
      </c>
      <c r="K4145" s="26">
        <f t="shared" si="64"/>
        <v>400</v>
      </c>
      <c r="L4145" s="26">
        <v>400</v>
      </c>
      <c r="O4145" s="22" t="s">
        <v>996</v>
      </c>
      <c r="P4145" s="22" t="s">
        <v>2741</v>
      </c>
      <c r="Q4145" s="22">
        <v>95851</v>
      </c>
      <c r="R4145" s="22" t="s">
        <v>997</v>
      </c>
      <c r="S4145" s="22" t="s">
        <v>998</v>
      </c>
      <c r="X4145" s="26"/>
      <c r="Y4145" s="26"/>
    </row>
    <row r="4146" spans="1:25" x14ac:dyDescent="0.25">
      <c r="A4146" s="21">
        <v>5258</v>
      </c>
      <c r="B4146" s="22" t="s">
        <v>15340</v>
      </c>
      <c r="C4146" s="22" t="s">
        <v>3613</v>
      </c>
      <c r="H4146" s="25" t="s">
        <v>15373</v>
      </c>
      <c r="I4146" s="22" t="s">
        <v>15374</v>
      </c>
      <c r="J4146" s="22" t="s">
        <v>8630</v>
      </c>
      <c r="K4146" s="26">
        <f t="shared" si="64"/>
        <v>1250</v>
      </c>
      <c r="L4146" s="26">
        <v>1250</v>
      </c>
      <c r="O4146" s="22" t="s">
        <v>999</v>
      </c>
      <c r="P4146" s="22" t="s">
        <v>986</v>
      </c>
      <c r="Q4146" s="22" t="s">
        <v>1000</v>
      </c>
      <c r="R4146" s="22" t="s">
        <v>1001</v>
      </c>
      <c r="S4146" s="22" t="s">
        <v>1002</v>
      </c>
      <c r="X4146" s="26"/>
      <c r="Y4146" s="26"/>
    </row>
    <row r="4147" spans="1:25" x14ac:dyDescent="0.25">
      <c r="A4147" s="21">
        <v>5259</v>
      </c>
      <c r="B4147" s="22" t="s">
        <v>15340</v>
      </c>
      <c r="C4147" s="22" t="s">
        <v>1003</v>
      </c>
      <c r="H4147" s="25" t="s">
        <v>15373</v>
      </c>
      <c r="I4147" s="22" t="s">
        <v>15374</v>
      </c>
      <c r="J4147" s="22" t="s">
        <v>15677</v>
      </c>
      <c r="K4147" s="26">
        <f t="shared" si="64"/>
        <v>2000</v>
      </c>
      <c r="L4147" s="26">
        <v>2000</v>
      </c>
      <c r="O4147" s="22" t="s">
        <v>1004</v>
      </c>
      <c r="P4147" s="22" t="s">
        <v>986</v>
      </c>
      <c r="Q4147" s="22">
        <v>93409</v>
      </c>
      <c r="R4147" s="22" t="s">
        <v>1005</v>
      </c>
      <c r="S4147" s="22" t="s">
        <v>1006</v>
      </c>
      <c r="X4147" s="26"/>
      <c r="Y4147" s="26"/>
    </row>
    <row r="4148" spans="1:25" x14ac:dyDescent="0.25">
      <c r="A4148" s="21">
        <v>5260</v>
      </c>
      <c r="B4148" s="22" t="s">
        <v>15340</v>
      </c>
      <c r="C4148" s="22" t="s">
        <v>1007</v>
      </c>
      <c r="H4148" s="25" t="s">
        <v>15373</v>
      </c>
      <c r="I4148" s="22" t="s">
        <v>15374</v>
      </c>
      <c r="J4148" s="22" t="s">
        <v>1008</v>
      </c>
      <c r="K4148" s="26">
        <f t="shared" si="64"/>
        <v>2000</v>
      </c>
      <c r="L4148" s="26">
        <v>2000</v>
      </c>
      <c r="O4148" s="22" t="s">
        <v>16311</v>
      </c>
      <c r="P4148" s="22" t="s">
        <v>986</v>
      </c>
      <c r="Q4148" s="22" t="s">
        <v>1000</v>
      </c>
      <c r="R4148" s="22" t="s">
        <v>1009</v>
      </c>
      <c r="S4148" s="22" t="s">
        <v>1010</v>
      </c>
      <c r="X4148" s="26"/>
      <c r="Y4148" s="26"/>
    </row>
    <row r="4149" spans="1:25" x14ac:dyDescent="0.25">
      <c r="A4149" s="21">
        <v>5261</v>
      </c>
      <c r="B4149" s="22" t="s">
        <v>15340</v>
      </c>
      <c r="C4149" s="22" t="s">
        <v>1007</v>
      </c>
      <c r="H4149" s="25" t="s">
        <v>15373</v>
      </c>
      <c r="I4149" s="22" t="s">
        <v>15374</v>
      </c>
      <c r="J4149" s="22" t="s">
        <v>1008</v>
      </c>
      <c r="K4149" s="26">
        <f t="shared" ref="K4149:K4183" si="65">L4149+M4149*(2/3)+N4149*(2/3)</f>
        <v>2000</v>
      </c>
      <c r="L4149" s="26">
        <v>2000</v>
      </c>
      <c r="O4149" s="22" t="s">
        <v>16311</v>
      </c>
      <c r="P4149" s="22" t="s">
        <v>986</v>
      </c>
      <c r="Q4149" s="22" t="s">
        <v>1000</v>
      </c>
      <c r="R4149" s="22" t="s">
        <v>1009</v>
      </c>
      <c r="S4149" s="22" t="s">
        <v>1010</v>
      </c>
      <c r="X4149" s="26"/>
      <c r="Y4149" s="26"/>
    </row>
    <row r="4150" spans="1:25" x14ac:dyDescent="0.25">
      <c r="A4150" s="21">
        <v>5262</v>
      </c>
      <c r="B4150" s="22" t="s">
        <v>15340</v>
      </c>
      <c r="C4150" s="22" t="s">
        <v>1007</v>
      </c>
      <c r="H4150" s="25" t="s">
        <v>15373</v>
      </c>
      <c r="I4150" s="22" t="s">
        <v>15374</v>
      </c>
      <c r="J4150" s="22" t="s">
        <v>1008</v>
      </c>
      <c r="K4150" s="26">
        <f t="shared" si="65"/>
        <v>2000</v>
      </c>
      <c r="L4150" s="26">
        <v>2000</v>
      </c>
      <c r="O4150" s="22" t="s">
        <v>16311</v>
      </c>
      <c r="P4150" s="22" t="s">
        <v>986</v>
      </c>
      <c r="Q4150" s="22" t="s">
        <v>1000</v>
      </c>
      <c r="R4150" s="22" t="s">
        <v>1009</v>
      </c>
      <c r="S4150" s="22" t="s">
        <v>1010</v>
      </c>
      <c r="X4150" s="26"/>
      <c r="Y4150" s="26"/>
    </row>
    <row r="4151" spans="1:25" x14ac:dyDescent="0.25">
      <c r="A4151" s="21">
        <v>5263</v>
      </c>
      <c r="B4151" s="22" t="s">
        <v>15340</v>
      </c>
      <c r="C4151" s="22" t="s">
        <v>1011</v>
      </c>
      <c r="H4151" s="25" t="s">
        <v>15373</v>
      </c>
      <c r="I4151" s="22" t="s">
        <v>15374</v>
      </c>
      <c r="J4151" s="22" t="s">
        <v>1012</v>
      </c>
      <c r="K4151" s="26">
        <f t="shared" si="65"/>
        <v>1250</v>
      </c>
      <c r="L4151" s="26">
        <v>1250</v>
      </c>
      <c r="O4151" s="22" t="s">
        <v>1013</v>
      </c>
      <c r="P4151" s="22" t="s">
        <v>1014</v>
      </c>
      <c r="Q4151" s="22">
        <v>93402</v>
      </c>
      <c r="R4151" s="22" t="s">
        <v>1015</v>
      </c>
      <c r="S4151" s="22" t="s">
        <v>1016</v>
      </c>
      <c r="X4151" s="26"/>
      <c r="Y4151" s="26"/>
    </row>
    <row r="4152" spans="1:25" x14ac:dyDescent="0.25">
      <c r="A4152" s="21">
        <v>5264</v>
      </c>
      <c r="B4152" s="22" t="s">
        <v>15340</v>
      </c>
      <c r="C4152" s="22" t="s">
        <v>1011</v>
      </c>
      <c r="H4152" s="25" t="s">
        <v>15373</v>
      </c>
      <c r="I4152" s="22" t="s">
        <v>15374</v>
      </c>
      <c r="J4152" s="22" t="s">
        <v>1012</v>
      </c>
      <c r="K4152" s="26">
        <f t="shared" si="65"/>
        <v>1250</v>
      </c>
      <c r="L4152" s="26">
        <v>1250</v>
      </c>
      <c r="O4152" s="22" t="s">
        <v>1013</v>
      </c>
      <c r="P4152" s="22" t="s">
        <v>1014</v>
      </c>
      <c r="Q4152" s="22">
        <v>93402</v>
      </c>
      <c r="R4152" s="22" t="s">
        <v>1017</v>
      </c>
      <c r="S4152" s="22" t="s">
        <v>1016</v>
      </c>
      <c r="X4152" s="26"/>
      <c r="Y4152" s="26"/>
    </row>
    <row r="4153" spans="1:25" x14ac:dyDescent="0.25">
      <c r="A4153" s="21">
        <v>5265</v>
      </c>
      <c r="B4153" s="22" t="s">
        <v>15340</v>
      </c>
      <c r="C4153" s="22" t="s">
        <v>6672</v>
      </c>
      <c r="H4153" s="25" t="s">
        <v>15373</v>
      </c>
      <c r="I4153" s="22" t="s">
        <v>15374</v>
      </c>
      <c r="J4153" s="22">
        <v>3412</v>
      </c>
      <c r="K4153" s="26">
        <f t="shared" si="65"/>
        <v>500</v>
      </c>
      <c r="L4153" s="26">
        <v>500</v>
      </c>
      <c r="O4153" s="22" t="s">
        <v>1018</v>
      </c>
      <c r="P4153" s="22" t="s">
        <v>986</v>
      </c>
      <c r="Q4153" s="22">
        <v>93401</v>
      </c>
      <c r="R4153" s="22" t="s">
        <v>1019</v>
      </c>
      <c r="S4153" s="22" t="s">
        <v>1020</v>
      </c>
      <c r="X4153" s="26"/>
      <c r="Y4153" s="26"/>
    </row>
    <row r="4154" spans="1:25" x14ac:dyDescent="0.25">
      <c r="A4154" s="21">
        <v>5266</v>
      </c>
      <c r="B4154" s="22" t="s">
        <v>15340</v>
      </c>
      <c r="C4154" s="22" t="s">
        <v>6672</v>
      </c>
      <c r="H4154" s="25" t="s">
        <v>15373</v>
      </c>
      <c r="I4154" s="22" t="s">
        <v>15374</v>
      </c>
      <c r="J4154" s="22">
        <v>3412</v>
      </c>
      <c r="K4154" s="26">
        <f t="shared" si="65"/>
        <v>600</v>
      </c>
      <c r="L4154" s="26">
        <v>600</v>
      </c>
      <c r="O4154" s="22" t="s">
        <v>1018</v>
      </c>
      <c r="P4154" s="22" t="s">
        <v>986</v>
      </c>
      <c r="Q4154" s="22">
        <v>93401</v>
      </c>
      <c r="R4154" s="22" t="s">
        <v>1019</v>
      </c>
      <c r="S4154" s="22" t="s">
        <v>1020</v>
      </c>
      <c r="X4154" s="26"/>
      <c r="Y4154" s="26"/>
    </row>
    <row r="4155" spans="1:25" x14ac:dyDescent="0.25">
      <c r="A4155" s="21">
        <v>5267</v>
      </c>
      <c r="B4155" s="22" t="s">
        <v>15340</v>
      </c>
      <c r="C4155" s="22" t="s">
        <v>977</v>
      </c>
      <c r="H4155" s="25" t="s">
        <v>15373</v>
      </c>
      <c r="I4155" s="22" t="s">
        <v>15374</v>
      </c>
      <c r="J4155" s="22" t="s">
        <v>16311</v>
      </c>
      <c r="K4155" s="26">
        <f t="shared" si="65"/>
        <v>813.33333333333326</v>
      </c>
      <c r="M4155" s="26">
        <v>1220</v>
      </c>
      <c r="O4155" s="22" t="s">
        <v>978</v>
      </c>
      <c r="P4155" s="22" t="s">
        <v>979</v>
      </c>
      <c r="Q4155" s="22">
        <v>93422</v>
      </c>
      <c r="R4155" s="22" t="s">
        <v>980</v>
      </c>
      <c r="S4155" s="22" t="s">
        <v>981</v>
      </c>
      <c r="X4155" s="26"/>
      <c r="Y4155" s="26"/>
    </row>
    <row r="4156" spans="1:25" x14ac:dyDescent="0.25">
      <c r="A4156" s="21">
        <v>5268</v>
      </c>
      <c r="B4156" s="22" t="s">
        <v>15340</v>
      </c>
      <c r="C4156" s="22" t="s">
        <v>1021</v>
      </c>
      <c r="H4156" s="25" t="s">
        <v>15373</v>
      </c>
      <c r="I4156" s="22" t="s">
        <v>16421</v>
      </c>
      <c r="J4156" s="22" t="s">
        <v>16311</v>
      </c>
      <c r="K4156" s="26">
        <f t="shared" si="65"/>
        <v>350</v>
      </c>
      <c r="L4156" s="26">
        <v>350</v>
      </c>
      <c r="O4156" s="22" t="s">
        <v>1022</v>
      </c>
      <c r="P4156" s="22" t="s">
        <v>986</v>
      </c>
      <c r="Q4156" s="22">
        <v>93407</v>
      </c>
      <c r="R4156" s="22" t="s">
        <v>1023</v>
      </c>
      <c r="S4156" s="22" t="s">
        <v>1024</v>
      </c>
      <c r="X4156" s="26"/>
      <c r="Y4156" s="26"/>
    </row>
    <row r="4157" spans="1:25" x14ac:dyDescent="0.25">
      <c r="A4157" s="21">
        <v>5269</v>
      </c>
      <c r="B4157" s="22" t="s">
        <v>15340</v>
      </c>
      <c r="C4157" s="22" t="s">
        <v>1021</v>
      </c>
      <c r="H4157" s="25" t="s">
        <v>15373</v>
      </c>
      <c r="I4157" s="22" t="s">
        <v>15374</v>
      </c>
      <c r="J4157" s="22" t="s">
        <v>16311</v>
      </c>
      <c r="K4157" s="26">
        <f t="shared" si="65"/>
        <v>500</v>
      </c>
      <c r="L4157" s="26">
        <v>500</v>
      </c>
      <c r="O4157" s="22" t="s">
        <v>1025</v>
      </c>
      <c r="P4157" s="22" t="s">
        <v>986</v>
      </c>
      <c r="Q4157" s="22">
        <v>93407</v>
      </c>
      <c r="R4157" s="22" t="s">
        <v>1023</v>
      </c>
      <c r="S4157" s="22" t="s">
        <v>1024</v>
      </c>
      <c r="X4157" s="26"/>
      <c r="Y4157" s="26"/>
    </row>
    <row r="4158" spans="1:25" x14ac:dyDescent="0.25">
      <c r="A4158" s="21">
        <v>5270</v>
      </c>
      <c r="B4158" s="22" t="s">
        <v>15340</v>
      </c>
      <c r="C4158" s="22" t="s">
        <v>1021</v>
      </c>
      <c r="H4158" s="25" t="s">
        <v>15373</v>
      </c>
      <c r="I4158" s="22" t="s">
        <v>15374</v>
      </c>
      <c r="J4158" s="22" t="s">
        <v>16311</v>
      </c>
      <c r="K4158" s="26">
        <f t="shared" si="65"/>
        <v>500</v>
      </c>
      <c r="L4158" s="26">
        <v>500</v>
      </c>
      <c r="O4158" s="22" t="s">
        <v>1026</v>
      </c>
      <c r="P4158" s="22" t="s">
        <v>986</v>
      </c>
      <c r="Q4158" s="22">
        <v>93407</v>
      </c>
      <c r="R4158" s="22" t="s">
        <v>1023</v>
      </c>
      <c r="S4158" s="22" t="s">
        <v>1024</v>
      </c>
      <c r="X4158" s="26"/>
      <c r="Y4158" s="26"/>
    </row>
    <row r="4159" spans="1:25" x14ac:dyDescent="0.25">
      <c r="A4159" s="21">
        <v>5271</v>
      </c>
      <c r="B4159" s="22" t="s">
        <v>15340</v>
      </c>
      <c r="C4159" s="22" t="s">
        <v>1003</v>
      </c>
      <c r="H4159" s="25" t="s">
        <v>15373</v>
      </c>
      <c r="I4159" s="22" t="s">
        <v>15374</v>
      </c>
      <c r="J4159" s="22" t="s">
        <v>11983</v>
      </c>
      <c r="K4159" s="26">
        <f t="shared" si="65"/>
        <v>800</v>
      </c>
      <c r="L4159" s="26">
        <v>800</v>
      </c>
      <c r="O4159" s="22" t="s">
        <v>1027</v>
      </c>
      <c r="P4159" s="22" t="s">
        <v>986</v>
      </c>
      <c r="Q4159" s="22" t="s">
        <v>1028</v>
      </c>
      <c r="R4159" s="22" t="s">
        <v>1005</v>
      </c>
      <c r="S4159" s="22" t="s">
        <v>1006</v>
      </c>
      <c r="X4159" s="26"/>
      <c r="Y4159" s="26"/>
    </row>
    <row r="4160" spans="1:25" x14ac:dyDescent="0.25">
      <c r="A4160" s="21">
        <v>5272</v>
      </c>
      <c r="B4160" s="22" t="s">
        <v>15340</v>
      </c>
      <c r="C4160" s="22" t="s">
        <v>1029</v>
      </c>
      <c r="H4160" s="25" t="s">
        <v>15373</v>
      </c>
      <c r="I4160" s="22" t="s">
        <v>16311</v>
      </c>
      <c r="J4160" s="22" t="s">
        <v>16311</v>
      </c>
      <c r="K4160" s="26">
        <f t="shared" si="65"/>
        <v>750</v>
      </c>
      <c r="L4160" s="26">
        <v>750</v>
      </c>
      <c r="P4160" s="22" t="s">
        <v>1030</v>
      </c>
      <c r="Q4160" s="22">
        <v>93451</v>
      </c>
      <c r="R4160" s="22" t="s">
        <v>1031</v>
      </c>
      <c r="S4160" s="22" t="s">
        <v>1032</v>
      </c>
      <c r="X4160" s="26"/>
      <c r="Y4160" s="26"/>
    </row>
    <row r="4161" spans="1:25" x14ac:dyDescent="0.25">
      <c r="A4161" s="21">
        <v>5273</v>
      </c>
      <c r="B4161" s="22" t="s">
        <v>15340</v>
      </c>
      <c r="C4161" s="22" t="s">
        <v>1029</v>
      </c>
      <c r="H4161" s="25" t="s">
        <v>15373</v>
      </c>
      <c r="I4161" s="22" t="s">
        <v>16311</v>
      </c>
      <c r="J4161" s="22" t="s">
        <v>16311</v>
      </c>
      <c r="K4161" s="26">
        <f t="shared" si="65"/>
        <v>750</v>
      </c>
      <c r="L4161" s="26">
        <v>750</v>
      </c>
      <c r="P4161" s="22" t="s">
        <v>1030</v>
      </c>
      <c r="Q4161" s="22">
        <v>93451</v>
      </c>
      <c r="R4161" s="22" t="s">
        <v>1031</v>
      </c>
      <c r="S4161" s="22" t="s">
        <v>1032</v>
      </c>
      <c r="X4161" s="26"/>
      <c r="Y4161" s="26"/>
    </row>
    <row r="4162" spans="1:25" x14ac:dyDescent="0.25">
      <c r="A4162" s="21">
        <v>5274</v>
      </c>
      <c r="B4162" s="22" t="s">
        <v>15340</v>
      </c>
      <c r="C4162" s="22" t="s">
        <v>1029</v>
      </c>
      <c r="H4162" s="25" t="s">
        <v>15373</v>
      </c>
      <c r="I4162" s="22" t="s">
        <v>16311</v>
      </c>
      <c r="J4162" s="22" t="s">
        <v>16311</v>
      </c>
      <c r="K4162" s="26">
        <f t="shared" si="65"/>
        <v>750</v>
      </c>
      <c r="L4162" s="26">
        <v>750</v>
      </c>
      <c r="P4162" s="22" t="s">
        <v>1030</v>
      </c>
      <c r="Q4162" s="22">
        <v>93451</v>
      </c>
      <c r="R4162" s="22" t="s">
        <v>1031</v>
      </c>
      <c r="S4162" s="22" t="s">
        <v>1032</v>
      </c>
      <c r="X4162" s="26"/>
      <c r="Y4162" s="26"/>
    </row>
    <row r="4163" spans="1:25" x14ac:dyDescent="0.25">
      <c r="A4163" s="21">
        <v>5275</v>
      </c>
      <c r="B4163" s="22" t="s">
        <v>15340</v>
      </c>
      <c r="C4163" s="22" t="s">
        <v>1033</v>
      </c>
      <c r="H4163" s="25" t="s">
        <v>15373</v>
      </c>
      <c r="I4163" s="22" t="s">
        <v>16311</v>
      </c>
      <c r="J4163" s="22" t="s">
        <v>16311</v>
      </c>
      <c r="K4163" s="26">
        <f t="shared" si="65"/>
        <v>300</v>
      </c>
      <c r="L4163" s="26">
        <v>300</v>
      </c>
      <c r="O4163" s="22" t="s">
        <v>1034</v>
      </c>
      <c r="P4163" s="22" t="s">
        <v>1035</v>
      </c>
      <c r="Q4163" s="22">
        <v>93446</v>
      </c>
      <c r="R4163" s="22" t="s">
        <v>1036</v>
      </c>
      <c r="S4163" s="22" t="s">
        <v>1037</v>
      </c>
      <c r="X4163" s="26"/>
      <c r="Y4163" s="26"/>
    </row>
    <row r="4164" spans="1:25" x14ac:dyDescent="0.25">
      <c r="A4164" s="21">
        <v>5276</v>
      </c>
      <c r="B4164" s="22" t="s">
        <v>15340</v>
      </c>
      <c r="C4164" s="22" t="s">
        <v>1033</v>
      </c>
      <c r="H4164" s="25" t="s">
        <v>15373</v>
      </c>
      <c r="I4164" s="22" t="s">
        <v>16311</v>
      </c>
      <c r="J4164" s="22" t="s">
        <v>16311</v>
      </c>
      <c r="K4164" s="26">
        <f t="shared" si="65"/>
        <v>350</v>
      </c>
      <c r="L4164" s="26">
        <v>350</v>
      </c>
      <c r="O4164" s="22" t="s">
        <v>1038</v>
      </c>
      <c r="P4164" s="22" t="s">
        <v>1035</v>
      </c>
      <c r="Q4164" s="22">
        <v>93446</v>
      </c>
      <c r="R4164" s="22" t="s">
        <v>1036</v>
      </c>
      <c r="S4164" s="22" t="s">
        <v>1037</v>
      </c>
      <c r="X4164" s="26"/>
      <c r="Y4164" s="26"/>
    </row>
    <row r="4165" spans="1:25" x14ac:dyDescent="0.25">
      <c r="A4165" s="21">
        <v>5277</v>
      </c>
      <c r="B4165" s="22" t="s">
        <v>15340</v>
      </c>
      <c r="C4165" s="22" t="s">
        <v>1033</v>
      </c>
      <c r="H4165" s="25" t="s">
        <v>15373</v>
      </c>
      <c r="I4165" s="22" t="s">
        <v>16311</v>
      </c>
      <c r="J4165" s="22" t="s">
        <v>16311</v>
      </c>
      <c r="K4165" s="26">
        <f t="shared" si="65"/>
        <v>500</v>
      </c>
      <c r="L4165" s="26">
        <v>500</v>
      </c>
      <c r="O4165" s="22" t="s">
        <v>1039</v>
      </c>
      <c r="P4165" s="22" t="s">
        <v>1035</v>
      </c>
      <c r="Q4165" s="22">
        <v>93446</v>
      </c>
      <c r="R4165" s="22" t="s">
        <v>1036</v>
      </c>
      <c r="S4165" s="22" t="s">
        <v>1037</v>
      </c>
      <c r="X4165" s="26"/>
      <c r="Y4165" s="26"/>
    </row>
    <row r="4166" spans="1:25" x14ac:dyDescent="0.25">
      <c r="A4166" s="21">
        <v>5278</v>
      </c>
      <c r="B4166" s="22" t="s">
        <v>15340</v>
      </c>
      <c r="C4166" s="22" t="s">
        <v>1040</v>
      </c>
      <c r="H4166" s="25" t="s">
        <v>15373</v>
      </c>
      <c r="I4166" s="22" t="s">
        <v>16311</v>
      </c>
      <c r="J4166" s="22" t="s">
        <v>16311</v>
      </c>
      <c r="K4166" s="26">
        <f t="shared" si="65"/>
        <v>380</v>
      </c>
      <c r="L4166" s="26">
        <v>380</v>
      </c>
      <c r="O4166" s="22" t="s">
        <v>1041</v>
      </c>
      <c r="P4166" s="22" t="s">
        <v>1035</v>
      </c>
      <c r="Q4166" s="22">
        <v>93446</v>
      </c>
      <c r="R4166" s="22" t="s">
        <v>1036</v>
      </c>
      <c r="S4166" s="22" t="s">
        <v>1037</v>
      </c>
      <c r="X4166" s="26"/>
      <c r="Y4166" s="26"/>
    </row>
    <row r="4167" spans="1:25" x14ac:dyDescent="0.25">
      <c r="A4167" s="21">
        <v>5279</v>
      </c>
      <c r="B4167" s="22" t="s">
        <v>15340</v>
      </c>
      <c r="C4167" s="22" t="s">
        <v>1042</v>
      </c>
      <c r="E4167" s="24">
        <v>1994</v>
      </c>
      <c r="H4167" s="25" t="s">
        <v>15373</v>
      </c>
      <c r="I4167" s="22" t="s">
        <v>16421</v>
      </c>
      <c r="J4167" s="22" t="s">
        <v>1043</v>
      </c>
      <c r="K4167" s="26">
        <f t="shared" si="65"/>
        <v>430</v>
      </c>
      <c r="L4167" s="26">
        <v>430</v>
      </c>
      <c r="O4167" s="22" t="s">
        <v>1044</v>
      </c>
      <c r="P4167" s="22" t="s">
        <v>986</v>
      </c>
      <c r="Q4167" s="22">
        <v>93405</v>
      </c>
      <c r="R4167" s="22" t="s">
        <v>1045</v>
      </c>
      <c r="S4167" s="22" t="s">
        <v>1046</v>
      </c>
      <c r="X4167" s="26"/>
      <c r="Y4167" s="26"/>
    </row>
    <row r="4168" spans="1:25" x14ac:dyDescent="0.25">
      <c r="A4168" s="21">
        <v>5280</v>
      </c>
      <c r="B4168" s="22" t="s">
        <v>15340</v>
      </c>
      <c r="C4168" s="22" t="s">
        <v>1042</v>
      </c>
      <c r="E4168" s="24">
        <v>1992</v>
      </c>
      <c r="H4168" s="25" t="s">
        <v>16411</v>
      </c>
      <c r="I4168" s="22" t="s">
        <v>15374</v>
      </c>
      <c r="J4168" s="22" t="s">
        <v>16311</v>
      </c>
      <c r="K4168" s="26">
        <f t="shared" si="65"/>
        <v>500</v>
      </c>
      <c r="L4168" s="26">
        <v>500</v>
      </c>
      <c r="O4168" s="22" t="s">
        <v>1047</v>
      </c>
      <c r="P4168" s="22" t="s">
        <v>986</v>
      </c>
      <c r="Q4168" s="22">
        <v>93401</v>
      </c>
      <c r="R4168" s="22" t="s">
        <v>1048</v>
      </c>
      <c r="S4168" s="22" t="s">
        <v>1046</v>
      </c>
      <c r="X4168" s="26"/>
      <c r="Y4168" s="26"/>
    </row>
    <row r="4169" spans="1:25" x14ac:dyDescent="0.25">
      <c r="A4169" s="21">
        <v>5281</v>
      </c>
      <c r="B4169" s="22" t="s">
        <v>15340</v>
      </c>
      <c r="C4169" s="22" t="s">
        <v>1049</v>
      </c>
      <c r="H4169" s="25" t="s">
        <v>15373</v>
      </c>
      <c r="I4169" s="22" t="s">
        <v>15374</v>
      </c>
      <c r="J4169" s="22" t="s">
        <v>15701</v>
      </c>
      <c r="K4169" s="26">
        <f t="shared" si="65"/>
        <v>300</v>
      </c>
      <c r="L4169" s="26">
        <v>300</v>
      </c>
      <c r="O4169" s="22" t="s">
        <v>1050</v>
      </c>
      <c r="P4169" s="22" t="s">
        <v>986</v>
      </c>
      <c r="Q4169" s="22">
        <v>93405</v>
      </c>
      <c r="R4169" s="22" t="s">
        <v>1051</v>
      </c>
      <c r="S4169" s="22" t="s">
        <v>1052</v>
      </c>
      <c r="X4169" s="26"/>
      <c r="Y4169" s="26"/>
    </row>
    <row r="4170" spans="1:25" x14ac:dyDescent="0.25">
      <c r="A4170" s="21">
        <v>5283</v>
      </c>
      <c r="B4170" s="22" t="s">
        <v>15340</v>
      </c>
      <c r="C4170" s="22" t="s">
        <v>1053</v>
      </c>
      <c r="H4170" s="25" t="s">
        <v>15373</v>
      </c>
      <c r="I4170" s="22" t="s">
        <v>16311</v>
      </c>
      <c r="J4170" s="22" t="s">
        <v>16311</v>
      </c>
      <c r="K4170" s="26">
        <f t="shared" si="65"/>
        <v>376</v>
      </c>
      <c r="L4170" s="26">
        <v>376</v>
      </c>
      <c r="O4170" s="22" t="s">
        <v>1054</v>
      </c>
      <c r="R4170" s="22" t="s">
        <v>1055</v>
      </c>
      <c r="S4170" s="22" t="s">
        <v>1056</v>
      </c>
      <c r="X4170" s="26"/>
      <c r="Y4170" s="26"/>
    </row>
    <row r="4171" spans="1:25" x14ac:dyDescent="0.25">
      <c r="A4171" s="21">
        <v>5284</v>
      </c>
      <c r="B4171" s="22" t="s">
        <v>15340</v>
      </c>
      <c r="C4171" s="22" t="s">
        <v>1057</v>
      </c>
      <c r="E4171" s="24">
        <v>2000</v>
      </c>
      <c r="H4171" s="25" t="s">
        <v>15373</v>
      </c>
      <c r="I4171" s="22" t="s">
        <v>15411</v>
      </c>
      <c r="J4171" s="22" t="s">
        <v>16517</v>
      </c>
      <c r="K4171" s="26">
        <f t="shared" si="65"/>
        <v>350</v>
      </c>
      <c r="L4171" s="26">
        <v>350</v>
      </c>
      <c r="O4171" s="22" t="s">
        <v>1058</v>
      </c>
      <c r="P4171" s="22" t="s">
        <v>974</v>
      </c>
      <c r="Q4171" s="22">
        <v>93420</v>
      </c>
      <c r="R4171" s="22" t="s">
        <v>1059</v>
      </c>
      <c r="S4171" s="22" t="s">
        <v>1060</v>
      </c>
      <c r="X4171" s="26"/>
      <c r="Y4171" s="26"/>
    </row>
    <row r="4172" spans="1:25" x14ac:dyDescent="0.25">
      <c r="A4172" s="21">
        <v>5285</v>
      </c>
      <c r="B4172" s="22" t="s">
        <v>15340</v>
      </c>
      <c r="C4172" s="22" t="s">
        <v>1061</v>
      </c>
      <c r="E4172" s="24">
        <v>2000</v>
      </c>
      <c r="H4172" s="25" t="s">
        <v>15373</v>
      </c>
      <c r="I4172" s="22" t="s">
        <v>14275</v>
      </c>
      <c r="J4172" s="22" t="s">
        <v>11722</v>
      </c>
      <c r="K4172" s="26">
        <f t="shared" si="65"/>
        <v>500</v>
      </c>
      <c r="L4172" s="26">
        <v>500</v>
      </c>
      <c r="O4172" s="22" t="s">
        <v>1062</v>
      </c>
      <c r="P4172" s="22" t="s">
        <v>1035</v>
      </c>
      <c r="Q4172" s="22">
        <v>93446</v>
      </c>
      <c r="R4172" s="22" t="s">
        <v>1063</v>
      </c>
      <c r="S4172" s="22" t="s">
        <v>1064</v>
      </c>
      <c r="X4172" s="26"/>
      <c r="Y4172" s="26"/>
    </row>
    <row r="4173" spans="1:25" x14ac:dyDescent="0.25">
      <c r="A4173" s="21">
        <v>5286</v>
      </c>
      <c r="B4173" s="22" t="s">
        <v>15340</v>
      </c>
      <c r="C4173" s="22" t="s">
        <v>1061</v>
      </c>
      <c r="E4173" s="24">
        <v>2000</v>
      </c>
      <c r="H4173" s="25" t="s">
        <v>15373</v>
      </c>
      <c r="I4173" s="22" t="s">
        <v>14275</v>
      </c>
      <c r="J4173" s="22" t="s">
        <v>11722</v>
      </c>
      <c r="K4173" s="26">
        <f t="shared" si="65"/>
        <v>500</v>
      </c>
      <c r="L4173" s="26">
        <v>500</v>
      </c>
      <c r="O4173" s="22" t="s">
        <v>1062</v>
      </c>
      <c r="P4173" s="22" t="s">
        <v>1035</v>
      </c>
      <c r="Q4173" s="22">
        <v>93446</v>
      </c>
      <c r="R4173" s="22" t="s">
        <v>1063</v>
      </c>
      <c r="S4173" s="22" t="s">
        <v>1064</v>
      </c>
      <c r="X4173" s="26"/>
      <c r="Y4173" s="26"/>
    </row>
    <row r="4174" spans="1:25" x14ac:dyDescent="0.25">
      <c r="A4174" s="21">
        <v>5287</v>
      </c>
      <c r="B4174" s="22" t="s">
        <v>15340</v>
      </c>
      <c r="C4174" s="22" t="s">
        <v>989</v>
      </c>
      <c r="E4174" s="24">
        <v>1997</v>
      </c>
      <c r="H4174" s="25" t="s">
        <v>15373</v>
      </c>
      <c r="I4174" s="22" t="s">
        <v>15374</v>
      </c>
      <c r="J4174" s="22">
        <v>3142</v>
      </c>
      <c r="K4174" s="26">
        <f t="shared" si="65"/>
        <v>494.66666666666663</v>
      </c>
      <c r="M4174" s="26">
        <v>742</v>
      </c>
      <c r="O4174" s="22" t="s">
        <v>1065</v>
      </c>
      <c r="P4174" s="22" t="s">
        <v>992</v>
      </c>
      <c r="Q4174" s="22">
        <v>93461</v>
      </c>
      <c r="R4174" s="22" t="s">
        <v>1066</v>
      </c>
      <c r="S4174" s="22" t="s">
        <v>1067</v>
      </c>
      <c r="X4174" s="26"/>
      <c r="Y4174" s="26"/>
    </row>
    <row r="4175" spans="1:25" x14ac:dyDescent="0.25">
      <c r="A4175" s="21">
        <v>5288</v>
      </c>
      <c r="B4175" s="22" t="s">
        <v>15340</v>
      </c>
      <c r="C4175" s="22" t="s">
        <v>1068</v>
      </c>
      <c r="E4175" s="24">
        <v>2002</v>
      </c>
      <c r="H4175" s="25" t="s">
        <v>15373</v>
      </c>
      <c r="I4175" s="22" t="s">
        <v>15382</v>
      </c>
      <c r="J4175" s="22" t="s">
        <v>15391</v>
      </c>
      <c r="K4175" s="26">
        <f t="shared" si="65"/>
        <v>1500</v>
      </c>
      <c r="L4175" s="26">
        <v>1500</v>
      </c>
      <c r="O4175" s="22" t="s">
        <v>1069</v>
      </c>
      <c r="P4175" s="22" t="s">
        <v>1069</v>
      </c>
      <c r="Q4175" s="22">
        <v>93442</v>
      </c>
      <c r="R4175" s="22" t="s">
        <v>1070</v>
      </c>
      <c r="S4175" s="22" t="s">
        <v>1071</v>
      </c>
      <c r="X4175" s="26"/>
      <c r="Y4175" s="26"/>
    </row>
    <row r="4176" spans="1:25" x14ac:dyDescent="0.25">
      <c r="A4176" s="21">
        <v>5289</v>
      </c>
      <c r="B4176" s="22" t="s">
        <v>15340</v>
      </c>
      <c r="C4176" s="22" t="s">
        <v>1072</v>
      </c>
      <c r="H4176" s="25" t="s">
        <v>15373</v>
      </c>
      <c r="I4176" s="22" t="s">
        <v>15374</v>
      </c>
      <c r="J4176" s="22">
        <v>3512</v>
      </c>
      <c r="K4176" s="26">
        <f t="shared" si="65"/>
        <v>1500</v>
      </c>
      <c r="L4176" s="26">
        <v>1500</v>
      </c>
      <c r="O4176" s="22" t="s">
        <v>1073</v>
      </c>
      <c r="P4176" s="22" t="s">
        <v>986</v>
      </c>
      <c r="Q4176" s="22">
        <v>93401</v>
      </c>
      <c r="R4176" s="22" t="s">
        <v>1074</v>
      </c>
      <c r="S4176" s="22" t="s">
        <v>1075</v>
      </c>
      <c r="X4176" s="26"/>
      <c r="Y4176" s="26"/>
    </row>
    <row r="4177" spans="1:25" x14ac:dyDescent="0.25">
      <c r="A4177" s="21">
        <v>5290</v>
      </c>
      <c r="B4177" s="22" t="s">
        <v>15340</v>
      </c>
      <c r="C4177" s="22" t="s">
        <v>1076</v>
      </c>
      <c r="E4177" s="24">
        <v>2003</v>
      </c>
      <c r="H4177" s="25" t="s">
        <v>15373</v>
      </c>
      <c r="I4177" s="22" t="s">
        <v>14275</v>
      </c>
      <c r="J4177" s="22" t="s">
        <v>16311</v>
      </c>
      <c r="K4177" s="26">
        <f t="shared" si="65"/>
        <v>500</v>
      </c>
      <c r="L4177" s="26">
        <v>500</v>
      </c>
      <c r="O4177" s="22" t="s">
        <v>1077</v>
      </c>
      <c r="P4177" s="22" t="s">
        <v>1035</v>
      </c>
      <c r="Q4177" s="22">
        <v>93446</v>
      </c>
      <c r="R4177" s="22" t="s">
        <v>1078</v>
      </c>
      <c r="S4177" s="22" t="s">
        <v>1079</v>
      </c>
      <c r="X4177" s="26"/>
      <c r="Y4177" s="26"/>
    </row>
    <row r="4178" spans="1:25" ht="25" x14ac:dyDescent="0.25">
      <c r="A4178" s="21">
        <v>5400</v>
      </c>
      <c r="B4178" s="22" t="s">
        <v>15321</v>
      </c>
      <c r="C4178" s="22" t="s">
        <v>1080</v>
      </c>
      <c r="E4178" s="24">
        <v>1998</v>
      </c>
      <c r="F4178" s="22">
        <v>3013</v>
      </c>
      <c r="H4178" s="25" t="s">
        <v>15373</v>
      </c>
      <c r="I4178" s="22" t="s">
        <v>15374</v>
      </c>
      <c r="J4178" s="22" t="s">
        <v>14709</v>
      </c>
      <c r="K4178" s="26">
        <f t="shared" si="65"/>
        <v>593.33333333333326</v>
      </c>
      <c r="M4178" s="26">
        <v>890</v>
      </c>
      <c r="O4178" s="22" t="s">
        <v>1081</v>
      </c>
      <c r="P4178" s="22" t="s">
        <v>1082</v>
      </c>
      <c r="Q4178" s="22">
        <v>95901</v>
      </c>
      <c r="R4178" s="22" t="s">
        <v>1083</v>
      </c>
      <c r="S4178" s="22" t="s">
        <v>1084</v>
      </c>
      <c r="T4178" s="22">
        <v>8.17</v>
      </c>
      <c r="U4178" s="22">
        <v>0.38</v>
      </c>
      <c r="X4178" s="26"/>
      <c r="Y4178" s="26"/>
    </row>
    <row r="4179" spans="1:25" x14ac:dyDescent="0.25">
      <c r="A4179" s="21">
        <v>5401</v>
      </c>
      <c r="B4179" s="22" t="s">
        <v>15321</v>
      </c>
      <c r="C4179" s="22" t="s">
        <v>1085</v>
      </c>
      <c r="E4179" s="24" t="s">
        <v>1086</v>
      </c>
      <c r="F4179" s="22">
        <v>9017</v>
      </c>
      <c r="H4179" s="25" t="s">
        <v>15373</v>
      </c>
      <c r="I4179" s="22" t="s">
        <v>15411</v>
      </c>
      <c r="J4179" s="22" t="s">
        <v>1087</v>
      </c>
      <c r="K4179" s="26">
        <f t="shared" si="65"/>
        <v>300</v>
      </c>
      <c r="L4179" s="26">
        <v>300</v>
      </c>
      <c r="O4179" s="22" t="s">
        <v>1088</v>
      </c>
      <c r="P4179" s="22" t="s">
        <v>1089</v>
      </c>
      <c r="Q4179" s="22">
        <v>95903</v>
      </c>
      <c r="R4179" s="22" t="s">
        <v>1090</v>
      </c>
      <c r="S4179" s="22" t="s">
        <v>1091</v>
      </c>
      <c r="T4179" s="22">
        <v>8.17</v>
      </c>
      <c r="U4179" s="22">
        <v>0.38</v>
      </c>
      <c r="X4179" s="26"/>
      <c r="Y4179" s="26"/>
    </row>
    <row r="4180" spans="1:25" x14ac:dyDescent="0.25">
      <c r="A4180" s="21">
        <v>5402</v>
      </c>
      <c r="B4180" s="22" t="s">
        <v>15321</v>
      </c>
      <c r="C4180" s="22" t="s">
        <v>1085</v>
      </c>
      <c r="E4180" s="24" t="s">
        <v>1086</v>
      </c>
      <c r="F4180" s="22">
        <v>9017</v>
      </c>
      <c r="H4180" s="25" t="s">
        <v>15373</v>
      </c>
      <c r="I4180" s="22" t="s">
        <v>15411</v>
      </c>
      <c r="J4180" s="22" t="s">
        <v>17383</v>
      </c>
      <c r="K4180" s="26">
        <f t="shared" si="65"/>
        <v>300</v>
      </c>
      <c r="L4180" s="26">
        <v>300</v>
      </c>
      <c r="O4180" s="22" t="s">
        <v>1088</v>
      </c>
      <c r="P4180" s="22" t="s">
        <v>1089</v>
      </c>
      <c r="Q4180" s="22">
        <v>95903</v>
      </c>
      <c r="R4180" s="22" t="s">
        <v>1090</v>
      </c>
      <c r="S4180" s="22" t="s">
        <v>1091</v>
      </c>
      <c r="T4180" s="22">
        <v>8.17</v>
      </c>
      <c r="U4180" s="22">
        <v>0.38</v>
      </c>
      <c r="X4180" s="26"/>
      <c r="Y4180" s="26"/>
    </row>
    <row r="4181" spans="1:25" x14ac:dyDescent="0.25">
      <c r="A4181" s="21">
        <v>5403</v>
      </c>
      <c r="B4181" s="22" t="s">
        <v>15321</v>
      </c>
      <c r="C4181" s="22" t="s">
        <v>1085</v>
      </c>
      <c r="E4181" s="24">
        <v>1994</v>
      </c>
      <c r="F4181" s="22">
        <v>9017</v>
      </c>
      <c r="H4181" s="25" t="s">
        <v>15373</v>
      </c>
      <c r="I4181" s="22" t="s">
        <v>15411</v>
      </c>
      <c r="J4181" s="22" t="s">
        <v>17383</v>
      </c>
      <c r="K4181" s="26">
        <f t="shared" si="65"/>
        <v>300</v>
      </c>
      <c r="L4181" s="26">
        <v>300</v>
      </c>
      <c r="O4181" s="22" t="s">
        <v>1088</v>
      </c>
      <c r="P4181" s="22" t="s">
        <v>1089</v>
      </c>
      <c r="Q4181" s="22">
        <v>95903</v>
      </c>
      <c r="R4181" s="22" t="s">
        <v>1090</v>
      </c>
      <c r="S4181" s="22" t="s">
        <v>1091</v>
      </c>
      <c r="T4181" s="22">
        <v>8.17</v>
      </c>
      <c r="U4181" s="22">
        <v>0.38</v>
      </c>
      <c r="X4181" s="26"/>
      <c r="Y4181" s="26"/>
    </row>
    <row r="4182" spans="1:25" x14ac:dyDescent="0.25">
      <c r="A4182" s="21">
        <v>5404</v>
      </c>
      <c r="B4182" s="22" t="s">
        <v>15321</v>
      </c>
      <c r="C4182" s="22" t="s">
        <v>1085</v>
      </c>
      <c r="E4182" s="24">
        <v>1994</v>
      </c>
      <c r="F4182" s="22">
        <v>9017</v>
      </c>
      <c r="H4182" s="25" t="s">
        <v>15373</v>
      </c>
      <c r="I4182" s="22" t="s">
        <v>15411</v>
      </c>
      <c r="J4182" s="22" t="s">
        <v>17383</v>
      </c>
      <c r="K4182" s="26">
        <f t="shared" si="65"/>
        <v>300</v>
      </c>
      <c r="L4182" s="26">
        <v>300</v>
      </c>
      <c r="O4182" s="22" t="s">
        <v>1088</v>
      </c>
      <c r="P4182" s="22" t="s">
        <v>1089</v>
      </c>
      <c r="Q4182" s="22">
        <v>95903</v>
      </c>
      <c r="R4182" s="22" t="s">
        <v>1090</v>
      </c>
      <c r="S4182" s="22" t="s">
        <v>1091</v>
      </c>
      <c r="T4182" s="22">
        <v>8.17</v>
      </c>
      <c r="U4182" s="22">
        <v>0.38</v>
      </c>
      <c r="X4182" s="26"/>
      <c r="Y4182" s="26"/>
    </row>
    <row r="4183" spans="1:25" x14ac:dyDescent="0.25">
      <c r="A4183" s="21">
        <v>5405</v>
      </c>
      <c r="B4183" s="22" t="s">
        <v>15321</v>
      </c>
      <c r="C4183" s="22" t="s">
        <v>1085</v>
      </c>
      <c r="E4183" s="24">
        <v>2000</v>
      </c>
      <c r="F4183" s="22">
        <v>9017</v>
      </c>
      <c r="H4183" s="25" t="s">
        <v>15373</v>
      </c>
      <c r="I4183" s="22" t="s">
        <v>15382</v>
      </c>
      <c r="J4183" s="22" t="s">
        <v>16784</v>
      </c>
      <c r="K4183" s="26">
        <f t="shared" si="65"/>
        <v>500</v>
      </c>
      <c r="L4183" s="26">
        <v>500</v>
      </c>
      <c r="O4183" s="22" t="s">
        <v>1088</v>
      </c>
      <c r="P4183" s="22" t="s">
        <v>1089</v>
      </c>
      <c r="Q4183" s="22">
        <v>95903</v>
      </c>
      <c r="R4183" s="22" t="s">
        <v>1090</v>
      </c>
      <c r="S4183" s="22" t="s">
        <v>1091</v>
      </c>
      <c r="T4183" s="22">
        <v>6.9</v>
      </c>
      <c r="U4183" s="22">
        <v>0.4</v>
      </c>
      <c r="X4183" s="26"/>
      <c r="Y4183" s="26"/>
    </row>
    <row r="4184" spans="1:25" x14ac:dyDescent="0.25">
      <c r="A4184" s="21">
        <v>5406</v>
      </c>
      <c r="B4184" s="22" t="s">
        <v>15321</v>
      </c>
      <c r="C4184" s="22" t="s">
        <v>1085</v>
      </c>
      <c r="E4184" s="24">
        <v>1999</v>
      </c>
      <c r="F4184" s="22">
        <v>9017</v>
      </c>
      <c r="H4184" s="25" t="s">
        <v>15373</v>
      </c>
      <c r="I4184" s="22" t="s">
        <v>15374</v>
      </c>
      <c r="J4184" s="22" t="s">
        <v>14833</v>
      </c>
      <c r="K4184" s="26">
        <f>L4184+M4184*(2/3)+N4184*(2/3)</f>
        <v>600</v>
      </c>
      <c r="L4184" s="26">
        <v>600</v>
      </c>
      <c r="O4184" s="22" t="s">
        <v>1088</v>
      </c>
      <c r="P4184" s="22" t="s">
        <v>1089</v>
      </c>
      <c r="Q4184" s="22">
        <v>95903</v>
      </c>
      <c r="R4184" s="22" t="s">
        <v>1090</v>
      </c>
      <c r="S4184" s="22" t="s">
        <v>1091</v>
      </c>
      <c r="T4184" s="22">
        <v>8.17</v>
      </c>
      <c r="U4184" s="22">
        <v>0.38</v>
      </c>
      <c r="X4184" s="26"/>
      <c r="Y4184" s="26"/>
    </row>
    <row r="4185" spans="1:25" x14ac:dyDescent="0.25">
      <c r="A4185" s="21">
        <v>5407</v>
      </c>
      <c r="B4185" s="22" t="s">
        <v>15321</v>
      </c>
      <c r="C4185" s="22" t="s">
        <v>1085</v>
      </c>
      <c r="E4185" s="24">
        <v>1999</v>
      </c>
      <c r="F4185" s="22">
        <v>9017</v>
      </c>
      <c r="H4185" s="25" t="s">
        <v>15373</v>
      </c>
      <c r="I4185" s="22" t="s">
        <v>15374</v>
      </c>
      <c r="J4185" s="22" t="s">
        <v>14833</v>
      </c>
      <c r="K4185" s="26">
        <f>L4185+M4185*(2/3)+N4185*(2/3)</f>
        <v>600</v>
      </c>
      <c r="L4185" s="26">
        <v>600</v>
      </c>
      <c r="O4185" s="22" t="s">
        <v>1088</v>
      </c>
      <c r="P4185" s="22" t="s">
        <v>1089</v>
      </c>
      <c r="Q4185" s="22">
        <v>95903</v>
      </c>
      <c r="R4185" s="22" t="s">
        <v>1090</v>
      </c>
      <c r="S4185" s="22" t="s">
        <v>1091</v>
      </c>
      <c r="T4185" s="22">
        <v>8.17</v>
      </c>
      <c r="U4185" s="22">
        <v>0.38</v>
      </c>
      <c r="X4185" s="26"/>
      <c r="Y4185" s="26"/>
    </row>
    <row r="4186" spans="1:25" x14ac:dyDescent="0.25">
      <c r="A4186" s="21">
        <v>5408</v>
      </c>
      <c r="B4186" s="22" t="s">
        <v>15321</v>
      </c>
      <c r="C4186" s="22" t="s">
        <v>1085</v>
      </c>
      <c r="E4186" s="24">
        <v>1999</v>
      </c>
      <c r="F4186" s="22">
        <v>9017</v>
      </c>
      <c r="H4186" s="25" t="s">
        <v>15373</v>
      </c>
      <c r="I4186" s="22" t="s">
        <v>15374</v>
      </c>
      <c r="J4186" s="22" t="s">
        <v>14833</v>
      </c>
      <c r="K4186" s="26">
        <f>L4186+M4186*(2/3)+N4186*(2/3)</f>
        <v>600</v>
      </c>
      <c r="L4186" s="26">
        <v>600</v>
      </c>
      <c r="O4186" s="22" t="s">
        <v>1088</v>
      </c>
      <c r="P4186" s="22" t="s">
        <v>1089</v>
      </c>
      <c r="Q4186" s="22">
        <v>95903</v>
      </c>
      <c r="R4186" s="22" t="s">
        <v>1090</v>
      </c>
      <c r="S4186" s="22" t="s">
        <v>1091</v>
      </c>
      <c r="T4186" s="22">
        <v>8.17</v>
      </c>
      <c r="U4186" s="22">
        <v>0.38</v>
      </c>
      <c r="X4186" s="26"/>
      <c r="Y4186" s="26"/>
    </row>
    <row r="4187" spans="1:25" x14ac:dyDescent="0.25">
      <c r="A4187" s="21">
        <v>5409</v>
      </c>
      <c r="B4187" s="22" t="s">
        <v>15321</v>
      </c>
      <c r="C4187" s="22" t="s">
        <v>1085</v>
      </c>
      <c r="E4187" s="24">
        <v>1999</v>
      </c>
      <c r="F4187" s="22">
        <v>9017</v>
      </c>
      <c r="H4187" s="25" t="s">
        <v>15373</v>
      </c>
      <c r="I4187" s="22" t="s">
        <v>15374</v>
      </c>
      <c r="J4187" s="22" t="s">
        <v>14833</v>
      </c>
      <c r="K4187" s="26">
        <f>L4187+M4187*(2/3)+N4187*(2/3)</f>
        <v>600</v>
      </c>
      <c r="L4187" s="26">
        <v>600</v>
      </c>
      <c r="O4187" s="22" t="s">
        <v>1088</v>
      </c>
      <c r="P4187" s="22" t="s">
        <v>1089</v>
      </c>
      <c r="Q4187" s="22">
        <v>95903</v>
      </c>
      <c r="R4187" s="22" t="s">
        <v>1090</v>
      </c>
      <c r="S4187" s="22" t="s">
        <v>1091</v>
      </c>
      <c r="T4187" s="22">
        <v>8.17</v>
      </c>
      <c r="U4187" s="22">
        <v>0.38</v>
      </c>
      <c r="X4187" s="26"/>
      <c r="Y4187" s="26"/>
    </row>
    <row r="4188" spans="1:25" x14ac:dyDescent="0.25">
      <c r="A4188" s="21">
        <v>5410</v>
      </c>
      <c r="B4188" s="22" t="s">
        <v>15321</v>
      </c>
      <c r="C4188" s="22" t="s">
        <v>1092</v>
      </c>
      <c r="E4188" s="24">
        <v>1991</v>
      </c>
      <c r="F4188" s="22">
        <v>23010</v>
      </c>
      <c r="H4188" s="25" t="s">
        <v>15373</v>
      </c>
      <c r="I4188" s="22" t="s">
        <v>1093</v>
      </c>
      <c r="J4188" s="22" t="s">
        <v>1094</v>
      </c>
      <c r="K4188" s="26">
        <f>L4188+M4188*(2/3)+N4188*(2/3)</f>
        <v>1500</v>
      </c>
      <c r="L4188" s="26">
        <v>1500</v>
      </c>
      <c r="O4188" s="22" t="s">
        <v>1095</v>
      </c>
      <c r="P4188" s="22" t="s">
        <v>1089</v>
      </c>
      <c r="Q4188" s="22">
        <v>95903</v>
      </c>
      <c r="R4188" s="22" t="s">
        <v>1090</v>
      </c>
      <c r="S4188" s="22" t="s">
        <v>1091</v>
      </c>
      <c r="T4188" s="22">
        <v>8.17</v>
      </c>
      <c r="U4188" s="22">
        <v>0.38</v>
      </c>
      <c r="X4188" s="26"/>
      <c r="Y4188" s="26"/>
    </row>
    <row r="4189" spans="1:25" x14ac:dyDescent="0.25">
      <c r="A4189" s="21">
        <v>5411</v>
      </c>
      <c r="B4189" s="22" t="s">
        <v>15321</v>
      </c>
      <c r="C4189" s="22" t="s">
        <v>1092</v>
      </c>
      <c r="E4189" s="24">
        <v>1991</v>
      </c>
      <c r="F4189" s="22">
        <v>23010</v>
      </c>
      <c r="H4189" s="25" t="s">
        <v>15373</v>
      </c>
      <c r="I4189" s="22" t="s">
        <v>1093</v>
      </c>
      <c r="J4189" s="22" t="s">
        <v>1094</v>
      </c>
      <c r="K4189" s="26">
        <f t="shared" ref="K4189:K4252" si="66">L4189+M4189*(2/3)+N4189*(2/3)</f>
        <v>1500</v>
      </c>
      <c r="L4189" s="26">
        <v>1500</v>
      </c>
      <c r="O4189" s="22" t="s">
        <v>1095</v>
      </c>
      <c r="P4189" s="22" t="s">
        <v>1089</v>
      </c>
      <c r="Q4189" s="22">
        <v>95903</v>
      </c>
      <c r="R4189" s="22" t="s">
        <v>1090</v>
      </c>
      <c r="S4189" s="22" t="s">
        <v>1091</v>
      </c>
      <c r="T4189" s="22">
        <v>8.17</v>
      </c>
      <c r="U4189" s="22">
        <v>0.38</v>
      </c>
      <c r="X4189" s="26"/>
      <c r="Y4189" s="26"/>
    </row>
    <row r="4190" spans="1:25" x14ac:dyDescent="0.25">
      <c r="A4190" s="21">
        <v>5412</v>
      </c>
      <c r="B4190" s="22" t="s">
        <v>15321</v>
      </c>
      <c r="C4190" s="22" t="s">
        <v>1092</v>
      </c>
      <c r="E4190" s="24">
        <v>1991</v>
      </c>
      <c r="F4190" s="22">
        <v>23010</v>
      </c>
      <c r="H4190" s="25" t="s">
        <v>15373</v>
      </c>
      <c r="I4190" s="22" t="s">
        <v>1093</v>
      </c>
      <c r="J4190" s="22" t="s">
        <v>1094</v>
      </c>
      <c r="K4190" s="26">
        <f t="shared" si="66"/>
        <v>1500</v>
      </c>
      <c r="L4190" s="26">
        <v>1500</v>
      </c>
      <c r="O4190" s="22" t="s">
        <v>1095</v>
      </c>
      <c r="P4190" s="22" t="s">
        <v>1089</v>
      </c>
      <c r="Q4190" s="22">
        <v>95903</v>
      </c>
      <c r="R4190" s="22" t="s">
        <v>1090</v>
      </c>
      <c r="S4190" s="22" t="s">
        <v>1091</v>
      </c>
      <c r="T4190" s="22">
        <v>8.17</v>
      </c>
      <c r="U4190" s="22">
        <v>0.38</v>
      </c>
      <c r="X4190" s="26"/>
      <c r="Y4190" s="26"/>
    </row>
    <row r="4191" spans="1:25" x14ac:dyDescent="0.25">
      <c r="A4191" s="21">
        <v>5413</v>
      </c>
      <c r="B4191" s="22" t="s">
        <v>15321</v>
      </c>
      <c r="C4191" s="22" t="s">
        <v>1092</v>
      </c>
      <c r="E4191" s="24">
        <v>1991</v>
      </c>
      <c r="F4191" s="22">
        <v>23010</v>
      </c>
      <c r="H4191" s="25" t="s">
        <v>15373</v>
      </c>
      <c r="I4191" s="22" t="s">
        <v>1093</v>
      </c>
      <c r="J4191" s="22" t="s">
        <v>1094</v>
      </c>
      <c r="K4191" s="26">
        <f t="shared" si="66"/>
        <v>1500</v>
      </c>
      <c r="L4191" s="26">
        <v>1500</v>
      </c>
      <c r="O4191" s="22" t="s">
        <v>1095</v>
      </c>
      <c r="P4191" s="22" t="s">
        <v>1089</v>
      </c>
      <c r="Q4191" s="22">
        <v>95903</v>
      </c>
      <c r="R4191" s="22" t="s">
        <v>1090</v>
      </c>
      <c r="S4191" s="22" t="s">
        <v>1091</v>
      </c>
      <c r="T4191" s="22">
        <v>8.17</v>
      </c>
      <c r="U4191" s="22">
        <v>0.38</v>
      </c>
      <c r="X4191" s="26"/>
      <c r="Y4191" s="26"/>
    </row>
    <row r="4192" spans="1:25" ht="25" x14ac:dyDescent="0.25">
      <c r="A4192" s="21">
        <v>5414</v>
      </c>
      <c r="B4192" s="22" t="s">
        <v>15321</v>
      </c>
      <c r="C4192" s="22" t="s">
        <v>1096</v>
      </c>
      <c r="E4192" s="24">
        <v>1993</v>
      </c>
      <c r="F4192" s="22">
        <v>3002</v>
      </c>
      <c r="H4192" s="25" t="s">
        <v>15373</v>
      </c>
      <c r="I4192" s="22" t="s">
        <v>15374</v>
      </c>
      <c r="J4192" s="22" t="s">
        <v>16311</v>
      </c>
      <c r="K4192" s="26">
        <f t="shared" si="66"/>
        <v>600</v>
      </c>
      <c r="L4192" s="26">
        <v>600</v>
      </c>
      <c r="O4192" s="22" t="s">
        <v>1097</v>
      </c>
      <c r="P4192" s="22" t="s">
        <v>1098</v>
      </c>
      <c r="Q4192" s="22">
        <v>95982</v>
      </c>
      <c r="R4192" s="22" t="s">
        <v>1099</v>
      </c>
      <c r="S4192" s="22" t="s">
        <v>1100</v>
      </c>
      <c r="T4192" s="22">
        <v>8.17</v>
      </c>
      <c r="U4192" s="22">
        <v>0.38</v>
      </c>
      <c r="X4192" s="26"/>
      <c r="Y4192" s="26"/>
    </row>
    <row r="4193" spans="1:25" x14ac:dyDescent="0.25">
      <c r="A4193" s="21">
        <v>5415</v>
      </c>
      <c r="B4193" s="22" t="s">
        <v>15321</v>
      </c>
      <c r="C4193" s="22" t="s">
        <v>1101</v>
      </c>
      <c r="E4193" s="24" t="s">
        <v>1102</v>
      </c>
      <c r="F4193" s="22">
        <v>3003</v>
      </c>
      <c r="H4193" s="25" t="s">
        <v>15373</v>
      </c>
      <c r="I4193" s="22" t="s">
        <v>15374</v>
      </c>
      <c r="J4193" s="22">
        <v>3412</v>
      </c>
      <c r="K4193" s="26">
        <f t="shared" si="66"/>
        <v>600</v>
      </c>
      <c r="L4193" s="26">
        <v>600</v>
      </c>
      <c r="O4193" s="22" t="s">
        <v>1103</v>
      </c>
      <c r="P4193" s="22" t="s">
        <v>1104</v>
      </c>
      <c r="Q4193" s="22">
        <v>95918</v>
      </c>
      <c r="R4193" s="22" t="s">
        <v>1105</v>
      </c>
      <c r="S4193" s="22" t="s">
        <v>1106</v>
      </c>
      <c r="T4193" s="22">
        <v>8.17</v>
      </c>
      <c r="U4193" s="22">
        <v>0.38</v>
      </c>
      <c r="X4193" s="26"/>
      <c r="Y4193" s="26"/>
    </row>
    <row r="4194" spans="1:25" x14ac:dyDescent="0.25">
      <c r="A4194" s="21">
        <v>5416</v>
      </c>
      <c r="B4194" s="22" t="s">
        <v>15321</v>
      </c>
      <c r="C4194" s="22" t="s">
        <v>1107</v>
      </c>
      <c r="E4194" s="24" t="s">
        <v>1108</v>
      </c>
      <c r="F4194" s="22">
        <v>7001</v>
      </c>
      <c r="H4194" s="25" t="s">
        <v>15373</v>
      </c>
      <c r="I4194" s="22" t="s">
        <v>15374</v>
      </c>
      <c r="J4194" s="22" t="s">
        <v>1109</v>
      </c>
      <c r="K4194" s="26">
        <f t="shared" si="66"/>
        <v>350</v>
      </c>
      <c r="L4194" s="26">
        <v>350</v>
      </c>
      <c r="O4194" s="22" t="s">
        <v>1110</v>
      </c>
      <c r="P4194" s="22" t="s">
        <v>1111</v>
      </c>
      <c r="Q4194" s="22">
        <v>95991</v>
      </c>
      <c r="R4194" s="22" t="s">
        <v>1112</v>
      </c>
      <c r="S4194" s="22" t="s">
        <v>1113</v>
      </c>
      <c r="T4194" s="22">
        <v>8.17</v>
      </c>
      <c r="U4194" s="22">
        <v>0.38</v>
      </c>
      <c r="X4194" s="26"/>
      <c r="Y4194" s="26"/>
    </row>
    <row r="4195" spans="1:25" x14ac:dyDescent="0.25">
      <c r="A4195" s="21">
        <v>5417</v>
      </c>
      <c r="B4195" s="22" t="s">
        <v>15321</v>
      </c>
      <c r="C4195" s="22" t="s">
        <v>1114</v>
      </c>
      <c r="E4195" s="24" t="s">
        <v>1102</v>
      </c>
      <c r="F4195" s="22">
        <v>16003</v>
      </c>
      <c r="H4195" s="25" t="s">
        <v>15373</v>
      </c>
      <c r="I4195" s="22" t="s">
        <v>15374</v>
      </c>
      <c r="J4195" s="22">
        <v>3406</v>
      </c>
      <c r="K4195" s="26">
        <f t="shared" si="66"/>
        <v>350</v>
      </c>
      <c r="L4195" s="26">
        <v>350</v>
      </c>
      <c r="O4195" s="22" t="s">
        <v>1115</v>
      </c>
      <c r="P4195" s="22" t="s">
        <v>1116</v>
      </c>
      <c r="Q4195" s="22">
        <v>95668</v>
      </c>
      <c r="R4195" s="22" t="s">
        <v>1117</v>
      </c>
      <c r="S4195" s="22" t="s">
        <v>1118</v>
      </c>
      <c r="T4195" s="22">
        <v>8.17</v>
      </c>
      <c r="U4195" s="22">
        <v>0.38</v>
      </c>
      <c r="X4195" s="26"/>
      <c r="Y4195" s="26"/>
    </row>
    <row r="4196" spans="1:25" x14ac:dyDescent="0.25">
      <c r="A4196" s="21">
        <v>5418</v>
      </c>
      <c r="B4196" s="22" t="s">
        <v>15321</v>
      </c>
      <c r="C4196" s="22" t="s">
        <v>3011</v>
      </c>
      <c r="E4196" s="24">
        <v>1998</v>
      </c>
      <c r="F4196" s="22">
        <v>23009</v>
      </c>
      <c r="H4196" s="25" t="s">
        <v>15373</v>
      </c>
      <c r="I4196" s="22" t="s">
        <v>15382</v>
      </c>
      <c r="J4196" s="22" t="s">
        <v>14850</v>
      </c>
      <c r="K4196" s="26">
        <f t="shared" si="66"/>
        <v>356.66666666666663</v>
      </c>
      <c r="M4196" s="26">
        <v>535</v>
      </c>
      <c r="O4196" s="22" t="s">
        <v>1119</v>
      </c>
      <c r="P4196" s="22" t="s">
        <v>1120</v>
      </c>
      <c r="Q4196" s="22">
        <v>95605</v>
      </c>
      <c r="R4196" s="22" t="s">
        <v>1121</v>
      </c>
      <c r="S4196" s="22" t="s">
        <v>1122</v>
      </c>
      <c r="T4196" s="22">
        <v>6.9</v>
      </c>
      <c r="U4196" s="22">
        <v>0.4</v>
      </c>
      <c r="X4196" s="26"/>
      <c r="Y4196" s="26"/>
    </row>
    <row r="4197" spans="1:25" ht="25" x14ac:dyDescent="0.25">
      <c r="A4197" s="21">
        <v>5421</v>
      </c>
      <c r="B4197" s="22" t="s">
        <v>15321</v>
      </c>
      <c r="C4197" s="22" t="s">
        <v>1123</v>
      </c>
      <c r="E4197" s="24">
        <v>1998</v>
      </c>
      <c r="F4197" s="22">
        <v>23002</v>
      </c>
      <c r="H4197" s="25" t="s">
        <v>15373</v>
      </c>
      <c r="I4197" s="22" t="s">
        <v>1124</v>
      </c>
      <c r="J4197" s="22" t="s">
        <v>1125</v>
      </c>
      <c r="K4197" s="26">
        <f t="shared" si="66"/>
        <v>400</v>
      </c>
      <c r="L4197" s="26">
        <v>400</v>
      </c>
      <c r="O4197" s="22" t="s">
        <v>1126</v>
      </c>
      <c r="P4197" s="22" t="s">
        <v>1127</v>
      </c>
      <c r="Q4197" s="22">
        <v>95901</v>
      </c>
      <c r="R4197" s="22" t="s">
        <v>1128</v>
      </c>
      <c r="S4197" s="22" t="s">
        <v>1129</v>
      </c>
      <c r="T4197" s="22">
        <v>6.9</v>
      </c>
      <c r="U4197" s="22">
        <v>0.4</v>
      </c>
      <c r="X4197" s="26"/>
      <c r="Y4197" s="26"/>
    </row>
    <row r="4198" spans="1:25" ht="25" x14ac:dyDescent="0.25">
      <c r="A4198" s="21">
        <v>5422</v>
      </c>
      <c r="B4198" s="22" t="s">
        <v>15321</v>
      </c>
      <c r="C4198" s="22" t="s">
        <v>1123</v>
      </c>
      <c r="E4198" s="24">
        <v>1998</v>
      </c>
      <c r="F4198" s="22">
        <v>23002</v>
      </c>
      <c r="H4198" s="25" t="s">
        <v>15373</v>
      </c>
      <c r="I4198" s="22" t="s">
        <v>16421</v>
      </c>
      <c r="J4198" s="22" t="s">
        <v>1130</v>
      </c>
      <c r="K4198" s="26">
        <f t="shared" si="66"/>
        <v>1250</v>
      </c>
      <c r="L4198" s="26">
        <v>1250</v>
      </c>
      <c r="O4198" s="22" t="s">
        <v>1126</v>
      </c>
      <c r="P4198" s="22" t="s">
        <v>1127</v>
      </c>
      <c r="Q4198" s="22">
        <v>95901</v>
      </c>
      <c r="R4198" s="22" t="s">
        <v>1128</v>
      </c>
      <c r="S4198" s="22" t="s">
        <v>1129</v>
      </c>
      <c r="T4198" s="22">
        <v>8.17</v>
      </c>
      <c r="U4198" s="22">
        <v>0.38</v>
      </c>
      <c r="X4198" s="26"/>
      <c r="Y4198" s="26"/>
    </row>
    <row r="4199" spans="1:25" ht="37.5" x14ac:dyDescent="0.25">
      <c r="A4199" s="21">
        <v>5450</v>
      </c>
      <c r="B4199" s="22" t="s">
        <v>15323</v>
      </c>
      <c r="C4199" s="22" t="s">
        <v>1131</v>
      </c>
      <c r="E4199" s="24">
        <v>2000</v>
      </c>
      <c r="G4199" s="23" t="s">
        <v>1132</v>
      </c>
      <c r="H4199" s="25" t="s">
        <v>15373</v>
      </c>
      <c r="I4199" s="22" t="s">
        <v>15382</v>
      </c>
      <c r="J4199" s="22" t="s">
        <v>16784</v>
      </c>
      <c r="K4199" s="26">
        <f t="shared" si="66"/>
        <v>429</v>
      </c>
      <c r="L4199" s="26">
        <v>429</v>
      </c>
      <c r="O4199" s="22" t="s">
        <v>1133</v>
      </c>
      <c r="P4199" s="22" t="s">
        <v>1134</v>
      </c>
      <c r="Q4199" s="22">
        <v>95988</v>
      </c>
      <c r="R4199" s="22" t="s">
        <v>1135</v>
      </c>
      <c r="S4199" s="22" t="s">
        <v>1136</v>
      </c>
      <c r="T4199" s="22">
        <v>6.9</v>
      </c>
      <c r="U4199" s="22">
        <v>0.4</v>
      </c>
      <c r="X4199" s="26"/>
      <c r="Y4199" s="26"/>
    </row>
    <row r="4200" spans="1:25" x14ac:dyDescent="0.25">
      <c r="A4200" s="21">
        <v>5451</v>
      </c>
      <c r="B4200" s="22" t="s">
        <v>15323</v>
      </c>
      <c r="C4200" s="22" t="s">
        <v>1137</v>
      </c>
      <c r="E4200" s="24">
        <v>1977</v>
      </c>
      <c r="G4200" s="23" t="s">
        <v>1138</v>
      </c>
      <c r="H4200" s="25" t="s">
        <v>15373</v>
      </c>
      <c r="I4200" s="22" t="s">
        <v>15382</v>
      </c>
      <c r="J4200" s="22" t="s">
        <v>11252</v>
      </c>
      <c r="K4200" s="26">
        <f t="shared" si="66"/>
        <v>500</v>
      </c>
      <c r="L4200" s="26">
        <v>500</v>
      </c>
      <c r="O4200" s="22" t="s">
        <v>1139</v>
      </c>
      <c r="P4200" s="22" t="s">
        <v>1134</v>
      </c>
      <c r="Q4200" s="22">
        <v>95988</v>
      </c>
      <c r="R4200" s="22" t="s">
        <v>1140</v>
      </c>
      <c r="S4200" s="22" t="s">
        <v>1141</v>
      </c>
      <c r="T4200" s="22">
        <v>12</v>
      </c>
      <c r="U4200" s="22">
        <v>0.53</v>
      </c>
      <c r="X4200" s="26"/>
      <c r="Y4200" s="26"/>
    </row>
    <row r="4201" spans="1:25" x14ac:dyDescent="0.25">
      <c r="A4201" s="21">
        <v>5452</v>
      </c>
      <c r="B4201" s="22" t="s">
        <v>15323</v>
      </c>
      <c r="C4201" s="22" t="s">
        <v>1137</v>
      </c>
      <c r="E4201" s="24">
        <v>1988</v>
      </c>
      <c r="G4201" s="23" t="s">
        <v>1142</v>
      </c>
      <c r="H4201" s="25" t="s">
        <v>15373</v>
      </c>
      <c r="I4201" s="22" t="s">
        <v>15382</v>
      </c>
      <c r="J4201" s="22" t="s">
        <v>14716</v>
      </c>
      <c r="K4201" s="26">
        <f t="shared" si="66"/>
        <v>600</v>
      </c>
      <c r="L4201" s="26">
        <v>600</v>
      </c>
      <c r="O4201" s="22" t="s">
        <v>1139</v>
      </c>
      <c r="P4201" s="22" t="s">
        <v>1134</v>
      </c>
      <c r="Q4201" s="22">
        <v>95988</v>
      </c>
      <c r="R4201" s="22" t="s">
        <v>1140</v>
      </c>
      <c r="S4201" s="22" t="s">
        <v>1141</v>
      </c>
      <c r="T4201" s="22">
        <v>8.17</v>
      </c>
      <c r="U4201" s="22">
        <v>0.38</v>
      </c>
      <c r="X4201" s="26"/>
      <c r="Y4201" s="26"/>
    </row>
    <row r="4202" spans="1:25" ht="25" x14ac:dyDescent="0.25">
      <c r="A4202" s="21">
        <v>5475</v>
      </c>
      <c r="B4202" s="22" t="s">
        <v>15324</v>
      </c>
      <c r="C4202" s="22" t="s">
        <v>1143</v>
      </c>
      <c r="E4202" s="24">
        <v>1990</v>
      </c>
      <c r="G4202" s="23" t="s">
        <v>1144</v>
      </c>
      <c r="H4202" s="25" t="s">
        <v>15373</v>
      </c>
      <c r="I4202" s="22" t="s">
        <v>15374</v>
      </c>
      <c r="J4202" s="22">
        <v>3516</v>
      </c>
      <c r="K4202" s="26">
        <f t="shared" si="66"/>
        <v>2000</v>
      </c>
      <c r="L4202" s="26">
        <v>2000</v>
      </c>
      <c r="O4202" s="22" t="s">
        <v>1145</v>
      </c>
      <c r="P4202" s="22" t="s">
        <v>1146</v>
      </c>
      <c r="Q4202" s="22" t="s">
        <v>1147</v>
      </c>
      <c r="R4202" s="22" t="s">
        <v>1148</v>
      </c>
      <c r="S4202" s="22" t="s">
        <v>1149</v>
      </c>
      <c r="T4202" s="22">
        <v>8.17</v>
      </c>
      <c r="U4202" s="22">
        <v>0.38</v>
      </c>
      <c r="X4202" s="26"/>
      <c r="Y4202" s="26"/>
    </row>
    <row r="4203" spans="1:25" ht="25" x14ac:dyDescent="0.25">
      <c r="A4203" s="21">
        <v>5476</v>
      </c>
      <c r="B4203" s="22" t="s">
        <v>15324</v>
      </c>
      <c r="C4203" s="22" t="s">
        <v>1143</v>
      </c>
      <c r="E4203" s="24">
        <v>1990</v>
      </c>
      <c r="G4203" s="23" t="s">
        <v>1144</v>
      </c>
      <c r="H4203" s="25" t="s">
        <v>15373</v>
      </c>
      <c r="I4203" s="22" t="s">
        <v>15374</v>
      </c>
      <c r="J4203" s="22">
        <v>3516</v>
      </c>
      <c r="K4203" s="26">
        <f t="shared" si="66"/>
        <v>2000</v>
      </c>
      <c r="L4203" s="26">
        <v>2000</v>
      </c>
      <c r="O4203" s="22" t="s">
        <v>1145</v>
      </c>
      <c r="P4203" s="22" t="s">
        <v>1146</v>
      </c>
      <c r="Q4203" s="22" t="s">
        <v>1147</v>
      </c>
      <c r="R4203" s="22" t="s">
        <v>1148</v>
      </c>
      <c r="S4203" s="22" t="s">
        <v>1149</v>
      </c>
      <c r="T4203" s="22">
        <v>8.17</v>
      </c>
      <c r="U4203" s="22">
        <v>0.38</v>
      </c>
      <c r="X4203" s="26"/>
      <c r="Y4203" s="26"/>
    </row>
    <row r="4204" spans="1:25" ht="25" x14ac:dyDescent="0.25">
      <c r="A4204" s="21">
        <v>5477</v>
      </c>
      <c r="B4204" s="22" t="s">
        <v>15324</v>
      </c>
      <c r="C4204" s="22" t="s">
        <v>1150</v>
      </c>
      <c r="E4204" s="24">
        <v>1992</v>
      </c>
      <c r="G4204" s="23" t="s">
        <v>1144</v>
      </c>
      <c r="H4204" s="25" t="s">
        <v>15373</v>
      </c>
      <c r="I4204" s="22" t="s">
        <v>15374</v>
      </c>
      <c r="J4204" s="22">
        <v>3516</v>
      </c>
      <c r="K4204" s="26">
        <f t="shared" si="66"/>
        <v>2000</v>
      </c>
      <c r="L4204" s="26">
        <v>2000</v>
      </c>
      <c r="O4204" s="22" t="s">
        <v>1151</v>
      </c>
      <c r="P4204" s="22" t="s">
        <v>1152</v>
      </c>
      <c r="Q4204" s="22" t="s">
        <v>1153</v>
      </c>
      <c r="R4204" s="22" t="s">
        <v>1154</v>
      </c>
      <c r="S4204" s="22" t="s">
        <v>1155</v>
      </c>
      <c r="T4204" s="22">
        <v>8.17</v>
      </c>
      <c r="U4204" s="22">
        <v>0.38</v>
      </c>
      <c r="X4204" s="26"/>
      <c r="Y4204" s="26"/>
    </row>
    <row r="4205" spans="1:25" ht="25" x14ac:dyDescent="0.25">
      <c r="A4205" s="21">
        <v>5478</v>
      </c>
      <c r="B4205" s="22" t="s">
        <v>15324</v>
      </c>
      <c r="C4205" s="22" t="s">
        <v>1150</v>
      </c>
      <c r="E4205" s="24">
        <v>1992</v>
      </c>
      <c r="G4205" s="23" t="s">
        <v>1144</v>
      </c>
      <c r="H4205" s="25" t="s">
        <v>15373</v>
      </c>
      <c r="I4205" s="22" t="s">
        <v>15374</v>
      </c>
      <c r="J4205" s="22">
        <v>3516</v>
      </c>
      <c r="K4205" s="26">
        <f t="shared" si="66"/>
        <v>2000</v>
      </c>
      <c r="L4205" s="26">
        <v>2000</v>
      </c>
      <c r="O4205" s="22" t="s">
        <v>1151</v>
      </c>
      <c r="P4205" s="22" t="s">
        <v>1152</v>
      </c>
      <c r="Q4205" s="22" t="s">
        <v>1153</v>
      </c>
      <c r="R4205" s="22" t="s">
        <v>1154</v>
      </c>
      <c r="S4205" s="22" t="s">
        <v>1155</v>
      </c>
      <c r="T4205" s="22">
        <v>8.17</v>
      </c>
      <c r="U4205" s="22">
        <v>0.38</v>
      </c>
      <c r="X4205" s="26"/>
      <c r="Y4205" s="26"/>
    </row>
    <row r="4206" spans="1:25" ht="25" x14ac:dyDescent="0.25">
      <c r="A4206" s="21">
        <v>5479</v>
      </c>
      <c r="B4206" s="22" t="s">
        <v>15324</v>
      </c>
      <c r="C4206" s="22" t="s">
        <v>1156</v>
      </c>
      <c r="E4206" s="24">
        <v>2001</v>
      </c>
      <c r="G4206" s="23" t="s">
        <v>1157</v>
      </c>
      <c r="H4206" s="25" t="s">
        <v>15373</v>
      </c>
      <c r="I4206" s="22" t="s">
        <v>15374</v>
      </c>
      <c r="J4206" s="22" t="s">
        <v>1158</v>
      </c>
      <c r="K4206" s="26">
        <f t="shared" si="66"/>
        <v>1001.3333333333333</v>
      </c>
      <c r="M4206" s="26">
        <v>1502</v>
      </c>
      <c r="O4206" s="22" t="s">
        <v>1159</v>
      </c>
      <c r="P4206" s="22" t="s">
        <v>1160</v>
      </c>
      <c r="Q4206" s="22">
        <v>92243</v>
      </c>
      <c r="X4206" s="26"/>
      <c r="Y4206" s="26"/>
    </row>
    <row r="4207" spans="1:25" ht="25" x14ac:dyDescent="0.25">
      <c r="A4207" s="21">
        <v>5480</v>
      </c>
      <c r="B4207" s="22" t="s">
        <v>15324</v>
      </c>
      <c r="C4207" s="22" t="s">
        <v>1007</v>
      </c>
      <c r="E4207" s="24">
        <v>2000</v>
      </c>
      <c r="G4207" s="23" t="s">
        <v>1161</v>
      </c>
      <c r="H4207" s="25" t="s">
        <v>15373</v>
      </c>
      <c r="I4207" s="22" t="s">
        <v>15382</v>
      </c>
      <c r="J4207" s="22">
        <v>3382905</v>
      </c>
      <c r="K4207" s="26">
        <f t="shared" si="66"/>
        <v>650</v>
      </c>
      <c r="L4207" s="26">
        <v>650</v>
      </c>
      <c r="O4207" s="22" t="s">
        <v>1162</v>
      </c>
      <c r="P4207" s="22" t="s">
        <v>1163</v>
      </c>
      <c r="Q4207" s="22">
        <v>92227</v>
      </c>
      <c r="X4207" s="26"/>
      <c r="Y4207" s="26"/>
    </row>
    <row r="4208" spans="1:25" x14ac:dyDescent="0.25">
      <c r="A4208" s="21">
        <v>5500</v>
      </c>
      <c r="B4208" s="22" t="s">
        <v>15342</v>
      </c>
      <c r="C4208" s="22" t="s">
        <v>1164</v>
      </c>
      <c r="G4208" s="23" t="s">
        <v>1165</v>
      </c>
      <c r="H4208" s="25" t="s">
        <v>16311</v>
      </c>
      <c r="I4208" s="22" t="s">
        <v>16311</v>
      </c>
      <c r="J4208" s="22" t="s">
        <v>16311</v>
      </c>
      <c r="K4208" s="26">
        <f t="shared" si="66"/>
        <v>880</v>
      </c>
      <c r="N4208" s="26">
        <v>1320</v>
      </c>
      <c r="O4208" s="22" t="s">
        <v>1166</v>
      </c>
      <c r="P4208" s="22" t="s">
        <v>1167</v>
      </c>
      <c r="Q4208" s="22" t="s">
        <v>1168</v>
      </c>
      <c r="X4208" s="26"/>
      <c r="Y4208" s="26"/>
    </row>
    <row r="4209" spans="1:25" x14ac:dyDescent="0.25">
      <c r="A4209" s="21">
        <v>5501</v>
      </c>
      <c r="B4209" s="22" t="s">
        <v>15342</v>
      </c>
      <c r="C4209" s="22" t="s">
        <v>1164</v>
      </c>
      <c r="G4209" s="23" t="s">
        <v>1165</v>
      </c>
      <c r="H4209" s="25" t="s">
        <v>16311</v>
      </c>
      <c r="I4209" s="22" t="s">
        <v>16311</v>
      </c>
      <c r="J4209" s="22" t="s">
        <v>16311</v>
      </c>
      <c r="K4209" s="26">
        <f t="shared" si="66"/>
        <v>880</v>
      </c>
      <c r="N4209" s="26">
        <v>1320</v>
      </c>
      <c r="O4209" s="22" t="s">
        <v>1166</v>
      </c>
      <c r="P4209" s="22" t="s">
        <v>1167</v>
      </c>
      <c r="Q4209" s="22" t="s">
        <v>1168</v>
      </c>
      <c r="X4209" s="26"/>
      <c r="Y4209" s="26"/>
    </row>
    <row r="4210" spans="1:25" x14ac:dyDescent="0.25">
      <c r="A4210" s="21">
        <v>5502</v>
      </c>
      <c r="B4210" s="22" t="s">
        <v>15342</v>
      </c>
      <c r="C4210" s="22" t="s">
        <v>1164</v>
      </c>
      <c r="G4210" s="23" t="s">
        <v>1165</v>
      </c>
      <c r="H4210" s="25" t="s">
        <v>16311</v>
      </c>
      <c r="I4210" s="22" t="s">
        <v>16311</v>
      </c>
      <c r="J4210" s="22" t="s">
        <v>16311</v>
      </c>
      <c r="K4210" s="26">
        <f t="shared" si="66"/>
        <v>880</v>
      </c>
      <c r="N4210" s="26">
        <v>1320</v>
      </c>
      <c r="O4210" s="22" t="s">
        <v>1166</v>
      </c>
      <c r="P4210" s="22" t="s">
        <v>1167</v>
      </c>
      <c r="Q4210" s="22" t="s">
        <v>1168</v>
      </c>
      <c r="X4210" s="26"/>
      <c r="Y4210" s="26"/>
    </row>
    <row r="4211" spans="1:25" x14ac:dyDescent="0.25">
      <c r="A4211" s="21">
        <v>5503</v>
      </c>
      <c r="B4211" s="22" t="s">
        <v>15342</v>
      </c>
      <c r="C4211" s="22" t="s">
        <v>1164</v>
      </c>
      <c r="G4211" s="23" t="s">
        <v>1165</v>
      </c>
      <c r="H4211" s="25" t="s">
        <v>16311</v>
      </c>
      <c r="I4211" s="22" t="s">
        <v>16311</v>
      </c>
      <c r="J4211" s="22" t="s">
        <v>16311</v>
      </c>
      <c r="K4211" s="26">
        <f t="shared" si="66"/>
        <v>880</v>
      </c>
      <c r="N4211" s="26">
        <v>1320</v>
      </c>
      <c r="O4211" s="22" t="s">
        <v>1166</v>
      </c>
      <c r="P4211" s="22" t="s">
        <v>1167</v>
      </c>
      <c r="Q4211" s="22" t="s">
        <v>1168</v>
      </c>
      <c r="X4211" s="26"/>
      <c r="Y4211" s="26"/>
    </row>
    <row r="4212" spans="1:25" x14ac:dyDescent="0.25">
      <c r="A4212" s="21">
        <v>5504</v>
      </c>
      <c r="B4212" s="22" t="s">
        <v>15342</v>
      </c>
      <c r="C4212" s="22" t="s">
        <v>1164</v>
      </c>
      <c r="G4212" s="23" t="s">
        <v>1165</v>
      </c>
      <c r="H4212" s="25" t="s">
        <v>16311</v>
      </c>
      <c r="I4212" s="22" t="s">
        <v>16311</v>
      </c>
      <c r="J4212" s="22" t="s">
        <v>16311</v>
      </c>
      <c r="K4212" s="26">
        <f t="shared" si="66"/>
        <v>880</v>
      </c>
      <c r="N4212" s="26">
        <v>1320</v>
      </c>
      <c r="O4212" s="22" t="s">
        <v>1166</v>
      </c>
      <c r="P4212" s="22" t="s">
        <v>1167</v>
      </c>
      <c r="Q4212" s="22" t="s">
        <v>1168</v>
      </c>
      <c r="X4212" s="26"/>
      <c r="Y4212" s="26"/>
    </row>
    <row r="4213" spans="1:25" x14ac:dyDescent="0.25">
      <c r="A4213" s="21">
        <v>5505</v>
      </c>
      <c r="B4213" s="22" t="s">
        <v>15342</v>
      </c>
      <c r="C4213" s="22" t="s">
        <v>1164</v>
      </c>
      <c r="G4213" s="23" t="s">
        <v>1165</v>
      </c>
      <c r="H4213" s="25" t="s">
        <v>16311</v>
      </c>
      <c r="I4213" s="22" t="s">
        <v>16311</v>
      </c>
      <c r="J4213" s="22" t="s">
        <v>16311</v>
      </c>
      <c r="K4213" s="26">
        <f t="shared" si="66"/>
        <v>880</v>
      </c>
      <c r="N4213" s="26">
        <v>1320</v>
      </c>
      <c r="O4213" s="22" t="s">
        <v>1166</v>
      </c>
      <c r="P4213" s="22" t="s">
        <v>1167</v>
      </c>
      <c r="Q4213" s="22" t="s">
        <v>1168</v>
      </c>
      <c r="X4213" s="26"/>
      <c r="Y4213" s="26"/>
    </row>
    <row r="4214" spans="1:25" x14ac:dyDescent="0.25">
      <c r="A4214" s="21">
        <v>5506</v>
      </c>
      <c r="B4214" s="22" t="s">
        <v>15342</v>
      </c>
      <c r="C4214" s="22" t="s">
        <v>1164</v>
      </c>
      <c r="G4214" s="23" t="s">
        <v>1165</v>
      </c>
      <c r="H4214" s="25" t="s">
        <v>16311</v>
      </c>
      <c r="I4214" s="22" t="s">
        <v>16311</v>
      </c>
      <c r="J4214" s="22" t="s">
        <v>16311</v>
      </c>
      <c r="K4214" s="26">
        <f t="shared" si="66"/>
        <v>880</v>
      </c>
      <c r="N4214" s="26">
        <v>1320</v>
      </c>
      <c r="O4214" s="22" t="s">
        <v>1166</v>
      </c>
      <c r="P4214" s="22" t="s">
        <v>1167</v>
      </c>
      <c r="Q4214" s="22" t="s">
        <v>1168</v>
      </c>
      <c r="X4214" s="26"/>
      <c r="Y4214" s="26"/>
    </row>
    <row r="4215" spans="1:25" x14ac:dyDescent="0.25">
      <c r="A4215" s="21">
        <v>5507</v>
      </c>
      <c r="B4215" s="22" t="s">
        <v>15342</v>
      </c>
      <c r="C4215" s="22" t="s">
        <v>1164</v>
      </c>
      <c r="G4215" s="23" t="s">
        <v>1165</v>
      </c>
      <c r="H4215" s="25" t="s">
        <v>16311</v>
      </c>
      <c r="I4215" s="22" t="s">
        <v>16311</v>
      </c>
      <c r="J4215" s="22" t="s">
        <v>16311</v>
      </c>
      <c r="K4215" s="26">
        <f t="shared" si="66"/>
        <v>880</v>
      </c>
      <c r="N4215" s="26">
        <v>1320</v>
      </c>
      <c r="O4215" s="22" t="s">
        <v>1166</v>
      </c>
      <c r="P4215" s="22" t="s">
        <v>1167</v>
      </c>
      <c r="Q4215" s="22" t="s">
        <v>1168</v>
      </c>
      <c r="X4215" s="26"/>
      <c r="Y4215" s="26"/>
    </row>
    <row r="4216" spans="1:25" x14ac:dyDescent="0.25">
      <c r="A4216" s="21">
        <v>5508</v>
      </c>
      <c r="B4216" s="22" t="s">
        <v>15342</v>
      </c>
      <c r="C4216" s="22" t="s">
        <v>1164</v>
      </c>
      <c r="G4216" s="23" t="s">
        <v>1165</v>
      </c>
      <c r="H4216" s="25" t="s">
        <v>16311</v>
      </c>
      <c r="I4216" s="22" t="s">
        <v>16311</v>
      </c>
      <c r="J4216" s="22" t="s">
        <v>16311</v>
      </c>
      <c r="K4216" s="26">
        <f t="shared" si="66"/>
        <v>880</v>
      </c>
      <c r="N4216" s="26">
        <v>1320</v>
      </c>
      <c r="O4216" s="22" t="s">
        <v>1166</v>
      </c>
      <c r="P4216" s="22" t="s">
        <v>1167</v>
      </c>
      <c r="Q4216" s="22" t="s">
        <v>1168</v>
      </c>
      <c r="X4216" s="26"/>
      <c r="Y4216" s="26"/>
    </row>
    <row r="4217" spans="1:25" x14ac:dyDescent="0.25">
      <c r="A4217" s="21">
        <v>5509</v>
      </c>
      <c r="B4217" s="22" t="s">
        <v>15342</v>
      </c>
      <c r="C4217" s="22" t="s">
        <v>1164</v>
      </c>
      <c r="G4217" s="23" t="s">
        <v>1165</v>
      </c>
      <c r="H4217" s="25" t="s">
        <v>16311</v>
      </c>
      <c r="I4217" s="22" t="s">
        <v>16311</v>
      </c>
      <c r="J4217" s="22" t="s">
        <v>16311</v>
      </c>
      <c r="K4217" s="26">
        <f t="shared" si="66"/>
        <v>880</v>
      </c>
      <c r="N4217" s="26">
        <v>1320</v>
      </c>
      <c r="O4217" s="22" t="s">
        <v>1166</v>
      </c>
      <c r="P4217" s="22" t="s">
        <v>1167</v>
      </c>
      <c r="Q4217" s="22" t="s">
        <v>1168</v>
      </c>
      <c r="X4217" s="26"/>
      <c r="Y4217" s="26"/>
    </row>
    <row r="4218" spans="1:25" x14ac:dyDescent="0.25">
      <c r="A4218" s="21">
        <v>5510</v>
      </c>
      <c r="B4218" s="22" t="s">
        <v>15342</v>
      </c>
      <c r="C4218" s="22" t="s">
        <v>1164</v>
      </c>
      <c r="G4218" s="23" t="s">
        <v>1165</v>
      </c>
      <c r="H4218" s="25" t="s">
        <v>16311</v>
      </c>
      <c r="I4218" s="22" t="s">
        <v>16311</v>
      </c>
      <c r="J4218" s="22" t="s">
        <v>16311</v>
      </c>
      <c r="K4218" s="26">
        <f t="shared" si="66"/>
        <v>880</v>
      </c>
      <c r="N4218" s="26">
        <v>1320</v>
      </c>
      <c r="O4218" s="22" t="s">
        <v>1166</v>
      </c>
      <c r="P4218" s="22" t="s">
        <v>1167</v>
      </c>
      <c r="Q4218" s="22" t="s">
        <v>1168</v>
      </c>
      <c r="X4218" s="26"/>
      <c r="Y4218" s="26"/>
    </row>
    <row r="4219" spans="1:25" x14ac:dyDescent="0.25">
      <c r="A4219" s="21">
        <v>5511</v>
      </c>
      <c r="B4219" s="22" t="s">
        <v>15342</v>
      </c>
      <c r="C4219" s="22" t="s">
        <v>1164</v>
      </c>
      <c r="G4219" s="23" t="s">
        <v>1165</v>
      </c>
      <c r="H4219" s="25" t="s">
        <v>16311</v>
      </c>
      <c r="I4219" s="22" t="s">
        <v>16311</v>
      </c>
      <c r="J4219" s="22" t="s">
        <v>16311</v>
      </c>
      <c r="K4219" s="26">
        <f t="shared" si="66"/>
        <v>880</v>
      </c>
      <c r="N4219" s="26">
        <v>1320</v>
      </c>
      <c r="O4219" s="22" t="s">
        <v>1166</v>
      </c>
      <c r="P4219" s="22" t="s">
        <v>1167</v>
      </c>
      <c r="Q4219" s="22" t="s">
        <v>1168</v>
      </c>
      <c r="X4219" s="26"/>
      <c r="Y4219" s="26"/>
    </row>
    <row r="4220" spans="1:25" x14ac:dyDescent="0.25">
      <c r="A4220" s="21">
        <v>5512</v>
      </c>
      <c r="B4220" s="22" t="s">
        <v>15342</v>
      </c>
      <c r="C4220" s="22" t="s">
        <v>1164</v>
      </c>
      <c r="G4220" s="23" t="s">
        <v>1165</v>
      </c>
      <c r="H4220" s="25" t="s">
        <v>16311</v>
      </c>
      <c r="I4220" s="22" t="s">
        <v>16311</v>
      </c>
      <c r="J4220" s="22" t="s">
        <v>16311</v>
      </c>
      <c r="K4220" s="26">
        <f t="shared" si="66"/>
        <v>880</v>
      </c>
      <c r="N4220" s="26">
        <v>1320</v>
      </c>
      <c r="O4220" s="22" t="s">
        <v>1166</v>
      </c>
      <c r="P4220" s="22" t="s">
        <v>1167</v>
      </c>
      <c r="Q4220" s="22" t="s">
        <v>1168</v>
      </c>
      <c r="X4220" s="26"/>
      <c r="Y4220" s="26"/>
    </row>
    <row r="4221" spans="1:25" x14ac:dyDescent="0.25">
      <c r="A4221" s="21">
        <v>5513</v>
      </c>
      <c r="B4221" s="22" t="s">
        <v>15342</v>
      </c>
      <c r="C4221" s="22" t="s">
        <v>1164</v>
      </c>
      <c r="G4221" s="23" t="s">
        <v>1165</v>
      </c>
      <c r="H4221" s="25" t="s">
        <v>16311</v>
      </c>
      <c r="I4221" s="22" t="s">
        <v>16311</v>
      </c>
      <c r="J4221" s="22" t="s">
        <v>16311</v>
      </c>
      <c r="K4221" s="26">
        <f t="shared" si="66"/>
        <v>880</v>
      </c>
      <c r="N4221" s="26">
        <v>1320</v>
      </c>
      <c r="O4221" s="22" t="s">
        <v>1166</v>
      </c>
      <c r="P4221" s="22" t="s">
        <v>1167</v>
      </c>
      <c r="Q4221" s="22" t="s">
        <v>1168</v>
      </c>
      <c r="X4221" s="26"/>
      <c r="Y4221" s="26"/>
    </row>
    <row r="4222" spans="1:25" x14ac:dyDescent="0.25">
      <c r="A4222" s="21">
        <v>5514</v>
      </c>
      <c r="B4222" s="22" t="s">
        <v>15342</v>
      </c>
      <c r="C4222" s="22" t="s">
        <v>1164</v>
      </c>
      <c r="G4222" s="23" t="s">
        <v>1165</v>
      </c>
      <c r="H4222" s="25" t="s">
        <v>16311</v>
      </c>
      <c r="I4222" s="22" t="s">
        <v>16311</v>
      </c>
      <c r="J4222" s="22" t="s">
        <v>16311</v>
      </c>
      <c r="K4222" s="26">
        <f t="shared" si="66"/>
        <v>880</v>
      </c>
      <c r="N4222" s="26">
        <v>1320</v>
      </c>
      <c r="O4222" s="22" t="s">
        <v>1166</v>
      </c>
      <c r="P4222" s="22" t="s">
        <v>1167</v>
      </c>
      <c r="Q4222" s="22" t="s">
        <v>1168</v>
      </c>
      <c r="X4222" s="26"/>
      <c r="Y4222" s="26"/>
    </row>
    <row r="4223" spans="1:25" x14ac:dyDescent="0.25">
      <c r="A4223" s="21">
        <v>5515</v>
      </c>
      <c r="B4223" s="22" t="s">
        <v>15342</v>
      </c>
      <c r="C4223" s="22" t="s">
        <v>1164</v>
      </c>
      <c r="G4223" s="23" t="s">
        <v>1165</v>
      </c>
      <c r="H4223" s="25" t="s">
        <v>16311</v>
      </c>
      <c r="I4223" s="22" t="s">
        <v>16311</v>
      </c>
      <c r="J4223" s="22" t="s">
        <v>16311</v>
      </c>
      <c r="K4223" s="26">
        <f t="shared" si="66"/>
        <v>880</v>
      </c>
      <c r="N4223" s="26">
        <v>1320</v>
      </c>
      <c r="O4223" s="22" t="s">
        <v>1166</v>
      </c>
      <c r="P4223" s="22" t="s">
        <v>1167</v>
      </c>
      <c r="Q4223" s="22" t="s">
        <v>1168</v>
      </c>
      <c r="X4223" s="26"/>
      <c r="Y4223" s="26"/>
    </row>
    <row r="4224" spans="1:25" x14ac:dyDescent="0.25">
      <c r="A4224" s="21">
        <v>5516</v>
      </c>
      <c r="B4224" s="22" t="s">
        <v>15342</v>
      </c>
      <c r="C4224" s="22" t="s">
        <v>1164</v>
      </c>
      <c r="G4224" s="23" t="s">
        <v>1165</v>
      </c>
      <c r="H4224" s="25" t="s">
        <v>16311</v>
      </c>
      <c r="I4224" s="22" t="s">
        <v>16311</v>
      </c>
      <c r="J4224" s="22" t="s">
        <v>16311</v>
      </c>
      <c r="K4224" s="26">
        <f t="shared" si="66"/>
        <v>880</v>
      </c>
      <c r="N4224" s="26">
        <v>1320</v>
      </c>
      <c r="O4224" s="22" t="s">
        <v>1166</v>
      </c>
      <c r="P4224" s="22" t="s">
        <v>1167</v>
      </c>
      <c r="Q4224" s="22" t="s">
        <v>1168</v>
      </c>
      <c r="X4224" s="26"/>
      <c r="Y4224" s="26"/>
    </row>
    <row r="4225" spans="1:25" x14ac:dyDescent="0.25">
      <c r="A4225" s="21">
        <v>5517</v>
      </c>
      <c r="B4225" s="22" t="s">
        <v>15342</v>
      </c>
      <c r="C4225" s="22" t="s">
        <v>1164</v>
      </c>
      <c r="G4225" s="23" t="s">
        <v>1165</v>
      </c>
      <c r="H4225" s="25" t="s">
        <v>16311</v>
      </c>
      <c r="I4225" s="22" t="s">
        <v>16311</v>
      </c>
      <c r="J4225" s="22" t="s">
        <v>16311</v>
      </c>
      <c r="K4225" s="26">
        <f t="shared" si="66"/>
        <v>880</v>
      </c>
      <c r="N4225" s="26">
        <v>1320</v>
      </c>
      <c r="O4225" s="22" t="s">
        <v>1166</v>
      </c>
      <c r="P4225" s="22" t="s">
        <v>1167</v>
      </c>
      <c r="Q4225" s="22" t="s">
        <v>1168</v>
      </c>
      <c r="X4225" s="26"/>
      <c r="Y4225" s="26"/>
    </row>
    <row r="4226" spans="1:25" x14ac:dyDescent="0.25">
      <c r="A4226" s="21">
        <v>5518</v>
      </c>
      <c r="B4226" s="22" t="s">
        <v>15342</v>
      </c>
      <c r="C4226" s="22" t="s">
        <v>1164</v>
      </c>
      <c r="G4226" s="23" t="s">
        <v>1165</v>
      </c>
      <c r="H4226" s="25" t="s">
        <v>16311</v>
      </c>
      <c r="I4226" s="22" t="s">
        <v>16311</v>
      </c>
      <c r="J4226" s="22" t="s">
        <v>16311</v>
      </c>
      <c r="K4226" s="26">
        <f t="shared" si="66"/>
        <v>880</v>
      </c>
      <c r="N4226" s="26">
        <v>1320</v>
      </c>
      <c r="O4226" s="22" t="s">
        <v>1166</v>
      </c>
      <c r="P4226" s="22" t="s">
        <v>1167</v>
      </c>
      <c r="Q4226" s="22" t="s">
        <v>1168</v>
      </c>
      <c r="X4226" s="26"/>
      <c r="Y4226" s="26"/>
    </row>
    <row r="4227" spans="1:25" x14ac:dyDescent="0.25">
      <c r="A4227" s="21">
        <v>5519</v>
      </c>
      <c r="B4227" s="22" t="s">
        <v>15342</v>
      </c>
      <c r="C4227" s="22" t="s">
        <v>1164</v>
      </c>
      <c r="G4227" s="23" t="s">
        <v>1165</v>
      </c>
      <c r="H4227" s="25" t="s">
        <v>16311</v>
      </c>
      <c r="I4227" s="22" t="s">
        <v>16311</v>
      </c>
      <c r="J4227" s="22" t="s">
        <v>16311</v>
      </c>
      <c r="K4227" s="26">
        <f t="shared" si="66"/>
        <v>880</v>
      </c>
      <c r="N4227" s="26">
        <v>1320</v>
      </c>
      <c r="O4227" s="22" t="s">
        <v>1166</v>
      </c>
      <c r="P4227" s="22" t="s">
        <v>1167</v>
      </c>
      <c r="Q4227" s="22" t="s">
        <v>1168</v>
      </c>
      <c r="X4227" s="26"/>
      <c r="Y4227" s="26"/>
    </row>
    <row r="4228" spans="1:25" x14ac:dyDescent="0.25">
      <c r="A4228" s="21">
        <v>5520</v>
      </c>
      <c r="B4228" s="22" t="s">
        <v>15342</v>
      </c>
      <c r="C4228" s="22" t="s">
        <v>1164</v>
      </c>
      <c r="G4228" s="23" t="s">
        <v>1165</v>
      </c>
      <c r="H4228" s="25" t="s">
        <v>16311</v>
      </c>
      <c r="I4228" s="22" t="s">
        <v>16311</v>
      </c>
      <c r="J4228" s="22" t="s">
        <v>16311</v>
      </c>
      <c r="K4228" s="26">
        <f t="shared" si="66"/>
        <v>880</v>
      </c>
      <c r="N4228" s="26">
        <v>1320</v>
      </c>
      <c r="O4228" s="22" t="s">
        <v>1166</v>
      </c>
      <c r="P4228" s="22" t="s">
        <v>1167</v>
      </c>
      <c r="Q4228" s="22" t="s">
        <v>1168</v>
      </c>
      <c r="X4228" s="26"/>
      <c r="Y4228" s="26"/>
    </row>
    <row r="4229" spans="1:25" x14ac:dyDescent="0.25">
      <c r="A4229" s="21">
        <v>5521</v>
      </c>
      <c r="B4229" s="22" t="s">
        <v>15342</v>
      </c>
      <c r="C4229" s="22" t="s">
        <v>1164</v>
      </c>
      <c r="G4229" s="23" t="s">
        <v>1165</v>
      </c>
      <c r="H4229" s="25" t="s">
        <v>16311</v>
      </c>
      <c r="I4229" s="22" t="s">
        <v>16311</v>
      </c>
      <c r="J4229" s="22" t="s">
        <v>16311</v>
      </c>
      <c r="K4229" s="26">
        <f t="shared" si="66"/>
        <v>880</v>
      </c>
      <c r="N4229" s="26">
        <v>1320</v>
      </c>
      <c r="O4229" s="22" t="s">
        <v>1166</v>
      </c>
      <c r="P4229" s="22" t="s">
        <v>1167</v>
      </c>
      <c r="Q4229" s="22" t="s">
        <v>1168</v>
      </c>
      <c r="X4229" s="26"/>
      <c r="Y4229" s="26"/>
    </row>
    <row r="4230" spans="1:25" x14ac:dyDescent="0.25">
      <c r="A4230" s="21">
        <v>5522</v>
      </c>
      <c r="B4230" s="22" t="s">
        <v>15342</v>
      </c>
      <c r="C4230" s="22" t="s">
        <v>1164</v>
      </c>
      <c r="G4230" s="23" t="s">
        <v>1165</v>
      </c>
      <c r="H4230" s="25" t="s">
        <v>16311</v>
      </c>
      <c r="I4230" s="22" t="s">
        <v>16311</v>
      </c>
      <c r="J4230" s="22" t="s">
        <v>16311</v>
      </c>
      <c r="K4230" s="26">
        <f t="shared" si="66"/>
        <v>880</v>
      </c>
      <c r="N4230" s="26">
        <v>1320</v>
      </c>
      <c r="O4230" s="22" t="s">
        <v>1166</v>
      </c>
      <c r="P4230" s="22" t="s">
        <v>1167</v>
      </c>
      <c r="Q4230" s="22" t="s">
        <v>1168</v>
      </c>
      <c r="X4230" s="26"/>
      <c r="Y4230" s="26"/>
    </row>
    <row r="4231" spans="1:25" x14ac:dyDescent="0.25">
      <c r="A4231" s="21">
        <v>5523</v>
      </c>
      <c r="B4231" s="22" t="s">
        <v>15342</v>
      </c>
      <c r="C4231" s="22" t="s">
        <v>1164</v>
      </c>
      <c r="G4231" s="23" t="s">
        <v>1165</v>
      </c>
      <c r="H4231" s="25" t="s">
        <v>16311</v>
      </c>
      <c r="I4231" s="22" t="s">
        <v>16311</v>
      </c>
      <c r="J4231" s="22" t="s">
        <v>16311</v>
      </c>
      <c r="K4231" s="26">
        <f t="shared" si="66"/>
        <v>880</v>
      </c>
      <c r="N4231" s="26">
        <v>1320</v>
      </c>
      <c r="O4231" s="22" t="s">
        <v>1166</v>
      </c>
      <c r="P4231" s="22" t="s">
        <v>1167</v>
      </c>
      <c r="Q4231" s="22" t="s">
        <v>1168</v>
      </c>
      <c r="X4231" s="26"/>
      <c r="Y4231" s="26"/>
    </row>
    <row r="4232" spans="1:25" x14ac:dyDescent="0.25">
      <c r="A4232" s="21">
        <v>5524</v>
      </c>
      <c r="B4232" s="22" t="s">
        <v>15342</v>
      </c>
      <c r="C4232" s="22" t="s">
        <v>1164</v>
      </c>
      <c r="G4232" s="23" t="s">
        <v>1165</v>
      </c>
      <c r="H4232" s="25" t="s">
        <v>16311</v>
      </c>
      <c r="I4232" s="22" t="s">
        <v>16311</v>
      </c>
      <c r="J4232" s="22" t="s">
        <v>16311</v>
      </c>
      <c r="K4232" s="26">
        <f t="shared" si="66"/>
        <v>880</v>
      </c>
      <c r="N4232" s="26">
        <v>1320</v>
      </c>
      <c r="O4232" s="22" t="s">
        <v>1166</v>
      </c>
      <c r="P4232" s="22" t="s">
        <v>1167</v>
      </c>
      <c r="Q4232" s="22" t="s">
        <v>1168</v>
      </c>
      <c r="X4232" s="26"/>
      <c r="Y4232" s="26"/>
    </row>
    <row r="4233" spans="1:25" ht="25" x14ac:dyDescent="0.25">
      <c r="A4233" s="21">
        <v>5525</v>
      </c>
      <c r="B4233" s="22" t="s">
        <v>15342</v>
      </c>
      <c r="C4233" s="22" t="s">
        <v>1169</v>
      </c>
      <c r="G4233" s="23" t="s">
        <v>1170</v>
      </c>
      <c r="H4233" s="25" t="s">
        <v>15373</v>
      </c>
      <c r="I4233" s="22" t="s">
        <v>15374</v>
      </c>
      <c r="J4233" s="22" t="s">
        <v>1171</v>
      </c>
      <c r="K4233" s="26">
        <f t="shared" si="66"/>
        <v>1345.3333333333333</v>
      </c>
      <c r="N4233" s="26">
        <v>2018</v>
      </c>
      <c r="O4233" s="22" t="s">
        <v>1172</v>
      </c>
      <c r="P4233" s="22" t="s">
        <v>1173</v>
      </c>
      <c r="Q4233" s="22" t="s">
        <v>1174</v>
      </c>
      <c r="X4233" s="26"/>
      <c r="Y4233" s="26"/>
    </row>
    <row r="4234" spans="1:25" ht="25" x14ac:dyDescent="0.25">
      <c r="A4234" s="21">
        <v>5526</v>
      </c>
      <c r="B4234" s="22" t="s">
        <v>15342</v>
      </c>
      <c r="C4234" s="22" t="s">
        <v>1169</v>
      </c>
      <c r="G4234" s="23" t="s">
        <v>1175</v>
      </c>
      <c r="H4234" s="25" t="s">
        <v>15373</v>
      </c>
      <c r="I4234" s="22" t="s">
        <v>15374</v>
      </c>
      <c r="J4234" s="22" t="s">
        <v>14076</v>
      </c>
      <c r="K4234" s="26">
        <f t="shared" si="66"/>
        <v>499.33333333333331</v>
      </c>
      <c r="N4234" s="26">
        <v>749</v>
      </c>
      <c r="O4234" s="22" t="s">
        <v>1172</v>
      </c>
      <c r="P4234" s="22" t="s">
        <v>1173</v>
      </c>
      <c r="Q4234" s="22" t="s">
        <v>1174</v>
      </c>
      <c r="X4234" s="26"/>
      <c r="Y4234" s="26"/>
    </row>
    <row r="4235" spans="1:25" x14ac:dyDescent="0.25">
      <c r="A4235" s="21">
        <v>5527</v>
      </c>
      <c r="B4235" s="22" t="s">
        <v>15342</v>
      </c>
      <c r="C4235" s="22" t="s">
        <v>1176</v>
      </c>
      <c r="G4235" s="23" t="s">
        <v>1177</v>
      </c>
      <c r="H4235" s="25" t="s">
        <v>15373</v>
      </c>
      <c r="I4235" s="22" t="s">
        <v>15374</v>
      </c>
      <c r="J4235" s="22">
        <v>3412</v>
      </c>
      <c r="K4235" s="26">
        <f t="shared" si="66"/>
        <v>739.33333333333326</v>
      </c>
      <c r="N4235" s="26">
        <v>1109</v>
      </c>
      <c r="O4235" s="22" t="s">
        <v>1178</v>
      </c>
      <c r="P4235" s="22" t="s">
        <v>1179</v>
      </c>
      <c r="Q4235" s="22" t="s">
        <v>1180</v>
      </c>
      <c r="X4235" s="26"/>
      <c r="Y4235" s="26"/>
    </row>
    <row r="4236" spans="1:25" x14ac:dyDescent="0.25">
      <c r="A4236" s="21">
        <v>5528</v>
      </c>
      <c r="B4236" s="22" t="s">
        <v>15342</v>
      </c>
      <c r="C4236" s="22" t="s">
        <v>1181</v>
      </c>
      <c r="G4236" s="23" t="s">
        <v>1182</v>
      </c>
      <c r="H4236" s="25" t="s">
        <v>15373</v>
      </c>
      <c r="I4236" s="22" t="s">
        <v>15374</v>
      </c>
      <c r="J4236" s="22" t="s">
        <v>16311</v>
      </c>
      <c r="K4236" s="26">
        <f t="shared" si="66"/>
        <v>1917.3333333333333</v>
      </c>
      <c r="N4236" s="26">
        <v>2876</v>
      </c>
      <c r="O4236" s="22" t="s">
        <v>1183</v>
      </c>
      <c r="P4236" s="22" t="s">
        <v>1179</v>
      </c>
      <c r="Q4236" s="22" t="s">
        <v>1184</v>
      </c>
      <c r="X4236" s="26"/>
      <c r="Y4236" s="26"/>
    </row>
    <row r="4237" spans="1:25" ht="25" x14ac:dyDescent="0.25">
      <c r="A4237" s="21">
        <v>5529</v>
      </c>
      <c r="B4237" s="22" t="s">
        <v>15342</v>
      </c>
      <c r="C4237" s="22" t="s">
        <v>1185</v>
      </c>
      <c r="G4237" s="23" t="s">
        <v>1186</v>
      </c>
      <c r="H4237" s="25" t="s">
        <v>15373</v>
      </c>
      <c r="I4237" s="22" t="s">
        <v>15374</v>
      </c>
      <c r="J4237" s="22" t="s">
        <v>16869</v>
      </c>
      <c r="K4237" s="26">
        <f t="shared" si="66"/>
        <v>593.33333333333326</v>
      </c>
      <c r="N4237" s="26">
        <v>890</v>
      </c>
      <c r="O4237" s="22" t="s">
        <v>1187</v>
      </c>
      <c r="P4237" s="22" t="s">
        <v>1173</v>
      </c>
      <c r="Q4237" s="22" t="s">
        <v>1188</v>
      </c>
      <c r="X4237" s="26"/>
      <c r="Y4237" s="26"/>
    </row>
    <row r="4238" spans="1:25" ht="25" x14ac:dyDescent="0.25">
      <c r="A4238" s="21">
        <v>5530</v>
      </c>
      <c r="B4238" s="22" t="s">
        <v>15342</v>
      </c>
      <c r="C4238" s="22" t="s">
        <v>1185</v>
      </c>
      <c r="G4238" s="23" t="s">
        <v>1189</v>
      </c>
      <c r="H4238" s="25" t="s">
        <v>15373</v>
      </c>
      <c r="I4238" s="22" t="s">
        <v>15374</v>
      </c>
      <c r="J4238" s="22" t="s">
        <v>16869</v>
      </c>
      <c r="K4238" s="26">
        <f t="shared" si="66"/>
        <v>593.33333333333326</v>
      </c>
      <c r="N4238" s="26">
        <v>890</v>
      </c>
      <c r="O4238" s="22" t="s">
        <v>1187</v>
      </c>
      <c r="P4238" s="22" t="s">
        <v>1173</v>
      </c>
      <c r="Q4238" s="22" t="s">
        <v>1188</v>
      </c>
      <c r="X4238" s="26"/>
      <c r="Y4238" s="26"/>
    </row>
    <row r="4239" spans="1:25" ht="25" x14ac:dyDescent="0.25">
      <c r="A4239" s="21">
        <v>5531</v>
      </c>
      <c r="B4239" s="22" t="s">
        <v>15342</v>
      </c>
      <c r="C4239" s="22" t="s">
        <v>1185</v>
      </c>
      <c r="G4239" s="23" t="s">
        <v>1190</v>
      </c>
      <c r="H4239" s="25" t="s">
        <v>15373</v>
      </c>
      <c r="I4239" s="22" t="s">
        <v>15382</v>
      </c>
      <c r="J4239" s="22" t="s">
        <v>18317</v>
      </c>
      <c r="K4239" s="26">
        <f t="shared" si="66"/>
        <v>356.66666666666663</v>
      </c>
      <c r="N4239" s="26">
        <v>535</v>
      </c>
      <c r="O4239" s="22" t="s">
        <v>1187</v>
      </c>
      <c r="P4239" s="22" t="s">
        <v>1173</v>
      </c>
      <c r="Q4239" s="22" t="s">
        <v>1188</v>
      </c>
      <c r="X4239" s="26"/>
      <c r="Y4239" s="26"/>
    </row>
    <row r="4240" spans="1:25" ht="25" x14ac:dyDescent="0.25">
      <c r="A4240" s="21">
        <v>5532</v>
      </c>
      <c r="B4240" s="22" t="s">
        <v>15342</v>
      </c>
      <c r="C4240" s="22" t="s">
        <v>1191</v>
      </c>
      <c r="G4240" s="23" t="s">
        <v>1192</v>
      </c>
      <c r="H4240" s="25" t="s">
        <v>15373</v>
      </c>
      <c r="I4240" s="22" t="s">
        <v>15374</v>
      </c>
      <c r="J4240" s="22" t="s">
        <v>16311</v>
      </c>
      <c r="K4240" s="26">
        <f t="shared" si="66"/>
        <v>1728.6666666666665</v>
      </c>
      <c r="N4240" s="26">
        <v>2593</v>
      </c>
      <c r="O4240" s="22" t="s">
        <v>1193</v>
      </c>
      <c r="P4240" s="22" t="s">
        <v>1179</v>
      </c>
      <c r="Q4240" s="22" t="s">
        <v>1180</v>
      </c>
      <c r="X4240" s="26"/>
      <c r="Y4240" s="26"/>
    </row>
    <row r="4241" spans="1:25" ht="25" x14ac:dyDescent="0.25">
      <c r="A4241" s="21">
        <v>5533</v>
      </c>
      <c r="B4241" s="22" t="s">
        <v>15342</v>
      </c>
      <c r="C4241" s="22" t="s">
        <v>1194</v>
      </c>
      <c r="G4241" s="23" t="s">
        <v>1195</v>
      </c>
      <c r="H4241" s="25" t="s">
        <v>15373</v>
      </c>
      <c r="I4241" s="22" t="s">
        <v>15382</v>
      </c>
      <c r="J4241" s="22" t="s">
        <v>1196</v>
      </c>
      <c r="K4241" s="26">
        <f t="shared" si="66"/>
        <v>1233.3333333333333</v>
      </c>
      <c r="N4241" s="26">
        <v>1850</v>
      </c>
      <c r="O4241" s="22" t="s">
        <v>1197</v>
      </c>
      <c r="P4241" s="22" t="s">
        <v>1167</v>
      </c>
      <c r="Q4241" s="22" t="s">
        <v>1198</v>
      </c>
      <c r="X4241" s="26"/>
      <c r="Y4241" s="26"/>
    </row>
    <row r="4242" spans="1:25" ht="25" x14ac:dyDescent="0.25">
      <c r="A4242" s="21">
        <v>5534</v>
      </c>
      <c r="B4242" s="22" t="s">
        <v>15342</v>
      </c>
      <c r="C4242" s="22" t="s">
        <v>1194</v>
      </c>
      <c r="G4242" s="23" t="s">
        <v>1199</v>
      </c>
      <c r="H4242" s="25" t="s">
        <v>15373</v>
      </c>
      <c r="I4242" s="22" t="s">
        <v>15382</v>
      </c>
      <c r="J4242" s="22" t="s">
        <v>1196</v>
      </c>
      <c r="K4242" s="26">
        <f t="shared" si="66"/>
        <v>1233.3333333333333</v>
      </c>
      <c r="N4242" s="26">
        <v>1850</v>
      </c>
      <c r="O4242" s="22" t="s">
        <v>1197</v>
      </c>
      <c r="P4242" s="22" t="s">
        <v>1167</v>
      </c>
      <c r="Q4242" s="22" t="s">
        <v>1198</v>
      </c>
      <c r="X4242" s="26"/>
      <c r="Y4242" s="26"/>
    </row>
    <row r="4243" spans="1:25" ht="25" x14ac:dyDescent="0.25">
      <c r="A4243" s="21">
        <v>5535</v>
      </c>
      <c r="B4243" s="22" t="s">
        <v>15342</v>
      </c>
      <c r="C4243" s="22" t="s">
        <v>1200</v>
      </c>
      <c r="G4243" s="23" t="s">
        <v>1201</v>
      </c>
      <c r="H4243" s="25" t="s">
        <v>15373</v>
      </c>
      <c r="I4243" s="22" t="s">
        <v>15411</v>
      </c>
      <c r="J4243" s="22" t="s">
        <v>1202</v>
      </c>
      <c r="K4243" s="26">
        <f t="shared" si="66"/>
        <v>1560</v>
      </c>
      <c r="N4243" s="26">
        <v>2340</v>
      </c>
      <c r="O4243" s="22" t="s">
        <v>1203</v>
      </c>
      <c r="P4243" s="22" t="s">
        <v>1204</v>
      </c>
      <c r="Q4243" s="22" t="s">
        <v>1205</v>
      </c>
      <c r="X4243" s="26"/>
      <c r="Y4243" s="26"/>
    </row>
    <row r="4244" spans="1:25" ht="25" x14ac:dyDescent="0.25">
      <c r="A4244" s="21">
        <v>5536</v>
      </c>
      <c r="B4244" s="22" t="s">
        <v>15342</v>
      </c>
      <c r="C4244" s="22" t="s">
        <v>1206</v>
      </c>
      <c r="G4244" s="23" t="s">
        <v>1207</v>
      </c>
      <c r="H4244" s="25" t="s">
        <v>15373</v>
      </c>
      <c r="I4244" s="22" t="s">
        <v>15374</v>
      </c>
      <c r="J4244" s="22" t="s">
        <v>15918</v>
      </c>
      <c r="K4244" s="26">
        <f t="shared" si="66"/>
        <v>732</v>
      </c>
      <c r="N4244" s="26">
        <v>1098</v>
      </c>
      <c r="O4244" s="22" t="s">
        <v>1208</v>
      </c>
      <c r="P4244" s="22" t="s">
        <v>1179</v>
      </c>
      <c r="Q4244" s="22" t="s">
        <v>1184</v>
      </c>
      <c r="X4244" s="26"/>
      <c r="Y4244" s="26"/>
    </row>
    <row r="4245" spans="1:25" ht="25" x14ac:dyDescent="0.25">
      <c r="A4245" s="21">
        <v>5537</v>
      </c>
      <c r="B4245" s="22" t="s">
        <v>15342</v>
      </c>
      <c r="C4245" s="22" t="s">
        <v>1206</v>
      </c>
      <c r="G4245" s="23" t="s">
        <v>1209</v>
      </c>
      <c r="H4245" s="25" t="s">
        <v>15373</v>
      </c>
      <c r="I4245" s="22" t="s">
        <v>15374</v>
      </c>
      <c r="J4245" s="22" t="s">
        <v>15918</v>
      </c>
      <c r="K4245" s="26">
        <f t="shared" si="66"/>
        <v>732</v>
      </c>
      <c r="N4245" s="26">
        <v>1098</v>
      </c>
      <c r="O4245" s="22" t="s">
        <v>1208</v>
      </c>
      <c r="P4245" s="22" t="s">
        <v>1179</v>
      </c>
      <c r="Q4245" s="22" t="s">
        <v>1184</v>
      </c>
      <c r="X4245" s="26"/>
      <c r="Y4245" s="26"/>
    </row>
    <row r="4246" spans="1:25" ht="25" x14ac:dyDescent="0.25">
      <c r="A4246" s="21">
        <v>5538</v>
      </c>
      <c r="B4246" s="22" t="s">
        <v>15342</v>
      </c>
      <c r="C4246" s="22" t="s">
        <v>1210</v>
      </c>
      <c r="G4246" s="23" t="s">
        <v>1211</v>
      </c>
      <c r="H4246" s="25" t="s">
        <v>15373</v>
      </c>
      <c r="I4246" s="22" t="s">
        <v>15374</v>
      </c>
      <c r="J4246" s="22">
        <v>3412</v>
      </c>
      <c r="K4246" s="26">
        <f t="shared" si="66"/>
        <v>593.33333333333326</v>
      </c>
      <c r="N4246" s="26">
        <v>890</v>
      </c>
      <c r="O4246" s="22" t="s">
        <v>1212</v>
      </c>
      <c r="P4246" s="22" t="s">
        <v>1213</v>
      </c>
      <c r="Q4246" s="22" t="s">
        <v>1214</v>
      </c>
      <c r="X4246" s="26"/>
      <c r="Y4246" s="26"/>
    </row>
    <row r="4247" spans="1:25" ht="25" x14ac:dyDescent="0.25">
      <c r="A4247" s="21">
        <v>5539</v>
      </c>
      <c r="B4247" s="22" t="s">
        <v>15342</v>
      </c>
      <c r="C4247" s="22" t="s">
        <v>1210</v>
      </c>
      <c r="G4247" s="23" t="s">
        <v>1215</v>
      </c>
      <c r="H4247" s="25" t="s">
        <v>15373</v>
      </c>
      <c r="I4247" s="22" t="s">
        <v>15374</v>
      </c>
      <c r="J4247" s="22">
        <v>3412</v>
      </c>
      <c r="K4247" s="26">
        <f t="shared" si="66"/>
        <v>593.33333333333326</v>
      </c>
      <c r="N4247" s="26">
        <v>890</v>
      </c>
      <c r="O4247" s="22" t="s">
        <v>1212</v>
      </c>
      <c r="P4247" s="22" t="s">
        <v>1213</v>
      </c>
      <c r="Q4247" s="22" t="s">
        <v>1214</v>
      </c>
      <c r="X4247" s="26"/>
      <c r="Y4247" s="26"/>
    </row>
    <row r="4248" spans="1:25" ht="25" x14ac:dyDescent="0.25">
      <c r="A4248" s="21">
        <v>5540</v>
      </c>
      <c r="B4248" s="22" t="s">
        <v>15342</v>
      </c>
      <c r="C4248" s="22" t="s">
        <v>1210</v>
      </c>
      <c r="G4248" s="23" t="s">
        <v>1216</v>
      </c>
      <c r="H4248" s="25" t="s">
        <v>15373</v>
      </c>
      <c r="I4248" s="22" t="s">
        <v>15374</v>
      </c>
      <c r="J4248" s="22">
        <v>3412</v>
      </c>
      <c r="K4248" s="26">
        <f t="shared" si="66"/>
        <v>593.33333333333326</v>
      </c>
      <c r="N4248" s="26">
        <v>890</v>
      </c>
      <c r="O4248" s="22" t="s">
        <v>1212</v>
      </c>
      <c r="P4248" s="22" t="s">
        <v>1213</v>
      </c>
      <c r="Q4248" s="22" t="s">
        <v>1214</v>
      </c>
      <c r="X4248" s="26"/>
      <c r="Y4248" s="26"/>
    </row>
    <row r="4249" spans="1:25" ht="25" x14ac:dyDescent="0.25">
      <c r="A4249" s="21">
        <v>5541</v>
      </c>
      <c r="B4249" s="22" t="s">
        <v>15342</v>
      </c>
      <c r="C4249" s="22" t="s">
        <v>1217</v>
      </c>
      <c r="G4249" s="23" t="s">
        <v>1218</v>
      </c>
      <c r="H4249" s="25" t="s">
        <v>15373</v>
      </c>
      <c r="I4249" s="22" t="s">
        <v>15374</v>
      </c>
      <c r="J4249" s="22" t="s">
        <v>16121</v>
      </c>
      <c r="K4249" s="26">
        <f t="shared" si="66"/>
        <v>593.33333333333326</v>
      </c>
      <c r="N4249" s="26">
        <v>890</v>
      </c>
      <c r="O4249" s="22" t="s">
        <v>1219</v>
      </c>
      <c r="P4249" s="22" t="s">
        <v>1220</v>
      </c>
      <c r="Q4249" s="22" t="s">
        <v>1221</v>
      </c>
      <c r="X4249" s="26"/>
      <c r="Y4249" s="26"/>
    </row>
    <row r="4250" spans="1:25" ht="25" x14ac:dyDescent="0.25">
      <c r="A4250" s="21">
        <v>5542</v>
      </c>
      <c r="B4250" s="22" t="s">
        <v>15342</v>
      </c>
      <c r="C4250" s="22" t="s">
        <v>1217</v>
      </c>
      <c r="G4250" s="23" t="s">
        <v>1222</v>
      </c>
      <c r="H4250" s="25" t="s">
        <v>15373</v>
      </c>
      <c r="I4250" s="22" t="s">
        <v>15374</v>
      </c>
      <c r="J4250" s="22">
        <v>3406</v>
      </c>
      <c r="K4250" s="26">
        <f t="shared" si="66"/>
        <v>391.33333333333331</v>
      </c>
      <c r="N4250" s="26">
        <v>587</v>
      </c>
      <c r="O4250" s="22" t="s">
        <v>1219</v>
      </c>
      <c r="P4250" s="22" t="s">
        <v>1220</v>
      </c>
      <c r="Q4250" s="22" t="s">
        <v>1221</v>
      </c>
      <c r="X4250" s="26"/>
      <c r="Y4250" s="26"/>
    </row>
    <row r="4251" spans="1:25" ht="25" x14ac:dyDescent="0.25">
      <c r="A4251" s="21">
        <v>5543</v>
      </c>
      <c r="B4251" s="22" t="s">
        <v>15342</v>
      </c>
      <c r="C4251" s="22" t="s">
        <v>1217</v>
      </c>
      <c r="G4251" s="23" t="s">
        <v>1223</v>
      </c>
      <c r="H4251" s="25" t="s">
        <v>15373</v>
      </c>
      <c r="I4251" s="22" t="s">
        <v>15374</v>
      </c>
      <c r="J4251" s="22">
        <v>3406</v>
      </c>
      <c r="K4251" s="26">
        <f t="shared" si="66"/>
        <v>391.33333333333331</v>
      </c>
      <c r="N4251" s="26">
        <v>587</v>
      </c>
      <c r="O4251" s="22" t="s">
        <v>1219</v>
      </c>
      <c r="P4251" s="22" t="s">
        <v>1220</v>
      </c>
      <c r="Q4251" s="22" t="s">
        <v>1221</v>
      </c>
      <c r="X4251" s="26"/>
      <c r="Y4251" s="26"/>
    </row>
    <row r="4252" spans="1:25" ht="25" x14ac:dyDescent="0.25">
      <c r="A4252" s="21">
        <v>5544</v>
      </c>
      <c r="B4252" s="22" t="s">
        <v>15342</v>
      </c>
      <c r="C4252" s="22" t="s">
        <v>1217</v>
      </c>
      <c r="G4252" s="23" t="s">
        <v>1224</v>
      </c>
      <c r="H4252" s="25" t="s">
        <v>15373</v>
      </c>
      <c r="I4252" s="22" t="s">
        <v>15411</v>
      </c>
      <c r="J4252" s="22" t="s">
        <v>1225</v>
      </c>
      <c r="K4252" s="26">
        <f t="shared" si="66"/>
        <v>349.66666666666663</v>
      </c>
      <c r="N4252" s="26">
        <v>524.5</v>
      </c>
      <c r="O4252" s="22" t="s">
        <v>1219</v>
      </c>
      <c r="P4252" s="22" t="s">
        <v>1220</v>
      </c>
      <c r="Q4252" s="22" t="s">
        <v>1221</v>
      </c>
      <c r="X4252" s="26"/>
      <c r="Y4252" s="26"/>
    </row>
    <row r="4253" spans="1:25" ht="25" x14ac:dyDescent="0.25">
      <c r="A4253" s="21">
        <v>5545</v>
      </c>
      <c r="B4253" s="22" t="s">
        <v>15342</v>
      </c>
      <c r="C4253" s="22" t="s">
        <v>1226</v>
      </c>
      <c r="G4253" s="23" t="s">
        <v>1227</v>
      </c>
      <c r="H4253" s="25" t="s">
        <v>15373</v>
      </c>
      <c r="I4253" s="22" t="s">
        <v>15374</v>
      </c>
      <c r="J4253" s="22">
        <v>3508</v>
      </c>
      <c r="K4253" s="26">
        <f t="shared" ref="K4253:K4316" si="67">L4253+M4253*(2/3)+N4253*(2/3)</f>
        <v>737.33333333333326</v>
      </c>
      <c r="N4253" s="26">
        <v>1106</v>
      </c>
      <c r="O4253" s="22" t="s">
        <v>1228</v>
      </c>
      <c r="P4253" s="22" t="s">
        <v>1173</v>
      </c>
      <c r="Q4253" s="22" t="s">
        <v>1229</v>
      </c>
      <c r="X4253" s="26"/>
      <c r="Y4253" s="26"/>
    </row>
    <row r="4254" spans="1:25" ht="37.5" x14ac:dyDescent="0.25">
      <c r="A4254" s="21">
        <v>5546</v>
      </c>
      <c r="B4254" s="22" t="s">
        <v>15342</v>
      </c>
      <c r="C4254" s="22" t="s">
        <v>1164</v>
      </c>
      <c r="E4254" s="24">
        <v>2002</v>
      </c>
      <c r="F4254" s="22" t="s">
        <v>1230</v>
      </c>
      <c r="G4254" s="23" t="s">
        <v>1231</v>
      </c>
      <c r="H4254" s="25" t="s">
        <v>15373</v>
      </c>
      <c r="I4254" s="22" t="s">
        <v>15382</v>
      </c>
      <c r="J4254" s="22" t="s">
        <v>1232</v>
      </c>
      <c r="K4254" s="26">
        <f>L4254+M4254*(2/3)+N4254*(2/3)</f>
        <v>1233.3333333333333</v>
      </c>
      <c r="N4254" s="26">
        <v>1850</v>
      </c>
      <c r="O4254" s="22" t="s">
        <v>1233</v>
      </c>
      <c r="P4254" s="22" t="s">
        <v>1167</v>
      </c>
      <c r="Q4254" s="22" t="s">
        <v>1168</v>
      </c>
      <c r="X4254" s="26"/>
      <c r="Y4254" s="26"/>
    </row>
    <row r="4255" spans="1:25" ht="37.5" x14ac:dyDescent="0.25">
      <c r="A4255" s="21">
        <v>5547</v>
      </c>
      <c r="B4255" s="22" t="s">
        <v>15342</v>
      </c>
      <c r="C4255" s="22" t="s">
        <v>1164</v>
      </c>
      <c r="E4255" s="24">
        <v>2002</v>
      </c>
      <c r="F4255" s="22" t="s">
        <v>1230</v>
      </c>
      <c r="G4255" s="23" t="s">
        <v>1231</v>
      </c>
      <c r="H4255" s="25" t="s">
        <v>15373</v>
      </c>
      <c r="I4255" s="22" t="s">
        <v>15382</v>
      </c>
      <c r="J4255" s="22" t="s">
        <v>1232</v>
      </c>
      <c r="K4255" s="26">
        <f>L4255+M4255*(2/3)+N4255*(2/3)</f>
        <v>1233.3333333333333</v>
      </c>
      <c r="N4255" s="26">
        <v>1850</v>
      </c>
      <c r="O4255" s="22" t="s">
        <v>1233</v>
      </c>
      <c r="P4255" s="22" t="s">
        <v>1167</v>
      </c>
      <c r="Q4255" s="22" t="s">
        <v>1168</v>
      </c>
      <c r="X4255" s="26"/>
      <c r="Y4255" s="26"/>
    </row>
    <row r="4256" spans="1:25" ht="37.5" x14ac:dyDescent="0.25">
      <c r="A4256" s="21">
        <v>5548</v>
      </c>
      <c r="B4256" s="22" t="s">
        <v>15342</v>
      </c>
      <c r="C4256" s="22" t="s">
        <v>1164</v>
      </c>
      <c r="E4256" s="24">
        <v>2002</v>
      </c>
      <c r="F4256" s="22" t="s">
        <v>1230</v>
      </c>
      <c r="G4256" s="23" t="s">
        <v>1231</v>
      </c>
      <c r="H4256" s="25" t="s">
        <v>15373</v>
      </c>
      <c r="I4256" s="22" t="s">
        <v>15382</v>
      </c>
      <c r="J4256" s="22" t="s">
        <v>1232</v>
      </c>
      <c r="K4256" s="26">
        <f>L4256+M4256*(2/3)+N4256*(2/3)</f>
        <v>1233.3333333333333</v>
      </c>
      <c r="N4256" s="26">
        <v>1850</v>
      </c>
      <c r="O4256" s="22" t="s">
        <v>1233</v>
      </c>
      <c r="P4256" s="22" t="s">
        <v>1167</v>
      </c>
      <c r="Q4256" s="22" t="s">
        <v>1168</v>
      </c>
      <c r="X4256" s="26"/>
      <c r="Y4256" s="26"/>
    </row>
    <row r="4257" spans="1:25" ht="37.5" x14ac:dyDescent="0.25">
      <c r="A4257" s="21">
        <v>5549</v>
      </c>
      <c r="B4257" s="22" t="s">
        <v>15342</v>
      </c>
      <c r="C4257" s="22" t="s">
        <v>1164</v>
      </c>
      <c r="E4257" s="24">
        <v>2002</v>
      </c>
      <c r="F4257" s="22" t="s">
        <v>1230</v>
      </c>
      <c r="G4257" s="23" t="s">
        <v>1231</v>
      </c>
      <c r="H4257" s="25" t="s">
        <v>15373</v>
      </c>
      <c r="I4257" s="22" t="s">
        <v>15382</v>
      </c>
      <c r="J4257" s="22" t="s">
        <v>1232</v>
      </c>
      <c r="K4257" s="26">
        <f>L4257+M4257*(2/3)+N4257*(2/3)</f>
        <v>1233.3333333333333</v>
      </c>
      <c r="N4257" s="26">
        <v>1850</v>
      </c>
      <c r="O4257" s="22" t="s">
        <v>1233</v>
      </c>
      <c r="P4257" s="22" t="s">
        <v>1167</v>
      </c>
      <c r="Q4257" s="22" t="s">
        <v>1168</v>
      </c>
      <c r="X4257" s="26"/>
      <c r="Y4257" s="26"/>
    </row>
    <row r="4258" spans="1:25" ht="25" x14ac:dyDescent="0.25">
      <c r="A4258" s="21">
        <v>5550</v>
      </c>
      <c r="B4258" s="22" t="s">
        <v>15342</v>
      </c>
      <c r="C4258" s="22" t="s">
        <v>1234</v>
      </c>
      <c r="E4258" s="24">
        <v>2001</v>
      </c>
      <c r="F4258" s="22" t="s">
        <v>1235</v>
      </c>
      <c r="G4258" s="23" t="s">
        <v>1236</v>
      </c>
      <c r="H4258" s="25" t="s">
        <v>15373</v>
      </c>
      <c r="I4258" s="22" t="s">
        <v>15374</v>
      </c>
      <c r="J4258" s="22" t="s">
        <v>1237</v>
      </c>
      <c r="K4258" s="26">
        <f t="shared" si="67"/>
        <v>700</v>
      </c>
      <c r="N4258" s="26">
        <v>1050</v>
      </c>
      <c r="O4258" s="22" t="s">
        <v>1238</v>
      </c>
      <c r="P4258" s="22" t="s">
        <v>1167</v>
      </c>
      <c r="Q4258" s="22" t="s">
        <v>1168</v>
      </c>
      <c r="X4258" s="26"/>
      <c r="Y4258" s="26"/>
    </row>
    <row r="4259" spans="1:25" ht="25" x14ac:dyDescent="0.25">
      <c r="A4259" s="21">
        <v>5551</v>
      </c>
      <c r="B4259" s="22" t="s">
        <v>15342</v>
      </c>
      <c r="C4259" s="22" t="s">
        <v>1234</v>
      </c>
      <c r="E4259" s="24">
        <v>2001</v>
      </c>
      <c r="F4259" s="22" t="s">
        <v>1235</v>
      </c>
      <c r="G4259" s="23" t="s">
        <v>1239</v>
      </c>
      <c r="H4259" s="25" t="s">
        <v>15373</v>
      </c>
      <c r="I4259" s="22" t="s">
        <v>15374</v>
      </c>
      <c r="J4259" s="22" t="s">
        <v>12899</v>
      </c>
      <c r="K4259" s="26">
        <f t="shared" si="67"/>
        <v>1466.6666666666665</v>
      </c>
      <c r="N4259" s="26">
        <v>2200</v>
      </c>
      <c r="O4259" s="22" t="s">
        <v>1238</v>
      </c>
      <c r="P4259" s="22" t="s">
        <v>1167</v>
      </c>
      <c r="Q4259" s="22" t="s">
        <v>1168</v>
      </c>
      <c r="X4259" s="26"/>
      <c r="Y4259" s="26"/>
    </row>
    <row r="4260" spans="1:25" ht="25" x14ac:dyDescent="0.25">
      <c r="A4260" s="21">
        <v>5552</v>
      </c>
      <c r="B4260" s="22" t="s">
        <v>15342</v>
      </c>
      <c r="C4260" s="22" t="s">
        <v>1234</v>
      </c>
      <c r="E4260" s="24">
        <v>2001</v>
      </c>
      <c r="F4260" s="22" t="s">
        <v>1235</v>
      </c>
      <c r="G4260" s="23" t="s">
        <v>1236</v>
      </c>
      <c r="H4260" s="25" t="s">
        <v>15373</v>
      </c>
      <c r="I4260" s="22" t="s">
        <v>15374</v>
      </c>
      <c r="J4260" s="22" t="s">
        <v>1237</v>
      </c>
      <c r="K4260" s="26">
        <f t="shared" si="67"/>
        <v>700</v>
      </c>
      <c r="N4260" s="26">
        <v>1050</v>
      </c>
      <c r="O4260" s="22" t="s">
        <v>1238</v>
      </c>
      <c r="P4260" s="22" t="s">
        <v>1167</v>
      </c>
      <c r="Q4260" s="22" t="s">
        <v>1168</v>
      </c>
      <c r="X4260" s="26"/>
      <c r="Y4260" s="26"/>
    </row>
    <row r="4261" spans="1:25" ht="25" x14ac:dyDescent="0.25">
      <c r="A4261" s="21">
        <v>5553</v>
      </c>
      <c r="B4261" s="22" t="s">
        <v>15342</v>
      </c>
      <c r="C4261" s="22" t="s">
        <v>1234</v>
      </c>
      <c r="E4261" s="24">
        <v>2001</v>
      </c>
      <c r="F4261" s="22" t="s">
        <v>1235</v>
      </c>
      <c r="G4261" s="23" t="s">
        <v>1239</v>
      </c>
      <c r="H4261" s="25" t="s">
        <v>15373</v>
      </c>
      <c r="I4261" s="22" t="s">
        <v>15374</v>
      </c>
      <c r="J4261" s="22" t="s">
        <v>12899</v>
      </c>
      <c r="K4261" s="26">
        <f t="shared" si="67"/>
        <v>1466.6666666666665</v>
      </c>
      <c r="N4261" s="26">
        <v>2200</v>
      </c>
      <c r="O4261" s="22" t="s">
        <v>1238</v>
      </c>
      <c r="P4261" s="22" t="s">
        <v>1167</v>
      </c>
      <c r="Q4261" s="22" t="s">
        <v>1168</v>
      </c>
      <c r="X4261" s="26"/>
      <c r="Y4261" s="26"/>
    </row>
    <row r="4262" spans="1:25" ht="25" x14ac:dyDescent="0.25">
      <c r="A4262" s="21">
        <v>5554</v>
      </c>
      <c r="B4262" s="22" t="s">
        <v>15342</v>
      </c>
      <c r="C4262" s="22" t="s">
        <v>1185</v>
      </c>
      <c r="E4262" s="24">
        <v>2002</v>
      </c>
      <c r="F4262" s="22" t="s">
        <v>1240</v>
      </c>
      <c r="G4262" s="23" t="s">
        <v>1241</v>
      </c>
      <c r="H4262" s="25" t="s">
        <v>15373</v>
      </c>
      <c r="I4262" s="22" t="s">
        <v>15374</v>
      </c>
      <c r="J4262" s="22" t="s">
        <v>12899</v>
      </c>
      <c r="K4262" s="26">
        <f t="shared" si="67"/>
        <v>1917.3333333333333</v>
      </c>
      <c r="N4262" s="26">
        <v>2876</v>
      </c>
      <c r="O4262" s="22" t="s">
        <v>1187</v>
      </c>
      <c r="P4262" s="22" t="s">
        <v>1173</v>
      </c>
      <c r="Q4262" s="22">
        <v>93012</v>
      </c>
      <c r="X4262" s="26"/>
      <c r="Y4262" s="26"/>
    </row>
    <row r="4263" spans="1:25" ht="25" x14ac:dyDescent="0.25">
      <c r="A4263" s="21">
        <v>5555</v>
      </c>
      <c r="B4263" s="22" t="s">
        <v>15342</v>
      </c>
      <c r="C4263" s="22" t="s">
        <v>1185</v>
      </c>
      <c r="E4263" s="24">
        <v>2002</v>
      </c>
      <c r="F4263" s="22" t="s">
        <v>1240</v>
      </c>
      <c r="G4263" s="23" t="s">
        <v>1241</v>
      </c>
      <c r="H4263" s="25" t="s">
        <v>15373</v>
      </c>
      <c r="I4263" s="22" t="s">
        <v>15374</v>
      </c>
      <c r="J4263" s="22" t="s">
        <v>12899</v>
      </c>
      <c r="K4263" s="26">
        <f>L4263+M4263*(2/3)+N4263*(2/3)</f>
        <v>1917.3333333333333</v>
      </c>
      <c r="N4263" s="26">
        <v>2876</v>
      </c>
      <c r="O4263" s="22" t="s">
        <v>1187</v>
      </c>
      <c r="P4263" s="22" t="s">
        <v>1173</v>
      </c>
      <c r="Q4263" s="22">
        <v>93012</v>
      </c>
      <c r="X4263" s="26"/>
      <c r="Y4263" s="26"/>
    </row>
    <row r="4264" spans="1:25" ht="37.5" x14ac:dyDescent="0.25">
      <c r="A4264" s="21">
        <v>5556</v>
      </c>
      <c r="B4264" s="22" t="s">
        <v>15342</v>
      </c>
      <c r="C4264" s="22" t="s">
        <v>1242</v>
      </c>
      <c r="E4264" s="24">
        <v>2001</v>
      </c>
      <c r="F4264" s="22" t="s">
        <v>1243</v>
      </c>
      <c r="G4264" s="23" t="s">
        <v>1244</v>
      </c>
      <c r="H4264" s="25" t="s">
        <v>15373</v>
      </c>
      <c r="I4264" s="22" t="s">
        <v>14275</v>
      </c>
      <c r="J4264" s="22" t="s">
        <v>11722</v>
      </c>
      <c r="K4264" s="26">
        <f t="shared" si="67"/>
        <v>475.33333333333331</v>
      </c>
      <c r="N4264" s="26">
        <v>713</v>
      </c>
      <c r="O4264" s="22" t="s">
        <v>1245</v>
      </c>
      <c r="P4264" s="22" t="s">
        <v>1220</v>
      </c>
      <c r="Q4264" s="22">
        <v>93003</v>
      </c>
      <c r="X4264" s="26"/>
      <c r="Y4264" s="26"/>
    </row>
    <row r="4265" spans="1:25" ht="37.5" x14ac:dyDescent="0.25">
      <c r="A4265" s="21">
        <v>5557</v>
      </c>
      <c r="B4265" s="22" t="s">
        <v>15342</v>
      </c>
      <c r="C4265" s="22" t="s">
        <v>1242</v>
      </c>
      <c r="E4265" s="24">
        <v>2001</v>
      </c>
      <c r="F4265" s="22" t="s">
        <v>1246</v>
      </c>
      <c r="G4265" s="23" t="s">
        <v>1247</v>
      </c>
      <c r="H4265" s="25" t="s">
        <v>15373</v>
      </c>
      <c r="I4265" s="22" t="s">
        <v>14275</v>
      </c>
      <c r="J4265" s="22" t="s">
        <v>11722</v>
      </c>
      <c r="K4265" s="26">
        <f t="shared" si="67"/>
        <v>475.33333333333331</v>
      </c>
      <c r="N4265" s="26">
        <v>713</v>
      </c>
      <c r="O4265" s="22" t="s">
        <v>1248</v>
      </c>
      <c r="P4265" s="22" t="s">
        <v>1179</v>
      </c>
      <c r="Q4265" s="22">
        <v>93030</v>
      </c>
      <c r="X4265" s="26"/>
      <c r="Y4265" s="26"/>
    </row>
    <row r="4266" spans="1:25" ht="25" x14ac:dyDescent="0.25">
      <c r="A4266" s="21">
        <v>5558</v>
      </c>
      <c r="B4266" s="22" t="s">
        <v>15342</v>
      </c>
      <c r="C4266" s="22" t="s">
        <v>1249</v>
      </c>
      <c r="E4266" s="24">
        <v>2000</v>
      </c>
      <c r="F4266" s="22" t="s">
        <v>1250</v>
      </c>
      <c r="G4266" s="23" t="s">
        <v>1251</v>
      </c>
      <c r="H4266" s="25" t="s">
        <v>15373</v>
      </c>
      <c r="I4266" s="22" t="s">
        <v>15374</v>
      </c>
      <c r="J4266" s="22">
        <v>3412</v>
      </c>
      <c r="K4266" s="26">
        <f t="shared" si="67"/>
        <v>742.66666666666663</v>
      </c>
      <c r="N4266" s="26">
        <v>1114</v>
      </c>
      <c r="O4266" s="22" t="s">
        <v>1252</v>
      </c>
      <c r="P4266" s="22" t="s">
        <v>1179</v>
      </c>
      <c r="Q4266" s="22">
        <v>93030</v>
      </c>
      <c r="X4266" s="26"/>
      <c r="Y4266" s="26"/>
    </row>
    <row r="4267" spans="1:25" ht="25" x14ac:dyDescent="0.25">
      <c r="A4267" s="21">
        <v>5559</v>
      </c>
      <c r="B4267" s="22" t="s">
        <v>15342</v>
      </c>
      <c r="C4267" s="22" t="s">
        <v>1249</v>
      </c>
      <c r="E4267" s="24">
        <v>2000</v>
      </c>
      <c r="F4267" s="22" t="s">
        <v>1250</v>
      </c>
      <c r="G4267" s="23" t="s">
        <v>1251</v>
      </c>
      <c r="H4267" s="25" t="s">
        <v>15373</v>
      </c>
      <c r="I4267" s="22" t="s">
        <v>15374</v>
      </c>
      <c r="J4267" s="22">
        <v>3412</v>
      </c>
      <c r="K4267" s="26">
        <f t="shared" si="67"/>
        <v>742.66666666666663</v>
      </c>
      <c r="N4267" s="26">
        <v>1114</v>
      </c>
      <c r="O4267" s="22" t="s">
        <v>1252</v>
      </c>
      <c r="P4267" s="22" t="s">
        <v>1179</v>
      </c>
      <c r="Q4267" s="22">
        <v>93030</v>
      </c>
      <c r="X4267" s="26"/>
      <c r="Y4267" s="26"/>
    </row>
    <row r="4268" spans="1:25" ht="25" x14ac:dyDescent="0.25">
      <c r="A4268" s="21">
        <v>5560</v>
      </c>
      <c r="B4268" s="22" t="s">
        <v>15342</v>
      </c>
      <c r="C4268" s="22" t="s">
        <v>1253</v>
      </c>
      <c r="E4268" s="24">
        <v>2000</v>
      </c>
      <c r="F4268" s="22" t="s">
        <v>1254</v>
      </c>
      <c r="G4268" s="23" t="s">
        <v>1255</v>
      </c>
      <c r="H4268" s="25" t="s">
        <v>15373</v>
      </c>
      <c r="I4268" s="22" t="s">
        <v>15411</v>
      </c>
      <c r="J4268" s="22" t="s">
        <v>15838</v>
      </c>
      <c r="K4268" s="26">
        <f t="shared" si="67"/>
        <v>374.66666666666663</v>
      </c>
      <c r="N4268" s="26">
        <v>562</v>
      </c>
      <c r="O4268" s="22" t="s">
        <v>1256</v>
      </c>
      <c r="P4268" s="22" t="s">
        <v>1220</v>
      </c>
      <c r="Q4268" s="22">
        <v>93009</v>
      </c>
      <c r="X4268" s="26"/>
      <c r="Y4268" s="26"/>
    </row>
    <row r="4269" spans="1:25" ht="25" x14ac:dyDescent="0.25">
      <c r="A4269" s="21">
        <v>5561</v>
      </c>
      <c r="B4269" s="22" t="s">
        <v>15342</v>
      </c>
      <c r="C4269" s="22" t="s">
        <v>1257</v>
      </c>
      <c r="E4269" s="24">
        <v>2001</v>
      </c>
      <c r="F4269" s="22" t="s">
        <v>1258</v>
      </c>
      <c r="G4269" s="23" t="s">
        <v>1259</v>
      </c>
      <c r="H4269" s="25" t="s">
        <v>15373</v>
      </c>
      <c r="I4269" s="22" t="s">
        <v>15374</v>
      </c>
      <c r="J4269" s="22">
        <v>3516</v>
      </c>
      <c r="K4269" s="26">
        <f t="shared" si="67"/>
        <v>1484</v>
      </c>
      <c r="N4269" s="26">
        <v>2226</v>
      </c>
      <c r="O4269" s="22" t="s">
        <v>1260</v>
      </c>
      <c r="P4269" s="22" t="s">
        <v>1220</v>
      </c>
      <c r="Q4269" s="22">
        <v>93003</v>
      </c>
      <c r="X4269" s="26"/>
      <c r="Y4269" s="26"/>
    </row>
    <row r="4270" spans="1:25" ht="25" x14ac:dyDescent="0.25">
      <c r="A4270" s="21">
        <v>5562</v>
      </c>
      <c r="B4270" s="22" t="s">
        <v>15342</v>
      </c>
      <c r="C4270" s="22" t="s">
        <v>1257</v>
      </c>
      <c r="E4270" s="24">
        <v>2001</v>
      </c>
      <c r="F4270" s="22" t="s">
        <v>1258</v>
      </c>
      <c r="G4270" s="23" t="s">
        <v>1261</v>
      </c>
      <c r="H4270" s="25" t="s">
        <v>15373</v>
      </c>
      <c r="I4270" s="22" t="s">
        <v>15374</v>
      </c>
      <c r="J4270" s="22">
        <v>3516</v>
      </c>
      <c r="K4270" s="26">
        <f t="shared" si="67"/>
        <v>1470.6666666666665</v>
      </c>
      <c r="N4270" s="26">
        <v>2206</v>
      </c>
      <c r="O4270" s="22" t="s">
        <v>1260</v>
      </c>
      <c r="P4270" s="22" t="s">
        <v>1220</v>
      </c>
      <c r="Q4270" s="22">
        <v>93003</v>
      </c>
      <c r="X4270" s="26"/>
      <c r="Y4270" s="26"/>
    </row>
    <row r="4271" spans="1:25" ht="25" x14ac:dyDescent="0.25">
      <c r="A4271" s="21">
        <v>5563</v>
      </c>
      <c r="B4271" s="22" t="s">
        <v>15342</v>
      </c>
      <c r="C4271" s="22" t="s">
        <v>1262</v>
      </c>
      <c r="E4271" s="24">
        <v>2001</v>
      </c>
      <c r="F4271" s="22" t="s">
        <v>1263</v>
      </c>
      <c r="G4271" s="23" t="s">
        <v>1264</v>
      </c>
      <c r="H4271" s="25" t="s">
        <v>15373</v>
      </c>
      <c r="I4271" s="22" t="s">
        <v>15374</v>
      </c>
      <c r="J4271" s="22" t="s">
        <v>9707</v>
      </c>
      <c r="K4271" s="26">
        <f t="shared" si="67"/>
        <v>597.33333333333326</v>
      </c>
      <c r="N4271" s="26">
        <v>896</v>
      </c>
      <c r="O4271" s="22" t="s">
        <v>1265</v>
      </c>
      <c r="P4271" s="22" t="s">
        <v>1266</v>
      </c>
      <c r="Q4271" s="22">
        <v>93021</v>
      </c>
      <c r="X4271" s="26"/>
      <c r="Y4271" s="26"/>
    </row>
    <row r="4272" spans="1:25" ht="37.5" x14ac:dyDescent="0.25">
      <c r="A4272" s="21">
        <v>5564</v>
      </c>
      <c r="B4272" s="22" t="s">
        <v>15342</v>
      </c>
      <c r="C4272" s="22" t="s">
        <v>1267</v>
      </c>
      <c r="E4272" s="24">
        <v>2001</v>
      </c>
      <c r="F4272" s="22" t="s">
        <v>1268</v>
      </c>
      <c r="G4272" s="23" t="s">
        <v>1269</v>
      </c>
      <c r="H4272" s="25" t="s">
        <v>15373</v>
      </c>
      <c r="I4272" s="22" t="s">
        <v>15411</v>
      </c>
      <c r="J4272" s="22" t="s">
        <v>1270</v>
      </c>
      <c r="K4272" s="26">
        <f t="shared" si="67"/>
        <v>606.66666666666663</v>
      </c>
      <c r="N4272" s="26">
        <v>910</v>
      </c>
      <c r="O4272" s="22" t="s">
        <v>1271</v>
      </c>
      <c r="P4272" s="22" t="s">
        <v>1266</v>
      </c>
      <c r="Q4272" s="22">
        <v>93020</v>
      </c>
      <c r="X4272" s="26"/>
      <c r="Y4272" s="26"/>
    </row>
    <row r="4273" spans="1:25" ht="37.5" x14ac:dyDescent="0.25">
      <c r="A4273" s="21">
        <v>5565</v>
      </c>
      <c r="B4273" s="22" t="s">
        <v>15342</v>
      </c>
      <c r="C4273" s="22" t="s">
        <v>1272</v>
      </c>
      <c r="E4273" s="24">
        <v>2002</v>
      </c>
      <c r="F4273" s="22" t="s">
        <v>1273</v>
      </c>
      <c r="G4273" s="23" t="s">
        <v>1274</v>
      </c>
      <c r="H4273" s="25" t="s">
        <v>15373</v>
      </c>
      <c r="I4273" s="22" t="s">
        <v>15411</v>
      </c>
      <c r="J4273" s="22" t="s">
        <v>3822</v>
      </c>
      <c r="K4273" s="26">
        <f t="shared" si="67"/>
        <v>746.66666666666663</v>
      </c>
      <c r="N4273" s="26">
        <v>1120</v>
      </c>
      <c r="O4273" s="22" t="s">
        <v>1275</v>
      </c>
      <c r="P4273" s="22" t="s">
        <v>1167</v>
      </c>
      <c r="Q4273" s="22">
        <v>91360</v>
      </c>
      <c r="X4273" s="26"/>
      <c r="Y4273" s="26"/>
    </row>
    <row r="4274" spans="1:25" ht="25" x14ac:dyDescent="0.25">
      <c r="A4274" s="21">
        <v>5750</v>
      </c>
      <c r="B4274" s="22" t="s">
        <v>15337</v>
      </c>
      <c r="C4274" s="22" t="s">
        <v>1276</v>
      </c>
      <c r="G4274" s="23" t="s">
        <v>1277</v>
      </c>
      <c r="H4274" s="25" t="s">
        <v>15373</v>
      </c>
      <c r="I4274" s="22" t="s">
        <v>16421</v>
      </c>
      <c r="J4274" s="22">
        <v>350</v>
      </c>
      <c r="K4274" s="26">
        <f t="shared" si="67"/>
        <v>350</v>
      </c>
      <c r="L4274" s="26">
        <v>350</v>
      </c>
      <c r="O4274" s="22" t="s">
        <v>1278</v>
      </c>
      <c r="P4274" s="22" t="s">
        <v>1279</v>
      </c>
      <c r="Q4274" s="22">
        <v>93103</v>
      </c>
      <c r="S4274" s="22" t="s">
        <v>1280</v>
      </c>
      <c r="X4274" s="26"/>
      <c r="Y4274" s="26"/>
    </row>
    <row r="4275" spans="1:25" ht="25" x14ac:dyDescent="0.25">
      <c r="A4275" s="21">
        <v>5751</v>
      </c>
      <c r="B4275" s="22" t="s">
        <v>15337</v>
      </c>
      <c r="C4275" s="22" t="s">
        <v>1276</v>
      </c>
      <c r="H4275" s="25" t="s">
        <v>15373</v>
      </c>
      <c r="I4275" s="22" t="s">
        <v>14604</v>
      </c>
      <c r="J4275" s="22" t="s">
        <v>1281</v>
      </c>
      <c r="K4275" s="26">
        <f t="shared" si="67"/>
        <v>350</v>
      </c>
      <c r="L4275" s="26">
        <v>350</v>
      </c>
      <c r="O4275" s="22" t="s">
        <v>1278</v>
      </c>
      <c r="P4275" s="22" t="s">
        <v>1279</v>
      </c>
      <c r="Q4275" s="22">
        <v>93103</v>
      </c>
      <c r="S4275" s="22" t="s">
        <v>1280</v>
      </c>
      <c r="X4275" s="26"/>
      <c r="Y4275" s="26"/>
    </row>
    <row r="4276" spans="1:25" ht="25" x14ac:dyDescent="0.25">
      <c r="A4276" s="21">
        <v>5752</v>
      </c>
      <c r="B4276" s="22" t="s">
        <v>15337</v>
      </c>
      <c r="C4276" s="22" t="s">
        <v>1282</v>
      </c>
      <c r="G4276" s="23" t="s">
        <v>1283</v>
      </c>
      <c r="H4276" s="25" t="s">
        <v>15373</v>
      </c>
      <c r="I4276" s="22" t="s">
        <v>15374</v>
      </c>
      <c r="J4276" s="22">
        <v>3508</v>
      </c>
      <c r="K4276" s="26">
        <f t="shared" si="67"/>
        <v>750</v>
      </c>
      <c r="L4276" s="26">
        <v>750</v>
      </c>
      <c r="P4276" s="22" t="s">
        <v>1279</v>
      </c>
      <c r="Q4276" s="22">
        <v>93101</v>
      </c>
      <c r="S4276" s="22" t="s">
        <v>1284</v>
      </c>
      <c r="X4276" s="26"/>
      <c r="Y4276" s="26"/>
    </row>
    <row r="4277" spans="1:25" ht="25" x14ac:dyDescent="0.25">
      <c r="A4277" s="21">
        <v>5753</v>
      </c>
      <c r="B4277" s="22" t="s">
        <v>15337</v>
      </c>
      <c r="C4277" s="22" t="s">
        <v>1285</v>
      </c>
      <c r="G4277" s="23" t="s">
        <v>1286</v>
      </c>
      <c r="H4277" s="25" t="s">
        <v>15373</v>
      </c>
      <c r="I4277" s="22" t="s">
        <v>15374</v>
      </c>
      <c r="J4277" s="22">
        <v>3508</v>
      </c>
      <c r="K4277" s="26">
        <f t="shared" si="67"/>
        <v>750</v>
      </c>
      <c r="L4277" s="26">
        <v>750</v>
      </c>
      <c r="P4277" s="22" t="s">
        <v>1279</v>
      </c>
      <c r="Q4277" s="22">
        <v>93101</v>
      </c>
      <c r="S4277" s="22" t="s">
        <v>1284</v>
      </c>
      <c r="X4277" s="26"/>
      <c r="Y4277" s="26"/>
    </row>
    <row r="4278" spans="1:25" ht="25" x14ac:dyDescent="0.25">
      <c r="A4278" s="21">
        <v>5754</v>
      </c>
      <c r="B4278" s="22" t="s">
        <v>15337</v>
      </c>
      <c r="C4278" s="22" t="s">
        <v>1287</v>
      </c>
      <c r="G4278" s="23" t="s">
        <v>1286</v>
      </c>
      <c r="H4278" s="25" t="s">
        <v>15373</v>
      </c>
      <c r="I4278" s="22" t="s">
        <v>15374</v>
      </c>
      <c r="J4278" s="22">
        <v>3508</v>
      </c>
      <c r="K4278" s="26">
        <f t="shared" si="67"/>
        <v>750</v>
      </c>
      <c r="L4278" s="26">
        <v>750</v>
      </c>
      <c r="P4278" s="22" t="s">
        <v>1279</v>
      </c>
      <c r="Q4278" s="22">
        <v>93101</v>
      </c>
      <c r="S4278" s="22" t="s">
        <v>1284</v>
      </c>
      <c r="X4278" s="26"/>
      <c r="Y4278" s="26"/>
    </row>
    <row r="4279" spans="1:25" ht="25" x14ac:dyDescent="0.25">
      <c r="A4279" s="21">
        <v>5755</v>
      </c>
      <c r="B4279" s="22" t="s">
        <v>15337</v>
      </c>
      <c r="C4279" s="22" t="s">
        <v>1288</v>
      </c>
      <c r="G4279" s="23" t="s">
        <v>1289</v>
      </c>
      <c r="H4279" s="25" t="s">
        <v>15373</v>
      </c>
      <c r="I4279" s="22" t="s">
        <v>15374</v>
      </c>
      <c r="J4279" s="22">
        <v>3412</v>
      </c>
      <c r="K4279" s="26">
        <f t="shared" si="67"/>
        <v>500</v>
      </c>
      <c r="L4279" s="26">
        <v>500</v>
      </c>
      <c r="O4279" s="22" t="s">
        <v>1290</v>
      </c>
      <c r="P4279" s="22" t="s">
        <v>1279</v>
      </c>
      <c r="Q4279" s="22">
        <v>93111</v>
      </c>
      <c r="X4279" s="26"/>
      <c r="Y4279" s="26"/>
    </row>
    <row r="4280" spans="1:25" x14ac:dyDescent="0.25">
      <c r="A4280" s="21">
        <v>5756</v>
      </c>
      <c r="B4280" s="22" t="s">
        <v>15337</v>
      </c>
      <c r="C4280" s="22" t="s">
        <v>1291</v>
      </c>
      <c r="G4280" s="23" t="s">
        <v>1292</v>
      </c>
      <c r="H4280" s="25" t="s">
        <v>15373</v>
      </c>
      <c r="I4280" s="22" t="s">
        <v>15374</v>
      </c>
      <c r="J4280" s="22">
        <v>3512</v>
      </c>
      <c r="K4280" s="26">
        <f t="shared" si="67"/>
        <v>1100</v>
      </c>
      <c r="L4280" s="26">
        <v>1100</v>
      </c>
      <c r="O4280" s="22" t="s">
        <v>1293</v>
      </c>
      <c r="P4280" s="22" t="s">
        <v>1294</v>
      </c>
      <c r="Q4280" s="22">
        <v>93454</v>
      </c>
      <c r="S4280" s="22" t="s">
        <v>1295</v>
      </c>
      <c r="X4280" s="26"/>
      <c r="Y4280" s="26"/>
    </row>
    <row r="4281" spans="1:25" x14ac:dyDescent="0.25">
      <c r="A4281" s="21">
        <v>5757</v>
      </c>
      <c r="B4281" s="22" t="s">
        <v>15337</v>
      </c>
      <c r="C4281" s="22" t="s">
        <v>1296</v>
      </c>
      <c r="G4281" s="23" t="s">
        <v>1297</v>
      </c>
      <c r="H4281" s="25" t="s">
        <v>15373</v>
      </c>
      <c r="I4281" s="22" t="s">
        <v>15411</v>
      </c>
      <c r="J4281" s="22" t="s">
        <v>14158</v>
      </c>
      <c r="K4281" s="26">
        <f t="shared" si="67"/>
        <v>600</v>
      </c>
      <c r="L4281" s="26">
        <v>600</v>
      </c>
      <c r="O4281" s="22" t="s">
        <v>1293</v>
      </c>
      <c r="P4281" s="22" t="s">
        <v>1294</v>
      </c>
      <c r="Q4281" s="22">
        <v>93454</v>
      </c>
      <c r="S4281" s="22" t="s">
        <v>1295</v>
      </c>
      <c r="X4281" s="26"/>
      <c r="Y4281" s="26"/>
    </row>
    <row r="4282" spans="1:25" ht="25" x14ac:dyDescent="0.25">
      <c r="A4282" s="21">
        <v>5758</v>
      </c>
      <c r="B4282" s="22" t="s">
        <v>15337</v>
      </c>
      <c r="C4282" s="22" t="s">
        <v>1298</v>
      </c>
      <c r="G4282" s="23" t="s">
        <v>1299</v>
      </c>
      <c r="H4282" s="25" t="s">
        <v>15373</v>
      </c>
      <c r="I4282" s="22" t="s">
        <v>15382</v>
      </c>
      <c r="J4282" s="22" t="s">
        <v>16861</v>
      </c>
      <c r="K4282" s="26">
        <f t="shared" si="67"/>
        <v>400</v>
      </c>
      <c r="L4282" s="26">
        <v>400</v>
      </c>
      <c r="O4282" s="22" t="s">
        <v>1300</v>
      </c>
      <c r="P4282" s="22" t="s">
        <v>1301</v>
      </c>
      <c r="Q4282" s="22">
        <v>93116</v>
      </c>
      <c r="S4282" s="22" t="s">
        <v>1302</v>
      </c>
      <c r="X4282" s="26"/>
      <c r="Y4282" s="26"/>
    </row>
    <row r="4283" spans="1:25" x14ac:dyDescent="0.25">
      <c r="A4283" s="21">
        <v>5759</v>
      </c>
      <c r="B4283" s="22" t="s">
        <v>15337</v>
      </c>
      <c r="C4283" s="22" t="s">
        <v>1303</v>
      </c>
      <c r="G4283" s="23" t="s">
        <v>1304</v>
      </c>
      <c r="H4283" s="25" t="s">
        <v>15373</v>
      </c>
      <c r="I4283" s="22" t="s">
        <v>15382</v>
      </c>
      <c r="J4283" s="22" t="s">
        <v>7395</v>
      </c>
      <c r="K4283" s="26">
        <f t="shared" si="67"/>
        <v>750</v>
      </c>
      <c r="L4283" s="26">
        <v>750</v>
      </c>
      <c r="O4283" s="22" t="s">
        <v>1305</v>
      </c>
      <c r="P4283" s="22" t="s">
        <v>1301</v>
      </c>
      <c r="Q4283" s="22">
        <v>93117</v>
      </c>
      <c r="S4283" s="22" t="s">
        <v>1306</v>
      </c>
      <c r="X4283" s="26"/>
      <c r="Y4283" s="26"/>
    </row>
    <row r="4284" spans="1:25" x14ac:dyDescent="0.25">
      <c r="A4284" s="21">
        <v>5760</v>
      </c>
      <c r="B4284" s="22" t="s">
        <v>15337</v>
      </c>
      <c r="C4284" s="22" t="s">
        <v>1307</v>
      </c>
      <c r="G4284" s="23" t="s">
        <v>1308</v>
      </c>
      <c r="H4284" s="25" t="s">
        <v>15373</v>
      </c>
      <c r="I4284" s="22" t="s">
        <v>15374</v>
      </c>
      <c r="J4284" s="22" t="s">
        <v>16311</v>
      </c>
      <c r="K4284" s="26">
        <f t="shared" si="67"/>
        <v>500</v>
      </c>
      <c r="L4284" s="26">
        <v>500</v>
      </c>
      <c r="O4284" s="22" t="s">
        <v>1305</v>
      </c>
      <c r="P4284" s="22" t="s">
        <v>1301</v>
      </c>
      <c r="Q4284" s="22">
        <v>93117</v>
      </c>
      <c r="S4284" s="22" t="s">
        <v>1306</v>
      </c>
      <c r="X4284" s="26"/>
      <c r="Y4284" s="26"/>
    </row>
    <row r="4285" spans="1:25" x14ac:dyDescent="0.25">
      <c r="A4285" s="21">
        <v>5761</v>
      </c>
      <c r="B4285" s="22" t="s">
        <v>15337</v>
      </c>
      <c r="C4285" s="22" t="s">
        <v>1309</v>
      </c>
      <c r="G4285" s="23" t="s">
        <v>1310</v>
      </c>
      <c r="H4285" s="25" t="s">
        <v>15373</v>
      </c>
      <c r="I4285" s="22" t="s">
        <v>15382</v>
      </c>
      <c r="J4285" s="22" t="s">
        <v>10017</v>
      </c>
      <c r="K4285" s="26">
        <f t="shared" si="67"/>
        <v>500</v>
      </c>
      <c r="L4285" s="26">
        <v>500</v>
      </c>
      <c r="O4285" s="22" t="s">
        <v>1305</v>
      </c>
      <c r="P4285" s="22" t="s">
        <v>1301</v>
      </c>
      <c r="Q4285" s="22">
        <v>93117</v>
      </c>
      <c r="S4285" s="22" t="s">
        <v>1306</v>
      </c>
      <c r="X4285" s="26"/>
      <c r="Y4285" s="26"/>
    </row>
    <row r="4286" spans="1:25" x14ac:dyDescent="0.25">
      <c r="A4286" s="21">
        <v>5762</v>
      </c>
      <c r="B4286" s="22" t="s">
        <v>15337</v>
      </c>
      <c r="C4286" s="22" t="s">
        <v>1311</v>
      </c>
      <c r="G4286" s="23" t="s">
        <v>1312</v>
      </c>
      <c r="H4286" s="25" t="s">
        <v>15373</v>
      </c>
      <c r="I4286" s="22" t="s">
        <v>15382</v>
      </c>
      <c r="J4286" s="22" t="s">
        <v>10017</v>
      </c>
      <c r="K4286" s="26">
        <f t="shared" si="67"/>
        <v>500</v>
      </c>
      <c r="L4286" s="26">
        <v>500</v>
      </c>
      <c r="O4286" s="22" t="s">
        <v>1305</v>
      </c>
      <c r="P4286" s="22" t="s">
        <v>1301</v>
      </c>
      <c r="Q4286" s="22">
        <v>93117</v>
      </c>
      <c r="S4286" s="22" t="s">
        <v>1306</v>
      </c>
      <c r="X4286" s="26"/>
      <c r="Y4286" s="26"/>
    </row>
    <row r="4287" spans="1:25" x14ac:dyDescent="0.25">
      <c r="A4287" s="21">
        <v>6000</v>
      </c>
      <c r="B4287" s="22" t="s">
        <v>15325</v>
      </c>
      <c r="C4287" s="22" t="s">
        <v>1313</v>
      </c>
      <c r="F4287" s="22" t="s">
        <v>1314</v>
      </c>
      <c r="H4287" s="25" t="s">
        <v>16311</v>
      </c>
      <c r="I4287" s="22" t="s">
        <v>16311</v>
      </c>
      <c r="J4287" s="22" t="s">
        <v>16311</v>
      </c>
      <c r="K4287" s="26">
        <f t="shared" si="67"/>
        <v>534</v>
      </c>
      <c r="M4287" s="26">
        <v>801</v>
      </c>
      <c r="O4287" s="22" t="s">
        <v>1315</v>
      </c>
      <c r="P4287" s="22" t="s">
        <v>1847</v>
      </c>
      <c r="Q4287" s="22" t="s">
        <v>1316</v>
      </c>
      <c r="R4287" s="22" t="s">
        <v>1317</v>
      </c>
      <c r="S4287" s="22" t="s">
        <v>1318</v>
      </c>
      <c r="X4287" s="26"/>
      <c r="Y4287" s="26"/>
    </row>
    <row r="4288" spans="1:25" x14ac:dyDescent="0.25">
      <c r="A4288" s="21">
        <v>6001</v>
      </c>
      <c r="B4288" s="22" t="s">
        <v>15325</v>
      </c>
      <c r="C4288" s="22" t="s">
        <v>1313</v>
      </c>
      <c r="F4288" s="22" t="s">
        <v>0</v>
      </c>
      <c r="H4288" s="25" t="s">
        <v>16311</v>
      </c>
      <c r="I4288" s="22" t="s">
        <v>16311</v>
      </c>
      <c r="J4288" s="22" t="s">
        <v>16311</v>
      </c>
      <c r="K4288" s="26">
        <f t="shared" si="67"/>
        <v>534</v>
      </c>
      <c r="M4288" s="26">
        <v>801</v>
      </c>
      <c r="O4288" s="22" t="s">
        <v>1315</v>
      </c>
      <c r="P4288" s="22" t="s">
        <v>1847</v>
      </c>
      <c r="Q4288" s="22" t="s">
        <v>1316</v>
      </c>
      <c r="R4288" s="22" t="s">
        <v>1317</v>
      </c>
      <c r="S4288" s="22" t="s">
        <v>1318</v>
      </c>
      <c r="X4288" s="26"/>
      <c r="Y4288" s="26"/>
    </row>
    <row r="4289" spans="1:25" x14ac:dyDescent="0.25">
      <c r="A4289" s="21">
        <v>6002</v>
      </c>
      <c r="B4289" s="22" t="s">
        <v>15325</v>
      </c>
      <c r="C4289" s="22" t="s">
        <v>1313</v>
      </c>
      <c r="F4289" s="22" t="s">
        <v>1</v>
      </c>
      <c r="H4289" s="25" t="s">
        <v>16311</v>
      </c>
      <c r="I4289" s="22" t="s">
        <v>16311</v>
      </c>
      <c r="J4289" s="22" t="s">
        <v>16311</v>
      </c>
      <c r="K4289" s="26">
        <f t="shared" si="67"/>
        <v>534</v>
      </c>
      <c r="M4289" s="26">
        <v>801</v>
      </c>
      <c r="O4289" s="22" t="s">
        <v>1315</v>
      </c>
      <c r="P4289" s="22" t="s">
        <v>1847</v>
      </c>
      <c r="Q4289" s="22" t="s">
        <v>1316</v>
      </c>
      <c r="R4289" s="22" t="s">
        <v>1317</v>
      </c>
      <c r="S4289" s="22" t="s">
        <v>1318</v>
      </c>
      <c r="X4289" s="26"/>
      <c r="Y4289" s="26"/>
    </row>
    <row r="4290" spans="1:25" x14ac:dyDescent="0.25">
      <c r="A4290" s="21">
        <v>6003</v>
      </c>
      <c r="B4290" s="22" t="s">
        <v>15325</v>
      </c>
      <c r="C4290" s="22" t="s">
        <v>1313</v>
      </c>
      <c r="F4290" s="22" t="s">
        <v>2</v>
      </c>
      <c r="H4290" s="25" t="s">
        <v>16311</v>
      </c>
      <c r="I4290" s="22" t="s">
        <v>16311</v>
      </c>
      <c r="J4290" s="22" t="s">
        <v>16311</v>
      </c>
      <c r="K4290" s="26">
        <f t="shared" si="67"/>
        <v>356.66666666666663</v>
      </c>
      <c r="M4290" s="26">
        <v>535</v>
      </c>
      <c r="O4290" s="22" t="s">
        <v>1315</v>
      </c>
      <c r="P4290" s="22" t="s">
        <v>1847</v>
      </c>
      <c r="Q4290" s="22" t="s">
        <v>1316</v>
      </c>
      <c r="R4290" s="22" t="s">
        <v>1317</v>
      </c>
      <c r="S4290" s="22" t="s">
        <v>1318</v>
      </c>
      <c r="X4290" s="26"/>
      <c r="Y4290" s="26"/>
    </row>
    <row r="4291" spans="1:25" x14ac:dyDescent="0.25">
      <c r="A4291" s="21">
        <v>6004</v>
      </c>
      <c r="B4291" s="22" t="s">
        <v>15325</v>
      </c>
      <c r="C4291" s="22" t="s">
        <v>3</v>
      </c>
      <c r="F4291" s="22" t="s">
        <v>4</v>
      </c>
      <c r="H4291" s="25" t="s">
        <v>16311</v>
      </c>
      <c r="I4291" s="22" t="s">
        <v>16311</v>
      </c>
      <c r="J4291" s="22" t="s">
        <v>16311</v>
      </c>
      <c r="K4291" s="26">
        <f t="shared" si="67"/>
        <v>300</v>
      </c>
      <c r="M4291" s="26">
        <v>450</v>
      </c>
      <c r="O4291" s="22" t="s">
        <v>5</v>
      </c>
      <c r="P4291" s="22" t="s">
        <v>6</v>
      </c>
      <c r="Q4291" s="22">
        <v>93561</v>
      </c>
      <c r="R4291" s="22" t="s">
        <v>7</v>
      </c>
      <c r="S4291" s="22" t="s">
        <v>8</v>
      </c>
      <c r="X4291" s="26"/>
      <c r="Y4291" s="26"/>
    </row>
    <row r="4292" spans="1:25" x14ac:dyDescent="0.25">
      <c r="A4292" s="21">
        <v>6005</v>
      </c>
      <c r="B4292" s="22" t="s">
        <v>15325</v>
      </c>
      <c r="C4292" s="22" t="s">
        <v>9</v>
      </c>
      <c r="F4292" s="22" t="s">
        <v>10</v>
      </c>
      <c r="H4292" s="25" t="s">
        <v>16311</v>
      </c>
      <c r="I4292" s="22" t="s">
        <v>16311</v>
      </c>
      <c r="J4292" s="22" t="s">
        <v>16311</v>
      </c>
      <c r="K4292" s="26">
        <f t="shared" si="67"/>
        <v>600</v>
      </c>
      <c r="M4292" s="26">
        <v>900</v>
      </c>
      <c r="O4292" s="22" t="s">
        <v>11</v>
      </c>
      <c r="P4292" s="22" t="s">
        <v>6</v>
      </c>
      <c r="Q4292" s="22">
        <v>93535</v>
      </c>
      <c r="R4292" s="22" t="s">
        <v>12</v>
      </c>
      <c r="S4292" s="22" t="s">
        <v>13</v>
      </c>
      <c r="X4292" s="26"/>
      <c r="Y4292" s="26"/>
    </row>
    <row r="4293" spans="1:25" x14ac:dyDescent="0.25">
      <c r="A4293" s="21">
        <v>6006</v>
      </c>
      <c r="B4293" s="22" t="s">
        <v>15325</v>
      </c>
      <c r="C4293" s="22" t="s">
        <v>9</v>
      </c>
      <c r="F4293" s="22" t="s">
        <v>14</v>
      </c>
      <c r="H4293" s="25" t="s">
        <v>16311</v>
      </c>
      <c r="I4293" s="22" t="s">
        <v>16311</v>
      </c>
      <c r="J4293" s="22" t="s">
        <v>16311</v>
      </c>
      <c r="K4293" s="26">
        <f t="shared" si="67"/>
        <v>503.33333333333331</v>
      </c>
      <c r="M4293" s="26">
        <v>755</v>
      </c>
      <c r="O4293" s="22" t="s">
        <v>15</v>
      </c>
      <c r="P4293" s="22" t="s">
        <v>6</v>
      </c>
      <c r="Q4293" s="22">
        <v>93535</v>
      </c>
      <c r="R4293" s="22" t="s">
        <v>12</v>
      </c>
      <c r="S4293" s="22" t="s">
        <v>13</v>
      </c>
      <c r="X4293" s="26"/>
      <c r="Y4293" s="26"/>
    </row>
    <row r="4294" spans="1:25" ht="37.5" x14ac:dyDescent="0.25">
      <c r="A4294" s="21">
        <v>6007</v>
      </c>
      <c r="B4294" s="22" t="s">
        <v>15325</v>
      </c>
      <c r="C4294" s="22" t="s">
        <v>16</v>
      </c>
      <c r="F4294" s="22" t="s">
        <v>17</v>
      </c>
      <c r="G4294" s="23" t="s">
        <v>3671</v>
      </c>
      <c r="H4294" s="25" t="s">
        <v>16311</v>
      </c>
      <c r="I4294" s="22" t="s">
        <v>15374</v>
      </c>
      <c r="J4294" s="22">
        <v>3412</v>
      </c>
      <c r="K4294" s="26">
        <f t="shared" si="67"/>
        <v>593.33333333333326</v>
      </c>
      <c r="M4294" s="26">
        <v>890</v>
      </c>
      <c r="O4294" s="22" t="s">
        <v>18</v>
      </c>
      <c r="P4294" s="22" t="s">
        <v>6</v>
      </c>
      <c r="Q4294" s="22">
        <v>93581</v>
      </c>
      <c r="R4294" s="22" t="s">
        <v>19</v>
      </c>
      <c r="S4294" s="22" t="s">
        <v>20</v>
      </c>
      <c r="X4294" s="26"/>
      <c r="Y4294" s="26"/>
    </row>
    <row r="4295" spans="1:25" ht="37.5" x14ac:dyDescent="0.25">
      <c r="A4295" s="21">
        <v>6008</v>
      </c>
      <c r="B4295" s="22" t="s">
        <v>15325</v>
      </c>
      <c r="C4295" s="22" t="s">
        <v>16</v>
      </c>
      <c r="F4295" s="22" t="s">
        <v>21</v>
      </c>
      <c r="G4295" s="23" t="s">
        <v>3671</v>
      </c>
      <c r="H4295" s="25" t="s">
        <v>16311</v>
      </c>
      <c r="I4295" s="22" t="s">
        <v>15374</v>
      </c>
      <c r="J4295" s="22">
        <v>3412</v>
      </c>
      <c r="K4295" s="26">
        <f t="shared" si="67"/>
        <v>593.33333333333326</v>
      </c>
      <c r="M4295" s="26">
        <v>890</v>
      </c>
      <c r="O4295" s="22" t="s">
        <v>18</v>
      </c>
      <c r="P4295" s="22" t="s">
        <v>6</v>
      </c>
      <c r="Q4295" s="22">
        <v>93581</v>
      </c>
      <c r="R4295" s="22" t="s">
        <v>19</v>
      </c>
      <c r="S4295" s="22" t="s">
        <v>20</v>
      </c>
      <c r="X4295" s="26"/>
      <c r="Y4295" s="26"/>
    </row>
    <row r="4296" spans="1:25" ht="37.5" x14ac:dyDescent="0.25">
      <c r="A4296" s="21">
        <v>6009</v>
      </c>
      <c r="B4296" s="22" t="s">
        <v>15325</v>
      </c>
      <c r="C4296" s="22" t="s">
        <v>16</v>
      </c>
      <c r="F4296" s="22" t="s">
        <v>22</v>
      </c>
      <c r="G4296" s="23" t="s">
        <v>3671</v>
      </c>
      <c r="H4296" s="25" t="s">
        <v>16311</v>
      </c>
      <c r="I4296" s="22" t="s">
        <v>15374</v>
      </c>
      <c r="J4296" s="22">
        <v>3412</v>
      </c>
      <c r="K4296" s="26">
        <f t="shared" si="67"/>
        <v>494</v>
      </c>
      <c r="M4296" s="26">
        <v>741</v>
      </c>
      <c r="O4296" s="22" t="s">
        <v>18</v>
      </c>
      <c r="P4296" s="22" t="s">
        <v>6</v>
      </c>
      <c r="Q4296" s="22">
        <v>93581</v>
      </c>
      <c r="R4296" s="22" t="s">
        <v>19</v>
      </c>
      <c r="S4296" s="22" t="s">
        <v>20</v>
      </c>
      <c r="X4296" s="26"/>
      <c r="Y4296" s="26"/>
    </row>
    <row r="4297" spans="1:25" ht="37.5" x14ac:dyDescent="0.25">
      <c r="A4297" s="21">
        <v>6010</v>
      </c>
      <c r="B4297" s="22" t="s">
        <v>15325</v>
      </c>
      <c r="C4297" s="22" t="s">
        <v>16</v>
      </c>
      <c r="F4297" s="22" t="s">
        <v>23</v>
      </c>
      <c r="G4297" s="23" t="s">
        <v>24</v>
      </c>
      <c r="H4297" s="25" t="s">
        <v>16311</v>
      </c>
      <c r="I4297" s="22" t="s">
        <v>15411</v>
      </c>
      <c r="J4297" s="22" t="s">
        <v>25</v>
      </c>
      <c r="K4297" s="26">
        <f t="shared" si="67"/>
        <v>364</v>
      </c>
      <c r="M4297" s="26">
        <v>546</v>
      </c>
      <c r="O4297" s="22" t="s">
        <v>18</v>
      </c>
      <c r="P4297" s="22" t="s">
        <v>6</v>
      </c>
      <c r="Q4297" s="22">
        <v>93581</v>
      </c>
      <c r="R4297" s="22" t="s">
        <v>19</v>
      </c>
      <c r="S4297" s="22" t="s">
        <v>20</v>
      </c>
      <c r="X4297" s="26"/>
      <c r="Y4297" s="26"/>
    </row>
    <row r="4298" spans="1:25" x14ac:dyDescent="0.25">
      <c r="A4298" s="21">
        <v>6011</v>
      </c>
      <c r="B4298" s="22" t="s">
        <v>15325</v>
      </c>
      <c r="C4298" s="22" t="s">
        <v>26</v>
      </c>
      <c r="F4298" s="22" t="s">
        <v>27</v>
      </c>
      <c r="H4298" s="25" t="s">
        <v>16311</v>
      </c>
      <c r="I4298" s="22" t="s">
        <v>16311</v>
      </c>
      <c r="J4298" s="22" t="s">
        <v>16311</v>
      </c>
      <c r="K4298" s="26">
        <f t="shared" si="67"/>
        <v>523.33333333333326</v>
      </c>
      <c r="M4298" s="26">
        <v>785</v>
      </c>
      <c r="O4298" s="22" t="s">
        <v>1315</v>
      </c>
      <c r="P4298" s="22" t="s">
        <v>1847</v>
      </c>
      <c r="Q4298" s="22" t="s">
        <v>1316</v>
      </c>
      <c r="R4298" s="22" t="s">
        <v>1317</v>
      </c>
      <c r="S4298" s="22" t="s">
        <v>1318</v>
      </c>
      <c r="X4298" s="26"/>
      <c r="Y4298" s="26"/>
    </row>
    <row r="4299" spans="1:25" ht="25" x14ac:dyDescent="0.25">
      <c r="A4299" s="21">
        <v>6012</v>
      </c>
      <c r="B4299" s="22" t="s">
        <v>15325</v>
      </c>
      <c r="C4299" s="22" t="s">
        <v>28</v>
      </c>
      <c r="F4299" s="22" t="s">
        <v>29</v>
      </c>
      <c r="H4299" s="25" t="s">
        <v>16311</v>
      </c>
      <c r="I4299" s="22" t="s">
        <v>16311</v>
      </c>
      <c r="J4299" s="22" t="s">
        <v>16311</v>
      </c>
      <c r="K4299" s="26">
        <f t="shared" si="67"/>
        <v>356.66666666666663</v>
      </c>
      <c r="M4299" s="26">
        <v>535</v>
      </c>
      <c r="O4299" s="22" t="s">
        <v>30</v>
      </c>
      <c r="P4299" s="22" t="s">
        <v>31</v>
      </c>
      <c r="Q4299" s="22" t="s">
        <v>32</v>
      </c>
      <c r="R4299" s="22" t="s">
        <v>33</v>
      </c>
      <c r="S4299" s="22" t="s">
        <v>34</v>
      </c>
      <c r="X4299" s="26"/>
      <c r="Y4299" s="26"/>
    </row>
    <row r="4300" spans="1:25" x14ac:dyDescent="0.25">
      <c r="A4300" s="21">
        <v>6013</v>
      </c>
      <c r="B4300" s="22" t="s">
        <v>15325</v>
      </c>
      <c r="C4300" s="22" t="s">
        <v>35</v>
      </c>
      <c r="F4300" s="22" t="s">
        <v>36</v>
      </c>
      <c r="H4300" s="25" t="s">
        <v>16311</v>
      </c>
      <c r="I4300" s="22" t="s">
        <v>16311</v>
      </c>
      <c r="J4300" s="22" t="s">
        <v>16311</v>
      </c>
      <c r="K4300" s="26">
        <f t="shared" si="67"/>
        <v>373.33333333333331</v>
      </c>
      <c r="M4300" s="26">
        <v>560</v>
      </c>
      <c r="O4300" s="22" t="s">
        <v>37</v>
      </c>
      <c r="P4300" s="22" t="s">
        <v>38</v>
      </c>
      <c r="Q4300" s="22">
        <v>93240</v>
      </c>
      <c r="R4300" s="22" t="s">
        <v>39</v>
      </c>
      <c r="S4300" s="22" t="s">
        <v>40</v>
      </c>
      <c r="X4300" s="26"/>
      <c r="Y4300" s="26"/>
    </row>
    <row r="4301" spans="1:25" ht="25" x14ac:dyDescent="0.25">
      <c r="A4301" s="21">
        <v>6014</v>
      </c>
      <c r="B4301" s="22" t="s">
        <v>15325</v>
      </c>
      <c r="C4301" s="22" t="s">
        <v>41</v>
      </c>
      <c r="F4301" s="22" t="s">
        <v>42</v>
      </c>
      <c r="H4301" s="25" t="s">
        <v>16311</v>
      </c>
      <c r="I4301" s="22" t="s">
        <v>16311</v>
      </c>
      <c r="J4301" s="22" t="s">
        <v>16311</v>
      </c>
      <c r="K4301" s="26">
        <f t="shared" si="67"/>
        <v>500</v>
      </c>
      <c r="M4301" s="26">
        <v>750</v>
      </c>
      <c r="O4301" s="22" t="s">
        <v>43</v>
      </c>
      <c r="P4301" s="22" t="s">
        <v>44</v>
      </c>
      <c r="Q4301" s="22" t="s">
        <v>45</v>
      </c>
      <c r="R4301" s="22" t="s">
        <v>46</v>
      </c>
      <c r="S4301" s="22" t="s">
        <v>47</v>
      </c>
      <c r="X4301" s="26"/>
      <c r="Y4301" s="26"/>
    </row>
    <row r="4302" spans="1:25" ht="25" x14ac:dyDescent="0.25">
      <c r="A4302" s="21">
        <v>6015</v>
      </c>
      <c r="B4302" s="22" t="s">
        <v>15325</v>
      </c>
      <c r="C4302" s="22" t="s">
        <v>41</v>
      </c>
      <c r="F4302" s="22" t="s">
        <v>48</v>
      </c>
      <c r="H4302" s="25" t="s">
        <v>16311</v>
      </c>
      <c r="I4302" s="22" t="s">
        <v>16311</v>
      </c>
      <c r="J4302" s="22" t="s">
        <v>16311</v>
      </c>
      <c r="K4302" s="26">
        <f t="shared" si="67"/>
        <v>400</v>
      </c>
      <c r="M4302" s="26">
        <v>600</v>
      </c>
      <c r="O4302" s="22" t="s">
        <v>43</v>
      </c>
      <c r="P4302" s="22" t="s">
        <v>44</v>
      </c>
      <c r="Q4302" s="22" t="s">
        <v>45</v>
      </c>
      <c r="R4302" s="22" t="s">
        <v>46</v>
      </c>
      <c r="S4302" s="22" t="s">
        <v>47</v>
      </c>
      <c r="X4302" s="26"/>
      <c r="Y4302" s="26"/>
    </row>
    <row r="4303" spans="1:25" ht="25" x14ac:dyDescent="0.25">
      <c r="A4303" s="21">
        <v>6016</v>
      </c>
      <c r="B4303" s="22" t="s">
        <v>15325</v>
      </c>
      <c r="C4303" s="22" t="s">
        <v>41</v>
      </c>
      <c r="F4303" s="22" t="s">
        <v>49</v>
      </c>
      <c r="H4303" s="25" t="s">
        <v>16311</v>
      </c>
      <c r="I4303" s="22" t="s">
        <v>16311</v>
      </c>
      <c r="J4303" s="22" t="s">
        <v>16311</v>
      </c>
      <c r="K4303" s="26">
        <f t="shared" si="67"/>
        <v>360</v>
      </c>
      <c r="M4303" s="26">
        <v>540</v>
      </c>
      <c r="O4303" s="22" t="s">
        <v>43</v>
      </c>
      <c r="P4303" s="22" t="s">
        <v>44</v>
      </c>
      <c r="Q4303" s="22" t="s">
        <v>45</v>
      </c>
      <c r="R4303" s="22" t="s">
        <v>46</v>
      </c>
      <c r="S4303" s="22" t="s">
        <v>47</v>
      </c>
      <c r="X4303" s="26"/>
      <c r="Y4303" s="26"/>
    </row>
    <row r="4304" spans="1:25" ht="25" x14ac:dyDescent="0.25">
      <c r="A4304" s="21">
        <v>6017</v>
      </c>
      <c r="B4304" s="22" t="s">
        <v>15325</v>
      </c>
      <c r="C4304" s="22" t="s">
        <v>41</v>
      </c>
      <c r="F4304" s="22" t="s">
        <v>50</v>
      </c>
      <c r="H4304" s="25" t="s">
        <v>16311</v>
      </c>
      <c r="I4304" s="22" t="s">
        <v>16311</v>
      </c>
      <c r="J4304" s="22" t="s">
        <v>16311</v>
      </c>
      <c r="K4304" s="26">
        <f t="shared" si="67"/>
        <v>356.66666666666663</v>
      </c>
      <c r="M4304" s="26">
        <v>535</v>
      </c>
      <c r="O4304" s="22" t="s">
        <v>43</v>
      </c>
      <c r="P4304" s="22" t="s">
        <v>44</v>
      </c>
      <c r="Q4304" s="22" t="s">
        <v>45</v>
      </c>
      <c r="R4304" s="22" t="s">
        <v>46</v>
      </c>
      <c r="S4304" s="22" t="s">
        <v>47</v>
      </c>
      <c r="X4304" s="26"/>
      <c r="Y4304" s="26"/>
    </row>
    <row r="4305" spans="1:25" ht="25" x14ac:dyDescent="0.25">
      <c r="A4305" s="21">
        <v>6018</v>
      </c>
      <c r="B4305" s="22" t="s">
        <v>15325</v>
      </c>
      <c r="C4305" s="22" t="s">
        <v>41</v>
      </c>
      <c r="F4305" s="22" t="s">
        <v>51</v>
      </c>
      <c r="H4305" s="25" t="s">
        <v>16311</v>
      </c>
      <c r="I4305" s="22" t="s">
        <v>16311</v>
      </c>
      <c r="J4305" s="22" t="s">
        <v>16311</v>
      </c>
      <c r="K4305" s="26">
        <f t="shared" si="67"/>
        <v>356.66666666666663</v>
      </c>
      <c r="M4305" s="26">
        <v>535</v>
      </c>
      <c r="O4305" s="22" t="s">
        <v>43</v>
      </c>
      <c r="P4305" s="22" t="s">
        <v>44</v>
      </c>
      <c r="Q4305" s="22" t="s">
        <v>45</v>
      </c>
      <c r="R4305" s="22" t="s">
        <v>46</v>
      </c>
      <c r="S4305" s="22" t="s">
        <v>47</v>
      </c>
      <c r="X4305" s="26"/>
      <c r="Y4305" s="26"/>
    </row>
    <row r="4306" spans="1:25" ht="25" x14ac:dyDescent="0.25">
      <c r="A4306" s="21">
        <v>6019</v>
      </c>
      <c r="B4306" s="22" t="s">
        <v>15325</v>
      </c>
      <c r="C4306" s="22" t="s">
        <v>41</v>
      </c>
      <c r="F4306" s="22" t="s">
        <v>52</v>
      </c>
      <c r="H4306" s="25" t="s">
        <v>16311</v>
      </c>
      <c r="I4306" s="22" t="s">
        <v>16311</v>
      </c>
      <c r="J4306" s="22" t="s">
        <v>16311</v>
      </c>
      <c r="K4306" s="26">
        <f t="shared" si="67"/>
        <v>356.66666666666663</v>
      </c>
      <c r="M4306" s="26">
        <v>535</v>
      </c>
      <c r="O4306" s="22" t="s">
        <v>43</v>
      </c>
      <c r="P4306" s="22" t="s">
        <v>44</v>
      </c>
      <c r="Q4306" s="22" t="s">
        <v>45</v>
      </c>
      <c r="R4306" s="22" t="s">
        <v>46</v>
      </c>
      <c r="S4306" s="22" t="s">
        <v>47</v>
      </c>
      <c r="X4306" s="26"/>
      <c r="Y4306" s="26"/>
    </row>
    <row r="4307" spans="1:25" ht="25" x14ac:dyDescent="0.25">
      <c r="A4307" s="21">
        <v>6020</v>
      </c>
      <c r="B4307" s="22" t="s">
        <v>15325</v>
      </c>
      <c r="C4307" s="22" t="s">
        <v>41</v>
      </c>
      <c r="F4307" s="22" t="s">
        <v>53</v>
      </c>
      <c r="H4307" s="25" t="s">
        <v>16311</v>
      </c>
      <c r="I4307" s="22" t="s">
        <v>16311</v>
      </c>
      <c r="J4307" s="22" t="s">
        <v>16311</v>
      </c>
      <c r="K4307" s="26">
        <f t="shared" si="67"/>
        <v>356.66666666666663</v>
      </c>
      <c r="M4307" s="26">
        <v>535</v>
      </c>
      <c r="O4307" s="22" t="s">
        <v>43</v>
      </c>
      <c r="P4307" s="22" t="s">
        <v>44</v>
      </c>
      <c r="Q4307" s="22" t="s">
        <v>45</v>
      </c>
      <c r="R4307" s="22" t="s">
        <v>46</v>
      </c>
      <c r="S4307" s="22" t="s">
        <v>47</v>
      </c>
      <c r="X4307" s="26"/>
      <c r="Y4307" s="26"/>
    </row>
    <row r="4308" spans="1:25" ht="25" x14ac:dyDescent="0.25">
      <c r="A4308" s="21">
        <v>6021</v>
      </c>
      <c r="B4308" s="22" t="s">
        <v>15325</v>
      </c>
      <c r="C4308" s="22" t="s">
        <v>41</v>
      </c>
      <c r="F4308" s="22" t="s">
        <v>54</v>
      </c>
      <c r="H4308" s="25" t="s">
        <v>16311</v>
      </c>
      <c r="I4308" s="22" t="s">
        <v>16311</v>
      </c>
      <c r="J4308" s="22" t="s">
        <v>16311</v>
      </c>
      <c r="K4308" s="26">
        <f t="shared" si="67"/>
        <v>303.33333333333331</v>
      </c>
      <c r="M4308" s="26">
        <v>455</v>
      </c>
      <c r="O4308" s="22" t="s">
        <v>43</v>
      </c>
      <c r="P4308" s="22" t="s">
        <v>44</v>
      </c>
      <c r="Q4308" s="22" t="s">
        <v>45</v>
      </c>
      <c r="R4308" s="22" t="s">
        <v>46</v>
      </c>
      <c r="S4308" s="22" t="s">
        <v>47</v>
      </c>
      <c r="X4308" s="26"/>
      <c r="Y4308" s="26"/>
    </row>
    <row r="4309" spans="1:25" ht="25" x14ac:dyDescent="0.25">
      <c r="A4309" s="21">
        <v>6022</v>
      </c>
      <c r="B4309" s="22" t="s">
        <v>15325</v>
      </c>
      <c r="C4309" s="22" t="s">
        <v>41</v>
      </c>
      <c r="F4309" s="22" t="s">
        <v>55</v>
      </c>
      <c r="H4309" s="25" t="s">
        <v>16311</v>
      </c>
      <c r="I4309" s="22" t="s">
        <v>16311</v>
      </c>
      <c r="J4309" s="22" t="s">
        <v>16311</v>
      </c>
      <c r="K4309" s="26">
        <f t="shared" si="67"/>
        <v>303.33333333333331</v>
      </c>
      <c r="M4309" s="26">
        <v>455</v>
      </c>
      <c r="O4309" s="22" t="s">
        <v>43</v>
      </c>
      <c r="P4309" s="22" t="s">
        <v>44</v>
      </c>
      <c r="Q4309" s="22" t="s">
        <v>45</v>
      </c>
      <c r="R4309" s="22" t="s">
        <v>46</v>
      </c>
      <c r="S4309" s="22" t="s">
        <v>47</v>
      </c>
      <c r="X4309" s="26"/>
      <c r="Y4309" s="26"/>
    </row>
    <row r="4310" spans="1:25" ht="25" x14ac:dyDescent="0.25">
      <c r="A4310" s="21">
        <v>6023</v>
      </c>
      <c r="B4310" s="22" t="s">
        <v>15325</v>
      </c>
      <c r="C4310" s="22" t="s">
        <v>41</v>
      </c>
      <c r="F4310" s="22" t="s">
        <v>56</v>
      </c>
      <c r="H4310" s="25" t="s">
        <v>16311</v>
      </c>
      <c r="I4310" s="22" t="s">
        <v>16311</v>
      </c>
      <c r="J4310" s="22" t="s">
        <v>16311</v>
      </c>
      <c r="K4310" s="26">
        <f t="shared" si="67"/>
        <v>303.33333333333331</v>
      </c>
      <c r="M4310" s="26">
        <v>455</v>
      </c>
      <c r="O4310" s="22" t="s">
        <v>43</v>
      </c>
      <c r="P4310" s="22" t="s">
        <v>44</v>
      </c>
      <c r="Q4310" s="22" t="s">
        <v>45</v>
      </c>
      <c r="R4310" s="22" t="s">
        <v>46</v>
      </c>
      <c r="S4310" s="22" t="s">
        <v>47</v>
      </c>
      <c r="X4310" s="26"/>
      <c r="Y4310" s="26"/>
    </row>
    <row r="4311" spans="1:25" ht="25" x14ac:dyDescent="0.25">
      <c r="A4311" s="21">
        <v>6024</v>
      </c>
      <c r="B4311" s="22" t="s">
        <v>15325</v>
      </c>
      <c r="C4311" s="22" t="s">
        <v>41</v>
      </c>
      <c r="F4311" s="22" t="s">
        <v>57</v>
      </c>
      <c r="H4311" s="25" t="s">
        <v>16311</v>
      </c>
      <c r="I4311" s="22" t="s">
        <v>16311</v>
      </c>
      <c r="J4311" s="22" t="s">
        <v>16311</v>
      </c>
      <c r="K4311" s="26">
        <f t="shared" si="67"/>
        <v>303.33333333333331</v>
      </c>
      <c r="M4311" s="26">
        <v>455</v>
      </c>
      <c r="O4311" s="22" t="s">
        <v>43</v>
      </c>
      <c r="P4311" s="22" t="s">
        <v>44</v>
      </c>
      <c r="Q4311" s="22" t="s">
        <v>45</v>
      </c>
      <c r="R4311" s="22" t="s">
        <v>46</v>
      </c>
      <c r="S4311" s="22" t="s">
        <v>47</v>
      </c>
      <c r="X4311" s="26"/>
      <c r="Y4311" s="26"/>
    </row>
    <row r="4312" spans="1:25" ht="25" x14ac:dyDescent="0.25">
      <c r="A4312" s="21">
        <v>6025</v>
      </c>
      <c r="B4312" s="22" t="s">
        <v>15325</v>
      </c>
      <c r="C4312" s="22" t="s">
        <v>41</v>
      </c>
      <c r="F4312" s="22" t="s">
        <v>58</v>
      </c>
      <c r="H4312" s="25" t="s">
        <v>16311</v>
      </c>
      <c r="I4312" s="22" t="s">
        <v>16311</v>
      </c>
      <c r="J4312" s="22" t="s">
        <v>16311</v>
      </c>
      <c r="K4312" s="26">
        <f t="shared" si="67"/>
        <v>300</v>
      </c>
      <c r="M4312" s="26">
        <v>450</v>
      </c>
      <c r="O4312" s="22" t="s">
        <v>43</v>
      </c>
      <c r="P4312" s="22" t="s">
        <v>44</v>
      </c>
      <c r="Q4312" s="22" t="s">
        <v>45</v>
      </c>
      <c r="R4312" s="22" t="s">
        <v>46</v>
      </c>
      <c r="S4312" s="22" t="s">
        <v>47</v>
      </c>
      <c r="X4312" s="26"/>
      <c r="Y4312" s="26"/>
    </row>
    <row r="4313" spans="1:25" ht="25" x14ac:dyDescent="0.25">
      <c r="A4313" s="21">
        <v>6026</v>
      </c>
      <c r="B4313" s="22" t="s">
        <v>15325</v>
      </c>
      <c r="C4313" s="22" t="s">
        <v>41</v>
      </c>
      <c r="F4313" s="22" t="s">
        <v>59</v>
      </c>
      <c r="H4313" s="25" t="s">
        <v>16311</v>
      </c>
      <c r="I4313" s="22" t="s">
        <v>16311</v>
      </c>
      <c r="J4313" s="22" t="s">
        <v>16311</v>
      </c>
      <c r="K4313" s="26">
        <f t="shared" si="67"/>
        <v>300</v>
      </c>
      <c r="M4313" s="26">
        <v>450</v>
      </c>
      <c r="O4313" s="22" t="s">
        <v>43</v>
      </c>
      <c r="P4313" s="22" t="s">
        <v>44</v>
      </c>
      <c r="Q4313" s="22" t="s">
        <v>45</v>
      </c>
      <c r="R4313" s="22" t="s">
        <v>46</v>
      </c>
      <c r="S4313" s="22" t="s">
        <v>47</v>
      </c>
      <c r="X4313" s="26"/>
      <c r="Y4313" s="26"/>
    </row>
    <row r="4314" spans="1:25" x14ac:dyDescent="0.25">
      <c r="A4314" s="21">
        <v>6027</v>
      </c>
      <c r="B4314" s="22" t="s">
        <v>15325</v>
      </c>
      <c r="C4314" s="22" t="s">
        <v>60</v>
      </c>
      <c r="F4314" s="22" t="s">
        <v>61</v>
      </c>
      <c r="H4314" s="25" t="s">
        <v>16311</v>
      </c>
      <c r="I4314" s="22" t="s">
        <v>16311</v>
      </c>
      <c r="J4314" s="22" t="s">
        <v>16311</v>
      </c>
      <c r="K4314" s="26">
        <f t="shared" si="67"/>
        <v>533.33333333333326</v>
      </c>
      <c r="M4314" s="26">
        <v>800</v>
      </c>
      <c r="O4314" s="22" t="s">
        <v>62</v>
      </c>
      <c r="P4314" s="22" t="s">
        <v>63</v>
      </c>
      <c r="Q4314" s="22" t="s">
        <v>64</v>
      </c>
      <c r="R4314" s="22" t="s">
        <v>65</v>
      </c>
      <c r="S4314" s="22" t="s">
        <v>66</v>
      </c>
      <c r="X4314" s="26"/>
      <c r="Y4314" s="26"/>
    </row>
    <row r="4315" spans="1:25" x14ac:dyDescent="0.25">
      <c r="A4315" s="21">
        <v>6028</v>
      </c>
      <c r="B4315" s="22" t="s">
        <v>15325</v>
      </c>
      <c r="C4315" s="22" t="s">
        <v>67</v>
      </c>
      <c r="F4315" s="22" t="s">
        <v>68</v>
      </c>
      <c r="H4315" s="25" t="s">
        <v>16311</v>
      </c>
      <c r="I4315" s="22" t="s">
        <v>16311</v>
      </c>
      <c r="J4315" s="22" t="s">
        <v>16311</v>
      </c>
      <c r="K4315" s="26">
        <f t="shared" si="67"/>
        <v>310</v>
      </c>
      <c r="M4315" s="26">
        <v>465</v>
      </c>
      <c r="O4315" s="22" t="s">
        <v>69</v>
      </c>
      <c r="P4315" s="22" t="s">
        <v>322</v>
      </c>
      <c r="Q4315" s="22" t="s">
        <v>70</v>
      </c>
      <c r="R4315" s="22" t="s">
        <v>71</v>
      </c>
      <c r="S4315" s="22" t="s">
        <v>72</v>
      </c>
      <c r="X4315" s="26"/>
      <c r="Y4315" s="26"/>
    </row>
    <row r="4316" spans="1:25" ht="25" x14ac:dyDescent="0.25">
      <c r="A4316" s="21">
        <v>6029</v>
      </c>
      <c r="B4316" s="22" t="s">
        <v>15325</v>
      </c>
      <c r="C4316" s="22" t="s">
        <v>73</v>
      </c>
      <c r="F4316" s="22" t="s">
        <v>74</v>
      </c>
      <c r="H4316" s="25" t="s">
        <v>16311</v>
      </c>
      <c r="I4316" s="22" t="s">
        <v>16311</v>
      </c>
      <c r="J4316" s="22" t="s">
        <v>16311</v>
      </c>
      <c r="K4316" s="26">
        <f t="shared" si="67"/>
        <v>500</v>
      </c>
      <c r="M4316" s="26">
        <v>750</v>
      </c>
      <c r="O4316" s="22" t="s">
        <v>75</v>
      </c>
      <c r="P4316" s="22" t="s">
        <v>76</v>
      </c>
      <c r="Q4316" s="22">
        <v>90723</v>
      </c>
      <c r="R4316" s="22" t="s">
        <v>77</v>
      </c>
      <c r="S4316" s="22" t="s">
        <v>78</v>
      </c>
      <c r="X4316" s="26"/>
      <c r="Y4316" s="26"/>
    </row>
    <row r="4317" spans="1:25" x14ac:dyDescent="0.25">
      <c r="A4317" s="21">
        <v>6030</v>
      </c>
      <c r="B4317" s="22" t="s">
        <v>15325</v>
      </c>
      <c r="C4317" s="22" t="s">
        <v>79</v>
      </c>
      <c r="F4317" s="22" t="s">
        <v>80</v>
      </c>
      <c r="H4317" s="25" t="s">
        <v>16311</v>
      </c>
      <c r="I4317" s="22" t="s">
        <v>16311</v>
      </c>
      <c r="J4317" s="22" t="s">
        <v>16311</v>
      </c>
      <c r="K4317" s="26">
        <f t="shared" ref="K4317:K4380" si="68">L4317+M4317*(2/3)+N4317*(2/3)</f>
        <v>600</v>
      </c>
      <c r="M4317" s="26">
        <v>900</v>
      </c>
      <c r="O4317" s="22" t="s">
        <v>1315</v>
      </c>
      <c r="P4317" s="22" t="s">
        <v>1847</v>
      </c>
      <c r="Q4317" s="22" t="s">
        <v>1316</v>
      </c>
      <c r="R4317" s="22" t="s">
        <v>1317</v>
      </c>
      <c r="S4317" s="22" t="s">
        <v>1318</v>
      </c>
      <c r="X4317" s="26"/>
      <c r="Y4317" s="26"/>
    </row>
    <row r="4318" spans="1:25" x14ac:dyDescent="0.25">
      <c r="A4318" s="21">
        <v>6031</v>
      </c>
      <c r="B4318" s="22" t="s">
        <v>15325</v>
      </c>
      <c r="C4318" s="22" t="s">
        <v>79</v>
      </c>
      <c r="F4318" s="22" t="s">
        <v>81</v>
      </c>
      <c r="H4318" s="25" t="s">
        <v>16311</v>
      </c>
      <c r="I4318" s="22" t="s">
        <v>16311</v>
      </c>
      <c r="J4318" s="22" t="s">
        <v>16311</v>
      </c>
      <c r="K4318" s="26">
        <f t="shared" si="68"/>
        <v>553.33333333333326</v>
      </c>
      <c r="M4318" s="26">
        <v>830</v>
      </c>
      <c r="O4318" s="22" t="s">
        <v>1315</v>
      </c>
      <c r="P4318" s="22" t="s">
        <v>1847</v>
      </c>
      <c r="Q4318" s="22" t="s">
        <v>1316</v>
      </c>
      <c r="R4318" s="22" t="s">
        <v>1317</v>
      </c>
      <c r="S4318" s="22" t="s">
        <v>1318</v>
      </c>
      <c r="X4318" s="26"/>
      <c r="Y4318" s="26"/>
    </row>
    <row r="4319" spans="1:25" ht="25" x14ac:dyDescent="0.25">
      <c r="A4319" s="21">
        <v>6032</v>
      </c>
      <c r="B4319" s="22" t="s">
        <v>15325</v>
      </c>
      <c r="C4319" s="22" t="s">
        <v>82</v>
      </c>
      <c r="F4319" s="22" t="s">
        <v>83</v>
      </c>
      <c r="H4319" s="25" t="s">
        <v>16311</v>
      </c>
      <c r="I4319" s="22" t="s">
        <v>16311</v>
      </c>
      <c r="J4319" s="22" t="s">
        <v>16311</v>
      </c>
      <c r="K4319" s="26">
        <f t="shared" si="68"/>
        <v>497.33333333333331</v>
      </c>
      <c r="M4319" s="26">
        <v>746</v>
      </c>
      <c r="O4319" s="22" t="s">
        <v>84</v>
      </c>
      <c r="P4319" s="22" t="s">
        <v>85</v>
      </c>
      <c r="Q4319" s="22">
        <v>93501</v>
      </c>
      <c r="R4319" s="22" t="s">
        <v>86</v>
      </c>
      <c r="S4319" s="22" t="s">
        <v>87</v>
      </c>
      <c r="X4319" s="26"/>
      <c r="Y4319" s="26"/>
    </row>
    <row r="4320" spans="1:25" x14ac:dyDescent="0.25">
      <c r="A4320" s="21">
        <v>6033</v>
      </c>
      <c r="B4320" s="22" t="s">
        <v>15325</v>
      </c>
      <c r="C4320" s="22" t="s">
        <v>88</v>
      </c>
      <c r="F4320" s="22" t="s">
        <v>89</v>
      </c>
      <c r="H4320" s="25" t="s">
        <v>16311</v>
      </c>
      <c r="I4320" s="22" t="s">
        <v>16311</v>
      </c>
      <c r="J4320" s="22" t="s">
        <v>16311</v>
      </c>
      <c r="K4320" s="26">
        <f t="shared" si="68"/>
        <v>456.66666666666663</v>
      </c>
      <c r="M4320" s="26">
        <v>685</v>
      </c>
      <c r="S4320" s="22" t="s">
        <v>90</v>
      </c>
      <c r="X4320" s="26"/>
      <c r="Y4320" s="26"/>
    </row>
    <row r="4321" spans="1:25" ht="25" x14ac:dyDescent="0.25">
      <c r="A4321" s="21">
        <v>6034</v>
      </c>
      <c r="B4321" s="22" t="s">
        <v>15325</v>
      </c>
      <c r="C4321" s="22" t="s">
        <v>91</v>
      </c>
      <c r="F4321" s="22" t="s">
        <v>92</v>
      </c>
      <c r="H4321" s="25" t="s">
        <v>16311</v>
      </c>
      <c r="I4321" s="22" t="s">
        <v>16311</v>
      </c>
      <c r="J4321" s="22" t="s">
        <v>16311</v>
      </c>
      <c r="K4321" s="26">
        <f t="shared" si="68"/>
        <v>346</v>
      </c>
      <c r="M4321" s="26">
        <v>519</v>
      </c>
      <c r="O4321" s="22" t="s">
        <v>93</v>
      </c>
      <c r="P4321" s="22" t="s">
        <v>94</v>
      </c>
      <c r="Q4321" s="22">
        <v>93554</v>
      </c>
      <c r="R4321" s="22" t="s">
        <v>95</v>
      </c>
      <c r="S4321" s="22" t="s">
        <v>96</v>
      </c>
      <c r="X4321" s="26"/>
      <c r="Y4321" s="26"/>
    </row>
    <row r="4322" spans="1:25" ht="25" x14ac:dyDescent="0.25">
      <c r="A4322" s="21">
        <v>6035</v>
      </c>
      <c r="B4322" s="22" t="s">
        <v>15325</v>
      </c>
      <c r="C4322" s="22" t="s">
        <v>91</v>
      </c>
      <c r="F4322" s="22" t="s">
        <v>97</v>
      </c>
      <c r="H4322" s="25" t="s">
        <v>16311</v>
      </c>
      <c r="I4322" s="22" t="s">
        <v>16311</v>
      </c>
      <c r="J4322" s="22" t="s">
        <v>16311</v>
      </c>
      <c r="K4322" s="26">
        <f t="shared" si="68"/>
        <v>346</v>
      </c>
      <c r="M4322" s="26">
        <v>519</v>
      </c>
      <c r="O4322" s="22" t="s">
        <v>93</v>
      </c>
      <c r="P4322" s="22" t="s">
        <v>94</v>
      </c>
      <c r="Q4322" s="22">
        <v>93554</v>
      </c>
      <c r="R4322" s="22" t="s">
        <v>95</v>
      </c>
      <c r="S4322" s="22" t="s">
        <v>96</v>
      </c>
      <c r="X4322" s="26"/>
      <c r="Y4322" s="26"/>
    </row>
    <row r="4323" spans="1:25" ht="37.5" x14ac:dyDescent="0.25">
      <c r="A4323" s="21">
        <v>6036</v>
      </c>
      <c r="B4323" s="22" t="s">
        <v>15325</v>
      </c>
      <c r="C4323" s="22" t="s">
        <v>41</v>
      </c>
      <c r="D4323" s="23">
        <v>143204</v>
      </c>
      <c r="E4323" s="24">
        <v>2001</v>
      </c>
      <c r="G4323" s="23" t="s">
        <v>98</v>
      </c>
      <c r="H4323" s="25" t="s">
        <v>15373</v>
      </c>
      <c r="I4323" s="22" t="s">
        <v>15382</v>
      </c>
      <c r="J4323" s="22" t="s">
        <v>16569</v>
      </c>
      <c r="K4323" s="26">
        <f t="shared" si="68"/>
        <v>400</v>
      </c>
      <c r="L4323" s="26">
        <v>400</v>
      </c>
      <c r="O4323" s="22" t="s">
        <v>99</v>
      </c>
      <c r="P4323" s="22" t="s">
        <v>44</v>
      </c>
      <c r="Q4323" s="22">
        <v>93523</v>
      </c>
      <c r="R4323" s="22" t="s">
        <v>46</v>
      </c>
      <c r="S4323" s="22" t="s">
        <v>47</v>
      </c>
      <c r="X4323" s="26"/>
      <c r="Y4323" s="26"/>
    </row>
    <row r="4324" spans="1:25" ht="37.5" x14ac:dyDescent="0.25">
      <c r="A4324" s="21">
        <v>6037</v>
      </c>
      <c r="B4324" s="22" t="s">
        <v>15325</v>
      </c>
      <c r="C4324" s="22" t="s">
        <v>41</v>
      </c>
      <c r="D4324" s="23">
        <v>143205</v>
      </c>
      <c r="E4324" s="24">
        <v>2001</v>
      </c>
      <c r="G4324" s="23" t="s">
        <v>98</v>
      </c>
      <c r="H4324" s="25" t="s">
        <v>15373</v>
      </c>
      <c r="I4324" s="22" t="s">
        <v>15382</v>
      </c>
      <c r="J4324" s="22" t="s">
        <v>16569</v>
      </c>
      <c r="K4324" s="26">
        <f t="shared" si="68"/>
        <v>400</v>
      </c>
      <c r="L4324" s="26">
        <v>400</v>
      </c>
      <c r="O4324" s="22" t="s">
        <v>99</v>
      </c>
      <c r="P4324" s="22" t="s">
        <v>44</v>
      </c>
      <c r="Q4324" s="22">
        <v>93523</v>
      </c>
      <c r="R4324" s="22" t="s">
        <v>46</v>
      </c>
      <c r="S4324" s="22" t="s">
        <v>47</v>
      </c>
      <c r="X4324" s="26"/>
      <c r="Y4324" s="26"/>
    </row>
    <row r="4325" spans="1:25" ht="37.5" x14ac:dyDescent="0.25">
      <c r="A4325" s="21">
        <v>6038</v>
      </c>
      <c r="B4325" s="22" t="s">
        <v>15325</v>
      </c>
      <c r="C4325" s="22" t="s">
        <v>16</v>
      </c>
      <c r="D4325" s="23">
        <v>87035</v>
      </c>
      <c r="E4325" s="24">
        <v>2002</v>
      </c>
      <c r="G4325" s="23" t="s">
        <v>100</v>
      </c>
      <c r="H4325" s="25" t="s">
        <v>15373</v>
      </c>
      <c r="I4325" s="22" t="s">
        <v>15374</v>
      </c>
      <c r="J4325" s="22" t="s">
        <v>12899</v>
      </c>
      <c r="K4325" s="26">
        <f t="shared" si="68"/>
        <v>2000</v>
      </c>
      <c r="L4325" s="26">
        <v>2000</v>
      </c>
      <c r="O4325" s="22" t="s">
        <v>18</v>
      </c>
      <c r="P4325" s="22" t="s">
        <v>6</v>
      </c>
      <c r="Q4325" s="22">
        <v>93581</v>
      </c>
      <c r="R4325" s="22" t="s">
        <v>19</v>
      </c>
      <c r="S4325" s="22" t="s">
        <v>20</v>
      </c>
      <c r="X4325" s="26"/>
      <c r="Y4325" s="26"/>
    </row>
    <row r="4326" spans="1:25" ht="25" x14ac:dyDescent="0.25">
      <c r="A4326" s="21">
        <v>6100</v>
      </c>
      <c r="B4326" s="22" t="s">
        <v>15326</v>
      </c>
      <c r="C4326" s="22" t="s">
        <v>101</v>
      </c>
      <c r="E4326" s="24">
        <v>1992</v>
      </c>
      <c r="F4326" s="22" t="s">
        <v>102</v>
      </c>
      <c r="G4326" s="23" t="s">
        <v>103</v>
      </c>
      <c r="H4326" s="25" t="s">
        <v>15373</v>
      </c>
      <c r="I4326" s="22" t="s">
        <v>104</v>
      </c>
      <c r="J4326" s="22" t="s">
        <v>105</v>
      </c>
      <c r="K4326" s="26">
        <f t="shared" si="68"/>
        <v>300</v>
      </c>
      <c r="L4326" s="26">
        <v>300</v>
      </c>
      <c r="O4326" s="22" t="s">
        <v>106</v>
      </c>
      <c r="P4326" s="22" t="s">
        <v>107</v>
      </c>
      <c r="Q4326" s="22">
        <v>95453</v>
      </c>
      <c r="R4326" s="22" t="s">
        <v>108</v>
      </c>
      <c r="S4326" s="22" t="s">
        <v>109</v>
      </c>
      <c r="T4326" s="22">
        <v>8.17</v>
      </c>
      <c r="U4326" s="22">
        <v>0.38</v>
      </c>
      <c r="X4326" s="26"/>
      <c r="Y4326" s="26"/>
    </row>
    <row r="4327" spans="1:25" ht="25" x14ac:dyDescent="0.25">
      <c r="A4327" s="21">
        <v>6101</v>
      </c>
      <c r="B4327" s="22" t="s">
        <v>15326</v>
      </c>
      <c r="C4327" s="22" t="s">
        <v>110</v>
      </c>
      <c r="E4327" s="24">
        <v>1986</v>
      </c>
      <c r="F4327" s="22" t="s">
        <v>111</v>
      </c>
      <c r="G4327" s="23" t="s">
        <v>112</v>
      </c>
      <c r="H4327" s="25" t="s">
        <v>15373</v>
      </c>
      <c r="I4327" s="22" t="s">
        <v>16311</v>
      </c>
      <c r="J4327" s="22" t="s">
        <v>16311</v>
      </c>
      <c r="K4327" s="26">
        <f t="shared" si="68"/>
        <v>1200</v>
      </c>
      <c r="L4327" s="26">
        <v>1200</v>
      </c>
      <c r="O4327" s="22" t="s">
        <v>113</v>
      </c>
      <c r="P4327" s="22" t="s">
        <v>114</v>
      </c>
      <c r="Q4327" s="22">
        <v>95457</v>
      </c>
      <c r="R4327" s="22" t="s">
        <v>115</v>
      </c>
      <c r="S4327" s="22" t="s">
        <v>116</v>
      </c>
      <c r="T4327" s="22">
        <v>11</v>
      </c>
      <c r="U4327" s="22">
        <v>0.53</v>
      </c>
      <c r="X4327" s="26"/>
      <c r="Y4327" s="26"/>
    </row>
    <row r="4328" spans="1:25" ht="25" x14ac:dyDescent="0.25">
      <c r="A4328" s="21">
        <v>6102</v>
      </c>
      <c r="B4328" s="22" t="s">
        <v>15326</v>
      </c>
      <c r="C4328" s="22" t="s">
        <v>117</v>
      </c>
      <c r="E4328" s="24">
        <v>1992</v>
      </c>
      <c r="F4328" s="22" t="s">
        <v>118</v>
      </c>
      <c r="G4328" s="23" t="s">
        <v>119</v>
      </c>
      <c r="H4328" s="25" t="s">
        <v>15373</v>
      </c>
      <c r="I4328" s="22" t="s">
        <v>15411</v>
      </c>
      <c r="J4328" s="22" t="s">
        <v>16884</v>
      </c>
      <c r="K4328" s="26">
        <f t="shared" si="68"/>
        <v>370</v>
      </c>
      <c r="L4328" s="26">
        <v>370</v>
      </c>
      <c r="O4328" s="22" t="s">
        <v>120</v>
      </c>
      <c r="P4328" s="22" t="s">
        <v>121</v>
      </c>
      <c r="Q4328" s="22">
        <v>95422</v>
      </c>
      <c r="R4328" s="22" t="s">
        <v>122</v>
      </c>
      <c r="S4328" s="22" t="s">
        <v>123</v>
      </c>
      <c r="T4328" s="22">
        <v>8.17</v>
      </c>
      <c r="U4328" s="22">
        <v>0.38</v>
      </c>
      <c r="X4328" s="26"/>
      <c r="Y4328" s="26"/>
    </row>
    <row r="4329" spans="1:25" ht="25" x14ac:dyDescent="0.25">
      <c r="A4329" s="21">
        <v>6103</v>
      </c>
      <c r="B4329" s="22" t="s">
        <v>15326</v>
      </c>
      <c r="C4329" s="22" t="s">
        <v>117</v>
      </c>
      <c r="E4329" s="24">
        <v>1992</v>
      </c>
      <c r="F4329" s="22" t="s">
        <v>124</v>
      </c>
      <c r="G4329" s="23" t="s">
        <v>125</v>
      </c>
      <c r="H4329" s="25" t="s">
        <v>15373</v>
      </c>
      <c r="I4329" s="22" t="s">
        <v>15411</v>
      </c>
      <c r="J4329" s="22" t="s">
        <v>126</v>
      </c>
      <c r="K4329" s="26">
        <f t="shared" si="68"/>
        <v>350</v>
      </c>
      <c r="L4329" s="26">
        <v>350</v>
      </c>
      <c r="O4329" s="22" t="s">
        <v>127</v>
      </c>
      <c r="P4329" s="22" t="s">
        <v>107</v>
      </c>
      <c r="Q4329" s="22">
        <v>95453</v>
      </c>
      <c r="R4329" s="22" t="s">
        <v>128</v>
      </c>
      <c r="S4329" s="22" t="s">
        <v>123</v>
      </c>
      <c r="T4329" s="22">
        <v>8.17</v>
      </c>
      <c r="U4329" s="22">
        <v>0.38</v>
      </c>
      <c r="X4329" s="26"/>
      <c r="Y4329" s="26"/>
    </row>
    <row r="4330" spans="1:25" ht="25" x14ac:dyDescent="0.25">
      <c r="A4330" s="21">
        <v>6104</v>
      </c>
      <c r="B4330" s="22" t="s">
        <v>15326</v>
      </c>
      <c r="C4330" s="22" t="s">
        <v>117</v>
      </c>
      <c r="E4330" s="24">
        <v>1992</v>
      </c>
      <c r="F4330" s="22" t="s">
        <v>129</v>
      </c>
      <c r="G4330" s="23" t="s">
        <v>125</v>
      </c>
      <c r="H4330" s="25" t="s">
        <v>15373</v>
      </c>
      <c r="I4330" s="22" t="s">
        <v>15411</v>
      </c>
      <c r="J4330" s="22" t="s">
        <v>126</v>
      </c>
      <c r="K4330" s="26">
        <f t="shared" si="68"/>
        <v>350</v>
      </c>
      <c r="L4330" s="26">
        <v>350</v>
      </c>
      <c r="O4330" s="22" t="s">
        <v>130</v>
      </c>
      <c r="P4330" s="22" t="s">
        <v>107</v>
      </c>
      <c r="Q4330" s="22">
        <v>95453</v>
      </c>
      <c r="R4330" s="22" t="s">
        <v>122</v>
      </c>
      <c r="S4330" s="22" t="s">
        <v>123</v>
      </c>
      <c r="T4330" s="22">
        <v>8.17</v>
      </c>
      <c r="U4330" s="22">
        <v>0.38</v>
      </c>
      <c r="X4330" s="26"/>
      <c r="Y4330" s="26"/>
    </row>
    <row r="4331" spans="1:25" x14ac:dyDescent="0.25">
      <c r="A4331" s="21">
        <v>6105</v>
      </c>
      <c r="B4331" s="22" t="s">
        <v>15326</v>
      </c>
      <c r="C4331" s="22" t="s">
        <v>131</v>
      </c>
      <c r="E4331" s="24">
        <v>1995</v>
      </c>
      <c r="F4331" s="22" t="s">
        <v>132</v>
      </c>
      <c r="G4331" s="23" t="s">
        <v>133</v>
      </c>
      <c r="H4331" s="25" t="s">
        <v>15373</v>
      </c>
      <c r="I4331" s="22" t="s">
        <v>15411</v>
      </c>
      <c r="J4331" s="22" t="s">
        <v>134</v>
      </c>
      <c r="K4331" s="26">
        <f t="shared" si="68"/>
        <v>500</v>
      </c>
      <c r="L4331" s="26">
        <v>500</v>
      </c>
      <c r="O4331" s="22" t="s">
        <v>135</v>
      </c>
      <c r="P4331" s="22" t="s">
        <v>107</v>
      </c>
      <c r="Q4331" s="22">
        <v>95453</v>
      </c>
      <c r="R4331" s="22" t="s">
        <v>136</v>
      </c>
      <c r="S4331" s="22" t="s">
        <v>137</v>
      </c>
      <c r="T4331" s="22">
        <v>8.17</v>
      </c>
      <c r="U4331" s="22">
        <v>0.38</v>
      </c>
      <c r="X4331" s="26"/>
      <c r="Y4331" s="26"/>
    </row>
    <row r="4332" spans="1:25" ht="25" x14ac:dyDescent="0.25">
      <c r="A4332" s="21">
        <v>6106</v>
      </c>
      <c r="B4332" s="22" t="s">
        <v>15326</v>
      </c>
      <c r="C4332" s="22" t="s">
        <v>138</v>
      </c>
      <c r="E4332" s="24">
        <v>1996</v>
      </c>
      <c r="F4332" s="22" t="s">
        <v>139</v>
      </c>
      <c r="G4332" s="23" t="s">
        <v>140</v>
      </c>
      <c r="H4332" s="25" t="s">
        <v>15373</v>
      </c>
      <c r="I4332" s="22" t="s">
        <v>141</v>
      </c>
      <c r="J4332" s="22" t="s">
        <v>142</v>
      </c>
      <c r="K4332" s="26">
        <f t="shared" si="68"/>
        <v>400</v>
      </c>
      <c r="L4332" s="26">
        <v>400</v>
      </c>
      <c r="O4332" s="22" t="s">
        <v>143</v>
      </c>
      <c r="P4332" s="22" t="s">
        <v>144</v>
      </c>
      <c r="Q4332" s="22" t="s">
        <v>145</v>
      </c>
      <c r="R4332" s="22" t="s">
        <v>146</v>
      </c>
      <c r="S4332" s="22" t="s">
        <v>147</v>
      </c>
      <c r="T4332" s="22">
        <v>6.9</v>
      </c>
      <c r="U4332" s="22">
        <v>0.4</v>
      </c>
      <c r="X4332" s="26"/>
      <c r="Y4332" s="26"/>
    </row>
    <row r="4333" spans="1:25" ht="25" x14ac:dyDescent="0.25">
      <c r="A4333" s="21">
        <v>6107</v>
      </c>
      <c r="B4333" s="22" t="s">
        <v>15326</v>
      </c>
      <c r="C4333" s="22" t="s">
        <v>138</v>
      </c>
      <c r="E4333" s="24">
        <v>1996</v>
      </c>
      <c r="F4333" s="22" t="s">
        <v>139</v>
      </c>
      <c r="G4333" s="23" t="s">
        <v>140</v>
      </c>
      <c r="H4333" s="25" t="s">
        <v>15373</v>
      </c>
      <c r="I4333" s="22" t="s">
        <v>141</v>
      </c>
      <c r="J4333" s="22" t="s">
        <v>142</v>
      </c>
      <c r="K4333" s="26">
        <f t="shared" si="68"/>
        <v>400</v>
      </c>
      <c r="L4333" s="26">
        <v>400</v>
      </c>
      <c r="O4333" s="22" t="s">
        <v>143</v>
      </c>
      <c r="P4333" s="22" t="s">
        <v>144</v>
      </c>
      <c r="Q4333" s="22" t="s">
        <v>145</v>
      </c>
      <c r="R4333" s="22" t="s">
        <v>146</v>
      </c>
      <c r="S4333" s="22" t="s">
        <v>147</v>
      </c>
      <c r="T4333" s="22">
        <v>6.9</v>
      </c>
      <c r="U4333" s="22">
        <v>0.4</v>
      </c>
      <c r="X4333" s="26"/>
      <c r="Y4333" s="26"/>
    </row>
    <row r="4334" spans="1:25" ht="25" x14ac:dyDescent="0.25">
      <c r="A4334" s="21">
        <v>6125</v>
      </c>
      <c r="B4334" s="22" t="s">
        <v>15327</v>
      </c>
      <c r="C4334" s="22" t="s">
        <v>148</v>
      </c>
      <c r="E4334" s="24">
        <v>1993</v>
      </c>
      <c r="H4334" s="25" t="s">
        <v>15373</v>
      </c>
      <c r="I4334" s="22" t="s">
        <v>15374</v>
      </c>
      <c r="J4334" s="22" t="s">
        <v>16404</v>
      </c>
      <c r="K4334" s="26">
        <f t="shared" si="68"/>
        <v>300</v>
      </c>
      <c r="L4334" s="26">
        <v>300</v>
      </c>
      <c r="O4334" s="22" t="s">
        <v>149</v>
      </c>
      <c r="P4334" s="22" t="s">
        <v>150</v>
      </c>
      <c r="Q4334" s="22">
        <v>95389</v>
      </c>
      <c r="R4334" s="22" t="s">
        <v>151</v>
      </c>
      <c r="S4334" s="22" t="s">
        <v>152</v>
      </c>
      <c r="T4334" s="22">
        <v>8.17</v>
      </c>
      <c r="U4334" s="22">
        <v>0.38</v>
      </c>
      <c r="X4334" s="26"/>
      <c r="Y4334" s="26"/>
    </row>
    <row r="4335" spans="1:25" ht="25" x14ac:dyDescent="0.25">
      <c r="A4335" s="21">
        <v>6126</v>
      </c>
      <c r="B4335" s="22" t="s">
        <v>15327</v>
      </c>
      <c r="C4335" s="22" t="s">
        <v>153</v>
      </c>
      <c r="E4335" s="24">
        <v>1981</v>
      </c>
      <c r="H4335" s="25" t="s">
        <v>15373</v>
      </c>
      <c r="I4335" s="22" t="s">
        <v>15411</v>
      </c>
      <c r="J4335" s="22" t="s">
        <v>154</v>
      </c>
      <c r="K4335" s="26">
        <f t="shared" si="68"/>
        <v>420</v>
      </c>
      <c r="L4335" s="26">
        <v>420</v>
      </c>
      <c r="O4335" s="22" t="s">
        <v>155</v>
      </c>
      <c r="P4335" s="22" t="s">
        <v>150</v>
      </c>
      <c r="Q4335" s="22">
        <v>95389</v>
      </c>
      <c r="R4335" s="22" t="s">
        <v>151</v>
      </c>
      <c r="S4335" s="22" t="s">
        <v>152</v>
      </c>
      <c r="T4335" s="22">
        <v>12</v>
      </c>
      <c r="U4335" s="22">
        <v>0.53</v>
      </c>
      <c r="X4335" s="26"/>
      <c r="Y4335" s="26"/>
    </row>
    <row r="4336" spans="1:25" ht="25" x14ac:dyDescent="0.25">
      <c r="A4336" s="21">
        <v>6127</v>
      </c>
      <c r="B4336" s="22" t="s">
        <v>15327</v>
      </c>
      <c r="C4336" s="22" t="s">
        <v>156</v>
      </c>
      <c r="E4336" s="24">
        <v>1987</v>
      </c>
      <c r="H4336" s="25" t="s">
        <v>15373</v>
      </c>
      <c r="I4336" s="22" t="s">
        <v>15374</v>
      </c>
      <c r="J4336" s="22" t="s">
        <v>6667</v>
      </c>
      <c r="K4336" s="26">
        <f t="shared" si="68"/>
        <v>400</v>
      </c>
      <c r="L4336" s="26">
        <v>400</v>
      </c>
      <c r="O4336" s="22" t="s">
        <v>157</v>
      </c>
      <c r="P4336" s="22" t="s">
        <v>150</v>
      </c>
      <c r="Q4336" s="22">
        <v>95389</v>
      </c>
      <c r="R4336" s="22" t="s">
        <v>151</v>
      </c>
      <c r="S4336" s="22" t="s">
        <v>152</v>
      </c>
      <c r="T4336" s="22">
        <v>11</v>
      </c>
      <c r="U4336" s="22">
        <v>0.53</v>
      </c>
      <c r="X4336" s="26"/>
      <c r="Y4336" s="26"/>
    </row>
    <row r="4337" spans="1:25" ht="25" x14ac:dyDescent="0.25">
      <c r="A4337" s="21">
        <v>6150</v>
      </c>
      <c r="B4337" s="22" t="s">
        <v>15329</v>
      </c>
      <c r="C4337" s="22" t="s">
        <v>158</v>
      </c>
      <c r="F4337" s="22" t="s">
        <v>159</v>
      </c>
      <c r="G4337" s="23" t="s">
        <v>160</v>
      </c>
      <c r="H4337" s="25" t="s">
        <v>15373</v>
      </c>
      <c r="I4337" s="22" t="s">
        <v>15374</v>
      </c>
      <c r="J4337" s="22" t="s">
        <v>16311</v>
      </c>
      <c r="K4337" s="26">
        <f t="shared" si="68"/>
        <v>750</v>
      </c>
      <c r="L4337" s="26">
        <v>750</v>
      </c>
      <c r="P4337" s="22" t="s">
        <v>161</v>
      </c>
      <c r="Q4337" s="22">
        <v>95459</v>
      </c>
      <c r="R4337" s="22" t="s">
        <v>1019</v>
      </c>
      <c r="S4337" s="22" t="s">
        <v>162</v>
      </c>
      <c r="X4337" s="26"/>
      <c r="Y4337" s="26"/>
    </row>
    <row r="4338" spans="1:25" ht="25" x14ac:dyDescent="0.25">
      <c r="A4338" s="21">
        <v>6151</v>
      </c>
      <c r="B4338" s="22" t="s">
        <v>15329</v>
      </c>
      <c r="C4338" s="22" t="s">
        <v>158</v>
      </c>
      <c r="F4338" s="22" t="s">
        <v>159</v>
      </c>
      <c r="G4338" s="23" t="s">
        <v>160</v>
      </c>
      <c r="H4338" s="25" t="s">
        <v>15373</v>
      </c>
      <c r="I4338" s="22" t="s">
        <v>15374</v>
      </c>
      <c r="J4338" s="22" t="s">
        <v>16311</v>
      </c>
      <c r="K4338" s="26">
        <f t="shared" si="68"/>
        <v>750</v>
      </c>
      <c r="L4338" s="26">
        <v>750</v>
      </c>
      <c r="P4338" s="22" t="s">
        <v>161</v>
      </c>
      <c r="Q4338" s="22">
        <v>95459</v>
      </c>
      <c r="R4338" s="22" t="s">
        <v>1019</v>
      </c>
      <c r="S4338" s="22" t="s">
        <v>162</v>
      </c>
      <c r="X4338" s="26"/>
      <c r="Y4338" s="26"/>
    </row>
    <row r="4339" spans="1:25" ht="25" x14ac:dyDescent="0.25">
      <c r="A4339" s="21">
        <v>6152</v>
      </c>
      <c r="B4339" s="22" t="s">
        <v>15329</v>
      </c>
      <c r="C4339" s="22" t="s">
        <v>158</v>
      </c>
      <c r="F4339" s="22" t="s">
        <v>159</v>
      </c>
      <c r="G4339" s="23" t="s">
        <v>160</v>
      </c>
      <c r="H4339" s="25" t="s">
        <v>15373</v>
      </c>
      <c r="I4339" s="22" t="s">
        <v>15374</v>
      </c>
      <c r="J4339" s="22" t="s">
        <v>16311</v>
      </c>
      <c r="K4339" s="26">
        <f t="shared" si="68"/>
        <v>750</v>
      </c>
      <c r="L4339" s="26">
        <v>750</v>
      </c>
      <c r="P4339" s="22" t="s">
        <v>161</v>
      </c>
      <c r="Q4339" s="22">
        <v>95459</v>
      </c>
      <c r="R4339" s="22" t="s">
        <v>1019</v>
      </c>
      <c r="S4339" s="22" t="s">
        <v>162</v>
      </c>
      <c r="X4339" s="26"/>
      <c r="Y4339" s="26"/>
    </row>
    <row r="4340" spans="1:25" ht="25" x14ac:dyDescent="0.25">
      <c r="A4340" s="21">
        <v>6175</v>
      </c>
      <c r="B4340" s="22" t="s">
        <v>15330</v>
      </c>
      <c r="C4340" s="22" t="s">
        <v>163</v>
      </c>
      <c r="F4340" s="22" t="s">
        <v>164</v>
      </c>
      <c r="G4340" s="23" t="s">
        <v>165</v>
      </c>
      <c r="H4340" s="25" t="s">
        <v>15373</v>
      </c>
      <c r="I4340" s="22" t="s">
        <v>15411</v>
      </c>
      <c r="J4340" s="22" t="s">
        <v>166</v>
      </c>
      <c r="K4340" s="26">
        <f t="shared" si="68"/>
        <v>750</v>
      </c>
      <c r="L4340" s="26">
        <v>750</v>
      </c>
      <c r="O4340" s="22" t="s">
        <v>167</v>
      </c>
      <c r="P4340" s="22" t="s">
        <v>168</v>
      </c>
      <c r="Q4340" s="22" t="s">
        <v>169</v>
      </c>
      <c r="R4340" s="22" t="s">
        <v>170</v>
      </c>
      <c r="S4340" s="22" t="s">
        <v>171</v>
      </c>
      <c r="X4340" s="26"/>
      <c r="Y4340" s="26"/>
    </row>
    <row r="4341" spans="1:25" x14ac:dyDescent="0.25">
      <c r="A4341" s="21">
        <v>6200</v>
      </c>
      <c r="B4341" s="22" t="s">
        <v>15334</v>
      </c>
      <c r="C4341" s="22" t="s">
        <v>172</v>
      </c>
      <c r="H4341" s="25" t="s">
        <v>15373</v>
      </c>
      <c r="I4341" s="22" t="s">
        <v>15411</v>
      </c>
      <c r="J4341" s="22" t="s">
        <v>15068</v>
      </c>
      <c r="K4341" s="26">
        <f t="shared" si="68"/>
        <v>821.33333333333326</v>
      </c>
      <c r="M4341" s="26">
        <v>1232</v>
      </c>
      <c r="O4341" s="22" t="s">
        <v>173</v>
      </c>
      <c r="P4341" s="22" t="s">
        <v>174</v>
      </c>
      <c r="Q4341" s="22" t="s">
        <v>175</v>
      </c>
      <c r="S4341" s="22" t="s">
        <v>176</v>
      </c>
      <c r="X4341" s="26"/>
      <c r="Y4341" s="26"/>
    </row>
    <row r="4342" spans="1:25" x14ac:dyDescent="0.25">
      <c r="A4342" s="21">
        <v>6201</v>
      </c>
      <c r="B4342" s="22" t="s">
        <v>15334</v>
      </c>
      <c r="C4342" s="22" t="s">
        <v>172</v>
      </c>
      <c r="H4342" s="25" t="s">
        <v>15373</v>
      </c>
      <c r="I4342" s="22" t="s">
        <v>15411</v>
      </c>
      <c r="J4342" s="22" t="s">
        <v>15068</v>
      </c>
      <c r="K4342" s="26">
        <f t="shared" si="68"/>
        <v>821.33333333333326</v>
      </c>
      <c r="M4342" s="26">
        <v>1232</v>
      </c>
      <c r="O4342" s="22" t="s">
        <v>173</v>
      </c>
      <c r="P4342" s="22" t="s">
        <v>174</v>
      </c>
      <c r="Q4342" s="22" t="s">
        <v>175</v>
      </c>
      <c r="S4342" s="22" t="s">
        <v>176</v>
      </c>
      <c r="X4342" s="26"/>
      <c r="Y4342" s="26"/>
    </row>
    <row r="4343" spans="1:25" x14ac:dyDescent="0.25">
      <c r="A4343" s="21">
        <v>6202</v>
      </c>
      <c r="B4343" s="22" t="s">
        <v>15334</v>
      </c>
      <c r="C4343" s="22" t="s">
        <v>172</v>
      </c>
      <c r="H4343" s="25" t="s">
        <v>15373</v>
      </c>
      <c r="I4343" s="22" t="s">
        <v>15411</v>
      </c>
      <c r="J4343" s="22" t="s">
        <v>14979</v>
      </c>
      <c r="K4343" s="26">
        <f t="shared" si="68"/>
        <v>486.66666666666663</v>
      </c>
      <c r="M4343" s="26">
        <v>730</v>
      </c>
      <c r="O4343" s="22" t="s">
        <v>173</v>
      </c>
      <c r="P4343" s="22" t="s">
        <v>174</v>
      </c>
      <c r="Q4343" s="22" t="s">
        <v>175</v>
      </c>
      <c r="S4343" s="22" t="s">
        <v>176</v>
      </c>
      <c r="X4343" s="26"/>
      <c r="Y4343" s="26"/>
    </row>
    <row r="4344" spans="1:25" x14ac:dyDescent="0.25">
      <c r="A4344" s="21">
        <v>6203</v>
      </c>
      <c r="B4344" s="22" t="s">
        <v>15334</v>
      </c>
      <c r="C4344" s="22" t="s">
        <v>177</v>
      </c>
      <c r="H4344" s="25" t="s">
        <v>15373</v>
      </c>
      <c r="I4344" s="22" t="s">
        <v>15382</v>
      </c>
      <c r="J4344" s="22" t="s">
        <v>14642</v>
      </c>
      <c r="K4344" s="26">
        <f t="shared" si="68"/>
        <v>756.66666666666663</v>
      </c>
      <c r="M4344" s="26">
        <v>1135</v>
      </c>
      <c r="O4344" s="22" t="s">
        <v>178</v>
      </c>
      <c r="P4344" s="22" t="s">
        <v>2651</v>
      </c>
      <c r="Q4344" s="22" t="s">
        <v>179</v>
      </c>
      <c r="S4344" s="22" t="s">
        <v>180</v>
      </c>
      <c r="X4344" s="26"/>
      <c r="Y4344" s="26"/>
    </row>
    <row r="4345" spans="1:25" x14ac:dyDescent="0.25">
      <c r="A4345" s="21">
        <v>6204</v>
      </c>
      <c r="B4345" s="22" t="s">
        <v>15334</v>
      </c>
      <c r="C4345" s="22" t="s">
        <v>177</v>
      </c>
      <c r="H4345" s="25" t="s">
        <v>15373</v>
      </c>
      <c r="I4345" s="22" t="s">
        <v>15382</v>
      </c>
      <c r="J4345" s="22" t="s">
        <v>14642</v>
      </c>
      <c r="K4345" s="26">
        <f t="shared" si="68"/>
        <v>756.66666666666663</v>
      </c>
      <c r="M4345" s="26">
        <v>1135</v>
      </c>
      <c r="O4345" s="22" t="s">
        <v>178</v>
      </c>
      <c r="P4345" s="22" t="s">
        <v>2651</v>
      </c>
      <c r="Q4345" s="22" t="s">
        <v>179</v>
      </c>
      <c r="S4345" s="22" t="s">
        <v>180</v>
      </c>
      <c r="X4345" s="26"/>
      <c r="Y4345" s="26"/>
    </row>
    <row r="4346" spans="1:25" x14ac:dyDescent="0.25">
      <c r="A4346" s="21">
        <v>6205</v>
      </c>
      <c r="B4346" s="22" t="s">
        <v>15334</v>
      </c>
      <c r="C4346" s="22" t="s">
        <v>181</v>
      </c>
      <c r="H4346" s="25" t="s">
        <v>15373</v>
      </c>
      <c r="I4346" s="22" t="s">
        <v>15382</v>
      </c>
      <c r="J4346" s="22" t="s">
        <v>15640</v>
      </c>
      <c r="K4346" s="26">
        <f t="shared" si="68"/>
        <v>993.33333333333326</v>
      </c>
      <c r="M4346" s="26">
        <v>1490</v>
      </c>
      <c r="O4346" s="22" t="s">
        <v>182</v>
      </c>
      <c r="P4346" s="22" t="s">
        <v>2651</v>
      </c>
      <c r="Q4346" s="22" t="s">
        <v>183</v>
      </c>
      <c r="X4346" s="26"/>
      <c r="Y4346" s="26"/>
    </row>
    <row r="4347" spans="1:25" x14ac:dyDescent="0.25">
      <c r="A4347" s="21">
        <v>6206</v>
      </c>
      <c r="B4347" s="22" t="s">
        <v>15334</v>
      </c>
      <c r="C4347" s="22" t="s">
        <v>181</v>
      </c>
      <c r="H4347" s="25" t="s">
        <v>15373</v>
      </c>
      <c r="I4347" s="22" t="s">
        <v>15382</v>
      </c>
      <c r="J4347" s="22" t="s">
        <v>15640</v>
      </c>
      <c r="K4347" s="26">
        <f t="shared" si="68"/>
        <v>993.33333333333326</v>
      </c>
      <c r="M4347" s="26">
        <v>1490</v>
      </c>
      <c r="O4347" s="22" t="s">
        <v>182</v>
      </c>
      <c r="P4347" s="22" t="s">
        <v>2651</v>
      </c>
      <c r="Q4347" s="22" t="s">
        <v>183</v>
      </c>
      <c r="X4347" s="26"/>
      <c r="Y4347" s="26"/>
    </row>
    <row r="4348" spans="1:25" x14ac:dyDescent="0.25">
      <c r="A4348" s="21">
        <v>6207</v>
      </c>
      <c r="B4348" s="22" t="s">
        <v>15334</v>
      </c>
      <c r="C4348" s="22" t="s">
        <v>181</v>
      </c>
      <c r="H4348" s="25" t="s">
        <v>15373</v>
      </c>
      <c r="I4348" s="22" t="s">
        <v>15382</v>
      </c>
      <c r="J4348" s="22" t="s">
        <v>15640</v>
      </c>
      <c r="K4348" s="26">
        <f t="shared" si="68"/>
        <v>993.33333333333326</v>
      </c>
      <c r="M4348" s="26">
        <v>1490</v>
      </c>
      <c r="O4348" s="22" t="s">
        <v>182</v>
      </c>
      <c r="P4348" s="22" t="s">
        <v>2651</v>
      </c>
      <c r="Q4348" s="22" t="s">
        <v>183</v>
      </c>
      <c r="X4348" s="26"/>
      <c r="Y4348" s="26"/>
    </row>
    <row r="4349" spans="1:25" x14ac:dyDescent="0.25">
      <c r="A4349" s="21">
        <v>6208</v>
      </c>
      <c r="B4349" s="22" t="s">
        <v>15334</v>
      </c>
      <c r="C4349" s="22" t="s">
        <v>184</v>
      </c>
      <c r="H4349" s="25" t="s">
        <v>15373</v>
      </c>
      <c r="I4349" s="22" t="s">
        <v>15374</v>
      </c>
      <c r="J4349" s="22">
        <v>3512</v>
      </c>
      <c r="K4349" s="26">
        <f t="shared" si="68"/>
        <v>1212</v>
      </c>
      <c r="M4349" s="26">
        <v>1818</v>
      </c>
      <c r="O4349" s="22" t="s">
        <v>185</v>
      </c>
      <c r="P4349" s="22" t="s">
        <v>2651</v>
      </c>
      <c r="Q4349" s="22" t="s">
        <v>186</v>
      </c>
      <c r="S4349" s="22" t="s">
        <v>187</v>
      </c>
      <c r="X4349" s="26"/>
      <c r="Y4349" s="26"/>
    </row>
    <row r="4350" spans="1:25" x14ac:dyDescent="0.25">
      <c r="A4350" s="21">
        <v>6209</v>
      </c>
      <c r="B4350" s="22" t="s">
        <v>15334</v>
      </c>
      <c r="C4350" s="22" t="s">
        <v>184</v>
      </c>
      <c r="H4350" s="25" t="s">
        <v>15373</v>
      </c>
      <c r="I4350" s="22" t="s">
        <v>15374</v>
      </c>
      <c r="J4350" s="22">
        <v>3512</v>
      </c>
      <c r="K4350" s="26">
        <f t="shared" si="68"/>
        <v>1212</v>
      </c>
      <c r="M4350" s="26">
        <v>1818</v>
      </c>
      <c r="O4350" s="22" t="s">
        <v>185</v>
      </c>
      <c r="P4350" s="22" t="s">
        <v>2651</v>
      </c>
      <c r="Q4350" s="22" t="s">
        <v>186</v>
      </c>
      <c r="S4350" s="22" t="s">
        <v>187</v>
      </c>
      <c r="X4350" s="26"/>
      <c r="Y4350" s="26"/>
    </row>
    <row r="4351" spans="1:25" x14ac:dyDescent="0.25">
      <c r="A4351" s="21">
        <v>6210</v>
      </c>
      <c r="B4351" s="22" t="s">
        <v>15334</v>
      </c>
      <c r="C4351" s="22" t="s">
        <v>184</v>
      </c>
      <c r="H4351" s="25" t="s">
        <v>15373</v>
      </c>
      <c r="I4351" s="22" t="s">
        <v>15382</v>
      </c>
      <c r="J4351" s="22" t="s">
        <v>5271</v>
      </c>
      <c r="K4351" s="26">
        <f t="shared" si="68"/>
        <v>1066.6666666666665</v>
      </c>
      <c r="M4351" s="26">
        <v>1600</v>
      </c>
      <c r="O4351" s="22" t="s">
        <v>185</v>
      </c>
      <c r="P4351" s="22" t="s">
        <v>2651</v>
      </c>
      <c r="Q4351" s="22" t="s">
        <v>186</v>
      </c>
      <c r="S4351" s="22" t="s">
        <v>187</v>
      </c>
      <c r="X4351" s="26"/>
      <c r="Y4351" s="26"/>
    </row>
    <row r="4352" spans="1:25" x14ac:dyDescent="0.25">
      <c r="A4352" s="21">
        <v>6211</v>
      </c>
      <c r="B4352" s="22" t="s">
        <v>15334</v>
      </c>
      <c r="C4352" s="22" t="s">
        <v>184</v>
      </c>
      <c r="H4352" s="25" t="s">
        <v>15373</v>
      </c>
      <c r="I4352" s="22" t="s">
        <v>15382</v>
      </c>
      <c r="J4352" s="22" t="s">
        <v>188</v>
      </c>
      <c r="K4352" s="26">
        <f t="shared" si="68"/>
        <v>900</v>
      </c>
      <c r="M4352" s="26">
        <v>1350</v>
      </c>
      <c r="O4352" s="22" t="s">
        <v>185</v>
      </c>
      <c r="P4352" s="22" t="s">
        <v>2651</v>
      </c>
      <c r="Q4352" s="22" t="s">
        <v>186</v>
      </c>
      <c r="S4352" s="22" t="s">
        <v>187</v>
      </c>
      <c r="X4352" s="26"/>
      <c r="Y4352" s="26"/>
    </row>
    <row r="4353" spans="1:25" x14ac:dyDescent="0.25">
      <c r="A4353" s="21">
        <v>6212</v>
      </c>
      <c r="B4353" s="22" t="s">
        <v>15334</v>
      </c>
      <c r="C4353" s="22" t="s">
        <v>184</v>
      </c>
      <c r="H4353" s="25" t="s">
        <v>15373</v>
      </c>
      <c r="I4353" s="22" t="s">
        <v>15382</v>
      </c>
      <c r="J4353" s="22" t="s">
        <v>6668</v>
      </c>
      <c r="K4353" s="26">
        <f t="shared" si="68"/>
        <v>666.66666666666663</v>
      </c>
      <c r="M4353" s="26">
        <v>1000</v>
      </c>
      <c r="O4353" s="22" t="s">
        <v>185</v>
      </c>
      <c r="P4353" s="22" t="s">
        <v>2651</v>
      </c>
      <c r="Q4353" s="22" t="s">
        <v>186</v>
      </c>
      <c r="S4353" s="22" t="s">
        <v>187</v>
      </c>
      <c r="X4353" s="26"/>
      <c r="Y4353" s="26"/>
    </row>
    <row r="4354" spans="1:25" ht="25" x14ac:dyDescent="0.25">
      <c r="A4354" s="21">
        <v>6213</v>
      </c>
      <c r="B4354" s="22" t="s">
        <v>15334</v>
      </c>
      <c r="C4354" s="22" t="s">
        <v>184</v>
      </c>
      <c r="H4354" s="25" t="s">
        <v>15373</v>
      </c>
      <c r="I4354" s="22" t="s">
        <v>15382</v>
      </c>
      <c r="J4354" s="22" t="s">
        <v>189</v>
      </c>
      <c r="K4354" s="26">
        <f t="shared" si="68"/>
        <v>453.33333333333331</v>
      </c>
      <c r="M4354" s="26">
        <v>680</v>
      </c>
      <c r="O4354" s="22" t="s">
        <v>185</v>
      </c>
      <c r="P4354" s="22" t="s">
        <v>2651</v>
      </c>
      <c r="Q4354" s="22" t="s">
        <v>186</v>
      </c>
      <c r="S4354" s="22" t="s">
        <v>187</v>
      </c>
      <c r="X4354" s="26"/>
      <c r="Y4354" s="26"/>
    </row>
    <row r="4355" spans="1:25" x14ac:dyDescent="0.25">
      <c r="A4355" s="21">
        <v>6214</v>
      </c>
      <c r="B4355" s="22" t="s">
        <v>15334</v>
      </c>
      <c r="C4355" s="22" t="s">
        <v>184</v>
      </c>
      <c r="H4355" s="25" t="s">
        <v>15373</v>
      </c>
      <c r="I4355" s="22" t="s">
        <v>15411</v>
      </c>
      <c r="J4355" s="22" t="s">
        <v>16884</v>
      </c>
      <c r="K4355" s="26">
        <f t="shared" si="68"/>
        <v>400</v>
      </c>
      <c r="M4355" s="26">
        <v>600</v>
      </c>
      <c r="O4355" s="22" t="s">
        <v>185</v>
      </c>
      <c r="P4355" s="22" t="s">
        <v>2651</v>
      </c>
      <c r="Q4355" s="22" t="s">
        <v>186</v>
      </c>
      <c r="S4355" s="22" t="s">
        <v>187</v>
      </c>
      <c r="X4355" s="26"/>
      <c r="Y4355" s="26"/>
    </row>
    <row r="4356" spans="1:25" x14ac:dyDescent="0.25">
      <c r="A4356" s="21">
        <v>6215</v>
      </c>
      <c r="B4356" s="22" t="s">
        <v>15334</v>
      </c>
      <c r="C4356" s="22" t="s">
        <v>190</v>
      </c>
      <c r="H4356" s="25" t="s">
        <v>15373</v>
      </c>
      <c r="I4356" s="22" t="s">
        <v>15374</v>
      </c>
      <c r="J4356" s="22" t="s">
        <v>16311</v>
      </c>
      <c r="K4356" s="26">
        <f t="shared" si="68"/>
        <v>500</v>
      </c>
      <c r="M4356" s="26">
        <v>750</v>
      </c>
      <c r="P4356" s="22" t="s">
        <v>191</v>
      </c>
      <c r="Q4356" s="22" t="s">
        <v>192</v>
      </c>
      <c r="X4356" s="26"/>
      <c r="Y4356" s="26"/>
    </row>
    <row r="4357" spans="1:25" x14ac:dyDescent="0.25">
      <c r="A4357" s="21">
        <v>6216</v>
      </c>
      <c r="B4357" s="22" t="s">
        <v>15334</v>
      </c>
      <c r="C4357" s="22" t="s">
        <v>3936</v>
      </c>
      <c r="H4357" s="25" t="s">
        <v>15373</v>
      </c>
      <c r="I4357" s="22" t="s">
        <v>15411</v>
      </c>
      <c r="J4357" s="22" t="s">
        <v>193</v>
      </c>
      <c r="K4357" s="26">
        <f t="shared" si="68"/>
        <v>500</v>
      </c>
      <c r="M4357" s="26">
        <v>750</v>
      </c>
      <c r="P4357" s="22" t="s">
        <v>174</v>
      </c>
      <c r="Q4357" s="22" t="s">
        <v>175</v>
      </c>
      <c r="X4357" s="26"/>
      <c r="Y4357" s="26"/>
    </row>
    <row r="4358" spans="1:25" ht="25" x14ac:dyDescent="0.25">
      <c r="A4358" s="21">
        <v>6217</v>
      </c>
      <c r="B4358" s="22" t="s">
        <v>15334</v>
      </c>
      <c r="C4358" s="22" t="s">
        <v>194</v>
      </c>
      <c r="H4358" s="25" t="s">
        <v>15373</v>
      </c>
      <c r="I4358" s="22" t="s">
        <v>15668</v>
      </c>
      <c r="J4358" s="22" t="s">
        <v>195</v>
      </c>
      <c r="K4358" s="26">
        <f t="shared" si="68"/>
        <v>2640</v>
      </c>
      <c r="M4358" s="26">
        <v>3960</v>
      </c>
      <c r="O4358" s="22" t="s">
        <v>196</v>
      </c>
      <c r="P4358" s="22" t="s">
        <v>197</v>
      </c>
      <c r="Q4358" s="22" t="s">
        <v>198</v>
      </c>
      <c r="S4358" s="22" t="s">
        <v>199</v>
      </c>
      <c r="X4358" s="26"/>
      <c r="Y4358" s="26"/>
    </row>
    <row r="4359" spans="1:25" ht="25" x14ac:dyDescent="0.25">
      <c r="A4359" s="21">
        <v>6218</v>
      </c>
      <c r="B4359" s="22" t="s">
        <v>15334</v>
      </c>
      <c r="C4359" s="22" t="s">
        <v>194</v>
      </c>
      <c r="H4359" s="25" t="s">
        <v>15373</v>
      </c>
      <c r="I4359" s="22" t="s">
        <v>15668</v>
      </c>
      <c r="J4359" s="22" t="s">
        <v>200</v>
      </c>
      <c r="K4359" s="26">
        <f t="shared" si="68"/>
        <v>2640</v>
      </c>
      <c r="M4359" s="26">
        <v>3960</v>
      </c>
      <c r="O4359" s="22" t="s">
        <v>196</v>
      </c>
      <c r="P4359" s="22" t="s">
        <v>197</v>
      </c>
      <c r="Q4359" s="22" t="s">
        <v>198</v>
      </c>
      <c r="S4359" s="22" t="s">
        <v>199</v>
      </c>
      <c r="X4359" s="26"/>
      <c r="Y4359" s="26"/>
    </row>
    <row r="4360" spans="1:25" ht="25" x14ac:dyDescent="0.25">
      <c r="A4360" s="21">
        <v>6219</v>
      </c>
      <c r="B4360" s="22" t="s">
        <v>15334</v>
      </c>
      <c r="C4360" s="22" t="s">
        <v>194</v>
      </c>
      <c r="H4360" s="25" t="s">
        <v>15373</v>
      </c>
      <c r="I4360" s="22" t="s">
        <v>15668</v>
      </c>
      <c r="J4360" s="22" t="s">
        <v>201</v>
      </c>
      <c r="K4360" s="26">
        <f t="shared" si="68"/>
        <v>2640</v>
      </c>
      <c r="M4360" s="26">
        <v>3960</v>
      </c>
      <c r="O4360" s="22" t="s">
        <v>196</v>
      </c>
      <c r="P4360" s="22" t="s">
        <v>197</v>
      </c>
      <c r="Q4360" s="22" t="s">
        <v>198</v>
      </c>
      <c r="S4360" s="22" t="s">
        <v>199</v>
      </c>
      <c r="X4360" s="26"/>
      <c r="Y4360" s="26"/>
    </row>
    <row r="4361" spans="1:25" ht="25" x14ac:dyDescent="0.25">
      <c r="A4361" s="21">
        <v>6220</v>
      </c>
      <c r="B4361" s="22" t="s">
        <v>15334</v>
      </c>
      <c r="C4361" s="22" t="s">
        <v>194</v>
      </c>
      <c r="H4361" s="25" t="s">
        <v>15373</v>
      </c>
      <c r="I4361" s="22" t="s">
        <v>15668</v>
      </c>
      <c r="J4361" s="22" t="s">
        <v>195</v>
      </c>
      <c r="K4361" s="26">
        <f t="shared" si="68"/>
        <v>2640</v>
      </c>
      <c r="M4361" s="26">
        <v>3960</v>
      </c>
      <c r="O4361" s="22" t="s">
        <v>196</v>
      </c>
      <c r="P4361" s="22" t="s">
        <v>197</v>
      </c>
      <c r="Q4361" s="22" t="s">
        <v>198</v>
      </c>
      <c r="S4361" s="22" t="s">
        <v>199</v>
      </c>
      <c r="X4361" s="26"/>
      <c r="Y4361" s="26"/>
    </row>
    <row r="4362" spans="1:25" x14ac:dyDescent="0.25">
      <c r="A4362" s="21">
        <v>6221</v>
      </c>
      <c r="B4362" s="22" t="s">
        <v>15334</v>
      </c>
      <c r="C4362" s="22" t="s">
        <v>194</v>
      </c>
      <c r="H4362" s="25" t="s">
        <v>15373</v>
      </c>
      <c r="I4362" s="22" t="s">
        <v>15668</v>
      </c>
      <c r="J4362" s="22" t="s">
        <v>202</v>
      </c>
      <c r="K4362" s="26">
        <f t="shared" si="68"/>
        <v>2640</v>
      </c>
      <c r="M4362" s="26">
        <v>3960</v>
      </c>
      <c r="O4362" s="22" t="s">
        <v>196</v>
      </c>
      <c r="P4362" s="22" t="s">
        <v>197</v>
      </c>
      <c r="Q4362" s="22" t="s">
        <v>198</v>
      </c>
      <c r="S4362" s="22" t="s">
        <v>199</v>
      </c>
      <c r="X4362" s="26"/>
      <c r="Y4362" s="26"/>
    </row>
    <row r="4363" spans="1:25" ht="25" x14ac:dyDescent="0.25">
      <c r="A4363" s="21">
        <v>6222</v>
      </c>
      <c r="B4363" s="22" t="s">
        <v>15334</v>
      </c>
      <c r="C4363" s="22" t="s">
        <v>194</v>
      </c>
      <c r="H4363" s="25" t="s">
        <v>15373</v>
      </c>
      <c r="I4363" s="22" t="s">
        <v>15668</v>
      </c>
      <c r="J4363" s="22" t="s">
        <v>203</v>
      </c>
      <c r="K4363" s="26">
        <f t="shared" si="68"/>
        <v>2640</v>
      </c>
      <c r="M4363" s="26">
        <v>3960</v>
      </c>
      <c r="O4363" s="22" t="s">
        <v>196</v>
      </c>
      <c r="P4363" s="22" t="s">
        <v>197</v>
      </c>
      <c r="Q4363" s="22" t="s">
        <v>198</v>
      </c>
      <c r="S4363" s="22" t="s">
        <v>199</v>
      </c>
      <c r="X4363" s="26"/>
      <c r="Y4363" s="26"/>
    </row>
    <row r="4364" spans="1:25" x14ac:dyDescent="0.25">
      <c r="A4364" s="21">
        <v>6223</v>
      </c>
      <c r="B4364" s="22" t="s">
        <v>15334</v>
      </c>
      <c r="C4364" s="22" t="s">
        <v>204</v>
      </c>
      <c r="H4364" s="25" t="s">
        <v>15373</v>
      </c>
      <c r="I4364" s="22" t="s">
        <v>15374</v>
      </c>
      <c r="J4364" s="22">
        <v>3516</v>
      </c>
      <c r="K4364" s="26">
        <f t="shared" si="68"/>
        <v>1445.3333333333333</v>
      </c>
      <c r="M4364" s="26">
        <v>2168</v>
      </c>
      <c r="P4364" s="22" t="s">
        <v>2651</v>
      </c>
      <c r="Q4364" s="22" t="s">
        <v>205</v>
      </c>
      <c r="X4364" s="26"/>
      <c r="Y4364" s="26"/>
    </row>
    <row r="4365" spans="1:25" x14ac:dyDescent="0.25">
      <c r="A4365" s="21">
        <v>6224</v>
      </c>
      <c r="B4365" s="22" t="s">
        <v>15334</v>
      </c>
      <c r="C4365" s="22" t="s">
        <v>204</v>
      </c>
      <c r="H4365" s="25" t="s">
        <v>15373</v>
      </c>
      <c r="I4365" s="22" t="s">
        <v>15374</v>
      </c>
      <c r="J4365" s="22">
        <v>3516</v>
      </c>
      <c r="K4365" s="26">
        <f t="shared" si="68"/>
        <v>1445.3333333333333</v>
      </c>
      <c r="M4365" s="26">
        <v>2168</v>
      </c>
      <c r="P4365" s="22" t="s">
        <v>2651</v>
      </c>
      <c r="Q4365" s="22" t="s">
        <v>205</v>
      </c>
      <c r="X4365" s="26"/>
      <c r="Y4365" s="26"/>
    </row>
    <row r="4366" spans="1:25" x14ac:dyDescent="0.25">
      <c r="A4366" s="21">
        <v>6225</v>
      </c>
      <c r="B4366" s="22" t="s">
        <v>15334</v>
      </c>
      <c r="C4366" s="22" t="s">
        <v>204</v>
      </c>
      <c r="H4366" s="25" t="s">
        <v>15373</v>
      </c>
      <c r="I4366" s="22" t="s">
        <v>15374</v>
      </c>
      <c r="J4366" s="22">
        <v>3516</v>
      </c>
      <c r="K4366" s="26">
        <f t="shared" si="68"/>
        <v>1445.3333333333333</v>
      </c>
      <c r="M4366" s="26">
        <v>2168</v>
      </c>
      <c r="P4366" s="22" t="s">
        <v>2651</v>
      </c>
      <c r="Q4366" s="22" t="s">
        <v>205</v>
      </c>
      <c r="X4366" s="26"/>
      <c r="Y4366" s="26"/>
    </row>
    <row r="4367" spans="1:25" ht="37.5" x14ac:dyDescent="0.25">
      <c r="A4367" s="21">
        <v>6226</v>
      </c>
      <c r="B4367" s="22" t="s">
        <v>15334</v>
      </c>
      <c r="C4367" s="22" t="s">
        <v>206</v>
      </c>
      <c r="E4367" s="24">
        <v>2001</v>
      </c>
      <c r="F4367" s="22" t="s">
        <v>207</v>
      </c>
      <c r="G4367" s="23" t="s">
        <v>208</v>
      </c>
      <c r="H4367" s="25" t="s">
        <v>15373</v>
      </c>
      <c r="I4367" s="22" t="s">
        <v>15374</v>
      </c>
      <c r="J4367" s="22" t="s">
        <v>12899</v>
      </c>
      <c r="K4367" s="26">
        <f t="shared" si="68"/>
        <v>2000</v>
      </c>
      <c r="L4367" s="26">
        <v>2000</v>
      </c>
      <c r="O4367" s="22" t="s">
        <v>209</v>
      </c>
      <c r="P4367" s="22" t="s">
        <v>191</v>
      </c>
      <c r="Q4367" s="22">
        <v>95648</v>
      </c>
      <c r="R4367" s="22" t="s">
        <v>210</v>
      </c>
      <c r="S4367" s="22" t="s">
        <v>211</v>
      </c>
      <c r="X4367" s="26"/>
      <c r="Y4367" s="26"/>
    </row>
    <row r="4368" spans="1:25" ht="25" x14ac:dyDescent="0.25">
      <c r="A4368" s="21">
        <v>6227</v>
      </c>
      <c r="B4368" s="22" t="s">
        <v>15334</v>
      </c>
      <c r="C4368" s="22" t="s">
        <v>212</v>
      </c>
      <c r="E4368" s="24">
        <v>2001</v>
      </c>
      <c r="F4368" s="22" t="s">
        <v>1407</v>
      </c>
      <c r="G4368" s="23" t="s">
        <v>1408</v>
      </c>
      <c r="H4368" s="25" t="s">
        <v>15373</v>
      </c>
      <c r="I4368" s="22" t="s">
        <v>15374</v>
      </c>
      <c r="J4368" s="22">
        <v>3412</v>
      </c>
      <c r="K4368" s="26">
        <f t="shared" si="68"/>
        <v>504</v>
      </c>
      <c r="L4368" s="26">
        <v>504</v>
      </c>
      <c r="O4368" s="22" t="s">
        <v>1409</v>
      </c>
      <c r="P4368" s="22" t="s">
        <v>191</v>
      </c>
      <c r="Q4368" s="22">
        <v>95648</v>
      </c>
      <c r="R4368" s="22" t="s">
        <v>1410</v>
      </c>
      <c r="S4368" s="22" t="s">
        <v>1411</v>
      </c>
      <c r="X4368" s="26"/>
      <c r="Y4368" s="26"/>
    </row>
    <row r="4369" spans="1:25" ht="50" x14ac:dyDescent="0.25">
      <c r="A4369" s="21">
        <v>6228</v>
      </c>
      <c r="B4369" s="22" t="s">
        <v>15334</v>
      </c>
      <c r="C4369" s="22" t="s">
        <v>1412</v>
      </c>
      <c r="E4369" s="24">
        <v>2002</v>
      </c>
      <c r="F4369" s="22" t="s">
        <v>1413</v>
      </c>
      <c r="G4369" s="23" t="s">
        <v>1414</v>
      </c>
      <c r="H4369" s="25" t="s">
        <v>15373</v>
      </c>
      <c r="I4369" s="22" t="s">
        <v>15411</v>
      </c>
      <c r="J4369" s="22" t="s">
        <v>6673</v>
      </c>
      <c r="K4369" s="26">
        <f t="shared" si="68"/>
        <v>750</v>
      </c>
      <c r="L4369" s="26">
        <v>750</v>
      </c>
      <c r="O4369" s="22" t="s">
        <v>1415</v>
      </c>
      <c r="P4369" s="22" t="s">
        <v>1416</v>
      </c>
      <c r="Q4369" s="22">
        <v>95765</v>
      </c>
      <c r="X4369" s="26"/>
      <c r="Y4369" s="26"/>
    </row>
    <row r="4370" spans="1:25" ht="50" x14ac:dyDescent="0.25">
      <c r="A4370" s="21">
        <v>6229</v>
      </c>
      <c r="B4370" s="22" t="s">
        <v>15334</v>
      </c>
      <c r="C4370" s="22" t="s">
        <v>1412</v>
      </c>
      <c r="E4370" s="24">
        <v>2002</v>
      </c>
      <c r="F4370" s="22" t="s">
        <v>1417</v>
      </c>
      <c r="G4370" s="23" t="s">
        <v>1414</v>
      </c>
      <c r="H4370" s="25" t="s">
        <v>15373</v>
      </c>
      <c r="I4370" s="22" t="s">
        <v>15411</v>
      </c>
      <c r="J4370" s="22" t="s">
        <v>6673</v>
      </c>
      <c r="K4370" s="26">
        <f t="shared" si="68"/>
        <v>750</v>
      </c>
      <c r="L4370" s="26">
        <v>750</v>
      </c>
      <c r="O4370" s="22" t="s">
        <v>1415</v>
      </c>
      <c r="P4370" s="22" t="s">
        <v>1416</v>
      </c>
      <c r="Q4370" s="22">
        <v>95765</v>
      </c>
      <c r="X4370" s="26"/>
      <c r="Y4370" s="26"/>
    </row>
    <row r="4371" spans="1:25" ht="50" x14ac:dyDescent="0.25">
      <c r="A4371" s="21">
        <v>6230</v>
      </c>
      <c r="B4371" s="22" t="s">
        <v>15334</v>
      </c>
      <c r="C4371" s="22" t="s">
        <v>1418</v>
      </c>
      <c r="E4371" s="24">
        <v>2002</v>
      </c>
      <c r="F4371" s="22" t="s">
        <v>1419</v>
      </c>
      <c r="G4371" s="23" t="s">
        <v>1420</v>
      </c>
      <c r="H4371" s="25" t="s">
        <v>15373</v>
      </c>
      <c r="I4371" s="22" t="s">
        <v>15374</v>
      </c>
      <c r="J4371" s="22" t="s">
        <v>9707</v>
      </c>
      <c r="K4371" s="26">
        <f t="shared" si="68"/>
        <v>749</v>
      </c>
      <c r="L4371" s="26">
        <v>749</v>
      </c>
      <c r="O4371" s="22" t="s">
        <v>1421</v>
      </c>
      <c r="P4371" s="22" t="s">
        <v>1416</v>
      </c>
      <c r="Q4371" s="22">
        <v>95677</v>
      </c>
      <c r="X4371" s="26"/>
      <c r="Y4371" s="26"/>
    </row>
    <row r="4372" spans="1:25" ht="50" x14ac:dyDescent="0.25">
      <c r="A4372" s="21">
        <v>6231</v>
      </c>
      <c r="B4372" s="22" t="s">
        <v>15334</v>
      </c>
      <c r="C4372" s="22" t="s">
        <v>1422</v>
      </c>
      <c r="E4372" s="24">
        <v>1998</v>
      </c>
      <c r="F4372" s="22" t="s">
        <v>1423</v>
      </c>
      <c r="G4372" s="23" t="s">
        <v>1424</v>
      </c>
      <c r="H4372" s="25" t="s">
        <v>15373</v>
      </c>
      <c r="I4372" s="22" t="s">
        <v>15411</v>
      </c>
      <c r="J4372" s="22" t="s">
        <v>15068</v>
      </c>
      <c r="K4372" s="26">
        <f t="shared" si="68"/>
        <v>800</v>
      </c>
      <c r="L4372" s="26">
        <v>800</v>
      </c>
      <c r="O4372" s="22" t="s">
        <v>1425</v>
      </c>
      <c r="P4372" s="22" t="s">
        <v>2651</v>
      </c>
      <c r="Q4372" s="22">
        <v>95678</v>
      </c>
      <c r="R4372" s="22" t="s">
        <v>1426</v>
      </c>
      <c r="S4372" s="22" t="s">
        <v>1427</v>
      </c>
      <c r="X4372" s="26"/>
      <c r="Y4372" s="26"/>
    </row>
    <row r="4373" spans="1:25" ht="50" x14ac:dyDescent="0.25">
      <c r="A4373" s="21">
        <v>6232</v>
      </c>
      <c r="B4373" s="22" t="s">
        <v>15334</v>
      </c>
      <c r="C4373" s="22" t="s">
        <v>1428</v>
      </c>
      <c r="E4373" s="24">
        <v>1965</v>
      </c>
      <c r="F4373" s="22" t="s">
        <v>1429</v>
      </c>
      <c r="G4373" s="23" t="s">
        <v>1430</v>
      </c>
      <c r="H4373" s="25" t="s">
        <v>15373</v>
      </c>
      <c r="I4373" s="22" t="s">
        <v>16160</v>
      </c>
      <c r="J4373" s="22" t="s">
        <v>1431</v>
      </c>
      <c r="K4373" s="26">
        <f t="shared" si="68"/>
        <v>300</v>
      </c>
      <c r="L4373" s="26">
        <v>300</v>
      </c>
      <c r="O4373" s="22" t="s">
        <v>1432</v>
      </c>
      <c r="P4373" s="22" t="s">
        <v>1433</v>
      </c>
      <c r="Q4373" s="22">
        <v>95631</v>
      </c>
      <c r="R4373" s="22" t="s">
        <v>1434</v>
      </c>
      <c r="S4373" s="22" t="s">
        <v>1435</v>
      </c>
      <c r="X4373" s="26"/>
      <c r="Y4373" s="26"/>
    </row>
    <row r="4374" spans="1:25" ht="50" x14ac:dyDescent="0.25">
      <c r="A4374" s="21">
        <v>6233</v>
      </c>
      <c r="B4374" s="22" t="s">
        <v>15334</v>
      </c>
      <c r="C4374" s="22" t="s">
        <v>1436</v>
      </c>
      <c r="E4374" s="24">
        <v>1991</v>
      </c>
      <c r="F4374" s="22" t="s">
        <v>1437</v>
      </c>
      <c r="G4374" s="23" t="s">
        <v>1438</v>
      </c>
      <c r="H4374" s="25" t="s">
        <v>15373</v>
      </c>
      <c r="I4374" s="22" t="s">
        <v>15374</v>
      </c>
      <c r="J4374" s="22">
        <v>3512</v>
      </c>
      <c r="K4374" s="26">
        <f t="shared" si="68"/>
        <v>1200</v>
      </c>
      <c r="L4374" s="26">
        <v>1200</v>
      </c>
      <c r="O4374" s="22" t="s">
        <v>1439</v>
      </c>
      <c r="P4374" s="22" t="s">
        <v>1416</v>
      </c>
      <c r="Q4374" s="22">
        <v>95765</v>
      </c>
      <c r="R4374" s="22" t="s">
        <v>1440</v>
      </c>
      <c r="S4374" s="22" t="s">
        <v>1441</v>
      </c>
      <c r="X4374" s="26"/>
      <c r="Y4374" s="26"/>
    </row>
    <row r="4375" spans="1:25" ht="50" x14ac:dyDescent="0.25">
      <c r="A4375" s="21">
        <v>6234</v>
      </c>
      <c r="B4375" s="22" t="s">
        <v>15334</v>
      </c>
      <c r="C4375" s="22" t="s">
        <v>1436</v>
      </c>
      <c r="E4375" s="24">
        <v>2003</v>
      </c>
      <c r="F4375" s="22" t="s">
        <v>1442</v>
      </c>
      <c r="G4375" s="23" t="s">
        <v>1443</v>
      </c>
      <c r="H4375" s="25" t="s">
        <v>15373</v>
      </c>
      <c r="I4375" s="22" t="s">
        <v>15374</v>
      </c>
      <c r="J4375" s="22" t="s">
        <v>12899</v>
      </c>
      <c r="K4375" s="26">
        <f t="shared" si="68"/>
        <v>2000</v>
      </c>
      <c r="L4375" s="26">
        <v>2000</v>
      </c>
      <c r="O4375" s="22" t="s">
        <v>1439</v>
      </c>
      <c r="P4375" s="22" t="s">
        <v>1416</v>
      </c>
      <c r="Q4375" s="22">
        <v>95765</v>
      </c>
      <c r="R4375" s="22" t="s">
        <v>1440</v>
      </c>
      <c r="S4375" s="22" t="s">
        <v>1441</v>
      </c>
      <c r="X4375" s="26"/>
      <c r="Y4375" s="26"/>
    </row>
    <row r="4376" spans="1:25" ht="50" x14ac:dyDescent="0.25">
      <c r="A4376" s="21">
        <v>6235</v>
      </c>
      <c r="B4376" s="22" t="s">
        <v>15334</v>
      </c>
      <c r="C4376" s="22" t="s">
        <v>1444</v>
      </c>
      <c r="E4376" s="24">
        <v>1997</v>
      </c>
      <c r="F4376" s="22" t="s">
        <v>1445</v>
      </c>
      <c r="G4376" s="23" t="s">
        <v>1446</v>
      </c>
      <c r="H4376" s="25" t="s">
        <v>15373</v>
      </c>
      <c r="I4376" s="22" t="s">
        <v>15382</v>
      </c>
      <c r="J4376" s="22" t="s">
        <v>16784</v>
      </c>
      <c r="K4376" s="26">
        <f t="shared" si="68"/>
        <v>500</v>
      </c>
      <c r="L4376" s="26">
        <v>500</v>
      </c>
      <c r="O4376" s="22" t="s">
        <v>1447</v>
      </c>
      <c r="P4376" s="22" t="s">
        <v>1416</v>
      </c>
      <c r="Q4376" s="22">
        <v>95765</v>
      </c>
      <c r="R4376" s="22" t="s">
        <v>1448</v>
      </c>
      <c r="S4376" s="22" t="s">
        <v>1449</v>
      </c>
      <c r="X4376" s="26"/>
      <c r="Y4376" s="26"/>
    </row>
    <row r="4377" spans="1:25" ht="50" x14ac:dyDescent="0.25">
      <c r="A4377" s="21">
        <v>6236</v>
      </c>
      <c r="B4377" s="22" t="s">
        <v>15334</v>
      </c>
      <c r="C4377" s="22" t="s">
        <v>1450</v>
      </c>
      <c r="E4377" s="24">
        <v>1999</v>
      </c>
      <c r="F4377" s="22" t="s">
        <v>1451</v>
      </c>
      <c r="G4377" s="23" t="s">
        <v>1452</v>
      </c>
      <c r="H4377" s="25" t="s">
        <v>15373</v>
      </c>
      <c r="I4377" s="22" t="s">
        <v>15382</v>
      </c>
      <c r="J4377" s="22" t="s">
        <v>1453</v>
      </c>
      <c r="K4377" s="26">
        <f t="shared" si="68"/>
        <v>400</v>
      </c>
      <c r="M4377" s="26">
        <v>600</v>
      </c>
      <c r="O4377" s="22" t="s">
        <v>1454</v>
      </c>
      <c r="P4377" s="22" t="s">
        <v>1455</v>
      </c>
      <c r="Q4377" s="22">
        <v>95724</v>
      </c>
      <c r="R4377" s="22" t="s">
        <v>1456</v>
      </c>
      <c r="S4377" s="22" t="s">
        <v>1457</v>
      </c>
      <c r="X4377" s="26"/>
      <c r="Y4377" s="26"/>
    </row>
    <row r="4378" spans="1:25" ht="37.5" x14ac:dyDescent="0.25">
      <c r="A4378" s="21">
        <v>6237</v>
      </c>
      <c r="B4378" s="22" t="s">
        <v>15334</v>
      </c>
      <c r="C4378" s="22" t="s">
        <v>1450</v>
      </c>
      <c r="E4378" s="24">
        <v>1994</v>
      </c>
      <c r="F4378" s="22" t="s">
        <v>1458</v>
      </c>
      <c r="G4378" s="23" t="s">
        <v>1459</v>
      </c>
      <c r="H4378" s="25" t="s">
        <v>15373</v>
      </c>
      <c r="I4378" s="22" t="s">
        <v>15382</v>
      </c>
      <c r="J4378" s="22" t="s">
        <v>1460</v>
      </c>
      <c r="K4378" s="26">
        <f t="shared" si="68"/>
        <v>300</v>
      </c>
      <c r="M4378" s="26">
        <v>450</v>
      </c>
      <c r="O4378" s="22" t="s">
        <v>1454</v>
      </c>
      <c r="P4378" s="22" t="s">
        <v>1455</v>
      </c>
      <c r="Q4378" s="22">
        <v>95724</v>
      </c>
      <c r="R4378" s="22" t="s">
        <v>1456</v>
      </c>
      <c r="S4378" s="22" t="s">
        <v>1457</v>
      </c>
      <c r="X4378" s="26"/>
      <c r="Y4378" s="26"/>
    </row>
    <row r="4379" spans="1:25" ht="50" x14ac:dyDescent="0.25">
      <c r="A4379" s="21">
        <v>6238</v>
      </c>
      <c r="B4379" s="22" t="s">
        <v>15334</v>
      </c>
      <c r="C4379" s="22" t="s">
        <v>1450</v>
      </c>
      <c r="E4379" s="24">
        <v>2001</v>
      </c>
      <c r="F4379" s="22" t="s">
        <v>1461</v>
      </c>
      <c r="G4379" s="23" t="s">
        <v>1462</v>
      </c>
      <c r="H4379" s="25" t="s">
        <v>15373</v>
      </c>
      <c r="I4379" s="22" t="s">
        <v>15382</v>
      </c>
      <c r="J4379" s="22" t="s">
        <v>1463</v>
      </c>
      <c r="K4379" s="26">
        <f t="shared" si="68"/>
        <v>503.33333333333331</v>
      </c>
      <c r="M4379" s="26">
        <v>755</v>
      </c>
      <c r="O4379" s="22" t="s">
        <v>1454</v>
      </c>
      <c r="P4379" s="22" t="s">
        <v>1455</v>
      </c>
      <c r="Q4379" s="22">
        <v>95724</v>
      </c>
      <c r="R4379" s="22" t="s">
        <v>1456</v>
      </c>
      <c r="S4379" s="22" t="s">
        <v>1457</v>
      </c>
      <c r="X4379" s="26"/>
      <c r="Y4379" s="26"/>
    </row>
    <row r="4380" spans="1:25" ht="37.5" x14ac:dyDescent="0.25">
      <c r="A4380" s="21">
        <v>6239</v>
      </c>
      <c r="B4380" s="22" t="s">
        <v>15334</v>
      </c>
      <c r="C4380" s="22" t="s">
        <v>1450</v>
      </c>
      <c r="E4380" s="24">
        <v>1996</v>
      </c>
      <c r="F4380" s="22" t="s">
        <v>1464</v>
      </c>
      <c r="G4380" s="23" t="s">
        <v>1465</v>
      </c>
      <c r="H4380" s="25" t="s">
        <v>15373</v>
      </c>
      <c r="I4380" s="22" t="s">
        <v>15382</v>
      </c>
      <c r="J4380" s="22" t="s">
        <v>1466</v>
      </c>
      <c r="K4380" s="26">
        <f t="shared" si="68"/>
        <v>400</v>
      </c>
      <c r="M4380" s="26">
        <v>600</v>
      </c>
      <c r="O4380" s="22" t="s">
        <v>1454</v>
      </c>
      <c r="P4380" s="22" t="s">
        <v>1455</v>
      </c>
      <c r="Q4380" s="22">
        <v>95724</v>
      </c>
      <c r="R4380" s="22" t="s">
        <v>1456</v>
      </c>
      <c r="S4380" s="22" t="s">
        <v>1457</v>
      </c>
      <c r="X4380" s="26"/>
      <c r="Y4380" s="26"/>
    </row>
    <row r="4381" spans="1:25" x14ac:dyDescent="0.25">
      <c r="A4381" s="21">
        <v>6250</v>
      </c>
      <c r="B4381" s="22" t="s">
        <v>15339</v>
      </c>
      <c r="C4381" s="22" t="s">
        <v>1467</v>
      </c>
      <c r="E4381" s="24">
        <v>1999</v>
      </c>
      <c r="F4381" s="22" t="s">
        <v>1468</v>
      </c>
      <c r="H4381" s="25" t="s">
        <v>15373</v>
      </c>
      <c r="I4381" s="22" t="s">
        <v>15374</v>
      </c>
      <c r="J4381" s="22" t="s">
        <v>15441</v>
      </c>
      <c r="K4381" s="26">
        <f t="shared" ref="K4381:K4444" si="69">L4381+M4381*(2/3)+N4381*(2/3)</f>
        <v>500</v>
      </c>
      <c r="L4381" s="26">
        <v>500</v>
      </c>
      <c r="O4381" s="22" t="s">
        <v>1469</v>
      </c>
      <c r="P4381" s="22" t="s">
        <v>1470</v>
      </c>
      <c r="Q4381" s="22">
        <v>96013</v>
      </c>
      <c r="R4381" s="22" t="s">
        <v>1471</v>
      </c>
      <c r="S4381" s="22" t="s">
        <v>1472</v>
      </c>
      <c r="T4381" s="22">
        <v>6.9</v>
      </c>
      <c r="U4381" s="22">
        <v>0.4</v>
      </c>
      <c r="X4381" s="26"/>
      <c r="Y4381" s="26"/>
    </row>
    <row r="4382" spans="1:25" x14ac:dyDescent="0.25">
      <c r="A4382" s="21">
        <v>6251</v>
      </c>
      <c r="B4382" s="22" t="s">
        <v>15339</v>
      </c>
      <c r="C4382" s="22" t="s">
        <v>1473</v>
      </c>
      <c r="E4382" s="24">
        <v>1999</v>
      </c>
      <c r="F4382" s="22" t="s">
        <v>1474</v>
      </c>
      <c r="H4382" s="25" t="s">
        <v>15373</v>
      </c>
      <c r="I4382" s="22" t="s">
        <v>15382</v>
      </c>
      <c r="J4382" s="22" t="s">
        <v>16811</v>
      </c>
      <c r="K4382" s="26">
        <f t="shared" si="69"/>
        <v>356.66666666666663</v>
      </c>
      <c r="N4382" s="26">
        <v>535</v>
      </c>
      <c r="O4382" s="22" t="s">
        <v>1475</v>
      </c>
      <c r="P4382" s="22" t="s">
        <v>1470</v>
      </c>
      <c r="Q4382" s="22">
        <v>96013</v>
      </c>
      <c r="R4382" s="22" t="s">
        <v>1476</v>
      </c>
      <c r="S4382" s="22" t="s">
        <v>1477</v>
      </c>
      <c r="T4382" s="22">
        <v>6.9</v>
      </c>
      <c r="U4382" s="22">
        <v>0.4</v>
      </c>
      <c r="X4382" s="26"/>
      <c r="Y4382" s="26"/>
    </row>
    <row r="4383" spans="1:25" x14ac:dyDescent="0.25">
      <c r="A4383" s="21">
        <v>6252</v>
      </c>
      <c r="B4383" s="22" t="s">
        <v>15339</v>
      </c>
      <c r="C4383" s="22" t="s">
        <v>9</v>
      </c>
      <c r="E4383" s="24">
        <v>1999</v>
      </c>
      <c r="F4383" s="22" t="s">
        <v>1478</v>
      </c>
      <c r="H4383" s="25" t="s">
        <v>15373</v>
      </c>
      <c r="I4383" s="22" t="s">
        <v>15374</v>
      </c>
      <c r="J4383" s="22" t="s">
        <v>1479</v>
      </c>
      <c r="K4383" s="26">
        <f t="shared" si="69"/>
        <v>1500</v>
      </c>
      <c r="L4383" s="26">
        <v>1500</v>
      </c>
      <c r="O4383" s="22" t="s">
        <v>1480</v>
      </c>
      <c r="P4383" s="22" t="s">
        <v>1481</v>
      </c>
      <c r="Q4383" s="22">
        <v>96003</v>
      </c>
      <c r="R4383" s="22" t="s">
        <v>1482</v>
      </c>
      <c r="S4383" s="22" t="s">
        <v>1483</v>
      </c>
      <c r="T4383" s="22">
        <v>8.17</v>
      </c>
      <c r="U4383" s="22">
        <v>0.38</v>
      </c>
      <c r="X4383" s="26"/>
      <c r="Y4383" s="26"/>
    </row>
    <row r="4384" spans="1:25" x14ac:dyDescent="0.25">
      <c r="A4384" s="21">
        <v>6253</v>
      </c>
      <c r="B4384" s="22" t="s">
        <v>15339</v>
      </c>
      <c r="C4384" s="22" t="s">
        <v>9</v>
      </c>
      <c r="E4384" s="24">
        <v>1999</v>
      </c>
      <c r="F4384" s="22" t="s">
        <v>1484</v>
      </c>
      <c r="H4384" s="25" t="s">
        <v>15373</v>
      </c>
      <c r="I4384" s="22" t="s">
        <v>15374</v>
      </c>
      <c r="J4384" s="22" t="s">
        <v>1485</v>
      </c>
      <c r="K4384" s="26">
        <f t="shared" si="69"/>
        <v>373</v>
      </c>
      <c r="L4384" s="26">
        <v>373</v>
      </c>
      <c r="O4384" s="22" t="s">
        <v>1480</v>
      </c>
      <c r="P4384" s="22" t="s">
        <v>1481</v>
      </c>
      <c r="Q4384" s="22">
        <v>96003</v>
      </c>
      <c r="R4384" s="22" t="s">
        <v>1482</v>
      </c>
      <c r="S4384" s="22" t="s">
        <v>1483</v>
      </c>
      <c r="T4384" s="22">
        <v>6.9</v>
      </c>
      <c r="U4384" s="22">
        <v>0.4</v>
      </c>
      <c r="X4384" s="26"/>
      <c r="Y4384" s="26"/>
    </row>
    <row r="4385" spans="1:25" ht="25" x14ac:dyDescent="0.25">
      <c r="A4385" s="21">
        <v>6254</v>
      </c>
      <c r="B4385" s="22" t="s">
        <v>15339</v>
      </c>
      <c r="C4385" s="22" t="s">
        <v>1486</v>
      </c>
      <c r="E4385" s="24">
        <v>1999</v>
      </c>
      <c r="F4385" s="22" t="s">
        <v>1487</v>
      </c>
      <c r="H4385" s="25" t="s">
        <v>15373</v>
      </c>
      <c r="I4385" s="22" t="s">
        <v>15411</v>
      </c>
      <c r="J4385" s="22" t="s">
        <v>16437</v>
      </c>
      <c r="K4385" s="26">
        <f t="shared" si="69"/>
        <v>1560</v>
      </c>
      <c r="N4385" s="26">
        <v>2340</v>
      </c>
      <c r="O4385" s="22" t="s">
        <v>1488</v>
      </c>
      <c r="P4385" s="22" t="s">
        <v>1481</v>
      </c>
      <c r="Q4385" s="22">
        <v>96049</v>
      </c>
      <c r="R4385" s="22" t="s">
        <v>1489</v>
      </c>
      <c r="S4385" s="22" t="s">
        <v>1490</v>
      </c>
      <c r="T4385" s="22">
        <v>8.17</v>
      </c>
      <c r="U4385" s="22">
        <v>0.38</v>
      </c>
      <c r="X4385" s="26"/>
      <c r="Y4385" s="26"/>
    </row>
    <row r="4386" spans="1:25" ht="25" x14ac:dyDescent="0.25">
      <c r="A4386" s="21">
        <v>6255</v>
      </c>
      <c r="B4386" s="22" t="s">
        <v>15339</v>
      </c>
      <c r="C4386" s="22" t="s">
        <v>1486</v>
      </c>
      <c r="E4386" s="24">
        <v>1999</v>
      </c>
      <c r="F4386" s="22" t="s">
        <v>1491</v>
      </c>
      <c r="H4386" s="25" t="s">
        <v>15373</v>
      </c>
      <c r="I4386" s="22" t="s">
        <v>15411</v>
      </c>
      <c r="J4386" s="22" t="s">
        <v>15451</v>
      </c>
      <c r="K4386" s="26">
        <f t="shared" si="69"/>
        <v>553.33333333333326</v>
      </c>
      <c r="N4386" s="26">
        <v>830</v>
      </c>
      <c r="O4386" s="22" t="s">
        <v>1488</v>
      </c>
      <c r="P4386" s="22" t="s">
        <v>1481</v>
      </c>
      <c r="Q4386" s="22">
        <v>96049</v>
      </c>
      <c r="R4386" s="22" t="s">
        <v>1489</v>
      </c>
      <c r="S4386" s="22" t="s">
        <v>1490</v>
      </c>
      <c r="T4386" s="22">
        <v>8.17</v>
      </c>
      <c r="U4386" s="22">
        <v>0.38</v>
      </c>
      <c r="X4386" s="26"/>
      <c r="Y4386" s="26"/>
    </row>
    <row r="4387" spans="1:25" ht="25" x14ac:dyDescent="0.25">
      <c r="A4387" s="21">
        <v>6256</v>
      </c>
      <c r="B4387" s="22" t="s">
        <v>15339</v>
      </c>
      <c r="C4387" s="22" t="s">
        <v>1486</v>
      </c>
      <c r="E4387" s="24">
        <v>1999</v>
      </c>
      <c r="F4387" s="22" t="s">
        <v>1492</v>
      </c>
      <c r="H4387" s="25" t="s">
        <v>15373</v>
      </c>
      <c r="I4387" s="22" t="s">
        <v>15411</v>
      </c>
      <c r="J4387" s="22" t="s">
        <v>1493</v>
      </c>
      <c r="K4387" s="26">
        <f t="shared" si="69"/>
        <v>553.33333333333326</v>
      </c>
      <c r="N4387" s="26">
        <v>830</v>
      </c>
      <c r="O4387" s="22" t="s">
        <v>1488</v>
      </c>
      <c r="P4387" s="22" t="s">
        <v>1481</v>
      </c>
      <c r="Q4387" s="22">
        <v>96049</v>
      </c>
      <c r="R4387" s="22" t="s">
        <v>1489</v>
      </c>
      <c r="S4387" s="22" t="s">
        <v>1490</v>
      </c>
      <c r="T4387" s="22">
        <v>8.17</v>
      </c>
      <c r="U4387" s="22">
        <v>0.38</v>
      </c>
      <c r="X4387" s="26"/>
      <c r="Y4387" s="26"/>
    </row>
    <row r="4388" spans="1:25" x14ac:dyDescent="0.25">
      <c r="A4388" s="21">
        <v>6257</v>
      </c>
      <c r="B4388" s="22" t="s">
        <v>15339</v>
      </c>
      <c r="C4388" s="22" t="s">
        <v>1494</v>
      </c>
      <c r="E4388" s="24">
        <v>2000</v>
      </c>
      <c r="F4388" s="22" t="s">
        <v>1495</v>
      </c>
      <c r="H4388" s="25" t="s">
        <v>15373</v>
      </c>
      <c r="I4388" s="22" t="s">
        <v>15382</v>
      </c>
      <c r="J4388" s="22" t="s">
        <v>1496</v>
      </c>
      <c r="K4388" s="26">
        <f t="shared" si="69"/>
        <v>506.66666666666663</v>
      </c>
      <c r="N4388" s="26">
        <v>760</v>
      </c>
      <c r="O4388" s="22" t="s">
        <v>1497</v>
      </c>
      <c r="P4388" s="22" t="s">
        <v>1498</v>
      </c>
      <c r="Q4388" s="22">
        <v>96007</v>
      </c>
      <c r="R4388" s="22" t="s">
        <v>1499</v>
      </c>
      <c r="S4388" s="22" t="s">
        <v>1500</v>
      </c>
      <c r="T4388" s="22">
        <v>6.9</v>
      </c>
      <c r="U4388" s="22">
        <v>0.4</v>
      </c>
      <c r="X4388" s="26"/>
      <c r="Y4388" s="26"/>
    </row>
    <row r="4389" spans="1:25" x14ac:dyDescent="0.25">
      <c r="A4389" s="21">
        <v>6258</v>
      </c>
      <c r="B4389" s="22" t="s">
        <v>15339</v>
      </c>
      <c r="C4389" s="22" t="s">
        <v>1494</v>
      </c>
      <c r="E4389" s="24">
        <v>2000</v>
      </c>
      <c r="F4389" s="22" t="s">
        <v>1501</v>
      </c>
      <c r="H4389" s="25" t="s">
        <v>15373</v>
      </c>
      <c r="I4389" s="22" t="s">
        <v>15382</v>
      </c>
      <c r="J4389" s="22" t="s">
        <v>1496</v>
      </c>
      <c r="K4389" s="26">
        <f t="shared" si="69"/>
        <v>506.66666666666663</v>
      </c>
      <c r="N4389" s="26">
        <v>760</v>
      </c>
      <c r="O4389" s="22" t="s">
        <v>1497</v>
      </c>
      <c r="P4389" s="22" t="s">
        <v>1498</v>
      </c>
      <c r="Q4389" s="22">
        <v>96007</v>
      </c>
      <c r="R4389" s="22" t="s">
        <v>1499</v>
      </c>
      <c r="S4389" s="22" t="s">
        <v>1500</v>
      </c>
      <c r="T4389" s="22">
        <v>6.9</v>
      </c>
      <c r="U4389" s="22">
        <v>0.4</v>
      </c>
      <c r="X4389" s="26"/>
      <c r="Y4389" s="26"/>
    </row>
    <row r="4390" spans="1:25" x14ac:dyDescent="0.25">
      <c r="A4390" s="21">
        <v>6275</v>
      </c>
      <c r="B4390" s="22" t="s">
        <v>15341</v>
      </c>
      <c r="C4390" s="22" t="s">
        <v>1502</v>
      </c>
      <c r="F4390" s="22" t="s">
        <v>3655</v>
      </c>
      <c r="G4390" s="23" t="s">
        <v>1503</v>
      </c>
      <c r="H4390" s="25" t="s">
        <v>15373</v>
      </c>
      <c r="I4390" s="22" t="s">
        <v>15411</v>
      </c>
      <c r="J4390" s="22" t="s">
        <v>16311</v>
      </c>
      <c r="K4390" s="26">
        <f t="shared" si="69"/>
        <v>326.66666666666663</v>
      </c>
      <c r="M4390" s="26">
        <v>490</v>
      </c>
      <c r="P4390" s="22" t="s">
        <v>1504</v>
      </c>
      <c r="Q4390" s="22">
        <v>96080</v>
      </c>
      <c r="X4390" s="26"/>
      <c r="Y4390" s="26"/>
    </row>
    <row r="4391" spans="1:25" x14ac:dyDescent="0.25">
      <c r="A4391" s="21">
        <v>6276</v>
      </c>
      <c r="B4391" s="22" t="s">
        <v>15341</v>
      </c>
      <c r="C4391" s="22" t="s">
        <v>3936</v>
      </c>
      <c r="F4391" s="22" t="s">
        <v>3655</v>
      </c>
      <c r="G4391" s="23" t="s">
        <v>1505</v>
      </c>
      <c r="H4391" s="25" t="s">
        <v>15373</v>
      </c>
      <c r="I4391" s="22" t="s">
        <v>15382</v>
      </c>
      <c r="J4391" s="22" t="s">
        <v>16311</v>
      </c>
      <c r="K4391" s="26">
        <f t="shared" si="69"/>
        <v>356.66666666666663</v>
      </c>
      <c r="M4391" s="26">
        <v>535</v>
      </c>
      <c r="X4391" s="26"/>
      <c r="Y4391" s="26"/>
    </row>
    <row r="4392" spans="1:25" x14ac:dyDescent="0.25">
      <c r="A4392" s="21">
        <v>6277</v>
      </c>
      <c r="B4392" s="22" t="s">
        <v>15341</v>
      </c>
      <c r="C4392" s="22" t="s">
        <v>1506</v>
      </c>
      <c r="F4392" s="22" t="s">
        <v>3655</v>
      </c>
      <c r="G4392" s="23" t="s">
        <v>1505</v>
      </c>
      <c r="H4392" s="25" t="s">
        <v>15373</v>
      </c>
      <c r="I4392" s="22" t="s">
        <v>15374</v>
      </c>
      <c r="J4392" s="22" t="s">
        <v>16311</v>
      </c>
      <c r="K4392" s="26">
        <f t="shared" si="69"/>
        <v>300</v>
      </c>
      <c r="L4392" s="26">
        <v>300</v>
      </c>
      <c r="O4392" s="22" t="s">
        <v>1507</v>
      </c>
      <c r="P4392" s="22" t="s">
        <v>1504</v>
      </c>
      <c r="Q4392" s="22">
        <v>96080</v>
      </c>
      <c r="X4392" s="26"/>
      <c r="Y4392" s="26"/>
    </row>
    <row r="4393" spans="1:25" ht="25" x14ac:dyDescent="0.25">
      <c r="A4393" s="21">
        <v>6300</v>
      </c>
      <c r="B4393" s="22" t="s">
        <v>15313</v>
      </c>
      <c r="C4393" s="22" t="s">
        <v>1508</v>
      </c>
      <c r="E4393" s="24">
        <v>1999</v>
      </c>
      <c r="F4393" s="22" t="s">
        <v>1509</v>
      </c>
      <c r="G4393" s="23" t="s">
        <v>1510</v>
      </c>
      <c r="H4393" s="25" t="s">
        <v>15373</v>
      </c>
      <c r="I4393" s="22" t="s">
        <v>15374</v>
      </c>
      <c r="J4393" s="22" t="s">
        <v>10290</v>
      </c>
      <c r="K4393" s="26">
        <f t="shared" si="69"/>
        <v>750</v>
      </c>
      <c r="L4393" s="26" t="s">
        <v>9245</v>
      </c>
      <c r="O4393" s="22" t="s">
        <v>1511</v>
      </c>
      <c r="P4393" s="22" t="s">
        <v>1512</v>
      </c>
      <c r="Q4393" s="22">
        <v>95928</v>
      </c>
      <c r="R4393" s="22" t="s">
        <v>1513</v>
      </c>
      <c r="S4393" s="22" t="s">
        <v>1514</v>
      </c>
      <c r="T4393" s="22">
        <v>8.17</v>
      </c>
      <c r="U4393" s="22">
        <v>0.38</v>
      </c>
      <c r="X4393" s="26"/>
      <c r="Y4393" s="26"/>
    </row>
    <row r="4394" spans="1:25" ht="25" x14ac:dyDescent="0.25">
      <c r="A4394" s="21">
        <v>6301</v>
      </c>
      <c r="B4394" s="22" t="s">
        <v>15313</v>
      </c>
      <c r="C4394" s="22" t="s">
        <v>1508</v>
      </c>
      <c r="E4394" s="24">
        <v>1999</v>
      </c>
      <c r="F4394" s="22" t="s">
        <v>1515</v>
      </c>
      <c r="G4394" s="23" t="s">
        <v>1510</v>
      </c>
      <c r="H4394" s="25" t="s">
        <v>15373</v>
      </c>
      <c r="I4394" s="22" t="s">
        <v>15374</v>
      </c>
      <c r="J4394" s="22" t="s">
        <v>10290</v>
      </c>
      <c r="K4394" s="26">
        <f t="shared" si="69"/>
        <v>750</v>
      </c>
      <c r="L4394" s="26" t="s">
        <v>9245</v>
      </c>
      <c r="O4394" s="22" t="s">
        <v>1511</v>
      </c>
      <c r="P4394" s="22" t="s">
        <v>1512</v>
      </c>
      <c r="Q4394" s="22">
        <v>95928</v>
      </c>
      <c r="R4394" s="22" t="s">
        <v>1513</v>
      </c>
      <c r="S4394" s="22" t="s">
        <v>1514</v>
      </c>
      <c r="T4394" s="22">
        <v>8.17</v>
      </c>
      <c r="U4394" s="22">
        <v>0.38</v>
      </c>
      <c r="X4394" s="26"/>
      <c r="Y4394" s="26"/>
    </row>
    <row r="4395" spans="1:25" ht="25" x14ac:dyDescent="0.25">
      <c r="A4395" s="21">
        <v>6302</v>
      </c>
      <c r="B4395" s="22" t="s">
        <v>15313</v>
      </c>
      <c r="C4395" s="22" t="s">
        <v>1516</v>
      </c>
      <c r="E4395" s="24">
        <v>1993</v>
      </c>
      <c r="F4395" s="22" t="s">
        <v>1517</v>
      </c>
      <c r="G4395" s="23" t="s">
        <v>1518</v>
      </c>
      <c r="H4395" s="25" t="s">
        <v>15373</v>
      </c>
      <c r="I4395" s="22" t="s">
        <v>15382</v>
      </c>
      <c r="J4395" s="22" t="s">
        <v>16311</v>
      </c>
      <c r="K4395" s="26">
        <f t="shared" si="69"/>
        <v>400</v>
      </c>
      <c r="L4395" s="26" t="s">
        <v>15492</v>
      </c>
      <c r="O4395" s="22" t="s">
        <v>1519</v>
      </c>
      <c r="P4395" s="22" t="s">
        <v>1512</v>
      </c>
      <c r="Q4395" s="22">
        <v>95948</v>
      </c>
      <c r="R4395" s="22" t="s">
        <v>1520</v>
      </c>
      <c r="S4395" s="22" t="s">
        <v>1521</v>
      </c>
      <c r="T4395" s="22">
        <v>8.17</v>
      </c>
      <c r="U4395" s="22">
        <v>0.38</v>
      </c>
      <c r="X4395" s="26"/>
      <c r="Y4395" s="26"/>
    </row>
    <row r="4396" spans="1:25" ht="25" x14ac:dyDescent="0.25">
      <c r="A4396" s="21">
        <v>6303</v>
      </c>
      <c r="B4396" s="22" t="s">
        <v>15313</v>
      </c>
      <c r="C4396" s="22" t="s">
        <v>3936</v>
      </c>
      <c r="E4396" s="24" t="s">
        <v>16311</v>
      </c>
      <c r="F4396" s="22" t="s">
        <v>1522</v>
      </c>
      <c r="G4396" s="23" t="s">
        <v>1523</v>
      </c>
      <c r="H4396" s="25" t="s">
        <v>15373</v>
      </c>
      <c r="I4396" s="22" t="s">
        <v>15411</v>
      </c>
      <c r="J4396" s="22" t="s">
        <v>13002</v>
      </c>
      <c r="K4396" s="26">
        <f t="shared" si="69"/>
        <v>1033.3333333333333</v>
      </c>
      <c r="M4396" s="26" t="s">
        <v>9355</v>
      </c>
      <c r="O4396" s="22" t="s">
        <v>1524</v>
      </c>
      <c r="P4396" s="22" t="s">
        <v>1512</v>
      </c>
      <c r="Q4396" s="22">
        <v>95928</v>
      </c>
      <c r="R4396" s="22" t="s">
        <v>1525</v>
      </c>
      <c r="S4396" s="22" t="s">
        <v>1526</v>
      </c>
      <c r="X4396" s="26"/>
      <c r="Y4396" s="26"/>
    </row>
    <row r="4397" spans="1:25" ht="25" x14ac:dyDescent="0.25">
      <c r="A4397" s="21">
        <v>6304</v>
      </c>
      <c r="B4397" s="22" t="s">
        <v>15313</v>
      </c>
      <c r="C4397" s="22" t="s">
        <v>1527</v>
      </c>
      <c r="E4397" s="24">
        <v>2000</v>
      </c>
      <c r="F4397" s="22" t="s">
        <v>1528</v>
      </c>
      <c r="G4397" s="23" t="s">
        <v>1529</v>
      </c>
      <c r="H4397" s="25" t="s">
        <v>15373</v>
      </c>
      <c r="I4397" s="22" t="s">
        <v>15382</v>
      </c>
      <c r="J4397" s="22" t="s">
        <v>1530</v>
      </c>
      <c r="K4397" s="26">
        <f t="shared" si="69"/>
        <v>1480</v>
      </c>
      <c r="M4397" s="26" t="s">
        <v>9104</v>
      </c>
      <c r="O4397" s="22" t="s">
        <v>1531</v>
      </c>
      <c r="P4397" s="22" t="s">
        <v>1532</v>
      </c>
      <c r="Q4397" s="22">
        <v>95965</v>
      </c>
      <c r="R4397" s="22" t="s">
        <v>1533</v>
      </c>
      <c r="S4397" s="22" t="s">
        <v>1534</v>
      </c>
      <c r="T4397" s="22">
        <v>6.9</v>
      </c>
      <c r="U4397" s="22">
        <v>0.4</v>
      </c>
      <c r="X4397" s="26"/>
      <c r="Y4397" s="26"/>
    </row>
    <row r="4398" spans="1:25" ht="25" x14ac:dyDescent="0.25">
      <c r="A4398" s="21">
        <v>6305</v>
      </c>
      <c r="B4398" s="22" t="s">
        <v>15313</v>
      </c>
      <c r="C4398" s="22" t="s">
        <v>1527</v>
      </c>
      <c r="E4398" s="24">
        <v>2000</v>
      </c>
      <c r="F4398" s="22" t="s">
        <v>1535</v>
      </c>
      <c r="G4398" s="23" t="s">
        <v>1529</v>
      </c>
      <c r="H4398" s="25" t="s">
        <v>15373</v>
      </c>
      <c r="I4398" s="22" t="s">
        <v>15382</v>
      </c>
      <c r="J4398" s="22" t="s">
        <v>1530</v>
      </c>
      <c r="K4398" s="26">
        <f t="shared" si="69"/>
        <v>1480</v>
      </c>
      <c r="M4398" s="26" t="s">
        <v>9104</v>
      </c>
      <c r="O4398" s="22" t="s">
        <v>1531</v>
      </c>
      <c r="P4398" s="22" t="s">
        <v>1532</v>
      </c>
      <c r="Q4398" s="22">
        <v>95965</v>
      </c>
      <c r="R4398" s="22" t="s">
        <v>1533</v>
      </c>
      <c r="S4398" s="22" t="s">
        <v>1534</v>
      </c>
      <c r="T4398" s="22">
        <v>6.9</v>
      </c>
      <c r="U4398" s="22">
        <v>0.4</v>
      </c>
      <c r="X4398" s="26"/>
      <c r="Y4398" s="26"/>
    </row>
    <row r="4399" spans="1:25" x14ac:dyDescent="0.25">
      <c r="A4399" s="21">
        <v>6306</v>
      </c>
      <c r="B4399" s="22" t="s">
        <v>15313</v>
      </c>
      <c r="C4399" s="22" t="s">
        <v>1536</v>
      </c>
      <c r="E4399" s="24">
        <v>1983</v>
      </c>
      <c r="F4399" s="22" t="s">
        <v>1537</v>
      </c>
      <c r="G4399" s="23" t="s">
        <v>1538</v>
      </c>
      <c r="H4399" s="25" t="s">
        <v>15373</v>
      </c>
      <c r="I4399" s="22" t="s">
        <v>15382</v>
      </c>
      <c r="J4399" s="22" t="s">
        <v>16311</v>
      </c>
      <c r="K4399" s="26">
        <f t="shared" si="69"/>
        <v>472</v>
      </c>
      <c r="M4399" s="26" t="s">
        <v>1539</v>
      </c>
      <c r="O4399" s="22" t="s">
        <v>1540</v>
      </c>
      <c r="P4399" s="22" t="s">
        <v>1541</v>
      </c>
      <c r="Q4399" s="22">
        <v>95969</v>
      </c>
      <c r="R4399" s="22" t="s">
        <v>1542</v>
      </c>
      <c r="S4399" s="22" t="s">
        <v>1543</v>
      </c>
      <c r="T4399" s="22">
        <v>12</v>
      </c>
      <c r="U4399" s="22">
        <v>0.53</v>
      </c>
      <c r="X4399" s="26"/>
      <c r="Y4399" s="26"/>
    </row>
    <row r="4400" spans="1:25" ht="25" x14ac:dyDescent="0.25">
      <c r="A4400" s="21">
        <v>6307</v>
      </c>
      <c r="B4400" s="22" t="s">
        <v>15313</v>
      </c>
      <c r="C4400" s="22" t="s">
        <v>1544</v>
      </c>
      <c r="E4400" s="24">
        <v>1994</v>
      </c>
      <c r="F4400" s="22" t="s">
        <v>1545</v>
      </c>
      <c r="G4400" s="23" t="s">
        <v>1546</v>
      </c>
      <c r="H4400" s="25" t="s">
        <v>15373</v>
      </c>
      <c r="I4400" s="22" t="s">
        <v>15411</v>
      </c>
      <c r="J4400" s="22" t="s">
        <v>16311</v>
      </c>
      <c r="K4400" s="26">
        <f t="shared" si="69"/>
        <v>424</v>
      </c>
      <c r="M4400" s="26" t="s">
        <v>1547</v>
      </c>
      <c r="O4400" s="22" t="s">
        <v>1548</v>
      </c>
      <c r="P4400" s="22" t="s">
        <v>1512</v>
      </c>
      <c r="Q4400" s="22">
        <v>95926</v>
      </c>
      <c r="R4400" s="22" t="s">
        <v>1549</v>
      </c>
      <c r="S4400" s="22" t="s">
        <v>1550</v>
      </c>
      <c r="T4400" s="22">
        <v>8.17</v>
      </c>
      <c r="U4400" s="22">
        <v>0.38</v>
      </c>
      <c r="X4400" s="26"/>
      <c r="Y4400" s="26"/>
    </row>
    <row r="4401" spans="1:25" ht="25" x14ac:dyDescent="0.25">
      <c r="A4401" s="21">
        <v>6308</v>
      </c>
      <c r="B4401" s="22" t="s">
        <v>15313</v>
      </c>
      <c r="C4401" s="22" t="s">
        <v>1544</v>
      </c>
      <c r="E4401" s="24">
        <v>1976</v>
      </c>
      <c r="F4401" s="22" t="s">
        <v>1551</v>
      </c>
      <c r="G4401" s="23" t="s">
        <v>1552</v>
      </c>
      <c r="H4401" s="25" t="s">
        <v>15373</v>
      </c>
      <c r="I4401" s="22" t="s">
        <v>15411</v>
      </c>
      <c r="J4401" s="22" t="s">
        <v>16311</v>
      </c>
      <c r="K4401" s="26">
        <f t="shared" si="69"/>
        <v>356.66666666666663</v>
      </c>
      <c r="M4401" s="26" t="s">
        <v>9397</v>
      </c>
      <c r="O4401" s="22" t="s">
        <v>1553</v>
      </c>
      <c r="P4401" s="22" t="s">
        <v>1512</v>
      </c>
      <c r="Q4401" s="22">
        <v>95926</v>
      </c>
      <c r="R4401" s="22" t="s">
        <v>1554</v>
      </c>
      <c r="S4401" s="22" t="s">
        <v>1555</v>
      </c>
      <c r="T4401" s="22">
        <v>12</v>
      </c>
      <c r="U4401" s="22">
        <v>0.53</v>
      </c>
      <c r="X4401" s="26"/>
      <c r="Y4401" s="26"/>
    </row>
    <row r="4402" spans="1:25" ht="25" x14ac:dyDescent="0.25">
      <c r="A4402" s="21">
        <v>6309</v>
      </c>
      <c r="B4402" s="22" t="s">
        <v>15313</v>
      </c>
      <c r="C4402" s="22" t="s">
        <v>1544</v>
      </c>
      <c r="E4402" s="24">
        <v>1985</v>
      </c>
      <c r="F4402" s="22" t="s">
        <v>1556</v>
      </c>
      <c r="G4402" s="23" t="s">
        <v>1557</v>
      </c>
      <c r="H4402" s="25" t="s">
        <v>15373</v>
      </c>
      <c r="I4402" s="22" t="s">
        <v>15374</v>
      </c>
      <c r="J4402" s="22" t="s">
        <v>16311</v>
      </c>
      <c r="K4402" s="26">
        <f t="shared" si="69"/>
        <v>593.33333333333326</v>
      </c>
      <c r="M4402" s="26" t="s">
        <v>13989</v>
      </c>
      <c r="O4402" s="22" t="s">
        <v>1558</v>
      </c>
      <c r="P4402" s="22" t="s">
        <v>1512</v>
      </c>
      <c r="Q4402" s="22">
        <v>95926</v>
      </c>
      <c r="R4402" s="22" t="s">
        <v>1559</v>
      </c>
      <c r="S4402" s="22" t="s">
        <v>1560</v>
      </c>
      <c r="T4402" s="22">
        <v>11</v>
      </c>
      <c r="U4402" s="22">
        <v>0.53</v>
      </c>
      <c r="X4402" s="26"/>
      <c r="Y4402" s="26"/>
    </row>
    <row r="4403" spans="1:25" ht="25" x14ac:dyDescent="0.25">
      <c r="A4403" s="21">
        <v>6310</v>
      </c>
      <c r="B4403" s="22" t="s">
        <v>15313</v>
      </c>
      <c r="C4403" s="22" t="s">
        <v>1544</v>
      </c>
      <c r="E4403" s="24">
        <v>1985</v>
      </c>
      <c r="F4403" s="22" t="s">
        <v>1556</v>
      </c>
      <c r="G4403" s="23" t="s">
        <v>1561</v>
      </c>
      <c r="H4403" s="25" t="s">
        <v>15373</v>
      </c>
      <c r="I4403" s="22" t="s">
        <v>15374</v>
      </c>
      <c r="J4403" s="22" t="s">
        <v>16311</v>
      </c>
      <c r="K4403" s="26">
        <f t="shared" si="69"/>
        <v>503.33333333333331</v>
      </c>
      <c r="M4403" s="26" t="s">
        <v>10168</v>
      </c>
      <c r="O4403" s="22" t="s">
        <v>1558</v>
      </c>
      <c r="P4403" s="22" t="s">
        <v>1512</v>
      </c>
      <c r="Q4403" s="22">
        <v>95926</v>
      </c>
      <c r="R4403" s="22" t="s">
        <v>1559</v>
      </c>
      <c r="S4403" s="22" t="s">
        <v>1560</v>
      </c>
      <c r="T4403" s="22">
        <v>11</v>
      </c>
      <c r="U4403" s="22">
        <v>0.53</v>
      </c>
      <c r="X4403" s="26"/>
      <c r="Y4403" s="26"/>
    </row>
    <row r="4404" spans="1:25" ht="25" x14ac:dyDescent="0.25">
      <c r="A4404" s="21">
        <v>6311</v>
      </c>
      <c r="B4404" s="22" t="s">
        <v>15313</v>
      </c>
      <c r="C4404" s="22" t="s">
        <v>1544</v>
      </c>
      <c r="E4404" s="24">
        <v>1985</v>
      </c>
      <c r="F4404" s="22" t="s">
        <v>1556</v>
      </c>
      <c r="G4404" s="23" t="s">
        <v>1561</v>
      </c>
      <c r="H4404" s="25" t="s">
        <v>15373</v>
      </c>
      <c r="I4404" s="22" t="s">
        <v>15374</v>
      </c>
      <c r="J4404" s="22" t="s">
        <v>16311</v>
      </c>
      <c r="K4404" s="26">
        <f t="shared" si="69"/>
        <v>503.33333333333331</v>
      </c>
      <c r="M4404" s="26" t="s">
        <v>10168</v>
      </c>
      <c r="O4404" s="22" t="s">
        <v>1558</v>
      </c>
      <c r="P4404" s="22" t="s">
        <v>1512</v>
      </c>
      <c r="Q4404" s="22">
        <v>95926</v>
      </c>
      <c r="R4404" s="22" t="s">
        <v>1559</v>
      </c>
      <c r="S4404" s="22" t="s">
        <v>1560</v>
      </c>
      <c r="T4404" s="22">
        <v>11</v>
      </c>
      <c r="U4404" s="22">
        <v>0.53</v>
      </c>
      <c r="X4404" s="26"/>
      <c r="Y4404" s="26"/>
    </row>
    <row r="4405" spans="1:25" ht="25" x14ac:dyDescent="0.25">
      <c r="A4405" s="21">
        <v>6312</v>
      </c>
      <c r="B4405" s="22" t="s">
        <v>15313</v>
      </c>
      <c r="C4405" s="22" t="s">
        <v>1544</v>
      </c>
      <c r="E4405" s="24">
        <v>1985</v>
      </c>
      <c r="F4405" s="22" t="s">
        <v>1556</v>
      </c>
      <c r="G4405" s="23" t="s">
        <v>1562</v>
      </c>
      <c r="H4405" s="25" t="s">
        <v>15373</v>
      </c>
      <c r="I4405" s="22" t="s">
        <v>15411</v>
      </c>
      <c r="J4405" s="22" t="s">
        <v>16311</v>
      </c>
      <c r="K4405" s="26">
        <f t="shared" si="69"/>
        <v>403.33333333333331</v>
      </c>
      <c r="M4405" s="26" t="s">
        <v>1563</v>
      </c>
      <c r="O4405" s="22" t="s">
        <v>1558</v>
      </c>
      <c r="P4405" s="22" t="s">
        <v>1512</v>
      </c>
      <c r="Q4405" s="22">
        <v>95926</v>
      </c>
      <c r="R4405" s="22" t="s">
        <v>1559</v>
      </c>
      <c r="S4405" s="22" t="s">
        <v>1560</v>
      </c>
      <c r="T4405" s="22">
        <v>11</v>
      </c>
      <c r="U4405" s="22">
        <v>0.53</v>
      </c>
      <c r="X4405" s="26"/>
      <c r="Y4405" s="26"/>
    </row>
    <row r="4406" spans="1:25" x14ac:dyDescent="0.25">
      <c r="A4406" s="21">
        <v>8500</v>
      </c>
      <c r="B4406" s="22" t="s">
        <v>15315</v>
      </c>
      <c r="C4406" s="22" t="s">
        <v>1564</v>
      </c>
      <c r="H4406" s="25" t="s">
        <v>16311</v>
      </c>
      <c r="I4406" s="22" t="s">
        <v>16311</v>
      </c>
      <c r="J4406" s="22" t="s">
        <v>16311</v>
      </c>
      <c r="K4406" s="26">
        <f t="shared" si="69"/>
        <v>300</v>
      </c>
      <c r="L4406" s="26">
        <v>300</v>
      </c>
      <c r="O4406" s="22" t="s">
        <v>1565</v>
      </c>
      <c r="P4406" s="22" t="s">
        <v>1566</v>
      </c>
      <c r="Q4406" s="22">
        <v>95050</v>
      </c>
      <c r="S4406" s="22" t="s">
        <v>1567</v>
      </c>
      <c r="X4406" s="26"/>
      <c r="Y4406" s="26"/>
    </row>
    <row r="4407" spans="1:25" x14ac:dyDescent="0.25">
      <c r="A4407" s="21">
        <v>8501</v>
      </c>
      <c r="B4407" s="22" t="s">
        <v>15315</v>
      </c>
      <c r="C4407" s="22" t="s">
        <v>1568</v>
      </c>
      <c r="H4407" s="25" t="s">
        <v>16311</v>
      </c>
      <c r="I4407" s="22" t="s">
        <v>16311</v>
      </c>
      <c r="J4407" s="22" t="s">
        <v>16311</v>
      </c>
      <c r="K4407" s="26">
        <f t="shared" si="69"/>
        <v>300</v>
      </c>
      <c r="L4407" s="26">
        <v>300</v>
      </c>
      <c r="O4407" s="22" t="s">
        <v>1569</v>
      </c>
      <c r="P4407" s="22" t="s">
        <v>1566</v>
      </c>
      <c r="Q4407" s="22">
        <v>95054</v>
      </c>
      <c r="S4407" s="22" t="s">
        <v>1570</v>
      </c>
      <c r="X4407" s="26"/>
      <c r="Y4407" s="26"/>
    </row>
    <row r="4408" spans="1:25" x14ac:dyDescent="0.25">
      <c r="A4408" s="21">
        <v>8502</v>
      </c>
      <c r="B4408" s="22" t="s">
        <v>15315</v>
      </c>
      <c r="C4408" s="22" t="s">
        <v>1564</v>
      </c>
      <c r="H4408" s="25" t="s">
        <v>16311</v>
      </c>
      <c r="I4408" s="22" t="s">
        <v>16311</v>
      </c>
      <c r="J4408" s="22" t="s">
        <v>16311</v>
      </c>
      <c r="K4408" s="26">
        <f t="shared" si="69"/>
        <v>300</v>
      </c>
      <c r="L4408" s="26">
        <v>300</v>
      </c>
      <c r="O4408" s="22" t="s">
        <v>1571</v>
      </c>
      <c r="P4408" s="22" t="s">
        <v>1566</v>
      </c>
      <c r="Q4408" s="22">
        <v>95050</v>
      </c>
      <c r="S4408" s="22" t="s">
        <v>1572</v>
      </c>
      <c r="X4408" s="26"/>
      <c r="Y4408" s="26"/>
    </row>
    <row r="4409" spans="1:25" x14ac:dyDescent="0.25">
      <c r="A4409" s="21">
        <v>8503</v>
      </c>
      <c r="B4409" s="22" t="s">
        <v>15315</v>
      </c>
      <c r="C4409" s="22" t="s">
        <v>1573</v>
      </c>
      <c r="H4409" s="25" t="s">
        <v>16311</v>
      </c>
      <c r="I4409" s="22" t="s">
        <v>16311</v>
      </c>
      <c r="J4409" s="22" t="s">
        <v>16311</v>
      </c>
      <c r="K4409" s="26">
        <f t="shared" si="69"/>
        <v>300</v>
      </c>
      <c r="L4409" s="26">
        <v>300</v>
      </c>
      <c r="O4409" s="22" t="s">
        <v>1574</v>
      </c>
      <c r="P4409" s="22" t="s">
        <v>1566</v>
      </c>
      <c r="Q4409" s="22">
        <v>95051</v>
      </c>
      <c r="S4409" s="22" t="s">
        <v>1575</v>
      </c>
      <c r="X4409" s="26"/>
      <c r="Y4409" s="26"/>
    </row>
    <row r="4410" spans="1:25" x14ac:dyDescent="0.25">
      <c r="A4410" s="21">
        <v>8504</v>
      </c>
      <c r="B4410" s="22" t="s">
        <v>15315</v>
      </c>
      <c r="C4410" s="22" t="s">
        <v>1576</v>
      </c>
      <c r="H4410" s="25" t="s">
        <v>16311</v>
      </c>
      <c r="I4410" s="22" t="s">
        <v>16311</v>
      </c>
      <c r="J4410" s="22" t="s">
        <v>16311</v>
      </c>
      <c r="K4410" s="26">
        <f t="shared" si="69"/>
        <v>350</v>
      </c>
      <c r="L4410" s="26">
        <v>350</v>
      </c>
      <c r="O4410" s="22" t="s">
        <v>1577</v>
      </c>
      <c r="P4410" s="22" t="s">
        <v>1566</v>
      </c>
      <c r="Q4410" s="22">
        <v>95051</v>
      </c>
      <c r="S4410" s="22" t="s">
        <v>1578</v>
      </c>
      <c r="X4410" s="26"/>
      <c r="Y4410" s="26"/>
    </row>
    <row r="4411" spans="1:25" x14ac:dyDescent="0.25">
      <c r="A4411" s="21">
        <v>8505</v>
      </c>
      <c r="B4411" s="22" t="s">
        <v>15315</v>
      </c>
      <c r="C4411" s="22" t="s">
        <v>1579</v>
      </c>
      <c r="H4411" s="25" t="s">
        <v>16311</v>
      </c>
      <c r="I4411" s="22" t="s">
        <v>16311</v>
      </c>
      <c r="J4411" s="22" t="s">
        <v>16311</v>
      </c>
      <c r="K4411" s="26">
        <f t="shared" si="69"/>
        <v>350</v>
      </c>
      <c r="L4411" s="26">
        <v>350</v>
      </c>
      <c r="O4411" s="22" t="s">
        <v>1571</v>
      </c>
      <c r="P4411" s="22" t="s">
        <v>1566</v>
      </c>
      <c r="Q4411" s="22">
        <v>95050</v>
      </c>
      <c r="S4411" s="22" t="s">
        <v>1572</v>
      </c>
      <c r="X4411" s="26"/>
      <c r="Y4411" s="26"/>
    </row>
    <row r="4412" spans="1:25" x14ac:dyDescent="0.25">
      <c r="A4412" s="21">
        <v>8506</v>
      </c>
      <c r="B4412" s="22" t="s">
        <v>15315</v>
      </c>
      <c r="C4412" s="22" t="s">
        <v>1580</v>
      </c>
      <c r="H4412" s="25" t="s">
        <v>16311</v>
      </c>
      <c r="I4412" s="22" t="s">
        <v>16311</v>
      </c>
      <c r="J4412" s="22" t="s">
        <v>16311</v>
      </c>
      <c r="K4412" s="26">
        <f t="shared" si="69"/>
        <v>350</v>
      </c>
      <c r="L4412" s="26">
        <v>350</v>
      </c>
      <c r="O4412" s="22" t="s">
        <v>1581</v>
      </c>
      <c r="P4412" s="22" t="s">
        <v>1566</v>
      </c>
      <c r="Q4412" s="22">
        <v>95054</v>
      </c>
      <c r="S4412" s="22" t="s">
        <v>1582</v>
      </c>
      <c r="X4412" s="26"/>
      <c r="Y4412" s="26"/>
    </row>
    <row r="4413" spans="1:25" x14ac:dyDescent="0.25">
      <c r="A4413" s="21">
        <v>8507</v>
      </c>
      <c r="B4413" s="22" t="s">
        <v>15315</v>
      </c>
      <c r="C4413" s="22" t="s">
        <v>1583</v>
      </c>
      <c r="H4413" s="25" t="s">
        <v>16311</v>
      </c>
      <c r="I4413" s="22" t="s">
        <v>16311</v>
      </c>
      <c r="J4413" s="22" t="s">
        <v>16311</v>
      </c>
      <c r="K4413" s="26">
        <f t="shared" si="69"/>
        <v>350</v>
      </c>
      <c r="L4413" s="26">
        <v>350</v>
      </c>
      <c r="O4413" s="22" t="s">
        <v>1584</v>
      </c>
      <c r="P4413" s="22" t="s">
        <v>1566</v>
      </c>
      <c r="Q4413" s="22">
        <v>95050</v>
      </c>
      <c r="S4413" s="22" t="s">
        <v>1585</v>
      </c>
      <c r="X4413" s="26"/>
      <c r="Y4413" s="26"/>
    </row>
    <row r="4414" spans="1:25" x14ac:dyDescent="0.25">
      <c r="A4414" s="21">
        <v>8508</v>
      </c>
      <c r="B4414" s="22" t="s">
        <v>15315</v>
      </c>
      <c r="C4414" s="22" t="s">
        <v>1583</v>
      </c>
      <c r="H4414" s="25" t="s">
        <v>16311</v>
      </c>
      <c r="I4414" s="22" t="s">
        <v>16311</v>
      </c>
      <c r="J4414" s="22" t="s">
        <v>16311</v>
      </c>
      <c r="K4414" s="26">
        <f t="shared" si="69"/>
        <v>350</v>
      </c>
      <c r="L4414" s="26">
        <v>350</v>
      </c>
      <c r="O4414" s="22" t="s">
        <v>1584</v>
      </c>
      <c r="P4414" s="22" t="s">
        <v>1566</v>
      </c>
      <c r="Q4414" s="22">
        <v>95050</v>
      </c>
      <c r="S4414" s="22" t="s">
        <v>1585</v>
      </c>
      <c r="X4414" s="26"/>
      <c r="Y4414" s="26"/>
    </row>
    <row r="4415" spans="1:25" x14ac:dyDescent="0.25">
      <c r="A4415" s="21">
        <v>8509</v>
      </c>
      <c r="B4415" s="22" t="s">
        <v>15315</v>
      </c>
      <c r="C4415" s="22" t="s">
        <v>1583</v>
      </c>
      <c r="H4415" s="25" t="s">
        <v>16311</v>
      </c>
      <c r="I4415" s="22" t="s">
        <v>16311</v>
      </c>
      <c r="J4415" s="22" t="s">
        <v>16311</v>
      </c>
      <c r="K4415" s="26">
        <f t="shared" si="69"/>
        <v>350</v>
      </c>
      <c r="L4415" s="26">
        <v>350</v>
      </c>
      <c r="O4415" s="22" t="s">
        <v>1586</v>
      </c>
      <c r="P4415" s="22" t="s">
        <v>1566</v>
      </c>
      <c r="Q4415" s="22">
        <v>95054</v>
      </c>
      <c r="S4415" s="22" t="s">
        <v>1587</v>
      </c>
      <c r="X4415" s="26"/>
      <c r="Y4415" s="26"/>
    </row>
    <row r="4416" spans="1:25" x14ac:dyDescent="0.25">
      <c r="A4416" s="21">
        <v>8510</v>
      </c>
      <c r="B4416" s="22" t="s">
        <v>15315</v>
      </c>
      <c r="C4416" s="22" t="s">
        <v>1564</v>
      </c>
      <c r="H4416" s="25" t="s">
        <v>16311</v>
      </c>
      <c r="I4416" s="22" t="s">
        <v>16311</v>
      </c>
      <c r="J4416" s="22" t="s">
        <v>16311</v>
      </c>
      <c r="K4416" s="26">
        <f t="shared" si="69"/>
        <v>350</v>
      </c>
      <c r="L4416" s="26">
        <v>350</v>
      </c>
      <c r="O4416" s="22" t="s">
        <v>1588</v>
      </c>
      <c r="P4416" s="22" t="s">
        <v>1566</v>
      </c>
      <c r="Q4416" s="22">
        <v>95051</v>
      </c>
      <c r="S4416" s="22" t="s">
        <v>1572</v>
      </c>
      <c r="X4416" s="26"/>
      <c r="Y4416" s="26"/>
    </row>
    <row r="4417" spans="1:25" x14ac:dyDescent="0.25">
      <c r="A4417" s="21">
        <v>8511</v>
      </c>
      <c r="B4417" s="22" t="s">
        <v>15315</v>
      </c>
      <c r="C4417" s="22" t="s">
        <v>1589</v>
      </c>
      <c r="H4417" s="25" t="s">
        <v>16311</v>
      </c>
      <c r="I4417" s="22" t="s">
        <v>16311</v>
      </c>
      <c r="J4417" s="22" t="s">
        <v>16311</v>
      </c>
      <c r="K4417" s="26">
        <f t="shared" si="69"/>
        <v>400</v>
      </c>
      <c r="L4417" s="26">
        <v>400</v>
      </c>
      <c r="O4417" s="22" t="s">
        <v>1590</v>
      </c>
      <c r="P4417" s="22" t="s">
        <v>1566</v>
      </c>
      <c r="Q4417" s="22">
        <v>95051</v>
      </c>
      <c r="S4417" s="22" t="s">
        <v>1591</v>
      </c>
      <c r="X4417" s="26"/>
      <c r="Y4417" s="26"/>
    </row>
    <row r="4418" spans="1:25" x14ac:dyDescent="0.25">
      <c r="A4418" s="21">
        <v>8512</v>
      </c>
      <c r="B4418" s="22" t="s">
        <v>15315</v>
      </c>
      <c r="C4418" s="22" t="s">
        <v>1592</v>
      </c>
      <c r="H4418" s="25" t="s">
        <v>16311</v>
      </c>
      <c r="I4418" s="22" t="s">
        <v>16311</v>
      </c>
      <c r="J4418" s="22" t="s">
        <v>16311</v>
      </c>
      <c r="K4418" s="26">
        <f t="shared" si="69"/>
        <v>400</v>
      </c>
      <c r="L4418" s="26">
        <v>400</v>
      </c>
      <c r="O4418" s="22" t="s">
        <v>1593</v>
      </c>
      <c r="P4418" s="22" t="s">
        <v>1566</v>
      </c>
      <c r="Q4418" s="22">
        <v>95050</v>
      </c>
      <c r="S4418" s="22" t="s">
        <v>1594</v>
      </c>
      <c r="X4418" s="26"/>
      <c r="Y4418" s="26"/>
    </row>
    <row r="4419" spans="1:25" x14ac:dyDescent="0.25">
      <c r="A4419" s="21">
        <v>8513</v>
      </c>
      <c r="B4419" s="22" t="s">
        <v>15315</v>
      </c>
      <c r="C4419" s="22" t="s">
        <v>1595</v>
      </c>
      <c r="H4419" s="25" t="s">
        <v>16311</v>
      </c>
      <c r="I4419" s="22" t="s">
        <v>16311</v>
      </c>
      <c r="J4419" s="22" t="s">
        <v>16311</v>
      </c>
      <c r="K4419" s="26">
        <f t="shared" si="69"/>
        <v>400</v>
      </c>
      <c r="L4419" s="26">
        <v>400</v>
      </c>
      <c r="O4419" s="22" t="s">
        <v>1596</v>
      </c>
      <c r="P4419" s="22" t="s">
        <v>1566</v>
      </c>
      <c r="Q4419" s="22">
        <v>95054</v>
      </c>
      <c r="X4419" s="26"/>
      <c r="Y4419" s="26"/>
    </row>
    <row r="4420" spans="1:25" x14ac:dyDescent="0.25">
      <c r="A4420" s="21">
        <v>8514</v>
      </c>
      <c r="B4420" s="22" t="s">
        <v>15315</v>
      </c>
      <c r="C4420" s="22" t="s">
        <v>1597</v>
      </c>
      <c r="H4420" s="25" t="s">
        <v>16311</v>
      </c>
      <c r="I4420" s="22" t="s">
        <v>16311</v>
      </c>
      <c r="J4420" s="22" t="s">
        <v>16311</v>
      </c>
      <c r="K4420" s="26">
        <f t="shared" si="69"/>
        <v>400</v>
      </c>
      <c r="L4420" s="26">
        <v>400</v>
      </c>
      <c r="O4420" s="22" t="s">
        <v>1598</v>
      </c>
      <c r="P4420" s="22" t="s">
        <v>1566</v>
      </c>
      <c r="Q4420" s="22">
        <v>95054</v>
      </c>
      <c r="S4420" s="22" t="s">
        <v>1599</v>
      </c>
      <c r="X4420" s="26"/>
      <c r="Y4420" s="26"/>
    </row>
    <row r="4421" spans="1:25" x14ac:dyDescent="0.25">
      <c r="A4421" s="21">
        <v>8515</v>
      </c>
      <c r="B4421" s="22" t="s">
        <v>15315</v>
      </c>
      <c r="C4421" s="22" t="s">
        <v>1600</v>
      </c>
      <c r="H4421" s="25" t="s">
        <v>16311</v>
      </c>
      <c r="I4421" s="22" t="s">
        <v>16311</v>
      </c>
      <c r="J4421" s="22" t="s">
        <v>16311</v>
      </c>
      <c r="K4421" s="26">
        <f t="shared" si="69"/>
        <v>450</v>
      </c>
      <c r="L4421" s="26">
        <v>450</v>
      </c>
      <c r="O4421" s="22" t="s">
        <v>1601</v>
      </c>
      <c r="P4421" s="22" t="s">
        <v>1566</v>
      </c>
      <c r="Q4421" s="22">
        <v>95054</v>
      </c>
      <c r="S4421" s="22" t="s">
        <v>1602</v>
      </c>
      <c r="X4421" s="26"/>
      <c r="Y4421" s="26"/>
    </row>
    <row r="4422" spans="1:25" x14ac:dyDescent="0.25">
      <c r="A4422" s="21">
        <v>8516</v>
      </c>
      <c r="B4422" s="22" t="s">
        <v>15315</v>
      </c>
      <c r="C4422" s="22" t="s">
        <v>1603</v>
      </c>
      <c r="H4422" s="25" t="s">
        <v>16311</v>
      </c>
      <c r="I4422" s="22" t="s">
        <v>16311</v>
      </c>
      <c r="J4422" s="22" t="s">
        <v>16311</v>
      </c>
      <c r="K4422" s="26">
        <f t="shared" si="69"/>
        <v>500</v>
      </c>
      <c r="L4422" s="26">
        <v>500</v>
      </c>
      <c r="O4422" s="22" t="s">
        <v>1604</v>
      </c>
      <c r="P4422" s="22" t="s">
        <v>1566</v>
      </c>
      <c r="Q4422" s="22">
        <v>95054</v>
      </c>
      <c r="S4422" s="22" t="s">
        <v>1605</v>
      </c>
      <c r="X4422" s="26"/>
      <c r="Y4422" s="26"/>
    </row>
    <row r="4423" spans="1:25" x14ac:dyDescent="0.25">
      <c r="A4423" s="21">
        <v>8517</v>
      </c>
      <c r="B4423" s="22" t="s">
        <v>15315</v>
      </c>
      <c r="C4423" s="22" t="s">
        <v>1576</v>
      </c>
      <c r="H4423" s="25" t="s">
        <v>16311</v>
      </c>
      <c r="I4423" s="22" t="s">
        <v>16311</v>
      </c>
      <c r="J4423" s="22" t="s">
        <v>16311</v>
      </c>
      <c r="K4423" s="26">
        <f t="shared" si="69"/>
        <v>550</v>
      </c>
      <c r="L4423" s="26">
        <v>550</v>
      </c>
      <c r="O4423" s="22" t="s">
        <v>1577</v>
      </c>
      <c r="P4423" s="22" t="s">
        <v>1566</v>
      </c>
      <c r="Q4423" s="22">
        <v>95051</v>
      </c>
      <c r="S4423" s="22" t="s">
        <v>1578</v>
      </c>
      <c r="X4423" s="26"/>
      <c r="Y4423" s="26"/>
    </row>
    <row r="4424" spans="1:25" x14ac:dyDescent="0.25">
      <c r="A4424" s="21">
        <v>8518</v>
      </c>
      <c r="B4424" s="22" t="s">
        <v>15315</v>
      </c>
      <c r="C4424" s="22" t="s">
        <v>1583</v>
      </c>
      <c r="H4424" s="25" t="s">
        <v>16311</v>
      </c>
      <c r="I4424" s="22" t="s">
        <v>16311</v>
      </c>
      <c r="J4424" s="22" t="s">
        <v>16311</v>
      </c>
      <c r="K4424" s="26">
        <f t="shared" si="69"/>
        <v>600</v>
      </c>
      <c r="L4424" s="26">
        <v>600</v>
      </c>
      <c r="O4424" s="22" t="s">
        <v>1606</v>
      </c>
      <c r="P4424" s="22" t="s">
        <v>1566</v>
      </c>
      <c r="Q4424" s="22">
        <v>95050</v>
      </c>
      <c r="S4424" s="22" t="s">
        <v>1585</v>
      </c>
      <c r="X4424" s="26"/>
      <c r="Y4424" s="26"/>
    </row>
    <row r="4425" spans="1:25" x14ac:dyDescent="0.25">
      <c r="A4425" s="21">
        <v>8519</v>
      </c>
      <c r="B4425" s="22" t="s">
        <v>15315</v>
      </c>
      <c r="C4425" s="22" t="s">
        <v>1607</v>
      </c>
      <c r="H4425" s="25" t="s">
        <v>16311</v>
      </c>
      <c r="I4425" s="22" t="s">
        <v>16311</v>
      </c>
      <c r="J4425" s="22" t="s">
        <v>16311</v>
      </c>
      <c r="K4425" s="26">
        <f t="shared" si="69"/>
        <v>600</v>
      </c>
      <c r="L4425" s="26">
        <v>600</v>
      </c>
      <c r="O4425" s="22" t="s">
        <v>1608</v>
      </c>
      <c r="P4425" s="22" t="s">
        <v>1566</v>
      </c>
      <c r="Q4425" s="22">
        <v>95054</v>
      </c>
      <c r="S4425" s="22" t="s">
        <v>1609</v>
      </c>
      <c r="X4425" s="26"/>
      <c r="Y4425" s="26"/>
    </row>
    <row r="4426" spans="1:25" x14ac:dyDescent="0.25">
      <c r="A4426" s="21">
        <v>8520</v>
      </c>
      <c r="B4426" s="22" t="s">
        <v>15315</v>
      </c>
      <c r="C4426" s="22" t="s">
        <v>1583</v>
      </c>
      <c r="H4426" s="25" t="s">
        <v>16311</v>
      </c>
      <c r="I4426" s="22" t="s">
        <v>16311</v>
      </c>
      <c r="J4426" s="22" t="s">
        <v>16311</v>
      </c>
      <c r="K4426" s="26">
        <f t="shared" si="69"/>
        <v>600</v>
      </c>
      <c r="L4426" s="26">
        <v>600</v>
      </c>
      <c r="O4426" s="22" t="s">
        <v>1610</v>
      </c>
      <c r="P4426" s="22" t="s">
        <v>1566</v>
      </c>
      <c r="Q4426" s="22">
        <v>95054</v>
      </c>
      <c r="S4426" s="22" t="s">
        <v>1587</v>
      </c>
      <c r="X4426" s="26"/>
      <c r="Y4426" s="26"/>
    </row>
    <row r="4427" spans="1:25" x14ac:dyDescent="0.25">
      <c r="A4427" s="21">
        <v>8521</v>
      </c>
      <c r="B4427" s="22" t="s">
        <v>15315</v>
      </c>
      <c r="C4427" s="22" t="s">
        <v>1564</v>
      </c>
      <c r="H4427" s="25" t="s">
        <v>16311</v>
      </c>
      <c r="I4427" s="22" t="s">
        <v>16311</v>
      </c>
      <c r="J4427" s="22" t="s">
        <v>16311</v>
      </c>
      <c r="K4427" s="26">
        <f t="shared" si="69"/>
        <v>700</v>
      </c>
      <c r="L4427" s="26">
        <v>700</v>
      </c>
      <c r="O4427" s="22" t="s">
        <v>1611</v>
      </c>
      <c r="P4427" s="22" t="s">
        <v>1566</v>
      </c>
      <c r="Q4427" s="22">
        <v>95054</v>
      </c>
      <c r="S4427" s="22" t="s">
        <v>1567</v>
      </c>
      <c r="X4427" s="26"/>
      <c r="Y4427" s="26"/>
    </row>
    <row r="4428" spans="1:25" x14ac:dyDescent="0.25">
      <c r="A4428" s="21">
        <v>8522</v>
      </c>
      <c r="B4428" s="22" t="s">
        <v>15315</v>
      </c>
      <c r="C4428" s="22" t="s">
        <v>1612</v>
      </c>
      <c r="H4428" s="25" t="s">
        <v>16311</v>
      </c>
      <c r="I4428" s="22" t="s">
        <v>16311</v>
      </c>
      <c r="J4428" s="22" t="s">
        <v>16311</v>
      </c>
      <c r="K4428" s="26">
        <f t="shared" si="69"/>
        <v>725</v>
      </c>
      <c r="L4428" s="26">
        <v>725</v>
      </c>
      <c r="O4428" s="22" t="s">
        <v>1613</v>
      </c>
      <c r="P4428" s="22" t="s">
        <v>1566</v>
      </c>
      <c r="Q4428" s="22">
        <v>95054</v>
      </c>
      <c r="S4428" s="22" t="s">
        <v>1614</v>
      </c>
      <c r="X4428" s="26"/>
      <c r="Y4428" s="26"/>
    </row>
    <row r="4429" spans="1:25" x14ac:dyDescent="0.25">
      <c r="A4429" s="21">
        <v>8523</v>
      </c>
      <c r="B4429" s="22" t="s">
        <v>15315</v>
      </c>
      <c r="C4429" s="22" t="s">
        <v>1615</v>
      </c>
      <c r="H4429" s="25" t="s">
        <v>16311</v>
      </c>
      <c r="I4429" s="22" t="s">
        <v>16311</v>
      </c>
      <c r="J4429" s="22" t="s">
        <v>16311</v>
      </c>
      <c r="K4429" s="26">
        <f t="shared" si="69"/>
        <v>750</v>
      </c>
      <c r="L4429" s="26">
        <v>750</v>
      </c>
      <c r="O4429" s="22" t="s">
        <v>1616</v>
      </c>
      <c r="P4429" s="22" t="s">
        <v>1566</v>
      </c>
      <c r="Q4429" s="22">
        <v>95050</v>
      </c>
      <c r="S4429" s="22" t="s">
        <v>1617</v>
      </c>
      <c r="X4429" s="26"/>
      <c r="Y4429" s="26"/>
    </row>
    <row r="4430" spans="1:25" x14ac:dyDescent="0.25">
      <c r="A4430" s="21">
        <v>8524</v>
      </c>
      <c r="B4430" s="22" t="s">
        <v>15315</v>
      </c>
      <c r="C4430" s="22" t="s">
        <v>1618</v>
      </c>
      <c r="H4430" s="25" t="s">
        <v>16311</v>
      </c>
      <c r="I4430" s="22" t="s">
        <v>16311</v>
      </c>
      <c r="J4430" s="22" t="s">
        <v>16311</v>
      </c>
      <c r="K4430" s="26">
        <f t="shared" si="69"/>
        <v>750</v>
      </c>
      <c r="L4430" s="26">
        <v>750</v>
      </c>
      <c r="O4430" s="22" t="s">
        <v>1619</v>
      </c>
      <c r="P4430" s="22" t="s">
        <v>1566</v>
      </c>
      <c r="Q4430" s="22">
        <v>95054</v>
      </c>
      <c r="S4430" s="22" t="s">
        <v>1620</v>
      </c>
      <c r="X4430" s="26"/>
      <c r="Y4430" s="26"/>
    </row>
    <row r="4431" spans="1:25" x14ac:dyDescent="0.25">
      <c r="A4431" s="21">
        <v>8525</v>
      </c>
      <c r="B4431" s="22" t="s">
        <v>15315</v>
      </c>
      <c r="C4431" s="22" t="s">
        <v>1583</v>
      </c>
      <c r="H4431" s="25" t="s">
        <v>16311</v>
      </c>
      <c r="I4431" s="22" t="s">
        <v>16311</v>
      </c>
      <c r="J4431" s="22" t="s">
        <v>16311</v>
      </c>
      <c r="K4431" s="26">
        <f t="shared" si="69"/>
        <v>750</v>
      </c>
      <c r="L4431" s="26">
        <v>750</v>
      </c>
      <c r="O4431" s="22" t="s">
        <v>1621</v>
      </c>
      <c r="P4431" s="22" t="s">
        <v>1566</v>
      </c>
      <c r="Q4431" s="22">
        <v>95050</v>
      </c>
      <c r="S4431" s="22" t="s">
        <v>1585</v>
      </c>
      <c r="X4431" s="26"/>
      <c r="Y4431" s="26"/>
    </row>
    <row r="4432" spans="1:25" x14ac:dyDescent="0.25">
      <c r="A4432" s="21">
        <v>8526</v>
      </c>
      <c r="B4432" s="22" t="s">
        <v>15315</v>
      </c>
      <c r="C4432" s="22" t="s">
        <v>1622</v>
      </c>
      <c r="H4432" s="25" t="s">
        <v>16311</v>
      </c>
      <c r="I4432" s="22" t="s">
        <v>16311</v>
      </c>
      <c r="J4432" s="22" t="s">
        <v>16311</v>
      </c>
      <c r="K4432" s="26">
        <f t="shared" si="69"/>
        <v>1000</v>
      </c>
      <c r="L4432" s="26">
        <v>1000</v>
      </c>
      <c r="O4432" s="22" t="s">
        <v>1623</v>
      </c>
      <c r="P4432" s="22" t="s">
        <v>1566</v>
      </c>
      <c r="Q4432" s="22">
        <v>95054</v>
      </c>
      <c r="S4432" s="22" t="s">
        <v>1624</v>
      </c>
      <c r="X4432" s="26"/>
      <c r="Y4432" s="26"/>
    </row>
    <row r="4433" spans="1:25" x14ac:dyDescent="0.25">
      <c r="A4433" s="21">
        <v>8527</v>
      </c>
      <c r="B4433" s="22" t="s">
        <v>15315</v>
      </c>
      <c r="C4433" s="22" t="s">
        <v>1625</v>
      </c>
      <c r="H4433" s="25" t="s">
        <v>16311</v>
      </c>
      <c r="I4433" s="22" t="s">
        <v>16311</v>
      </c>
      <c r="J4433" s="22" t="s">
        <v>16311</v>
      </c>
      <c r="K4433" s="26">
        <f t="shared" si="69"/>
        <v>1000</v>
      </c>
      <c r="L4433" s="26">
        <v>1000</v>
      </c>
      <c r="O4433" s="22" t="s">
        <v>1626</v>
      </c>
      <c r="P4433" s="22" t="s">
        <v>1566</v>
      </c>
      <c r="Q4433" s="22">
        <v>95054</v>
      </c>
      <c r="S4433" s="22" t="s">
        <v>1627</v>
      </c>
      <c r="X4433" s="26"/>
      <c r="Y4433" s="26"/>
    </row>
    <row r="4434" spans="1:25" x14ac:dyDescent="0.25">
      <c r="A4434" s="21">
        <v>8528</v>
      </c>
      <c r="B4434" s="22" t="s">
        <v>15315</v>
      </c>
      <c r="C4434" s="22" t="s">
        <v>1568</v>
      </c>
      <c r="H4434" s="25" t="s">
        <v>16311</v>
      </c>
      <c r="I4434" s="22" t="s">
        <v>16311</v>
      </c>
      <c r="J4434" s="22" t="s">
        <v>16311</v>
      </c>
      <c r="K4434" s="26">
        <f t="shared" si="69"/>
        <v>1250</v>
      </c>
      <c r="L4434" s="26">
        <v>1250</v>
      </c>
      <c r="O4434" s="22" t="s">
        <v>1569</v>
      </c>
      <c r="P4434" s="22" t="s">
        <v>1566</v>
      </c>
      <c r="Q4434" s="22">
        <v>95054</v>
      </c>
      <c r="S4434" s="22" t="s">
        <v>1570</v>
      </c>
      <c r="X4434" s="26"/>
      <c r="Y4434" s="26"/>
    </row>
    <row r="4435" spans="1:25" x14ac:dyDescent="0.25">
      <c r="A4435" s="21">
        <v>8529</v>
      </c>
      <c r="B4435" s="22" t="s">
        <v>15315</v>
      </c>
      <c r="C4435" s="22" t="s">
        <v>1628</v>
      </c>
      <c r="H4435" s="25" t="s">
        <v>16311</v>
      </c>
      <c r="I4435" s="22" t="s">
        <v>16311</v>
      </c>
      <c r="J4435" s="22" t="s">
        <v>16311</v>
      </c>
      <c r="K4435" s="26">
        <f t="shared" si="69"/>
        <v>1250</v>
      </c>
      <c r="L4435" s="26">
        <v>1250</v>
      </c>
      <c r="O4435" s="22" t="s">
        <v>1629</v>
      </c>
      <c r="P4435" s="22" t="s">
        <v>1566</v>
      </c>
      <c r="Q4435" s="22">
        <v>95054</v>
      </c>
      <c r="S4435" s="22" t="s">
        <v>1630</v>
      </c>
      <c r="X4435" s="26"/>
      <c r="Y4435" s="26"/>
    </row>
    <row r="4436" spans="1:25" x14ac:dyDescent="0.25">
      <c r="A4436" s="21">
        <v>8530</v>
      </c>
      <c r="B4436" s="22" t="s">
        <v>15315</v>
      </c>
      <c r="C4436" s="22" t="s">
        <v>1628</v>
      </c>
      <c r="H4436" s="25" t="s">
        <v>16311</v>
      </c>
      <c r="I4436" s="22" t="s">
        <v>16311</v>
      </c>
      <c r="J4436" s="22" t="s">
        <v>16311</v>
      </c>
      <c r="K4436" s="26">
        <f t="shared" si="69"/>
        <v>1250</v>
      </c>
      <c r="L4436" s="26">
        <v>1250</v>
      </c>
      <c r="O4436" s="22" t="s">
        <v>1629</v>
      </c>
      <c r="P4436" s="22" t="s">
        <v>1566</v>
      </c>
      <c r="Q4436" s="22">
        <v>95054</v>
      </c>
      <c r="S4436" s="22" t="s">
        <v>1631</v>
      </c>
      <c r="X4436" s="26"/>
      <c r="Y4436" s="26"/>
    </row>
    <row r="4437" spans="1:25" x14ac:dyDescent="0.25">
      <c r="A4437" s="21">
        <v>8531</v>
      </c>
      <c r="B4437" s="22" t="s">
        <v>15315</v>
      </c>
      <c r="C4437" s="22" t="s">
        <v>1568</v>
      </c>
      <c r="H4437" s="25" t="s">
        <v>16311</v>
      </c>
      <c r="I4437" s="22" t="s">
        <v>16311</v>
      </c>
      <c r="J4437" s="22" t="s">
        <v>16311</v>
      </c>
      <c r="K4437" s="26">
        <f t="shared" si="69"/>
        <v>1250</v>
      </c>
      <c r="L4437" s="26">
        <v>1250</v>
      </c>
      <c r="O4437" s="22" t="s">
        <v>1632</v>
      </c>
      <c r="P4437" s="22" t="s">
        <v>1566</v>
      </c>
      <c r="Q4437" s="22">
        <v>95051</v>
      </c>
      <c r="S4437" s="22" t="s">
        <v>1633</v>
      </c>
      <c r="X4437" s="26"/>
      <c r="Y4437" s="26"/>
    </row>
    <row r="4438" spans="1:25" x14ac:dyDescent="0.25">
      <c r="A4438" s="21">
        <v>8532</v>
      </c>
      <c r="B4438" s="22" t="s">
        <v>15315</v>
      </c>
      <c r="C4438" s="22" t="s">
        <v>1583</v>
      </c>
      <c r="H4438" s="25" t="s">
        <v>16311</v>
      </c>
      <c r="I4438" s="22" t="s">
        <v>16311</v>
      </c>
      <c r="J4438" s="22" t="s">
        <v>16311</v>
      </c>
      <c r="K4438" s="26">
        <f t="shared" si="69"/>
        <v>1250</v>
      </c>
      <c r="L4438" s="26">
        <v>1250</v>
      </c>
      <c r="O4438" s="22" t="s">
        <v>1584</v>
      </c>
      <c r="P4438" s="22" t="s">
        <v>1566</v>
      </c>
      <c r="Q4438" s="22">
        <v>95050</v>
      </c>
      <c r="S4438" s="22" t="s">
        <v>1587</v>
      </c>
      <c r="X4438" s="26"/>
      <c r="Y4438" s="26"/>
    </row>
    <row r="4439" spans="1:25" x14ac:dyDescent="0.25">
      <c r="A4439" s="21">
        <v>8533</v>
      </c>
      <c r="B4439" s="22" t="s">
        <v>15315</v>
      </c>
      <c r="C4439" s="22" t="s">
        <v>1634</v>
      </c>
      <c r="H4439" s="25" t="s">
        <v>16311</v>
      </c>
      <c r="I4439" s="22" t="s">
        <v>16311</v>
      </c>
      <c r="J4439" s="22" t="s">
        <v>16311</v>
      </c>
      <c r="K4439" s="26">
        <f t="shared" si="69"/>
        <v>1250</v>
      </c>
      <c r="L4439" s="26">
        <v>1250</v>
      </c>
      <c r="O4439" s="22" t="s">
        <v>1635</v>
      </c>
      <c r="P4439" s="22" t="s">
        <v>1566</v>
      </c>
      <c r="Q4439" s="22" t="s">
        <v>1636</v>
      </c>
      <c r="S4439" s="22" t="s">
        <v>1637</v>
      </c>
      <c r="X4439" s="26"/>
      <c r="Y4439" s="26"/>
    </row>
    <row r="4440" spans="1:25" x14ac:dyDescent="0.25">
      <c r="A4440" s="21">
        <v>8534</v>
      </c>
      <c r="B4440" s="22" t="s">
        <v>15315</v>
      </c>
      <c r="C4440" s="22" t="s">
        <v>1638</v>
      </c>
      <c r="H4440" s="25" t="s">
        <v>16311</v>
      </c>
      <c r="I4440" s="22" t="s">
        <v>16311</v>
      </c>
      <c r="J4440" s="22" t="s">
        <v>16311</v>
      </c>
      <c r="K4440" s="26">
        <f t="shared" si="69"/>
        <v>1500</v>
      </c>
      <c r="L4440" s="26">
        <v>1500</v>
      </c>
      <c r="O4440" s="22" t="s">
        <v>1639</v>
      </c>
      <c r="P4440" s="22" t="s">
        <v>1566</v>
      </c>
      <c r="Q4440" s="22">
        <v>95054</v>
      </c>
      <c r="S4440" s="22" t="s">
        <v>1640</v>
      </c>
      <c r="X4440" s="26"/>
      <c r="Y4440" s="26"/>
    </row>
    <row r="4441" spans="1:25" x14ac:dyDescent="0.25">
      <c r="A4441" s="21">
        <v>8535</v>
      </c>
      <c r="B4441" s="22" t="s">
        <v>15315</v>
      </c>
      <c r="C4441" s="22" t="s">
        <v>1638</v>
      </c>
      <c r="H4441" s="25" t="s">
        <v>16311</v>
      </c>
      <c r="I4441" s="22" t="s">
        <v>16311</v>
      </c>
      <c r="J4441" s="22" t="s">
        <v>16311</v>
      </c>
      <c r="K4441" s="26">
        <f t="shared" si="69"/>
        <v>1500</v>
      </c>
      <c r="L4441" s="26">
        <v>1500</v>
      </c>
      <c r="O4441" s="22" t="s">
        <v>1639</v>
      </c>
      <c r="P4441" s="22" t="s">
        <v>1566</v>
      </c>
      <c r="Q4441" s="22">
        <v>95054</v>
      </c>
      <c r="S4441" s="22" t="s">
        <v>1640</v>
      </c>
      <c r="X4441" s="26"/>
      <c r="Y4441" s="26"/>
    </row>
    <row r="4442" spans="1:25" x14ac:dyDescent="0.25">
      <c r="A4442" s="21">
        <v>8536</v>
      </c>
      <c r="B4442" s="22" t="s">
        <v>15315</v>
      </c>
      <c r="C4442" s="22" t="s">
        <v>1638</v>
      </c>
      <c r="H4442" s="25" t="s">
        <v>16311</v>
      </c>
      <c r="I4442" s="22" t="s">
        <v>16311</v>
      </c>
      <c r="J4442" s="22" t="s">
        <v>16311</v>
      </c>
      <c r="K4442" s="26">
        <f t="shared" si="69"/>
        <v>1500</v>
      </c>
      <c r="L4442" s="26">
        <v>1500</v>
      </c>
      <c r="O4442" s="22" t="s">
        <v>1639</v>
      </c>
      <c r="P4442" s="22" t="s">
        <v>1566</v>
      </c>
      <c r="Q4442" s="22">
        <v>95054</v>
      </c>
      <c r="S4442" s="22" t="s">
        <v>1640</v>
      </c>
      <c r="X4442" s="26"/>
      <c r="Y4442" s="26"/>
    </row>
    <row r="4443" spans="1:25" x14ac:dyDescent="0.25">
      <c r="A4443" s="21">
        <v>8537</v>
      </c>
      <c r="B4443" s="22" t="s">
        <v>15315</v>
      </c>
      <c r="C4443" s="22" t="s">
        <v>1641</v>
      </c>
      <c r="H4443" s="25" t="s">
        <v>16311</v>
      </c>
      <c r="I4443" s="22" t="s">
        <v>16311</v>
      </c>
      <c r="J4443" s="22" t="s">
        <v>16311</v>
      </c>
      <c r="K4443" s="26">
        <f t="shared" si="69"/>
        <v>1500</v>
      </c>
      <c r="L4443" s="26">
        <v>1500</v>
      </c>
      <c r="O4443" s="22" t="s">
        <v>1642</v>
      </c>
      <c r="P4443" s="22" t="s">
        <v>1566</v>
      </c>
      <c r="Q4443" s="22">
        <v>95054</v>
      </c>
      <c r="S4443" s="22" t="s">
        <v>1643</v>
      </c>
      <c r="X4443" s="26"/>
      <c r="Y4443" s="26"/>
    </row>
    <row r="4444" spans="1:25" x14ac:dyDescent="0.25">
      <c r="A4444" s="21">
        <v>8538</v>
      </c>
      <c r="B4444" s="22" t="s">
        <v>15315</v>
      </c>
      <c r="C4444" s="22" t="s">
        <v>1644</v>
      </c>
      <c r="H4444" s="25" t="s">
        <v>16311</v>
      </c>
      <c r="I4444" s="22" t="s">
        <v>16311</v>
      </c>
      <c r="J4444" s="22" t="s">
        <v>16311</v>
      </c>
      <c r="K4444" s="26">
        <f t="shared" si="69"/>
        <v>1750</v>
      </c>
      <c r="L4444" s="26">
        <v>1750</v>
      </c>
      <c r="O4444" s="22" t="s">
        <v>1645</v>
      </c>
      <c r="P4444" s="22" t="s">
        <v>1566</v>
      </c>
      <c r="Q4444" s="22">
        <v>95054</v>
      </c>
      <c r="S4444" s="22" t="s">
        <v>1646</v>
      </c>
      <c r="X4444" s="26"/>
      <c r="Y4444" s="26"/>
    </row>
    <row r="4445" spans="1:25" x14ac:dyDescent="0.25">
      <c r="A4445" s="21">
        <v>8539</v>
      </c>
      <c r="B4445" s="22" t="s">
        <v>15315</v>
      </c>
      <c r="C4445" s="22" t="s">
        <v>1644</v>
      </c>
      <c r="H4445" s="25" t="s">
        <v>16311</v>
      </c>
      <c r="I4445" s="22" t="s">
        <v>16311</v>
      </c>
      <c r="J4445" s="22" t="s">
        <v>16311</v>
      </c>
      <c r="K4445" s="26">
        <f t="shared" ref="K4445:K4508" si="70">L4445+M4445*(2/3)+N4445*(2/3)</f>
        <v>1750</v>
      </c>
      <c r="L4445" s="26">
        <v>1750</v>
      </c>
      <c r="O4445" s="22" t="s">
        <v>1645</v>
      </c>
      <c r="P4445" s="22" t="s">
        <v>1566</v>
      </c>
      <c r="Q4445" s="22">
        <v>95054</v>
      </c>
      <c r="S4445" s="22" t="s">
        <v>1646</v>
      </c>
      <c r="X4445" s="26"/>
      <c r="Y4445" s="26"/>
    </row>
    <row r="4446" spans="1:25" x14ac:dyDescent="0.25">
      <c r="A4446" s="21">
        <v>8540</v>
      </c>
      <c r="B4446" s="22" t="s">
        <v>15315</v>
      </c>
      <c r="C4446" s="22" t="s">
        <v>1647</v>
      </c>
      <c r="H4446" s="25" t="s">
        <v>16311</v>
      </c>
      <c r="I4446" s="22" t="s">
        <v>16311</v>
      </c>
      <c r="J4446" s="22" t="s">
        <v>16311</v>
      </c>
      <c r="K4446" s="26">
        <f t="shared" si="70"/>
        <v>2000</v>
      </c>
      <c r="L4446" s="26">
        <v>2000</v>
      </c>
      <c r="O4446" s="22" t="s">
        <v>1648</v>
      </c>
      <c r="P4446" s="22" t="s">
        <v>1566</v>
      </c>
      <c r="Q4446" s="22">
        <v>95054</v>
      </c>
      <c r="S4446" s="22" t="s">
        <v>1649</v>
      </c>
      <c r="X4446" s="26"/>
      <c r="Y4446" s="26"/>
    </row>
    <row r="4447" spans="1:25" x14ac:dyDescent="0.25">
      <c r="A4447" s="21">
        <v>8541</v>
      </c>
      <c r="B4447" s="22" t="s">
        <v>15315</v>
      </c>
      <c r="C4447" s="22" t="s">
        <v>1568</v>
      </c>
      <c r="H4447" s="25" t="s">
        <v>16311</v>
      </c>
      <c r="I4447" s="22" t="s">
        <v>16311</v>
      </c>
      <c r="J4447" s="22" t="s">
        <v>16311</v>
      </c>
      <c r="K4447" s="26">
        <f t="shared" si="70"/>
        <v>2500</v>
      </c>
      <c r="L4447" s="26">
        <v>2500</v>
      </c>
      <c r="O4447" s="22" t="s">
        <v>1650</v>
      </c>
      <c r="P4447" s="22" t="s">
        <v>1566</v>
      </c>
      <c r="Q4447" s="22">
        <v>95051</v>
      </c>
      <c r="S4447" s="22" t="s">
        <v>1651</v>
      </c>
      <c r="X4447" s="26"/>
      <c r="Y4447" s="26"/>
    </row>
    <row r="4448" spans="1:25" x14ac:dyDescent="0.25">
      <c r="A4448" s="21">
        <v>9000</v>
      </c>
      <c r="B4448" s="22" t="s">
        <v>15333</v>
      </c>
      <c r="E4448" s="24">
        <v>1985</v>
      </c>
      <c r="H4448" s="25" t="s">
        <v>15373</v>
      </c>
      <c r="I4448" s="22" t="s">
        <v>15411</v>
      </c>
      <c r="J4448" s="22" t="s">
        <v>16311</v>
      </c>
      <c r="K4448" s="26">
        <f t="shared" si="70"/>
        <v>650</v>
      </c>
      <c r="L4448" s="26">
        <v>650</v>
      </c>
      <c r="T4448" s="22">
        <v>11</v>
      </c>
      <c r="U4448" s="22">
        <v>0.53</v>
      </c>
    </row>
    <row r="4449" spans="1:21" x14ac:dyDescent="0.25">
      <c r="A4449" s="21">
        <v>9001</v>
      </c>
      <c r="B4449" s="22" t="s">
        <v>15333</v>
      </c>
      <c r="E4449" s="24">
        <v>1986</v>
      </c>
      <c r="H4449" s="25" t="s">
        <v>15373</v>
      </c>
      <c r="I4449" s="22" t="s">
        <v>15411</v>
      </c>
      <c r="J4449" s="22" t="s">
        <v>1653</v>
      </c>
      <c r="K4449" s="26">
        <f t="shared" si="70"/>
        <v>350</v>
      </c>
      <c r="L4449" s="26">
        <v>350</v>
      </c>
    </row>
    <row r="4450" spans="1:21" x14ac:dyDescent="0.25">
      <c r="A4450" s="21">
        <v>9002</v>
      </c>
      <c r="B4450" s="22" t="s">
        <v>15333</v>
      </c>
      <c r="E4450" s="24">
        <v>1990</v>
      </c>
      <c r="H4450" s="25" t="s">
        <v>15373</v>
      </c>
      <c r="I4450" s="22" t="s">
        <v>15374</v>
      </c>
      <c r="J4450" s="22" t="s">
        <v>16311</v>
      </c>
      <c r="K4450" s="26">
        <f t="shared" si="70"/>
        <v>1750</v>
      </c>
      <c r="L4450" s="26">
        <v>1750</v>
      </c>
      <c r="T4450" s="22">
        <v>8.17</v>
      </c>
      <c r="U4450" s="22">
        <v>0.38</v>
      </c>
    </row>
    <row r="4451" spans="1:21" ht="25" x14ac:dyDescent="0.25">
      <c r="A4451" s="21">
        <v>9004</v>
      </c>
      <c r="B4451" s="22" t="s">
        <v>15333</v>
      </c>
      <c r="H4451" s="25" t="s">
        <v>15373</v>
      </c>
      <c r="I4451" s="22" t="s">
        <v>1654</v>
      </c>
      <c r="J4451" s="22" t="s">
        <v>16311</v>
      </c>
      <c r="K4451" s="26">
        <f t="shared" si="70"/>
        <v>440</v>
      </c>
      <c r="L4451" s="26">
        <v>440</v>
      </c>
    </row>
    <row r="4452" spans="1:21" x14ac:dyDescent="0.25">
      <c r="A4452" s="21">
        <v>9005</v>
      </c>
      <c r="B4452" s="22" t="s">
        <v>15333</v>
      </c>
      <c r="E4452" s="24">
        <v>1996</v>
      </c>
      <c r="H4452" s="25" t="s">
        <v>15373</v>
      </c>
      <c r="I4452" s="22" t="s">
        <v>16311</v>
      </c>
      <c r="J4452" s="22" t="s">
        <v>16311</v>
      </c>
      <c r="K4452" s="26">
        <f t="shared" si="70"/>
        <v>500</v>
      </c>
      <c r="L4452" s="26">
        <v>500</v>
      </c>
      <c r="T4452" s="22">
        <v>6.9</v>
      </c>
      <c r="U4452" s="22">
        <v>0.4</v>
      </c>
    </row>
    <row r="4453" spans="1:21" x14ac:dyDescent="0.25">
      <c r="A4453" s="21">
        <v>9006</v>
      </c>
      <c r="B4453" s="22" t="s">
        <v>15333</v>
      </c>
      <c r="E4453" s="24">
        <v>1994</v>
      </c>
      <c r="H4453" s="25" t="s">
        <v>15373</v>
      </c>
      <c r="I4453" s="22" t="s">
        <v>15374</v>
      </c>
      <c r="J4453" s="22" t="s">
        <v>16311</v>
      </c>
      <c r="K4453" s="26">
        <f t="shared" si="70"/>
        <v>400</v>
      </c>
      <c r="L4453" s="26">
        <v>400</v>
      </c>
      <c r="T4453" s="22">
        <v>8.17</v>
      </c>
      <c r="U4453" s="22">
        <v>0.38</v>
      </c>
    </row>
    <row r="4454" spans="1:21" x14ac:dyDescent="0.25">
      <c r="A4454" s="21">
        <v>9007</v>
      </c>
      <c r="B4454" s="22" t="s">
        <v>15333</v>
      </c>
      <c r="E4454" s="24">
        <v>1993</v>
      </c>
      <c r="H4454" s="25" t="s">
        <v>15373</v>
      </c>
      <c r="I4454" s="22" t="s">
        <v>15374</v>
      </c>
      <c r="J4454" s="22">
        <v>3412</v>
      </c>
      <c r="K4454" s="26">
        <f t="shared" si="70"/>
        <v>500</v>
      </c>
      <c r="L4454" s="26">
        <v>500</v>
      </c>
      <c r="T4454" s="22">
        <v>8.17</v>
      </c>
      <c r="U4454" s="22">
        <v>0.38</v>
      </c>
    </row>
    <row r="4455" spans="1:21" x14ac:dyDescent="0.25">
      <c r="A4455" s="21">
        <v>9008</v>
      </c>
      <c r="B4455" s="22" t="s">
        <v>15333</v>
      </c>
      <c r="H4455" s="25" t="s">
        <v>15373</v>
      </c>
      <c r="I4455" s="22" t="s">
        <v>15411</v>
      </c>
      <c r="J4455" s="22" t="s">
        <v>16311</v>
      </c>
      <c r="K4455" s="26">
        <f t="shared" si="70"/>
        <v>1500</v>
      </c>
      <c r="L4455" s="26">
        <v>1500</v>
      </c>
    </row>
    <row r="4456" spans="1:21" x14ac:dyDescent="0.25">
      <c r="A4456" s="21">
        <v>9009</v>
      </c>
      <c r="B4456" s="22" t="s">
        <v>15333</v>
      </c>
      <c r="H4456" s="25" t="s">
        <v>15373</v>
      </c>
      <c r="I4456" s="22" t="s">
        <v>1655</v>
      </c>
      <c r="J4456" s="22" t="s">
        <v>16311</v>
      </c>
      <c r="K4456" s="26">
        <f t="shared" si="70"/>
        <v>350</v>
      </c>
      <c r="L4456" s="26">
        <v>350</v>
      </c>
    </row>
    <row r="4457" spans="1:21" x14ac:dyDescent="0.25">
      <c r="A4457" s="21">
        <v>9010</v>
      </c>
      <c r="B4457" s="22" t="s">
        <v>15333</v>
      </c>
      <c r="E4457" s="24">
        <v>1965</v>
      </c>
      <c r="H4457" s="25" t="s">
        <v>15373</v>
      </c>
      <c r="I4457" s="22" t="s">
        <v>15382</v>
      </c>
      <c r="J4457" s="22" t="s">
        <v>1656</v>
      </c>
      <c r="K4457" s="26">
        <f t="shared" si="70"/>
        <v>500</v>
      </c>
      <c r="L4457" s="26">
        <v>500</v>
      </c>
      <c r="T4457" s="22">
        <v>12</v>
      </c>
      <c r="U4457" s="22">
        <v>0.53</v>
      </c>
    </row>
    <row r="4458" spans="1:21" x14ac:dyDescent="0.25">
      <c r="A4458" s="21">
        <v>9011</v>
      </c>
      <c r="B4458" s="22" t="s">
        <v>15333</v>
      </c>
      <c r="E4458" s="24">
        <v>1979</v>
      </c>
      <c r="H4458" s="25" t="s">
        <v>15373</v>
      </c>
      <c r="I4458" s="22" t="s">
        <v>15411</v>
      </c>
      <c r="J4458" s="22" t="s">
        <v>16884</v>
      </c>
      <c r="K4458" s="26">
        <f t="shared" si="70"/>
        <v>500</v>
      </c>
      <c r="L4458" s="26">
        <v>500</v>
      </c>
      <c r="T4458" s="22">
        <v>12</v>
      </c>
      <c r="U4458" s="22">
        <v>0.53</v>
      </c>
    </row>
    <row r="4459" spans="1:21" x14ac:dyDescent="0.25">
      <c r="A4459" s="21">
        <v>9012</v>
      </c>
      <c r="B4459" s="22" t="s">
        <v>15333</v>
      </c>
      <c r="E4459" s="24">
        <v>1968</v>
      </c>
      <c r="H4459" s="25" t="s">
        <v>15373</v>
      </c>
      <c r="I4459" s="22" t="s">
        <v>15374</v>
      </c>
      <c r="J4459" s="22" t="s">
        <v>1657</v>
      </c>
      <c r="K4459" s="26">
        <f t="shared" si="70"/>
        <v>599.54280000000006</v>
      </c>
      <c r="L4459" s="26">
        <v>599.54280000000006</v>
      </c>
      <c r="T4459" s="22">
        <v>12</v>
      </c>
      <c r="U4459" s="22">
        <v>0.53</v>
      </c>
    </row>
    <row r="4460" spans="1:21" x14ac:dyDescent="0.25">
      <c r="A4460" s="21">
        <v>9013</v>
      </c>
      <c r="B4460" s="22" t="s">
        <v>15333</v>
      </c>
      <c r="E4460" s="24">
        <v>1975</v>
      </c>
      <c r="H4460" s="25" t="s">
        <v>15373</v>
      </c>
      <c r="I4460" s="22" t="s">
        <v>15411</v>
      </c>
      <c r="J4460" s="22" t="s">
        <v>1658</v>
      </c>
      <c r="K4460" s="26">
        <f t="shared" si="70"/>
        <v>499.61900000000003</v>
      </c>
      <c r="L4460" s="26">
        <v>499.61900000000003</v>
      </c>
      <c r="T4460" s="22">
        <v>12</v>
      </c>
      <c r="U4460" s="22">
        <v>0.53</v>
      </c>
    </row>
    <row r="4461" spans="1:21" x14ac:dyDescent="0.25">
      <c r="A4461" s="21">
        <v>9014</v>
      </c>
      <c r="B4461" s="22" t="s">
        <v>15333</v>
      </c>
      <c r="E4461" s="24">
        <v>1975</v>
      </c>
      <c r="H4461" s="25" t="s">
        <v>15373</v>
      </c>
      <c r="I4461" s="22" t="s">
        <v>15411</v>
      </c>
      <c r="J4461" s="22" t="s">
        <v>16311</v>
      </c>
      <c r="K4461" s="26">
        <f t="shared" si="70"/>
        <v>500</v>
      </c>
      <c r="L4461" s="26">
        <v>500</v>
      </c>
      <c r="T4461" s="22">
        <v>12</v>
      </c>
      <c r="U4461" s="22">
        <v>0.53</v>
      </c>
    </row>
    <row r="4462" spans="1:21" x14ac:dyDescent="0.25">
      <c r="A4462" s="21">
        <v>9015</v>
      </c>
      <c r="B4462" s="22" t="s">
        <v>15333</v>
      </c>
      <c r="H4462" s="25" t="s">
        <v>15373</v>
      </c>
      <c r="I4462" s="22" t="s">
        <v>15374</v>
      </c>
      <c r="J4462" s="22" t="s">
        <v>16311</v>
      </c>
      <c r="K4462" s="26">
        <f t="shared" si="70"/>
        <v>500</v>
      </c>
      <c r="L4462" s="26">
        <v>500</v>
      </c>
    </row>
    <row r="4463" spans="1:21" x14ac:dyDescent="0.25">
      <c r="A4463" s="21">
        <v>9016</v>
      </c>
      <c r="B4463" s="22" t="s">
        <v>15333</v>
      </c>
      <c r="E4463" s="24">
        <v>1993</v>
      </c>
      <c r="H4463" s="25" t="s">
        <v>15373</v>
      </c>
      <c r="I4463" s="22" t="s">
        <v>15382</v>
      </c>
      <c r="J4463" s="22" t="s">
        <v>16811</v>
      </c>
      <c r="K4463" s="26">
        <f t="shared" si="70"/>
        <v>350</v>
      </c>
      <c r="L4463" s="26">
        <v>350</v>
      </c>
      <c r="T4463" s="22">
        <v>8.17</v>
      </c>
      <c r="U4463" s="22">
        <v>0.38</v>
      </c>
    </row>
    <row r="4464" spans="1:21" x14ac:dyDescent="0.25">
      <c r="A4464" s="21">
        <v>9017</v>
      </c>
      <c r="B4464" s="22" t="s">
        <v>15333</v>
      </c>
      <c r="E4464" s="24">
        <v>1990</v>
      </c>
      <c r="H4464" s="25" t="s">
        <v>15373</v>
      </c>
      <c r="I4464" s="22" t="s">
        <v>15382</v>
      </c>
      <c r="J4464" s="22" t="s">
        <v>1660</v>
      </c>
      <c r="K4464" s="26">
        <f t="shared" si="70"/>
        <v>500</v>
      </c>
      <c r="L4464" s="26">
        <v>500</v>
      </c>
      <c r="T4464" s="22">
        <v>8.17</v>
      </c>
      <c r="U4464" s="22">
        <v>0.38</v>
      </c>
    </row>
    <row r="4465" spans="1:21" x14ac:dyDescent="0.25">
      <c r="A4465" s="21">
        <v>9018</v>
      </c>
      <c r="B4465" s="22" t="s">
        <v>15333</v>
      </c>
      <c r="H4465" s="25" t="s">
        <v>15373</v>
      </c>
      <c r="I4465" s="22" t="s">
        <v>1124</v>
      </c>
      <c r="J4465" s="22" t="s">
        <v>16311</v>
      </c>
      <c r="K4465" s="26">
        <f t="shared" si="70"/>
        <v>3400</v>
      </c>
      <c r="L4465" s="26">
        <v>3400</v>
      </c>
    </row>
    <row r="4466" spans="1:21" x14ac:dyDescent="0.25">
      <c r="A4466" s="21">
        <v>9019</v>
      </c>
      <c r="B4466" s="22" t="s">
        <v>15333</v>
      </c>
      <c r="H4466" s="25" t="s">
        <v>15373</v>
      </c>
      <c r="I4466" s="22" t="s">
        <v>1124</v>
      </c>
      <c r="J4466" s="22" t="s">
        <v>16311</v>
      </c>
      <c r="K4466" s="26">
        <f t="shared" si="70"/>
        <v>3400</v>
      </c>
      <c r="L4466" s="26">
        <v>3400</v>
      </c>
    </row>
    <row r="4467" spans="1:21" x14ac:dyDescent="0.25">
      <c r="A4467" s="21">
        <v>9020</v>
      </c>
      <c r="B4467" s="22" t="s">
        <v>15333</v>
      </c>
      <c r="H4467" s="25" t="s">
        <v>15373</v>
      </c>
      <c r="I4467" s="22" t="s">
        <v>1124</v>
      </c>
      <c r="J4467" s="22" t="s">
        <v>16311</v>
      </c>
      <c r="K4467" s="26">
        <f t="shared" si="70"/>
        <v>3400</v>
      </c>
      <c r="L4467" s="26">
        <v>3400</v>
      </c>
    </row>
    <row r="4468" spans="1:21" x14ac:dyDescent="0.25">
      <c r="A4468" s="21">
        <v>9021</v>
      </c>
      <c r="B4468" s="22" t="s">
        <v>15333</v>
      </c>
      <c r="H4468" s="25" t="s">
        <v>15373</v>
      </c>
      <c r="I4468" s="22" t="s">
        <v>1124</v>
      </c>
      <c r="J4468" s="22" t="s">
        <v>16311</v>
      </c>
      <c r="K4468" s="26">
        <f t="shared" si="70"/>
        <v>3400</v>
      </c>
      <c r="L4468" s="26">
        <v>3400</v>
      </c>
    </row>
    <row r="4469" spans="1:21" x14ac:dyDescent="0.25">
      <c r="A4469" s="21">
        <v>9022</v>
      </c>
      <c r="B4469" s="22" t="s">
        <v>15333</v>
      </c>
      <c r="E4469" s="24">
        <v>1986</v>
      </c>
      <c r="H4469" s="25" t="s">
        <v>15373</v>
      </c>
      <c r="I4469" s="22" t="s">
        <v>104</v>
      </c>
      <c r="J4469" s="22" t="s">
        <v>1661</v>
      </c>
      <c r="K4469" s="26">
        <f t="shared" si="70"/>
        <v>1300</v>
      </c>
      <c r="L4469" s="26">
        <v>1300</v>
      </c>
      <c r="T4469" s="22">
        <v>11</v>
      </c>
      <c r="U4469" s="22">
        <v>0.53</v>
      </c>
    </row>
    <row r="4470" spans="1:21" x14ac:dyDescent="0.25">
      <c r="A4470" s="21">
        <v>9023</v>
      </c>
      <c r="B4470" s="22" t="s">
        <v>15333</v>
      </c>
      <c r="E4470" s="24">
        <v>1986</v>
      </c>
      <c r="H4470" s="25" t="s">
        <v>15373</v>
      </c>
      <c r="I4470" s="22" t="s">
        <v>104</v>
      </c>
      <c r="J4470" s="22" t="s">
        <v>1661</v>
      </c>
      <c r="K4470" s="26">
        <f t="shared" si="70"/>
        <v>1300</v>
      </c>
      <c r="L4470" s="26">
        <v>1300</v>
      </c>
      <c r="T4470" s="22">
        <v>11</v>
      </c>
      <c r="U4470" s="22">
        <v>0.53</v>
      </c>
    </row>
    <row r="4471" spans="1:21" x14ac:dyDescent="0.25">
      <c r="A4471" s="21">
        <v>9024</v>
      </c>
      <c r="B4471" s="22" t="s">
        <v>15333</v>
      </c>
      <c r="E4471" s="24">
        <v>1986</v>
      </c>
      <c r="H4471" s="25" t="s">
        <v>15373</v>
      </c>
      <c r="I4471" s="22" t="s">
        <v>104</v>
      </c>
      <c r="J4471" s="22" t="s">
        <v>1661</v>
      </c>
      <c r="K4471" s="26">
        <f t="shared" si="70"/>
        <v>1300</v>
      </c>
      <c r="L4471" s="26">
        <v>1300</v>
      </c>
      <c r="T4471" s="22">
        <v>11</v>
      </c>
      <c r="U4471" s="22">
        <v>0.53</v>
      </c>
    </row>
    <row r="4472" spans="1:21" x14ac:dyDescent="0.25">
      <c r="A4472" s="21">
        <v>9025</v>
      </c>
      <c r="B4472" s="22" t="s">
        <v>15333</v>
      </c>
      <c r="E4472" s="24">
        <v>1986</v>
      </c>
      <c r="H4472" s="25" t="s">
        <v>15373</v>
      </c>
      <c r="I4472" s="22" t="s">
        <v>104</v>
      </c>
      <c r="J4472" s="22" t="s">
        <v>1661</v>
      </c>
      <c r="K4472" s="26">
        <f t="shared" si="70"/>
        <v>1300</v>
      </c>
      <c r="L4472" s="26">
        <v>1300</v>
      </c>
      <c r="T4472" s="22">
        <v>11</v>
      </c>
      <c r="U4472" s="22">
        <v>0.53</v>
      </c>
    </row>
    <row r="4473" spans="1:21" x14ac:dyDescent="0.25">
      <c r="A4473" s="21">
        <v>9026</v>
      </c>
      <c r="B4473" s="22" t="s">
        <v>15333</v>
      </c>
      <c r="E4473" s="24">
        <v>1986</v>
      </c>
      <c r="H4473" s="25" t="s">
        <v>15373</v>
      </c>
      <c r="I4473" s="22" t="s">
        <v>104</v>
      </c>
      <c r="J4473" s="22" t="s">
        <v>1661</v>
      </c>
      <c r="K4473" s="26">
        <f t="shared" si="70"/>
        <v>1300</v>
      </c>
      <c r="L4473" s="26">
        <v>1300</v>
      </c>
      <c r="T4473" s="22">
        <v>11</v>
      </c>
      <c r="U4473" s="22">
        <v>0.53</v>
      </c>
    </row>
    <row r="4474" spans="1:21" x14ac:dyDescent="0.25">
      <c r="A4474" s="21">
        <v>9027</v>
      </c>
      <c r="B4474" s="22" t="s">
        <v>15333</v>
      </c>
      <c r="E4474" s="24">
        <v>1986</v>
      </c>
      <c r="H4474" s="25" t="s">
        <v>15373</v>
      </c>
      <c r="I4474" s="22" t="s">
        <v>104</v>
      </c>
      <c r="J4474" s="22" t="s">
        <v>1661</v>
      </c>
      <c r="K4474" s="26">
        <f t="shared" si="70"/>
        <v>1300</v>
      </c>
      <c r="L4474" s="26">
        <v>1300</v>
      </c>
      <c r="T4474" s="22">
        <v>11</v>
      </c>
      <c r="U4474" s="22">
        <v>0.53</v>
      </c>
    </row>
    <row r="4475" spans="1:21" x14ac:dyDescent="0.25">
      <c r="A4475" s="21">
        <v>9028</v>
      </c>
      <c r="B4475" s="22" t="s">
        <v>15333</v>
      </c>
      <c r="E4475" s="24">
        <v>1986</v>
      </c>
      <c r="H4475" s="25" t="s">
        <v>15373</v>
      </c>
      <c r="I4475" s="22" t="s">
        <v>104</v>
      </c>
      <c r="J4475" s="22" t="s">
        <v>1661</v>
      </c>
      <c r="K4475" s="26">
        <f t="shared" si="70"/>
        <v>1300</v>
      </c>
      <c r="L4475" s="26">
        <v>1300</v>
      </c>
      <c r="T4475" s="22">
        <v>11</v>
      </c>
      <c r="U4475" s="22">
        <v>0.53</v>
      </c>
    </row>
    <row r="4476" spans="1:21" x14ac:dyDescent="0.25">
      <c r="A4476" s="21">
        <v>9029</v>
      </c>
      <c r="B4476" s="22" t="s">
        <v>15333</v>
      </c>
      <c r="E4476" s="24">
        <v>1984</v>
      </c>
      <c r="H4476" s="25" t="s">
        <v>15373</v>
      </c>
      <c r="I4476" s="22" t="s">
        <v>16421</v>
      </c>
      <c r="J4476" s="22" t="s">
        <v>1662</v>
      </c>
      <c r="K4476" s="26">
        <f t="shared" si="70"/>
        <v>750</v>
      </c>
      <c r="L4476" s="26">
        <v>750</v>
      </c>
      <c r="T4476" s="22">
        <v>11</v>
      </c>
      <c r="U4476" s="22">
        <v>0.53</v>
      </c>
    </row>
    <row r="4477" spans="1:21" x14ac:dyDescent="0.25">
      <c r="A4477" s="21">
        <v>9030</v>
      </c>
      <c r="B4477" s="22" t="s">
        <v>15333</v>
      </c>
      <c r="H4477" s="25" t="s">
        <v>15373</v>
      </c>
      <c r="I4477" s="22" t="s">
        <v>16421</v>
      </c>
      <c r="J4477" s="22" t="s">
        <v>1663</v>
      </c>
      <c r="K4477" s="26">
        <f t="shared" si="70"/>
        <v>350</v>
      </c>
      <c r="L4477" s="26">
        <v>350</v>
      </c>
    </row>
    <row r="4478" spans="1:21" x14ac:dyDescent="0.25">
      <c r="A4478" s="21">
        <v>9031</v>
      </c>
      <c r="B4478" s="22" t="s">
        <v>15333</v>
      </c>
      <c r="H4478" s="25" t="s">
        <v>15373</v>
      </c>
      <c r="I4478" s="22" t="s">
        <v>16907</v>
      </c>
      <c r="J4478" s="22" t="s">
        <v>1664</v>
      </c>
      <c r="K4478" s="26">
        <f t="shared" si="70"/>
        <v>300</v>
      </c>
      <c r="L4478" s="26">
        <v>300</v>
      </c>
    </row>
    <row r="4479" spans="1:21" x14ac:dyDescent="0.25">
      <c r="A4479" s="21">
        <v>9032</v>
      </c>
      <c r="B4479" s="22" t="s">
        <v>15333</v>
      </c>
      <c r="H4479" s="25" t="s">
        <v>15373</v>
      </c>
      <c r="I4479" s="22" t="s">
        <v>16907</v>
      </c>
      <c r="J4479" s="22" t="s">
        <v>1664</v>
      </c>
      <c r="K4479" s="26">
        <f t="shared" si="70"/>
        <v>300</v>
      </c>
      <c r="L4479" s="26">
        <v>300</v>
      </c>
    </row>
    <row r="4480" spans="1:21" x14ac:dyDescent="0.25">
      <c r="A4480" s="21">
        <v>9033</v>
      </c>
      <c r="B4480" s="22" t="s">
        <v>15333</v>
      </c>
      <c r="G4480" s="23" t="s">
        <v>1665</v>
      </c>
      <c r="H4480" s="25" t="s">
        <v>15373</v>
      </c>
      <c r="I4480" s="22" t="s">
        <v>15374</v>
      </c>
      <c r="J4480" s="22" t="s">
        <v>16914</v>
      </c>
      <c r="K4480" s="26">
        <f t="shared" si="70"/>
        <v>330</v>
      </c>
      <c r="L4480" s="26">
        <v>330</v>
      </c>
    </row>
    <row r="4481" spans="1:21" x14ac:dyDescent="0.25">
      <c r="A4481" s="21">
        <v>9034</v>
      </c>
      <c r="B4481" s="22" t="s">
        <v>15333</v>
      </c>
      <c r="E4481" s="24">
        <v>1985</v>
      </c>
      <c r="H4481" s="25" t="s">
        <v>15373</v>
      </c>
      <c r="I4481" s="22" t="s">
        <v>15382</v>
      </c>
      <c r="J4481" s="22" t="s">
        <v>16311</v>
      </c>
      <c r="K4481" s="26">
        <f t="shared" si="70"/>
        <v>475.75659999999999</v>
      </c>
      <c r="L4481" s="26">
        <v>475.75659999999999</v>
      </c>
      <c r="T4481" s="22">
        <v>11</v>
      </c>
      <c r="U4481" s="22">
        <v>0.53</v>
      </c>
    </row>
    <row r="4482" spans="1:21" x14ac:dyDescent="0.25">
      <c r="A4482" s="21">
        <v>9035</v>
      </c>
      <c r="B4482" s="22" t="s">
        <v>15333</v>
      </c>
      <c r="E4482" s="24">
        <v>1961</v>
      </c>
      <c r="H4482" s="25" t="s">
        <v>15373</v>
      </c>
      <c r="I4482" s="22" t="s">
        <v>1666</v>
      </c>
      <c r="J4482" s="22" t="s">
        <v>1667</v>
      </c>
      <c r="K4482" s="26">
        <f t="shared" si="70"/>
        <v>500</v>
      </c>
      <c r="L4482" s="26">
        <v>500</v>
      </c>
      <c r="T4482" s="22">
        <v>12</v>
      </c>
      <c r="U4482" s="22">
        <v>0.53</v>
      </c>
    </row>
    <row r="4483" spans="1:21" x14ac:dyDescent="0.25">
      <c r="A4483" s="21">
        <v>9036</v>
      </c>
      <c r="B4483" s="22" t="s">
        <v>15333</v>
      </c>
      <c r="E4483" s="24">
        <v>1993</v>
      </c>
      <c r="H4483" s="25" t="s">
        <v>15373</v>
      </c>
      <c r="I4483" s="22" t="s">
        <v>15374</v>
      </c>
      <c r="J4483" s="22">
        <v>3508</v>
      </c>
      <c r="K4483" s="26">
        <f t="shared" si="70"/>
        <v>1085.7392</v>
      </c>
      <c r="L4483" s="26">
        <v>1085.7392</v>
      </c>
      <c r="T4483" s="22">
        <v>8.17</v>
      </c>
      <c r="U4483" s="22">
        <v>0.38</v>
      </c>
    </row>
    <row r="4484" spans="1:21" x14ac:dyDescent="0.25">
      <c r="A4484" s="21">
        <v>9037</v>
      </c>
      <c r="B4484" s="22" t="s">
        <v>15333</v>
      </c>
      <c r="E4484" s="24">
        <v>1980</v>
      </c>
      <c r="H4484" s="25" t="s">
        <v>15373</v>
      </c>
      <c r="I4484" s="22" t="s">
        <v>15411</v>
      </c>
      <c r="J4484" s="22" t="s">
        <v>12830</v>
      </c>
      <c r="K4484" s="26">
        <f t="shared" si="70"/>
        <v>600</v>
      </c>
      <c r="L4484" s="26">
        <v>600</v>
      </c>
      <c r="T4484" s="22">
        <v>12</v>
      </c>
      <c r="U4484" s="22">
        <v>0.53</v>
      </c>
    </row>
    <row r="4485" spans="1:21" x14ac:dyDescent="0.25">
      <c r="A4485" s="21">
        <v>9038</v>
      </c>
      <c r="B4485" s="22" t="s">
        <v>15333</v>
      </c>
      <c r="E4485" s="24">
        <v>1969</v>
      </c>
      <c r="H4485" s="25" t="s">
        <v>15373</v>
      </c>
      <c r="I4485" s="22" t="s">
        <v>15374</v>
      </c>
      <c r="J4485" s="22" t="s">
        <v>16360</v>
      </c>
      <c r="K4485" s="26">
        <f t="shared" si="70"/>
        <v>600</v>
      </c>
      <c r="L4485" s="26">
        <v>600</v>
      </c>
      <c r="T4485" s="22">
        <v>12</v>
      </c>
      <c r="U4485" s="22">
        <v>0.53</v>
      </c>
    </row>
    <row r="4486" spans="1:21" x14ac:dyDescent="0.25">
      <c r="A4486" s="21">
        <v>9039</v>
      </c>
      <c r="B4486" s="22" t="s">
        <v>15333</v>
      </c>
      <c r="E4486" s="24">
        <v>1997</v>
      </c>
      <c r="H4486" s="25" t="s">
        <v>15373</v>
      </c>
      <c r="I4486" s="22" t="s">
        <v>1668</v>
      </c>
      <c r="J4486" s="22">
        <v>3706</v>
      </c>
      <c r="K4486" s="26">
        <f t="shared" si="70"/>
        <v>300</v>
      </c>
      <c r="L4486" s="26">
        <v>300</v>
      </c>
      <c r="T4486" s="22">
        <v>6.9</v>
      </c>
      <c r="U4486" s="22">
        <v>0.4</v>
      </c>
    </row>
    <row r="4487" spans="1:21" x14ac:dyDescent="0.25">
      <c r="A4487" s="21">
        <v>9040</v>
      </c>
      <c r="B4487" s="22" t="s">
        <v>15333</v>
      </c>
      <c r="E4487" s="24">
        <v>1985</v>
      </c>
      <c r="H4487" s="25" t="s">
        <v>15373</v>
      </c>
      <c r="I4487" s="22" t="s">
        <v>15374</v>
      </c>
      <c r="J4487" s="22" t="s">
        <v>1669</v>
      </c>
      <c r="K4487" s="26">
        <f t="shared" si="70"/>
        <v>900</v>
      </c>
      <c r="L4487" s="26">
        <v>900</v>
      </c>
      <c r="T4487" s="22">
        <v>11</v>
      </c>
      <c r="U4487" s="22">
        <v>0.53</v>
      </c>
    </row>
    <row r="4488" spans="1:21" x14ac:dyDescent="0.25">
      <c r="A4488" s="21">
        <v>9041</v>
      </c>
      <c r="B4488" s="22" t="s">
        <v>15333</v>
      </c>
      <c r="E4488" s="24">
        <v>1970</v>
      </c>
      <c r="H4488" s="25" t="s">
        <v>15373</v>
      </c>
      <c r="I4488" s="22" t="s">
        <v>15374</v>
      </c>
      <c r="J4488" s="22" t="s">
        <v>15460</v>
      </c>
      <c r="K4488" s="26">
        <f t="shared" si="70"/>
        <v>900</v>
      </c>
      <c r="L4488" s="26">
        <v>900</v>
      </c>
      <c r="T4488" s="22">
        <v>12</v>
      </c>
      <c r="U4488" s="22">
        <v>0.53</v>
      </c>
    </row>
    <row r="4489" spans="1:21" x14ac:dyDescent="0.25">
      <c r="A4489" s="21">
        <v>9042</v>
      </c>
      <c r="B4489" s="22" t="s">
        <v>15333</v>
      </c>
      <c r="E4489" s="24">
        <v>1970</v>
      </c>
      <c r="H4489" s="25" t="s">
        <v>15373</v>
      </c>
      <c r="I4489" s="22" t="s">
        <v>15374</v>
      </c>
      <c r="J4489" s="22" t="s">
        <v>15460</v>
      </c>
      <c r="K4489" s="26">
        <f t="shared" si="70"/>
        <v>900</v>
      </c>
      <c r="L4489" s="26">
        <v>900</v>
      </c>
      <c r="T4489" s="22">
        <v>12</v>
      </c>
      <c r="U4489" s="22">
        <v>0.53</v>
      </c>
    </row>
    <row r="4490" spans="1:21" x14ac:dyDescent="0.25">
      <c r="A4490" s="21">
        <v>9043</v>
      </c>
      <c r="B4490" s="22" t="s">
        <v>15333</v>
      </c>
      <c r="E4490" s="24">
        <v>1985</v>
      </c>
      <c r="H4490" s="25" t="s">
        <v>15373</v>
      </c>
      <c r="I4490" s="22" t="s">
        <v>15374</v>
      </c>
      <c r="J4490" s="22" t="s">
        <v>1669</v>
      </c>
      <c r="K4490" s="26">
        <f t="shared" si="70"/>
        <v>900</v>
      </c>
      <c r="L4490" s="26">
        <v>900</v>
      </c>
      <c r="T4490" s="22">
        <v>11</v>
      </c>
      <c r="U4490" s="22">
        <v>0.53</v>
      </c>
    </row>
    <row r="4491" spans="1:21" x14ac:dyDescent="0.25">
      <c r="A4491" s="21">
        <v>9044</v>
      </c>
      <c r="B4491" s="22" t="s">
        <v>15333</v>
      </c>
      <c r="E4491" s="24">
        <v>1981</v>
      </c>
      <c r="H4491" s="25" t="s">
        <v>15373</v>
      </c>
      <c r="I4491" s="22" t="s">
        <v>1124</v>
      </c>
      <c r="J4491" s="22" t="s">
        <v>16311</v>
      </c>
      <c r="K4491" s="26">
        <f t="shared" si="70"/>
        <v>400</v>
      </c>
      <c r="L4491" s="26">
        <v>400</v>
      </c>
      <c r="T4491" s="22">
        <v>12</v>
      </c>
      <c r="U4491" s="22">
        <v>0.53</v>
      </c>
    </row>
    <row r="4492" spans="1:21" x14ac:dyDescent="0.25">
      <c r="A4492" s="21">
        <v>9045</v>
      </c>
      <c r="B4492" s="22" t="s">
        <v>15333</v>
      </c>
      <c r="E4492" s="24">
        <v>1985</v>
      </c>
      <c r="H4492" s="25" t="s">
        <v>15373</v>
      </c>
      <c r="I4492" s="22" t="s">
        <v>15374</v>
      </c>
      <c r="J4492" s="22">
        <v>3412</v>
      </c>
      <c r="K4492" s="26">
        <f t="shared" si="70"/>
        <v>450</v>
      </c>
      <c r="L4492" s="26">
        <v>450</v>
      </c>
      <c r="T4492" s="22">
        <v>11</v>
      </c>
      <c r="U4492" s="22">
        <v>0.53</v>
      </c>
    </row>
    <row r="4493" spans="1:21" x14ac:dyDescent="0.25">
      <c r="A4493" s="21">
        <v>9046</v>
      </c>
      <c r="B4493" s="22" t="s">
        <v>15333</v>
      </c>
      <c r="G4493" s="23" t="s">
        <v>1670</v>
      </c>
      <c r="H4493" s="25" t="s">
        <v>15373</v>
      </c>
      <c r="I4493" s="22" t="s">
        <v>15411</v>
      </c>
      <c r="J4493" s="22" t="s">
        <v>1671</v>
      </c>
      <c r="K4493" s="26">
        <f t="shared" si="70"/>
        <v>1055</v>
      </c>
      <c r="L4493" s="26">
        <v>1055</v>
      </c>
    </row>
    <row r="4494" spans="1:21" ht="25" x14ac:dyDescent="0.25">
      <c r="A4494" s="21">
        <v>9047</v>
      </c>
      <c r="B4494" s="22" t="s">
        <v>15333</v>
      </c>
      <c r="E4494" s="24">
        <v>1993</v>
      </c>
      <c r="H4494" s="25" t="s">
        <v>1672</v>
      </c>
      <c r="I4494" s="22" t="s">
        <v>1673</v>
      </c>
      <c r="J4494" s="22" t="s">
        <v>16311</v>
      </c>
      <c r="K4494" s="26">
        <f t="shared" si="70"/>
        <v>550</v>
      </c>
      <c r="L4494" s="26">
        <v>550</v>
      </c>
      <c r="T4494" s="22">
        <v>8.17</v>
      </c>
      <c r="U4494" s="22">
        <v>0.38</v>
      </c>
    </row>
    <row r="4495" spans="1:21" x14ac:dyDescent="0.25">
      <c r="A4495" s="21">
        <v>9048</v>
      </c>
      <c r="B4495" s="22" t="s">
        <v>15333</v>
      </c>
      <c r="E4495" s="24">
        <v>1997</v>
      </c>
      <c r="H4495" s="25" t="s">
        <v>15373</v>
      </c>
      <c r="I4495" s="22" t="s">
        <v>16421</v>
      </c>
      <c r="J4495" s="22" t="s">
        <v>16311</v>
      </c>
      <c r="K4495" s="26">
        <f t="shared" si="70"/>
        <v>350</v>
      </c>
      <c r="L4495" s="26">
        <v>350</v>
      </c>
      <c r="T4495" s="22">
        <v>6.9</v>
      </c>
      <c r="U4495" s="22">
        <v>0.4</v>
      </c>
    </row>
    <row r="4496" spans="1:21" x14ac:dyDescent="0.25">
      <c r="A4496" s="21">
        <v>9049</v>
      </c>
      <c r="B4496" s="22" t="s">
        <v>15333</v>
      </c>
      <c r="H4496" s="25" t="s">
        <v>15373</v>
      </c>
      <c r="I4496" s="22" t="s">
        <v>1668</v>
      </c>
      <c r="J4496" s="22" t="s">
        <v>16311</v>
      </c>
      <c r="K4496" s="26">
        <f t="shared" si="70"/>
        <v>650</v>
      </c>
      <c r="L4496" s="26">
        <v>650</v>
      </c>
    </row>
    <row r="4497" spans="1:21" x14ac:dyDescent="0.25">
      <c r="A4497" s="21">
        <v>9050</v>
      </c>
      <c r="B4497" s="22" t="s">
        <v>15333</v>
      </c>
      <c r="H4497" s="25" t="s">
        <v>15373</v>
      </c>
      <c r="I4497" s="22" t="s">
        <v>15382</v>
      </c>
      <c r="J4497" s="22" t="s">
        <v>16311</v>
      </c>
      <c r="K4497" s="26">
        <f t="shared" si="70"/>
        <v>425</v>
      </c>
      <c r="L4497" s="26">
        <v>425</v>
      </c>
    </row>
    <row r="4498" spans="1:21" x14ac:dyDescent="0.25">
      <c r="A4498" s="21">
        <v>9051</v>
      </c>
      <c r="B4498" s="22" t="s">
        <v>15333</v>
      </c>
      <c r="H4498" s="25" t="s">
        <v>15373</v>
      </c>
      <c r="I4498" s="22" t="s">
        <v>15382</v>
      </c>
      <c r="J4498" s="22" t="s">
        <v>16311</v>
      </c>
      <c r="K4498" s="26">
        <f t="shared" si="70"/>
        <v>350</v>
      </c>
      <c r="L4498" s="26">
        <v>350</v>
      </c>
    </row>
    <row r="4499" spans="1:21" x14ac:dyDescent="0.25">
      <c r="A4499" s="21">
        <v>9052</v>
      </c>
      <c r="B4499" s="22" t="s">
        <v>15333</v>
      </c>
      <c r="G4499" s="23" t="s">
        <v>1674</v>
      </c>
      <c r="H4499" s="25" t="s">
        <v>15373</v>
      </c>
      <c r="I4499" s="22" t="s">
        <v>15374</v>
      </c>
      <c r="J4499" s="22">
        <v>3408</v>
      </c>
      <c r="K4499" s="26">
        <f t="shared" si="70"/>
        <v>450</v>
      </c>
      <c r="L4499" s="26">
        <v>450</v>
      </c>
    </row>
    <row r="4500" spans="1:21" x14ac:dyDescent="0.25">
      <c r="A4500" s="21">
        <v>9053</v>
      </c>
      <c r="B4500" s="22" t="s">
        <v>15333</v>
      </c>
      <c r="G4500" s="23" t="s">
        <v>1675</v>
      </c>
      <c r="H4500" s="25" t="s">
        <v>15373</v>
      </c>
      <c r="I4500" s="22" t="s">
        <v>15374</v>
      </c>
      <c r="J4500" s="22" t="s">
        <v>16311</v>
      </c>
      <c r="K4500" s="26">
        <f t="shared" si="70"/>
        <v>400</v>
      </c>
      <c r="L4500" s="26">
        <v>400</v>
      </c>
    </row>
    <row r="4501" spans="1:21" x14ac:dyDescent="0.25">
      <c r="A4501" s="21">
        <v>9054</v>
      </c>
      <c r="B4501" s="22" t="s">
        <v>15333</v>
      </c>
      <c r="G4501" s="23" t="s">
        <v>1676</v>
      </c>
      <c r="H4501" s="25" t="s">
        <v>15373</v>
      </c>
      <c r="I4501" s="22" t="s">
        <v>15374</v>
      </c>
      <c r="J4501" s="22" t="s">
        <v>16311</v>
      </c>
      <c r="K4501" s="26">
        <f t="shared" si="70"/>
        <v>400</v>
      </c>
      <c r="L4501" s="26">
        <v>400</v>
      </c>
    </row>
    <row r="4502" spans="1:21" x14ac:dyDescent="0.25">
      <c r="A4502" s="21">
        <v>9055</v>
      </c>
      <c r="B4502" s="22" t="s">
        <v>15333</v>
      </c>
      <c r="H4502" s="25" t="s">
        <v>15373</v>
      </c>
      <c r="I4502" s="22" t="s">
        <v>1677</v>
      </c>
      <c r="J4502" s="22" t="s">
        <v>16311</v>
      </c>
      <c r="K4502" s="26">
        <f t="shared" si="70"/>
        <v>1007</v>
      </c>
      <c r="L4502" s="26">
        <v>1007</v>
      </c>
    </row>
    <row r="4503" spans="1:21" x14ac:dyDescent="0.25">
      <c r="A4503" s="21">
        <v>9056</v>
      </c>
      <c r="B4503" s="22" t="s">
        <v>15333</v>
      </c>
      <c r="E4503" s="24">
        <v>1976</v>
      </c>
      <c r="H4503" s="25" t="s">
        <v>15373</v>
      </c>
      <c r="I4503" s="22" t="s">
        <v>15374</v>
      </c>
      <c r="J4503" s="22" t="s">
        <v>16856</v>
      </c>
      <c r="K4503" s="26">
        <f t="shared" si="70"/>
        <v>750</v>
      </c>
      <c r="L4503" s="26">
        <v>750</v>
      </c>
      <c r="T4503" s="22">
        <v>12</v>
      </c>
      <c r="U4503" s="22">
        <v>0.53</v>
      </c>
    </row>
    <row r="4504" spans="1:21" x14ac:dyDescent="0.25">
      <c r="A4504" s="21">
        <v>9057</v>
      </c>
      <c r="B4504" s="22" t="s">
        <v>15333</v>
      </c>
      <c r="E4504" s="24">
        <v>1976</v>
      </c>
      <c r="H4504" s="25" t="s">
        <v>15373</v>
      </c>
      <c r="I4504" s="22" t="s">
        <v>15374</v>
      </c>
      <c r="J4504" s="22" t="s">
        <v>16856</v>
      </c>
      <c r="K4504" s="26">
        <f t="shared" si="70"/>
        <v>750</v>
      </c>
      <c r="L4504" s="26">
        <v>750</v>
      </c>
      <c r="T4504" s="22">
        <v>12</v>
      </c>
      <c r="U4504" s="22">
        <v>0.53</v>
      </c>
    </row>
    <row r="4505" spans="1:21" x14ac:dyDescent="0.25">
      <c r="A4505" s="21">
        <v>9058</v>
      </c>
      <c r="B4505" s="22" t="s">
        <v>15333</v>
      </c>
      <c r="H4505" s="25" t="s">
        <v>15373</v>
      </c>
      <c r="I4505" s="22" t="s">
        <v>15374</v>
      </c>
      <c r="J4505" s="22" t="s">
        <v>16311</v>
      </c>
      <c r="K4505" s="26">
        <f t="shared" si="70"/>
        <v>800</v>
      </c>
      <c r="L4505" s="26">
        <v>800</v>
      </c>
    </row>
    <row r="4506" spans="1:21" x14ac:dyDescent="0.25">
      <c r="A4506" s="21">
        <v>9059</v>
      </c>
      <c r="B4506" s="22" t="s">
        <v>15333</v>
      </c>
      <c r="E4506" s="24">
        <v>1986</v>
      </c>
      <c r="H4506" s="25" t="s">
        <v>15373</v>
      </c>
      <c r="I4506" s="22" t="s">
        <v>1678</v>
      </c>
      <c r="J4506" s="22" t="s">
        <v>16311</v>
      </c>
      <c r="K4506" s="26">
        <f t="shared" si="70"/>
        <v>600</v>
      </c>
      <c r="L4506" s="26">
        <v>600</v>
      </c>
      <c r="T4506" s="22">
        <v>11</v>
      </c>
      <c r="U4506" s="22">
        <v>0.53</v>
      </c>
    </row>
    <row r="4507" spans="1:21" x14ac:dyDescent="0.25">
      <c r="A4507" s="21">
        <v>9060</v>
      </c>
      <c r="B4507" s="22" t="s">
        <v>15333</v>
      </c>
      <c r="E4507" s="24">
        <v>1987</v>
      </c>
      <c r="H4507" s="25" t="s">
        <v>15373</v>
      </c>
      <c r="I4507" s="22" t="s">
        <v>15411</v>
      </c>
      <c r="J4507" s="22" t="s">
        <v>16311</v>
      </c>
      <c r="K4507" s="26">
        <f t="shared" si="70"/>
        <v>1075</v>
      </c>
      <c r="L4507" s="26">
        <v>1075</v>
      </c>
      <c r="T4507" s="22">
        <v>11</v>
      </c>
      <c r="U4507" s="22">
        <v>0.53</v>
      </c>
    </row>
    <row r="4508" spans="1:21" x14ac:dyDescent="0.25">
      <c r="A4508" s="21">
        <v>9061</v>
      </c>
      <c r="B4508" s="22" t="s">
        <v>15333</v>
      </c>
      <c r="H4508" s="25" t="s">
        <v>15373</v>
      </c>
      <c r="I4508" s="22" t="s">
        <v>15374</v>
      </c>
      <c r="J4508" s="22">
        <v>3406</v>
      </c>
      <c r="K4508" s="26">
        <f t="shared" si="70"/>
        <v>350</v>
      </c>
      <c r="L4508" s="26">
        <v>350</v>
      </c>
    </row>
    <row r="4509" spans="1:21" x14ac:dyDescent="0.25">
      <c r="A4509" s="21">
        <v>9062</v>
      </c>
      <c r="B4509" s="22" t="s">
        <v>15333</v>
      </c>
      <c r="H4509" s="25" t="s">
        <v>15373</v>
      </c>
      <c r="I4509" s="22" t="s">
        <v>1679</v>
      </c>
      <c r="J4509" s="22" t="s">
        <v>1680</v>
      </c>
      <c r="K4509" s="26">
        <f t="shared" ref="K4509:K4572" si="71">L4509+M4509*(2/3)+N4509*(2/3)</f>
        <v>500</v>
      </c>
      <c r="L4509" s="26">
        <v>500</v>
      </c>
    </row>
    <row r="4510" spans="1:21" x14ac:dyDescent="0.25">
      <c r="A4510" s="21">
        <v>9063</v>
      </c>
      <c r="B4510" s="22" t="s">
        <v>15333</v>
      </c>
      <c r="H4510" s="25" t="s">
        <v>15373</v>
      </c>
      <c r="I4510" s="22" t="s">
        <v>16907</v>
      </c>
      <c r="J4510" s="22" t="s">
        <v>1681</v>
      </c>
      <c r="K4510" s="26">
        <f t="shared" si="71"/>
        <v>400</v>
      </c>
      <c r="L4510" s="26">
        <v>400</v>
      </c>
    </row>
    <row r="4511" spans="1:21" x14ac:dyDescent="0.25">
      <c r="A4511" s="21">
        <v>9064</v>
      </c>
      <c r="B4511" s="22" t="s">
        <v>15333</v>
      </c>
      <c r="H4511" s="25" t="s">
        <v>15373</v>
      </c>
      <c r="I4511" s="22" t="s">
        <v>16421</v>
      </c>
      <c r="J4511" s="22" t="s">
        <v>1682</v>
      </c>
      <c r="K4511" s="26">
        <f t="shared" si="71"/>
        <v>400</v>
      </c>
      <c r="L4511" s="26">
        <v>400</v>
      </c>
    </row>
    <row r="4512" spans="1:21" x14ac:dyDescent="0.25">
      <c r="A4512" s="21">
        <v>9066</v>
      </c>
      <c r="B4512" s="22" t="s">
        <v>15333</v>
      </c>
      <c r="H4512" s="25" t="s">
        <v>15373</v>
      </c>
      <c r="I4512" s="22" t="s">
        <v>1683</v>
      </c>
      <c r="J4512" s="22" t="s">
        <v>16311</v>
      </c>
      <c r="K4512" s="26">
        <f t="shared" si="71"/>
        <v>312</v>
      </c>
      <c r="L4512" s="26">
        <v>312</v>
      </c>
      <c r="T4512" s="22">
        <v>12</v>
      </c>
      <c r="U4512" s="22">
        <v>0.53</v>
      </c>
    </row>
    <row r="4513" spans="1:21" x14ac:dyDescent="0.25">
      <c r="A4513" s="21">
        <v>9067</v>
      </c>
      <c r="B4513" s="22" t="s">
        <v>15333</v>
      </c>
      <c r="H4513" s="25" t="s">
        <v>15373</v>
      </c>
      <c r="I4513" s="22" t="s">
        <v>15374</v>
      </c>
      <c r="J4513" s="22">
        <v>3516</v>
      </c>
      <c r="K4513" s="26">
        <f t="shared" si="71"/>
        <v>2000</v>
      </c>
      <c r="L4513" s="26">
        <v>2000</v>
      </c>
    </row>
    <row r="4514" spans="1:21" x14ac:dyDescent="0.25">
      <c r="A4514" s="21">
        <v>9068</v>
      </c>
      <c r="B4514" s="22" t="s">
        <v>15333</v>
      </c>
      <c r="E4514" s="24">
        <v>1968</v>
      </c>
      <c r="H4514" s="25" t="s">
        <v>15373</v>
      </c>
      <c r="I4514" s="22" t="s">
        <v>16160</v>
      </c>
      <c r="J4514" s="22" t="s">
        <v>1684</v>
      </c>
      <c r="K4514" s="26">
        <f t="shared" si="71"/>
        <v>932.125</v>
      </c>
      <c r="L4514" s="26">
        <v>932.125</v>
      </c>
      <c r="T4514" s="22">
        <v>12</v>
      </c>
      <c r="U4514" s="22">
        <v>0.53</v>
      </c>
    </row>
    <row r="4515" spans="1:21" x14ac:dyDescent="0.25">
      <c r="A4515" s="21">
        <v>9069</v>
      </c>
      <c r="B4515" s="22" t="s">
        <v>15333</v>
      </c>
      <c r="E4515" s="24">
        <v>1970</v>
      </c>
      <c r="H4515" s="25" t="s">
        <v>15373</v>
      </c>
      <c r="I4515" s="22" t="s">
        <v>15374</v>
      </c>
      <c r="J4515" s="22" t="s">
        <v>14117</v>
      </c>
      <c r="K4515" s="26">
        <f t="shared" si="71"/>
        <v>500</v>
      </c>
      <c r="L4515" s="26">
        <v>500</v>
      </c>
      <c r="T4515" s="22">
        <v>12</v>
      </c>
      <c r="U4515" s="22">
        <v>0.53</v>
      </c>
    </row>
    <row r="4516" spans="1:21" x14ac:dyDescent="0.25">
      <c r="A4516" s="21">
        <v>9070</v>
      </c>
      <c r="B4516" s="22" t="s">
        <v>15333</v>
      </c>
      <c r="E4516" s="24">
        <v>1996</v>
      </c>
      <c r="H4516" s="25" t="s">
        <v>15373</v>
      </c>
      <c r="I4516" s="22" t="s">
        <v>15374</v>
      </c>
      <c r="J4516" s="22">
        <v>3412</v>
      </c>
      <c r="K4516" s="26">
        <f t="shared" si="71"/>
        <v>500</v>
      </c>
      <c r="L4516" s="26">
        <v>500</v>
      </c>
      <c r="T4516" s="22">
        <v>6.9</v>
      </c>
      <c r="U4516" s="22">
        <v>0.4</v>
      </c>
    </row>
    <row r="4517" spans="1:21" x14ac:dyDescent="0.25">
      <c r="A4517" s="21">
        <v>9071</v>
      </c>
      <c r="B4517" s="22" t="s">
        <v>15333</v>
      </c>
      <c r="E4517" s="24">
        <v>1991</v>
      </c>
      <c r="H4517" s="25" t="s">
        <v>15373</v>
      </c>
      <c r="I4517" s="22" t="s">
        <v>15382</v>
      </c>
      <c r="J4517" s="22" t="s">
        <v>2132</v>
      </c>
      <c r="K4517" s="26">
        <f t="shared" si="71"/>
        <v>750</v>
      </c>
      <c r="L4517" s="26">
        <v>750</v>
      </c>
      <c r="T4517" s="22">
        <v>8.17</v>
      </c>
      <c r="U4517" s="22">
        <v>0.38</v>
      </c>
    </row>
    <row r="4518" spans="1:21" x14ac:dyDescent="0.25">
      <c r="A4518" s="21">
        <v>9072</v>
      </c>
      <c r="B4518" s="22" t="s">
        <v>15333</v>
      </c>
      <c r="E4518" s="24">
        <v>1992</v>
      </c>
      <c r="H4518" s="25" t="s">
        <v>15373</v>
      </c>
      <c r="I4518" s="22" t="s">
        <v>16311</v>
      </c>
      <c r="J4518" s="22" t="s">
        <v>16311</v>
      </c>
      <c r="K4518" s="26">
        <f t="shared" si="71"/>
        <v>387.01830000000001</v>
      </c>
      <c r="L4518" s="26">
        <v>387.01830000000001</v>
      </c>
      <c r="T4518" s="22">
        <v>8.17</v>
      </c>
      <c r="U4518" s="22">
        <v>0.38</v>
      </c>
    </row>
    <row r="4519" spans="1:21" x14ac:dyDescent="0.25">
      <c r="A4519" s="21">
        <v>9073</v>
      </c>
      <c r="B4519" s="22" t="s">
        <v>15333</v>
      </c>
      <c r="E4519" s="24">
        <v>1993</v>
      </c>
      <c r="H4519" s="25" t="s">
        <v>15373</v>
      </c>
      <c r="I4519" s="22" t="s">
        <v>16421</v>
      </c>
      <c r="J4519" s="22" t="s">
        <v>1685</v>
      </c>
      <c r="K4519" s="26">
        <f t="shared" si="71"/>
        <v>600</v>
      </c>
      <c r="L4519" s="26">
        <v>600</v>
      </c>
      <c r="T4519" s="22">
        <v>8.17</v>
      </c>
      <c r="U4519" s="22">
        <v>0.38</v>
      </c>
    </row>
    <row r="4520" spans="1:21" x14ac:dyDescent="0.25">
      <c r="A4520" s="21">
        <v>9074</v>
      </c>
      <c r="B4520" s="22" t="s">
        <v>15333</v>
      </c>
      <c r="H4520" s="25" t="s">
        <v>15373</v>
      </c>
      <c r="I4520" s="22" t="s">
        <v>16311</v>
      </c>
      <c r="J4520" s="22" t="s">
        <v>16311</v>
      </c>
      <c r="K4520" s="26">
        <f t="shared" si="71"/>
        <v>750</v>
      </c>
      <c r="L4520" s="26">
        <v>750</v>
      </c>
    </row>
    <row r="4521" spans="1:21" x14ac:dyDescent="0.25">
      <c r="A4521" s="21">
        <v>9075</v>
      </c>
      <c r="B4521" s="22" t="s">
        <v>15333</v>
      </c>
      <c r="H4521" s="25" t="s">
        <v>15373</v>
      </c>
      <c r="I4521" s="22" t="s">
        <v>16311</v>
      </c>
      <c r="J4521" s="22" t="s">
        <v>16311</v>
      </c>
      <c r="K4521" s="26">
        <f t="shared" si="71"/>
        <v>1150</v>
      </c>
      <c r="L4521" s="26">
        <v>1150</v>
      </c>
    </row>
    <row r="4522" spans="1:21" x14ac:dyDescent="0.25">
      <c r="A4522" s="21">
        <v>9076</v>
      </c>
      <c r="B4522" s="22" t="s">
        <v>15333</v>
      </c>
      <c r="E4522" s="24">
        <v>1993</v>
      </c>
      <c r="H4522" s="25" t="s">
        <v>15373</v>
      </c>
      <c r="I4522" s="22" t="s">
        <v>15374</v>
      </c>
      <c r="J4522" s="22" t="s">
        <v>16311</v>
      </c>
      <c r="K4522" s="26">
        <f t="shared" si="71"/>
        <v>2000</v>
      </c>
      <c r="L4522" s="26">
        <v>2000</v>
      </c>
      <c r="T4522" s="22">
        <v>8.17</v>
      </c>
      <c r="U4522" s="22">
        <v>0.38</v>
      </c>
    </row>
    <row r="4523" spans="1:21" x14ac:dyDescent="0.25">
      <c r="A4523" s="21">
        <v>9077</v>
      </c>
      <c r="B4523" s="22" t="s">
        <v>15333</v>
      </c>
      <c r="E4523" s="24">
        <v>1961</v>
      </c>
      <c r="H4523" s="25" t="s">
        <v>15373</v>
      </c>
      <c r="I4523" s="22" t="s">
        <v>15411</v>
      </c>
      <c r="J4523" s="22" t="s">
        <v>16311</v>
      </c>
      <c r="K4523" s="26">
        <f t="shared" si="71"/>
        <v>1100</v>
      </c>
      <c r="L4523" s="26">
        <v>1100</v>
      </c>
      <c r="T4523" s="22">
        <v>12</v>
      </c>
      <c r="U4523" s="22">
        <v>0.53</v>
      </c>
    </row>
    <row r="4524" spans="1:21" x14ac:dyDescent="0.25">
      <c r="A4524" s="21">
        <v>9078</v>
      </c>
      <c r="B4524" s="22" t="s">
        <v>15333</v>
      </c>
      <c r="E4524" s="24">
        <v>1976</v>
      </c>
      <c r="H4524" s="25" t="s">
        <v>15373</v>
      </c>
      <c r="I4524" s="22" t="s">
        <v>15411</v>
      </c>
      <c r="J4524" s="22" t="s">
        <v>16311</v>
      </c>
      <c r="K4524" s="26">
        <f t="shared" si="71"/>
        <v>1000</v>
      </c>
      <c r="L4524" s="26">
        <v>1000</v>
      </c>
      <c r="T4524" s="22">
        <v>12</v>
      </c>
      <c r="U4524" s="22">
        <v>0.53</v>
      </c>
    </row>
    <row r="4525" spans="1:21" x14ac:dyDescent="0.25">
      <c r="A4525" s="21">
        <v>9079</v>
      </c>
      <c r="B4525" s="22" t="s">
        <v>15333</v>
      </c>
      <c r="E4525" s="24">
        <v>1997</v>
      </c>
      <c r="H4525" s="25" t="s">
        <v>15373</v>
      </c>
      <c r="I4525" s="22" t="s">
        <v>15374</v>
      </c>
      <c r="J4525" s="22" t="s">
        <v>16311</v>
      </c>
      <c r="K4525" s="26">
        <f t="shared" si="71"/>
        <v>1000</v>
      </c>
      <c r="L4525" s="26">
        <v>1000</v>
      </c>
      <c r="T4525" s="22">
        <v>8.17</v>
      </c>
      <c r="U4525" s="22">
        <v>0.38</v>
      </c>
    </row>
    <row r="4526" spans="1:21" x14ac:dyDescent="0.25">
      <c r="A4526" s="21">
        <v>9080</v>
      </c>
      <c r="B4526" s="22" t="s">
        <v>15333</v>
      </c>
      <c r="H4526" s="25" t="s">
        <v>15373</v>
      </c>
      <c r="I4526" s="22" t="s">
        <v>16311</v>
      </c>
      <c r="J4526" s="22" t="s">
        <v>16311</v>
      </c>
      <c r="K4526" s="26">
        <f t="shared" si="71"/>
        <v>365</v>
      </c>
      <c r="L4526" s="26">
        <v>365</v>
      </c>
    </row>
    <row r="4527" spans="1:21" x14ac:dyDescent="0.25">
      <c r="A4527" s="21">
        <v>9081</v>
      </c>
      <c r="B4527" s="22" t="s">
        <v>15333</v>
      </c>
      <c r="E4527" s="24">
        <v>1994</v>
      </c>
      <c r="H4527" s="25" t="s">
        <v>15373</v>
      </c>
      <c r="I4527" s="22" t="s">
        <v>1677</v>
      </c>
      <c r="J4527" s="22" t="s">
        <v>16311</v>
      </c>
      <c r="K4527" s="26">
        <f t="shared" si="71"/>
        <v>3000</v>
      </c>
      <c r="L4527" s="26">
        <v>3000</v>
      </c>
      <c r="T4527" s="22">
        <v>8.17</v>
      </c>
      <c r="U4527" s="22">
        <v>0.38</v>
      </c>
    </row>
    <row r="4528" spans="1:21" x14ac:dyDescent="0.25">
      <c r="A4528" s="21">
        <v>9082</v>
      </c>
      <c r="B4528" s="22" t="s">
        <v>15333</v>
      </c>
      <c r="E4528" s="24">
        <v>1992</v>
      </c>
      <c r="H4528" s="25" t="s">
        <v>15373</v>
      </c>
      <c r="I4528" s="22" t="s">
        <v>16311</v>
      </c>
      <c r="J4528" s="22" t="s">
        <v>16311</v>
      </c>
      <c r="K4528" s="26">
        <f t="shared" si="71"/>
        <v>750</v>
      </c>
      <c r="L4528" s="26">
        <v>750</v>
      </c>
      <c r="T4528" s="22">
        <v>8.17</v>
      </c>
      <c r="U4528" s="22">
        <v>0.38</v>
      </c>
    </row>
    <row r="4529" spans="1:21" x14ac:dyDescent="0.25">
      <c r="A4529" s="21">
        <v>9083</v>
      </c>
      <c r="B4529" s="22" t="s">
        <v>15333</v>
      </c>
      <c r="H4529" s="25" t="s">
        <v>15373</v>
      </c>
      <c r="I4529" s="22" t="s">
        <v>1124</v>
      </c>
      <c r="J4529" s="22" t="s">
        <v>16311</v>
      </c>
      <c r="K4529" s="26">
        <f t="shared" si="71"/>
        <v>1000</v>
      </c>
      <c r="L4529" s="26">
        <v>1000</v>
      </c>
    </row>
    <row r="4530" spans="1:21" x14ac:dyDescent="0.25">
      <c r="A4530" s="21">
        <v>9084</v>
      </c>
      <c r="B4530" s="22" t="s">
        <v>15333</v>
      </c>
      <c r="H4530" s="25" t="s">
        <v>15373</v>
      </c>
      <c r="I4530" s="22" t="s">
        <v>1124</v>
      </c>
      <c r="J4530" s="22" t="s">
        <v>16311</v>
      </c>
      <c r="K4530" s="26">
        <f t="shared" si="71"/>
        <v>750</v>
      </c>
      <c r="L4530" s="26">
        <v>750</v>
      </c>
    </row>
    <row r="4531" spans="1:21" x14ac:dyDescent="0.25">
      <c r="A4531" s="21">
        <v>9085</v>
      </c>
      <c r="B4531" s="22" t="s">
        <v>15333</v>
      </c>
      <c r="H4531" s="25" t="s">
        <v>15373</v>
      </c>
      <c r="I4531" s="22" t="s">
        <v>1124</v>
      </c>
      <c r="J4531" s="22" t="s">
        <v>16311</v>
      </c>
      <c r="K4531" s="26">
        <f t="shared" si="71"/>
        <v>750</v>
      </c>
      <c r="L4531" s="26">
        <v>750</v>
      </c>
    </row>
    <row r="4532" spans="1:21" x14ac:dyDescent="0.25">
      <c r="A4532" s="21">
        <v>9086</v>
      </c>
      <c r="B4532" s="22" t="s">
        <v>15333</v>
      </c>
      <c r="H4532" s="25" t="s">
        <v>15373</v>
      </c>
      <c r="I4532" s="22" t="s">
        <v>15382</v>
      </c>
      <c r="J4532" s="22" t="s">
        <v>325</v>
      </c>
      <c r="K4532" s="26">
        <f t="shared" si="71"/>
        <v>365</v>
      </c>
      <c r="L4532" s="26">
        <v>365</v>
      </c>
    </row>
    <row r="4533" spans="1:21" x14ac:dyDescent="0.25">
      <c r="A4533" s="21">
        <v>9087</v>
      </c>
      <c r="B4533" s="22" t="s">
        <v>15333</v>
      </c>
      <c r="E4533" s="24">
        <v>1988</v>
      </c>
      <c r="H4533" s="25" t="s">
        <v>15373</v>
      </c>
      <c r="I4533" s="22" t="s">
        <v>326</v>
      </c>
      <c r="J4533" s="22" t="s">
        <v>327</v>
      </c>
      <c r="K4533" s="26">
        <f t="shared" si="71"/>
        <v>478.73940000000005</v>
      </c>
      <c r="L4533" s="26">
        <v>478.73940000000005</v>
      </c>
      <c r="T4533" s="22">
        <v>8.17</v>
      </c>
      <c r="U4533" s="22">
        <v>0.38</v>
      </c>
    </row>
    <row r="4534" spans="1:21" x14ac:dyDescent="0.25">
      <c r="A4534" s="21">
        <v>9088</v>
      </c>
      <c r="B4534" s="22" t="s">
        <v>15333</v>
      </c>
      <c r="E4534" s="24">
        <v>1972</v>
      </c>
      <c r="H4534" s="25" t="s">
        <v>15373</v>
      </c>
      <c r="I4534" s="22" t="s">
        <v>15374</v>
      </c>
      <c r="J4534" s="22" t="s">
        <v>15460</v>
      </c>
      <c r="K4534" s="26">
        <f t="shared" si="71"/>
        <v>930</v>
      </c>
      <c r="L4534" s="26">
        <v>930</v>
      </c>
      <c r="T4534" s="22">
        <v>12</v>
      </c>
      <c r="U4534" s="22">
        <v>0.53</v>
      </c>
    </row>
    <row r="4535" spans="1:21" x14ac:dyDescent="0.25">
      <c r="A4535" s="21">
        <v>9089</v>
      </c>
      <c r="B4535" s="22" t="s">
        <v>15333</v>
      </c>
      <c r="E4535" s="24">
        <v>1972</v>
      </c>
      <c r="H4535" s="25" t="s">
        <v>15373</v>
      </c>
      <c r="I4535" s="22" t="s">
        <v>15374</v>
      </c>
      <c r="J4535" s="22" t="s">
        <v>15460</v>
      </c>
      <c r="K4535" s="26">
        <f t="shared" si="71"/>
        <v>930</v>
      </c>
      <c r="L4535" s="26">
        <v>930</v>
      </c>
      <c r="T4535" s="22">
        <v>12</v>
      </c>
      <c r="U4535" s="22">
        <v>0.53</v>
      </c>
    </row>
    <row r="4536" spans="1:21" ht="25" x14ac:dyDescent="0.25">
      <c r="A4536" s="21">
        <v>9090</v>
      </c>
      <c r="B4536" s="22" t="s">
        <v>15333</v>
      </c>
      <c r="E4536" s="24">
        <v>1992</v>
      </c>
      <c r="H4536" s="25" t="s">
        <v>15373</v>
      </c>
      <c r="I4536" s="22" t="s">
        <v>16421</v>
      </c>
      <c r="J4536" s="22" t="s">
        <v>328</v>
      </c>
      <c r="K4536" s="26">
        <f t="shared" si="71"/>
        <v>400</v>
      </c>
      <c r="L4536" s="26">
        <v>400</v>
      </c>
      <c r="T4536" s="22">
        <v>8.17</v>
      </c>
      <c r="U4536" s="22">
        <v>0.38</v>
      </c>
    </row>
    <row r="4537" spans="1:21" x14ac:dyDescent="0.25">
      <c r="A4537" s="21">
        <v>9091</v>
      </c>
      <c r="B4537" s="22" t="s">
        <v>15333</v>
      </c>
      <c r="H4537" s="25" t="s">
        <v>15373</v>
      </c>
      <c r="I4537" s="22" t="s">
        <v>15374</v>
      </c>
      <c r="J4537" s="22" t="s">
        <v>16311</v>
      </c>
      <c r="K4537" s="26">
        <f t="shared" si="71"/>
        <v>600</v>
      </c>
      <c r="L4537" s="26">
        <v>600</v>
      </c>
    </row>
    <row r="4538" spans="1:21" x14ac:dyDescent="0.25">
      <c r="A4538" s="21">
        <v>9093</v>
      </c>
      <c r="B4538" s="22" t="s">
        <v>15333</v>
      </c>
      <c r="E4538" s="24">
        <v>1985</v>
      </c>
      <c r="H4538" s="25" t="s">
        <v>15373</v>
      </c>
      <c r="I4538" s="22" t="s">
        <v>15374</v>
      </c>
      <c r="J4538" s="22" t="s">
        <v>16311</v>
      </c>
      <c r="K4538" s="26">
        <f t="shared" si="71"/>
        <v>445.92860000000002</v>
      </c>
      <c r="L4538" s="26">
        <v>445.92860000000002</v>
      </c>
      <c r="T4538" s="22">
        <v>11</v>
      </c>
      <c r="U4538" s="22">
        <v>0.53</v>
      </c>
    </row>
    <row r="4539" spans="1:21" x14ac:dyDescent="0.25">
      <c r="A4539" s="21">
        <v>9094</v>
      </c>
      <c r="B4539" s="22" t="s">
        <v>15333</v>
      </c>
      <c r="E4539" s="24">
        <v>1985</v>
      </c>
      <c r="H4539" s="25" t="s">
        <v>15373</v>
      </c>
      <c r="I4539" s="22" t="s">
        <v>15411</v>
      </c>
      <c r="J4539" s="22" t="s">
        <v>16311</v>
      </c>
      <c r="K4539" s="26">
        <f t="shared" si="71"/>
        <v>628</v>
      </c>
      <c r="L4539" s="26">
        <v>628</v>
      </c>
      <c r="T4539" s="22">
        <v>11</v>
      </c>
      <c r="U4539" s="22">
        <v>0.53</v>
      </c>
    </row>
    <row r="4540" spans="1:21" x14ac:dyDescent="0.25">
      <c r="A4540" s="21">
        <v>9095</v>
      </c>
      <c r="B4540" s="22" t="s">
        <v>15333</v>
      </c>
      <c r="E4540" s="24">
        <v>1985</v>
      </c>
      <c r="H4540" s="25" t="s">
        <v>15373</v>
      </c>
      <c r="I4540" s="22" t="s">
        <v>15411</v>
      </c>
      <c r="J4540" s="22" t="s">
        <v>16311</v>
      </c>
      <c r="K4540" s="26">
        <f t="shared" si="71"/>
        <v>628</v>
      </c>
      <c r="L4540" s="26">
        <v>628</v>
      </c>
      <c r="T4540" s="22">
        <v>11</v>
      </c>
      <c r="U4540" s="22">
        <v>0.53</v>
      </c>
    </row>
    <row r="4541" spans="1:21" x14ac:dyDescent="0.25">
      <c r="A4541" s="21">
        <v>9096</v>
      </c>
      <c r="B4541" s="22" t="s">
        <v>15333</v>
      </c>
      <c r="E4541" s="24">
        <v>1985</v>
      </c>
      <c r="H4541" s="25" t="s">
        <v>15373</v>
      </c>
      <c r="I4541" s="22" t="s">
        <v>15411</v>
      </c>
      <c r="J4541" s="22" t="s">
        <v>16311</v>
      </c>
      <c r="K4541" s="26">
        <f t="shared" si="71"/>
        <v>628</v>
      </c>
      <c r="L4541" s="26">
        <v>628</v>
      </c>
      <c r="T4541" s="22">
        <v>11</v>
      </c>
      <c r="U4541" s="22">
        <v>0.53</v>
      </c>
    </row>
    <row r="4542" spans="1:21" x14ac:dyDescent="0.25">
      <c r="A4542" s="21">
        <v>9097</v>
      </c>
      <c r="B4542" s="22" t="s">
        <v>15333</v>
      </c>
      <c r="E4542" s="24">
        <v>1989</v>
      </c>
      <c r="H4542" s="25" t="s">
        <v>15373</v>
      </c>
      <c r="I4542" s="22" t="s">
        <v>15411</v>
      </c>
      <c r="J4542" s="22" t="s">
        <v>16311</v>
      </c>
      <c r="K4542" s="26">
        <f t="shared" si="71"/>
        <v>500</v>
      </c>
      <c r="L4542" s="26">
        <v>500</v>
      </c>
      <c r="T4542" s="22">
        <v>8.17</v>
      </c>
      <c r="U4542" s="22">
        <v>0.38</v>
      </c>
    </row>
    <row r="4543" spans="1:21" x14ac:dyDescent="0.25">
      <c r="A4543" s="21">
        <v>9099</v>
      </c>
      <c r="B4543" s="22" t="s">
        <v>15333</v>
      </c>
      <c r="E4543" s="24">
        <v>1996</v>
      </c>
      <c r="H4543" s="25" t="s">
        <v>15373</v>
      </c>
      <c r="I4543" s="22" t="s">
        <v>15374</v>
      </c>
      <c r="J4543" s="22" t="s">
        <v>16311</v>
      </c>
      <c r="K4543" s="26">
        <f t="shared" si="71"/>
        <v>1500</v>
      </c>
      <c r="L4543" s="26">
        <v>1500</v>
      </c>
      <c r="T4543" s="22">
        <v>8.17</v>
      </c>
      <c r="U4543" s="22">
        <v>0.38</v>
      </c>
    </row>
    <row r="4544" spans="1:21" ht="25" x14ac:dyDescent="0.25">
      <c r="A4544" s="21">
        <v>9100</v>
      </c>
      <c r="B4544" s="22" t="s">
        <v>15333</v>
      </c>
      <c r="E4544" s="24">
        <v>1995</v>
      </c>
      <c r="H4544" s="25" t="s">
        <v>15373</v>
      </c>
      <c r="I4544" s="22" t="s">
        <v>16421</v>
      </c>
      <c r="J4544" s="22" t="s">
        <v>329</v>
      </c>
      <c r="K4544" s="26">
        <f t="shared" si="71"/>
        <v>450</v>
      </c>
      <c r="L4544" s="26">
        <v>450</v>
      </c>
      <c r="T4544" s="22">
        <v>8.17</v>
      </c>
      <c r="U4544" s="22">
        <v>0.38</v>
      </c>
    </row>
    <row r="4545" spans="1:21" ht="25" x14ac:dyDescent="0.25">
      <c r="A4545" s="21">
        <v>9101</v>
      </c>
      <c r="B4545" s="22" t="s">
        <v>15333</v>
      </c>
      <c r="E4545" s="24">
        <v>1993</v>
      </c>
      <c r="H4545" s="25" t="s">
        <v>15373</v>
      </c>
      <c r="I4545" s="22" t="s">
        <v>15374</v>
      </c>
      <c r="J4545" s="22" t="s">
        <v>330</v>
      </c>
      <c r="K4545" s="26">
        <f t="shared" si="71"/>
        <v>1100</v>
      </c>
      <c r="L4545" s="26">
        <v>1100</v>
      </c>
      <c r="T4545" s="22">
        <v>8.17</v>
      </c>
      <c r="U4545" s="22">
        <v>0.38</v>
      </c>
    </row>
    <row r="4546" spans="1:21" x14ac:dyDescent="0.25">
      <c r="A4546" s="21">
        <v>9102</v>
      </c>
      <c r="B4546" s="22" t="s">
        <v>15333</v>
      </c>
      <c r="E4546" s="24">
        <v>1986</v>
      </c>
      <c r="H4546" s="25" t="s">
        <v>15373</v>
      </c>
      <c r="I4546" s="22" t="s">
        <v>15382</v>
      </c>
      <c r="J4546" s="22" t="s">
        <v>16311</v>
      </c>
      <c r="K4546" s="26">
        <f t="shared" si="71"/>
        <v>750</v>
      </c>
      <c r="L4546" s="26">
        <v>750</v>
      </c>
      <c r="T4546" s="22">
        <v>11</v>
      </c>
      <c r="U4546" s="22">
        <v>0.53</v>
      </c>
    </row>
    <row r="4547" spans="1:21" x14ac:dyDescent="0.25">
      <c r="A4547" s="21">
        <v>9103</v>
      </c>
      <c r="B4547" s="22" t="s">
        <v>15333</v>
      </c>
      <c r="E4547" s="24">
        <v>1995</v>
      </c>
      <c r="H4547" s="25" t="s">
        <v>15373</v>
      </c>
      <c r="I4547" s="22" t="s">
        <v>15382</v>
      </c>
      <c r="J4547" s="22" t="s">
        <v>331</v>
      </c>
      <c r="K4547" s="26">
        <f t="shared" si="71"/>
        <v>500</v>
      </c>
      <c r="L4547" s="26">
        <v>500</v>
      </c>
    </row>
    <row r="4548" spans="1:21" x14ac:dyDescent="0.25">
      <c r="A4548" s="21">
        <v>9104</v>
      </c>
      <c r="B4548" s="22" t="s">
        <v>15333</v>
      </c>
      <c r="H4548" s="25" t="s">
        <v>15373</v>
      </c>
      <c r="I4548" s="22" t="s">
        <v>15411</v>
      </c>
      <c r="J4548" s="22" t="s">
        <v>16311</v>
      </c>
      <c r="K4548" s="26">
        <f t="shared" si="71"/>
        <v>650</v>
      </c>
      <c r="L4548" s="26">
        <v>650</v>
      </c>
    </row>
    <row r="4549" spans="1:21" x14ac:dyDescent="0.25">
      <c r="A4549" s="21">
        <v>9106</v>
      </c>
      <c r="B4549" s="22" t="s">
        <v>15333</v>
      </c>
      <c r="E4549" s="24">
        <v>1984</v>
      </c>
      <c r="H4549" s="25" t="s">
        <v>15373</v>
      </c>
      <c r="I4549" s="22" t="s">
        <v>15411</v>
      </c>
      <c r="J4549" s="22" t="s">
        <v>16884</v>
      </c>
      <c r="K4549" s="26">
        <f t="shared" si="71"/>
        <v>400</v>
      </c>
      <c r="L4549" s="26">
        <v>400</v>
      </c>
      <c r="T4549" s="22">
        <v>11</v>
      </c>
      <c r="U4549" s="22">
        <v>0.53</v>
      </c>
    </row>
    <row r="4550" spans="1:21" x14ac:dyDescent="0.25">
      <c r="A4550" s="21">
        <v>9111</v>
      </c>
      <c r="B4550" s="22" t="s">
        <v>15333</v>
      </c>
      <c r="H4550" s="25" t="s">
        <v>15373</v>
      </c>
      <c r="I4550" s="22" t="s">
        <v>16311</v>
      </c>
      <c r="J4550" s="22" t="s">
        <v>16311</v>
      </c>
      <c r="K4550" s="26">
        <f t="shared" si="71"/>
        <v>600</v>
      </c>
      <c r="L4550" s="26">
        <v>600</v>
      </c>
    </row>
    <row r="4551" spans="1:21" x14ac:dyDescent="0.25">
      <c r="A4551" s="21">
        <v>9112</v>
      </c>
      <c r="B4551" s="22" t="s">
        <v>15333</v>
      </c>
      <c r="H4551" s="25" t="s">
        <v>15373</v>
      </c>
      <c r="I4551" s="22" t="s">
        <v>16311</v>
      </c>
      <c r="J4551" s="22" t="s">
        <v>16311</v>
      </c>
      <c r="K4551" s="26">
        <f t="shared" si="71"/>
        <v>600</v>
      </c>
      <c r="L4551" s="26">
        <v>600</v>
      </c>
    </row>
    <row r="4552" spans="1:21" x14ac:dyDescent="0.25">
      <c r="A4552" s="21">
        <v>9113</v>
      </c>
      <c r="B4552" s="22" t="s">
        <v>15333</v>
      </c>
      <c r="H4552" s="25" t="s">
        <v>15373</v>
      </c>
      <c r="I4552" s="22" t="s">
        <v>15374</v>
      </c>
      <c r="J4552" s="22">
        <v>3516</v>
      </c>
      <c r="K4552" s="26">
        <f t="shared" si="71"/>
        <v>1500</v>
      </c>
      <c r="L4552" s="26">
        <v>1500</v>
      </c>
    </row>
    <row r="4553" spans="1:21" x14ac:dyDescent="0.25">
      <c r="A4553" s="21">
        <v>9114</v>
      </c>
      <c r="B4553" s="22" t="s">
        <v>15333</v>
      </c>
      <c r="H4553" s="25" t="s">
        <v>15373</v>
      </c>
      <c r="I4553" s="22" t="s">
        <v>15374</v>
      </c>
      <c r="J4553" s="22">
        <v>3516</v>
      </c>
      <c r="K4553" s="26">
        <f t="shared" si="71"/>
        <v>1500</v>
      </c>
      <c r="L4553" s="26">
        <v>1500</v>
      </c>
    </row>
    <row r="4554" spans="1:21" x14ac:dyDescent="0.25">
      <c r="A4554" s="21">
        <v>9115</v>
      </c>
      <c r="B4554" s="22" t="s">
        <v>15333</v>
      </c>
      <c r="H4554" s="25" t="s">
        <v>15373</v>
      </c>
      <c r="I4554" s="22" t="s">
        <v>15374</v>
      </c>
      <c r="J4554" s="22">
        <v>3516</v>
      </c>
      <c r="K4554" s="26">
        <f t="shared" si="71"/>
        <v>1500</v>
      </c>
      <c r="L4554" s="26">
        <v>1500</v>
      </c>
    </row>
    <row r="4555" spans="1:21" x14ac:dyDescent="0.25">
      <c r="A4555" s="21">
        <v>9116</v>
      </c>
      <c r="B4555" s="22" t="s">
        <v>15333</v>
      </c>
      <c r="H4555" s="25" t="s">
        <v>15373</v>
      </c>
      <c r="I4555" s="22" t="s">
        <v>15374</v>
      </c>
      <c r="J4555" s="22">
        <v>3412</v>
      </c>
      <c r="K4555" s="26">
        <f t="shared" si="71"/>
        <v>500</v>
      </c>
      <c r="L4555" s="26">
        <v>500</v>
      </c>
    </row>
    <row r="4556" spans="1:21" x14ac:dyDescent="0.25">
      <c r="A4556" s="21">
        <v>9118</v>
      </c>
      <c r="B4556" s="22" t="s">
        <v>15333</v>
      </c>
      <c r="E4556" s="24">
        <v>1993</v>
      </c>
      <c r="H4556" s="25" t="s">
        <v>15373</v>
      </c>
      <c r="I4556" s="22" t="s">
        <v>15374</v>
      </c>
      <c r="J4556" s="22">
        <v>3412</v>
      </c>
      <c r="K4556" s="26">
        <f t="shared" si="71"/>
        <v>663.673</v>
      </c>
      <c r="L4556" s="26">
        <v>663.673</v>
      </c>
      <c r="T4556" s="22">
        <v>8.17</v>
      </c>
      <c r="U4556" s="22">
        <v>0.38</v>
      </c>
    </row>
    <row r="4557" spans="1:21" x14ac:dyDescent="0.25">
      <c r="A4557" s="21">
        <v>9119</v>
      </c>
      <c r="B4557" s="22" t="s">
        <v>15333</v>
      </c>
      <c r="E4557" s="24">
        <v>1993</v>
      </c>
      <c r="H4557" s="25" t="s">
        <v>15373</v>
      </c>
      <c r="I4557" s="22" t="s">
        <v>15374</v>
      </c>
      <c r="J4557" s="22">
        <v>3412</v>
      </c>
      <c r="K4557" s="26">
        <f t="shared" si="71"/>
        <v>663.673</v>
      </c>
      <c r="L4557" s="26">
        <v>663.673</v>
      </c>
      <c r="T4557" s="22">
        <v>8.17</v>
      </c>
      <c r="U4557" s="22">
        <v>0.38</v>
      </c>
    </row>
    <row r="4558" spans="1:21" x14ac:dyDescent="0.25">
      <c r="A4558" s="21">
        <v>9120</v>
      </c>
      <c r="B4558" s="22" t="s">
        <v>15333</v>
      </c>
      <c r="E4558" s="24">
        <v>1993</v>
      </c>
      <c r="H4558" s="25" t="s">
        <v>15373</v>
      </c>
      <c r="I4558" s="22" t="s">
        <v>1668</v>
      </c>
      <c r="J4558" s="22" t="s">
        <v>16311</v>
      </c>
      <c r="K4558" s="26">
        <f t="shared" si="71"/>
        <v>500</v>
      </c>
      <c r="L4558" s="26">
        <v>500</v>
      </c>
      <c r="T4558" s="22">
        <v>8.17</v>
      </c>
      <c r="U4558" s="22">
        <v>0.38</v>
      </c>
    </row>
    <row r="4559" spans="1:21" x14ac:dyDescent="0.25">
      <c r="A4559" s="21">
        <v>9121</v>
      </c>
      <c r="B4559" s="22" t="s">
        <v>15333</v>
      </c>
      <c r="E4559" s="24">
        <v>1997</v>
      </c>
      <c r="H4559" s="25" t="s">
        <v>15373</v>
      </c>
      <c r="I4559" s="22" t="s">
        <v>16907</v>
      </c>
      <c r="J4559" s="22" t="s">
        <v>16311</v>
      </c>
      <c r="K4559" s="26">
        <f t="shared" si="71"/>
        <v>750</v>
      </c>
      <c r="L4559" s="26">
        <v>750</v>
      </c>
      <c r="T4559" s="22">
        <v>8.17</v>
      </c>
      <c r="U4559" s="22">
        <v>0.38</v>
      </c>
    </row>
    <row r="4560" spans="1:21" x14ac:dyDescent="0.25">
      <c r="A4560" s="21">
        <v>9122</v>
      </c>
      <c r="B4560" s="22" t="s">
        <v>15333</v>
      </c>
      <c r="E4560" s="24">
        <v>1992</v>
      </c>
      <c r="H4560" s="25" t="s">
        <v>15373</v>
      </c>
      <c r="I4560" s="22" t="s">
        <v>15411</v>
      </c>
      <c r="J4560" s="22" t="s">
        <v>16311</v>
      </c>
      <c r="K4560" s="26">
        <f t="shared" si="71"/>
        <v>650</v>
      </c>
      <c r="L4560" s="26">
        <v>650</v>
      </c>
      <c r="T4560" s="22">
        <v>8.17</v>
      </c>
      <c r="U4560" s="22">
        <v>0.38</v>
      </c>
    </row>
    <row r="4561" spans="1:21" x14ac:dyDescent="0.25">
      <c r="A4561" s="21">
        <v>9123</v>
      </c>
      <c r="B4561" s="22" t="s">
        <v>15333</v>
      </c>
      <c r="E4561" s="24">
        <v>1992</v>
      </c>
      <c r="H4561" s="25" t="s">
        <v>15373</v>
      </c>
      <c r="I4561" s="22" t="s">
        <v>15411</v>
      </c>
      <c r="J4561" s="22" t="s">
        <v>16311</v>
      </c>
      <c r="K4561" s="26">
        <f t="shared" si="71"/>
        <v>650</v>
      </c>
      <c r="L4561" s="26">
        <v>650</v>
      </c>
      <c r="T4561" s="22">
        <v>8.17</v>
      </c>
      <c r="U4561" s="22">
        <v>0.38</v>
      </c>
    </row>
    <row r="4562" spans="1:21" x14ac:dyDescent="0.25">
      <c r="A4562" s="21">
        <v>9124</v>
      </c>
      <c r="B4562" s="22" t="s">
        <v>15333</v>
      </c>
      <c r="E4562" s="24">
        <v>1992</v>
      </c>
      <c r="H4562" s="25" t="s">
        <v>15373</v>
      </c>
      <c r="I4562" s="22" t="s">
        <v>15411</v>
      </c>
      <c r="J4562" s="22" t="s">
        <v>16311</v>
      </c>
      <c r="K4562" s="26">
        <f t="shared" si="71"/>
        <v>650</v>
      </c>
      <c r="L4562" s="26">
        <v>650</v>
      </c>
      <c r="T4562" s="22">
        <v>8.17</v>
      </c>
      <c r="U4562" s="22">
        <v>0.38</v>
      </c>
    </row>
    <row r="4563" spans="1:21" x14ac:dyDescent="0.25">
      <c r="A4563" s="21">
        <v>9125</v>
      </c>
      <c r="B4563" s="22" t="s">
        <v>15333</v>
      </c>
      <c r="E4563" s="24">
        <v>1991</v>
      </c>
      <c r="H4563" s="25" t="s">
        <v>15373</v>
      </c>
      <c r="I4563" s="22" t="s">
        <v>15382</v>
      </c>
      <c r="J4563" s="22" t="s">
        <v>332</v>
      </c>
      <c r="K4563" s="26">
        <f t="shared" si="71"/>
        <v>610</v>
      </c>
      <c r="L4563" s="26">
        <v>610</v>
      </c>
      <c r="T4563" s="22">
        <v>8.17</v>
      </c>
      <c r="U4563" s="22">
        <v>0.38</v>
      </c>
    </row>
    <row r="4564" spans="1:21" x14ac:dyDescent="0.25">
      <c r="A4564" s="21">
        <v>9126</v>
      </c>
      <c r="B4564" s="22" t="s">
        <v>15333</v>
      </c>
      <c r="E4564" s="24">
        <v>1994</v>
      </c>
      <c r="H4564" s="25" t="s">
        <v>15373</v>
      </c>
      <c r="I4564" s="22" t="s">
        <v>15374</v>
      </c>
      <c r="J4564" s="22" t="s">
        <v>16311</v>
      </c>
      <c r="K4564" s="26">
        <f t="shared" si="71"/>
        <v>500</v>
      </c>
      <c r="L4564" s="26">
        <v>500</v>
      </c>
      <c r="T4564" s="22">
        <v>8.17</v>
      </c>
      <c r="U4564" s="22">
        <v>0.38</v>
      </c>
    </row>
    <row r="4565" spans="1:21" x14ac:dyDescent="0.25">
      <c r="A4565" s="21">
        <v>9127</v>
      </c>
      <c r="B4565" s="22" t="s">
        <v>15333</v>
      </c>
      <c r="E4565" s="24">
        <v>1995</v>
      </c>
      <c r="H4565" s="25" t="s">
        <v>15373</v>
      </c>
      <c r="I4565" s="22" t="s">
        <v>15374</v>
      </c>
      <c r="J4565" s="22" t="s">
        <v>16311</v>
      </c>
      <c r="K4565" s="26">
        <f t="shared" si="71"/>
        <v>500</v>
      </c>
      <c r="L4565" s="26">
        <v>500</v>
      </c>
      <c r="T4565" s="22">
        <v>8.17</v>
      </c>
      <c r="U4565" s="22">
        <v>0.38</v>
      </c>
    </row>
    <row r="4566" spans="1:21" x14ac:dyDescent="0.25">
      <c r="A4566" s="21">
        <v>9128</v>
      </c>
      <c r="B4566" s="22" t="s">
        <v>15333</v>
      </c>
      <c r="E4566" s="24">
        <v>1995</v>
      </c>
      <c r="H4566" s="25" t="s">
        <v>15373</v>
      </c>
      <c r="I4566" s="22" t="s">
        <v>15374</v>
      </c>
      <c r="J4566" s="22" t="s">
        <v>16311</v>
      </c>
      <c r="K4566" s="26">
        <f t="shared" si="71"/>
        <v>500</v>
      </c>
      <c r="L4566" s="26">
        <v>500</v>
      </c>
      <c r="T4566" s="22">
        <v>8.17</v>
      </c>
      <c r="U4566" s="22">
        <v>0.38</v>
      </c>
    </row>
    <row r="4567" spans="1:21" x14ac:dyDescent="0.25">
      <c r="A4567" s="21">
        <v>9129</v>
      </c>
      <c r="B4567" s="22" t="s">
        <v>15333</v>
      </c>
      <c r="G4567" s="23" t="s">
        <v>333</v>
      </c>
      <c r="H4567" s="25" t="s">
        <v>15373</v>
      </c>
      <c r="I4567" s="22" t="s">
        <v>15374</v>
      </c>
      <c r="J4567" s="22" t="s">
        <v>334</v>
      </c>
      <c r="K4567" s="26">
        <f t="shared" si="71"/>
        <v>800</v>
      </c>
      <c r="L4567" s="26">
        <v>800</v>
      </c>
    </row>
    <row r="4568" spans="1:21" x14ac:dyDescent="0.25">
      <c r="A4568" s="21">
        <v>9130</v>
      </c>
      <c r="B4568" s="22" t="s">
        <v>15333</v>
      </c>
      <c r="G4568" s="23" t="s">
        <v>335</v>
      </c>
      <c r="H4568" s="25" t="s">
        <v>15373</v>
      </c>
      <c r="I4568" s="22" t="s">
        <v>15374</v>
      </c>
      <c r="J4568" s="22">
        <v>3412</v>
      </c>
      <c r="K4568" s="26">
        <f t="shared" si="71"/>
        <v>650</v>
      </c>
      <c r="L4568" s="26">
        <v>650</v>
      </c>
    </row>
    <row r="4569" spans="1:21" x14ac:dyDescent="0.25">
      <c r="A4569" s="21">
        <v>9131</v>
      </c>
      <c r="B4569" s="22" t="s">
        <v>15333</v>
      </c>
      <c r="G4569" s="23" t="s">
        <v>336</v>
      </c>
      <c r="H4569" s="25" t="s">
        <v>15373</v>
      </c>
      <c r="I4569" s="22" t="s">
        <v>15411</v>
      </c>
      <c r="J4569" s="22" t="s">
        <v>15877</v>
      </c>
      <c r="K4569" s="26">
        <f t="shared" si="71"/>
        <v>643</v>
      </c>
      <c r="L4569" s="26">
        <v>643</v>
      </c>
    </row>
    <row r="4570" spans="1:21" x14ac:dyDescent="0.25">
      <c r="A4570" s="21">
        <v>9132</v>
      </c>
      <c r="B4570" s="22" t="s">
        <v>15333</v>
      </c>
      <c r="E4570" s="24">
        <v>1992</v>
      </c>
      <c r="H4570" s="25" t="s">
        <v>15373</v>
      </c>
      <c r="I4570" s="22" t="s">
        <v>15374</v>
      </c>
      <c r="J4570" s="22" t="s">
        <v>334</v>
      </c>
      <c r="K4570" s="26">
        <f t="shared" si="71"/>
        <v>596.55999999999995</v>
      </c>
      <c r="L4570" s="26">
        <v>596.55999999999995</v>
      </c>
      <c r="T4570" s="22">
        <v>8.17</v>
      </c>
      <c r="U4570" s="22">
        <v>0.38</v>
      </c>
    </row>
    <row r="4571" spans="1:21" x14ac:dyDescent="0.25">
      <c r="A4571" s="21">
        <v>9133</v>
      </c>
      <c r="B4571" s="22" t="s">
        <v>15333</v>
      </c>
      <c r="G4571" s="23" t="s">
        <v>337</v>
      </c>
      <c r="H4571" s="25" t="s">
        <v>15373</v>
      </c>
      <c r="I4571" s="22" t="s">
        <v>338</v>
      </c>
      <c r="J4571" s="22">
        <v>3412</v>
      </c>
      <c r="K4571" s="26">
        <f t="shared" si="71"/>
        <v>550</v>
      </c>
      <c r="L4571" s="26">
        <v>550</v>
      </c>
    </row>
    <row r="4572" spans="1:21" x14ac:dyDescent="0.25">
      <c r="A4572" s="21">
        <v>9134</v>
      </c>
      <c r="B4572" s="22" t="s">
        <v>15333</v>
      </c>
      <c r="G4572" s="23" t="s">
        <v>339</v>
      </c>
      <c r="H4572" s="25" t="s">
        <v>15373</v>
      </c>
      <c r="I4572" s="22" t="s">
        <v>15374</v>
      </c>
      <c r="J4572" s="22">
        <v>3408</v>
      </c>
      <c r="K4572" s="26">
        <f t="shared" si="71"/>
        <v>525</v>
      </c>
      <c r="L4572" s="26">
        <v>525</v>
      </c>
    </row>
    <row r="4573" spans="1:21" x14ac:dyDescent="0.25">
      <c r="A4573" s="21">
        <v>9135</v>
      </c>
      <c r="B4573" s="22" t="s">
        <v>15333</v>
      </c>
      <c r="G4573" s="23" t="s">
        <v>340</v>
      </c>
      <c r="H4573" s="25" t="s">
        <v>15373</v>
      </c>
      <c r="I4573" s="22" t="s">
        <v>15374</v>
      </c>
      <c r="J4573" s="22">
        <v>3408</v>
      </c>
      <c r="K4573" s="26">
        <f t="shared" ref="K4573:K4636" si="72">L4573+M4573*(2/3)+N4573*(2/3)</f>
        <v>520</v>
      </c>
      <c r="L4573" s="26">
        <v>520</v>
      </c>
    </row>
    <row r="4574" spans="1:21" x14ac:dyDescent="0.25">
      <c r="A4574" s="21">
        <v>9136</v>
      </c>
      <c r="B4574" s="22" t="s">
        <v>15333</v>
      </c>
      <c r="G4574" s="23" t="s">
        <v>341</v>
      </c>
      <c r="H4574" s="25" t="s">
        <v>15373</v>
      </c>
      <c r="I4574" s="22" t="s">
        <v>15374</v>
      </c>
      <c r="J4574" s="22" t="s">
        <v>342</v>
      </c>
      <c r="K4574" s="26">
        <f t="shared" si="72"/>
        <v>375</v>
      </c>
      <c r="L4574" s="26">
        <v>375</v>
      </c>
    </row>
    <row r="4575" spans="1:21" x14ac:dyDescent="0.25">
      <c r="A4575" s="21">
        <v>9137</v>
      </c>
      <c r="B4575" s="22" t="s">
        <v>15333</v>
      </c>
      <c r="G4575" s="23" t="s">
        <v>343</v>
      </c>
      <c r="H4575" s="25" t="s">
        <v>15373</v>
      </c>
      <c r="I4575" s="22" t="s">
        <v>15374</v>
      </c>
      <c r="J4575" s="22" t="s">
        <v>10435</v>
      </c>
      <c r="K4575" s="26">
        <f t="shared" si="72"/>
        <v>310</v>
      </c>
      <c r="L4575" s="26">
        <v>310</v>
      </c>
    </row>
    <row r="4576" spans="1:21" ht="37.5" x14ac:dyDescent="0.25">
      <c r="A4576" s="21">
        <v>9138</v>
      </c>
      <c r="B4576" s="22" t="s">
        <v>15333</v>
      </c>
      <c r="H4576" s="25" t="s">
        <v>15373</v>
      </c>
      <c r="I4576" s="22" t="s">
        <v>15374</v>
      </c>
      <c r="J4576" s="22" t="s">
        <v>344</v>
      </c>
      <c r="K4576" s="26">
        <f t="shared" si="72"/>
        <v>306</v>
      </c>
      <c r="L4576" s="26">
        <v>306</v>
      </c>
    </row>
    <row r="4577" spans="1:21" x14ac:dyDescent="0.25">
      <c r="A4577" s="21">
        <v>9139</v>
      </c>
      <c r="B4577" s="22" t="s">
        <v>15333</v>
      </c>
      <c r="G4577" s="23" t="s">
        <v>345</v>
      </c>
      <c r="H4577" s="25" t="s">
        <v>15373</v>
      </c>
      <c r="I4577" s="22" t="s">
        <v>15374</v>
      </c>
      <c r="J4577" s="22" t="s">
        <v>346</v>
      </c>
      <c r="K4577" s="26">
        <f t="shared" si="72"/>
        <v>300</v>
      </c>
      <c r="L4577" s="26">
        <v>300</v>
      </c>
    </row>
    <row r="4578" spans="1:21" x14ac:dyDescent="0.25">
      <c r="A4578" s="21">
        <v>9140</v>
      </c>
      <c r="B4578" s="22" t="s">
        <v>15333</v>
      </c>
      <c r="H4578" s="25" t="s">
        <v>15373</v>
      </c>
      <c r="I4578" s="22" t="s">
        <v>16421</v>
      </c>
      <c r="J4578" s="22" t="s">
        <v>16311</v>
      </c>
      <c r="K4578" s="26">
        <f t="shared" si="72"/>
        <v>350</v>
      </c>
      <c r="L4578" s="26">
        <v>350</v>
      </c>
    </row>
    <row r="4579" spans="1:21" x14ac:dyDescent="0.25">
      <c r="A4579" s="21">
        <v>9141</v>
      </c>
      <c r="B4579" s="22" t="s">
        <v>15333</v>
      </c>
      <c r="H4579" s="25" t="s">
        <v>15373</v>
      </c>
      <c r="I4579" s="22" t="s">
        <v>16311</v>
      </c>
      <c r="J4579" s="22" t="s">
        <v>16311</v>
      </c>
      <c r="K4579" s="26">
        <f t="shared" si="72"/>
        <v>300</v>
      </c>
      <c r="L4579" s="26">
        <v>300</v>
      </c>
    </row>
    <row r="4580" spans="1:21" x14ac:dyDescent="0.25">
      <c r="A4580" s="21">
        <v>9142</v>
      </c>
      <c r="B4580" s="22" t="s">
        <v>15333</v>
      </c>
      <c r="H4580" s="25" t="s">
        <v>15373</v>
      </c>
      <c r="I4580" s="22" t="s">
        <v>16311</v>
      </c>
      <c r="J4580" s="22" t="s">
        <v>16311</v>
      </c>
      <c r="K4580" s="26">
        <f t="shared" si="72"/>
        <v>300</v>
      </c>
      <c r="L4580" s="26">
        <v>300</v>
      </c>
    </row>
    <row r="4581" spans="1:21" x14ac:dyDescent="0.25">
      <c r="A4581" s="21">
        <v>9143</v>
      </c>
      <c r="B4581" s="22" t="s">
        <v>15333</v>
      </c>
      <c r="H4581" s="25" t="s">
        <v>15373</v>
      </c>
      <c r="I4581" s="22" t="s">
        <v>16311</v>
      </c>
      <c r="J4581" s="22" t="s">
        <v>16311</v>
      </c>
      <c r="K4581" s="26">
        <f t="shared" si="72"/>
        <v>300</v>
      </c>
      <c r="L4581" s="26">
        <v>300</v>
      </c>
    </row>
    <row r="4582" spans="1:21" x14ac:dyDescent="0.25">
      <c r="A4582" s="21">
        <v>9144</v>
      </c>
      <c r="B4582" s="22" t="s">
        <v>15333</v>
      </c>
      <c r="H4582" s="25" t="s">
        <v>15373</v>
      </c>
      <c r="I4582" s="22" t="s">
        <v>16311</v>
      </c>
      <c r="J4582" s="22" t="s">
        <v>16311</v>
      </c>
      <c r="K4582" s="26">
        <f t="shared" si="72"/>
        <v>300</v>
      </c>
      <c r="L4582" s="26">
        <v>300</v>
      </c>
    </row>
    <row r="4583" spans="1:21" x14ac:dyDescent="0.25">
      <c r="A4583" s="21">
        <v>9149</v>
      </c>
      <c r="B4583" s="22" t="s">
        <v>15333</v>
      </c>
      <c r="H4583" s="25" t="s">
        <v>16311</v>
      </c>
      <c r="I4583" s="22" t="s">
        <v>16311</v>
      </c>
      <c r="J4583" s="22" t="s">
        <v>16311</v>
      </c>
      <c r="K4583" s="26">
        <f t="shared" si="72"/>
        <v>1000</v>
      </c>
      <c r="L4583" s="26">
        <v>1000</v>
      </c>
    </row>
    <row r="4584" spans="1:21" x14ac:dyDescent="0.25">
      <c r="A4584" s="21">
        <v>9150</v>
      </c>
      <c r="B4584" s="22" t="s">
        <v>15333</v>
      </c>
      <c r="E4584" s="24">
        <v>1991</v>
      </c>
      <c r="H4584" s="25" t="s">
        <v>15373</v>
      </c>
      <c r="I4584" s="22" t="s">
        <v>347</v>
      </c>
      <c r="J4584" s="22" t="s">
        <v>16311</v>
      </c>
      <c r="K4584" s="26">
        <f t="shared" si="72"/>
        <v>499.61900000000003</v>
      </c>
      <c r="L4584" s="26">
        <v>499.61900000000003</v>
      </c>
      <c r="T4584" s="22">
        <v>8.17</v>
      </c>
      <c r="U4584" s="22">
        <v>0.38</v>
      </c>
    </row>
    <row r="4585" spans="1:21" x14ac:dyDescent="0.25">
      <c r="A4585" s="21">
        <v>9152</v>
      </c>
      <c r="B4585" s="22" t="s">
        <v>15333</v>
      </c>
      <c r="H4585" s="25" t="s">
        <v>15373</v>
      </c>
      <c r="I4585" s="22" t="s">
        <v>15411</v>
      </c>
      <c r="J4585" s="22" t="s">
        <v>16311</v>
      </c>
      <c r="K4585" s="26">
        <f t="shared" si="72"/>
        <v>600</v>
      </c>
      <c r="L4585" s="26">
        <v>600</v>
      </c>
    </row>
    <row r="4586" spans="1:21" x14ac:dyDescent="0.25">
      <c r="A4586" s="21">
        <v>9153</v>
      </c>
      <c r="B4586" s="22" t="s">
        <v>15333</v>
      </c>
      <c r="E4586" s="24">
        <v>1979</v>
      </c>
      <c r="H4586" s="25" t="s">
        <v>15373</v>
      </c>
      <c r="I4586" s="22" t="s">
        <v>1679</v>
      </c>
      <c r="J4586" s="22" t="s">
        <v>16311</v>
      </c>
      <c r="K4586" s="26">
        <f t="shared" si="72"/>
        <v>930</v>
      </c>
      <c r="L4586" s="26">
        <v>930</v>
      </c>
      <c r="T4586" s="22">
        <v>12</v>
      </c>
      <c r="U4586" s="22">
        <v>0.53</v>
      </c>
    </row>
    <row r="4587" spans="1:21" ht="25" x14ac:dyDescent="0.25">
      <c r="A4587" s="21">
        <v>9154</v>
      </c>
      <c r="B4587" s="22" t="s">
        <v>15333</v>
      </c>
      <c r="E4587" s="24">
        <v>1989</v>
      </c>
      <c r="H4587" s="25" t="s">
        <v>15373</v>
      </c>
      <c r="I4587" s="22" t="s">
        <v>348</v>
      </c>
      <c r="J4587" s="22" t="s">
        <v>16311</v>
      </c>
      <c r="K4587" s="26">
        <f t="shared" si="72"/>
        <v>750</v>
      </c>
      <c r="L4587" s="26">
        <v>750</v>
      </c>
      <c r="T4587" s="22">
        <v>8.17</v>
      </c>
      <c r="U4587" s="22">
        <v>0.38</v>
      </c>
    </row>
    <row r="4588" spans="1:21" ht="25" x14ac:dyDescent="0.25">
      <c r="A4588" s="21">
        <v>9155</v>
      </c>
      <c r="B4588" s="22" t="s">
        <v>15333</v>
      </c>
      <c r="E4588" s="24">
        <v>1989</v>
      </c>
      <c r="H4588" s="25" t="s">
        <v>15373</v>
      </c>
      <c r="I4588" s="22" t="s">
        <v>348</v>
      </c>
      <c r="J4588" s="22" t="s">
        <v>16311</v>
      </c>
      <c r="K4588" s="26">
        <f t="shared" si="72"/>
        <v>750</v>
      </c>
      <c r="L4588" s="26">
        <v>750</v>
      </c>
      <c r="T4588" s="22">
        <v>8.17</v>
      </c>
      <c r="U4588" s="22">
        <v>0.38</v>
      </c>
    </row>
    <row r="4589" spans="1:21" ht="25" x14ac:dyDescent="0.25">
      <c r="A4589" s="21">
        <v>9156</v>
      </c>
      <c r="B4589" s="22" t="s">
        <v>15333</v>
      </c>
      <c r="E4589" s="24">
        <v>1989</v>
      </c>
      <c r="H4589" s="25" t="s">
        <v>15373</v>
      </c>
      <c r="I4589" s="22" t="s">
        <v>348</v>
      </c>
      <c r="J4589" s="22" t="s">
        <v>16311</v>
      </c>
      <c r="K4589" s="26">
        <f t="shared" si="72"/>
        <v>750</v>
      </c>
      <c r="L4589" s="26">
        <v>750</v>
      </c>
      <c r="T4589" s="22">
        <v>8.17</v>
      </c>
      <c r="U4589" s="22">
        <v>0.38</v>
      </c>
    </row>
    <row r="4590" spans="1:21" x14ac:dyDescent="0.25">
      <c r="A4590" s="21">
        <v>9157</v>
      </c>
      <c r="B4590" s="22" t="s">
        <v>15333</v>
      </c>
      <c r="H4590" s="25" t="s">
        <v>15373</v>
      </c>
      <c r="I4590" s="22" t="s">
        <v>16421</v>
      </c>
      <c r="J4590" s="22" t="s">
        <v>16311</v>
      </c>
      <c r="K4590" s="26">
        <f t="shared" si="72"/>
        <v>4500</v>
      </c>
      <c r="L4590" s="26">
        <v>4500</v>
      </c>
    </row>
    <row r="4591" spans="1:21" x14ac:dyDescent="0.25">
      <c r="A4591" s="21">
        <v>9158</v>
      </c>
      <c r="B4591" s="22" t="s">
        <v>15333</v>
      </c>
      <c r="H4591" s="25" t="s">
        <v>15373</v>
      </c>
      <c r="I4591" s="22" t="s">
        <v>16311</v>
      </c>
      <c r="J4591" s="22" t="s">
        <v>16311</v>
      </c>
      <c r="K4591" s="26">
        <f t="shared" si="72"/>
        <v>750</v>
      </c>
      <c r="L4591" s="26">
        <v>750</v>
      </c>
    </row>
    <row r="4592" spans="1:21" x14ac:dyDescent="0.25">
      <c r="A4592" s="21">
        <v>9159</v>
      </c>
      <c r="B4592" s="22" t="s">
        <v>15333</v>
      </c>
      <c r="E4592" s="24">
        <v>1992</v>
      </c>
      <c r="H4592" s="25" t="s">
        <v>15373</v>
      </c>
      <c r="I4592" s="22" t="s">
        <v>15374</v>
      </c>
      <c r="J4592" s="22" t="s">
        <v>16311</v>
      </c>
      <c r="K4592" s="26">
        <f t="shared" si="72"/>
        <v>1000</v>
      </c>
      <c r="L4592" s="26">
        <v>1000</v>
      </c>
      <c r="T4592" s="22">
        <v>8.17</v>
      </c>
      <c r="U4592" s="22">
        <v>0.38</v>
      </c>
    </row>
    <row r="4593" spans="1:21" x14ac:dyDescent="0.25">
      <c r="A4593" s="21">
        <v>9160</v>
      </c>
      <c r="B4593" s="22" t="s">
        <v>15333</v>
      </c>
      <c r="E4593" s="24">
        <v>1989</v>
      </c>
      <c r="H4593" s="25" t="s">
        <v>15373</v>
      </c>
      <c r="I4593" s="22" t="s">
        <v>16421</v>
      </c>
      <c r="J4593" s="22" t="s">
        <v>349</v>
      </c>
      <c r="K4593" s="26">
        <f t="shared" si="72"/>
        <v>346.75049999999999</v>
      </c>
      <c r="L4593" s="26">
        <v>346.75049999999999</v>
      </c>
      <c r="T4593" s="22">
        <v>8.17</v>
      </c>
      <c r="U4593" s="22">
        <v>0.38</v>
      </c>
    </row>
    <row r="4594" spans="1:21" x14ac:dyDescent="0.25">
      <c r="A4594" s="21">
        <v>9163</v>
      </c>
      <c r="B4594" s="22" t="s">
        <v>15333</v>
      </c>
      <c r="H4594" s="25" t="s">
        <v>15373</v>
      </c>
      <c r="I4594" s="22" t="s">
        <v>16160</v>
      </c>
      <c r="J4594" s="22" t="s">
        <v>16311</v>
      </c>
      <c r="K4594" s="26">
        <f t="shared" si="72"/>
        <v>2000</v>
      </c>
      <c r="L4594" s="26">
        <v>2000</v>
      </c>
    </row>
    <row r="4595" spans="1:21" x14ac:dyDescent="0.25">
      <c r="A4595" s="21">
        <v>9164</v>
      </c>
      <c r="B4595" s="22" t="s">
        <v>15333</v>
      </c>
      <c r="H4595" s="25" t="s">
        <v>15373</v>
      </c>
      <c r="I4595" s="22" t="s">
        <v>1677</v>
      </c>
      <c r="J4595" s="22" t="s">
        <v>16311</v>
      </c>
      <c r="K4595" s="26">
        <f t="shared" si="72"/>
        <v>1000</v>
      </c>
      <c r="L4595" s="26">
        <v>1000</v>
      </c>
    </row>
    <row r="4596" spans="1:21" x14ac:dyDescent="0.25">
      <c r="A4596" s="21">
        <v>9165</v>
      </c>
      <c r="B4596" s="22" t="s">
        <v>15333</v>
      </c>
      <c r="H4596" s="25" t="s">
        <v>15373</v>
      </c>
      <c r="I4596" s="22" t="s">
        <v>16311</v>
      </c>
      <c r="J4596" s="22" t="s">
        <v>16311</v>
      </c>
      <c r="K4596" s="26">
        <f t="shared" si="72"/>
        <v>300</v>
      </c>
      <c r="L4596" s="26">
        <v>300</v>
      </c>
    </row>
    <row r="4597" spans="1:21" x14ac:dyDescent="0.25">
      <c r="A4597" s="21">
        <v>9166</v>
      </c>
      <c r="B4597" s="22" t="s">
        <v>15333</v>
      </c>
      <c r="E4597" s="24">
        <v>1988</v>
      </c>
      <c r="H4597" s="25" t="s">
        <v>15373</v>
      </c>
      <c r="I4597" s="22" t="s">
        <v>16907</v>
      </c>
      <c r="J4597" s="22" t="s">
        <v>350</v>
      </c>
      <c r="K4597" s="26">
        <f t="shared" si="72"/>
        <v>500</v>
      </c>
      <c r="L4597" s="26">
        <v>500</v>
      </c>
      <c r="T4597" s="22">
        <v>8.17</v>
      </c>
      <c r="U4597" s="22">
        <v>0.38</v>
      </c>
    </row>
    <row r="4598" spans="1:21" x14ac:dyDescent="0.25">
      <c r="A4598" s="21">
        <v>9167</v>
      </c>
      <c r="B4598" s="22" t="s">
        <v>15333</v>
      </c>
      <c r="E4598" s="24">
        <v>1993</v>
      </c>
      <c r="H4598" s="25" t="s">
        <v>15373</v>
      </c>
      <c r="I4598" s="22" t="s">
        <v>15374</v>
      </c>
      <c r="J4598" s="22">
        <v>3512</v>
      </c>
      <c r="K4598" s="26">
        <f t="shared" si="72"/>
        <v>1200</v>
      </c>
      <c r="L4598" s="26">
        <v>1200</v>
      </c>
      <c r="T4598" s="22">
        <v>8.17</v>
      </c>
      <c r="U4598" s="22">
        <v>0.38</v>
      </c>
    </row>
    <row r="4599" spans="1:21" x14ac:dyDescent="0.25">
      <c r="A4599" s="21">
        <v>9168</v>
      </c>
      <c r="B4599" s="22" t="s">
        <v>15333</v>
      </c>
      <c r="E4599" s="24">
        <v>1993</v>
      </c>
      <c r="H4599" s="25" t="s">
        <v>15373</v>
      </c>
      <c r="I4599" s="22" t="s">
        <v>15374</v>
      </c>
      <c r="J4599" s="22">
        <v>3512</v>
      </c>
      <c r="K4599" s="26">
        <f t="shared" si="72"/>
        <v>1200</v>
      </c>
      <c r="L4599" s="26">
        <v>1200</v>
      </c>
      <c r="T4599" s="22">
        <v>8.17</v>
      </c>
      <c r="U4599" s="22">
        <v>0.38</v>
      </c>
    </row>
    <row r="4600" spans="1:21" x14ac:dyDescent="0.25">
      <c r="A4600" s="21">
        <v>9169</v>
      </c>
      <c r="B4600" s="22" t="s">
        <v>15333</v>
      </c>
      <c r="E4600" s="24">
        <v>1993</v>
      </c>
      <c r="H4600" s="25" t="s">
        <v>15373</v>
      </c>
      <c r="I4600" s="22" t="s">
        <v>15374</v>
      </c>
      <c r="J4600" s="22">
        <v>3512</v>
      </c>
      <c r="K4600" s="26">
        <f t="shared" si="72"/>
        <v>1200</v>
      </c>
      <c r="L4600" s="26">
        <v>1200</v>
      </c>
      <c r="T4600" s="22">
        <v>8.17</v>
      </c>
      <c r="U4600" s="22">
        <v>0.38</v>
      </c>
    </row>
    <row r="4601" spans="1:21" x14ac:dyDescent="0.25">
      <c r="A4601" s="21">
        <v>9170</v>
      </c>
      <c r="B4601" s="22" t="s">
        <v>15333</v>
      </c>
      <c r="E4601" s="24">
        <v>1984</v>
      </c>
      <c r="H4601" s="25" t="s">
        <v>15373</v>
      </c>
      <c r="I4601" s="22" t="s">
        <v>104</v>
      </c>
      <c r="J4601" s="22" t="s">
        <v>351</v>
      </c>
      <c r="K4601" s="26">
        <f t="shared" si="72"/>
        <v>365</v>
      </c>
      <c r="L4601" s="26">
        <v>365</v>
      </c>
      <c r="T4601" s="22">
        <v>11</v>
      </c>
      <c r="U4601" s="22">
        <v>0.53</v>
      </c>
    </row>
    <row r="4602" spans="1:21" x14ac:dyDescent="0.25">
      <c r="A4602" s="21">
        <v>9171</v>
      </c>
      <c r="B4602" s="22" t="s">
        <v>15333</v>
      </c>
      <c r="H4602" s="25" t="s">
        <v>15373</v>
      </c>
      <c r="I4602" s="22" t="s">
        <v>15411</v>
      </c>
      <c r="J4602" s="22" t="s">
        <v>16311</v>
      </c>
      <c r="K4602" s="26">
        <f t="shared" si="72"/>
        <v>700</v>
      </c>
      <c r="L4602" s="26">
        <v>700</v>
      </c>
    </row>
    <row r="4603" spans="1:21" x14ac:dyDescent="0.25">
      <c r="A4603" s="21">
        <v>9172</v>
      </c>
      <c r="B4603" s="22" t="s">
        <v>15333</v>
      </c>
      <c r="E4603" s="24">
        <v>1991</v>
      </c>
      <c r="H4603" s="25" t="s">
        <v>15373</v>
      </c>
      <c r="I4603" s="22" t="s">
        <v>15374</v>
      </c>
      <c r="J4603" s="22">
        <v>3508</v>
      </c>
      <c r="K4603" s="26">
        <f t="shared" si="72"/>
        <v>800.13610000000006</v>
      </c>
      <c r="L4603" s="26">
        <v>800.13610000000006</v>
      </c>
      <c r="T4603" s="22">
        <v>8.17</v>
      </c>
      <c r="U4603" s="22">
        <v>0.38</v>
      </c>
    </row>
    <row r="4604" spans="1:21" x14ac:dyDescent="0.25">
      <c r="A4604" s="21">
        <v>9173</v>
      </c>
      <c r="B4604" s="22" t="s">
        <v>15333</v>
      </c>
      <c r="E4604" s="24">
        <v>1995</v>
      </c>
      <c r="H4604" s="25" t="s">
        <v>15373</v>
      </c>
      <c r="I4604" s="22" t="s">
        <v>16421</v>
      </c>
      <c r="J4604" s="22" t="s">
        <v>8448</v>
      </c>
      <c r="K4604" s="26">
        <f t="shared" si="72"/>
        <v>350</v>
      </c>
      <c r="L4604" s="26">
        <v>350</v>
      </c>
    </row>
    <row r="4605" spans="1:21" ht="25" x14ac:dyDescent="0.25">
      <c r="A4605" s="21">
        <v>9175</v>
      </c>
      <c r="B4605" s="22" t="s">
        <v>15333</v>
      </c>
      <c r="E4605" s="24">
        <v>1995</v>
      </c>
      <c r="H4605" s="25" t="s">
        <v>15373</v>
      </c>
      <c r="I4605" s="22" t="s">
        <v>15382</v>
      </c>
      <c r="J4605" s="22" t="s">
        <v>353</v>
      </c>
      <c r="K4605" s="26">
        <f t="shared" si="72"/>
        <v>350</v>
      </c>
      <c r="L4605" s="26">
        <v>350</v>
      </c>
      <c r="T4605" s="22">
        <v>8.17</v>
      </c>
      <c r="U4605" s="22">
        <v>0.38</v>
      </c>
    </row>
    <row r="4606" spans="1:21" x14ac:dyDescent="0.25">
      <c r="A4606" s="21">
        <v>9176</v>
      </c>
      <c r="B4606" s="22" t="s">
        <v>15333</v>
      </c>
      <c r="H4606" s="25" t="s">
        <v>15373</v>
      </c>
      <c r="I4606" s="22" t="s">
        <v>15382</v>
      </c>
      <c r="J4606" s="22" t="s">
        <v>16311</v>
      </c>
      <c r="K4606" s="26">
        <f t="shared" si="72"/>
        <v>1000</v>
      </c>
      <c r="L4606" s="26">
        <v>1000</v>
      </c>
    </row>
    <row r="4607" spans="1:21" x14ac:dyDescent="0.25">
      <c r="A4607" s="21">
        <v>9177</v>
      </c>
      <c r="B4607" s="22" t="s">
        <v>15333</v>
      </c>
      <c r="E4607" s="24">
        <v>1980</v>
      </c>
      <c r="H4607" s="25" t="s">
        <v>15373</v>
      </c>
      <c r="I4607" s="22" t="s">
        <v>15382</v>
      </c>
      <c r="J4607" s="22" t="s">
        <v>14388</v>
      </c>
      <c r="K4607" s="26">
        <f t="shared" si="72"/>
        <v>500</v>
      </c>
      <c r="L4607" s="26">
        <v>500</v>
      </c>
      <c r="T4607" s="22">
        <v>12</v>
      </c>
      <c r="U4607" s="22">
        <v>0.53</v>
      </c>
    </row>
    <row r="4608" spans="1:21" x14ac:dyDescent="0.25">
      <c r="A4608" s="21">
        <v>9178</v>
      </c>
      <c r="B4608" s="22" t="s">
        <v>15333</v>
      </c>
      <c r="H4608" s="25" t="s">
        <v>15373</v>
      </c>
      <c r="I4608" s="22" t="s">
        <v>15374</v>
      </c>
      <c r="J4608" s="22" t="s">
        <v>16311</v>
      </c>
      <c r="K4608" s="26">
        <f t="shared" si="72"/>
        <v>750</v>
      </c>
      <c r="L4608" s="26">
        <v>750</v>
      </c>
    </row>
    <row r="4609" spans="1:12" x14ac:dyDescent="0.25">
      <c r="A4609" s="21">
        <v>9179</v>
      </c>
      <c r="B4609" s="22" t="s">
        <v>15333</v>
      </c>
      <c r="H4609" s="25" t="s">
        <v>15373</v>
      </c>
      <c r="I4609" s="22" t="s">
        <v>15374</v>
      </c>
      <c r="J4609" s="22" t="s">
        <v>16311</v>
      </c>
      <c r="K4609" s="26">
        <f t="shared" si="72"/>
        <v>750</v>
      </c>
      <c r="L4609" s="26">
        <v>750</v>
      </c>
    </row>
    <row r="4610" spans="1:12" x14ac:dyDescent="0.25">
      <c r="A4610" s="21">
        <v>9180</v>
      </c>
      <c r="B4610" s="22" t="s">
        <v>15333</v>
      </c>
      <c r="H4610" s="25" t="s">
        <v>15373</v>
      </c>
      <c r="I4610" s="22" t="s">
        <v>15374</v>
      </c>
      <c r="J4610" s="22" t="s">
        <v>16311</v>
      </c>
      <c r="K4610" s="26">
        <f t="shared" si="72"/>
        <v>750</v>
      </c>
      <c r="L4610" s="26">
        <v>750</v>
      </c>
    </row>
    <row r="4611" spans="1:12" x14ac:dyDescent="0.25">
      <c r="A4611" s="21">
        <v>9181</v>
      </c>
      <c r="B4611" s="22" t="s">
        <v>15333</v>
      </c>
      <c r="H4611" s="25" t="s">
        <v>15373</v>
      </c>
      <c r="I4611" s="22" t="s">
        <v>15374</v>
      </c>
      <c r="J4611" s="22" t="s">
        <v>16311</v>
      </c>
      <c r="K4611" s="26">
        <f t="shared" si="72"/>
        <v>750</v>
      </c>
      <c r="L4611" s="26">
        <v>750</v>
      </c>
    </row>
    <row r="4612" spans="1:12" x14ac:dyDescent="0.25">
      <c r="A4612" s="21">
        <v>9182</v>
      </c>
      <c r="B4612" s="22" t="s">
        <v>15333</v>
      </c>
      <c r="H4612" s="25" t="s">
        <v>15373</v>
      </c>
      <c r="I4612" s="22" t="s">
        <v>16907</v>
      </c>
      <c r="J4612" s="22" t="s">
        <v>16311</v>
      </c>
      <c r="K4612" s="26">
        <f t="shared" si="72"/>
        <v>400</v>
      </c>
      <c r="L4612" s="26">
        <v>400</v>
      </c>
    </row>
    <row r="4613" spans="1:12" ht="25" x14ac:dyDescent="0.25">
      <c r="A4613" s="21">
        <v>9184</v>
      </c>
      <c r="B4613" s="22" t="s">
        <v>15333</v>
      </c>
      <c r="H4613" s="25" t="s">
        <v>16310</v>
      </c>
      <c r="I4613" s="22" t="s">
        <v>16311</v>
      </c>
      <c r="J4613" s="22" t="s">
        <v>16311</v>
      </c>
      <c r="K4613" s="26">
        <f t="shared" si="72"/>
        <v>600</v>
      </c>
      <c r="L4613" s="26">
        <v>600</v>
      </c>
    </row>
    <row r="4614" spans="1:12" x14ac:dyDescent="0.25">
      <c r="A4614" s="21">
        <v>9186</v>
      </c>
      <c r="B4614" s="22" t="s">
        <v>15333</v>
      </c>
      <c r="H4614" s="25" t="s">
        <v>15373</v>
      </c>
      <c r="I4614" s="22" t="s">
        <v>354</v>
      </c>
      <c r="J4614" s="22" t="s">
        <v>16311</v>
      </c>
      <c r="K4614" s="26">
        <f t="shared" si="72"/>
        <v>5000</v>
      </c>
      <c r="L4614" s="26">
        <v>5000</v>
      </c>
    </row>
    <row r="4615" spans="1:12" x14ac:dyDescent="0.25">
      <c r="A4615" s="21">
        <v>9187</v>
      </c>
      <c r="B4615" s="22" t="s">
        <v>15333</v>
      </c>
      <c r="H4615" s="25" t="s">
        <v>15373</v>
      </c>
      <c r="I4615" s="22" t="s">
        <v>15374</v>
      </c>
      <c r="J4615" s="22" t="s">
        <v>16311</v>
      </c>
      <c r="K4615" s="26">
        <f t="shared" si="72"/>
        <v>1500</v>
      </c>
      <c r="L4615" s="26">
        <v>1500</v>
      </c>
    </row>
    <row r="4616" spans="1:12" x14ac:dyDescent="0.25">
      <c r="A4616" s="21">
        <v>9188</v>
      </c>
      <c r="B4616" s="22" t="s">
        <v>15333</v>
      </c>
      <c r="H4616" s="25" t="s">
        <v>15373</v>
      </c>
      <c r="I4616" s="22" t="s">
        <v>15411</v>
      </c>
      <c r="J4616" s="22" t="s">
        <v>16311</v>
      </c>
      <c r="K4616" s="26">
        <f t="shared" si="72"/>
        <v>1050</v>
      </c>
      <c r="L4616" s="26">
        <v>1050</v>
      </c>
    </row>
    <row r="4617" spans="1:12" x14ac:dyDescent="0.25">
      <c r="A4617" s="21">
        <v>9189</v>
      </c>
      <c r="B4617" s="22" t="s">
        <v>15333</v>
      </c>
      <c r="H4617" s="25" t="s">
        <v>15373</v>
      </c>
      <c r="I4617" s="22" t="s">
        <v>15411</v>
      </c>
      <c r="J4617" s="22" t="s">
        <v>16311</v>
      </c>
      <c r="K4617" s="26">
        <f t="shared" si="72"/>
        <v>1000</v>
      </c>
      <c r="L4617" s="26">
        <v>1000</v>
      </c>
    </row>
    <row r="4618" spans="1:12" x14ac:dyDescent="0.25">
      <c r="A4618" s="21">
        <v>9190</v>
      </c>
      <c r="B4618" s="22" t="s">
        <v>15333</v>
      </c>
      <c r="H4618" s="25" t="s">
        <v>15373</v>
      </c>
      <c r="I4618" s="22" t="s">
        <v>5324</v>
      </c>
      <c r="J4618" s="22" t="s">
        <v>16311</v>
      </c>
      <c r="K4618" s="26">
        <f t="shared" si="72"/>
        <v>900</v>
      </c>
      <c r="L4618" s="26">
        <v>900</v>
      </c>
    </row>
    <row r="4619" spans="1:12" x14ac:dyDescent="0.25">
      <c r="A4619" s="21">
        <v>9191</v>
      </c>
      <c r="B4619" s="22" t="s">
        <v>15333</v>
      </c>
      <c r="H4619" s="25" t="s">
        <v>15373</v>
      </c>
      <c r="I4619" s="22" t="s">
        <v>15411</v>
      </c>
      <c r="J4619" s="22" t="s">
        <v>16311</v>
      </c>
      <c r="K4619" s="26">
        <f t="shared" si="72"/>
        <v>800</v>
      </c>
      <c r="L4619" s="26">
        <v>800</v>
      </c>
    </row>
    <row r="4620" spans="1:12" x14ac:dyDescent="0.25">
      <c r="A4620" s="21">
        <v>9192</v>
      </c>
      <c r="B4620" s="22" t="s">
        <v>15333</v>
      </c>
      <c r="H4620" s="25" t="s">
        <v>15373</v>
      </c>
      <c r="I4620" s="22" t="s">
        <v>15382</v>
      </c>
      <c r="J4620" s="22" t="s">
        <v>16311</v>
      </c>
      <c r="K4620" s="26">
        <f t="shared" si="72"/>
        <v>770</v>
      </c>
      <c r="L4620" s="26">
        <v>770</v>
      </c>
    </row>
    <row r="4621" spans="1:12" x14ac:dyDescent="0.25">
      <c r="A4621" s="21">
        <v>9193</v>
      </c>
      <c r="B4621" s="22" t="s">
        <v>15333</v>
      </c>
      <c r="H4621" s="25" t="s">
        <v>15373</v>
      </c>
      <c r="I4621" s="22" t="s">
        <v>5324</v>
      </c>
      <c r="J4621" s="22" t="s">
        <v>16311</v>
      </c>
      <c r="K4621" s="26">
        <f t="shared" si="72"/>
        <v>750</v>
      </c>
      <c r="L4621" s="26">
        <v>750</v>
      </c>
    </row>
    <row r="4622" spans="1:12" x14ac:dyDescent="0.25">
      <c r="A4622" s="21">
        <v>9194</v>
      </c>
      <c r="B4622" s="22" t="s">
        <v>15333</v>
      </c>
      <c r="H4622" s="25" t="s">
        <v>15373</v>
      </c>
      <c r="I4622" s="22" t="s">
        <v>5324</v>
      </c>
      <c r="J4622" s="22" t="s">
        <v>16311</v>
      </c>
      <c r="K4622" s="26">
        <f t="shared" si="72"/>
        <v>750</v>
      </c>
      <c r="L4622" s="26">
        <v>750</v>
      </c>
    </row>
    <row r="4623" spans="1:12" x14ac:dyDescent="0.25">
      <c r="A4623" s="21">
        <v>9195</v>
      </c>
      <c r="B4623" s="22" t="s">
        <v>15333</v>
      </c>
      <c r="H4623" s="25" t="s">
        <v>15373</v>
      </c>
      <c r="I4623" s="22" t="s">
        <v>5324</v>
      </c>
      <c r="J4623" s="22" t="s">
        <v>16311</v>
      </c>
      <c r="K4623" s="26">
        <f t="shared" si="72"/>
        <v>750</v>
      </c>
      <c r="L4623" s="26">
        <v>750</v>
      </c>
    </row>
    <row r="4624" spans="1:12" x14ac:dyDescent="0.25">
      <c r="A4624" s="21">
        <v>9197</v>
      </c>
      <c r="B4624" s="22" t="s">
        <v>15333</v>
      </c>
      <c r="H4624" s="25" t="s">
        <v>15373</v>
      </c>
      <c r="I4624" s="22" t="s">
        <v>15411</v>
      </c>
      <c r="J4624" s="22" t="s">
        <v>16311</v>
      </c>
      <c r="K4624" s="26">
        <f t="shared" si="72"/>
        <v>500</v>
      </c>
      <c r="L4624" s="26">
        <v>500</v>
      </c>
    </row>
    <row r="4625" spans="1:21" x14ac:dyDescent="0.25">
      <c r="A4625" s="21">
        <v>9198</v>
      </c>
      <c r="B4625" s="22" t="s">
        <v>15333</v>
      </c>
      <c r="H4625" s="25" t="s">
        <v>15373</v>
      </c>
      <c r="I4625" s="22" t="s">
        <v>15374</v>
      </c>
      <c r="J4625" s="22" t="s">
        <v>16311</v>
      </c>
      <c r="K4625" s="26">
        <f t="shared" si="72"/>
        <v>425</v>
      </c>
      <c r="L4625" s="26">
        <v>425</v>
      </c>
    </row>
    <row r="4626" spans="1:21" x14ac:dyDescent="0.25">
      <c r="A4626" s="21">
        <v>9199</v>
      </c>
      <c r="B4626" s="22" t="s">
        <v>15333</v>
      </c>
      <c r="H4626" s="25" t="s">
        <v>15373</v>
      </c>
      <c r="I4626" s="22" t="s">
        <v>15374</v>
      </c>
      <c r="J4626" s="22" t="s">
        <v>16311</v>
      </c>
      <c r="K4626" s="26">
        <f t="shared" si="72"/>
        <v>350</v>
      </c>
      <c r="L4626" s="26">
        <v>350</v>
      </c>
    </row>
    <row r="4627" spans="1:21" x14ac:dyDescent="0.25">
      <c r="A4627" s="21">
        <v>9200</v>
      </c>
      <c r="B4627" s="22" t="s">
        <v>15333</v>
      </c>
      <c r="H4627" s="25" t="s">
        <v>15373</v>
      </c>
      <c r="I4627" s="22" t="s">
        <v>15374</v>
      </c>
      <c r="J4627" s="22" t="s">
        <v>16311</v>
      </c>
      <c r="K4627" s="26">
        <f t="shared" si="72"/>
        <v>350</v>
      </c>
      <c r="L4627" s="26">
        <v>350</v>
      </c>
    </row>
    <row r="4628" spans="1:21" x14ac:dyDescent="0.25">
      <c r="A4628" s="21">
        <v>9201</v>
      </c>
      <c r="B4628" s="22" t="s">
        <v>15333</v>
      </c>
      <c r="H4628" s="25" t="s">
        <v>15373</v>
      </c>
      <c r="I4628" s="22" t="s">
        <v>15374</v>
      </c>
      <c r="J4628" s="22" t="s">
        <v>16311</v>
      </c>
      <c r="K4628" s="26">
        <f t="shared" si="72"/>
        <v>350</v>
      </c>
      <c r="L4628" s="26">
        <v>350</v>
      </c>
    </row>
    <row r="4629" spans="1:21" x14ac:dyDescent="0.25">
      <c r="A4629" s="21">
        <v>9202</v>
      </c>
      <c r="B4629" s="22" t="s">
        <v>15333</v>
      </c>
      <c r="H4629" s="25" t="s">
        <v>15373</v>
      </c>
      <c r="I4629" s="22" t="s">
        <v>15374</v>
      </c>
      <c r="J4629" s="22" t="s">
        <v>16311</v>
      </c>
      <c r="K4629" s="26">
        <f t="shared" si="72"/>
        <v>325</v>
      </c>
      <c r="L4629" s="26">
        <v>325</v>
      </c>
    </row>
    <row r="4630" spans="1:21" x14ac:dyDescent="0.25">
      <c r="A4630" s="21">
        <v>9203</v>
      </c>
      <c r="B4630" s="22" t="s">
        <v>15333</v>
      </c>
      <c r="H4630" s="25" t="s">
        <v>15373</v>
      </c>
      <c r="I4630" s="22" t="s">
        <v>15411</v>
      </c>
      <c r="J4630" s="22" t="s">
        <v>16311</v>
      </c>
      <c r="K4630" s="26">
        <f t="shared" si="72"/>
        <v>325</v>
      </c>
      <c r="L4630" s="26">
        <v>325</v>
      </c>
    </row>
    <row r="4631" spans="1:21" x14ac:dyDescent="0.25">
      <c r="A4631" s="21">
        <v>9205</v>
      </c>
      <c r="B4631" s="22" t="s">
        <v>15333</v>
      </c>
      <c r="E4631" s="24">
        <v>1987</v>
      </c>
      <c r="H4631" s="25" t="s">
        <v>16311</v>
      </c>
      <c r="I4631" s="22" t="s">
        <v>104</v>
      </c>
      <c r="J4631" s="22" t="s">
        <v>355</v>
      </c>
      <c r="K4631" s="26">
        <f t="shared" si="72"/>
        <v>350</v>
      </c>
      <c r="L4631" s="26">
        <v>350</v>
      </c>
      <c r="T4631" s="22">
        <v>11</v>
      </c>
      <c r="U4631" s="22">
        <v>0.53</v>
      </c>
    </row>
    <row r="4632" spans="1:21" x14ac:dyDescent="0.25">
      <c r="A4632" s="21">
        <v>9211</v>
      </c>
      <c r="B4632" s="22" t="s">
        <v>15333</v>
      </c>
      <c r="E4632" s="24">
        <v>1988</v>
      </c>
      <c r="H4632" s="25" t="s">
        <v>15373</v>
      </c>
      <c r="I4632" s="22" t="s">
        <v>15374</v>
      </c>
      <c r="J4632" s="22" t="s">
        <v>13034</v>
      </c>
      <c r="K4632" s="26">
        <f t="shared" si="72"/>
        <v>900</v>
      </c>
      <c r="L4632" s="26">
        <v>900</v>
      </c>
      <c r="T4632" s="22">
        <v>8.17</v>
      </c>
      <c r="U4632" s="22">
        <v>0.38</v>
      </c>
    </row>
    <row r="4633" spans="1:21" x14ac:dyDescent="0.25">
      <c r="A4633" s="21">
        <v>9212</v>
      </c>
      <c r="B4633" s="22" t="s">
        <v>15333</v>
      </c>
      <c r="H4633" s="25" t="s">
        <v>15373</v>
      </c>
      <c r="I4633" s="22" t="s">
        <v>15382</v>
      </c>
      <c r="J4633" s="22" t="s">
        <v>16311</v>
      </c>
      <c r="K4633" s="26">
        <f t="shared" si="72"/>
        <v>1400</v>
      </c>
      <c r="L4633" s="26">
        <v>1400</v>
      </c>
    </row>
    <row r="4634" spans="1:21" x14ac:dyDescent="0.25">
      <c r="A4634" s="21">
        <v>9213</v>
      </c>
      <c r="B4634" s="22" t="s">
        <v>15333</v>
      </c>
      <c r="E4634" s="24">
        <v>1995</v>
      </c>
      <c r="H4634" s="25" t="s">
        <v>15373</v>
      </c>
      <c r="I4634" s="22" t="s">
        <v>15382</v>
      </c>
      <c r="J4634" s="22" t="s">
        <v>16311</v>
      </c>
      <c r="K4634" s="26">
        <f t="shared" si="72"/>
        <v>1250</v>
      </c>
      <c r="L4634" s="26">
        <v>1250</v>
      </c>
      <c r="T4634" s="22">
        <v>8.17</v>
      </c>
      <c r="U4634" s="22">
        <v>0.38</v>
      </c>
    </row>
    <row r="4635" spans="1:21" x14ac:dyDescent="0.25">
      <c r="A4635" s="21">
        <v>9214</v>
      </c>
      <c r="B4635" s="22" t="s">
        <v>15333</v>
      </c>
      <c r="E4635" s="24">
        <v>1970</v>
      </c>
      <c r="H4635" s="25" t="s">
        <v>15373</v>
      </c>
      <c r="I4635" s="22" t="s">
        <v>15374</v>
      </c>
      <c r="J4635" s="22" t="s">
        <v>16311</v>
      </c>
      <c r="K4635" s="26">
        <f t="shared" si="72"/>
        <v>1200</v>
      </c>
      <c r="L4635" s="26">
        <v>1200</v>
      </c>
      <c r="T4635" s="22">
        <v>12</v>
      </c>
      <c r="U4635" s="22">
        <v>0.53</v>
      </c>
    </row>
    <row r="4636" spans="1:21" x14ac:dyDescent="0.25">
      <c r="A4636" s="21">
        <v>9215</v>
      </c>
      <c r="B4636" s="22" t="s">
        <v>15333</v>
      </c>
      <c r="E4636" s="24">
        <v>1994</v>
      </c>
      <c r="H4636" s="25" t="s">
        <v>15373</v>
      </c>
      <c r="I4636" s="22" t="s">
        <v>15374</v>
      </c>
      <c r="J4636" s="22" t="s">
        <v>16311</v>
      </c>
      <c r="K4636" s="26">
        <f t="shared" si="72"/>
        <v>500</v>
      </c>
      <c r="L4636" s="26">
        <v>500</v>
      </c>
      <c r="T4636" s="22">
        <v>8.17</v>
      </c>
      <c r="U4636" s="22">
        <v>0.38</v>
      </c>
    </row>
    <row r="4637" spans="1:21" x14ac:dyDescent="0.25">
      <c r="A4637" s="21">
        <v>9216</v>
      </c>
      <c r="B4637" s="22" t="s">
        <v>15333</v>
      </c>
      <c r="H4637" s="25" t="s">
        <v>15373</v>
      </c>
      <c r="I4637" s="22" t="s">
        <v>1668</v>
      </c>
      <c r="J4637" s="22" t="s">
        <v>16311</v>
      </c>
      <c r="K4637" s="26">
        <f t="shared" ref="K4637:K4700" si="73">L4637+M4637*(2/3)+N4637*(2/3)</f>
        <v>500</v>
      </c>
      <c r="L4637" s="26">
        <v>500</v>
      </c>
    </row>
    <row r="4638" spans="1:21" x14ac:dyDescent="0.25">
      <c r="A4638" s="21">
        <v>9217</v>
      </c>
      <c r="B4638" s="22" t="s">
        <v>15333</v>
      </c>
      <c r="H4638" s="25" t="s">
        <v>15373</v>
      </c>
      <c r="I4638" s="22" t="s">
        <v>16421</v>
      </c>
      <c r="J4638" s="22" t="s">
        <v>16311</v>
      </c>
      <c r="K4638" s="26">
        <f t="shared" si="73"/>
        <v>500</v>
      </c>
      <c r="L4638" s="26">
        <v>500</v>
      </c>
    </row>
    <row r="4639" spans="1:21" x14ac:dyDescent="0.25">
      <c r="A4639" s="21">
        <v>9222</v>
      </c>
      <c r="B4639" s="22" t="s">
        <v>15333</v>
      </c>
      <c r="E4639" s="24">
        <v>1988</v>
      </c>
      <c r="H4639" s="25" t="s">
        <v>15373</v>
      </c>
      <c r="I4639" s="22" t="s">
        <v>15374</v>
      </c>
      <c r="J4639" s="22">
        <v>3412</v>
      </c>
      <c r="K4639" s="26">
        <f t="shared" si="73"/>
        <v>600</v>
      </c>
      <c r="L4639" s="26">
        <v>600</v>
      </c>
      <c r="T4639" s="22">
        <v>8.17</v>
      </c>
      <c r="U4639" s="22">
        <v>0.38</v>
      </c>
    </row>
    <row r="4640" spans="1:21" x14ac:dyDescent="0.25">
      <c r="A4640" s="21">
        <v>9223</v>
      </c>
      <c r="B4640" s="22" t="s">
        <v>15333</v>
      </c>
      <c r="E4640" s="24">
        <v>1988</v>
      </c>
      <c r="H4640" s="25" t="s">
        <v>15373</v>
      </c>
      <c r="I4640" s="22" t="s">
        <v>15411</v>
      </c>
      <c r="J4640" s="22" t="s">
        <v>356</v>
      </c>
      <c r="K4640" s="26">
        <f t="shared" si="73"/>
        <v>469.791</v>
      </c>
      <c r="L4640" s="26">
        <v>469.791</v>
      </c>
      <c r="T4640" s="22">
        <v>8.17</v>
      </c>
      <c r="U4640" s="22">
        <v>0.38</v>
      </c>
    </row>
    <row r="4641" spans="1:21" x14ac:dyDescent="0.25">
      <c r="A4641" s="21">
        <v>9224</v>
      </c>
      <c r="B4641" s="22" t="s">
        <v>15333</v>
      </c>
      <c r="H4641" s="25" t="s">
        <v>15373</v>
      </c>
      <c r="I4641" s="22" t="s">
        <v>16311</v>
      </c>
      <c r="J4641" s="22" t="s">
        <v>16311</v>
      </c>
      <c r="K4641" s="26">
        <f t="shared" si="73"/>
        <v>1250</v>
      </c>
      <c r="L4641" s="26">
        <v>1250</v>
      </c>
    </row>
    <row r="4642" spans="1:21" x14ac:dyDescent="0.25">
      <c r="A4642" s="21">
        <v>9225</v>
      </c>
      <c r="B4642" s="22" t="s">
        <v>15333</v>
      </c>
      <c r="H4642" s="25" t="s">
        <v>15373</v>
      </c>
      <c r="I4642" s="22" t="s">
        <v>15374</v>
      </c>
      <c r="J4642" s="22" t="s">
        <v>16311</v>
      </c>
      <c r="K4642" s="26">
        <f t="shared" si="73"/>
        <v>1000</v>
      </c>
      <c r="L4642" s="26">
        <v>1000</v>
      </c>
    </row>
    <row r="4643" spans="1:21" x14ac:dyDescent="0.25">
      <c r="A4643" s="21">
        <v>9226</v>
      </c>
      <c r="B4643" s="22" t="s">
        <v>15333</v>
      </c>
      <c r="H4643" s="25" t="s">
        <v>15373</v>
      </c>
      <c r="I4643" s="22" t="s">
        <v>15374</v>
      </c>
      <c r="J4643" s="22" t="s">
        <v>16311</v>
      </c>
      <c r="K4643" s="26">
        <f t="shared" si="73"/>
        <v>1000</v>
      </c>
      <c r="L4643" s="26">
        <v>1000</v>
      </c>
    </row>
    <row r="4644" spans="1:21" x14ac:dyDescent="0.25">
      <c r="A4644" s="21">
        <v>9228</v>
      </c>
      <c r="B4644" s="22" t="s">
        <v>15333</v>
      </c>
      <c r="H4644" s="25" t="s">
        <v>15373</v>
      </c>
      <c r="I4644" s="22" t="s">
        <v>16311</v>
      </c>
      <c r="J4644" s="22" t="s">
        <v>16311</v>
      </c>
      <c r="K4644" s="26">
        <f t="shared" si="73"/>
        <v>750</v>
      </c>
      <c r="L4644" s="26">
        <v>750</v>
      </c>
    </row>
    <row r="4645" spans="1:21" x14ac:dyDescent="0.25">
      <c r="A4645" s="21">
        <v>9229</v>
      </c>
      <c r="B4645" s="22" t="s">
        <v>15333</v>
      </c>
      <c r="H4645" s="25" t="s">
        <v>15373</v>
      </c>
      <c r="I4645" s="22" t="s">
        <v>16907</v>
      </c>
      <c r="J4645" s="22" t="s">
        <v>16311</v>
      </c>
      <c r="K4645" s="26">
        <f t="shared" si="73"/>
        <v>600</v>
      </c>
      <c r="L4645" s="26">
        <v>600</v>
      </c>
    </row>
    <row r="4646" spans="1:21" ht="25" x14ac:dyDescent="0.25">
      <c r="A4646" s="21">
        <v>9232</v>
      </c>
      <c r="B4646" s="22" t="s">
        <v>15333</v>
      </c>
      <c r="E4646" s="24">
        <v>1962</v>
      </c>
      <c r="H4646" s="25" t="s">
        <v>15373</v>
      </c>
      <c r="I4646" s="22" t="s">
        <v>15374</v>
      </c>
      <c r="J4646" s="22" t="s">
        <v>357</v>
      </c>
      <c r="K4646" s="26">
        <f t="shared" si="73"/>
        <v>1600</v>
      </c>
      <c r="L4646" s="26">
        <v>1600</v>
      </c>
      <c r="T4646" s="22">
        <v>12</v>
      </c>
      <c r="U4646" s="22">
        <v>0.53</v>
      </c>
    </row>
    <row r="4647" spans="1:21" x14ac:dyDescent="0.25">
      <c r="A4647" s="21">
        <v>9233</v>
      </c>
      <c r="B4647" s="22" t="s">
        <v>15333</v>
      </c>
      <c r="E4647" s="24">
        <v>1962</v>
      </c>
      <c r="G4647" s="23" t="s">
        <v>358</v>
      </c>
      <c r="H4647" s="25" t="s">
        <v>15373</v>
      </c>
      <c r="I4647" s="22" t="s">
        <v>15382</v>
      </c>
      <c r="J4647" s="22" t="s">
        <v>16311</v>
      </c>
      <c r="K4647" s="26">
        <f t="shared" si="73"/>
        <v>400</v>
      </c>
      <c r="L4647" s="26">
        <v>400</v>
      </c>
      <c r="T4647" s="22">
        <v>12</v>
      </c>
      <c r="U4647" s="22">
        <v>0.53</v>
      </c>
    </row>
    <row r="4648" spans="1:21" x14ac:dyDescent="0.25">
      <c r="A4648" s="21">
        <v>9238</v>
      </c>
      <c r="B4648" s="22" t="s">
        <v>15333</v>
      </c>
      <c r="E4648" s="24">
        <v>1995</v>
      </c>
      <c r="H4648" s="25" t="s">
        <v>15373</v>
      </c>
      <c r="I4648" s="22" t="s">
        <v>15374</v>
      </c>
      <c r="J4648" s="22">
        <v>3516</v>
      </c>
      <c r="K4648" s="26">
        <f t="shared" si="73"/>
        <v>1617</v>
      </c>
      <c r="L4648" s="26">
        <v>1617</v>
      </c>
      <c r="T4648" s="22">
        <v>8.17</v>
      </c>
      <c r="U4648" s="22">
        <v>0.38</v>
      </c>
    </row>
    <row r="4649" spans="1:21" ht="25" x14ac:dyDescent="0.25">
      <c r="A4649" s="21">
        <v>9239</v>
      </c>
      <c r="B4649" s="22" t="s">
        <v>15333</v>
      </c>
      <c r="E4649" s="24">
        <v>1984</v>
      </c>
      <c r="H4649" s="25" t="s">
        <v>16310</v>
      </c>
      <c r="I4649" s="22" t="s">
        <v>359</v>
      </c>
      <c r="J4649" s="22" t="s">
        <v>360</v>
      </c>
      <c r="K4649" s="26">
        <f t="shared" si="73"/>
        <v>725</v>
      </c>
      <c r="L4649" s="26">
        <v>725</v>
      </c>
      <c r="T4649" s="22">
        <v>11</v>
      </c>
      <c r="U4649" s="22">
        <v>0.53</v>
      </c>
    </row>
    <row r="4650" spans="1:21" x14ac:dyDescent="0.25">
      <c r="A4650" s="21">
        <v>9240</v>
      </c>
      <c r="B4650" s="22" t="s">
        <v>15333</v>
      </c>
      <c r="E4650" s="24">
        <v>1990</v>
      </c>
      <c r="H4650" s="25" t="s">
        <v>15373</v>
      </c>
      <c r="I4650" s="22" t="s">
        <v>15374</v>
      </c>
      <c r="J4650" s="22" t="s">
        <v>16311</v>
      </c>
      <c r="K4650" s="26">
        <f t="shared" si="73"/>
        <v>1617</v>
      </c>
      <c r="L4650" s="26">
        <v>1617</v>
      </c>
      <c r="T4650" s="22">
        <v>8.17</v>
      </c>
      <c r="U4650" s="22">
        <v>0.38</v>
      </c>
    </row>
    <row r="4651" spans="1:21" x14ac:dyDescent="0.25">
      <c r="A4651" s="21">
        <v>9241</v>
      </c>
      <c r="B4651" s="22" t="s">
        <v>15333</v>
      </c>
      <c r="E4651" s="24">
        <v>1990</v>
      </c>
      <c r="H4651" s="25" t="s">
        <v>15373</v>
      </c>
      <c r="I4651" s="22" t="s">
        <v>15374</v>
      </c>
      <c r="J4651" s="22" t="s">
        <v>16311</v>
      </c>
      <c r="K4651" s="26">
        <f t="shared" si="73"/>
        <v>1603</v>
      </c>
      <c r="L4651" s="26">
        <v>1603</v>
      </c>
      <c r="T4651" s="22">
        <v>8.17</v>
      </c>
      <c r="U4651" s="22">
        <v>0.38</v>
      </c>
    </row>
    <row r="4652" spans="1:21" x14ac:dyDescent="0.25">
      <c r="A4652" s="21">
        <v>9242</v>
      </c>
      <c r="B4652" s="22" t="s">
        <v>15333</v>
      </c>
      <c r="H4652" s="25" t="s">
        <v>15373</v>
      </c>
      <c r="I4652" s="22" t="s">
        <v>16311</v>
      </c>
      <c r="J4652" s="22" t="s">
        <v>16311</v>
      </c>
      <c r="K4652" s="26">
        <f t="shared" si="73"/>
        <v>600</v>
      </c>
      <c r="L4652" s="26">
        <v>600</v>
      </c>
    </row>
    <row r="4653" spans="1:21" x14ac:dyDescent="0.25">
      <c r="A4653" s="21">
        <v>9243</v>
      </c>
      <c r="B4653" s="22" t="s">
        <v>15333</v>
      </c>
      <c r="H4653" s="25" t="s">
        <v>15373</v>
      </c>
      <c r="I4653" s="22" t="s">
        <v>16311</v>
      </c>
      <c r="J4653" s="22" t="s">
        <v>16311</v>
      </c>
      <c r="K4653" s="26">
        <f t="shared" si="73"/>
        <v>500</v>
      </c>
      <c r="L4653" s="26">
        <v>500</v>
      </c>
    </row>
    <row r="4654" spans="1:21" x14ac:dyDescent="0.25">
      <c r="A4654" s="21">
        <v>9245</v>
      </c>
      <c r="B4654" s="22" t="s">
        <v>15333</v>
      </c>
      <c r="E4654" s="24">
        <v>1979</v>
      </c>
      <c r="H4654" s="25" t="s">
        <v>15373</v>
      </c>
      <c r="I4654" s="22" t="s">
        <v>15411</v>
      </c>
      <c r="J4654" s="22" t="s">
        <v>14158</v>
      </c>
      <c r="K4654" s="26">
        <f t="shared" si="73"/>
        <v>600</v>
      </c>
      <c r="L4654" s="26">
        <v>600</v>
      </c>
      <c r="T4654" s="22">
        <v>12</v>
      </c>
      <c r="U4654" s="22">
        <v>0.53</v>
      </c>
    </row>
    <row r="4655" spans="1:21" x14ac:dyDescent="0.25">
      <c r="A4655" s="21">
        <v>9246</v>
      </c>
      <c r="B4655" s="22" t="s">
        <v>15333</v>
      </c>
      <c r="E4655" s="24">
        <v>1987</v>
      </c>
      <c r="H4655" s="25" t="s">
        <v>15373</v>
      </c>
      <c r="I4655" s="22" t="s">
        <v>15374</v>
      </c>
      <c r="J4655" s="22" t="s">
        <v>16311</v>
      </c>
      <c r="K4655" s="26">
        <f t="shared" si="73"/>
        <v>3000</v>
      </c>
      <c r="L4655" s="26">
        <v>3000</v>
      </c>
      <c r="T4655" s="22">
        <v>11</v>
      </c>
      <c r="U4655" s="22">
        <v>0.53</v>
      </c>
    </row>
    <row r="4656" spans="1:21" x14ac:dyDescent="0.25">
      <c r="A4656" s="21">
        <v>9247</v>
      </c>
      <c r="B4656" s="22" t="s">
        <v>15333</v>
      </c>
      <c r="H4656" s="25" t="s">
        <v>15373</v>
      </c>
      <c r="I4656" s="22" t="s">
        <v>16311</v>
      </c>
      <c r="J4656" s="22" t="s">
        <v>16311</v>
      </c>
      <c r="K4656" s="26">
        <f t="shared" si="73"/>
        <v>1400</v>
      </c>
      <c r="L4656" s="26">
        <v>1400</v>
      </c>
    </row>
    <row r="4657" spans="1:21" x14ac:dyDescent="0.25">
      <c r="A4657" s="21">
        <v>9248</v>
      </c>
      <c r="B4657" s="22" t="s">
        <v>15333</v>
      </c>
      <c r="H4657" s="25" t="s">
        <v>15373</v>
      </c>
      <c r="I4657" s="22" t="s">
        <v>362</v>
      </c>
      <c r="J4657" s="22" t="s">
        <v>363</v>
      </c>
      <c r="K4657" s="26">
        <f t="shared" si="73"/>
        <v>1000</v>
      </c>
      <c r="L4657" s="26">
        <v>1000</v>
      </c>
    </row>
    <row r="4658" spans="1:21" x14ac:dyDescent="0.25">
      <c r="A4658" s="21">
        <v>9249</v>
      </c>
      <c r="B4658" s="22" t="s">
        <v>15333</v>
      </c>
      <c r="H4658" s="25" t="s">
        <v>15373</v>
      </c>
      <c r="I4658" s="22" t="s">
        <v>15374</v>
      </c>
      <c r="J4658" s="22" t="s">
        <v>364</v>
      </c>
      <c r="K4658" s="26">
        <f t="shared" si="73"/>
        <v>1000</v>
      </c>
      <c r="L4658" s="26">
        <v>1000</v>
      </c>
    </row>
    <row r="4659" spans="1:21" x14ac:dyDescent="0.25">
      <c r="A4659" s="21">
        <v>9250</v>
      </c>
      <c r="B4659" s="22" t="s">
        <v>15333</v>
      </c>
      <c r="H4659" s="25" t="s">
        <v>15373</v>
      </c>
      <c r="I4659" s="22" t="s">
        <v>15374</v>
      </c>
      <c r="J4659" s="22" t="s">
        <v>364</v>
      </c>
      <c r="K4659" s="26">
        <f t="shared" si="73"/>
        <v>1000</v>
      </c>
      <c r="L4659" s="26">
        <v>1000</v>
      </c>
    </row>
    <row r="4660" spans="1:21" x14ac:dyDescent="0.25">
      <c r="A4660" s="21">
        <v>9253</v>
      </c>
      <c r="B4660" s="22" t="s">
        <v>15333</v>
      </c>
      <c r="H4660" s="25" t="s">
        <v>15373</v>
      </c>
      <c r="I4660" s="22" t="s">
        <v>15382</v>
      </c>
      <c r="J4660" s="22" t="s">
        <v>11480</v>
      </c>
      <c r="K4660" s="26">
        <f t="shared" si="73"/>
        <v>1000</v>
      </c>
      <c r="L4660" s="26">
        <v>1000</v>
      </c>
    </row>
    <row r="4661" spans="1:21" x14ac:dyDescent="0.25">
      <c r="A4661" s="21">
        <v>9254</v>
      </c>
      <c r="B4661" s="22" t="s">
        <v>15333</v>
      </c>
      <c r="H4661" s="25" t="s">
        <v>15373</v>
      </c>
      <c r="I4661" s="22" t="s">
        <v>15374</v>
      </c>
      <c r="J4661" s="22" t="s">
        <v>16360</v>
      </c>
      <c r="K4661" s="26">
        <f t="shared" si="73"/>
        <v>600</v>
      </c>
      <c r="L4661" s="26">
        <v>600</v>
      </c>
    </row>
    <row r="4662" spans="1:21" x14ac:dyDescent="0.25">
      <c r="A4662" s="21">
        <v>9255</v>
      </c>
      <c r="B4662" s="22" t="s">
        <v>15333</v>
      </c>
      <c r="H4662" s="25" t="s">
        <v>15373</v>
      </c>
      <c r="I4662" s="22" t="s">
        <v>15374</v>
      </c>
      <c r="J4662" s="22" t="s">
        <v>16360</v>
      </c>
      <c r="K4662" s="26">
        <f t="shared" si="73"/>
        <v>500</v>
      </c>
      <c r="L4662" s="26">
        <v>500</v>
      </c>
    </row>
    <row r="4663" spans="1:21" x14ac:dyDescent="0.25">
      <c r="A4663" s="21">
        <v>9256</v>
      </c>
      <c r="B4663" s="22" t="s">
        <v>15333</v>
      </c>
      <c r="E4663" s="24">
        <v>1990</v>
      </c>
      <c r="H4663" s="25" t="s">
        <v>15373</v>
      </c>
      <c r="I4663" s="22" t="s">
        <v>15374</v>
      </c>
      <c r="J4663" s="22">
        <v>3412</v>
      </c>
      <c r="K4663" s="26">
        <f t="shared" si="73"/>
        <v>404.9151</v>
      </c>
      <c r="L4663" s="26">
        <v>404.9151</v>
      </c>
      <c r="T4663" s="22">
        <v>8.17</v>
      </c>
      <c r="U4663" s="22">
        <v>0.38</v>
      </c>
    </row>
    <row r="4664" spans="1:21" x14ac:dyDescent="0.25">
      <c r="A4664" s="21">
        <v>9257</v>
      </c>
      <c r="B4664" s="22" t="s">
        <v>15333</v>
      </c>
      <c r="H4664" s="25" t="s">
        <v>15373</v>
      </c>
      <c r="I4664" s="22" t="s">
        <v>16160</v>
      </c>
      <c r="J4664" s="22" t="s">
        <v>16311</v>
      </c>
      <c r="K4664" s="26">
        <f t="shared" si="73"/>
        <v>1000</v>
      </c>
      <c r="L4664" s="26">
        <v>1000</v>
      </c>
    </row>
    <row r="4665" spans="1:21" x14ac:dyDescent="0.25">
      <c r="A4665" s="21">
        <v>9259</v>
      </c>
      <c r="B4665" s="22" t="s">
        <v>15333</v>
      </c>
      <c r="E4665" s="24">
        <v>1995</v>
      </c>
      <c r="H4665" s="25" t="s">
        <v>15373</v>
      </c>
      <c r="I4665" s="22" t="s">
        <v>15374</v>
      </c>
      <c r="J4665" s="22">
        <v>3512</v>
      </c>
      <c r="K4665" s="26">
        <f t="shared" si="73"/>
        <v>850.09800000000007</v>
      </c>
      <c r="L4665" s="26">
        <v>850.09800000000007</v>
      </c>
      <c r="T4665" s="22">
        <v>8.17</v>
      </c>
      <c r="U4665" s="22">
        <v>0.38</v>
      </c>
    </row>
    <row r="4666" spans="1:21" x14ac:dyDescent="0.25">
      <c r="A4666" s="21">
        <v>9260</v>
      </c>
      <c r="B4666" s="22" t="s">
        <v>15333</v>
      </c>
      <c r="H4666" s="25" t="s">
        <v>16311</v>
      </c>
      <c r="I4666" s="22" t="s">
        <v>15382</v>
      </c>
      <c r="J4666" s="22" t="s">
        <v>16311</v>
      </c>
      <c r="K4666" s="26">
        <f t="shared" si="73"/>
        <v>746.44569999999999</v>
      </c>
      <c r="L4666" s="26">
        <v>746.44569999999999</v>
      </c>
    </row>
    <row r="4667" spans="1:21" x14ac:dyDescent="0.25">
      <c r="A4667" s="21">
        <v>9261</v>
      </c>
      <c r="B4667" s="22" t="s">
        <v>15333</v>
      </c>
      <c r="E4667" s="24">
        <v>1990</v>
      </c>
      <c r="H4667" s="25" t="s">
        <v>15373</v>
      </c>
      <c r="I4667" s="22" t="s">
        <v>16907</v>
      </c>
      <c r="J4667" s="22" t="s">
        <v>365</v>
      </c>
      <c r="K4667" s="26">
        <f t="shared" si="73"/>
        <v>650</v>
      </c>
      <c r="L4667" s="26">
        <v>650</v>
      </c>
      <c r="T4667" s="22">
        <v>8.17</v>
      </c>
      <c r="U4667" s="22">
        <v>0.38</v>
      </c>
    </row>
    <row r="4668" spans="1:21" x14ac:dyDescent="0.25">
      <c r="A4668" s="21">
        <v>9262</v>
      </c>
      <c r="B4668" s="22" t="s">
        <v>15333</v>
      </c>
      <c r="H4668" s="25" t="s">
        <v>15373</v>
      </c>
      <c r="I4668" s="22" t="s">
        <v>366</v>
      </c>
      <c r="J4668" s="22" t="s">
        <v>367</v>
      </c>
      <c r="K4668" s="26">
        <f t="shared" si="73"/>
        <v>1050</v>
      </c>
      <c r="L4668" s="26">
        <v>1050</v>
      </c>
    </row>
    <row r="4669" spans="1:21" x14ac:dyDescent="0.25">
      <c r="A4669" s="21">
        <v>9263</v>
      </c>
      <c r="B4669" s="22" t="s">
        <v>15333</v>
      </c>
      <c r="H4669" s="25" t="s">
        <v>15373</v>
      </c>
      <c r="I4669" s="22" t="s">
        <v>15411</v>
      </c>
      <c r="J4669" s="22" t="s">
        <v>368</v>
      </c>
      <c r="K4669" s="26">
        <f t="shared" si="73"/>
        <v>750</v>
      </c>
      <c r="L4669" s="26">
        <v>750</v>
      </c>
    </row>
    <row r="4670" spans="1:21" x14ac:dyDescent="0.25">
      <c r="A4670" s="21">
        <v>9264</v>
      </c>
      <c r="B4670" s="22" t="s">
        <v>15333</v>
      </c>
      <c r="E4670" s="24">
        <v>1985</v>
      </c>
      <c r="H4670" s="25" t="s">
        <v>15373</v>
      </c>
      <c r="I4670" s="22" t="s">
        <v>15374</v>
      </c>
      <c r="J4670" s="22">
        <v>3412</v>
      </c>
      <c r="K4670" s="26">
        <f t="shared" si="73"/>
        <v>500</v>
      </c>
      <c r="L4670" s="26">
        <v>500</v>
      </c>
      <c r="T4670" s="22">
        <v>11</v>
      </c>
      <c r="U4670" s="22">
        <v>0.53</v>
      </c>
    </row>
    <row r="4671" spans="1:21" x14ac:dyDescent="0.25">
      <c r="A4671" s="21">
        <v>9265</v>
      </c>
      <c r="B4671" s="22" t="s">
        <v>15333</v>
      </c>
      <c r="E4671" s="24">
        <v>1988</v>
      </c>
      <c r="H4671" s="25" t="s">
        <v>15373</v>
      </c>
      <c r="I4671" s="22" t="s">
        <v>16421</v>
      </c>
      <c r="J4671" s="22" t="s">
        <v>4694</v>
      </c>
      <c r="K4671" s="26">
        <f t="shared" si="73"/>
        <v>500</v>
      </c>
      <c r="L4671" s="26">
        <v>500</v>
      </c>
      <c r="T4671" s="22">
        <v>8.17</v>
      </c>
      <c r="U4671" s="22">
        <v>0.38</v>
      </c>
    </row>
    <row r="4672" spans="1:21" x14ac:dyDescent="0.25">
      <c r="A4672" s="21">
        <v>9266</v>
      </c>
      <c r="B4672" s="22" t="s">
        <v>15333</v>
      </c>
      <c r="E4672" s="24">
        <v>1986</v>
      </c>
      <c r="H4672" s="25" t="s">
        <v>15373</v>
      </c>
      <c r="I4672" s="22" t="s">
        <v>16421</v>
      </c>
      <c r="J4672" s="22" t="s">
        <v>369</v>
      </c>
      <c r="K4672" s="26">
        <f t="shared" si="73"/>
        <v>400</v>
      </c>
      <c r="L4672" s="26">
        <v>400</v>
      </c>
      <c r="T4672" s="22">
        <v>11</v>
      </c>
      <c r="U4672" s="22">
        <v>0.53</v>
      </c>
    </row>
    <row r="4673" spans="1:21" x14ac:dyDescent="0.25">
      <c r="A4673" s="21">
        <v>9267</v>
      </c>
      <c r="B4673" s="22" t="s">
        <v>15333</v>
      </c>
      <c r="E4673" s="24">
        <v>1975</v>
      </c>
      <c r="H4673" s="25" t="s">
        <v>15373</v>
      </c>
      <c r="I4673" s="22" t="s">
        <v>15411</v>
      </c>
      <c r="J4673" s="22" t="s">
        <v>370</v>
      </c>
      <c r="K4673" s="26">
        <f t="shared" si="73"/>
        <v>300</v>
      </c>
      <c r="L4673" s="26">
        <v>300</v>
      </c>
      <c r="T4673" s="22">
        <v>8.17</v>
      </c>
      <c r="U4673" s="22">
        <v>0.38</v>
      </c>
    </row>
    <row r="4674" spans="1:21" x14ac:dyDescent="0.25">
      <c r="A4674" s="21">
        <v>9268</v>
      </c>
      <c r="B4674" s="22" t="s">
        <v>15333</v>
      </c>
      <c r="E4674" s="24">
        <v>1995</v>
      </c>
      <c r="H4674" s="25" t="s">
        <v>15373</v>
      </c>
      <c r="I4674" s="22" t="s">
        <v>15411</v>
      </c>
      <c r="J4674" s="22" t="s">
        <v>371</v>
      </c>
      <c r="K4674" s="26">
        <f t="shared" si="73"/>
        <v>350</v>
      </c>
      <c r="L4674" s="26">
        <v>350</v>
      </c>
      <c r="T4674" s="22">
        <v>12</v>
      </c>
      <c r="U4674" s="22">
        <v>0.53</v>
      </c>
    </row>
    <row r="4675" spans="1:21" x14ac:dyDescent="0.25">
      <c r="A4675" s="21">
        <v>9269</v>
      </c>
      <c r="B4675" s="22" t="s">
        <v>15333</v>
      </c>
      <c r="E4675" s="24">
        <v>1982</v>
      </c>
      <c r="H4675" s="25" t="s">
        <v>15373</v>
      </c>
      <c r="I4675" s="22" t="s">
        <v>15382</v>
      </c>
      <c r="J4675" s="22" t="s">
        <v>372</v>
      </c>
      <c r="K4675" s="26">
        <f t="shared" si="73"/>
        <v>750</v>
      </c>
      <c r="L4675" s="26">
        <v>750</v>
      </c>
      <c r="T4675" s="22">
        <v>12</v>
      </c>
      <c r="U4675" s="22">
        <v>0.53</v>
      </c>
    </row>
    <row r="4676" spans="1:21" x14ac:dyDescent="0.25">
      <c r="A4676" s="21">
        <v>9273</v>
      </c>
      <c r="B4676" s="22" t="s">
        <v>15333</v>
      </c>
      <c r="H4676" s="25" t="s">
        <v>15373</v>
      </c>
      <c r="I4676" s="22" t="s">
        <v>16311</v>
      </c>
      <c r="J4676" s="22" t="s">
        <v>16311</v>
      </c>
      <c r="K4676" s="26">
        <f t="shared" si="73"/>
        <v>1000</v>
      </c>
      <c r="L4676" s="26">
        <v>1000</v>
      </c>
    </row>
    <row r="4677" spans="1:21" x14ac:dyDescent="0.25">
      <c r="A4677" s="21">
        <v>9274</v>
      </c>
      <c r="B4677" s="22" t="s">
        <v>15333</v>
      </c>
      <c r="E4677" s="24">
        <v>1988</v>
      </c>
      <c r="H4677" s="25" t="s">
        <v>15373</v>
      </c>
      <c r="I4677" s="22" t="s">
        <v>15709</v>
      </c>
      <c r="J4677" s="22" t="s">
        <v>3083</v>
      </c>
      <c r="K4677" s="26">
        <f t="shared" si="73"/>
        <v>650</v>
      </c>
      <c r="L4677" s="26">
        <v>650</v>
      </c>
      <c r="T4677" s="22">
        <v>8.17</v>
      </c>
      <c r="U4677" s="22">
        <v>0.38</v>
      </c>
    </row>
    <row r="4678" spans="1:21" x14ac:dyDescent="0.25">
      <c r="A4678" s="21">
        <v>9275</v>
      </c>
      <c r="B4678" s="22" t="s">
        <v>15333</v>
      </c>
      <c r="E4678" s="24">
        <v>1975</v>
      </c>
      <c r="H4678" s="25" t="s">
        <v>15373</v>
      </c>
      <c r="I4678" s="22" t="s">
        <v>15374</v>
      </c>
      <c r="J4678" s="22" t="s">
        <v>16856</v>
      </c>
      <c r="K4678" s="26">
        <f t="shared" si="73"/>
        <v>800</v>
      </c>
      <c r="L4678" s="26">
        <v>800</v>
      </c>
      <c r="T4678" s="22">
        <v>12</v>
      </c>
      <c r="U4678" s="22">
        <v>0.53</v>
      </c>
    </row>
    <row r="4679" spans="1:21" x14ac:dyDescent="0.25">
      <c r="A4679" s="21">
        <v>9276</v>
      </c>
      <c r="B4679" s="22" t="s">
        <v>15333</v>
      </c>
      <c r="E4679" s="24">
        <v>1975</v>
      </c>
      <c r="H4679" s="25" t="s">
        <v>15373</v>
      </c>
      <c r="I4679" s="22" t="s">
        <v>15374</v>
      </c>
      <c r="J4679" s="22" t="s">
        <v>16856</v>
      </c>
      <c r="K4679" s="26">
        <f t="shared" si="73"/>
        <v>800</v>
      </c>
      <c r="L4679" s="26">
        <v>800</v>
      </c>
      <c r="T4679" s="22">
        <v>12</v>
      </c>
      <c r="U4679" s="22">
        <v>0.53</v>
      </c>
    </row>
    <row r="4680" spans="1:21" x14ac:dyDescent="0.25">
      <c r="A4680" s="21">
        <v>9277</v>
      </c>
      <c r="B4680" s="22" t="s">
        <v>15333</v>
      </c>
      <c r="H4680" s="25" t="s">
        <v>15373</v>
      </c>
      <c r="I4680" s="22" t="s">
        <v>16311</v>
      </c>
      <c r="J4680" s="22" t="s">
        <v>16311</v>
      </c>
      <c r="K4680" s="26">
        <f t="shared" si="73"/>
        <v>405</v>
      </c>
      <c r="L4680" s="26">
        <v>405</v>
      </c>
    </row>
    <row r="4681" spans="1:21" x14ac:dyDescent="0.25">
      <c r="A4681" s="21">
        <v>9278</v>
      </c>
      <c r="B4681" s="22" t="s">
        <v>15333</v>
      </c>
      <c r="H4681" s="25" t="s">
        <v>15373</v>
      </c>
      <c r="I4681" s="22" t="s">
        <v>15382</v>
      </c>
      <c r="J4681" s="22" t="s">
        <v>373</v>
      </c>
      <c r="K4681" s="26">
        <f t="shared" si="73"/>
        <v>1115</v>
      </c>
      <c r="L4681" s="26">
        <v>1115</v>
      </c>
    </row>
    <row r="4682" spans="1:21" x14ac:dyDescent="0.25">
      <c r="A4682" s="21">
        <v>9279</v>
      </c>
      <c r="B4682" s="22" t="s">
        <v>15333</v>
      </c>
      <c r="H4682" s="25" t="s">
        <v>15373</v>
      </c>
      <c r="I4682" s="22" t="s">
        <v>15382</v>
      </c>
      <c r="J4682" s="22" t="s">
        <v>373</v>
      </c>
      <c r="K4682" s="26">
        <f t="shared" si="73"/>
        <v>831.45550000000003</v>
      </c>
      <c r="L4682" s="26">
        <v>831.45550000000003</v>
      </c>
    </row>
    <row r="4683" spans="1:21" x14ac:dyDescent="0.25">
      <c r="A4683" s="21">
        <v>9280</v>
      </c>
      <c r="B4683" s="22" t="s">
        <v>15333</v>
      </c>
      <c r="H4683" s="25" t="s">
        <v>15373</v>
      </c>
      <c r="I4683" s="22" t="s">
        <v>104</v>
      </c>
      <c r="J4683" s="22" t="s">
        <v>374</v>
      </c>
      <c r="K4683" s="26">
        <f t="shared" si="73"/>
        <v>775</v>
      </c>
      <c r="L4683" s="26">
        <v>775</v>
      </c>
    </row>
    <row r="4684" spans="1:21" x14ac:dyDescent="0.25">
      <c r="A4684" s="21">
        <v>9281</v>
      </c>
      <c r="B4684" s="22" t="s">
        <v>15333</v>
      </c>
      <c r="H4684" s="25" t="s">
        <v>15373</v>
      </c>
      <c r="I4684" s="22" t="s">
        <v>104</v>
      </c>
      <c r="J4684" s="22" t="s">
        <v>375</v>
      </c>
      <c r="K4684" s="26">
        <f t="shared" si="73"/>
        <v>775</v>
      </c>
      <c r="L4684" s="26">
        <v>775</v>
      </c>
    </row>
    <row r="4685" spans="1:21" x14ac:dyDescent="0.25">
      <c r="A4685" s="21">
        <v>9282</v>
      </c>
      <c r="B4685" s="22" t="s">
        <v>15333</v>
      </c>
      <c r="H4685" s="25" t="s">
        <v>15373</v>
      </c>
      <c r="I4685" s="22" t="s">
        <v>15374</v>
      </c>
      <c r="J4685" s="22" t="s">
        <v>1657</v>
      </c>
      <c r="K4685" s="26">
        <f t="shared" si="73"/>
        <v>600</v>
      </c>
      <c r="L4685" s="26">
        <v>600</v>
      </c>
    </row>
    <row r="4686" spans="1:21" x14ac:dyDescent="0.25">
      <c r="A4686" s="21">
        <v>9283</v>
      </c>
      <c r="B4686" s="22" t="s">
        <v>15333</v>
      </c>
      <c r="H4686" s="25" t="s">
        <v>15373</v>
      </c>
      <c r="I4686" s="22" t="s">
        <v>15382</v>
      </c>
      <c r="J4686" s="22" t="s">
        <v>376</v>
      </c>
      <c r="K4686" s="26">
        <f t="shared" si="73"/>
        <v>355</v>
      </c>
      <c r="L4686" s="26">
        <v>355</v>
      </c>
    </row>
    <row r="4687" spans="1:21" ht="25" x14ac:dyDescent="0.25">
      <c r="A4687" s="21">
        <v>9284</v>
      </c>
      <c r="B4687" s="22" t="s">
        <v>15333</v>
      </c>
      <c r="H4687" s="25" t="s">
        <v>15373</v>
      </c>
      <c r="I4687" s="22" t="s">
        <v>377</v>
      </c>
      <c r="J4687" s="22" t="s">
        <v>378</v>
      </c>
      <c r="K4687" s="26">
        <f t="shared" si="73"/>
        <v>300</v>
      </c>
      <c r="L4687" s="26">
        <v>300</v>
      </c>
    </row>
    <row r="4688" spans="1:21" x14ac:dyDescent="0.25">
      <c r="A4688" s="21">
        <v>9285</v>
      </c>
      <c r="B4688" s="22" t="s">
        <v>15333</v>
      </c>
      <c r="H4688" s="25" t="s">
        <v>15373</v>
      </c>
      <c r="I4688" s="22" t="s">
        <v>15382</v>
      </c>
      <c r="J4688" s="22" t="s">
        <v>379</v>
      </c>
      <c r="K4688" s="26">
        <f t="shared" si="73"/>
        <v>350</v>
      </c>
      <c r="L4688" s="26">
        <v>350</v>
      </c>
    </row>
    <row r="4689" spans="1:21" x14ac:dyDescent="0.25">
      <c r="A4689" s="21">
        <v>9286</v>
      </c>
      <c r="B4689" s="22" t="s">
        <v>15333</v>
      </c>
      <c r="E4689" s="24">
        <v>1986</v>
      </c>
      <c r="H4689" s="25" t="s">
        <v>15373</v>
      </c>
      <c r="I4689" s="22" t="s">
        <v>16907</v>
      </c>
      <c r="J4689" s="22" t="s">
        <v>16311</v>
      </c>
      <c r="K4689" s="26">
        <f t="shared" si="73"/>
        <v>500</v>
      </c>
      <c r="L4689" s="26">
        <v>500</v>
      </c>
      <c r="T4689" s="22">
        <v>11</v>
      </c>
      <c r="U4689" s="22">
        <v>0.53</v>
      </c>
    </row>
    <row r="4690" spans="1:21" x14ac:dyDescent="0.25">
      <c r="A4690" s="21">
        <v>9287</v>
      </c>
      <c r="B4690" s="22" t="s">
        <v>15333</v>
      </c>
      <c r="E4690" s="24">
        <v>1985</v>
      </c>
      <c r="H4690" s="25" t="s">
        <v>15373</v>
      </c>
      <c r="I4690" s="22" t="s">
        <v>15382</v>
      </c>
      <c r="J4690" s="22" t="s">
        <v>380</v>
      </c>
      <c r="K4690" s="26">
        <f t="shared" si="73"/>
        <v>400</v>
      </c>
      <c r="L4690" s="26">
        <v>400</v>
      </c>
      <c r="T4690" s="22">
        <v>11</v>
      </c>
      <c r="U4690" s="22">
        <v>0.53</v>
      </c>
    </row>
    <row r="4691" spans="1:21" x14ac:dyDescent="0.25">
      <c r="A4691" s="21">
        <v>9288</v>
      </c>
      <c r="B4691" s="22" t="s">
        <v>15333</v>
      </c>
      <c r="E4691" s="24">
        <v>1972</v>
      </c>
      <c r="H4691" s="25" t="s">
        <v>15373</v>
      </c>
      <c r="I4691" s="22" t="s">
        <v>15374</v>
      </c>
      <c r="J4691" s="22" t="s">
        <v>16311</v>
      </c>
      <c r="K4691" s="26">
        <f t="shared" si="73"/>
        <v>1450</v>
      </c>
      <c r="L4691" s="26">
        <v>1450</v>
      </c>
      <c r="T4691" s="22">
        <v>12</v>
      </c>
      <c r="U4691" s="22">
        <v>0.53</v>
      </c>
    </row>
    <row r="4692" spans="1:21" x14ac:dyDescent="0.25">
      <c r="A4692" s="21">
        <v>9289</v>
      </c>
      <c r="B4692" s="22" t="s">
        <v>15333</v>
      </c>
      <c r="E4692" s="24">
        <v>1986</v>
      </c>
      <c r="H4692" s="25" t="s">
        <v>15373</v>
      </c>
      <c r="I4692" s="22" t="s">
        <v>15374</v>
      </c>
      <c r="J4692" s="22" t="s">
        <v>381</v>
      </c>
      <c r="K4692" s="26">
        <f t="shared" si="73"/>
        <v>350</v>
      </c>
      <c r="L4692" s="26">
        <v>350</v>
      </c>
    </row>
    <row r="4693" spans="1:21" x14ac:dyDescent="0.25">
      <c r="A4693" s="21">
        <v>9290</v>
      </c>
      <c r="B4693" s="22" t="s">
        <v>15333</v>
      </c>
      <c r="E4693" s="24">
        <v>1980</v>
      </c>
      <c r="H4693" s="25" t="s">
        <v>15373</v>
      </c>
      <c r="I4693" s="22" t="s">
        <v>16907</v>
      </c>
      <c r="J4693" s="22" t="s">
        <v>382</v>
      </c>
      <c r="K4693" s="26">
        <f t="shared" si="73"/>
        <v>360</v>
      </c>
      <c r="L4693" s="26">
        <v>360</v>
      </c>
      <c r="T4693" s="22">
        <v>12</v>
      </c>
      <c r="U4693" s="22">
        <v>0.53</v>
      </c>
    </row>
    <row r="4694" spans="1:21" x14ac:dyDescent="0.25">
      <c r="A4694" s="21">
        <v>9291</v>
      </c>
      <c r="B4694" s="22" t="s">
        <v>15333</v>
      </c>
      <c r="E4694" s="24">
        <v>1982</v>
      </c>
      <c r="H4694" s="25" t="s">
        <v>15373</v>
      </c>
      <c r="I4694" s="22" t="s">
        <v>16160</v>
      </c>
      <c r="J4694" s="22" t="s">
        <v>383</v>
      </c>
      <c r="K4694" s="26">
        <f t="shared" si="73"/>
        <v>1205.0512000000001</v>
      </c>
      <c r="L4694" s="26">
        <v>1205.0512000000001</v>
      </c>
      <c r="T4694" s="22">
        <v>12</v>
      </c>
      <c r="U4694" s="22">
        <v>0.53</v>
      </c>
    </row>
    <row r="4695" spans="1:21" x14ac:dyDescent="0.25">
      <c r="A4695" s="21">
        <v>9292</v>
      </c>
      <c r="B4695" s="22" t="s">
        <v>15333</v>
      </c>
      <c r="E4695" s="24">
        <v>1981</v>
      </c>
      <c r="H4695" s="25" t="s">
        <v>15373</v>
      </c>
      <c r="I4695" s="22" t="s">
        <v>15382</v>
      </c>
      <c r="J4695" s="22" t="s">
        <v>7395</v>
      </c>
      <c r="K4695" s="26">
        <f t="shared" si="73"/>
        <v>831.45550000000003</v>
      </c>
      <c r="L4695" s="26">
        <v>831.45550000000003</v>
      </c>
      <c r="T4695" s="22">
        <v>12</v>
      </c>
      <c r="U4695" s="22">
        <v>0.53</v>
      </c>
    </row>
    <row r="4696" spans="1:21" x14ac:dyDescent="0.25">
      <c r="A4696" s="21">
        <v>9293</v>
      </c>
      <c r="B4696" s="22" t="s">
        <v>15333</v>
      </c>
      <c r="E4696" s="24">
        <v>1981</v>
      </c>
      <c r="H4696" s="25" t="s">
        <v>15373</v>
      </c>
      <c r="I4696" s="22" t="s">
        <v>15382</v>
      </c>
      <c r="J4696" s="22" t="s">
        <v>7395</v>
      </c>
      <c r="K4696" s="26">
        <f t="shared" si="73"/>
        <v>831.45550000000003</v>
      </c>
      <c r="L4696" s="26">
        <v>831.45550000000003</v>
      </c>
      <c r="T4696" s="22">
        <v>12</v>
      </c>
      <c r="U4696" s="22">
        <v>0.53</v>
      </c>
    </row>
    <row r="4697" spans="1:21" x14ac:dyDescent="0.25">
      <c r="A4697" s="21">
        <v>9294</v>
      </c>
      <c r="B4697" s="22" t="s">
        <v>15333</v>
      </c>
      <c r="E4697" s="24">
        <v>1982</v>
      </c>
      <c r="H4697" s="25" t="s">
        <v>15373</v>
      </c>
      <c r="I4697" s="22" t="s">
        <v>384</v>
      </c>
      <c r="J4697" s="22" t="s">
        <v>385</v>
      </c>
      <c r="K4697" s="26">
        <f t="shared" si="73"/>
        <v>510.80450000000002</v>
      </c>
      <c r="L4697" s="26">
        <v>510.80450000000002</v>
      </c>
      <c r="T4697" s="22">
        <v>12</v>
      </c>
      <c r="U4697" s="22">
        <v>0.53</v>
      </c>
    </row>
    <row r="4698" spans="1:21" ht="37.5" x14ac:dyDescent="0.25">
      <c r="A4698" s="21">
        <v>9295</v>
      </c>
      <c r="B4698" s="22" t="s">
        <v>15333</v>
      </c>
      <c r="E4698" s="24">
        <v>1997</v>
      </c>
      <c r="H4698" s="25" t="s">
        <v>386</v>
      </c>
      <c r="I4698" s="22" t="s">
        <v>5324</v>
      </c>
      <c r="J4698" s="22" t="s">
        <v>387</v>
      </c>
      <c r="K4698" s="26">
        <f t="shared" si="73"/>
        <v>5000</v>
      </c>
      <c r="L4698" s="26">
        <v>5000</v>
      </c>
      <c r="T4698" s="22">
        <v>8.17</v>
      </c>
      <c r="U4698" s="22">
        <v>0.38</v>
      </c>
    </row>
    <row r="4699" spans="1:21" ht="37.5" x14ac:dyDescent="0.25">
      <c r="A4699" s="21">
        <v>9296</v>
      </c>
      <c r="B4699" s="22" t="s">
        <v>15333</v>
      </c>
      <c r="E4699" s="24">
        <v>1997</v>
      </c>
      <c r="H4699" s="25" t="s">
        <v>386</v>
      </c>
      <c r="I4699" s="22" t="s">
        <v>5324</v>
      </c>
      <c r="J4699" s="22" t="s">
        <v>387</v>
      </c>
      <c r="K4699" s="26">
        <f t="shared" si="73"/>
        <v>3500</v>
      </c>
      <c r="L4699" s="26">
        <v>3500</v>
      </c>
      <c r="T4699" s="22">
        <v>8.17</v>
      </c>
      <c r="U4699" s="22">
        <v>0.38</v>
      </c>
    </row>
    <row r="4700" spans="1:21" ht="25" x14ac:dyDescent="0.25">
      <c r="A4700" s="21">
        <v>9298</v>
      </c>
      <c r="B4700" s="22" t="s">
        <v>15333</v>
      </c>
      <c r="H4700" s="25" t="s">
        <v>16310</v>
      </c>
      <c r="I4700" s="22" t="s">
        <v>359</v>
      </c>
      <c r="J4700" s="22" t="s">
        <v>16311</v>
      </c>
      <c r="K4700" s="26">
        <f t="shared" si="73"/>
        <v>1500</v>
      </c>
      <c r="L4700" s="26">
        <v>1500</v>
      </c>
    </row>
    <row r="4701" spans="1:21" x14ac:dyDescent="0.25">
      <c r="A4701" s="21">
        <v>9300</v>
      </c>
      <c r="B4701" s="22" t="s">
        <v>15333</v>
      </c>
      <c r="H4701" s="25" t="s">
        <v>15373</v>
      </c>
      <c r="I4701" s="22" t="s">
        <v>16907</v>
      </c>
      <c r="J4701" s="22" t="s">
        <v>16311</v>
      </c>
      <c r="K4701" s="26">
        <f t="shared" ref="K4701:K4764" si="74">L4701+M4701*(2/3)+N4701*(2/3)</f>
        <v>1300</v>
      </c>
      <c r="L4701" s="26">
        <v>1300</v>
      </c>
    </row>
    <row r="4702" spans="1:21" x14ac:dyDescent="0.25">
      <c r="A4702" s="21">
        <v>9303</v>
      </c>
      <c r="B4702" s="22" t="s">
        <v>15333</v>
      </c>
      <c r="E4702" s="24">
        <v>1976</v>
      </c>
      <c r="H4702" s="25" t="s">
        <v>15373</v>
      </c>
      <c r="I4702" s="22" t="s">
        <v>15668</v>
      </c>
      <c r="J4702" s="22" t="s">
        <v>388</v>
      </c>
      <c r="K4702" s="26">
        <f t="shared" si="74"/>
        <v>1000</v>
      </c>
      <c r="L4702" s="26">
        <v>1000</v>
      </c>
      <c r="T4702" s="22">
        <v>12</v>
      </c>
      <c r="U4702" s="22">
        <v>0.53</v>
      </c>
    </row>
    <row r="4703" spans="1:21" x14ac:dyDescent="0.25">
      <c r="A4703" s="21">
        <v>9304</v>
      </c>
      <c r="B4703" s="22" t="s">
        <v>15333</v>
      </c>
      <c r="E4703" s="24">
        <v>1988</v>
      </c>
      <c r="H4703" s="25" t="s">
        <v>15373</v>
      </c>
      <c r="I4703" s="22" t="s">
        <v>15709</v>
      </c>
      <c r="J4703" s="22" t="s">
        <v>389</v>
      </c>
      <c r="K4703" s="26">
        <f t="shared" si="74"/>
        <v>500</v>
      </c>
      <c r="L4703" s="26">
        <v>500</v>
      </c>
      <c r="T4703" s="22">
        <v>8.17</v>
      </c>
      <c r="U4703" s="22">
        <v>0.38</v>
      </c>
    </row>
    <row r="4704" spans="1:21" x14ac:dyDescent="0.25">
      <c r="A4704" s="21">
        <v>9305</v>
      </c>
      <c r="B4704" s="22" t="s">
        <v>15333</v>
      </c>
      <c r="E4704" s="24">
        <v>1988</v>
      </c>
      <c r="H4704" s="25" t="s">
        <v>15373</v>
      </c>
      <c r="I4704" s="22" t="s">
        <v>15709</v>
      </c>
      <c r="J4704" s="22" t="s">
        <v>389</v>
      </c>
      <c r="K4704" s="26">
        <f t="shared" si="74"/>
        <v>500</v>
      </c>
      <c r="L4704" s="26">
        <v>500</v>
      </c>
      <c r="T4704" s="22">
        <v>8.17</v>
      </c>
      <c r="U4704" s="22">
        <v>0.38</v>
      </c>
    </row>
    <row r="4705" spans="1:21" x14ac:dyDescent="0.25">
      <c r="A4705" s="21">
        <v>9306</v>
      </c>
      <c r="B4705" s="22" t="s">
        <v>15333</v>
      </c>
      <c r="H4705" s="25" t="s">
        <v>15373</v>
      </c>
      <c r="I4705" s="22" t="s">
        <v>15374</v>
      </c>
      <c r="J4705" s="22" t="s">
        <v>16311</v>
      </c>
      <c r="K4705" s="26">
        <f t="shared" si="74"/>
        <v>2000</v>
      </c>
      <c r="L4705" s="26">
        <v>2000</v>
      </c>
    </row>
    <row r="4706" spans="1:21" x14ac:dyDescent="0.25">
      <c r="A4706" s="21">
        <v>9307</v>
      </c>
      <c r="B4706" s="22" t="s">
        <v>15333</v>
      </c>
      <c r="E4706" s="24">
        <v>1989</v>
      </c>
      <c r="H4706" s="25" t="s">
        <v>15373</v>
      </c>
      <c r="I4706" s="22" t="s">
        <v>390</v>
      </c>
      <c r="J4706" s="22" t="s">
        <v>14659</v>
      </c>
      <c r="K4706" s="26">
        <f t="shared" si="74"/>
        <v>500</v>
      </c>
      <c r="L4706" s="26">
        <v>500</v>
      </c>
      <c r="T4706" s="22">
        <v>8.17</v>
      </c>
      <c r="U4706" s="22">
        <v>0.38</v>
      </c>
    </row>
    <row r="4707" spans="1:21" x14ac:dyDescent="0.25">
      <c r="A4707" s="21">
        <v>9308</v>
      </c>
      <c r="B4707" s="22" t="s">
        <v>15333</v>
      </c>
      <c r="H4707" s="25" t="s">
        <v>15373</v>
      </c>
      <c r="I4707" s="22" t="s">
        <v>16311</v>
      </c>
      <c r="J4707" s="22" t="s">
        <v>16311</v>
      </c>
      <c r="K4707" s="26">
        <f t="shared" si="74"/>
        <v>1200</v>
      </c>
      <c r="L4707" s="26">
        <v>1200</v>
      </c>
    </row>
    <row r="4708" spans="1:21" x14ac:dyDescent="0.25">
      <c r="A4708" s="21">
        <v>9309</v>
      </c>
      <c r="B4708" s="22" t="s">
        <v>15333</v>
      </c>
      <c r="H4708" s="25" t="s">
        <v>15373</v>
      </c>
      <c r="I4708" s="22" t="s">
        <v>16160</v>
      </c>
      <c r="J4708" s="22" t="s">
        <v>16311</v>
      </c>
      <c r="K4708" s="26">
        <f t="shared" si="74"/>
        <v>1100</v>
      </c>
      <c r="L4708" s="26">
        <v>1100</v>
      </c>
    </row>
    <row r="4709" spans="1:21" x14ac:dyDescent="0.25">
      <c r="A4709" s="21">
        <v>9310</v>
      </c>
      <c r="B4709" s="22" t="s">
        <v>15333</v>
      </c>
      <c r="H4709" s="25" t="s">
        <v>15373</v>
      </c>
      <c r="I4709" s="22" t="s">
        <v>16160</v>
      </c>
      <c r="J4709" s="22" t="s">
        <v>16311</v>
      </c>
      <c r="K4709" s="26">
        <f t="shared" si="74"/>
        <v>1100</v>
      </c>
      <c r="L4709" s="26">
        <v>1100</v>
      </c>
    </row>
    <row r="4710" spans="1:21" x14ac:dyDescent="0.25">
      <c r="A4710" s="21">
        <v>9311</v>
      </c>
      <c r="B4710" s="22" t="s">
        <v>15333</v>
      </c>
      <c r="H4710" s="25" t="s">
        <v>15373</v>
      </c>
      <c r="I4710" s="22" t="s">
        <v>15411</v>
      </c>
      <c r="J4710" s="22" t="s">
        <v>16311</v>
      </c>
      <c r="K4710" s="26">
        <f t="shared" si="74"/>
        <v>900</v>
      </c>
      <c r="L4710" s="26">
        <v>900</v>
      </c>
    </row>
    <row r="4711" spans="1:21" x14ac:dyDescent="0.25">
      <c r="A4711" s="21">
        <v>9312</v>
      </c>
      <c r="B4711" s="22" t="s">
        <v>15333</v>
      </c>
      <c r="H4711" s="25" t="s">
        <v>15373</v>
      </c>
      <c r="I4711" s="22" t="s">
        <v>15411</v>
      </c>
      <c r="J4711" s="22" t="s">
        <v>16311</v>
      </c>
      <c r="K4711" s="26">
        <f t="shared" si="74"/>
        <v>900</v>
      </c>
      <c r="L4711" s="26">
        <v>900</v>
      </c>
    </row>
    <row r="4712" spans="1:21" x14ac:dyDescent="0.25">
      <c r="A4712" s="21">
        <v>9313</v>
      </c>
      <c r="B4712" s="22" t="s">
        <v>15333</v>
      </c>
      <c r="H4712" s="25" t="s">
        <v>15373</v>
      </c>
      <c r="I4712" s="22" t="s">
        <v>15382</v>
      </c>
      <c r="J4712" s="22" t="s">
        <v>16311</v>
      </c>
      <c r="K4712" s="26">
        <f t="shared" si="74"/>
        <v>750</v>
      </c>
      <c r="L4712" s="26">
        <v>750</v>
      </c>
    </row>
    <row r="4713" spans="1:21" x14ac:dyDescent="0.25">
      <c r="A4713" s="21">
        <v>9314</v>
      </c>
      <c r="B4713" s="22" t="s">
        <v>15333</v>
      </c>
      <c r="H4713" s="25" t="s">
        <v>15373</v>
      </c>
      <c r="I4713" s="22" t="s">
        <v>15374</v>
      </c>
      <c r="J4713" s="22" t="s">
        <v>1724</v>
      </c>
      <c r="K4713" s="26">
        <f t="shared" si="74"/>
        <v>1250</v>
      </c>
      <c r="L4713" s="26">
        <v>1250</v>
      </c>
    </row>
    <row r="4714" spans="1:21" x14ac:dyDescent="0.25">
      <c r="A4714" s="21">
        <v>9315</v>
      </c>
      <c r="B4714" s="22" t="s">
        <v>15333</v>
      </c>
      <c r="H4714" s="25" t="s">
        <v>15373</v>
      </c>
      <c r="I4714" s="22" t="s">
        <v>15374</v>
      </c>
      <c r="J4714" s="22" t="s">
        <v>1724</v>
      </c>
      <c r="K4714" s="26">
        <f t="shared" si="74"/>
        <v>1250</v>
      </c>
      <c r="L4714" s="26">
        <v>1250</v>
      </c>
    </row>
    <row r="4715" spans="1:21" x14ac:dyDescent="0.25">
      <c r="A4715" s="21">
        <v>9316</v>
      </c>
      <c r="B4715" s="22" t="s">
        <v>15333</v>
      </c>
      <c r="E4715" s="24">
        <v>1996</v>
      </c>
      <c r="H4715" s="25" t="s">
        <v>15373</v>
      </c>
      <c r="I4715" s="22" t="s">
        <v>16907</v>
      </c>
      <c r="J4715" s="22" t="s">
        <v>365</v>
      </c>
      <c r="K4715" s="26">
        <f t="shared" si="74"/>
        <v>600</v>
      </c>
      <c r="L4715" s="26">
        <v>600</v>
      </c>
      <c r="T4715" s="22">
        <v>8.17</v>
      </c>
      <c r="U4715" s="22">
        <v>0.38</v>
      </c>
    </row>
    <row r="4716" spans="1:21" x14ac:dyDescent="0.25">
      <c r="A4716" s="21">
        <v>9317</v>
      </c>
      <c r="B4716" s="22" t="s">
        <v>15333</v>
      </c>
      <c r="E4716" s="24">
        <v>1986</v>
      </c>
      <c r="H4716" s="25" t="s">
        <v>15373</v>
      </c>
      <c r="I4716" s="22" t="s">
        <v>15411</v>
      </c>
      <c r="J4716" s="22" t="s">
        <v>391</v>
      </c>
      <c r="K4716" s="26">
        <f t="shared" si="74"/>
        <v>350</v>
      </c>
      <c r="L4716" s="26">
        <v>350</v>
      </c>
    </row>
    <row r="4717" spans="1:21" x14ac:dyDescent="0.25">
      <c r="A4717" s="21">
        <v>9318</v>
      </c>
      <c r="B4717" s="22" t="s">
        <v>15333</v>
      </c>
      <c r="E4717" s="24">
        <v>1985</v>
      </c>
      <c r="H4717" s="25" t="s">
        <v>15373</v>
      </c>
      <c r="I4717" s="22" t="s">
        <v>15374</v>
      </c>
      <c r="J4717" s="22" t="s">
        <v>16311</v>
      </c>
      <c r="K4717" s="26">
        <f t="shared" si="74"/>
        <v>1050</v>
      </c>
      <c r="L4717" s="26">
        <v>1050</v>
      </c>
    </row>
    <row r="4718" spans="1:21" x14ac:dyDescent="0.25">
      <c r="A4718" s="21">
        <v>9319</v>
      </c>
      <c r="B4718" s="22" t="s">
        <v>15333</v>
      </c>
      <c r="E4718" s="24">
        <v>1983</v>
      </c>
      <c r="H4718" s="25" t="s">
        <v>15373</v>
      </c>
      <c r="I4718" s="22" t="s">
        <v>15382</v>
      </c>
      <c r="J4718" s="22" t="s">
        <v>16311</v>
      </c>
      <c r="K4718" s="26">
        <f t="shared" si="74"/>
        <v>350</v>
      </c>
      <c r="L4718" s="26">
        <v>350</v>
      </c>
    </row>
    <row r="4719" spans="1:21" x14ac:dyDescent="0.25">
      <c r="A4719" s="21">
        <v>9320</v>
      </c>
      <c r="B4719" s="22" t="s">
        <v>15333</v>
      </c>
      <c r="E4719" s="24">
        <v>1981</v>
      </c>
      <c r="H4719" s="25" t="s">
        <v>15373</v>
      </c>
      <c r="I4719" s="22" t="s">
        <v>15382</v>
      </c>
      <c r="J4719" s="22" t="s">
        <v>16311</v>
      </c>
      <c r="K4719" s="26">
        <f t="shared" si="74"/>
        <v>300</v>
      </c>
      <c r="L4719" s="26">
        <v>300</v>
      </c>
    </row>
    <row r="4720" spans="1:21" x14ac:dyDescent="0.25">
      <c r="A4720" s="21">
        <v>9321</v>
      </c>
      <c r="B4720" s="22" t="s">
        <v>15333</v>
      </c>
      <c r="H4720" s="25" t="s">
        <v>15373</v>
      </c>
      <c r="I4720" s="22" t="s">
        <v>15382</v>
      </c>
      <c r="J4720" s="22" t="s">
        <v>392</v>
      </c>
      <c r="K4720" s="26">
        <f t="shared" si="74"/>
        <v>500</v>
      </c>
      <c r="L4720" s="26">
        <v>500</v>
      </c>
    </row>
    <row r="4721" spans="1:12" x14ac:dyDescent="0.25">
      <c r="A4721" s="21">
        <v>9322</v>
      </c>
      <c r="B4721" s="22" t="s">
        <v>15333</v>
      </c>
      <c r="E4721" s="24">
        <v>1985</v>
      </c>
      <c r="H4721" s="25" t="s">
        <v>15373</v>
      </c>
      <c r="I4721" s="22" t="s">
        <v>16160</v>
      </c>
      <c r="J4721" s="22" t="s">
        <v>16311</v>
      </c>
      <c r="K4721" s="26">
        <f t="shared" si="74"/>
        <v>1100</v>
      </c>
      <c r="L4721" s="26">
        <v>1100</v>
      </c>
    </row>
    <row r="4722" spans="1:12" x14ac:dyDescent="0.25">
      <c r="A4722" s="21">
        <v>9323</v>
      </c>
      <c r="B4722" s="22" t="s">
        <v>15333</v>
      </c>
      <c r="E4722" s="24">
        <v>1993</v>
      </c>
      <c r="H4722" s="25" t="s">
        <v>15373</v>
      </c>
      <c r="I4722" s="22" t="s">
        <v>15382</v>
      </c>
      <c r="J4722" s="22" t="s">
        <v>16811</v>
      </c>
      <c r="K4722" s="26">
        <f t="shared" si="74"/>
        <v>350</v>
      </c>
      <c r="L4722" s="26">
        <v>350</v>
      </c>
    </row>
    <row r="4723" spans="1:12" x14ac:dyDescent="0.25">
      <c r="A4723" s="21">
        <v>9324</v>
      </c>
      <c r="B4723" s="22" t="s">
        <v>15333</v>
      </c>
      <c r="H4723" s="25" t="s">
        <v>15373</v>
      </c>
      <c r="I4723" s="22" t="s">
        <v>16311</v>
      </c>
      <c r="J4723" s="22" t="s">
        <v>16311</v>
      </c>
      <c r="K4723" s="26">
        <f t="shared" si="74"/>
        <v>500</v>
      </c>
      <c r="L4723" s="26">
        <v>500</v>
      </c>
    </row>
    <row r="4724" spans="1:12" x14ac:dyDescent="0.25">
      <c r="A4724" s="21">
        <v>9325</v>
      </c>
      <c r="B4724" s="22" t="s">
        <v>15333</v>
      </c>
      <c r="E4724" s="24">
        <v>1981</v>
      </c>
      <c r="H4724" s="25" t="s">
        <v>15373</v>
      </c>
      <c r="I4724" s="22" t="s">
        <v>393</v>
      </c>
      <c r="J4724" s="22" t="s">
        <v>394</v>
      </c>
      <c r="K4724" s="26">
        <f t="shared" si="74"/>
        <v>600</v>
      </c>
      <c r="L4724" s="26">
        <v>600</v>
      </c>
    </row>
    <row r="4725" spans="1:12" x14ac:dyDescent="0.25">
      <c r="A4725" s="21">
        <v>9326</v>
      </c>
      <c r="B4725" s="22" t="s">
        <v>15333</v>
      </c>
      <c r="H4725" s="25" t="s">
        <v>15373</v>
      </c>
      <c r="I4725" s="22" t="s">
        <v>16421</v>
      </c>
      <c r="J4725" s="22" t="s">
        <v>395</v>
      </c>
      <c r="K4725" s="26">
        <f t="shared" si="74"/>
        <v>350</v>
      </c>
      <c r="L4725" s="26">
        <v>350</v>
      </c>
    </row>
    <row r="4726" spans="1:12" x14ac:dyDescent="0.25">
      <c r="A4726" s="21">
        <v>9327</v>
      </c>
      <c r="B4726" s="22" t="s">
        <v>15333</v>
      </c>
      <c r="H4726" s="25" t="s">
        <v>15373</v>
      </c>
      <c r="I4726" s="22" t="s">
        <v>16421</v>
      </c>
      <c r="J4726" s="22" t="s">
        <v>394</v>
      </c>
      <c r="K4726" s="26">
        <f t="shared" si="74"/>
        <v>350</v>
      </c>
      <c r="L4726" s="26">
        <v>350</v>
      </c>
    </row>
    <row r="4727" spans="1:12" x14ac:dyDescent="0.25">
      <c r="A4727" s="21">
        <v>9328</v>
      </c>
      <c r="B4727" s="22" t="s">
        <v>15333</v>
      </c>
      <c r="H4727" s="25" t="s">
        <v>15373</v>
      </c>
      <c r="I4727" s="22" t="s">
        <v>16421</v>
      </c>
      <c r="J4727" s="22" t="s">
        <v>395</v>
      </c>
      <c r="K4727" s="26">
        <f t="shared" si="74"/>
        <v>350</v>
      </c>
      <c r="L4727" s="26">
        <v>350</v>
      </c>
    </row>
    <row r="4728" spans="1:12" x14ac:dyDescent="0.25">
      <c r="A4728" s="21">
        <v>9329</v>
      </c>
      <c r="B4728" s="22" t="s">
        <v>15333</v>
      </c>
      <c r="E4728" s="24">
        <v>1989</v>
      </c>
      <c r="H4728" s="25" t="s">
        <v>15373</v>
      </c>
      <c r="I4728" s="22" t="s">
        <v>15411</v>
      </c>
      <c r="J4728" s="22" t="s">
        <v>16311</v>
      </c>
      <c r="K4728" s="26">
        <f t="shared" si="74"/>
        <v>600</v>
      </c>
      <c r="L4728" s="26">
        <v>600</v>
      </c>
    </row>
    <row r="4729" spans="1:12" x14ac:dyDescent="0.25">
      <c r="A4729" s="21">
        <v>9330</v>
      </c>
      <c r="B4729" s="22" t="s">
        <v>15333</v>
      </c>
      <c r="H4729" s="25" t="s">
        <v>15373</v>
      </c>
      <c r="I4729" s="22" t="s">
        <v>15374</v>
      </c>
      <c r="J4729" s="22" t="s">
        <v>396</v>
      </c>
      <c r="K4729" s="26">
        <f t="shared" si="74"/>
        <v>300</v>
      </c>
      <c r="L4729" s="26">
        <v>300</v>
      </c>
    </row>
    <row r="4730" spans="1:12" x14ac:dyDescent="0.25">
      <c r="A4730" s="21">
        <v>9331</v>
      </c>
      <c r="B4730" s="22" t="s">
        <v>15333</v>
      </c>
      <c r="H4730" s="25" t="s">
        <v>15373</v>
      </c>
      <c r="I4730" s="22" t="s">
        <v>15374</v>
      </c>
      <c r="J4730" s="22" t="s">
        <v>4979</v>
      </c>
      <c r="K4730" s="26">
        <f t="shared" si="74"/>
        <v>1250</v>
      </c>
      <c r="L4730" s="26">
        <v>1250</v>
      </c>
    </row>
    <row r="4731" spans="1:12" x14ac:dyDescent="0.25">
      <c r="A4731" s="21">
        <v>9332</v>
      </c>
      <c r="B4731" s="22" t="s">
        <v>15333</v>
      </c>
      <c r="H4731" s="25" t="s">
        <v>15373</v>
      </c>
      <c r="I4731" s="22" t="s">
        <v>15374</v>
      </c>
      <c r="J4731" s="22" t="s">
        <v>4979</v>
      </c>
      <c r="K4731" s="26">
        <f t="shared" si="74"/>
        <v>1250</v>
      </c>
      <c r="L4731" s="26">
        <v>1250</v>
      </c>
    </row>
    <row r="4732" spans="1:12" x14ac:dyDescent="0.25">
      <c r="A4732" s="21">
        <v>9333</v>
      </c>
      <c r="B4732" s="22" t="s">
        <v>15333</v>
      </c>
      <c r="H4732" s="25" t="s">
        <v>15373</v>
      </c>
      <c r="I4732" s="22" t="s">
        <v>15411</v>
      </c>
      <c r="J4732" s="22" t="s">
        <v>16331</v>
      </c>
      <c r="K4732" s="26">
        <f t="shared" si="74"/>
        <v>750</v>
      </c>
      <c r="L4732" s="26">
        <v>750</v>
      </c>
    </row>
    <row r="4733" spans="1:12" x14ac:dyDescent="0.25">
      <c r="A4733" s="21">
        <v>9334</v>
      </c>
      <c r="B4733" s="22" t="s">
        <v>15333</v>
      </c>
      <c r="E4733" s="24">
        <v>1995</v>
      </c>
      <c r="H4733" s="25" t="s">
        <v>15373</v>
      </c>
      <c r="I4733" s="22" t="s">
        <v>15374</v>
      </c>
      <c r="J4733" s="22" t="s">
        <v>16121</v>
      </c>
      <c r="K4733" s="26">
        <f t="shared" si="74"/>
        <v>600.2885</v>
      </c>
      <c r="L4733" s="26">
        <v>600.2885</v>
      </c>
    </row>
    <row r="4734" spans="1:12" x14ac:dyDescent="0.25">
      <c r="A4734" s="21">
        <v>9335</v>
      </c>
      <c r="B4734" s="22" t="s">
        <v>15333</v>
      </c>
      <c r="E4734" s="24">
        <v>1995</v>
      </c>
      <c r="H4734" s="25" t="s">
        <v>15373</v>
      </c>
      <c r="I4734" s="22" t="s">
        <v>16160</v>
      </c>
      <c r="J4734" s="22" t="s">
        <v>16311</v>
      </c>
      <c r="K4734" s="26">
        <f t="shared" si="74"/>
        <v>596.55999999999995</v>
      </c>
      <c r="L4734" s="26">
        <v>596.55999999999995</v>
      </c>
    </row>
    <row r="4735" spans="1:12" x14ac:dyDescent="0.25">
      <c r="A4735" s="21">
        <v>9336</v>
      </c>
      <c r="B4735" s="22" t="s">
        <v>15333</v>
      </c>
      <c r="H4735" s="25" t="s">
        <v>15373</v>
      </c>
      <c r="I4735" s="22" t="s">
        <v>397</v>
      </c>
      <c r="J4735" s="22" t="s">
        <v>398</v>
      </c>
      <c r="K4735" s="26">
        <f t="shared" si="74"/>
        <v>1000</v>
      </c>
      <c r="L4735" s="26">
        <v>1000</v>
      </c>
    </row>
    <row r="4736" spans="1:12" x14ac:dyDescent="0.25">
      <c r="A4736" s="21">
        <v>9337</v>
      </c>
      <c r="B4736" s="22" t="s">
        <v>15333</v>
      </c>
      <c r="H4736" s="25" t="s">
        <v>15373</v>
      </c>
      <c r="I4736" s="22" t="s">
        <v>16421</v>
      </c>
      <c r="J4736" s="22" t="s">
        <v>4471</v>
      </c>
      <c r="K4736" s="26">
        <f t="shared" si="74"/>
        <v>750</v>
      </c>
      <c r="L4736" s="26">
        <v>750</v>
      </c>
    </row>
    <row r="4737" spans="1:12" x14ac:dyDescent="0.25">
      <c r="A4737" s="21">
        <v>9338</v>
      </c>
      <c r="B4737" s="22" t="s">
        <v>15333</v>
      </c>
      <c r="H4737" s="25" t="s">
        <v>15373</v>
      </c>
      <c r="I4737" s="22" t="s">
        <v>104</v>
      </c>
      <c r="J4737" s="22" t="s">
        <v>399</v>
      </c>
      <c r="K4737" s="26">
        <f t="shared" si="74"/>
        <v>550</v>
      </c>
      <c r="L4737" s="26">
        <v>550</v>
      </c>
    </row>
    <row r="4738" spans="1:12" x14ac:dyDescent="0.25">
      <c r="A4738" s="21">
        <v>9339</v>
      </c>
      <c r="B4738" s="22" t="s">
        <v>15333</v>
      </c>
      <c r="H4738" s="25" t="s">
        <v>15373</v>
      </c>
      <c r="I4738" s="22" t="s">
        <v>104</v>
      </c>
      <c r="J4738" s="22" t="s">
        <v>399</v>
      </c>
      <c r="K4738" s="26">
        <f t="shared" si="74"/>
        <v>550</v>
      </c>
      <c r="L4738" s="26">
        <v>550</v>
      </c>
    </row>
    <row r="4739" spans="1:12" x14ac:dyDescent="0.25">
      <c r="A4739" s="21">
        <v>9340</v>
      </c>
      <c r="B4739" s="22" t="s">
        <v>15333</v>
      </c>
      <c r="H4739" s="25" t="s">
        <v>15373</v>
      </c>
      <c r="I4739" s="22" t="s">
        <v>16421</v>
      </c>
      <c r="J4739" s="22" t="s">
        <v>400</v>
      </c>
      <c r="K4739" s="26">
        <f t="shared" si="74"/>
        <v>300</v>
      </c>
      <c r="L4739" s="26">
        <v>300</v>
      </c>
    </row>
    <row r="4740" spans="1:12" ht="25" x14ac:dyDescent="0.25">
      <c r="A4740" s="21">
        <v>9341</v>
      </c>
      <c r="B4740" s="22" t="s">
        <v>15333</v>
      </c>
      <c r="E4740" s="24">
        <v>1969</v>
      </c>
      <c r="H4740" s="25" t="s">
        <v>16310</v>
      </c>
      <c r="I4740" s="22" t="s">
        <v>16421</v>
      </c>
      <c r="J4740" s="22" t="s">
        <v>401</v>
      </c>
      <c r="K4740" s="26">
        <f t="shared" si="74"/>
        <v>460</v>
      </c>
      <c r="L4740" s="26">
        <v>460</v>
      </c>
    </row>
    <row r="4741" spans="1:12" x14ac:dyDescent="0.25">
      <c r="A4741" s="21">
        <v>9342</v>
      </c>
      <c r="B4741" s="22" t="s">
        <v>15333</v>
      </c>
      <c r="H4741" s="25" t="s">
        <v>15373</v>
      </c>
      <c r="I4741" s="22" t="s">
        <v>393</v>
      </c>
      <c r="J4741" s="22" t="s">
        <v>16311</v>
      </c>
      <c r="K4741" s="26">
        <f t="shared" si="74"/>
        <v>350</v>
      </c>
      <c r="L4741" s="26">
        <v>350</v>
      </c>
    </row>
    <row r="4742" spans="1:12" x14ac:dyDescent="0.25">
      <c r="A4742" s="21">
        <v>9343</v>
      </c>
      <c r="B4742" s="22" t="s">
        <v>15333</v>
      </c>
      <c r="H4742" s="25" t="s">
        <v>15373</v>
      </c>
      <c r="I4742" s="22" t="s">
        <v>393</v>
      </c>
      <c r="J4742" s="22" t="s">
        <v>16311</v>
      </c>
      <c r="K4742" s="26">
        <f t="shared" si="74"/>
        <v>350</v>
      </c>
      <c r="L4742" s="26">
        <v>350</v>
      </c>
    </row>
    <row r="4743" spans="1:12" x14ac:dyDescent="0.25">
      <c r="A4743" s="21">
        <v>9344</v>
      </c>
      <c r="B4743" s="22" t="s">
        <v>15333</v>
      </c>
      <c r="H4743" s="25" t="s">
        <v>15373</v>
      </c>
      <c r="I4743" s="22" t="s">
        <v>393</v>
      </c>
      <c r="J4743" s="22" t="s">
        <v>16311</v>
      </c>
      <c r="K4743" s="26">
        <f t="shared" si="74"/>
        <v>300</v>
      </c>
      <c r="L4743" s="26">
        <v>300</v>
      </c>
    </row>
    <row r="4744" spans="1:12" x14ac:dyDescent="0.25">
      <c r="A4744" s="21">
        <v>9345</v>
      </c>
      <c r="B4744" s="22" t="s">
        <v>15333</v>
      </c>
      <c r="E4744" s="24">
        <v>1985</v>
      </c>
      <c r="H4744" s="25" t="s">
        <v>15373</v>
      </c>
      <c r="I4744" s="22" t="s">
        <v>15374</v>
      </c>
      <c r="J4744" s="22" t="s">
        <v>402</v>
      </c>
      <c r="K4744" s="26">
        <f t="shared" si="74"/>
        <v>1200</v>
      </c>
      <c r="L4744" s="26">
        <v>1200</v>
      </c>
    </row>
    <row r="4745" spans="1:12" x14ac:dyDescent="0.25">
      <c r="A4745" s="21">
        <v>9346</v>
      </c>
      <c r="B4745" s="22" t="s">
        <v>15333</v>
      </c>
      <c r="E4745" s="24">
        <v>1985</v>
      </c>
      <c r="H4745" s="25" t="s">
        <v>15373</v>
      </c>
      <c r="I4745" s="22" t="s">
        <v>16421</v>
      </c>
      <c r="J4745" s="22" t="s">
        <v>403</v>
      </c>
      <c r="K4745" s="26">
        <f t="shared" si="74"/>
        <v>500</v>
      </c>
      <c r="L4745" s="26">
        <v>500</v>
      </c>
    </row>
    <row r="4746" spans="1:12" x14ac:dyDescent="0.25">
      <c r="A4746" s="21">
        <v>9347</v>
      </c>
      <c r="B4746" s="22" t="s">
        <v>15333</v>
      </c>
      <c r="E4746" s="24">
        <v>1985</v>
      </c>
      <c r="H4746" s="25" t="s">
        <v>15373</v>
      </c>
      <c r="I4746" s="22" t="s">
        <v>16421</v>
      </c>
      <c r="J4746" s="22" t="s">
        <v>403</v>
      </c>
      <c r="K4746" s="26">
        <f t="shared" si="74"/>
        <v>500</v>
      </c>
      <c r="L4746" s="26">
        <v>500</v>
      </c>
    </row>
    <row r="4747" spans="1:12" x14ac:dyDescent="0.25">
      <c r="A4747" s="21">
        <v>9348</v>
      </c>
      <c r="B4747" s="22" t="s">
        <v>15333</v>
      </c>
      <c r="E4747" s="24">
        <v>1985</v>
      </c>
      <c r="H4747" s="25" t="s">
        <v>15373</v>
      </c>
      <c r="I4747" s="22" t="s">
        <v>16421</v>
      </c>
      <c r="J4747" s="22" t="s">
        <v>403</v>
      </c>
      <c r="K4747" s="26">
        <f t="shared" si="74"/>
        <v>350</v>
      </c>
      <c r="L4747" s="26">
        <v>350</v>
      </c>
    </row>
    <row r="4748" spans="1:12" x14ac:dyDescent="0.25">
      <c r="A4748" s="21">
        <v>9349</v>
      </c>
      <c r="B4748" s="22" t="s">
        <v>15333</v>
      </c>
      <c r="E4748" s="24">
        <v>1950</v>
      </c>
      <c r="H4748" s="25" t="s">
        <v>15373</v>
      </c>
      <c r="I4748" s="22" t="s">
        <v>16907</v>
      </c>
      <c r="J4748" s="22" t="s">
        <v>16311</v>
      </c>
      <c r="K4748" s="26">
        <f t="shared" si="74"/>
        <v>750</v>
      </c>
      <c r="L4748" s="26">
        <v>750</v>
      </c>
    </row>
    <row r="4749" spans="1:12" x14ac:dyDescent="0.25">
      <c r="A4749" s="21">
        <v>9350</v>
      </c>
      <c r="B4749" s="22" t="s">
        <v>15333</v>
      </c>
      <c r="E4749" s="24">
        <v>1995</v>
      </c>
      <c r="H4749" s="25" t="s">
        <v>15373</v>
      </c>
      <c r="I4749" s="22" t="s">
        <v>15374</v>
      </c>
      <c r="J4749" s="22" t="s">
        <v>16311</v>
      </c>
      <c r="K4749" s="26">
        <f t="shared" si="74"/>
        <v>750</v>
      </c>
      <c r="L4749" s="26">
        <v>750</v>
      </c>
    </row>
    <row r="4750" spans="1:12" x14ac:dyDescent="0.25">
      <c r="A4750" s="21">
        <v>9351</v>
      </c>
      <c r="B4750" s="22" t="s">
        <v>15333</v>
      </c>
      <c r="E4750" s="24">
        <v>1995</v>
      </c>
      <c r="H4750" s="25" t="s">
        <v>15373</v>
      </c>
      <c r="I4750" s="22" t="s">
        <v>15374</v>
      </c>
      <c r="J4750" s="22" t="s">
        <v>16311</v>
      </c>
      <c r="K4750" s="26">
        <f t="shared" si="74"/>
        <v>750</v>
      </c>
      <c r="L4750" s="26">
        <v>750</v>
      </c>
    </row>
    <row r="4751" spans="1:12" x14ac:dyDescent="0.25">
      <c r="A4751" s="21">
        <v>9352</v>
      </c>
      <c r="B4751" s="22" t="s">
        <v>15333</v>
      </c>
      <c r="H4751" s="25" t="s">
        <v>15373</v>
      </c>
      <c r="I4751" s="22" t="s">
        <v>15411</v>
      </c>
      <c r="J4751" s="22" t="s">
        <v>16311</v>
      </c>
      <c r="K4751" s="26">
        <f t="shared" si="74"/>
        <v>500</v>
      </c>
      <c r="L4751" s="26">
        <v>500</v>
      </c>
    </row>
    <row r="4752" spans="1:12" x14ac:dyDescent="0.25">
      <c r="A4752" s="21">
        <v>9353</v>
      </c>
      <c r="B4752" s="22" t="s">
        <v>15333</v>
      </c>
      <c r="H4752" s="25" t="s">
        <v>15373</v>
      </c>
      <c r="I4752" s="22" t="s">
        <v>15411</v>
      </c>
      <c r="J4752" s="22" t="s">
        <v>16311</v>
      </c>
      <c r="K4752" s="26">
        <f t="shared" si="74"/>
        <v>500</v>
      </c>
      <c r="L4752" s="26">
        <v>500</v>
      </c>
    </row>
    <row r="4753" spans="1:12" x14ac:dyDescent="0.25">
      <c r="A4753" s="21">
        <v>9354</v>
      </c>
      <c r="B4753" s="22" t="s">
        <v>15333</v>
      </c>
      <c r="H4753" s="25" t="s">
        <v>15373</v>
      </c>
      <c r="I4753" s="22" t="s">
        <v>15411</v>
      </c>
      <c r="J4753" s="22" t="s">
        <v>16311</v>
      </c>
      <c r="K4753" s="26">
        <f t="shared" si="74"/>
        <v>500</v>
      </c>
      <c r="L4753" s="26">
        <v>500</v>
      </c>
    </row>
    <row r="4754" spans="1:12" x14ac:dyDescent="0.25">
      <c r="A4754" s="21">
        <v>9355</v>
      </c>
      <c r="B4754" s="22" t="s">
        <v>15333</v>
      </c>
      <c r="H4754" s="25" t="s">
        <v>15373</v>
      </c>
      <c r="I4754" s="22" t="s">
        <v>16907</v>
      </c>
      <c r="J4754" s="22" t="s">
        <v>16311</v>
      </c>
      <c r="K4754" s="26">
        <f t="shared" si="74"/>
        <v>2075</v>
      </c>
      <c r="L4754" s="26">
        <v>2075</v>
      </c>
    </row>
    <row r="4755" spans="1:12" x14ac:dyDescent="0.25">
      <c r="A4755" s="21">
        <v>9356</v>
      </c>
      <c r="B4755" s="22" t="s">
        <v>15333</v>
      </c>
      <c r="H4755" s="25" t="s">
        <v>15373</v>
      </c>
      <c r="I4755" s="22" t="s">
        <v>404</v>
      </c>
      <c r="J4755" s="22" t="s">
        <v>16311</v>
      </c>
      <c r="K4755" s="26">
        <f t="shared" si="74"/>
        <v>1500</v>
      </c>
      <c r="L4755" s="26">
        <v>1500</v>
      </c>
    </row>
    <row r="4756" spans="1:12" x14ac:dyDescent="0.25">
      <c r="A4756" s="21">
        <v>9357</v>
      </c>
      <c r="B4756" s="22" t="s">
        <v>15333</v>
      </c>
      <c r="H4756" s="25" t="s">
        <v>15373</v>
      </c>
      <c r="I4756" s="22" t="s">
        <v>15374</v>
      </c>
      <c r="J4756" s="22" t="s">
        <v>16311</v>
      </c>
      <c r="K4756" s="26">
        <f t="shared" si="74"/>
        <v>1000</v>
      </c>
      <c r="L4756" s="26">
        <v>1000</v>
      </c>
    </row>
    <row r="4757" spans="1:12" x14ac:dyDescent="0.25">
      <c r="A4757" s="21">
        <v>9358</v>
      </c>
      <c r="B4757" s="22" t="s">
        <v>15333</v>
      </c>
      <c r="H4757" s="25" t="s">
        <v>15373</v>
      </c>
      <c r="I4757" s="22" t="s">
        <v>404</v>
      </c>
      <c r="J4757" s="22" t="s">
        <v>16311</v>
      </c>
      <c r="K4757" s="26">
        <f t="shared" si="74"/>
        <v>1000</v>
      </c>
      <c r="L4757" s="26">
        <v>1000</v>
      </c>
    </row>
    <row r="4758" spans="1:12" x14ac:dyDescent="0.25">
      <c r="A4758" s="21">
        <v>9359</v>
      </c>
      <c r="B4758" s="22" t="s">
        <v>15333</v>
      </c>
      <c r="H4758" s="25" t="s">
        <v>16411</v>
      </c>
      <c r="I4758" s="22" t="s">
        <v>16421</v>
      </c>
      <c r="J4758" s="22" t="s">
        <v>16311</v>
      </c>
      <c r="K4758" s="26">
        <f t="shared" si="74"/>
        <v>500</v>
      </c>
      <c r="L4758" s="26">
        <v>500</v>
      </c>
    </row>
    <row r="4759" spans="1:12" x14ac:dyDescent="0.25">
      <c r="A4759" s="21">
        <v>9360</v>
      </c>
      <c r="B4759" s="22" t="s">
        <v>15333</v>
      </c>
      <c r="H4759" s="25" t="s">
        <v>15373</v>
      </c>
      <c r="I4759" s="22" t="s">
        <v>16907</v>
      </c>
      <c r="J4759" s="22" t="s">
        <v>16311</v>
      </c>
      <c r="K4759" s="26">
        <f t="shared" si="74"/>
        <v>500</v>
      </c>
      <c r="L4759" s="26">
        <v>500</v>
      </c>
    </row>
    <row r="4760" spans="1:12" x14ac:dyDescent="0.25">
      <c r="A4760" s="21">
        <v>9361</v>
      </c>
      <c r="B4760" s="22" t="s">
        <v>15333</v>
      </c>
      <c r="H4760" s="25" t="s">
        <v>16411</v>
      </c>
      <c r="I4760" s="22" t="s">
        <v>16421</v>
      </c>
      <c r="J4760" s="22" t="s">
        <v>16311</v>
      </c>
      <c r="K4760" s="26">
        <f t="shared" si="74"/>
        <v>500</v>
      </c>
      <c r="L4760" s="26">
        <v>500</v>
      </c>
    </row>
    <row r="4761" spans="1:12" x14ac:dyDescent="0.25">
      <c r="A4761" s="21">
        <v>9362</v>
      </c>
      <c r="B4761" s="22" t="s">
        <v>15333</v>
      </c>
      <c r="H4761" s="25" t="s">
        <v>15373</v>
      </c>
      <c r="I4761" s="22" t="s">
        <v>16907</v>
      </c>
      <c r="J4761" s="22" t="s">
        <v>16311</v>
      </c>
      <c r="K4761" s="26">
        <f t="shared" si="74"/>
        <v>500</v>
      </c>
      <c r="L4761" s="26">
        <v>500</v>
      </c>
    </row>
    <row r="4762" spans="1:12" x14ac:dyDescent="0.25">
      <c r="A4762" s="21">
        <v>9363</v>
      </c>
      <c r="B4762" s="22" t="s">
        <v>15333</v>
      </c>
      <c r="H4762" s="25" t="s">
        <v>15373</v>
      </c>
      <c r="I4762" s="22" t="s">
        <v>16907</v>
      </c>
      <c r="J4762" s="22" t="s">
        <v>16311</v>
      </c>
      <c r="K4762" s="26">
        <f t="shared" si="74"/>
        <v>500</v>
      </c>
      <c r="L4762" s="26">
        <v>500</v>
      </c>
    </row>
    <row r="4763" spans="1:12" x14ac:dyDescent="0.25">
      <c r="A4763" s="21">
        <v>9364</v>
      </c>
      <c r="B4763" s="22" t="s">
        <v>15333</v>
      </c>
      <c r="H4763" s="25" t="s">
        <v>15373</v>
      </c>
      <c r="I4763" s="22" t="s">
        <v>16907</v>
      </c>
      <c r="J4763" s="22" t="s">
        <v>16311</v>
      </c>
      <c r="K4763" s="26">
        <f t="shared" si="74"/>
        <v>500</v>
      </c>
      <c r="L4763" s="26">
        <v>500</v>
      </c>
    </row>
    <row r="4764" spans="1:12" x14ac:dyDescent="0.25">
      <c r="A4764" s="21">
        <v>9365</v>
      </c>
      <c r="B4764" s="22" t="s">
        <v>15333</v>
      </c>
      <c r="H4764" s="25" t="s">
        <v>15373</v>
      </c>
      <c r="I4764" s="22" t="s">
        <v>16421</v>
      </c>
      <c r="J4764" s="22" t="s">
        <v>16311</v>
      </c>
      <c r="K4764" s="26">
        <f t="shared" si="74"/>
        <v>500</v>
      </c>
      <c r="L4764" s="26">
        <v>500</v>
      </c>
    </row>
    <row r="4765" spans="1:12" x14ac:dyDescent="0.25">
      <c r="A4765" s="21">
        <v>9366</v>
      </c>
      <c r="B4765" s="22" t="s">
        <v>15333</v>
      </c>
      <c r="H4765" s="25" t="s">
        <v>15373</v>
      </c>
      <c r="I4765" s="22" t="s">
        <v>16421</v>
      </c>
      <c r="J4765" s="22" t="s">
        <v>16311</v>
      </c>
      <c r="K4765" s="26">
        <f t="shared" ref="K4765:K4803" si="75">L4765+M4765*(2/3)+N4765*(2/3)</f>
        <v>400</v>
      </c>
      <c r="L4765" s="26">
        <v>400</v>
      </c>
    </row>
    <row r="4766" spans="1:12" x14ac:dyDescent="0.25">
      <c r="A4766" s="21">
        <v>9367</v>
      </c>
      <c r="B4766" s="22" t="s">
        <v>15333</v>
      </c>
      <c r="H4766" s="25" t="s">
        <v>15373</v>
      </c>
      <c r="I4766" s="22" t="s">
        <v>15382</v>
      </c>
      <c r="J4766" s="22" t="s">
        <v>16311</v>
      </c>
      <c r="K4766" s="26">
        <f t="shared" si="75"/>
        <v>750</v>
      </c>
      <c r="L4766" s="26">
        <v>750</v>
      </c>
    </row>
    <row r="4767" spans="1:12" x14ac:dyDescent="0.25">
      <c r="A4767" s="21">
        <v>9368</v>
      </c>
      <c r="B4767" s="22" t="s">
        <v>15333</v>
      </c>
      <c r="H4767" s="25" t="s">
        <v>15373</v>
      </c>
      <c r="I4767" s="22" t="s">
        <v>15382</v>
      </c>
      <c r="J4767" s="22" t="s">
        <v>16311</v>
      </c>
      <c r="K4767" s="26">
        <f t="shared" si="75"/>
        <v>750</v>
      </c>
      <c r="L4767" s="26">
        <v>750</v>
      </c>
    </row>
    <row r="4768" spans="1:12" x14ac:dyDescent="0.25">
      <c r="A4768" s="21">
        <v>9369</v>
      </c>
      <c r="B4768" s="22" t="s">
        <v>15333</v>
      </c>
      <c r="H4768" s="25" t="s">
        <v>15373</v>
      </c>
      <c r="I4768" s="22" t="s">
        <v>15411</v>
      </c>
      <c r="J4768" s="22" t="s">
        <v>16311</v>
      </c>
      <c r="K4768" s="26">
        <f t="shared" si="75"/>
        <v>600</v>
      </c>
      <c r="L4768" s="26">
        <v>600</v>
      </c>
    </row>
    <row r="4769" spans="1:12" x14ac:dyDescent="0.25">
      <c r="A4769" s="21">
        <v>9370</v>
      </c>
      <c r="B4769" s="22" t="s">
        <v>15333</v>
      </c>
      <c r="H4769" s="25" t="s">
        <v>15373</v>
      </c>
      <c r="I4769" s="22" t="s">
        <v>1679</v>
      </c>
      <c r="J4769" s="22" t="s">
        <v>405</v>
      </c>
      <c r="K4769" s="26">
        <f t="shared" si="75"/>
        <v>365</v>
      </c>
      <c r="L4769" s="26">
        <v>365</v>
      </c>
    </row>
    <row r="4770" spans="1:12" x14ac:dyDescent="0.25">
      <c r="A4770" s="21">
        <v>9371</v>
      </c>
      <c r="B4770" s="22" t="s">
        <v>15333</v>
      </c>
      <c r="H4770" s="25" t="s">
        <v>15373</v>
      </c>
      <c r="I4770" s="22" t="s">
        <v>15374</v>
      </c>
      <c r="J4770" s="22" t="s">
        <v>16311</v>
      </c>
      <c r="K4770" s="26">
        <f t="shared" si="75"/>
        <v>550</v>
      </c>
      <c r="L4770" s="26">
        <v>550</v>
      </c>
    </row>
    <row r="4771" spans="1:12" x14ac:dyDescent="0.25">
      <c r="A4771" s="21">
        <v>9372</v>
      </c>
      <c r="B4771" s="22" t="s">
        <v>15333</v>
      </c>
      <c r="H4771" s="25" t="s">
        <v>15373</v>
      </c>
      <c r="I4771" s="22" t="s">
        <v>15374</v>
      </c>
      <c r="J4771" s="22" t="s">
        <v>16311</v>
      </c>
      <c r="K4771" s="26">
        <f t="shared" si="75"/>
        <v>550</v>
      </c>
      <c r="L4771" s="26">
        <v>550</v>
      </c>
    </row>
    <row r="4772" spans="1:12" x14ac:dyDescent="0.25">
      <c r="A4772" s="21">
        <v>9373</v>
      </c>
      <c r="B4772" s="22" t="s">
        <v>15333</v>
      </c>
      <c r="E4772" s="24">
        <v>1980</v>
      </c>
      <c r="H4772" s="25" t="s">
        <v>15373</v>
      </c>
      <c r="I4772" s="22" t="s">
        <v>15382</v>
      </c>
      <c r="J4772" s="22" t="s">
        <v>14388</v>
      </c>
      <c r="K4772" s="26">
        <f t="shared" si="75"/>
        <v>500</v>
      </c>
      <c r="L4772" s="26">
        <v>500</v>
      </c>
    </row>
    <row r="4773" spans="1:12" x14ac:dyDescent="0.25">
      <c r="A4773" s="21">
        <v>9374</v>
      </c>
      <c r="B4773" s="22" t="s">
        <v>15333</v>
      </c>
      <c r="E4773" s="24">
        <v>1982</v>
      </c>
      <c r="H4773" s="25" t="s">
        <v>15373</v>
      </c>
      <c r="I4773" s="22" t="s">
        <v>16907</v>
      </c>
      <c r="J4773" s="22" t="s">
        <v>406</v>
      </c>
      <c r="K4773" s="26">
        <f t="shared" si="75"/>
        <v>500</v>
      </c>
      <c r="L4773" s="26">
        <v>500</v>
      </c>
    </row>
    <row r="4774" spans="1:12" x14ac:dyDescent="0.25">
      <c r="A4774" s="21">
        <v>9375</v>
      </c>
      <c r="B4774" s="22" t="s">
        <v>15333</v>
      </c>
      <c r="H4774" s="25" t="s">
        <v>15373</v>
      </c>
      <c r="I4774" s="22" t="s">
        <v>15382</v>
      </c>
      <c r="J4774" s="22" t="s">
        <v>407</v>
      </c>
      <c r="K4774" s="26">
        <f t="shared" si="75"/>
        <v>600</v>
      </c>
      <c r="L4774" s="26">
        <v>600</v>
      </c>
    </row>
    <row r="4775" spans="1:12" x14ac:dyDescent="0.25">
      <c r="A4775" s="21">
        <v>9376</v>
      </c>
      <c r="B4775" s="22" t="s">
        <v>15333</v>
      </c>
      <c r="E4775" s="24">
        <v>1967</v>
      </c>
      <c r="H4775" s="25" t="s">
        <v>15373</v>
      </c>
      <c r="I4775" s="22" t="s">
        <v>15374</v>
      </c>
      <c r="J4775" s="22" t="s">
        <v>408</v>
      </c>
      <c r="K4775" s="26">
        <f t="shared" si="75"/>
        <v>300</v>
      </c>
      <c r="L4775" s="26">
        <v>300</v>
      </c>
    </row>
    <row r="4776" spans="1:12" x14ac:dyDescent="0.25">
      <c r="A4776" s="21">
        <v>9377</v>
      </c>
      <c r="B4776" s="22" t="s">
        <v>15333</v>
      </c>
      <c r="E4776" s="24">
        <v>1975</v>
      </c>
      <c r="H4776" s="25" t="s">
        <v>15373</v>
      </c>
      <c r="I4776" s="22" t="s">
        <v>15374</v>
      </c>
      <c r="J4776" s="22" t="s">
        <v>409</v>
      </c>
      <c r="K4776" s="26">
        <f t="shared" si="75"/>
        <v>300</v>
      </c>
      <c r="L4776" s="26">
        <v>300</v>
      </c>
    </row>
    <row r="4777" spans="1:12" x14ac:dyDescent="0.25">
      <c r="A4777" s="21">
        <v>9378</v>
      </c>
      <c r="B4777" s="22" t="s">
        <v>15333</v>
      </c>
      <c r="H4777" s="25" t="s">
        <v>15373</v>
      </c>
      <c r="I4777" s="22" t="s">
        <v>16421</v>
      </c>
      <c r="J4777" s="22" t="s">
        <v>16311</v>
      </c>
      <c r="K4777" s="26">
        <f t="shared" si="75"/>
        <v>1000</v>
      </c>
      <c r="L4777" s="26">
        <v>1000</v>
      </c>
    </row>
    <row r="4778" spans="1:12" x14ac:dyDescent="0.25">
      <c r="A4778" s="21">
        <v>9379</v>
      </c>
      <c r="B4778" s="22" t="s">
        <v>15333</v>
      </c>
      <c r="H4778" s="25" t="s">
        <v>15373</v>
      </c>
      <c r="I4778" s="22" t="s">
        <v>16421</v>
      </c>
      <c r="J4778" s="22" t="s">
        <v>16311</v>
      </c>
      <c r="K4778" s="26">
        <f t="shared" si="75"/>
        <v>750</v>
      </c>
      <c r="L4778" s="26">
        <v>750</v>
      </c>
    </row>
    <row r="4779" spans="1:12" x14ac:dyDescent="0.25">
      <c r="A4779" s="21">
        <v>9380</v>
      </c>
      <c r="B4779" s="22" t="s">
        <v>15333</v>
      </c>
      <c r="E4779" s="24">
        <v>1988</v>
      </c>
      <c r="H4779" s="25" t="s">
        <v>15373</v>
      </c>
      <c r="I4779" s="22" t="s">
        <v>15374</v>
      </c>
      <c r="J4779" s="22" t="s">
        <v>410</v>
      </c>
      <c r="K4779" s="26">
        <f t="shared" si="75"/>
        <v>600</v>
      </c>
      <c r="L4779" s="26">
        <v>600</v>
      </c>
    </row>
    <row r="4780" spans="1:12" x14ac:dyDescent="0.25">
      <c r="A4780" s="21">
        <v>9381</v>
      </c>
      <c r="B4780" s="22" t="s">
        <v>15333</v>
      </c>
      <c r="H4780" s="25" t="s">
        <v>15373</v>
      </c>
      <c r="I4780" s="22" t="s">
        <v>16907</v>
      </c>
      <c r="J4780" s="22" t="s">
        <v>16311</v>
      </c>
      <c r="K4780" s="26">
        <f t="shared" si="75"/>
        <v>1000</v>
      </c>
      <c r="L4780" s="26">
        <v>1000</v>
      </c>
    </row>
    <row r="4781" spans="1:12" x14ac:dyDescent="0.25">
      <c r="A4781" s="21">
        <v>9382</v>
      </c>
      <c r="B4781" s="22" t="s">
        <v>15333</v>
      </c>
      <c r="H4781" s="25" t="s">
        <v>15373</v>
      </c>
      <c r="I4781" s="22" t="s">
        <v>16907</v>
      </c>
      <c r="J4781" s="22" t="s">
        <v>16311</v>
      </c>
      <c r="K4781" s="26">
        <f t="shared" si="75"/>
        <v>1000</v>
      </c>
      <c r="L4781" s="26">
        <v>1000</v>
      </c>
    </row>
    <row r="4782" spans="1:12" x14ac:dyDescent="0.25">
      <c r="A4782" s="21">
        <v>9383</v>
      </c>
      <c r="B4782" s="22" t="s">
        <v>15333</v>
      </c>
      <c r="H4782" s="25" t="s">
        <v>15373</v>
      </c>
      <c r="I4782" s="22" t="s">
        <v>15411</v>
      </c>
      <c r="J4782" s="22" t="s">
        <v>16311</v>
      </c>
      <c r="K4782" s="26">
        <f t="shared" si="75"/>
        <v>400</v>
      </c>
      <c r="L4782" s="26">
        <v>400</v>
      </c>
    </row>
    <row r="4783" spans="1:12" x14ac:dyDescent="0.25">
      <c r="A4783" s="21">
        <v>9384</v>
      </c>
      <c r="B4783" s="22" t="s">
        <v>15333</v>
      </c>
      <c r="E4783" s="24">
        <v>1979</v>
      </c>
      <c r="H4783" s="25" t="s">
        <v>15373</v>
      </c>
      <c r="I4783" s="22" t="s">
        <v>15411</v>
      </c>
      <c r="J4783" s="22" t="s">
        <v>14158</v>
      </c>
      <c r="K4783" s="26">
        <f t="shared" si="75"/>
        <v>600</v>
      </c>
      <c r="L4783" s="26">
        <v>600</v>
      </c>
    </row>
    <row r="4784" spans="1:12" x14ac:dyDescent="0.25">
      <c r="A4784" s="21">
        <v>9385</v>
      </c>
      <c r="B4784" s="22" t="s">
        <v>15333</v>
      </c>
      <c r="E4784" s="24">
        <v>1979</v>
      </c>
      <c r="H4784" s="25" t="s">
        <v>15373</v>
      </c>
      <c r="I4784" s="22" t="s">
        <v>15411</v>
      </c>
      <c r="J4784" s="22" t="s">
        <v>14158</v>
      </c>
      <c r="K4784" s="26">
        <f t="shared" si="75"/>
        <v>600</v>
      </c>
      <c r="L4784" s="26">
        <v>600</v>
      </c>
    </row>
    <row r="4785" spans="1:12" x14ac:dyDescent="0.25">
      <c r="A4785" s="21">
        <v>9386</v>
      </c>
      <c r="B4785" s="22" t="s">
        <v>15333</v>
      </c>
      <c r="E4785" s="24">
        <v>1979</v>
      </c>
      <c r="H4785" s="25" t="s">
        <v>15373</v>
      </c>
      <c r="I4785" s="22" t="s">
        <v>15411</v>
      </c>
      <c r="J4785" s="22" t="s">
        <v>14158</v>
      </c>
      <c r="K4785" s="26">
        <f t="shared" si="75"/>
        <v>600</v>
      </c>
      <c r="L4785" s="26">
        <v>600</v>
      </c>
    </row>
    <row r="4786" spans="1:12" x14ac:dyDescent="0.25">
      <c r="A4786" s="21">
        <v>9387</v>
      </c>
      <c r="B4786" s="22" t="s">
        <v>15333</v>
      </c>
      <c r="E4786" s="24">
        <v>1979</v>
      </c>
      <c r="H4786" s="25" t="s">
        <v>15373</v>
      </c>
      <c r="I4786" s="22" t="s">
        <v>15411</v>
      </c>
      <c r="J4786" s="22" t="s">
        <v>14158</v>
      </c>
      <c r="K4786" s="26">
        <f t="shared" si="75"/>
        <v>600</v>
      </c>
      <c r="L4786" s="26">
        <v>600</v>
      </c>
    </row>
    <row r="4787" spans="1:12" x14ac:dyDescent="0.25">
      <c r="A4787" s="21">
        <v>9388</v>
      </c>
      <c r="B4787" s="22" t="s">
        <v>15333</v>
      </c>
      <c r="H4787" s="25" t="s">
        <v>15373</v>
      </c>
      <c r="I4787" s="22" t="s">
        <v>16160</v>
      </c>
      <c r="J4787" s="22" t="s">
        <v>16311</v>
      </c>
      <c r="K4787" s="26">
        <f t="shared" si="75"/>
        <v>1000</v>
      </c>
      <c r="L4787" s="26">
        <v>1000</v>
      </c>
    </row>
    <row r="4788" spans="1:12" x14ac:dyDescent="0.25">
      <c r="A4788" s="21">
        <v>9389</v>
      </c>
      <c r="B4788" s="22" t="s">
        <v>15333</v>
      </c>
      <c r="E4788" s="24">
        <v>1974</v>
      </c>
      <c r="H4788" s="25" t="s">
        <v>15373</v>
      </c>
      <c r="I4788" s="22" t="s">
        <v>15374</v>
      </c>
      <c r="J4788" s="22" t="s">
        <v>16311</v>
      </c>
      <c r="K4788" s="26">
        <f t="shared" si="75"/>
        <v>1000</v>
      </c>
      <c r="L4788" s="26">
        <v>1000</v>
      </c>
    </row>
    <row r="4789" spans="1:12" x14ac:dyDescent="0.25">
      <c r="A4789" s="21">
        <v>9390</v>
      </c>
      <c r="B4789" s="22" t="s">
        <v>15333</v>
      </c>
      <c r="E4789" s="24">
        <v>1974</v>
      </c>
      <c r="H4789" s="25" t="s">
        <v>15373</v>
      </c>
      <c r="I4789" s="22" t="s">
        <v>16421</v>
      </c>
      <c r="J4789" s="22" t="s">
        <v>16311</v>
      </c>
      <c r="K4789" s="26">
        <f t="shared" si="75"/>
        <v>1000</v>
      </c>
      <c r="L4789" s="26">
        <v>1000</v>
      </c>
    </row>
    <row r="4790" spans="1:12" x14ac:dyDescent="0.25">
      <c r="A4790" s="21">
        <v>9391</v>
      </c>
      <c r="B4790" s="22" t="s">
        <v>15333</v>
      </c>
      <c r="H4790" s="25" t="s">
        <v>15373</v>
      </c>
      <c r="I4790" s="22" t="s">
        <v>15411</v>
      </c>
      <c r="J4790" s="22" t="s">
        <v>1671</v>
      </c>
      <c r="K4790" s="26">
        <f t="shared" si="75"/>
        <v>1050</v>
      </c>
      <c r="L4790" s="26">
        <v>1050</v>
      </c>
    </row>
    <row r="4791" spans="1:12" x14ac:dyDescent="0.25">
      <c r="A4791" s="21">
        <v>9392</v>
      </c>
      <c r="B4791" s="22" t="s">
        <v>15333</v>
      </c>
      <c r="H4791" s="25" t="s">
        <v>15373</v>
      </c>
      <c r="I4791" s="22" t="s">
        <v>384</v>
      </c>
      <c r="J4791" s="22" t="s">
        <v>16311</v>
      </c>
      <c r="K4791" s="26">
        <f t="shared" si="75"/>
        <v>680</v>
      </c>
      <c r="L4791" s="26">
        <v>680</v>
      </c>
    </row>
    <row r="4792" spans="1:12" x14ac:dyDescent="0.25">
      <c r="A4792" s="21">
        <v>9393</v>
      </c>
      <c r="B4792" s="22" t="s">
        <v>15333</v>
      </c>
      <c r="H4792" s="25" t="s">
        <v>15373</v>
      </c>
      <c r="I4792" s="22" t="s">
        <v>366</v>
      </c>
      <c r="J4792" s="22" t="s">
        <v>2305</v>
      </c>
      <c r="K4792" s="26">
        <f t="shared" si="75"/>
        <v>500</v>
      </c>
      <c r="L4792" s="26">
        <v>500</v>
      </c>
    </row>
    <row r="4793" spans="1:12" x14ac:dyDescent="0.25">
      <c r="A4793" s="21">
        <v>9394</v>
      </c>
      <c r="B4793" s="22" t="s">
        <v>15333</v>
      </c>
      <c r="E4793" s="24">
        <v>1993</v>
      </c>
      <c r="H4793" s="25" t="s">
        <v>15373</v>
      </c>
      <c r="I4793" s="22" t="s">
        <v>16907</v>
      </c>
      <c r="J4793" s="22" t="s">
        <v>411</v>
      </c>
      <c r="K4793" s="26">
        <f t="shared" si="75"/>
        <v>300</v>
      </c>
      <c r="L4793" s="26">
        <v>300</v>
      </c>
    </row>
    <row r="4794" spans="1:12" x14ac:dyDescent="0.25">
      <c r="A4794" s="21">
        <v>9395</v>
      </c>
      <c r="B4794" s="22" t="s">
        <v>15333</v>
      </c>
      <c r="E4794" s="24">
        <v>1982</v>
      </c>
      <c r="H4794" s="25" t="s">
        <v>15373</v>
      </c>
      <c r="I4794" s="22" t="s">
        <v>15382</v>
      </c>
      <c r="J4794" s="22" t="s">
        <v>372</v>
      </c>
      <c r="K4794" s="26">
        <f t="shared" si="75"/>
        <v>750</v>
      </c>
      <c r="L4794" s="26">
        <v>750</v>
      </c>
    </row>
    <row r="4795" spans="1:12" x14ac:dyDescent="0.25">
      <c r="A4795" s="21">
        <v>9396</v>
      </c>
      <c r="B4795" s="22" t="s">
        <v>15333</v>
      </c>
      <c r="E4795" s="24">
        <v>1982</v>
      </c>
      <c r="H4795" s="25" t="s">
        <v>15373</v>
      </c>
      <c r="I4795" s="22" t="s">
        <v>15382</v>
      </c>
      <c r="J4795" s="22" t="s">
        <v>372</v>
      </c>
      <c r="K4795" s="26">
        <f t="shared" si="75"/>
        <v>750</v>
      </c>
      <c r="L4795" s="26">
        <v>750</v>
      </c>
    </row>
    <row r="4796" spans="1:12" x14ac:dyDescent="0.25">
      <c r="A4796" s="21">
        <v>9397</v>
      </c>
      <c r="B4796" s="22" t="s">
        <v>15333</v>
      </c>
      <c r="E4796" s="24">
        <v>2000</v>
      </c>
      <c r="H4796" s="25" t="s">
        <v>15373</v>
      </c>
      <c r="I4796" s="22" t="s">
        <v>15374</v>
      </c>
      <c r="J4796" s="22" t="s">
        <v>412</v>
      </c>
      <c r="K4796" s="26">
        <f t="shared" si="75"/>
        <v>1000</v>
      </c>
      <c r="L4796" s="26">
        <v>1000</v>
      </c>
    </row>
    <row r="4797" spans="1:12" x14ac:dyDescent="0.25">
      <c r="A4797" s="21">
        <v>9398</v>
      </c>
      <c r="B4797" s="22" t="s">
        <v>15333</v>
      </c>
      <c r="E4797" s="24">
        <v>1979</v>
      </c>
      <c r="H4797" s="25" t="s">
        <v>15373</v>
      </c>
      <c r="I4797" s="22" t="s">
        <v>15411</v>
      </c>
      <c r="J4797" s="22" t="s">
        <v>4671</v>
      </c>
      <c r="K4797" s="26">
        <f t="shared" si="75"/>
        <v>650</v>
      </c>
      <c r="L4797" s="26">
        <v>650</v>
      </c>
    </row>
    <row r="4798" spans="1:12" x14ac:dyDescent="0.25">
      <c r="A4798" s="21">
        <v>9399</v>
      </c>
      <c r="B4798" s="22" t="s">
        <v>15333</v>
      </c>
      <c r="E4798" s="24">
        <v>1996</v>
      </c>
      <c r="H4798" s="25" t="s">
        <v>15373</v>
      </c>
      <c r="I4798" s="22" t="s">
        <v>413</v>
      </c>
      <c r="J4798" s="22" t="s">
        <v>414</v>
      </c>
      <c r="K4798" s="26">
        <f t="shared" si="75"/>
        <v>1000</v>
      </c>
      <c r="L4798" s="26">
        <v>1000</v>
      </c>
    </row>
    <row r="4799" spans="1:12" ht="37.5" x14ac:dyDescent="0.25">
      <c r="A4799" s="21">
        <v>9400</v>
      </c>
      <c r="B4799" s="22" t="s">
        <v>15333</v>
      </c>
      <c r="E4799" s="24">
        <v>1997</v>
      </c>
      <c r="H4799" s="25" t="s">
        <v>386</v>
      </c>
      <c r="I4799" s="22" t="s">
        <v>5324</v>
      </c>
      <c r="J4799" s="22" t="s">
        <v>16311</v>
      </c>
      <c r="K4799" s="26">
        <f t="shared" si="75"/>
        <v>5000</v>
      </c>
      <c r="L4799" s="26">
        <v>5000</v>
      </c>
    </row>
    <row r="4800" spans="1:12" x14ac:dyDescent="0.25">
      <c r="A4800" s="21">
        <v>9401</v>
      </c>
      <c r="B4800" s="22" t="s">
        <v>15333</v>
      </c>
      <c r="H4800" s="25" t="s">
        <v>15373</v>
      </c>
      <c r="I4800" s="22" t="s">
        <v>15635</v>
      </c>
      <c r="J4800" s="22" t="s">
        <v>16311</v>
      </c>
      <c r="K4800" s="26">
        <f t="shared" si="75"/>
        <v>400</v>
      </c>
      <c r="L4800" s="26">
        <v>400</v>
      </c>
    </row>
    <row r="4801" spans="1:25" x14ac:dyDescent="0.25">
      <c r="A4801" s="21">
        <v>9402</v>
      </c>
      <c r="B4801" s="22" t="s">
        <v>15333</v>
      </c>
      <c r="H4801" s="25" t="s">
        <v>15373</v>
      </c>
      <c r="I4801" s="22" t="s">
        <v>15382</v>
      </c>
      <c r="J4801" s="22" t="s">
        <v>16311</v>
      </c>
      <c r="K4801" s="26">
        <f t="shared" si="75"/>
        <v>400</v>
      </c>
      <c r="L4801" s="26">
        <v>400</v>
      </c>
    </row>
    <row r="4802" spans="1:25" x14ac:dyDescent="0.25">
      <c r="A4802" s="21">
        <v>9403</v>
      </c>
      <c r="B4802" s="22" t="s">
        <v>15333</v>
      </c>
      <c r="H4802" s="25" t="s">
        <v>15373</v>
      </c>
      <c r="I4802" s="22" t="s">
        <v>16421</v>
      </c>
      <c r="J4802" s="22" t="s">
        <v>16311</v>
      </c>
      <c r="K4802" s="26">
        <f t="shared" si="75"/>
        <v>1500</v>
      </c>
      <c r="L4802" s="26">
        <v>1500</v>
      </c>
    </row>
    <row r="4803" spans="1:25" x14ac:dyDescent="0.25">
      <c r="A4803" s="21">
        <v>9404</v>
      </c>
      <c r="B4803" s="22" t="s">
        <v>15333</v>
      </c>
      <c r="E4803" s="24">
        <v>2002</v>
      </c>
      <c r="H4803" s="25" t="s">
        <v>15373</v>
      </c>
      <c r="I4803" s="22" t="s">
        <v>16311</v>
      </c>
      <c r="J4803" s="22" t="s">
        <v>16311</v>
      </c>
      <c r="K4803" s="26">
        <f t="shared" si="75"/>
        <v>5000</v>
      </c>
      <c r="L4803" s="26">
        <v>5000</v>
      </c>
    </row>
    <row r="4804" spans="1:25" x14ac:dyDescent="0.25">
      <c r="A4804" s="21">
        <v>9500</v>
      </c>
      <c r="B4804" s="22" t="s">
        <v>15318</v>
      </c>
      <c r="C4804" s="22" t="s">
        <v>6662</v>
      </c>
      <c r="D4804" s="23" t="s">
        <v>415</v>
      </c>
      <c r="F4804" s="22" t="s">
        <v>416</v>
      </c>
      <c r="G4804" s="23" t="s">
        <v>417</v>
      </c>
      <c r="H4804" s="25" t="s">
        <v>15373</v>
      </c>
      <c r="I4804" s="22" t="s">
        <v>1393</v>
      </c>
      <c r="J4804" s="22" t="s">
        <v>418</v>
      </c>
      <c r="K4804" s="26">
        <f t="shared" ref="K4804:K4828" si="76">L4804+M4804*(2/3)+N4804*(2/3)</f>
        <v>2000</v>
      </c>
      <c r="L4804" s="26">
        <v>2000</v>
      </c>
      <c r="O4804" s="22" t="s">
        <v>419</v>
      </c>
      <c r="P4804" s="22" t="s">
        <v>420</v>
      </c>
      <c r="Q4804" s="22" t="s">
        <v>421</v>
      </c>
      <c r="X4804" s="26"/>
      <c r="Y4804" s="26"/>
    </row>
    <row r="4805" spans="1:25" x14ac:dyDescent="0.25">
      <c r="A4805" s="21">
        <v>9501</v>
      </c>
      <c r="B4805" s="22" t="s">
        <v>15318</v>
      </c>
      <c r="C4805" s="22" t="s">
        <v>6662</v>
      </c>
      <c r="D4805" s="23">
        <v>241261</v>
      </c>
      <c r="F4805" s="22" t="s">
        <v>6663</v>
      </c>
      <c r="G4805" s="23" t="s">
        <v>417</v>
      </c>
      <c r="H4805" s="25" t="s">
        <v>15373</v>
      </c>
      <c r="I4805" s="22" t="s">
        <v>15382</v>
      </c>
      <c r="J4805" s="22" t="s">
        <v>422</v>
      </c>
      <c r="K4805" s="26">
        <f t="shared" si="76"/>
        <v>1500</v>
      </c>
      <c r="L4805" s="26">
        <v>1500</v>
      </c>
      <c r="O4805" s="22" t="s">
        <v>423</v>
      </c>
      <c r="P4805" s="22" t="s">
        <v>424</v>
      </c>
      <c r="Q4805" s="22" t="s">
        <v>425</v>
      </c>
      <c r="X4805" s="26"/>
      <c r="Y4805" s="26"/>
    </row>
    <row r="4806" spans="1:25" x14ac:dyDescent="0.25">
      <c r="A4806" s="21">
        <v>9502</v>
      </c>
      <c r="B4806" s="22" t="s">
        <v>15318</v>
      </c>
      <c r="C4806" s="22" t="s">
        <v>6662</v>
      </c>
      <c r="D4806" s="23">
        <v>353351</v>
      </c>
      <c r="G4806" s="23" t="s">
        <v>417</v>
      </c>
      <c r="H4806" s="25" t="s">
        <v>15373</v>
      </c>
      <c r="I4806" s="22" t="s">
        <v>15374</v>
      </c>
      <c r="J4806" s="22" t="s">
        <v>16121</v>
      </c>
      <c r="K4806" s="26">
        <f t="shared" si="76"/>
        <v>593.33333333333326</v>
      </c>
      <c r="M4806" s="26">
        <v>890</v>
      </c>
      <c r="O4806" s="22" t="s">
        <v>426</v>
      </c>
      <c r="P4806" s="22" t="s">
        <v>427</v>
      </c>
      <c r="Q4806" s="22" t="s">
        <v>428</v>
      </c>
      <c r="X4806" s="26"/>
      <c r="Y4806" s="26"/>
    </row>
    <row r="4807" spans="1:25" x14ac:dyDescent="0.25">
      <c r="A4807" s="21">
        <v>9503</v>
      </c>
      <c r="B4807" s="22" t="s">
        <v>15318</v>
      </c>
      <c r="C4807" s="22" t="s">
        <v>6662</v>
      </c>
      <c r="D4807" s="23">
        <v>189157</v>
      </c>
      <c r="F4807" s="22" t="s">
        <v>429</v>
      </c>
      <c r="G4807" s="23" t="s">
        <v>417</v>
      </c>
      <c r="H4807" s="25" t="s">
        <v>15373</v>
      </c>
      <c r="I4807" s="22" t="s">
        <v>15382</v>
      </c>
      <c r="J4807" s="22" t="s">
        <v>430</v>
      </c>
      <c r="K4807" s="26">
        <f t="shared" si="76"/>
        <v>466.66666666666663</v>
      </c>
      <c r="M4807" s="26">
        <v>700</v>
      </c>
      <c r="O4807" s="22" t="s">
        <v>431</v>
      </c>
      <c r="P4807" s="22" t="s">
        <v>432</v>
      </c>
      <c r="Q4807" s="22" t="s">
        <v>433</v>
      </c>
      <c r="X4807" s="26"/>
      <c r="Y4807" s="26"/>
    </row>
    <row r="4808" spans="1:25" x14ac:dyDescent="0.25">
      <c r="A4808" s="21">
        <v>9504</v>
      </c>
      <c r="B4808" s="22" t="s">
        <v>15318</v>
      </c>
      <c r="C4808" s="22" t="s">
        <v>6662</v>
      </c>
      <c r="D4808" s="23">
        <v>317716</v>
      </c>
      <c r="F4808" s="22" t="s">
        <v>434</v>
      </c>
      <c r="G4808" s="23" t="s">
        <v>417</v>
      </c>
      <c r="H4808" s="25" t="s">
        <v>15373</v>
      </c>
      <c r="I4808" s="22" t="s">
        <v>15382</v>
      </c>
      <c r="J4808" s="22" t="s">
        <v>16861</v>
      </c>
      <c r="K4808" s="26">
        <f t="shared" si="76"/>
        <v>400</v>
      </c>
      <c r="M4808" s="26">
        <v>600</v>
      </c>
      <c r="O4808" s="22" t="s">
        <v>435</v>
      </c>
      <c r="P4808" s="22" t="s">
        <v>436</v>
      </c>
      <c r="Q4808" s="22" t="s">
        <v>437</v>
      </c>
      <c r="X4808" s="26"/>
      <c r="Y4808" s="26"/>
    </row>
    <row r="4809" spans="1:25" x14ac:dyDescent="0.25">
      <c r="A4809" s="21">
        <v>9505</v>
      </c>
      <c r="B4809" s="22" t="s">
        <v>15318</v>
      </c>
      <c r="C4809" s="22" t="s">
        <v>6662</v>
      </c>
      <c r="D4809" s="23">
        <v>351215</v>
      </c>
      <c r="G4809" s="23" t="s">
        <v>417</v>
      </c>
      <c r="H4809" s="25" t="s">
        <v>15373</v>
      </c>
      <c r="I4809" s="22" t="s">
        <v>15382</v>
      </c>
      <c r="J4809" s="22" t="s">
        <v>16861</v>
      </c>
      <c r="K4809" s="26">
        <f t="shared" si="76"/>
        <v>400</v>
      </c>
      <c r="M4809" s="26">
        <v>600</v>
      </c>
      <c r="O4809" s="22" t="s">
        <v>435</v>
      </c>
      <c r="P4809" s="22" t="s">
        <v>436</v>
      </c>
      <c r="Q4809" s="22" t="s">
        <v>437</v>
      </c>
      <c r="X4809" s="26"/>
      <c r="Y4809" s="26"/>
    </row>
    <row r="4810" spans="1:25" x14ac:dyDescent="0.25">
      <c r="A4810" s="21">
        <v>9506</v>
      </c>
      <c r="B4810" s="22" t="s">
        <v>15318</v>
      </c>
      <c r="C4810" s="22" t="s">
        <v>6662</v>
      </c>
      <c r="D4810" s="23">
        <v>355505</v>
      </c>
      <c r="G4810" s="23" t="s">
        <v>417</v>
      </c>
      <c r="H4810" s="25" t="s">
        <v>15373</v>
      </c>
      <c r="I4810" s="22" t="s">
        <v>15382</v>
      </c>
      <c r="J4810" s="22" t="s">
        <v>16861</v>
      </c>
      <c r="K4810" s="26">
        <f t="shared" si="76"/>
        <v>400</v>
      </c>
      <c r="M4810" s="26">
        <v>600</v>
      </c>
      <c r="O4810" s="22" t="s">
        <v>435</v>
      </c>
      <c r="P4810" s="22" t="s">
        <v>436</v>
      </c>
      <c r="Q4810" s="22" t="s">
        <v>437</v>
      </c>
      <c r="X4810" s="26"/>
      <c r="Y4810" s="26"/>
    </row>
    <row r="4811" spans="1:25" x14ac:dyDescent="0.25">
      <c r="A4811" s="21">
        <v>9550</v>
      </c>
      <c r="B4811" s="22" t="s">
        <v>15331</v>
      </c>
      <c r="C4811" s="22" t="s">
        <v>438</v>
      </c>
      <c r="H4811" s="25" t="s">
        <v>16311</v>
      </c>
      <c r="I4811" s="22" t="s">
        <v>16311</v>
      </c>
      <c r="J4811" s="22" t="s">
        <v>16311</v>
      </c>
      <c r="K4811" s="26">
        <f t="shared" si="76"/>
        <v>986.66666666666663</v>
      </c>
      <c r="L4811" s="26">
        <v>986.66666666666663</v>
      </c>
      <c r="O4811" s="22" t="s">
        <v>2387</v>
      </c>
      <c r="P4811" s="22" t="s">
        <v>2741</v>
      </c>
      <c r="Q4811" s="22" t="s">
        <v>3181</v>
      </c>
      <c r="R4811" s="22" t="s">
        <v>2388</v>
      </c>
      <c r="S4811" s="22" t="s">
        <v>439</v>
      </c>
      <c r="X4811" s="26"/>
      <c r="Y4811" s="26"/>
    </row>
    <row r="4812" spans="1:25" x14ac:dyDescent="0.25">
      <c r="A4812" s="21">
        <v>9551</v>
      </c>
      <c r="B4812" s="22" t="s">
        <v>15331</v>
      </c>
      <c r="C4812" s="22" t="s">
        <v>438</v>
      </c>
      <c r="H4812" s="25" t="s">
        <v>16311</v>
      </c>
      <c r="I4812" s="22" t="s">
        <v>16311</v>
      </c>
      <c r="J4812" s="22" t="s">
        <v>16311</v>
      </c>
      <c r="K4812" s="26">
        <f t="shared" si="76"/>
        <v>986.66666666666663</v>
      </c>
      <c r="L4812" s="26">
        <v>986.66666666666663</v>
      </c>
      <c r="O4812" s="22" t="s">
        <v>2387</v>
      </c>
      <c r="P4812" s="22" t="s">
        <v>2741</v>
      </c>
      <c r="Q4812" s="22" t="s">
        <v>3181</v>
      </c>
      <c r="R4812" s="22" t="s">
        <v>2388</v>
      </c>
      <c r="S4812" s="22" t="s">
        <v>439</v>
      </c>
      <c r="X4812" s="26"/>
      <c r="Y4812" s="26"/>
    </row>
    <row r="4813" spans="1:25" x14ac:dyDescent="0.25">
      <c r="A4813" s="21">
        <v>9554</v>
      </c>
      <c r="B4813" s="22" t="s">
        <v>15331</v>
      </c>
      <c r="C4813" s="22" t="s">
        <v>440</v>
      </c>
      <c r="H4813" s="25" t="s">
        <v>16311</v>
      </c>
      <c r="I4813" s="22" t="s">
        <v>15374</v>
      </c>
      <c r="J4813" s="22">
        <v>3516</v>
      </c>
      <c r="K4813" s="26">
        <f t="shared" si="76"/>
        <v>2000</v>
      </c>
      <c r="L4813" s="26">
        <v>2000</v>
      </c>
      <c r="O4813" s="22" t="s">
        <v>441</v>
      </c>
      <c r="P4813" s="22" t="s">
        <v>1659</v>
      </c>
      <c r="Q4813" s="22" t="s">
        <v>352</v>
      </c>
      <c r="R4813" s="22" t="s">
        <v>442</v>
      </c>
      <c r="S4813" s="22" t="s">
        <v>443</v>
      </c>
      <c r="X4813" s="26"/>
      <c r="Y4813" s="26"/>
    </row>
    <row r="4814" spans="1:25" ht="25" x14ac:dyDescent="0.25">
      <c r="A4814" s="21">
        <v>9555</v>
      </c>
      <c r="B4814" s="22" t="s">
        <v>15331</v>
      </c>
      <c r="C4814" s="22" t="s">
        <v>444</v>
      </c>
      <c r="H4814" s="25" t="s">
        <v>16311</v>
      </c>
      <c r="I4814" s="22" t="s">
        <v>16311</v>
      </c>
      <c r="J4814" s="22" t="s">
        <v>16311</v>
      </c>
      <c r="K4814" s="26">
        <f t="shared" si="76"/>
        <v>1500</v>
      </c>
      <c r="L4814" s="26">
        <v>1500</v>
      </c>
      <c r="O4814" s="22" t="s">
        <v>445</v>
      </c>
      <c r="P4814" s="22" t="s">
        <v>1652</v>
      </c>
      <c r="Q4814" s="22">
        <v>94102</v>
      </c>
      <c r="R4814" s="22" t="s">
        <v>446</v>
      </c>
      <c r="S4814" s="22" t="s">
        <v>447</v>
      </c>
      <c r="X4814" s="26"/>
      <c r="Y4814" s="26"/>
    </row>
    <row r="4815" spans="1:25" x14ac:dyDescent="0.25">
      <c r="A4815" s="21">
        <v>9557</v>
      </c>
      <c r="B4815" s="22" t="s">
        <v>15331</v>
      </c>
      <c r="C4815" s="22" t="s">
        <v>448</v>
      </c>
      <c r="H4815" s="25" t="s">
        <v>16311</v>
      </c>
      <c r="I4815" s="22" t="s">
        <v>16311</v>
      </c>
      <c r="J4815" s="22" t="s">
        <v>16311</v>
      </c>
      <c r="K4815" s="26">
        <f t="shared" si="76"/>
        <v>1750</v>
      </c>
      <c r="L4815" s="26">
        <v>1750</v>
      </c>
      <c r="O4815" s="22" t="s">
        <v>449</v>
      </c>
      <c r="P4815" s="22" t="s">
        <v>2741</v>
      </c>
      <c r="Q4815" s="22" t="s">
        <v>3861</v>
      </c>
      <c r="R4815" s="22" t="s">
        <v>450</v>
      </c>
      <c r="S4815" s="22" t="s">
        <v>451</v>
      </c>
      <c r="X4815" s="26"/>
      <c r="Y4815" s="26"/>
    </row>
    <row r="4816" spans="1:25" x14ac:dyDescent="0.25">
      <c r="A4816" s="21">
        <v>9562</v>
      </c>
      <c r="B4816" s="22" t="s">
        <v>15331</v>
      </c>
      <c r="C4816" s="22" t="s">
        <v>452</v>
      </c>
      <c r="H4816" s="25" t="s">
        <v>16311</v>
      </c>
      <c r="I4816" s="22" t="s">
        <v>16311</v>
      </c>
      <c r="J4816" s="22" t="s">
        <v>16311</v>
      </c>
      <c r="K4816" s="26">
        <f t="shared" si="76"/>
        <v>400</v>
      </c>
      <c r="L4816" s="26">
        <v>400</v>
      </c>
      <c r="O4816" s="22" t="s">
        <v>453</v>
      </c>
      <c r="P4816" s="22" t="s">
        <v>2741</v>
      </c>
      <c r="Q4816" s="22" t="s">
        <v>2742</v>
      </c>
      <c r="R4816" s="22" t="s">
        <v>454</v>
      </c>
      <c r="S4816" s="22" t="s">
        <v>455</v>
      </c>
      <c r="X4816" s="26"/>
      <c r="Y4816" s="26"/>
    </row>
    <row r="4817" spans="1:25" x14ac:dyDescent="0.25">
      <c r="A4817" s="21">
        <v>9563</v>
      </c>
      <c r="B4817" s="22" t="s">
        <v>15331</v>
      </c>
      <c r="C4817" s="22" t="s">
        <v>456</v>
      </c>
      <c r="H4817" s="25" t="s">
        <v>16311</v>
      </c>
      <c r="I4817" s="22" t="s">
        <v>16311</v>
      </c>
      <c r="J4817" s="22" t="s">
        <v>16311</v>
      </c>
      <c r="K4817" s="26">
        <f t="shared" si="76"/>
        <v>750</v>
      </c>
      <c r="L4817" s="26">
        <v>750</v>
      </c>
      <c r="O4817" s="22" t="s">
        <v>16311</v>
      </c>
      <c r="P4817" s="22" t="s">
        <v>2741</v>
      </c>
      <c r="Q4817" s="22" t="s">
        <v>2916</v>
      </c>
      <c r="R4817" s="22" t="s">
        <v>457</v>
      </c>
      <c r="S4817" s="22" t="s">
        <v>458</v>
      </c>
      <c r="X4817" s="26"/>
      <c r="Y4817" s="26"/>
    </row>
    <row r="4818" spans="1:25" ht="25" x14ac:dyDescent="0.25">
      <c r="A4818" s="21">
        <v>9600</v>
      </c>
      <c r="B4818" s="22" t="s">
        <v>15317</v>
      </c>
      <c r="C4818" s="22" t="s">
        <v>459</v>
      </c>
      <c r="G4818" s="23" t="s">
        <v>460</v>
      </c>
      <c r="H4818" s="25" t="s">
        <v>15373</v>
      </c>
      <c r="I4818" s="22" t="s">
        <v>15411</v>
      </c>
      <c r="J4818" s="22" t="s">
        <v>461</v>
      </c>
      <c r="K4818" s="26">
        <f t="shared" si="76"/>
        <v>1000</v>
      </c>
      <c r="L4818" s="26">
        <v>1000</v>
      </c>
      <c r="O4818" s="22" t="s">
        <v>462</v>
      </c>
      <c r="P4818" s="22" t="s">
        <v>463</v>
      </c>
      <c r="Q4818" s="22">
        <v>93204</v>
      </c>
      <c r="R4818" s="22" t="s">
        <v>464</v>
      </c>
      <c r="S4818" s="22" t="s">
        <v>465</v>
      </c>
      <c r="X4818" s="26"/>
      <c r="Y4818" s="26"/>
    </row>
    <row r="4819" spans="1:25" ht="25" x14ac:dyDescent="0.25">
      <c r="A4819" s="21">
        <v>9601</v>
      </c>
      <c r="B4819" s="22" t="s">
        <v>15317</v>
      </c>
      <c r="C4819" s="22" t="s">
        <v>466</v>
      </c>
      <c r="G4819" s="23" t="s">
        <v>467</v>
      </c>
      <c r="H4819" s="25" t="s">
        <v>15373</v>
      </c>
      <c r="I4819" s="22" t="s">
        <v>15411</v>
      </c>
      <c r="J4819" s="22" t="s">
        <v>25</v>
      </c>
      <c r="K4819" s="26">
        <f t="shared" si="76"/>
        <v>500</v>
      </c>
      <c r="L4819" s="26">
        <v>500</v>
      </c>
      <c r="O4819" s="22" t="s">
        <v>468</v>
      </c>
      <c r="P4819" s="22" t="s">
        <v>469</v>
      </c>
      <c r="Q4819" s="22">
        <v>96130</v>
      </c>
      <c r="R4819" s="22" t="s">
        <v>470</v>
      </c>
      <c r="S4819" s="22" t="s">
        <v>471</v>
      </c>
      <c r="X4819" s="26"/>
      <c r="Y4819" s="26"/>
    </row>
    <row r="4820" spans="1:25" ht="25" x14ac:dyDescent="0.25">
      <c r="A4820" s="21">
        <v>9602</v>
      </c>
      <c r="B4820" s="22" t="s">
        <v>15317</v>
      </c>
      <c r="C4820" s="22" t="s">
        <v>466</v>
      </c>
      <c r="G4820" s="23" t="s">
        <v>472</v>
      </c>
      <c r="H4820" s="25" t="s">
        <v>15373</v>
      </c>
      <c r="I4820" s="22" t="s">
        <v>15374</v>
      </c>
      <c r="J4820" s="22">
        <v>3516</v>
      </c>
      <c r="K4820" s="26">
        <f t="shared" si="76"/>
        <v>2000</v>
      </c>
      <c r="L4820" s="26">
        <v>2000</v>
      </c>
      <c r="O4820" s="22" t="s">
        <v>468</v>
      </c>
      <c r="P4820" s="22" t="s">
        <v>469</v>
      </c>
      <c r="Q4820" s="22">
        <v>96130</v>
      </c>
      <c r="R4820" s="22" t="s">
        <v>470</v>
      </c>
      <c r="S4820" s="22" t="s">
        <v>471</v>
      </c>
      <c r="X4820" s="26"/>
      <c r="Y4820" s="26"/>
    </row>
    <row r="4821" spans="1:25" ht="25" x14ac:dyDescent="0.25">
      <c r="A4821" s="21">
        <v>9607</v>
      </c>
      <c r="B4821" s="22" t="s">
        <v>15317</v>
      </c>
      <c r="C4821" s="22" t="s">
        <v>473</v>
      </c>
      <c r="G4821" s="23" t="s">
        <v>474</v>
      </c>
      <c r="H4821" s="25" t="s">
        <v>15373</v>
      </c>
      <c r="I4821" s="22" t="s">
        <v>15374</v>
      </c>
      <c r="J4821" s="22">
        <v>3412</v>
      </c>
      <c r="K4821" s="26">
        <f t="shared" si="76"/>
        <v>500</v>
      </c>
      <c r="L4821" s="26">
        <v>500</v>
      </c>
      <c r="O4821" s="22" t="s">
        <v>475</v>
      </c>
      <c r="P4821" s="22" t="s">
        <v>476</v>
      </c>
      <c r="Q4821" s="22">
        <v>91710</v>
      </c>
      <c r="R4821" s="22" t="s">
        <v>477</v>
      </c>
      <c r="S4821" s="22" t="s">
        <v>478</v>
      </c>
      <c r="X4821" s="26"/>
      <c r="Y4821" s="26"/>
    </row>
    <row r="4822" spans="1:25" ht="25" x14ac:dyDescent="0.25">
      <c r="A4822" s="21">
        <v>9609</v>
      </c>
      <c r="B4822" s="22" t="s">
        <v>15317</v>
      </c>
      <c r="C4822" s="22" t="s">
        <v>1902</v>
      </c>
      <c r="G4822" s="23" t="s">
        <v>479</v>
      </c>
      <c r="H4822" s="25" t="s">
        <v>15373</v>
      </c>
      <c r="I4822" s="22" t="s">
        <v>15374</v>
      </c>
      <c r="J4822" s="22">
        <v>3408</v>
      </c>
      <c r="K4822" s="26">
        <f t="shared" si="76"/>
        <v>500</v>
      </c>
      <c r="L4822" s="26">
        <v>500</v>
      </c>
      <c r="O4822" s="22" t="s">
        <v>480</v>
      </c>
      <c r="P4822" s="22" t="s">
        <v>1879</v>
      </c>
      <c r="Q4822" s="22" t="s">
        <v>1906</v>
      </c>
      <c r="R4822" s="22" t="s">
        <v>481</v>
      </c>
      <c r="S4822" s="22" t="s">
        <v>1908</v>
      </c>
      <c r="X4822" s="26"/>
      <c r="Y4822" s="26"/>
    </row>
    <row r="4823" spans="1:25" ht="25" x14ac:dyDescent="0.25">
      <c r="A4823" s="21">
        <v>9612</v>
      </c>
      <c r="B4823" s="22" t="s">
        <v>15317</v>
      </c>
      <c r="C4823" s="22" t="s">
        <v>482</v>
      </c>
      <c r="G4823" s="23" t="s">
        <v>483</v>
      </c>
      <c r="H4823" s="25" t="s">
        <v>15373</v>
      </c>
      <c r="I4823" s="22" t="s">
        <v>15374</v>
      </c>
      <c r="J4823" s="22">
        <v>3412</v>
      </c>
      <c r="K4823" s="26">
        <f t="shared" si="76"/>
        <v>500</v>
      </c>
      <c r="L4823" s="26">
        <v>500</v>
      </c>
      <c r="O4823" s="22" t="s">
        <v>484</v>
      </c>
      <c r="P4823" s="22" t="s">
        <v>986</v>
      </c>
      <c r="Q4823" s="22" t="s">
        <v>1028</v>
      </c>
      <c r="R4823" s="22" t="s">
        <v>485</v>
      </c>
      <c r="S4823" s="22" t="s">
        <v>486</v>
      </c>
      <c r="X4823" s="26"/>
      <c r="Y4823" s="26"/>
    </row>
    <row r="4824" spans="1:25" ht="25" x14ac:dyDescent="0.25">
      <c r="A4824" s="21">
        <v>9618</v>
      </c>
      <c r="B4824" s="22" t="s">
        <v>15317</v>
      </c>
      <c r="C4824" s="22" t="s">
        <v>487</v>
      </c>
      <c r="G4824" s="23" t="s">
        <v>488</v>
      </c>
      <c r="H4824" s="25" t="s">
        <v>15373</v>
      </c>
      <c r="I4824" s="22" t="s">
        <v>15374</v>
      </c>
      <c r="J4824" s="22">
        <v>3516</v>
      </c>
      <c r="K4824" s="26">
        <f t="shared" si="76"/>
        <v>2000</v>
      </c>
      <c r="L4824" s="26">
        <v>2000</v>
      </c>
      <c r="O4824" s="22" t="s">
        <v>489</v>
      </c>
      <c r="P4824" s="22" t="s">
        <v>490</v>
      </c>
      <c r="Q4824" s="22" t="s">
        <v>491</v>
      </c>
      <c r="R4824" s="22" t="s">
        <v>492</v>
      </c>
      <c r="S4824" s="22" t="s">
        <v>493</v>
      </c>
      <c r="X4824" s="26"/>
      <c r="Y4824" s="26"/>
    </row>
    <row r="4825" spans="1:25" ht="25" x14ac:dyDescent="0.25">
      <c r="A4825" s="21">
        <v>9619</v>
      </c>
      <c r="B4825" s="22" t="s">
        <v>15317</v>
      </c>
      <c r="C4825" s="22" t="s">
        <v>487</v>
      </c>
      <c r="G4825" s="23" t="s">
        <v>494</v>
      </c>
      <c r="H4825" s="25" t="s">
        <v>15373</v>
      </c>
      <c r="I4825" s="22" t="s">
        <v>15374</v>
      </c>
      <c r="J4825" s="22">
        <v>3516</v>
      </c>
      <c r="K4825" s="26">
        <f t="shared" si="76"/>
        <v>2000</v>
      </c>
      <c r="L4825" s="26">
        <v>2000</v>
      </c>
      <c r="O4825" s="22" t="s">
        <v>489</v>
      </c>
      <c r="P4825" s="22" t="s">
        <v>490</v>
      </c>
      <c r="Q4825" s="22" t="s">
        <v>491</v>
      </c>
      <c r="R4825" s="22" t="s">
        <v>492</v>
      </c>
      <c r="S4825" s="22" t="s">
        <v>493</v>
      </c>
      <c r="X4825" s="26"/>
      <c r="Y4825" s="26"/>
    </row>
    <row r="4826" spans="1:25" ht="25" x14ac:dyDescent="0.25">
      <c r="A4826" s="21">
        <v>9620</v>
      </c>
      <c r="B4826" s="22" t="s">
        <v>15317</v>
      </c>
      <c r="C4826" s="22" t="s">
        <v>495</v>
      </c>
      <c r="G4826" s="23" t="s">
        <v>496</v>
      </c>
      <c r="H4826" s="25" t="s">
        <v>15373</v>
      </c>
      <c r="I4826" s="22" t="s">
        <v>15374</v>
      </c>
      <c r="J4826" s="22">
        <v>3516</v>
      </c>
      <c r="K4826" s="26">
        <f t="shared" si="76"/>
        <v>2000</v>
      </c>
      <c r="L4826" s="26">
        <v>2000</v>
      </c>
      <c r="P4826" s="22" t="s">
        <v>361</v>
      </c>
      <c r="Q4826" s="22">
        <v>94964</v>
      </c>
      <c r="R4826" s="22" t="s">
        <v>497</v>
      </c>
      <c r="S4826" s="22" t="s">
        <v>498</v>
      </c>
      <c r="X4826" s="26"/>
      <c r="Y4826" s="26"/>
    </row>
    <row r="4827" spans="1:25" ht="25" x14ac:dyDescent="0.25">
      <c r="A4827" s="21">
        <v>9621</v>
      </c>
      <c r="B4827" s="22" t="s">
        <v>15317</v>
      </c>
      <c r="C4827" s="22" t="s">
        <v>495</v>
      </c>
      <c r="G4827" s="23" t="s">
        <v>499</v>
      </c>
      <c r="H4827" s="25" t="s">
        <v>15373</v>
      </c>
      <c r="I4827" s="22" t="s">
        <v>15374</v>
      </c>
      <c r="J4827" s="22">
        <v>3516</v>
      </c>
      <c r="K4827" s="26">
        <f t="shared" si="76"/>
        <v>2000</v>
      </c>
      <c r="L4827" s="26">
        <v>2000</v>
      </c>
      <c r="P4827" s="22" t="s">
        <v>361</v>
      </c>
      <c r="Q4827" s="22">
        <v>94964</v>
      </c>
      <c r="R4827" s="22" t="s">
        <v>497</v>
      </c>
      <c r="S4827" s="22" t="s">
        <v>498</v>
      </c>
      <c r="X4827" s="26"/>
      <c r="Y4827" s="26"/>
    </row>
    <row r="4828" spans="1:25" ht="25" x14ac:dyDescent="0.25">
      <c r="A4828" s="21">
        <v>9631</v>
      </c>
      <c r="B4828" s="22" t="s">
        <v>15317</v>
      </c>
      <c r="C4828" s="22" t="s">
        <v>500</v>
      </c>
      <c r="G4828" s="23" t="s">
        <v>501</v>
      </c>
      <c r="H4828" s="25" t="s">
        <v>15373</v>
      </c>
      <c r="I4828" s="22" t="s">
        <v>15374</v>
      </c>
      <c r="J4828" s="22">
        <v>3512</v>
      </c>
      <c r="K4828" s="26">
        <f t="shared" si="76"/>
        <v>1000</v>
      </c>
      <c r="L4828" s="26">
        <v>1000</v>
      </c>
      <c r="O4828" s="22" t="s">
        <v>502</v>
      </c>
      <c r="P4828" s="22" t="s">
        <v>2879</v>
      </c>
      <c r="Q4828" s="22">
        <v>92226</v>
      </c>
      <c r="R4828" s="22" t="s">
        <v>2894</v>
      </c>
      <c r="S4828" s="22" t="s">
        <v>2895</v>
      </c>
      <c r="X4828" s="26"/>
      <c r="Y4828" s="26"/>
    </row>
    <row r="4829" spans="1:25" ht="25" x14ac:dyDescent="0.25">
      <c r="A4829" s="21">
        <v>9632</v>
      </c>
      <c r="B4829" s="22" t="s">
        <v>15317</v>
      </c>
      <c r="C4829" s="22" t="s">
        <v>500</v>
      </c>
      <c r="G4829" s="23" t="s">
        <v>503</v>
      </c>
      <c r="H4829" s="25" t="s">
        <v>15373</v>
      </c>
      <c r="I4829" s="22" t="s">
        <v>15374</v>
      </c>
      <c r="J4829" s="22">
        <v>3512</v>
      </c>
      <c r="K4829" s="26">
        <f t="shared" ref="K4829:K4847" si="77">L4829+M4829*(2/3)+N4829*(2/3)</f>
        <v>1000</v>
      </c>
      <c r="L4829" s="26">
        <v>1000</v>
      </c>
      <c r="O4829" s="22" t="s">
        <v>502</v>
      </c>
      <c r="P4829" s="22" t="s">
        <v>2879</v>
      </c>
      <c r="Q4829" s="22">
        <v>92226</v>
      </c>
      <c r="R4829" s="22" t="s">
        <v>2894</v>
      </c>
      <c r="S4829" s="22" t="s">
        <v>2895</v>
      </c>
      <c r="X4829" s="26"/>
      <c r="Y4829" s="26"/>
    </row>
    <row r="4830" spans="1:25" ht="25" x14ac:dyDescent="0.25">
      <c r="A4830" s="21">
        <v>9633</v>
      </c>
      <c r="B4830" s="22" t="s">
        <v>15317</v>
      </c>
      <c r="C4830" s="22" t="s">
        <v>504</v>
      </c>
      <c r="G4830" s="23" t="s">
        <v>505</v>
      </c>
      <c r="H4830" s="25" t="s">
        <v>15373</v>
      </c>
      <c r="I4830" s="22" t="s">
        <v>15374</v>
      </c>
      <c r="J4830" s="22">
        <v>3516</v>
      </c>
      <c r="K4830" s="26">
        <f t="shared" si="77"/>
        <v>2000</v>
      </c>
      <c r="L4830" s="26">
        <v>2000</v>
      </c>
      <c r="O4830" s="22" t="s">
        <v>506</v>
      </c>
      <c r="P4830" s="22" t="s">
        <v>507</v>
      </c>
      <c r="Q4830" s="22" t="s">
        <v>508</v>
      </c>
      <c r="R4830" s="22" t="s">
        <v>509</v>
      </c>
      <c r="S4830" s="22" t="s">
        <v>510</v>
      </c>
      <c r="X4830" s="26"/>
      <c r="Y4830" s="26"/>
    </row>
    <row r="4831" spans="1:25" ht="25" x14ac:dyDescent="0.25">
      <c r="A4831" s="21">
        <v>9634</v>
      </c>
      <c r="B4831" s="22" t="s">
        <v>15317</v>
      </c>
      <c r="C4831" s="22" t="s">
        <v>511</v>
      </c>
      <c r="G4831" s="23" t="s">
        <v>512</v>
      </c>
      <c r="H4831" s="25" t="s">
        <v>15373</v>
      </c>
      <c r="I4831" s="22" t="s">
        <v>15374</v>
      </c>
      <c r="J4831" s="22">
        <v>3516</v>
      </c>
      <c r="K4831" s="26">
        <f t="shared" si="77"/>
        <v>2000</v>
      </c>
      <c r="L4831" s="26">
        <v>2000</v>
      </c>
      <c r="O4831" s="22" t="s">
        <v>513</v>
      </c>
      <c r="P4831" s="22" t="s">
        <v>514</v>
      </c>
      <c r="Q4831" s="22">
        <v>96128</v>
      </c>
      <c r="R4831" s="22" t="s">
        <v>515</v>
      </c>
      <c r="S4831" s="22" t="s">
        <v>516</v>
      </c>
      <c r="X4831" s="26"/>
      <c r="Y4831" s="26"/>
    </row>
    <row r="4832" spans="1:25" ht="25" x14ac:dyDescent="0.25">
      <c r="A4832" s="21">
        <v>9635</v>
      </c>
      <c r="B4832" s="22" t="s">
        <v>15317</v>
      </c>
      <c r="C4832" s="22" t="s">
        <v>511</v>
      </c>
      <c r="G4832" s="23" t="s">
        <v>517</v>
      </c>
      <c r="H4832" s="25" t="s">
        <v>15373</v>
      </c>
      <c r="I4832" s="22" t="s">
        <v>15374</v>
      </c>
      <c r="J4832" s="22">
        <v>3516</v>
      </c>
      <c r="K4832" s="26">
        <f t="shared" si="77"/>
        <v>2000</v>
      </c>
      <c r="L4832" s="26">
        <v>2000</v>
      </c>
      <c r="O4832" s="22" t="s">
        <v>513</v>
      </c>
      <c r="P4832" s="22" t="s">
        <v>514</v>
      </c>
      <c r="Q4832" s="22">
        <v>96128</v>
      </c>
      <c r="R4832" s="22" t="s">
        <v>515</v>
      </c>
      <c r="S4832" s="22" t="s">
        <v>516</v>
      </c>
      <c r="X4832" s="26"/>
      <c r="Y4832" s="26"/>
    </row>
    <row r="4833" spans="1:25" ht="25" x14ac:dyDescent="0.25">
      <c r="A4833" s="21">
        <v>9636</v>
      </c>
      <c r="B4833" s="22" t="s">
        <v>15317</v>
      </c>
      <c r="C4833" s="22" t="s">
        <v>511</v>
      </c>
      <c r="G4833" s="23" t="s">
        <v>518</v>
      </c>
      <c r="H4833" s="25" t="s">
        <v>15373</v>
      </c>
      <c r="I4833" s="22" t="s">
        <v>15374</v>
      </c>
      <c r="J4833" s="22">
        <v>3516</v>
      </c>
      <c r="K4833" s="26">
        <f t="shared" si="77"/>
        <v>2000</v>
      </c>
      <c r="L4833" s="26">
        <v>2000</v>
      </c>
      <c r="O4833" s="22" t="s">
        <v>513</v>
      </c>
      <c r="P4833" s="22" t="s">
        <v>514</v>
      </c>
      <c r="Q4833" s="22">
        <v>96128</v>
      </c>
      <c r="R4833" s="22" t="s">
        <v>515</v>
      </c>
      <c r="S4833" s="22" t="s">
        <v>516</v>
      </c>
      <c r="X4833" s="26"/>
      <c r="Y4833" s="26"/>
    </row>
    <row r="4834" spans="1:25" ht="25" x14ac:dyDescent="0.25">
      <c r="A4834" s="21">
        <v>9637</v>
      </c>
      <c r="B4834" s="22" t="s">
        <v>15317</v>
      </c>
      <c r="C4834" s="22" t="s">
        <v>511</v>
      </c>
      <c r="G4834" s="23" t="s">
        <v>519</v>
      </c>
      <c r="H4834" s="25" t="s">
        <v>15373</v>
      </c>
      <c r="I4834" s="22" t="s">
        <v>15374</v>
      </c>
      <c r="J4834" s="22">
        <v>3516</v>
      </c>
      <c r="K4834" s="26">
        <f t="shared" si="77"/>
        <v>2000</v>
      </c>
      <c r="L4834" s="26">
        <v>2000</v>
      </c>
      <c r="O4834" s="22" t="s">
        <v>513</v>
      </c>
      <c r="P4834" s="22" t="s">
        <v>514</v>
      </c>
      <c r="Q4834" s="22">
        <v>96128</v>
      </c>
      <c r="R4834" s="22" t="s">
        <v>515</v>
      </c>
      <c r="S4834" s="22" t="s">
        <v>516</v>
      </c>
      <c r="X4834" s="26"/>
      <c r="Y4834" s="26"/>
    </row>
    <row r="4835" spans="1:25" ht="25" x14ac:dyDescent="0.25">
      <c r="A4835" s="21">
        <v>9638</v>
      </c>
      <c r="B4835" s="22" t="s">
        <v>15317</v>
      </c>
      <c r="C4835" s="22" t="s">
        <v>511</v>
      </c>
      <c r="G4835" s="23" t="s">
        <v>520</v>
      </c>
      <c r="H4835" s="25" t="s">
        <v>15373</v>
      </c>
      <c r="I4835" s="22" t="s">
        <v>15374</v>
      </c>
      <c r="J4835" s="22">
        <v>3406</v>
      </c>
      <c r="K4835" s="26">
        <f t="shared" si="77"/>
        <v>400</v>
      </c>
      <c r="L4835" s="26">
        <v>400</v>
      </c>
      <c r="O4835" s="22" t="s">
        <v>513</v>
      </c>
      <c r="P4835" s="22" t="s">
        <v>514</v>
      </c>
      <c r="Q4835" s="22">
        <v>96128</v>
      </c>
      <c r="R4835" s="22" t="s">
        <v>515</v>
      </c>
      <c r="S4835" s="22" t="s">
        <v>516</v>
      </c>
      <c r="X4835" s="26"/>
      <c r="Y4835" s="26"/>
    </row>
    <row r="4836" spans="1:25" ht="25" x14ac:dyDescent="0.25">
      <c r="A4836" s="21">
        <v>9639</v>
      </c>
      <c r="B4836" s="22" t="s">
        <v>15317</v>
      </c>
      <c r="C4836" s="22" t="s">
        <v>511</v>
      </c>
      <c r="G4836" s="23" t="s">
        <v>521</v>
      </c>
      <c r="H4836" s="25" t="s">
        <v>15373</v>
      </c>
      <c r="I4836" s="22" t="s">
        <v>15374</v>
      </c>
      <c r="J4836" s="22">
        <v>3406</v>
      </c>
      <c r="K4836" s="26">
        <f t="shared" si="77"/>
        <v>400</v>
      </c>
      <c r="L4836" s="26">
        <v>400</v>
      </c>
      <c r="O4836" s="22" t="s">
        <v>513</v>
      </c>
      <c r="P4836" s="22" t="s">
        <v>514</v>
      </c>
      <c r="Q4836" s="22">
        <v>96128</v>
      </c>
      <c r="R4836" s="22" t="s">
        <v>515</v>
      </c>
      <c r="S4836" s="22" t="s">
        <v>516</v>
      </c>
      <c r="X4836" s="26"/>
      <c r="Y4836" s="26"/>
    </row>
    <row r="4837" spans="1:25" ht="25" x14ac:dyDescent="0.25">
      <c r="A4837" s="21">
        <v>9640</v>
      </c>
      <c r="B4837" s="22" t="s">
        <v>15317</v>
      </c>
      <c r="C4837" s="22" t="s">
        <v>522</v>
      </c>
      <c r="G4837" s="23" t="s">
        <v>523</v>
      </c>
      <c r="H4837" s="25" t="s">
        <v>15373</v>
      </c>
      <c r="I4837" s="22" t="s">
        <v>15374</v>
      </c>
      <c r="J4837" s="22">
        <v>3516</v>
      </c>
      <c r="K4837" s="26">
        <f t="shared" si="77"/>
        <v>2000</v>
      </c>
      <c r="L4837" s="26">
        <v>2000</v>
      </c>
      <c r="O4837" s="22" t="s">
        <v>524</v>
      </c>
      <c r="P4837" s="22" t="s">
        <v>2879</v>
      </c>
      <c r="Q4837" s="22">
        <v>92226</v>
      </c>
      <c r="R4837" s="22" t="s">
        <v>525</v>
      </c>
      <c r="S4837" s="22" t="s">
        <v>526</v>
      </c>
      <c r="X4837" s="26"/>
      <c r="Y4837" s="26"/>
    </row>
    <row r="4838" spans="1:25" ht="25" x14ac:dyDescent="0.25">
      <c r="A4838" s="21">
        <v>9641</v>
      </c>
      <c r="B4838" s="22" t="s">
        <v>15317</v>
      </c>
      <c r="C4838" s="22" t="s">
        <v>522</v>
      </c>
      <c r="G4838" s="23" t="s">
        <v>527</v>
      </c>
      <c r="H4838" s="25" t="s">
        <v>15373</v>
      </c>
      <c r="I4838" s="22" t="s">
        <v>15374</v>
      </c>
      <c r="J4838" s="22">
        <v>3516</v>
      </c>
      <c r="K4838" s="26">
        <f t="shared" si="77"/>
        <v>2000</v>
      </c>
      <c r="L4838" s="26">
        <v>2000</v>
      </c>
      <c r="O4838" s="22" t="s">
        <v>524</v>
      </c>
      <c r="P4838" s="22" t="s">
        <v>2879</v>
      </c>
      <c r="Q4838" s="22">
        <v>92226</v>
      </c>
      <c r="R4838" s="22" t="s">
        <v>525</v>
      </c>
      <c r="S4838" s="22" t="s">
        <v>526</v>
      </c>
      <c r="X4838" s="26"/>
      <c r="Y4838" s="26"/>
    </row>
    <row r="4839" spans="1:25" ht="25" x14ac:dyDescent="0.25">
      <c r="A4839" s="21">
        <v>9642</v>
      </c>
      <c r="B4839" s="22" t="s">
        <v>15317</v>
      </c>
      <c r="C4839" s="22" t="s">
        <v>522</v>
      </c>
      <c r="G4839" s="23" t="s">
        <v>528</v>
      </c>
      <c r="H4839" s="25" t="s">
        <v>15373</v>
      </c>
      <c r="I4839" s="22" t="s">
        <v>15411</v>
      </c>
      <c r="J4839" s="22" t="s">
        <v>529</v>
      </c>
      <c r="K4839" s="26">
        <f t="shared" si="77"/>
        <v>350</v>
      </c>
      <c r="L4839" s="26">
        <v>350</v>
      </c>
      <c r="O4839" s="22" t="s">
        <v>524</v>
      </c>
      <c r="P4839" s="22" t="s">
        <v>2879</v>
      </c>
      <c r="Q4839" s="22">
        <v>92226</v>
      </c>
      <c r="R4839" s="22" t="s">
        <v>525</v>
      </c>
      <c r="S4839" s="22" t="s">
        <v>526</v>
      </c>
      <c r="X4839" s="26"/>
      <c r="Y4839" s="26"/>
    </row>
    <row r="4840" spans="1:25" ht="25" x14ac:dyDescent="0.25">
      <c r="A4840" s="21">
        <v>9643</v>
      </c>
      <c r="B4840" s="22" t="s">
        <v>15317</v>
      </c>
      <c r="C4840" s="22" t="s">
        <v>522</v>
      </c>
      <c r="G4840" s="23" t="s">
        <v>530</v>
      </c>
      <c r="H4840" s="25" t="s">
        <v>15373</v>
      </c>
      <c r="I4840" s="22" t="s">
        <v>15411</v>
      </c>
      <c r="J4840" s="22" t="s">
        <v>529</v>
      </c>
      <c r="K4840" s="26">
        <f t="shared" si="77"/>
        <v>350</v>
      </c>
      <c r="L4840" s="26">
        <v>350</v>
      </c>
      <c r="O4840" s="22" t="s">
        <v>524</v>
      </c>
      <c r="P4840" s="22" t="s">
        <v>2879</v>
      </c>
      <c r="Q4840" s="22">
        <v>92226</v>
      </c>
      <c r="R4840" s="22" t="s">
        <v>525</v>
      </c>
      <c r="S4840" s="22" t="s">
        <v>526</v>
      </c>
      <c r="X4840" s="26"/>
      <c r="Y4840" s="26"/>
    </row>
    <row r="4841" spans="1:25" ht="25" x14ac:dyDescent="0.25">
      <c r="A4841" s="21">
        <v>9647</v>
      </c>
      <c r="B4841" s="22" t="s">
        <v>15317</v>
      </c>
      <c r="C4841" s="22" t="s">
        <v>163</v>
      </c>
      <c r="G4841" s="23" t="s">
        <v>531</v>
      </c>
      <c r="H4841" s="25" t="s">
        <v>15373</v>
      </c>
      <c r="I4841" s="22" t="s">
        <v>15374</v>
      </c>
      <c r="J4841" s="22">
        <v>3512</v>
      </c>
      <c r="K4841" s="26">
        <f t="shared" si="77"/>
        <v>1000</v>
      </c>
      <c r="L4841" s="26">
        <v>1000</v>
      </c>
      <c r="O4841" s="22" t="s">
        <v>167</v>
      </c>
      <c r="P4841" s="22" t="s">
        <v>168</v>
      </c>
      <c r="Q4841" s="22" t="s">
        <v>169</v>
      </c>
      <c r="R4841" s="22" t="s">
        <v>170</v>
      </c>
      <c r="S4841" s="22" t="s">
        <v>171</v>
      </c>
      <c r="X4841" s="26"/>
      <c r="Y4841" s="26"/>
    </row>
    <row r="4842" spans="1:25" ht="25" x14ac:dyDescent="0.25">
      <c r="A4842" s="21">
        <v>9648</v>
      </c>
      <c r="B4842" s="22" t="s">
        <v>15317</v>
      </c>
      <c r="C4842" s="22" t="s">
        <v>163</v>
      </c>
      <c r="G4842" s="23" t="s">
        <v>532</v>
      </c>
      <c r="H4842" s="25" t="s">
        <v>15373</v>
      </c>
      <c r="I4842" s="22" t="s">
        <v>15374</v>
      </c>
      <c r="J4842" s="22">
        <v>3512</v>
      </c>
      <c r="K4842" s="26">
        <f t="shared" si="77"/>
        <v>1000</v>
      </c>
      <c r="L4842" s="26">
        <v>1000</v>
      </c>
      <c r="O4842" s="22" t="s">
        <v>167</v>
      </c>
      <c r="P4842" s="22" t="s">
        <v>168</v>
      </c>
      <c r="Q4842" s="22" t="s">
        <v>169</v>
      </c>
      <c r="R4842" s="22" t="s">
        <v>170</v>
      </c>
      <c r="S4842" s="22" t="s">
        <v>171</v>
      </c>
      <c r="X4842" s="26"/>
      <c r="Y4842" s="26"/>
    </row>
    <row r="4843" spans="1:25" ht="25" x14ac:dyDescent="0.25">
      <c r="A4843" s="21">
        <v>9650</v>
      </c>
      <c r="B4843" s="22" t="s">
        <v>15317</v>
      </c>
      <c r="C4843" s="22" t="s">
        <v>533</v>
      </c>
      <c r="G4843" s="23" t="s">
        <v>534</v>
      </c>
      <c r="H4843" s="25" t="s">
        <v>15373</v>
      </c>
      <c r="I4843" s="22" t="s">
        <v>15374</v>
      </c>
      <c r="J4843" s="22">
        <v>3516</v>
      </c>
      <c r="K4843" s="26">
        <f t="shared" si="77"/>
        <v>2000</v>
      </c>
      <c r="L4843" s="26">
        <v>2000</v>
      </c>
      <c r="O4843" s="22" t="s">
        <v>535</v>
      </c>
      <c r="P4843" s="22" t="s">
        <v>3725</v>
      </c>
      <c r="Q4843" s="22">
        <v>92179</v>
      </c>
      <c r="R4843" s="22" t="s">
        <v>536</v>
      </c>
      <c r="S4843" s="22" t="s">
        <v>5404</v>
      </c>
      <c r="X4843" s="26"/>
      <c r="Y4843" s="26"/>
    </row>
    <row r="4844" spans="1:25" ht="25" x14ac:dyDescent="0.25">
      <c r="A4844" s="21">
        <v>9651</v>
      </c>
      <c r="B4844" s="22" t="s">
        <v>15317</v>
      </c>
      <c r="C4844" s="22" t="s">
        <v>533</v>
      </c>
      <c r="G4844" s="23" t="s">
        <v>537</v>
      </c>
      <c r="H4844" s="25" t="s">
        <v>15373</v>
      </c>
      <c r="I4844" s="22" t="s">
        <v>15411</v>
      </c>
      <c r="J4844" s="22">
        <v>926</v>
      </c>
      <c r="K4844" s="26">
        <f t="shared" si="77"/>
        <v>600</v>
      </c>
      <c r="L4844" s="26">
        <v>600</v>
      </c>
      <c r="O4844" s="22" t="s">
        <v>535</v>
      </c>
      <c r="P4844" s="22" t="s">
        <v>3725</v>
      </c>
      <c r="Q4844" s="22">
        <v>92179</v>
      </c>
      <c r="R4844" s="22" t="s">
        <v>5403</v>
      </c>
      <c r="S4844" s="22" t="s">
        <v>5404</v>
      </c>
      <c r="X4844" s="26"/>
      <c r="Y4844" s="26"/>
    </row>
    <row r="4845" spans="1:25" ht="25" x14ac:dyDescent="0.25">
      <c r="A4845" s="21">
        <v>9652</v>
      </c>
      <c r="B4845" s="22" t="s">
        <v>15317</v>
      </c>
      <c r="C4845" s="22" t="s">
        <v>538</v>
      </c>
      <c r="G4845" s="23" t="s">
        <v>539</v>
      </c>
      <c r="H4845" s="25" t="s">
        <v>15373</v>
      </c>
      <c r="I4845" s="22" t="s">
        <v>15411</v>
      </c>
      <c r="J4845" s="22" t="s">
        <v>540</v>
      </c>
      <c r="K4845" s="26">
        <f t="shared" si="77"/>
        <v>1000</v>
      </c>
      <c r="L4845" s="26">
        <v>1000</v>
      </c>
      <c r="O4845" s="22" t="s">
        <v>541</v>
      </c>
      <c r="P4845" s="22" t="s">
        <v>542</v>
      </c>
      <c r="Q4845" s="22">
        <v>95327</v>
      </c>
      <c r="R4845" s="22" t="s">
        <v>543</v>
      </c>
      <c r="S4845" s="22" t="s">
        <v>544</v>
      </c>
      <c r="X4845" s="26"/>
      <c r="Y4845" s="26"/>
    </row>
    <row r="4846" spans="1:25" ht="25" x14ac:dyDescent="0.25">
      <c r="A4846" s="21">
        <v>9653</v>
      </c>
      <c r="B4846" s="22" t="s">
        <v>15317</v>
      </c>
      <c r="C4846" s="22" t="s">
        <v>538</v>
      </c>
      <c r="G4846" s="23" t="s">
        <v>545</v>
      </c>
      <c r="H4846" s="25" t="s">
        <v>15373</v>
      </c>
      <c r="I4846" s="22" t="s">
        <v>15411</v>
      </c>
      <c r="J4846" s="22" t="s">
        <v>25</v>
      </c>
      <c r="K4846" s="26">
        <f t="shared" si="77"/>
        <v>500</v>
      </c>
      <c r="L4846" s="26">
        <v>500</v>
      </c>
      <c r="O4846" s="22" t="s">
        <v>541</v>
      </c>
      <c r="P4846" s="22" t="s">
        <v>542</v>
      </c>
      <c r="Q4846" s="22">
        <v>95327</v>
      </c>
      <c r="R4846" s="22" t="s">
        <v>543</v>
      </c>
      <c r="S4846" s="22" t="s">
        <v>544</v>
      </c>
      <c r="X4846" s="26"/>
      <c r="Y4846" s="26"/>
    </row>
    <row r="4847" spans="1:25" ht="25" x14ac:dyDescent="0.25">
      <c r="A4847" s="21">
        <v>9654</v>
      </c>
      <c r="B4847" s="22" t="s">
        <v>15317</v>
      </c>
      <c r="C4847" s="22" t="s">
        <v>546</v>
      </c>
      <c r="G4847" s="23" t="s">
        <v>547</v>
      </c>
      <c r="H4847" s="25" t="s">
        <v>15373</v>
      </c>
      <c r="I4847" s="22" t="s">
        <v>15411</v>
      </c>
      <c r="J4847" s="22" t="s">
        <v>548</v>
      </c>
      <c r="K4847" s="26">
        <f t="shared" si="77"/>
        <v>300</v>
      </c>
      <c r="L4847" s="26">
        <v>300</v>
      </c>
      <c r="O4847" s="22" t="s">
        <v>549</v>
      </c>
      <c r="P4847" s="22" t="s">
        <v>550</v>
      </c>
      <c r="Q4847" s="22" t="s">
        <v>17052</v>
      </c>
      <c r="R4847" s="22" t="s">
        <v>551</v>
      </c>
      <c r="S4847" s="22" t="s">
        <v>552</v>
      </c>
      <c r="X4847" s="26"/>
      <c r="Y4847" s="26"/>
    </row>
    <row r="4848" spans="1:25" x14ac:dyDescent="0.25">
      <c r="A4848" s="21">
        <v>9700</v>
      </c>
      <c r="B4848" s="22" t="s">
        <v>15343</v>
      </c>
      <c r="C4848" s="22" t="s">
        <v>553</v>
      </c>
      <c r="F4848" s="22" t="s">
        <v>554</v>
      </c>
      <c r="G4848" s="23" t="s">
        <v>555</v>
      </c>
      <c r="H4848" s="25" t="s">
        <v>16311</v>
      </c>
      <c r="I4848" s="22" t="s">
        <v>15382</v>
      </c>
      <c r="J4848" s="22" t="s">
        <v>556</v>
      </c>
      <c r="K4848" s="26">
        <v>300</v>
      </c>
      <c r="L4848" s="26">
        <v>300</v>
      </c>
      <c r="O4848" s="22" t="s">
        <v>557</v>
      </c>
      <c r="P4848" s="22" t="s">
        <v>558</v>
      </c>
      <c r="Q4848" s="22" t="s">
        <v>559</v>
      </c>
      <c r="R4848" s="22" t="s">
        <v>560</v>
      </c>
      <c r="S4848" s="22" t="s">
        <v>561</v>
      </c>
      <c r="X4848" s="26"/>
      <c r="Y4848" s="26"/>
    </row>
    <row r="4849" spans="1:25" x14ac:dyDescent="0.25">
      <c r="A4849" s="21">
        <v>9701</v>
      </c>
      <c r="B4849" s="22" t="s">
        <v>15343</v>
      </c>
      <c r="C4849" s="22" t="s">
        <v>562</v>
      </c>
      <c r="G4849" s="23" t="s">
        <v>563</v>
      </c>
      <c r="H4849" s="25" t="s">
        <v>16311</v>
      </c>
      <c r="I4849" s="22" t="s">
        <v>15374</v>
      </c>
      <c r="J4849" s="22" t="s">
        <v>9230</v>
      </c>
      <c r="K4849" s="26">
        <v>700</v>
      </c>
      <c r="L4849" s="26">
        <v>700</v>
      </c>
      <c r="O4849" s="22" t="s">
        <v>564</v>
      </c>
      <c r="P4849" s="22" t="s">
        <v>565</v>
      </c>
      <c r="Q4849" s="22" t="s">
        <v>1174</v>
      </c>
      <c r="R4849" s="22" t="s">
        <v>560</v>
      </c>
      <c r="S4849" s="22" t="s">
        <v>561</v>
      </c>
      <c r="X4849" s="26"/>
      <c r="Y4849" s="26"/>
    </row>
    <row r="4850" spans="1:25" x14ac:dyDescent="0.25">
      <c r="A4850" s="21">
        <v>9703</v>
      </c>
      <c r="B4850" s="22" t="s">
        <v>15343</v>
      </c>
      <c r="C4850" s="22" t="s">
        <v>566</v>
      </c>
      <c r="F4850" s="22" t="s">
        <v>567</v>
      </c>
      <c r="G4850" s="23" t="s">
        <v>568</v>
      </c>
      <c r="H4850" s="25" t="s">
        <v>16311</v>
      </c>
      <c r="I4850" s="22" t="s">
        <v>15374</v>
      </c>
      <c r="J4850" s="22" t="s">
        <v>569</v>
      </c>
      <c r="K4850" s="26">
        <v>300</v>
      </c>
      <c r="L4850" s="26">
        <v>300</v>
      </c>
      <c r="O4850" s="22" t="s">
        <v>570</v>
      </c>
      <c r="P4850" s="22" t="s">
        <v>571</v>
      </c>
      <c r="Q4850" s="22" t="s">
        <v>572</v>
      </c>
      <c r="R4850" s="22" t="s">
        <v>560</v>
      </c>
      <c r="S4850" s="22" t="s">
        <v>561</v>
      </c>
      <c r="X4850" s="26"/>
      <c r="Y4850" s="26"/>
    </row>
    <row r="4851" spans="1:25" x14ac:dyDescent="0.25">
      <c r="A4851" s="21">
        <v>9704</v>
      </c>
      <c r="B4851" s="22" t="s">
        <v>15343</v>
      </c>
      <c r="C4851" s="22" t="s">
        <v>573</v>
      </c>
      <c r="F4851" s="22" t="s">
        <v>574</v>
      </c>
      <c r="G4851" s="23" t="s">
        <v>575</v>
      </c>
      <c r="H4851" s="25" t="s">
        <v>16311</v>
      </c>
      <c r="I4851" s="22" t="s">
        <v>15411</v>
      </c>
      <c r="J4851" s="22" t="s">
        <v>5858</v>
      </c>
      <c r="K4851" s="26">
        <v>300</v>
      </c>
      <c r="L4851" s="26">
        <v>300</v>
      </c>
      <c r="O4851" s="22" t="s">
        <v>576</v>
      </c>
      <c r="P4851" s="22" t="s">
        <v>6932</v>
      </c>
      <c r="Q4851" s="22" t="s">
        <v>577</v>
      </c>
      <c r="R4851" s="22" t="s">
        <v>560</v>
      </c>
      <c r="S4851" s="22" t="s">
        <v>561</v>
      </c>
      <c r="X4851" s="26"/>
      <c r="Y4851" s="26"/>
    </row>
    <row r="4852" spans="1:25" x14ac:dyDescent="0.25">
      <c r="A4852" s="21">
        <v>9705</v>
      </c>
      <c r="B4852" s="22" t="s">
        <v>15343</v>
      </c>
      <c r="C4852" s="22" t="s">
        <v>578</v>
      </c>
      <c r="G4852" s="23" t="s">
        <v>579</v>
      </c>
      <c r="H4852" s="25" t="s">
        <v>16311</v>
      </c>
      <c r="I4852" s="22" t="s">
        <v>15374</v>
      </c>
      <c r="J4852" s="22" t="s">
        <v>10290</v>
      </c>
      <c r="K4852" s="26">
        <v>500</v>
      </c>
      <c r="L4852" s="26">
        <v>500</v>
      </c>
      <c r="O4852" s="22" t="s">
        <v>580</v>
      </c>
      <c r="P4852" s="22" t="s">
        <v>581</v>
      </c>
      <c r="Q4852" s="22" t="s">
        <v>582</v>
      </c>
      <c r="R4852" s="22" t="s">
        <v>560</v>
      </c>
      <c r="S4852" s="22" t="s">
        <v>561</v>
      </c>
      <c r="X4852" s="26"/>
      <c r="Y4852" s="26"/>
    </row>
    <row r="4853" spans="1:25" x14ac:dyDescent="0.25">
      <c r="A4853" s="21">
        <v>9706</v>
      </c>
      <c r="B4853" s="22" t="s">
        <v>15343</v>
      </c>
      <c r="C4853" s="22" t="s">
        <v>583</v>
      </c>
      <c r="F4853" s="22" t="s">
        <v>584</v>
      </c>
      <c r="G4853" s="23" t="s">
        <v>585</v>
      </c>
      <c r="H4853" s="25" t="s">
        <v>16311</v>
      </c>
      <c r="I4853" s="22" t="s">
        <v>15382</v>
      </c>
      <c r="J4853" s="22" t="s">
        <v>586</v>
      </c>
      <c r="K4853" s="26">
        <v>400</v>
      </c>
      <c r="L4853" s="26">
        <v>400</v>
      </c>
      <c r="O4853" s="22" t="s">
        <v>587</v>
      </c>
      <c r="P4853" s="22" t="s">
        <v>588</v>
      </c>
      <c r="Q4853" s="22" t="s">
        <v>589</v>
      </c>
      <c r="R4853" s="22" t="s">
        <v>560</v>
      </c>
      <c r="S4853" s="22" t="s">
        <v>561</v>
      </c>
      <c r="X4853" s="26"/>
      <c r="Y4853" s="26"/>
    </row>
    <row r="4854" spans="1:25" x14ac:dyDescent="0.25">
      <c r="A4854" s="21">
        <v>9707</v>
      </c>
      <c r="B4854" s="22" t="s">
        <v>15343</v>
      </c>
      <c r="C4854" s="22" t="s">
        <v>590</v>
      </c>
      <c r="G4854" s="23" t="s">
        <v>591</v>
      </c>
      <c r="H4854" s="25" t="s">
        <v>16311</v>
      </c>
      <c r="I4854" s="22" t="s">
        <v>15382</v>
      </c>
      <c r="J4854" s="22" t="s">
        <v>16736</v>
      </c>
      <c r="K4854" s="26">
        <v>500</v>
      </c>
      <c r="L4854" s="26">
        <v>500</v>
      </c>
      <c r="O4854" s="22" t="s">
        <v>592</v>
      </c>
      <c r="P4854" s="22" t="s">
        <v>1301</v>
      </c>
      <c r="Q4854" s="22" t="s">
        <v>593</v>
      </c>
      <c r="R4854" s="22" t="s">
        <v>560</v>
      </c>
      <c r="S4854" s="22" t="s">
        <v>561</v>
      </c>
      <c r="X4854" s="26"/>
      <c r="Y4854" s="26"/>
    </row>
    <row r="4855" spans="1:25" x14ac:dyDescent="0.25">
      <c r="A4855" s="21">
        <v>9708</v>
      </c>
      <c r="B4855" s="22" t="s">
        <v>15343</v>
      </c>
      <c r="C4855" s="22" t="s">
        <v>594</v>
      </c>
      <c r="G4855" s="23" t="s">
        <v>595</v>
      </c>
      <c r="H4855" s="25" t="s">
        <v>16311</v>
      </c>
      <c r="I4855" s="22" t="s">
        <v>15374</v>
      </c>
      <c r="J4855" s="22" t="s">
        <v>9230</v>
      </c>
      <c r="K4855" s="26">
        <v>750</v>
      </c>
      <c r="L4855" s="26">
        <v>750</v>
      </c>
      <c r="O4855" s="22" t="s">
        <v>596</v>
      </c>
      <c r="P4855" s="22" t="s">
        <v>1301</v>
      </c>
      <c r="Q4855" s="22" t="s">
        <v>597</v>
      </c>
      <c r="R4855" s="22" t="s">
        <v>560</v>
      </c>
      <c r="S4855" s="22" t="s">
        <v>561</v>
      </c>
      <c r="X4855" s="26"/>
      <c r="Y4855" s="26"/>
    </row>
    <row r="4856" spans="1:25" x14ac:dyDescent="0.25">
      <c r="A4856" s="21">
        <v>9709</v>
      </c>
      <c r="B4856" s="22" t="s">
        <v>15343</v>
      </c>
      <c r="C4856" s="22" t="s">
        <v>598</v>
      </c>
      <c r="G4856" s="23" t="s">
        <v>599</v>
      </c>
      <c r="H4856" s="25" t="s">
        <v>16311</v>
      </c>
      <c r="I4856" s="22" t="s">
        <v>15374</v>
      </c>
      <c r="J4856" s="22" t="s">
        <v>16311</v>
      </c>
      <c r="K4856" s="26">
        <v>400</v>
      </c>
      <c r="L4856" s="26">
        <v>400</v>
      </c>
      <c r="O4856" s="22" t="s">
        <v>600</v>
      </c>
      <c r="P4856" s="22" t="s">
        <v>1301</v>
      </c>
      <c r="Q4856" s="22" t="s">
        <v>597</v>
      </c>
      <c r="R4856" s="22" t="s">
        <v>560</v>
      </c>
      <c r="S4856" s="22" t="s">
        <v>561</v>
      </c>
      <c r="X4856" s="26"/>
      <c r="Y4856" s="26"/>
    </row>
    <row r="4857" spans="1:25" ht="25" x14ac:dyDescent="0.25">
      <c r="A4857" s="21">
        <v>9710</v>
      </c>
      <c r="B4857" s="22" t="s">
        <v>15343</v>
      </c>
      <c r="C4857" s="22" t="s">
        <v>601</v>
      </c>
      <c r="F4857" s="22" t="s">
        <v>11382</v>
      </c>
      <c r="G4857" s="23" t="s">
        <v>602</v>
      </c>
      <c r="H4857" s="25" t="s">
        <v>16311</v>
      </c>
      <c r="I4857" s="22" t="s">
        <v>15374</v>
      </c>
      <c r="J4857" s="22" t="s">
        <v>10290</v>
      </c>
      <c r="K4857" s="26">
        <v>500</v>
      </c>
      <c r="L4857" s="26">
        <v>500</v>
      </c>
      <c r="O4857" s="22" t="s">
        <v>603</v>
      </c>
      <c r="P4857" s="22" t="s">
        <v>604</v>
      </c>
      <c r="Q4857" s="22" t="s">
        <v>605</v>
      </c>
      <c r="R4857" s="22" t="s">
        <v>560</v>
      </c>
      <c r="S4857" s="22" t="s">
        <v>561</v>
      </c>
      <c r="X4857" s="26"/>
      <c r="Y4857" s="26"/>
    </row>
    <row r="4858" spans="1:25" x14ac:dyDescent="0.25">
      <c r="A4858" s="21">
        <v>9712</v>
      </c>
      <c r="B4858" s="22" t="s">
        <v>15343</v>
      </c>
      <c r="C4858" s="22" t="s">
        <v>606</v>
      </c>
      <c r="G4858" s="23" t="s">
        <v>607</v>
      </c>
      <c r="H4858" s="25" t="s">
        <v>16311</v>
      </c>
      <c r="I4858" s="22" t="s">
        <v>15374</v>
      </c>
      <c r="J4858" s="22">
        <v>3412</v>
      </c>
      <c r="K4858" s="26">
        <v>500</v>
      </c>
      <c r="L4858" s="26">
        <v>500</v>
      </c>
      <c r="O4858" s="22" t="s">
        <v>608</v>
      </c>
      <c r="P4858" s="22" t="s">
        <v>609</v>
      </c>
      <c r="Q4858" s="22" t="s">
        <v>610</v>
      </c>
      <c r="R4858" s="22" t="s">
        <v>560</v>
      </c>
      <c r="S4858" s="22" t="s">
        <v>561</v>
      </c>
      <c r="X4858" s="26"/>
      <c r="Y4858" s="26"/>
    </row>
    <row r="4859" spans="1:25" x14ac:dyDescent="0.25">
      <c r="A4859" s="21">
        <v>9713</v>
      </c>
      <c r="B4859" s="22" t="s">
        <v>15343</v>
      </c>
      <c r="C4859" s="22" t="s">
        <v>611</v>
      </c>
      <c r="F4859" s="22" t="s">
        <v>612</v>
      </c>
      <c r="G4859" s="23" t="s">
        <v>613</v>
      </c>
      <c r="H4859" s="25" t="s">
        <v>16311</v>
      </c>
      <c r="I4859" s="22" t="s">
        <v>15374</v>
      </c>
      <c r="J4859" s="22" t="s">
        <v>614</v>
      </c>
      <c r="K4859" s="26">
        <v>300</v>
      </c>
      <c r="L4859" s="26">
        <v>300</v>
      </c>
      <c r="O4859" s="22" t="s">
        <v>615</v>
      </c>
      <c r="P4859" s="22" t="s">
        <v>6788</v>
      </c>
      <c r="Q4859" s="22" t="s">
        <v>616</v>
      </c>
      <c r="R4859" s="22" t="s">
        <v>560</v>
      </c>
      <c r="S4859" s="22" t="s">
        <v>561</v>
      </c>
      <c r="X4859" s="26"/>
      <c r="Y4859" s="26"/>
    </row>
    <row r="4860" spans="1:25" ht="25" x14ac:dyDescent="0.25">
      <c r="A4860" s="21">
        <v>9714</v>
      </c>
      <c r="B4860" s="22" t="s">
        <v>15343</v>
      </c>
      <c r="C4860" s="22" t="s">
        <v>617</v>
      </c>
      <c r="F4860" s="22" t="s">
        <v>618</v>
      </c>
      <c r="G4860" s="23" t="s">
        <v>619</v>
      </c>
      <c r="H4860" s="25" t="s">
        <v>16311</v>
      </c>
      <c r="I4860" s="22" t="s">
        <v>15374</v>
      </c>
      <c r="J4860" s="22" t="s">
        <v>620</v>
      </c>
      <c r="K4860" s="26">
        <v>300</v>
      </c>
      <c r="L4860" s="26">
        <v>300</v>
      </c>
      <c r="O4860" s="22" t="s">
        <v>621</v>
      </c>
      <c r="P4860" s="22" t="s">
        <v>622</v>
      </c>
      <c r="Q4860" s="22" t="s">
        <v>572</v>
      </c>
      <c r="R4860" s="22" t="s">
        <v>560</v>
      </c>
      <c r="S4860" s="22" t="s">
        <v>561</v>
      </c>
      <c r="X4860" s="26"/>
      <c r="Y4860" s="26"/>
    </row>
    <row r="4861" spans="1:25" x14ac:dyDescent="0.25">
      <c r="A4861" s="21">
        <v>9715</v>
      </c>
      <c r="B4861" s="22" t="s">
        <v>15343</v>
      </c>
      <c r="C4861" s="22" t="s">
        <v>623</v>
      </c>
      <c r="G4861" s="23" t="s">
        <v>624</v>
      </c>
      <c r="H4861" s="25" t="s">
        <v>16311</v>
      </c>
      <c r="I4861" s="22" t="s">
        <v>15411</v>
      </c>
      <c r="J4861" s="22" t="s">
        <v>15807</v>
      </c>
      <c r="K4861" s="26">
        <v>400</v>
      </c>
      <c r="L4861" s="26">
        <v>400</v>
      </c>
      <c r="O4861" s="22" t="s">
        <v>625</v>
      </c>
      <c r="P4861" s="22" t="s">
        <v>626</v>
      </c>
      <c r="Q4861" s="22" t="s">
        <v>627</v>
      </c>
      <c r="R4861" s="22" t="s">
        <v>560</v>
      </c>
      <c r="S4861" s="22" t="s">
        <v>561</v>
      </c>
      <c r="X4861" s="26"/>
      <c r="Y4861" s="26"/>
    </row>
    <row r="4862" spans="1:25" ht="25" x14ac:dyDescent="0.25">
      <c r="A4862" s="21">
        <v>9716</v>
      </c>
      <c r="B4862" s="22" t="s">
        <v>15343</v>
      </c>
      <c r="C4862" s="22" t="s">
        <v>628</v>
      </c>
      <c r="F4862" s="22" t="s">
        <v>629</v>
      </c>
      <c r="G4862" s="23" t="s">
        <v>630</v>
      </c>
      <c r="H4862" s="25" t="s">
        <v>16311</v>
      </c>
      <c r="I4862" s="22" t="s">
        <v>15374</v>
      </c>
      <c r="J4862" s="22" t="s">
        <v>4498</v>
      </c>
      <c r="K4862" s="26">
        <v>2000</v>
      </c>
      <c r="L4862" s="26">
        <v>2000</v>
      </c>
      <c r="O4862" s="22" t="s">
        <v>631</v>
      </c>
      <c r="P4862" s="22" t="s">
        <v>7127</v>
      </c>
      <c r="Q4862" s="22" t="s">
        <v>632</v>
      </c>
      <c r="R4862" s="22" t="s">
        <v>560</v>
      </c>
      <c r="S4862" s="22" t="s">
        <v>561</v>
      </c>
      <c r="X4862" s="26"/>
      <c r="Y4862" s="26"/>
    </row>
    <row r="4863" spans="1:25" x14ac:dyDescent="0.25">
      <c r="A4863" s="21">
        <v>9717</v>
      </c>
      <c r="B4863" s="22" t="s">
        <v>15343</v>
      </c>
      <c r="C4863" s="22" t="s">
        <v>633</v>
      </c>
      <c r="F4863" s="22" t="s">
        <v>634</v>
      </c>
      <c r="G4863" s="23" t="s">
        <v>635</v>
      </c>
      <c r="H4863" s="25" t="s">
        <v>16311</v>
      </c>
      <c r="I4863" s="22" t="s">
        <v>15374</v>
      </c>
      <c r="J4863" s="22" t="s">
        <v>10290</v>
      </c>
      <c r="K4863" s="26">
        <v>500</v>
      </c>
      <c r="L4863" s="26">
        <v>500</v>
      </c>
      <c r="O4863" s="22" t="s">
        <v>636</v>
      </c>
      <c r="P4863" s="22" t="s">
        <v>7127</v>
      </c>
      <c r="Q4863" s="22" t="s">
        <v>637</v>
      </c>
      <c r="R4863" s="22" t="s">
        <v>560</v>
      </c>
      <c r="S4863" s="22" t="s">
        <v>561</v>
      </c>
      <c r="X4863" s="26"/>
      <c r="Y4863" s="26"/>
    </row>
    <row r="4864" spans="1:25" x14ac:dyDescent="0.25">
      <c r="A4864" s="21">
        <v>9718</v>
      </c>
      <c r="B4864" s="22" t="s">
        <v>15343</v>
      </c>
      <c r="C4864" s="22" t="s">
        <v>638</v>
      </c>
      <c r="G4864" s="23" t="s">
        <v>639</v>
      </c>
      <c r="H4864" s="25" t="s">
        <v>16311</v>
      </c>
      <c r="I4864" s="22" t="s">
        <v>15374</v>
      </c>
      <c r="J4864" s="22" t="s">
        <v>9230</v>
      </c>
      <c r="K4864" s="26">
        <v>750</v>
      </c>
      <c r="L4864" s="26">
        <v>750</v>
      </c>
      <c r="O4864" s="22" t="s">
        <v>640</v>
      </c>
      <c r="P4864" s="22" t="s">
        <v>7753</v>
      </c>
      <c r="Q4864" s="22" t="s">
        <v>641</v>
      </c>
      <c r="R4864" s="22" t="s">
        <v>560</v>
      </c>
      <c r="S4864" s="22" t="s">
        <v>561</v>
      </c>
      <c r="X4864" s="26"/>
      <c r="Y4864" s="26"/>
    </row>
    <row r="4865" spans="1:25" ht="25" x14ac:dyDescent="0.25">
      <c r="A4865" s="21">
        <v>9719</v>
      </c>
      <c r="B4865" s="22" t="s">
        <v>15343</v>
      </c>
      <c r="C4865" s="22" t="s">
        <v>642</v>
      </c>
      <c r="G4865" s="23" t="s">
        <v>643</v>
      </c>
      <c r="H4865" s="25" t="s">
        <v>16311</v>
      </c>
      <c r="I4865" s="22" t="s">
        <v>15374</v>
      </c>
      <c r="J4865" s="22" t="s">
        <v>410</v>
      </c>
      <c r="K4865" s="26">
        <v>400</v>
      </c>
      <c r="L4865" s="26">
        <v>400</v>
      </c>
      <c r="O4865" s="22" t="s">
        <v>7145</v>
      </c>
      <c r="P4865" s="22" t="s">
        <v>7753</v>
      </c>
      <c r="Q4865" s="22" t="s">
        <v>644</v>
      </c>
      <c r="R4865" s="22" t="s">
        <v>560</v>
      </c>
      <c r="S4865" s="22" t="s">
        <v>561</v>
      </c>
      <c r="X4865" s="26"/>
      <c r="Y4865" s="26"/>
    </row>
    <row r="4866" spans="1:25" ht="25" x14ac:dyDescent="0.25">
      <c r="A4866" s="21">
        <v>9720</v>
      </c>
      <c r="B4866" s="22" t="s">
        <v>15343</v>
      </c>
      <c r="C4866" s="22" t="s">
        <v>645</v>
      </c>
      <c r="G4866" s="23" t="s">
        <v>646</v>
      </c>
      <c r="H4866" s="25" t="s">
        <v>16311</v>
      </c>
      <c r="I4866" s="22" t="s">
        <v>15382</v>
      </c>
      <c r="J4866" s="22" t="s">
        <v>8856</v>
      </c>
      <c r="K4866" s="26">
        <v>600</v>
      </c>
      <c r="L4866" s="26">
        <v>600</v>
      </c>
      <c r="O4866" s="22" t="s">
        <v>647</v>
      </c>
      <c r="P4866" s="22" t="s">
        <v>648</v>
      </c>
      <c r="Q4866" s="22" t="s">
        <v>649</v>
      </c>
      <c r="R4866" s="22" t="s">
        <v>560</v>
      </c>
      <c r="S4866" s="22" t="s">
        <v>561</v>
      </c>
      <c r="X4866" s="26"/>
      <c r="Y4866" s="26"/>
    </row>
    <row r="4867" spans="1:25" ht="25" x14ac:dyDescent="0.25">
      <c r="A4867" s="21">
        <v>9721</v>
      </c>
      <c r="B4867" s="22" t="s">
        <v>15343</v>
      </c>
      <c r="C4867" s="22" t="s">
        <v>650</v>
      </c>
      <c r="G4867" s="23" t="s">
        <v>651</v>
      </c>
      <c r="H4867" s="25" t="s">
        <v>16311</v>
      </c>
      <c r="I4867" s="22" t="s">
        <v>15411</v>
      </c>
      <c r="J4867" s="22" t="s">
        <v>10125</v>
      </c>
      <c r="K4867" s="26">
        <v>500</v>
      </c>
      <c r="L4867" s="26">
        <v>500</v>
      </c>
      <c r="O4867" s="22" t="s">
        <v>652</v>
      </c>
      <c r="P4867" s="22" t="s">
        <v>648</v>
      </c>
      <c r="Q4867" s="22" t="s">
        <v>653</v>
      </c>
      <c r="R4867" s="22" t="s">
        <v>560</v>
      </c>
      <c r="S4867" s="22" t="s">
        <v>561</v>
      </c>
      <c r="X4867" s="26"/>
      <c r="Y4867" s="26"/>
    </row>
    <row r="4868" spans="1:25" ht="25" x14ac:dyDescent="0.25">
      <c r="A4868" s="21">
        <v>9722</v>
      </c>
      <c r="B4868" s="22" t="s">
        <v>15343</v>
      </c>
      <c r="C4868" s="22" t="s">
        <v>654</v>
      </c>
      <c r="F4868" s="22" t="s">
        <v>655</v>
      </c>
      <c r="G4868" s="23" t="s">
        <v>656</v>
      </c>
      <c r="H4868" s="25" t="s">
        <v>16311</v>
      </c>
      <c r="I4868" s="22" t="s">
        <v>15382</v>
      </c>
      <c r="J4868" s="22" t="s">
        <v>657</v>
      </c>
      <c r="K4868" s="26">
        <v>300</v>
      </c>
      <c r="L4868" s="26">
        <v>300</v>
      </c>
      <c r="O4868" s="22" t="s">
        <v>658</v>
      </c>
      <c r="P4868" s="22" t="s">
        <v>659</v>
      </c>
      <c r="Q4868" s="22" t="s">
        <v>660</v>
      </c>
      <c r="R4868" s="22" t="s">
        <v>560</v>
      </c>
      <c r="S4868" s="22" t="s">
        <v>561</v>
      </c>
      <c r="X4868" s="26"/>
      <c r="Y4868" s="26"/>
    </row>
    <row r="4869" spans="1:25" x14ac:dyDescent="0.25">
      <c r="A4869" s="21">
        <v>9723</v>
      </c>
      <c r="B4869" s="22" t="s">
        <v>15343</v>
      </c>
      <c r="C4869" s="22" t="s">
        <v>661</v>
      </c>
      <c r="F4869" s="22" t="s">
        <v>662</v>
      </c>
      <c r="G4869" s="23" t="s">
        <v>663</v>
      </c>
      <c r="H4869" s="25" t="s">
        <v>16311</v>
      </c>
      <c r="I4869" s="22" t="s">
        <v>15374</v>
      </c>
      <c r="J4869" s="22" t="s">
        <v>8802</v>
      </c>
      <c r="K4869" s="26">
        <v>300</v>
      </c>
      <c r="L4869" s="26">
        <v>300</v>
      </c>
      <c r="O4869" s="22" t="s">
        <v>664</v>
      </c>
      <c r="P4869" s="22" t="s">
        <v>665</v>
      </c>
      <c r="Q4869" s="22" t="s">
        <v>666</v>
      </c>
      <c r="R4869" s="22" t="s">
        <v>560</v>
      </c>
      <c r="S4869" s="22" t="s">
        <v>561</v>
      </c>
      <c r="X4869" s="26"/>
      <c r="Y4869" s="26"/>
    </row>
    <row r="4870" spans="1:25" x14ac:dyDescent="0.25">
      <c r="A4870" s="21">
        <v>9724</v>
      </c>
      <c r="B4870" s="22" t="s">
        <v>15343</v>
      </c>
      <c r="C4870" s="22" t="s">
        <v>667</v>
      </c>
      <c r="G4870" s="23" t="s">
        <v>668</v>
      </c>
      <c r="H4870" s="25" t="s">
        <v>16311</v>
      </c>
      <c r="I4870" s="22" t="s">
        <v>15382</v>
      </c>
      <c r="J4870" s="22" t="s">
        <v>669</v>
      </c>
      <c r="K4870" s="26">
        <v>625</v>
      </c>
      <c r="L4870" s="26">
        <v>625</v>
      </c>
      <c r="O4870" s="22" t="s">
        <v>16088</v>
      </c>
      <c r="P4870" s="22" t="s">
        <v>18153</v>
      </c>
      <c r="Q4870" s="22" t="s">
        <v>16969</v>
      </c>
      <c r="R4870" s="22" t="s">
        <v>560</v>
      </c>
      <c r="S4870" s="22" t="s">
        <v>561</v>
      </c>
      <c r="X4870" s="26"/>
      <c r="Y4870" s="26"/>
    </row>
    <row r="4871" spans="1:25" ht="25" x14ac:dyDescent="0.25">
      <c r="A4871" s="21">
        <v>9725</v>
      </c>
      <c r="B4871" s="22" t="s">
        <v>15343</v>
      </c>
      <c r="C4871" s="22" t="s">
        <v>670</v>
      </c>
      <c r="G4871" s="23" t="s">
        <v>671</v>
      </c>
      <c r="H4871" s="25" t="s">
        <v>16311</v>
      </c>
      <c r="I4871" s="22" t="s">
        <v>15411</v>
      </c>
      <c r="J4871" s="22" t="s">
        <v>15124</v>
      </c>
      <c r="K4871" s="26">
        <v>750</v>
      </c>
      <c r="L4871" s="26">
        <v>750</v>
      </c>
      <c r="O4871" s="22" t="s">
        <v>672</v>
      </c>
      <c r="P4871" s="22" t="s">
        <v>6377</v>
      </c>
      <c r="Q4871" s="22" t="s">
        <v>673</v>
      </c>
      <c r="R4871" s="22" t="s">
        <v>560</v>
      </c>
      <c r="S4871" s="22" t="s">
        <v>561</v>
      </c>
      <c r="X4871" s="26"/>
      <c r="Y4871" s="26"/>
    </row>
    <row r="4872" spans="1:25" ht="25" x14ac:dyDescent="0.25">
      <c r="A4872" s="21">
        <v>9727</v>
      </c>
      <c r="B4872" s="22" t="s">
        <v>15343</v>
      </c>
      <c r="C4872" s="22" t="s">
        <v>674</v>
      </c>
      <c r="G4872" s="23" t="s">
        <v>675</v>
      </c>
      <c r="H4872" s="25" t="s">
        <v>16311</v>
      </c>
      <c r="I4872" s="22" t="s">
        <v>15411</v>
      </c>
      <c r="J4872" s="22" t="s">
        <v>676</v>
      </c>
      <c r="K4872" s="26">
        <v>400</v>
      </c>
      <c r="L4872" s="26">
        <v>400</v>
      </c>
      <c r="O4872" s="22" t="s">
        <v>677</v>
      </c>
      <c r="P4872" s="22" t="s">
        <v>678</v>
      </c>
      <c r="Q4872" s="22" t="s">
        <v>679</v>
      </c>
      <c r="R4872" s="22" t="s">
        <v>560</v>
      </c>
      <c r="S4872" s="22" t="s">
        <v>561</v>
      </c>
      <c r="X4872" s="26"/>
      <c r="Y4872" s="26"/>
    </row>
    <row r="4873" spans="1:25" x14ac:dyDescent="0.25">
      <c r="A4873" s="21">
        <v>9728</v>
      </c>
      <c r="B4873" s="22" t="s">
        <v>15343</v>
      </c>
      <c r="C4873" s="22" t="s">
        <v>680</v>
      </c>
      <c r="F4873" s="22" t="s">
        <v>681</v>
      </c>
      <c r="G4873" s="23" t="s">
        <v>682</v>
      </c>
      <c r="H4873" s="25" t="s">
        <v>16311</v>
      </c>
      <c r="I4873" s="22" t="s">
        <v>15382</v>
      </c>
      <c r="J4873" s="22" t="s">
        <v>14807</v>
      </c>
      <c r="K4873" s="26">
        <v>350</v>
      </c>
      <c r="L4873" s="26">
        <v>350</v>
      </c>
      <c r="O4873" s="22" t="s">
        <v>683</v>
      </c>
      <c r="P4873" s="22" t="s">
        <v>8052</v>
      </c>
      <c r="Q4873" s="22" t="s">
        <v>684</v>
      </c>
      <c r="R4873" s="22" t="s">
        <v>560</v>
      </c>
      <c r="S4873" s="22" t="s">
        <v>561</v>
      </c>
      <c r="X4873" s="26"/>
      <c r="Y4873" s="26"/>
    </row>
    <row r="4874" spans="1:25" x14ac:dyDescent="0.25">
      <c r="A4874" s="21">
        <v>9729</v>
      </c>
      <c r="B4874" s="22" t="s">
        <v>15343</v>
      </c>
      <c r="C4874" s="22" t="s">
        <v>685</v>
      </c>
      <c r="F4874" s="22" t="s">
        <v>686</v>
      </c>
      <c r="G4874" s="23" t="s">
        <v>687</v>
      </c>
      <c r="H4874" s="25" t="s">
        <v>16311</v>
      </c>
      <c r="I4874" s="22" t="s">
        <v>15382</v>
      </c>
      <c r="J4874" s="22" t="s">
        <v>10579</v>
      </c>
      <c r="K4874" s="26">
        <v>300</v>
      </c>
      <c r="L4874" s="26">
        <v>300</v>
      </c>
      <c r="O4874" s="22" t="s">
        <v>688</v>
      </c>
      <c r="P4874" s="22" t="s">
        <v>689</v>
      </c>
      <c r="Q4874" s="22" t="s">
        <v>572</v>
      </c>
      <c r="R4874" s="22" t="s">
        <v>560</v>
      </c>
      <c r="S4874" s="22" t="s">
        <v>561</v>
      </c>
      <c r="X4874" s="26"/>
      <c r="Y4874" s="26"/>
    </row>
    <row r="4875" spans="1:25" ht="25" x14ac:dyDescent="0.25">
      <c r="A4875" s="21">
        <v>9730</v>
      </c>
      <c r="B4875" s="22" t="s">
        <v>15343</v>
      </c>
      <c r="C4875" s="22" t="s">
        <v>690</v>
      </c>
      <c r="G4875" s="23" t="s">
        <v>691</v>
      </c>
      <c r="H4875" s="25" t="s">
        <v>16311</v>
      </c>
      <c r="I4875" s="22" t="s">
        <v>15374</v>
      </c>
      <c r="J4875" s="22" t="s">
        <v>10290</v>
      </c>
      <c r="K4875" s="26">
        <v>500</v>
      </c>
      <c r="L4875" s="26">
        <v>500</v>
      </c>
      <c r="O4875" s="22" t="s">
        <v>692</v>
      </c>
      <c r="P4875" s="22" t="s">
        <v>693</v>
      </c>
      <c r="Q4875" s="22">
        <v>91320</v>
      </c>
      <c r="R4875" s="22" t="s">
        <v>560</v>
      </c>
      <c r="S4875" s="22" t="s">
        <v>561</v>
      </c>
      <c r="X4875" s="26"/>
      <c r="Y4875" s="26"/>
    </row>
    <row r="4876" spans="1:25" ht="25" x14ac:dyDescent="0.25">
      <c r="A4876" s="21">
        <v>9731</v>
      </c>
      <c r="B4876" s="22" t="s">
        <v>15343</v>
      </c>
      <c r="C4876" s="22" t="s">
        <v>694</v>
      </c>
      <c r="G4876" s="23" t="s">
        <v>695</v>
      </c>
      <c r="H4876" s="25" t="s">
        <v>16311</v>
      </c>
      <c r="I4876" s="22" t="s">
        <v>15374</v>
      </c>
      <c r="J4876" s="22" t="s">
        <v>10290</v>
      </c>
      <c r="K4876" s="26">
        <v>500</v>
      </c>
      <c r="L4876" s="26">
        <v>500</v>
      </c>
      <c r="O4876" s="22" t="s">
        <v>696</v>
      </c>
      <c r="P4876" s="22" t="s">
        <v>693</v>
      </c>
      <c r="Q4876" s="22">
        <v>91320</v>
      </c>
      <c r="R4876" s="22" t="s">
        <v>560</v>
      </c>
      <c r="S4876" s="22" t="s">
        <v>561</v>
      </c>
      <c r="X4876" s="26"/>
      <c r="Y4876" s="26"/>
    </row>
    <row r="4877" spans="1:25" ht="25" x14ac:dyDescent="0.25">
      <c r="A4877" s="21">
        <v>9732</v>
      </c>
      <c r="B4877" s="22" t="s">
        <v>15343</v>
      </c>
      <c r="C4877" s="22" t="s">
        <v>697</v>
      </c>
      <c r="G4877" s="23" t="s">
        <v>698</v>
      </c>
      <c r="H4877" s="25" t="s">
        <v>16311</v>
      </c>
      <c r="I4877" s="22" t="s">
        <v>15374</v>
      </c>
      <c r="J4877" s="22" t="s">
        <v>7701</v>
      </c>
      <c r="K4877" s="26">
        <v>1500</v>
      </c>
      <c r="L4877" s="26">
        <v>1500</v>
      </c>
      <c r="O4877" s="22" t="s">
        <v>699</v>
      </c>
      <c r="P4877" s="22" t="s">
        <v>693</v>
      </c>
      <c r="Q4877" s="22">
        <v>91320</v>
      </c>
      <c r="R4877" s="22" t="s">
        <v>560</v>
      </c>
      <c r="S4877" s="22" t="s">
        <v>561</v>
      </c>
      <c r="X4877" s="26"/>
      <c r="Y4877" s="26"/>
    </row>
    <row r="4878" spans="1:25" x14ac:dyDescent="0.25">
      <c r="A4878" s="21">
        <v>9733</v>
      </c>
      <c r="B4878" s="22" t="s">
        <v>15343</v>
      </c>
      <c r="C4878" s="22" t="s">
        <v>700</v>
      </c>
      <c r="G4878" s="23" t="s">
        <v>701</v>
      </c>
      <c r="H4878" s="25" t="s">
        <v>16311</v>
      </c>
      <c r="I4878" s="22" t="s">
        <v>15374</v>
      </c>
      <c r="J4878" s="22" t="s">
        <v>569</v>
      </c>
      <c r="K4878" s="26">
        <v>300</v>
      </c>
      <c r="L4878" s="26">
        <v>300</v>
      </c>
      <c r="O4878" s="22" t="s">
        <v>702</v>
      </c>
      <c r="P4878" s="22" t="s">
        <v>703</v>
      </c>
      <c r="Q4878" s="22" t="s">
        <v>704</v>
      </c>
      <c r="R4878" s="22" t="s">
        <v>560</v>
      </c>
      <c r="S4878" s="22" t="s">
        <v>561</v>
      </c>
      <c r="X4878" s="26"/>
      <c r="Y4878" s="26"/>
    </row>
    <row r="4879" spans="1:25" x14ac:dyDescent="0.25">
      <c r="A4879" s="21">
        <v>9734</v>
      </c>
      <c r="B4879" s="22" t="s">
        <v>15343</v>
      </c>
      <c r="C4879" s="22" t="s">
        <v>705</v>
      </c>
      <c r="F4879" s="22" t="s">
        <v>706</v>
      </c>
      <c r="G4879" s="23" t="s">
        <v>707</v>
      </c>
      <c r="H4879" s="25" t="s">
        <v>16311</v>
      </c>
      <c r="I4879" s="22" t="s">
        <v>15382</v>
      </c>
      <c r="J4879" s="22" t="s">
        <v>16396</v>
      </c>
      <c r="K4879" s="26">
        <v>750</v>
      </c>
      <c r="L4879" s="26">
        <v>750</v>
      </c>
      <c r="O4879" s="22" t="s">
        <v>708</v>
      </c>
      <c r="P4879" s="22" t="s">
        <v>7706</v>
      </c>
      <c r="Q4879" s="22" t="s">
        <v>709</v>
      </c>
      <c r="R4879" s="22" t="s">
        <v>560</v>
      </c>
      <c r="S4879" s="22" t="s">
        <v>561</v>
      </c>
      <c r="X4879" s="26"/>
      <c r="Y4879" s="26"/>
    </row>
    <row r="4880" spans="1:25" x14ac:dyDescent="0.25">
      <c r="A4880" s="21">
        <v>9735</v>
      </c>
      <c r="B4880" s="22" t="s">
        <v>15343</v>
      </c>
      <c r="C4880" s="22" t="s">
        <v>710</v>
      </c>
      <c r="G4880" s="23" t="s">
        <v>711</v>
      </c>
      <c r="H4880" s="25" t="s">
        <v>16311</v>
      </c>
      <c r="I4880" s="22" t="s">
        <v>15374</v>
      </c>
      <c r="J4880" s="22" t="s">
        <v>10290</v>
      </c>
      <c r="K4880" s="26">
        <v>400</v>
      </c>
      <c r="L4880" s="26">
        <v>400</v>
      </c>
      <c r="O4880" s="22" t="s">
        <v>712</v>
      </c>
      <c r="P4880" s="22" t="s">
        <v>713</v>
      </c>
      <c r="Q4880" s="22" t="s">
        <v>1174</v>
      </c>
      <c r="R4880" s="22" t="s">
        <v>560</v>
      </c>
      <c r="S4880" s="22" t="s">
        <v>561</v>
      </c>
      <c r="X4880" s="26"/>
      <c r="Y4880" s="26"/>
    </row>
    <row r="4881" spans="1:25" ht="25" x14ac:dyDescent="0.25">
      <c r="A4881" s="21">
        <v>9736</v>
      </c>
      <c r="B4881" s="22" t="s">
        <v>15343</v>
      </c>
      <c r="C4881" s="22" t="s">
        <v>714</v>
      </c>
      <c r="G4881" s="23" t="s">
        <v>715</v>
      </c>
      <c r="H4881" s="25" t="s">
        <v>16311</v>
      </c>
      <c r="I4881" s="22" t="s">
        <v>15374</v>
      </c>
      <c r="J4881" s="22" t="s">
        <v>14165</v>
      </c>
      <c r="K4881" s="26">
        <v>1750</v>
      </c>
      <c r="L4881" s="26">
        <v>1750</v>
      </c>
      <c r="O4881" s="22" t="s">
        <v>716</v>
      </c>
      <c r="P4881" s="22" t="s">
        <v>713</v>
      </c>
      <c r="Q4881" s="22" t="s">
        <v>1184</v>
      </c>
      <c r="R4881" s="22" t="s">
        <v>560</v>
      </c>
      <c r="S4881" s="22" t="s">
        <v>561</v>
      </c>
      <c r="X4881" s="26"/>
      <c r="Y4881" s="26"/>
    </row>
    <row r="4882" spans="1:25" x14ac:dyDescent="0.25">
      <c r="A4882" s="21">
        <v>9737</v>
      </c>
      <c r="B4882" s="22" t="s">
        <v>15343</v>
      </c>
      <c r="C4882" s="22" t="s">
        <v>717</v>
      </c>
      <c r="G4882" s="23" t="s">
        <v>718</v>
      </c>
      <c r="H4882" s="25" t="s">
        <v>16311</v>
      </c>
      <c r="I4882" s="22" t="s">
        <v>15411</v>
      </c>
      <c r="J4882" s="22" t="s">
        <v>676</v>
      </c>
      <c r="K4882" s="26">
        <v>400</v>
      </c>
      <c r="L4882" s="26">
        <v>400</v>
      </c>
      <c r="O4882" s="22" t="s">
        <v>719</v>
      </c>
      <c r="P4882" s="22" t="s">
        <v>713</v>
      </c>
      <c r="Q4882" s="22" t="s">
        <v>1184</v>
      </c>
      <c r="R4882" s="22" t="s">
        <v>560</v>
      </c>
      <c r="S4882" s="22" t="s">
        <v>561</v>
      </c>
      <c r="X4882" s="26"/>
      <c r="Y4882" s="26"/>
    </row>
    <row r="4883" spans="1:25" x14ac:dyDescent="0.25">
      <c r="A4883" s="21">
        <v>9738</v>
      </c>
      <c r="B4883" s="22" t="s">
        <v>15343</v>
      </c>
      <c r="C4883" s="22" t="s">
        <v>720</v>
      </c>
      <c r="G4883" s="23" t="s">
        <v>721</v>
      </c>
      <c r="H4883" s="25" t="s">
        <v>16311</v>
      </c>
      <c r="I4883" s="22" t="s">
        <v>15374</v>
      </c>
      <c r="J4883" s="22" t="s">
        <v>9230</v>
      </c>
      <c r="K4883" s="26">
        <v>750</v>
      </c>
      <c r="L4883" s="26">
        <v>750</v>
      </c>
      <c r="O4883" s="22" t="s">
        <v>722</v>
      </c>
      <c r="P4883" s="22" t="s">
        <v>713</v>
      </c>
      <c r="Q4883" s="22" t="s">
        <v>1184</v>
      </c>
      <c r="R4883" s="22" t="s">
        <v>560</v>
      </c>
      <c r="S4883" s="22" t="s">
        <v>561</v>
      </c>
      <c r="X4883" s="26"/>
      <c r="Y4883" s="26"/>
    </row>
    <row r="4884" spans="1:25" ht="25" x14ac:dyDescent="0.25">
      <c r="A4884" s="21">
        <v>9739</v>
      </c>
      <c r="B4884" s="22" t="s">
        <v>15343</v>
      </c>
      <c r="C4884" s="22" t="s">
        <v>723</v>
      </c>
      <c r="G4884" s="23" t="s">
        <v>724</v>
      </c>
      <c r="H4884" s="25" t="s">
        <v>16311</v>
      </c>
      <c r="I4884" s="22" t="s">
        <v>15374</v>
      </c>
      <c r="J4884" s="22" t="s">
        <v>14076</v>
      </c>
      <c r="K4884" s="26">
        <v>520</v>
      </c>
      <c r="L4884" s="26">
        <v>520</v>
      </c>
      <c r="O4884" s="22" t="s">
        <v>725</v>
      </c>
      <c r="P4884" s="22" t="s">
        <v>726</v>
      </c>
      <c r="Q4884" s="22">
        <v>90272</v>
      </c>
      <c r="R4884" s="22" t="s">
        <v>560</v>
      </c>
      <c r="S4884" s="22" t="s">
        <v>561</v>
      </c>
      <c r="X4884" s="26"/>
      <c r="Y4884" s="26"/>
    </row>
    <row r="4885" spans="1:25" x14ac:dyDescent="0.25">
      <c r="A4885" s="21">
        <v>9740</v>
      </c>
      <c r="B4885" s="22" t="s">
        <v>15343</v>
      </c>
      <c r="C4885" s="22" t="s">
        <v>727</v>
      </c>
      <c r="F4885" s="22" t="s">
        <v>728</v>
      </c>
      <c r="G4885" s="23" t="s">
        <v>729</v>
      </c>
      <c r="H4885" s="25" t="s">
        <v>16311</v>
      </c>
      <c r="I4885" s="22" t="s">
        <v>15382</v>
      </c>
      <c r="J4885" s="22" t="s">
        <v>730</v>
      </c>
      <c r="K4885" s="26">
        <v>300</v>
      </c>
      <c r="L4885" s="26">
        <v>300</v>
      </c>
      <c r="O4885" s="22" t="s">
        <v>731</v>
      </c>
      <c r="P4885" s="22" t="s">
        <v>7760</v>
      </c>
      <c r="Q4885" s="22" t="s">
        <v>732</v>
      </c>
      <c r="R4885" s="22" t="s">
        <v>560</v>
      </c>
      <c r="S4885" s="22" t="s">
        <v>561</v>
      </c>
      <c r="X4885" s="26"/>
      <c r="Y4885" s="26"/>
    </row>
    <row r="4886" spans="1:25" x14ac:dyDescent="0.25">
      <c r="A4886" s="21">
        <v>9741</v>
      </c>
      <c r="B4886" s="22" t="s">
        <v>15343</v>
      </c>
      <c r="C4886" s="22" t="s">
        <v>733</v>
      </c>
      <c r="F4886" s="22" t="s">
        <v>734</v>
      </c>
      <c r="G4886" s="23" t="s">
        <v>735</v>
      </c>
      <c r="H4886" s="25" t="s">
        <v>16311</v>
      </c>
      <c r="I4886" s="22" t="s">
        <v>15709</v>
      </c>
      <c r="J4886" s="22" t="s">
        <v>10092</v>
      </c>
      <c r="K4886" s="26">
        <v>750</v>
      </c>
      <c r="L4886" s="26">
        <v>750</v>
      </c>
      <c r="O4886" s="22" t="s">
        <v>736</v>
      </c>
      <c r="P4886" s="22" t="s">
        <v>737</v>
      </c>
      <c r="Q4886" s="22" t="s">
        <v>738</v>
      </c>
      <c r="R4886" s="22" t="s">
        <v>560</v>
      </c>
      <c r="S4886" s="22" t="s">
        <v>561</v>
      </c>
      <c r="X4886" s="26"/>
      <c r="Y4886" s="26"/>
    </row>
    <row r="4887" spans="1:25" ht="25" x14ac:dyDescent="0.25">
      <c r="A4887" s="21">
        <v>9742</v>
      </c>
      <c r="B4887" s="22" t="s">
        <v>15343</v>
      </c>
      <c r="C4887" s="22" t="s">
        <v>739</v>
      </c>
      <c r="G4887" s="23" t="s">
        <v>740</v>
      </c>
      <c r="H4887" s="25" t="s">
        <v>16311</v>
      </c>
      <c r="I4887" s="22" t="s">
        <v>15374</v>
      </c>
      <c r="J4887" s="22" t="s">
        <v>10290</v>
      </c>
      <c r="K4887" s="26">
        <v>500</v>
      </c>
      <c r="L4887" s="26">
        <v>500</v>
      </c>
      <c r="O4887" s="22" t="s">
        <v>741</v>
      </c>
      <c r="P4887" s="22" t="s">
        <v>742</v>
      </c>
      <c r="Q4887" s="22" t="s">
        <v>743</v>
      </c>
      <c r="R4887" s="22" t="s">
        <v>560</v>
      </c>
      <c r="S4887" s="22" t="s">
        <v>561</v>
      </c>
      <c r="X4887" s="26"/>
      <c r="Y4887" s="26"/>
    </row>
    <row r="4888" spans="1:25" ht="25" x14ac:dyDescent="0.25">
      <c r="A4888" s="21">
        <v>9744</v>
      </c>
      <c r="B4888" s="22" t="s">
        <v>15343</v>
      </c>
      <c r="C4888" s="22" t="s">
        <v>744</v>
      </c>
      <c r="F4888" s="22">
        <v>415015</v>
      </c>
      <c r="G4888" s="23" t="s">
        <v>745</v>
      </c>
      <c r="H4888" s="25" t="s">
        <v>16311</v>
      </c>
      <c r="I4888" s="22" t="s">
        <v>15382</v>
      </c>
      <c r="J4888" s="22" t="s">
        <v>10290</v>
      </c>
      <c r="K4888" s="26">
        <v>500</v>
      </c>
      <c r="L4888" s="26">
        <v>500</v>
      </c>
      <c r="O4888" s="22" t="s">
        <v>746</v>
      </c>
      <c r="P4888" s="22" t="s">
        <v>747</v>
      </c>
      <c r="Q4888" s="22" t="s">
        <v>748</v>
      </c>
      <c r="R4888" s="22" t="s">
        <v>560</v>
      </c>
      <c r="S4888" s="22" t="s">
        <v>561</v>
      </c>
      <c r="X4888" s="26"/>
      <c r="Y4888" s="26"/>
    </row>
    <row r="4889" spans="1:25" ht="25" x14ac:dyDescent="0.25">
      <c r="A4889" s="21">
        <v>9745</v>
      </c>
      <c r="B4889" s="22" t="s">
        <v>15343</v>
      </c>
      <c r="C4889" s="22" t="s">
        <v>749</v>
      </c>
      <c r="G4889" s="23" t="s">
        <v>750</v>
      </c>
      <c r="H4889" s="25" t="s">
        <v>16311</v>
      </c>
      <c r="I4889" s="22" t="s">
        <v>15374</v>
      </c>
      <c r="J4889" s="22" t="s">
        <v>10290</v>
      </c>
      <c r="K4889" s="26">
        <v>500</v>
      </c>
      <c r="L4889" s="26">
        <v>500</v>
      </c>
      <c r="O4889" s="22" t="s">
        <v>751</v>
      </c>
      <c r="P4889" s="22" t="s">
        <v>752</v>
      </c>
      <c r="Q4889" s="22" t="s">
        <v>753</v>
      </c>
      <c r="R4889" s="22" t="s">
        <v>560</v>
      </c>
      <c r="S4889" s="22" t="s">
        <v>561</v>
      </c>
      <c r="X4889" s="26"/>
      <c r="Y4889" s="26"/>
    </row>
    <row r="4890" spans="1:25" ht="25" x14ac:dyDescent="0.25">
      <c r="A4890" s="21">
        <v>9746</v>
      </c>
      <c r="B4890" s="22" t="s">
        <v>15343</v>
      </c>
      <c r="C4890" s="22" t="s">
        <v>754</v>
      </c>
      <c r="F4890" s="22" t="s">
        <v>755</v>
      </c>
      <c r="G4890" s="23" t="s">
        <v>756</v>
      </c>
      <c r="H4890" s="25" t="s">
        <v>16311</v>
      </c>
      <c r="I4890" s="22" t="s">
        <v>15374</v>
      </c>
      <c r="J4890" s="22" t="s">
        <v>10290</v>
      </c>
      <c r="K4890" s="26">
        <v>420</v>
      </c>
      <c r="L4890" s="26">
        <v>420</v>
      </c>
      <c r="O4890" s="22" t="s">
        <v>757</v>
      </c>
      <c r="P4890" s="22" t="s">
        <v>752</v>
      </c>
      <c r="Q4890" s="22" t="s">
        <v>758</v>
      </c>
      <c r="R4890" s="22" t="s">
        <v>560</v>
      </c>
      <c r="S4890" s="22" t="s">
        <v>561</v>
      </c>
      <c r="X4890" s="26"/>
      <c r="Y4890" s="26"/>
    </row>
    <row r="4891" spans="1:25" x14ac:dyDescent="0.25">
      <c r="A4891" s="21">
        <v>9747</v>
      </c>
      <c r="B4891" s="22" t="s">
        <v>15343</v>
      </c>
      <c r="C4891" s="22" t="s">
        <v>759</v>
      </c>
      <c r="F4891" s="22" t="s">
        <v>760</v>
      </c>
      <c r="G4891" s="23" t="s">
        <v>761</v>
      </c>
      <c r="H4891" s="25" t="s">
        <v>16311</v>
      </c>
      <c r="I4891" s="22" t="s">
        <v>15374</v>
      </c>
      <c r="J4891" s="22" t="s">
        <v>8802</v>
      </c>
      <c r="K4891" s="26">
        <v>300</v>
      </c>
      <c r="L4891" s="26">
        <v>300</v>
      </c>
      <c r="O4891" s="22" t="s">
        <v>762</v>
      </c>
      <c r="P4891" s="22" t="s">
        <v>7902</v>
      </c>
      <c r="Q4891" s="22" t="s">
        <v>763</v>
      </c>
      <c r="R4891" s="22" t="s">
        <v>560</v>
      </c>
      <c r="S4891" s="22" t="s">
        <v>561</v>
      </c>
      <c r="X4891" s="26"/>
      <c r="Y4891" s="26"/>
    </row>
    <row r="4892" spans="1:25" ht="25" x14ac:dyDescent="0.25">
      <c r="A4892" s="21">
        <v>9748</v>
      </c>
      <c r="B4892" s="22" t="s">
        <v>15343</v>
      </c>
      <c r="C4892" s="22" t="s">
        <v>764</v>
      </c>
      <c r="G4892" s="23" t="s">
        <v>765</v>
      </c>
      <c r="H4892" s="25" t="s">
        <v>16311</v>
      </c>
      <c r="I4892" s="22" t="s">
        <v>15411</v>
      </c>
      <c r="J4892" s="22" t="s">
        <v>166</v>
      </c>
      <c r="K4892" s="26">
        <v>400</v>
      </c>
      <c r="L4892" s="26">
        <v>400</v>
      </c>
      <c r="O4892" s="22" t="s">
        <v>766</v>
      </c>
      <c r="P4892" s="22" t="s">
        <v>1279</v>
      </c>
      <c r="Q4892" s="22" t="s">
        <v>767</v>
      </c>
      <c r="R4892" s="22" t="s">
        <v>560</v>
      </c>
      <c r="S4892" s="22" t="s">
        <v>561</v>
      </c>
      <c r="X4892" s="26"/>
      <c r="Y4892" s="26"/>
    </row>
    <row r="4893" spans="1:25" ht="25" x14ac:dyDescent="0.25">
      <c r="A4893" s="21">
        <v>9749</v>
      </c>
      <c r="B4893" s="22" t="s">
        <v>15343</v>
      </c>
      <c r="C4893" s="22" t="s">
        <v>768</v>
      </c>
      <c r="G4893" s="23" t="s">
        <v>769</v>
      </c>
      <c r="H4893" s="25" t="s">
        <v>16311</v>
      </c>
      <c r="I4893" s="22" t="s">
        <v>15374</v>
      </c>
      <c r="J4893" s="22" t="s">
        <v>15523</v>
      </c>
      <c r="K4893" s="26">
        <v>1250</v>
      </c>
      <c r="L4893" s="26">
        <v>1250</v>
      </c>
      <c r="O4893" s="22" t="s">
        <v>770</v>
      </c>
      <c r="P4893" s="22" t="s">
        <v>1279</v>
      </c>
      <c r="Q4893" s="22" t="s">
        <v>771</v>
      </c>
      <c r="R4893" s="22" t="s">
        <v>560</v>
      </c>
      <c r="S4893" s="22" t="s">
        <v>561</v>
      </c>
      <c r="X4893" s="26"/>
      <c r="Y4893" s="26"/>
    </row>
    <row r="4894" spans="1:25" ht="25" x14ac:dyDescent="0.25">
      <c r="A4894" s="21">
        <v>9750</v>
      </c>
      <c r="B4894" s="22" t="s">
        <v>15343</v>
      </c>
      <c r="C4894" s="22" t="s">
        <v>772</v>
      </c>
      <c r="G4894" s="23" t="s">
        <v>773</v>
      </c>
      <c r="H4894" s="25" t="s">
        <v>16311</v>
      </c>
      <c r="I4894" s="22" t="s">
        <v>15411</v>
      </c>
      <c r="J4894" s="22" t="s">
        <v>2305</v>
      </c>
      <c r="K4894" s="26">
        <v>500</v>
      </c>
      <c r="L4894" s="26">
        <v>500</v>
      </c>
      <c r="O4894" s="22" t="s">
        <v>774</v>
      </c>
      <c r="P4894" s="22" t="s">
        <v>1294</v>
      </c>
      <c r="Q4894" s="22" t="s">
        <v>775</v>
      </c>
      <c r="R4894" s="22" t="s">
        <v>560</v>
      </c>
      <c r="S4894" s="22" t="s">
        <v>561</v>
      </c>
      <c r="X4894" s="26"/>
      <c r="Y4894" s="26"/>
    </row>
    <row r="4895" spans="1:25" ht="25" x14ac:dyDescent="0.25">
      <c r="A4895" s="21">
        <v>9751</v>
      </c>
      <c r="B4895" s="22" t="s">
        <v>15343</v>
      </c>
      <c r="C4895" s="22" t="s">
        <v>776</v>
      </c>
      <c r="G4895" s="23" t="s">
        <v>777</v>
      </c>
      <c r="H4895" s="25" t="s">
        <v>16311</v>
      </c>
      <c r="I4895" s="22" t="s">
        <v>15374</v>
      </c>
      <c r="J4895" s="22" t="s">
        <v>569</v>
      </c>
      <c r="K4895" s="26">
        <v>300</v>
      </c>
      <c r="L4895" s="26">
        <v>300</v>
      </c>
      <c r="O4895" s="22" t="s">
        <v>778</v>
      </c>
      <c r="P4895" s="22" t="s">
        <v>779</v>
      </c>
      <c r="Q4895" s="22" t="s">
        <v>1214</v>
      </c>
      <c r="R4895" s="22" t="s">
        <v>560</v>
      </c>
      <c r="S4895" s="22" t="s">
        <v>561</v>
      </c>
      <c r="X4895" s="26"/>
      <c r="Y4895" s="26"/>
    </row>
    <row r="4896" spans="1:25" ht="25" x14ac:dyDescent="0.25">
      <c r="A4896" s="21">
        <v>9752</v>
      </c>
      <c r="B4896" s="22" t="s">
        <v>15343</v>
      </c>
      <c r="C4896" s="22" t="s">
        <v>780</v>
      </c>
      <c r="F4896" s="22" t="s">
        <v>781</v>
      </c>
      <c r="G4896" s="23" t="s">
        <v>782</v>
      </c>
      <c r="H4896" s="25" t="s">
        <v>16311</v>
      </c>
      <c r="I4896" s="22" t="s">
        <v>15382</v>
      </c>
      <c r="J4896" s="22" t="s">
        <v>17220</v>
      </c>
      <c r="K4896" s="26">
        <v>300</v>
      </c>
      <c r="L4896" s="26">
        <v>300</v>
      </c>
      <c r="O4896" s="22" t="s">
        <v>783</v>
      </c>
      <c r="P4896" s="22" t="s">
        <v>784</v>
      </c>
      <c r="Q4896" s="22" t="s">
        <v>785</v>
      </c>
      <c r="R4896" s="22" t="s">
        <v>560</v>
      </c>
      <c r="S4896" s="22" t="s">
        <v>561</v>
      </c>
      <c r="X4896" s="26"/>
      <c r="Y4896" s="26"/>
    </row>
    <row r="4897" spans="1:25" x14ac:dyDescent="0.25">
      <c r="A4897" s="21">
        <v>9754</v>
      </c>
      <c r="B4897" s="22" t="s">
        <v>15343</v>
      </c>
      <c r="C4897" s="22" t="s">
        <v>786</v>
      </c>
      <c r="F4897" s="22" t="s">
        <v>787</v>
      </c>
      <c r="G4897" s="23" t="s">
        <v>788</v>
      </c>
      <c r="H4897" s="25" t="s">
        <v>16311</v>
      </c>
      <c r="I4897" s="22" t="s">
        <v>15382</v>
      </c>
      <c r="J4897" s="22" t="s">
        <v>14850</v>
      </c>
      <c r="K4897" s="26">
        <v>300</v>
      </c>
      <c r="L4897" s="26">
        <v>300</v>
      </c>
      <c r="O4897" s="22" t="s">
        <v>789</v>
      </c>
      <c r="P4897" s="22" t="s">
        <v>790</v>
      </c>
      <c r="Q4897" s="22" t="s">
        <v>428</v>
      </c>
      <c r="R4897" s="22" t="s">
        <v>560</v>
      </c>
      <c r="S4897" s="22" t="s">
        <v>561</v>
      </c>
      <c r="X4897" s="26"/>
      <c r="Y4897" s="26"/>
    </row>
    <row r="4898" spans="1:25" x14ac:dyDescent="0.25">
      <c r="A4898" s="21">
        <v>9755</v>
      </c>
      <c r="B4898" s="22" t="s">
        <v>15343</v>
      </c>
      <c r="C4898" s="22" t="s">
        <v>791</v>
      </c>
      <c r="F4898" s="22" t="s">
        <v>792</v>
      </c>
      <c r="G4898" s="23" t="s">
        <v>793</v>
      </c>
      <c r="H4898" s="25" t="s">
        <v>16311</v>
      </c>
      <c r="I4898" s="22" t="s">
        <v>15374</v>
      </c>
      <c r="J4898" s="22" t="s">
        <v>794</v>
      </c>
      <c r="K4898" s="26">
        <v>300</v>
      </c>
      <c r="L4898" s="26">
        <v>300</v>
      </c>
      <c r="O4898" s="22" t="s">
        <v>795</v>
      </c>
      <c r="P4898" s="22" t="s">
        <v>6666</v>
      </c>
      <c r="Q4898" s="22" t="s">
        <v>796</v>
      </c>
      <c r="R4898" s="22" t="s">
        <v>560</v>
      </c>
      <c r="S4898" s="22" t="s">
        <v>561</v>
      </c>
      <c r="X4898" s="26"/>
      <c r="Y4898" s="26"/>
    </row>
    <row r="4899" spans="1:25" x14ac:dyDescent="0.25">
      <c r="A4899" s="21">
        <v>9756</v>
      </c>
      <c r="B4899" s="22" t="s">
        <v>15343</v>
      </c>
      <c r="C4899" s="22" t="s">
        <v>797</v>
      </c>
      <c r="F4899" s="22" t="s">
        <v>798</v>
      </c>
      <c r="G4899" s="23" t="s">
        <v>799</v>
      </c>
      <c r="H4899" s="25" t="s">
        <v>16311</v>
      </c>
      <c r="I4899" s="22" t="s">
        <v>15382</v>
      </c>
      <c r="J4899" s="22" t="s">
        <v>800</v>
      </c>
      <c r="K4899" s="26">
        <v>300</v>
      </c>
      <c r="L4899" s="26">
        <v>300</v>
      </c>
      <c r="O4899" s="22" t="s">
        <v>801</v>
      </c>
      <c r="P4899" s="22" t="s">
        <v>802</v>
      </c>
      <c r="Q4899" s="22" t="s">
        <v>16013</v>
      </c>
      <c r="R4899" s="22" t="s">
        <v>560</v>
      </c>
      <c r="S4899" s="22" t="s">
        <v>561</v>
      </c>
      <c r="X4899" s="26"/>
      <c r="Y4899" s="26"/>
    </row>
    <row r="4900" spans="1:25" ht="25" x14ac:dyDescent="0.25">
      <c r="A4900" s="21">
        <v>9757</v>
      </c>
      <c r="B4900" s="22" t="s">
        <v>15343</v>
      </c>
      <c r="C4900" s="22" t="s">
        <v>803</v>
      </c>
      <c r="G4900" s="23" t="s">
        <v>804</v>
      </c>
      <c r="H4900" s="25" t="s">
        <v>16311</v>
      </c>
      <c r="I4900" s="22" t="s">
        <v>15374</v>
      </c>
      <c r="J4900" s="22" t="s">
        <v>8802</v>
      </c>
      <c r="K4900" s="26">
        <v>300</v>
      </c>
      <c r="L4900" s="26">
        <v>300</v>
      </c>
      <c r="O4900" s="22" t="s">
        <v>805</v>
      </c>
      <c r="P4900" s="22" t="s">
        <v>806</v>
      </c>
      <c r="Q4900" s="22" t="s">
        <v>1198</v>
      </c>
      <c r="R4900" s="22" t="s">
        <v>560</v>
      </c>
      <c r="S4900" s="22" t="s">
        <v>561</v>
      </c>
      <c r="X4900" s="26"/>
      <c r="Y4900" s="26"/>
    </row>
    <row r="4901" spans="1:25" ht="25" x14ac:dyDescent="0.25">
      <c r="A4901" s="21">
        <v>9758</v>
      </c>
      <c r="B4901" s="22" t="s">
        <v>15343</v>
      </c>
      <c r="C4901" s="22" t="s">
        <v>807</v>
      </c>
      <c r="G4901" s="23" t="s">
        <v>808</v>
      </c>
      <c r="H4901" s="25" t="s">
        <v>16311</v>
      </c>
      <c r="I4901" s="22" t="s">
        <v>15374</v>
      </c>
      <c r="J4901" s="22" t="s">
        <v>809</v>
      </c>
      <c r="K4901" s="26">
        <v>1250</v>
      </c>
      <c r="L4901" s="26">
        <v>1250</v>
      </c>
      <c r="O4901" s="22" t="s">
        <v>810</v>
      </c>
      <c r="P4901" s="22" t="s">
        <v>806</v>
      </c>
      <c r="Q4901" s="22" t="s">
        <v>1198</v>
      </c>
      <c r="R4901" s="22" t="s">
        <v>560</v>
      </c>
      <c r="S4901" s="22" t="s">
        <v>561</v>
      </c>
      <c r="X4901" s="26"/>
      <c r="Y4901" s="26"/>
    </row>
    <row r="4902" spans="1:25" ht="25" x14ac:dyDescent="0.25">
      <c r="A4902" s="21">
        <v>9759</v>
      </c>
      <c r="B4902" s="22" t="s">
        <v>15343</v>
      </c>
      <c r="C4902" s="22" t="s">
        <v>811</v>
      </c>
      <c r="G4902" s="23" t="s">
        <v>812</v>
      </c>
      <c r="H4902" s="25" t="s">
        <v>16311</v>
      </c>
      <c r="I4902" s="22" t="s">
        <v>15374</v>
      </c>
      <c r="J4902" s="22" t="s">
        <v>8802</v>
      </c>
      <c r="K4902" s="26">
        <v>350</v>
      </c>
      <c r="L4902" s="26">
        <v>350</v>
      </c>
      <c r="O4902" s="22" t="s">
        <v>813</v>
      </c>
      <c r="P4902" s="22" t="s">
        <v>806</v>
      </c>
      <c r="Q4902" s="22" t="s">
        <v>1198</v>
      </c>
      <c r="R4902" s="22" t="s">
        <v>560</v>
      </c>
      <c r="S4902" s="22" t="s">
        <v>561</v>
      </c>
      <c r="X4902" s="26"/>
      <c r="Y4902" s="26"/>
    </row>
    <row r="4903" spans="1:25" ht="25" x14ac:dyDescent="0.25">
      <c r="A4903" s="21">
        <v>9760</v>
      </c>
      <c r="B4903" s="22" t="s">
        <v>15343</v>
      </c>
      <c r="C4903" s="22" t="s">
        <v>814</v>
      </c>
      <c r="G4903" s="23" t="s">
        <v>815</v>
      </c>
      <c r="H4903" s="25" t="s">
        <v>16311</v>
      </c>
      <c r="I4903" s="22" t="s">
        <v>15374</v>
      </c>
      <c r="J4903" s="22" t="s">
        <v>9230</v>
      </c>
      <c r="K4903" s="26">
        <v>750</v>
      </c>
      <c r="L4903" s="26">
        <v>750</v>
      </c>
      <c r="O4903" s="22" t="s">
        <v>816</v>
      </c>
      <c r="P4903" s="22" t="s">
        <v>806</v>
      </c>
      <c r="Q4903" s="22" t="s">
        <v>817</v>
      </c>
      <c r="R4903" s="22" t="s">
        <v>560</v>
      </c>
      <c r="S4903" s="22" t="s">
        <v>561</v>
      </c>
      <c r="X4903" s="26"/>
      <c r="Y4903" s="26"/>
    </row>
    <row r="4904" spans="1:25" x14ac:dyDescent="0.25">
      <c r="A4904" s="21">
        <v>9761</v>
      </c>
      <c r="B4904" s="22" t="s">
        <v>15343</v>
      </c>
      <c r="C4904" s="22" t="s">
        <v>818</v>
      </c>
      <c r="F4904" s="22" t="s">
        <v>819</v>
      </c>
      <c r="G4904" s="23" t="s">
        <v>820</v>
      </c>
      <c r="H4904" s="25" t="s">
        <v>16311</v>
      </c>
      <c r="I4904" s="22" t="s">
        <v>15374</v>
      </c>
      <c r="J4904" s="22" t="s">
        <v>821</v>
      </c>
      <c r="K4904" s="26">
        <v>300</v>
      </c>
      <c r="L4904" s="26">
        <v>300</v>
      </c>
      <c r="O4904" s="22" t="s">
        <v>822</v>
      </c>
      <c r="P4904" s="22" t="s">
        <v>823</v>
      </c>
      <c r="Q4904" s="22">
        <v>90290</v>
      </c>
      <c r="R4904" s="22" t="s">
        <v>560</v>
      </c>
      <c r="S4904" s="22" t="s">
        <v>561</v>
      </c>
      <c r="X4904" s="26"/>
      <c r="Y4904" s="26"/>
    </row>
    <row r="4905" spans="1:25" ht="25" x14ac:dyDescent="0.25">
      <c r="A4905" s="21">
        <v>9762</v>
      </c>
      <c r="B4905" s="22" t="s">
        <v>15343</v>
      </c>
      <c r="C4905" s="22" t="s">
        <v>824</v>
      </c>
      <c r="F4905" s="22" t="s">
        <v>825</v>
      </c>
      <c r="G4905" s="23" t="s">
        <v>826</v>
      </c>
      <c r="H4905" s="25" t="s">
        <v>16311</v>
      </c>
      <c r="I4905" s="22" t="s">
        <v>15374</v>
      </c>
      <c r="J4905" s="22" t="s">
        <v>614</v>
      </c>
      <c r="K4905" s="26">
        <v>300</v>
      </c>
      <c r="L4905" s="26">
        <v>300</v>
      </c>
      <c r="O4905" s="22" t="s">
        <v>827</v>
      </c>
      <c r="P4905" s="22" t="s">
        <v>828</v>
      </c>
      <c r="Q4905" s="22">
        <v>92277</v>
      </c>
      <c r="R4905" s="22" t="s">
        <v>560</v>
      </c>
      <c r="S4905" s="22" t="s">
        <v>561</v>
      </c>
      <c r="X4905" s="26"/>
      <c r="Y4905" s="26"/>
    </row>
    <row r="4906" spans="1:25" ht="25" x14ac:dyDescent="0.25">
      <c r="A4906" s="21">
        <v>9763</v>
      </c>
      <c r="B4906" s="22" t="s">
        <v>15343</v>
      </c>
      <c r="C4906" s="22" t="s">
        <v>829</v>
      </c>
      <c r="F4906" s="22" t="s">
        <v>1799</v>
      </c>
      <c r="G4906" s="23" t="s">
        <v>830</v>
      </c>
      <c r="H4906" s="25" t="s">
        <v>16311</v>
      </c>
      <c r="I4906" s="22" t="s">
        <v>15411</v>
      </c>
      <c r="J4906" s="22" t="s">
        <v>13637</v>
      </c>
      <c r="K4906" s="26">
        <v>1250</v>
      </c>
      <c r="L4906" s="26">
        <v>1250</v>
      </c>
      <c r="O4906" s="22" t="s">
        <v>831</v>
      </c>
      <c r="P4906" s="22" t="s">
        <v>832</v>
      </c>
      <c r="Q4906" s="22">
        <v>92392</v>
      </c>
      <c r="R4906" s="22" t="s">
        <v>560</v>
      </c>
      <c r="S4906" s="22" t="s">
        <v>561</v>
      </c>
      <c r="X4906" s="26"/>
      <c r="Y4906" s="26"/>
    </row>
    <row r="4907" spans="1:25" x14ac:dyDescent="0.25">
      <c r="A4907" s="21">
        <v>9764</v>
      </c>
      <c r="B4907" s="22" t="s">
        <v>15343</v>
      </c>
      <c r="C4907" s="22" t="s">
        <v>833</v>
      </c>
      <c r="G4907" s="23" t="s">
        <v>834</v>
      </c>
      <c r="H4907" s="25" t="s">
        <v>16311</v>
      </c>
      <c r="I4907" s="22" t="s">
        <v>15374</v>
      </c>
      <c r="J4907" s="22" t="s">
        <v>10290</v>
      </c>
      <c r="K4907" s="26">
        <v>500</v>
      </c>
      <c r="L4907" s="26">
        <v>500</v>
      </c>
      <c r="O4907" s="22" t="s">
        <v>835</v>
      </c>
      <c r="P4907" s="22" t="s">
        <v>7140</v>
      </c>
      <c r="Q4907" s="22" t="s">
        <v>836</v>
      </c>
      <c r="R4907" s="22" t="s">
        <v>560</v>
      </c>
      <c r="S4907" s="22" t="s">
        <v>561</v>
      </c>
      <c r="X4907" s="26"/>
      <c r="Y4907" s="26"/>
    </row>
  </sheetData>
  <hyperlinks>
    <hyperlink ref="Q4445" r:id="rId1" display="cstinson@dgs.ca.gov"/>
    <hyperlink ref="Q4446" r:id="rId2" display="cstinson@dgs.ca.gov"/>
    <hyperlink ref="M4815" r:id="rId3" display="cstinson@dgs.ca.gov"/>
    <hyperlink ref="M4813" r:id="rId4" display="lynn.westhoven@dgs.ca.gov"/>
    <hyperlink ref="U4816" r:id="rId5" display="cstinson@dgs.ca.gov"/>
    <hyperlink ref="U4815" r:id="rId6" display="lynn.westhoven@dgs.ca.gov"/>
  </hyperlinks>
  <printOptions horizontalCentered="1" gridLines="1"/>
  <pageMargins left="0.75" right="0.75" top="1" bottom="0.5" header="0.25" footer="0.25"/>
  <pageSetup scale="60" fitToHeight="100" pageOrder="overThenDown" orientation="landscape" r:id="rId7"/>
  <headerFooter alignWithMargins="0">
    <oddHeader>&amp;F</oddHeader>
    <oddFooter>&amp;CPage &amp;P of &amp;N</oddFooter>
  </headerFooter>
  <colBreaks count="1" manualBreakCount="1">
    <brk id="10"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Read me first!</vt:lpstr>
      <vt:lpstr>How Current</vt:lpstr>
      <vt:lpstr>Inventory</vt:lpstr>
      <vt:lpstr>'How Current'!Print_Area</vt:lpstr>
      <vt:lpstr>'Read me first!'!Print_Area</vt:lpstr>
      <vt:lpstr>Inventory!Print_Titles</vt:lpstr>
    </vt:vector>
  </TitlesOfParts>
  <Company>AQMD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 E. Karam</dc:creator>
  <cp:lastModifiedBy>Carina Negreanu</cp:lastModifiedBy>
  <cp:lastPrinted>2004-01-13T18:53:55Z</cp:lastPrinted>
  <dcterms:created xsi:type="dcterms:W3CDTF">2001-03-30T19:49:07Z</dcterms:created>
  <dcterms:modified xsi:type="dcterms:W3CDTF">2020-01-27T11:11:57Z</dcterms:modified>
</cp:coreProperties>
</file>