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3D17EF-6632-45AF-8E64-493F8A0BE60B}" xr6:coauthVersionLast="45" xr6:coauthVersionMax="45" xr10:uidLastSave="{00000000-0000-0000-0000-000000000000}"/>
  <bookViews>
    <workbookView xWindow="3420" yWindow="3420" windowWidth="28800" windowHeight="15460"/>
  </bookViews>
  <sheets>
    <sheet name="P5-21Blank" sheetId="2" r:id="rId1"/>
    <sheet name="P5-23Blank" sheetId="4" r:id="rId2"/>
    <sheet name="P5-35Blank" sheetId="9" r:id="rId3"/>
    <sheet name="P5-33BL" sheetId="21" r:id="rId4"/>
    <sheet name="Sheet2" sheetId="1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2" l="1"/>
  <c r="D10" i="2"/>
  <c r="D12" i="9"/>
  <c r="C10" i="9" s="1"/>
  <c r="C12" i="9" s="1"/>
  <c r="C20" i="9"/>
  <c r="D20" i="9"/>
  <c r="C31" i="9"/>
  <c r="D31" i="9"/>
  <c r="C38" i="9"/>
  <c r="D38" i="9"/>
</calcChain>
</file>

<file path=xl/sharedStrings.xml><?xml version="1.0" encoding="utf-8"?>
<sst xmlns="http://schemas.openxmlformats.org/spreadsheetml/2006/main" count="166" uniqueCount="133">
  <si>
    <t>Income Statement</t>
  </si>
  <si>
    <t>Consolidation entries</t>
  </si>
  <si>
    <t xml:space="preserve">Consolidated </t>
  </si>
  <si>
    <t>Allen</t>
  </si>
  <si>
    <t>Bowen</t>
  </si>
  <si>
    <t>Debit</t>
  </si>
  <si>
    <t>Credit</t>
  </si>
  <si>
    <t>Net Income</t>
  </si>
  <si>
    <t>Sales</t>
  </si>
  <si>
    <t>TI</t>
  </si>
  <si>
    <t>Cost of goods sold</t>
  </si>
  <si>
    <t>G</t>
  </si>
  <si>
    <t>G*</t>
  </si>
  <si>
    <t xml:space="preserve"> </t>
  </si>
  <si>
    <t>Operating expenses</t>
  </si>
  <si>
    <t>E</t>
  </si>
  <si>
    <t>Net income</t>
  </si>
  <si>
    <t>To eliminate intercompany sales.</t>
  </si>
  <si>
    <t>ending inventory.</t>
  </si>
  <si>
    <t>P5-21</t>
  </si>
  <si>
    <t>Cash</t>
  </si>
  <si>
    <t>To record sale of equipment to sub.</t>
  </si>
  <si>
    <t>To record purchase of equipment</t>
  </si>
  <si>
    <t>from parent.</t>
  </si>
  <si>
    <t xml:space="preserve">To record annual depreciation </t>
  </si>
  <si>
    <t>expense.</t>
  </si>
  <si>
    <t>To adjust asset back to historical cost,</t>
  </si>
  <si>
    <t>to reinstate accumulated depreciation</t>
  </si>
  <si>
    <t xml:space="preserve">at the time of the transfer, and to </t>
  </si>
  <si>
    <t>eliminate the gain.</t>
  </si>
  <si>
    <t>Computation:</t>
  </si>
  <si>
    <t xml:space="preserve">The second journal entry is also equal to the </t>
  </si>
  <si>
    <t>TA</t>
  </si>
  <si>
    <t>ED</t>
  </si>
  <si>
    <t>**********</t>
  </si>
  <si>
    <t>S</t>
  </si>
  <si>
    <t>A</t>
  </si>
  <si>
    <t>I</t>
  </si>
  <si>
    <t>inventory.</t>
  </si>
  <si>
    <t>beginning inventory.</t>
  </si>
  <si>
    <t>PARTIAL EQUITY METHOD</t>
  </si>
  <si>
    <t>Consolidation Entries</t>
  </si>
  <si>
    <t>Noncontrolling</t>
  </si>
  <si>
    <t xml:space="preserve">Consolidation </t>
  </si>
  <si>
    <t>Accounts</t>
  </si>
  <si>
    <t xml:space="preserve">Bumpus </t>
  </si>
  <si>
    <t>Keller</t>
  </si>
  <si>
    <t>Interest</t>
  </si>
  <si>
    <t>Totals</t>
  </si>
  <si>
    <t>Income of Keller Company</t>
  </si>
  <si>
    <t>Noncontrol. interest in Keller's income</t>
  </si>
  <si>
    <t>Statement of Retained Earnings</t>
  </si>
  <si>
    <t>TL</t>
  </si>
  <si>
    <t>Net income (above)</t>
  </si>
  <si>
    <t>Dividends paid</t>
  </si>
  <si>
    <t>D</t>
  </si>
  <si>
    <t>Balance Sheet</t>
  </si>
  <si>
    <t>Accounts receivable</t>
  </si>
  <si>
    <t>P</t>
  </si>
  <si>
    <t>Inventory</t>
  </si>
  <si>
    <t>Investment in Keller</t>
  </si>
  <si>
    <t>Land</t>
  </si>
  <si>
    <t xml:space="preserve">Buildings and equipment (net) </t>
  </si>
  <si>
    <t>Total Assets</t>
  </si>
  <si>
    <t>Liabilities</t>
  </si>
  <si>
    <t>Common stock</t>
  </si>
  <si>
    <t>Additional paid in capital</t>
  </si>
  <si>
    <t>Total Liabilities and Equity</t>
  </si>
  <si>
    <t>To eliminate intercompany subsidiary equity.</t>
  </si>
  <si>
    <t>To eliminate intercompany income recorded under the equity method.</t>
  </si>
  <si>
    <t>To eliminate intercompany dividends.</t>
  </si>
  <si>
    <t>To amortize the excess of cost over book value.</t>
  </si>
  <si>
    <t>To eliminate the effects of the intercompany</t>
  </si>
  <si>
    <t>transfer of land made in a prior year.</t>
  </si>
  <si>
    <t>To eliminate intercompany inventory sales.</t>
  </si>
  <si>
    <t xml:space="preserve">To remove the unrealized gain from the </t>
  </si>
  <si>
    <t>To recognize realized gain in beginning</t>
  </si>
  <si>
    <t>To eliminate intercompany receivable/</t>
  </si>
  <si>
    <t>payable.</t>
  </si>
  <si>
    <t>To recognize deferred gross profit  in the</t>
  </si>
  <si>
    <t>To adjust back to orig. cost &amp; related deprec.</t>
  </si>
  <si>
    <t>To adjust acc depreciation based on historical cost.</t>
  </si>
  <si>
    <t>Author's approach:</t>
  </si>
  <si>
    <t>To allocate the excess of cost over book value,</t>
  </si>
  <si>
    <t>net of prior years' amortization.</t>
  </si>
  <si>
    <t>*</t>
  </si>
  <si>
    <t>depreciation on the gain .</t>
  </si>
  <si>
    <t>P5-23 (continued)</t>
  </si>
  <si>
    <t>P5-23</t>
  </si>
  <si>
    <t>P5-35   Bumpus and Keller Consolidation Worksheet</t>
  </si>
  <si>
    <t>To defer gross profit in ending inventory.</t>
  </si>
  <si>
    <t>Consolidation Journal Entries (12/31/04):</t>
  </si>
  <si>
    <t>2002 Journal entries - Plimpton</t>
  </si>
  <si>
    <t>2002 Journal entries - Stanger</t>
  </si>
  <si>
    <t>Consolidation journal entries (12/31/02):</t>
  </si>
  <si>
    <t>Consolidation journal entries (12/31/04):</t>
  </si>
  <si>
    <t>As of December 31, 2004</t>
  </si>
  <si>
    <t>Retained earnings, 1/1/04</t>
  </si>
  <si>
    <t>Retained earnings, 12/31/04</t>
  </si>
  <si>
    <t>Noncontrolling interest (1/1/04)</t>
  </si>
  <si>
    <t>Noncontrolling interest (12/31/04)</t>
  </si>
  <si>
    <t>Consolidations journal entries at 12/31/04:</t>
  </si>
  <si>
    <t>Retained earnings</t>
  </si>
  <si>
    <t>To amortize excess of cost over book value.</t>
  </si>
  <si>
    <t>Customer list</t>
  </si>
  <si>
    <t>Noncontrolling interest in Keller's income:</t>
  </si>
  <si>
    <t>P5-33</t>
  </si>
  <si>
    <t>Allocation of purchase price:</t>
  </si>
  <si>
    <t>Acquisition price for 70% interest</t>
  </si>
  <si>
    <t>Less book value of interest acquired</t>
  </si>
  <si>
    <t>Total stockholders' equity</t>
  </si>
  <si>
    <t>x Interest acquired %</t>
  </si>
  <si>
    <t>Excess of cost over book value</t>
  </si>
  <si>
    <t>Less undervaluation of interest in building</t>
  </si>
  <si>
    <t>Franchise</t>
  </si>
  <si>
    <t>Annual depreciation and amortization:</t>
  </si>
  <si>
    <t>Consolidation worksheet entries:</t>
  </si>
  <si>
    <t>C*</t>
  </si>
  <si>
    <t>Investment in Young</t>
  </si>
  <si>
    <t>Retained earnings - Young (1/1/04)</t>
  </si>
  <si>
    <t>Retained earnings - Young (1/1/02)</t>
  </si>
  <si>
    <t>Change in retained earnings</t>
  </si>
  <si>
    <t>= Required adjustment to convert to partial equity</t>
  </si>
  <si>
    <t>To allocate the excess of cost over book value.</t>
  </si>
  <si>
    <t>To eliminate intercompany income,</t>
  </si>
  <si>
    <t>To eliminate intercompany equity.</t>
  </si>
  <si>
    <t>To defer gross profit in the ending inventory.</t>
  </si>
  <si>
    <t>To recognize profit in the beginning inventory.</t>
  </si>
  <si>
    <t>To adjust to original cost and eliminate gain.</t>
  </si>
  <si>
    <t>To adjust depreciation on transferred asset.</t>
  </si>
  <si>
    <t>Noncontrolling interests share of subsidiary net income:</t>
  </si>
  <si>
    <t xml:space="preserve">Building </t>
  </si>
  <si>
    <t xml:space="preserve">Franchise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</si>
</sst>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9" x14ac:knownFonts="1">
    <font>
      <sz val="10"/>
      <name val="Arial"/>
    </font>
    <font>
      <b/>
      <sz val="10"/>
      <name val="Arial"/>
    </font>
    <font>
      <sz val="10"/>
      <name val="Arial"/>
    </font>
    <font>
      <b/>
      <u/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i/>
      <u/>
      <sz val="10"/>
      <color indexed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173" fontId="1" fillId="0" borderId="0" xfId="1" applyNumberFormat="1" applyFont="1" applyBorder="1"/>
    <xf numFmtId="0" fontId="4" fillId="0" borderId="0" xfId="0" applyFont="1"/>
    <xf numFmtId="173" fontId="4" fillId="0" borderId="0" xfId="1" applyNumberFormat="1" applyFont="1"/>
    <xf numFmtId="0" fontId="5" fillId="0" borderId="0" xfId="0" applyFont="1"/>
    <xf numFmtId="14" fontId="4" fillId="0" borderId="0" xfId="0" applyNumberFormat="1" applyFont="1"/>
    <xf numFmtId="173" fontId="4" fillId="0" borderId="1" xfId="1" applyNumberFormat="1" applyFont="1" applyBorder="1"/>
    <xf numFmtId="173" fontId="4" fillId="0" borderId="2" xfId="1" applyNumberFormat="1" applyFont="1" applyBorder="1"/>
    <xf numFmtId="173" fontId="6" fillId="0" borderId="3" xfId="1" applyNumberFormat="1" applyFont="1" applyBorder="1"/>
    <xf numFmtId="0" fontId="6" fillId="0" borderId="0" xfId="0" applyFont="1"/>
    <xf numFmtId="0" fontId="6" fillId="0" borderId="4" xfId="0" applyFont="1" applyBorder="1" applyAlignment="1">
      <alignment horizontal="centerContinuous"/>
    </xf>
    <xf numFmtId="173" fontId="3" fillId="0" borderId="0" xfId="1" applyNumberFormat="1" applyFont="1" applyBorder="1" applyAlignment="1">
      <alignment horizontal="centerContinuous"/>
    </xf>
    <xf numFmtId="173" fontId="6" fillId="0" borderId="0" xfId="1" applyNumberFormat="1" applyFont="1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173" fontId="6" fillId="0" borderId="5" xfId="0" applyNumberFormat="1" applyFont="1" applyBorder="1" applyAlignment="1">
      <alignment horizontal="centerContinuous"/>
    </xf>
    <xf numFmtId="0" fontId="7" fillId="0" borderId="6" xfId="0" applyFont="1" applyBorder="1"/>
    <xf numFmtId="173" fontId="6" fillId="0" borderId="7" xfId="1" applyNumberFormat="1" applyFont="1" applyBorder="1" applyAlignment="1">
      <alignment horizontal="centerContinuous"/>
    </xf>
    <xf numFmtId="173" fontId="6" fillId="0" borderId="3" xfId="1" applyNumberFormat="1" applyFont="1" applyBorder="1" applyAlignment="1">
      <alignment horizontal="centerContinuous"/>
    </xf>
    <xf numFmtId="173" fontId="6" fillId="0" borderId="8" xfId="0" applyNumberFormat="1" applyFont="1" applyBorder="1" applyAlignment="1">
      <alignment horizontal="center"/>
    </xf>
    <xf numFmtId="0" fontId="6" fillId="0" borderId="9" xfId="0" applyFont="1" applyBorder="1"/>
    <xf numFmtId="173" fontId="6" fillId="0" borderId="10" xfId="1" applyNumberFormat="1" applyFont="1" applyBorder="1" applyAlignment="1">
      <alignment horizontal="center"/>
    </xf>
    <xf numFmtId="173" fontId="6" fillId="0" borderId="10" xfId="1" applyNumberFormat="1" applyFont="1" applyBorder="1"/>
    <xf numFmtId="173" fontId="6" fillId="0" borderId="11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73" fontId="6" fillId="0" borderId="0" xfId="1" applyNumberFormat="1" applyFont="1" applyBorder="1" applyAlignment="1">
      <alignment horizontal="center"/>
    </xf>
    <xf numFmtId="173" fontId="6" fillId="0" borderId="0" xfId="1" applyNumberFormat="1" applyFont="1" applyBorder="1"/>
    <xf numFmtId="173" fontId="6" fillId="0" borderId="5" xfId="0" applyNumberFormat="1" applyFont="1" applyBorder="1" applyAlignment="1">
      <alignment horizontal="center"/>
    </xf>
    <xf numFmtId="0" fontId="6" fillId="0" borderId="4" xfId="0" applyFont="1" applyBorder="1"/>
    <xf numFmtId="173" fontId="6" fillId="0" borderId="1" xfId="1" applyNumberFormat="1" applyFont="1" applyBorder="1" applyAlignment="1">
      <alignment horizontal="center"/>
    </xf>
    <xf numFmtId="173" fontId="6" fillId="0" borderId="12" xfId="0" applyNumberFormat="1" applyFont="1" applyBorder="1" applyAlignment="1">
      <alignment horizontal="center"/>
    </xf>
    <xf numFmtId="0" fontId="6" fillId="0" borderId="0" xfId="0" applyFont="1" applyBorder="1"/>
    <xf numFmtId="173" fontId="6" fillId="0" borderId="5" xfId="0" applyNumberFormat="1" applyFont="1" applyBorder="1"/>
    <xf numFmtId="0" fontId="6" fillId="0" borderId="4" xfId="0" applyFont="1" applyBorder="1" applyAlignment="1">
      <alignment horizontal="center"/>
    </xf>
    <xf numFmtId="173" fontId="6" fillId="0" borderId="1" xfId="1" applyNumberFormat="1" applyFont="1" applyBorder="1"/>
    <xf numFmtId="173" fontId="6" fillId="0" borderId="12" xfId="0" applyNumberFormat="1" applyFont="1" applyBorder="1"/>
    <xf numFmtId="173" fontId="6" fillId="0" borderId="0" xfId="1" applyNumberFormat="1" applyFont="1" applyBorder="1" applyAlignment="1"/>
    <xf numFmtId="173" fontId="3" fillId="0" borderId="0" xfId="1" applyNumberFormat="1" applyFont="1" applyBorder="1" applyAlignment="1">
      <alignment horizontal="center"/>
    </xf>
    <xf numFmtId="173" fontId="6" fillId="0" borderId="0" xfId="0" applyNumberFormat="1" applyFont="1" applyBorder="1"/>
    <xf numFmtId="0" fontId="3" fillId="0" borderId="0" xfId="0" applyFont="1" applyBorder="1"/>
    <xf numFmtId="0" fontId="8" fillId="0" borderId="0" xfId="0" applyFont="1" applyBorder="1"/>
    <xf numFmtId="173" fontId="8" fillId="0" borderId="0" xfId="1" applyNumberFormat="1" applyFont="1" applyBorder="1"/>
    <xf numFmtId="173" fontId="6" fillId="0" borderId="0" xfId="1" applyNumberFormat="1" applyFont="1"/>
    <xf numFmtId="173" fontId="6" fillId="0" borderId="0" xfId="0" applyNumberFormat="1" applyFont="1"/>
    <xf numFmtId="0" fontId="6" fillId="0" borderId="0" xfId="0" applyFont="1" applyAlignment="1"/>
    <xf numFmtId="0" fontId="6" fillId="0" borderId="0" xfId="0" applyFont="1" applyBorder="1" applyAlignment="1"/>
    <xf numFmtId="49" fontId="6" fillId="0" borderId="0" xfId="0" applyNumberFormat="1" applyFont="1" applyBorder="1" applyAlignment="1"/>
    <xf numFmtId="0" fontId="3" fillId="0" borderId="0" xfId="0" applyFont="1" applyBorder="1" applyAlignment="1">
      <alignment horizontal="centerContinuous"/>
    </xf>
    <xf numFmtId="173" fontId="6" fillId="0" borderId="0" xfId="0" applyNumberFormat="1" applyFont="1" applyBorder="1" applyAlignment="1">
      <alignment horizontal="centerContinuous"/>
    </xf>
    <xf numFmtId="173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Continuous"/>
    </xf>
    <xf numFmtId="49" fontId="6" fillId="0" borderId="0" xfId="0" applyNumberFormat="1" applyFont="1" applyBorder="1" applyAlignment="1">
      <alignment horizontal="centerContinuous"/>
    </xf>
    <xf numFmtId="0" fontId="0" fillId="0" borderId="0" xfId="0" applyBorder="1"/>
    <xf numFmtId="0" fontId="6" fillId="0" borderId="9" xfId="0" applyFont="1" applyBorder="1" applyAlignment="1">
      <alignment horizontal="center"/>
    </xf>
    <xf numFmtId="173" fontId="6" fillId="0" borderId="13" xfId="1" applyNumberFormat="1" applyFont="1" applyBorder="1"/>
    <xf numFmtId="0" fontId="0" fillId="0" borderId="10" xfId="0" applyBorder="1"/>
    <xf numFmtId="173" fontId="6" fillId="0" borderId="14" xfId="0" applyNumberFormat="1" applyFont="1" applyBorder="1"/>
    <xf numFmtId="173" fontId="3" fillId="0" borderId="0" xfId="1" applyNumberFormat="1" applyFont="1" applyAlignment="1">
      <alignment horizontal="centerContinuous"/>
    </xf>
    <xf numFmtId="173" fontId="6" fillId="0" borderId="0" xfId="1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173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73" fontId="6" fillId="0" borderId="1" xfId="0" applyNumberFormat="1" applyFont="1" applyBorder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173" fontId="4" fillId="0" borderId="15" xfId="1" applyNumberFormat="1" applyFont="1" applyBorder="1"/>
    <xf numFmtId="9" fontId="4" fillId="0" borderId="15" xfId="2" applyFont="1" applyBorder="1"/>
    <xf numFmtId="0" fontId="4" fillId="0" borderId="0" xfId="0" quotePrefix="1" applyFont="1" applyAlignment="1">
      <alignment horizontal="left" indent="1"/>
    </xf>
    <xf numFmtId="0" fontId="4" fillId="0" borderId="15" xfId="0" applyFont="1" applyBorder="1"/>
    <xf numFmtId="173" fontId="4" fillId="0" borderId="16" xfId="1" applyNumberFormat="1" applyFont="1" applyBorder="1"/>
    <xf numFmtId="173" fontId="4" fillId="0" borderId="17" xfId="1" applyNumberFormat="1" applyFont="1" applyBorder="1"/>
    <xf numFmtId="173" fontId="4" fillId="0" borderId="0" xfId="1" applyNumberFormat="1" applyFont="1" applyBorder="1"/>
    <xf numFmtId="173" fontId="4" fillId="0" borderId="18" xfId="1" applyNumberFormat="1" applyFont="1" applyBorder="1"/>
    <xf numFmtId="0" fontId="4" fillId="0" borderId="15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B9" sqref="B9"/>
    </sheetView>
  </sheetViews>
  <sheetFormatPr defaultColWidth="9.1796875" defaultRowHeight="13" x14ac:dyDescent="0.3"/>
  <cols>
    <col min="1" max="1" width="6" style="10" customWidth="1"/>
    <col min="2" max="2" width="42" style="10" customWidth="1"/>
    <col min="3" max="4" width="11.7265625" style="43" bestFit="1" customWidth="1"/>
    <col min="5" max="5" width="3.453125" style="43" customWidth="1"/>
    <col min="6" max="6" width="11.1796875" style="43" customWidth="1"/>
    <col min="7" max="7" width="3" style="10" customWidth="1"/>
    <col min="8" max="8" width="12.7265625" style="43" customWidth="1"/>
    <col min="9" max="9" width="14.453125" style="10" customWidth="1"/>
    <col min="10" max="16384" width="9.1796875" style="10"/>
  </cols>
  <sheetData>
    <row r="1" spans="1:9" x14ac:dyDescent="0.3">
      <c r="A1" s="10" t="s">
        <v>19</v>
      </c>
    </row>
    <row r="2" spans="1:9" x14ac:dyDescent="0.3">
      <c r="C2" s="59" t="s">
        <v>0</v>
      </c>
      <c r="D2" s="60"/>
      <c r="E2" s="60"/>
      <c r="F2" s="59" t="s">
        <v>1</v>
      </c>
      <c r="G2" s="61"/>
      <c r="H2" s="60"/>
      <c r="I2" s="62" t="s">
        <v>2</v>
      </c>
    </row>
    <row r="3" spans="1:9" x14ac:dyDescent="0.3">
      <c r="C3" s="63" t="s">
        <v>3</v>
      </c>
      <c r="D3" s="63" t="s">
        <v>4</v>
      </c>
      <c r="E3" s="63"/>
      <c r="F3" s="63" t="s">
        <v>5</v>
      </c>
      <c r="G3" s="64"/>
      <c r="H3" s="63" t="s">
        <v>6</v>
      </c>
      <c r="I3" s="64" t="s">
        <v>7</v>
      </c>
    </row>
    <row r="4" spans="1:9" x14ac:dyDescent="0.3">
      <c r="B4" s="10" t="s">
        <v>8</v>
      </c>
      <c r="C4" s="43">
        <v>-900000</v>
      </c>
      <c r="D4" s="43">
        <v>-500000</v>
      </c>
      <c r="I4" s="44"/>
    </row>
    <row r="5" spans="1:9" x14ac:dyDescent="0.3">
      <c r="B5" s="10" t="s">
        <v>10</v>
      </c>
      <c r="C5" s="43">
        <v>400000</v>
      </c>
      <c r="D5" s="43">
        <v>300000</v>
      </c>
      <c r="I5" s="44"/>
    </row>
    <row r="6" spans="1:9" x14ac:dyDescent="0.3">
      <c r="I6" s="44"/>
    </row>
    <row r="7" spans="1:9" x14ac:dyDescent="0.3">
      <c r="B7" s="10" t="s">
        <v>14</v>
      </c>
      <c r="C7" s="43">
        <v>300000</v>
      </c>
      <c r="D7" s="43">
        <v>120000</v>
      </c>
      <c r="I7" s="44"/>
    </row>
    <row r="8" spans="1:9" x14ac:dyDescent="0.3">
      <c r="I8" s="44"/>
    </row>
    <row r="9" spans="1:9" x14ac:dyDescent="0.3">
      <c r="I9" s="44"/>
    </row>
    <row r="10" spans="1:9" ht="13.5" thickBot="1" x14ac:dyDescent="0.35">
      <c r="B10" s="10" t="s">
        <v>16</v>
      </c>
      <c r="C10" s="35">
        <f>SUM(C4:C9)</f>
        <v>-200000</v>
      </c>
      <c r="D10" s="35">
        <f>SUM(D4:D9)</f>
        <v>-80000</v>
      </c>
      <c r="E10" s="27"/>
      <c r="I10" s="65"/>
    </row>
    <row r="11" spans="1:9" ht="13.5" thickTop="1" x14ac:dyDescent="0.3"/>
    <row r="12" spans="1:9" x14ac:dyDescent="0.3">
      <c r="B12" s="1" t="s">
        <v>91</v>
      </c>
    </row>
    <row r="13" spans="1:9" x14ac:dyDescent="0.3">
      <c r="A13" s="10" t="s">
        <v>9</v>
      </c>
    </row>
    <row r="15" spans="1:9" x14ac:dyDescent="0.3">
      <c r="B15" s="10" t="s">
        <v>17</v>
      </c>
    </row>
    <row r="17" spans="1:2" x14ac:dyDescent="0.3">
      <c r="A17" s="10" t="s">
        <v>11</v>
      </c>
    </row>
    <row r="20" spans="1:2" x14ac:dyDescent="0.3">
      <c r="B20" s="10" t="s">
        <v>90</v>
      </c>
    </row>
    <row r="22" spans="1:2" x14ac:dyDescent="0.3">
      <c r="A22" s="10" t="s">
        <v>12</v>
      </c>
    </row>
    <row r="25" spans="1:2" x14ac:dyDescent="0.3">
      <c r="B25" s="10" t="s">
        <v>79</v>
      </c>
    </row>
    <row r="26" spans="1:2" x14ac:dyDescent="0.3">
      <c r="B26" s="10" t="s">
        <v>39</v>
      </c>
    </row>
    <row r="28" spans="1:2" x14ac:dyDescent="0.3">
      <c r="A28" s="10" t="s">
        <v>15</v>
      </c>
    </row>
    <row r="30" spans="1:2" x14ac:dyDescent="0.3">
      <c r="B30" s="10" t="s">
        <v>103</v>
      </c>
    </row>
    <row r="37" spans="1:1" x14ac:dyDescent="0.3">
      <c r="A37" s="10" t="s">
        <v>85</v>
      </c>
    </row>
  </sheetData>
  <phoneticPr fontId="0" type="noConversion"/>
  <printOptions gridLines="1"/>
  <pageMargins left="0.75" right="0.75" top="1" bottom="1" header="0.5" footer="0.5"/>
  <pageSetup orientation="landscape" horizontalDpi="360" verticalDpi="360" r:id="rId1"/>
  <headerFooter alignWithMargins="0">
    <oddHeader xml:space="preserve">&amp;CActy 511
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workbookViewId="0">
      <selection activeCell="B9" sqref="B9"/>
    </sheetView>
  </sheetViews>
  <sheetFormatPr defaultColWidth="9.1796875" defaultRowHeight="15.5" x14ac:dyDescent="0.35"/>
  <cols>
    <col min="1" max="1" width="12.54296875" style="3" customWidth="1"/>
    <col min="2" max="2" width="47" style="3" customWidth="1"/>
    <col min="3" max="3" width="14.453125" style="4" customWidth="1"/>
    <col min="4" max="4" width="14.26953125" style="4" customWidth="1"/>
    <col min="5" max="16384" width="9.1796875" style="3"/>
  </cols>
  <sheetData>
    <row r="1" spans="1:2" x14ac:dyDescent="0.35">
      <c r="A1" s="3" t="s">
        <v>88</v>
      </c>
    </row>
    <row r="2" spans="1:2" x14ac:dyDescent="0.35">
      <c r="A2" s="5" t="s">
        <v>92</v>
      </c>
    </row>
    <row r="3" spans="1:2" x14ac:dyDescent="0.35">
      <c r="A3" s="6">
        <v>37257</v>
      </c>
    </row>
    <row r="7" spans="1:2" x14ac:dyDescent="0.35">
      <c r="B7" s="3" t="s">
        <v>21</v>
      </c>
    </row>
    <row r="9" spans="1:2" x14ac:dyDescent="0.35">
      <c r="A9" s="5" t="s">
        <v>93</v>
      </c>
    </row>
    <row r="10" spans="1:2" x14ac:dyDescent="0.35">
      <c r="A10" s="6">
        <v>37257</v>
      </c>
    </row>
    <row r="12" spans="1:2" x14ac:dyDescent="0.35">
      <c r="B12" s="3" t="s">
        <v>22</v>
      </c>
    </row>
    <row r="13" spans="1:2" x14ac:dyDescent="0.35">
      <c r="B13" s="3" t="s">
        <v>23</v>
      </c>
    </row>
    <row r="15" spans="1:2" x14ac:dyDescent="0.35">
      <c r="A15" s="6">
        <v>37621</v>
      </c>
    </row>
    <row r="18" spans="1:2" x14ac:dyDescent="0.35">
      <c r="B18" s="3" t="s">
        <v>24</v>
      </c>
    </row>
    <row r="19" spans="1:2" x14ac:dyDescent="0.35">
      <c r="B19" s="3" t="s">
        <v>25</v>
      </c>
    </row>
    <row r="21" spans="1:2" x14ac:dyDescent="0.35">
      <c r="A21" s="5" t="s">
        <v>94</v>
      </c>
    </row>
    <row r="25" spans="1:2" x14ac:dyDescent="0.35">
      <c r="B25" s="3" t="s">
        <v>26</v>
      </c>
    </row>
    <row r="26" spans="1:2" x14ac:dyDescent="0.35">
      <c r="B26" s="3" t="s">
        <v>27</v>
      </c>
    </row>
    <row r="27" spans="1:2" x14ac:dyDescent="0.35">
      <c r="B27" s="3" t="s">
        <v>28</v>
      </c>
    </row>
    <row r="28" spans="1:2" x14ac:dyDescent="0.35">
      <c r="B28" s="3" t="s">
        <v>29</v>
      </c>
    </row>
    <row r="32" spans="1:2" x14ac:dyDescent="0.35">
      <c r="B32" s="3" t="s">
        <v>30</v>
      </c>
    </row>
    <row r="36" spans="1:4" ht="16" thickBot="1" x14ac:dyDescent="0.4">
      <c r="D36" s="7"/>
    </row>
    <row r="37" spans="1:4" ht="16" thickTop="1" x14ac:dyDescent="0.35"/>
    <row r="38" spans="1:4" x14ac:dyDescent="0.35">
      <c r="B38" s="3" t="s">
        <v>31</v>
      </c>
    </row>
    <row r="39" spans="1:4" x14ac:dyDescent="0.35">
      <c r="B39" s="3" t="s">
        <v>86</v>
      </c>
    </row>
    <row r="40" spans="1:4" ht="16" thickBot="1" x14ac:dyDescent="0.4">
      <c r="D40" s="8"/>
    </row>
    <row r="41" spans="1:4" ht="16" thickTop="1" x14ac:dyDescent="0.35"/>
    <row r="42" spans="1:4" x14ac:dyDescent="0.35">
      <c r="A42" s="3" t="s">
        <v>87</v>
      </c>
    </row>
    <row r="43" spans="1:4" x14ac:dyDescent="0.35">
      <c r="A43" s="5" t="s">
        <v>95</v>
      </c>
    </row>
    <row r="44" spans="1:4" x14ac:dyDescent="0.35">
      <c r="A44" s="3" t="s">
        <v>32</v>
      </c>
    </row>
    <row r="47" spans="1:4" x14ac:dyDescent="0.35">
      <c r="B47" s="3" t="s">
        <v>80</v>
      </c>
    </row>
    <row r="49" spans="1:2" x14ac:dyDescent="0.35">
      <c r="A49" s="3" t="s">
        <v>33</v>
      </c>
    </row>
    <row r="51" spans="1:2" x14ac:dyDescent="0.35">
      <c r="A51" s="3" t="s">
        <v>13</v>
      </c>
    </row>
    <row r="52" spans="1:2" x14ac:dyDescent="0.35">
      <c r="A52" s="3" t="s">
        <v>34</v>
      </c>
      <c r="B52" s="3" t="s">
        <v>81</v>
      </c>
    </row>
    <row r="54" spans="1:2" x14ac:dyDescent="0.35">
      <c r="A54" s="3" t="s">
        <v>82</v>
      </c>
    </row>
    <row r="55" spans="1:2" x14ac:dyDescent="0.35">
      <c r="A55" s="3" t="s">
        <v>32</v>
      </c>
    </row>
    <row r="59" spans="1:2" x14ac:dyDescent="0.35">
      <c r="A59" s="3" t="s">
        <v>33</v>
      </c>
    </row>
    <row r="72" spans="1:1" x14ac:dyDescent="0.35">
      <c r="A72" s="3" t="s">
        <v>85</v>
      </c>
    </row>
  </sheetData>
  <phoneticPr fontId="0" type="noConversion"/>
  <printOptions horizontalCentered="1" gridLines="1"/>
  <pageMargins left="0.75" right="0.75" top="1" bottom="1" header="0.5" footer="0.5"/>
  <pageSetup orientation="portrait" horizontalDpi="360" verticalDpi="360" r:id="rId1"/>
  <headerFooter alignWithMargins="0">
    <oddHeader xml:space="preserve">&amp;CActy 511
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4"/>
  <sheetViews>
    <sheetView topLeftCell="A71" workbookViewId="0">
      <selection activeCell="B92" sqref="B92:D93"/>
    </sheetView>
  </sheetViews>
  <sheetFormatPr defaultColWidth="9.1796875" defaultRowHeight="13" x14ac:dyDescent="0.3"/>
  <cols>
    <col min="1" max="1" width="3.26953125" style="10" customWidth="1"/>
    <col min="2" max="2" width="37.81640625" style="10" customWidth="1"/>
    <col min="3" max="3" width="10.81640625" style="43" customWidth="1"/>
    <col min="4" max="4" width="11.453125" style="43" customWidth="1"/>
    <col min="5" max="5" width="4.453125" style="43" bestFit="1" customWidth="1"/>
    <col min="6" max="6" width="10.1796875" style="43" customWidth="1"/>
    <col min="7" max="7" width="4.453125" style="43" bestFit="1" customWidth="1"/>
    <col min="8" max="8" width="10.54296875" style="43" customWidth="1"/>
    <col min="9" max="9" width="15.453125" style="43" customWidth="1"/>
    <col min="10" max="10" width="15.1796875" style="10" customWidth="1"/>
    <col min="11" max="16384" width="9.1796875" style="10"/>
  </cols>
  <sheetData>
    <row r="1" spans="1:10" x14ac:dyDescent="0.3">
      <c r="A1" s="29"/>
      <c r="B1" s="14" t="s">
        <v>89</v>
      </c>
      <c r="C1" s="12"/>
      <c r="D1" s="12"/>
      <c r="E1" s="12"/>
      <c r="F1" s="12"/>
      <c r="G1" s="12"/>
      <c r="H1" s="12"/>
      <c r="I1" s="12"/>
      <c r="J1" s="15"/>
    </row>
    <row r="2" spans="1:10" ht="13.5" thickBot="1" x14ac:dyDescent="0.35">
      <c r="A2" s="29"/>
      <c r="B2" s="11" t="s">
        <v>96</v>
      </c>
      <c r="C2" s="13"/>
      <c r="D2" s="13"/>
      <c r="E2" s="13"/>
      <c r="F2" s="13"/>
      <c r="G2" s="13"/>
      <c r="H2" s="13"/>
      <c r="I2" s="13"/>
      <c r="J2" s="16"/>
    </row>
    <row r="3" spans="1:10" ht="13.5" thickBot="1" x14ac:dyDescent="0.35">
      <c r="A3" s="29"/>
      <c r="B3" s="17" t="s">
        <v>40</v>
      </c>
      <c r="C3" s="9"/>
      <c r="D3" s="9"/>
      <c r="E3" s="18" t="s">
        <v>41</v>
      </c>
      <c r="F3" s="18"/>
      <c r="G3" s="18"/>
      <c r="H3" s="18"/>
      <c r="I3" s="19" t="s">
        <v>42</v>
      </c>
      <c r="J3" s="20" t="s">
        <v>43</v>
      </c>
    </row>
    <row r="4" spans="1:10" ht="13.5" thickBot="1" x14ac:dyDescent="0.35">
      <c r="A4" s="29"/>
      <c r="B4" s="21" t="s">
        <v>44</v>
      </c>
      <c r="C4" s="22" t="s">
        <v>45</v>
      </c>
      <c r="D4" s="22" t="s">
        <v>46</v>
      </c>
      <c r="E4" s="23"/>
      <c r="F4" s="22" t="s">
        <v>5</v>
      </c>
      <c r="G4" s="22"/>
      <c r="H4" s="22" t="s">
        <v>6</v>
      </c>
      <c r="I4" s="22" t="s">
        <v>47</v>
      </c>
      <c r="J4" s="24" t="s">
        <v>48</v>
      </c>
    </row>
    <row r="5" spans="1:10" x14ac:dyDescent="0.3">
      <c r="A5" s="29"/>
      <c r="B5" s="25" t="s">
        <v>0</v>
      </c>
      <c r="C5" s="26"/>
      <c r="D5" s="26"/>
      <c r="E5" s="27"/>
      <c r="F5" s="26"/>
      <c r="G5" s="26"/>
      <c r="H5" s="26"/>
      <c r="I5" s="26"/>
      <c r="J5" s="28"/>
    </row>
    <row r="6" spans="1:10" x14ac:dyDescent="0.3">
      <c r="A6" s="29"/>
      <c r="B6" s="29" t="s">
        <v>8</v>
      </c>
      <c r="C6" s="26">
        <v>-800000</v>
      </c>
      <c r="D6" s="26">
        <v>-500000</v>
      </c>
      <c r="E6" s="27"/>
      <c r="F6" s="26"/>
      <c r="G6" s="26"/>
      <c r="H6" s="26"/>
      <c r="I6" s="26"/>
      <c r="J6" s="28"/>
    </row>
    <row r="7" spans="1:10" x14ac:dyDescent="0.3">
      <c r="A7" s="29"/>
      <c r="B7" s="29" t="s">
        <v>10</v>
      </c>
      <c r="C7" s="26">
        <v>500000</v>
      </c>
      <c r="D7" s="26">
        <v>300000</v>
      </c>
      <c r="E7" s="27"/>
      <c r="F7" s="26"/>
      <c r="G7" s="26"/>
      <c r="H7" s="26"/>
      <c r="I7" s="26"/>
      <c r="J7" s="28"/>
    </row>
    <row r="8" spans="1:10" x14ac:dyDescent="0.3">
      <c r="A8" s="29"/>
      <c r="B8" s="29"/>
      <c r="C8" s="26"/>
      <c r="D8" s="26"/>
      <c r="E8" s="27"/>
      <c r="F8" s="26"/>
      <c r="G8" s="26"/>
      <c r="H8" s="26"/>
      <c r="I8" s="26"/>
      <c r="J8" s="28"/>
    </row>
    <row r="9" spans="1:10" x14ac:dyDescent="0.3">
      <c r="A9" s="29"/>
      <c r="B9" s="29" t="s">
        <v>14</v>
      </c>
      <c r="C9" s="26">
        <v>100000</v>
      </c>
      <c r="D9" s="26">
        <v>60000</v>
      </c>
      <c r="E9" s="27"/>
      <c r="F9" s="26"/>
      <c r="G9" s="26"/>
      <c r="H9" s="26"/>
      <c r="I9" s="26"/>
      <c r="J9" s="28"/>
    </row>
    <row r="10" spans="1:10" x14ac:dyDescent="0.3">
      <c r="A10" s="29"/>
      <c r="B10" s="29" t="s">
        <v>49</v>
      </c>
      <c r="C10" s="26">
        <f>D12*60%</f>
        <v>-84000</v>
      </c>
      <c r="D10" s="26"/>
      <c r="E10" s="27"/>
      <c r="F10" s="26"/>
      <c r="G10" s="26"/>
      <c r="H10" s="26"/>
      <c r="I10" s="26"/>
      <c r="J10" s="28"/>
    </row>
    <row r="11" spans="1:10" x14ac:dyDescent="0.3">
      <c r="A11" s="29"/>
      <c r="B11" s="29" t="s">
        <v>50</v>
      </c>
      <c r="C11" s="26"/>
      <c r="D11" s="26"/>
      <c r="E11" s="27"/>
      <c r="F11" s="26"/>
      <c r="G11" s="26"/>
      <c r="H11"/>
      <c r="I11" s="26"/>
      <c r="J11" s="28"/>
    </row>
    <row r="12" spans="1:10" ht="13.5" thickBot="1" x14ac:dyDescent="0.35">
      <c r="A12" s="29"/>
      <c r="B12" s="29" t="s">
        <v>16</v>
      </c>
      <c r="C12" s="30">
        <f>SUM(C6:C11)</f>
        <v>-284000</v>
      </c>
      <c r="D12" s="30">
        <f>SUM(D6:D11)</f>
        <v>-140000</v>
      </c>
      <c r="E12" s="27"/>
      <c r="F12" s="26"/>
      <c r="G12" s="26"/>
      <c r="H12" s="26"/>
      <c r="I12" s="26"/>
      <c r="J12" s="31"/>
    </row>
    <row r="13" spans="1:10" ht="13.5" thickTop="1" x14ac:dyDescent="0.3">
      <c r="A13" s="29"/>
      <c r="B13" s="25" t="s">
        <v>51</v>
      </c>
      <c r="C13" s="26"/>
      <c r="D13" s="26"/>
      <c r="E13" s="27"/>
      <c r="F13" s="26"/>
      <c r="G13" s="26"/>
      <c r="H13" s="26"/>
      <c r="I13" s="26"/>
      <c r="J13" s="28"/>
    </row>
    <row r="14" spans="1:10" x14ac:dyDescent="0.3">
      <c r="A14" s="29"/>
      <c r="B14" s="29" t="s">
        <v>97</v>
      </c>
      <c r="C14"/>
      <c r="D14" s="26">
        <v>-620000</v>
      </c>
      <c r="E14" s="27"/>
      <c r="F14" s="26"/>
      <c r="G14" s="26"/>
      <c r="H14" s="26"/>
      <c r="I14" s="26"/>
      <c r="J14" s="28"/>
    </row>
    <row r="15" spans="1:10" x14ac:dyDescent="0.3">
      <c r="A15" s="29"/>
      <c r="B15" s="29"/>
      <c r="C15" s="26">
        <v>-1116000</v>
      </c>
      <c r="D15" s="26"/>
      <c r="E15" s="27"/>
      <c r="F15" s="26"/>
      <c r="G15" s="26"/>
      <c r="H15" s="26"/>
      <c r="I15" s="26"/>
      <c r="J15" s="28"/>
    </row>
    <row r="16" spans="1:10" x14ac:dyDescent="0.3">
      <c r="A16" s="29"/>
      <c r="B16" s="29"/>
      <c r="C16" s="26"/>
      <c r="D16" s="26"/>
      <c r="E16" s="27"/>
      <c r="F16" s="26"/>
      <c r="G16" s="26"/>
      <c r="H16" s="26"/>
      <c r="I16" s="26"/>
      <c r="J16" s="28"/>
    </row>
    <row r="17" spans="1:10" x14ac:dyDescent="0.3">
      <c r="A17" s="29"/>
      <c r="B17" s="29"/>
      <c r="C17" s="26"/>
      <c r="D17" s="26"/>
      <c r="E17" s="27"/>
      <c r="F17" s="26"/>
      <c r="G17" s="26"/>
      <c r="H17" s="26"/>
      <c r="I17" s="26"/>
      <c r="J17" s="28"/>
    </row>
    <row r="18" spans="1:10" x14ac:dyDescent="0.3">
      <c r="A18" s="29"/>
      <c r="B18" s="29" t="s">
        <v>53</v>
      </c>
      <c r="C18" s="26">
        <v>-284000</v>
      </c>
      <c r="D18" s="26">
        <v>-140000</v>
      </c>
      <c r="E18" s="54"/>
      <c r="F18" s="54"/>
      <c r="G18" s="26"/>
      <c r="H18" s="26"/>
      <c r="I18" s="26"/>
      <c r="J18" s="28"/>
    </row>
    <row r="19" spans="1:10" x14ac:dyDescent="0.3">
      <c r="A19" s="29"/>
      <c r="B19" s="29" t="s">
        <v>54</v>
      </c>
      <c r="C19" s="26">
        <v>115000</v>
      </c>
      <c r="D19" s="26">
        <v>60000</v>
      </c>
      <c r="E19" s="27"/>
      <c r="F19" s="26"/>
      <c r="G19" s="26"/>
      <c r="H19" s="26"/>
      <c r="I19" s="26"/>
      <c r="J19" s="28"/>
    </row>
    <row r="20" spans="1:10" ht="13.5" thickBot="1" x14ac:dyDescent="0.35">
      <c r="A20" s="29"/>
      <c r="B20" s="29" t="s">
        <v>98</v>
      </c>
      <c r="C20" s="30">
        <f>SUM(C15:C19)</f>
        <v>-1285000</v>
      </c>
      <c r="D20" s="30">
        <f>SUM(D14:D19)</f>
        <v>-700000</v>
      </c>
      <c r="E20" s="27"/>
      <c r="F20" s="26"/>
      <c r="G20" s="26"/>
      <c r="H20" s="26"/>
      <c r="I20" s="26"/>
      <c r="J20" s="31"/>
    </row>
    <row r="21" spans="1:10" ht="13.5" thickTop="1" x14ac:dyDescent="0.3">
      <c r="A21" s="29"/>
      <c r="B21" s="25" t="s">
        <v>56</v>
      </c>
      <c r="C21" s="27"/>
      <c r="D21" s="27"/>
      <c r="E21" s="32"/>
      <c r="F21" s="32"/>
      <c r="G21" s="32"/>
      <c r="H21" s="32"/>
      <c r="I21" s="32"/>
      <c r="J21" s="33"/>
    </row>
    <row r="22" spans="1:10" x14ac:dyDescent="0.3">
      <c r="A22" s="29"/>
      <c r="B22" s="29" t="s">
        <v>20</v>
      </c>
      <c r="C22" s="27">
        <v>177000</v>
      </c>
      <c r="D22" s="27">
        <v>90000</v>
      </c>
      <c r="E22" s="27"/>
      <c r="F22" s="27"/>
      <c r="G22" s="27"/>
      <c r="H22" s="27"/>
      <c r="I22" s="27"/>
      <c r="J22" s="33"/>
    </row>
    <row r="23" spans="1:10" x14ac:dyDescent="0.3">
      <c r="A23" s="29"/>
      <c r="B23" s="29" t="s">
        <v>57</v>
      </c>
      <c r="C23" s="27">
        <v>316000</v>
      </c>
      <c r="D23" s="27">
        <v>410000</v>
      </c>
      <c r="E23" s="27"/>
      <c r="F23" s="27"/>
      <c r="G23" s="27"/>
      <c r="H23" s="27"/>
      <c r="I23" s="27"/>
      <c r="J23" s="33"/>
    </row>
    <row r="24" spans="1:10" x14ac:dyDescent="0.3">
      <c r="A24" s="29"/>
      <c r="B24" s="29" t="s">
        <v>59</v>
      </c>
      <c r="C24" s="27">
        <v>440000</v>
      </c>
      <c r="D24" s="27">
        <v>320000</v>
      </c>
      <c r="E24" s="27"/>
      <c r="F24" s="27"/>
      <c r="G24" s="27"/>
      <c r="H24" s="27"/>
      <c r="I24" s="27"/>
      <c r="J24" s="33"/>
    </row>
    <row r="25" spans="1:10" x14ac:dyDescent="0.3">
      <c r="A25" s="29"/>
      <c r="B25" s="29" t="s">
        <v>60</v>
      </c>
      <c r="C25" s="27">
        <v>766000</v>
      </c>
      <c r="D25" s="27">
        <v>0</v>
      </c>
      <c r="E25" s="27"/>
      <c r="F25" s="27"/>
      <c r="G25" s="27"/>
      <c r="H25" s="27"/>
      <c r="I25" s="27"/>
      <c r="J25" s="33"/>
    </row>
    <row r="26" spans="1:10" x14ac:dyDescent="0.3">
      <c r="A26" s="29"/>
      <c r="B26" s="29"/>
      <c r="C26" s="27"/>
      <c r="D26" s="27"/>
      <c r="E26" s="27"/>
      <c r="F26" s="27"/>
      <c r="G26" s="27"/>
      <c r="H26" s="27"/>
      <c r="I26" s="27"/>
      <c r="J26" s="33"/>
    </row>
    <row r="27" spans="1:10" x14ac:dyDescent="0.3">
      <c r="A27" s="29"/>
      <c r="B27" s="29"/>
      <c r="C27" s="27"/>
      <c r="D27" s="27"/>
      <c r="E27" s="27"/>
      <c r="F27" s="27"/>
      <c r="G27" s="27"/>
      <c r="H27" s="27"/>
      <c r="I27" s="27"/>
      <c r="J27" s="33"/>
    </row>
    <row r="28" spans="1:10" x14ac:dyDescent="0.3">
      <c r="A28" s="29"/>
      <c r="B28" s="29" t="s">
        <v>61</v>
      </c>
      <c r="C28" s="27">
        <v>180000</v>
      </c>
      <c r="D28" s="27">
        <v>390000</v>
      </c>
      <c r="E28" s="27"/>
      <c r="F28" s="27"/>
      <c r="G28" s="27"/>
      <c r="H28" s="27"/>
      <c r="I28" s="27"/>
      <c r="J28" s="33"/>
    </row>
    <row r="29" spans="1:10" x14ac:dyDescent="0.3">
      <c r="A29" s="29"/>
      <c r="B29" s="29" t="s">
        <v>62</v>
      </c>
      <c r="C29" s="27">
        <v>496000</v>
      </c>
      <c r="D29" s="27">
        <v>300000</v>
      </c>
      <c r="E29" s="27"/>
      <c r="F29" s="27"/>
      <c r="G29" s="27"/>
      <c r="H29" s="27"/>
      <c r="I29" s="27"/>
      <c r="J29" s="33"/>
    </row>
    <row r="30" spans="1:10" x14ac:dyDescent="0.3">
      <c r="A30" s="29"/>
      <c r="B30" s="29" t="s">
        <v>104</v>
      </c>
      <c r="C30" s="27">
        <v>0</v>
      </c>
      <c r="D30" s="27">
        <v>0</v>
      </c>
      <c r="E30" s="27"/>
      <c r="F30" s="27"/>
      <c r="G30" s="27"/>
      <c r="H30" s="27"/>
      <c r="I30" s="27"/>
      <c r="J30" s="33"/>
    </row>
    <row r="31" spans="1:10" ht="13.5" thickBot="1" x14ac:dyDescent="0.35">
      <c r="A31" s="29"/>
      <c r="B31" s="34" t="s">
        <v>63</v>
      </c>
      <c r="C31" s="35">
        <f>SUM(C22:C30)</f>
        <v>2375000</v>
      </c>
      <c r="D31" s="35">
        <f>SUM(D22:D30)</f>
        <v>1510000</v>
      </c>
      <c r="E31" s="27"/>
      <c r="F31" s="27"/>
      <c r="G31" s="27"/>
      <c r="H31" s="27"/>
      <c r="I31" s="27"/>
      <c r="J31" s="36"/>
    </row>
    <row r="32" spans="1:10" ht="13.5" thickTop="1" x14ac:dyDescent="0.3">
      <c r="A32" s="29"/>
      <c r="B32" s="29" t="s">
        <v>64</v>
      </c>
      <c r="C32" s="27">
        <v>-480000</v>
      </c>
      <c r="D32" s="27">
        <v>-400000</v>
      </c>
      <c r="E32" s="27"/>
      <c r="F32" s="27"/>
      <c r="G32" s="27"/>
      <c r="H32" s="27"/>
      <c r="I32" s="27"/>
      <c r="J32" s="33"/>
    </row>
    <row r="33" spans="1:26" x14ac:dyDescent="0.3">
      <c r="A33" s="29"/>
      <c r="B33" s="29" t="s">
        <v>99</v>
      </c>
      <c r="C33" s="37"/>
      <c r="D33" s="37"/>
      <c r="E33" s="26"/>
      <c r="F33" s="37"/>
      <c r="G33" s="26"/>
      <c r="H33" s="37"/>
      <c r="I33" s="26"/>
      <c r="J33" s="33"/>
    </row>
    <row r="34" spans="1:26" ht="13.5" thickBot="1" x14ac:dyDescent="0.35">
      <c r="A34" s="29"/>
      <c r="B34" s="29" t="s">
        <v>100</v>
      </c>
      <c r="C34" s="37"/>
      <c r="D34" s="37"/>
      <c r="E34" s="26"/>
      <c r="F34" s="37"/>
      <c r="G34" s="38"/>
      <c r="H34" s="38"/>
      <c r="I34" s="35"/>
      <c r="J34" s="33"/>
    </row>
    <row r="35" spans="1:26" ht="13.5" thickTop="1" x14ac:dyDescent="0.3">
      <c r="A35" s="29"/>
      <c r="B35" s="29" t="s">
        <v>65</v>
      </c>
      <c r="C35" s="27">
        <v>-610000</v>
      </c>
      <c r="D35" s="27">
        <v>-320000</v>
      </c>
      <c r="E35" s="27"/>
      <c r="F35" s="27"/>
      <c r="G35" s="27"/>
      <c r="H35" s="27"/>
      <c r="I35" s="27"/>
      <c r="J35" s="33"/>
    </row>
    <row r="36" spans="1:26" x14ac:dyDescent="0.3">
      <c r="A36" s="29"/>
      <c r="B36" s="29" t="s">
        <v>66</v>
      </c>
      <c r="C36" s="27">
        <v>0</v>
      </c>
      <c r="D36" s="2">
        <v>-90000</v>
      </c>
      <c r="E36" s="27"/>
      <c r="F36" s="27"/>
      <c r="G36" s="27"/>
      <c r="H36" s="27"/>
      <c r="I36" s="27"/>
      <c r="J36" s="33"/>
    </row>
    <row r="37" spans="1:26" x14ac:dyDescent="0.3">
      <c r="A37" s="29"/>
      <c r="B37" s="29" t="s">
        <v>98</v>
      </c>
      <c r="C37" s="27">
        <v>-1285000</v>
      </c>
      <c r="D37" s="27">
        <v>-700000</v>
      </c>
      <c r="E37" s="27"/>
      <c r="F37" s="27"/>
      <c r="G37" s="27"/>
      <c r="H37" s="27"/>
      <c r="I37" s="27"/>
      <c r="J37" s="33"/>
    </row>
    <row r="38" spans="1:26" ht="13.5" thickBot="1" x14ac:dyDescent="0.35">
      <c r="A38" s="21"/>
      <c r="B38" s="55" t="s">
        <v>67</v>
      </c>
      <c r="C38" s="56">
        <f>SUM(C32:C37)</f>
        <v>-2375000</v>
      </c>
      <c r="D38" s="56">
        <f>SUM(D32:D37)</f>
        <v>-1510000</v>
      </c>
      <c r="E38" s="23"/>
      <c r="F38" s="56"/>
      <c r="G38" s="23"/>
      <c r="H38" s="56"/>
      <c r="I38" s="57"/>
      <c r="J38" s="58"/>
    </row>
    <row r="39" spans="1:26" x14ac:dyDescent="0.3">
      <c r="A39" s="10" t="s">
        <v>105</v>
      </c>
      <c r="B39" s="32"/>
      <c r="C39" s="27"/>
      <c r="D39" s="27"/>
      <c r="E39" s="27"/>
      <c r="F39" s="27"/>
      <c r="G39" s="27"/>
      <c r="H39" s="27"/>
      <c r="I39" s="27"/>
      <c r="J39" s="39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x14ac:dyDescent="0.3">
      <c r="B40" s="32"/>
      <c r="C40" s="27"/>
      <c r="D40" s="27"/>
      <c r="E40" s="27"/>
      <c r="F40" s="27"/>
      <c r="G40" s="27"/>
      <c r="H40" s="27"/>
      <c r="I40" s="27"/>
      <c r="J40" s="39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x14ac:dyDescent="0.3">
      <c r="B41" s="32"/>
      <c r="C41" s="27"/>
      <c r="D41" s="27"/>
      <c r="E41" s="27"/>
      <c r="F41" s="27"/>
      <c r="G41" s="27"/>
      <c r="H41" s="27"/>
      <c r="I41" s="27"/>
      <c r="J41" s="39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x14ac:dyDescent="0.3">
      <c r="A42" s="1" t="s">
        <v>101</v>
      </c>
      <c r="B42" s="32"/>
      <c r="C42" s="41"/>
      <c r="D42" s="27"/>
      <c r="E42" s="27"/>
      <c r="F42" s="27"/>
      <c r="G42" s="27"/>
      <c r="H42" s="27"/>
      <c r="I42" s="27"/>
      <c r="J42" s="39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x14ac:dyDescent="0.3">
      <c r="A43" s="10" t="s">
        <v>35</v>
      </c>
      <c r="B43" s="32"/>
      <c r="C43" s="27"/>
      <c r="D43" s="27"/>
      <c r="E43" s="27"/>
      <c r="F43" s="27"/>
      <c r="G43" s="27"/>
      <c r="H43" s="27"/>
      <c r="I43" s="27"/>
      <c r="J43" s="39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x14ac:dyDescent="0.3">
      <c r="B44" s="32"/>
      <c r="C44" s="27"/>
      <c r="D44" s="27"/>
      <c r="E44" s="27"/>
      <c r="F44" s="27"/>
      <c r="G44" s="27"/>
      <c r="H44" s="27"/>
      <c r="I44" s="27"/>
      <c r="J44" s="39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x14ac:dyDescent="0.3">
      <c r="B45" s="32"/>
      <c r="C45" s="27"/>
      <c r="D45" s="27"/>
      <c r="E45" s="27"/>
      <c r="F45" s="27"/>
      <c r="G45" s="27"/>
      <c r="H45" s="27"/>
      <c r="I45" s="27"/>
      <c r="J45" s="39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x14ac:dyDescent="0.3">
      <c r="B46" s="32"/>
      <c r="C46" s="27"/>
      <c r="D46" s="27"/>
      <c r="E46" s="27"/>
      <c r="F46" s="27"/>
      <c r="G46" s="27"/>
      <c r="H46" s="27"/>
      <c r="I46" s="27"/>
      <c r="J46" s="39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x14ac:dyDescent="0.3">
      <c r="B47" s="32"/>
      <c r="C47" s="27"/>
      <c r="D47" s="2"/>
      <c r="E47" s="27"/>
      <c r="F47" s="27"/>
      <c r="G47" s="27"/>
      <c r="H47" s="27"/>
      <c r="I47" s="27"/>
      <c r="J47" s="39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x14ac:dyDescent="0.3">
      <c r="B48" s="32" t="s">
        <v>68</v>
      </c>
      <c r="C48" s="27"/>
      <c r="D48" s="42"/>
      <c r="E48" s="27"/>
      <c r="F48" s="27"/>
      <c r="G48" s="27"/>
      <c r="H48" s="27"/>
      <c r="I48" s="27"/>
      <c r="J48" s="39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30" x14ac:dyDescent="0.3">
      <c r="B49" s="32"/>
      <c r="C49" s="32"/>
      <c r="D49" s="42"/>
      <c r="E49" s="27"/>
      <c r="F49" s="27"/>
      <c r="G49" s="27"/>
      <c r="H49" s="27"/>
      <c r="I49" s="27"/>
      <c r="J49" s="39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30" x14ac:dyDescent="0.3">
      <c r="A50" s="10" t="s">
        <v>36</v>
      </c>
      <c r="B50" s="32"/>
      <c r="C50" s="27"/>
      <c r="D50" s="42"/>
      <c r="J50" s="44"/>
    </row>
    <row r="51" spans="1:30" x14ac:dyDescent="0.3">
      <c r="B51" s="32"/>
      <c r="C51" s="27"/>
      <c r="D51" s="42"/>
      <c r="J51" s="44"/>
    </row>
    <row r="52" spans="1:30" x14ac:dyDescent="0.3">
      <c r="B52" s="32"/>
      <c r="C52" s="27"/>
      <c r="D52" s="27"/>
      <c r="J52" s="44"/>
    </row>
    <row r="53" spans="1:30" x14ac:dyDescent="0.3">
      <c r="B53" s="32"/>
      <c r="C53" s="27"/>
      <c r="D53" s="27"/>
      <c r="J53" s="44"/>
    </row>
    <row r="54" spans="1:30" x14ac:dyDescent="0.3">
      <c r="B54" s="10" t="s">
        <v>83</v>
      </c>
      <c r="C54" s="27"/>
      <c r="D54" s="27"/>
      <c r="J54" s="44"/>
    </row>
    <row r="55" spans="1:30" x14ac:dyDescent="0.3">
      <c r="B55" s="10" t="s">
        <v>84</v>
      </c>
      <c r="C55" s="27"/>
      <c r="D55" s="27"/>
      <c r="J55" s="44"/>
    </row>
    <row r="56" spans="1:30" x14ac:dyDescent="0.3">
      <c r="C56" s="27"/>
      <c r="D56" s="27"/>
      <c r="J56" s="44"/>
    </row>
    <row r="57" spans="1:30" x14ac:dyDescent="0.3">
      <c r="A57" s="10" t="s">
        <v>37</v>
      </c>
      <c r="C57" s="27"/>
      <c r="D57" s="27"/>
      <c r="J57" s="44"/>
    </row>
    <row r="58" spans="1:30" x14ac:dyDescent="0.3">
      <c r="C58" s="27"/>
      <c r="D58" s="27"/>
      <c r="J58" s="44"/>
    </row>
    <row r="59" spans="1:30" x14ac:dyDescent="0.3">
      <c r="B59" s="10" t="s">
        <v>69</v>
      </c>
      <c r="C59" s="27"/>
      <c r="D59" s="27"/>
      <c r="J59" s="44"/>
    </row>
    <row r="60" spans="1:30" x14ac:dyDescent="0.3">
      <c r="C60" s="27"/>
      <c r="D60" s="27"/>
      <c r="J60" s="44"/>
    </row>
    <row r="61" spans="1:30" x14ac:dyDescent="0.3">
      <c r="A61" s="10" t="s">
        <v>55</v>
      </c>
      <c r="B61" s="45"/>
      <c r="C61" s="27"/>
      <c r="D61" s="27"/>
      <c r="J61" s="44"/>
    </row>
    <row r="62" spans="1:30" x14ac:dyDescent="0.3">
      <c r="B62" s="45"/>
      <c r="C62" s="27"/>
      <c r="D62" s="27"/>
      <c r="J62" s="44"/>
    </row>
    <row r="63" spans="1:30" x14ac:dyDescent="0.3">
      <c r="A63" s="32"/>
      <c r="B63" s="46" t="s">
        <v>70</v>
      </c>
      <c r="C63" s="27"/>
      <c r="D63" s="27"/>
      <c r="E63" s="27"/>
      <c r="F63" s="27"/>
      <c r="G63" s="27"/>
      <c r="H63" s="27"/>
      <c r="I63" s="27"/>
      <c r="J63" s="39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spans="1:30" x14ac:dyDescent="0.3">
      <c r="A64" s="32"/>
      <c r="B64" s="32"/>
      <c r="C64" s="27"/>
      <c r="D64" s="27"/>
      <c r="E64" s="27"/>
      <c r="F64" s="27"/>
      <c r="G64" s="27"/>
      <c r="H64" s="27"/>
      <c r="I64" s="27"/>
      <c r="J64" s="39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spans="1:30" x14ac:dyDescent="0.3">
      <c r="A65" s="32" t="s">
        <v>15</v>
      </c>
      <c r="B65" s="32"/>
      <c r="C65" s="37"/>
      <c r="D65" s="37"/>
      <c r="E65" s="37"/>
      <c r="F65" s="37"/>
      <c r="G65" s="37"/>
      <c r="H65" s="37"/>
      <c r="I65" s="37"/>
      <c r="J65" s="47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32"/>
      <c r="W65" s="32"/>
      <c r="X65" s="32"/>
      <c r="Y65" s="32"/>
      <c r="Z65" s="32"/>
      <c r="AA65" s="32"/>
      <c r="AB65" s="32"/>
      <c r="AC65" s="32"/>
      <c r="AD65" s="32"/>
    </row>
    <row r="66" spans="1:30" x14ac:dyDescent="0.3">
      <c r="A66" s="32"/>
      <c r="B66" s="46"/>
      <c r="C66" s="37"/>
      <c r="D66" s="37"/>
      <c r="E66" s="12"/>
      <c r="F66" s="12"/>
      <c r="G66" s="12"/>
      <c r="H66" s="12"/>
      <c r="I66" s="12"/>
      <c r="J66" s="48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spans="1:30" x14ac:dyDescent="0.3">
      <c r="A67" s="32"/>
      <c r="B67" s="32" t="s">
        <v>71</v>
      </c>
      <c r="C67" s="26"/>
      <c r="D67" s="26"/>
      <c r="E67" s="27"/>
      <c r="F67" s="26"/>
      <c r="G67" s="26"/>
      <c r="H67" s="26"/>
      <c r="I67" s="26"/>
      <c r="J67" s="50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spans="1:30" x14ac:dyDescent="0.3">
      <c r="A68" s="32"/>
      <c r="B68" s="32"/>
      <c r="C68" s="27"/>
      <c r="D68" s="27"/>
      <c r="E68" s="27"/>
      <c r="F68" s="27"/>
      <c r="G68" s="27"/>
      <c r="H68" s="27"/>
      <c r="I68" s="27"/>
      <c r="J68" s="39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spans="1:30" x14ac:dyDescent="0.3">
      <c r="A69" s="32" t="s">
        <v>52</v>
      </c>
      <c r="B69" s="46"/>
      <c r="C69" s="27"/>
      <c r="D69" s="27"/>
      <c r="E69" s="27"/>
      <c r="F69" s="27"/>
      <c r="G69" s="27"/>
      <c r="H69" s="27"/>
      <c r="I69" s="27"/>
      <c r="J69" s="39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spans="1:30" x14ac:dyDescent="0.3">
      <c r="A70" s="32"/>
      <c r="B70" s="32"/>
      <c r="C70" s="27"/>
      <c r="D70" s="27"/>
      <c r="E70" s="27"/>
      <c r="F70" s="27"/>
      <c r="G70" s="27"/>
      <c r="H70" s="27"/>
      <c r="I70" s="27"/>
      <c r="J70" s="39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spans="1:30" x14ac:dyDescent="0.3">
      <c r="A71" s="32"/>
      <c r="B71" s="32" t="s">
        <v>72</v>
      </c>
      <c r="C71" s="27"/>
      <c r="D71" s="27"/>
      <c r="E71" s="27"/>
      <c r="F71" s="27"/>
      <c r="G71" s="27"/>
      <c r="H71" s="27"/>
      <c r="I71" s="27"/>
      <c r="J71" s="39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spans="1:30" x14ac:dyDescent="0.3">
      <c r="A72" s="32"/>
      <c r="B72" s="32" t="s">
        <v>73</v>
      </c>
      <c r="C72" s="27"/>
      <c r="D72" s="27"/>
      <c r="E72" s="27"/>
      <c r="F72" s="27"/>
      <c r="G72" s="27"/>
      <c r="H72" s="27"/>
      <c r="I72" s="27"/>
      <c r="J72" s="39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spans="1:30" x14ac:dyDescent="0.3">
      <c r="A73" s="32"/>
      <c r="B73" s="32"/>
      <c r="C73" s="27"/>
      <c r="D73" s="27"/>
      <c r="E73" s="27"/>
      <c r="F73" s="27"/>
      <c r="G73" s="27"/>
      <c r="H73" s="27"/>
      <c r="I73" s="27"/>
      <c r="J73" s="39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spans="1:30" x14ac:dyDescent="0.3">
      <c r="A74" s="32" t="s">
        <v>9</v>
      </c>
      <c r="B74" s="32"/>
      <c r="C74" s="27"/>
      <c r="D74" s="27"/>
      <c r="E74" s="27"/>
      <c r="F74" s="27"/>
      <c r="G74" s="27"/>
      <c r="H74" s="27"/>
      <c r="I74" s="27"/>
      <c r="J74" s="39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spans="1:30" x14ac:dyDescent="0.3">
      <c r="A75" s="32"/>
      <c r="B75" s="46"/>
      <c r="C75" s="27"/>
      <c r="D75" s="27"/>
      <c r="E75" s="27"/>
      <c r="F75" s="27"/>
      <c r="G75" s="27"/>
      <c r="H75" s="27"/>
      <c r="I75" s="27"/>
      <c r="J75" s="39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spans="1:30" x14ac:dyDescent="0.3">
      <c r="A76" s="32"/>
      <c r="B76" s="32" t="s">
        <v>74</v>
      </c>
      <c r="C76" s="27"/>
      <c r="D76" s="27"/>
      <c r="E76" s="27"/>
      <c r="F76" s="27"/>
      <c r="G76" s="27"/>
      <c r="H76" s="27"/>
      <c r="I76" s="27"/>
      <c r="J76" s="39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spans="1:30" x14ac:dyDescent="0.3">
      <c r="A77" s="32"/>
      <c r="B77" s="32"/>
      <c r="C77" s="27"/>
      <c r="D77" s="27"/>
      <c r="E77" s="27"/>
      <c r="F77" s="27"/>
      <c r="G77" s="27"/>
      <c r="H77" s="27"/>
      <c r="I77" s="27"/>
      <c r="J77" s="39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spans="1:30" x14ac:dyDescent="0.3">
      <c r="A78" s="32"/>
      <c r="B78" s="32"/>
      <c r="C78" s="27"/>
      <c r="D78" s="27"/>
      <c r="E78" s="27"/>
      <c r="F78" s="27"/>
      <c r="G78" s="27"/>
      <c r="H78" s="27"/>
      <c r="I78" s="27"/>
      <c r="J78" s="39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spans="1:30" x14ac:dyDescent="0.3">
      <c r="A79" s="32" t="s">
        <v>11</v>
      </c>
      <c r="B79" s="32"/>
      <c r="C79" s="27"/>
      <c r="D79" s="27"/>
      <c r="E79" s="27"/>
      <c r="F79" s="27"/>
      <c r="G79" s="27"/>
      <c r="H79" s="27"/>
      <c r="I79" s="27"/>
      <c r="J79" s="39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spans="1:30" x14ac:dyDescent="0.3">
      <c r="A80" s="32"/>
      <c r="B80" s="32"/>
      <c r="C80" s="27"/>
      <c r="D80" s="27"/>
      <c r="E80" s="32"/>
      <c r="F80" s="32"/>
      <c r="G80" s="32"/>
      <c r="H80" s="32"/>
      <c r="I80" s="32"/>
      <c r="J80" s="39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spans="1:30" x14ac:dyDescent="0.3">
      <c r="A81" s="32"/>
      <c r="B81" s="32"/>
      <c r="C81" s="27"/>
      <c r="D81" s="27"/>
      <c r="E81" s="27"/>
      <c r="F81" s="27"/>
      <c r="G81" s="27"/>
      <c r="H81" s="27"/>
      <c r="I81" s="27"/>
      <c r="J81" s="39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1:30" x14ac:dyDescent="0.3">
      <c r="A82" s="32"/>
      <c r="B82" s="32" t="s">
        <v>75</v>
      </c>
      <c r="C82" s="27"/>
      <c r="D82" s="27"/>
      <c r="E82" s="27"/>
      <c r="F82" s="27"/>
      <c r="G82" s="27"/>
      <c r="H82" s="27"/>
      <c r="I82" s="27"/>
      <c r="J82" s="39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spans="1:30" x14ac:dyDescent="0.3">
      <c r="A83" s="32"/>
      <c r="B83" s="32" t="s">
        <v>18</v>
      </c>
      <c r="C83" s="27"/>
      <c r="D83" s="27"/>
      <c r="E83" s="27"/>
      <c r="F83" s="27"/>
      <c r="G83" s="27"/>
      <c r="H83" s="27"/>
      <c r="I83" s="27"/>
      <c r="J83" s="39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spans="1:30" x14ac:dyDescent="0.3">
      <c r="A84" s="32"/>
      <c r="B84" s="32"/>
      <c r="C84" s="27"/>
      <c r="D84" s="27"/>
      <c r="E84" s="27"/>
      <c r="F84" s="27"/>
      <c r="G84" s="27"/>
      <c r="H84" s="27"/>
      <c r="I84" s="27"/>
      <c r="J84" s="39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spans="1:30" x14ac:dyDescent="0.3">
      <c r="A85" s="32" t="s">
        <v>12</v>
      </c>
      <c r="B85" s="32"/>
      <c r="C85" s="27"/>
      <c r="D85" s="27"/>
      <c r="E85" s="27"/>
      <c r="F85" s="27"/>
      <c r="G85" s="27"/>
      <c r="H85" s="27"/>
      <c r="I85" s="27"/>
      <c r="J85" s="39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spans="1:30" x14ac:dyDescent="0.3">
      <c r="A86" s="32"/>
      <c r="B86" s="46"/>
      <c r="C86" s="27"/>
      <c r="D86" s="27"/>
      <c r="E86" s="27"/>
      <c r="F86" s="27"/>
      <c r="G86" s="27"/>
      <c r="H86" s="27"/>
      <c r="I86" s="27"/>
      <c r="J86" s="39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spans="1:30" x14ac:dyDescent="0.3">
      <c r="A87" s="32"/>
      <c r="B87" s="32"/>
      <c r="D87" s="27"/>
      <c r="E87" s="27"/>
      <c r="F87" s="27"/>
      <c r="G87" s="27"/>
      <c r="H87" s="27"/>
      <c r="I87" s="27"/>
      <c r="J87" s="39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spans="1:30" x14ac:dyDescent="0.3">
      <c r="A88" s="32"/>
      <c r="B88" s="32"/>
      <c r="C88" s="27"/>
      <c r="D88" s="27"/>
      <c r="E88" s="27"/>
      <c r="F88" s="27"/>
      <c r="G88" s="27"/>
      <c r="H88" s="27"/>
      <c r="I88" s="27"/>
      <c r="J88" s="39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spans="1:30" x14ac:dyDescent="0.3">
      <c r="A89" s="32"/>
      <c r="B89" s="32" t="s">
        <v>76</v>
      </c>
      <c r="C89" s="27"/>
      <c r="D89" s="27"/>
      <c r="E89" s="27"/>
      <c r="F89" s="27"/>
      <c r="G89" s="27"/>
      <c r="H89" s="27"/>
      <c r="I89" s="27"/>
      <c r="J89" s="39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spans="1:30" x14ac:dyDescent="0.3">
      <c r="A90" s="32"/>
      <c r="B90" s="32" t="s">
        <v>38</v>
      </c>
      <c r="C90" s="27"/>
      <c r="D90" s="27"/>
      <c r="E90" s="27"/>
      <c r="F90" s="27"/>
      <c r="G90" s="27"/>
      <c r="H90" s="27"/>
      <c r="I90" s="27"/>
      <c r="J90" s="39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spans="1:30" x14ac:dyDescent="0.3">
      <c r="A91" s="32"/>
      <c r="B91" s="32"/>
      <c r="C91" s="27"/>
      <c r="D91" s="27"/>
      <c r="E91" s="27"/>
      <c r="F91" s="27"/>
      <c r="G91" s="27"/>
      <c r="H91" s="27"/>
      <c r="I91" s="27"/>
      <c r="J91" s="39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spans="1:30" x14ac:dyDescent="0.3">
      <c r="A92" s="32" t="s">
        <v>58</v>
      </c>
      <c r="B92" s="32"/>
      <c r="C92" s="37"/>
      <c r="D92" s="37"/>
      <c r="E92" s="13"/>
      <c r="F92" s="13"/>
      <c r="G92" s="13"/>
      <c r="H92" s="13"/>
      <c r="I92" s="13"/>
      <c r="J92" s="39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spans="1:30" x14ac:dyDescent="0.3">
      <c r="A93" s="32"/>
      <c r="B93" s="32"/>
      <c r="C93" s="37"/>
      <c r="D93" s="37"/>
      <c r="E93" s="38"/>
      <c r="F93" s="38"/>
      <c r="G93" s="38"/>
      <c r="H93" s="38"/>
      <c r="I93" s="38"/>
      <c r="J93" s="39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spans="1:30" x14ac:dyDescent="0.3">
      <c r="A94" s="32"/>
      <c r="B94" s="46" t="s">
        <v>77</v>
      </c>
      <c r="C94" s="27"/>
      <c r="D94" s="27"/>
      <c r="E94" s="27"/>
      <c r="F94" s="27"/>
      <c r="G94" s="27"/>
      <c r="H94" s="27"/>
      <c r="I94" s="27"/>
      <c r="J94" s="39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spans="1:30" x14ac:dyDescent="0.3">
      <c r="A95" s="32"/>
      <c r="B95" s="32" t="s">
        <v>78</v>
      </c>
      <c r="C95" s="27"/>
      <c r="D95" s="27"/>
      <c r="E95" s="27"/>
      <c r="F95" s="27"/>
      <c r="G95" s="27"/>
      <c r="H95" s="27"/>
      <c r="I95" s="27"/>
      <c r="J95" s="39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spans="1:30" x14ac:dyDescent="0.3">
      <c r="A96" s="32"/>
      <c r="B96" s="40"/>
      <c r="C96" s="27"/>
      <c r="D96" s="27"/>
      <c r="E96" s="27"/>
      <c r="F96" s="27"/>
      <c r="G96" s="27"/>
      <c r="H96" s="27"/>
      <c r="I96" s="27"/>
      <c r="J96" s="39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spans="1:30" x14ac:dyDescent="0.3">
      <c r="A97" s="32"/>
      <c r="B97" s="32"/>
      <c r="C97" s="27"/>
      <c r="D97" s="27"/>
      <c r="E97" s="27"/>
      <c r="F97" s="27"/>
      <c r="G97" s="27"/>
      <c r="H97" s="27"/>
      <c r="I97" s="27"/>
      <c r="J97" s="39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spans="1:30" x14ac:dyDescent="0.3">
      <c r="A98" s="32"/>
      <c r="B98" s="32"/>
      <c r="C98" s="27"/>
      <c r="D98" s="27"/>
      <c r="E98" s="27"/>
      <c r="F98" s="27"/>
      <c r="G98" s="27"/>
      <c r="H98" s="27"/>
      <c r="I98" s="27"/>
      <c r="J98" s="39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spans="1:30" x14ac:dyDescent="0.3">
      <c r="A99" s="32"/>
      <c r="B99" s="32"/>
      <c r="C99" s="27"/>
      <c r="D99" s="27"/>
      <c r="E99" s="27"/>
      <c r="F99" s="27"/>
      <c r="G99" s="27"/>
      <c r="H99" s="27"/>
      <c r="I99" s="27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spans="1:30" x14ac:dyDescent="0.3">
      <c r="A100" s="32"/>
      <c r="B100" s="32"/>
      <c r="C100" s="27"/>
      <c r="D100" s="27"/>
      <c r="E100" s="27"/>
      <c r="F100" s="27"/>
      <c r="G100" s="27"/>
      <c r="H100" s="27"/>
      <c r="I100" s="27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spans="1:30" x14ac:dyDescent="0.3">
      <c r="A101" s="32"/>
      <c r="B101" s="32"/>
      <c r="C101" s="27"/>
      <c r="D101" s="27"/>
      <c r="E101" s="27"/>
      <c r="F101" s="27"/>
      <c r="G101" s="27"/>
      <c r="H101" s="27"/>
      <c r="I101" s="27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spans="1:30" x14ac:dyDescent="0.3">
      <c r="A102" s="32"/>
      <c r="B102" s="32"/>
      <c r="C102" s="27"/>
      <c r="D102" s="27"/>
      <c r="E102" s="27"/>
      <c r="F102" s="27"/>
      <c r="G102" s="27"/>
      <c r="H102" s="27"/>
      <c r="I102" s="27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spans="1:30" x14ac:dyDescent="0.3">
      <c r="A103" s="32"/>
      <c r="B103" s="32"/>
      <c r="C103" s="27"/>
      <c r="D103" s="27"/>
      <c r="E103" s="27"/>
      <c r="F103" s="27"/>
      <c r="G103" s="27"/>
      <c r="H103" s="27"/>
      <c r="I103" s="27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spans="1:30" x14ac:dyDescent="0.3">
      <c r="A104" s="32"/>
      <c r="B104" s="32"/>
      <c r="C104" s="27"/>
      <c r="D104" s="27"/>
      <c r="E104" s="27"/>
      <c r="F104" s="27"/>
      <c r="G104" s="27"/>
      <c r="H104" s="27"/>
      <c r="I104" s="27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spans="1:30" x14ac:dyDescent="0.3">
      <c r="A105" s="32"/>
      <c r="B105" s="32"/>
      <c r="C105" s="27"/>
      <c r="D105" s="27"/>
      <c r="E105" s="27"/>
      <c r="F105" s="27"/>
      <c r="G105" s="27"/>
      <c r="H105" s="27"/>
      <c r="I105" s="27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spans="1:30" x14ac:dyDescent="0.3">
      <c r="A106" s="32"/>
      <c r="B106" s="32"/>
      <c r="C106" s="27"/>
      <c r="D106" s="27"/>
      <c r="E106" s="27"/>
      <c r="F106" s="27"/>
      <c r="G106" s="27"/>
      <c r="H106" s="27"/>
      <c r="I106" s="27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spans="1:30" x14ac:dyDescent="0.3">
      <c r="A107" s="32"/>
      <c r="B107" s="32"/>
      <c r="C107" s="27"/>
      <c r="D107" s="27"/>
      <c r="E107" s="27"/>
      <c r="F107" s="27"/>
      <c r="G107" s="27"/>
      <c r="H107" s="27"/>
      <c r="I107" s="27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spans="1:30" x14ac:dyDescent="0.3">
      <c r="A108" s="32"/>
      <c r="B108" s="32"/>
      <c r="C108" s="27"/>
      <c r="D108" s="27"/>
      <c r="E108" s="27"/>
      <c r="F108" s="27"/>
      <c r="G108" s="27"/>
      <c r="H108" s="27"/>
      <c r="I108" s="27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spans="1:30" x14ac:dyDescent="0.3">
      <c r="A109" s="32"/>
      <c r="B109" s="32"/>
      <c r="C109" s="27"/>
      <c r="D109" s="27"/>
      <c r="E109" s="27"/>
      <c r="F109" s="27"/>
      <c r="G109" s="27"/>
      <c r="H109" s="27"/>
      <c r="I109" s="27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spans="1:30" x14ac:dyDescent="0.3">
      <c r="A110" s="32"/>
      <c r="B110" s="32"/>
      <c r="C110" s="27"/>
      <c r="D110" s="27"/>
      <c r="E110" s="27"/>
      <c r="F110" s="27"/>
      <c r="G110" s="27"/>
      <c r="H110" s="27"/>
      <c r="I110" s="27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spans="1:30" x14ac:dyDescent="0.3">
      <c r="A111" s="32"/>
      <c r="B111" s="32"/>
      <c r="C111" s="27"/>
      <c r="D111" s="27"/>
      <c r="E111" s="27"/>
      <c r="F111" s="27"/>
      <c r="G111" s="27"/>
      <c r="H111" s="27"/>
      <c r="I111" s="27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spans="1:30" x14ac:dyDescent="0.3">
      <c r="A112" s="32"/>
      <c r="B112" s="32"/>
      <c r="C112" s="27"/>
      <c r="D112" s="27"/>
      <c r="E112" s="27"/>
      <c r="F112" s="27"/>
      <c r="G112" s="27"/>
      <c r="H112" s="27"/>
      <c r="I112" s="27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spans="1:30" x14ac:dyDescent="0.3">
      <c r="A113" s="32"/>
      <c r="B113" s="32"/>
      <c r="C113" s="27"/>
      <c r="D113" s="27"/>
      <c r="E113" s="27"/>
      <c r="F113" s="27"/>
      <c r="G113" s="27"/>
      <c r="H113" s="27"/>
      <c r="I113" s="27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spans="1:30" x14ac:dyDescent="0.3">
      <c r="A114" s="32"/>
      <c r="B114" s="32"/>
      <c r="C114" s="27"/>
      <c r="D114" s="27"/>
      <c r="E114" s="27"/>
      <c r="F114" s="27"/>
      <c r="G114" s="27"/>
      <c r="H114" s="27"/>
      <c r="I114" s="27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spans="1:30" x14ac:dyDescent="0.3">
      <c r="A115" s="32"/>
      <c r="B115" s="32"/>
      <c r="C115" s="27"/>
      <c r="D115" s="27"/>
      <c r="E115" s="27"/>
      <c r="F115" s="27"/>
      <c r="G115" s="27"/>
      <c r="H115" s="27"/>
      <c r="I115" s="27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spans="1:30" x14ac:dyDescent="0.3">
      <c r="A116" s="32"/>
      <c r="B116" s="32"/>
      <c r="C116" s="27"/>
      <c r="D116" s="27"/>
      <c r="E116" s="27"/>
      <c r="F116" s="27"/>
      <c r="G116" s="27"/>
      <c r="H116" s="27"/>
      <c r="I116" s="27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spans="1:30" x14ac:dyDescent="0.3">
      <c r="A117" s="32"/>
      <c r="B117" s="32"/>
      <c r="C117" s="27"/>
      <c r="D117" s="27"/>
      <c r="E117" s="27"/>
      <c r="F117" s="27"/>
      <c r="G117" s="27"/>
      <c r="H117" s="27"/>
      <c r="I117" s="27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spans="1:30" x14ac:dyDescent="0.3">
      <c r="A118" s="32"/>
      <c r="B118" s="32"/>
      <c r="C118" s="27"/>
      <c r="D118" s="27"/>
      <c r="E118" s="27"/>
      <c r="F118" s="27"/>
      <c r="G118" s="27"/>
      <c r="H118" s="27"/>
      <c r="I118" s="27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spans="1:30" x14ac:dyDescent="0.3">
      <c r="A119" s="32"/>
      <c r="B119" s="32"/>
      <c r="C119" s="27"/>
      <c r="D119" s="27"/>
      <c r="E119" s="27"/>
      <c r="F119" s="27"/>
      <c r="G119" s="27"/>
      <c r="H119" s="27"/>
      <c r="I119" s="27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spans="1:30" x14ac:dyDescent="0.3">
      <c r="A120" s="32"/>
      <c r="B120" s="32"/>
      <c r="C120" s="27"/>
      <c r="D120" s="27"/>
      <c r="E120" s="27"/>
      <c r="F120" s="27"/>
      <c r="G120" s="27"/>
      <c r="H120" s="27"/>
      <c r="I120" s="27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spans="1:30" x14ac:dyDescent="0.3">
      <c r="A121" s="32"/>
      <c r="B121" s="32"/>
      <c r="C121" s="27"/>
      <c r="D121" s="27"/>
      <c r="E121" s="27"/>
      <c r="F121" s="27"/>
      <c r="G121" s="27"/>
      <c r="H121" s="27"/>
      <c r="I121" s="27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spans="1:30" x14ac:dyDescent="0.3">
      <c r="A122" s="32"/>
      <c r="B122" s="32"/>
      <c r="C122" s="27"/>
      <c r="D122" s="27"/>
      <c r="E122" s="27"/>
      <c r="F122" s="27"/>
      <c r="G122" s="27"/>
      <c r="H122" s="27"/>
      <c r="I122" s="27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spans="1:30" x14ac:dyDescent="0.3">
      <c r="A123" s="32"/>
      <c r="B123" s="32"/>
      <c r="C123" s="27"/>
      <c r="D123" s="27"/>
      <c r="E123" s="27"/>
      <c r="F123" s="27"/>
      <c r="G123" s="27"/>
      <c r="H123" s="27"/>
      <c r="I123" s="27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spans="1:30" x14ac:dyDescent="0.3">
      <c r="A124" s="32"/>
      <c r="B124" s="32"/>
      <c r="C124" s="27"/>
      <c r="D124" s="27"/>
      <c r="E124" s="27"/>
      <c r="F124" s="27"/>
      <c r="G124" s="27"/>
      <c r="H124" s="27"/>
      <c r="I124" s="27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spans="1:30" x14ac:dyDescent="0.3">
      <c r="A125" s="32"/>
      <c r="B125" s="40"/>
      <c r="C125" s="27"/>
      <c r="D125" s="27"/>
      <c r="E125" s="27"/>
      <c r="F125" s="27"/>
      <c r="G125" s="27"/>
      <c r="H125" s="27"/>
      <c r="I125" s="27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spans="1:30" x14ac:dyDescent="0.3">
      <c r="A126" s="32"/>
      <c r="B126" s="32"/>
      <c r="C126" s="27"/>
      <c r="D126" s="27"/>
      <c r="E126" s="27"/>
      <c r="F126" s="27"/>
      <c r="G126" s="27"/>
      <c r="H126" s="27"/>
      <c r="I126" s="27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spans="1:30" x14ac:dyDescent="0.3">
      <c r="A127" s="32"/>
      <c r="B127" s="32"/>
      <c r="C127" s="27"/>
      <c r="D127" s="27"/>
      <c r="E127" s="27"/>
      <c r="F127" s="27"/>
      <c r="G127" s="27"/>
      <c r="H127" s="27"/>
      <c r="I127" s="27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spans="1:30" x14ac:dyDescent="0.3">
      <c r="A128" s="32"/>
      <c r="B128" s="32"/>
      <c r="C128" s="27"/>
      <c r="D128" s="27"/>
      <c r="E128" s="27"/>
      <c r="F128" s="27"/>
      <c r="G128" s="27"/>
      <c r="H128" s="27"/>
      <c r="I128" s="27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spans="1:30" x14ac:dyDescent="0.3">
      <c r="A129" s="32"/>
      <c r="B129" s="32"/>
      <c r="C129" s="27"/>
      <c r="D129" s="27"/>
      <c r="E129" s="27"/>
      <c r="F129" s="27"/>
      <c r="G129" s="27"/>
      <c r="H129" s="27"/>
      <c r="I129" s="27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spans="1:30" x14ac:dyDescent="0.3">
      <c r="A130" s="32"/>
      <c r="B130" s="32"/>
      <c r="C130" s="27"/>
      <c r="D130" s="27"/>
      <c r="E130" s="27"/>
      <c r="F130" s="27"/>
      <c r="G130" s="27"/>
      <c r="H130" s="27"/>
      <c r="I130" s="27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spans="1:30" x14ac:dyDescent="0.3">
      <c r="A131" s="32"/>
      <c r="B131" s="52"/>
      <c r="C131" s="27"/>
      <c r="D131" s="27"/>
      <c r="E131" s="27"/>
      <c r="F131" s="27"/>
      <c r="G131" s="27"/>
      <c r="H131" s="27"/>
      <c r="I131" s="27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spans="1:30" x14ac:dyDescent="0.3">
      <c r="A132" s="32"/>
      <c r="B132" s="48"/>
      <c r="C132" s="27"/>
      <c r="D132" s="27"/>
      <c r="E132" s="27"/>
      <c r="F132" s="27"/>
      <c r="G132" s="27"/>
      <c r="H132" s="27"/>
      <c r="I132" s="27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spans="1:30" x14ac:dyDescent="0.3">
      <c r="A133" s="32"/>
      <c r="B133" s="52"/>
      <c r="C133" s="27"/>
      <c r="D133" s="27"/>
      <c r="E133" s="27"/>
      <c r="F133" s="27"/>
      <c r="G133" s="27"/>
      <c r="H133" s="27"/>
      <c r="I133" s="27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spans="1:30" x14ac:dyDescent="0.3">
      <c r="A134" s="32"/>
      <c r="B134" s="32"/>
      <c r="C134" s="27"/>
      <c r="D134" s="27"/>
      <c r="E134" s="27"/>
      <c r="F134" s="27"/>
      <c r="G134" s="27"/>
      <c r="H134" s="27"/>
      <c r="I134" s="27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spans="1:30" x14ac:dyDescent="0.3">
      <c r="A135" s="32"/>
      <c r="B135" s="32"/>
      <c r="C135" s="12"/>
      <c r="D135" s="13"/>
      <c r="E135" s="13"/>
      <c r="F135" s="13"/>
      <c r="G135" s="13"/>
      <c r="H135" s="13"/>
      <c r="I135" s="13"/>
      <c r="J135" s="53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spans="1:30" x14ac:dyDescent="0.3">
      <c r="A136" s="32"/>
      <c r="B136" s="51"/>
      <c r="C136" s="12"/>
      <c r="D136" s="12"/>
      <c r="E136" s="12"/>
      <c r="F136" s="12"/>
      <c r="G136" s="12"/>
      <c r="H136" s="12"/>
      <c r="I136" s="12"/>
      <c r="J136" s="48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spans="1:30" x14ac:dyDescent="0.3">
      <c r="A137" s="32"/>
      <c r="B137" s="32"/>
      <c r="C137" s="13"/>
      <c r="D137" s="13"/>
      <c r="E137" s="13"/>
      <c r="F137" s="13"/>
      <c r="G137" s="13"/>
      <c r="H137" s="13"/>
      <c r="I137" s="13"/>
      <c r="J137" s="49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spans="1:30" x14ac:dyDescent="0.3">
      <c r="A138" s="32"/>
      <c r="B138" s="32"/>
      <c r="C138" s="27"/>
      <c r="D138" s="27"/>
      <c r="E138" s="13"/>
      <c r="F138" s="13"/>
      <c r="G138" s="13"/>
      <c r="H138" s="13"/>
      <c r="I138" s="13"/>
      <c r="J138" s="50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spans="1:30" x14ac:dyDescent="0.3">
      <c r="A139" s="32"/>
      <c r="B139" s="32"/>
      <c r="C139" s="26"/>
      <c r="D139" s="26"/>
      <c r="E139" s="27"/>
      <c r="F139" s="26"/>
      <c r="G139" s="26"/>
      <c r="H139" s="26"/>
      <c r="I139" s="26"/>
      <c r="J139" s="50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spans="1:30" x14ac:dyDescent="0.3">
      <c r="A140" s="32"/>
      <c r="B140" s="32"/>
      <c r="C140" s="27"/>
      <c r="D140" s="27"/>
      <c r="E140" s="27"/>
      <c r="F140" s="27"/>
      <c r="G140" s="27"/>
      <c r="H140" s="27"/>
      <c r="I140" s="27"/>
      <c r="J140" s="39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spans="1:30" x14ac:dyDescent="0.3">
      <c r="A141" s="32"/>
      <c r="B141" s="51"/>
      <c r="C141" s="27"/>
      <c r="D141" s="27"/>
      <c r="E141" s="27"/>
      <c r="F141" s="27"/>
      <c r="G141" s="27"/>
      <c r="H141" s="27"/>
      <c r="I141" s="27"/>
      <c r="J141" s="39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spans="1:30" x14ac:dyDescent="0.3">
      <c r="A142" s="32"/>
      <c r="B142" s="32"/>
      <c r="C142" s="27"/>
      <c r="D142" s="27"/>
      <c r="E142" s="27"/>
      <c r="F142" s="27"/>
      <c r="G142" s="27"/>
      <c r="H142" s="27"/>
      <c r="I142" s="27"/>
      <c r="J142" s="39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spans="1:30" x14ac:dyDescent="0.3">
      <c r="A143" s="32"/>
      <c r="B143" s="32"/>
      <c r="C143" s="27"/>
      <c r="D143" s="27"/>
      <c r="E143" s="27"/>
      <c r="F143" s="27"/>
      <c r="G143" s="27"/>
      <c r="H143" s="27"/>
      <c r="I143" s="27"/>
      <c r="J143" s="39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spans="1:30" x14ac:dyDescent="0.3">
      <c r="A144" s="32"/>
      <c r="B144" s="32"/>
      <c r="C144" s="27"/>
      <c r="D144" s="27"/>
      <c r="E144" s="27"/>
      <c r="F144" s="27"/>
      <c r="G144" s="27"/>
      <c r="H144" s="27"/>
      <c r="I144" s="27"/>
      <c r="J144" s="39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spans="1:30" x14ac:dyDescent="0.3">
      <c r="A145" s="32"/>
      <c r="B145" s="32"/>
      <c r="C145" s="27"/>
      <c r="D145" s="27"/>
      <c r="E145" s="27"/>
      <c r="F145" s="27"/>
      <c r="G145" s="27"/>
      <c r="H145" s="27"/>
      <c r="I145" s="27"/>
      <c r="J145" s="39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spans="1:30" x14ac:dyDescent="0.3">
      <c r="A146" s="32"/>
      <c r="B146" s="32"/>
      <c r="C146" s="27"/>
      <c r="D146" s="27"/>
      <c r="E146" s="27"/>
      <c r="F146" s="27"/>
      <c r="G146" s="27"/>
      <c r="H146" s="27"/>
      <c r="I146" s="27"/>
      <c r="J146" s="39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spans="1:30" x14ac:dyDescent="0.3">
      <c r="A147" s="32"/>
      <c r="B147" s="51"/>
      <c r="C147" s="27"/>
      <c r="D147" s="27"/>
      <c r="E147" s="27"/>
      <c r="F147" s="27"/>
      <c r="G147" s="27"/>
      <c r="H147" s="27"/>
      <c r="I147" s="27"/>
      <c r="J147" s="39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spans="1:30" x14ac:dyDescent="0.3">
      <c r="A148" s="32"/>
      <c r="B148" s="32"/>
      <c r="C148" s="27"/>
      <c r="D148" s="27"/>
      <c r="E148" s="27"/>
      <c r="F148" s="27"/>
      <c r="G148" s="27"/>
      <c r="H148" s="27"/>
      <c r="I148" s="27"/>
      <c r="J148" s="39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spans="1:30" x14ac:dyDescent="0.3">
      <c r="A149" s="32"/>
      <c r="B149" s="32"/>
      <c r="C149" s="27"/>
      <c r="D149" s="27"/>
      <c r="E149" s="27"/>
      <c r="F149" s="27"/>
      <c r="G149" s="27"/>
      <c r="H149" s="27"/>
      <c r="I149" s="27"/>
      <c r="J149" s="39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spans="1:30" x14ac:dyDescent="0.3">
      <c r="A150" s="32"/>
      <c r="B150" s="32"/>
      <c r="C150" s="27"/>
      <c r="D150" s="27"/>
      <c r="E150" s="27"/>
      <c r="F150" s="27"/>
      <c r="G150" s="27"/>
      <c r="H150" s="27"/>
      <c r="I150" s="27"/>
      <c r="J150" s="39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spans="1:30" x14ac:dyDescent="0.3">
      <c r="A151" s="32"/>
      <c r="B151" s="32"/>
      <c r="C151" s="27"/>
      <c r="D151" s="27"/>
      <c r="E151" s="32"/>
      <c r="F151" s="32"/>
      <c r="G151" s="32"/>
      <c r="H151" s="32"/>
      <c r="I151" s="32"/>
      <c r="J151" s="39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spans="1:30" x14ac:dyDescent="0.3">
      <c r="A152" s="32"/>
      <c r="B152" s="32"/>
      <c r="C152" s="27"/>
      <c r="D152" s="27"/>
      <c r="E152" s="27"/>
      <c r="F152" s="27"/>
      <c r="G152" s="27"/>
      <c r="H152" s="27"/>
      <c r="I152" s="27"/>
      <c r="J152" s="39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spans="1:30" x14ac:dyDescent="0.3">
      <c r="A153" s="32"/>
      <c r="B153" s="32"/>
      <c r="C153" s="27"/>
      <c r="D153" s="27"/>
      <c r="E153" s="27"/>
      <c r="F153" s="27"/>
      <c r="G153" s="27"/>
      <c r="H153" s="27"/>
      <c r="I153" s="27"/>
      <c r="J153" s="39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spans="1:30" x14ac:dyDescent="0.3">
      <c r="A154" s="32"/>
      <c r="B154" s="32"/>
      <c r="C154" s="27"/>
      <c r="D154" s="27"/>
      <c r="E154" s="27"/>
      <c r="F154" s="27"/>
      <c r="G154" s="27"/>
      <c r="H154" s="27"/>
      <c r="I154" s="27"/>
      <c r="J154" s="39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spans="1:30" x14ac:dyDescent="0.3">
      <c r="A155" s="32"/>
      <c r="B155" s="32"/>
      <c r="C155" s="27"/>
      <c r="D155" s="27"/>
      <c r="E155" s="27"/>
      <c r="F155" s="27"/>
      <c r="G155" s="27"/>
      <c r="H155" s="27"/>
      <c r="I155" s="27"/>
      <c r="J155" s="39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spans="1:30" x14ac:dyDescent="0.3">
      <c r="A156" s="32"/>
      <c r="B156" s="32"/>
      <c r="C156" s="27"/>
      <c r="D156" s="27"/>
      <c r="E156" s="27"/>
      <c r="F156" s="27"/>
      <c r="G156" s="27"/>
      <c r="H156" s="27"/>
      <c r="I156" s="27"/>
      <c r="J156" s="39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spans="1:30" x14ac:dyDescent="0.3">
      <c r="A157" s="32"/>
      <c r="B157" s="51"/>
      <c r="C157" s="27"/>
      <c r="D157" s="27"/>
      <c r="E157" s="27"/>
      <c r="F157" s="27"/>
      <c r="G157" s="27"/>
      <c r="H157" s="27"/>
      <c r="I157" s="27"/>
      <c r="J157" s="39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spans="1:30" x14ac:dyDescent="0.3">
      <c r="A158" s="32"/>
      <c r="B158" s="32"/>
      <c r="C158" s="27"/>
      <c r="D158" s="27"/>
      <c r="E158" s="27"/>
      <c r="F158" s="27"/>
      <c r="G158" s="27"/>
      <c r="H158" s="27"/>
      <c r="I158" s="27"/>
      <c r="J158" s="39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spans="1:30" x14ac:dyDescent="0.3">
      <c r="A159" s="32"/>
      <c r="B159" s="32"/>
      <c r="C159" s="27"/>
      <c r="D159" s="27"/>
      <c r="E159" s="27"/>
      <c r="F159" s="27"/>
      <c r="G159" s="27"/>
      <c r="H159" s="27"/>
      <c r="I159" s="27"/>
      <c r="J159" s="39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spans="1:30" x14ac:dyDescent="0.3">
      <c r="A160" s="32"/>
      <c r="B160" s="32"/>
      <c r="C160" s="27"/>
      <c r="D160" s="27"/>
      <c r="E160" s="27"/>
      <c r="F160" s="27"/>
      <c r="G160" s="27"/>
      <c r="H160" s="27"/>
      <c r="I160" s="27"/>
      <c r="J160" s="39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spans="1:30" x14ac:dyDescent="0.3">
      <c r="A161" s="32"/>
      <c r="B161" s="32"/>
      <c r="C161" s="27"/>
      <c r="D161" s="27"/>
      <c r="E161" s="27"/>
      <c r="F161" s="27"/>
      <c r="G161" s="27"/>
      <c r="H161" s="27"/>
      <c r="I161" s="27"/>
      <c r="J161" s="39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spans="1:30" x14ac:dyDescent="0.3">
      <c r="A162" s="32"/>
      <c r="B162" s="32"/>
      <c r="C162" s="27"/>
      <c r="D162" s="27"/>
      <c r="E162" s="27"/>
      <c r="F162" s="27"/>
      <c r="G162" s="27"/>
      <c r="H162" s="27"/>
      <c r="I162" s="27"/>
      <c r="J162" s="39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spans="1:30" x14ac:dyDescent="0.3">
      <c r="A163" s="32"/>
      <c r="B163" s="32"/>
      <c r="C163" s="37"/>
      <c r="D163" s="37"/>
      <c r="E163" s="13"/>
      <c r="F163" s="13"/>
      <c r="G163" s="13"/>
      <c r="H163" s="13"/>
      <c r="I163" s="13"/>
      <c r="J163" s="39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spans="1:30" x14ac:dyDescent="0.3">
      <c r="A164" s="32"/>
      <c r="B164" s="32"/>
      <c r="C164" s="37"/>
      <c r="D164" s="37"/>
      <c r="E164" s="38"/>
      <c r="F164" s="38"/>
      <c r="G164" s="38"/>
      <c r="H164" s="38"/>
      <c r="I164" s="38"/>
      <c r="J164" s="39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spans="1:30" x14ac:dyDescent="0.3">
      <c r="A165" s="32"/>
      <c r="B165" s="51"/>
      <c r="C165" s="27"/>
      <c r="D165" s="27"/>
      <c r="E165" s="27"/>
      <c r="F165" s="27"/>
      <c r="G165" s="27"/>
      <c r="H165" s="27"/>
      <c r="I165" s="27"/>
      <c r="J165" s="39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spans="1:30" x14ac:dyDescent="0.3">
      <c r="A166" s="32"/>
      <c r="B166" s="40"/>
      <c r="C166" s="27"/>
      <c r="D166" s="27"/>
      <c r="E166" s="27"/>
      <c r="F166" s="27"/>
      <c r="G166" s="27"/>
      <c r="H166" s="27"/>
      <c r="I166" s="27"/>
      <c r="J166" s="39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spans="1:30" x14ac:dyDescent="0.3">
      <c r="A167" s="32"/>
      <c r="B167" s="32"/>
      <c r="C167" s="27"/>
      <c r="D167" s="27"/>
      <c r="E167" s="27"/>
      <c r="F167" s="27"/>
      <c r="G167" s="27"/>
      <c r="H167" s="27"/>
      <c r="I167" s="27"/>
      <c r="J167" s="39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spans="1:30" x14ac:dyDescent="0.3">
      <c r="A168" s="32"/>
      <c r="B168" s="32"/>
      <c r="C168" s="27"/>
      <c r="D168" s="27"/>
      <c r="E168" s="27"/>
      <c r="F168" s="27"/>
      <c r="G168" s="27"/>
      <c r="H168" s="27"/>
      <c r="I168" s="27"/>
      <c r="J168" s="39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spans="1:30" x14ac:dyDescent="0.3">
      <c r="A169" s="32"/>
      <c r="B169" s="32"/>
      <c r="C169" s="27"/>
      <c r="D169" s="27"/>
      <c r="E169" s="27"/>
      <c r="F169" s="27"/>
      <c r="G169" s="27"/>
      <c r="H169" s="27"/>
      <c r="I169" s="27"/>
      <c r="J169" s="39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spans="1:30" x14ac:dyDescent="0.3">
      <c r="A170" s="32"/>
      <c r="B170" s="32"/>
      <c r="C170" s="27"/>
      <c r="D170" s="27"/>
      <c r="E170" s="27"/>
      <c r="F170" s="27"/>
      <c r="G170" s="27"/>
      <c r="H170" s="27"/>
      <c r="I170" s="27"/>
      <c r="J170" s="39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spans="1:30" x14ac:dyDescent="0.3">
      <c r="A171" s="32"/>
      <c r="B171" s="32"/>
      <c r="C171" s="27"/>
      <c r="D171" s="27"/>
      <c r="E171" s="27"/>
      <c r="F171" s="27"/>
      <c r="G171" s="27"/>
      <c r="H171" s="27"/>
      <c r="I171" s="27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spans="1:30" x14ac:dyDescent="0.3">
      <c r="A172" s="32"/>
      <c r="B172" s="32"/>
      <c r="C172" s="27"/>
      <c r="D172" s="27"/>
      <c r="E172" s="27"/>
      <c r="F172" s="27"/>
      <c r="G172" s="27"/>
      <c r="H172" s="27"/>
      <c r="I172" s="27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spans="1:30" x14ac:dyDescent="0.3">
      <c r="A173" s="32"/>
      <c r="B173" s="32"/>
      <c r="C173" s="27"/>
      <c r="D173" s="27"/>
      <c r="E173" s="27"/>
      <c r="F173" s="27"/>
      <c r="G173" s="27"/>
      <c r="H173" s="27"/>
      <c r="I173" s="27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spans="1:30" x14ac:dyDescent="0.3">
      <c r="A174" s="32"/>
      <c r="B174" s="32"/>
      <c r="C174" s="27"/>
      <c r="D174" s="27"/>
      <c r="E174" s="27"/>
      <c r="F174" s="27"/>
      <c r="G174" s="27"/>
      <c r="H174" s="27"/>
      <c r="I174" s="27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spans="1:30" x14ac:dyDescent="0.3">
      <c r="A175" s="32"/>
      <c r="B175" s="40"/>
      <c r="C175" s="27"/>
      <c r="D175" s="27"/>
      <c r="E175" s="27"/>
      <c r="F175" s="27"/>
      <c r="G175" s="27"/>
      <c r="H175" s="27"/>
      <c r="I175" s="27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spans="1:30" x14ac:dyDescent="0.3">
      <c r="A176" s="32"/>
      <c r="B176" s="32"/>
      <c r="C176" s="27"/>
      <c r="D176" s="27"/>
      <c r="E176" s="27"/>
      <c r="F176" s="27"/>
      <c r="G176" s="27"/>
      <c r="H176" s="27"/>
      <c r="I176" s="27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spans="1:30" x14ac:dyDescent="0.3">
      <c r="A177" s="32"/>
      <c r="B177" s="32"/>
      <c r="C177" s="27"/>
      <c r="D177" s="27"/>
      <c r="E177" s="27"/>
      <c r="F177" s="27"/>
      <c r="G177" s="27"/>
      <c r="H177" s="27"/>
      <c r="I177" s="27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spans="1:30" x14ac:dyDescent="0.3">
      <c r="A178" s="32"/>
      <c r="B178" s="32"/>
      <c r="C178" s="27"/>
      <c r="D178" s="27"/>
      <c r="E178" s="27"/>
      <c r="F178" s="27"/>
      <c r="G178" s="27"/>
      <c r="H178" s="27"/>
      <c r="I178" s="27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spans="1:30" x14ac:dyDescent="0.3">
      <c r="A179" s="32"/>
      <c r="B179" s="32"/>
      <c r="C179" s="27"/>
      <c r="D179" s="27"/>
      <c r="E179" s="27"/>
      <c r="F179" s="27"/>
      <c r="G179" s="27"/>
      <c r="H179" s="27"/>
      <c r="I179" s="27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spans="1:30" x14ac:dyDescent="0.3">
      <c r="A180" s="32"/>
      <c r="B180" s="32"/>
      <c r="C180" s="27"/>
      <c r="D180" s="27"/>
      <c r="E180" s="27"/>
      <c r="F180" s="27"/>
      <c r="G180" s="27"/>
      <c r="H180" s="27"/>
      <c r="I180" s="27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spans="1:30" x14ac:dyDescent="0.3">
      <c r="A181" s="32"/>
      <c r="B181" s="32"/>
      <c r="C181" s="27"/>
      <c r="D181" s="27"/>
      <c r="E181" s="27"/>
      <c r="F181" s="27"/>
      <c r="G181" s="27"/>
      <c r="H181" s="27"/>
      <c r="I181" s="27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spans="1:30" x14ac:dyDescent="0.3">
      <c r="A182" s="32"/>
      <c r="B182" s="32"/>
      <c r="C182" s="27"/>
      <c r="D182" s="27"/>
      <c r="E182" s="27"/>
      <c r="F182" s="27"/>
      <c r="G182" s="27"/>
      <c r="H182" s="27"/>
      <c r="I182" s="27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spans="1:30" x14ac:dyDescent="0.3">
      <c r="A183" s="32"/>
      <c r="B183" s="32"/>
      <c r="C183" s="27"/>
      <c r="D183" s="27"/>
      <c r="E183" s="27"/>
      <c r="F183" s="27"/>
      <c r="G183" s="27"/>
      <c r="H183" s="27"/>
      <c r="I183" s="27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spans="1:30" x14ac:dyDescent="0.3">
      <c r="A184" s="32"/>
      <c r="B184" s="32"/>
      <c r="C184" s="27"/>
      <c r="D184" s="27"/>
      <c r="E184" s="27"/>
      <c r="F184" s="27"/>
      <c r="G184" s="27"/>
      <c r="H184" s="27"/>
      <c r="I184" s="27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spans="1:30" x14ac:dyDescent="0.3">
      <c r="A185" s="32"/>
      <c r="B185" s="32"/>
      <c r="C185" s="27"/>
      <c r="D185" s="27"/>
      <c r="E185" s="27"/>
      <c r="F185" s="27"/>
      <c r="G185" s="27"/>
      <c r="H185" s="27"/>
      <c r="I185" s="27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spans="1:30" x14ac:dyDescent="0.3">
      <c r="A186" s="32"/>
      <c r="B186" s="32"/>
      <c r="C186" s="27"/>
      <c r="D186" s="27"/>
      <c r="E186" s="27"/>
      <c r="F186" s="27"/>
      <c r="G186" s="27"/>
      <c r="H186" s="27"/>
      <c r="I186" s="27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spans="1:30" x14ac:dyDescent="0.3">
      <c r="A187" s="32"/>
      <c r="B187" s="32"/>
      <c r="C187" s="27"/>
      <c r="D187" s="27"/>
      <c r="E187" s="27"/>
      <c r="F187" s="27"/>
      <c r="G187" s="27"/>
      <c r="H187" s="27"/>
      <c r="I187" s="27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spans="1:30" x14ac:dyDescent="0.3">
      <c r="A188" s="32"/>
      <c r="B188" s="32"/>
      <c r="C188" s="27"/>
      <c r="D188" s="27"/>
      <c r="E188" s="27"/>
      <c r="F188" s="27"/>
      <c r="G188" s="27"/>
      <c r="H188" s="27"/>
      <c r="I188" s="27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spans="1:30" x14ac:dyDescent="0.3">
      <c r="A189" s="32"/>
      <c r="B189" s="32"/>
      <c r="C189" s="27"/>
      <c r="D189" s="27"/>
      <c r="E189" s="27"/>
      <c r="F189" s="27"/>
      <c r="G189" s="27"/>
      <c r="H189" s="27"/>
      <c r="I189" s="27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spans="1:30" x14ac:dyDescent="0.3">
      <c r="A190" s="32"/>
      <c r="B190" s="32"/>
      <c r="C190" s="27"/>
      <c r="D190" s="27"/>
      <c r="E190" s="27"/>
      <c r="F190" s="27"/>
      <c r="G190" s="27"/>
      <c r="H190" s="27"/>
      <c r="I190" s="27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spans="1:30" x14ac:dyDescent="0.3">
      <c r="A191" s="32"/>
      <c r="B191" s="32"/>
      <c r="C191" s="27"/>
      <c r="D191" s="27"/>
      <c r="E191" s="27"/>
      <c r="F191" s="27"/>
      <c r="G191" s="27"/>
      <c r="H191" s="27"/>
      <c r="I191" s="27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spans="1:30" x14ac:dyDescent="0.3">
      <c r="A192" s="32"/>
      <c r="B192" s="32"/>
      <c r="C192" s="27"/>
      <c r="D192" s="27"/>
      <c r="E192" s="27"/>
      <c r="F192" s="27"/>
      <c r="G192" s="27"/>
      <c r="H192" s="27"/>
      <c r="I192" s="27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spans="1:30" x14ac:dyDescent="0.3">
      <c r="A193" s="32"/>
      <c r="B193" s="32"/>
      <c r="C193" s="27"/>
      <c r="D193" s="27"/>
      <c r="E193" s="27"/>
      <c r="F193" s="27"/>
      <c r="G193" s="27"/>
      <c r="H193" s="27"/>
      <c r="I193" s="27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spans="1:30" x14ac:dyDescent="0.3">
      <c r="A194" s="32"/>
      <c r="B194" s="32"/>
      <c r="C194" s="27"/>
      <c r="D194" s="27"/>
      <c r="E194" s="27"/>
      <c r="F194" s="27"/>
      <c r="G194" s="27"/>
      <c r="H194" s="27"/>
      <c r="I194" s="27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spans="1:30" x14ac:dyDescent="0.3">
      <c r="A195" s="32"/>
      <c r="B195" s="32"/>
      <c r="C195" s="27"/>
      <c r="D195" s="27"/>
      <c r="E195" s="27"/>
      <c r="F195" s="27"/>
      <c r="G195" s="27"/>
      <c r="H195" s="27"/>
      <c r="I195" s="27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spans="1:30" x14ac:dyDescent="0.3">
      <c r="A196" s="32"/>
      <c r="B196" s="32"/>
      <c r="C196" s="27"/>
      <c r="D196" s="27"/>
      <c r="E196" s="27"/>
      <c r="F196" s="27"/>
      <c r="G196" s="27"/>
      <c r="H196" s="27"/>
      <c r="I196" s="27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spans="1:30" x14ac:dyDescent="0.3">
      <c r="A197" s="32"/>
      <c r="B197" s="32"/>
      <c r="C197" s="27"/>
      <c r="D197" s="27"/>
      <c r="E197" s="27"/>
      <c r="F197" s="27"/>
      <c r="G197" s="27"/>
      <c r="H197" s="27"/>
      <c r="I197" s="27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spans="1:30" x14ac:dyDescent="0.3">
      <c r="A198" s="32"/>
      <c r="B198" s="32"/>
      <c r="C198" s="27"/>
      <c r="D198" s="27"/>
      <c r="E198" s="27"/>
      <c r="F198" s="27"/>
      <c r="G198" s="27"/>
      <c r="H198" s="27"/>
      <c r="I198" s="27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spans="1:30" x14ac:dyDescent="0.3">
      <c r="A199" s="32"/>
      <c r="B199" s="32"/>
      <c r="C199" s="27"/>
      <c r="D199" s="27"/>
      <c r="E199" s="27"/>
      <c r="F199" s="27"/>
      <c r="G199" s="27"/>
      <c r="H199" s="27"/>
      <c r="I199" s="27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spans="1:30" x14ac:dyDescent="0.3">
      <c r="A200" s="32"/>
      <c r="B200" s="32"/>
      <c r="C200" s="27"/>
      <c r="D200" s="27"/>
      <c r="E200" s="27"/>
      <c r="F200" s="27"/>
      <c r="G200" s="27"/>
      <c r="H200" s="27"/>
      <c r="I200" s="27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spans="1:30" x14ac:dyDescent="0.3">
      <c r="A201" s="32"/>
      <c r="B201" s="32"/>
      <c r="C201" s="27"/>
      <c r="D201" s="27"/>
      <c r="E201" s="27"/>
      <c r="F201" s="27"/>
      <c r="G201" s="27"/>
      <c r="H201" s="27"/>
      <c r="I201" s="27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spans="1:30" x14ac:dyDescent="0.3">
      <c r="A202" s="32"/>
      <c r="B202" s="32"/>
      <c r="C202" s="27"/>
      <c r="D202" s="27"/>
      <c r="E202" s="27"/>
      <c r="F202" s="27"/>
      <c r="G202" s="27"/>
      <c r="H202" s="27"/>
      <c r="I202" s="27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spans="1:30" x14ac:dyDescent="0.3">
      <c r="A203" s="32"/>
      <c r="B203" s="32"/>
      <c r="C203" s="27"/>
      <c r="D203" s="27"/>
      <c r="E203" s="27"/>
      <c r="F203" s="27"/>
      <c r="G203" s="27"/>
      <c r="H203" s="27"/>
      <c r="I203" s="27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spans="1:30" x14ac:dyDescent="0.3">
      <c r="A204" s="32"/>
      <c r="B204" s="32"/>
      <c r="C204" s="27"/>
      <c r="D204" s="27"/>
      <c r="E204" s="27"/>
      <c r="F204" s="27"/>
      <c r="G204" s="27"/>
      <c r="H204" s="27"/>
      <c r="I204" s="27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spans="1:30" x14ac:dyDescent="0.3">
      <c r="A205" s="32"/>
      <c r="B205" s="32"/>
      <c r="C205" s="27"/>
      <c r="D205" s="27"/>
      <c r="E205" s="27"/>
      <c r="F205" s="27"/>
      <c r="G205" s="27"/>
      <c r="H205" s="27"/>
      <c r="I205" s="27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spans="1:30" x14ac:dyDescent="0.3">
      <c r="A206" s="32"/>
      <c r="B206" s="32"/>
      <c r="C206" s="27"/>
      <c r="D206" s="27"/>
      <c r="E206" s="27"/>
      <c r="F206" s="27"/>
      <c r="G206" s="27"/>
      <c r="H206" s="27"/>
      <c r="I206" s="27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spans="1:30" x14ac:dyDescent="0.3">
      <c r="A207" s="32"/>
      <c r="B207" s="32"/>
      <c r="C207" s="27"/>
      <c r="D207" s="27"/>
      <c r="E207" s="27"/>
      <c r="F207" s="27"/>
      <c r="G207" s="27"/>
      <c r="H207" s="27"/>
      <c r="I207" s="27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spans="1:30" x14ac:dyDescent="0.3">
      <c r="A208" s="32"/>
      <c r="B208" s="32"/>
      <c r="C208" s="27"/>
      <c r="D208" s="27"/>
      <c r="E208" s="27"/>
      <c r="F208" s="27"/>
      <c r="G208" s="27"/>
      <c r="H208" s="27"/>
      <c r="I208" s="27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spans="1:30" x14ac:dyDescent="0.3">
      <c r="A209" s="32"/>
      <c r="B209" s="32"/>
      <c r="C209" s="27"/>
      <c r="D209" s="27"/>
      <c r="E209" s="27"/>
      <c r="F209" s="27"/>
      <c r="G209" s="27"/>
      <c r="H209" s="27"/>
      <c r="I209" s="27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spans="1:30" x14ac:dyDescent="0.3">
      <c r="A210" s="32"/>
      <c r="B210" s="32"/>
      <c r="C210" s="27"/>
      <c r="D210" s="27"/>
      <c r="E210" s="27"/>
      <c r="F210" s="27"/>
      <c r="G210" s="27"/>
      <c r="H210" s="27"/>
      <c r="I210" s="27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spans="1:30" x14ac:dyDescent="0.3">
      <c r="A211" s="32"/>
      <c r="B211" s="32"/>
      <c r="C211" s="27"/>
      <c r="D211" s="27"/>
      <c r="E211" s="27"/>
      <c r="F211" s="27"/>
      <c r="G211" s="27"/>
      <c r="H211" s="27"/>
      <c r="I211" s="27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spans="1:30" x14ac:dyDescent="0.3">
      <c r="A212" s="32"/>
      <c r="B212" s="32"/>
      <c r="C212" s="27"/>
      <c r="D212" s="27"/>
      <c r="E212" s="27"/>
      <c r="F212" s="27"/>
      <c r="G212" s="27"/>
      <c r="H212" s="27"/>
      <c r="I212" s="27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spans="1:30" x14ac:dyDescent="0.3">
      <c r="A213" s="32"/>
      <c r="B213" s="32"/>
      <c r="C213" s="27"/>
      <c r="D213" s="27"/>
      <c r="E213" s="27"/>
      <c r="F213" s="27"/>
      <c r="G213" s="27"/>
      <c r="H213" s="27"/>
      <c r="I213" s="27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spans="1:30" x14ac:dyDescent="0.3">
      <c r="A214" s="32"/>
      <c r="B214" s="32"/>
      <c r="C214" s="27"/>
      <c r="D214" s="27"/>
      <c r="E214" s="27"/>
      <c r="F214" s="27"/>
      <c r="G214" s="27"/>
      <c r="H214" s="27"/>
      <c r="I214" s="27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spans="1:30" x14ac:dyDescent="0.3">
      <c r="A215" s="32"/>
      <c r="B215" s="32"/>
      <c r="C215" s="27"/>
      <c r="D215" s="27"/>
      <c r="E215" s="27"/>
      <c r="F215" s="27"/>
      <c r="G215" s="27"/>
      <c r="H215" s="27"/>
      <c r="I215" s="27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spans="1:30" x14ac:dyDescent="0.3">
      <c r="A216" s="32"/>
      <c r="B216" s="32"/>
      <c r="C216" s="27"/>
      <c r="D216" s="27"/>
      <c r="E216" s="27"/>
      <c r="F216" s="27"/>
      <c r="G216" s="27"/>
      <c r="H216" s="27"/>
      <c r="I216" s="27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spans="1:30" x14ac:dyDescent="0.3">
      <c r="A217" s="32"/>
      <c r="B217" s="32"/>
      <c r="C217" s="27"/>
      <c r="D217" s="27"/>
      <c r="E217" s="27"/>
      <c r="F217" s="27"/>
      <c r="G217" s="27"/>
      <c r="H217" s="27"/>
      <c r="I217" s="27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spans="1:30" x14ac:dyDescent="0.3">
      <c r="A218" s="32"/>
      <c r="B218" s="32"/>
      <c r="C218" s="27"/>
      <c r="D218" s="27"/>
      <c r="E218" s="27"/>
      <c r="F218" s="27"/>
      <c r="G218" s="27"/>
      <c r="H218" s="27"/>
      <c r="I218" s="27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spans="1:30" x14ac:dyDescent="0.3">
      <c r="A219" s="32"/>
      <c r="B219" s="32"/>
      <c r="C219" s="27"/>
      <c r="D219" s="27"/>
      <c r="E219" s="27"/>
      <c r="F219" s="27"/>
      <c r="G219" s="27"/>
      <c r="H219" s="27"/>
      <c r="I219" s="27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spans="1:30" x14ac:dyDescent="0.3">
      <c r="A220" s="32"/>
      <c r="B220" s="32"/>
      <c r="C220" s="27"/>
      <c r="D220" s="27"/>
      <c r="E220" s="27"/>
      <c r="F220" s="27"/>
      <c r="G220" s="27"/>
      <c r="H220" s="27"/>
      <c r="I220" s="27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spans="1:30" x14ac:dyDescent="0.3">
      <c r="A221" s="32"/>
      <c r="B221" s="32"/>
      <c r="C221" s="27"/>
      <c r="D221" s="27"/>
      <c r="E221" s="27"/>
      <c r="F221" s="27"/>
      <c r="G221" s="27"/>
      <c r="H221" s="27"/>
      <c r="I221" s="27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spans="1:30" x14ac:dyDescent="0.3">
      <c r="A222" s="32"/>
      <c r="B222" s="32"/>
      <c r="C222" s="27"/>
      <c r="D222" s="27"/>
      <c r="E222" s="27"/>
      <c r="F222" s="27"/>
      <c r="G222" s="27"/>
      <c r="H222" s="27"/>
      <c r="I222" s="27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spans="1:30" x14ac:dyDescent="0.3">
      <c r="A223" s="32"/>
      <c r="B223" s="32"/>
      <c r="C223" s="27"/>
      <c r="D223" s="27"/>
      <c r="E223" s="27"/>
      <c r="F223" s="27"/>
      <c r="G223" s="27"/>
      <c r="H223" s="27"/>
      <c r="I223" s="27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spans="1:30" x14ac:dyDescent="0.3">
      <c r="A224" s="32"/>
      <c r="B224" s="32"/>
      <c r="C224" s="27"/>
      <c r="D224" s="27"/>
      <c r="E224" s="27"/>
      <c r="F224" s="27"/>
      <c r="G224" s="27"/>
      <c r="H224" s="27"/>
      <c r="I224" s="27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spans="1:30" x14ac:dyDescent="0.3">
      <c r="A225" s="32"/>
      <c r="B225" s="32"/>
      <c r="C225" s="27"/>
      <c r="D225" s="27"/>
      <c r="E225" s="27"/>
      <c r="F225" s="27"/>
      <c r="G225" s="27"/>
      <c r="H225" s="27"/>
      <c r="I225" s="27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spans="1:30" x14ac:dyDescent="0.3">
      <c r="A226" s="32"/>
      <c r="B226" s="32"/>
      <c r="C226" s="27"/>
      <c r="D226" s="27"/>
      <c r="E226" s="27"/>
      <c r="F226" s="27"/>
      <c r="G226" s="27"/>
      <c r="H226" s="27"/>
      <c r="I226" s="27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spans="1:30" x14ac:dyDescent="0.3">
      <c r="A227" s="32"/>
      <c r="B227" s="32"/>
      <c r="C227" s="27"/>
      <c r="D227" s="27"/>
      <c r="E227" s="27"/>
      <c r="F227" s="27"/>
      <c r="G227" s="27"/>
      <c r="H227" s="27"/>
      <c r="I227" s="27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spans="1:30" x14ac:dyDescent="0.3">
      <c r="A228" s="32"/>
      <c r="B228" s="32"/>
      <c r="C228" s="27"/>
      <c r="D228" s="27"/>
      <c r="E228" s="27"/>
      <c r="F228" s="27"/>
      <c r="G228" s="27"/>
      <c r="H228" s="27"/>
      <c r="I228" s="27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spans="1:30" x14ac:dyDescent="0.3">
      <c r="A229" s="32"/>
      <c r="B229" s="32"/>
      <c r="C229" s="27"/>
      <c r="D229" s="27"/>
      <c r="E229" s="27"/>
      <c r="F229" s="27"/>
      <c r="G229" s="27"/>
      <c r="H229" s="27"/>
      <c r="I229" s="27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spans="1:30" x14ac:dyDescent="0.3">
      <c r="A230" s="32"/>
      <c r="B230" s="32"/>
      <c r="C230" s="27"/>
      <c r="D230" s="27"/>
      <c r="E230" s="27"/>
      <c r="F230" s="27"/>
      <c r="G230" s="27"/>
      <c r="H230" s="27"/>
      <c r="I230" s="27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spans="1:30" x14ac:dyDescent="0.3">
      <c r="A231" s="32"/>
      <c r="B231" s="32"/>
      <c r="C231" s="27"/>
      <c r="D231" s="27"/>
      <c r="E231" s="27"/>
      <c r="F231" s="27"/>
      <c r="G231" s="27"/>
      <c r="H231" s="27"/>
      <c r="I231" s="27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spans="1:30" x14ac:dyDescent="0.3">
      <c r="A232" s="32"/>
      <c r="B232" s="32"/>
      <c r="C232" s="27"/>
      <c r="D232" s="27"/>
      <c r="E232" s="27"/>
      <c r="F232" s="27"/>
      <c r="G232" s="27"/>
      <c r="H232" s="27"/>
      <c r="I232" s="27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spans="1:30" x14ac:dyDescent="0.3">
      <c r="A233" s="32"/>
      <c r="B233" s="32"/>
      <c r="C233" s="27"/>
      <c r="D233" s="27"/>
      <c r="E233" s="27"/>
      <c r="F233" s="27"/>
      <c r="G233" s="27"/>
      <c r="H233" s="27"/>
      <c r="I233" s="27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spans="1:30" x14ac:dyDescent="0.3">
      <c r="A234" s="32"/>
      <c r="B234" s="32"/>
      <c r="C234" s="27"/>
      <c r="D234" s="27"/>
      <c r="E234" s="27"/>
      <c r="F234" s="27"/>
      <c r="G234" s="27"/>
      <c r="H234" s="27"/>
      <c r="I234" s="27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spans="1:30" x14ac:dyDescent="0.3">
      <c r="A235" s="32"/>
      <c r="B235" s="32"/>
      <c r="C235" s="27"/>
      <c r="D235" s="27"/>
      <c r="E235" s="27"/>
      <c r="F235" s="27"/>
      <c r="G235" s="27"/>
      <c r="H235" s="27"/>
      <c r="I235" s="27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spans="1:30" x14ac:dyDescent="0.3">
      <c r="A236" s="32"/>
      <c r="B236" s="32"/>
      <c r="C236" s="27"/>
      <c r="D236" s="27"/>
      <c r="E236" s="27"/>
      <c r="F236" s="27"/>
      <c r="G236" s="27"/>
      <c r="H236" s="27"/>
      <c r="I236" s="27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spans="1:30" x14ac:dyDescent="0.3">
      <c r="A237" s="32"/>
      <c r="B237" s="32"/>
      <c r="C237" s="27"/>
      <c r="D237" s="27"/>
      <c r="E237" s="27"/>
      <c r="F237" s="27"/>
      <c r="G237" s="27"/>
      <c r="H237" s="27"/>
      <c r="I237" s="27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spans="1:30" x14ac:dyDescent="0.3">
      <c r="A238" s="32"/>
      <c r="B238" s="32"/>
      <c r="C238" s="27"/>
      <c r="D238" s="27"/>
      <c r="E238" s="27"/>
      <c r="F238" s="27"/>
      <c r="G238" s="27"/>
      <c r="H238" s="27"/>
      <c r="I238" s="27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spans="1:30" x14ac:dyDescent="0.3">
      <c r="A239" s="32"/>
      <c r="B239" s="32"/>
      <c r="C239" s="27"/>
      <c r="D239" s="27"/>
      <c r="E239" s="27"/>
      <c r="F239" s="27"/>
      <c r="G239" s="27"/>
      <c r="H239" s="27"/>
      <c r="I239" s="27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spans="1:30" x14ac:dyDescent="0.3">
      <c r="A240" s="32"/>
      <c r="B240" s="32"/>
      <c r="C240" s="27"/>
      <c r="D240" s="27"/>
      <c r="E240" s="27"/>
      <c r="F240" s="27"/>
      <c r="G240" s="27"/>
      <c r="H240" s="27"/>
      <c r="I240" s="27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spans="1:30" x14ac:dyDescent="0.3">
      <c r="A241" s="32"/>
      <c r="B241" s="32"/>
      <c r="C241" s="27"/>
      <c r="D241" s="27"/>
      <c r="E241" s="27"/>
      <c r="F241" s="27"/>
      <c r="G241" s="27"/>
      <c r="H241" s="27"/>
      <c r="I241" s="27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spans="1:30" x14ac:dyDescent="0.3">
      <c r="A242" s="32"/>
      <c r="B242" s="32"/>
      <c r="C242" s="27"/>
      <c r="D242" s="27"/>
      <c r="E242" s="27"/>
      <c r="F242" s="27"/>
      <c r="G242" s="27"/>
      <c r="H242" s="27"/>
      <c r="I242" s="27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spans="1:30" x14ac:dyDescent="0.3">
      <c r="A243" s="32"/>
      <c r="B243" s="32"/>
      <c r="C243" s="27"/>
      <c r="D243" s="27"/>
      <c r="E243" s="27"/>
      <c r="F243" s="27"/>
      <c r="G243" s="27"/>
      <c r="H243" s="27"/>
      <c r="I243" s="27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spans="1:30" x14ac:dyDescent="0.3">
      <c r="A244" s="32"/>
      <c r="B244" s="32"/>
      <c r="C244" s="27"/>
      <c r="D244" s="27"/>
      <c r="E244" s="27"/>
      <c r="F244" s="27"/>
      <c r="G244" s="27"/>
      <c r="H244" s="27"/>
      <c r="I244" s="27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spans="1:30" x14ac:dyDescent="0.3">
      <c r="A245" s="32"/>
      <c r="B245" s="32"/>
      <c r="C245" s="27"/>
      <c r="D245" s="27"/>
      <c r="E245" s="27"/>
      <c r="F245" s="27"/>
      <c r="G245" s="27"/>
      <c r="H245" s="27"/>
      <c r="I245" s="27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spans="1:30" x14ac:dyDescent="0.3">
      <c r="A246" s="32"/>
      <c r="B246" s="32"/>
      <c r="C246" s="27"/>
      <c r="D246" s="27"/>
      <c r="E246" s="27"/>
      <c r="F246" s="27"/>
      <c r="G246" s="27"/>
      <c r="H246" s="27"/>
      <c r="I246" s="27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spans="1:30" x14ac:dyDescent="0.3">
      <c r="A247" s="32"/>
      <c r="B247" s="32"/>
      <c r="C247" s="27"/>
      <c r="D247" s="27"/>
      <c r="E247" s="27"/>
      <c r="F247" s="27"/>
      <c r="G247" s="27"/>
      <c r="H247" s="27"/>
      <c r="I247" s="27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spans="1:30" x14ac:dyDescent="0.3">
      <c r="A248" s="32"/>
      <c r="B248" s="32"/>
      <c r="C248" s="27"/>
      <c r="D248" s="27"/>
      <c r="E248" s="27"/>
      <c r="F248" s="27"/>
      <c r="G248" s="27"/>
      <c r="H248" s="27"/>
      <c r="I248" s="27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spans="1:30" x14ac:dyDescent="0.3">
      <c r="A249" s="32"/>
      <c r="B249" s="32"/>
      <c r="C249" s="27"/>
      <c r="D249" s="27"/>
      <c r="E249" s="27"/>
      <c r="F249" s="27"/>
      <c r="G249" s="27"/>
      <c r="H249" s="27"/>
      <c r="I249" s="27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spans="1:30" x14ac:dyDescent="0.3">
      <c r="A250" s="32"/>
      <c r="B250" s="32"/>
      <c r="C250" s="27"/>
      <c r="D250" s="27"/>
      <c r="E250" s="27"/>
      <c r="F250" s="27"/>
      <c r="G250" s="27"/>
      <c r="H250" s="27"/>
      <c r="I250" s="27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spans="1:30" x14ac:dyDescent="0.3">
      <c r="A251" s="32"/>
      <c r="B251" s="32"/>
      <c r="C251" s="27"/>
      <c r="D251" s="27"/>
      <c r="E251" s="27"/>
      <c r="F251" s="27"/>
      <c r="G251" s="27"/>
      <c r="H251" s="27"/>
      <c r="I251" s="27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spans="1:30" x14ac:dyDescent="0.3">
      <c r="A252" s="32"/>
      <c r="B252" s="32"/>
      <c r="C252" s="27"/>
      <c r="D252" s="27"/>
      <c r="E252" s="27"/>
      <c r="F252" s="27"/>
      <c r="G252" s="27"/>
      <c r="H252" s="27"/>
      <c r="I252" s="27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spans="1:30" x14ac:dyDescent="0.3">
      <c r="A253" s="32"/>
      <c r="B253" s="32"/>
      <c r="C253" s="27"/>
      <c r="D253" s="27"/>
      <c r="E253" s="27"/>
      <c r="F253" s="27"/>
      <c r="G253" s="27"/>
      <c r="H253" s="27"/>
      <c r="I253" s="27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spans="1:30" x14ac:dyDescent="0.3">
      <c r="A254" s="32"/>
      <c r="B254" s="32"/>
      <c r="C254" s="27"/>
      <c r="D254" s="27"/>
      <c r="E254" s="27"/>
      <c r="F254" s="27"/>
      <c r="G254" s="27"/>
      <c r="H254" s="27"/>
      <c r="I254" s="27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spans="1:30" x14ac:dyDescent="0.3">
      <c r="A255" s="32"/>
      <c r="B255" s="32"/>
      <c r="C255" s="27"/>
      <c r="D255" s="27"/>
      <c r="E255" s="27"/>
      <c r="F255" s="27"/>
      <c r="G255" s="27"/>
      <c r="H255" s="27"/>
      <c r="I255" s="27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spans="1:30" x14ac:dyDescent="0.3">
      <c r="A256" s="32"/>
      <c r="B256" s="32"/>
      <c r="C256" s="27"/>
      <c r="D256" s="27"/>
      <c r="E256" s="27"/>
      <c r="F256" s="27"/>
      <c r="G256" s="27"/>
      <c r="H256" s="27"/>
      <c r="I256" s="27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spans="1:30" x14ac:dyDescent="0.3">
      <c r="A257" s="32"/>
      <c r="B257" s="32"/>
      <c r="C257" s="27"/>
      <c r="D257" s="27"/>
      <c r="E257" s="27"/>
      <c r="F257" s="27"/>
      <c r="G257" s="27"/>
      <c r="H257" s="27"/>
      <c r="I257" s="27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spans="1:30" x14ac:dyDescent="0.3">
      <c r="A258" s="32"/>
      <c r="B258" s="32"/>
      <c r="C258" s="27"/>
      <c r="D258" s="27"/>
      <c r="E258" s="27"/>
      <c r="F258" s="27"/>
      <c r="G258" s="27"/>
      <c r="H258" s="27"/>
      <c r="I258" s="27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spans="1:30" x14ac:dyDescent="0.3">
      <c r="A259" s="32"/>
      <c r="B259" s="32"/>
      <c r="C259" s="27"/>
      <c r="D259" s="27"/>
      <c r="E259" s="27"/>
      <c r="F259" s="27"/>
      <c r="G259" s="27"/>
      <c r="H259" s="27"/>
      <c r="I259" s="27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spans="1:30" x14ac:dyDescent="0.3">
      <c r="A260" s="32"/>
      <c r="B260" s="32"/>
      <c r="C260" s="27"/>
      <c r="D260" s="27"/>
      <c r="E260" s="27"/>
      <c r="F260" s="27"/>
      <c r="G260" s="27"/>
      <c r="H260" s="27"/>
      <c r="I260" s="27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spans="1:30" x14ac:dyDescent="0.3">
      <c r="A261" s="32"/>
      <c r="B261" s="32"/>
      <c r="C261" s="27"/>
      <c r="D261" s="27"/>
      <c r="E261" s="27"/>
      <c r="F261" s="27"/>
      <c r="G261" s="27"/>
      <c r="H261" s="27"/>
      <c r="I261" s="27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spans="1:30" x14ac:dyDescent="0.3">
      <c r="A262" s="32"/>
      <c r="B262" s="32"/>
      <c r="C262" s="27"/>
      <c r="D262" s="27"/>
      <c r="E262" s="27"/>
      <c r="F262" s="27"/>
      <c r="G262" s="27"/>
      <c r="H262" s="27"/>
      <c r="I262" s="27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spans="1:30" x14ac:dyDescent="0.3">
      <c r="A263" s="32"/>
      <c r="B263" s="32"/>
      <c r="C263" s="27"/>
      <c r="D263" s="27"/>
      <c r="E263" s="27"/>
      <c r="F263" s="27"/>
      <c r="G263" s="27"/>
      <c r="H263" s="27"/>
      <c r="I263" s="27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spans="1:30" x14ac:dyDescent="0.3">
      <c r="A264" s="32"/>
      <c r="B264" s="32"/>
      <c r="C264" s="27"/>
      <c r="D264" s="27"/>
      <c r="E264" s="27"/>
      <c r="F264" s="27"/>
      <c r="G264" s="27"/>
      <c r="H264" s="27"/>
      <c r="I264" s="27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spans="1:30" x14ac:dyDescent="0.3">
      <c r="A265" s="32"/>
      <c r="B265" s="32"/>
      <c r="C265" s="27"/>
      <c r="D265" s="27"/>
      <c r="E265" s="27"/>
      <c r="F265" s="27"/>
      <c r="G265" s="27"/>
      <c r="H265" s="27"/>
      <c r="I265" s="27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spans="1:30" x14ac:dyDescent="0.3">
      <c r="A266" s="32"/>
      <c r="B266" s="32"/>
      <c r="C266" s="27"/>
      <c r="D266" s="27"/>
      <c r="E266" s="27"/>
      <c r="F266" s="27"/>
      <c r="G266" s="27"/>
      <c r="H266" s="27"/>
      <c r="I266" s="27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spans="1:30" x14ac:dyDescent="0.3">
      <c r="A267" s="32"/>
      <c r="B267" s="32"/>
      <c r="C267" s="27"/>
      <c r="D267" s="27"/>
      <c r="E267" s="27"/>
      <c r="F267" s="27"/>
      <c r="G267" s="27"/>
      <c r="H267" s="27"/>
      <c r="I267" s="27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spans="1:30" x14ac:dyDescent="0.3">
      <c r="A268" s="32"/>
      <c r="B268" s="32"/>
      <c r="C268" s="27"/>
      <c r="D268" s="27"/>
      <c r="E268" s="27"/>
      <c r="F268" s="27"/>
      <c r="G268" s="27"/>
      <c r="H268" s="27"/>
      <c r="I268" s="27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spans="1:30" x14ac:dyDescent="0.3">
      <c r="A269" s="32"/>
      <c r="B269" s="32"/>
      <c r="C269" s="27"/>
      <c r="D269" s="27"/>
      <c r="E269" s="27"/>
      <c r="F269" s="27"/>
      <c r="G269" s="27"/>
      <c r="H269" s="27"/>
      <c r="I269" s="27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spans="1:30" x14ac:dyDescent="0.3">
      <c r="A270" s="32"/>
      <c r="B270" s="32"/>
      <c r="C270" s="27"/>
      <c r="D270" s="27"/>
      <c r="E270" s="27"/>
      <c r="F270" s="27"/>
      <c r="G270" s="27"/>
      <c r="H270" s="27"/>
      <c r="I270" s="27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spans="1:30" x14ac:dyDescent="0.3">
      <c r="A271" s="32"/>
      <c r="B271" s="32"/>
      <c r="C271" s="27"/>
      <c r="D271" s="27"/>
      <c r="E271" s="27"/>
      <c r="F271" s="27"/>
      <c r="G271" s="27"/>
      <c r="H271" s="27"/>
      <c r="I271" s="27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spans="1:30" x14ac:dyDescent="0.3">
      <c r="A272" s="32"/>
      <c r="B272" s="32"/>
      <c r="C272" s="27"/>
      <c r="D272" s="27"/>
      <c r="E272" s="27"/>
      <c r="F272" s="27"/>
      <c r="G272" s="27"/>
      <c r="H272" s="27"/>
      <c r="I272" s="27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spans="1:30" x14ac:dyDescent="0.3">
      <c r="A273" s="32"/>
      <c r="B273" s="32"/>
      <c r="C273" s="27"/>
      <c r="D273" s="27"/>
      <c r="E273" s="27"/>
      <c r="F273" s="27"/>
      <c r="G273" s="27"/>
      <c r="H273" s="27"/>
      <c r="I273" s="27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spans="1:30" x14ac:dyDescent="0.3">
      <c r="A274" s="32"/>
      <c r="B274" s="32"/>
      <c r="C274" s="27"/>
      <c r="D274" s="27"/>
      <c r="E274" s="27"/>
      <c r="F274" s="27"/>
      <c r="G274" s="27"/>
      <c r="H274" s="27"/>
      <c r="I274" s="27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spans="1:30" x14ac:dyDescent="0.3">
      <c r="A275" s="32"/>
      <c r="B275" s="32"/>
      <c r="C275" s="27"/>
      <c r="D275" s="27"/>
      <c r="E275" s="27"/>
      <c r="F275" s="27"/>
      <c r="G275" s="27"/>
      <c r="H275" s="27"/>
      <c r="I275" s="27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spans="1:30" x14ac:dyDescent="0.3">
      <c r="A276" s="32"/>
      <c r="B276" s="32"/>
      <c r="C276" s="27"/>
      <c r="D276" s="27"/>
      <c r="E276" s="27"/>
      <c r="F276" s="27"/>
      <c r="G276" s="27"/>
      <c r="H276" s="27"/>
      <c r="I276" s="27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spans="1:30" x14ac:dyDescent="0.3">
      <c r="A277" s="32"/>
      <c r="B277" s="32"/>
      <c r="C277" s="27"/>
      <c r="D277" s="27"/>
      <c r="E277" s="27"/>
      <c r="F277" s="27"/>
      <c r="G277" s="27"/>
      <c r="H277" s="27"/>
      <c r="I277" s="27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spans="1:30" x14ac:dyDescent="0.3">
      <c r="A278" s="32"/>
      <c r="B278" s="32"/>
      <c r="C278" s="27"/>
      <c r="D278" s="27"/>
      <c r="E278" s="27"/>
      <c r="F278" s="27"/>
      <c r="G278" s="27"/>
      <c r="H278" s="27"/>
      <c r="I278" s="27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spans="1:30" x14ac:dyDescent="0.3">
      <c r="A279" s="32"/>
      <c r="B279" s="32"/>
      <c r="C279" s="27"/>
      <c r="D279" s="27"/>
      <c r="E279" s="27"/>
      <c r="F279" s="27"/>
      <c r="G279" s="27"/>
      <c r="H279" s="27"/>
      <c r="I279" s="27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spans="1:30" x14ac:dyDescent="0.3">
      <c r="A280" s="32"/>
      <c r="B280" s="32"/>
      <c r="C280" s="27"/>
      <c r="D280" s="27"/>
      <c r="E280" s="27"/>
      <c r="F280" s="27"/>
      <c r="G280" s="27"/>
      <c r="H280" s="27"/>
      <c r="I280" s="27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spans="1:30" x14ac:dyDescent="0.3">
      <c r="A281" s="32"/>
      <c r="B281" s="32"/>
      <c r="C281" s="27"/>
      <c r="D281" s="27"/>
      <c r="E281" s="27"/>
      <c r="F281" s="27"/>
      <c r="G281" s="27"/>
      <c r="H281" s="27"/>
      <c r="I281" s="27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spans="1:30" x14ac:dyDescent="0.3">
      <c r="A282" s="32"/>
      <c r="B282" s="32"/>
      <c r="C282" s="27"/>
      <c r="D282" s="27"/>
      <c r="E282" s="27"/>
      <c r="F282" s="27"/>
      <c r="G282" s="27"/>
      <c r="H282" s="27"/>
      <c r="I282" s="27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spans="1:30" x14ac:dyDescent="0.3">
      <c r="A283" s="32"/>
      <c r="B283" s="32"/>
      <c r="C283" s="27"/>
      <c r="D283" s="27"/>
      <c r="E283" s="27"/>
      <c r="F283" s="27"/>
      <c r="G283" s="27"/>
      <c r="H283" s="27"/>
      <c r="I283" s="27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spans="1:30" x14ac:dyDescent="0.3">
      <c r="A284" s="32"/>
      <c r="B284" s="32"/>
      <c r="C284" s="27"/>
      <c r="D284" s="27"/>
      <c r="E284" s="27"/>
      <c r="F284" s="27"/>
      <c r="G284" s="27"/>
      <c r="H284" s="27"/>
      <c r="I284" s="27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spans="1:30" x14ac:dyDescent="0.3">
      <c r="A285" s="32"/>
      <c r="B285" s="32"/>
      <c r="C285" s="27"/>
      <c r="D285" s="27"/>
      <c r="E285" s="27"/>
      <c r="F285" s="27"/>
      <c r="G285" s="27"/>
      <c r="H285" s="27"/>
      <c r="I285" s="27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spans="1:30" x14ac:dyDescent="0.3">
      <c r="A286" s="32"/>
      <c r="B286" s="32"/>
      <c r="C286" s="27"/>
      <c r="D286" s="27"/>
      <c r="E286" s="27"/>
      <c r="F286" s="27"/>
      <c r="G286" s="27"/>
      <c r="H286" s="27"/>
      <c r="I286" s="27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spans="1:30" x14ac:dyDescent="0.3">
      <c r="A287" s="32"/>
      <c r="B287" s="32"/>
      <c r="C287" s="27"/>
      <c r="D287" s="27"/>
      <c r="E287" s="27"/>
      <c r="F287" s="27"/>
      <c r="G287" s="27"/>
      <c r="H287" s="27"/>
      <c r="I287" s="27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spans="1:30" x14ac:dyDescent="0.3">
      <c r="A288" s="32"/>
      <c r="B288" s="32"/>
      <c r="C288" s="27"/>
      <c r="D288" s="27"/>
      <c r="E288" s="27"/>
      <c r="F288" s="27"/>
      <c r="G288" s="27"/>
      <c r="H288" s="27"/>
      <c r="I288" s="27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spans="1:30" x14ac:dyDescent="0.3">
      <c r="A289" s="32"/>
      <c r="B289" s="32"/>
      <c r="C289" s="27"/>
      <c r="D289" s="27"/>
      <c r="E289" s="27"/>
      <c r="F289" s="27"/>
      <c r="G289" s="27"/>
      <c r="H289" s="27"/>
      <c r="I289" s="27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spans="1:30" x14ac:dyDescent="0.3">
      <c r="A290" s="32"/>
      <c r="B290" s="32"/>
      <c r="C290" s="27"/>
      <c r="D290" s="27"/>
      <c r="E290" s="27"/>
      <c r="F290" s="27"/>
      <c r="G290" s="27"/>
      <c r="H290" s="27"/>
      <c r="I290" s="27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spans="1:30" x14ac:dyDescent="0.3">
      <c r="A291" s="32"/>
      <c r="B291" s="32"/>
      <c r="C291" s="27"/>
      <c r="D291" s="27"/>
      <c r="E291" s="27"/>
      <c r="F291" s="27"/>
      <c r="G291" s="27"/>
      <c r="H291" s="27"/>
      <c r="I291" s="27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spans="1:30" x14ac:dyDescent="0.3">
      <c r="A292" s="32"/>
      <c r="B292" s="32"/>
      <c r="C292" s="27"/>
      <c r="D292" s="27"/>
      <c r="E292" s="27"/>
      <c r="F292" s="27"/>
      <c r="G292" s="27"/>
      <c r="H292" s="27"/>
      <c r="I292" s="27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spans="1:30" x14ac:dyDescent="0.3">
      <c r="A293" s="32"/>
      <c r="B293" s="32"/>
      <c r="C293" s="27"/>
      <c r="D293" s="27"/>
      <c r="E293" s="27"/>
      <c r="F293" s="27"/>
      <c r="G293" s="27"/>
      <c r="H293" s="27"/>
      <c r="I293" s="27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spans="1:30" x14ac:dyDescent="0.3">
      <c r="A294" s="32"/>
      <c r="B294" s="32"/>
      <c r="C294" s="27"/>
      <c r="D294" s="27"/>
      <c r="E294" s="27"/>
      <c r="F294" s="27"/>
      <c r="G294" s="27"/>
      <c r="H294" s="27"/>
      <c r="I294" s="27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</sheetData>
  <phoneticPr fontId="0" type="noConversion"/>
  <printOptions gridLines="1"/>
  <pageMargins left="0.75" right="0.75" top="1" bottom="1" header="0.5" footer="0.5"/>
  <pageSetup orientation="landscape" horizontalDpi="360" verticalDpi="360" r:id="rId1"/>
  <headerFooter alignWithMargins="0">
    <oddHeader xml:space="preserve">&amp;CActy 511
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workbookViewId="0">
      <selection activeCell="A3" sqref="A3"/>
    </sheetView>
  </sheetViews>
  <sheetFormatPr defaultColWidth="9.1796875" defaultRowHeight="15.5" x14ac:dyDescent="0.35"/>
  <cols>
    <col min="1" max="1" width="5.1796875" style="3" customWidth="1"/>
    <col min="2" max="2" width="50.1796875" style="3" customWidth="1"/>
    <col min="3" max="3" width="11" style="4" bestFit="1" customWidth="1"/>
    <col min="4" max="4" width="12.81640625" style="4" bestFit="1" customWidth="1"/>
    <col min="5" max="5" width="9.1796875" style="3"/>
    <col min="6" max="6" width="10.1796875" style="3" bestFit="1" customWidth="1"/>
    <col min="7" max="7" width="9.1796875" style="3"/>
    <col min="8" max="8" width="11" style="4" bestFit="1" customWidth="1"/>
    <col min="9" max="10" width="9.1796875" style="3"/>
    <col min="11" max="11" width="11" style="4" bestFit="1" customWidth="1"/>
    <col min="12" max="16384" width="9.1796875" style="3"/>
  </cols>
  <sheetData>
    <row r="1" spans="2:4" x14ac:dyDescent="0.35">
      <c r="B1" s="3" t="s">
        <v>106</v>
      </c>
    </row>
    <row r="2" spans="2:4" x14ac:dyDescent="0.35">
      <c r="B2" s="5" t="s">
        <v>107</v>
      </c>
    </row>
    <row r="3" spans="2:4" x14ac:dyDescent="0.35">
      <c r="B3" s="3" t="s">
        <v>108</v>
      </c>
    </row>
    <row r="4" spans="2:4" x14ac:dyDescent="0.35">
      <c r="B4" s="3" t="s">
        <v>109</v>
      </c>
    </row>
    <row r="5" spans="2:4" x14ac:dyDescent="0.35">
      <c r="B5" s="66" t="s">
        <v>65</v>
      </c>
    </row>
    <row r="6" spans="2:4" x14ac:dyDescent="0.35">
      <c r="B6" s="66" t="s">
        <v>66</v>
      </c>
    </row>
    <row r="7" spans="2:4" x14ac:dyDescent="0.35">
      <c r="B7" s="66" t="s">
        <v>102</v>
      </c>
      <c r="C7" s="68"/>
    </row>
    <row r="8" spans="2:4" x14ac:dyDescent="0.35">
      <c r="B8" s="67" t="s">
        <v>110</v>
      </c>
    </row>
    <row r="9" spans="2:4" x14ac:dyDescent="0.35">
      <c r="B9" s="66" t="s">
        <v>111</v>
      </c>
      <c r="C9" s="69"/>
      <c r="D9" s="68"/>
    </row>
    <row r="10" spans="2:4" x14ac:dyDescent="0.35">
      <c r="B10" s="3" t="s">
        <v>112</v>
      </c>
    </row>
    <row r="11" spans="2:4" x14ac:dyDescent="0.35">
      <c r="B11" s="3" t="s">
        <v>113</v>
      </c>
    </row>
    <row r="13" spans="2:4" ht="16" thickBot="1" x14ac:dyDescent="0.4">
      <c r="B13" s="3" t="s">
        <v>114</v>
      </c>
      <c r="D13" s="7"/>
    </row>
    <row r="14" spans="2:4" ht="16" thickTop="1" x14ac:dyDescent="0.35"/>
    <row r="15" spans="2:4" x14ac:dyDescent="0.35">
      <c r="B15" s="5" t="s">
        <v>115</v>
      </c>
    </row>
    <row r="16" spans="2:4" x14ac:dyDescent="0.35">
      <c r="B16" s="66" t="s">
        <v>131</v>
      </c>
    </row>
    <row r="17" spans="1:11" x14ac:dyDescent="0.35">
      <c r="B17" s="66" t="s">
        <v>132</v>
      </c>
    </row>
    <row r="18" spans="1:11" ht="16" thickBot="1" x14ac:dyDescent="0.4">
      <c r="D18" s="7"/>
    </row>
    <row r="19" spans="1:11" ht="16" thickTop="1" x14ac:dyDescent="0.35"/>
    <row r="20" spans="1:11" x14ac:dyDescent="0.35">
      <c r="A20" s="5" t="s">
        <v>116</v>
      </c>
    </row>
    <row r="21" spans="1:11" x14ac:dyDescent="0.35">
      <c r="A21" s="3" t="s">
        <v>117</v>
      </c>
      <c r="F21" s="76" t="s">
        <v>118</v>
      </c>
      <c r="G21" s="76"/>
      <c r="H21" s="76"/>
      <c r="I21" s="76"/>
      <c r="J21" s="76"/>
      <c r="K21" s="76"/>
    </row>
    <row r="22" spans="1:11" x14ac:dyDescent="0.35">
      <c r="F22" s="6">
        <v>37257</v>
      </c>
      <c r="H22" s="72"/>
      <c r="I22" s="3" t="s">
        <v>35</v>
      </c>
    </row>
    <row r="23" spans="1:11" x14ac:dyDescent="0.35">
      <c r="B23" s="3" t="s">
        <v>30</v>
      </c>
      <c r="F23" s="71" t="s">
        <v>117</v>
      </c>
      <c r="G23" s="71"/>
      <c r="H23" s="75"/>
      <c r="I23" s="71" t="s">
        <v>36</v>
      </c>
      <c r="J23" s="71"/>
      <c r="K23" s="68"/>
    </row>
    <row r="24" spans="1:11" x14ac:dyDescent="0.35">
      <c r="B24" s="66" t="s">
        <v>119</v>
      </c>
      <c r="H24" s="73"/>
    </row>
    <row r="25" spans="1:11" x14ac:dyDescent="0.35">
      <c r="B25" s="67"/>
      <c r="H25" s="73"/>
    </row>
    <row r="26" spans="1:11" x14ac:dyDescent="0.35">
      <c r="B26" s="66" t="s">
        <v>120</v>
      </c>
      <c r="D26" s="68"/>
      <c r="H26" s="73"/>
    </row>
    <row r="27" spans="1:11" x14ac:dyDescent="0.35">
      <c r="B27" s="66" t="s">
        <v>121</v>
      </c>
      <c r="H27" s="73"/>
    </row>
    <row r="28" spans="1:11" x14ac:dyDescent="0.35">
      <c r="B28" s="66" t="s">
        <v>111</v>
      </c>
      <c r="D28" s="69"/>
      <c r="H28" s="73"/>
    </row>
    <row r="29" spans="1:11" ht="16" thickBot="1" x14ac:dyDescent="0.4">
      <c r="B29" s="70" t="s">
        <v>122</v>
      </c>
      <c r="D29" s="7"/>
      <c r="H29" s="73"/>
    </row>
    <row r="30" spans="1:11" ht="16" thickTop="1" x14ac:dyDescent="0.35">
      <c r="H30" s="73"/>
    </row>
    <row r="31" spans="1:11" x14ac:dyDescent="0.35">
      <c r="A31" s="3" t="s">
        <v>35</v>
      </c>
      <c r="H31" s="74"/>
    </row>
    <row r="32" spans="1:11" x14ac:dyDescent="0.35">
      <c r="H32" s="74"/>
    </row>
    <row r="33" spans="1:8" x14ac:dyDescent="0.35">
      <c r="H33" s="74"/>
    </row>
    <row r="34" spans="1:8" x14ac:dyDescent="0.35">
      <c r="H34" s="74"/>
    </row>
    <row r="35" spans="1:8" x14ac:dyDescent="0.35">
      <c r="H35" s="74"/>
    </row>
    <row r="36" spans="1:8" x14ac:dyDescent="0.35">
      <c r="B36" s="3" t="s">
        <v>125</v>
      </c>
      <c r="H36" s="74"/>
    </row>
    <row r="37" spans="1:8" x14ac:dyDescent="0.35">
      <c r="H37" s="74"/>
    </row>
    <row r="38" spans="1:8" x14ac:dyDescent="0.35">
      <c r="A38" s="3" t="s">
        <v>36</v>
      </c>
    </row>
    <row r="42" spans="1:8" x14ac:dyDescent="0.35">
      <c r="B42" s="3" t="s">
        <v>123</v>
      </c>
    </row>
    <row r="44" spans="1:8" x14ac:dyDescent="0.35">
      <c r="A44" s="3" t="s">
        <v>37</v>
      </c>
    </row>
    <row r="46" spans="1:8" x14ac:dyDescent="0.35">
      <c r="B46" s="3" t="s">
        <v>124</v>
      </c>
    </row>
    <row r="48" spans="1:8" x14ac:dyDescent="0.35">
      <c r="A48" s="3" t="s">
        <v>15</v>
      </c>
    </row>
    <row r="51" spans="1:2" x14ac:dyDescent="0.35">
      <c r="B51" s="3" t="s">
        <v>103</v>
      </c>
    </row>
    <row r="53" spans="1:2" x14ac:dyDescent="0.35">
      <c r="A53" s="3" t="s">
        <v>9</v>
      </c>
    </row>
    <row r="55" spans="1:2" x14ac:dyDescent="0.35">
      <c r="B55" s="3" t="s">
        <v>17</v>
      </c>
    </row>
    <row r="57" spans="1:2" x14ac:dyDescent="0.35">
      <c r="A57" s="3" t="s">
        <v>11</v>
      </c>
    </row>
    <row r="60" spans="1:2" x14ac:dyDescent="0.35">
      <c r="B60" s="3" t="s">
        <v>126</v>
      </c>
    </row>
    <row r="62" spans="1:2" x14ac:dyDescent="0.35">
      <c r="A62" s="3" t="s">
        <v>12</v>
      </c>
    </row>
    <row r="66" spans="1:2" x14ac:dyDescent="0.35">
      <c r="B66" s="3" t="s">
        <v>127</v>
      </c>
    </row>
    <row r="68" spans="1:2" x14ac:dyDescent="0.35">
      <c r="A68" s="3" t="s">
        <v>32</v>
      </c>
    </row>
    <row r="71" spans="1:2" x14ac:dyDescent="0.35">
      <c r="B71" s="3" t="s">
        <v>128</v>
      </c>
    </row>
    <row r="73" spans="1:2" x14ac:dyDescent="0.35">
      <c r="A73" s="3" t="s">
        <v>33</v>
      </c>
    </row>
    <row r="76" spans="1:2" x14ac:dyDescent="0.35">
      <c r="B76" s="3" t="s">
        <v>129</v>
      </c>
    </row>
    <row r="78" spans="1:2" x14ac:dyDescent="0.35">
      <c r="B78" s="5" t="s">
        <v>130</v>
      </c>
    </row>
    <row r="81" spans="4:4" x14ac:dyDescent="0.35">
      <c r="D81" s="68"/>
    </row>
    <row r="83" spans="4:4" x14ac:dyDescent="0.35">
      <c r="D83" s="69"/>
    </row>
    <row r="84" spans="4:4" ht="16" thickBot="1" x14ac:dyDescent="0.4">
      <c r="D84" s="7"/>
    </row>
    <row r="85" spans="4:4" ht="16" thickTop="1" x14ac:dyDescent="0.35"/>
  </sheetData>
  <mergeCells count="1">
    <mergeCell ref="F21:K21"/>
  </mergeCells>
  <phoneticPr fontId="0" type="noConversion"/>
  <printOptions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P5-21Blank</vt:lpstr>
      <vt:lpstr>P5-23Blank</vt:lpstr>
      <vt:lpstr>P5-35Blank</vt:lpstr>
      <vt:lpstr>P5-33BL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Hines</dc:creator>
  <cp:lastModifiedBy>Carina Negreanu</cp:lastModifiedBy>
  <cp:lastPrinted>2003-12-18T13:15:16Z</cp:lastPrinted>
  <dcterms:created xsi:type="dcterms:W3CDTF">1999-09-30T13:18:45Z</dcterms:created>
  <dcterms:modified xsi:type="dcterms:W3CDTF">2020-01-27T10:27:45Z</dcterms:modified>
</cp:coreProperties>
</file>