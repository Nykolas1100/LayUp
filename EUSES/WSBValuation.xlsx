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3867BD-705B-430D-94DF-6350CA859B11}" xr6:coauthVersionLast="45" xr6:coauthVersionMax="45" xr10:uidLastSave="{00000000-0000-0000-0000-000000000000}"/>
  <bookViews>
    <workbookView xWindow="3420" yWindow="3420" windowWidth="28800" windowHeight="15460" tabRatio="513" firstSheet="1" activeTab="6"/>
  </bookViews>
  <sheets>
    <sheet name="Overview" sheetId="1" r:id="rId1"/>
    <sheet name="Summary" sheetId="2" r:id="rId2"/>
    <sheet name="Links" sheetId="3" r:id="rId3"/>
    <sheet name="Traffic" sheetId="4" r:id="rId4"/>
    <sheet name="Revenues" sheetId="5" r:id="rId5"/>
    <sheet name="Assests" sheetId="6" r:id="rId6"/>
    <sheet name="Instructions" sheetId="7" r:id="rId7"/>
    <sheet name="Sheet10" sheetId="8" r:id="rId8"/>
    <sheet name="Sheet11" sheetId="9" r:id="rId9"/>
    <sheet name="Sheet12" sheetId="10" r:id="rId10"/>
    <sheet name="Sheet13" sheetId="11" r:id="rId11"/>
    <sheet name="Sheet14" sheetId="12" r:id="rId12"/>
    <sheet name="Sheet15" sheetId="13" r:id="rId13"/>
    <sheet name="Sheet16" sheetId="14" r:id="rId14"/>
  </sheets>
  <calcPr calcId="0" iterate="1"/>
</workbook>
</file>

<file path=xl/calcChain.xml><?xml version="1.0" encoding="utf-8"?>
<calcChain xmlns="http://schemas.openxmlformats.org/spreadsheetml/2006/main">
  <c r="E8" i="6" l="1"/>
  <c r="E15" i="6"/>
  <c r="E21" i="6"/>
  <c r="E23" i="6"/>
  <c r="E31" i="6"/>
  <c r="E33" i="6"/>
  <c r="E41" i="6"/>
  <c r="E47" i="6"/>
  <c r="E52" i="6"/>
  <c r="E54" i="6"/>
  <c r="E62" i="6"/>
  <c r="E67" i="6"/>
  <c r="E69" i="6"/>
  <c r="B3" i="3"/>
  <c r="B7" i="3"/>
  <c r="B11" i="3"/>
  <c r="B15" i="3"/>
  <c r="C15" i="3"/>
  <c r="D15" i="3"/>
  <c r="E15" i="3"/>
  <c r="F15" i="3"/>
  <c r="G15" i="3"/>
  <c r="H15" i="3"/>
  <c r="I15" i="3"/>
  <c r="K15" i="3"/>
  <c r="B16" i="3"/>
  <c r="C16" i="3"/>
  <c r="D16" i="3"/>
  <c r="E16" i="3"/>
  <c r="F16" i="3"/>
  <c r="G16" i="3"/>
  <c r="H16" i="3"/>
  <c r="I16" i="3"/>
  <c r="K16" i="3"/>
  <c r="L22" i="3"/>
  <c r="L23" i="3"/>
  <c r="L24" i="3"/>
  <c r="C27" i="3"/>
  <c r="D27" i="3"/>
  <c r="E27" i="3"/>
  <c r="F27" i="3"/>
  <c r="G27" i="3"/>
  <c r="H27" i="3"/>
  <c r="I27" i="3"/>
  <c r="J27" i="3"/>
  <c r="L27" i="3"/>
  <c r="E3" i="1"/>
  <c r="F3" i="1"/>
  <c r="E4" i="1"/>
  <c r="F4" i="1"/>
  <c r="E5" i="1"/>
  <c r="F5" i="1"/>
  <c r="F6" i="1"/>
  <c r="F9" i="1"/>
  <c r="F10" i="1"/>
  <c r="F11" i="1"/>
  <c r="F12" i="1"/>
  <c r="E15" i="1"/>
  <c r="F15" i="1"/>
  <c r="F16" i="1"/>
  <c r="F18" i="1"/>
  <c r="F19" i="1"/>
  <c r="F21" i="1"/>
  <c r="C4" i="5"/>
  <c r="C5" i="5"/>
  <c r="C6" i="5"/>
  <c r="C7" i="5"/>
  <c r="C8" i="5"/>
  <c r="C9" i="5"/>
  <c r="C10" i="5"/>
  <c r="C11" i="5"/>
  <c r="C12" i="5"/>
  <c r="D12" i="5"/>
  <c r="E12" i="5"/>
  <c r="F12" i="5"/>
  <c r="G12" i="5"/>
  <c r="H12" i="5"/>
  <c r="C14" i="5"/>
  <c r="D14" i="5"/>
  <c r="E14" i="5"/>
  <c r="F14" i="5"/>
  <c r="G14" i="5"/>
  <c r="H14" i="5"/>
  <c r="C18" i="5"/>
  <c r="C19" i="5"/>
  <c r="C20" i="5"/>
  <c r="C21" i="5"/>
  <c r="C22" i="5"/>
  <c r="C23" i="5"/>
  <c r="C24" i="5"/>
  <c r="C25" i="5"/>
  <c r="C28" i="5"/>
  <c r="D28" i="5"/>
  <c r="E28" i="5"/>
  <c r="F28" i="5"/>
  <c r="G28" i="5"/>
  <c r="H28" i="5"/>
  <c r="I28" i="5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5" i="2"/>
  <c r="I15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9" i="2"/>
  <c r="I29" i="2"/>
  <c r="H31" i="2"/>
  <c r="I31" i="2"/>
  <c r="H35" i="2"/>
  <c r="H36" i="2"/>
  <c r="H37" i="2"/>
  <c r="H39" i="2"/>
  <c r="H41" i="2"/>
  <c r="H42" i="2"/>
  <c r="H43" i="2"/>
  <c r="H44" i="2"/>
  <c r="H47" i="2"/>
  <c r="H48" i="2"/>
  <c r="H49" i="2"/>
  <c r="H51" i="2"/>
  <c r="H54" i="2"/>
  <c r="H55" i="2"/>
  <c r="H57" i="2"/>
  <c r="H59" i="2"/>
  <c r="H60" i="2"/>
  <c r="H62" i="2"/>
  <c r="H64" i="2"/>
  <c r="H67" i="2"/>
  <c r="H68" i="2"/>
  <c r="H70" i="2"/>
  <c r="H72" i="2"/>
  <c r="H76" i="2"/>
  <c r="H77" i="2"/>
  <c r="H78" i="2"/>
  <c r="H79" i="2"/>
  <c r="H80" i="2"/>
  <c r="C3" i="4"/>
  <c r="E3" i="4"/>
  <c r="F3" i="4"/>
  <c r="C4" i="4"/>
  <c r="E4" i="4"/>
  <c r="F4" i="4"/>
  <c r="B5" i="4"/>
  <c r="C5" i="4"/>
  <c r="E5" i="4"/>
  <c r="F5" i="4"/>
  <c r="B12" i="4"/>
  <c r="B13" i="4"/>
  <c r="B16" i="4"/>
  <c r="D16" i="4"/>
  <c r="E16" i="4"/>
  <c r="H16" i="4"/>
  <c r="I16" i="4"/>
  <c r="J16" i="4"/>
  <c r="K16" i="4"/>
  <c r="L16" i="4"/>
  <c r="M16" i="4"/>
  <c r="N16" i="4"/>
  <c r="B17" i="4"/>
  <c r="D17" i="4"/>
  <c r="E17" i="4"/>
  <c r="H17" i="4"/>
  <c r="I17" i="4"/>
  <c r="J17" i="4"/>
  <c r="K17" i="4"/>
  <c r="L17" i="4"/>
  <c r="M17" i="4"/>
  <c r="N17" i="4"/>
  <c r="B22" i="4"/>
  <c r="C22" i="4"/>
  <c r="B23" i="4"/>
  <c r="C23" i="4"/>
  <c r="B24" i="4"/>
  <c r="C24" i="4"/>
  <c r="B27" i="4"/>
  <c r="B28" i="4"/>
  <c r="B29" i="4"/>
  <c r="B36" i="4"/>
  <c r="C42" i="4"/>
  <c r="B45" i="4"/>
  <c r="C45" i="4"/>
  <c r="B46" i="4"/>
  <c r="C46" i="4"/>
  <c r="B47" i="4"/>
  <c r="C47" i="4"/>
</calcChain>
</file>

<file path=xl/sharedStrings.xml><?xml version="1.0" encoding="utf-8"?>
<sst xmlns="http://schemas.openxmlformats.org/spreadsheetml/2006/main" count="256" uniqueCount="178">
  <si>
    <t>Profits and Cash Flow</t>
  </si>
  <si>
    <t>Monthly</t>
  </si>
  <si>
    <t>Yearly</t>
  </si>
  <si>
    <t>1.Source of Revenues</t>
  </si>
  <si>
    <t>2.Operating Costs</t>
  </si>
  <si>
    <t>4. Net Profits</t>
  </si>
  <si>
    <t>5. Value</t>
  </si>
  <si>
    <t>Assets</t>
  </si>
  <si>
    <t>1.Technology</t>
  </si>
  <si>
    <t xml:space="preserve">2. Value of Content </t>
  </si>
  <si>
    <t>3.Branding</t>
  </si>
  <si>
    <t>4.Databases</t>
  </si>
  <si>
    <t xml:space="preserve">Traffic </t>
  </si>
  <si>
    <t>Value of traffic</t>
  </si>
  <si>
    <t>Value of links</t>
  </si>
  <si>
    <t>Book Value</t>
  </si>
  <si>
    <t>Internet Value</t>
  </si>
  <si>
    <t>Total</t>
  </si>
  <si>
    <t>Sources of Revenue</t>
  </si>
  <si>
    <t xml:space="preserve">a.Monthly products / services sales </t>
  </si>
  <si>
    <t>b.Monthly membership dues</t>
  </si>
  <si>
    <t>c.Commissions from other sources</t>
  </si>
  <si>
    <t>d.Revenue from partnership deals</t>
  </si>
  <si>
    <t>e.Subscription</t>
  </si>
  <si>
    <t>f.Ancilliary</t>
  </si>
  <si>
    <t>g.Advertising Revenue</t>
  </si>
  <si>
    <t>Advertising available</t>
  </si>
  <si>
    <t>Sell through rate</t>
  </si>
  <si>
    <t>Total Income</t>
  </si>
  <si>
    <t>Expenses</t>
  </si>
  <si>
    <t>Monthly server cost</t>
  </si>
  <si>
    <t>Monthly hosting</t>
  </si>
  <si>
    <t>Monthly fees</t>
  </si>
  <si>
    <t>Monthly bandwidth excess charges</t>
  </si>
  <si>
    <t>Staff</t>
  </si>
  <si>
    <t>Owner time</t>
  </si>
  <si>
    <t>Monthly outside labor</t>
  </si>
  <si>
    <t>Monthly Advertising</t>
  </si>
  <si>
    <t>Office</t>
  </si>
  <si>
    <t>Total Expenses</t>
  </si>
  <si>
    <t>Net Profit</t>
  </si>
  <si>
    <t>Technology</t>
  </si>
  <si>
    <t>a.Hardware included</t>
  </si>
  <si>
    <t>b.Software included</t>
  </si>
  <si>
    <t>c.Rights included with the site (hosting, access)</t>
  </si>
  <si>
    <t>Total Technology</t>
  </si>
  <si>
    <t>Branding</t>
  </si>
  <si>
    <t>a.Value of domain name</t>
  </si>
  <si>
    <t>b.Trademarks</t>
  </si>
  <si>
    <t>c.How long around</t>
  </si>
  <si>
    <t>d.Good will</t>
  </si>
  <si>
    <t xml:space="preserve">Content </t>
  </si>
  <si>
    <t>Number of original Pages</t>
  </si>
  <si>
    <t>Number of Pages</t>
  </si>
  <si>
    <t>Value per page</t>
  </si>
  <si>
    <t>Value of Pages</t>
  </si>
  <si>
    <t>Number of Graphics</t>
  </si>
  <si>
    <t>Value per Graphic</t>
  </si>
  <si>
    <t>Value of Graphics</t>
  </si>
  <si>
    <t>Value of  each link out</t>
  </si>
  <si>
    <t>Number of links out</t>
  </si>
  <si>
    <t>Value of links out</t>
  </si>
  <si>
    <t>Total Content Value</t>
  </si>
  <si>
    <t>Database</t>
  </si>
  <si>
    <t>E-mail Dbase</t>
  </si>
  <si>
    <t>Other Databases</t>
  </si>
  <si>
    <t>Total Database value</t>
  </si>
  <si>
    <t>Traffic Value High</t>
  </si>
  <si>
    <t>Traffic Value Mid</t>
  </si>
  <si>
    <t>Traffic Value Low</t>
  </si>
  <si>
    <t>Link value based on impressions</t>
  </si>
  <si>
    <t xml:space="preserve">Traffic growth of pages per month in last year </t>
  </si>
  <si>
    <t>Average</t>
  </si>
  <si>
    <t>Own Stats</t>
  </si>
  <si>
    <t>Alta Vista</t>
  </si>
  <si>
    <t>Infoseek</t>
  </si>
  <si>
    <t>HotBot</t>
  </si>
  <si>
    <t>Number of links to Site</t>
  </si>
  <si>
    <t>Value of each link in ($/yr)</t>
  </si>
  <si>
    <t>Value based on link $</t>
  </si>
  <si>
    <t>Average views of each link / year</t>
  </si>
  <si>
    <t>CPM Value</t>
  </si>
  <si>
    <t>Alta</t>
  </si>
  <si>
    <t>Yahoo</t>
  </si>
  <si>
    <t>Lycos</t>
  </si>
  <si>
    <t>Excite</t>
  </si>
  <si>
    <t>AOL</t>
  </si>
  <si>
    <t>Info</t>
  </si>
  <si>
    <t>Webcrawl</t>
  </si>
  <si>
    <t>Traffic from Search Engines</t>
  </si>
  <si>
    <t>Percentage links / search</t>
  </si>
  <si>
    <t>Total Pages of traffic</t>
  </si>
  <si>
    <t>Sample of Visitors by Engine</t>
  </si>
  <si>
    <t>Sample</t>
  </si>
  <si>
    <t>Last Month</t>
  </si>
  <si>
    <t>Month 2</t>
  </si>
  <si>
    <t>Month 3</t>
  </si>
  <si>
    <t>Month 4</t>
  </si>
  <si>
    <t>Month 5</t>
  </si>
  <si>
    <t>Daily</t>
  </si>
  <si>
    <t>Yearly on Mo.</t>
  </si>
  <si>
    <t>Unique IPs per day</t>
  </si>
  <si>
    <t>Pages per day</t>
  </si>
  <si>
    <t>People / Pages Ratio</t>
  </si>
  <si>
    <t>CPM High</t>
  </si>
  <si>
    <t>CPM Mid</t>
  </si>
  <si>
    <t>CPM Low</t>
  </si>
  <si>
    <t>Projections</t>
  </si>
  <si>
    <t>Pages</t>
  </si>
  <si>
    <t>People</t>
  </si>
  <si>
    <t>Traffic Growth Pages</t>
  </si>
  <si>
    <t>Traffic Growth People</t>
  </si>
  <si>
    <t>Sell through Rate</t>
  </si>
  <si>
    <t>Monthly Adjusted</t>
  </si>
  <si>
    <t>(Value x sellthrough)</t>
  </si>
  <si>
    <t>Mailing List</t>
  </si>
  <si>
    <t xml:space="preserve">Other Traffic </t>
  </si>
  <si>
    <t>Subscribers in List</t>
  </si>
  <si>
    <t>Mailings per mo</t>
  </si>
  <si>
    <t>Total monthly mailings</t>
  </si>
  <si>
    <t>Automatic msgs x mo.</t>
  </si>
  <si>
    <t>Monthly Mailings</t>
  </si>
  <si>
    <t>Total Monthly Impressions</t>
  </si>
  <si>
    <t>Source of Revenues</t>
  </si>
  <si>
    <t>Total Revenues</t>
  </si>
  <si>
    <t>Operating Costs</t>
  </si>
  <si>
    <t>Total Costs</t>
  </si>
  <si>
    <t>Total spent from start</t>
  </si>
  <si>
    <t>Hardware</t>
  </si>
  <si>
    <t>Server</t>
  </si>
  <si>
    <t>Other HW</t>
  </si>
  <si>
    <t>Total Hardware</t>
  </si>
  <si>
    <t>Software</t>
  </si>
  <si>
    <t>Custom CGI</t>
  </si>
  <si>
    <t>Off Shelf Software</t>
  </si>
  <si>
    <t>Ad Delivery Software</t>
  </si>
  <si>
    <t>Total Software</t>
  </si>
  <si>
    <t>Rights included with site</t>
  </si>
  <si>
    <t>Access</t>
  </si>
  <si>
    <t>Bandwidth</t>
  </si>
  <si>
    <t>Total Rights</t>
  </si>
  <si>
    <t>Total Branding</t>
  </si>
  <si>
    <t>Total Assets</t>
  </si>
  <si>
    <t xml:space="preserve">2.Content </t>
  </si>
  <si>
    <t>Databases</t>
  </si>
  <si>
    <t>a.Dbase of e-mails of previous visitors</t>
  </si>
  <si>
    <t>b.Database of past customer</t>
  </si>
  <si>
    <t>Value of each name</t>
  </si>
  <si>
    <t>Value of database</t>
  </si>
  <si>
    <t>Cookie database information</t>
  </si>
  <si>
    <t>Past promo data</t>
  </si>
  <si>
    <t>Other Dbase Total</t>
  </si>
  <si>
    <t>This is an early "beta" version of an Excel template that can</t>
  </si>
  <si>
    <t>help in valuing an already existing web site. It was written</t>
  </si>
  <si>
    <t>as an Excel spreadsheet, but I am sure that other programs</t>
  </si>
  <si>
    <t>should be able to convert Excel spreadsheets to their own</t>
  </si>
  <si>
    <t>format. It is based on the article about web site valuation</t>
  </si>
  <si>
    <t>we have written.</t>
  </si>
  <si>
    <t>You will find no other instructions on the template itself,</t>
  </si>
  <si>
    <t>but it is fairly self explanatory (at least to us). Basically,</t>
  </si>
  <si>
    <t>you should enter the the numbers in the fields that are "green".</t>
  </si>
  <si>
    <t>The numbers in red are automatically calculated based on the</t>
  </si>
  <si>
    <t>numbers elsewhere. The first two pages (Overview and Summary)</t>
  </si>
  <si>
    <t>are based on the information and numbers on the other pages</t>
  </si>
  <si>
    <t>and therefore, nothing should be entered in them. When no</t>
  </si>
  <si>
    <t>numbers are entered, the red numbers (calculated fields)</t>
  </si>
  <si>
    <t>show a little dash ("-").</t>
  </si>
  <si>
    <t>Just fill out the requested information and the other numbers</t>
  </si>
  <si>
    <t>will start appearing. Obviously, this is not an exact science</t>
  </si>
  <si>
    <t>and some of the numbers require some calculated estimation and</t>
  </si>
  <si>
    <t>guess.</t>
  </si>
  <si>
    <t>Unfortunately, unless you are represented by WebsiteBroker.com,</t>
  </si>
  <si>
    <t>we cannot offer any "technical assistance" for using the template.</t>
  </si>
  <si>
    <t>However, I welcome all comments as I plan to improve the template</t>
  </si>
  <si>
    <t>based on user feedback. Hopefully, I will be able to write more</t>
  </si>
  <si>
    <t>detailed instructions for using the template.</t>
  </si>
  <si>
    <t>Remember that you are using the template at your own risk and the</t>
  </si>
  <si>
    <t>information should not be relied on without proper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</si>
</sst>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5" formatCode="_(* #,##0_);_(* \(#,##0\);_(* &quot;-&quot;??_);_(@_)"/>
    <numFmt numFmtId="176" formatCode="0.0"/>
  </numFmts>
  <fonts count="10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10"/>
      <color indexed="44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170" fontId="0" fillId="0" borderId="0" xfId="2" applyFont="1"/>
    <xf numFmtId="1" fontId="0" fillId="0" borderId="0" xfId="0" applyNumberFormat="1"/>
    <xf numFmtId="0" fontId="3" fillId="0" borderId="0" xfId="0" applyFont="1"/>
    <xf numFmtId="10" fontId="4" fillId="0" borderId="0" xfId="3" applyNumberFormat="1" applyFont="1"/>
    <xf numFmtId="0" fontId="4" fillId="0" borderId="0" xfId="0" applyFont="1"/>
    <xf numFmtId="170" fontId="4" fillId="0" borderId="0" xfId="2" applyFont="1"/>
    <xf numFmtId="176" fontId="4" fillId="0" borderId="0" xfId="0" applyNumberFormat="1" applyFont="1"/>
    <xf numFmtId="175" fontId="4" fillId="0" borderId="0" xfId="1" applyNumberFormat="1" applyFont="1"/>
    <xf numFmtId="170" fontId="4" fillId="0" borderId="0" xfId="0" applyNumberFormat="1" applyFont="1"/>
    <xf numFmtId="3" fontId="4" fillId="0" borderId="0" xfId="0" applyNumberFormat="1" applyFont="1"/>
    <xf numFmtId="9" fontId="4" fillId="0" borderId="0" xfId="3" applyFont="1"/>
    <xf numFmtId="170" fontId="5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170" fontId="5" fillId="2" borderId="0" xfId="0" applyNumberFormat="1" applyFont="1" applyFill="1"/>
    <xf numFmtId="170" fontId="5" fillId="2" borderId="0" xfId="2" applyFont="1" applyFill="1"/>
    <xf numFmtId="170" fontId="5" fillId="0" borderId="0" xfId="2" applyFont="1"/>
    <xf numFmtId="0" fontId="0" fillId="2" borderId="0" xfId="0" applyFill="1"/>
    <xf numFmtId="10" fontId="4" fillId="0" borderId="0" xfId="0" applyNumberFormat="1" applyFont="1"/>
    <xf numFmtId="171" fontId="4" fillId="0" borderId="0" xfId="1" applyFont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170" fontId="6" fillId="4" borderId="0" xfId="0" applyNumberFormat="1" applyFont="1" applyFill="1"/>
    <xf numFmtId="0" fontId="1" fillId="5" borderId="0" xfId="0" applyFont="1" applyFill="1"/>
    <xf numFmtId="0" fontId="0" fillId="5" borderId="0" xfId="0" applyFill="1"/>
    <xf numFmtId="0" fontId="3" fillId="5" borderId="0" xfId="0" applyFont="1" applyFill="1"/>
    <xf numFmtId="0" fontId="0" fillId="3" borderId="0" xfId="0" applyFill="1"/>
    <xf numFmtId="0" fontId="3" fillId="3" borderId="0" xfId="0" applyFont="1" applyFill="1"/>
    <xf numFmtId="170" fontId="7" fillId="3" borderId="0" xfId="0" applyNumberFormat="1" applyFont="1" applyFill="1"/>
    <xf numFmtId="17" fontId="0" fillId="2" borderId="0" xfId="0" applyNumberFormat="1" applyFill="1"/>
    <xf numFmtId="175" fontId="5" fillId="0" borderId="0" xfId="1" applyNumberFormat="1" applyFont="1"/>
    <xf numFmtId="0" fontId="2" fillId="0" borderId="0" xfId="0" applyFont="1"/>
    <xf numFmtId="170" fontId="0" fillId="6" borderId="1" xfId="2" applyFont="1" applyFill="1" applyBorder="1"/>
    <xf numFmtId="170" fontId="8" fillId="6" borderId="1" xfId="2" applyFont="1" applyFill="1" applyBorder="1"/>
    <xf numFmtId="0" fontId="0" fillId="0" borderId="0" xfId="0" applyBorder="1"/>
    <xf numFmtId="0" fontId="8" fillId="6" borderId="1" xfId="0" applyFont="1" applyFill="1" applyBorder="1"/>
    <xf numFmtId="0" fontId="0" fillId="6" borderId="1" xfId="0" applyFill="1" applyBorder="1"/>
    <xf numFmtId="175" fontId="0" fillId="6" borderId="1" xfId="1" applyNumberFormat="1" applyFont="1" applyFill="1" applyBorder="1"/>
    <xf numFmtId="3" fontId="0" fillId="6" borderId="1" xfId="0" applyNumberFormat="1" applyFill="1" applyBorder="1"/>
    <xf numFmtId="3" fontId="4" fillId="0" borderId="1" xfId="0" applyNumberFormat="1" applyFont="1" applyBorder="1"/>
    <xf numFmtId="170" fontId="4" fillId="0" borderId="1" xfId="0" applyNumberFormat="1" applyFont="1" applyBorder="1"/>
    <xf numFmtId="170" fontId="4" fillId="0" borderId="1" xfId="2" applyFont="1" applyBorder="1"/>
    <xf numFmtId="9" fontId="4" fillId="0" borderId="1" xfId="3" applyFont="1" applyBorder="1"/>
    <xf numFmtId="170" fontId="5" fillId="0" borderId="1" xfId="3" applyNumberFormat="1" applyFont="1" applyBorder="1"/>
    <xf numFmtId="170" fontId="5" fillId="0" borderId="1" xfId="2" applyFont="1" applyBorder="1"/>
    <xf numFmtId="170" fontId="5" fillId="0" borderId="1" xfId="0" applyNumberFormat="1" applyFont="1" applyBorder="1"/>
    <xf numFmtId="0" fontId="9" fillId="0" borderId="0" xfId="0" applyFont="1"/>
    <xf numFmtId="1" fontId="0" fillId="6" borderId="1" xfId="0" applyNumberFormat="1" applyFill="1" applyBorder="1"/>
    <xf numFmtId="9" fontId="0" fillId="6" borderId="1" xfId="3" applyFont="1" applyFill="1" applyBorder="1"/>
    <xf numFmtId="171" fontId="0" fillId="6" borderId="1" xfId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1"/>
  <sheetViews>
    <sheetView workbookViewId="0">
      <selection activeCell="I10" sqref="I10"/>
    </sheetView>
  </sheetViews>
  <sheetFormatPr defaultRowHeight="12.5" x14ac:dyDescent="0.25"/>
  <cols>
    <col min="1" max="1" width="21.1796875" customWidth="1"/>
    <col min="5" max="5" width="11.54296875" customWidth="1"/>
    <col min="6" max="6" width="13.26953125" customWidth="1"/>
  </cols>
  <sheetData>
    <row r="2" spans="1:6" ht="13" x14ac:dyDescent="0.3">
      <c r="A2" s="26" t="s">
        <v>0</v>
      </c>
      <c r="B2" s="27"/>
      <c r="C2" s="27"/>
      <c r="D2" s="27"/>
      <c r="E2" s="26" t="s">
        <v>1</v>
      </c>
      <c r="F2" s="26" t="s">
        <v>2</v>
      </c>
    </row>
    <row r="3" spans="1:6" x14ac:dyDescent="0.25">
      <c r="B3" t="s">
        <v>3</v>
      </c>
      <c r="E3" s="10" t="e">
        <f>SUM(Summary!H15)</f>
        <v>#DIV/0!</v>
      </c>
      <c r="F3" s="10" t="e">
        <f>SUM(Summary!I15)</f>
        <v>#DIV/0!</v>
      </c>
    </row>
    <row r="4" spans="1:6" x14ac:dyDescent="0.25">
      <c r="B4" t="s">
        <v>4</v>
      </c>
      <c r="E4" s="10" t="e">
        <f>SUM(Summary!H29)</f>
        <v>#DIV/0!</v>
      </c>
      <c r="F4" s="10" t="e">
        <f>SUM(Summary!I29)</f>
        <v>#DIV/0!</v>
      </c>
    </row>
    <row r="5" spans="1:6" x14ac:dyDescent="0.25">
      <c r="B5" t="s">
        <v>5</v>
      </c>
      <c r="E5" s="10" t="e">
        <f>SUM(Summary!H31)</f>
        <v>#DIV/0!</v>
      </c>
      <c r="F5" s="10" t="e">
        <f>SUM(Summary!I31)</f>
        <v>#DIV/0!</v>
      </c>
    </row>
    <row r="6" spans="1:6" x14ac:dyDescent="0.25">
      <c r="B6" t="s">
        <v>6</v>
      </c>
      <c r="C6" s="39">
        <v>1.5</v>
      </c>
      <c r="F6" s="7" t="e">
        <f>SUM(F5*C6)</f>
        <v>#DIV/0!</v>
      </c>
    </row>
    <row r="8" spans="1:6" ht="13" x14ac:dyDescent="0.3">
      <c r="A8" s="26" t="s">
        <v>7</v>
      </c>
      <c r="B8" s="27"/>
      <c r="C8" s="27"/>
      <c r="D8" s="27"/>
      <c r="E8" s="27"/>
      <c r="F8" s="27"/>
    </row>
    <row r="9" spans="1:6" x14ac:dyDescent="0.25">
      <c r="B9" t="s">
        <v>8</v>
      </c>
      <c r="F9" s="10">
        <f>SUM(Summary!H39)</f>
        <v>0</v>
      </c>
    </row>
    <row r="10" spans="1:6" x14ac:dyDescent="0.25">
      <c r="B10" t="s">
        <v>9</v>
      </c>
      <c r="F10" s="10">
        <f>SUM(Assests!E54)</f>
        <v>0</v>
      </c>
    </row>
    <row r="11" spans="1:6" x14ac:dyDescent="0.25">
      <c r="B11" t="s">
        <v>10</v>
      </c>
      <c r="F11" s="10">
        <f>SUM(Assests!E31)</f>
        <v>0</v>
      </c>
    </row>
    <row r="12" spans="1:6" x14ac:dyDescent="0.25">
      <c r="B12" t="s">
        <v>11</v>
      </c>
      <c r="F12" s="10">
        <f>SUM(Summary!H70)</f>
        <v>0</v>
      </c>
    </row>
    <row r="14" spans="1:6" ht="13" x14ac:dyDescent="0.3">
      <c r="A14" s="26" t="s">
        <v>12</v>
      </c>
      <c r="B14" s="27"/>
      <c r="C14" s="27"/>
      <c r="D14" s="27"/>
      <c r="E14" s="27"/>
      <c r="F14" s="27"/>
    </row>
    <row r="15" spans="1:6" x14ac:dyDescent="0.25">
      <c r="B15" t="s">
        <v>13</v>
      </c>
      <c r="E15" s="10">
        <f>SUM(Traffic!B45)</f>
        <v>0</v>
      </c>
      <c r="F15" s="10">
        <f>SUM(Traffic!C45)</f>
        <v>0</v>
      </c>
    </row>
    <row r="16" spans="1:6" x14ac:dyDescent="0.25">
      <c r="B16" t="s">
        <v>14</v>
      </c>
      <c r="F16" s="10" t="e">
        <f>SUM(Summary!H79)</f>
        <v>#DIV/0!</v>
      </c>
    </row>
    <row r="18" spans="1:6" x14ac:dyDescent="0.25">
      <c r="B18" t="s">
        <v>15</v>
      </c>
      <c r="F18" s="10" t="e">
        <f>SUM(F6)</f>
        <v>#DIV/0!</v>
      </c>
    </row>
    <row r="19" spans="1:6" x14ac:dyDescent="0.25">
      <c r="B19" t="s">
        <v>16</v>
      </c>
      <c r="F19" s="10" t="e">
        <f>SUM(F9:F12,F15:F17,F16,F17,F16)</f>
        <v>#DIV/0!</v>
      </c>
    </row>
    <row r="21" spans="1:6" ht="12.75" customHeight="1" x14ac:dyDescent="0.3">
      <c r="A21" s="23" t="s">
        <v>17</v>
      </c>
      <c r="B21" s="24"/>
      <c r="C21" s="24"/>
      <c r="D21" s="24"/>
      <c r="E21" s="24"/>
      <c r="F21" s="25" t="e">
        <f>SUM(F18:F19)</f>
        <v>#DIV/0!</v>
      </c>
    </row>
  </sheetData>
  <printOptions horizontalCentered="1" verticalCentered="1" gridLines="1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2"/>
  <sheetViews>
    <sheetView zoomScale="50" workbookViewId="0">
      <selection activeCell="K36" sqref="K36"/>
    </sheetView>
  </sheetViews>
  <sheetFormatPr defaultColWidth="9.1796875" defaultRowHeight="12.5" x14ac:dyDescent="0.25"/>
  <cols>
    <col min="1" max="2" width="19.81640625" style="4" customWidth="1"/>
    <col min="3" max="7" width="9.1796875" style="4"/>
    <col min="8" max="8" width="15" style="4" customWidth="1"/>
    <col min="9" max="9" width="15.1796875" style="4" customWidth="1"/>
    <col min="10" max="16384" width="9.1796875" style="4"/>
  </cols>
  <sheetData>
    <row r="1" spans="1:12" x14ac:dyDescent="0.25">
      <c r="H1"/>
      <c r="I1"/>
    </row>
    <row r="2" spans="1:12" x14ac:dyDescent="0.25">
      <c r="A2" s="4" t="s">
        <v>0</v>
      </c>
    </row>
    <row r="4" spans="1:12" ht="13" x14ac:dyDescent="0.3">
      <c r="A4" s="14" t="s">
        <v>18</v>
      </c>
      <c r="B4" s="15"/>
      <c r="C4" s="15"/>
      <c r="D4" s="15"/>
      <c r="E4" s="15"/>
      <c r="F4" s="15"/>
      <c r="G4" s="15"/>
      <c r="H4" s="14" t="s">
        <v>1</v>
      </c>
      <c r="I4" s="14" t="s">
        <v>2</v>
      </c>
      <c r="L4" s="49"/>
    </row>
    <row r="5" spans="1:12" x14ac:dyDescent="0.25">
      <c r="A5" t="s">
        <v>19</v>
      </c>
      <c r="B5"/>
      <c r="C5"/>
      <c r="H5" s="43" t="e">
        <f>SUM(Revenues!C4)</f>
        <v>#DIV/0!</v>
      </c>
      <c r="I5" s="44" t="e">
        <f>SUM(H5*12)</f>
        <v>#DIV/0!</v>
      </c>
    </row>
    <row r="6" spans="1:12" x14ac:dyDescent="0.25">
      <c r="A6" t="s">
        <v>20</v>
      </c>
      <c r="B6"/>
      <c r="C6" s="10"/>
      <c r="H6" s="43" t="e">
        <f>SUM(Revenues!C5)</f>
        <v>#DIV/0!</v>
      </c>
      <c r="I6" s="44" t="e">
        <f t="shared" ref="I6:I21" si="0">SUM(H6*12)</f>
        <v>#DIV/0!</v>
      </c>
    </row>
    <row r="7" spans="1:12" x14ac:dyDescent="0.25">
      <c r="A7" t="s">
        <v>21</v>
      </c>
      <c r="B7"/>
      <c r="C7" s="10"/>
      <c r="H7" s="43" t="e">
        <f>SUM(Revenues!C6)</f>
        <v>#DIV/0!</v>
      </c>
      <c r="I7" s="44" t="e">
        <f t="shared" si="0"/>
        <v>#DIV/0!</v>
      </c>
    </row>
    <row r="8" spans="1:12" x14ac:dyDescent="0.25">
      <c r="A8" t="s">
        <v>22</v>
      </c>
      <c r="B8"/>
      <c r="C8" s="10"/>
      <c r="H8" s="43" t="e">
        <f>SUM(Revenues!C7)</f>
        <v>#DIV/0!</v>
      </c>
      <c r="I8" s="44" t="e">
        <f t="shared" si="0"/>
        <v>#DIV/0!</v>
      </c>
    </row>
    <row r="9" spans="1:12" x14ac:dyDescent="0.25">
      <c r="A9" t="s">
        <v>23</v>
      </c>
      <c r="B9"/>
      <c r="C9" s="10"/>
      <c r="H9" s="43" t="e">
        <f>SUM(Revenues!C8)</f>
        <v>#DIV/0!</v>
      </c>
      <c r="I9" s="44" t="e">
        <f t="shared" si="0"/>
        <v>#DIV/0!</v>
      </c>
    </row>
    <row r="10" spans="1:12" x14ac:dyDescent="0.25">
      <c r="A10" t="s">
        <v>24</v>
      </c>
      <c r="B10"/>
      <c r="C10" s="10"/>
      <c r="H10" s="43" t="e">
        <f>SUM(Revenues!C7)</f>
        <v>#DIV/0!</v>
      </c>
      <c r="I10" s="44" t="e">
        <f t="shared" si="0"/>
        <v>#DIV/0!</v>
      </c>
    </row>
    <row r="11" spans="1:12" x14ac:dyDescent="0.25">
      <c r="A11" t="s">
        <v>25</v>
      </c>
      <c r="B11"/>
      <c r="C11" s="10"/>
      <c r="H11" s="43" t="e">
        <f>SUM(Revenues!C10)</f>
        <v>#DIV/0!</v>
      </c>
      <c r="I11" s="44" t="e">
        <f t="shared" si="0"/>
        <v>#DIV/0!</v>
      </c>
    </row>
    <row r="12" spans="1:12" x14ac:dyDescent="0.25">
      <c r="A12" t="s">
        <v>26</v>
      </c>
      <c r="B12"/>
      <c r="C12" s="10"/>
      <c r="H12" s="43" t="e">
        <f>SUM(Revenues!C11)</f>
        <v>#DIV/0!</v>
      </c>
      <c r="I12" s="44" t="e">
        <f t="shared" si="0"/>
        <v>#DIV/0!</v>
      </c>
    </row>
    <row r="13" spans="1:12" x14ac:dyDescent="0.25">
      <c r="A13" t="s">
        <v>27</v>
      </c>
      <c r="B13"/>
      <c r="C13" s="12"/>
      <c r="H13" s="45" t="e">
        <f>SUM(Revenues!C12)</f>
        <v>#DIV/0!</v>
      </c>
      <c r="I13" s="44" t="e">
        <f t="shared" si="0"/>
        <v>#DIV/0!</v>
      </c>
    </row>
    <row r="14" spans="1:12" x14ac:dyDescent="0.25">
      <c r="A14"/>
      <c r="B14"/>
      <c r="C14" s="12"/>
    </row>
    <row r="15" spans="1:12" ht="13" x14ac:dyDescent="0.3">
      <c r="A15" s="1" t="s">
        <v>28</v>
      </c>
      <c r="B15"/>
      <c r="C15" s="12"/>
      <c r="H15" s="46" t="e">
        <f>SUM(Revenues!C14)</f>
        <v>#DIV/0!</v>
      </c>
      <c r="I15" s="47" t="e">
        <f t="shared" si="0"/>
        <v>#DIV/0!</v>
      </c>
    </row>
    <row r="16" spans="1:12" x14ac:dyDescent="0.25">
      <c r="A16"/>
      <c r="B16"/>
      <c r="C16" s="12"/>
      <c r="H16"/>
      <c r="I16" s="7"/>
    </row>
    <row r="17" spans="1:9" x14ac:dyDescent="0.25">
      <c r="A17"/>
      <c r="B17"/>
      <c r="C17" s="12"/>
      <c r="I17" s="7"/>
    </row>
    <row r="18" spans="1:9" ht="13" x14ac:dyDescent="0.3">
      <c r="A18" s="1" t="s">
        <v>29</v>
      </c>
      <c r="B18"/>
      <c r="C18" s="12"/>
      <c r="I18" s="7"/>
    </row>
    <row r="19" spans="1:9" x14ac:dyDescent="0.25">
      <c r="A19" t="s">
        <v>30</v>
      </c>
      <c r="B19"/>
      <c r="C19" s="7"/>
      <c r="H19" s="43" t="e">
        <f>SUM(Revenues!C18)</f>
        <v>#DIV/0!</v>
      </c>
      <c r="I19" s="44" t="e">
        <f t="shared" si="0"/>
        <v>#DIV/0!</v>
      </c>
    </row>
    <row r="20" spans="1:9" x14ac:dyDescent="0.25">
      <c r="A20" t="s">
        <v>31</v>
      </c>
      <c r="B20"/>
      <c r="C20" s="7"/>
      <c r="H20" s="43" t="e">
        <f>SUM(Revenues!C19)</f>
        <v>#DIV/0!</v>
      </c>
      <c r="I20" s="44" t="e">
        <f t="shared" si="0"/>
        <v>#DIV/0!</v>
      </c>
    </row>
    <row r="21" spans="1:9" x14ac:dyDescent="0.25">
      <c r="A21" t="s">
        <v>32</v>
      </c>
      <c r="B21"/>
      <c r="C21" s="7"/>
      <c r="H21" s="43" t="e">
        <f>SUM(Revenues!C20)</f>
        <v>#DIV/0!</v>
      </c>
      <c r="I21" s="44" t="e">
        <f t="shared" si="0"/>
        <v>#DIV/0!</v>
      </c>
    </row>
    <row r="22" spans="1:9" x14ac:dyDescent="0.25">
      <c r="A22" t="s">
        <v>33</v>
      </c>
      <c r="B22"/>
      <c r="C22" s="7"/>
      <c r="H22" s="43" t="e">
        <f>SUM(Revenues!C21)</f>
        <v>#DIV/0!</v>
      </c>
      <c r="I22" s="44" t="e">
        <f t="shared" ref="I22:I31" si="1">SUM(H22*12)</f>
        <v>#DIV/0!</v>
      </c>
    </row>
    <row r="23" spans="1:9" x14ac:dyDescent="0.25">
      <c r="A23" t="s">
        <v>34</v>
      </c>
      <c r="B23"/>
      <c r="C23" s="7"/>
      <c r="H23" s="43" t="e">
        <f>SUM(Revenues!C22)</f>
        <v>#DIV/0!</v>
      </c>
      <c r="I23" s="44" t="e">
        <f t="shared" si="1"/>
        <v>#DIV/0!</v>
      </c>
    </row>
    <row r="24" spans="1:9" x14ac:dyDescent="0.25">
      <c r="A24" t="s">
        <v>35</v>
      </c>
      <c r="B24"/>
      <c r="C24" s="7"/>
      <c r="H24" s="43" t="e">
        <f>SUM(Revenues!C23)</f>
        <v>#DIV/0!</v>
      </c>
      <c r="I24" s="44" t="e">
        <f t="shared" si="1"/>
        <v>#DIV/0!</v>
      </c>
    </row>
    <row r="25" spans="1:9" x14ac:dyDescent="0.25">
      <c r="A25" t="s">
        <v>36</v>
      </c>
      <c r="B25"/>
      <c r="C25" s="7"/>
      <c r="H25" s="43" t="e">
        <f>SUM(Revenues!C24)</f>
        <v>#DIV/0!</v>
      </c>
      <c r="I25" s="44" t="e">
        <f t="shared" si="1"/>
        <v>#DIV/0!</v>
      </c>
    </row>
    <row r="26" spans="1:9" x14ac:dyDescent="0.25">
      <c r="A26" t="s">
        <v>37</v>
      </c>
      <c r="B26"/>
      <c r="C26" s="7"/>
      <c r="H26" s="43" t="e">
        <f>SUM(Revenues!C25)</f>
        <v>#DIV/0!</v>
      </c>
      <c r="I26" s="44" t="e">
        <f t="shared" si="1"/>
        <v>#DIV/0!</v>
      </c>
    </row>
    <row r="27" spans="1:9" x14ac:dyDescent="0.25">
      <c r="A27" t="s">
        <v>38</v>
      </c>
      <c r="B27"/>
      <c r="C27"/>
      <c r="H27" s="43">
        <f>SUM(Revenues!C26)</f>
        <v>0</v>
      </c>
      <c r="I27" s="44">
        <f t="shared" si="1"/>
        <v>0</v>
      </c>
    </row>
    <row r="28" spans="1:9" x14ac:dyDescent="0.25">
      <c r="A28"/>
      <c r="B28"/>
      <c r="C28"/>
      <c r="H28" s="10"/>
      <c r="I28" s="7"/>
    </row>
    <row r="29" spans="1:9" ht="13" x14ac:dyDescent="0.3">
      <c r="A29" s="1" t="s">
        <v>39</v>
      </c>
      <c r="B29"/>
      <c r="C29" s="10"/>
      <c r="H29" s="48" t="e">
        <f>SUM(Revenues!C28)</f>
        <v>#DIV/0!</v>
      </c>
      <c r="I29" s="47" t="e">
        <f t="shared" si="1"/>
        <v>#DIV/0!</v>
      </c>
    </row>
    <row r="30" spans="1:9" x14ac:dyDescent="0.25">
      <c r="I30" s="7"/>
    </row>
    <row r="31" spans="1:9" ht="14.25" customHeight="1" x14ac:dyDescent="0.3">
      <c r="A31" s="14" t="s">
        <v>40</v>
      </c>
      <c r="B31" s="15"/>
      <c r="C31" s="15"/>
      <c r="D31" s="15"/>
      <c r="E31" s="15"/>
      <c r="F31" s="15"/>
      <c r="G31" s="15"/>
      <c r="H31" s="16" t="e">
        <f>SUM(H15-H29)</f>
        <v>#DIV/0!</v>
      </c>
      <c r="I31" s="17" t="e">
        <f t="shared" si="1"/>
        <v>#DIV/0!</v>
      </c>
    </row>
    <row r="33" spans="1:9" ht="13" x14ac:dyDescent="0.3">
      <c r="A33" s="22" t="s">
        <v>7</v>
      </c>
      <c r="B33" s="30"/>
      <c r="C33" s="30"/>
      <c r="D33" s="30"/>
      <c r="E33" s="30"/>
      <c r="F33" s="30"/>
      <c r="G33" s="30"/>
      <c r="H33" s="30"/>
      <c r="I33" s="30"/>
    </row>
    <row r="34" spans="1:9" customFormat="1" x14ac:dyDescent="0.25"/>
    <row r="35" spans="1:9" ht="13" x14ac:dyDescent="0.3">
      <c r="A35" s="1" t="s">
        <v>41</v>
      </c>
      <c r="B35" t="s">
        <v>42</v>
      </c>
      <c r="C35"/>
      <c r="D35"/>
      <c r="E35"/>
      <c r="F35"/>
      <c r="G35"/>
      <c r="H35" s="7">
        <f>SUM(Assests!E8)</f>
        <v>0</v>
      </c>
    </row>
    <row r="36" spans="1:9" x14ac:dyDescent="0.25">
      <c r="A36"/>
      <c r="B36" t="s">
        <v>43</v>
      </c>
      <c r="C36"/>
      <c r="D36"/>
      <c r="E36"/>
      <c r="F36"/>
      <c r="G36"/>
      <c r="H36" s="10">
        <f>SUM(Assests!E15)</f>
        <v>0</v>
      </c>
    </row>
    <row r="37" spans="1:9" x14ac:dyDescent="0.25">
      <c r="A37"/>
      <c r="B37" t="s">
        <v>44</v>
      </c>
      <c r="C37"/>
      <c r="D37"/>
      <c r="E37"/>
      <c r="F37"/>
      <c r="G37"/>
      <c r="H37" s="7">
        <f>SUM(Assests!E21)</f>
        <v>0</v>
      </c>
    </row>
    <row r="38" spans="1:9" x14ac:dyDescent="0.25">
      <c r="A38"/>
      <c r="B38"/>
      <c r="C38"/>
      <c r="D38"/>
      <c r="E38"/>
      <c r="F38"/>
      <c r="G38"/>
      <c r="H38" s="2"/>
    </row>
    <row r="39" spans="1:9" ht="13" x14ac:dyDescent="0.3">
      <c r="A39"/>
      <c r="B39" s="1" t="s">
        <v>45</v>
      </c>
      <c r="C39"/>
      <c r="D39"/>
      <c r="E39"/>
      <c r="F39"/>
      <c r="G39"/>
      <c r="H39" s="18">
        <f>SUM(H35:H37)</f>
        <v>0</v>
      </c>
    </row>
    <row r="40" spans="1:9" x14ac:dyDescent="0.25">
      <c r="A40"/>
      <c r="B40"/>
      <c r="C40"/>
      <c r="D40"/>
      <c r="E40"/>
      <c r="F40"/>
      <c r="G40"/>
      <c r="H40" s="2"/>
    </row>
    <row r="41" spans="1:9" ht="13" x14ac:dyDescent="0.3">
      <c r="A41" s="1" t="s">
        <v>46</v>
      </c>
      <c r="B41" t="s">
        <v>47</v>
      </c>
      <c r="C41"/>
      <c r="D41"/>
      <c r="E41"/>
      <c r="F41"/>
      <c r="G41"/>
      <c r="H41" s="7">
        <f>SUM(Assests!D26)</f>
        <v>0</v>
      </c>
    </row>
    <row r="42" spans="1:9" x14ac:dyDescent="0.25">
      <c r="A42"/>
      <c r="B42" t="s">
        <v>48</v>
      </c>
      <c r="C42"/>
      <c r="D42"/>
      <c r="E42"/>
      <c r="F42"/>
      <c r="G42"/>
      <c r="H42" s="7">
        <f>SUM(Assests!D27)</f>
        <v>0</v>
      </c>
    </row>
    <row r="43" spans="1:9" x14ac:dyDescent="0.25">
      <c r="A43"/>
      <c r="B43" t="s">
        <v>49</v>
      </c>
      <c r="C43"/>
      <c r="D43"/>
      <c r="E43"/>
      <c r="F43"/>
      <c r="G43"/>
      <c r="H43" s="7">
        <f>SUM(Assests!D28)</f>
        <v>0</v>
      </c>
    </row>
    <row r="44" spans="1:9" x14ac:dyDescent="0.25">
      <c r="A44"/>
      <c r="B44" t="s">
        <v>50</v>
      </c>
      <c r="C44"/>
      <c r="D44"/>
      <c r="E44"/>
      <c r="F44"/>
      <c r="G44"/>
      <c r="H44" s="7">
        <f>SUM(Assests!D29)</f>
        <v>0</v>
      </c>
    </row>
    <row r="45" spans="1:9" x14ac:dyDescent="0.25">
      <c r="A45"/>
      <c r="B45"/>
      <c r="C45"/>
      <c r="D45"/>
      <c r="E45"/>
      <c r="F45"/>
      <c r="G45"/>
      <c r="H45"/>
    </row>
    <row r="46" spans="1:9" ht="13" x14ac:dyDescent="0.3">
      <c r="A46" s="1" t="s">
        <v>51</v>
      </c>
      <c r="B46"/>
    </row>
    <row r="47" spans="1:9" x14ac:dyDescent="0.25">
      <c r="B47" t="s">
        <v>52</v>
      </c>
      <c r="H47" s="21">
        <f>SUM(Assests!E37)</f>
        <v>0</v>
      </c>
    </row>
    <row r="48" spans="1:9" x14ac:dyDescent="0.25">
      <c r="B48" t="s">
        <v>53</v>
      </c>
      <c r="H48" s="9">
        <f>SUM(Assests!E38)</f>
        <v>0</v>
      </c>
    </row>
    <row r="49" spans="2:8" x14ac:dyDescent="0.25">
      <c r="B49" t="s">
        <v>54</v>
      </c>
      <c r="H49" s="10">
        <f>SUM(Assests!E39)</f>
        <v>0</v>
      </c>
    </row>
    <row r="50" spans="2:8" x14ac:dyDescent="0.25">
      <c r="B50"/>
      <c r="H50" s="10"/>
    </row>
    <row r="51" spans="2:8" ht="13" x14ac:dyDescent="0.3">
      <c r="B51" t="s">
        <v>55</v>
      </c>
      <c r="H51" s="13">
        <f>SUM(Assests!E41)</f>
        <v>0</v>
      </c>
    </row>
    <row r="52" spans="2:8" x14ac:dyDescent="0.25">
      <c r="B52"/>
      <c r="H52" s="10"/>
    </row>
    <row r="53" spans="2:8" x14ac:dyDescent="0.25">
      <c r="B53"/>
      <c r="H53" s="10"/>
    </row>
    <row r="54" spans="2:8" x14ac:dyDescent="0.25">
      <c r="B54" t="s">
        <v>56</v>
      </c>
      <c r="H54" s="9">
        <f>SUM(Assests!E44)</f>
        <v>0</v>
      </c>
    </row>
    <row r="55" spans="2:8" x14ac:dyDescent="0.25">
      <c r="B55" t="s">
        <v>57</v>
      </c>
      <c r="H55" s="10">
        <f>SUM(Assests!E45)</f>
        <v>0</v>
      </c>
    </row>
    <row r="56" spans="2:8" x14ac:dyDescent="0.25">
      <c r="B56"/>
      <c r="H56" s="10"/>
    </row>
    <row r="57" spans="2:8" ht="13" x14ac:dyDescent="0.3">
      <c r="B57" t="s">
        <v>58</v>
      </c>
      <c r="H57" s="13">
        <f>SUM(Assests!E47)</f>
        <v>0</v>
      </c>
    </row>
    <row r="58" spans="2:8" x14ac:dyDescent="0.25">
      <c r="B58"/>
      <c r="H58" s="10"/>
    </row>
    <row r="59" spans="2:8" x14ac:dyDescent="0.25">
      <c r="B59" t="s">
        <v>59</v>
      </c>
      <c r="H59" s="10">
        <f>SUM(Assests!E49)</f>
        <v>0</v>
      </c>
    </row>
    <row r="60" spans="2:8" x14ac:dyDescent="0.25">
      <c r="B60" t="s">
        <v>60</v>
      </c>
      <c r="H60" s="10">
        <f>SUM(Assests!E50)</f>
        <v>0</v>
      </c>
    </row>
    <row r="61" spans="2:8" x14ac:dyDescent="0.25">
      <c r="B61"/>
      <c r="H61" s="10"/>
    </row>
    <row r="62" spans="2:8" ht="13" x14ac:dyDescent="0.3">
      <c r="B62" t="s">
        <v>61</v>
      </c>
      <c r="H62" s="13">
        <f>SUM(Assests!E52)</f>
        <v>0</v>
      </c>
    </row>
    <row r="63" spans="2:8" ht="13" x14ac:dyDescent="0.3">
      <c r="B63"/>
      <c r="H63" s="13"/>
    </row>
    <row r="64" spans="2:8" ht="13" x14ac:dyDescent="0.3">
      <c r="B64" s="1" t="s">
        <v>62</v>
      </c>
      <c r="H64" s="13">
        <f>SUM(Assests!E54)</f>
        <v>0</v>
      </c>
    </row>
    <row r="65" spans="1:9" x14ac:dyDescent="0.25">
      <c r="A65"/>
      <c r="B65"/>
      <c r="C65"/>
      <c r="D65"/>
      <c r="E65"/>
      <c r="F65"/>
      <c r="G65"/>
      <c r="H65"/>
    </row>
    <row r="66" spans="1:9" ht="13" x14ac:dyDescent="0.3">
      <c r="A66" s="1" t="s">
        <v>63</v>
      </c>
      <c r="B66"/>
      <c r="C66"/>
      <c r="D66"/>
      <c r="E66"/>
      <c r="F66"/>
      <c r="G66"/>
      <c r="H66"/>
    </row>
    <row r="67" spans="1:9" customFormat="1" x14ac:dyDescent="0.25">
      <c r="B67" s="34" t="s">
        <v>64</v>
      </c>
      <c r="H67" s="10">
        <f>SUM(Assests!E62)</f>
        <v>0</v>
      </c>
    </row>
    <row r="68" spans="1:9" x14ac:dyDescent="0.25">
      <c r="B68" s="34" t="s">
        <v>65</v>
      </c>
      <c r="C68"/>
      <c r="H68" s="10">
        <f>SUM(Assests!E67)</f>
        <v>0</v>
      </c>
    </row>
    <row r="69" spans="1:9" x14ac:dyDescent="0.25">
      <c r="C69"/>
      <c r="H69" s="10"/>
    </row>
    <row r="70" spans="1:9" ht="13" x14ac:dyDescent="0.3">
      <c r="B70" s="1" t="s">
        <v>66</v>
      </c>
      <c r="C70"/>
      <c r="H70" s="13">
        <f>SUM(Assests!E62,Assests!E67)</f>
        <v>0</v>
      </c>
    </row>
    <row r="71" spans="1:9" x14ac:dyDescent="0.25">
      <c r="H71"/>
    </row>
    <row r="72" spans="1:9" ht="13" x14ac:dyDescent="0.3">
      <c r="A72" s="22" t="s">
        <v>7</v>
      </c>
      <c r="B72" s="29"/>
      <c r="C72" s="29"/>
      <c r="D72" s="29"/>
      <c r="E72" s="29"/>
      <c r="F72" s="29"/>
      <c r="G72" s="29"/>
      <c r="H72" s="31">
        <f>SUM(Assests!E33)</f>
        <v>0</v>
      </c>
      <c r="I72" s="30"/>
    </row>
    <row r="74" spans="1:9" ht="13" x14ac:dyDescent="0.3">
      <c r="A74" s="26" t="s">
        <v>12</v>
      </c>
      <c r="B74" s="28"/>
      <c r="C74" s="28"/>
      <c r="D74" s="28"/>
      <c r="E74" s="28"/>
      <c r="F74" s="28"/>
      <c r="G74" s="28"/>
      <c r="H74" s="28"/>
      <c r="I74" s="28"/>
    </row>
    <row r="76" spans="1:9" x14ac:dyDescent="0.25">
      <c r="B76" t="s">
        <v>67</v>
      </c>
      <c r="C76" s="7"/>
      <c r="H76" s="10">
        <f>SUM(Traffic!B45)</f>
        <v>0</v>
      </c>
    </row>
    <row r="77" spans="1:9" x14ac:dyDescent="0.25">
      <c r="B77" t="s">
        <v>68</v>
      </c>
      <c r="C77" s="7"/>
      <c r="H77" s="10">
        <f>SUM(Traffic!B46)</f>
        <v>0</v>
      </c>
    </row>
    <row r="78" spans="1:9" x14ac:dyDescent="0.25">
      <c r="B78" t="s">
        <v>69</v>
      </c>
      <c r="C78" s="7"/>
      <c r="H78" s="10">
        <f>SUM(Traffic!B47)</f>
        <v>0</v>
      </c>
    </row>
    <row r="79" spans="1:9" x14ac:dyDescent="0.25">
      <c r="B79" t="s">
        <v>70</v>
      </c>
      <c r="H79" s="10" t="e">
        <f>SUM(Links!B11)</f>
        <v>#DIV/0!</v>
      </c>
    </row>
    <row r="80" spans="1:9" x14ac:dyDescent="0.25">
      <c r="B80" s="4" t="s">
        <v>71</v>
      </c>
      <c r="H80" s="20" t="e">
        <f>SUM(Traffic!B16)</f>
        <v>#DIV/0!</v>
      </c>
    </row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</sheetData>
  <printOptions gridLines="1"/>
  <pageMargins left="0.75" right="0.75" top="1" bottom="1" header="0.5" footer="0.5"/>
  <pageSetup scale="67"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7"/>
  <sheetViews>
    <sheetView zoomScale="75" workbookViewId="0">
      <selection activeCell="H8" sqref="H8"/>
    </sheetView>
  </sheetViews>
  <sheetFormatPr defaultRowHeight="12.5" x14ac:dyDescent="0.25"/>
  <cols>
    <col min="1" max="1" width="30.453125" customWidth="1"/>
    <col min="2" max="2" width="15.7265625" customWidth="1"/>
    <col min="4" max="4" width="9.26953125" customWidth="1"/>
  </cols>
  <sheetData>
    <row r="2" spans="1:12" x14ac:dyDescent="0.25">
      <c r="A2" s="27"/>
      <c r="B2" s="27" t="s">
        <v>72</v>
      </c>
      <c r="C2" s="27"/>
      <c r="D2" s="27" t="s">
        <v>73</v>
      </c>
      <c r="E2" s="27" t="s">
        <v>74</v>
      </c>
      <c r="F2" s="27" t="s">
        <v>75</v>
      </c>
      <c r="G2" s="27" t="s">
        <v>76</v>
      </c>
      <c r="H2" s="27"/>
      <c r="I2" s="27"/>
      <c r="J2" s="27"/>
      <c r="K2" s="27"/>
      <c r="L2" s="27"/>
    </row>
    <row r="3" spans="1:12" x14ac:dyDescent="0.25">
      <c r="A3" t="s">
        <v>77</v>
      </c>
      <c r="B3" s="6" t="e">
        <f>AVERAGE(D3:G3)</f>
        <v>#DIV/0!</v>
      </c>
      <c r="D3" s="39"/>
      <c r="E3" s="39"/>
      <c r="F3" s="39"/>
      <c r="G3" s="39"/>
    </row>
    <row r="4" spans="1:12" x14ac:dyDescent="0.25">
      <c r="B4" s="6"/>
    </row>
    <row r="6" spans="1:12" x14ac:dyDescent="0.25">
      <c r="A6" t="s">
        <v>78</v>
      </c>
      <c r="B6" s="35"/>
    </row>
    <row r="7" spans="1:12" ht="13" x14ac:dyDescent="0.3">
      <c r="A7" t="s">
        <v>79</v>
      </c>
      <c r="B7" s="18" t="e">
        <f>SUM(B3*B6)</f>
        <v>#DIV/0!</v>
      </c>
    </row>
    <row r="9" spans="1:12" x14ac:dyDescent="0.25">
      <c r="A9" t="s">
        <v>80</v>
      </c>
      <c r="B9" s="39"/>
    </row>
    <row r="10" spans="1:12" x14ac:dyDescent="0.25">
      <c r="A10" t="s">
        <v>81</v>
      </c>
      <c r="B10" s="35"/>
    </row>
    <row r="11" spans="1:12" ht="13" x14ac:dyDescent="0.3">
      <c r="A11" t="s">
        <v>70</v>
      </c>
      <c r="B11" s="18" t="e">
        <f>SUM(B3*B9/1000*B10)</f>
        <v>#DIV/0!</v>
      </c>
    </row>
    <row r="14" spans="1:12" x14ac:dyDescent="0.25">
      <c r="A14" s="27"/>
      <c r="B14" s="27" t="s">
        <v>82</v>
      </c>
      <c r="C14" s="27" t="s">
        <v>83</v>
      </c>
      <c r="D14" s="27" t="s">
        <v>76</v>
      </c>
      <c r="E14" s="27" t="s">
        <v>84</v>
      </c>
      <c r="F14" s="27" t="s">
        <v>85</v>
      </c>
      <c r="G14" s="27" t="s">
        <v>86</v>
      </c>
      <c r="H14" s="27" t="s">
        <v>87</v>
      </c>
      <c r="I14" s="27" t="s">
        <v>88</v>
      </c>
      <c r="J14" s="27"/>
      <c r="K14" s="27" t="s">
        <v>17</v>
      </c>
      <c r="L14" s="27"/>
    </row>
    <row r="15" spans="1:12" x14ac:dyDescent="0.25">
      <c r="A15" t="s">
        <v>89</v>
      </c>
      <c r="B15" s="11" t="e">
        <f>SUM(C27)</f>
        <v>#DIV/0!</v>
      </c>
      <c r="C15" s="11" t="e">
        <f t="shared" ref="C15:I15" si="0">SUM(D27)</f>
        <v>#DIV/0!</v>
      </c>
      <c r="D15" s="11" t="e">
        <f t="shared" si="0"/>
        <v>#DIV/0!</v>
      </c>
      <c r="E15" s="11" t="e">
        <f t="shared" si="0"/>
        <v>#DIV/0!</v>
      </c>
      <c r="F15" s="11" t="e">
        <f t="shared" si="0"/>
        <v>#DIV/0!</v>
      </c>
      <c r="G15" s="11" t="e">
        <f t="shared" si="0"/>
        <v>#DIV/0!</v>
      </c>
      <c r="H15" s="11" t="e">
        <f t="shared" si="0"/>
        <v>#DIV/0!</v>
      </c>
      <c r="I15" s="11" t="e">
        <f t="shared" si="0"/>
        <v>#DIV/0!</v>
      </c>
      <c r="J15" s="11"/>
      <c r="K15" s="11" t="e">
        <f>SUM(L27)</f>
        <v>#DIV/0!</v>
      </c>
    </row>
    <row r="16" spans="1:12" x14ac:dyDescent="0.25">
      <c r="A16" t="s">
        <v>90</v>
      </c>
      <c r="B16" s="5" t="e">
        <f>SUM(B15/Traffic!B13)</f>
        <v>#DIV/0!</v>
      </c>
      <c r="C16" s="5" t="e">
        <f>SUM(C15/Traffic!B13)</f>
        <v>#DIV/0!</v>
      </c>
      <c r="D16" s="5" t="e">
        <f>SUM(D15/Traffic!B13)</f>
        <v>#DIV/0!</v>
      </c>
      <c r="E16" s="5" t="e">
        <f>SUM(E15/Traffic!B13)</f>
        <v>#DIV/0!</v>
      </c>
      <c r="F16" s="5" t="e">
        <f>SUM(F15/Traffic!B13)</f>
        <v>#DIV/0!</v>
      </c>
      <c r="G16" s="5" t="e">
        <f>SUM(G15/Traffic!B13)</f>
        <v>#DIV/0!</v>
      </c>
      <c r="H16" s="5" t="e">
        <f>SUM(H15/Traffic!B13)</f>
        <v>#DIV/0!</v>
      </c>
      <c r="I16" s="5" t="e">
        <f>SUM(I15/Traffic!B13)</f>
        <v>#DIV/0!</v>
      </c>
      <c r="J16" s="5"/>
      <c r="K16" s="5" t="e">
        <f>SUM(K15/Traffic!B13)</f>
        <v>#DIV/0!</v>
      </c>
    </row>
    <row r="18" spans="1:12" x14ac:dyDescent="0.25">
      <c r="A18" t="s">
        <v>91</v>
      </c>
    </row>
    <row r="21" spans="1:12" ht="13" x14ac:dyDescent="0.3">
      <c r="A21" s="26" t="s">
        <v>92</v>
      </c>
      <c r="B21" s="27" t="s">
        <v>93</v>
      </c>
      <c r="C21" s="27" t="s">
        <v>82</v>
      </c>
      <c r="D21" s="27" t="s">
        <v>83</v>
      </c>
      <c r="E21" s="27" t="s">
        <v>76</v>
      </c>
      <c r="F21" s="27" t="s">
        <v>84</v>
      </c>
      <c r="G21" s="27" t="s">
        <v>85</v>
      </c>
      <c r="H21" s="27" t="s">
        <v>86</v>
      </c>
      <c r="I21" s="27" t="s">
        <v>87</v>
      </c>
      <c r="J21" s="27" t="s">
        <v>88</v>
      </c>
      <c r="K21" s="27"/>
      <c r="L21" s="27" t="s">
        <v>17</v>
      </c>
    </row>
    <row r="22" spans="1:12" x14ac:dyDescent="0.25">
      <c r="B22" t="s">
        <v>94</v>
      </c>
      <c r="C22" s="41"/>
      <c r="D22" s="39"/>
      <c r="E22" s="39"/>
      <c r="F22" s="39"/>
      <c r="G22" s="41"/>
      <c r="H22" s="39"/>
      <c r="I22" s="39"/>
      <c r="J22" s="39"/>
      <c r="L22" s="11">
        <f>SUM(C22:J22)</f>
        <v>0</v>
      </c>
    </row>
    <row r="23" spans="1:12" x14ac:dyDescent="0.25">
      <c r="B23" t="s">
        <v>95</v>
      </c>
      <c r="C23" s="39"/>
      <c r="D23" s="39"/>
      <c r="E23" s="39"/>
      <c r="F23" s="39"/>
      <c r="G23" s="39"/>
      <c r="H23" s="39"/>
      <c r="I23" s="39"/>
      <c r="J23" s="39"/>
      <c r="L23" s="11">
        <f t="shared" ref="L23:L27" si="1">SUM(C23:J23)</f>
        <v>0</v>
      </c>
    </row>
    <row r="24" spans="1:12" x14ac:dyDescent="0.25">
      <c r="B24" t="s">
        <v>96</v>
      </c>
      <c r="C24" s="41"/>
      <c r="D24" s="39"/>
      <c r="E24" s="39"/>
      <c r="F24" s="39"/>
      <c r="G24" s="39"/>
      <c r="H24" s="39"/>
      <c r="I24" s="41"/>
      <c r="J24" s="39"/>
      <c r="L24" s="11">
        <f t="shared" si="1"/>
        <v>0</v>
      </c>
    </row>
    <row r="25" spans="1:12" x14ac:dyDescent="0.25">
      <c r="B25" t="s">
        <v>97</v>
      </c>
      <c r="C25" s="39"/>
      <c r="D25" s="39"/>
      <c r="E25" s="39"/>
      <c r="F25" s="39"/>
      <c r="G25" s="39"/>
      <c r="H25" s="39"/>
      <c r="I25" s="39"/>
      <c r="J25" s="39"/>
      <c r="L25" s="11"/>
    </row>
    <row r="26" spans="1:12" x14ac:dyDescent="0.25">
      <c r="B26" t="s">
        <v>98</v>
      </c>
      <c r="C26" s="39"/>
      <c r="D26" s="39"/>
      <c r="E26" s="39"/>
      <c r="F26" s="39"/>
      <c r="G26" s="39"/>
      <c r="H26" s="39"/>
      <c r="I26" s="39"/>
      <c r="J26" s="39"/>
      <c r="L26" s="11"/>
    </row>
    <row r="27" spans="1:12" x14ac:dyDescent="0.25">
      <c r="B27" t="s">
        <v>72</v>
      </c>
      <c r="C27" s="42" t="e">
        <f>AVERAGE(C22:C26)</f>
        <v>#DIV/0!</v>
      </c>
      <c r="D27" s="42" t="e">
        <f t="shared" ref="D27:J27" si="2">AVERAGE(D22:D26)</f>
        <v>#DIV/0!</v>
      </c>
      <c r="E27" s="42" t="e">
        <f t="shared" si="2"/>
        <v>#DIV/0!</v>
      </c>
      <c r="F27" s="42" t="e">
        <f t="shared" si="2"/>
        <v>#DIV/0!</v>
      </c>
      <c r="G27" s="42" t="e">
        <f t="shared" si="2"/>
        <v>#DIV/0!</v>
      </c>
      <c r="H27" s="42" t="e">
        <f t="shared" si="2"/>
        <v>#DIV/0!</v>
      </c>
      <c r="I27" s="42" t="e">
        <f t="shared" si="2"/>
        <v>#DIV/0!</v>
      </c>
      <c r="J27" s="42" t="e">
        <f t="shared" si="2"/>
        <v>#DIV/0!</v>
      </c>
      <c r="L27" s="11" t="e">
        <f t="shared" si="1"/>
        <v>#DIV/0!</v>
      </c>
    </row>
  </sheetData>
  <printOptions gridLines="1"/>
  <pageMargins left="0.75" right="0.75" top="1" bottom="1" header="0.5" footer="0.5"/>
  <pageSetup scale="89" orientation="landscape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topLeftCell="A25" workbookViewId="0">
      <selection activeCell="F20" sqref="F19:F20"/>
    </sheetView>
  </sheetViews>
  <sheetFormatPr defaultRowHeight="12.5" x14ac:dyDescent="0.25"/>
  <cols>
    <col min="1" max="1" width="19.26953125" customWidth="1"/>
    <col min="2" max="2" width="15.81640625" customWidth="1"/>
    <col min="3" max="3" width="12.26953125" customWidth="1"/>
    <col min="5" max="5" width="11.453125" customWidth="1"/>
    <col min="6" max="6" width="11" customWidth="1"/>
    <col min="7" max="7" width="8.26953125" customWidth="1"/>
    <col min="13" max="13" width="10.1796875" customWidth="1"/>
    <col min="14" max="14" width="10.7265625" customWidth="1"/>
  </cols>
  <sheetData>
    <row r="1" spans="1:16" ht="13" x14ac:dyDescent="0.3">
      <c r="F1" s="1"/>
    </row>
    <row r="2" spans="1:16" ht="13" x14ac:dyDescent="0.3">
      <c r="A2" s="19"/>
      <c r="B2" s="14" t="s">
        <v>99</v>
      </c>
      <c r="C2" s="14" t="s">
        <v>1</v>
      </c>
      <c r="D2" s="19"/>
      <c r="E2" s="14" t="s">
        <v>2</v>
      </c>
      <c r="F2" s="14" t="s">
        <v>100</v>
      </c>
      <c r="G2" s="19"/>
    </row>
    <row r="3" spans="1:16" x14ac:dyDescent="0.25">
      <c r="A3" t="s">
        <v>101</v>
      </c>
      <c r="B3" s="40"/>
      <c r="C3" s="9">
        <f t="shared" ref="C3:C4" si="0">SUM(B3*30)</f>
        <v>0</v>
      </c>
      <c r="E3" s="9">
        <f t="shared" ref="E3:E4" si="1">SUM(B3*365)</f>
        <v>0</v>
      </c>
      <c r="F3" s="9">
        <f t="shared" ref="F3:F4" si="2">SUM(C3*12)</f>
        <v>0</v>
      </c>
    </row>
    <row r="4" spans="1:16" x14ac:dyDescent="0.25">
      <c r="A4" t="s">
        <v>102</v>
      </c>
      <c r="B4" s="40"/>
      <c r="C4" s="9">
        <f t="shared" si="0"/>
        <v>0</v>
      </c>
      <c r="E4" s="9">
        <f t="shared" si="1"/>
        <v>0</v>
      </c>
      <c r="F4" s="9">
        <f t="shared" si="2"/>
        <v>0</v>
      </c>
    </row>
    <row r="5" spans="1:16" x14ac:dyDescent="0.25">
      <c r="A5" t="s">
        <v>103</v>
      </c>
      <c r="B5" s="8" t="e">
        <f t="shared" ref="B5:F5" si="3">SUM(B4/B3)</f>
        <v>#DIV/0!</v>
      </c>
      <c r="C5" s="8" t="e">
        <f t="shared" si="3"/>
        <v>#DIV/0!</v>
      </c>
      <c r="E5" s="8" t="e">
        <f t="shared" si="3"/>
        <v>#DIV/0!</v>
      </c>
      <c r="F5" s="8" t="e">
        <f t="shared" si="3"/>
        <v>#DIV/0!</v>
      </c>
    </row>
    <row r="7" spans="1:16" x14ac:dyDescent="0.25">
      <c r="A7" t="s">
        <v>104</v>
      </c>
      <c r="B7" s="35"/>
    </row>
    <row r="8" spans="1:16" x14ac:dyDescent="0.25">
      <c r="A8" t="s">
        <v>105</v>
      </c>
      <c r="B8" s="35"/>
    </row>
    <row r="9" spans="1:16" x14ac:dyDescent="0.25">
      <c r="A9" t="s">
        <v>106</v>
      </c>
      <c r="B9" s="35"/>
    </row>
    <row r="10" spans="1:16" x14ac:dyDescent="0.25">
      <c r="O10" t="s">
        <v>107</v>
      </c>
    </row>
    <row r="11" spans="1:16" x14ac:dyDescent="0.25">
      <c r="A11" s="19"/>
      <c r="B11" s="19" t="s">
        <v>72</v>
      </c>
      <c r="C11" s="32">
        <v>35521</v>
      </c>
      <c r="D11" s="32">
        <v>35551</v>
      </c>
      <c r="E11" s="32">
        <v>35582</v>
      </c>
      <c r="F11" s="32">
        <v>35612</v>
      </c>
      <c r="G11" s="32">
        <v>35643</v>
      </c>
      <c r="H11" s="32">
        <v>35674</v>
      </c>
      <c r="I11" s="32">
        <v>35704</v>
      </c>
      <c r="J11" s="32">
        <v>35735</v>
      </c>
      <c r="K11" s="32">
        <v>35765</v>
      </c>
      <c r="L11" s="32">
        <v>35796</v>
      </c>
      <c r="M11" s="32">
        <v>35827</v>
      </c>
      <c r="N11" s="32">
        <v>35855</v>
      </c>
      <c r="O11" s="32">
        <v>35886</v>
      </c>
      <c r="P11" s="32">
        <v>35916</v>
      </c>
    </row>
    <row r="12" spans="1:16" x14ac:dyDescent="0.25">
      <c r="A12" t="s">
        <v>108</v>
      </c>
      <c r="B12" s="3" t="e">
        <f t="shared" ref="B12:B13" si="4">AVERAGE(C12:N12)</f>
        <v>#DIV/0!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50"/>
      <c r="P12" s="50"/>
    </row>
    <row r="13" spans="1:16" x14ac:dyDescent="0.25">
      <c r="A13" t="s">
        <v>109</v>
      </c>
      <c r="B13" s="3" t="e">
        <f t="shared" si="4"/>
        <v>#DIV/0!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50"/>
      <c r="P13" s="50"/>
    </row>
    <row r="16" spans="1:16" x14ac:dyDescent="0.25">
      <c r="A16" t="s">
        <v>110</v>
      </c>
      <c r="B16" s="5" t="e">
        <f t="shared" ref="B16:B17" si="5">AVERAGE(C16:N16)</f>
        <v>#DIV/0!</v>
      </c>
      <c r="C16" s="5"/>
      <c r="D16" s="5" t="e">
        <f t="shared" ref="D16:I17" si="6">SUM((D12-C12)/C12)</f>
        <v>#DIV/0!</v>
      </c>
      <c r="E16" s="5" t="e">
        <f t="shared" si="6"/>
        <v>#DIV/0!</v>
      </c>
      <c r="F16" s="5"/>
      <c r="G16" s="5"/>
      <c r="H16" s="5" t="e">
        <f t="shared" si="6"/>
        <v>#DIV/0!</v>
      </c>
      <c r="I16" s="5" t="e">
        <f t="shared" si="6"/>
        <v>#DIV/0!</v>
      </c>
      <c r="J16" s="5" t="e">
        <f t="shared" ref="J16:M17" si="7">SUM((J12-I12)/I12)</f>
        <v>#DIV/0!</v>
      </c>
      <c r="K16" s="5" t="e">
        <f t="shared" si="7"/>
        <v>#DIV/0!</v>
      </c>
      <c r="L16" s="5" t="e">
        <f t="shared" si="7"/>
        <v>#DIV/0!</v>
      </c>
      <c r="M16" s="5" t="e">
        <f t="shared" si="7"/>
        <v>#DIV/0!</v>
      </c>
      <c r="N16" s="5" t="e">
        <f t="shared" ref="N16:N17" si="8">SUM((N12-M12)/M12)</f>
        <v>#DIV/0!</v>
      </c>
    </row>
    <row r="17" spans="1:14" x14ac:dyDescent="0.25">
      <c r="A17" t="s">
        <v>111</v>
      </c>
      <c r="B17" s="5" t="e">
        <f t="shared" si="5"/>
        <v>#DIV/0!</v>
      </c>
      <c r="C17" s="6"/>
      <c r="D17" s="5" t="e">
        <f t="shared" si="6"/>
        <v>#DIV/0!</v>
      </c>
      <c r="E17" s="5" t="e">
        <f t="shared" si="6"/>
        <v>#DIV/0!</v>
      </c>
      <c r="F17" s="5"/>
      <c r="G17" s="5"/>
      <c r="H17" s="5" t="e">
        <f t="shared" si="6"/>
        <v>#DIV/0!</v>
      </c>
      <c r="I17" s="5" t="e">
        <f t="shared" si="6"/>
        <v>#DIV/0!</v>
      </c>
      <c r="J17" s="5" t="e">
        <f t="shared" si="7"/>
        <v>#DIV/0!</v>
      </c>
      <c r="K17" s="5" t="e">
        <f t="shared" si="7"/>
        <v>#DIV/0!</v>
      </c>
      <c r="L17" s="5" t="e">
        <f t="shared" si="7"/>
        <v>#DIV/0!</v>
      </c>
      <c r="M17" s="5" t="e">
        <f t="shared" si="7"/>
        <v>#DIV/0!</v>
      </c>
      <c r="N17" s="5" t="e">
        <f t="shared" si="8"/>
        <v>#DIV/0!</v>
      </c>
    </row>
    <row r="19" spans="1:14" x14ac:dyDescent="0.25">
      <c r="A19" t="s">
        <v>112</v>
      </c>
      <c r="B19" s="51"/>
    </row>
    <row r="21" spans="1:14" x14ac:dyDescent="0.25">
      <c r="B21" t="s">
        <v>1</v>
      </c>
      <c r="C21" t="s">
        <v>2</v>
      </c>
    </row>
    <row r="22" spans="1:14" x14ac:dyDescent="0.25">
      <c r="A22" t="s">
        <v>67</v>
      </c>
      <c r="B22" s="7">
        <f>SUM(B7*C4/1000)</f>
        <v>0</v>
      </c>
      <c r="C22" s="7">
        <f>SUM(B22*12)</f>
        <v>0</v>
      </c>
    </row>
    <row r="23" spans="1:14" x14ac:dyDescent="0.25">
      <c r="A23" t="s">
        <v>68</v>
      </c>
      <c r="B23" s="7">
        <f>SUM(B8*C4/1000)</f>
        <v>0</v>
      </c>
      <c r="C23" s="7">
        <f t="shared" ref="C23:C24" si="9">SUM(B23*12)</f>
        <v>0</v>
      </c>
    </row>
    <row r="24" spans="1:14" x14ac:dyDescent="0.25">
      <c r="A24" t="s">
        <v>69</v>
      </c>
      <c r="B24" s="7">
        <f>SUM(B9*C4/1000)</f>
        <v>0</v>
      </c>
      <c r="C24" s="7">
        <f t="shared" si="9"/>
        <v>0</v>
      </c>
    </row>
    <row r="26" spans="1:14" x14ac:dyDescent="0.25">
      <c r="B26" t="s">
        <v>113</v>
      </c>
      <c r="C26" t="s">
        <v>114</v>
      </c>
    </row>
    <row r="27" spans="1:14" x14ac:dyDescent="0.25">
      <c r="A27" t="s">
        <v>67</v>
      </c>
      <c r="B27" s="7">
        <f>SUM(B22*B19)</f>
        <v>0</v>
      </c>
      <c r="C27" s="2"/>
    </row>
    <row r="28" spans="1:14" x14ac:dyDescent="0.25">
      <c r="A28" t="s">
        <v>68</v>
      </c>
      <c r="B28" s="7">
        <f>SUM(B23*B19)</f>
        <v>0</v>
      </c>
    </row>
    <row r="29" spans="1:14" x14ac:dyDescent="0.25">
      <c r="A29" t="s">
        <v>69</v>
      </c>
      <c r="B29" s="7">
        <f>SUM(B24*B19)</f>
        <v>0</v>
      </c>
    </row>
    <row r="32" spans="1:14" ht="13" x14ac:dyDescent="0.3">
      <c r="A32" s="14" t="s">
        <v>115</v>
      </c>
      <c r="B32" s="19"/>
      <c r="C32" s="19"/>
    </row>
    <row r="33" spans="1:6" x14ac:dyDescent="0.25">
      <c r="A33" t="s">
        <v>116</v>
      </c>
    </row>
    <row r="34" spans="1:6" x14ac:dyDescent="0.25">
      <c r="A34" t="s">
        <v>117</v>
      </c>
      <c r="B34" s="39"/>
    </row>
    <row r="35" spans="1:6" x14ac:dyDescent="0.25">
      <c r="A35" t="s">
        <v>118</v>
      </c>
      <c r="B35" s="39"/>
    </row>
    <row r="36" spans="1:6" x14ac:dyDescent="0.25">
      <c r="A36" t="s">
        <v>119</v>
      </c>
      <c r="B36" s="6">
        <f>SUM(B34*B35)</f>
        <v>0</v>
      </c>
    </row>
    <row r="38" spans="1:6" x14ac:dyDescent="0.25">
      <c r="A38" t="s">
        <v>120</v>
      </c>
      <c r="B38" s="39"/>
    </row>
    <row r="40" spans="1:6" x14ac:dyDescent="0.25">
      <c r="A40" t="s">
        <v>121</v>
      </c>
      <c r="B40" s="39"/>
    </row>
    <row r="42" spans="1:6" ht="13" x14ac:dyDescent="0.3">
      <c r="A42" t="s">
        <v>122</v>
      </c>
      <c r="C42" s="33">
        <f>SUM(B36,C4,B38,B40)</f>
        <v>0</v>
      </c>
      <c r="F42" s="2"/>
    </row>
    <row r="43" spans="1:6" x14ac:dyDescent="0.25">
      <c r="F43" s="2"/>
    </row>
    <row r="44" spans="1:6" x14ac:dyDescent="0.25">
      <c r="B44" t="s">
        <v>1</v>
      </c>
      <c r="C44" t="s">
        <v>2</v>
      </c>
      <c r="F44" s="2"/>
    </row>
    <row r="45" spans="1:6" x14ac:dyDescent="0.25">
      <c r="A45" t="s">
        <v>67</v>
      </c>
      <c r="B45" s="7">
        <f>SUM(B7*C42/1000)</f>
        <v>0</v>
      </c>
      <c r="C45" s="7">
        <f>SUM(B45*12)</f>
        <v>0</v>
      </c>
      <c r="F45" s="2"/>
    </row>
    <row r="46" spans="1:6" x14ac:dyDescent="0.25">
      <c r="A46" t="s">
        <v>68</v>
      </c>
      <c r="B46" s="7">
        <f>SUM(B8*C42/1000)</f>
        <v>0</v>
      </c>
      <c r="C46" s="7">
        <f t="shared" ref="C46:C47" si="10">SUM(B46*12)</f>
        <v>0</v>
      </c>
    </row>
    <row r="47" spans="1:6" x14ac:dyDescent="0.25">
      <c r="A47" t="s">
        <v>69</v>
      </c>
      <c r="B47" s="7">
        <f>SUM(B9*C42/1000)</f>
        <v>0</v>
      </c>
      <c r="C47" s="7">
        <f t="shared" si="10"/>
        <v>0</v>
      </c>
    </row>
  </sheetData>
  <printOptions gridLines="1"/>
  <pageMargins left="0.75" right="0.75" top="1" bottom="1" header="0.5" footer="0.5"/>
  <pageSetup scale="71" orientation="landscape" horizontalDpi="30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0"/>
  <sheetViews>
    <sheetView zoomScale="75" workbookViewId="0">
      <selection activeCell="E9" sqref="E9"/>
    </sheetView>
  </sheetViews>
  <sheetFormatPr defaultRowHeight="12.5" x14ac:dyDescent="0.25"/>
  <cols>
    <col min="1" max="1" width="30.81640625" customWidth="1"/>
    <col min="3" max="3" width="14.7265625" customWidth="1"/>
    <col min="4" max="5" width="12.26953125" customWidth="1"/>
    <col min="6" max="7" width="13.453125" customWidth="1"/>
    <col min="8" max="9" width="12.26953125" customWidth="1"/>
    <col min="10" max="10" width="10.54296875" customWidth="1"/>
    <col min="11" max="11" width="13.7265625" customWidth="1"/>
    <col min="13" max="13" width="11.81640625" customWidth="1"/>
  </cols>
  <sheetData>
    <row r="2" spans="1:15" ht="13" x14ac:dyDescent="0.3">
      <c r="A2" s="14" t="s">
        <v>123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25">
      <c r="C3" t="s">
        <v>72</v>
      </c>
      <c r="D3" t="s">
        <v>94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</row>
    <row r="4" spans="1:15" x14ac:dyDescent="0.25">
      <c r="A4" t="s">
        <v>19</v>
      </c>
      <c r="C4" s="10" t="e">
        <f>AVERAGE(D4:H4)</f>
        <v>#DIV/0!</v>
      </c>
      <c r="D4" s="36"/>
      <c r="E4" s="36"/>
      <c r="F4" s="36"/>
      <c r="G4" s="36"/>
      <c r="H4" s="36"/>
    </row>
    <row r="5" spans="1:15" x14ac:dyDescent="0.25">
      <c r="A5" t="s">
        <v>20</v>
      </c>
      <c r="C5" s="10" t="e">
        <f t="shared" ref="C5:C12" si="0">AVERAGE(D5:H5)</f>
        <v>#DIV/0!</v>
      </c>
      <c r="D5" s="36"/>
      <c r="E5" s="36"/>
      <c r="F5" s="36"/>
      <c r="G5" s="36"/>
      <c r="H5" s="36"/>
    </row>
    <row r="6" spans="1:15" x14ac:dyDescent="0.25">
      <c r="A6" t="s">
        <v>21</v>
      </c>
      <c r="C6" s="10" t="e">
        <f t="shared" si="0"/>
        <v>#DIV/0!</v>
      </c>
      <c r="D6" s="36"/>
      <c r="E6" s="36"/>
      <c r="F6" s="36"/>
      <c r="G6" s="36"/>
      <c r="H6" s="36"/>
    </row>
    <row r="7" spans="1:15" x14ac:dyDescent="0.25">
      <c r="A7" t="s">
        <v>22</v>
      </c>
      <c r="C7" s="10" t="e">
        <f t="shared" si="0"/>
        <v>#DIV/0!</v>
      </c>
      <c r="D7" s="36"/>
      <c r="E7" s="36"/>
      <c r="F7" s="36"/>
      <c r="G7" s="36"/>
      <c r="H7" s="36"/>
    </row>
    <row r="8" spans="1:15" x14ac:dyDescent="0.25">
      <c r="A8" t="s">
        <v>23</v>
      </c>
      <c r="C8" s="10" t="e">
        <f t="shared" si="0"/>
        <v>#DIV/0!</v>
      </c>
      <c r="D8" s="38"/>
      <c r="E8" s="38"/>
      <c r="F8" s="38"/>
      <c r="G8" s="38"/>
      <c r="H8" s="38"/>
      <c r="J8" s="37"/>
    </row>
    <row r="9" spans="1:15" x14ac:dyDescent="0.25">
      <c r="A9" t="s">
        <v>24</v>
      </c>
      <c r="C9" s="10" t="e">
        <f t="shared" si="0"/>
        <v>#DIV/0!</v>
      </c>
      <c r="D9" s="36"/>
      <c r="E9" s="36"/>
      <c r="F9" s="36"/>
      <c r="G9" s="36"/>
      <c r="H9" s="36"/>
    </row>
    <row r="10" spans="1:15" x14ac:dyDescent="0.25">
      <c r="A10" t="s">
        <v>25</v>
      </c>
      <c r="C10" s="10" t="e">
        <f t="shared" si="0"/>
        <v>#DIV/0!</v>
      </c>
      <c r="D10" s="36"/>
      <c r="E10" s="36"/>
      <c r="F10" s="36"/>
      <c r="G10" s="36"/>
      <c r="H10" s="36"/>
    </row>
    <row r="11" spans="1:15" x14ac:dyDescent="0.25">
      <c r="A11" t="s">
        <v>26</v>
      </c>
      <c r="C11" s="10" t="e">
        <f t="shared" si="0"/>
        <v>#DIV/0!</v>
      </c>
      <c r="D11" s="36"/>
      <c r="E11" s="36"/>
      <c r="F11" s="36"/>
      <c r="G11" s="36"/>
      <c r="H11" s="36"/>
    </row>
    <row r="12" spans="1:15" x14ac:dyDescent="0.25">
      <c r="A12" t="s">
        <v>27</v>
      </c>
      <c r="C12" s="12" t="e">
        <f t="shared" si="0"/>
        <v>#DIV/0!</v>
      </c>
      <c r="D12" s="12" t="e">
        <f>SUM(D10/D11)</f>
        <v>#DIV/0!</v>
      </c>
      <c r="E12" s="12" t="e">
        <f t="shared" ref="E12:H12" si="1">SUM(E10/E11)</f>
        <v>#DIV/0!</v>
      </c>
      <c r="F12" s="12" t="e">
        <f t="shared" si="1"/>
        <v>#DIV/0!</v>
      </c>
      <c r="G12" s="12" t="e">
        <f t="shared" si="1"/>
        <v>#DIV/0!</v>
      </c>
      <c r="H12" s="12" t="e">
        <f t="shared" si="1"/>
        <v>#DIV/0!</v>
      </c>
    </row>
    <row r="14" spans="1:15" ht="13" x14ac:dyDescent="0.3">
      <c r="A14" s="1" t="s">
        <v>124</v>
      </c>
      <c r="C14" s="13" t="e">
        <f>SUM(C4:C10)</f>
        <v>#DIV/0!</v>
      </c>
      <c r="D14" s="13">
        <f t="shared" ref="D14:H14" si="2">SUM(D4:D10)</f>
        <v>0</v>
      </c>
      <c r="E14" s="13">
        <f t="shared" si="2"/>
        <v>0</v>
      </c>
      <c r="F14" s="13">
        <f t="shared" si="2"/>
        <v>0</v>
      </c>
      <c r="G14" s="13">
        <f t="shared" si="2"/>
        <v>0</v>
      </c>
      <c r="H14" s="13">
        <f t="shared" si="2"/>
        <v>0</v>
      </c>
    </row>
    <row r="16" spans="1:15" ht="13" x14ac:dyDescent="0.3">
      <c r="A16" s="14" t="s">
        <v>125</v>
      </c>
      <c r="B16" s="19"/>
      <c r="C16" s="19"/>
      <c r="D16" s="14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9" x14ac:dyDescent="0.25">
      <c r="C17" t="s">
        <v>72</v>
      </c>
      <c r="D17" t="s">
        <v>94</v>
      </c>
      <c r="E17">
        <v>-2</v>
      </c>
      <c r="F17">
        <v>-3</v>
      </c>
      <c r="G17">
        <v>-4</v>
      </c>
      <c r="H17">
        <v>-5</v>
      </c>
      <c r="I17">
        <v>-6</v>
      </c>
    </row>
    <row r="18" spans="1:9" x14ac:dyDescent="0.25">
      <c r="A18" t="s">
        <v>30</v>
      </c>
      <c r="C18" s="7" t="e">
        <f t="shared" ref="C18:C25" si="3">AVERAGE(D18:I18)</f>
        <v>#DIV/0!</v>
      </c>
      <c r="D18" s="36"/>
      <c r="E18" s="36"/>
      <c r="F18" s="36"/>
      <c r="G18" s="36"/>
      <c r="H18" s="36"/>
      <c r="I18" s="36"/>
    </row>
    <row r="19" spans="1:9" x14ac:dyDescent="0.25">
      <c r="A19" t="s">
        <v>31</v>
      </c>
      <c r="C19" s="7" t="e">
        <f t="shared" si="3"/>
        <v>#DIV/0!</v>
      </c>
      <c r="D19" s="36"/>
      <c r="E19" s="36"/>
      <c r="F19" s="36"/>
      <c r="G19" s="36"/>
      <c r="H19" s="36"/>
      <c r="I19" s="36"/>
    </row>
    <row r="20" spans="1:9" x14ac:dyDescent="0.25">
      <c r="A20" t="s">
        <v>32</v>
      </c>
      <c r="C20" s="7" t="e">
        <f t="shared" si="3"/>
        <v>#DIV/0!</v>
      </c>
      <c r="D20" s="36"/>
      <c r="E20" s="36"/>
      <c r="F20" s="36"/>
      <c r="G20" s="36"/>
      <c r="H20" s="36"/>
      <c r="I20" s="36"/>
    </row>
    <row r="21" spans="1:9" x14ac:dyDescent="0.25">
      <c r="A21" t="s">
        <v>33</v>
      </c>
      <c r="C21" s="7" t="e">
        <f t="shared" si="3"/>
        <v>#DIV/0!</v>
      </c>
      <c r="D21" s="36"/>
      <c r="E21" s="36"/>
      <c r="F21" s="36"/>
      <c r="G21" s="36"/>
      <c r="H21" s="36"/>
      <c r="I21" s="36"/>
    </row>
    <row r="22" spans="1:9" x14ac:dyDescent="0.25">
      <c r="A22" t="s">
        <v>34</v>
      </c>
      <c r="C22" s="7" t="e">
        <f t="shared" si="3"/>
        <v>#DIV/0!</v>
      </c>
      <c r="D22" s="36"/>
      <c r="E22" s="36"/>
      <c r="F22" s="36"/>
      <c r="G22" s="36"/>
      <c r="H22" s="36"/>
      <c r="I22" s="36"/>
    </row>
    <row r="23" spans="1:9" x14ac:dyDescent="0.25">
      <c r="A23" t="s">
        <v>35</v>
      </c>
      <c r="C23" s="7" t="e">
        <f t="shared" si="3"/>
        <v>#DIV/0!</v>
      </c>
      <c r="D23" s="36"/>
      <c r="E23" s="36"/>
      <c r="F23" s="36"/>
      <c r="G23" s="36"/>
      <c r="H23" s="36"/>
      <c r="I23" s="36"/>
    </row>
    <row r="24" spans="1:9" x14ac:dyDescent="0.25">
      <c r="A24" t="s">
        <v>36</v>
      </c>
      <c r="C24" s="7" t="e">
        <f t="shared" si="3"/>
        <v>#DIV/0!</v>
      </c>
      <c r="D24" s="36"/>
      <c r="E24" s="36"/>
      <c r="F24" s="36"/>
      <c r="G24" s="36"/>
      <c r="H24" s="36"/>
      <c r="I24" s="36"/>
    </row>
    <row r="25" spans="1:9" x14ac:dyDescent="0.25">
      <c r="A25" t="s">
        <v>37</v>
      </c>
      <c r="C25" s="7" t="e">
        <f t="shared" si="3"/>
        <v>#DIV/0!</v>
      </c>
      <c r="D25" s="36"/>
      <c r="E25" s="36"/>
      <c r="F25" s="36"/>
      <c r="G25" s="36"/>
      <c r="H25" s="36"/>
      <c r="I25" s="36"/>
    </row>
    <row r="26" spans="1:9" x14ac:dyDescent="0.25">
      <c r="A26" t="s">
        <v>38</v>
      </c>
    </row>
    <row r="28" spans="1:9" ht="13" x14ac:dyDescent="0.3">
      <c r="A28" s="1" t="s">
        <v>126</v>
      </c>
      <c r="C28" s="13" t="e">
        <f>SUM(C18:C26)</f>
        <v>#DIV/0!</v>
      </c>
      <c r="D28" s="13">
        <f t="shared" ref="D28:I28" si="4">SUM(D18:D26)</f>
        <v>0</v>
      </c>
      <c r="E28" s="13">
        <f t="shared" si="4"/>
        <v>0</v>
      </c>
      <c r="F28" s="13">
        <f t="shared" si="4"/>
        <v>0</v>
      </c>
      <c r="G28" s="13">
        <f t="shared" si="4"/>
        <v>0</v>
      </c>
      <c r="H28" s="13">
        <f t="shared" si="4"/>
        <v>0</v>
      </c>
      <c r="I28" s="13">
        <f t="shared" si="4"/>
        <v>0</v>
      </c>
    </row>
    <row r="30" spans="1:9" x14ac:dyDescent="0.25">
      <c r="A30" t="s">
        <v>127</v>
      </c>
    </row>
  </sheetData>
  <printOptions gridLines="1"/>
  <pageMargins left="0.75" right="0.75" top="1" bottom="1" header="0.5" footer="0.5"/>
  <pageSetup scale="70" orientation="landscape" horizontalDpi="300" verticalDpi="3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9"/>
  <sheetViews>
    <sheetView topLeftCell="A49" zoomScale="75" workbookViewId="0">
      <selection activeCell="E67" sqref="E67"/>
    </sheetView>
  </sheetViews>
  <sheetFormatPr defaultRowHeight="12.5" x14ac:dyDescent="0.25"/>
  <cols>
    <col min="1" max="1" width="20.7265625" customWidth="1"/>
    <col min="2" max="2" width="15.453125" customWidth="1"/>
    <col min="3" max="3" width="13" customWidth="1"/>
    <col min="5" max="5" width="14.453125" customWidth="1"/>
    <col min="6" max="6" width="12.7265625" customWidth="1"/>
  </cols>
  <sheetData>
    <row r="1" spans="1:5" ht="13" x14ac:dyDescent="0.3">
      <c r="A1" s="1" t="s">
        <v>41</v>
      </c>
    </row>
    <row r="2" spans="1:5" ht="13" x14ac:dyDescent="0.3">
      <c r="A2" s="1"/>
    </row>
    <row r="3" spans="1:5" x14ac:dyDescent="0.25">
      <c r="A3" t="s">
        <v>128</v>
      </c>
    </row>
    <row r="4" spans="1:5" x14ac:dyDescent="0.25">
      <c r="B4" t="s">
        <v>129</v>
      </c>
      <c r="D4" s="35"/>
    </row>
    <row r="5" spans="1:5" x14ac:dyDescent="0.25">
      <c r="B5" t="s">
        <v>130</v>
      </c>
      <c r="D5" s="35"/>
    </row>
    <row r="8" spans="1:5" ht="13" x14ac:dyDescent="0.3">
      <c r="C8" s="1" t="s">
        <v>131</v>
      </c>
      <c r="E8" s="7">
        <f>SUM(D4:D5)</f>
        <v>0</v>
      </c>
    </row>
    <row r="9" spans="1:5" x14ac:dyDescent="0.25">
      <c r="E9" s="2"/>
    </row>
    <row r="10" spans="1:5" x14ac:dyDescent="0.25">
      <c r="A10" t="s">
        <v>132</v>
      </c>
    </row>
    <row r="11" spans="1:5" x14ac:dyDescent="0.25">
      <c r="B11" t="s">
        <v>133</v>
      </c>
      <c r="D11" s="35"/>
    </row>
    <row r="12" spans="1:5" x14ac:dyDescent="0.25">
      <c r="B12" t="s">
        <v>134</v>
      </c>
      <c r="D12" s="35"/>
    </row>
    <row r="13" spans="1:5" ht="12.75" customHeight="1" x14ac:dyDescent="0.25">
      <c r="B13" t="s">
        <v>135</v>
      </c>
      <c r="D13" s="35"/>
    </row>
    <row r="14" spans="1:5" x14ac:dyDescent="0.25">
      <c r="E14" s="2"/>
    </row>
    <row r="15" spans="1:5" ht="13" x14ac:dyDescent="0.3">
      <c r="C15" s="1" t="s">
        <v>136</v>
      </c>
      <c r="E15" s="7">
        <f>SUM(D11)</f>
        <v>0</v>
      </c>
    </row>
    <row r="16" spans="1:5" ht="13" x14ac:dyDescent="0.3">
      <c r="B16" s="1"/>
      <c r="E16" s="2"/>
    </row>
    <row r="17" spans="1:5" x14ac:dyDescent="0.25">
      <c r="A17" t="s">
        <v>137</v>
      </c>
    </row>
    <row r="18" spans="1:5" x14ac:dyDescent="0.25">
      <c r="B18" t="s">
        <v>138</v>
      </c>
      <c r="D18" s="35"/>
    </row>
    <row r="19" spans="1:5" x14ac:dyDescent="0.25">
      <c r="B19" t="s">
        <v>139</v>
      </c>
      <c r="D19" s="35"/>
    </row>
    <row r="21" spans="1:5" ht="13" x14ac:dyDescent="0.3">
      <c r="C21" s="1" t="s">
        <v>140</v>
      </c>
      <c r="E21" s="10">
        <f>SUM(D18:D19)</f>
        <v>0</v>
      </c>
    </row>
    <row r="22" spans="1:5" ht="12.75" customHeight="1" x14ac:dyDescent="0.25"/>
    <row r="23" spans="1:5" ht="13" x14ac:dyDescent="0.3">
      <c r="B23" s="1" t="s">
        <v>45</v>
      </c>
      <c r="E23" s="18">
        <f>SUM(E8:E17)</f>
        <v>0</v>
      </c>
    </row>
    <row r="25" spans="1:5" ht="13" x14ac:dyDescent="0.3">
      <c r="A25" s="1" t="s">
        <v>46</v>
      </c>
    </row>
    <row r="26" spans="1:5" x14ac:dyDescent="0.25">
      <c r="B26" t="s">
        <v>47</v>
      </c>
      <c r="D26" s="39"/>
    </row>
    <row r="27" spans="1:5" x14ac:dyDescent="0.25">
      <c r="B27" t="s">
        <v>48</v>
      </c>
      <c r="D27" s="39"/>
    </row>
    <row r="28" spans="1:5" x14ac:dyDescent="0.25">
      <c r="B28" t="s">
        <v>49</v>
      </c>
      <c r="D28" s="39"/>
    </row>
    <row r="29" spans="1:5" x14ac:dyDescent="0.25">
      <c r="B29" t="s">
        <v>50</v>
      </c>
      <c r="D29" s="39"/>
    </row>
    <row r="31" spans="1:5" ht="13" x14ac:dyDescent="0.3">
      <c r="B31" s="1" t="s">
        <v>141</v>
      </c>
      <c r="E31" s="18">
        <f>SUM(D26:D29)</f>
        <v>0</v>
      </c>
    </row>
    <row r="32" spans="1:5" ht="12.75" customHeight="1" x14ac:dyDescent="0.25"/>
    <row r="33" spans="1:5" ht="13" x14ac:dyDescent="0.3">
      <c r="A33" s="1" t="s">
        <v>142</v>
      </c>
      <c r="E33" s="13">
        <f>SUM(E23,E31,E62,E67)</f>
        <v>0</v>
      </c>
    </row>
    <row r="34" spans="1:5" ht="12.75" customHeight="1" x14ac:dyDescent="0.25"/>
    <row r="35" spans="1:5" ht="12.75" customHeight="1" x14ac:dyDescent="0.3">
      <c r="A35" s="1" t="s">
        <v>143</v>
      </c>
    </row>
    <row r="36" spans="1:5" ht="12.75" customHeight="1" x14ac:dyDescent="0.25"/>
    <row r="37" spans="1:5" ht="12.75" customHeight="1" x14ac:dyDescent="0.25">
      <c r="A37" t="s">
        <v>52</v>
      </c>
    </row>
    <row r="38" spans="1:5" ht="12.75" customHeight="1" x14ac:dyDescent="0.25">
      <c r="A38" t="s">
        <v>53</v>
      </c>
      <c r="E38" s="39"/>
    </row>
    <row r="39" spans="1:5" ht="12.75" customHeight="1" x14ac:dyDescent="0.25">
      <c r="A39" t="s">
        <v>54</v>
      </c>
      <c r="E39" s="35"/>
    </row>
    <row r="40" spans="1:5" ht="12.75" customHeight="1" x14ac:dyDescent="0.25"/>
    <row r="41" spans="1:5" ht="12.75" customHeight="1" x14ac:dyDescent="0.25">
      <c r="A41" t="s">
        <v>55</v>
      </c>
      <c r="E41" s="7">
        <f>SUM(E38*E39)</f>
        <v>0</v>
      </c>
    </row>
    <row r="42" spans="1:5" ht="12.75" customHeight="1" x14ac:dyDescent="0.25"/>
    <row r="43" spans="1:5" ht="12.75" customHeight="1" x14ac:dyDescent="0.25"/>
    <row r="44" spans="1:5" ht="12.75" customHeight="1" x14ac:dyDescent="0.25">
      <c r="A44" t="s">
        <v>56</v>
      </c>
      <c r="E44" s="39"/>
    </row>
    <row r="45" spans="1:5" ht="12.75" customHeight="1" x14ac:dyDescent="0.25">
      <c r="A45" t="s">
        <v>57</v>
      </c>
      <c r="E45" s="39"/>
    </row>
    <row r="46" spans="1:5" ht="12.75" customHeight="1" x14ac:dyDescent="0.25"/>
    <row r="47" spans="1:5" ht="12.75" customHeight="1" x14ac:dyDescent="0.25">
      <c r="A47" t="s">
        <v>58</v>
      </c>
      <c r="E47" s="7">
        <f>SUM(E44*E45)</f>
        <v>0</v>
      </c>
    </row>
    <row r="48" spans="1:5" ht="12.75" customHeight="1" x14ac:dyDescent="0.25">
      <c r="E48" s="6"/>
    </row>
    <row r="49" spans="1:5" ht="12.75" customHeight="1" x14ac:dyDescent="0.25">
      <c r="A49" t="s">
        <v>59</v>
      </c>
      <c r="E49" s="35"/>
    </row>
    <row r="50" spans="1:5" ht="12.75" customHeight="1" x14ac:dyDescent="0.25">
      <c r="A50" t="s">
        <v>60</v>
      </c>
      <c r="E50" s="39"/>
    </row>
    <row r="51" spans="1:5" ht="12.75" customHeight="1" x14ac:dyDescent="0.25"/>
    <row r="52" spans="1:5" ht="12.75" customHeight="1" x14ac:dyDescent="0.25">
      <c r="A52" t="s">
        <v>61</v>
      </c>
      <c r="E52" s="7">
        <f>SUM(E49*E50)</f>
        <v>0</v>
      </c>
    </row>
    <row r="53" spans="1:5" ht="12.75" customHeight="1" x14ac:dyDescent="0.25"/>
    <row r="54" spans="1:5" ht="12.75" customHeight="1" x14ac:dyDescent="0.25">
      <c r="A54" t="s">
        <v>62</v>
      </c>
      <c r="E54" s="10">
        <f>SUM(E41,E47)</f>
        <v>0</v>
      </c>
    </row>
    <row r="55" spans="1:5" ht="12.75" customHeight="1" x14ac:dyDescent="0.25"/>
    <row r="56" spans="1:5" ht="13" x14ac:dyDescent="0.3">
      <c r="A56" s="1" t="s">
        <v>144</v>
      </c>
    </row>
    <row r="57" spans="1:5" ht="13" x14ac:dyDescent="0.3">
      <c r="A57" s="1"/>
    </row>
    <row r="58" spans="1:5" ht="13" x14ac:dyDescent="0.3">
      <c r="A58" s="1" t="s">
        <v>64</v>
      </c>
      <c r="B58" t="s">
        <v>145</v>
      </c>
      <c r="E58" s="40"/>
    </row>
    <row r="59" spans="1:5" x14ac:dyDescent="0.25">
      <c r="B59" t="s">
        <v>146</v>
      </c>
      <c r="E59" s="52">
        <v>0</v>
      </c>
    </row>
    <row r="61" spans="1:5" x14ac:dyDescent="0.25">
      <c r="B61" t="s">
        <v>147</v>
      </c>
      <c r="E61" s="35"/>
    </row>
    <row r="62" spans="1:5" x14ac:dyDescent="0.25">
      <c r="B62" t="s">
        <v>148</v>
      </c>
      <c r="E62" s="7">
        <f>SUM(E58*E61)</f>
        <v>0</v>
      </c>
    </row>
    <row r="63" spans="1:5" ht="13" x14ac:dyDescent="0.3">
      <c r="A63" s="1" t="s">
        <v>65</v>
      </c>
    </row>
    <row r="64" spans="1:5" x14ac:dyDescent="0.25">
      <c r="B64" t="s">
        <v>149</v>
      </c>
      <c r="E64" s="35"/>
    </row>
    <row r="65" spans="2:5" x14ac:dyDescent="0.25">
      <c r="B65" t="s">
        <v>150</v>
      </c>
      <c r="E65" s="35"/>
    </row>
    <row r="66" spans="2:5" x14ac:dyDescent="0.25">
      <c r="E66" s="2"/>
    </row>
    <row r="67" spans="2:5" ht="13" x14ac:dyDescent="0.3">
      <c r="B67" s="1" t="s">
        <v>151</v>
      </c>
      <c r="E67" s="7">
        <f>SUM(E64:E66)</f>
        <v>0</v>
      </c>
    </row>
    <row r="69" spans="2:5" ht="13" x14ac:dyDescent="0.3">
      <c r="B69" s="1" t="s">
        <v>17</v>
      </c>
      <c r="E69" s="13">
        <f>SUM(E62,E67)</f>
        <v>0</v>
      </c>
    </row>
  </sheetData>
  <printOptions horizontalCentered="1" verticalCentered="1" gridLines="1"/>
  <pageMargins left="0.75" right="0.75" top="1" bottom="1" header="0.5" footer="0.5"/>
  <pageSetup scale="77" orientation="portrait" horizontalDpi="300" verticalDpi="3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52"/>
  <sheetViews>
    <sheetView tabSelected="1" workbookViewId="0">
      <selection activeCell="K5" sqref="K5"/>
    </sheetView>
  </sheetViews>
  <sheetFormatPr defaultRowHeight="12.5" x14ac:dyDescent="0.25"/>
  <sheetData>
    <row r="2" spans="2:9" x14ac:dyDescent="0.25">
      <c r="B2" s="24"/>
      <c r="C2" s="24"/>
      <c r="D2" s="24"/>
      <c r="E2" s="24"/>
      <c r="F2" s="24"/>
      <c r="G2" s="24"/>
      <c r="H2" s="24"/>
      <c r="I2" s="24"/>
    </row>
    <row r="3" spans="2:9" x14ac:dyDescent="0.25">
      <c r="B3" s="24"/>
      <c r="C3" s="24"/>
      <c r="D3" s="24"/>
      <c r="E3" s="24"/>
      <c r="F3" s="24"/>
      <c r="G3" s="24"/>
      <c r="H3" s="24"/>
      <c r="I3" s="24"/>
    </row>
    <row r="4" spans="2:9" x14ac:dyDescent="0.25">
      <c r="B4" s="24"/>
      <c r="C4" s="24" t="s">
        <v>152</v>
      </c>
      <c r="D4" s="24"/>
      <c r="E4" s="24"/>
      <c r="F4" s="24"/>
      <c r="G4" s="24"/>
      <c r="H4" s="24"/>
      <c r="I4" s="24"/>
    </row>
    <row r="5" spans="2:9" x14ac:dyDescent="0.25">
      <c r="B5" s="24"/>
      <c r="C5" s="24" t="s">
        <v>153</v>
      </c>
      <c r="D5" s="24"/>
      <c r="E5" s="24"/>
      <c r="F5" s="24"/>
      <c r="G5" s="24"/>
      <c r="H5" s="24"/>
      <c r="I5" s="24"/>
    </row>
    <row r="6" spans="2:9" x14ac:dyDescent="0.25">
      <c r="B6" s="24"/>
      <c r="C6" s="24" t="s">
        <v>154</v>
      </c>
      <c r="D6" s="24"/>
      <c r="E6" s="24"/>
      <c r="F6" s="24"/>
      <c r="G6" s="24"/>
      <c r="H6" s="24"/>
      <c r="I6" s="24"/>
    </row>
    <row r="7" spans="2:9" x14ac:dyDescent="0.25">
      <c r="B7" s="24"/>
      <c r="C7" s="24" t="s">
        <v>155</v>
      </c>
      <c r="D7" s="24"/>
      <c r="E7" s="24"/>
      <c r="F7" s="24"/>
      <c r="G7" s="24"/>
      <c r="H7" s="24"/>
      <c r="I7" s="24"/>
    </row>
    <row r="8" spans="2:9" x14ac:dyDescent="0.25">
      <c r="B8" s="24"/>
      <c r="C8" s="24" t="s">
        <v>156</v>
      </c>
      <c r="D8" s="24"/>
      <c r="E8" s="24"/>
      <c r="F8" s="24"/>
      <c r="G8" s="24"/>
      <c r="H8" s="24"/>
      <c r="I8" s="24"/>
    </row>
    <row r="9" spans="2:9" x14ac:dyDescent="0.25">
      <c r="B9" s="24"/>
      <c r="C9" s="24" t="s">
        <v>157</v>
      </c>
      <c r="D9" s="24"/>
      <c r="E9" s="24"/>
      <c r="F9" s="24"/>
      <c r="G9" s="24"/>
      <c r="H9" s="24"/>
      <c r="I9" s="24"/>
    </row>
    <row r="10" spans="2:9" x14ac:dyDescent="0.25">
      <c r="B10" s="24"/>
      <c r="C10" s="24"/>
      <c r="D10" s="24"/>
      <c r="E10" s="24"/>
      <c r="F10" s="24"/>
      <c r="G10" s="24"/>
      <c r="H10" s="24"/>
      <c r="I10" s="24"/>
    </row>
    <row r="11" spans="2:9" x14ac:dyDescent="0.25">
      <c r="B11" s="24"/>
      <c r="C11" s="24" t="s">
        <v>158</v>
      </c>
      <c r="D11" s="24"/>
      <c r="E11" s="24"/>
      <c r="F11" s="24"/>
      <c r="G11" s="24"/>
      <c r="H11" s="24"/>
      <c r="I11" s="24"/>
    </row>
    <row r="12" spans="2:9" x14ac:dyDescent="0.25">
      <c r="B12" s="24"/>
      <c r="C12" s="24" t="s">
        <v>159</v>
      </c>
      <c r="D12" s="24"/>
      <c r="E12" s="24"/>
      <c r="F12" s="24"/>
      <c r="G12" s="24"/>
      <c r="H12" s="24"/>
      <c r="I12" s="24"/>
    </row>
    <row r="13" spans="2:9" x14ac:dyDescent="0.25">
      <c r="B13" s="24"/>
      <c r="C13" s="24" t="s">
        <v>160</v>
      </c>
      <c r="D13" s="24"/>
      <c r="E13" s="24"/>
      <c r="F13" s="24"/>
      <c r="G13" s="24"/>
      <c r="H13" s="24"/>
      <c r="I13" s="24"/>
    </row>
    <row r="14" spans="2:9" x14ac:dyDescent="0.25">
      <c r="B14" s="24"/>
      <c r="C14" s="24" t="s">
        <v>161</v>
      </c>
      <c r="D14" s="24"/>
      <c r="E14" s="24"/>
      <c r="F14" s="24"/>
      <c r="G14" s="24"/>
      <c r="H14" s="24"/>
      <c r="I14" s="24"/>
    </row>
    <row r="15" spans="2:9" x14ac:dyDescent="0.25">
      <c r="B15" s="24"/>
      <c r="C15" s="24" t="s">
        <v>162</v>
      </c>
      <c r="D15" s="24"/>
      <c r="E15" s="24"/>
      <c r="F15" s="24"/>
      <c r="G15" s="24"/>
      <c r="H15" s="24"/>
      <c r="I15" s="24"/>
    </row>
    <row r="16" spans="2:9" x14ac:dyDescent="0.25">
      <c r="B16" s="24"/>
      <c r="C16" s="24" t="s">
        <v>163</v>
      </c>
      <c r="D16" s="24"/>
      <c r="E16" s="24"/>
      <c r="F16" s="24"/>
      <c r="G16" s="24"/>
      <c r="H16" s="24"/>
      <c r="I16" s="24"/>
    </row>
    <row r="17" spans="2:9" x14ac:dyDescent="0.25">
      <c r="B17" s="24"/>
      <c r="C17" s="24" t="s">
        <v>164</v>
      </c>
      <c r="D17" s="24"/>
      <c r="E17" s="24"/>
      <c r="F17" s="24"/>
      <c r="G17" s="24"/>
      <c r="H17" s="24"/>
      <c r="I17" s="24"/>
    </row>
    <row r="18" spans="2:9" x14ac:dyDescent="0.25">
      <c r="B18" s="24"/>
      <c r="C18" s="24" t="s">
        <v>165</v>
      </c>
      <c r="D18" s="24"/>
      <c r="E18" s="24"/>
      <c r="F18" s="24"/>
      <c r="G18" s="24"/>
      <c r="H18" s="24"/>
      <c r="I18" s="24"/>
    </row>
    <row r="19" spans="2:9" x14ac:dyDescent="0.25">
      <c r="B19" s="24"/>
      <c r="C19" s="24" t="s">
        <v>166</v>
      </c>
      <c r="D19" s="24"/>
      <c r="E19" s="24"/>
      <c r="F19" s="24"/>
      <c r="G19" s="24"/>
      <c r="H19" s="24"/>
      <c r="I19" s="24"/>
    </row>
    <row r="20" spans="2:9" x14ac:dyDescent="0.25">
      <c r="B20" s="24"/>
      <c r="C20" s="24"/>
      <c r="D20" s="24"/>
      <c r="E20" s="24"/>
      <c r="F20" s="24"/>
      <c r="G20" s="24"/>
      <c r="H20" s="24"/>
      <c r="I20" s="24"/>
    </row>
    <row r="21" spans="2:9" x14ac:dyDescent="0.25">
      <c r="B21" s="24"/>
      <c r="C21" s="24" t="s">
        <v>167</v>
      </c>
      <c r="D21" s="24"/>
      <c r="E21" s="24"/>
      <c r="F21" s="24"/>
      <c r="G21" s="24"/>
      <c r="H21" s="24"/>
      <c r="I21" s="24"/>
    </row>
    <row r="22" spans="2:9" x14ac:dyDescent="0.25">
      <c r="B22" s="24"/>
      <c r="C22" s="24" t="s">
        <v>168</v>
      </c>
      <c r="D22" s="24"/>
      <c r="E22" s="24"/>
      <c r="F22" s="24"/>
      <c r="G22" s="24"/>
      <c r="H22" s="24"/>
      <c r="I22" s="24"/>
    </row>
    <row r="23" spans="2:9" x14ac:dyDescent="0.25">
      <c r="B23" s="24"/>
      <c r="C23" s="24" t="s">
        <v>169</v>
      </c>
      <c r="D23" s="24"/>
      <c r="E23" s="24"/>
      <c r="F23" s="24"/>
      <c r="G23" s="24"/>
      <c r="H23" s="24"/>
      <c r="I23" s="24"/>
    </row>
    <row r="24" spans="2:9" x14ac:dyDescent="0.25">
      <c r="B24" s="24"/>
      <c r="C24" s="24" t="s">
        <v>170</v>
      </c>
      <c r="D24" s="24"/>
      <c r="E24" s="24"/>
      <c r="F24" s="24"/>
      <c r="G24" s="24"/>
      <c r="H24" s="24"/>
      <c r="I24" s="24"/>
    </row>
    <row r="25" spans="2:9" x14ac:dyDescent="0.25">
      <c r="B25" s="24"/>
      <c r="C25" s="24"/>
      <c r="D25" s="24"/>
      <c r="E25" s="24"/>
      <c r="F25" s="24"/>
      <c r="G25" s="24"/>
      <c r="H25" s="24"/>
      <c r="I25" s="24"/>
    </row>
    <row r="26" spans="2:9" x14ac:dyDescent="0.25">
      <c r="B26" s="24"/>
      <c r="C26" s="24" t="s">
        <v>171</v>
      </c>
      <c r="D26" s="24"/>
      <c r="E26" s="24"/>
      <c r="F26" s="24"/>
      <c r="G26" s="24"/>
      <c r="H26" s="24"/>
      <c r="I26" s="24"/>
    </row>
    <row r="27" spans="2:9" x14ac:dyDescent="0.25">
      <c r="B27" s="24"/>
      <c r="C27" s="24" t="s">
        <v>172</v>
      </c>
      <c r="D27" s="24"/>
      <c r="E27" s="24"/>
      <c r="F27" s="24"/>
      <c r="G27" s="24"/>
      <c r="H27" s="24"/>
      <c r="I27" s="24"/>
    </row>
    <row r="28" spans="2:9" x14ac:dyDescent="0.25">
      <c r="B28" s="24"/>
      <c r="C28" s="24" t="s">
        <v>173</v>
      </c>
      <c r="D28" s="24"/>
      <c r="E28" s="24"/>
      <c r="F28" s="24"/>
      <c r="G28" s="24"/>
      <c r="H28" s="24"/>
      <c r="I28" s="24"/>
    </row>
    <row r="29" spans="2:9" x14ac:dyDescent="0.25">
      <c r="B29" s="24"/>
      <c r="C29" s="24" t="s">
        <v>174</v>
      </c>
      <c r="D29" s="24"/>
      <c r="E29" s="24"/>
      <c r="F29" s="24"/>
      <c r="G29" s="24"/>
      <c r="H29" s="24"/>
      <c r="I29" s="24"/>
    </row>
    <row r="30" spans="2:9" x14ac:dyDescent="0.25">
      <c r="B30" s="24"/>
      <c r="C30" s="24" t="s">
        <v>175</v>
      </c>
      <c r="D30" s="24"/>
      <c r="E30" s="24"/>
      <c r="F30" s="24"/>
      <c r="G30" s="24"/>
      <c r="H30" s="24"/>
      <c r="I30" s="24"/>
    </row>
    <row r="31" spans="2:9" x14ac:dyDescent="0.25">
      <c r="B31" s="24"/>
      <c r="C31" s="24"/>
      <c r="D31" s="24"/>
      <c r="E31" s="24"/>
      <c r="F31" s="24"/>
      <c r="G31" s="24"/>
      <c r="H31" s="24"/>
      <c r="I31" s="24"/>
    </row>
    <row r="32" spans="2:9" x14ac:dyDescent="0.25">
      <c r="B32" s="24"/>
      <c r="C32" s="24" t="s">
        <v>176</v>
      </c>
      <c r="D32" s="24"/>
      <c r="E32" s="24"/>
      <c r="F32" s="24"/>
      <c r="G32" s="24"/>
      <c r="H32" s="24"/>
      <c r="I32" s="24"/>
    </row>
    <row r="33" spans="2:9" x14ac:dyDescent="0.25">
      <c r="B33" s="24"/>
      <c r="C33" s="24" t="s">
        <v>177</v>
      </c>
      <c r="D33" s="24"/>
      <c r="E33" s="24"/>
      <c r="F33" s="24"/>
      <c r="G33" s="24"/>
      <c r="H33" s="24"/>
      <c r="I33" s="24"/>
    </row>
    <row r="34" spans="2:9" x14ac:dyDescent="0.25">
      <c r="B34" s="24"/>
      <c r="C34" s="24"/>
      <c r="D34" s="24"/>
      <c r="E34" s="24"/>
      <c r="F34" s="24"/>
      <c r="G34" s="24"/>
      <c r="H34" s="24"/>
      <c r="I34" s="24"/>
    </row>
    <row r="35" spans="2:9" x14ac:dyDescent="0.25">
      <c r="B35" s="24"/>
      <c r="C35" s="24"/>
      <c r="D35" s="24"/>
      <c r="E35" s="24"/>
      <c r="F35" s="24"/>
      <c r="G35" s="24"/>
      <c r="H35" s="24"/>
      <c r="I35" s="24"/>
    </row>
    <row r="36" spans="2:9" x14ac:dyDescent="0.25">
      <c r="B36" s="24"/>
      <c r="C36" s="24"/>
      <c r="D36" s="24"/>
      <c r="E36" s="24"/>
      <c r="F36" s="24"/>
      <c r="G36" s="24"/>
      <c r="H36" s="24"/>
      <c r="I36" s="24"/>
    </row>
    <row r="37" spans="2:9" x14ac:dyDescent="0.25">
      <c r="B37" s="24"/>
      <c r="C37" s="24"/>
      <c r="D37" s="24"/>
      <c r="E37" s="24"/>
      <c r="F37" s="24"/>
      <c r="G37" s="24"/>
      <c r="H37" s="24"/>
      <c r="I37" s="24"/>
    </row>
    <row r="38" spans="2:9" x14ac:dyDescent="0.25">
      <c r="B38" s="24"/>
      <c r="C38" s="24"/>
      <c r="D38" s="24"/>
      <c r="E38" s="24"/>
      <c r="F38" s="24"/>
      <c r="G38" s="24"/>
      <c r="H38" s="24"/>
      <c r="I38" s="24"/>
    </row>
    <row r="39" spans="2:9" x14ac:dyDescent="0.25">
      <c r="B39" s="24"/>
      <c r="C39" s="24"/>
      <c r="D39" s="24"/>
      <c r="E39" s="24"/>
      <c r="F39" s="24"/>
      <c r="G39" s="24"/>
      <c r="H39" s="24"/>
      <c r="I39" s="24"/>
    </row>
    <row r="40" spans="2:9" x14ac:dyDescent="0.25">
      <c r="B40" s="24"/>
      <c r="C40" s="24"/>
      <c r="D40" s="24"/>
      <c r="E40" s="24"/>
      <c r="F40" s="24"/>
      <c r="G40" s="24"/>
      <c r="H40" s="24"/>
      <c r="I40" s="24"/>
    </row>
    <row r="41" spans="2:9" x14ac:dyDescent="0.25">
      <c r="B41" s="24"/>
      <c r="C41" s="24"/>
      <c r="D41" s="24"/>
      <c r="E41" s="24"/>
      <c r="F41" s="24"/>
      <c r="G41" s="24"/>
      <c r="H41" s="24"/>
      <c r="I41" s="24"/>
    </row>
    <row r="42" spans="2:9" x14ac:dyDescent="0.25">
      <c r="B42" s="24"/>
      <c r="C42" s="24"/>
      <c r="D42" s="24"/>
      <c r="E42" s="24"/>
      <c r="F42" s="24"/>
      <c r="G42" s="24"/>
      <c r="H42" s="24"/>
      <c r="I42" s="24"/>
    </row>
    <row r="43" spans="2:9" x14ac:dyDescent="0.25">
      <c r="B43" s="24"/>
      <c r="C43" s="24"/>
      <c r="D43" s="24"/>
      <c r="E43" s="24"/>
      <c r="F43" s="24"/>
      <c r="G43" s="24"/>
      <c r="H43" s="24"/>
      <c r="I43" s="24"/>
    </row>
    <row r="44" spans="2:9" x14ac:dyDescent="0.25">
      <c r="B44" s="24"/>
      <c r="C44" s="24"/>
      <c r="D44" s="24"/>
      <c r="E44" s="24"/>
      <c r="F44" s="24"/>
      <c r="G44" s="24"/>
      <c r="H44" s="24"/>
      <c r="I44" s="24"/>
    </row>
    <row r="45" spans="2:9" x14ac:dyDescent="0.25">
      <c r="B45" s="24"/>
      <c r="C45" s="24"/>
      <c r="D45" s="24"/>
      <c r="E45" s="24"/>
      <c r="F45" s="24"/>
      <c r="G45" s="24"/>
      <c r="H45" s="24"/>
      <c r="I45" s="24"/>
    </row>
    <row r="46" spans="2:9" x14ac:dyDescent="0.25">
      <c r="B46" s="24"/>
      <c r="C46" s="24"/>
      <c r="D46" s="24"/>
      <c r="E46" s="24"/>
      <c r="F46" s="24"/>
      <c r="G46" s="24"/>
      <c r="H46" s="24"/>
      <c r="I46" s="24"/>
    </row>
    <row r="47" spans="2:9" x14ac:dyDescent="0.25">
      <c r="B47" s="24"/>
      <c r="C47" s="24"/>
      <c r="D47" s="24"/>
      <c r="E47" s="24"/>
      <c r="F47" s="24"/>
      <c r="G47" s="24"/>
      <c r="H47" s="24"/>
      <c r="I47" s="24"/>
    </row>
    <row r="48" spans="2:9" x14ac:dyDescent="0.25">
      <c r="B48" s="24"/>
      <c r="C48" s="24"/>
      <c r="D48" s="24"/>
      <c r="E48" s="24"/>
      <c r="F48" s="24"/>
      <c r="G48" s="24"/>
      <c r="H48" s="24"/>
      <c r="I48" s="24"/>
    </row>
    <row r="49" spans="2:9" x14ac:dyDescent="0.25">
      <c r="B49" s="24"/>
      <c r="C49" s="24"/>
      <c r="D49" s="24"/>
      <c r="E49" s="24"/>
      <c r="F49" s="24"/>
      <c r="G49" s="24"/>
      <c r="H49" s="24"/>
      <c r="I49" s="24"/>
    </row>
    <row r="50" spans="2:9" x14ac:dyDescent="0.25">
      <c r="B50" s="24"/>
      <c r="C50" s="24"/>
      <c r="D50" s="24"/>
      <c r="E50" s="24"/>
      <c r="F50" s="24"/>
      <c r="G50" s="24"/>
      <c r="H50" s="24"/>
      <c r="I50" s="24"/>
    </row>
    <row r="51" spans="2:9" x14ac:dyDescent="0.25">
      <c r="B51" s="24"/>
      <c r="C51" s="24"/>
      <c r="D51" s="24"/>
      <c r="E51" s="24"/>
      <c r="F51" s="24"/>
      <c r="G51" s="24"/>
      <c r="H51" s="24"/>
      <c r="I51" s="24"/>
    </row>
    <row r="52" spans="2:9" x14ac:dyDescent="0.25">
      <c r="B52" s="24"/>
      <c r="C52" s="24"/>
      <c r="D52" s="24"/>
      <c r="E52" s="24"/>
      <c r="F52" s="24"/>
      <c r="G52" s="24"/>
      <c r="H52" s="24"/>
      <c r="I52" s="24"/>
    </row>
  </sheetData>
  <pageMargins left="0.75" right="0.75" top="1" bottom="1" header="0.5" footer="0.5"/>
  <pageSetup scale="99" orientation="portrait" horizontalDpi="300" verticalDpi="30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Summary</vt:lpstr>
      <vt:lpstr>Links</vt:lpstr>
      <vt:lpstr>Traffic</vt:lpstr>
      <vt:lpstr>Revenues</vt:lpstr>
      <vt:lpstr>Assests</vt:lpstr>
      <vt:lpstr>Instructions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Eslamboly &amp; Barlavi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Bahman Eslamboly</dc:creator>
  <cp:lastModifiedBy>Carina Negreanu</cp:lastModifiedBy>
  <cp:lastPrinted>1998-04-15T03:02:28Z</cp:lastPrinted>
  <dcterms:created xsi:type="dcterms:W3CDTF">1998-04-06T08:57:52Z</dcterms:created>
  <dcterms:modified xsi:type="dcterms:W3CDTF">2020-01-27T12:51:04Z</dcterms:modified>
</cp:coreProperties>
</file>