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backupFile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7F3574-67E7-441D-BA20-A1898D081313}" xr6:coauthVersionLast="45" xr6:coauthVersionMax="45" xr10:uidLastSave="{00000000-0000-0000-0000-000000000000}"/>
  <bookViews>
    <workbookView xWindow="3420" yWindow="3420" windowWidth="28800" windowHeight="15460" tabRatio="609" firstSheet="4" activeTab="15"/>
  </bookViews>
  <sheets>
    <sheet name="rec 5" sheetId="1" r:id="rId1"/>
    <sheet name="rec 6" sheetId="2" r:id="rId2"/>
    <sheet name="rec 8" sheetId="3" r:id="rId3"/>
    <sheet name="rec 9" sheetId="4" r:id="rId4"/>
    <sheet name="rec 10" sheetId="5" r:id="rId5"/>
    <sheet name="rec 11" sheetId="6" r:id="rId6"/>
    <sheet name="rec 22" sheetId="7" r:id="rId7"/>
    <sheet name="rec 23" sheetId="8" r:id="rId8"/>
    <sheet name="rec 24" sheetId="9" r:id="rId9"/>
    <sheet name="rec 25" sheetId="10" r:id="rId10"/>
    <sheet name="rec 26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K2" i="5" l="1"/>
  <c r="O2" i="5"/>
  <c r="Q2" i="5"/>
  <c r="R2" i="5"/>
  <c r="K3" i="5"/>
  <c r="O3" i="5"/>
  <c r="Q3" i="5"/>
  <c r="R3" i="5"/>
  <c r="K4" i="5"/>
  <c r="O4" i="5"/>
  <c r="Q4" i="5"/>
  <c r="R4" i="5"/>
  <c r="K5" i="5"/>
  <c r="O5" i="5"/>
  <c r="Q5" i="5"/>
  <c r="R5" i="5"/>
  <c r="K6" i="5"/>
  <c r="O6" i="5"/>
  <c r="Q6" i="5"/>
  <c r="R6" i="5"/>
  <c r="K7" i="5"/>
  <c r="O7" i="5"/>
  <c r="Q7" i="5"/>
  <c r="R7" i="5"/>
  <c r="K8" i="5"/>
  <c r="O8" i="5"/>
  <c r="Q8" i="5"/>
  <c r="R8" i="5"/>
  <c r="K9" i="5"/>
  <c r="O9" i="5"/>
  <c r="Q9" i="5"/>
  <c r="R9" i="5"/>
  <c r="K10" i="5"/>
  <c r="O10" i="5"/>
  <c r="Q10" i="5"/>
  <c r="R10" i="5"/>
  <c r="K11" i="5"/>
  <c r="O11" i="5"/>
  <c r="Q11" i="5"/>
  <c r="R11" i="5"/>
  <c r="K12" i="5"/>
  <c r="O12" i="5"/>
  <c r="Q12" i="5"/>
  <c r="R12" i="5"/>
  <c r="K13" i="5"/>
  <c r="O13" i="5"/>
  <c r="Q13" i="5"/>
  <c r="R13" i="5"/>
  <c r="K14" i="5"/>
  <c r="O14" i="5"/>
  <c r="Q14" i="5"/>
  <c r="R14" i="5"/>
  <c r="K15" i="5"/>
  <c r="O15" i="5"/>
  <c r="Q15" i="5"/>
  <c r="R15" i="5"/>
  <c r="K16" i="5"/>
  <c r="O16" i="5"/>
  <c r="Q16" i="5"/>
  <c r="R16" i="5"/>
  <c r="K17" i="5"/>
  <c r="O17" i="5"/>
  <c r="Q17" i="5"/>
  <c r="R17" i="5"/>
  <c r="K18" i="5"/>
  <c r="O18" i="5"/>
  <c r="Q18" i="5"/>
  <c r="R18" i="5"/>
  <c r="Q19" i="5"/>
  <c r="K2" i="6"/>
  <c r="O2" i="6"/>
  <c r="Q2" i="6"/>
  <c r="R2" i="6"/>
  <c r="K3" i="6"/>
  <c r="O3" i="6"/>
  <c r="Q3" i="6"/>
  <c r="R3" i="6"/>
  <c r="K4" i="6"/>
  <c r="O4" i="6"/>
  <c r="Q4" i="6"/>
  <c r="R4" i="6"/>
  <c r="K5" i="6"/>
  <c r="O5" i="6"/>
  <c r="Q5" i="6"/>
  <c r="R5" i="6"/>
  <c r="K6" i="6"/>
  <c r="O6" i="6"/>
  <c r="Q6" i="6"/>
  <c r="R6" i="6"/>
  <c r="K7" i="6"/>
  <c r="O7" i="6"/>
  <c r="Q7" i="6"/>
  <c r="R7" i="6"/>
  <c r="K8" i="6"/>
  <c r="O8" i="6"/>
  <c r="Q8" i="6"/>
  <c r="R8" i="6"/>
  <c r="K9" i="6"/>
  <c r="O9" i="6"/>
  <c r="Q9" i="6"/>
  <c r="R9" i="6"/>
  <c r="K10" i="6"/>
  <c r="O10" i="6"/>
  <c r="Q10" i="6"/>
  <c r="R10" i="6"/>
  <c r="K11" i="6"/>
  <c r="O11" i="6"/>
  <c r="Q11" i="6"/>
  <c r="R11" i="6"/>
  <c r="K12" i="6"/>
  <c r="O12" i="6"/>
  <c r="Q12" i="6"/>
  <c r="R12" i="6"/>
  <c r="K13" i="6"/>
  <c r="O13" i="6"/>
  <c r="Q13" i="6"/>
  <c r="R13" i="6"/>
  <c r="K14" i="6"/>
  <c r="O14" i="6"/>
  <c r="Q14" i="6"/>
  <c r="R14" i="6"/>
  <c r="K15" i="6"/>
  <c r="O15" i="6"/>
  <c r="Q15" i="6"/>
  <c r="R15" i="6"/>
  <c r="K16" i="6"/>
  <c r="O16" i="6"/>
  <c r="Q16" i="6"/>
  <c r="R16" i="6"/>
  <c r="K17" i="6"/>
  <c r="O17" i="6"/>
  <c r="Q17" i="6"/>
  <c r="R17" i="6"/>
  <c r="K18" i="6"/>
  <c r="O18" i="6"/>
  <c r="Q18" i="6"/>
  <c r="R18" i="6"/>
  <c r="K19" i="6"/>
  <c r="O19" i="6"/>
  <c r="Q19" i="6"/>
  <c r="R19" i="6"/>
  <c r="K20" i="6"/>
  <c r="O20" i="6"/>
  <c r="Q20" i="6"/>
  <c r="R20" i="6"/>
  <c r="K2" i="7"/>
  <c r="O2" i="7"/>
  <c r="Q2" i="7"/>
  <c r="R2" i="7"/>
  <c r="K3" i="7"/>
  <c r="O3" i="7"/>
  <c r="Q3" i="7"/>
  <c r="R3" i="7"/>
  <c r="K4" i="7"/>
  <c r="O4" i="7"/>
  <c r="Q4" i="7"/>
  <c r="R4" i="7"/>
  <c r="K5" i="7"/>
  <c r="O5" i="7"/>
  <c r="Q5" i="7"/>
  <c r="R5" i="7"/>
  <c r="K6" i="7"/>
  <c r="O6" i="7"/>
  <c r="Q6" i="7"/>
  <c r="R6" i="7"/>
  <c r="K7" i="7"/>
  <c r="O7" i="7"/>
  <c r="Q7" i="7"/>
  <c r="R7" i="7"/>
  <c r="K8" i="7"/>
  <c r="O8" i="7"/>
  <c r="Q8" i="7"/>
  <c r="R8" i="7"/>
  <c r="K9" i="7"/>
  <c r="O9" i="7"/>
  <c r="Q9" i="7"/>
  <c r="R9" i="7"/>
  <c r="K10" i="7"/>
  <c r="O10" i="7"/>
  <c r="Q10" i="7"/>
  <c r="R10" i="7"/>
  <c r="K11" i="7"/>
  <c r="O11" i="7"/>
  <c r="Q11" i="7"/>
  <c r="R11" i="7"/>
  <c r="K12" i="7"/>
  <c r="O12" i="7"/>
  <c r="Q12" i="7"/>
  <c r="R12" i="7"/>
  <c r="K13" i="7"/>
  <c r="O13" i="7"/>
  <c r="Q13" i="7"/>
  <c r="R13" i="7"/>
  <c r="K14" i="7"/>
  <c r="O14" i="7"/>
  <c r="Q14" i="7"/>
  <c r="R14" i="7"/>
  <c r="K15" i="7"/>
  <c r="O15" i="7"/>
  <c r="Q15" i="7"/>
  <c r="R15" i="7"/>
  <c r="K16" i="7"/>
  <c r="O16" i="7"/>
  <c r="Q16" i="7"/>
  <c r="R16" i="7"/>
  <c r="K17" i="7"/>
  <c r="O17" i="7"/>
  <c r="Q17" i="7"/>
  <c r="R17" i="7"/>
  <c r="K18" i="7"/>
  <c r="O18" i="7"/>
  <c r="Q18" i="7"/>
  <c r="R18" i="7"/>
  <c r="K19" i="7"/>
  <c r="O19" i="7"/>
  <c r="Q19" i="7"/>
  <c r="R19" i="7"/>
  <c r="K20" i="7"/>
  <c r="O20" i="7"/>
  <c r="Q20" i="7"/>
  <c r="R20" i="7"/>
  <c r="K21" i="7"/>
  <c r="O21" i="7"/>
  <c r="Q21" i="7"/>
  <c r="R21" i="7"/>
  <c r="K2" i="8"/>
  <c r="O2" i="8"/>
  <c r="Q2" i="8"/>
  <c r="R2" i="8"/>
  <c r="K3" i="8"/>
  <c r="O3" i="8"/>
  <c r="Q3" i="8"/>
  <c r="R3" i="8"/>
  <c r="K4" i="8"/>
  <c r="O4" i="8"/>
  <c r="Q4" i="8"/>
  <c r="R4" i="8"/>
  <c r="K5" i="8"/>
  <c r="O5" i="8"/>
  <c r="Q5" i="8"/>
  <c r="R5" i="8"/>
  <c r="K6" i="8"/>
  <c r="O6" i="8"/>
  <c r="Q6" i="8"/>
  <c r="R6" i="8"/>
  <c r="K7" i="8"/>
  <c r="O7" i="8"/>
  <c r="Q7" i="8"/>
  <c r="R7" i="8"/>
  <c r="K8" i="8"/>
  <c r="O8" i="8"/>
  <c r="Q8" i="8"/>
  <c r="R8" i="8"/>
  <c r="K9" i="8"/>
  <c r="O9" i="8"/>
  <c r="Q9" i="8"/>
  <c r="R9" i="8"/>
  <c r="K10" i="8"/>
  <c r="O10" i="8"/>
  <c r="Q10" i="8"/>
  <c r="R10" i="8"/>
  <c r="K11" i="8"/>
  <c r="O11" i="8"/>
  <c r="Q11" i="8"/>
  <c r="R11" i="8"/>
  <c r="K12" i="8"/>
  <c r="O12" i="8"/>
  <c r="Q12" i="8"/>
  <c r="R12" i="8"/>
  <c r="K13" i="8"/>
  <c r="O13" i="8"/>
  <c r="Q13" i="8"/>
  <c r="R13" i="8"/>
  <c r="K14" i="8"/>
  <c r="O14" i="8"/>
  <c r="Q14" i="8"/>
  <c r="R14" i="8"/>
  <c r="K15" i="8"/>
  <c r="O15" i="8"/>
  <c r="Q15" i="8"/>
  <c r="R15" i="8"/>
  <c r="K16" i="8"/>
  <c r="O16" i="8"/>
  <c r="Q16" i="8"/>
  <c r="R16" i="8"/>
  <c r="K17" i="8"/>
  <c r="O17" i="8"/>
  <c r="Q17" i="8"/>
  <c r="R17" i="8"/>
  <c r="K18" i="8"/>
  <c r="O18" i="8"/>
  <c r="Q18" i="8"/>
  <c r="R18" i="8"/>
  <c r="K19" i="8"/>
  <c r="O19" i="8"/>
  <c r="Q19" i="8"/>
  <c r="R19" i="8"/>
  <c r="K20" i="8"/>
  <c r="O20" i="8"/>
  <c r="Q20" i="8"/>
  <c r="R20" i="8"/>
  <c r="K21" i="8"/>
  <c r="O21" i="8"/>
  <c r="Q21" i="8"/>
  <c r="R21" i="8"/>
  <c r="F2" i="9"/>
  <c r="K2" i="9"/>
  <c r="O2" i="9"/>
  <c r="Q2" i="9"/>
  <c r="R2" i="9"/>
  <c r="K3" i="9"/>
  <c r="O3" i="9"/>
  <c r="Q3" i="9"/>
  <c r="R3" i="9"/>
  <c r="K4" i="9"/>
  <c r="O4" i="9"/>
  <c r="Q4" i="9"/>
  <c r="R4" i="9"/>
  <c r="K5" i="9"/>
  <c r="O5" i="9"/>
  <c r="Q5" i="9"/>
  <c r="R5" i="9"/>
  <c r="K6" i="9"/>
  <c r="O6" i="9"/>
  <c r="Q6" i="9"/>
  <c r="R6" i="9"/>
  <c r="K7" i="9"/>
  <c r="O7" i="9"/>
  <c r="Q7" i="9"/>
  <c r="R7" i="9"/>
  <c r="K8" i="9"/>
  <c r="O8" i="9"/>
  <c r="Q8" i="9"/>
  <c r="R8" i="9"/>
  <c r="K9" i="9"/>
  <c r="O9" i="9"/>
  <c r="Q9" i="9"/>
  <c r="R9" i="9"/>
  <c r="K10" i="9"/>
  <c r="O10" i="9"/>
  <c r="Q10" i="9"/>
  <c r="R10" i="9"/>
  <c r="K11" i="9"/>
  <c r="O11" i="9"/>
  <c r="Q11" i="9"/>
  <c r="R11" i="9"/>
  <c r="K12" i="9"/>
  <c r="O12" i="9"/>
  <c r="Q12" i="9"/>
  <c r="R12" i="9"/>
  <c r="K13" i="9"/>
  <c r="O13" i="9"/>
  <c r="Q13" i="9"/>
  <c r="R13" i="9"/>
  <c r="K14" i="9"/>
  <c r="O14" i="9"/>
  <c r="Q14" i="9"/>
  <c r="R14" i="9"/>
  <c r="K15" i="9"/>
  <c r="O15" i="9"/>
  <c r="Q15" i="9"/>
  <c r="R15" i="9"/>
  <c r="K16" i="9"/>
  <c r="O16" i="9"/>
  <c r="Q16" i="9"/>
  <c r="R16" i="9"/>
  <c r="K17" i="9"/>
  <c r="O17" i="9"/>
  <c r="Q17" i="9"/>
  <c r="R17" i="9"/>
  <c r="K18" i="9"/>
  <c r="O18" i="9"/>
  <c r="Q18" i="9"/>
  <c r="R18" i="9"/>
  <c r="K19" i="9"/>
  <c r="O19" i="9"/>
  <c r="Q19" i="9"/>
  <c r="R19" i="9"/>
  <c r="K20" i="9"/>
  <c r="O20" i="9"/>
  <c r="Q20" i="9"/>
  <c r="R20" i="9"/>
  <c r="K21" i="9"/>
  <c r="O21" i="9"/>
  <c r="Q21" i="9"/>
  <c r="R21" i="9"/>
  <c r="K22" i="9"/>
  <c r="O22" i="9"/>
  <c r="Q22" i="9"/>
  <c r="R22" i="9"/>
  <c r="K2" i="10"/>
  <c r="O2" i="10"/>
  <c r="Q2" i="10"/>
  <c r="R2" i="10"/>
  <c r="K3" i="10"/>
  <c r="O3" i="10"/>
  <c r="Q3" i="10"/>
  <c r="R3" i="10"/>
  <c r="K4" i="10"/>
  <c r="O4" i="10"/>
  <c r="Q4" i="10"/>
  <c r="R4" i="10"/>
  <c r="K5" i="10"/>
  <c r="O5" i="10"/>
  <c r="Q5" i="10"/>
  <c r="R5" i="10"/>
  <c r="K6" i="10"/>
  <c r="O6" i="10"/>
  <c r="Q6" i="10"/>
  <c r="R6" i="10"/>
  <c r="K7" i="10"/>
  <c r="O7" i="10"/>
  <c r="Q7" i="10"/>
  <c r="R7" i="10"/>
  <c r="K8" i="10"/>
  <c r="O8" i="10"/>
  <c r="Q8" i="10"/>
  <c r="R8" i="10"/>
  <c r="K9" i="10"/>
  <c r="O9" i="10"/>
  <c r="Q9" i="10"/>
  <c r="R9" i="10"/>
  <c r="K10" i="10"/>
  <c r="O10" i="10"/>
  <c r="Q10" i="10"/>
  <c r="R10" i="10"/>
  <c r="K11" i="10"/>
  <c r="O11" i="10"/>
  <c r="Q11" i="10"/>
  <c r="R11" i="10"/>
  <c r="K12" i="10"/>
  <c r="O12" i="10"/>
  <c r="Q12" i="10"/>
  <c r="R12" i="10"/>
  <c r="K13" i="10"/>
  <c r="O13" i="10"/>
  <c r="Q13" i="10"/>
  <c r="R13" i="10"/>
  <c r="K14" i="10"/>
  <c r="O14" i="10"/>
  <c r="Q14" i="10"/>
  <c r="R14" i="10"/>
  <c r="K15" i="10"/>
  <c r="O15" i="10"/>
  <c r="Q15" i="10"/>
  <c r="R15" i="10"/>
  <c r="K16" i="10"/>
  <c r="O16" i="10"/>
  <c r="Q16" i="10"/>
  <c r="R16" i="10"/>
  <c r="K17" i="10"/>
  <c r="O17" i="10"/>
  <c r="Q17" i="10"/>
  <c r="R17" i="10"/>
  <c r="K18" i="10"/>
  <c r="O18" i="10"/>
  <c r="Q18" i="10"/>
  <c r="R18" i="10"/>
  <c r="K19" i="10"/>
  <c r="O19" i="10"/>
  <c r="Q19" i="10"/>
  <c r="R19" i="10"/>
  <c r="K20" i="10"/>
  <c r="O20" i="10"/>
  <c r="Q20" i="10"/>
  <c r="R20" i="10"/>
  <c r="K21" i="10"/>
  <c r="O21" i="10"/>
  <c r="Q21" i="10"/>
  <c r="R21" i="10"/>
  <c r="F25" i="10"/>
  <c r="K2" i="11"/>
  <c r="O2" i="11"/>
  <c r="Q2" i="11"/>
  <c r="R2" i="11"/>
  <c r="K3" i="11"/>
  <c r="O3" i="11"/>
  <c r="Q3" i="11"/>
  <c r="R3" i="11"/>
  <c r="K4" i="11"/>
  <c r="O4" i="11"/>
  <c r="Q4" i="11"/>
  <c r="R4" i="11"/>
  <c r="K5" i="11"/>
  <c r="O5" i="11"/>
  <c r="Q5" i="11"/>
  <c r="R5" i="11"/>
  <c r="K6" i="11"/>
  <c r="O6" i="11"/>
  <c r="Q6" i="11"/>
  <c r="R6" i="11"/>
  <c r="K7" i="11"/>
  <c r="O7" i="11"/>
  <c r="Q7" i="11"/>
  <c r="R7" i="11"/>
  <c r="K8" i="11"/>
  <c r="O8" i="11"/>
  <c r="Q8" i="11"/>
  <c r="R8" i="11"/>
  <c r="K9" i="11"/>
  <c r="O9" i="11"/>
  <c r="Q9" i="11"/>
  <c r="R9" i="11"/>
  <c r="K10" i="11"/>
  <c r="O10" i="11"/>
  <c r="Q10" i="11"/>
  <c r="R10" i="11"/>
  <c r="K11" i="11"/>
  <c r="O11" i="11"/>
  <c r="Q11" i="11"/>
  <c r="R11" i="11"/>
  <c r="K12" i="11"/>
  <c r="O12" i="11"/>
  <c r="Q12" i="11"/>
  <c r="R12" i="11"/>
  <c r="K13" i="11"/>
  <c r="O13" i="11"/>
  <c r="Q13" i="11"/>
  <c r="R13" i="11"/>
  <c r="K14" i="11"/>
  <c r="O14" i="11"/>
  <c r="Q14" i="11"/>
  <c r="R14" i="11"/>
  <c r="K15" i="11"/>
  <c r="O15" i="11"/>
  <c r="Q15" i="11"/>
  <c r="R15" i="11"/>
  <c r="K16" i="11"/>
  <c r="O16" i="11"/>
  <c r="Q16" i="11"/>
  <c r="R16" i="11"/>
  <c r="K17" i="11"/>
  <c r="O17" i="11"/>
  <c r="Q17" i="11"/>
  <c r="R17" i="11"/>
  <c r="K18" i="11"/>
  <c r="O18" i="11"/>
  <c r="Q18" i="11"/>
  <c r="R18" i="11"/>
  <c r="K19" i="11"/>
  <c r="O19" i="11"/>
  <c r="Q19" i="11"/>
  <c r="R19" i="11"/>
  <c r="K20" i="11"/>
  <c r="O20" i="11"/>
  <c r="Q20" i="11"/>
  <c r="R20" i="11"/>
  <c r="K21" i="11"/>
  <c r="O21" i="11"/>
  <c r="Q21" i="11"/>
  <c r="R21" i="11"/>
  <c r="K2" i="1"/>
  <c r="O2" i="1"/>
  <c r="Q2" i="1"/>
  <c r="R2" i="1"/>
  <c r="K3" i="1"/>
  <c r="O3" i="1"/>
  <c r="Q3" i="1"/>
  <c r="R3" i="1"/>
  <c r="K4" i="1"/>
  <c r="O4" i="1"/>
  <c r="Q4" i="1"/>
  <c r="R4" i="1"/>
  <c r="K5" i="1"/>
  <c r="O5" i="1"/>
  <c r="Q5" i="1"/>
  <c r="R5" i="1"/>
  <c r="K6" i="1"/>
  <c r="O6" i="1"/>
  <c r="Q6" i="1"/>
  <c r="R6" i="1"/>
  <c r="K7" i="1"/>
  <c r="O7" i="1"/>
  <c r="Q7" i="1"/>
  <c r="R7" i="1"/>
  <c r="K8" i="1"/>
  <c r="O8" i="1"/>
  <c r="Q8" i="1"/>
  <c r="R8" i="1"/>
  <c r="K9" i="1"/>
  <c r="O9" i="1"/>
  <c r="Q9" i="1"/>
  <c r="R9" i="1"/>
  <c r="K10" i="1"/>
  <c r="O10" i="1"/>
  <c r="Q10" i="1"/>
  <c r="R10" i="1"/>
  <c r="K11" i="1"/>
  <c r="O11" i="1"/>
  <c r="Q11" i="1"/>
  <c r="R11" i="1"/>
  <c r="K12" i="1"/>
  <c r="O12" i="1"/>
  <c r="Q12" i="1"/>
  <c r="R12" i="1"/>
  <c r="K2" i="2"/>
  <c r="O2" i="2"/>
  <c r="Q2" i="2"/>
  <c r="R2" i="2"/>
  <c r="K3" i="2"/>
  <c r="O3" i="2"/>
  <c r="Q3" i="2"/>
  <c r="R3" i="2"/>
  <c r="K4" i="2"/>
  <c r="O4" i="2"/>
  <c r="Q4" i="2"/>
  <c r="R4" i="2"/>
  <c r="K5" i="2"/>
  <c r="O5" i="2"/>
  <c r="Q5" i="2"/>
  <c r="R5" i="2"/>
  <c r="K6" i="2"/>
  <c r="O6" i="2"/>
  <c r="Q6" i="2"/>
  <c r="R6" i="2"/>
  <c r="K7" i="2"/>
  <c r="O7" i="2"/>
  <c r="Q7" i="2"/>
  <c r="R7" i="2"/>
  <c r="K8" i="2"/>
  <c r="O8" i="2"/>
  <c r="Q8" i="2"/>
  <c r="R8" i="2"/>
  <c r="K9" i="2"/>
  <c r="O9" i="2"/>
  <c r="Q9" i="2"/>
  <c r="R9" i="2"/>
  <c r="K10" i="2"/>
  <c r="O10" i="2"/>
  <c r="Q10" i="2"/>
  <c r="R10" i="2"/>
  <c r="K11" i="2"/>
  <c r="O11" i="2"/>
  <c r="Q11" i="2"/>
  <c r="R11" i="2"/>
  <c r="K12" i="2"/>
  <c r="O12" i="2"/>
  <c r="Q12" i="2"/>
  <c r="R12" i="2"/>
  <c r="K13" i="2"/>
  <c r="O13" i="2"/>
  <c r="Q13" i="2"/>
  <c r="R13" i="2"/>
  <c r="K14" i="2"/>
  <c r="O14" i="2"/>
  <c r="Q14" i="2"/>
  <c r="R14" i="2"/>
  <c r="K15" i="2"/>
  <c r="O15" i="2"/>
  <c r="Q15" i="2"/>
  <c r="R15" i="2"/>
  <c r="K16" i="2"/>
  <c r="O16" i="2"/>
  <c r="Q16" i="2"/>
  <c r="R16" i="2"/>
  <c r="K17" i="2"/>
  <c r="O17" i="2"/>
  <c r="Q17" i="2"/>
  <c r="R17" i="2"/>
  <c r="K18" i="2"/>
  <c r="O18" i="2"/>
  <c r="Q18" i="2"/>
  <c r="R18" i="2"/>
  <c r="K19" i="2"/>
  <c r="O19" i="2"/>
  <c r="Q19" i="2"/>
  <c r="R19" i="2"/>
  <c r="K20" i="2"/>
  <c r="O20" i="2"/>
  <c r="Q20" i="2"/>
  <c r="R20" i="2"/>
  <c r="K2" i="3"/>
  <c r="O2" i="3"/>
  <c r="Q2" i="3"/>
  <c r="R2" i="3"/>
  <c r="K3" i="3"/>
  <c r="O3" i="3"/>
  <c r="Q3" i="3"/>
  <c r="R3" i="3"/>
  <c r="K4" i="3"/>
  <c r="O4" i="3"/>
  <c r="Q4" i="3"/>
  <c r="R4" i="3"/>
  <c r="K5" i="3"/>
  <c r="O5" i="3"/>
  <c r="Q5" i="3"/>
  <c r="R5" i="3"/>
  <c r="K6" i="3"/>
  <c r="O6" i="3"/>
  <c r="Q6" i="3"/>
  <c r="R6" i="3"/>
  <c r="K7" i="3"/>
  <c r="O7" i="3"/>
  <c r="Q7" i="3"/>
  <c r="R7" i="3"/>
  <c r="K8" i="3"/>
  <c r="O8" i="3"/>
  <c r="Q8" i="3"/>
  <c r="R8" i="3"/>
  <c r="K9" i="3"/>
  <c r="O9" i="3"/>
  <c r="Q9" i="3"/>
  <c r="R9" i="3"/>
  <c r="K10" i="3"/>
  <c r="O10" i="3"/>
  <c r="Q10" i="3"/>
  <c r="R10" i="3"/>
  <c r="K11" i="3"/>
  <c r="O11" i="3"/>
  <c r="Q11" i="3"/>
  <c r="R11" i="3"/>
  <c r="K12" i="3"/>
  <c r="O12" i="3"/>
  <c r="Q12" i="3"/>
  <c r="R12" i="3"/>
  <c r="K13" i="3"/>
  <c r="O13" i="3"/>
  <c r="Q13" i="3"/>
  <c r="R13" i="3"/>
  <c r="K14" i="3"/>
  <c r="O14" i="3"/>
  <c r="Q14" i="3"/>
  <c r="R14" i="3"/>
  <c r="K15" i="3"/>
  <c r="O15" i="3"/>
  <c r="Q15" i="3"/>
  <c r="R15" i="3"/>
  <c r="K16" i="3"/>
  <c r="O16" i="3"/>
  <c r="Q16" i="3"/>
  <c r="R16" i="3"/>
  <c r="K17" i="3"/>
  <c r="O17" i="3"/>
  <c r="Q17" i="3"/>
  <c r="R17" i="3"/>
  <c r="K18" i="3"/>
  <c r="O18" i="3"/>
  <c r="Q18" i="3"/>
  <c r="R18" i="3"/>
  <c r="K19" i="3"/>
  <c r="O19" i="3"/>
  <c r="Q19" i="3"/>
  <c r="R19" i="3"/>
  <c r="K2" i="4"/>
  <c r="O2" i="4"/>
  <c r="Q2" i="4"/>
  <c r="R2" i="4"/>
  <c r="K3" i="4"/>
  <c r="O3" i="4"/>
  <c r="Q3" i="4"/>
  <c r="R3" i="4"/>
  <c r="K4" i="4"/>
  <c r="O4" i="4"/>
  <c r="Q4" i="4"/>
  <c r="R4" i="4"/>
  <c r="K5" i="4"/>
  <c r="O5" i="4"/>
  <c r="Q5" i="4"/>
  <c r="R5" i="4"/>
  <c r="K6" i="4"/>
  <c r="O6" i="4"/>
  <c r="Q6" i="4"/>
  <c r="R6" i="4"/>
  <c r="K7" i="4"/>
  <c r="O7" i="4"/>
  <c r="Q7" i="4"/>
  <c r="R7" i="4"/>
  <c r="K8" i="4"/>
  <c r="O8" i="4"/>
  <c r="Q8" i="4"/>
  <c r="R8" i="4"/>
  <c r="K9" i="4"/>
  <c r="O9" i="4"/>
  <c r="Q9" i="4"/>
  <c r="R9" i="4"/>
  <c r="K10" i="4"/>
  <c r="O10" i="4"/>
  <c r="Q10" i="4"/>
  <c r="R10" i="4"/>
  <c r="K11" i="4"/>
  <c r="O11" i="4"/>
  <c r="Q11" i="4"/>
  <c r="R11" i="4"/>
  <c r="K12" i="4"/>
  <c r="O12" i="4"/>
  <c r="Q12" i="4"/>
  <c r="R12" i="4"/>
  <c r="K13" i="4"/>
  <c r="O13" i="4"/>
  <c r="Q13" i="4"/>
  <c r="R13" i="4"/>
  <c r="K14" i="4"/>
  <c r="O14" i="4"/>
  <c r="Q14" i="4"/>
  <c r="R14" i="4"/>
  <c r="K15" i="4"/>
  <c r="O15" i="4"/>
  <c r="Q15" i="4"/>
  <c r="R15" i="4"/>
  <c r="K16" i="4"/>
  <c r="O16" i="4"/>
  <c r="Q16" i="4"/>
  <c r="R16" i="4"/>
  <c r="K17" i="4"/>
  <c r="O17" i="4"/>
  <c r="Q17" i="4"/>
  <c r="R17" i="4"/>
  <c r="K18" i="4"/>
  <c r="O18" i="4"/>
  <c r="Q18" i="4"/>
  <c r="R18" i="4"/>
  <c r="K19" i="4"/>
  <c r="O19" i="4"/>
  <c r="Q19" i="4"/>
  <c r="R19" i="4"/>
  <c r="K20" i="4"/>
  <c r="O20" i="4"/>
  <c r="Q20" i="4"/>
  <c r="R20" i="4"/>
  <c r="K21" i="4"/>
  <c r="O21" i="4"/>
  <c r="Q21" i="4"/>
  <c r="R21" i="4"/>
</calcChain>
</file>

<file path=xl/sharedStrings.xml><?xml version="1.0" encoding="utf-8"?>
<sst xmlns="http://schemas.openxmlformats.org/spreadsheetml/2006/main" count="642" uniqueCount="38">
  <si>
    <t>Id1</t>
  </si>
  <si>
    <t>Id2</t>
  </si>
  <si>
    <t>Name</t>
  </si>
  <si>
    <t>lec</t>
  </si>
  <si>
    <t>rec</t>
  </si>
  <si>
    <t>quiz1</t>
  </si>
  <si>
    <t>quiz2</t>
  </si>
  <si>
    <t>quiz3</t>
  </si>
  <si>
    <t>quiz4</t>
  </si>
  <si>
    <t>quiz5</t>
  </si>
  <si>
    <t>quiz avg</t>
  </si>
  <si>
    <t>mid1</t>
  </si>
  <si>
    <t>mid2</t>
  </si>
  <si>
    <t>mid3</t>
  </si>
  <si>
    <t>mid avg</t>
  </si>
  <si>
    <t>final</t>
  </si>
  <si>
    <t>exam avg</t>
  </si>
  <si>
    <t>class avg</t>
  </si>
  <si>
    <t>grade</t>
  </si>
  <si>
    <t>Doe, John</t>
  </si>
  <si>
    <t>B</t>
  </si>
  <si>
    <t>B+</t>
  </si>
  <si>
    <t>A-</t>
  </si>
  <si>
    <t>A</t>
  </si>
  <si>
    <t>D+</t>
  </si>
  <si>
    <t>F</t>
  </si>
  <si>
    <t xml:space="preserve"> </t>
  </si>
  <si>
    <t>adjust for quiz 4</t>
  </si>
  <si>
    <t>C+</t>
  </si>
  <si>
    <t>C-</t>
  </si>
  <si>
    <t>D</t>
  </si>
  <si>
    <t>B-</t>
  </si>
  <si>
    <t>C</t>
  </si>
  <si>
    <t>xf</t>
  </si>
  <si>
    <t>x</t>
  </si>
  <si>
    <t>I</t>
  </si>
  <si>
    <t>c+</t>
  </si>
  <si>
    <t>exam evg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</si>
</sst>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Geneva"/>
    </font>
    <font>
      <b/>
      <sz val="10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7"/>
  <sheetViews>
    <sheetView workbookViewId="0">
      <selection activeCell="C2" sqref="C2:C12"/>
    </sheetView>
  </sheetViews>
  <sheetFormatPr defaultColWidth="11.453125" defaultRowHeight="12.5"/>
  <cols>
    <col min="1" max="1" width="6" customWidth="1"/>
    <col min="2" max="2" width="5" customWidth="1"/>
    <col min="3" max="3" width="19.54296875" customWidth="1"/>
    <col min="4" max="4" width="3.26953125" customWidth="1"/>
    <col min="5" max="5" width="3.453125" customWidth="1"/>
    <col min="6" max="7" width="6" customWidth="1"/>
    <col min="8" max="8" width="5.54296875" customWidth="1"/>
    <col min="9" max="9" width="6" customWidth="1"/>
    <col min="10" max="10" width="5.54296875" customWidth="1"/>
    <col min="11" max="11" width="8" customWidth="1"/>
    <col min="12" max="14" width="5.1796875" customWidth="1"/>
    <col min="15" max="15" width="7.26953125" customWidth="1"/>
    <col min="16" max="16" width="5" customWidth="1"/>
    <col min="17" max="17" width="8.1796875" customWidth="1"/>
    <col min="18" max="18" width="8.26953125" customWidth="1"/>
    <col min="19" max="19" width="5.453125" customWidth="1"/>
  </cols>
  <sheetData>
    <row r="1" spans="1:19" s="1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>
        <v>56183</v>
      </c>
      <c r="B2">
        <v>3382</v>
      </c>
      <c r="C2" t="s">
        <v>19</v>
      </c>
      <c r="D2">
        <v>1</v>
      </c>
      <c r="E2">
        <v>5</v>
      </c>
      <c r="F2">
        <v>87.5</v>
      </c>
      <c r="G2">
        <v>98.53</v>
      </c>
      <c r="H2">
        <v>75</v>
      </c>
      <c r="I2">
        <v>65.91</v>
      </c>
      <c r="J2">
        <v>100</v>
      </c>
      <c r="K2">
        <f t="shared" ref="K2:K12" si="0">(SUM(F2:J2)-MIN(F2:J2))/4</f>
        <v>90.257499999999993</v>
      </c>
      <c r="L2">
        <v>67</v>
      </c>
      <c r="M2">
        <v>69</v>
      </c>
      <c r="N2">
        <v>77</v>
      </c>
      <c r="O2">
        <f t="shared" ref="O2:O12" si="1">((L2+M2+N2)-MIN(L2:N2) )/2</f>
        <v>73</v>
      </c>
      <c r="P2">
        <v>82</v>
      </c>
      <c r="Q2">
        <f t="shared" ref="Q2:Q12" si="2">(0.4*O2+0.15*P2)/0.55</f>
        <v>75.454545454545453</v>
      </c>
      <c r="R2">
        <f t="shared" ref="R2:R12" si="3">0.45*K2+0.4*O2+0.15*P2</f>
        <v>82.115875000000003</v>
      </c>
      <c r="S2" t="s">
        <v>20</v>
      </c>
    </row>
    <row r="3" spans="1:19" ht="15" customHeight="1">
      <c r="A3">
        <v>57582</v>
      </c>
      <c r="B3">
        <v>613</v>
      </c>
      <c r="C3" t="s">
        <v>19</v>
      </c>
      <c r="D3">
        <v>1</v>
      </c>
      <c r="E3">
        <v>5</v>
      </c>
      <c r="F3">
        <v>0</v>
      </c>
      <c r="G3">
        <v>85.29</v>
      </c>
      <c r="H3">
        <v>90</v>
      </c>
      <c r="I3">
        <v>100</v>
      </c>
      <c r="J3">
        <v>100</v>
      </c>
      <c r="K3">
        <f t="shared" si="0"/>
        <v>93.822500000000005</v>
      </c>
      <c r="L3">
        <v>85</v>
      </c>
      <c r="M3">
        <v>75</v>
      </c>
      <c r="N3">
        <v>0</v>
      </c>
      <c r="O3">
        <f t="shared" si="1"/>
        <v>80</v>
      </c>
      <c r="P3">
        <v>78.900000000000006</v>
      </c>
      <c r="Q3">
        <f t="shared" si="2"/>
        <v>79.699999999999989</v>
      </c>
      <c r="R3">
        <f t="shared" si="3"/>
        <v>86.055125000000004</v>
      </c>
      <c r="S3" t="s">
        <v>21</v>
      </c>
    </row>
    <row r="4" spans="1:19" ht="15" customHeight="1">
      <c r="A4">
        <v>54119</v>
      </c>
      <c r="B4">
        <v>9332</v>
      </c>
      <c r="C4" t="s">
        <v>19</v>
      </c>
      <c r="D4">
        <v>1</v>
      </c>
      <c r="E4">
        <v>5</v>
      </c>
      <c r="F4">
        <v>100</v>
      </c>
      <c r="G4">
        <v>94.12</v>
      </c>
      <c r="H4">
        <v>100</v>
      </c>
      <c r="I4">
        <v>88.64</v>
      </c>
      <c r="J4">
        <v>0</v>
      </c>
      <c r="K4">
        <f t="shared" si="0"/>
        <v>95.69</v>
      </c>
      <c r="L4">
        <v>86</v>
      </c>
      <c r="M4">
        <v>88</v>
      </c>
      <c r="N4">
        <v>71</v>
      </c>
      <c r="O4">
        <f t="shared" si="1"/>
        <v>87</v>
      </c>
      <c r="P4">
        <v>85.9</v>
      </c>
      <c r="Q4">
        <f t="shared" si="2"/>
        <v>86.7</v>
      </c>
      <c r="R4">
        <f t="shared" si="3"/>
        <v>90.745500000000007</v>
      </c>
      <c r="S4" t="s">
        <v>22</v>
      </c>
    </row>
    <row r="5" spans="1:19" ht="15" customHeight="1">
      <c r="A5">
        <v>54104</v>
      </c>
      <c r="B5">
        <v>797</v>
      </c>
      <c r="C5" t="s">
        <v>19</v>
      </c>
      <c r="D5">
        <v>1</v>
      </c>
      <c r="E5">
        <v>5</v>
      </c>
      <c r="F5">
        <v>100</v>
      </c>
      <c r="G5">
        <v>100</v>
      </c>
      <c r="H5">
        <v>95</v>
      </c>
      <c r="I5">
        <v>100</v>
      </c>
      <c r="J5">
        <v>0</v>
      </c>
      <c r="K5">
        <f t="shared" si="0"/>
        <v>98.75</v>
      </c>
      <c r="L5">
        <v>89</v>
      </c>
      <c r="M5">
        <v>86</v>
      </c>
      <c r="N5">
        <v>71</v>
      </c>
      <c r="O5">
        <f t="shared" si="1"/>
        <v>87.5</v>
      </c>
      <c r="P5">
        <v>83.6</v>
      </c>
      <c r="Q5">
        <f t="shared" si="2"/>
        <v>86.436363636363623</v>
      </c>
      <c r="R5">
        <f t="shared" si="3"/>
        <v>91.977499999999992</v>
      </c>
      <c r="S5" t="s">
        <v>23</v>
      </c>
    </row>
    <row r="6" spans="1:19" ht="15" customHeight="1">
      <c r="A6">
        <v>54117</v>
      </c>
      <c r="B6">
        <v>5070</v>
      </c>
      <c r="C6" t="s">
        <v>19</v>
      </c>
      <c r="D6">
        <v>1</v>
      </c>
      <c r="E6">
        <v>5</v>
      </c>
      <c r="F6">
        <v>100</v>
      </c>
      <c r="G6">
        <v>0</v>
      </c>
      <c r="H6">
        <v>85</v>
      </c>
      <c r="I6">
        <v>88.64</v>
      </c>
      <c r="J6">
        <v>0</v>
      </c>
      <c r="K6">
        <f t="shared" si="0"/>
        <v>68.41</v>
      </c>
      <c r="L6">
        <v>69</v>
      </c>
      <c r="M6">
        <v>55</v>
      </c>
      <c r="N6">
        <v>0</v>
      </c>
      <c r="O6">
        <f t="shared" si="1"/>
        <v>62</v>
      </c>
      <c r="P6">
        <v>80.5</v>
      </c>
      <c r="Q6">
        <f t="shared" si="2"/>
        <v>67.045454545454547</v>
      </c>
      <c r="R6">
        <f t="shared" si="3"/>
        <v>67.659499999999994</v>
      </c>
      <c r="S6" t="s">
        <v>24</v>
      </c>
    </row>
    <row r="7" spans="1:19" ht="15" customHeight="1">
      <c r="A7">
        <v>54476</v>
      </c>
      <c r="B7">
        <v>596</v>
      </c>
      <c r="C7" t="s">
        <v>19</v>
      </c>
      <c r="D7">
        <v>2</v>
      </c>
      <c r="E7">
        <v>5</v>
      </c>
      <c r="F7">
        <v>100</v>
      </c>
      <c r="G7">
        <v>97.06</v>
      </c>
      <c r="H7">
        <v>95</v>
      </c>
      <c r="I7">
        <v>97.73</v>
      </c>
      <c r="J7">
        <v>100</v>
      </c>
      <c r="K7">
        <f t="shared" si="0"/>
        <v>98.697500000000005</v>
      </c>
      <c r="L7">
        <v>81</v>
      </c>
      <c r="M7">
        <v>74</v>
      </c>
      <c r="N7">
        <v>81</v>
      </c>
      <c r="O7">
        <f t="shared" si="1"/>
        <v>81</v>
      </c>
      <c r="P7">
        <v>73.400000000000006</v>
      </c>
      <c r="Q7">
        <f t="shared" si="2"/>
        <v>78.927272727272708</v>
      </c>
      <c r="R7">
        <f t="shared" si="3"/>
        <v>87.823875000000001</v>
      </c>
      <c r="S7" t="s">
        <v>21</v>
      </c>
    </row>
    <row r="8" spans="1:19" ht="15" customHeight="1">
      <c r="A8">
        <v>54202</v>
      </c>
      <c r="B8">
        <v>6728</v>
      </c>
      <c r="C8" t="s">
        <v>19</v>
      </c>
      <c r="D8">
        <v>2</v>
      </c>
      <c r="E8">
        <v>5</v>
      </c>
      <c r="F8">
        <v>100</v>
      </c>
      <c r="G8">
        <v>100</v>
      </c>
      <c r="H8">
        <v>95</v>
      </c>
      <c r="I8">
        <v>97.73</v>
      </c>
      <c r="J8">
        <v>100</v>
      </c>
      <c r="K8">
        <f t="shared" si="0"/>
        <v>99.432500000000005</v>
      </c>
      <c r="L8">
        <v>89</v>
      </c>
      <c r="M8">
        <v>89</v>
      </c>
      <c r="N8">
        <v>0</v>
      </c>
      <c r="O8">
        <f t="shared" si="1"/>
        <v>89</v>
      </c>
      <c r="P8">
        <v>80.5</v>
      </c>
      <c r="Q8">
        <f t="shared" si="2"/>
        <v>86.681818181818173</v>
      </c>
      <c r="R8">
        <f t="shared" si="3"/>
        <v>92.419625000000011</v>
      </c>
      <c r="S8" t="s">
        <v>23</v>
      </c>
    </row>
    <row r="9" spans="1:19" ht="15" customHeight="1">
      <c r="A9">
        <v>54288</v>
      </c>
      <c r="B9">
        <v>1218</v>
      </c>
      <c r="C9" t="s">
        <v>19</v>
      </c>
      <c r="D9">
        <v>1</v>
      </c>
      <c r="E9">
        <v>5</v>
      </c>
      <c r="F9">
        <v>84.38</v>
      </c>
      <c r="G9">
        <v>55.88</v>
      </c>
      <c r="H9">
        <v>0</v>
      </c>
      <c r="I9">
        <v>0</v>
      </c>
      <c r="J9">
        <v>0</v>
      </c>
      <c r="K9">
        <f t="shared" si="0"/>
        <v>35.064999999999998</v>
      </c>
      <c r="L9">
        <v>44</v>
      </c>
      <c r="M9">
        <v>0</v>
      </c>
      <c r="N9">
        <v>0</v>
      </c>
      <c r="O9">
        <f t="shared" si="1"/>
        <v>22</v>
      </c>
      <c r="P9">
        <v>0</v>
      </c>
      <c r="Q9">
        <f t="shared" si="2"/>
        <v>16</v>
      </c>
      <c r="R9">
        <f t="shared" si="3"/>
        <v>24.579250000000002</v>
      </c>
      <c r="S9" t="s">
        <v>25</v>
      </c>
    </row>
    <row r="10" spans="1:19" ht="15" customHeight="1">
      <c r="A10">
        <v>56189</v>
      </c>
      <c r="B10">
        <v>5013</v>
      </c>
      <c r="C10" t="s">
        <v>19</v>
      </c>
      <c r="D10">
        <v>1</v>
      </c>
      <c r="E10">
        <v>5</v>
      </c>
      <c r="F10">
        <v>96.88</v>
      </c>
      <c r="G10">
        <v>88.24</v>
      </c>
      <c r="H10">
        <v>100</v>
      </c>
      <c r="I10">
        <v>88.64</v>
      </c>
      <c r="J10">
        <v>100</v>
      </c>
      <c r="K10">
        <f t="shared" si="0"/>
        <v>96.38</v>
      </c>
      <c r="L10">
        <v>68</v>
      </c>
      <c r="M10">
        <v>85</v>
      </c>
      <c r="N10">
        <v>85</v>
      </c>
      <c r="O10">
        <f t="shared" si="1"/>
        <v>85</v>
      </c>
      <c r="P10">
        <v>85.9</v>
      </c>
      <c r="Q10">
        <f t="shared" si="2"/>
        <v>85.245454545454535</v>
      </c>
      <c r="R10">
        <f t="shared" si="3"/>
        <v>90.256000000000014</v>
      </c>
      <c r="S10" t="s">
        <v>22</v>
      </c>
    </row>
    <row r="11" spans="1:19" ht="15" customHeight="1">
      <c r="A11">
        <v>54029</v>
      </c>
      <c r="B11">
        <v>1908</v>
      </c>
      <c r="C11" t="s">
        <v>19</v>
      </c>
      <c r="D11">
        <v>2</v>
      </c>
      <c r="E11">
        <v>5</v>
      </c>
      <c r="F11">
        <v>93.75</v>
      </c>
      <c r="G11">
        <v>82.35</v>
      </c>
      <c r="H11">
        <v>90</v>
      </c>
      <c r="I11">
        <v>90.91</v>
      </c>
      <c r="J11">
        <v>100</v>
      </c>
      <c r="K11">
        <f t="shared" si="0"/>
        <v>93.664999999999992</v>
      </c>
      <c r="L11">
        <v>88</v>
      </c>
      <c r="M11">
        <v>76</v>
      </c>
      <c r="N11">
        <v>90</v>
      </c>
      <c r="O11">
        <f t="shared" si="1"/>
        <v>89</v>
      </c>
      <c r="P11">
        <v>60.2</v>
      </c>
      <c r="Q11">
        <f t="shared" si="2"/>
        <v>81.145454545454541</v>
      </c>
      <c r="R11">
        <f t="shared" si="3"/>
        <v>86.77924999999999</v>
      </c>
      <c r="S11" t="s">
        <v>21</v>
      </c>
    </row>
    <row r="12" spans="1:19" ht="15" customHeight="1">
      <c r="A12">
        <v>54333</v>
      </c>
      <c r="B12">
        <v>5839</v>
      </c>
      <c r="C12" t="s">
        <v>19</v>
      </c>
      <c r="D12">
        <v>1</v>
      </c>
      <c r="E12">
        <v>5</v>
      </c>
      <c r="F12">
        <v>93.75</v>
      </c>
      <c r="G12">
        <v>82.35</v>
      </c>
      <c r="H12">
        <v>100</v>
      </c>
      <c r="I12">
        <v>97.73</v>
      </c>
      <c r="J12">
        <v>0</v>
      </c>
      <c r="K12">
        <f t="shared" si="0"/>
        <v>93.45750000000001</v>
      </c>
      <c r="L12">
        <v>71</v>
      </c>
      <c r="M12">
        <v>76</v>
      </c>
      <c r="N12">
        <v>0</v>
      </c>
      <c r="O12">
        <f t="shared" si="1"/>
        <v>73.5</v>
      </c>
      <c r="P12">
        <v>74.2</v>
      </c>
      <c r="Q12">
        <f t="shared" si="2"/>
        <v>73.690909090909088</v>
      </c>
      <c r="R12">
        <f t="shared" si="3"/>
        <v>82.585875000000001</v>
      </c>
      <c r="S12" t="s">
        <v>20</v>
      </c>
    </row>
    <row r="16" spans="1:19">
      <c r="L16" t="s">
        <v>26</v>
      </c>
    </row>
    <row r="17" spans="13:13">
      <c r="M17" t="s">
        <v>26</v>
      </c>
    </row>
  </sheetData>
  <printOptions headings="1" gridLines="1" gridLinesSet="0"/>
  <pageMargins left="0.75" right="0.75" top="1" bottom="1" header="0.5" footer="0.5"/>
  <pageSetup paperSize="0" scale="76" orientation="landscape" horizontalDpi="4294967292" verticalDpi="4294967292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0"/>
  <sheetViews>
    <sheetView topLeftCell="B1" workbookViewId="0">
      <selection activeCell="C2" sqref="C2:C20"/>
    </sheetView>
  </sheetViews>
  <sheetFormatPr defaultColWidth="11.453125" defaultRowHeight="12.5"/>
  <cols>
    <col min="1" max="1" width="6" customWidth="1"/>
    <col min="2" max="2" width="5" customWidth="1"/>
    <col min="3" max="3" width="9.1796875" customWidth="1"/>
    <col min="4" max="4" width="3.54296875" customWidth="1"/>
    <col min="5" max="5" width="3.1796875" customWidth="1"/>
    <col min="6" max="7" width="6" customWidth="1"/>
    <col min="8" max="8" width="5.54296875" customWidth="1"/>
    <col min="9" max="9" width="6" customWidth="1"/>
    <col min="10" max="10" width="5.54296875" customWidth="1"/>
    <col min="11" max="11" width="7.7265625" customWidth="1"/>
    <col min="12" max="14" width="5.1796875" customWidth="1"/>
    <col min="15" max="15" width="7.26953125" customWidth="1"/>
    <col min="16" max="16" width="4.7265625" customWidth="1"/>
    <col min="17" max="17" width="8.1796875" customWidth="1"/>
    <col min="18" max="18" width="5.1796875" customWidth="1"/>
    <col min="19" max="19" width="5.453125" customWidth="1"/>
  </cols>
  <sheetData>
    <row r="1" spans="1:20" s="1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ht="15" customHeight="1">
      <c r="A2">
        <v>54023</v>
      </c>
      <c r="B2">
        <v>3896</v>
      </c>
      <c r="C2" t="s">
        <v>19</v>
      </c>
      <c r="D2">
        <v>1</v>
      </c>
      <c r="E2">
        <v>6</v>
      </c>
      <c r="F2">
        <v>83.33</v>
      </c>
      <c r="G2">
        <v>100</v>
      </c>
      <c r="H2">
        <v>100</v>
      </c>
      <c r="I2">
        <v>100</v>
      </c>
      <c r="J2">
        <v>100</v>
      </c>
      <c r="K2">
        <f>(SUM(F2:J2)-MIN(F2:J2))/4</f>
        <v>100</v>
      </c>
      <c r="L2">
        <v>80</v>
      </c>
      <c r="M2">
        <v>71</v>
      </c>
      <c r="N2">
        <v>77</v>
      </c>
      <c r="O2">
        <f t="shared" ref="O2:O20" si="0">((L2+M2+N2)-MIN(L2:N2) )/2</f>
        <v>78.5</v>
      </c>
      <c r="P2">
        <v>91.4</v>
      </c>
      <c r="Q2">
        <f t="shared" ref="Q2:Q20" si="1">(0.4*O2+0.15*P2)/0.55</f>
        <v>82.018181818181816</v>
      </c>
      <c r="R2">
        <f t="shared" ref="R2:R20" si="2">0.45*K2+0.4*O2+0.15*P2</f>
        <v>90.110000000000014</v>
      </c>
      <c r="S2" t="s">
        <v>22</v>
      </c>
    </row>
    <row r="3" spans="1:20" ht="15" customHeight="1">
      <c r="A3">
        <v>10068</v>
      </c>
      <c r="B3">
        <v>4758</v>
      </c>
      <c r="C3" t="s">
        <v>19</v>
      </c>
      <c r="D3">
        <v>1</v>
      </c>
      <c r="E3">
        <v>6</v>
      </c>
      <c r="F3">
        <v>100</v>
      </c>
      <c r="G3">
        <v>94.12</v>
      </c>
      <c r="H3">
        <v>100</v>
      </c>
      <c r="I3">
        <v>97.73</v>
      </c>
      <c r="J3">
        <v>100</v>
      </c>
      <c r="K3">
        <f>(SUM(F3:J3)-MIN(F3:J3))/4</f>
        <v>99.432500000000005</v>
      </c>
      <c r="L3">
        <v>79</v>
      </c>
      <c r="M3">
        <v>75</v>
      </c>
      <c r="N3">
        <v>87</v>
      </c>
      <c r="O3">
        <f t="shared" si="0"/>
        <v>83</v>
      </c>
      <c r="P3">
        <v>89.8</v>
      </c>
      <c r="Q3">
        <f t="shared" si="1"/>
        <v>84.854545454545445</v>
      </c>
      <c r="R3">
        <f t="shared" si="2"/>
        <v>91.414625000000001</v>
      </c>
      <c r="S3" t="s">
        <v>22</v>
      </c>
    </row>
    <row r="4" spans="1:20" ht="15" customHeight="1">
      <c r="A4">
        <v>51692</v>
      </c>
      <c r="B4">
        <v>9756</v>
      </c>
      <c r="C4" t="s">
        <v>19</v>
      </c>
      <c r="D4">
        <v>2</v>
      </c>
      <c r="E4">
        <v>6</v>
      </c>
      <c r="F4">
        <v>96.67</v>
      </c>
      <c r="G4">
        <v>100</v>
      </c>
      <c r="H4">
        <v>50</v>
      </c>
      <c r="I4">
        <v>0</v>
      </c>
      <c r="J4">
        <v>95</v>
      </c>
      <c r="K4">
        <f>(SUM(F4:J4)-MIN(F4:J4))/4</f>
        <v>85.417500000000004</v>
      </c>
      <c r="L4">
        <v>84</v>
      </c>
      <c r="M4">
        <v>90</v>
      </c>
      <c r="N4">
        <v>85</v>
      </c>
      <c r="O4">
        <f t="shared" si="0"/>
        <v>87.5</v>
      </c>
      <c r="P4">
        <v>74.2</v>
      </c>
      <c r="Q4">
        <f t="shared" si="1"/>
        <v>83.872727272727275</v>
      </c>
      <c r="R4">
        <f t="shared" si="2"/>
        <v>84.567875000000001</v>
      </c>
      <c r="S4" t="s">
        <v>21</v>
      </c>
      <c r="T4" t="s">
        <v>27</v>
      </c>
    </row>
    <row r="5" spans="1:20" ht="15" customHeight="1">
      <c r="A5">
        <v>54423</v>
      </c>
      <c r="B5">
        <v>1191</v>
      </c>
      <c r="C5" t="s">
        <v>19</v>
      </c>
      <c r="D5">
        <v>1</v>
      </c>
      <c r="E5">
        <v>6</v>
      </c>
      <c r="F5">
        <v>80</v>
      </c>
      <c r="G5">
        <v>100</v>
      </c>
      <c r="H5">
        <v>95</v>
      </c>
      <c r="I5">
        <v>88.64</v>
      </c>
      <c r="J5">
        <v>100</v>
      </c>
      <c r="K5">
        <f t="shared" ref="K5:K20" si="3">(SUM(F5:J5)-MIN(F5:J5))/4</f>
        <v>95.91</v>
      </c>
      <c r="L5">
        <v>63</v>
      </c>
      <c r="M5">
        <v>80</v>
      </c>
      <c r="N5">
        <v>80</v>
      </c>
      <c r="O5">
        <f t="shared" si="0"/>
        <v>80</v>
      </c>
      <c r="P5">
        <v>69.5</v>
      </c>
      <c r="Q5">
        <f t="shared" si="1"/>
        <v>77.136363636363626</v>
      </c>
      <c r="R5">
        <f t="shared" si="2"/>
        <v>85.584500000000006</v>
      </c>
      <c r="S5" t="s">
        <v>21</v>
      </c>
    </row>
    <row r="6" spans="1:20" ht="15" customHeight="1">
      <c r="A6">
        <v>54423</v>
      </c>
      <c r="B6">
        <v>5980</v>
      </c>
      <c r="C6" t="s">
        <v>19</v>
      </c>
      <c r="D6">
        <v>1</v>
      </c>
      <c r="E6">
        <v>6</v>
      </c>
      <c r="F6">
        <v>0</v>
      </c>
      <c r="G6">
        <v>100</v>
      </c>
      <c r="H6">
        <v>85</v>
      </c>
      <c r="I6">
        <v>88.64</v>
      </c>
      <c r="J6">
        <v>100</v>
      </c>
      <c r="K6">
        <f t="shared" si="3"/>
        <v>93.41</v>
      </c>
      <c r="L6">
        <v>69</v>
      </c>
      <c r="M6">
        <v>62</v>
      </c>
      <c r="N6">
        <v>82</v>
      </c>
      <c r="O6">
        <f t="shared" si="0"/>
        <v>75.5</v>
      </c>
      <c r="P6">
        <v>78.900000000000006</v>
      </c>
      <c r="Q6">
        <f t="shared" si="1"/>
        <v>76.427272727272722</v>
      </c>
      <c r="R6">
        <f t="shared" si="2"/>
        <v>84.069500000000005</v>
      </c>
      <c r="S6" t="s">
        <v>20</v>
      </c>
    </row>
    <row r="7" spans="1:20" ht="15" customHeight="1">
      <c r="A7">
        <v>54496</v>
      </c>
      <c r="B7">
        <v>2636</v>
      </c>
      <c r="C7" t="s">
        <v>19</v>
      </c>
      <c r="D7">
        <v>1</v>
      </c>
      <c r="E7">
        <v>6</v>
      </c>
      <c r="F7">
        <v>86.67</v>
      </c>
      <c r="G7">
        <v>100</v>
      </c>
      <c r="H7">
        <v>100</v>
      </c>
      <c r="I7">
        <v>0</v>
      </c>
      <c r="J7">
        <v>100</v>
      </c>
      <c r="K7">
        <f t="shared" si="3"/>
        <v>96.667500000000004</v>
      </c>
      <c r="L7">
        <v>72</v>
      </c>
      <c r="M7">
        <v>74</v>
      </c>
      <c r="N7">
        <v>76</v>
      </c>
      <c r="O7">
        <f t="shared" si="0"/>
        <v>75</v>
      </c>
      <c r="P7">
        <v>70.3</v>
      </c>
      <c r="Q7">
        <f t="shared" si="1"/>
        <v>73.718181818181819</v>
      </c>
      <c r="R7">
        <f t="shared" si="2"/>
        <v>84.045375000000007</v>
      </c>
      <c r="S7" t="s">
        <v>20</v>
      </c>
    </row>
    <row r="8" spans="1:20" ht="15" customHeight="1">
      <c r="A8">
        <v>54194</v>
      </c>
      <c r="B8">
        <v>5704</v>
      </c>
      <c r="C8" t="s">
        <v>19</v>
      </c>
      <c r="D8">
        <v>2</v>
      </c>
      <c r="E8">
        <v>6</v>
      </c>
      <c r="F8">
        <v>90</v>
      </c>
      <c r="G8">
        <v>100</v>
      </c>
      <c r="H8">
        <v>80</v>
      </c>
      <c r="I8">
        <v>0</v>
      </c>
      <c r="J8">
        <v>100</v>
      </c>
      <c r="K8">
        <f t="shared" si="3"/>
        <v>92.5</v>
      </c>
      <c r="L8">
        <v>70</v>
      </c>
      <c r="M8">
        <v>75</v>
      </c>
      <c r="N8">
        <v>83</v>
      </c>
      <c r="O8">
        <f t="shared" si="0"/>
        <v>79</v>
      </c>
      <c r="P8">
        <v>73.400000000000006</v>
      </c>
      <c r="Q8">
        <f t="shared" si="1"/>
        <v>77.472727272727269</v>
      </c>
      <c r="R8">
        <f t="shared" si="2"/>
        <v>84.234999999999999</v>
      </c>
      <c r="S8" t="s">
        <v>20</v>
      </c>
    </row>
    <row r="9" spans="1:20" ht="15" customHeight="1">
      <c r="A9">
        <v>54302</v>
      </c>
      <c r="B9">
        <v>8487</v>
      </c>
      <c r="C9" t="s">
        <v>19</v>
      </c>
      <c r="D9">
        <v>2</v>
      </c>
      <c r="E9">
        <v>6</v>
      </c>
      <c r="F9">
        <v>100</v>
      </c>
      <c r="G9">
        <v>100</v>
      </c>
      <c r="H9">
        <v>100</v>
      </c>
      <c r="I9">
        <v>100</v>
      </c>
      <c r="J9">
        <v>0</v>
      </c>
      <c r="K9">
        <f t="shared" si="3"/>
        <v>100</v>
      </c>
      <c r="L9">
        <v>85</v>
      </c>
      <c r="M9">
        <v>90</v>
      </c>
      <c r="N9">
        <v>89</v>
      </c>
      <c r="O9">
        <f t="shared" si="0"/>
        <v>89.5</v>
      </c>
      <c r="P9">
        <v>90.6</v>
      </c>
      <c r="Q9">
        <f t="shared" si="1"/>
        <v>89.8</v>
      </c>
      <c r="R9">
        <f t="shared" si="2"/>
        <v>94.390000000000015</v>
      </c>
      <c r="S9" t="s">
        <v>23</v>
      </c>
    </row>
    <row r="10" spans="1:20" ht="15" customHeight="1">
      <c r="A10">
        <v>33670</v>
      </c>
      <c r="B10">
        <v>9734</v>
      </c>
      <c r="C10" t="s">
        <v>19</v>
      </c>
      <c r="D10">
        <v>2</v>
      </c>
      <c r="E10">
        <v>6</v>
      </c>
      <c r="F10">
        <v>90</v>
      </c>
      <c r="G10">
        <v>88.24</v>
      </c>
      <c r="H10">
        <v>100</v>
      </c>
      <c r="I10">
        <v>0</v>
      </c>
      <c r="J10">
        <v>100</v>
      </c>
      <c r="K10">
        <f t="shared" si="3"/>
        <v>94.56</v>
      </c>
      <c r="L10">
        <v>84</v>
      </c>
      <c r="M10">
        <v>81</v>
      </c>
      <c r="N10">
        <v>0</v>
      </c>
      <c r="O10">
        <f t="shared" si="0"/>
        <v>82.5</v>
      </c>
      <c r="P10">
        <v>77.3</v>
      </c>
      <c r="Q10">
        <f t="shared" si="1"/>
        <v>81.081818181818178</v>
      </c>
      <c r="R10">
        <f t="shared" si="2"/>
        <v>87.146999999999991</v>
      </c>
      <c r="S10" t="s">
        <v>21</v>
      </c>
    </row>
    <row r="11" spans="1:20" ht="15" customHeight="1">
      <c r="A11">
        <v>54223</v>
      </c>
      <c r="B11">
        <v>6271</v>
      </c>
      <c r="C11" t="s">
        <v>19</v>
      </c>
      <c r="D11">
        <v>2</v>
      </c>
      <c r="E11">
        <v>6</v>
      </c>
      <c r="F11">
        <v>100</v>
      </c>
      <c r="G11">
        <v>94.12</v>
      </c>
      <c r="H11">
        <v>100</v>
      </c>
      <c r="I11">
        <v>97.73</v>
      </c>
      <c r="J11">
        <v>100</v>
      </c>
      <c r="K11">
        <f t="shared" si="3"/>
        <v>99.432500000000005</v>
      </c>
      <c r="L11">
        <v>86</v>
      </c>
      <c r="M11">
        <v>80</v>
      </c>
      <c r="N11">
        <v>88</v>
      </c>
      <c r="O11">
        <f t="shared" si="0"/>
        <v>87</v>
      </c>
      <c r="P11">
        <v>92.9</v>
      </c>
      <c r="Q11">
        <f t="shared" si="1"/>
        <v>88.609090909090909</v>
      </c>
      <c r="R11">
        <f t="shared" si="2"/>
        <v>93.479625000000013</v>
      </c>
      <c r="S11" t="s">
        <v>23</v>
      </c>
    </row>
    <row r="12" spans="1:20" ht="15" customHeight="1">
      <c r="A12">
        <v>54090</v>
      </c>
      <c r="B12">
        <v>6456</v>
      </c>
      <c r="C12" t="s">
        <v>19</v>
      </c>
      <c r="D12">
        <v>2</v>
      </c>
      <c r="E12">
        <v>6</v>
      </c>
      <c r="F12">
        <v>100</v>
      </c>
      <c r="G12">
        <v>88.24</v>
      </c>
      <c r="H12">
        <v>90</v>
      </c>
      <c r="I12">
        <v>88.64</v>
      </c>
      <c r="J12">
        <v>95</v>
      </c>
      <c r="K12">
        <f t="shared" si="3"/>
        <v>93.41</v>
      </c>
      <c r="L12">
        <v>73</v>
      </c>
      <c r="M12">
        <v>66</v>
      </c>
      <c r="N12">
        <v>74</v>
      </c>
      <c r="O12">
        <f t="shared" si="0"/>
        <v>73.5</v>
      </c>
      <c r="P12">
        <v>76.599999999999994</v>
      </c>
      <c r="Q12">
        <f t="shared" si="1"/>
        <v>74.345454545454544</v>
      </c>
      <c r="R12">
        <f t="shared" si="2"/>
        <v>82.924499999999995</v>
      </c>
      <c r="S12" t="s">
        <v>20</v>
      </c>
    </row>
    <row r="13" spans="1:20" ht="15" customHeight="1">
      <c r="A13">
        <v>54221</v>
      </c>
      <c r="B13">
        <v>8950</v>
      </c>
      <c r="C13" t="s">
        <v>19</v>
      </c>
      <c r="D13">
        <v>2</v>
      </c>
      <c r="E13">
        <v>6</v>
      </c>
      <c r="F13">
        <v>93.33</v>
      </c>
      <c r="G13">
        <v>91.18</v>
      </c>
      <c r="H13">
        <v>0</v>
      </c>
      <c r="I13">
        <v>100</v>
      </c>
      <c r="J13">
        <v>100</v>
      </c>
      <c r="K13">
        <f t="shared" si="3"/>
        <v>96.127499999999998</v>
      </c>
      <c r="L13">
        <v>80</v>
      </c>
      <c r="M13">
        <v>78</v>
      </c>
      <c r="N13">
        <v>69</v>
      </c>
      <c r="O13">
        <f t="shared" si="0"/>
        <v>79</v>
      </c>
      <c r="P13">
        <v>63.3</v>
      </c>
      <c r="Q13">
        <f t="shared" si="1"/>
        <v>74.718181818181804</v>
      </c>
      <c r="R13">
        <f t="shared" si="2"/>
        <v>84.352375000000009</v>
      </c>
      <c r="S13" t="s">
        <v>20</v>
      </c>
    </row>
    <row r="14" spans="1:20" ht="15" customHeight="1">
      <c r="A14">
        <v>55965</v>
      </c>
      <c r="B14">
        <v>7339</v>
      </c>
      <c r="C14" t="s">
        <v>19</v>
      </c>
      <c r="D14">
        <v>2</v>
      </c>
      <c r="E14">
        <v>6</v>
      </c>
      <c r="F14">
        <v>96.67</v>
      </c>
      <c r="G14">
        <v>100</v>
      </c>
      <c r="H14">
        <v>100</v>
      </c>
      <c r="I14">
        <v>94.45</v>
      </c>
      <c r="J14">
        <v>100</v>
      </c>
      <c r="K14">
        <f t="shared" si="3"/>
        <v>99.167500000000004</v>
      </c>
      <c r="L14">
        <v>82</v>
      </c>
      <c r="M14">
        <v>76</v>
      </c>
      <c r="N14">
        <v>85</v>
      </c>
      <c r="O14">
        <f t="shared" si="0"/>
        <v>83.5</v>
      </c>
      <c r="P14">
        <v>82.8</v>
      </c>
      <c r="Q14">
        <f t="shared" si="1"/>
        <v>83.309090909090898</v>
      </c>
      <c r="R14">
        <f t="shared" si="2"/>
        <v>90.445374999999999</v>
      </c>
      <c r="S14" t="s">
        <v>22</v>
      </c>
    </row>
    <row r="15" spans="1:20" ht="15" customHeight="1">
      <c r="A15">
        <v>54113</v>
      </c>
      <c r="B15">
        <v>9747</v>
      </c>
      <c r="C15" t="s">
        <v>19</v>
      </c>
      <c r="D15">
        <v>2</v>
      </c>
      <c r="E15">
        <v>6</v>
      </c>
      <c r="F15">
        <v>96.67</v>
      </c>
      <c r="G15">
        <v>64.709999999999994</v>
      </c>
      <c r="H15">
        <v>100</v>
      </c>
      <c r="I15">
        <v>97.73</v>
      </c>
      <c r="J15">
        <v>95</v>
      </c>
      <c r="K15">
        <f t="shared" si="3"/>
        <v>97.350000000000009</v>
      </c>
      <c r="L15">
        <v>84</v>
      </c>
      <c r="M15">
        <v>89</v>
      </c>
      <c r="N15">
        <v>87</v>
      </c>
      <c r="O15">
        <f t="shared" si="0"/>
        <v>88</v>
      </c>
      <c r="P15">
        <v>87.5</v>
      </c>
      <c r="Q15">
        <f t="shared" si="1"/>
        <v>87.86363636363636</v>
      </c>
      <c r="R15">
        <f t="shared" si="2"/>
        <v>92.132500000000007</v>
      </c>
      <c r="S15" t="s">
        <v>23</v>
      </c>
    </row>
    <row r="16" spans="1:20" ht="14.15" customHeight="1">
      <c r="A16">
        <v>54496</v>
      </c>
      <c r="B16">
        <v>8944</v>
      </c>
      <c r="C16" t="s">
        <v>19</v>
      </c>
      <c r="D16">
        <v>1</v>
      </c>
      <c r="E16">
        <v>6</v>
      </c>
      <c r="F16">
        <v>81.25</v>
      </c>
      <c r="G16">
        <v>82.35</v>
      </c>
      <c r="H16">
        <v>100</v>
      </c>
      <c r="I16">
        <v>72.73</v>
      </c>
      <c r="J16">
        <v>100</v>
      </c>
      <c r="K16">
        <f t="shared" si="3"/>
        <v>90.9</v>
      </c>
      <c r="L16">
        <v>70</v>
      </c>
      <c r="M16">
        <v>61</v>
      </c>
      <c r="N16">
        <v>67</v>
      </c>
      <c r="O16">
        <f t="shared" si="0"/>
        <v>68.5</v>
      </c>
      <c r="P16">
        <v>64</v>
      </c>
      <c r="Q16">
        <f t="shared" si="1"/>
        <v>67.272727272727266</v>
      </c>
      <c r="R16">
        <f t="shared" si="2"/>
        <v>77.905000000000001</v>
      </c>
      <c r="S16" t="s">
        <v>28</v>
      </c>
    </row>
    <row r="17" spans="1:19" ht="15" customHeight="1">
      <c r="A17">
        <v>57151</v>
      </c>
      <c r="B17">
        <v>8973</v>
      </c>
      <c r="C17" t="s">
        <v>19</v>
      </c>
      <c r="D17">
        <v>2</v>
      </c>
      <c r="E17">
        <v>6</v>
      </c>
      <c r="F17">
        <v>96.67</v>
      </c>
      <c r="G17">
        <v>0</v>
      </c>
      <c r="H17">
        <v>90</v>
      </c>
      <c r="I17">
        <v>88.64</v>
      </c>
      <c r="J17">
        <v>100</v>
      </c>
      <c r="K17">
        <f t="shared" si="3"/>
        <v>93.827500000000001</v>
      </c>
      <c r="L17">
        <v>81</v>
      </c>
      <c r="M17">
        <v>66</v>
      </c>
      <c r="N17">
        <v>84</v>
      </c>
      <c r="O17">
        <f t="shared" si="0"/>
        <v>82.5</v>
      </c>
      <c r="P17">
        <v>91.4</v>
      </c>
      <c r="Q17">
        <f t="shared" si="1"/>
        <v>84.927272727272722</v>
      </c>
      <c r="R17">
        <f t="shared" si="2"/>
        <v>88.932375000000008</v>
      </c>
      <c r="S17" t="s">
        <v>22</v>
      </c>
    </row>
    <row r="18" spans="1:19" ht="15" customHeight="1">
      <c r="A18">
        <v>53874</v>
      </c>
      <c r="B18">
        <v>7359</v>
      </c>
      <c r="C18" t="s">
        <v>19</v>
      </c>
      <c r="D18">
        <v>2</v>
      </c>
      <c r="E18">
        <v>6</v>
      </c>
      <c r="F18">
        <v>0</v>
      </c>
      <c r="G18">
        <v>94.12</v>
      </c>
      <c r="H18">
        <v>100</v>
      </c>
      <c r="I18">
        <v>97.73</v>
      </c>
      <c r="J18">
        <v>0</v>
      </c>
      <c r="K18">
        <f t="shared" si="3"/>
        <v>72.962500000000006</v>
      </c>
      <c r="L18">
        <v>70</v>
      </c>
      <c r="M18">
        <v>67</v>
      </c>
      <c r="N18">
        <v>0</v>
      </c>
      <c r="O18">
        <f t="shared" si="0"/>
        <v>68.5</v>
      </c>
      <c r="P18">
        <v>68.8</v>
      </c>
      <c r="Q18">
        <f t="shared" si="1"/>
        <v>68.581818181818178</v>
      </c>
      <c r="R18">
        <f t="shared" si="2"/>
        <v>70.553124999999994</v>
      </c>
      <c r="S18" t="s">
        <v>29</v>
      </c>
    </row>
    <row r="19" spans="1:19" ht="15" customHeight="1">
      <c r="A19">
        <v>54006</v>
      </c>
      <c r="B19">
        <v>2832</v>
      </c>
      <c r="C19" t="s">
        <v>19</v>
      </c>
      <c r="D19">
        <v>2</v>
      </c>
      <c r="E19">
        <v>6</v>
      </c>
      <c r="F19">
        <v>93.33</v>
      </c>
      <c r="G19">
        <v>88.24</v>
      </c>
      <c r="H19">
        <v>100</v>
      </c>
      <c r="I19">
        <v>93.18</v>
      </c>
      <c r="J19">
        <v>0</v>
      </c>
      <c r="K19">
        <f t="shared" si="3"/>
        <v>93.6875</v>
      </c>
      <c r="L19">
        <v>31</v>
      </c>
      <c r="M19">
        <v>37</v>
      </c>
      <c r="N19">
        <v>49</v>
      </c>
      <c r="O19">
        <f t="shared" si="0"/>
        <v>43</v>
      </c>
      <c r="P19">
        <v>46.1</v>
      </c>
      <c r="Q19">
        <f t="shared" si="1"/>
        <v>43.845454545454537</v>
      </c>
      <c r="R19">
        <f t="shared" si="2"/>
        <v>66.274375000000006</v>
      </c>
      <c r="S19" t="s">
        <v>25</v>
      </c>
    </row>
    <row r="20" spans="1:19" ht="15" customHeight="1">
      <c r="A20">
        <v>33076</v>
      </c>
      <c r="B20">
        <v>2642</v>
      </c>
      <c r="C20" t="s">
        <v>19</v>
      </c>
      <c r="D20">
        <v>1</v>
      </c>
      <c r="E20">
        <v>6</v>
      </c>
      <c r="F20">
        <v>93.33</v>
      </c>
      <c r="G20">
        <v>100</v>
      </c>
      <c r="H20">
        <v>100</v>
      </c>
      <c r="I20">
        <v>97.73</v>
      </c>
      <c r="J20">
        <v>100</v>
      </c>
      <c r="K20">
        <f t="shared" si="3"/>
        <v>99.432500000000005</v>
      </c>
      <c r="L20">
        <v>86</v>
      </c>
      <c r="M20">
        <v>91</v>
      </c>
      <c r="N20">
        <v>94</v>
      </c>
      <c r="O20">
        <f t="shared" si="0"/>
        <v>92.5</v>
      </c>
      <c r="P20">
        <v>93</v>
      </c>
      <c r="Q20">
        <f t="shared" si="1"/>
        <v>92.63636363636364</v>
      </c>
      <c r="R20">
        <f t="shared" si="2"/>
        <v>95.694625000000016</v>
      </c>
      <c r="S20" t="s">
        <v>23</v>
      </c>
    </row>
  </sheetData>
  <printOptions headings="1" gridLines="1" gridLinesSet="0"/>
  <pageMargins left="0.75" right="0.75" top="1" bottom="1" header="0.5" footer="0.5"/>
  <pageSetup paperSize="0" scale="80" orientation="landscape" horizontalDpi="4294967292" verticalDpi="4294967292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9"/>
  <sheetViews>
    <sheetView workbookViewId="0">
      <selection activeCell="C2" sqref="C2:C19"/>
    </sheetView>
  </sheetViews>
  <sheetFormatPr defaultColWidth="11.453125" defaultRowHeight="12.5"/>
  <cols>
    <col min="1" max="1" width="6" customWidth="1"/>
    <col min="2" max="2" width="5" customWidth="1"/>
    <col min="3" max="3" width="20.26953125" customWidth="1"/>
    <col min="4" max="4" width="2.7265625" customWidth="1"/>
    <col min="5" max="5" width="3.1796875" customWidth="1"/>
    <col min="6" max="10" width="5.54296875" customWidth="1"/>
    <col min="11" max="11" width="7.7265625" customWidth="1"/>
    <col min="12" max="14" width="5.1796875" customWidth="1"/>
    <col min="15" max="15" width="7.26953125" customWidth="1"/>
    <col min="16" max="16" width="4.7265625" customWidth="1"/>
    <col min="17" max="17" width="8.1796875" customWidth="1"/>
    <col min="18" max="18" width="6" customWidth="1"/>
    <col min="19" max="19" width="5.453125" customWidth="1"/>
  </cols>
  <sheetData>
    <row r="1" spans="1:19" s="1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>
        <v>53992</v>
      </c>
      <c r="B2">
        <v>8175</v>
      </c>
      <c r="C2" t="s">
        <v>19</v>
      </c>
      <c r="D2">
        <v>1</v>
      </c>
      <c r="E2">
        <v>8</v>
      </c>
      <c r="F2">
        <v>100</v>
      </c>
      <c r="G2">
        <v>100</v>
      </c>
      <c r="H2">
        <v>0</v>
      </c>
      <c r="I2">
        <v>93.2</v>
      </c>
      <c r="J2">
        <v>95</v>
      </c>
      <c r="K2">
        <f t="shared" ref="K2:K19" si="0">(SUM(F2:J2)-MIN(F2:J2))/4</f>
        <v>97.05</v>
      </c>
      <c r="L2">
        <v>89</v>
      </c>
      <c r="M2">
        <v>92</v>
      </c>
      <c r="N2">
        <v>87</v>
      </c>
      <c r="O2">
        <f t="shared" ref="O2:O19" si="1">((L2+M2+N2)-MIN(L2:N2) )/2</f>
        <v>90.5</v>
      </c>
      <c r="P2">
        <v>93.8</v>
      </c>
      <c r="Q2">
        <f t="shared" ref="Q2:Q19" si="2">(0.4*O2+0.15*P2)/0.55</f>
        <v>91.399999999999991</v>
      </c>
      <c r="R2">
        <f t="shared" ref="R2:R19" si="3">0.45*K2+0.4*O2+0.15*P2</f>
        <v>93.942499999999995</v>
      </c>
      <c r="S2" t="s">
        <v>23</v>
      </c>
    </row>
    <row r="3" spans="1:19" ht="15" customHeight="1">
      <c r="A3">
        <v>45635</v>
      </c>
      <c r="B3">
        <v>1954</v>
      </c>
      <c r="C3" t="s">
        <v>19</v>
      </c>
      <c r="D3">
        <v>2</v>
      </c>
      <c r="E3">
        <v>8</v>
      </c>
      <c r="F3">
        <v>100</v>
      </c>
      <c r="G3">
        <v>84.4</v>
      </c>
      <c r="H3">
        <v>100</v>
      </c>
      <c r="I3">
        <v>91</v>
      </c>
      <c r="J3">
        <v>100</v>
      </c>
      <c r="K3">
        <f t="shared" si="0"/>
        <v>97.75</v>
      </c>
      <c r="L3">
        <v>92</v>
      </c>
      <c r="M3">
        <v>87</v>
      </c>
      <c r="N3">
        <v>77</v>
      </c>
      <c r="O3">
        <f t="shared" si="1"/>
        <v>89.5</v>
      </c>
      <c r="P3">
        <v>86.7</v>
      </c>
      <c r="Q3">
        <f t="shared" si="2"/>
        <v>88.736363636363635</v>
      </c>
      <c r="R3">
        <f t="shared" si="3"/>
        <v>92.792500000000004</v>
      </c>
      <c r="S3" t="s">
        <v>23</v>
      </c>
    </row>
    <row r="4" spans="1:19" ht="15" customHeight="1">
      <c r="A4">
        <v>53815</v>
      </c>
      <c r="B4">
        <v>6725</v>
      </c>
      <c r="C4" t="s">
        <v>19</v>
      </c>
      <c r="D4">
        <v>1</v>
      </c>
      <c r="E4">
        <v>8</v>
      </c>
      <c r="F4">
        <v>83.3</v>
      </c>
      <c r="G4">
        <v>50</v>
      </c>
      <c r="H4">
        <v>65</v>
      </c>
      <c r="I4">
        <v>30</v>
      </c>
      <c r="J4">
        <v>50</v>
      </c>
      <c r="K4">
        <f t="shared" si="0"/>
        <v>62.075000000000003</v>
      </c>
      <c r="L4">
        <v>22</v>
      </c>
      <c r="M4">
        <v>66</v>
      </c>
      <c r="N4">
        <v>57</v>
      </c>
      <c r="O4">
        <f t="shared" si="1"/>
        <v>61.5</v>
      </c>
      <c r="P4">
        <v>61.7</v>
      </c>
      <c r="Q4">
        <f t="shared" si="2"/>
        <v>61.554545454545455</v>
      </c>
      <c r="R4">
        <f t="shared" si="3"/>
        <v>61.788750000000007</v>
      </c>
      <c r="S4" t="s">
        <v>30</v>
      </c>
    </row>
    <row r="5" spans="1:19" ht="15" customHeight="1">
      <c r="A5">
        <v>53308</v>
      </c>
      <c r="B5">
        <v>3695</v>
      </c>
      <c r="C5" t="s">
        <v>19</v>
      </c>
      <c r="D5">
        <v>1</v>
      </c>
      <c r="E5">
        <v>8</v>
      </c>
      <c r="F5">
        <v>100</v>
      </c>
      <c r="G5">
        <v>0</v>
      </c>
      <c r="H5">
        <v>80</v>
      </c>
      <c r="I5">
        <v>95.5</v>
      </c>
      <c r="J5">
        <v>85</v>
      </c>
      <c r="K5">
        <f t="shared" si="0"/>
        <v>90.125</v>
      </c>
      <c r="L5">
        <v>68</v>
      </c>
      <c r="M5">
        <v>78</v>
      </c>
      <c r="N5">
        <v>74</v>
      </c>
      <c r="O5">
        <f t="shared" si="1"/>
        <v>76</v>
      </c>
      <c r="P5">
        <v>75</v>
      </c>
      <c r="Q5">
        <f t="shared" si="2"/>
        <v>75.727272727272734</v>
      </c>
      <c r="R5">
        <f t="shared" si="3"/>
        <v>82.206249999999997</v>
      </c>
      <c r="S5" t="s">
        <v>20</v>
      </c>
    </row>
    <row r="6" spans="1:19" ht="15" customHeight="1">
      <c r="A6">
        <v>47996</v>
      </c>
      <c r="B6">
        <v>7779</v>
      </c>
      <c r="C6" t="s">
        <v>19</v>
      </c>
      <c r="D6">
        <v>1</v>
      </c>
      <c r="E6">
        <v>8</v>
      </c>
      <c r="F6">
        <v>93.3</v>
      </c>
      <c r="G6">
        <v>100</v>
      </c>
      <c r="H6">
        <v>100</v>
      </c>
      <c r="I6">
        <v>95.5</v>
      </c>
      <c r="J6">
        <v>100</v>
      </c>
      <c r="K6">
        <f t="shared" si="0"/>
        <v>98.875</v>
      </c>
      <c r="L6">
        <v>81</v>
      </c>
      <c r="M6">
        <v>90</v>
      </c>
      <c r="N6">
        <v>92</v>
      </c>
      <c r="O6">
        <f t="shared" si="1"/>
        <v>91</v>
      </c>
      <c r="P6">
        <v>91.4</v>
      </c>
      <c r="Q6">
        <f t="shared" si="2"/>
        <v>91.109090909090895</v>
      </c>
      <c r="R6">
        <f t="shared" si="3"/>
        <v>94.603749999999991</v>
      </c>
      <c r="S6" t="s">
        <v>23</v>
      </c>
    </row>
    <row r="7" spans="1:19" ht="15" customHeight="1">
      <c r="A7">
        <v>54419</v>
      </c>
      <c r="B7">
        <v>3042</v>
      </c>
      <c r="C7" t="s">
        <v>19</v>
      </c>
      <c r="D7">
        <v>1</v>
      </c>
      <c r="E7">
        <v>8</v>
      </c>
      <c r="F7">
        <v>90</v>
      </c>
      <c r="G7">
        <v>93.8</v>
      </c>
      <c r="H7">
        <v>100</v>
      </c>
      <c r="I7">
        <v>97.7</v>
      </c>
      <c r="J7">
        <v>0</v>
      </c>
      <c r="K7">
        <f t="shared" si="0"/>
        <v>95.375</v>
      </c>
      <c r="L7">
        <v>94</v>
      </c>
      <c r="M7">
        <v>97</v>
      </c>
      <c r="N7">
        <v>89</v>
      </c>
      <c r="O7">
        <f t="shared" si="1"/>
        <v>95.5</v>
      </c>
      <c r="P7">
        <v>92.2</v>
      </c>
      <c r="Q7">
        <f t="shared" si="2"/>
        <v>94.6</v>
      </c>
      <c r="R7">
        <f t="shared" si="3"/>
        <v>94.948750000000004</v>
      </c>
      <c r="S7" t="s">
        <v>23</v>
      </c>
    </row>
    <row r="8" spans="1:19" ht="15" customHeight="1">
      <c r="A8">
        <v>54046</v>
      </c>
      <c r="B8">
        <v>9844</v>
      </c>
      <c r="C8" t="s">
        <v>19</v>
      </c>
      <c r="D8">
        <v>1</v>
      </c>
      <c r="E8">
        <v>8</v>
      </c>
      <c r="F8">
        <v>86.6</v>
      </c>
      <c r="G8">
        <v>93.8</v>
      </c>
      <c r="H8">
        <v>100</v>
      </c>
      <c r="I8">
        <v>90.9</v>
      </c>
      <c r="J8">
        <v>0</v>
      </c>
      <c r="K8">
        <f t="shared" si="0"/>
        <v>92.824999999999989</v>
      </c>
      <c r="L8">
        <v>90</v>
      </c>
      <c r="M8">
        <v>92</v>
      </c>
      <c r="N8">
        <v>94</v>
      </c>
      <c r="O8">
        <f t="shared" si="1"/>
        <v>93</v>
      </c>
      <c r="P8">
        <v>95.3</v>
      </c>
      <c r="Q8">
        <f t="shared" si="2"/>
        <v>93.627272727272725</v>
      </c>
      <c r="R8">
        <f t="shared" si="3"/>
        <v>93.266249999999999</v>
      </c>
      <c r="S8" t="s">
        <v>23</v>
      </c>
    </row>
    <row r="9" spans="1:19" ht="15" customHeight="1">
      <c r="A9">
        <v>54319</v>
      </c>
      <c r="B9">
        <v>4739</v>
      </c>
      <c r="C9" t="s">
        <v>19</v>
      </c>
      <c r="D9">
        <v>1</v>
      </c>
      <c r="E9">
        <v>8</v>
      </c>
      <c r="F9">
        <v>93</v>
      </c>
      <c r="G9">
        <v>100</v>
      </c>
      <c r="H9">
        <v>100</v>
      </c>
      <c r="I9">
        <v>95.5</v>
      </c>
      <c r="J9">
        <v>0</v>
      </c>
      <c r="K9">
        <f t="shared" si="0"/>
        <v>97.125</v>
      </c>
      <c r="L9">
        <v>50</v>
      </c>
      <c r="M9">
        <v>49</v>
      </c>
      <c r="N9">
        <v>0</v>
      </c>
      <c r="O9">
        <f t="shared" si="1"/>
        <v>49.5</v>
      </c>
      <c r="P9">
        <v>60.2</v>
      </c>
      <c r="Q9">
        <f t="shared" si="2"/>
        <v>52.418181818181807</v>
      </c>
      <c r="R9">
        <f t="shared" si="3"/>
        <v>72.53625000000001</v>
      </c>
      <c r="S9" t="s">
        <v>25</v>
      </c>
    </row>
    <row r="10" spans="1:19" ht="15" customHeight="1">
      <c r="A10">
        <v>55659</v>
      </c>
      <c r="B10">
        <v>7801</v>
      </c>
      <c r="C10" t="s">
        <v>19</v>
      </c>
      <c r="D10">
        <v>1</v>
      </c>
      <c r="E10">
        <v>8</v>
      </c>
      <c r="F10">
        <v>96.6</v>
      </c>
      <c r="G10">
        <v>100</v>
      </c>
      <c r="H10">
        <v>95.5</v>
      </c>
      <c r="I10">
        <v>97.7</v>
      </c>
      <c r="J10">
        <v>0</v>
      </c>
      <c r="K10">
        <f t="shared" si="0"/>
        <v>97.45</v>
      </c>
      <c r="L10">
        <v>75</v>
      </c>
      <c r="M10">
        <v>87</v>
      </c>
      <c r="N10">
        <v>8</v>
      </c>
      <c r="O10">
        <f t="shared" si="1"/>
        <v>81</v>
      </c>
      <c r="P10">
        <v>63.3</v>
      </c>
      <c r="Q10">
        <f t="shared" si="2"/>
        <v>76.172727272727258</v>
      </c>
      <c r="R10">
        <f t="shared" si="3"/>
        <v>85.747500000000002</v>
      </c>
      <c r="S10" t="s">
        <v>21</v>
      </c>
    </row>
    <row r="11" spans="1:19" ht="15" customHeight="1">
      <c r="A11">
        <v>54321</v>
      </c>
      <c r="B11">
        <v>7627</v>
      </c>
      <c r="C11" t="s">
        <v>19</v>
      </c>
      <c r="D11">
        <v>1</v>
      </c>
      <c r="E11">
        <v>8</v>
      </c>
      <c r="F11">
        <v>83.3</v>
      </c>
      <c r="G11">
        <v>90.6</v>
      </c>
      <c r="H11">
        <v>0</v>
      </c>
      <c r="I11">
        <v>93.2</v>
      </c>
      <c r="J11">
        <v>95</v>
      </c>
      <c r="K11">
        <f t="shared" si="0"/>
        <v>90.524999999999991</v>
      </c>
      <c r="L11">
        <v>64</v>
      </c>
      <c r="M11">
        <v>91</v>
      </c>
      <c r="N11">
        <v>47</v>
      </c>
      <c r="O11">
        <f t="shared" si="1"/>
        <v>77.5</v>
      </c>
      <c r="P11">
        <v>53.9</v>
      </c>
      <c r="Q11">
        <f t="shared" si="2"/>
        <v>71.063636363636363</v>
      </c>
      <c r="R11">
        <f t="shared" si="3"/>
        <v>79.821249999999992</v>
      </c>
      <c r="S11" t="s">
        <v>31</v>
      </c>
    </row>
    <row r="12" spans="1:19" ht="15" customHeight="1">
      <c r="A12">
        <v>57263</v>
      </c>
      <c r="B12">
        <v>2126</v>
      </c>
      <c r="C12" t="s">
        <v>19</v>
      </c>
      <c r="D12">
        <v>1</v>
      </c>
      <c r="E12">
        <v>8</v>
      </c>
      <c r="F12">
        <v>86.6</v>
      </c>
      <c r="G12">
        <v>93.8</v>
      </c>
      <c r="H12">
        <v>100</v>
      </c>
      <c r="I12">
        <v>88.6</v>
      </c>
      <c r="J12">
        <v>0</v>
      </c>
      <c r="K12">
        <f t="shared" si="0"/>
        <v>92.25</v>
      </c>
      <c r="L12">
        <v>95</v>
      </c>
      <c r="M12">
        <v>94</v>
      </c>
      <c r="N12">
        <v>0</v>
      </c>
      <c r="O12">
        <f t="shared" si="1"/>
        <v>94.5</v>
      </c>
      <c r="P12">
        <v>88.3</v>
      </c>
      <c r="Q12">
        <f t="shared" si="2"/>
        <v>92.809090909090898</v>
      </c>
      <c r="R12">
        <f t="shared" si="3"/>
        <v>92.557500000000005</v>
      </c>
      <c r="S12" t="s">
        <v>23</v>
      </c>
    </row>
    <row r="13" spans="1:19" ht="15" customHeight="1">
      <c r="A13">
        <v>54498</v>
      </c>
      <c r="B13">
        <v>1456</v>
      </c>
      <c r="C13" t="s">
        <v>19</v>
      </c>
      <c r="D13">
        <v>2</v>
      </c>
      <c r="E13">
        <v>8</v>
      </c>
      <c r="F13">
        <v>0</v>
      </c>
      <c r="G13">
        <v>84.4</v>
      </c>
      <c r="H13">
        <v>0</v>
      </c>
      <c r="I13">
        <v>88.6</v>
      </c>
      <c r="J13">
        <v>75</v>
      </c>
      <c r="K13">
        <f t="shared" si="0"/>
        <v>62</v>
      </c>
      <c r="L13">
        <v>84</v>
      </c>
      <c r="M13">
        <v>75</v>
      </c>
      <c r="N13">
        <v>80</v>
      </c>
      <c r="O13">
        <f t="shared" si="1"/>
        <v>82</v>
      </c>
      <c r="P13">
        <v>75</v>
      </c>
      <c r="Q13">
        <f t="shared" si="2"/>
        <v>80.090909090909093</v>
      </c>
      <c r="R13">
        <f t="shared" si="3"/>
        <v>71.95</v>
      </c>
      <c r="S13" t="s">
        <v>32</v>
      </c>
    </row>
    <row r="14" spans="1:19" ht="15" customHeight="1">
      <c r="A14">
        <v>54286</v>
      </c>
      <c r="B14">
        <v>7278</v>
      </c>
      <c r="C14" t="s">
        <v>19</v>
      </c>
      <c r="D14">
        <v>2</v>
      </c>
      <c r="E14">
        <v>8</v>
      </c>
      <c r="F14">
        <v>80</v>
      </c>
      <c r="G14">
        <v>0</v>
      </c>
      <c r="H14">
        <v>95.2</v>
      </c>
      <c r="I14">
        <v>90.9</v>
      </c>
      <c r="J14">
        <v>70</v>
      </c>
      <c r="K14">
        <f t="shared" si="0"/>
        <v>84.025000000000006</v>
      </c>
      <c r="L14">
        <v>71</v>
      </c>
      <c r="M14">
        <v>65</v>
      </c>
      <c r="N14">
        <v>77</v>
      </c>
      <c r="O14">
        <f t="shared" si="1"/>
        <v>74</v>
      </c>
      <c r="P14">
        <v>68.8</v>
      </c>
      <c r="Q14">
        <f t="shared" si="2"/>
        <v>72.581818181818178</v>
      </c>
      <c r="R14">
        <f t="shared" si="3"/>
        <v>77.731249999999989</v>
      </c>
      <c r="S14" t="s">
        <v>28</v>
      </c>
    </row>
    <row r="15" spans="1:19" ht="15" customHeight="1">
      <c r="A15">
        <v>23055</v>
      </c>
      <c r="B15">
        <v>7150</v>
      </c>
      <c r="C15" t="s">
        <v>19</v>
      </c>
      <c r="D15">
        <v>1</v>
      </c>
      <c r="E15">
        <v>8</v>
      </c>
      <c r="F15">
        <v>96.6</v>
      </c>
      <c r="G15">
        <v>0</v>
      </c>
      <c r="H15">
        <v>0</v>
      </c>
      <c r="I15">
        <v>0</v>
      </c>
      <c r="J15">
        <v>0</v>
      </c>
      <c r="K15">
        <f t="shared" si="0"/>
        <v>24.15</v>
      </c>
      <c r="L15">
        <v>49</v>
      </c>
      <c r="M15">
        <v>0</v>
      </c>
      <c r="N15">
        <v>0</v>
      </c>
      <c r="O15">
        <f t="shared" si="1"/>
        <v>24.5</v>
      </c>
      <c r="P15">
        <v>0</v>
      </c>
      <c r="Q15">
        <f t="shared" si="2"/>
        <v>17.818181818181817</v>
      </c>
      <c r="R15">
        <f t="shared" si="3"/>
        <v>20.6675</v>
      </c>
      <c r="S15" t="s">
        <v>25</v>
      </c>
    </row>
    <row r="16" spans="1:19" ht="15" customHeight="1">
      <c r="A16">
        <v>54017</v>
      </c>
      <c r="B16">
        <v>3182</v>
      </c>
      <c r="C16" t="s">
        <v>19</v>
      </c>
      <c r="D16">
        <v>1</v>
      </c>
      <c r="E16">
        <v>8</v>
      </c>
      <c r="F16">
        <v>83.3</v>
      </c>
      <c r="G16">
        <v>100</v>
      </c>
      <c r="H16">
        <v>95</v>
      </c>
      <c r="I16">
        <v>97.7</v>
      </c>
      <c r="J16">
        <v>100</v>
      </c>
      <c r="K16">
        <f t="shared" si="0"/>
        <v>98.174999999999997</v>
      </c>
      <c r="L16">
        <v>84</v>
      </c>
      <c r="M16">
        <v>86</v>
      </c>
      <c r="N16">
        <v>83</v>
      </c>
      <c r="O16">
        <f t="shared" si="1"/>
        <v>85</v>
      </c>
      <c r="P16">
        <v>78.900000000000006</v>
      </c>
      <c r="Q16">
        <f t="shared" si="2"/>
        <v>83.336363636363629</v>
      </c>
      <c r="R16">
        <f t="shared" si="3"/>
        <v>90.013750000000016</v>
      </c>
      <c r="S16" t="s">
        <v>22</v>
      </c>
    </row>
    <row r="17" spans="1:19" ht="15" customHeight="1">
      <c r="A17">
        <v>54392</v>
      </c>
      <c r="B17">
        <v>3690</v>
      </c>
      <c r="C17" t="s">
        <v>19</v>
      </c>
      <c r="D17">
        <v>1</v>
      </c>
      <c r="E17">
        <v>8</v>
      </c>
      <c r="F17">
        <v>100</v>
      </c>
      <c r="G17">
        <v>93.8</v>
      </c>
      <c r="H17">
        <v>100</v>
      </c>
      <c r="I17">
        <v>97.7</v>
      </c>
      <c r="J17">
        <v>0</v>
      </c>
      <c r="K17">
        <f t="shared" si="0"/>
        <v>97.875</v>
      </c>
      <c r="L17">
        <v>63</v>
      </c>
      <c r="M17">
        <v>58</v>
      </c>
      <c r="N17">
        <v>64</v>
      </c>
      <c r="O17">
        <f t="shared" si="1"/>
        <v>63.5</v>
      </c>
      <c r="P17">
        <v>62.5</v>
      </c>
      <c r="Q17">
        <f t="shared" si="2"/>
        <v>63.227272727272734</v>
      </c>
      <c r="R17">
        <f t="shared" si="3"/>
        <v>78.818750000000009</v>
      </c>
      <c r="S17" t="s">
        <v>31</v>
      </c>
    </row>
    <row r="18" spans="1:19" ht="15" customHeight="1">
      <c r="A18">
        <v>54417</v>
      </c>
      <c r="B18">
        <v>2738</v>
      </c>
      <c r="C18" t="s">
        <v>19</v>
      </c>
      <c r="D18">
        <v>1</v>
      </c>
      <c r="E18">
        <v>8</v>
      </c>
      <c r="F18">
        <v>86.6</v>
      </c>
      <c r="G18">
        <v>100</v>
      </c>
      <c r="H18">
        <v>100</v>
      </c>
      <c r="I18">
        <v>100</v>
      </c>
      <c r="J18">
        <v>100</v>
      </c>
      <c r="K18">
        <f t="shared" si="0"/>
        <v>100</v>
      </c>
      <c r="L18">
        <v>93</v>
      </c>
      <c r="M18">
        <v>94</v>
      </c>
      <c r="N18">
        <v>100</v>
      </c>
      <c r="O18">
        <f t="shared" si="1"/>
        <v>97</v>
      </c>
      <c r="P18">
        <v>93.8</v>
      </c>
      <c r="Q18">
        <f t="shared" si="2"/>
        <v>96.127272727272725</v>
      </c>
      <c r="R18">
        <f t="shared" si="3"/>
        <v>97.87</v>
      </c>
      <c r="S18" t="s">
        <v>23</v>
      </c>
    </row>
    <row r="19" spans="1:19" ht="15" customHeight="1">
      <c r="A19">
        <v>53017</v>
      </c>
      <c r="B19">
        <v>5630</v>
      </c>
      <c r="C19" t="s">
        <v>19</v>
      </c>
      <c r="D19">
        <v>1</v>
      </c>
      <c r="E19">
        <v>8</v>
      </c>
      <c r="F19">
        <v>93.3</v>
      </c>
      <c r="G19">
        <v>100</v>
      </c>
      <c r="H19">
        <v>95</v>
      </c>
      <c r="I19">
        <v>97.7</v>
      </c>
      <c r="J19">
        <v>0</v>
      </c>
      <c r="K19">
        <f t="shared" si="0"/>
        <v>96.5</v>
      </c>
      <c r="L19">
        <v>82</v>
      </c>
      <c r="M19">
        <v>78</v>
      </c>
      <c r="N19">
        <v>0</v>
      </c>
      <c r="O19">
        <f t="shared" si="1"/>
        <v>80</v>
      </c>
      <c r="P19">
        <v>60.9</v>
      </c>
      <c r="Q19">
        <f t="shared" si="2"/>
        <v>74.790909090909082</v>
      </c>
      <c r="R19">
        <f t="shared" si="3"/>
        <v>84.560000000000016</v>
      </c>
      <c r="S19" t="s">
        <v>20</v>
      </c>
    </row>
  </sheetData>
  <printOptions gridLines="1" gridLinesSet="0"/>
  <pageMargins left="0.75" right="0.75" top="1" bottom="1" header="0.5" footer="0.5"/>
  <pageSetup paperSize="0" scale="81" orientation="landscape" horizontalDpi="4294967292" verticalDpi="4294967292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workbookViewId="0">
      <selection activeCell="C2" sqref="C2:C21"/>
    </sheetView>
  </sheetViews>
  <sheetFormatPr defaultColWidth="11.453125" defaultRowHeight="12.5"/>
  <cols>
    <col min="1" max="1" width="6" customWidth="1"/>
    <col min="2" max="2" width="5" customWidth="1"/>
    <col min="3" max="3" width="20.7265625" customWidth="1"/>
    <col min="4" max="4" width="3.453125" customWidth="1"/>
    <col min="5" max="5" width="3.1796875" customWidth="1"/>
    <col min="6" max="6" width="6.453125" style="3" customWidth="1"/>
    <col min="7" max="7" width="6" customWidth="1"/>
    <col min="8" max="8" width="5.54296875" customWidth="1"/>
    <col min="9" max="9" width="6" customWidth="1"/>
    <col min="10" max="10" width="5.54296875" customWidth="1"/>
    <col min="11" max="11" width="7.7265625" customWidth="1"/>
    <col min="12" max="14" width="5.1796875" customWidth="1"/>
    <col min="15" max="15" width="7.26953125" customWidth="1"/>
    <col min="16" max="16" width="4.7265625" customWidth="1"/>
    <col min="17" max="17" width="8" customWidth="1"/>
    <col min="18" max="18" width="7.81640625" customWidth="1"/>
    <col min="19" max="19" width="5.453125" customWidth="1"/>
  </cols>
  <sheetData>
    <row r="1" spans="1:19" s="1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>
        <v>44502</v>
      </c>
      <c r="B2">
        <v>4066</v>
      </c>
      <c r="C2" t="s">
        <v>19</v>
      </c>
      <c r="D2">
        <v>1</v>
      </c>
      <c r="E2">
        <v>9</v>
      </c>
      <c r="F2" s="3">
        <v>80</v>
      </c>
      <c r="G2">
        <v>100</v>
      </c>
      <c r="H2">
        <v>80</v>
      </c>
      <c r="I2">
        <v>88.64</v>
      </c>
      <c r="J2">
        <v>80</v>
      </c>
      <c r="K2">
        <f>(SUM(F2:J2)-MIN(F2:J2))/4</f>
        <v>87.16</v>
      </c>
      <c r="L2">
        <v>74</v>
      </c>
      <c r="M2">
        <v>84</v>
      </c>
      <c r="N2">
        <v>82</v>
      </c>
      <c r="O2">
        <f t="shared" ref="O2:O21" si="0">((L2+M2+N2)-MIN(L2:N2) )/2</f>
        <v>83</v>
      </c>
      <c r="P2">
        <v>67.900000000000006</v>
      </c>
      <c r="Q2">
        <f t="shared" ref="Q2:Q21" si="1">ROUND((0.4*O2+0.15*P2)/0.55,2)</f>
        <v>78.88</v>
      </c>
      <c r="R2">
        <f t="shared" ref="R2:R21" si="2">ROUND(0.45*K2+0.4*O2+0.15*P2,2)</f>
        <v>82.61</v>
      </c>
      <c r="S2" t="s">
        <v>20</v>
      </c>
    </row>
    <row r="3" spans="1:19" ht="15" customHeight="1">
      <c r="A3">
        <v>57619</v>
      </c>
      <c r="B3">
        <v>3787</v>
      </c>
      <c r="C3" t="s">
        <v>19</v>
      </c>
      <c r="D3">
        <v>2</v>
      </c>
      <c r="E3">
        <v>9</v>
      </c>
      <c r="F3" s="3">
        <v>100</v>
      </c>
      <c r="G3">
        <v>75</v>
      </c>
      <c r="H3">
        <v>0</v>
      </c>
      <c r="I3">
        <v>75</v>
      </c>
      <c r="J3">
        <v>100</v>
      </c>
      <c r="K3">
        <f>ROUND((F3+G3+J3)/3,2)</f>
        <v>91.67</v>
      </c>
      <c r="L3">
        <v>89</v>
      </c>
      <c r="M3">
        <v>77</v>
      </c>
      <c r="N3">
        <v>82</v>
      </c>
      <c r="O3">
        <f t="shared" si="0"/>
        <v>85.5</v>
      </c>
      <c r="P3">
        <v>76.5</v>
      </c>
      <c r="Q3">
        <f t="shared" si="1"/>
        <v>83.05</v>
      </c>
      <c r="R3">
        <f t="shared" si="2"/>
        <v>86.93</v>
      </c>
      <c r="S3" t="s">
        <v>21</v>
      </c>
    </row>
    <row r="4" spans="1:19" ht="15" customHeight="1">
      <c r="A4">
        <v>54311</v>
      </c>
      <c r="B4">
        <v>5130</v>
      </c>
      <c r="C4" t="s">
        <v>19</v>
      </c>
      <c r="D4">
        <v>1</v>
      </c>
      <c r="E4">
        <v>9</v>
      </c>
      <c r="F4" s="3">
        <v>80</v>
      </c>
      <c r="G4">
        <v>87.5</v>
      </c>
      <c r="H4">
        <v>80</v>
      </c>
      <c r="I4">
        <v>56.82</v>
      </c>
      <c r="J4">
        <v>0</v>
      </c>
      <c r="K4">
        <f t="shared" ref="K4:K21" si="3">ROUND((SUM(F4:J4)-MIN(F4:J4))/4,2)</f>
        <v>76.08</v>
      </c>
      <c r="L4">
        <v>59</v>
      </c>
      <c r="M4">
        <v>66</v>
      </c>
      <c r="N4">
        <v>64</v>
      </c>
      <c r="O4">
        <f t="shared" si="0"/>
        <v>65</v>
      </c>
      <c r="P4">
        <v>60.9</v>
      </c>
      <c r="Q4">
        <f t="shared" si="1"/>
        <v>63.88</v>
      </c>
      <c r="R4">
        <f t="shared" si="2"/>
        <v>69.37</v>
      </c>
      <c r="S4" t="s">
        <v>29</v>
      </c>
    </row>
    <row r="5" spans="1:19" ht="15" customHeight="1">
      <c r="A5">
        <v>47713</v>
      </c>
      <c r="B5">
        <v>6950</v>
      </c>
      <c r="C5" t="s">
        <v>19</v>
      </c>
      <c r="D5">
        <v>2</v>
      </c>
      <c r="E5">
        <v>9</v>
      </c>
      <c r="F5" s="3">
        <v>0</v>
      </c>
      <c r="G5">
        <v>81.25</v>
      </c>
      <c r="H5">
        <v>100</v>
      </c>
      <c r="I5">
        <v>93.18</v>
      </c>
      <c r="J5">
        <v>100</v>
      </c>
      <c r="K5">
        <f t="shared" si="3"/>
        <v>93.61</v>
      </c>
      <c r="L5">
        <v>80</v>
      </c>
      <c r="M5">
        <v>78</v>
      </c>
      <c r="N5">
        <v>82</v>
      </c>
      <c r="O5">
        <f t="shared" si="0"/>
        <v>81</v>
      </c>
      <c r="P5">
        <v>85.1</v>
      </c>
      <c r="Q5">
        <f t="shared" si="1"/>
        <v>82.12</v>
      </c>
      <c r="R5">
        <f t="shared" si="2"/>
        <v>87.29</v>
      </c>
      <c r="S5" t="s">
        <v>21</v>
      </c>
    </row>
    <row r="6" spans="1:19" ht="15" customHeight="1">
      <c r="A6">
        <v>54396</v>
      </c>
      <c r="B6">
        <v>7204</v>
      </c>
      <c r="C6" t="s">
        <v>19</v>
      </c>
      <c r="D6">
        <v>1</v>
      </c>
      <c r="E6">
        <v>9</v>
      </c>
      <c r="F6" s="3">
        <v>100</v>
      </c>
      <c r="G6">
        <v>100</v>
      </c>
      <c r="H6">
        <v>100</v>
      </c>
      <c r="I6">
        <v>95.45</v>
      </c>
      <c r="J6">
        <v>95</v>
      </c>
      <c r="K6">
        <f t="shared" si="3"/>
        <v>98.86</v>
      </c>
      <c r="L6">
        <v>80</v>
      </c>
      <c r="M6">
        <v>86</v>
      </c>
      <c r="N6">
        <v>94</v>
      </c>
      <c r="O6">
        <f t="shared" si="0"/>
        <v>90</v>
      </c>
      <c r="P6">
        <v>92.1</v>
      </c>
      <c r="Q6">
        <f t="shared" si="1"/>
        <v>90.57</v>
      </c>
      <c r="R6">
        <f t="shared" si="2"/>
        <v>94.3</v>
      </c>
      <c r="S6" t="s">
        <v>23</v>
      </c>
    </row>
    <row r="7" spans="1:19" ht="15" customHeight="1">
      <c r="A7">
        <v>34368</v>
      </c>
      <c r="B7">
        <v>815</v>
      </c>
      <c r="C7" t="s">
        <v>19</v>
      </c>
      <c r="D7">
        <v>2</v>
      </c>
      <c r="E7">
        <v>9</v>
      </c>
      <c r="F7" s="3">
        <v>93.33</v>
      </c>
      <c r="G7">
        <v>75</v>
      </c>
      <c r="H7">
        <v>85</v>
      </c>
      <c r="I7">
        <v>84.09</v>
      </c>
      <c r="J7">
        <v>90</v>
      </c>
      <c r="K7">
        <f t="shared" si="3"/>
        <v>88.11</v>
      </c>
      <c r="L7">
        <v>72</v>
      </c>
      <c r="M7">
        <v>71</v>
      </c>
      <c r="N7">
        <v>62</v>
      </c>
      <c r="O7">
        <f t="shared" si="0"/>
        <v>71.5</v>
      </c>
      <c r="P7">
        <v>67.099999999999994</v>
      </c>
      <c r="Q7">
        <f t="shared" si="1"/>
        <v>70.3</v>
      </c>
      <c r="R7">
        <f t="shared" si="2"/>
        <v>78.31</v>
      </c>
      <c r="S7" t="s">
        <v>28</v>
      </c>
    </row>
    <row r="8" spans="1:19" ht="15" customHeight="1">
      <c r="A8">
        <v>54106</v>
      </c>
      <c r="B8">
        <v>492</v>
      </c>
      <c r="C8" t="s">
        <v>19</v>
      </c>
      <c r="D8">
        <v>1</v>
      </c>
      <c r="E8">
        <v>9</v>
      </c>
      <c r="F8" s="3">
        <v>80</v>
      </c>
      <c r="G8">
        <v>62.5</v>
      </c>
      <c r="H8">
        <v>0</v>
      </c>
      <c r="I8">
        <v>0</v>
      </c>
      <c r="J8">
        <v>0</v>
      </c>
      <c r="K8">
        <f t="shared" si="3"/>
        <v>35.630000000000003</v>
      </c>
      <c r="L8">
        <v>41</v>
      </c>
      <c r="M8">
        <v>54</v>
      </c>
      <c r="N8">
        <v>0</v>
      </c>
      <c r="O8">
        <f t="shared" si="0"/>
        <v>47.5</v>
      </c>
      <c r="P8">
        <v>0</v>
      </c>
      <c r="Q8">
        <f t="shared" si="1"/>
        <v>34.549999999999997</v>
      </c>
      <c r="R8">
        <f t="shared" si="2"/>
        <v>35.03</v>
      </c>
      <c r="S8" t="s">
        <v>25</v>
      </c>
    </row>
    <row r="9" spans="1:19" ht="15" customHeight="1">
      <c r="A9">
        <v>61220</v>
      </c>
      <c r="B9">
        <v>6258</v>
      </c>
      <c r="C9" t="s">
        <v>19</v>
      </c>
      <c r="D9">
        <v>2</v>
      </c>
      <c r="E9">
        <v>9</v>
      </c>
      <c r="F9" s="3">
        <v>86.67</v>
      </c>
      <c r="G9">
        <v>100</v>
      </c>
      <c r="H9">
        <v>0</v>
      </c>
      <c r="I9">
        <v>0</v>
      </c>
      <c r="J9">
        <v>0</v>
      </c>
      <c r="K9">
        <f t="shared" si="3"/>
        <v>46.67</v>
      </c>
      <c r="L9">
        <v>51</v>
      </c>
      <c r="M9">
        <v>50</v>
      </c>
      <c r="N9">
        <v>41</v>
      </c>
      <c r="O9">
        <f t="shared" si="0"/>
        <v>50.5</v>
      </c>
      <c r="P9">
        <v>47.6</v>
      </c>
      <c r="Q9">
        <f t="shared" si="1"/>
        <v>49.71</v>
      </c>
      <c r="R9">
        <f t="shared" si="2"/>
        <v>48.34</v>
      </c>
      <c r="S9" t="s">
        <v>25</v>
      </c>
    </row>
    <row r="10" spans="1:19" ht="15" customHeight="1">
      <c r="A10">
        <v>33278</v>
      </c>
      <c r="B10">
        <v>6736</v>
      </c>
      <c r="C10" t="s">
        <v>19</v>
      </c>
      <c r="D10">
        <v>1</v>
      </c>
      <c r="E10">
        <v>9</v>
      </c>
      <c r="F10" s="3">
        <v>100</v>
      </c>
      <c r="G10">
        <v>93.75</v>
      </c>
      <c r="H10">
        <v>100</v>
      </c>
      <c r="I10">
        <v>100</v>
      </c>
      <c r="J10">
        <v>95</v>
      </c>
      <c r="K10">
        <f t="shared" si="3"/>
        <v>98.75</v>
      </c>
      <c r="L10">
        <v>79</v>
      </c>
      <c r="M10">
        <v>87</v>
      </c>
      <c r="N10">
        <v>91</v>
      </c>
      <c r="O10">
        <f t="shared" si="0"/>
        <v>89</v>
      </c>
      <c r="P10">
        <v>86.7</v>
      </c>
      <c r="Q10">
        <f t="shared" si="1"/>
        <v>88.37</v>
      </c>
      <c r="R10">
        <f t="shared" si="2"/>
        <v>93.04</v>
      </c>
      <c r="S10" t="s">
        <v>23</v>
      </c>
    </row>
    <row r="11" spans="1:19" ht="15" customHeight="1">
      <c r="A11">
        <v>54394</v>
      </c>
      <c r="B11">
        <v>5907</v>
      </c>
      <c r="C11" t="s">
        <v>19</v>
      </c>
      <c r="D11">
        <v>1</v>
      </c>
      <c r="E11">
        <v>9</v>
      </c>
      <c r="F11" s="3">
        <v>93.33</v>
      </c>
      <c r="G11">
        <v>100</v>
      </c>
      <c r="H11">
        <v>80</v>
      </c>
      <c r="I11">
        <v>90.91</v>
      </c>
      <c r="J11">
        <v>0</v>
      </c>
      <c r="K11">
        <f t="shared" si="3"/>
        <v>91.06</v>
      </c>
      <c r="L11">
        <v>90</v>
      </c>
      <c r="M11">
        <v>91</v>
      </c>
      <c r="N11">
        <v>72</v>
      </c>
      <c r="O11">
        <f t="shared" si="0"/>
        <v>90.5</v>
      </c>
      <c r="P11">
        <v>83.5</v>
      </c>
      <c r="Q11">
        <f t="shared" si="1"/>
        <v>88.59</v>
      </c>
      <c r="R11">
        <f t="shared" si="2"/>
        <v>89.7</v>
      </c>
      <c r="S11" t="s">
        <v>22</v>
      </c>
    </row>
    <row r="12" spans="1:19" ht="15" customHeight="1">
      <c r="A12">
        <v>55999</v>
      </c>
      <c r="B12">
        <v>5340</v>
      </c>
      <c r="C12" t="s">
        <v>19</v>
      </c>
      <c r="D12">
        <v>2</v>
      </c>
      <c r="E12">
        <v>9</v>
      </c>
      <c r="F12" s="3">
        <v>100</v>
      </c>
      <c r="G12">
        <v>100</v>
      </c>
      <c r="H12">
        <v>100</v>
      </c>
      <c r="I12">
        <v>84.09</v>
      </c>
      <c r="J12">
        <v>95</v>
      </c>
      <c r="K12">
        <f t="shared" si="3"/>
        <v>98.75</v>
      </c>
      <c r="L12">
        <v>99</v>
      </c>
      <c r="M12">
        <v>87</v>
      </c>
      <c r="N12">
        <v>69</v>
      </c>
      <c r="O12">
        <f t="shared" si="0"/>
        <v>93</v>
      </c>
      <c r="P12">
        <v>89.8</v>
      </c>
      <c r="Q12">
        <f t="shared" si="1"/>
        <v>92.13</v>
      </c>
      <c r="R12">
        <f t="shared" si="2"/>
        <v>95.11</v>
      </c>
      <c r="S12" t="s">
        <v>23</v>
      </c>
    </row>
    <row r="13" spans="1:19" ht="15" customHeight="1">
      <c r="A13">
        <v>54308</v>
      </c>
      <c r="B13">
        <v>4198</v>
      </c>
      <c r="C13" t="s">
        <v>19</v>
      </c>
      <c r="D13">
        <v>2</v>
      </c>
      <c r="E13">
        <v>9</v>
      </c>
      <c r="F13" s="3">
        <v>100</v>
      </c>
      <c r="G13">
        <v>93.75</v>
      </c>
      <c r="H13">
        <v>95</v>
      </c>
      <c r="I13">
        <v>97.73</v>
      </c>
      <c r="J13">
        <v>0</v>
      </c>
      <c r="K13">
        <f t="shared" si="3"/>
        <v>96.62</v>
      </c>
      <c r="L13">
        <v>78</v>
      </c>
      <c r="M13">
        <v>81</v>
      </c>
      <c r="N13">
        <v>0</v>
      </c>
      <c r="O13">
        <f t="shared" si="0"/>
        <v>79.5</v>
      </c>
      <c r="P13">
        <v>73.400000000000006</v>
      </c>
      <c r="Q13">
        <f t="shared" si="1"/>
        <v>77.84</v>
      </c>
      <c r="R13">
        <f t="shared" si="2"/>
        <v>86.29</v>
      </c>
      <c r="S13" t="s">
        <v>21</v>
      </c>
    </row>
    <row r="14" spans="1:19" ht="15" customHeight="1">
      <c r="A14">
        <v>54323</v>
      </c>
      <c r="B14">
        <v>9810</v>
      </c>
      <c r="C14" t="s">
        <v>19</v>
      </c>
      <c r="D14">
        <v>1</v>
      </c>
      <c r="E14">
        <v>9</v>
      </c>
      <c r="F14" s="3">
        <v>100</v>
      </c>
      <c r="G14">
        <v>93.75</v>
      </c>
      <c r="H14">
        <v>95</v>
      </c>
      <c r="I14">
        <v>97.73</v>
      </c>
      <c r="J14">
        <v>100</v>
      </c>
      <c r="K14">
        <f t="shared" si="3"/>
        <v>98.18</v>
      </c>
      <c r="L14">
        <v>61</v>
      </c>
      <c r="M14">
        <v>65</v>
      </c>
      <c r="N14">
        <v>87</v>
      </c>
      <c r="O14">
        <f t="shared" si="0"/>
        <v>76</v>
      </c>
      <c r="P14">
        <v>72.599999999999994</v>
      </c>
      <c r="Q14">
        <f t="shared" si="1"/>
        <v>75.069999999999993</v>
      </c>
      <c r="R14">
        <f t="shared" si="2"/>
        <v>85.47</v>
      </c>
      <c r="S14" t="s">
        <v>20</v>
      </c>
    </row>
    <row r="15" spans="1:19" ht="15" customHeight="1">
      <c r="A15">
        <v>54225</v>
      </c>
      <c r="B15">
        <v>9799</v>
      </c>
      <c r="C15" t="s">
        <v>19</v>
      </c>
      <c r="D15">
        <v>1</v>
      </c>
      <c r="E15">
        <v>9</v>
      </c>
      <c r="F15" s="3">
        <v>80</v>
      </c>
      <c r="G15">
        <v>100</v>
      </c>
      <c r="H15">
        <v>30</v>
      </c>
      <c r="I15">
        <v>0</v>
      </c>
      <c r="J15">
        <v>75</v>
      </c>
      <c r="K15">
        <f t="shared" si="3"/>
        <v>71.25</v>
      </c>
      <c r="L15">
        <v>28</v>
      </c>
      <c r="M15">
        <v>0</v>
      </c>
      <c r="N15">
        <v>0</v>
      </c>
      <c r="O15">
        <f t="shared" si="0"/>
        <v>14</v>
      </c>
      <c r="P15">
        <v>27.3</v>
      </c>
      <c r="Q15">
        <f t="shared" si="1"/>
        <v>17.63</v>
      </c>
      <c r="R15">
        <f t="shared" si="2"/>
        <v>41.76</v>
      </c>
      <c r="S15" t="s">
        <v>25</v>
      </c>
    </row>
    <row r="16" spans="1:19" ht="15" customHeight="1">
      <c r="A16">
        <v>54121</v>
      </c>
      <c r="B16">
        <v>9630</v>
      </c>
      <c r="C16" t="s">
        <v>19</v>
      </c>
      <c r="D16">
        <v>1</v>
      </c>
      <c r="E16">
        <v>9</v>
      </c>
      <c r="F16" s="3">
        <v>0</v>
      </c>
      <c r="G16">
        <v>0</v>
      </c>
      <c r="H16">
        <v>0</v>
      </c>
      <c r="I16">
        <v>0</v>
      </c>
      <c r="J16">
        <v>0</v>
      </c>
      <c r="K16">
        <f t="shared" si="3"/>
        <v>0</v>
      </c>
      <c r="L16">
        <v>57</v>
      </c>
      <c r="M16">
        <v>0</v>
      </c>
      <c r="N16">
        <v>0</v>
      </c>
      <c r="O16">
        <f t="shared" si="0"/>
        <v>28.5</v>
      </c>
      <c r="P16">
        <v>0</v>
      </c>
      <c r="Q16">
        <f t="shared" si="1"/>
        <v>20.73</v>
      </c>
      <c r="R16">
        <f t="shared" si="2"/>
        <v>11.4</v>
      </c>
      <c r="S16" t="s">
        <v>25</v>
      </c>
    </row>
    <row r="17" spans="1:19" ht="15" customHeight="1">
      <c r="A17">
        <v>55331</v>
      </c>
      <c r="B17">
        <v>4801</v>
      </c>
      <c r="C17" t="s">
        <v>19</v>
      </c>
      <c r="D17">
        <v>2</v>
      </c>
      <c r="E17">
        <v>9</v>
      </c>
      <c r="F17" s="3">
        <v>86.67</v>
      </c>
      <c r="G17">
        <v>75</v>
      </c>
      <c r="H17">
        <v>100</v>
      </c>
      <c r="I17">
        <v>97.73</v>
      </c>
      <c r="J17">
        <v>100</v>
      </c>
      <c r="K17">
        <f t="shared" si="3"/>
        <v>96.1</v>
      </c>
      <c r="L17">
        <v>97</v>
      </c>
      <c r="M17">
        <v>89</v>
      </c>
      <c r="N17">
        <v>0</v>
      </c>
      <c r="O17">
        <f t="shared" si="0"/>
        <v>93</v>
      </c>
      <c r="P17">
        <v>88.2</v>
      </c>
      <c r="Q17">
        <f t="shared" si="1"/>
        <v>91.69</v>
      </c>
      <c r="R17">
        <f t="shared" si="2"/>
        <v>93.68</v>
      </c>
      <c r="S17" t="s">
        <v>23</v>
      </c>
    </row>
    <row r="18" spans="1:19" ht="15" customHeight="1">
      <c r="A18">
        <v>50996</v>
      </c>
      <c r="B18">
        <v>4756</v>
      </c>
      <c r="C18" t="s">
        <v>19</v>
      </c>
      <c r="D18">
        <v>2</v>
      </c>
      <c r="E18">
        <v>9</v>
      </c>
      <c r="F18" s="3">
        <v>100</v>
      </c>
      <c r="G18">
        <v>100</v>
      </c>
      <c r="H18">
        <v>100</v>
      </c>
      <c r="I18">
        <v>0</v>
      </c>
      <c r="J18">
        <v>95</v>
      </c>
      <c r="K18">
        <f t="shared" si="3"/>
        <v>98.75</v>
      </c>
      <c r="L18">
        <v>72</v>
      </c>
      <c r="M18">
        <v>74</v>
      </c>
      <c r="N18">
        <v>62</v>
      </c>
      <c r="O18">
        <f t="shared" si="0"/>
        <v>73</v>
      </c>
      <c r="P18">
        <v>64</v>
      </c>
      <c r="Q18">
        <f t="shared" si="1"/>
        <v>70.55</v>
      </c>
      <c r="R18">
        <f t="shared" si="2"/>
        <v>83.24</v>
      </c>
      <c r="S18" t="s">
        <v>20</v>
      </c>
    </row>
    <row r="19" spans="1:19" ht="15" customHeight="1">
      <c r="A19">
        <v>54313</v>
      </c>
      <c r="B19">
        <v>8222</v>
      </c>
      <c r="C19" t="s">
        <v>19</v>
      </c>
      <c r="D19">
        <v>1</v>
      </c>
      <c r="E19">
        <v>9</v>
      </c>
      <c r="F19" s="3">
        <v>86.67</v>
      </c>
      <c r="G19">
        <v>100</v>
      </c>
      <c r="H19">
        <v>100</v>
      </c>
      <c r="I19">
        <v>100</v>
      </c>
      <c r="J19">
        <v>100</v>
      </c>
      <c r="K19">
        <f t="shared" si="3"/>
        <v>100</v>
      </c>
      <c r="L19">
        <v>79</v>
      </c>
      <c r="M19">
        <v>75</v>
      </c>
      <c r="N19">
        <v>84</v>
      </c>
      <c r="O19">
        <f t="shared" si="0"/>
        <v>81.5</v>
      </c>
      <c r="P19">
        <v>67.099999999999994</v>
      </c>
      <c r="Q19">
        <f t="shared" si="1"/>
        <v>77.569999999999993</v>
      </c>
      <c r="R19">
        <f t="shared" si="2"/>
        <v>87.67</v>
      </c>
      <c r="S19" t="s">
        <v>21</v>
      </c>
    </row>
    <row r="20" spans="1:19" ht="15" customHeight="1">
      <c r="A20">
        <v>54384</v>
      </c>
      <c r="B20">
        <v>9560</v>
      </c>
      <c r="C20" t="s">
        <v>19</v>
      </c>
      <c r="D20">
        <v>1</v>
      </c>
      <c r="E20">
        <v>9</v>
      </c>
      <c r="F20" s="3">
        <v>80</v>
      </c>
      <c r="G20">
        <v>100</v>
      </c>
      <c r="H20">
        <v>100</v>
      </c>
      <c r="I20">
        <v>100</v>
      </c>
      <c r="J20">
        <v>100</v>
      </c>
      <c r="K20">
        <f t="shared" si="3"/>
        <v>100</v>
      </c>
      <c r="L20">
        <v>69</v>
      </c>
      <c r="M20">
        <v>70</v>
      </c>
      <c r="N20">
        <v>0</v>
      </c>
      <c r="O20">
        <f t="shared" si="0"/>
        <v>69.5</v>
      </c>
      <c r="P20">
        <v>67.099999999999994</v>
      </c>
      <c r="Q20">
        <f t="shared" si="1"/>
        <v>68.849999999999994</v>
      </c>
      <c r="R20">
        <f t="shared" si="2"/>
        <v>82.87</v>
      </c>
      <c r="S20" t="s">
        <v>20</v>
      </c>
    </row>
    <row r="21" spans="1:19" ht="15" customHeight="1">
      <c r="A21">
        <v>54404</v>
      </c>
      <c r="B21">
        <v>890</v>
      </c>
      <c r="C21" t="s">
        <v>19</v>
      </c>
      <c r="D21">
        <v>1</v>
      </c>
      <c r="E21">
        <v>9</v>
      </c>
      <c r="F21" s="3">
        <v>0</v>
      </c>
      <c r="G21">
        <v>100</v>
      </c>
      <c r="H21">
        <v>100</v>
      </c>
      <c r="I21">
        <v>100</v>
      </c>
      <c r="J21">
        <v>75</v>
      </c>
      <c r="K21">
        <f t="shared" si="3"/>
        <v>93.75</v>
      </c>
      <c r="L21">
        <v>80</v>
      </c>
      <c r="M21">
        <v>89</v>
      </c>
      <c r="N21">
        <v>46</v>
      </c>
      <c r="O21">
        <f t="shared" si="0"/>
        <v>84.5</v>
      </c>
      <c r="P21">
        <v>89.8</v>
      </c>
      <c r="Q21">
        <f t="shared" si="1"/>
        <v>85.95</v>
      </c>
      <c r="R21">
        <f t="shared" si="2"/>
        <v>89.46</v>
      </c>
      <c r="S21" t="s">
        <v>22</v>
      </c>
    </row>
  </sheetData>
  <printOptions gridLines="1" gridLinesSet="0"/>
  <pageMargins left="0.75" right="0.75" top="1" bottom="1" header="0.5" footer="0.5"/>
  <pageSetup paperSize="0" orientation="landscape" horizontalDpi="4294967292" verticalDpi="4294967292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workbookViewId="0">
      <pane xSplit="15730"/>
      <selection activeCell="C2" sqref="C2:C19"/>
      <selection pane="topRight" activeCell="C20" sqref="C20"/>
    </sheetView>
  </sheetViews>
  <sheetFormatPr defaultColWidth="11.453125" defaultRowHeight="12.5"/>
  <cols>
    <col min="1" max="1" width="6" customWidth="1"/>
    <col min="2" max="2" width="5" customWidth="1"/>
    <col min="3" max="3" width="23" customWidth="1"/>
    <col min="4" max="4" width="3" customWidth="1"/>
    <col min="5" max="5" width="3.453125" customWidth="1"/>
    <col min="6" max="6" width="6.453125" style="3" customWidth="1"/>
    <col min="7" max="7" width="6" customWidth="1"/>
    <col min="8" max="8" width="5.54296875" customWidth="1"/>
    <col min="9" max="9" width="6" customWidth="1"/>
    <col min="10" max="10" width="5.54296875" customWidth="1"/>
    <col min="11" max="11" width="7.7265625" customWidth="1"/>
    <col min="12" max="14" width="5.1796875" customWidth="1"/>
    <col min="15" max="15" width="7.26953125" customWidth="1"/>
    <col min="16" max="16" width="4.54296875" customWidth="1"/>
    <col min="17" max="17" width="7.81640625" customWidth="1"/>
    <col min="18" max="18" width="8.54296875" customWidth="1"/>
    <col min="19" max="19" width="5.453125" customWidth="1"/>
  </cols>
  <sheetData>
    <row r="1" spans="1:20" s="1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ht="15" customHeight="1">
      <c r="A2">
        <v>54325</v>
      </c>
      <c r="B2">
        <v>6092</v>
      </c>
      <c r="C2" t="s">
        <v>19</v>
      </c>
      <c r="D2">
        <v>1</v>
      </c>
      <c r="E2">
        <v>10</v>
      </c>
      <c r="F2" s="3">
        <v>100</v>
      </c>
      <c r="G2">
        <v>94.12</v>
      </c>
      <c r="H2">
        <v>95</v>
      </c>
      <c r="I2">
        <v>95.45</v>
      </c>
      <c r="J2">
        <v>0</v>
      </c>
      <c r="K2">
        <f t="shared" ref="K2:K18" si="0">ROUND((SUM(F2:J2)-MIN(F2:J2))/4,2)</f>
        <v>96.14</v>
      </c>
      <c r="L2">
        <v>81</v>
      </c>
      <c r="M2">
        <v>85.9</v>
      </c>
      <c r="N2">
        <v>83</v>
      </c>
      <c r="O2">
        <f t="shared" ref="O2:O18" si="1">((L2+M2+N2)-MIN(L2:N2) )/2</f>
        <v>84.45</v>
      </c>
      <c r="P2">
        <v>85.9</v>
      </c>
      <c r="Q2">
        <f t="shared" ref="Q2:Q18" si="2">ROUND((0.4*O2+0.15*P2)/0.55,2)</f>
        <v>84.85</v>
      </c>
      <c r="R2">
        <f t="shared" ref="R2:R18" si="3">ROUND(0.45*K2+0.4*O2+0.15*P2,2)</f>
        <v>89.93</v>
      </c>
      <c r="S2" t="s">
        <v>22</v>
      </c>
      <c r="T2" t="s">
        <v>33</v>
      </c>
    </row>
    <row r="3" spans="1:20" ht="15" customHeight="1">
      <c r="A3">
        <v>54779</v>
      </c>
      <c r="B3">
        <v>4526</v>
      </c>
      <c r="C3" t="s">
        <v>19</v>
      </c>
      <c r="D3">
        <v>2</v>
      </c>
      <c r="E3">
        <v>10</v>
      </c>
      <c r="F3" s="3">
        <v>86.67</v>
      </c>
      <c r="G3">
        <v>0</v>
      </c>
      <c r="H3">
        <v>85</v>
      </c>
      <c r="I3">
        <v>90.91</v>
      </c>
      <c r="J3">
        <v>0</v>
      </c>
      <c r="K3">
        <f t="shared" si="0"/>
        <v>65.650000000000006</v>
      </c>
      <c r="L3">
        <v>55</v>
      </c>
      <c r="M3">
        <v>81</v>
      </c>
      <c r="N3">
        <v>72</v>
      </c>
      <c r="O3">
        <f t="shared" si="1"/>
        <v>76.5</v>
      </c>
      <c r="P3">
        <v>70.3</v>
      </c>
      <c r="Q3">
        <f t="shared" si="2"/>
        <v>74.81</v>
      </c>
      <c r="R3">
        <f t="shared" si="3"/>
        <v>70.69</v>
      </c>
      <c r="S3" t="s">
        <v>29</v>
      </c>
      <c r="T3" t="s">
        <v>34</v>
      </c>
    </row>
    <row r="4" spans="1:20" ht="15" customHeight="1">
      <c r="A4">
        <v>54127</v>
      </c>
      <c r="B4">
        <v>3150</v>
      </c>
      <c r="C4" t="s">
        <v>19</v>
      </c>
      <c r="D4">
        <v>2</v>
      </c>
      <c r="E4">
        <v>10</v>
      </c>
      <c r="F4" s="3">
        <v>0</v>
      </c>
      <c r="G4">
        <v>35.29</v>
      </c>
      <c r="H4">
        <v>70</v>
      </c>
      <c r="I4">
        <v>90.91</v>
      </c>
      <c r="J4">
        <v>90</v>
      </c>
      <c r="K4">
        <f t="shared" si="0"/>
        <v>71.55</v>
      </c>
      <c r="L4">
        <v>68</v>
      </c>
      <c r="M4">
        <v>67.900000000000006</v>
      </c>
      <c r="N4">
        <v>77</v>
      </c>
      <c r="O4">
        <f t="shared" si="1"/>
        <v>72.5</v>
      </c>
      <c r="P4">
        <v>67.900000000000006</v>
      </c>
      <c r="Q4">
        <f t="shared" si="2"/>
        <v>71.25</v>
      </c>
      <c r="R4">
        <f t="shared" si="3"/>
        <v>71.38</v>
      </c>
      <c r="S4" t="s">
        <v>29</v>
      </c>
      <c r="T4" t="s">
        <v>33</v>
      </c>
    </row>
    <row r="5" spans="1:20" ht="15" customHeight="1">
      <c r="A5">
        <v>60203</v>
      </c>
      <c r="B5">
        <v>1894</v>
      </c>
      <c r="C5" t="s">
        <v>19</v>
      </c>
      <c r="D5">
        <v>2</v>
      </c>
      <c r="E5">
        <v>10</v>
      </c>
      <c r="F5" s="3">
        <v>86.67</v>
      </c>
      <c r="G5">
        <v>88.24</v>
      </c>
      <c r="H5">
        <v>75</v>
      </c>
      <c r="I5">
        <v>18.18</v>
      </c>
      <c r="J5">
        <v>50</v>
      </c>
      <c r="K5">
        <f t="shared" si="0"/>
        <v>74.98</v>
      </c>
      <c r="L5">
        <v>84</v>
      </c>
      <c r="M5">
        <v>77</v>
      </c>
      <c r="N5">
        <v>76</v>
      </c>
      <c r="O5">
        <f t="shared" si="1"/>
        <v>80.5</v>
      </c>
      <c r="P5">
        <v>84.3</v>
      </c>
      <c r="Q5">
        <f t="shared" si="2"/>
        <v>81.540000000000006</v>
      </c>
      <c r="R5">
        <f t="shared" si="3"/>
        <v>78.59</v>
      </c>
      <c r="S5" t="s">
        <v>31</v>
      </c>
    </row>
    <row r="6" spans="1:20" ht="15" customHeight="1">
      <c r="A6">
        <v>54115</v>
      </c>
      <c r="B6">
        <v>4534</v>
      </c>
      <c r="C6" t="s">
        <v>19</v>
      </c>
      <c r="D6">
        <v>1</v>
      </c>
      <c r="E6">
        <v>10</v>
      </c>
      <c r="F6" s="3">
        <v>93.33</v>
      </c>
      <c r="G6">
        <v>76.47</v>
      </c>
      <c r="H6">
        <v>0</v>
      </c>
      <c r="I6">
        <v>84.09</v>
      </c>
      <c r="J6">
        <v>85</v>
      </c>
      <c r="K6">
        <f t="shared" si="0"/>
        <v>84.72</v>
      </c>
      <c r="L6">
        <v>85</v>
      </c>
      <c r="M6">
        <v>0</v>
      </c>
      <c r="N6">
        <v>71</v>
      </c>
      <c r="O6">
        <f t="shared" si="1"/>
        <v>78</v>
      </c>
      <c r="P6">
        <v>60.9</v>
      </c>
      <c r="Q6">
        <f t="shared" si="2"/>
        <v>73.34</v>
      </c>
      <c r="R6">
        <f t="shared" si="3"/>
        <v>78.459999999999994</v>
      </c>
      <c r="S6" t="s">
        <v>28</v>
      </c>
      <c r="T6" t="s">
        <v>34</v>
      </c>
    </row>
    <row r="7" spans="1:20" ht="15" customHeight="1">
      <c r="A7">
        <v>54221</v>
      </c>
      <c r="B7">
        <v>4210</v>
      </c>
      <c r="C7" t="s">
        <v>19</v>
      </c>
      <c r="D7">
        <v>2</v>
      </c>
      <c r="E7">
        <v>10</v>
      </c>
      <c r="F7" s="3">
        <v>40</v>
      </c>
      <c r="G7">
        <v>91.18</v>
      </c>
      <c r="H7">
        <v>80</v>
      </c>
      <c r="I7">
        <v>88.64</v>
      </c>
      <c r="J7">
        <v>60</v>
      </c>
      <c r="K7">
        <f t="shared" si="0"/>
        <v>79.959999999999994</v>
      </c>
      <c r="L7">
        <v>87</v>
      </c>
      <c r="M7">
        <v>82</v>
      </c>
      <c r="N7">
        <v>0</v>
      </c>
      <c r="O7">
        <f t="shared" si="1"/>
        <v>84.5</v>
      </c>
      <c r="P7">
        <v>78.099999999999994</v>
      </c>
      <c r="Q7">
        <f t="shared" si="2"/>
        <v>82.75</v>
      </c>
      <c r="R7">
        <f t="shared" si="3"/>
        <v>81.5</v>
      </c>
      <c r="S7" t="s">
        <v>20</v>
      </c>
    </row>
    <row r="8" spans="1:20" ht="15" customHeight="1">
      <c r="A8">
        <v>54113</v>
      </c>
      <c r="B8">
        <v>1617</v>
      </c>
      <c r="C8" t="s">
        <v>19</v>
      </c>
      <c r="D8">
        <v>2</v>
      </c>
      <c r="E8">
        <v>10</v>
      </c>
      <c r="F8" s="3">
        <v>86.67</v>
      </c>
      <c r="G8">
        <v>70.59</v>
      </c>
      <c r="H8">
        <v>100</v>
      </c>
      <c r="I8">
        <v>90.91</v>
      </c>
      <c r="J8">
        <v>100</v>
      </c>
      <c r="K8">
        <f t="shared" si="0"/>
        <v>94.4</v>
      </c>
      <c r="L8">
        <v>73</v>
      </c>
      <c r="M8">
        <v>83</v>
      </c>
      <c r="N8">
        <v>70</v>
      </c>
      <c r="O8">
        <f t="shared" si="1"/>
        <v>78</v>
      </c>
      <c r="P8">
        <v>77.3</v>
      </c>
      <c r="Q8">
        <f t="shared" si="2"/>
        <v>77.81</v>
      </c>
      <c r="R8">
        <f t="shared" si="3"/>
        <v>85.28</v>
      </c>
      <c r="S8" t="s">
        <v>20</v>
      </c>
    </row>
    <row r="9" spans="1:20" ht="15" customHeight="1">
      <c r="A9">
        <v>54121</v>
      </c>
      <c r="B9">
        <v>1889</v>
      </c>
      <c r="C9" t="s">
        <v>19</v>
      </c>
      <c r="D9">
        <v>2</v>
      </c>
      <c r="E9">
        <v>10</v>
      </c>
      <c r="F9" s="3">
        <v>100</v>
      </c>
      <c r="G9">
        <v>0</v>
      </c>
      <c r="H9">
        <v>0</v>
      </c>
      <c r="I9">
        <v>0</v>
      </c>
      <c r="J9">
        <v>0</v>
      </c>
      <c r="K9">
        <f t="shared" si="0"/>
        <v>25</v>
      </c>
      <c r="L9">
        <v>84</v>
      </c>
      <c r="M9">
        <v>0</v>
      </c>
      <c r="N9">
        <v>50</v>
      </c>
      <c r="O9">
        <f t="shared" si="1"/>
        <v>67</v>
      </c>
      <c r="P9">
        <v>63.2</v>
      </c>
      <c r="Q9">
        <f t="shared" si="2"/>
        <v>65.959999999999994</v>
      </c>
      <c r="R9">
        <f t="shared" si="3"/>
        <v>47.53</v>
      </c>
      <c r="S9" t="s">
        <v>25</v>
      </c>
      <c r="T9" t="s">
        <v>34</v>
      </c>
    </row>
    <row r="10" spans="1:20" ht="15" customHeight="1">
      <c r="A10">
        <v>60510</v>
      </c>
      <c r="B10">
        <v>6650</v>
      </c>
      <c r="C10" t="s">
        <v>19</v>
      </c>
      <c r="D10">
        <v>2</v>
      </c>
      <c r="E10">
        <v>10</v>
      </c>
      <c r="F10" s="3">
        <v>80</v>
      </c>
      <c r="G10">
        <v>70.59</v>
      </c>
      <c r="H10">
        <v>0</v>
      </c>
      <c r="I10">
        <v>97.73</v>
      </c>
      <c r="J10">
        <v>95</v>
      </c>
      <c r="K10">
        <f t="shared" si="0"/>
        <v>85.83</v>
      </c>
      <c r="L10">
        <v>76</v>
      </c>
      <c r="M10">
        <v>74</v>
      </c>
      <c r="N10">
        <v>0</v>
      </c>
      <c r="O10">
        <f t="shared" si="1"/>
        <v>75</v>
      </c>
      <c r="P10">
        <v>63.2</v>
      </c>
      <c r="Q10">
        <f t="shared" si="2"/>
        <v>71.78</v>
      </c>
      <c r="R10">
        <f t="shared" si="3"/>
        <v>78.099999999999994</v>
      </c>
      <c r="S10" t="s">
        <v>28</v>
      </c>
    </row>
    <row r="11" spans="1:20" ht="15" customHeight="1">
      <c r="A11">
        <v>54302</v>
      </c>
      <c r="B11">
        <v>3425</v>
      </c>
      <c r="C11" t="s">
        <v>19</v>
      </c>
      <c r="D11">
        <v>1</v>
      </c>
      <c r="E11">
        <v>10</v>
      </c>
      <c r="F11" s="3">
        <v>93.33</v>
      </c>
      <c r="G11">
        <v>76.47</v>
      </c>
      <c r="H11">
        <v>40</v>
      </c>
      <c r="I11">
        <v>95.45</v>
      </c>
      <c r="J11">
        <v>90</v>
      </c>
      <c r="K11">
        <f t="shared" si="0"/>
        <v>88.81</v>
      </c>
      <c r="L11">
        <v>84</v>
      </c>
      <c r="M11">
        <v>76</v>
      </c>
      <c r="N11">
        <v>74</v>
      </c>
      <c r="O11">
        <f t="shared" si="1"/>
        <v>80</v>
      </c>
      <c r="P11">
        <v>78.900000000000006</v>
      </c>
      <c r="Q11">
        <f t="shared" si="2"/>
        <v>79.7</v>
      </c>
      <c r="R11">
        <f t="shared" si="3"/>
        <v>83.8</v>
      </c>
      <c r="S11" t="s">
        <v>20</v>
      </c>
    </row>
    <row r="12" spans="1:20" ht="15" customHeight="1">
      <c r="A12">
        <v>54317</v>
      </c>
      <c r="B12">
        <v>2634</v>
      </c>
      <c r="C12" t="s">
        <v>19</v>
      </c>
      <c r="D12">
        <v>2</v>
      </c>
      <c r="E12">
        <v>10</v>
      </c>
      <c r="F12" s="3">
        <v>0</v>
      </c>
      <c r="G12">
        <v>100</v>
      </c>
      <c r="H12">
        <v>95</v>
      </c>
      <c r="I12">
        <v>100</v>
      </c>
      <c r="J12">
        <v>100</v>
      </c>
      <c r="K12">
        <f t="shared" si="0"/>
        <v>98.75</v>
      </c>
      <c r="L12">
        <v>90</v>
      </c>
      <c r="M12">
        <v>94</v>
      </c>
      <c r="N12">
        <v>72</v>
      </c>
      <c r="O12">
        <f t="shared" si="1"/>
        <v>92</v>
      </c>
      <c r="P12">
        <v>92.1</v>
      </c>
      <c r="Q12">
        <f t="shared" si="2"/>
        <v>92.03</v>
      </c>
      <c r="R12">
        <f t="shared" si="3"/>
        <v>95.05</v>
      </c>
      <c r="S12" t="s">
        <v>23</v>
      </c>
    </row>
    <row r="13" spans="1:20" ht="15" customHeight="1">
      <c r="A13">
        <v>55453</v>
      </c>
      <c r="B13">
        <v>3135</v>
      </c>
      <c r="C13" t="s">
        <v>19</v>
      </c>
      <c r="D13">
        <v>2</v>
      </c>
      <c r="E13">
        <v>10</v>
      </c>
      <c r="F13" s="3">
        <v>86.67</v>
      </c>
      <c r="G13">
        <v>76.47</v>
      </c>
      <c r="H13">
        <v>80</v>
      </c>
      <c r="I13">
        <v>97.73</v>
      </c>
      <c r="J13">
        <v>100</v>
      </c>
      <c r="K13">
        <f t="shared" si="0"/>
        <v>91.1</v>
      </c>
      <c r="L13">
        <v>87</v>
      </c>
      <c r="M13">
        <v>78</v>
      </c>
      <c r="N13">
        <v>60</v>
      </c>
      <c r="O13">
        <f t="shared" si="1"/>
        <v>82.5</v>
      </c>
      <c r="P13">
        <v>84.3</v>
      </c>
      <c r="Q13">
        <f t="shared" si="2"/>
        <v>82.99</v>
      </c>
      <c r="R13">
        <f t="shared" si="3"/>
        <v>86.64</v>
      </c>
      <c r="S13" t="s">
        <v>21</v>
      </c>
    </row>
    <row r="14" spans="1:20" ht="15" customHeight="1">
      <c r="A14">
        <v>35266</v>
      </c>
      <c r="B14">
        <v>6189</v>
      </c>
      <c r="C14" t="s">
        <v>19</v>
      </c>
      <c r="D14">
        <v>2</v>
      </c>
      <c r="E14">
        <v>10</v>
      </c>
      <c r="F14" s="3">
        <v>100</v>
      </c>
      <c r="G14">
        <v>100</v>
      </c>
      <c r="H14">
        <v>100</v>
      </c>
      <c r="I14">
        <v>97.73</v>
      </c>
      <c r="J14">
        <v>0</v>
      </c>
      <c r="K14">
        <f t="shared" si="0"/>
        <v>99.43</v>
      </c>
      <c r="L14">
        <v>92</v>
      </c>
      <c r="M14">
        <v>85</v>
      </c>
      <c r="N14">
        <v>0</v>
      </c>
      <c r="O14">
        <f t="shared" si="1"/>
        <v>88.5</v>
      </c>
      <c r="P14">
        <v>86.7</v>
      </c>
      <c r="Q14">
        <f t="shared" si="2"/>
        <v>88.01</v>
      </c>
      <c r="R14">
        <f t="shared" si="3"/>
        <v>93.15</v>
      </c>
      <c r="S14" t="s">
        <v>23</v>
      </c>
    </row>
    <row r="15" spans="1:20" ht="15" customHeight="1">
      <c r="A15">
        <v>57257</v>
      </c>
      <c r="B15">
        <v>8981</v>
      </c>
      <c r="C15" t="s">
        <v>19</v>
      </c>
      <c r="D15">
        <v>2</v>
      </c>
      <c r="E15">
        <v>10</v>
      </c>
      <c r="F15" s="3">
        <v>100</v>
      </c>
      <c r="G15">
        <v>94.12</v>
      </c>
      <c r="H15">
        <v>85</v>
      </c>
      <c r="I15">
        <v>86.36</v>
      </c>
      <c r="J15">
        <v>90</v>
      </c>
      <c r="K15">
        <f t="shared" si="0"/>
        <v>92.62</v>
      </c>
      <c r="L15">
        <v>92</v>
      </c>
      <c r="M15">
        <v>81</v>
      </c>
      <c r="N15">
        <v>76</v>
      </c>
      <c r="O15">
        <f t="shared" si="1"/>
        <v>86.5</v>
      </c>
      <c r="P15">
        <v>82.8</v>
      </c>
      <c r="Q15">
        <f t="shared" si="2"/>
        <v>85.49</v>
      </c>
      <c r="R15">
        <f t="shared" si="3"/>
        <v>88.7</v>
      </c>
      <c r="S15" t="s">
        <v>22</v>
      </c>
    </row>
    <row r="16" spans="1:20" ht="15" customHeight="1">
      <c r="A16">
        <v>54219</v>
      </c>
      <c r="B16">
        <v>8335</v>
      </c>
      <c r="C16" t="s">
        <v>19</v>
      </c>
      <c r="D16">
        <v>1</v>
      </c>
      <c r="E16">
        <v>10</v>
      </c>
      <c r="F16" s="3">
        <v>86.67</v>
      </c>
      <c r="G16">
        <v>88.24</v>
      </c>
      <c r="H16">
        <v>95</v>
      </c>
      <c r="I16">
        <v>95.45</v>
      </c>
      <c r="J16">
        <v>100</v>
      </c>
      <c r="K16">
        <f t="shared" si="0"/>
        <v>94.67</v>
      </c>
      <c r="L16">
        <v>62</v>
      </c>
      <c r="M16">
        <v>69</v>
      </c>
      <c r="N16">
        <v>63</v>
      </c>
      <c r="O16">
        <f t="shared" si="1"/>
        <v>66</v>
      </c>
      <c r="P16">
        <v>70.3</v>
      </c>
      <c r="Q16">
        <f t="shared" si="2"/>
        <v>67.17</v>
      </c>
      <c r="R16">
        <f t="shared" si="3"/>
        <v>79.55</v>
      </c>
      <c r="S16" t="s">
        <v>31</v>
      </c>
    </row>
    <row r="17" spans="1:20" ht="15" customHeight="1">
      <c r="A17">
        <v>54106</v>
      </c>
      <c r="B17">
        <v>1959</v>
      </c>
      <c r="C17" t="s">
        <v>19</v>
      </c>
      <c r="D17">
        <v>1</v>
      </c>
      <c r="E17">
        <v>10</v>
      </c>
      <c r="F17" s="3">
        <v>86.67</v>
      </c>
      <c r="G17">
        <v>70.59</v>
      </c>
      <c r="H17">
        <v>75</v>
      </c>
      <c r="I17">
        <v>90.91</v>
      </c>
      <c r="J17">
        <v>90</v>
      </c>
      <c r="K17">
        <f t="shared" si="0"/>
        <v>85.65</v>
      </c>
      <c r="L17">
        <v>63</v>
      </c>
      <c r="M17">
        <v>85.9</v>
      </c>
      <c r="N17">
        <v>84</v>
      </c>
      <c r="O17">
        <f t="shared" si="1"/>
        <v>84.95</v>
      </c>
      <c r="P17">
        <v>85.9</v>
      </c>
      <c r="Q17">
        <f t="shared" si="2"/>
        <v>85.21</v>
      </c>
      <c r="R17">
        <f t="shared" si="3"/>
        <v>85.41</v>
      </c>
      <c r="S17" t="s">
        <v>20</v>
      </c>
      <c r="T17" t="s">
        <v>33</v>
      </c>
    </row>
    <row r="18" spans="1:20" ht="15" customHeight="1">
      <c r="A18">
        <v>54496</v>
      </c>
      <c r="B18">
        <v>7321</v>
      </c>
      <c r="C18" t="s">
        <v>19</v>
      </c>
      <c r="D18">
        <v>2</v>
      </c>
      <c r="E18">
        <v>10</v>
      </c>
      <c r="F18" s="3">
        <v>86.67</v>
      </c>
      <c r="G18">
        <v>0</v>
      </c>
      <c r="H18">
        <v>85</v>
      </c>
      <c r="I18">
        <v>86.36</v>
      </c>
      <c r="J18">
        <v>100</v>
      </c>
      <c r="K18">
        <f t="shared" si="0"/>
        <v>89.51</v>
      </c>
      <c r="L18">
        <v>65</v>
      </c>
      <c r="M18">
        <v>80</v>
      </c>
      <c r="N18">
        <v>80</v>
      </c>
      <c r="O18">
        <f t="shared" si="1"/>
        <v>80</v>
      </c>
      <c r="P18">
        <v>80.400000000000006</v>
      </c>
      <c r="Q18">
        <f t="shared" si="2"/>
        <v>80.11</v>
      </c>
      <c r="R18">
        <f t="shared" si="3"/>
        <v>84.34</v>
      </c>
      <c r="S18" t="s">
        <v>20</v>
      </c>
    </row>
    <row r="19" spans="1:20" ht="15" customHeight="1">
      <c r="A19">
        <v>54204</v>
      </c>
      <c r="B19">
        <v>9317</v>
      </c>
      <c r="C19" t="s">
        <v>19</v>
      </c>
      <c r="D19">
        <v>1</v>
      </c>
      <c r="E19">
        <v>10</v>
      </c>
      <c r="N19">
        <v>0</v>
      </c>
      <c r="Q19">
        <f>(0.4*O19+0.15*P19)/0.55</f>
        <v>0</v>
      </c>
      <c r="S19" t="s">
        <v>25</v>
      </c>
    </row>
  </sheetData>
  <printOptions gridLines="1" gridLinesSet="0"/>
  <pageMargins left="0.75" right="0.75" top="1" bottom="1" header="0.5" footer="0.5"/>
  <pageSetup paperSize="0" orientation="landscape" horizontalDpi="4294967292" verticalDpi="4294967292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"/>
  <sheetViews>
    <sheetView workbookViewId="0">
      <selection activeCell="C2" sqref="C2:C20"/>
    </sheetView>
  </sheetViews>
  <sheetFormatPr defaultColWidth="11.453125" defaultRowHeight="12.5"/>
  <cols>
    <col min="1" max="1" width="6" customWidth="1"/>
    <col min="2" max="2" width="5" customWidth="1"/>
    <col min="3" max="3" width="21.54296875" customWidth="1"/>
    <col min="4" max="4" width="3.1796875" customWidth="1"/>
    <col min="5" max="5" width="3.453125" customWidth="1"/>
    <col min="6" max="7" width="6" customWidth="1"/>
    <col min="8" max="8" width="5.54296875" customWidth="1"/>
    <col min="9" max="9" width="6" customWidth="1"/>
    <col min="10" max="10" width="5.54296875" customWidth="1"/>
    <col min="11" max="11" width="8" customWidth="1"/>
    <col min="12" max="14" width="5.1796875" customWidth="1"/>
    <col min="15" max="15" width="7.26953125" customWidth="1"/>
    <col min="16" max="16" width="4.81640625" customWidth="1"/>
    <col min="17" max="17" width="7.81640625" customWidth="1"/>
    <col min="18" max="19" width="8.1796875" customWidth="1"/>
  </cols>
  <sheetData>
    <row r="1" spans="1:19" s="1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>
        <v>52931</v>
      </c>
      <c r="B2">
        <v>8354</v>
      </c>
      <c r="C2" t="s">
        <v>19</v>
      </c>
      <c r="D2">
        <v>1</v>
      </c>
      <c r="E2">
        <v>11</v>
      </c>
      <c r="F2">
        <v>100</v>
      </c>
      <c r="G2">
        <v>64.709999999999994</v>
      </c>
      <c r="H2">
        <v>100</v>
      </c>
      <c r="I2">
        <v>86.36</v>
      </c>
      <c r="J2">
        <v>95</v>
      </c>
      <c r="K2">
        <f t="shared" ref="K2:K20" si="0">(SUM(F2:J2)-MIN(F2:J2))/4</f>
        <v>95.34</v>
      </c>
      <c r="L2">
        <v>65</v>
      </c>
      <c r="M2">
        <v>88</v>
      </c>
      <c r="N2">
        <v>70</v>
      </c>
      <c r="O2">
        <f t="shared" ref="O2:O20" si="1">((L2+M2+N2)-MIN(L2:N2) )/2</f>
        <v>79</v>
      </c>
      <c r="P2">
        <v>75</v>
      </c>
      <c r="Q2">
        <f t="shared" ref="Q2:Q20" si="2">(0.4*O2+0.15*P2)/0.55</f>
        <v>77.909090909090907</v>
      </c>
      <c r="R2">
        <f t="shared" ref="R2:R20" si="3">0.45*K2+0.4*O2+0.15*P2</f>
        <v>85.753000000000014</v>
      </c>
      <c r="S2" t="s">
        <v>21</v>
      </c>
    </row>
    <row r="3" spans="1:19" ht="15" customHeight="1">
      <c r="A3">
        <v>54897</v>
      </c>
      <c r="B3">
        <v>5516</v>
      </c>
      <c r="C3" t="s">
        <v>19</v>
      </c>
      <c r="D3">
        <v>2</v>
      </c>
      <c r="E3">
        <v>11</v>
      </c>
      <c r="F3">
        <v>100</v>
      </c>
      <c r="G3">
        <v>100</v>
      </c>
      <c r="H3">
        <v>87.5</v>
      </c>
      <c r="I3">
        <v>81.819999999999993</v>
      </c>
      <c r="J3">
        <v>0</v>
      </c>
      <c r="K3">
        <f t="shared" si="0"/>
        <v>92.33</v>
      </c>
      <c r="L3">
        <v>72</v>
      </c>
      <c r="M3">
        <v>57</v>
      </c>
      <c r="N3">
        <v>78</v>
      </c>
      <c r="O3">
        <f t="shared" si="1"/>
        <v>75</v>
      </c>
      <c r="P3">
        <v>78.099999999999994</v>
      </c>
      <c r="Q3">
        <f t="shared" si="2"/>
        <v>75.84545454545453</v>
      </c>
      <c r="R3">
        <f t="shared" si="3"/>
        <v>83.263499999999993</v>
      </c>
      <c r="S3" t="s">
        <v>20</v>
      </c>
    </row>
    <row r="4" spans="1:19" ht="15" customHeight="1">
      <c r="A4">
        <v>56237</v>
      </c>
      <c r="B4">
        <v>6935</v>
      </c>
      <c r="C4" t="s">
        <v>19</v>
      </c>
      <c r="D4">
        <v>1</v>
      </c>
      <c r="E4">
        <v>11</v>
      </c>
      <c r="F4">
        <v>93.75</v>
      </c>
      <c r="G4">
        <v>94.12</v>
      </c>
      <c r="H4">
        <v>95</v>
      </c>
      <c r="I4">
        <v>0</v>
      </c>
      <c r="J4">
        <v>90</v>
      </c>
      <c r="K4">
        <f t="shared" si="0"/>
        <v>93.217500000000001</v>
      </c>
      <c r="L4">
        <v>83</v>
      </c>
      <c r="M4">
        <v>73</v>
      </c>
      <c r="N4">
        <v>84</v>
      </c>
      <c r="O4">
        <f t="shared" si="1"/>
        <v>83.5</v>
      </c>
      <c r="P4">
        <v>76.599999999999994</v>
      </c>
      <c r="Q4">
        <f t="shared" si="2"/>
        <v>81.61818181818181</v>
      </c>
      <c r="R4">
        <f t="shared" si="3"/>
        <v>86.837874999999997</v>
      </c>
      <c r="S4" t="s">
        <v>21</v>
      </c>
    </row>
    <row r="5" spans="1:19" ht="15" customHeight="1">
      <c r="A5">
        <v>54394</v>
      </c>
      <c r="B5">
        <v>5459</v>
      </c>
      <c r="C5" t="s">
        <v>19</v>
      </c>
      <c r="D5">
        <v>2</v>
      </c>
      <c r="E5">
        <v>11</v>
      </c>
      <c r="F5">
        <v>100</v>
      </c>
      <c r="G5">
        <v>100</v>
      </c>
      <c r="H5">
        <v>90</v>
      </c>
      <c r="I5">
        <v>81.819999999999993</v>
      </c>
      <c r="J5">
        <v>0</v>
      </c>
      <c r="K5">
        <f t="shared" si="0"/>
        <v>92.954999999999998</v>
      </c>
      <c r="L5">
        <v>70</v>
      </c>
      <c r="M5">
        <v>72</v>
      </c>
      <c r="N5">
        <v>78</v>
      </c>
      <c r="O5">
        <f t="shared" si="1"/>
        <v>75</v>
      </c>
      <c r="P5">
        <v>62.5</v>
      </c>
      <c r="Q5">
        <f t="shared" si="2"/>
        <v>71.590909090909079</v>
      </c>
      <c r="R5">
        <f t="shared" si="3"/>
        <v>81.20474999999999</v>
      </c>
      <c r="S5" t="s">
        <v>31</v>
      </c>
    </row>
    <row r="6" spans="1:19" ht="15" customHeight="1">
      <c r="A6">
        <v>54217</v>
      </c>
      <c r="B6">
        <v>7892</v>
      </c>
      <c r="C6" t="s">
        <v>19</v>
      </c>
      <c r="D6">
        <v>1</v>
      </c>
      <c r="E6">
        <v>11</v>
      </c>
      <c r="F6">
        <v>100</v>
      </c>
      <c r="G6">
        <v>76.47</v>
      </c>
      <c r="H6">
        <v>85</v>
      </c>
      <c r="I6">
        <v>100</v>
      </c>
      <c r="J6">
        <v>100</v>
      </c>
      <c r="K6">
        <f t="shared" si="0"/>
        <v>96.25</v>
      </c>
      <c r="L6">
        <v>80</v>
      </c>
      <c r="M6">
        <v>75</v>
      </c>
      <c r="N6">
        <v>90</v>
      </c>
      <c r="O6">
        <f t="shared" si="1"/>
        <v>85</v>
      </c>
      <c r="P6">
        <v>78.099999999999994</v>
      </c>
      <c r="Q6">
        <f t="shared" si="2"/>
        <v>83.11818181818181</v>
      </c>
      <c r="R6">
        <f t="shared" si="3"/>
        <v>89.027500000000003</v>
      </c>
      <c r="S6" t="s">
        <v>22</v>
      </c>
    </row>
    <row r="7" spans="1:19" ht="15" customHeight="1">
      <c r="A7">
        <v>54117</v>
      </c>
      <c r="B7">
        <v>4563</v>
      </c>
      <c r="C7" t="s">
        <v>19</v>
      </c>
      <c r="D7">
        <v>1</v>
      </c>
      <c r="E7">
        <v>11</v>
      </c>
      <c r="F7">
        <v>75</v>
      </c>
      <c r="G7">
        <v>58.82</v>
      </c>
      <c r="H7">
        <v>75</v>
      </c>
      <c r="I7">
        <v>54.55</v>
      </c>
      <c r="J7">
        <v>80</v>
      </c>
      <c r="K7">
        <f t="shared" si="0"/>
        <v>72.204999999999998</v>
      </c>
      <c r="L7">
        <v>51</v>
      </c>
      <c r="M7">
        <v>80</v>
      </c>
      <c r="N7">
        <v>72</v>
      </c>
      <c r="O7">
        <f t="shared" si="1"/>
        <v>76</v>
      </c>
      <c r="P7">
        <v>63.3</v>
      </c>
      <c r="Q7">
        <f t="shared" si="2"/>
        <v>72.536363636363632</v>
      </c>
      <c r="R7">
        <f t="shared" si="3"/>
        <v>72.387250000000009</v>
      </c>
      <c r="S7" t="s">
        <v>32</v>
      </c>
    </row>
    <row r="8" spans="1:19" ht="15" customHeight="1">
      <c r="A8">
        <v>57551</v>
      </c>
      <c r="B8">
        <v>1521</v>
      </c>
      <c r="C8" t="s">
        <v>19</v>
      </c>
      <c r="D8">
        <v>2</v>
      </c>
      <c r="E8">
        <v>11</v>
      </c>
      <c r="F8">
        <v>93.75</v>
      </c>
      <c r="G8">
        <v>100</v>
      </c>
      <c r="H8">
        <v>82.5</v>
      </c>
      <c r="I8">
        <v>86.36</v>
      </c>
      <c r="J8">
        <v>0</v>
      </c>
      <c r="K8">
        <f t="shared" si="0"/>
        <v>90.652500000000003</v>
      </c>
      <c r="L8">
        <v>70</v>
      </c>
      <c r="M8">
        <v>83</v>
      </c>
      <c r="N8">
        <v>77</v>
      </c>
      <c r="O8">
        <f t="shared" si="1"/>
        <v>80</v>
      </c>
      <c r="P8">
        <v>71.900000000000006</v>
      </c>
      <c r="Q8">
        <f t="shared" si="2"/>
        <v>77.790909090909082</v>
      </c>
      <c r="R8">
        <f t="shared" si="3"/>
        <v>83.578625000000002</v>
      </c>
      <c r="S8" t="s">
        <v>20</v>
      </c>
    </row>
    <row r="9" spans="1:19" ht="15" customHeight="1">
      <c r="A9">
        <v>51798</v>
      </c>
      <c r="B9">
        <v>1924</v>
      </c>
      <c r="C9" t="s">
        <v>19</v>
      </c>
      <c r="D9">
        <v>1</v>
      </c>
      <c r="E9">
        <v>11</v>
      </c>
      <c r="F9">
        <v>100</v>
      </c>
      <c r="G9">
        <v>100</v>
      </c>
      <c r="H9">
        <v>100</v>
      </c>
      <c r="I9">
        <v>95.45</v>
      </c>
      <c r="J9">
        <v>100</v>
      </c>
      <c r="K9">
        <f t="shared" si="0"/>
        <v>100</v>
      </c>
      <c r="L9">
        <v>86</v>
      </c>
      <c r="M9">
        <v>89</v>
      </c>
      <c r="N9">
        <v>76</v>
      </c>
      <c r="O9">
        <f t="shared" si="1"/>
        <v>87.5</v>
      </c>
      <c r="P9">
        <v>80.5</v>
      </c>
      <c r="Q9">
        <f t="shared" si="2"/>
        <v>85.590909090909093</v>
      </c>
      <c r="R9">
        <f t="shared" si="3"/>
        <v>92.075000000000003</v>
      </c>
      <c r="S9" t="s">
        <v>23</v>
      </c>
    </row>
    <row r="10" spans="1:19" ht="15" customHeight="1">
      <c r="A10">
        <v>61003</v>
      </c>
      <c r="B10">
        <v>817</v>
      </c>
      <c r="C10" t="s">
        <v>19</v>
      </c>
      <c r="D10">
        <v>2</v>
      </c>
      <c r="E10">
        <v>11</v>
      </c>
      <c r="F10">
        <v>93.75</v>
      </c>
      <c r="G10">
        <v>76.47</v>
      </c>
      <c r="H10">
        <v>100</v>
      </c>
      <c r="I10">
        <v>0</v>
      </c>
      <c r="J10">
        <v>100</v>
      </c>
      <c r="K10">
        <f t="shared" si="0"/>
        <v>92.555000000000007</v>
      </c>
      <c r="L10">
        <v>59</v>
      </c>
      <c r="M10">
        <v>45</v>
      </c>
      <c r="N10">
        <v>31</v>
      </c>
      <c r="O10">
        <f t="shared" si="1"/>
        <v>52</v>
      </c>
      <c r="P10">
        <v>78.900000000000006</v>
      </c>
      <c r="Q10">
        <f t="shared" si="2"/>
        <v>59.336363636363643</v>
      </c>
      <c r="R10">
        <f t="shared" si="3"/>
        <v>74.284750000000003</v>
      </c>
      <c r="S10" t="s">
        <v>32</v>
      </c>
    </row>
    <row r="11" spans="1:19" ht="15" customHeight="1">
      <c r="A11">
        <v>54221</v>
      </c>
      <c r="B11">
        <v>4228</v>
      </c>
      <c r="C11" t="s">
        <v>19</v>
      </c>
      <c r="D11">
        <v>1</v>
      </c>
      <c r="E11">
        <v>11</v>
      </c>
      <c r="F11">
        <v>100</v>
      </c>
      <c r="G11">
        <v>88.24</v>
      </c>
      <c r="H11">
        <v>95</v>
      </c>
      <c r="I11">
        <v>95.45</v>
      </c>
      <c r="J11">
        <v>90</v>
      </c>
      <c r="K11">
        <f t="shared" si="0"/>
        <v>95.112499999999997</v>
      </c>
      <c r="L11">
        <v>0</v>
      </c>
      <c r="M11">
        <v>82</v>
      </c>
      <c r="N11">
        <v>0</v>
      </c>
      <c r="O11">
        <f t="shared" si="1"/>
        <v>41</v>
      </c>
      <c r="P11">
        <v>69.5</v>
      </c>
      <c r="Q11">
        <f t="shared" si="2"/>
        <v>48.772727272727273</v>
      </c>
      <c r="R11">
        <f t="shared" si="3"/>
        <v>69.625624999999999</v>
      </c>
      <c r="S11" t="s">
        <v>25</v>
      </c>
    </row>
    <row r="12" spans="1:19" ht="15" customHeight="1">
      <c r="A12">
        <v>54392</v>
      </c>
      <c r="B12">
        <v>1056</v>
      </c>
      <c r="C12" t="s">
        <v>19</v>
      </c>
      <c r="D12">
        <v>2</v>
      </c>
      <c r="E12">
        <v>11</v>
      </c>
      <c r="F12">
        <v>0</v>
      </c>
      <c r="G12">
        <v>61.76</v>
      </c>
      <c r="H12">
        <v>80</v>
      </c>
      <c r="I12">
        <v>77.27</v>
      </c>
      <c r="J12">
        <v>100</v>
      </c>
      <c r="K12">
        <f t="shared" si="0"/>
        <v>79.757499999999993</v>
      </c>
      <c r="L12">
        <v>76</v>
      </c>
      <c r="M12">
        <v>45</v>
      </c>
      <c r="N12">
        <v>59</v>
      </c>
      <c r="O12">
        <f t="shared" si="1"/>
        <v>67.5</v>
      </c>
      <c r="P12">
        <v>50.8</v>
      </c>
      <c r="Q12">
        <f t="shared" si="2"/>
        <v>62.945454545454538</v>
      </c>
      <c r="R12">
        <f t="shared" si="3"/>
        <v>70.510874999999999</v>
      </c>
      <c r="S12" t="s">
        <v>29</v>
      </c>
    </row>
    <row r="13" spans="1:19" ht="15" customHeight="1">
      <c r="A13">
        <v>38490</v>
      </c>
      <c r="B13">
        <v>4505</v>
      </c>
      <c r="C13" t="s">
        <v>19</v>
      </c>
      <c r="D13">
        <v>2</v>
      </c>
      <c r="E13">
        <v>11</v>
      </c>
      <c r="F13">
        <v>75</v>
      </c>
      <c r="G13">
        <v>94.12</v>
      </c>
      <c r="H13">
        <v>85</v>
      </c>
      <c r="I13">
        <v>0</v>
      </c>
      <c r="J13">
        <v>80</v>
      </c>
      <c r="K13">
        <f t="shared" si="0"/>
        <v>83.53</v>
      </c>
      <c r="L13">
        <v>76</v>
      </c>
      <c r="M13">
        <v>76</v>
      </c>
      <c r="N13">
        <v>69</v>
      </c>
      <c r="O13">
        <f t="shared" si="1"/>
        <v>76</v>
      </c>
      <c r="P13">
        <v>67.2</v>
      </c>
      <c r="Q13">
        <f t="shared" si="2"/>
        <v>73.599999999999994</v>
      </c>
      <c r="R13">
        <f t="shared" si="3"/>
        <v>78.0685</v>
      </c>
      <c r="S13" t="s">
        <v>28</v>
      </c>
    </row>
    <row r="14" spans="1:19" ht="15" customHeight="1">
      <c r="A14">
        <v>54396</v>
      </c>
      <c r="B14">
        <v>2298</v>
      </c>
      <c r="C14" t="s">
        <v>19</v>
      </c>
      <c r="D14">
        <v>1</v>
      </c>
      <c r="E14">
        <v>11</v>
      </c>
      <c r="F14">
        <v>31.25</v>
      </c>
      <c r="G14">
        <v>61.76</v>
      </c>
      <c r="H14">
        <v>30</v>
      </c>
      <c r="I14">
        <v>77.27</v>
      </c>
      <c r="J14">
        <v>100</v>
      </c>
      <c r="K14">
        <f t="shared" si="0"/>
        <v>67.569999999999993</v>
      </c>
      <c r="L14">
        <v>74</v>
      </c>
      <c r="M14">
        <v>59</v>
      </c>
      <c r="N14">
        <v>81</v>
      </c>
      <c r="O14">
        <f t="shared" si="1"/>
        <v>77.5</v>
      </c>
      <c r="P14">
        <v>74.2</v>
      </c>
      <c r="Q14">
        <f t="shared" si="2"/>
        <v>76.599999999999994</v>
      </c>
      <c r="R14">
        <f t="shared" si="3"/>
        <v>72.53649999999999</v>
      </c>
      <c r="S14" t="s">
        <v>32</v>
      </c>
    </row>
    <row r="15" spans="1:19" ht="15" customHeight="1">
      <c r="A15">
        <v>54215</v>
      </c>
      <c r="B15">
        <v>3607</v>
      </c>
      <c r="C15" t="s">
        <v>19</v>
      </c>
      <c r="D15">
        <v>2</v>
      </c>
      <c r="E15">
        <v>11</v>
      </c>
      <c r="F15">
        <v>93.75</v>
      </c>
      <c r="G15">
        <v>80.88</v>
      </c>
      <c r="H15">
        <v>85</v>
      </c>
      <c r="I15">
        <v>81.819999999999993</v>
      </c>
      <c r="J15">
        <v>100</v>
      </c>
      <c r="K15">
        <f t="shared" si="0"/>
        <v>90.142499999999998</v>
      </c>
      <c r="L15">
        <v>46</v>
      </c>
      <c r="M15">
        <v>49</v>
      </c>
      <c r="N15">
        <v>51</v>
      </c>
      <c r="O15">
        <f t="shared" si="1"/>
        <v>50</v>
      </c>
      <c r="P15">
        <v>50.8</v>
      </c>
      <c r="Q15">
        <f t="shared" si="2"/>
        <v>50.218181818181812</v>
      </c>
      <c r="R15">
        <f t="shared" si="3"/>
        <v>68.184124999999995</v>
      </c>
      <c r="S15" t="s">
        <v>25</v>
      </c>
    </row>
    <row r="16" spans="1:19" ht="15" customHeight="1">
      <c r="A16">
        <v>54429</v>
      </c>
      <c r="B16">
        <v>1267</v>
      </c>
      <c r="C16" t="s">
        <v>19</v>
      </c>
      <c r="D16">
        <v>1</v>
      </c>
      <c r="E16">
        <v>11</v>
      </c>
      <c r="F16">
        <v>93.75</v>
      </c>
      <c r="G16">
        <v>94.12</v>
      </c>
      <c r="H16">
        <v>100</v>
      </c>
      <c r="I16">
        <v>81.819999999999993</v>
      </c>
      <c r="J16">
        <v>0</v>
      </c>
      <c r="K16">
        <f t="shared" si="0"/>
        <v>92.422499999999999</v>
      </c>
      <c r="L16">
        <v>85</v>
      </c>
      <c r="M16">
        <v>82</v>
      </c>
      <c r="N16">
        <v>0</v>
      </c>
      <c r="O16">
        <f t="shared" si="1"/>
        <v>83.5</v>
      </c>
      <c r="P16">
        <v>78.099999999999994</v>
      </c>
      <c r="Q16">
        <f t="shared" si="2"/>
        <v>82.027272727272717</v>
      </c>
      <c r="R16">
        <f t="shared" si="3"/>
        <v>86.70512500000001</v>
      </c>
      <c r="S16" t="s">
        <v>21</v>
      </c>
    </row>
    <row r="17" spans="1:19" ht="15" customHeight="1">
      <c r="A17">
        <v>54217</v>
      </c>
      <c r="B17">
        <v>7245</v>
      </c>
      <c r="C17" t="s">
        <v>19</v>
      </c>
      <c r="D17">
        <v>2</v>
      </c>
      <c r="E17">
        <v>11</v>
      </c>
      <c r="F17">
        <v>93.75</v>
      </c>
      <c r="G17">
        <v>0</v>
      </c>
      <c r="H17">
        <v>95</v>
      </c>
      <c r="I17">
        <v>88.64</v>
      </c>
      <c r="J17">
        <v>90</v>
      </c>
      <c r="K17">
        <f t="shared" si="0"/>
        <v>91.847499999999997</v>
      </c>
      <c r="L17">
        <v>37</v>
      </c>
      <c r="M17">
        <v>73</v>
      </c>
      <c r="N17">
        <v>76</v>
      </c>
      <c r="O17">
        <f t="shared" si="1"/>
        <v>74.5</v>
      </c>
      <c r="P17">
        <v>57</v>
      </c>
      <c r="Q17">
        <f t="shared" si="2"/>
        <v>69.72727272727272</v>
      </c>
      <c r="R17">
        <f t="shared" si="3"/>
        <v>79.681375000000003</v>
      </c>
      <c r="S17" t="s">
        <v>31</v>
      </c>
    </row>
    <row r="18" spans="1:19" ht="15" customHeight="1">
      <c r="A18">
        <v>54102</v>
      </c>
      <c r="B18">
        <v>434</v>
      </c>
      <c r="C18" t="s">
        <v>19</v>
      </c>
      <c r="D18">
        <v>2</v>
      </c>
      <c r="E18">
        <v>11</v>
      </c>
      <c r="F18">
        <v>100</v>
      </c>
      <c r="G18">
        <v>0</v>
      </c>
      <c r="H18">
        <v>100</v>
      </c>
      <c r="I18">
        <v>100</v>
      </c>
      <c r="J18">
        <v>100</v>
      </c>
      <c r="K18">
        <f t="shared" si="0"/>
        <v>100</v>
      </c>
      <c r="L18">
        <v>59</v>
      </c>
      <c r="M18">
        <v>86</v>
      </c>
      <c r="N18">
        <v>80</v>
      </c>
      <c r="O18">
        <f t="shared" si="1"/>
        <v>83</v>
      </c>
      <c r="P18">
        <v>70.3</v>
      </c>
      <c r="Q18">
        <f t="shared" si="2"/>
        <v>79.536363636363632</v>
      </c>
      <c r="R18">
        <f t="shared" si="3"/>
        <v>88.745000000000005</v>
      </c>
      <c r="S18" t="s">
        <v>22</v>
      </c>
    </row>
    <row r="19" spans="1:19" ht="15" customHeight="1">
      <c r="A19">
        <v>54133</v>
      </c>
      <c r="B19">
        <v>8502</v>
      </c>
      <c r="C19" t="s">
        <v>19</v>
      </c>
      <c r="D19">
        <v>1</v>
      </c>
      <c r="E19">
        <v>11</v>
      </c>
      <c r="F19">
        <v>100</v>
      </c>
      <c r="G19">
        <v>47.06</v>
      </c>
      <c r="H19">
        <v>0</v>
      </c>
      <c r="I19">
        <v>0</v>
      </c>
      <c r="J19">
        <v>0</v>
      </c>
      <c r="K19">
        <f t="shared" si="0"/>
        <v>36.765000000000001</v>
      </c>
      <c r="L19">
        <v>63</v>
      </c>
      <c r="M19">
        <v>0</v>
      </c>
      <c r="N19">
        <v>0</v>
      </c>
      <c r="O19">
        <f t="shared" si="1"/>
        <v>31.5</v>
      </c>
      <c r="P19">
        <v>0</v>
      </c>
      <c r="Q19">
        <f t="shared" si="2"/>
        <v>22.90909090909091</v>
      </c>
      <c r="R19">
        <f t="shared" si="3"/>
        <v>29.144250000000003</v>
      </c>
      <c r="S19" t="s">
        <v>25</v>
      </c>
    </row>
    <row r="20" spans="1:19" ht="15" customHeight="1">
      <c r="A20">
        <v>54104</v>
      </c>
      <c r="B20">
        <v>7907</v>
      </c>
      <c r="C20" t="s">
        <v>19</v>
      </c>
      <c r="D20">
        <v>2</v>
      </c>
      <c r="E20">
        <v>11</v>
      </c>
      <c r="F20">
        <v>87.5</v>
      </c>
      <c r="G20">
        <v>0</v>
      </c>
      <c r="H20">
        <v>80</v>
      </c>
      <c r="I20">
        <v>90.91</v>
      </c>
      <c r="J20">
        <v>95</v>
      </c>
      <c r="K20">
        <f t="shared" si="0"/>
        <v>88.352499999999992</v>
      </c>
      <c r="L20">
        <v>80</v>
      </c>
      <c r="M20">
        <v>76</v>
      </c>
      <c r="N20">
        <v>72</v>
      </c>
      <c r="O20">
        <f t="shared" si="1"/>
        <v>78</v>
      </c>
      <c r="P20">
        <v>72.7</v>
      </c>
      <c r="Q20">
        <f t="shared" si="2"/>
        <v>76.554545454545462</v>
      </c>
      <c r="R20">
        <f t="shared" si="3"/>
        <v>81.863624999999999</v>
      </c>
      <c r="S20" t="s">
        <v>31</v>
      </c>
    </row>
  </sheetData>
  <printOptions gridLines="1" gridLinesSet="0"/>
  <pageMargins left="0.75" right="0.75" top="1" bottom="1" header="0.5" footer="0.5"/>
  <pageSetup paperSize="0" scale="76" orientation="landscape" horizontalDpi="4294967292" verticalDpi="4294967292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workbookViewId="0">
      <selection activeCell="C2" sqref="C2:C21"/>
    </sheetView>
  </sheetViews>
  <sheetFormatPr defaultColWidth="11.453125" defaultRowHeight="12.5"/>
  <cols>
    <col min="1" max="1" width="6" customWidth="1"/>
    <col min="2" max="2" width="5" customWidth="1"/>
    <col min="3" max="3" width="20" customWidth="1"/>
    <col min="4" max="4" width="3" customWidth="1"/>
    <col min="5" max="5" width="3.453125" customWidth="1"/>
    <col min="6" max="10" width="5.54296875" customWidth="1"/>
    <col min="11" max="11" width="7.7265625" customWidth="1"/>
    <col min="12" max="14" width="5.1796875" customWidth="1"/>
    <col min="15" max="15" width="7.26953125" customWidth="1"/>
    <col min="16" max="16" width="4.54296875" customWidth="1"/>
    <col min="17" max="17" width="8" customWidth="1"/>
    <col min="18" max="18" width="7.81640625" customWidth="1"/>
    <col min="19" max="19" width="5.453125" customWidth="1"/>
  </cols>
  <sheetData>
    <row r="1" spans="1:19" s="1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>
        <v>54104</v>
      </c>
      <c r="B2">
        <v>9113</v>
      </c>
      <c r="C2" t="s">
        <v>19</v>
      </c>
      <c r="D2">
        <v>1</v>
      </c>
      <c r="E2">
        <v>22</v>
      </c>
      <c r="F2">
        <v>100</v>
      </c>
      <c r="G2">
        <v>70.59</v>
      </c>
      <c r="H2">
        <v>92.5</v>
      </c>
      <c r="I2">
        <v>79.55</v>
      </c>
      <c r="J2">
        <v>70</v>
      </c>
      <c r="K2">
        <f t="shared" ref="K2:K21" si="0">(SUM(F2:J2)-MIN(F2:J2))/4</f>
        <v>85.660000000000011</v>
      </c>
      <c r="L2">
        <v>89</v>
      </c>
      <c r="M2">
        <v>80</v>
      </c>
      <c r="N2">
        <v>0</v>
      </c>
      <c r="O2">
        <f t="shared" ref="O2:O21" si="1">((L2+M2+N2)-MIN(L2:N2) )/2</f>
        <v>84.5</v>
      </c>
      <c r="P2">
        <v>74.2</v>
      </c>
      <c r="Q2">
        <f t="shared" ref="Q2:Q21" si="2">(0.4*O2+0.15*P2)/0.55</f>
        <v>81.690909090909102</v>
      </c>
      <c r="R2">
        <f t="shared" ref="R2:R21" si="3">0.45*K2+0.4*O2+0.15*P2</f>
        <v>83.477000000000004</v>
      </c>
      <c r="S2" t="s">
        <v>20</v>
      </c>
    </row>
    <row r="3" spans="1:19" ht="15" customHeight="1">
      <c r="A3">
        <v>54186</v>
      </c>
      <c r="B3">
        <v>903</v>
      </c>
      <c r="C3" t="s">
        <v>19</v>
      </c>
      <c r="D3">
        <v>1</v>
      </c>
      <c r="E3">
        <v>22</v>
      </c>
      <c r="F3">
        <v>93.75</v>
      </c>
      <c r="G3">
        <v>94.12</v>
      </c>
      <c r="H3">
        <v>100</v>
      </c>
      <c r="I3">
        <v>95.45</v>
      </c>
      <c r="J3">
        <v>0</v>
      </c>
      <c r="K3">
        <f t="shared" si="0"/>
        <v>95.83</v>
      </c>
      <c r="L3">
        <v>78</v>
      </c>
      <c r="M3">
        <v>83</v>
      </c>
      <c r="N3">
        <v>0</v>
      </c>
      <c r="O3">
        <f t="shared" si="1"/>
        <v>80.5</v>
      </c>
      <c r="P3">
        <v>63.3</v>
      </c>
      <c r="Q3">
        <f t="shared" si="2"/>
        <v>75.809090909090898</v>
      </c>
      <c r="R3">
        <f t="shared" si="3"/>
        <v>84.8185</v>
      </c>
      <c r="S3" t="s">
        <v>20</v>
      </c>
    </row>
    <row r="4" spans="1:19" ht="15" customHeight="1">
      <c r="A4">
        <v>54319</v>
      </c>
      <c r="B4">
        <v>9018</v>
      </c>
      <c r="C4" t="s">
        <v>19</v>
      </c>
      <c r="D4">
        <v>2</v>
      </c>
      <c r="E4">
        <v>22</v>
      </c>
      <c r="F4">
        <v>100</v>
      </c>
      <c r="G4">
        <v>100</v>
      </c>
      <c r="H4">
        <v>100</v>
      </c>
      <c r="I4">
        <v>95.45</v>
      </c>
      <c r="J4">
        <v>0</v>
      </c>
      <c r="K4">
        <f t="shared" si="0"/>
        <v>98.862499999999997</v>
      </c>
      <c r="L4">
        <v>96</v>
      </c>
      <c r="M4">
        <v>99</v>
      </c>
      <c r="N4">
        <v>92</v>
      </c>
      <c r="O4">
        <f t="shared" si="1"/>
        <v>97.5</v>
      </c>
      <c r="P4">
        <v>98.4</v>
      </c>
      <c r="Q4">
        <f t="shared" si="2"/>
        <v>97.745454545454535</v>
      </c>
      <c r="R4">
        <f t="shared" si="3"/>
        <v>98.248125000000002</v>
      </c>
      <c r="S4" t="s">
        <v>23</v>
      </c>
    </row>
    <row r="5" spans="1:19" ht="15" customHeight="1">
      <c r="A5">
        <v>54319</v>
      </c>
      <c r="B5">
        <v>9052</v>
      </c>
      <c r="C5" t="s">
        <v>19</v>
      </c>
      <c r="D5">
        <v>2</v>
      </c>
      <c r="E5">
        <v>22</v>
      </c>
      <c r="F5">
        <v>87.5</v>
      </c>
      <c r="G5">
        <v>0</v>
      </c>
      <c r="H5">
        <v>90</v>
      </c>
      <c r="I5">
        <v>86.36</v>
      </c>
      <c r="J5">
        <v>60</v>
      </c>
      <c r="K5">
        <f t="shared" si="0"/>
        <v>80.965000000000003</v>
      </c>
      <c r="L5">
        <v>67</v>
      </c>
      <c r="M5">
        <v>61</v>
      </c>
      <c r="N5">
        <v>78</v>
      </c>
      <c r="O5">
        <f t="shared" si="1"/>
        <v>72.5</v>
      </c>
      <c r="P5">
        <v>67.2</v>
      </c>
      <c r="Q5">
        <f t="shared" si="2"/>
        <v>71.054545454545448</v>
      </c>
      <c r="R5">
        <f t="shared" si="3"/>
        <v>75.514250000000004</v>
      </c>
      <c r="S5" t="s">
        <v>28</v>
      </c>
    </row>
    <row r="6" spans="1:19" ht="15" customHeight="1">
      <c r="A6">
        <v>54206</v>
      </c>
      <c r="B6">
        <v>7573</v>
      </c>
      <c r="C6" t="s">
        <v>19</v>
      </c>
      <c r="D6">
        <v>1</v>
      </c>
      <c r="E6">
        <v>22</v>
      </c>
      <c r="F6">
        <v>93.75</v>
      </c>
      <c r="G6">
        <v>94.12</v>
      </c>
      <c r="H6">
        <v>80</v>
      </c>
      <c r="I6">
        <v>100</v>
      </c>
      <c r="J6">
        <v>100</v>
      </c>
      <c r="K6">
        <f t="shared" si="0"/>
        <v>96.967500000000001</v>
      </c>
      <c r="L6">
        <v>65</v>
      </c>
      <c r="M6">
        <v>65</v>
      </c>
      <c r="N6">
        <v>89</v>
      </c>
      <c r="O6">
        <f t="shared" si="1"/>
        <v>77</v>
      </c>
      <c r="P6">
        <v>82.8</v>
      </c>
      <c r="Q6">
        <f t="shared" si="2"/>
        <v>78.581818181818178</v>
      </c>
      <c r="R6">
        <f t="shared" si="3"/>
        <v>86.855375000000009</v>
      </c>
      <c r="S6" t="s">
        <v>21</v>
      </c>
    </row>
    <row r="7" spans="1:19" ht="15" customHeight="1">
      <c r="A7">
        <v>54402</v>
      </c>
      <c r="B7">
        <v>3003</v>
      </c>
      <c r="C7" t="s">
        <v>19</v>
      </c>
      <c r="D7">
        <v>1</v>
      </c>
      <c r="E7">
        <v>22</v>
      </c>
      <c r="F7">
        <v>93.75</v>
      </c>
      <c r="G7">
        <v>82.35</v>
      </c>
      <c r="H7">
        <v>95</v>
      </c>
      <c r="I7">
        <v>77.27</v>
      </c>
      <c r="J7">
        <v>95</v>
      </c>
      <c r="K7">
        <f t="shared" si="0"/>
        <v>91.525000000000006</v>
      </c>
      <c r="L7">
        <v>73</v>
      </c>
      <c r="M7">
        <v>78</v>
      </c>
      <c r="N7">
        <v>83</v>
      </c>
      <c r="O7">
        <f t="shared" si="1"/>
        <v>80.5</v>
      </c>
      <c r="P7">
        <v>76.599999999999994</v>
      </c>
      <c r="Q7">
        <f t="shared" si="2"/>
        <v>79.436363636363623</v>
      </c>
      <c r="R7">
        <f t="shared" si="3"/>
        <v>84.876249999999999</v>
      </c>
      <c r="S7" t="s">
        <v>20</v>
      </c>
    </row>
    <row r="8" spans="1:19" ht="15" customHeight="1">
      <c r="A8">
        <v>48876</v>
      </c>
      <c r="B8">
        <v>9085</v>
      </c>
      <c r="C8" t="s">
        <v>19</v>
      </c>
      <c r="D8">
        <v>1</v>
      </c>
      <c r="E8">
        <v>22</v>
      </c>
      <c r="F8">
        <v>81.25</v>
      </c>
      <c r="G8">
        <v>64.709999999999994</v>
      </c>
      <c r="H8">
        <v>95</v>
      </c>
      <c r="I8">
        <v>95.45</v>
      </c>
      <c r="J8">
        <v>95</v>
      </c>
      <c r="K8">
        <f t="shared" si="0"/>
        <v>91.674999999999997</v>
      </c>
      <c r="L8">
        <v>72</v>
      </c>
      <c r="M8">
        <v>61</v>
      </c>
      <c r="N8">
        <v>72</v>
      </c>
      <c r="O8">
        <f t="shared" si="1"/>
        <v>72</v>
      </c>
      <c r="P8">
        <v>72.7</v>
      </c>
      <c r="Q8">
        <f t="shared" si="2"/>
        <v>72.190909090909088</v>
      </c>
      <c r="R8">
        <f t="shared" si="3"/>
        <v>80.958749999999995</v>
      </c>
      <c r="S8" t="s">
        <v>31</v>
      </c>
    </row>
    <row r="9" spans="1:19" ht="15" customHeight="1">
      <c r="A9">
        <v>54427</v>
      </c>
      <c r="B9">
        <v>8531</v>
      </c>
      <c r="C9" t="s">
        <v>19</v>
      </c>
      <c r="D9">
        <v>2</v>
      </c>
      <c r="E9">
        <v>22</v>
      </c>
      <c r="F9">
        <v>75</v>
      </c>
      <c r="G9">
        <v>82.35</v>
      </c>
      <c r="H9">
        <v>62.5</v>
      </c>
      <c r="I9">
        <v>75</v>
      </c>
      <c r="J9">
        <v>0</v>
      </c>
      <c r="K9">
        <f t="shared" si="0"/>
        <v>73.712500000000006</v>
      </c>
      <c r="L9">
        <v>60</v>
      </c>
      <c r="M9">
        <v>0</v>
      </c>
      <c r="N9">
        <v>66</v>
      </c>
      <c r="O9">
        <f t="shared" si="1"/>
        <v>63</v>
      </c>
      <c r="P9">
        <v>60.9</v>
      </c>
      <c r="Q9">
        <f t="shared" si="2"/>
        <v>62.427272727272722</v>
      </c>
      <c r="R9">
        <f t="shared" si="3"/>
        <v>67.505625000000009</v>
      </c>
      <c r="S9" t="s">
        <v>24</v>
      </c>
    </row>
    <row r="10" spans="1:19" ht="15" customHeight="1">
      <c r="A10">
        <v>54121</v>
      </c>
      <c r="B10">
        <v>270</v>
      </c>
      <c r="C10" t="s">
        <v>19</v>
      </c>
      <c r="D10">
        <v>2</v>
      </c>
      <c r="E10">
        <v>22</v>
      </c>
      <c r="F10">
        <v>62.5</v>
      </c>
      <c r="G10">
        <v>0</v>
      </c>
      <c r="H10">
        <v>0</v>
      </c>
      <c r="I10">
        <v>0</v>
      </c>
      <c r="J10">
        <v>0</v>
      </c>
      <c r="K10">
        <f t="shared" si="0"/>
        <v>15.625</v>
      </c>
      <c r="L10">
        <v>60</v>
      </c>
      <c r="M10">
        <v>0</v>
      </c>
      <c r="N10">
        <v>0</v>
      </c>
      <c r="O10">
        <f t="shared" si="1"/>
        <v>30</v>
      </c>
      <c r="P10">
        <v>0</v>
      </c>
      <c r="Q10">
        <f t="shared" si="2"/>
        <v>21.818181818181817</v>
      </c>
      <c r="R10">
        <f t="shared" si="3"/>
        <v>19.03125</v>
      </c>
      <c r="S10" t="s">
        <v>25</v>
      </c>
    </row>
    <row r="11" spans="1:19" ht="15" customHeight="1">
      <c r="A11">
        <v>56285</v>
      </c>
      <c r="B11">
        <v>5056</v>
      </c>
      <c r="C11" t="s">
        <v>19</v>
      </c>
      <c r="D11">
        <v>2</v>
      </c>
      <c r="E11">
        <v>22</v>
      </c>
      <c r="F11">
        <v>87.5</v>
      </c>
      <c r="G11">
        <v>35.29</v>
      </c>
      <c r="H11">
        <v>80</v>
      </c>
      <c r="I11">
        <v>77.27</v>
      </c>
      <c r="J11">
        <v>80</v>
      </c>
      <c r="K11">
        <f t="shared" si="0"/>
        <v>81.192499999999995</v>
      </c>
      <c r="L11">
        <v>73</v>
      </c>
      <c r="M11">
        <v>65</v>
      </c>
      <c r="N11">
        <v>75</v>
      </c>
      <c r="O11">
        <f t="shared" si="1"/>
        <v>74</v>
      </c>
      <c r="P11">
        <v>63.3</v>
      </c>
      <c r="Q11">
        <f t="shared" si="2"/>
        <v>71.081818181818178</v>
      </c>
      <c r="R11">
        <f t="shared" si="3"/>
        <v>75.631625000000014</v>
      </c>
      <c r="S11" t="s">
        <v>28</v>
      </c>
    </row>
    <row r="12" spans="1:19" ht="15" customHeight="1">
      <c r="A12">
        <v>54317</v>
      </c>
      <c r="B12">
        <v>1525</v>
      </c>
      <c r="C12" t="s">
        <v>19</v>
      </c>
      <c r="D12">
        <v>2</v>
      </c>
      <c r="E12">
        <v>22</v>
      </c>
      <c r="F12">
        <v>100</v>
      </c>
      <c r="G12">
        <v>100</v>
      </c>
      <c r="H12">
        <v>100</v>
      </c>
      <c r="I12">
        <v>81.819999999999993</v>
      </c>
      <c r="J12">
        <v>100</v>
      </c>
      <c r="K12">
        <f t="shared" si="0"/>
        <v>100</v>
      </c>
      <c r="L12">
        <v>86</v>
      </c>
      <c r="M12">
        <v>92</v>
      </c>
      <c r="N12">
        <v>81</v>
      </c>
      <c r="O12">
        <f t="shared" si="1"/>
        <v>89</v>
      </c>
      <c r="P12">
        <v>83.6</v>
      </c>
      <c r="Q12">
        <f t="shared" si="2"/>
        <v>87.527272727272717</v>
      </c>
      <c r="R12">
        <f t="shared" si="3"/>
        <v>93.139999999999986</v>
      </c>
      <c r="S12" t="s">
        <v>23</v>
      </c>
    </row>
    <row r="13" spans="1:19" ht="15" customHeight="1">
      <c r="A13">
        <v>54325</v>
      </c>
      <c r="B13">
        <v>5002</v>
      </c>
      <c r="C13" t="s">
        <v>19</v>
      </c>
      <c r="D13">
        <v>1</v>
      </c>
      <c r="E13">
        <v>22</v>
      </c>
      <c r="F13">
        <v>93.75</v>
      </c>
      <c r="G13">
        <v>76.47</v>
      </c>
      <c r="H13">
        <v>0</v>
      </c>
      <c r="I13">
        <v>72.73</v>
      </c>
      <c r="J13">
        <v>100</v>
      </c>
      <c r="K13">
        <f t="shared" si="0"/>
        <v>85.737499999999997</v>
      </c>
      <c r="L13">
        <v>75</v>
      </c>
      <c r="M13">
        <v>84</v>
      </c>
      <c r="N13">
        <v>87</v>
      </c>
      <c r="O13">
        <f t="shared" si="1"/>
        <v>85.5</v>
      </c>
      <c r="P13">
        <v>91.4</v>
      </c>
      <c r="Q13">
        <f t="shared" si="2"/>
        <v>87.109090909090909</v>
      </c>
      <c r="R13">
        <f t="shared" si="3"/>
        <v>86.491874999999993</v>
      </c>
      <c r="S13" t="s">
        <v>21</v>
      </c>
    </row>
    <row r="14" spans="1:19" ht="15" customHeight="1">
      <c r="A14">
        <v>54462</v>
      </c>
      <c r="B14">
        <v>6663</v>
      </c>
      <c r="C14" t="s">
        <v>19</v>
      </c>
      <c r="D14">
        <v>2</v>
      </c>
      <c r="E14">
        <v>22</v>
      </c>
      <c r="F14">
        <v>68.75</v>
      </c>
      <c r="G14">
        <v>70.59</v>
      </c>
      <c r="H14">
        <v>82.5</v>
      </c>
      <c r="I14">
        <v>52.27</v>
      </c>
      <c r="J14">
        <v>85</v>
      </c>
      <c r="K14">
        <f t="shared" si="0"/>
        <v>76.710000000000008</v>
      </c>
      <c r="L14">
        <v>68</v>
      </c>
      <c r="M14">
        <v>74</v>
      </c>
      <c r="N14">
        <v>77</v>
      </c>
      <c r="O14">
        <f t="shared" si="1"/>
        <v>75.5</v>
      </c>
      <c r="P14">
        <v>79.7</v>
      </c>
      <c r="Q14">
        <f t="shared" si="2"/>
        <v>76.645454545454541</v>
      </c>
      <c r="R14">
        <f t="shared" si="3"/>
        <v>76.674500000000009</v>
      </c>
      <c r="S14" t="s">
        <v>28</v>
      </c>
    </row>
    <row r="15" spans="1:19" ht="15" customHeight="1">
      <c r="A15">
        <v>54235</v>
      </c>
      <c r="B15">
        <v>8292</v>
      </c>
      <c r="C15" t="s">
        <v>19</v>
      </c>
      <c r="D15">
        <v>1</v>
      </c>
      <c r="E15">
        <v>22</v>
      </c>
      <c r="F15">
        <v>87.5</v>
      </c>
      <c r="G15">
        <v>64.709999999999994</v>
      </c>
      <c r="H15">
        <v>80</v>
      </c>
      <c r="I15">
        <v>68.180000000000007</v>
      </c>
      <c r="J15">
        <v>85</v>
      </c>
      <c r="K15">
        <f t="shared" si="0"/>
        <v>80.17</v>
      </c>
      <c r="L15">
        <v>37</v>
      </c>
      <c r="M15">
        <v>80</v>
      </c>
      <c r="N15">
        <v>70</v>
      </c>
      <c r="O15">
        <f t="shared" si="1"/>
        <v>75</v>
      </c>
      <c r="P15">
        <v>73.5</v>
      </c>
      <c r="Q15">
        <f t="shared" si="2"/>
        <v>74.590909090909079</v>
      </c>
      <c r="R15">
        <f t="shared" si="3"/>
        <v>77.101500000000016</v>
      </c>
      <c r="S15" t="s">
        <v>28</v>
      </c>
    </row>
    <row r="16" spans="1:19" ht="16" customHeight="1">
      <c r="A16">
        <v>57511</v>
      </c>
      <c r="B16">
        <v>4276</v>
      </c>
      <c r="C16" t="s">
        <v>19</v>
      </c>
      <c r="D16">
        <v>1</v>
      </c>
      <c r="E16">
        <v>22</v>
      </c>
      <c r="F16">
        <v>75</v>
      </c>
      <c r="G16">
        <v>0</v>
      </c>
      <c r="H16">
        <v>0</v>
      </c>
      <c r="I16">
        <v>0</v>
      </c>
      <c r="J16">
        <v>0</v>
      </c>
      <c r="K16">
        <f t="shared" si="0"/>
        <v>18.75</v>
      </c>
      <c r="L16">
        <v>53</v>
      </c>
      <c r="M16">
        <v>0</v>
      </c>
      <c r="N16">
        <v>0</v>
      </c>
      <c r="O16">
        <f t="shared" si="1"/>
        <v>26.5</v>
      </c>
      <c r="P16">
        <v>0</v>
      </c>
      <c r="Q16">
        <f t="shared" si="2"/>
        <v>19.272727272727273</v>
      </c>
      <c r="R16">
        <f t="shared" si="3"/>
        <v>19.037500000000001</v>
      </c>
      <c r="S16" t="s">
        <v>25</v>
      </c>
    </row>
    <row r="17" spans="1:19" ht="15" customHeight="1">
      <c r="A17">
        <v>54323</v>
      </c>
      <c r="B17">
        <v>305</v>
      </c>
      <c r="C17" t="s">
        <v>19</v>
      </c>
      <c r="D17">
        <v>2</v>
      </c>
      <c r="E17">
        <v>22</v>
      </c>
      <c r="F17">
        <v>100</v>
      </c>
      <c r="G17">
        <v>88.24</v>
      </c>
      <c r="H17">
        <v>100</v>
      </c>
      <c r="I17">
        <v>93.18</v>
      </c>
      <c r="J17">
        <v>100</v>
      </c>
      <c r="K17">
        <f t="shared" si="0"/>
        <v>98.295000000000002</v>
      </c>
      <c r="L17">
        <v>64</v>
      </c>
      <c r="M17">
        <v>78</v>
      </c>
      <c r="N17">
        <v>80</v>
      </c>
      <c r="O17">
        <f t="shared" si="1"/>
        <v>79</v>
      </c>
      <c r="P17">
        <v>77.3</v>
      </c>
      <c r="Q17">
        <f t="shared" si="2"/>
        <v>78.536363636363632</v>
      </c>
      <c r="R17">
        <f t="shared" si="3"/>
        <v>87.427750000000003</v>
      </c>
      <c r="S17" t="s">
        <v>21</v>
      </c>
    </row>
    <row r="18" spans="1:19" ht="15" customHeight="1">
      <c r="A18">
        <v>54021</v>
      </c>
      <c r="B18">
        <v>7208</v>
      </c>
      <c r="C18" t="s">
        <v>19</v>
      </c>
      <c r="D18">
        <v>2</v>
      </c>
      <c r="E18">
        <v>22</v>
      </c>
      <c r="F18">
        <v>93.75</v>
      </c>
      <c r="G18">
        <v>82.35</v>
      </c>
      <c r="H18">
        <v>95</v>
      </c>
      <c r="I18">
        <v>86.36</v>
      </c>
      <c r="J18">
        <v>0</v>
      </c>
      <c r="K18">
        <f t="shared" si="0"/>
        <v>89.365000000000009</v>
      </c>
      <c r="L18">
        <v>89</v>
      </c>
      <c r="M18">
        <v>59</v>
      </c>
      <c r="N18">
        <v>84</v>
      </c>
      <c r="O18">
        <f t="shared" si="1"/>
        <v>86.5</v>
      </c>
      <c r="P18">
        <v>71.099999999999994</v>
      </c>
      <c r="Q18">
        <f t="shared" si="2"/>
        <v>82.3</v>
      </c>
      <c r="R18">
        <f t="shared" si="3"/>
        <v>85.479250000000008</v>
      </c>
      <c r="S18" t="s">
        <v>20</v>
      </c>
    </row>
    <row r="19" spans="1:19" ht="15" customHeight="1">
      <c r="A19">
        <v>56699</v>
      </c>
      <c r="B19">
        <v>6792</v>
      </c>
      <c r="C19" t="s">
        <v>19</v>
      </c>
      <c r="D19">
        <v>1</v>
      </c>
      <c r="E19">
        <v>22</v>
      </c>
      <c r="F19">
        <v>0</v>
      </c>
      <c r="G19">
        <v>88.24</v>
      </c>
      <c r="H19">
        <v>92.5</v>
      </c>
      <c r="I19">
        <v>81.819999999999993</v>
      </c>
      <c r="J19">
        <v>90</v>
      </c>
      <c r="K19">
        <f t="shared" si="0"/>
        <v>88.14</v>
      </c>
      <c r="L19">
        <v>50</v>
      </c>
      <c r="M19">
        <v>72</v>
      </c>
      <c r="N19">
        <v>69</v>
      </c>
      <c r="O19">
        <f t="shared" si="1"/>
        <v>70.5</v>
      </c>
      <c r="P19">
        <v>70.3</v>
      </c>
      <c r="Q19">
        <f t="shared" si="2"/>
        <v>70.445454545454552</v>
      </c>
      <c r="R19">
        <f t="shared" si="3"/>
        <v>78.408000000000001</v>
      </c>
      <c r="S19" t="s">
        <v>28</v>
      </c>
    </row>
    <row r="20" spans="1:19" ht="15" customHeight="1">
      <c r="A20">
        <v>10046</v>
      </c>
      <c r="B20">
        <v>5742</v>
      </c>
      <c r="C20" t="s">
        <v>19</v>
      </c>
      <c r="D20">
        <v>1</v>
      </c>
      <c r="E20">
        <v>22</v>
      </c>
      <c r="F20">
        <v>81.25</v>
      </c>
      <c r="G20">
        <v>70.59</v>
      </c>
      <c r="H20">
        <v>0</v>
      </c>
      <c r="I20">
        <v>70.45</v>
      </c>
      <c r="J20">
        <v>0</v>
      </c>
      <c r="K20">
        <f t="shared" si="0"/>
        <v>55.572500000000005</v>
      </c>
      <c r="L20">
        <v>74</v>
      </c>
      <c r="M20">
        <v>73</v>
      </c>
      <c r="N20">
        <v>0</v>
      </c>
      <c r="O20">
        <f t="shared" si="1"/>
        <v>73.5</v>
      </c>
      <c r="Q20">
        <f t="shared" si="2"/>
        <v>53.454545454545453</v>
      </c>
      <c r="R20">
        <f t="shared" si="3"/>
        <v>54.40762500000001</v>
      </c>
      <c r="S20" t="s">
        <v>35</v>
      </c>
    </row>
    <row r="21" spans="1:19" ht="15" customHeight="1">
      <c r="A21">
        <v>60778</v>
      </c>
      <c r="B21">
        <v>240</v>
      </c>
      <c r="C21" t="s">
        <v>19</v>
      </c>
      <c r="D21">
        <v>1</v>
      </c>
      <c r="E21">
        <v>22</v>
      </c>
      <c r="F21">
        <v>100</v>
      </c>
      <c r="G21">
        <v>100</v>
      </c>
      <c r="H21">
        <v>65</v>
      </c>
      <c r="I21">
        <v>95.45</v>
      </c>
      <c r="J21">
        <v>75</v>
      </c>
      <c r="K21">
        <f t="shared" si="0"/>
        <v>92.612499999999997</v>
      </c>
      <c r="L21">
        <v>82</v>
      </c>
      <c r="M21">
        <v>76</v>
      </c>
      <c r="N21">
        <v>81</v>
      </c>
      <c r="O21">
        <f t="shared" si="1"/>
        <v>81.5</v>
      </c>
      <c r="P21">
        <v>79.7</v>
      </c>
      <c r="Q21">
        <f t="shared" si="2"/>
        <v>81.009090909090901</v>
      </c>
      <c r="R21">
        <f t="shared" si="3"/>
        <v>86.230624999999989</v>
      </c>
      <c r="S21" t="s">
        <v>21</v>
      </c>
    </row>
  </sheetData>
  <printOptions gridLines="1" gridLinesSet="0"/>
  <pageMargins left="0.75" right="0.75" top="1" bottom="1" header="0.5" footer="0.5"/>
  <pageSetup paperSize="0" scale="80" orientation="landscape" horizontalDpi="4294967292" verticalDpi="4294967292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workbookViewId="0">
      <selection activeCell="C2" sqref="C2:C21"/>
    </sheetView>
  </sheetViews>
  <sheetFormatPr defaultColWidth="11.453125" defaultRowHeight="12.5"/>
  <cols>
    <col min="1" max="1" width="6" customWidth="1"/>
    <col min="2" max="2" width="5" customWidth="1"/>
    <col min="3" max="3" width="20.26953125" customWidth="1"/>
    <col min="4" max="4" width="3" customWidth="1"/>
    <col min="5" max="5" width="3.1796875" customWidth="1"/>
    <col min="6" max="6" width="5.54296875" customWidth="1"/>
    <col min="7" max="7" width="6" customWidth="1"/>
    <col min="8" max="8" width="5.54296875" customWidth="1"/>
    <col min="9" max="9" width="6" customWidth="1"/>
    <col min="10" max="10" width="5.54296875" customWidth="1"/>
    <col min="11" max="11" width="8" customWidth="1"/>
    <col min="12" max="14" width="5.1796875" customWidth="1"/>
    <col min="15" max="15" width="7.26953125" customWidth="1"/>
    <col min="16" max="16" width="4.26953125" customWidth="1"/>
    <col min="17" max="17" width="8" customWidth="1"/>
    <col min="18" max="18" width="8.1796875" customWidth="1"/>
    <col min="19" max="19" width="5.453125" customWidth="1"/>
  </cols>
  <sheetData>
    <row r="1" spans="1:19" s="1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>
        <v>54421</v>
      </c>
      <c r="B2">
        <v>472</v>
      </c>
      <c r="C2" t="s">
        <v>19</v>
      </c>
      <c r="D2">
        <v>1</v>
      </c>
      <c r="E2">
        <v>23</v>
      </c>
      <c r="F2">
        <v>0</v>
      </c>
      <c r="G2">
        <v>0</v>
      </c>
      <c r="H2">
        <v>0</v>
      </c>
      <c r="I2">
        <v>0</v>
      </c>
      <c r="J2">
        <v>0</v>
      </c>
      <c r="K2">
        <f t="shared" ref="K2:K12" si="0">(SUM(F2:J2)-MIN(F2:J2))/4</f>
        <v>0</v>
      </c>
      <c r="L2">
        <v>0</v>
      </c>
      <c r="M2">
        <v>84</v>
      </c>
      <c r="N2">
        <v>0</v>
      </c>
      <c r="O2">
        <f t="shared" ref="O2:O21" si="1">((L2+M2+N2)-MIN(L2:N2) )/2</f>
        <v>42</v>
      </c>
      <c r="P2">
        <v>0</v>
      </c>
      <c r="Q2">
        <f t="shared" ref="Q2:Q21" si="2">(0.4*O2+0.15*P2)/0.55</f>
        <v>30.545454545454543</v>
      </c>
      <c r="R2">
        <f t="shared" ref="R2:R21" si="3">0.45*K2+0.4*O2+0.15*P2</f>
        <v>16.8</v>
      </c>
      <c r="S2" t="s">
        <v>25</v>
      </c>
    </row>
    <row r="3" spans="1:19" ht="15" customHeight="1">
      <c r="A3">
        <v>54021</v>
      </c>
      <c r="B3">
        <v>6341</v>
      </c>
      <c r="C3" t="s">
        <v>19</v>
      </c>
      <c r="D3">
        <v>1</v>
      </c>
      <c r="E3">
        <v>23</v>
      </c>
      <c r="F3">
        <v>86.6</v>
      </c>
      <c r="G3">
        <v>67.599999999999994</v>
      </c>
      <c r="H3">
        <v>0</v>
      </c>
      <c r="I3">
        <v>88.6</v>
      </c>
      <c r="J3">
        <v>95</v>
      </c>
      <c r="K3">
        <f t="shared" si="0"/>
        <v>84.449999999999989</v>
      </c>
      <c r="L3">
        <v>0</v>
      </c>
      <c r="M3">
        <v>75</v>
      </c>
      <c r="N3">
        <v>83</v>
      </c>
      <c r="O3">
        <f t="shared" si="1"/>
        <v>79</v>
      </c>
      <c r="P3">
        <v>66.400000000000006</v>
      </c>
      <c r="Q3">
        <f t="shared" si="2"/>
        <v>75.563636363636363</v>
      </c>
      <c r="R3">
        <f t="shared" si="3"/>
        <v>79.5625</v>
      </c>
      <c r="S3" t="s">
        <v>31</v>
      </c>
    </row>
    <row r="4" spans="1:19" ht="15" customHeight="1">
      <c r="A4">
        <v>53388</v>
      </c>
      <c r="B4">
        <v>4525</v>
      </c>
      <c r="C4" t="s">
        <v>19</v>
      </c>
      <c r="D4">
        <v>1</v>
      </c>
      <c r="E4">
        <v>23</v>
      </c>
      <c r="F4">
        <v>73.3</v>
      </c>
      <c r="G4">
        <v>52.9</v>
      </c>
      <c r="H4">
        <v>0</v>
      </c>
      <c r="I4">
        <v>52.3</v>
      </c>
      <c r="J4">
        <v>0</v>
      </c>
      <c r="K4">
        <f t="shared" si="0"/>
        <v>44.625</v>
      </c>
      <c r="L4">
        <v>45</v>
      </c>
      <c r="M4">
        <v>66</v>
      </c>
      <c r="N4">
        <v>0</v>
      </c>
      <c r="O4">
        <f t="shared" si="1"/>
        <v>55.5</v>
      </c>
      <c r="P4">
        <v>35.9</v>
      </c>
      <c r="Q4">
        <f t="shared" si="2"/>
        <v>50.154545454545449</v>
      </c>
      <c r="R4">
        <f t="shared" si="3"/>
        <v>47.666249999999998</v>
      </c>
      <c r="S4" t="s">
        <v>25</v>
      </c>
    </row>
    <row r="5" spans="1:19" ht="15" customHeight="1">
      <c r="A5">
        <v>56679</v>
      </c>
      <c r="B5">
        <v>9255</v>
      </c>
      <c r="C5" t="s">
        <v>19</v>
      </c>
      <c r="D5">
        <v>2</v>
      </c>
      <c r="E5">
        <v>23</v>
      </c>
      <c r="F5">
        <v>96.6</v>
      </c>
      <c r="G5">
        <v>0</v>
      </c>
      <c r="H5">
        <v>97.5</v>
      </c>
      <c r="I5">
        <v>70.5</v>
      </c>
      <c r="J5">
        <v>90</v>
      </c>
      <c r="K5">
        <f t="shared" si="0"/>
        <v>88.65</v>
      </c>
      <c r="L5">
        <v>76</v>
      </c>
      <c r="M5">
        <v>78</v>
      </c>
      <c r="N5">
        <v>70</v>
      </c>
      <c r="O5">
        <f t="shared" si="1"/>
        <v>77</v>
      </c>
      <c r="P5">
        <v>70.3</v>
      </c>
      <c r="Q5">
        <f t="shared" si="2"/>
        <v>75.172727272727258</v>
      </c>
      <c r="R5">
        <f t="shared" si="3"/>
        <v>81.237500000000011</v>
      </c>
      <c r="S5" t="s">
        <v>31</v>
      </c>
    </row>
    <row r="6" spans="1:19" ht="15" customHeight="1">
      <c r="A6">
        <v>55953</v>
      </c>
      <c r="B6">
        <v>6172</v>
      </c>
      <c r="C6" t="s">
        <v>19</v>
      </c>
      <c r="D6">
        <v>2</v>
      </c>
      <c r="E6">
        <v>23</v>
      </c>
      <c r="F6">
        <v>100</v>
      </c>
      <c r="G6">
        <v>100</v>
      </c>
      <c r="H6">
        <v>97.5</v>
      </c>
      <c r="I6">
        <v>100</v>
      </c>
      <c r="J6">
        <v>100</v>
      </c>
      <c r="K6">
        <f t="shared" si="0"/>
        <v>100</v>
      </c>
      <c r="L6">
        <v>92</v>
      </c>
      <c r="M6">
        <v>86</v>
      </c>
      <c r="N6">
        <v>98</v>
      </c>
      <c r="O6">
        <f t="shared" si="1"/>
        <v>95</v>
      </c>
      <c r="P6">
        <v>82</v>
      </c>
      <c r="Q6">
        <f t="shared" si="2"/>
        <v>91.454545454545439</v>
      </c>
      <c r="R6">
        <f t="shared" si="3"/>
        <v>95.3</v>
      </c>
      <c r="S6" t="s">
        <v>23</v>
      </c>
    </row>
    <row r="7" spans="1:19" ht="15" customHeight="1">
      <c r="A7">
        <v>53580</v>
      </c>
      <c r="B7">
        <v>6368</v>
      </c>
      <c r="C7" t="s">
        <v>19</v>
      </c>
      <c r="D7">
        <v>1</v>
      </c>
      <c r="E7">
        <v>23</v>
      </c>
      <c r="F7">
        <v>100</v>
      </c>
      <c r="G7">
        <v>0</v>
      </c>
      <c r="H7">
        <v>97.5</v>
      </c>
      <c r="I7">
        <v>84.1</v>
      </c>
      <c r="J7">
        <v>60</v>
      </c>
      <c r="K7">
        <f t="shared" si="0"/>
        <v>85.4</v>
      </c>
      <c r="L7">
        <v>77</v>
      </c>
      <c r="M7">
        <v>71</v>
      </c>
      <c r="N7">
        <v>64</v>
      </c>
      <c r="O7">
        <f t="shared" si="1"/>
        <v>74</v>
      </c>
      <c r="P7">
        <v>57</v>
      </c>
      <c r="Q7">
        <f t="shared" si="2"/>
        <v>69.36363636363636</v>
      </c>
      <c r="R7">
        <f t="shared" si="3"/>
        <v>76.58</v>
      </c>
      <c r="S7" t="s">
        <v>28</v>
      </c>
    </row>
    <row r="8" spans="1:19" ht="15" customHeight="1">
      <c r="A8">
        <v>54221</v>
      </c>
      <c r="B8">
        <v>4649</v>
      </c>
      <c r="C8" t="s">
        <v>19</v>
      </c>
      <c r="D8">
        <v>2</v>
      </c>
      <c r="E8">
        <v>23</v>
      </c>
      <c r="F8">
        <v>86.6</v>
      </c>
      <c r="G8">
        <v>100</v>
      </c>
      <c r="H8">
        <v>100</v>
      </c>
      <c r="I8">
        <v>97.7</v>
      </c>
      <c r="J8">
        <v>100</v>
      </c>
      <c r="K8">
        <f t="shared" si="0"/>
        <v>99.425000000000011</v>
      </c>
      <c r="L8">
        <v>81</v>
      </c>
      <c r="M8">
        <v>92</v>
      </c>
      <c r="N8">
        <v>80</v>
      </c>
      <c r="O8">
        <f t="shared" si="1"/>
        <v>86.5</v>
      </c>
      <c r="P8">
        <v>75</v>
      </c>
      <c r="Q8">
        <f t="shared" si="2"/>
        <v>83.36363636363636</v>
      </c>
      <c r="R8">
        <f t="shared" si="3"/>
        <v>90.591250000000002</v>
      </c>
      <c r="S8" t="s">
        <v>22</v>
      </c>
    </row>
    <row r="9" spans="1:19" ht="15" customHeight="1">
      <c r="A9">
        <v>54413</v>
      </c>
      <c r="B9">
        <v>7171</v>
      </c>
      <c r="C9" t="s">
        <v>19</v>
      </c>
      <c r="D9">
        <v>1</v>
      </c>
      <c r="E9">
        <v>23</v>
      </c>
      <c r="F9">
        <v>93.3</v>
      </c>
      <c r="G9">
        <v>85.3</v>
      </c>
      <c r="H9">
        <v>100</v>
      </c>
      <c r="I9">
        <v>97.7</v>
      </c>
      <c r="J9">
        <v>0</v>
      </c>
      <c r="K9">
        <f t="shared" si="0"/>
        <v>94.075000000000003</v>
      </c>
      <c r="L9">
        <v>95</v>
      </c>
      <c r="M9">
        <v>94</v>
      </c>
      <c r="N9">
        <v>75</v>
      </c>
      <c r="O9">
        <f t="shared" si="1"/>
        <v>94.5</v>
      </c>
      <c r="P9">
        <v>95.3</v>
      </c>
      <c r="Q9">
        <f t="shared" si="2"/>
        <v>94.718181818181819</v>
      </c>
      <c r="R9">
        <f t="shared" si="3"/>
        <v>94.428750000000008</v>
      </c>
      <c r="S9" t="s">
        <v>23</v>
      </c>
    </row>
    <row r="10" spans="1:19" ht="15" customHeight="1">
      <c r="A10">
        <v>55643</v>
      </c>
      <c r="B10">
        <v>3360</v>
      </c>
      <c r="C10" t="s">
        <v>19</v>
      </c>
      <c r="D10">
        <v>2</v>
      </c>
      <c r="E10">
        <v>23</v>
      </c>
      <c r="F10">
        <v>100</v>
      </c>
      <c r="G10">
        <v>100</v>
      </c>
      <c r="H10">
        <v>100</v>
      </c>
      <c r="I10">
        <v>88.6</v>
      </c>
      <c r="J10">
        <v>95</v>
      </c>
      <c r="K10">
        <f t="shared" si="0"/>
        <v>98.75</v>
      </c>
      <c r="L10">
        <v>81</v>
      </c>
      <c r="M10">
        <v>91</v>
      </c>
      <c r="N10">
        <v>95</v>
      </c>
      <c r="O10">
        <f t="shared" si="1"/>
        <v>93</v>
      </c>
      <c r="P10">
        <v>92.2</v>
      </c>
      <c r="Q10">
        <f t="shared" si="2"/>
        <v>92.781818181818181</v>
      </c>
      <c r="R10">
        <f t="shared" si="3"/>
        <v>95.467500000000001</v>
      </c>
      <c r="S10" t="s">
        <v>23</v>
      </c>
    </row>
    <row r="11" spans="1:19" ht="15" customHeight="1">
      <c r="A11">
        <v>57153</v>
      </c>
      <c r="B11">
        <v>9624</v>
      </c>
      <c r="C11" t="s">
        <v>19</v>
      </c>
      <c r="D11">
        <v>1</v>
      </c>
      <c r="E11">
        <v>23</v>
      </c>
      <c r="F11">
        <v>100</v>
      </c>
      <c r="G11">
        <v>100</v>
      </c>
      <c r="H11">
        <v>100</v>
      </c>
      <c r="I11">
        <v>93.2</v>
      </c>
      <c r="J11">
        <v>0</v>
      </c>
      <c r="K11">
        <f t="shared" si="0"/>
        <v>98.3</v>
      </c>
      <c r="L11">
        <v>91</v>
      </c>
      <c r="M11">
        <v>83</v>
      </c>
      <c r="N11">
        <v>79</v>
      </c>
      <c r="O11">
        <f t="shared" si="1"/>
        <v>87</v>
      </c>
      <c r="P11">
        <v>86.7</v>
      </c>
      <c r="Q11">
        <f t="shared" si="2"/>
        <v>86.918181818181822</v>
      </c>
      <c r="R11">
        <f t="shared" si="3"/>
        <v>92.039999999999992</v>
      </c>
      <c r="S11" t="s">
        <v>23</v>
      </c>
    </row>
    <row r="12" spans="1:19" ht="15" customHeight="1">
      <c r="A12">
        <v>51815</v>
      </c>
      <c r="B12">
        <v>4265</v>
      </c>
      <c r="C12" t="s">
        <v>19</v>
      </c>
      <c r="D12">
        <v>2</v>
      </c>
      <c r="E12">
        <v>23</v>
      </c>
      <c r="F12">
        <v>80</v>
      </c>
      <c r="G12">
        <v>94.1</v>
      </c>
      <c r="H12">
        <v>100</v>
      </c>
      <c r="I12">
        <v>88.6</v>
      </c>
      <c r="J12">
        <v>95</v>
      </c>
      <c r="K12">
        <f t="shared" si="0"/>
        <v>94.425000000000011</v>
      </c>
      <c r="L12">
        <v>82</v>
      </c>
      <c r="M12">
        <v>72</v>
      </c>
      <c r="N12">
        <v>87</v>
      </c>
      <c r="O12">
        <f t="shared" si="1"/>
        <v>84.5</v>
      </c>
      <c r="P12">
        <v>82.8</v>
      </c>
      <c r="Q12">
        <f t="shared" si="2"/>
        <v>84.036363636363646</v>
      </c>
      <c r="R12">
        <f t="shared" si="3"/>
        <v>88.711250000000021</v>
      </c>
      <c r="S12" t="s">
        <v>22</v>
      </c>
    </row>
    <row r="13" spans="1:19" ht="15" customHeight="1">
      <c r="A13">
        <v>54308</v>
      </c>
      <c r="B13">
        <v>9292</v>
      </c>
      <c r="C13" t="s">
        <v>19</v>
      </c>
      <c r="D13">
        <v>1</v>
      </c>
      <c r="E13">
        <v>23</v>
      </c>
      <c r="F13">
        <v>90</v>
      </c>
      <c r="G13">
        <v>67.599999999999994</v>
      </c>
      <c r="H13">
        <v>0</v>
      </c>
      <c r="I13">
        <v>0</v>
      </c>
      <c r="J13">
        <v>50</v>
      </c>
      <c r="K13">
        <f>SUM(F13:J13)/3</f>
        <v>69.2</v>
      </c>
      <c r="L13">
        <v>36</v>
      </c>
      <c r="M13">
        <v>81</v>
      </c>
      <c r="N13">
        <v>63</v>
      </c>
      <c r="O13">
        <f t="shared" si="1"/>
        <v>72</v>
      </c>
      <c r="P13">
        <v>47.7</v>
      </c>
      <c r="Q13">
        <f t="shared" si="2"/>
        <v>65.372727272727261</v>
      </c>
      <c r="R13">
        <f t="shared" si="3"/>
        <v>67.094999999999999</v>
      </c>
      <c r="S13" t="s">
        <v>24</v>
      </c>
    </row>
    <row r="14" spans="1:19" ht="15" customHeight="1">
      <c r="A14">
        <v>54294</v>
      </c>
      <c r="B14">
        <v>8153</v>
      </c>
      <c r="C14" t="s">
        <v>19</v>
      </c>
      <c r="D14">
        <v>1</v>
      </c>
      <c r="E14">
        <v>23</v>
      </c>
      <c r="F14">
        <v>100</v>
      </c>
      <c r="G14">
        <v>100</v>
      </c>
      <c r="H14">
        <v>85</v>
      </c>
      <c r="I14">
        <v>97.7</v>
      </c>
      <c r="J14">
        <v>100</v>
      </c>
      <c r="K14">
        <f t="shared" ref="K14:K21" si="4">(SUM(F14:J14)-MIN(F14:J14))/4</f>
        <v>99.424999999999997</v>
      </c>
      <c r="L14">
        <v>80</v>
      </c>
      <c r="M14">
        <v>68</v>
      </c>
      <c r="N14">
        <v>91</v>
      </c>
      <c r="O14">
        <f t="shared" si="1"/>
        <v>85.5</v>
      </c>
      <c r="P14">
        <v>88.3</v>
      </c>
      <c r="Q14">
        <f t="shared" si="2"/>
        <v>86.263636363636351</v>
      </c>
      <c r="R14">
        <f t="shared" si="3"/>
        <v>92.186250000000001</v>
      </c>
      <c r="S14" t="s">
        <v>23</v>
      </c>
    </row>
    <row r="15" spans="1:19" ht="15" customHeight="1">
      <c r="A15">
        <v>54015</v>
      </c>
      <c r="B15">
        <v>4543</v>
      </c>
      <c r="C15" t="s">
        <v>19</v>
      </c>
      <c r="D15">
        <v>1</v>
      </c>
      <c r="E15">
        <v>23</v>
      </c>
      <c r="F15">
        <v>100</v>
      </c>
      <c r="G15">
        <v>100</v>
      </c>
      <c r="H15">
        <v>100</v>
      </c>
      <c r="I15">
        <v>97.7</v>
      </c>
      <c r="J15">
        <v>0</v>
      </c>
      <c r="K15">
        <f t="shared" si="4"/>
        <v>99.424999999999997</v>
      </c>
      <c r="L15">
        <v>89</v>
      </c>
      <c r="M15">
        <v>86</v>
      </c>
      <c r="N15">
        <v>87</v>
      </c>
      <c r="O15">
        <f t="shared" si="1"/>
        <v>88</v>
      </c>
      <c r="P15">
        <v>85.2</v>
      </c>
      <c r="Q15">
        <f t="shared" si="2"/>
        <v>87.236363636363635</v>
      </c>
      <c r="R15">
        <f t="shared" si="3"/>
        <v>92.721249999999998</v>
      </c>
      <c r="S15" t="s">
        <v>23</v>
      </c>
    </row>
    <row r="16" spans="1:19" ht="15" customHeight="1">
      <c r="A16">
        <v>54060</v>
      </c>
      <c r="B16">
        <v>8686</v>
      </c>
      <c r="C16" t="s">
        <v>19</v>
      </c>
      <c r="D16">
        <v>1</v>
      </c>
      <c r="E16">
        <v>23</v>
      </c>
      <c r="F16">
        <v>96.6</v>
      </c>
      <c r="G16">
        <v>70.599999999999994</v>
      </c>
      <c r="H16">
        <v>85</v>
      </c>
      <c r="I16">
        <v>97.7</v>
      </c>
      <c r="J16">
        <v>90</v>
      </c>
      <c r="K16">
        <f t="shared" si="4"/>
        <v>92.324999999999989</v>
      </c>
      <c r="L16">
        <v>74</v>
      </c>
      <c r="M16">
        <v>92</v>
      </c>
      <c r="N16">
        <v>84</v>
      </c>
      <c r="O16">
        <f t="shared" si="1"/>
        <v>88</v>
      </c>
      <c r="P16">
        <v>96.1</v>
      </c>
      <c r="Q16">
        <f t="shared" si="2"/>
        <v>90.209090909090904</v>
      </c>
      <c r="R16">
        <f t="shared" si="3"/>
        <v>91.161249999999995</v>
      </c>
      <c r="S16" t="s">
        <v>22</v>
      </c>
    </row>
    <row r="17" spans="1:19" ht="15" customHeight="1">
      <c r="A17">
        <v>4456</v>
      </c>
      <c r="B17">
        <v>3306</v>
      </c>
      <c r="C17" t="s">
        <v>19</v>
      </c>
      <c r="D17">
        <v>1</v>
      </c>
      <c r="E17">
        <v>23</v>
      </c>
      <c r="F17">
        <v>86.6</v>
      </c>
      <c r="G17">
        <v>94.1</v>
      </c>
      <c r="H17">
        <v>0</v>
      </c>
      <c r="I17">
        <v>88.64</v>
      </c>
      <c r="J17">
        <v>60</v>
      </c>
      <c r="K17">
        <f t="shared" si="4"/>
        <v>82.334999999999994</v>
      </c>
      <c r="L17">
        <v>90</v>
      </c>
      <c r="M17">
        <v>84</v>
      </c>
      <c r="N17">
        <v>70</v>
      </c>
      <c r="O17">
        <f t="shared" si="1"/>
        <v>87</v>
      </c>
      <c r="P17">
        <v>87.5</v>
      </c>
      <c r="Q17">
        <f t="shared" si="2"/>
        <v>87.13636363636364</v>
      </c>
      <c r="R17">
        <f t="shared" si="3"/>
        <v>84.975750000000005</v>
      </c>
      <c r="S17" t="s">
        <v>20</v>
      </c>
    </row>
    <row r="18" spans="1:19" ht="15" customHeight="1">
      <c r="A18">
        <v>40615</v>
      </c>
      <c r="B18">
        <v>33</v>
      </c>
      <c r="C18" t="s">
        <v>19</v>
      </c>
      <c r="D18">
        <v>2</v>
      </c>
      <c r="E18">
        <v>23</v>
      </c>
      <c r="F18">
        <v>100</v>
      </c>
      <c r="G18">
        <v>94.1</v>
      </c>
      <c r="H18">
        <v>100</v>
      </c>
      <c r="I18">
        <v>95.5</v>
      </c>
      <c r="J18">
        <v>100</v>
      </c>
      <c r="K18">
        <f t="shared" si="4"/>
        <v>98.875</v>
      </c>
      <c r="L18">
        <v>75</v>
      </c>
      <c r="M18">
        <v>74</v>
      </c>
      <c r="N18">
        <v>76</v>
      </c>
      <c r="O18">
        <f t="shared" si="1"/>
        <v>75.5</v>
      </c>
      <c r="P18">
        <v>75.8</v>
      </c>
      <c r="Q18">
        <f t="shared" si="2"/>
        <v>75.581818181818178</v>
      </c>
      <c r="R18">
        <f t="shared" si="3"/>
        <v>86.063749999999999</v>
      </c>
      <c r="S18" t="s">
        <v>21</v>
      </c>
    </row>
    <row r="19" spans="1:19" ht="15" customHeight="1">
      <c r="A19">
        <v>53192</v>
      </c>
      <c r="B19">
        <v>1000</v>
      </c>
      <c r="C19" t="s">
        <v>19</v>
      </c>
      <c r="D19">
        <v>1</v>
      </c>
      <c r="E19">
        <v>23</v>
      </c>
      <c r="F19">
        <v>100</v>
      </c>
      <c r="G19">
        <v>100</v>
      </c>
      <c r="H19">
        <v>0</v>
      </c>
      <c r="I19">
        <v>88.6</v>
      </c>
      <c r="J19">
        <v>100</v>
      </c>
      <c r="K19">
        <f t="shared" si="4"/>
        <v>97.15</v>
      </c>
      <c r="L19">
        <v>78</v>
      </c>
      <c r="M19">
        <v>75</v>
      </c>
      <c r="N19">
        <v>60</v>
      </c>
      <c r="O19">
        <f t="shared" si="1"/>
        <v>76.5</v>
      </c>
      <c r="P19">
        <v>85.9</v>
      </c>
      <c r="Q19">
        <f t="shared" si="2"/>
        <v>79.063636363636363</v>
      </c>
      <c r="R19">
        <f t="shared" si="3"/>
        <v>87.202500000000001</v>
      </c>
      <c r="S19" t="s">
        <v>21</v>
      </c>
    </row>
    <row r="20" spans="1:19" ht="15" customHeight="1">
      <c r="A20">
        <v>54223</v>
      </c>
      <c r="B20">
        <v>61</v>
      </c>
      <c r="C20" t="s">
        <v>19</v>
      </c>
      <c r="D20">
        <v>2</v>
      </c>
      <c r="E20">
        <v>23</v>
      </c>
      <c r="F20">
        <v>100</v>
      </c>
      <c r="G20">
        <v>97.1</v>
      </c>
      <c r="H20">
        <v>100</v>
      </c>
      <c r="I20">
        <v>97.7</v>
      </c>
      <c r="J20">
        <v>95</v>
      </c>
      <c r="K20">
        <f t="shared" si="4"/>
        <v>98.7</v>
      </c>
      <c r="L20">
        <v>88</v>
      </c>
      <c r="M20">
        <v>95</v>
      </c>
      <c r="N20">
        <v>97</v>
      </c>
      <c r="O20">
        <f t="shared" si="1"/>
        <v>96</v>
      </c>
      <c r="P20">
        <v>82.8</v>
      </c>
      <c r="Q20">
        <f t="shared" si="2"/>
        <v>92.4</v>
      </c>
      <c r="R20">
        <f t="shared" si="3"/>
        <v>95.234999999999999</v>
      </c>
      <c r="S20" t="s">
        <v>23</v>
      </c>
    </row>
    <row r="21" spans="1:19" ht="15" customHeight="1">
      <c r="A21">
        <v>54119</v>
      </c>
      <c r="B21">
        <v>7966</v>
      </c>
      <c r="C21" t="s">
        <v>19</v>
      </c>
      <c r="D21">
        <v>2</v>
      </c>
      <c r="E21">
        <v>23</v>
      </c>
      <c r="F21">
        <v>90</v>
      </c>
      <c r="G21">
        <v>85.29</v>
      </c>
      <c r="H21">
        <v>95</v>
      </c>
      <c r="I21">
        <v>86.4</v>
      </c>
      <c r="J21">
        <v>50</v>
      </c>
      <c r="K21">
        <f t="shared" si="4"/>
        <v>89.172500000000014</v>
      </c>
      <c r="L21">
        <v>87</v>
      </c>
      <c r="M21">
        <v>77</v>
      </c>
      <c r="N21">
        <v>88</v>
      </c>
      <c r="O21">
        <f t="shared" si="1"/>
        <v>87.5</v>
      </c>
      <c r="P21">
        <v>80.5</v>
      </c>
      <c r="Q21">
        <f t="shared" si="2"/>
        <v>85.590909090909093</v>
      </c>
      <c r="R21">
        <f t="shared" si="3"/>
        <v>87.202625000000012</v>
      </c>
      <c r="S21" t="s">
        <v>21</v>
      </c>
    </row>
  </sheetData>
  <printOptions gridLines="1" gridLinesSet="0"/>
  <pageMargins left="0.75" right="0.75" top="1" bottom="1" header="0.5" footer="0.5"/>
  <pageSetup paperSize="0" scale="79" orientation="landscape" horizontalDpi="4294967292" verticalDpi="4294967292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"/>
  <sheetViews>
    <sheetView workbookViewId="0">
      <selection activeCell="C2" sqref="C2:C22"/>
    </sheetView>
  </sheetViews>
  <sheetFormatPr defaultColWidth="11.453125" defaultRowHeight="12.5"/>
  <cols>
    <col min="1" max="1" width="6" customWidth="1"/>
    <col min="2" max="2" width="5" customWidth="1"/>
    <col min="3" max="3" width="24" customWidth="1"/>
    <col min="4" max="4" width="3" customWidth="1"/>
    <col min="5" max="5" width="3.1796875" customWidth="1"/>
    <col min="6" max="7" width="6" customWidth="1"/>
    <col min="8" max="8" width="5.54296875" customWidth="1"/>
    <col min="9" max="9" width="6" customWidth="1"/>
    <col min="10" max="10" width="5.54296875" customWidth="1"/>
    <col min="11" max="11" width="8" customWidth="1"/>
    <col min="12" max="14" width="5.1796875" customWidth="1"/>
    <col min="15" max="15" width="7.26953125" customWidth="1"/>
    <col min="16" max="16" width="5" customWidth="1"/>
    <col min="17" max="17" width="8.453125" customWidth="1"/>
    <col min="18" max="18" width="8" customWidth="1"/>
    <col min="19" max="19" width="5.453125" customWidth="1"/>
  </cols>
  <sheetData>
    <row r="1" spans="1:19" s="1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>
        <v>54292</v>
      </c>
      <c r="B2">
        <v>8251</v>
      </c>
      <c r="C2" t="s">
        <v>19</v>
      </c>
      <c r="D2">
        <v>2</v>
      </c>
      <c r="E2">
        <v>24</v>
      </c>
      <c r="F2">
        <f>86.67</f>
        <v>86.67</v>
      </c>
      <c r="G2">
        <v>100</v>
      </c>
      <c r="H2">
        <v>95</v>
      </c>
      <c r="I2">
        <v>77.27</v>
      </c>
      <c r="J2">
        <v>95</v>
      </c>
      <c r="K2">
        <f t="shared" ref="K2:K22" si="0">(SUM(F2:J2)-MIN(F2:J2))/4</f>
        <v>94.167500000000004</v>
      </c>
      <c r="L2">
        <v>87</v>
      </c>
      <c r="M2">
        <v>83</v>
      </c>
      <c r="N2">
        <v>76</v>
      </c>
      <c r="O2">
        <f t="shared" ref="O2:O22" si="1">((L2+M2+N2)-MIN(L2:N2) )/2</f>
        <v>85</v>
      </c>
      <c r="P2">
        <v>73.400000000000006</v>
      </c>
      <c r="Q2">
        <f t="shared" ref="Q2:Q22" si="2">(0.4*O2+0.15*P2)/0.55</f>
        <v>81.836363636363629</v>
      </c>
      <c r="R2">
        <f t="shared" ref="R2:R22" si="3">0.45*K2+0.4*O2+0.15*P2</f>
        <v>87.38537500000001</v>
      </c>
      <c r="S2" t="s">
        <v>21</v>
      </c>
    </row>
    <row r="3" spans="1:19" ht="15" customHeight="1">
      <c r="A3">
        <v>54108</v>
      </c>
      <c r="B3">
        <v>9470</v>
      </c>
      <c r="C3" t="s">
        <v>19</v>
      </c>
      <c r="D3">
        <v>1</v>
      </c>
      <c r="E3">
        <v>24</v>
      </c>
      <c r="F3">
        <v>100</v>
      </c>
      <c r="G3">
        <v>87.5</v>
      </c>
      <c r="H3">
        <v>95</v>
      </c>
      <c r="I3">
        <v>0</v>
      </c>
      <c r="J3">
        <v>0</v>
      </c>
      <c r="K3">
        <f t="shared" si="0"/>
        <v>70.625</v>
      </c>
      <c r="L3">
        <v>51</v>
      </c>
      <c r="M3">
        <v>0</v>
      </c>
      <c r="N3">
        <v>60</v>
      </c>
      <c r="O3">
        <f t="shared" si="1"/>
        <v>55.5</v>
      </c>
      <c r="P3">
        <v>57.8</v>
      </c>
      <c r="Q3">
        <f t="shared" si="2"/>
        <v>56.127272727272732</v>
      </c>
      <c r="R3">
        <f t="shared" si="3"/>
        <v>62.651250000000005</v>
      </c>
      <c r="S3" t="s">
        <v>25</v>
      </c>
    </row>
    <row r="4" spans="1:19" ht="15" customHeight="1">
      <c r="A4">
        <v>54219</v>
      </c>
      <c r="B4">
        <v>4398</v>
      </c>
      <c r="C4" t="s">
        <v>19</v>
      </c>
      <c r="D4">
        <v>2</v>
      </c>
      <c r="E4">
        <v>24</v>
      </c>
      <c r="F4">
        <v>100</v>
      </c>
      <c r="G4">
        <v>81.25</v>
      </c>
      <c r="H4">
        <v>85</v>
      </c>
      <c r="I4">
        <v>90.91</v>
      </c>
      <c r="J4">
        <v>95</v>
      </c>
      <c r="K4">
        <f t="shared" si="0"/>
        <v>92.727499999999992</v>
      </c>
      <c r="L4">
        <v>78</v>
      </c>
      <c r="M4">
        <v>67</v>
      </c>
      <c r="N4">
        <v>73</v>
      </c>
      <c r="O4">
        <f t="shared" si="1"/>
        <v>75.5</v>
      </c>
      <c r="P4">
        <v>70.3</v>
      </c>
      <c r="Q4">
        <f t="shared" si="2"/>
        <v>74.081818181818178</v>
      </c>
      <c r="R4">
        <f t="shared" si="3"/>
        <v>82.472375</v>
      </c>
      <c r="S4" t="s">
        <v>20</v>
      </c>
    </row>
    <row r="5" spans="1:19" ht="15" customHeight="1">
      <c r="A5">
        <v>54219</v>
      </c>
      <c r="B5">
        <v>8605</v>
      </c>
      <c r="C5" t="s">
        <v>19</v>
      </c>
      <c r="D5">
        <v>2</v>
      </c>
      <c r="E5">
        <v>24</v>
      </c>
      <c r="F5">
        <v>93.33</v>
      </c>
      <c r="G5">
        <v>68.75</v>
      </c>
      <c r="H5">
        <v>85</v>
      </c>
      <c r="I5">
        <v>90.91</v>
      </c>
      <c r="J5">
        <v>100</v>
      </c>
      <c r="K5">
        <f t="shared" si="0"/>
        <v>92.31</v>
      </c>
      <c r="L5">
        <v>68</v>
      </c>
      <c r="M5">
        <v>65</v>
      </c>
      <c r="N5">
        <v>87</v>
      </c>
      <c r="O5">
        <f t="shared" si="1"/>
        <v>77.5</v>
      </c>
      <c r="P5">
        <v>89.8</v>
      </c>
      <c r="Q5">
        <f t="shared" si="2"/>
        <v>80.854545454545445</v>
      </c>
      <c r="R5">
        <f t="shared" si="3"/>
        <v>86.009500000000003</v>
      </c>
      <c r="S5" t="s">
        <v>21</v>
      </c>
    </row>
    <row r="6" spans="1:19" ht="15" customHeight="1">
      <c r="A6">
        <v>54215</v>
      </c>
      <c r="B6">
        <v>7519</v>
      </c>
      <c r="C6" t="s">
        <v>19</v>
      </c>
      <c r="D6">
        <v>1</v>
      </c>
      <c r="E6">
        <v>24</v>
      </c>
      <c r="F6">
        <v>80</v>
      </c>
      <c r="G6">
        <v>100</v>
      </c>
      <c r="H6">
        <v>72.5</v>
      </c>
      <c r="I6">
        <v>95.45</v>
      </c>
      <c r="J6">
        <v>100</v>
      </c>
      <c r="K6">
        <f t="shared" si="0"/>
        <v>93.862499999999997</v>
      </c>
      <c r="L6">
        <v>61</v>
      </c>
      <c r="M6">
        <v>74</v>
      </c>
      <c r="N6">
        <v>84</v>
      </c>
      <c r="O6">
        <f t="shared" si="1"/>
        <v>79</v>
      </c>
      <c r="P6">
        <v>79.7</v>
      </c>
      <c r="Q6">
        <f t="shared" si="2"/>
        <v>79.190909090909088</v>
      </c>
      <c r="R6">
        <f t="shared" si="3"/>
        <v>85.793124999999989</v>
      </c>
      <c r="S6" t="s">
        <v>21</v>
      </c>
    </row>
    <row r="7" spans="1:19" ht="15" customHeight="1">
      <c r="A7">
        <v>54223</v>
      </c>
      <c r="B7">
        <v>4775</v>
      </c>
      <c r="C7" t="s">
        <v>19</v>
      </c>
      <c r="D7">
        <v>1</v>
      </c>
      <c r="E7">
        <v>24</v>
      </c>
      <c r="F7">
        <v>80</v>
      </c>
      <c r="G7">
        <v>87.5</v>
      </c>
      <c r="H7">
        <v>0</v>
      </c>
      <c r="I7">
        <v>54.55</v>
      </c>
      <c r="J7">
        <v>70</v>
      </c>
      <c r="K7">
        <f t="shared" si="0"/>
        <v>73.012500000000003</v>
      </c>
      <c r="L7">
        <v>75</v>
      </c>
      <c r="M7">
        <v>67</v>
      </c>
      <c r="N7">
        <v>76</v>
      </c>
      <c r="O7">
        <f t="shared" si="1"/>
        <v>75.5</v>
      </c>
      <c r="P7">
        <v>69.5</v>
      </c>
      <c r="Q7">
        <f t="shared" si="2"/>
        <v>73.86363636363636</v>
      </c>
      <c r="R7">
        <f t="shared" si="3"/>
        <v>73.480625000000003</v>
      </c>
      <c r="S7" t="s">
        <v>32</v>
      </c>
    </row>
    <row r="8" spans="1:19" ht="15" customHeight="1">
      <c r="A8">
        <v>54233</v>
      </c>
      <c r="B8">
        <v>6835</v>
      </c>
      <c r="C8" t="s">
        <v>19</v>
      </c>
      <c r="D8">
        <v>2</v>
      </c>
      <c r="E8">
        <v>24</v>
      </c>
      <c r="F8">
        <v>87.5</v>
      </c>
      <c r="G8">
        <v>50</v>
      </c>
      <c r="H8">
        <v>85</v>
      </c>
      <c r="I8">
        <v>13.64</v>
      </c>
      <c r="J8">
        <v>90</v>
      </c>
      <c r="K8">
        <f t="shared" si="0"/>
        <v>78.125</v>
      </c>
      <c r="L8">
        <v>63</v>
      </c>
      <c r="M8">
        <v>57</v>
      </c>
      <c r="N8">
        <v>72</v>
      </c>
      <c r="O8">
        <f t="shared" si="1"/>
        <v>67.5</v>
      </c>
      <c r="P8">
        <v>68.8</v>
      </c>
      <c r="Q8">
        <f t="shared" si="2"/>
        <v>67.854545454545445</v>
      </c>
      <c r="R8">
        <f t="shared" si="3"/>
        <v>72.476249999999993</v>
      </c>
      <c r="S8" t="s">
        <v>32</v>
      </c>
    </row>
    <row r="9" spans="1:19" ht="15" customHeight="1">
      <c r="A9">
        <v>57608</v>
      </c>
      <c r="B9">
        <v>6472</v>
      </c>
      <c r="C9" t="s">
        <v>19</v>
      </c>
      <c r="D9">
        <v>1</v>
      </c>
      <c r="E9">
        <v>24</v>
      </c>
      <c r="F9">
        <v>93.33</v>
      </c>
      <c r="G9">
        <v>87.5</v>
      </c>
      <c r="H9">
        <v>0</v>
      </c>
      <c r="I9">
        <v>95.45</v>
      </c>
      <c r="J9">
        <v>90</v>
      </c>
      <c r="K9">
        <f t="shared" si="0"/>
        <v>91.57</v>
      </c>
      <c r="L9">
        <v>96</v>
      </c>
      <c r="M9">
        <v>70</v>
      </c>
      <c r="N9">
        <v>74</v>
      </c>
      <c r="O9">
        <f t="shared" si="1"/>
        <v>85</v>
      </c>
      <c r="P9">
        <v>76.599999999999994</v>
      </c>
      <c r="Q9">
        <f t="shared" si="2"/>
        <v>82.709090909090889</v>
      </c>
      <c r="R9">
        <f t="shared" si="3"/>
        <v>86.6965</v>
      </c>
      <c r="S9" t="s">
        <v>21</v>
      </c>
    </row>
    <row r="10" spans="1:19" ht="15" customHeight="1">
      <c r="A10">
        <v>54121</v>
      </c>
      <c r="B10">
        <v>8877</v>
      </c>
      <c r="C10" t="s">
        <v>19</v>
      </c>
      <c r="D10">
        <v>2</v>
      </c>
      <c r="E10">
        <v>24</v>
      </c>
      <c r="F10">
        <v>80</v>
      </c>
      <c r="G10">
        <v>87.5</v>
      </c>
      <c r="H10">
        <v>90</v>
      </c>
      <c r="I10">
        <v>50</v>
      </c>
      <c r="J10">
        <v>100</v>
      </c>
      <c r="K10">
        <f t="shared" si="0"/>
        <v>89.375</v>
      </c>
      <c r="L10">
        <v>39</v>
      </c>
      <c r="M10">
        <v>58</v>
      </c>
      <c r="N10">
        <v>68</v>
      </c>
      <c r="O10">
        <f t="shared" si="1"/>
        <v>63</v>
      </c>
      <c r="P10">
        <v>65.599999999999994</v>
      </c>
      <c r="Q10">
        <f t="shared" si="2"/>
        <v>63.709090909090904</v>
      </c>
      <c r="R10">
        <f t="shared" si="3"/>
        <v>75.258750000000006</v>
      </c>
      <c r="S10" t="s">
        <v>32</v>
      </c>
    </row>
    <row r="11" spans="1:19" ht="15" customHeight="1">
      <c r="A11">
        <v>54486</v>
      </c>
      <c r="B11">
        <v>5003</v>
      </c>
      <c r="C11" t="s">
        <v>19</v>
      </c>
      <c r="D11">
        <v>2</v>
      </c>
      <c r="E11">
        <v>24</v>
      </c>
      <c r="F11">
        <v>0</v>
      </c>
      <c r="G11">
        <v>68.75</v>
      </c>
      <c r="H11">
        <v>0</v>
      </c>
      <c r="I11">
        <v>95.45</v>
      </c>
      <c r="J11">
        <v>85</v>
      </c>
      <c r="K11">
        <f t="shared" si="0"/>
        <v>62.3</v>
      </c>
      <c r="L11">
        <v>57</v>
      </c>
      <c r="M11">
        <v>64</v>
      </c>
      <c r="N11">
        <v>68</v>
      </c>
      <c r="O11">
        <f t="shared" si="1"/>
        <v>66</v>
      </c>
      <c r="P11">
        <v>57.8</v>
      </c>
      <c r="Q11">
        <f t="shared" si="2"/>
        <v>63.763636363636358</v>
      </c>
      <c r="R11">
        <f t="shared" si="3"/>
        <v>63.105000000000004</v>
      </c>
      <c r="S11" t="s">
        <v>30</v>
      </c>
    </row>
    <row r="12" spans="1:19" ht="15" customHeight="1">
      <c r="A12">
        <v>54196</v>
      </c>
      <c r="B12">
        <v>5135</v>
      </c>
      <c r="C12" t="s">
        <v>19</v>
      </c>
      <c r="D12">
        <v>1</v>
      </c>
      <c r="E12">
        <v>24</v>
      </c>
      <c r="F12">
        <v>86.67</v>
      </c>
      <c r="G12">
        <v>81.25</v>
      </c>
      <c r="H12">
        <v>95</v>
      </c>
      <c r="I12">
        <v>95.45</v>
      </c>
      <c r="J12">
        <v>100</v>
      </c>
      <c r="K12">
        <f t="shared" si="0"/>
        <v>94.28</v>
      </c>
      <c r="L12">
        <v>90</v>
      </c>
      <c r="M12">
        <v>82</v>
      </c>
      <c r="N12">
        <v>91</v>
      </c>
      <c r="O12">
        <f t="shared" si="1"/>
        <v>90.5</v>
      </c>
      <c r="P12">
        <v>85.9</v>
      </c>
      <c r="Q12">
        <f t="shared" si="2"/>
        <v>89.245454545454535</v>
      </c>
      <c r="R12">
        <f t="shared" si="3"/>
        <v>91.51100000000001</v>
      </c>
      <c r="S12" t="s">
        <v>23</v>
      </c>
    </row>
    <row r="13" spans="1:19" ht="15" customHeight="1">
      <c r="A13">
        <v>54498</v>
      </c>
      <c r="B13">
        <v>2363</v>
      </c>
      <c r="C13" t="s">
        <v>19</v>
      </c>
      <c r="D13">
        <v>2</v>
      </c>
      <c r="E13">
        <v>24</v>
      </c>
      <c r="F13">
        <v>93.33</v>
      </c>
      <c r="G13">
        <v>100</v>
      </c>
      <c r="H13">
        <v>97.5</v>
      </c>
      <c r="I13">
        <v>95.45</v>
      </c>
      <c r="J13">
        <v>0</v>
      </c>
      <c r="K13">
        <f t="shared" si="0"/>
        <v>96.57</v>
      </c>
      <c r="L13">
        <v>88</v>
      </c>
      <c r="M13">
        <v>66</v>
      </c>
      <c r="N13">
        <v>52</v>
      </c>
      <c r="O13">
        <f t="shared" si="1"/>
        <v>77</v>
      </c>
      <c r="P13">
        <v>85.9</v>
      </c>
      <c r="Q13">
        <f t="shared" si="2"/>
        <v>79.427272727272722</v>
      </c>
      <c r="R13">
        <f t="shared" si="3"/>
        <v>87.141500000000008</v>
      </c>
      <c r="S13" t="s">
        <v>21</v>
      </c>
    </row>
    <row r="14" spans="1:19" ht="15" customHeight="1">
      <c r="A14">
        <v>54192</v>
      </c>
      <c r="B14">
        <v>4498</v>
      </c>
      <c r="C14" t="s">
        <v>19</v>
      </c>
      <c r="D14">
        <v>2</v>
      </c>
      <c r="E14">
        <v>24</v>
      </c>
      <c r="F14">
        <v>86.67</v>
      </c>
      <c r="G14">
        <v>75</v>
      </c>
      <c r="H14">
        <v>100</v>
      </c>
      <c r="I14">
        <v>75</v>
      </c>
      <c r="J14">
        <v>0</v>
      </c>
      <c r="K14">
        <f t="shared" si="0"/>
        <v>84.167500000000004</v>
      </c>
      <c r="L14">
        <v>77</v>
      </c>
      <c r="M14">
        <v>76</v>
      </c>
      <c r="N14">
        <v>79</v>
      </c>
      <c r="O14">
        <f t="shared" si="1"/>
        <v>78</v>
      </c>
      <c r="P14">
        <v>65.599999999999994</v>
      </c>
      <c r="Q14">
        <f t="shared" si="2"/>
        <v>74.61818181818181</v>
      </c>
      <c r="R14">
        <f t="shared" si="3"/>
        <v>78.915375000000012</v>
      </c>
      <c r="S14" t="s">
        <v>31</v>
      </c>
    </row>
    <row r="15" spans="1:19" ht="15" customHeight="1">
      <c r="A15">
        <v>54415</v>
      </c>
      <c r="B15">
        <v>7617</v>
      </c>
      <c r="C15" t="s">
        <v>19</v>
      </c>
      <c r="D15">
        <v>2</v>
      </c>
      <c r="E15">
        <v>24</v>
      </c>
      <c r="F15">
        <v>100</v>
      </c>
      <c r="G15">
        <v>68.75</v>
      </c>
      <c r="H15">
        <v>100</v>
      </c>
      <c r="I15">
        <v>50</v>
      </c>
      <c r="J15">
        <v>0</v>
      </c>
      <c r="K15">
        <f t="shared" si="0"/>
        <v>79.6875</v>
      </c>
      <c r="L15">
        <v>46</v>
      </c>
      <c r="M15">
        <v>57</v>
      </c>
      <c r="N15">
        <v>64</v>
      </c>
      <c r="O15">
        <f t="shared" si="1"/>
        <v>60.5</v>
      </c>
      <c r="P15">
        <v>62.5</v>
      </c>
      <c r="Q15">
        <f t="shared" si="2"/>
        <v>61.045454545454547</v>
      </c>
      <c r="R15">
        <f t="shared" si="3"/>
        <v>69.434375000000003</v>
      </c>
      <c r="S15" t="s">
        <v>29</v>
      </c>
    </row>
    <row r="16" spans="1:19" ht="15" customHeight="1">
      <c r="A16">
        <v>52092</v>
      </c>
      <c r="B16">
        <v>7931</v>
      </c>
      <c r="C16" t="s">
        <v>19</v>
      </c>
      <c r="D16">
        <v>2</v>
      </c>
      <c r="E16">
        <v>24</v>
      </c>
      <c r="F16">
        <v>100</v>
      </c>
      <c r="G16">
        <v>81.25</v>
      </c>
      <c r="H16">
        <v>85</v>
      </c>
      <c r="I16">
        <v>93.18</v>
      </c>
      <c r="J16">
        <v>100</v>
      </c>
      <c r="K16">
        <f t="shared" si="0"/>
        <v>94.545000000000002</v>
      </c>
      <c r="L16">
        <v>81</v>
      </c>
      <c r="M16">
        <v>76</v>
      </c>
      <c r="N16">
        <v>85</v>
      </c>
      <c r="O16">
        <f t="shared" si="1"/>
        <v>83</v>
      </c>
      <c r="P16">
        <v>87.5</v>
      </c>
      <c r="Q16">
        <f t="shared" si="2"/>
        <v>84.22727272727272</v>
      </c>
      <c r="R16">
        <f t="shared" si="3"/>
        <v>88.870249999999999</v>
      </c>
      <c r="S16" t="s">
        <v>22</v>
      </c>
    </row>
    <row r="17" spans="1:19" ht="15" customHeight="1">
      <c r="A17">
        <v>54421</v>
      </c>
      <c r="B17">
        <v>109</v>
      </c>
      <c r="C17" t="s">
        <v>19</v>
      </c>
      <c r="D17">
        <v>2</v>
      </c>
      <c r="E17">
        <v>24</v>
      </c>
      <c r="F17">
        <v>0</v>
      </c>
      <c r="G17">
        <v>81.25</v>
      </c>
      <c r="H17">
        <v>72.5</v>
      </c>
      <c r="I17">
        <v>81.819999999999993</v>
      </c>
      <c r="J17">
        <v>90</v>
      </c>
      <c r="K17">
        <f t="shared" si="0"/>
        <v>81.392499999999998</v>
      </c>
      <c r="L17">
        <v>73</v>
      </c>
      <c r="M17">
        <v>84</v>
      </c>
      <c r="N17">
        <v>0</v>
      </c>
      <c r="O17">
        <f t="shared" si="1"/>
        <v>78.5</v>
      </c>
      <c r="P17">
        <v>77.3</v>
      </c>
      <c r="Q17">
        <f t="shared" si="2"/>
        <v>78.172727272727272</v>
      </c>
      <c r="R17">
        <f t="shared" si="3"/>
        <v>79.621624999999995</v>
      </c>
      <c r="S17" t="s">
        <v>31</v>
      </c>
    </row>
    <row r="18" spans="1:19" ht="15" customHeight="1">
      <c r="A18">
        <v>54321</v>
      </c>
      <c r="B18">
        <v>1212</v>
      </c>
      <c r="C18" t="s">
        <v>19</v>
      </c>
      <c r="D18">
        <v>1</v>
      </c>
      <c r="E18">
        <v>24</v>
      </c>
      <c r="F18">
        <v>86.67</v>
      </c>
      <c r="G18">
        <v>94.12</v>
      </c>
      <c r="H18">
        <v>95</v>
      </c>
      <c r="I18">
        <v>90.91</v>
      </c>
      <c r="J18">
        <v>100</v>
      </c>
      <c r="K18">
        <f t="shared" si="0"/>
        <v>95.007500000000007</v>
      </c>
      <c r="L18">
        <v>89</v>
      </c>
      <c r="M18">
        <v>91</v>
      </c>
      <c r="N18">
        <v>87</v>
      </c>
      <c r="O18">
        <f t="shared" si="1"/>
        <v>90</v>
      </c>
      <c r="P18">
        <v>80.5</v>
      </c>
      <c r="Q18">
        <f t="shared" si="2"/>
        <v>87.409090909090907</v>
      </c>
      <c r="R18">
        <f t="shared" si="3"/>
        <v>90.828375000000008</v>
      </c>
      <c r="S18" t="s">
        <v>22</v>
      </c>
    </row>
    <row r="19" spans="1:19" ht="15" customHeight="1">
      <c r="A19">
        <v>93020</v>
      </c>
      <c r="B19">
        <v>4035</v>
      </c>
      <c r="C19" t="s">
        <v>19</v>
      </c>
      <c r="D19">
        <v>2</v>
      </c>
      <c r="E19">
        <v>24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0"/>
        <v>0</v>
      </c>
      <c r="L19">
        <v>0</v>
      </c>
      <c r="M19">
        <v>0</v>
      </c>
      <c r="N19">
        <v>0</v>
      </c>
      <c r="O19">
        <f t="shared" si="1"/>
        <v>0</v>
      </c>
      <c r="P19">
        <v>0</v>
      </c>
      <c r="Q19">
        <f t="shared" si="2"/>
        <v>0</v>
      </c>
      <c r="R19">
        <f t="shared" si="3"/>
        <v>0</v>
      </c>
      <c r="S19" t="s">
        <v>25</v>
      </c>
    </row>
    <row r="20" spans="1:19" ht="15" customHeight="1">
      <c r="A20">
        <v>54125</v>
      </c>
      <c r="B20">
        <v>545</v>
      </c>
      <c r="C20" t="s">
        <v>19</v>
      </c>
      <c r="D20">
        <v>1</v>
      </c>
      <c r="E20">
        <v>24</v>
      </c>
      <c r="F20">
        <v>90</v>
      </c>
      <c r="G20">
        <v>70.59</v>
      </c>
      <c r="H20">
        <v>75</v>
      </c>
      <c r="I20">
        <v>75</v>
      </c>
      <c r="J20">
        <v>100</v>
      </c>
      <c r="K20">
        <f t="shared" si="0"/>
        <v>85</v>
      </c>
      <c r="L20">
        <v>0</v>
      </c>
      <c r="M20">
        <v>60</v>
      </c>
      <c r="N20">
        <v>73</v>
      </c>
      <c r="O20">
        <f t="shared" si="1"/>
        <v>66.5</v>
      </c>
      <c r="P20">
        <v>67.2</v>
      </c>
      <c r="Q20">
        <f t="shared" si="2"/>
        <v>66.690909090909088</v>
      </c>
      <c r="R20">
        <f t="shared" si="3"/>
        <v>74.929999999999993</v>
      </c>
      <c r="S20" t="s">
        <v>32</v>
      </c>
    </row>
    <row r="21" spans="1:19" ht="15" customHeight="1">
      <c r="A21">
        <v>54294</v>
      </c>
      <c r="B21">
        <v>6820</v>
      </c>
      <c r="C21" t="s">
        <v>19</v>
      </c>
      <c r="D21">
        <v>1</v>
      </c>
      <c r="E21">
        <v>24</v>
      </c>
      <c r="F21">
        <v>100</v>
      </c>
      <c r="G21">
        <v>100</v>
      </c>
      <c r="H21">
        <v>100</v>
      </c>
      <c r="I21">
        <v>81.819999999999993</v>
      </c>
      <c r="J21">
        <v>95</v>
      </c>
      <c r="K21">
        <f t="shared" si="0"/>
        <v>98.75</v>
      </c>
      <c r="L21">
        <v>80</v>
      </c>
      <c r="M21">
        <v>88</v>
      </c>
      <c r="N21">
        <v>97</v>
      </c>
      <c r="O21">
        <f t="shared" si="1"/>
        <v>92.5</v>
      </c>
      <c r="P21">
        <v>89.1</v>
      </c>
      <c r="Q21">
        <f t="shared" si="2"/>
        <v>91.572727272727249</v>
      </c>
      <c r="R21">
        <f t="shared" si="3"/>
        <v>94.802499999999995</v>
      </c>
      <c r="S21" t="s">
        <v>23</v>
      </c>
    </row>
    <row r="22" spans="1:19">
      <c r="A22">
        <v>54190</v>
      </c>
      <c r="B22">
        <v>1576</v>
      </c>
      <c r="C22" t="s">
        <v>19</v>
      </c>
      <c r="D22">
        <v>1</v>
      </c>
      <c r="E22">
        <v>24</v>
      </c>
      <c r="F22">
        <v>86.67</v>
      </c>
      <c r="G22">
        <v>87.5</v>
      </c>
      <c r="H22">
        <v>65</v>
      </c>
      <c r="I22">
        <v>0</v>
      </c>
      <c r="J22">
        <v>0</v>
      </c>
      <c r="K22">
        <f t="shared" si="0"/>
        <v>59.792500000000004</v>
      </c>
      <c r="L22">
        <v>54</v>
      </c>
      <c r="M22">
        <v>65</v>
      </c>
      <c r="N22">
        <v>0</v>
      </c>
      <c r="O22">
        <f t="shared" si="1"/>
        <v>59.5</v>
      </c>
      <c r="P22">
        <v>0</v>
      </c>
      <c r="Q22">
        <f t="shared" si="2"/>
        <v>43.272727272727273</v>
      </c>
      <c r="R22">
        <f t="shared" si="3"/>
        <v>50.706625000000003</v>
      </c>
      <c r="S22" t="s">
        <v>25</v>
      </c>
    </row>
  </sheetData>
  <printOptions gridLines="1" gridLinesSet="0"/>
  <pageMargins left="0.75" right="0.75" top="1" bottom="1" header="0.5" footer="0.5"/>
  <pageSetup paperSize="0" scale="76" orientation="landscape" horizontalDpi="4294967292" verticalDpi="4294967292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5"/>
  <sheetViews>
    <sheetView workbookViewId="0">
      <selection activeCell="C25" sqref="C25"/>
    </sheetView>
  </sheetViews>
  <sheetFormatPr defaultColWidth="11.453125" defaultRowHeight="12.5"/>
  <cols>
    <col min="1" max="1" width="6" customWidth="1"/>
    <col min="2" max="2" width="5" customWidth="1"/>
    <col min="3" max="3" width="19.81640625" customWidth="1"/>
    <col min="4" max="4" width="3" customWidth="1"/>
    <col min="5" max="5" width="3.26953125" customWidth="1"/>
    <col min="6" max="6" width="6.453125" style="3" customWidth="1"/>
    <col min="7" max="10" width="5.54296875" customWidth="1"/>
    <col min="11" max="11" width="7.7265625" customWidth="1"/>
    <col min="12" max="14" width="5.1796875" customWidth="1"/>
    <col min="15" max="15" width="7.26953125" customWidth="1"/>
    <col min="16" max="16" width="4.54296875" customWidth="1"/>
    <col min="17" max="18" width="8.1796875" customWidth="1"/>
    <col min="19" max="19" width="5.453125" customWidth="1"/>
  </cols>
  <sheetData>
    <row r="1" spans="1:19" s="1" customFormat="1" ht="15" customHeight="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>
        <v>56245</v>
      </c>
      <c r="B2">
        <v>9153</v>
      </c>
      <c r="C2" t="s">
        <v>19</v>
      </c>
      <c r="D2">
        <v>2</v>
      </c>
      <c r="E2">
        <v>25</v>
      </c>
      <c r="F2" s="3">
        <v>93.3</v>
      </c>
      <c r="G2">
        <v>0</v>
      </c>
      <c r="H2">
        <v>0</v>
      </c>
      <c r="I2">
        <v>95.5</v>
      </c>
      <c r="J2">
        <v>100</v>
      </c>
      <c r="K2">
        <f t="shared" ref="K2:K21" si="0">(SUM(F2:J2)-MIN(F2:J2))/4</f>
        <v>72.2</v>
      </c>
      <c r="L2">
        <v>91</v>
      </c>
      <c r="M2">
        <v>92</v>
      </c>
      <c r="N2">
        <v>85</v>
      </c>
      <c r="O2">
        <f t="shared" ref="O2:O21" si="1">((L2+M2+N2)-MIN(L2:N2) )/2</f>
        <v>91.5</v>
      </c>
      <c r="P2">
        <v>86.7</v>
      </c>
      <c r="Q2">
        <f t="shared" ref="Q2:Q21" si="2">(0.4*O2+0.15*P2)/0.55</f>
        <v>90.190909090909088</v>
      </c>
      <c r="R2">
        <f t="shared" ref="R2:R21" si="3">0.45*K2+0.4*O2+0.15*P2</f>
        <v>82.094999999999999</v>
      </c>
      <c r="S2" t="s">
        <v>20</v>
      </c>
    </row>
    <row r="3" spans="1:19" ht="15" customHeight="1">
      <c r="A3">
        <v>54115</v>
      </c>
      <c r="B3">
        <v>3945</v>
      </c>
      <c r="C3" t="s">
        <v>19</v>
      </c>
      <c r="D3">
        <v>2</v>
      </c>
      <c r="E3">
        <v>25</v>
      </c>
      <c r="F3" s="3">
        <v>100</v>
      </c>
      <c r="G3">
        <v>96.9</v>
      </c>
      <c r="H3">
        <v>97.5</v>
      </c>
      <c r="I3">
        <v>88.6</v>
      </c>
      <c r="J3">
        <v>0</v>
      </c>
      <c r="K3">
        <f t="shared" si="0"/>
        <v>95.75</v>
      </c>
      <c r="L3">
        <v>88</v>
      </c>
      <c r="M3">
        <v>88</v>
      </c>
      <c r="N3">
        <v>0</v>
      </c>
      <c r="O3">
        <f t="shared" si="1"/>
        <v>88</v>
      </c>
      <c r="P3">
        <v>82</v>
      </c>
      <c r="Q3">
        <f t="shared" si="2"/>
        <v>86.36363636363636</v>
      </c>
      <c r="R3">
        <f t="shared" si="3"/>
        <v>90.587499999999991</v>
      </c>
      <c r="S3" t="s">
        <v>22</v>
      </c>
    </row>
    <row r="4" spans="1:19" ht="15" customHeight="1">
      <c r="A4">
        <v>51802</v>
      </c>
      <c r="B4">
        <v>856</v>
      </c>
      <c r="C4" t="s">
        <v>19</v>
      </c>
      <c r="D4">
        <v>1</v>
      </c>
      <c r="E4">
        <v>25</v>
      </c>
      <c r="F4" s="3">
        <v>100</v>
      </c>
      <c r="G4">
        <v>93.8</v>
      </c>
      <c r="H4">
        <v>100</v>
      </c>
      <c r="I4">
        <v>90.9</v>
      </c>
      <c r="J4">
        <v>75</v>
      </c>
      <c r="K4">
        <f t="shared" si="0"/>
        <v>96.175000000000011</v>
      </c>
      <c r="L4">
        <v>86</v>
      </c>
      <c r="M4">
        <v>87</v>
      </c>
      <c r="N4">
        <v>83</v>
      </c>
      <c r="O4">
        <f t="shared" si="1"/>
        <v>86.5</v>
      </c>
      <c r="P4">
        <v>85.9</v>
      </c>
      <c r="Q4">
        <f t="shared" si="2"/>
        <v>86.336363636363629</v>
      </c>
      <c r="R4">
        <f t="shared" si="3"/>
        <v>90.763750000000016</v>
      </c>
      <c r="S4" t="s">
        <v>22</v>
      </c>
    </row>
    <row r="5" spans="1:19" ht="15" customHeight="1">
      <c r="A5">
        <v>33674</v>
      </c>
      <c r="B5">
        <v>2449</v>
      </c>
      <c r="C5" t="s">
        <v>19</v>
      </c>
      <c r="D5">
        <v>2</v>
      </c>
      <c r="E5">
        <v>25</v>
      </c>
      <c r="F5" s="3">
        <v>80</v>
      </c>
      <c r="G5">
        <v>100</v>
      </c>
      <c r="H5">
        <v>0</v>
      </c>
      <c r="I5">
        <v>97.7</v>
      </c>
      <c r="J5">
        <v>100</v>
      </c>
      <c r="K5">
        <f t="shared" si="0"/>
        <v>94.424999999999997</v>
      </c>
      <c r="L5">
        <v>73</v>
      </c>
      <c r="M5">
        <v>85</v>
      </c>
      <c r="N5">
        <v>95</v>
      </c>
      <c r="O5">
        <f t="shared" si="1"/>
        <v>90</v>
      </c>
      <c r="P5">
        <v>85.2</v>
      </c>
      <c r="Q5">
        <f t="shared" si="2"/>
        <v>88.690909090909088</v>
      </c>
      <c r="R5">
        <f t="shared" si="3"/>
        <v>91.271250000000009</v>
      </c>
      <c r="S5" t="s">
        <v>22</v>
      </c>
    </row>
    <row r="6" spans="1:19" ht="15" customHeight="1">
      <c r="A6">
        <v>52929</v>
      </c>
      <c r="B6">
        <v>1615</v>
      </c>
      <c r="C6" t="s">
        <v>19</v>
      </c>
      <c r="D6">
        <v>1</v>
      </c>
      <c r="E6">
        <v>25</v>
      </c>
      <c r="F6" s="3">
        <v>86.6</v>
      </c>
      <c r="G6">
        <v>100</v>
      </c>
      <c r="H6">
        <v>97.5</v>
      </c>
      <c r="I6">
        <v>100</v>
      </c>
      <c r="J6">
        <v>0</v>
      </c>
      <c r="K6">
        <f t="shared" si="0"/>
        <v>96.025000000000006</v>
      </c>
      <c r="L6">
        <v>96</v>
      </c>
      <c r="M6">
        <v>86</v>
      </c>
      <c r="N6">
        <v>83</v>
      </c>
      <c r="O6">
        <f t="shared" si="1"/>
        <v>91</v>
      </c>
      <c r="P6">
        <v>92.2</v>
      </c>
      <c r="Q6">
        <f t="shared" si="2"/>
        <v>91.327272727272714</v>
      </c>
      <c r="R6">
        <f t="shared" si="3"/>
        <v>93.441250000000011</v>
      </c>
      <c r="S6" t="s">
        <v>23</v>
      </c>
    </row>
    <row r="7" spans="1:19" ht="15" customHeight="1">
      <c r="A7">
        <v>54023</v>
      </c>
      <c r="B7">
        <v>7975</v>
      </c>
      <c r="C7" t="s">
        <v>19</v>
      </c>
      <c r="D7">
        <v>2</v>
      </c>
      <c r="E7">
        <v>25</v>
      </c>
      <c r="F7" s="3">
        <v>93.3</v>
      </c>
      <c r="G7">
        <v>100</v>
      </c>
      <c r="H7">
        <v>97.5</v>
      </c>
      <c r="I7">
        <v>0</v>
      </c>
      <c r="J7">
        <v>100</v>
      </c>
      <c r="K7">
        <f t="shared" si="0"/>
        <v>97.7</v>
      </c>
      <c r="L7">
        <v>74</v>
      </c>
      <c r="M7">
        <v>71</v>
      </c>
      <c r="N7">
        <v>57</v>
      </c>
      <c r="O7">
        <f t="shared" si="1"/>
        <v>72.5</v>
      </c>
      <c r="P7">
        <v>82.8</v>
      </c>
      <c r="Q7">
        <f t="shared" si="2"/>
        <v>75.309090909090912</v>
      </c>
      <c r="R7">
        <f t="shared" si="3"/>
        <v>85.385000000000005</v>
      </c>
      <c r="S7" t="s">
        <v>20</v>
      </c>
    </row>
    <row r="8" spans="1:19" ht="15" customHeight="1">
      <c r="A8">
        <v>54029</v>
      </c>
      <c r="B8">
        <v>544</v>
      </c>
      <c r="C8" t="s">
        <v>19</v>
      </c>
      <c r="D8">
        <v>2</v>
      </c>
      <c r="E8">
        <v>25</v>
      </c>
      <c r="F8" s="3">
        <v>100</v>
      </c>
      <c r="G8">
        <v>87.5</v>
      </c>
      <c r="H8">
        <v>100</v>
      </c>
      <c r="I8">
        <v>97.7</v>
      </c>
      <c r="J8">
        <v>0</v>
      </c>
      <c r="K8">
        <f t="shared" si="0"/>
        <v>96.3</v>
      </c>
      <c r="L8">
        <v>59</v>
      </c>
      <c r="M8">
        <v>76</v>
      </c>
      <c r="N8">
        <v>68</v>
      </c>
      <c r="O8">
        <f t="shared" si="1"/>
        <v>72</v>
      </c>
      <c r="P8">
        <v>64.8</v>
      </c>
      <c r="Q8">
        <f t="shared" si="2"/>
        <v>70.036363636363618</v>
      </c>
      <c r="R8">
        <f t="shared" si="3"/>
        <v>81.855000000000004</v>
      </c>
      <c r="S8" t="s">
        <v>20</v>
      </c>
    </row>
    <row r="9" spans="1:19" ht="15" customHeight="1">
      <c r="A9">
        <v>51847</v>
      </c>
      <c r="B9">
        <v>7486</v>
      </c>
      <c r="C9" t="s">
        <v>19</v>
      </c>
      <c r="D9">
        <v>1</v>
      </c>
      <c r="E9">
        <v>25</v>
      </c>
      <c r="F9" s="3">
        <v>80</v>
      </c>
      <c r="G9">
        <v>100</v>
      </c>
      <c r="H9">
        <v>100</v>
      </c>
      <c r="I9">
        <v>97.7</v>
      </c>
      <c r="J9">
        <v>100</v>
      </c>
      <c r="K9">
        <f t="shared" si="0"/>
        <v>99.424999999999997</v>
      </c>
      <c r="L9">
        <v>98</v>
      </c>
      <c r="M9">
        <v>98</v>
      </c>
      <c r="N9">
        <v>0</v>
      </c>
      <c r="O9">
        <f t="shared" si="1"/>
        <v>98</v>
      </c>
      <c r="P9">
        <v>91.4</v>
      </c>
      <c r="Q9">
        <f t="shared" si="2"/>
        <v>96.2</v>
      </c>
      <c r="R9">
        <f t="shared" si="3"/>
        <v>97.651250000000005</v>
      </c>
      <c r="S9" t="s">
        <v>23</v>
      </c>
    </row>
    <row r="10" spans="1:19" ht="15" customHeight="1">
      <c r="A10">
        <v>37682</v>
      </c>
      <c r="B10">
        <v>4055</v>
      </c>
      <c r="C10" t="s">
        <v>19</v>
      </c>
      <c r="D10">
        <v>2</v>
      </c>
      <c r="E10">
        <v>25</v>
      </c>
      <c r="F10" s="3">
        <v>86.67</v>
      </c>
      <c r="G10">
        <v>93.8</v>
      </c>
      <c r="H10">
        <v>85</v>
      </c>
      <c r="I10">
        <v>65.900000000000006</v>
      </c>
      <c r="J10">
        <v>0</v>
      </c>
      <c r="K10">
        <f t="shared" si="0"/>
        <v>82.842500000000001</v>
      </c>
      <c r="L10">
        <v>61</v>
      </c>
      <c r="M10">
        <v>87</v>
      </c>
      <c r="N10">
        <v>75</v>
      </c>
      <c r="O10">
        <f t="shared" si="1"/>
        <v>81</v>
      </c>
      <c r="P10">
        <v>74.2</v>
      </c>
      <c r="Q10">
        <f t="shared" si="2"/>
        <v>79.145454545454541</v>
      </c>
      <c r="R10">
        <f t="shared" si="3"/>
        <v>80.809124999999995</v>
      </c>
      <c r="S10" t="s">
        <v>31</v>
      </c>
    </row>
    <row r="11" spans="1:19" ht="15" customHeight="1">
      <c r="A11">
        <v>54413</v>
      </c>
      <c r="B11">
        <v>2895</v>
      </c>
      <c r="C11" t="s">
        <v>19</v>
      </c>
      <c r="D11">
        <v>1</v>
      </c>
      <c r="E11">
        <v>25</v>
      </c>
      <c r="F11" s="3">
        <v>86.7</v>
      </c>
      <c r="G11">
        <v>100</v>
      </c>
      <c r="H11">
        <v>100</v>
      </c>
      <c r="I11">
        <v>88.6</v>
      </c>
      <c r="J11">
        <v>0</v>
      </c>
      <c r="K11">
        <f t="shared" si="0"/>
        <v>93.824999999999989</v>
      </c>
      <c r="L11">
        <v>90</v>
      </c>
      <c r="M11">
        <v>91</v>
      </c>
      <c r="N11">
        <v>90</v>
      </c>
      <c r="O11">
        <f t="shared" si="1"/>
        <v>90.5</v>
      </c>
      <c r="P11">
        <v>85.9</v>
      </c>
      <c r="Q11">
        <f t="shared" si="2"/>
        <v>89.245454545454535</v>
      </c>
      <c r="R11">
        <f t="shared" si="3"/>
        <v>91.306250000000006</v>
      </c>
      <c r="S11" t="s">
        <v>22</v>
      </c>
    </row>
    <row r="12" spans="1:19" ht="15" customHeight="1">
      <c r="A12">
        <v>28874</v>
      </c>
      <c r="B12">
        <v>4284</v>
      </c>
      <c r="C12" t="s">
        <v>19</v>
      </c>
      <c r="D12">
        <v>2</v>
      </c>
      <c r="E12">
        <v>25</v>
      </c>
      <c r="F12" s="3">
        <v>100</v>
      </c>
      <c r="G12">
        <v>100</v>
      </c>
      <c r="H12">
        <v>100</v>
      </c>
      <c r="I12">
        <v>97.7</v>
      </c>
      <c r="J12">
        <v>0</v>
      </c>
      <c r="K12">
        <f t="shared" si="0"/>
        <v>99.424999999999997</v>
      </c>
      <c r="L12">
        <v>92</v>
      </c>
      <c r="M12">
        <v>92</v>
      </c>
      <c r="N12">
        <v>0</v>
      </c>
      <c r="O12">
        <f t="shared" si="1"/>
        <v>92</v>
      </c>
      <c r="P12">
        <v>98.4</v>
      </c>
      <c r="Q12">
        <f t="shared" si="2"/>
        <v>93.745454545454535</v>
      </c>
      <c r="R12">
        <f t="shared" si="3"/>
        <v>96.30125000000001</v>
      </c>
      <c r="S12" t="s">
        <v>23</v>
      </c>
    </row>
    <row r="13" spans="1:19" ht="15" customHeight="1">
      <c r="A13">
        <v>54096</v>
      </c>
      <c r="B13">
        <v>2173</v>
      </c>
      <c r="C13" t="s">
        <v>19</v>
      </c>
      <c r="D13">
        <v>2</v>
      </c>
      <c r="E13">
        <v>25</v>
      </c>
      <c r="F13" s="3">
        <v>80</v>
      </c>
      <c r="G13">
        <v>93.8</v>
      </c>
      <c r="H13">
        <v>97.5</v>
      </c>
      <c r="I13">
        <v>97.7</v>
      </c>
      <c r="J13">
        <v>60</v>
      </c>
      <c r="K13">
        <f t="shared" si="0"/>
        <v>92.25</v>
      </c>
      <c r="L13">
        <v>76</v>
      </c>
      <c r="M13">
        <v>81</v>
      </c>
      <c r="N13">
        <v>72</v>
      </c>
      <c r="O13">
        <f t="shared" si="1"/>
        <v>78.5</v>
      </c>
      <c r="P13">
        <v>65.599999999999994</v>
      </c>
      <c r="Q13">
        <f t="shared" si="2"/>
        <v>74.981818181818184</v>
      </c>
      <c r="R13">
        <f t="shared" si="3"/>
        <v>82.752500000000012</v>
      </c>
      <c r="S13" t="s">
        <v>20</v>
      </c>
    </row>
    <row r="14" spans="1:19" ht="15" customHeight="1">
      <c r="A14">
        <v>54343</v>
      </c>
      <c r="B14">
        <v>9771</v>
      </c>
      <c r="C14" t="s">
        <v>19</v>
      </c>
      <c r="D14">
        <v>2</v>
      </c>
      <c r="E14">
        <v>25</v>
      </c>
      <c r="F14" s="3">
        <v>100</v>
      </c>
      <c r="G14">
        <v>93.8</v>
      </c>
      <c r="H14">
        <v>85</v>
      </c>
      <c r="I14">
        <v>88.6</v>
      </c>
      <c r="J14">
        <v>60</v>
      </c>
      <c r="K14">
        <f t="shared" si="0"/>
        <v>91.85</v>
      </c>
      <c r="L14">
        <v>0</v>
      </c>
      <c r="M14">
        <v>51</v>
      </c>
      <c r="N14">
        <v>50</v>
      </c>
      <c r="O14">
        <f t="shared" si="1"/>
        <v>50.5</v>
      </c>
      <c r="P14">
        <v>44.5</v>
      </c>
      <c r="Q14">
        <f t="shared" si="2"/>
        <v>48.863636363636367</v>
      </c>
      <c r="R14">
        <f t="shared" si="3"/>
        <v>68.207499999999996</v>
      </c>
      <c r="S14" t="s">
        <v>25</v>
      </c>
    </row>
    <row r="15" spans="1:19" ht="15" customHeight="1">
      <c r="A15">
        <v>54239</v>
      </c>
      <c r="B15">
        <v>1963</v>
      </c>
      <c r="C15" t="s">
        <v>19</v>
      </c>
      <c r="D15">
        <v>2</v>
      </c>
      <c r="E15">
        <v>25</v>
      </c>
      <c r="F15" s="3">
        <v>86.6</v>
      </c>
      <c r="G15">
        <v>100</v>
      </c>
      <c r="H15">
        <v>100</v>
      </c>
      <c r="I15">
        <v>100</v>
      </c>
      <c r="J15">
        <v>95</v>
      </c>
      <c r="K15">
        <f t="shared" si="0"/>
        <v>98.75</v>
      </c>
      <c r="L15">
        <v>73</v>
      </c>
      <c r="M15">
        <v>90</v>
      </c>
      <c r="N15">
        <v>0</v>
      </c>
      <c r="O15">
        <f t="shared" si="1"/>
        <v>81.5</v>
      </c>
      <c r="P15">
        <v>50.8</v>
      </c>
      <c r="Q15">
        <f t="shared" si="2"/>
        <v>73.127272727272725</v>
      </c>
      <c r="R15">
        <f t="shared" si="3"/>
        <v>84.657499999999999</v>
      </c>
      <c r="S15" t="s">
        <v>20</v>
      </c>
    </row>
    <row r="16" spans="1:19" ht="15" customHeight="1">
      <c r="A16">
        <v>54015</v>
      </c>
      <c r="B16">
        <v>2534</v>
      </c>
      <c r="C16" t="s">
        <v>19</v>
      </c>
      <c r="D16">
        <v>2</v>
      </c>
      <c r="E16">
        <v>25</v>
      </c>
      <c r="F16" s="3">
        <v>0</v>
      </c>
      <c r="G16">
        <v>0</v>
      </c>
      <c r="H16">
        <v>0</v>
      </c>
      <c r="I16">
        <v>0</v>
      </c>
      <c r="J16">
        <v>0</v>
      </c>
      <c r="K16">
        <f t="shared" si="0"/>
        <v>0</v>
      </c>
      <c r="L16">
        <v>0</v>
      </c>
      <c r="M16">
        <v>0</v>
      </c>
      <c r="N16">
        <v>0</v>
      </c>
      <c r="O16">
        <f t="shared" si="1"/>
        <v>0</v>
      </c>
      <c r="P16">
        <v>0</v>
      </c>
      <c r="Q16">
        <f t="shared" si="2"/>
        <v>0</v>
      </c>
      <c r="R16">
        <f t="shared" si="3"/>
        <v>0</v>
      </c>
      <c r="S16" t="s">
        <v>25</v>
      </c>
    </row>
    <row r="17" spans="1:19" ht="15" customHeight="1">
      <c r="A17">
        <v>54004</v>
      </c>
      <c r="B17">
        <v>7773</v>
      </c>
      <c r="C17" t="s">
        <v>19</v>
      </c>
      <c r="D17">
        <v>2</v>
      </c>
      <c r="E17">
        <v>25</v>
      </c>
      <c r="F17" s="3">
        <v>100</v>
      </c>
      <c r="G17">
        <v>100</v>
      </c>
      <c r="H17">
        <v>100</v>
      </c>
      <c r="I17">
        <v>97.7</v>
      </c>
      <c r="J17">
        <v>95</v>
      </c>
      <c r="K17">
        <f t="shared" si="0"/>
        <v>99.424999999999997</v>
      </c>
      <c r="L17">
        <v>90</v>
      </c>
      <c r="M17">
        <v>90</v>
      </c>
      <c r="N17">
        <v>97</v>
      </c>
      <c r="O17">
        <f t="shared" si="1"/>
        <v>93.5</v>
      </c>
      <c r="P17">
        <v>84.4</v>
      </c>
      <c r="Q17">
        <f t="shared" si="2"/>
        <v>91.018181818181816</v>
      </c>
      <c r="R17">
        <f t="shared" si="3"/>
        <v>94.801249999999996</v>
      </c>
      <c r="S17" t="s">
        <v>23</v>
      </c>
    </row>
    <row r="18" spans="1:19" ht="15" customHeight="1">
      <c r="A18">
        <v>54419</v>
      </c>
      <c r="B18">
        <v>7548</v>
      </c>
      <c r="C18" t="s">
        <v>19</v>
      </c>
      <c r="D18">
        <v>2</v>
      </c>
      <c r="E18">
        <v>25</v>
      </c>
      <c r="F18" s="3">
        <v>93.3</v>
      </c>
      <c r="G18">
        <v>93.8</v>
      </c>
      <c r="H18">
        <v>100</v>
      </c>
      <c r="I18">
        <v>100</v>
      </c>
      <c r="J18">
        <v>0</v>
      </c>
      <c r="K18">
        <f t="shared" si="0"/>
        <v>96.775000000000006</v>
      </c>
      <c r="L18">
        <v>79</v>
      </c>
      <c r="M18">
        <v>74</v>
      </c>
      <c r="N18">
        <v>71</v>
      </c>
      <c r="O18">
        <f t="shared" si="1"/>
        <v>76.5</v>
      </c>
      <c r="P18">
        <v>71.900000000000006</v>
      </c>
      <c r="Q18">
        <f t="shared" si="2"/>
        <v>75.24545454545455</v>
      </c>
      <c r="R18">
        <f t="shared" si="3"/>
        <v>84.933750000000003</v>
      </c>
      <c r="S18" t="s">
        <v>20</v>
      </c>
    </row>
    <row r="19" spans="1:19" ht="15" customHeight="1">
      <c r="A19">
        <v>54296</v>
      </c>
      <c r="B19">
        <v>4376</v>
      </c>
      <c r="C19" t="s">
        <v>19</v>
      </c>
      <c r="D19">
        <v>2</v>
      </c>
      <c r="E19">
        <v>25</v>
      </c>
      <c r="F19" s="3">
        <v>86.6</v>
      </c>
      <c r="G19">
        <v>100</v>
      </c>
      <c r="H19">
        <v>97.5</v>
      </c>
      <c r="I19">
        <v>97.7</v>
      </c>
      <c r="J19">
        <v>95</v>
      </c>
      <c r="K19">
        <f t="shared" si="0"/>
        <v>97.550000000000011</v>
      </c>
      <c r="L19">
        <v>85</v>
      </c>
      <c r="M19">
        <v>80</v>
      </c>
      <c r="N19">
        <v>78</v>
      </c>
      <c r="O19">
        <f t="shared" si="1"/>
        <v>82.5</v>
      </c>
      <c r="P19">
        <v>84.4</v>
      </c>
      <c r="Q19">
        <f t="shared" si="2"/>
        <v>83.018181818181802</v>
      </c>
      <c r="R19">
        <f t="shared" si="3"/>
        <v>89.557500000000005</v>
      </c>
      <c r="S19" t="s">
        <v>22</v>
      </c>
    </row>
    <row r="20" spans="1:19" ht="15" customHeight="1">
      <c r="A20">
        <v>54094</v>
      </c>
      <c r="B20">
        <v>1106</v>
      </c>
      <c r="C20" t="s">
        <v>19</v>
      </c>
      <c r="D20">
        <v>2</v>
      </c>
      <c r="E20">
        <v>25</v>
      </c>
      <c r="F20" s="3">
        <v>100</v>
      </c>
      <c r="G20">
        <v>100</v>
      </c>
      <c r="H20">
        <v>0</v>
      </c>
      <c r="I20">
        <v>97.7</v>
      </c>
      <c r="J20">
        <v>100</v>
      </c>
      <c r="K20">
        <f t="shared" si="0"/>
        <v>99.424999999999997</v>
      </c>
      <c r="L20">
        <v>54</v>
      </c>
      <c r="M20">
        <v>70</v>
      </c>
      <c r="N20">
        <v>0</v>
      </c>
      <c r="O20">
        <f t="shared" si="1"/>
        <v>62</v>
      </c>
      <c r="P20">
        <v>43.8</v>
      </c>
      <c r="Q20">
        <f t="shared" si="2"/>
        <v>57.036363636363632</v>
      </c>
      <c r="R20">
        <f t="shared" si="3"/>
        <v>76.111249999999998</v>
      </c>
      <c r="S20" t="s">
        <v>25</v>
      </c>
    </row>
    <row r="21" spans="1:19" ht="15" customHeight="1">
      <c r="A21">
        <v>54215</v>
      </c>
      <c r="B21">
        <v>2836</v>
      </c>
      <c r="C21" t="s">
        <v>19</v>
      </c>
      <c r="D21">
        <v>2</v>
      </c>
      <c r="E21">
        <v>25</v>
      </c>
      <c r="F21" s="3">
        <v>80</v>
      </c>
      <c r="G21">
        <v>84.38</v>
      </c>
      <c r="H21">
        <v>0</v>
      </c>
      <c r="I21">
        <v>0</v>
      </c>
      <c r="J21">
        <v>0</v>
      </c>
      <c r="K21">
        <f t="shared" si="0"/>
        <v>41.094999999999999</v>
      </c>
      <c r="L21">
        <v>60</v>
      </c>
      <c r="M21">
        <v>57</v>
      </c>
      <c r="N21">
        <v>78</v>
      </c>
      <c r="O21">
        <f t="shared" si="1"/>
        <v>69</v>
      </c>
      <c r="P21">
        <v>55.5</v>
      </c>
      <c r="Q21">
        <f t="shared" si="2"/>
        <v>65.318181818181813</v>
      </c>
      <c r="R21">
        <f t="shared" si="3"/>
        <v>54.417749999999998</v>
      </c>
      <c r="S21" t="s">
        <v>25</v>
      </c>
    </row>
    <row r="25" spans="1:19">
      <c r="C25" t="s">
        <v>19</v>
      </c>
      <c r="F25" s="3">
        <f>99.42*0.4+69*0.2+55*0.2+65.7*0.2</f>
        <v>77.707999999999998</v>
      </c>
      <c r="G25" t="s">
        <v>36</v>
      </c>
    </row>
  </sheetData>
  <printOptions gridLines="1" gridLinesSet="0"/>
  <pageMargins left="0.75" right="0.75" top="1" bottom="1" header="0.5" footer="0.5"/>
  <pageSetup paperSize="0" scale="79" orientation="landscape" horizontalDpi="4294967292" verticalDpi="4294967292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workbookViewId="0">
      <selection activeCell="C2" sqref="C2:C21"/>
    </sheetView>
  </sheetViews>
  <sheetFormatPr defaultColWidth="11.453125" defaultRowHeight="12.5"/>
  <cols>
    <col min="1" max="1" width="6" customWidth="1"/>
    <col min="2" max="2" width="5" customWidth="1"/>
    <col min="3" max="3" width="20.1796875" customWidth="1"/>
    <col min="4" max="4" width="3.1796875" customWidth="1"/>
    <col min="5" max="5" width="3.7265625" customWidth="1"/>
    <col min="6" max="7" width="6" customWidth="1"/>
    <col min="8" max="8" width="5.54296875" customWidth="1"/>
    <col min="9" max="9" width="6" customWidth="1"/>
    <col min="10" max="10" width="5.54296875" customWidth="1"/>
    <col min="11" max="11" width="8" customWidth="1"/>
    <col min="12" max="14" width="5.1796875" customWidth="1"/>
    <col min="15" max="15" width="7.26953125" customWidth="1"/>
    <col min="16" max="16" width="4.453125" customWidth="1"/>
    <col min="17" max="18" width="8.7265625" customWidth="1"/>
    <col min="19" max="19" width="5.453125" customWidth="1"/>
  </cols>
  <sheetData>
    <row r="1" spans="1:19" s="1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37</v>
      </c>
      <c r="R1" s="1" t="s">
        <v>17</v>
      </c>
      <c r="S1" s="1" t="s">
        <v>18</v>
      </c>
    </row>
    <row r="2" spans="1:19" ht="15" customHeight="1">
      <c r="A2">
        <v>54421</v>
      </c>
      <c r="B2">
        <v>9906</v>
      </c>
      <c r="C2" t="s">
        <v>19</v>
      </c>
      <c r="D2">
        <v>1</v>
      </c>
      <c r="E2">
        <v>26</v>
      </c>
      <c r="F2">
        <v>100</v>
      </c>
      <c r="G2">
        <v>100</v>
      </c>
      <c r="H2">
        <v>95</v>
      </c>
      <c r="I2">
        <v>88.64</v>
      </c>
      <c r="J2">
        <v>100</v>
      </c>
      <c r="K2">
        <f t="shared" ref="K2:K21" si="0">(SUM(F2:J2)-MIN(F2:J2))/4</f>
        <v>98.75</v>
      </c>
      <c r="L2">
        <v>68</v>
      </c>
      <c r="M2">
        <v>47</v>
      </c>
      <c r="N2">
        <v>84</v>
      </c>
      <c r="O2">
        <f>((L2+M2+N2)-MIN(L2:N2) )/2</f>
        <v>76</v>
      </c>
      <c r="P2">
        <v>61.7</v>
      </c>
      <c r="Q2">
        <f t="shared" ref="Q2:Q21" si="1">(0.4*O2+0.15*P2)/0.55</f>
        <v>72.099999999999994</v>
      </c>
      <c r="R2">
        <f t="shared" ref="R2:R21" si="2">0.45*K2+0.4*O2+0.15*P2</f>
        <v>84.092500000000001</v>
      </c>
      <c r="S2" t="s">
        <v>20</v>
      </c>
    </row>
    <row r="3" spans="1:19" ht="15" customHeight="1">
      <c r="A3">
        <v>57458</v>
      </c>
      <c r="B3">
        <v>4903</v>
      </c>
      <c r="C3" t="s">
        <v>19</v>
      </c>
      <c r="D3">
        <v>2</v>
      </c>
      <c r="E3">
        <v>26</v>
      </c>
      <c r="F3">
        <v>96.67</v>
      </c>
      <c r="G3">
        <v>82.35</v>
      </c>
      <c r="H3">
        <v>100</v>
      </c>
      <c r="I3">
        <v>97.73</v>
      </c>
      <c r="J3">
        <v>0</v>
      </c>
      <c r="K3">
        <f t="shared" si="0"/>
        <v>94.1875</v>
      </c>
      <c r="L3">
        <v>77</v>
      </c>
      <c r="M3">
        <v>88</v>
      </c>
      <c r="N3">
        <v>89</v>
      </c>
      <c r="O3">
        <f>((L3+M3+N3)-MIN(L3:N3) )/2</f>
        <v>88.5</v>
      </c>
      <c r="P3">
        <v>69.5</v>
      </c>
      <c r="Q3">
        <f t="shared" si="1"/>
        <v>83.318181818181799</v>
      </c>
      <c r="R3">
        <f t="shared" si="2"/>
        <v>88.209374999999994</v>
      </c>
      <c r="S3" t="s">
        <v>21</v>
      </c>
    </row>
    <row r="4" spans="1:19" ht="15" customHeight="1">
      <c r="A4">
        <v>54294</v>
      </c>
      <c r="B4">
        <v>1409</v>
      </c>
      <c r="C4" t="s">
        <v>19</v>
      </c>
      <c r="D4">
        <v>1</v>
      </c>
      <c r="E4">
        <v>26</v>
      </c>
      <c r="F4">
        <v>100</v>
      </c>
      <c r="G4">
        <v>100</v>
      </c>
      <c r="H4">
        <v>0</v>
      </c>
      <c r="I4">
        <v>97.73</v>
      </c>
      <c r="J4">
        <v>100</v>
      </c>
      <c r="K4">
        <f t="shared" si="0"/>
        <v>99.432500000000005</v>
      </c>
      <c r="L4">
        <v>68</v>
      </c>
      <c r="M4">
        <v>66</v>
      </c>
      <c r="N4">
        <v>77</v>
      </c>
      <c r="O4">
        <f t="shared" ref="O4:O21" si="3">((L4+M4+N4)-MIN(L4:N4) )/2</f>
        <v>72.5</v>
      </c>
      <c r="P4">
        <v>64.099999999999994</v>
      </c>
      <c r="Q4">
        <f t="shared" si="1"/>
        <v>70.209090909090889</v>
      </c>
      <c r="R4">
        <f t="shared" si="2"/>
        <v>83.359625000000008</v>
      </c>
      <c r="S4" t="s">
        <v>20</v>
      </c>
    </row>
    <row r="5" spans="1:19" ht="15" customHeight="1">
      <c r="A5">
        <v>54319</v>
      </c>
      <c r="B5">
        <v>184</v>
      </c>
      <c r="C5" t="s">
        <v>19</v>
      </c>
      <c r="D5">
        <v>1</v>
      </c>
      <c r="E5">
        <v>26</v>
      </c>
      <c r="F5">
        <v>100</v>
      </c>
      <c r="G5">
        <v>100</v>
      </c>
      <c r="H5">
        <v>95</v>
      </c>
      <c r="I5">
        <v>97.73</v>
      </c>
      <c r="J5">
        <v>100</v>
      </c>
      <c r="K5">
        <f t="shared" si="0"/>
        <v>99.432500000000005</v>
      </c>
      <c r="L5">
        <v>86</v>
      </c>
      <c r="M5">
        <v>82</v>
      </c>
      <c r="N5">
        <v>93</v>
      </c>
      <c r="O5">
        <f t="shared" si="3"/>
        <v>89.5</v>
      </c>
      <c r="P5">
        <v>86.7</v>
      </c>
      <c r="Q5">
        <f t="shared" si="1"/>
        <v>88.736363636363635</v>
      </c>
      <c r="R5">
        <f t="shared" si="2"/>
        <v>93.549625000000006</v>
      </c>
      <c r="S5" t="s">
        <v>23</v>
      </c>
    </row>
    <row r="6" spans="1:19" ht="15" customHeight="1">
      <c r="A6">
        <v>54411</v>
      </c>
      <c r="B6">
        <v>4955</v>
      </c>
      <c r="C6" t="s">
        <v>19</v>
      </c>
      <c r="D6">
        <v>1</v>
      </c>
      <c r="E6">
        <v>26</v>
      </c>
      <c r="F6">
        <v>100</v>
      </c>
      <c r="G6">
        <v>100</v>
      </c>
      <c r="H6">
        <v>100</v>
      </c>
      <c r="I6">
        <v>95.45</v>
      </c>
      <c r="J6">
        <v>100</v>
      </c>
      <c r="K6">
        <f t="shared" si="0"/>
        <v>100</v>
      </c>
      <c r="L6">
        <v>72</v>
      </c>
      <c r="M6">
        <v>76</v>
      </c>
      <c r="N6">
        <v>85</v>
      </c>
      <c r="O6">
        <f t="shared" si="3"/>
        <v>80.5</v>
      </c>
      <c r="P6">
        <v>86.7</v>
      </c>
      <c r="Q6">
        <f t="shared" si="1"/>
        <v>82.190909090909088</v>
      </c>
      <c r="R6">
        <f t="shared" si="2"/>
        <v>90.204999999999998</v>
      </c>
      <c r="S6" t="s">
        <v>22</v>
      </c>
    </row>
    <row r="7" spans="1:19" ht="15" customHeight="1">
      <c r="A7">
        <v>54194</v>
      </c>
      <c r="B7">
        <v>1694</v>
      </c>
      <c r="C7" t="s">
        <v>19</v>
      </c>
      <c r="D7">
        <v>2</v>
      </c>
      <c r="E7">
        <v>26</v>
      </c>
      <c r="F7">
        <v>80</v>
      </c>
      <c r="G7">
        <v>41.18</v>
      </c>
      <c r="H7">
        <v>80</v>
      </c>
      <c r="I7">
        <v>93.18</v>
      </c>
      <c r="J7">
        <v>0</v>
      </c>
      <c r="K7">
        <f t="shared" si="0"/>
        <v>73.59</v>
      </c>
      <c r="L7">
        <v>69</v>
      </c>
      <c r="M7">
        <v>34</v>
      </c>
      <c r="N7">
        <v>85</v>
      </c>
      <c r="O7">
        <f t="shared" si="3"/>
        <v>77</v>
      </c>
      <c r="P7">
        <v>74.2</v>
      </c>
      <c r="Q7">
        <f t="shared" si="1"/>
        <v>76.236363636363635</v>
      </c>
      <c r="R7">
        <f t="shared" si="2"/>
        <v>75.045500000000004</v>
      </c>
      <c r="S7" t="s">
        <v>32</v>
      </c>
    </row>
    <row r="8" spans="1:19" ht="15" customHeight="1">
      <c r="A8">
        <v>54123</v>
      </c>
      <c r="B8">
        <v>2553</v>
      </c>
      <c r="C8" t="s">
        <v>19</v>
      </c>
      <c r="D8">
        <v>1</v>
      </c>
      <c r="E8">
        <v>26</v>
      </c>
      <c r="F8">
        <v>100</v>
      </c>
      <c r="G8">
        <v>97.06</v>
      </c>
      <c r="H8">
        <v>0</v>
      </c>
      <c r="I8">
        <v>79.55</v>
      </c>
      <c r="J8">
        <v>100</v>
      </c>
      <c r="K8">
        <f t="shared" si="0"/>
        <v>94.152500000000003</v>
      </c>
      <c r="L8">
        <v>76</v>
      </c>
      <c r="M8">
        <v>60</v>
      </c>
      <c r="N8">
        <v>0</v>
      </c>
      <c r="O8">
        <f t="shared" si="3"/>
        <v>68</v>
      </c>
      <c r="P8">
        <v>63.3</v>
      </c>
      <c r="Q8">
        <f t="shared" si="1"/>
        <v>66.718181818181819</v>
      </c>
      <c r="R8">
        <f t="shared" si="2"/>
        <v>79.063625000000002</v>
      </c>
      <c r="S8" t="s">
        <v>31</v>
      </c>
    </row>
    <row r="9" spans="1:19" ht="15" customHeight="1">
      <c r="A9">
        <v>54102</v>
      </c>
      <c r="B9">
        <v>4375</v>
      </c>
      <c r="C9" t="s">
        <v>19</v>
      </c>
      <c r="D9">
        <v>2</v>
      </c>
      <c r="E9">
        <v>26</v>
      </c>
      <c r="F9">
        <v>0</v>
      </c>
      <c r="G9">
        <v>76.47</v>
      </c>
      <c r="H9">
        <v>0</v>
      </c>
      <c r="I9">
        <v>0</v>
      </c>
      <c r="J9">
        <v>0</v>
      </c>
      <c r="K9">
        <f t="shared" si="0"/>
        <v>19.1175</v>
      </c>
      <c r="L9">
        <v>57</v>
      </c>
      <c r="M9">
        <v>48</v>
      </c>
      <c r="N9">
        <v>63</v>
      </c>
      <c r="O9">
        <f t="shared" si="3"/>
        <v>60</v>
      </c>
      <c r="P9">
        <v>0</v>
      </c>
      <c r="Q9">
        <f t="shared" si="1"/>
        <v>43.636363636363633</v>
      </c>
      <c r="R9">
        <f t="shared" si="2"/>
        <v>32.602874999999997</v>
      </c>
      <c r="S9" t="s">
        <v>25</v>
      </c>
    </row>
    <row r="10" spans="1:19" ht="15" customHeight="1">
      <c r="A10">
        <v>57267</v>
      </c>
      <c r="B10">
        <v>7790</v>
      </c>
      <c r="C10" t="s">
        <v>19</v>
      </c>
      <c r="D10">
        <v>2</v>
      </c>
      <c r="E10">
        <v>26</v>
      </c>
      <c r="F10">
        <v>66.67</v>
      </c>
      <c r="G10">
        <v>52.94</v>
      </c>
      <c r="H10">
        <v>85</v>
      </c>
      <c r="I10">
        <v>0</v>
      </c>
      <c r="J10">
        <v>100</v>
      </c>
      <c r="K10">
        <f t="shared" si="0"/>
        <v>76.152500000000003</v>
      </c>
      <c r="L10">
        <v>76</v>
      </c>
      <c r="M10">
        <v>40</v>
      </c>
      <c r="N10">
        <v>79</v>
      </c>
      <c r="O10">
        <f t="shared" si="3"/>
        <v>77.5</v>
      </c>
      <c r="P10">
        <v>61.7</v>
      </c>
      <c r="Q10">
        <f t="shared" si="1"/>
        <v>73.190909090909088</v>
      </c>
      <c r="R10">
        <f t="shared" si="2"/>
        <v>74.523624999999996</v>
      </c>
      <c r="S10" t="s">
        <v>32</v>
      </c>
    </row>
    <row r="11" spans="1:19" ht="15" customHeight="1">
      <c r="A11">
        <v>54321</v>
      </c>
      <c r="B11">
        <v>3431</v>
      </c>
      <c r="C11" t="s">
        <v>19</v>
      </c>
      <c r="D11">
        <v>2</v>
      </c>
      <c r="E11">
        <v>26</v>
      </c>
      <c r="F11">
        <v>93.33</v>
      </c>
      <c r="G11">
        <v>0</v>
      </c>
      <c r="H11">
        <v>0</v>
      </c>
      <c r="I11">
        <v>88.64</v>
      </c>
      <c r="J11">
        <v>100</v>
      </c>
      <c r="K11">
        <f t="shared" si="0"/>
        <v>70.492500000000007</v>
      </c>
      <c r="L11">
        <v>44</v>
      </c>
      <c r="M11">
        <v>70</v>
      </c>
      <c r="N11">
        <v>67</v>
      </c>
      <c r="O11">
        <f t="shared" si="3"/>
        <v>68.5</v>
      </c>
      <c r="P11">
        <v>67.2</v>
      </c>
      <c r="Q11">
        <f t="shared" si="1"/>
        <v>68.145454545454541</v>
      </c>
      <c r="R11">
        <f t="shared" si="2"/>
        <v>69.201625000000007</v>
      </c>
      <c r="S11" t="s">
        <v>29</v>
      </c>
    </row>
    <row r="12" spans="1:19" ht="15" customHeight="1">
      <c r="A12">
        <v>54406</v>
      </c>
      <c r="B12">
        <v>1327</v>
      </c>
      <c r="C12" t="s">
        <v>19</v>
      </c>
      <c r="D12">
        <v>1</v>
      </c>
      <c r="E12">
        <v>26</v>
      </c>
      <c r="F12">
        <v>100</v>
      </c>
      <c r="G12">
        <v>100</v>
      </c>
      <c r="H12">
        <v>90</v>
      </c>
      <c r="I12">
        <v>95.45</v>
      </c>
      <c r="J12">
        <v>0</v>
      </c>
      <c r="K12">
        <f t="shared" si="0"/>
        <v>96.362499999999997</v>
      </c>
      <c r="L12">
        <v>88</v>
      </c>
      <c r="M12">
        <v>94</v>
      </c>
      <c r="N12">
        <v>0</v>
      </c>
      <c r="O12">
        <f t="shared" si="3"/>
        <v>91</v>
      </c>
      <c r="P12">
        <v>79.7</v>
      </c>
      <c r="Q12">
        <f t="shared" si="1"/>
        <v>87.918181818181807</v>
      </c>
      <c r="R12">
        <f t="shared" si="2"/>
        <v>91.718125000000001</v>
      </c>
      <c r="S12" t="s">
        <v>23</v>
      </c>
    </row>
    <row r="13" spans="1:19" ht="15" customHeight="1">
      <c r="A13">
        <v>54398</v>
      </c>
      <c r="B13">
        <v>8798</v>
      </c>
      <c r="C13" t="s">
        <v>19</v>
      </c>
      <c r="D13">
        <v>1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0"/>
        <v>0</v>
      </c>
      <c r="L13">
        <v>0</v>
      </c>
      <c r="M13">
        <v>53</v>
      </c>
      <c r="N13">
        <v>0</v>
      </c>
      <c r="O13">
        <f t="shared" si="3"/>
        <v>26.5</v>
      </c>
      <c r="P13">
        <v>0</v>
      </c>
      <c r="Q13">
        <f t="shared" si="1"/>
        <v>19.272727272727273</v>
      </c>
      <c r="R13">
        <f t="shared" si="2"/>
        <v>10.600000000000001</v>
      </c>
      <c r="S13" t="s">
        <v>25</v>
      </c>
    </row>
    <row r="14" spans="1:19" ht="15" customHeight="1">
      <c r="A14">
        <v>54319</v>
      </c>
      <c r="B14">
        <v>4952</v>
      </c>
      <c r="C14" t="s">
        <v>19</v>
      </c>
      <c r="D14">
        <v>1</v>
      </c>
      <c r="E14">
        <v>26</v>
      </c>
      <c r="F14">
        <v>93.33</v>
      </c>
      <c r="G14">
        <v>64.709999999999994</v>
      </c>
      <c r="H14">
        <v>90</v>
      </c>
      <c r="I14">
        <v>88.64</v>
      </c>
      <c r="J14">
        <v>100</v>
      </c>
      <c r="K14">
        <f t="shared" si="0"/>
        <v>92.992500000000007</v>
      </c>
      <c r="L14">
        <v>63</v>
      </c>
      <c r="M14">
        <v>68</v>
      </c>
      <c r="N14">
        <v>75</v>
      </c>
      <c r="O14">
        <f t="shared" si="3"/>
        <v>71.5</v>
      </c>
      <c r="P14">
        <v>78.099999999999994</v>
      </c>
      <c r="Q14">
        <f t="shared" si="1"/>
        <v>73.299999999999983</v>
      </c>
      <c r="R14">
        <f t="shared" si="2"/>
        <v>82.161625000000015</v>
      </c>
      <c r="S14" t="s">
        <v>20</v>
      </c>
    </row>
    <row r="15" spans="1:19" ht="15" customHeight="1">
      <c r="A15">
        <v>54204</v>
      </c>
      <c r="B15">
        <v>8181</v>
      </c>
      <c r="C15" t="s">
        <v>19</v>
      </c>
      <c r="D15">
        <v>2</v>
      </c>
      <c r="E15">
        <v>26</v>
      </c>
      <c r="F15">
        <v>93.33</v>
      </c>
      <c r="G15">
        <v>82.35</v>
      </c>
      <c r="H15">
        <v>95</v>
      </c>
      <c r="I15">
        <v>84.09</v>
      </c>
      <c r="J15">
        <v>0</v>
      </c>
      <c r="K15">
        <f t="shared" si="0"/>
        <v>88.692499999999995</v>
      </c>
      <c r="L15">
        <v>72</v>
      </c>
      <c r="M15">
        <v>58</v>
      </c>
      <c r="N15">
        <v>92</v>
      </c>
      <c r="O15">
        <f t="shared" si="3"/>
        <v>82</v>
      </c>
      <c r="P15">
        <v>78.099999999999994</v>
      </c>
      <c r="Q15">
        <f t="shared" si="1"/>
        <v>80.936363636363637</v>
      </c>
      <c r="R15">
        <f t="shared" si="2"/>
        <v>84.426625000000001</v>
      </c>
      <c r="S15" t="s">
        <v>20</v>
      </c>
    </row>
    <row r="16" spans="1:19" ht="15" customHeight="1">
      <c r="A16">
        <v>51833</v>
      </c>
      <c r="B16">
        <v>4254</v>
      </c>
      <c r="C16" t="s">
        <v>19</v>
      </c>
      <c r="D16">
        <v>1</v>
      </c>
      <c r="E16">
        <v>26</v>
      </c>
      <c r="F16">
        <v>76.67</v>
      </c>
      <c r="G16">
        <v>38.24</v>
      </c>
      <c r="H16">
        <v>0</v>
      </c>
      <c r="I16">
        <v>50</v>
      </c>
      <c r="J16">
        <v>70</v>
      </c>
      <c r="K16">
        <f t="shared" si="0"/>
        <v>58.727499999999999</v>
      </c>
      <c r="L16">
        <v>28</v>
      </c>
      <c r="M16">
        <v>58</v>
      </c>
      <c r="N16">
        <v>60</v>
      </c>
      <c r="O16">
        <f t="shared" si="3"/>
        <v>59</v>
      </c>
      <c r="P16">
        <v>46.1</v>
      </c>
      <c r="Q16">
        <f t="shared" si="1"/>
        <v>55.481818181818177</v>
      </c>
      <c r="R16">
        <f t="shared" si="2"/>
        <v>56.942375000000006</v>
      </c>
      <c r="S16" t="s">
        <v>25</v>
      </c>
    </row>
    <row r="17" spans="1:19" ht="15" customHeight="1">
      <c r="A17">
        <v>59331</v>
      </c>
      <c r="B17">
        <v>1694</v>
      </c>
      <c r="C17" t="s">
        <v>19</v>
      </c>
      <c r="D17">
        <v>2</v>
      </c>
      <c r="E17">
        <v>26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0"/>
        <v>0</v>
      </c>
      <c r="L17">
        <v>62</v>
      </c>
      <c r="M17">
        <v>57</v>
      </c>
      <c r="N17">
        <v>48</v>
      </c>
      <c r="O17">
        <f t="shared" si="3"/>
        <v>59.5</v>
      </c>
      <c r="P17">
        <v>57</v>
      </c>
      <c r="Q17">
        <f t="shared" si="1"/>
        <v>58.818181818181813</v>
      </c>
      <c r="R17">
        <f t="shared" si="2"/>
        <v>32.35</v>
      </c>
      <c r="S17" t="s">
        <v>35</v>
      </c>
    </row>
    <row r="18" spans="1:19" ht="15" customHeight="1">
      <c r="A18">
        <v>54423</v>
      </c>
      <c r="B18">
        <v>4028</v>
      </c>
      <c r="C18" t="s">
        <v>19</v>
      </c>
      <c r="D18">
        <v>1</v>
      </c>
      <c r="E18">
        <v>26</v>
      </c>
      <c r="F18">
        <v>100</v>
      </c>
      <c r="G18">
        <v>70.59</v>
      </c>
      <c r="H18">
        <v>80</v>
      </c>
      <c r="I18">
        <v>88.64</v>
      </c>
      <c r="J18">
        <v>100</v>
      </c>
      <c r="K18">
        <f t="shared" si="0"/>
        <v>92.16</v>
      </c>
      <c r="L18">
        <v>92</v>
      </c>
      <c r="M18">
        <v>68</v>
      </c>
      <c r="N18">
        <v>88</v>
      </c>
      <c r="O18">
        <f t="shared" si="3"/>
        <v>90</v>
      </c>
      <c r="P18">
        <v>80.5</v>
      </c>
      <c r="Q18">
        <f t="shared" si="1"/>
        <v>87.409090909090907</v>
      </c>
      <c r="R18">
        <f t="shared" si="2"/>
        <v>89.547000000000011</v>
      </c>
      <c r="S18" t="s">
        <v>22</v>
      </c>
    </row>
    <row r="19" spans="1:19" ht="15" customHeight="1">
      <c r="A19">
        <v>93020</v>
      </c>
      <c r="B19">
        <v>6710</v>
      </c>
      <c r="C19" t="s">
        <v>19</v>
      </c>
      <c r="D19">
        <v>1</v>
      </c>
      <c r="E19">
        <v>26</v>
      </c>
      <c r="F19">
        <v>80</v>
      </c>
      <c r="G19">
        <v>0</v>
      </c>
      <c r="H19">
        <v>60</v>
      </c>
      <c r="I19">
        <v>0</v>
      </c>
      <c r="J19">
        <v>70</v>
      </c>
      <c r="K19">
        <f t="shared" si="0"/>
        <v>52.5</v>
      </c>
      <c r="L19">
        <v>42</v>
      </c>
      <c r="M19">
        <v>52</v>
      </c>
      <c r="N19">
        <v>26</v>
      </c>
      <c r="O19">
        <f t="shared" si="3"/>
        <v>47</v>
      </c>
      <c r="P19">
        <v>42.2</v>
      </c>
      <c r="Q19">
        <f t="shared" si="1"/>
        <v>45.690909090909095</v>
      </c>
      <c r="R19">
        <f t="shared" si="2"/>
        <v>48.754999999999995</v>
      </c>
      <c r="S19" t="s">
        <v>25</v>
      </c>
    </row>
    <row r="20" spans="1:19" ht="15" customHeight="1">
      <c r="A20">
        <v>54317</v>
      </c>
      <c r="B20">
        <v>5241</v>
      </c>
      <c r="C20" t="s">
        <v>19</v>
      </c>
      <c r="D20">
        <v>2</v>
      </c>
      <c r="E20">
        <v>26</v>
      </c>
      <c r="F20">
        <v>0</v>
      </c>
      <c r="G20">
        <v>41.18</v>
      </c>
      <c r="H20">
        <v>20</v>
      </c>
      <c r="I20">
        <v>0</v>
      </c>
      <c r="J20">
        <v>0</v>
      </c>
      <c r="K20">
        <f t="shared" si="0"/>
        <v>15.295</v>
      </c>
      <c r="L20">
        <v>0</v>
      </c>
      <c r="M20">
        <v>53</v>
      </c>
      <c r="N20">
        <v>0</v>
      </c>
      <c r="O20">
        <f t="shared" si="3"/>
        <v>26.5</v>
      </c>
      <c r="P20">
        <v>0</v>
      </c>
      <c r="Q20">
        <f t="shared" si="1"/>
        <v>19.272727272727273</v>
      </c>
      <c r="R20">
        <f t="shared" si="2"/>
        <v>17.482750000000003</v>
      </c>
      <c r="S20" t="s">
        <v>25</v>
      </c>
    </row>
    <row r="21" spans="1:19" ht="15" customHeight="1">
      <c r="A21">
        <v>54125</v>
      </c>
      <c r="B21">
        <v>1367</v>
      </c>
      <c r="C21" t="s">
        <v>19</v>
      </c>
      <c r="D21">
        <v>1</v>
      </c>
      <c r="E21">
        <v>26</v>
      </c>
      <c r="F21">
        <v>100</v>
      </c>
      <c r="G21">
        <v>82.35</v>
      </c>
      <c r="H21">
        <v>95</v>
      </c>
      <c r="I21">
        <v>97.73</v>
      </c>
      <c r="J21">
        <v>0</v>
      </c>
      <c r="K21">
        <f t="shared" si="0"/>
        <v>93.77000000000001</v>
      </c>
      <c r="L21">
        <v>68</v>
      </c>
      <c r="M21">
        <v>54</v>
      </c>
      <c r="N21">
        <v>87</v>
      </c>
      <c r="O21">
        <f t="shared" si="3"/>
        <v>77.5</v>
      </c>
      <c r="P21">
        <v>69.5</v>
      </c>
      <c r="Q21">
        <f t="shared" si="1"/>
        <v>75.318181818181813</v>
      </c>
      <c r="R21">
        <f t="shared" si="2"/>
        <v>83.621500000000012</v>
      </c>
      <c r="S21" t="s">
        <v>20</v>
      </c>
    </row>
  </sheetData>
  <printOptions gridLines="1" gridLinesSet="0"/>
  <pageMargins left="0.75" right="0.75" top="1" bottom="1" header="0.5" footer="0.5"/>
  <pageSetup paperSize="0" scale="78" orientation="landscape" horizontalDpi="4294967292" verticalDpi="4294967292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2:M21"/>
  <sheetViews>
    <sheetView workbookViewId="0">
      <selection activeCell="C20" sqref="C20"/>
    </sheetView>
  </sheetViews>
  <sheetFormatPr defaultColWidth="11.453125" defaultRowHeight="12.5"/>
  <sheetData>
    <row r="2" spans="12:13">
      <c r="M2">
        <v>84</v>
      </c>
    </row>
    <row r="4" spans="12:13">
      <c r="M4">
        <v>66</v>
      </c>
    </row>
    <row r="5" spans="12:13">
      <c r="M5">
        <v>78</v>
      </c>
    </row>
    <row r="6" spans="12:13">
      <c r="M6">
        <v>86</v>
      </c>
    </row>
    <row r="10" spans="12:13">
      <c r="M10">
        <v>87</v>
      </c>
    </row>
    <row r="11" spans="12:13">
      <c r="M11">
        <v>91</v>
      </c>
    </row>
    <row r="13" spans="12:13">
      <c r="M13">
        <v>81</v>
      </c>
    </row>
    <row r="14" spans="12:13">
      <c r="L14">
        <v>56</v>
      </c>
      <c r="M14">
        <v>65</v>
      </c>
    </row>
    <row r="16" spans="12:13">
      <c r="L16" t="s">
        <v>26</v>
      </c>
    </row>
    <row r="17" spans="13:13">
      <c r="M17" t="s">
        <v>26</v>
      </c>
    </row>
    <row r="18" spans="13:13">
      <c r="M18">
        <v>74</v>
      </c>
    </row>
    <row r="19" spans="13:13">
      <c r="M19">
        <v>75</v>
      </c>
    </row>
    <row r="20" spans="13:13">
      <c r="M20">
        <v>70</v>
      </c>
    </row>
    <row r="21" spans="13:13">
      <c r="M21">
        <v>89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2:M21"/>
  <sheetViews>
    <sheetView workbookViewId="0">
      <selection activeCell="C20" sqref="C20"/>
    </sheetView>
  </sheetViews>
  <sheetFormatPr defaultColWidth="11.453125" defaultRowHeight="12.5"/>
  <sheetData>
    <row r="2" spans="12:13">
      <c r="M2">
        <v>84</v>
      </c>
    </row>
    <row r="4" spans="12:13">
      <c r="M4">
        <v>66</v>
      </c>
    </row>
    <row r="5" spans="12:13">
      <c r="M5">
        <v>78</v>
      </c>
    </row>
    <row r="6" spans="12:13">
      <c r="M6">
        <v>86</v>
      </c>
    </row>
    <row r="10" spans="12:13">
      <c r="M10">
        <v>87</v>
      </c>
    </row>
    <row r="11" spans="12:13">
      <c r="M11">
        <v>91</v>
      </c>
    </row>
    <row r="13" spans="12:13">
      <c r="M13">
        <v>81</v>
      </c>
    </row>
    <row r="14" spans="12:13">
      <c r="L14">
        <v>56</v>
      </c>
      <c r="M14">
        <v>65</v>
      </c>
    </row>
    <row r="16" spans="12:13">
      <c r="L16" t="s">
        <v>26</v>
      </c>
    </row>
    <row r="17" spans="13:13">
      <c r="M17" t="s">
        <v>26</v>
      </c>
    </row>
    <row r="18" spans="13:13">
      <c r="M18">
        <v>74</v>
      </c>
    </row>
    <row r="19" spans="13:13">
      <c r="M19">
        <v>75</v>
      </c>
    </row>
    <row r="20" spans="13:13">
      <c r="M20">
        <v>70</v>
      </c>
    </row>
    <row r="21" spans="13:13">
      <c r="M21">
        <v>89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2:M21"/>
  <sheetViews>
    <sheetView workbookViewId="0">
      <selection activeCell="C20" sqref="C20"/>
    </sheetView>
  </sheetViews>
  <sheetFormatPr defaultColWidth="11.453125" defaultRowHeight="12.5"/>
  <sheetData>
    <row r="2" spans="12:13">
      <c r="M2">
        <v>84</v>
      </c>
    </row>
    <row r="4" spans="12:13">
      <c r="M4">
        <v>66</v>
      </c>
    </row>
    <row r="5" spans="12:13">
      <c r="M5">
        <v>78</v>
      </c>
    </row>
    <row r="6" spans="12:13">
      <c r="M6">
        <v>86</v>
      </c>
    </row>
    <row r="10" spans="12:13">
      <c r="M10">
        <v>87</v>
      </c>
    </row>
    <row r="11" spans="12:13">
      <c r="M11">
        <v>91</v>
      </c>
    </row>
    <row r="13" spans="12:13">
      <c r="M13">
        <v>81</v>
      </c>
    </row>
    <row r="14" spans="12:13">
      <c r="L14">
        <v>56</v>
      </c>
      <c r="M14">
        <v>65</v>
      </c>
    </row>
    <row r="16" spans="12:13">
      <c r="L16" t="s">
        <v>26</v>
      </c>
    </row>
    <row r="17" spans="13:13">
      <c r="M17" t="s">
        <v>26</v>
      </c>
    </row>
    <row r="18" spans="13:13">
      <c r="M18">
        <v>74</v>
      </c>
    </row>
    <row r="19" spans="13:13">
      <c r="M19">
        <v>75</v>
      </c>
    </row>
    <row r="20" spans="13:13">
      <c r="M20">
        <v>70</v>
      </c>
    </row>
    <row r="21" spans="13:13">
      <c r="M21">
        <v>89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2:M21"/>
  <sheetViews>
    <sheetView workbookViewId="0">
      <selection activeCell="C20" sqref="C20"/>
    </sheetView>
  </sheetViews>
  <sheetFormatPr defaultColWidth="11.453125" defaultRowHeight="12.5"/>
  <sheetData>
    <row r="2" spans="12:13">
      <c r="M2">
        <v>84</v>
      </c>
    </row>
    <row r="4" spans="12:13">
      <c r="M4">
        <v>66</v>
      </c>
    </row>
    <row r="5" spans="12:13">
      <c r="M5">
        <v>78</v>
      </c>
    </row>
    <row r="6" spans="12:13">
      <c r="M6">
        <v>86</v>
      </c>
    </row>
    <row r="10" spans="12:13">
      <c r="M10">
        <v>87</v>
      </c>
    </row>
    <row r="11" spans="12:13">
      <c r="M11">
        <v>91</v>
      </c>
    </row>
    <row r="13" spans="12:13">
      <c r="M13">
        <v>81</v>
      </c>
    </row>
    <row r="14" spans="12:13">
      <c r="L14">
        <v>56</v>
      </c>
      <c r="M14">
        <v>65</v>
      </c>
    </row>
    <row r="16" spans="12:13">
      <c r="L16" t="s">
        <v>26</v>
      </c>
    </row>
    <row r="17" spans="13:13">
      <c r="M17" t="s">
        <v>26</v>
      </c>
    </row>
    <row r="18" spans="13:13">
      <c r="M18">
        <v>74</v>
      </c>
    </row>
    <row r="19" spans="13:13">
      <c r="M19">
        <v>75</v>
      </c>
    </row>
    <row r="20" spans="13:13">
      <c r="M20">
        <v>70</v>
      </c>
    </row>
    <row r="21" spans="13:13">
      <c r="M21">
        <v>89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2:M21"/>
  <sheetViews>
    <sheetView tabSelected="1" workbookViewId="0">
      <selection activeCell="C20" sqref="C20"/>
    </sheetView>
  </sheetViews>
  <sheetFormatPr defaultColWidth="11.453125" defaultRowHeight="12.5"/>
  <sheetData>
    <row r="2" spans="12:13">
      <c r="M2">
        <v>84</v>
      </c>
    </row>
    <row r="4" spans="12:13">
      <c r="M4">
        <v>66</v>
      </c>
    </row>
    <row r="5" spans="12:13">
      <c r="M5">
        <v>78</v>
      </c>
    </row>
    <row r="6" spans="12:13">
      <c r="M6">
        <v>86</v>
      </c>
    </row>
    <row r="10" spans="12:13">
      <c r="M10">
        <v>87</v>
      </c>
    </row>
    <row r="11" spans="12:13">
      <c r="M11">
        <v>91</v>
      </c>
    </row>
    <row r="13" spans="12:13">
      <c r="M13">
        <v>81</v>
      </c>
    </row>
    <row r="14" spans="12:13">
      <c r="L14">
        <v>56</v>
      </c>
      <c r="M14">
        <v>65</v>
      </c>
    </row>
    <row r="16" spans="12:13">
      <c r="L16" t="s">
        <v>26</v>
      </c>
    </row>
    <row r="17" spans="13:13">
      <c r="M17" t="s">
        <v>26</v>
      </c>
    </row>
    <row r="18" spans="13:13">
      <c r="M18">
        <v>74</v>
      </c>
    </row>
    <row r="19" spans="13:13">
      <c r="M19">
        <v>75</v>
      </c>
    </row>
    <row r="20" spans="13:13">
      <c r="M20">
        <v>70</v>
      </c>
    </row>
    <row r="21" spans="13:13">
      <c r="M21">
        <v>89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rec 5</vt:lpstr>
      <vt:lpstr>rec 6</vt:lpstr>
      <vt:lpstr>rec 8</vt:lpstr>
      <vt:lpstr>rec 9</vt:lpstr>
      <vt:lpstr>rec 10</vt:lpstr>
      <vt:lpstr>rec 11</vt:lpstr>
      <vt:lpstr>rec 22</vt:lpstr>
      <vt:lpstr>rec 23</vt:lpstr>
      <vt:lpstr>rec 24</vt:lpstr>
      <vt:lpstr>rec 25</vt:lpstr>
      <vt:lpstr>rec 26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Science Lab</dc:creator>
  <cp:lastModifiedBy>Carina Negreanu</cp:lastModifiedBy>
  <dcterms:created xsi:type="dcterms:W3CDTF">2004-01-13T00:04:24Z</dcterms:created>
  <dcterms:modified xsi:type="dcterms:W3CDTF">2020-01-27T10:31:51Z</dcterms:modified>
</cp:coreProperties>
</file>