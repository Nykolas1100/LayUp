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22B3BE-3200-4D29-B861-86486A27CBBD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Sheet1!$A$1:$L$160</definedName>
    <definedName name="_xlnm.Print_Titles" localSheetId="0">Sheet1!$1:$5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0" i="1" l="1"/>
  <c r="K38" i="1" s="1"/>
  <c r="K31" i="1"/>
  <c r="K32" i="1"/>
  <c r="K33" i="1"/>
  <c r="K34" i="1"/>
  <c r="K35" i="1"/>
  <c r="K36" i="1"/>
  <c r="C38" i="1"/>
  <c r="E38" i="1"/>
  <c r="G38" i="1"/>
  <c r="I38" i="1"/>
  <c r="K44" i="1"/>
  <c r="K52" i="1" s="1"/>
  <c r="K45" i="1"/>
  <c r="K46" i="1"/>
  <c r="K47" i="1"/>
  <c r="K48" i="1"/>
  <c r="K49" i="1"/>
  <c r="K50" i="1"/>
  <c r="C52" i="1"/>
  <c r="E52" i="1"/>
  <c r="G52" i="1"/>
  <c r="I52" i="1"/>
  <c r="K58" i="1"/>
  <c r="K59" i="1"/>
  <c r="K60" i="1"/>
  <c r="K61" i="1"/>
  <c r="I62" i="1"/>
  <c r="K62" i="1"/>
  <c r="K63" i="1"/>
  <c r="K64" i="1"/>
  <c r="C66" i="1"/>
  <c r="E66" i="1"/>
  <c r="G66" i="1"/>
  <c r="I66" i="1"/>
  <c r="K66" i="1"/>
  <c r="K73" i="1"/>
  <c r="K81" i="1" s="1"/>
  <c r="K74" i="1"/>
  <c r="K75" i="1"/>
  <c r="K76" i="1"/>
  <c r="K77" i="1"/>
  <c r="K78" i="1"/>
  <c r="K79" i="1"/>
  <c r="C81" i="1"/>
  <c r="E81" i="1"/>
  <c r="G81" i="1"/>
  <c r="I81" i="1"/>
  <c r="K88" i="1"/>
  <c r="K89" i="1"/>
  <c r="K90" i="1"/>
  <c r="K91" i="1"/>
  <c r="K92" i="1"/>
  <c r="K93" i="1"/>
  <c r="K94" i="1"/>
  <c r="C96" i="1"/>
  <c r="E96" i="1"/>
  <c r="G96" i="1"/>
  <c r="I96" i="1"/>
  <c r="K96" i="1"/>
  <c r="K103" i="1"/>
  <c r="K111" i="1" s="1"/>
  <c r="K104" i="1"/>
  <c r="K105" i="1"/>
  <c r="K106" i="1"/>
  <c r="K107" i="1"/>
  <c r="K108" i="1"/>
  <c r="K109" i="1"/>
  <c r="C111" i="1"/>
  <c r="E111" i="1"/>
  <c r="G111" i="1"/>
  <c r="I111" i="1"/>
  <c r="K118" i="1"/>
  <c r="K127" i="1" s="1"/>
  <c r="K119" i="1"/>
  <c r="K120" i="1"/>
  <c r="K121" i="1"/>
  <c r="K122" i="1"/>
  <c r="K123" i="1"/>
  <c r="K124" i="1"/>
  <c r="K125" i="1"/>
  <c r="C127" i="1"/>
  <c r="E127" i="1"/>
  <c r="G127" i="1"/>
  <c r="I127" i="1"/>
  <c r="K134" i="1"/>
  <c r="K135" i="1"/>
  <c r="K136" i="1"/>
  <c r="K137" i="1"/>
  <c r="K138" i="1"/>
  <c r="K139" i="1"/>
  <c r="K140" i="1"/>
  <c r="K141" i="1"/>
  <c r="C143" i="1"/>
  <c r="E143" i="1"/>
  <c r="G143" i="1"/>
  <c r="I143" i="1"/>
  <c r="K143" i="1"/>
  <c r="K150" i="1"/>
  <c r="K159" i="1" s="1"/>
  <c r="K151" i="1"/>
  <c r="K152" i="1"/>
  <c r="K153" i="1"/>
  <c r="K154" i="1"/>
  <c r="K155" i="1"/>
  <c r="K156" i="1"/>
  <c r="K157" i="1"/>
  <c r="C159" i="1"/>
  <c r="E159" i="1"/>
  <c r="G159" i="1"/>
  <c r="I159" i="1"/>
</calcChain>
</file>

<file path=xl/sharedStrings.xml><?xml version="1.0" encoding="utf-8"?>
<sst xmlns="http://schemas.openxmlformats.org/spreadsheetml/2006/main" count="155" uniqueCount="38">
  <si>
    <t>Historical Segment Financial Data</t>
  </si>
  <si>
    <t>(in millions)</t>
  </si>
  <si>
    <t>Water &amp; Sewer</t>
  </si>
  <si>
    <t>Plumbing/HVAC</t>
  </si>
  <si>
    <t>Utilities</t>
  </si>
  <si>
    <t>Electrical</t>
  </si>
  <si>
    <t>MRO</t>
  </si>
  <si>
    <t>Industrial PVF</t>
  </si>
  <si>
    <t>All Other</t>
  </si>
  <si>
    <t>Net Sales</t>
  </si>
  <si>
    <t xml:space="preserve">1st </t>
  </si>
  <si>
    <t>2nd</t>
  </si>
  <si>
    <t>3rd</t>
  </si>
  <si>
    <t>4th</t>
  </si>
  <si>
    <t>Total</t>
  </si>
  <si>
    <t>For the Fiscal Year Ended January 31, 2003</t>
  </si>
  <si>
    <t>Consolidated</t>
  </si>
  <si>
    <t>For the Fiscal Year Ended January 25, 2002</t>
  </si>
  <si>
    <t>For the Fiscal Year Ended January 30, 2004</t>
  </si>
  <si>
    <t>Corporate</t>
  </si>
  <si>
    <t xml:space="preserve">The tables below present net sales, operating income, and depreciation and amortization by </t>
  </si>
  <si>
    <t>segment for each quarter included in fiscal 2004, 2003 and 2002.</t>
  </si>
  <si>
    <t>Operating Income</t>
  </si>
  <si>
    <t>Depreciation and Amortization</t>
  </si>
  <si>
    <t>year presentation.  These reclassifications had no net impact on previously reported results of</t>
  </si>
  <si>
    <t>operations.</t>
  </si>
  <si>
    <t>Certain prior year amounts in the below tables have been reclassified to conform to current</t>
  </si>
  <si>
    <t xml:space="preserve">The All Other category includes the Company's Building Materials, Fire Protection, and </t>
  </si>
  <si>
    <t xml:space="preserve">Mechanical Industrial product lines. </t>
  </si>
  <si>
    <t xml:space="preserve">During the third quarter of fiscal 2004, Hughes Supply, Inc. ("the Company") changed its </t>
  </si>
  <si>
    <t>previously reported operating segments, Electrical/Plumbing, Industrial Pipe, Valves, and</t>
  </si>
  <si>
    <t xml:space="preserve">Fittings ("Industrial PVF"), and Water &amp; Sewer/Building Materials on a more disaggregated </t>
  </si>
  <si>
    <t xml:space="preserve">product line basis into six operating segments and an All Other category.  The Industrial PVF </t>
  </si>
  <si>
    <t xml:space="preserve">segment was unaffected by the changes in reporting structure.  The Company's six reportable </t>
  </si>
  <si>
    <t xml:space="preserve">segments and an All Other category, which is comprised of the remaining product lines, include </t>
  </si>
  <si>
    <t xml:space="preserve">the following: Water &amp; Sewer; Plumbing/Heating, Ventilating and Air Conditioning ("HVAC"); </t>
  </si>
  <si>
    <t>Utilities; Electrical; Industrial PVF; Maintenance, Repair and Operations ("MRO"); and All Other.</t>
  </si>
  <si>
    <t>Operating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</si>
</sst>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.0_);_(&quot;$&quot;* \(#,##0.0\);_(&quot;$&quot;* &quot;-&quot;??_);_(@_)"/>
    <numFmt numFmtId="173" formatCode="_(* #,##0.0_);_(* \(#,##0.0\);_(* &quot;-&quot;??_);_(@_)"/>
    <numFmt numFmtId="174" formatCode="_(&quot;$&quot;* #,##0_);_(&quot;$&quot;* \(#,##0\);_(&quot;$&quot;* &quot;-&quot;??_);_(@_)"/>
    <numFmt numFmtId="175" formatCode="_(* #,##0_);_(* \(#,##0\);_(* &quot;–&quot;_);_(@_)"/>
    <numFmt numFmtId="177" formatCode="_(* #,##0.0_);_(* \(#,##0.0\);_(* &quot;-&quot;?_);_(@_)"/>
    <numFmt numFmtId="178" formatCode="0.0"/>
  </numFmts>
  <fonts count="10" x14ac:knownFonts="1">
    <font>
      <sz val="11"/>
      <name val="Arial"/>
    </font>
    <font>
      <sz val="11"/>
      <name val="Arial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" fillId="0" borderId="0"/>
  </cellStyleXfs>
  <cellXfs count="4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73" fontId="4" fillId="2" borderId="0" xfId="1" applyNumberFormat="1" applyFont="1" applyFill="1"/>
    <xf numFmtId="173" fontId="4" fillId="2" borderId="1" xfId="1" applyNumberFormat="1" applyFont="1" applyFill="1" applyBorder="1"/>
    <xf numFmtId="172" fontId="4" fillId="2" borderId="2" xfId="2" applyNumberFormat="1" applyFont="1" applyFill="1" applyBorder="1"/>
    <xf numFmtId="172" fontId="4" fillId="2" borderId="3" xfId="2" applyNumberFormat="1" applyFont="1" applyFill="1" applyBorder="1" applyAlignment="1">
      <alignment horizontal="left"/>
    </xf>
    <xf numFmtId="4" fontId="4" fillId="2" borderId="3" xfId="2" applyNumberFormat="1" applyFont="1" applyFill="1" applyBorder="1" applyAlignment="1">
      <alignment horizontal="left"/>
    </xf>
    <xf numFmtId="0" fontId="6" fillId="2" borderId="0" xfId="0" applyFont="1" applyFill="1"/>
    <xf numFmtId="0" fontId="6" fillId="2" borderId="4" xfId="0" applyFont="1" applyFill="1" applyBorder="1" applyAlignment="1">
      <alignment horizontal="center"/>
    </xf>
    <xf numFmtId="0" fontId="7" fillId="2" borderId="0" xfId="3" applyFont="1" applyFill="1"/>
    <xf numFmtId="0" fontId="4" fillId="2" borderId="0" xfId="3" applyFont="1" applyFill="1"/>
    <xf numFmtId="172" fontId="7" fillId="2" borderId="0" xfId="2" applyNumberFormat="1" applyFont="1" applyFill="1"/>
    <xf numFmtId="173" fontId="7" fillId="2" borderId="0" xfId="1" applyNumberFormat="1" applyFont="1" applyFill="1"/>
    <xf numFmtId="175" fontId="7" fillId="2" borderId="0" xfId="0" applyNumberFormat="1" applyFont="1" applyFill="1" applyBorder="1" applyAlignment="1">
      <alignment horizontal="center" vertical="center" wrapText="1"/>
    </xf>
    <xf numFmtId="172" fontId="4" fillId="2" borderId="0" xfId="2" applyNumberFormat="1" applyFont="1" applyFill="1"/>
    <xf numFmtId="173" fontId="4" fillId="2" borderId="0" xfId="1" applyNumberFormat="1" applyFont="1" applyFill="1" applyBorder="1" applyAlignment="1">
      <alignment horizontal="right"/>
    </xf>
    <xf numFmtId="173" fontId="4" fillId="2" borderId="1" xfId="1" applyNumberFormat="1" applyFont="1" applyFill="1" applyBorder="1" applyAlignment="1">
      <alignment horizontal="right"/>
    </xf>
    <xf numFmtId="4" fontId="4" fillId="2" borderId="0" xfId="2" applyNumberFormat="1" applyFont="1" applyFill="1" applyBorder="1" applyAlignment="1">
      <alignment horizontal="left"/>
    </xf>
    <xf numFmtId="0" fontId="0" fillId="2" borderId="0" xfId="0" applyFill="1" applyBorder="1"/>
    <xf numFmtId="0" fontId="6" fillId="2" borderId="0" xfId="0" applyFont="1" applyFill="1" applyBorder="1" applyAlignment="1">
      <alignment horizontal="center"/>
    </xf>
    <xf numFmtId="4" fontId="4" fillId="2" borderId="0" xfId="1" applyNumberFormat="1" applyFont="1" applyFill="1" applyBorder="1" applyAlignment="1"/>
    <xf numFmtId="0" fontId="4" fillId="2" borderId="0" xfId="0" applyFont="1" applyFill="1" applyBorder="1"/>
    <xf numFmtId="172" fontId="4" fillId="2" borderId="0" xfId="2" applyNumberFormat="1" applyFont="1" applyFill="1" applyBorder="1"/>
    <xf numFmtId="174" fontId="4" fillId="2" borderId="0" xfId="2" applyNumberFormat="1" applyFont="1" applyFill="1" applyBorder="1"/>
    <xf numFmtId="173" fontId="4" fillId="2" borderId="0" xfId="1" applyNumberFormat="1" applyFont="1" applyFill="1" applyBorder="1"/>
    <xf numFmtId="172" fontId="4" fillId="2" borderId="3" xfId="2" applyNumberFormat="1" applyFont="1" applyFill="1" applyBorder="1" applyAlignment="1">
      <alignment horizontal="right"/>
    </xf>
    <xf numFmtId="173" fontId="4" fillId="2" borderId="0" xfId="1" applyNumberFormat="1" applyFont="1" applyFill="1" applyAlignment="1"/>
    <xf numFmtId="173" fontId="4" fillId="2" borderId="0" xfId="1" applyNumberFormat="1" applyFont="1" applyFill="1" applyBorder="1" applyAlignment="1"/>
    <xf numFmtId="173" fontId="4" fillId="2" borderId="1" xfId="1" applyNumberFormat="1" applyFont="1" applyFill="1" applyBorder="1" applyAlignment="1"/>
    <xf numFmtId="177" fontId="4" fillId="2" borderId="0" xfId="0" applyNumberFormat="1" applyFont="1" applyFill="1"/>
    <xf numFmtId="171" fontId="4" fillId="2" borderId="0" xfId="0" applyNumberFormat="1" applyFont="1" applyFill="1"/>
    <xf numFmtId="0" fontId="9" fillId="2" borderId="0" xfId="0" applyFont="1" applyFill="1"/>
    <xf numFmtId="173" fontId="4" fillId="2" borderId="0" xfId="0" applyNumberFormat="1" applyFont="1" applyFill="1"/>
    <xf numFmtId="178" fontId="4" fillId="2" borderId="0" xfId="0" applyNumberFormat="1" applyFont="1" applyFill="1"/>
    <xf numFmtId="172" fontId="4" fillId="2" borderId="0" xfId="2" applyNumberFormat="1" applyFont="1" applyFill="1" applyBorder="1" applyAlignment="1">
      <alignment horizontal="left"/>
    </xf>
    <xf numFmtId="173" fontId="7" fillId="2" borderId="0" xfId="1" applyNumberFormat="1" applyFont="1" applyFill="1" applyBorder="1"/>
    <xf numFmtId="175" fontId="7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/>
    <xf numFmtId="172" fontId="7" fillId="2" borderId="0" xfId="2" applyNumberFormat="1" applyFont="1" applyFill="1" applyBorder="1"/>
    <xf numFmtId="172" fontId="4" fillId="2" borderId="0" xfId="0" applyNumberFormat="1" applyFont="1" applyFill="1"/>
    <xf numFmtId="178" fontId="4" fillId="2" borderId="0" xfId="0" applyNumberFormat="1" applyFont="1" applyFill="1" applyBorder="1"/>
    <xf numFmtId="0" fontId="6" fillId="2" borderId="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_Tablesworkbook11on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1111250</xdr:colOff>
      <xdr:row>2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16F08C-3E40-4BE5-B6EF-7A9B0F21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112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577"/>
  <sheetViews>
    <sheetView tabSelected="1" view="pageBreakPreview" zoomScaleNormal="100" zoomScaleSheetLayoutView="100" workbookViewId="0">
      <selection activeCell="A19" sqref="A19"/>
    </sheetView>
  </sheetViews>
  <sheetFormatPr defaultColWidth="9" defaultRowHeight="14" x14ac:dyDescent="0.3"/>
  <cols>
    <col min="1" max="1" width="15.58203125" style="1" customWidth="1"/>
    <col min="2" max="2" width="2.75" style="1" customWidth="1"/>
    <col min="3" max="3" width="9.08203125" style="1" bestFit="1" customWidth="1"/>
    <col min="4" max="4" width="2.08203125" style="22" customWidth="1"/>
    <col min="5" max="5" width="9.08203125" style="1" bestFit="1" customWidth="1"/>
    <col min="6" max="6" width="2.08203125" style="22" customWidth="1"/>
    <col min="7" max="7" width="9.08203125" style="1" bestFit="1" customWidth="1"/>
    <col min="8" max="8" width="2.08203125" style="22" customWidth="1"/>
    <col min="9" max="9" width="9.08203125" style="1" bestFit="1" customWidth="1"/>
    <col min="10" max="10" width="2.08203125" style="22" customWidth="1"/>
    <col min="11" max="11" width="9.5" style="1" bestFit="1" customWidth="1"/>
    <col min="12" max="12" width="4.83203125" style="1" customWidth="1"/>
    <col min="13" max="16384" width="9" style="1"/>
  </cols>
  <sheetData>
    <row r="4" spans="1:1" x14ac:dyDescent="0.3">
      <c r="A4" s="2" t="s">
        <v>0</v>
      </c>
    </row>
    <row r="5" spans="1:1" x14ac:dyDescent="0.3">
      <c r="A5" s="3" t="s">
        <v>1</v>
      </c>
    </row>
    <row r="6" spans="1:1" x14ac:dyDescent="0.3">
      <c r="A6" s="3"/>
    </row>
    <row r="7" spans="1:1" x14ac:dyDescent="0.3">
      <c r="A7" s="3"/>
    </row>
    <row r="8" spans="1:1" x14ac:dyDescent="0.3">
      <c r="A8" s="35" t="s">
        <v>29</v>
      </c>
    </row>
    <row r="9" spans="1:1" x14ac:dyDescent="0.3">
      <c r="A9" s="35" t="s">
        <v>30</v>
      </c>
    </row>
    <row r="10" spans="1:1" x14ac:dyDescent="0.3">
      <c r="A10" s="35" t="s">
        <v>31</v>
      </c>
    </row>
    <row r="11" spans="1:1" x14ac:dyDescent="0.3">
      <c r="A11" s="35" t="s">
        <v>32</v>
      </c>
    </row>
    <row r="12" spans="1:1" x14ac:dyDescent="0.3">
      <c r="A12" s="35" t="s">
        <v>33</v>
      </c>
    </row>
    <row r="13" spans="1:1" x14ac:dyDescent="0.3">
      <c r="A13" s="35" t="s">
        <v>34</v>
      </c>
    </row>
    <row r="14" spans="1:1" x14ac:dyDescent="0.3">
      <c r="A14" s="35" t="s">
        <v>35</v>
      </c>
    </row>
    <row r="15" spans="1:1" x14ac:dyDescent="0.3">
      <c r="A15" s="35" t="s">
        <v>36</v>
      </c>
    </row>
    <row r="16" spans="1:1" x14ac:dyDescent="0.3">
      <c r="A16" s="35" t="s">
        <v>27</v>
      </c>
    </row>
    <row r="17" spans="1:13" x14ac:dyDescent="0.3">
      <c r="A17" s="35" t="s">
        <v>28</v>
      </c>
    </row>
    <row r="18" spans="1:13" x14ac:dyDescent="0.3">
      <c r="A18" s="35"/>
    </row>
    <row r="19" spans="1:13" x14ac:dyDescent="0.3">
      <c r="A19" s="35" t="s">
        <v>26</v>
      </c>
    </row>
    <row r="20" spans="1:13" x14ac:dyDescent="0.3">
      <c r="A20" s="35" t="s">
        <v>24</v>
      </c>
    </row>
    <row r="21" spans="1:13" x14ac:dyDescent="0.3">
      <c r="A21" s="35" t="s">
        <v>25</v>
      </c>
    </row>
    <row r="22" spans="1:13" x14ac:dyDescent="0.3">
      <c r="A22" s="35"/>
    </row>
    <row r="23" spans="1:13" x14ac:dyDescent="0.3">
      <c r="A23" s="35" t="s">
        <v>20</v>
      </c>
    </row>
    <row r="24" spans="1:13" x14ac:dyDescent="0.3">
      <c r="A24" s="35" t="s">
        <v>21</v>
      </c>
    </row>
    <row r="25" spans="1:13" x14ac:dyDescent="0.3">
      <c r="A25" s="35"/>
    </row>
    <row r="26" spans="1:13" x14ac:dyDescent="0.3">
      <c r="A26" s="35"/>
    </row>
    <row r="27" spans="1:13" x14ac:dyDescent="0.3">
      <c r="A27" s="5" t="s">
        <v>9</v>
      </c>
    </row>
    <row r="28" spans="1:13" s="4" customFormat="1" ht="13" x14ac:dyDescent="0.3">
      <c r="C28" s="45" t="s">
        <v>18</v>
      </c>
      <c r="D28" s="45"/>
      <c r="E28" s="45"/>
      <c r="F28" s="45"/>
      <c r="G28" s="45"/>
      <c r="H28" s="45"/>
      <c r="I28" s="45"/>
      <c r="J28" s="45"/>
      <c r="K28" s="45"/>
    </row>
    <row r="29" spans="1:13" s="4" customFormat="1" ht="13" x14ac:dyDescent="0.3">
      <c r="C29" s="12" t="s">
        <v>10</v>
      </c>
      <c r="D29" s="23"/>
      <c r="E29" s="12" t="s">
        <v>11</v>
      </c>
      <c r="F29" s="23"/>
      <c r="G29" s="12" t="s">
        <v>12</v>
      </c>
      <c r="H29" s="23"/>
      <c r="I29" s="12" t="s">
        <v>13</v>
      </c>
      <c r="J29" s="23"/>
      <c r="K29" s="12" t="s">
        <v>14</v>
      </c>
    </row>
    <row r="30" spans="1:13" s="4" customFormat="1" ht="13" x14ac:dyDescent="0.3">
      <c r="A30" s="14" t="s">
        <v>2</v>
      </c>
      <c r="C30" s="9">
        <v>218.9</v>
      </c>
      <c r="D30" s="21"/>
      <c r="E30" s="9">
        <v>232.5</v>
      </c>
      <c r="F30" s="21"/>
      <c r="G30" s="18">
        <v>254.7</v>
      </c>
      <c r="H30" s="26"/>
      <c r="I30" s="10"/>
      <c r="J30" s="21"/>
      <c r="K30" s="29">
        <f>SUM(C30:I30)</f>
        <v>706.09999999999991</v>
      </c>
      <c r="L30" s="15"/>
      <c r="M30" s="34"/>
    </row>
    <row r="31" spans="1:13" s="4" customFormat="1" ht="13" x14ac:dyDescent="0.3">
      <c r="A31" s="14" t="s">
        <v>3</v>
      </c>
      <c r="C31" s="30">
        <v>193</v>
      </c>
      <c r="D31" s="31"/>
      <c r="E31" s="30">
        <v>206.3</v>
      </c>
      <c r="F31" s="31"/>
      <c r="G31" s="6">
        <v>206.6</v>
      </c>
      <c r="H31" s="28"/>
      <c r="I31" s="30"/>
      <c r="J31" s="24"/>
      <c r="K31" s="19">
        <f t="shared" ref="K31:K36" si="0">SUM(C31:I31)</f>
        <v>605.9</v>
      </c>
      <c r="L31" s="16"/>
      <c r="M31" s="34"/>
    </row>
    <row r="32" spans="1:13" s="4" customFormat="1" ht="13" x14ac:dyDescent="0.3">
      <c r="A32" s="14" t="s">
        <v>4</v>
      </c>
      <c r="C32" s="30">
        <v>88.9</v>
      </c>
      <c r="D32" s="31"/>
      <c r="E32" s="30">
        <v>91.5</v>
      </c>
      <c r="F32" s="31"/>
      <c r="G32" s="6">
        <v>99.1</v>
      </c>
      <c r="H32" s="28"/>
      <c r="I32" s="30"/>
      <c r="J32" s="24"/>
      <c r="K32" s="19">
        <f t="shared" si="0"/>
        <v>279.5</v>
      </c>
      <c r="L32" s="16"/>
      <c r="M32" s="34"/>
    </row>
    <row r="33" spans="1:13" s="4" customFormat="1" ht="13" x14ac:dyDescent="0.3">
      <c r="A33" s="14" t="s">
        <v>5</v>
      </c>
      <c r="C33" s="30">
        <v>90.4</v>
      </c>
      <c r="D33" s="31"/>
      <c r="E33" s="30">
        <v>90</v>
      </c>
      <c r="F33" s="31"/>
      <c r="G33" s="6">
        <v>94</v>
      </c>
      <c r="H33" s="28"/>
      <c r="I33" s="30"/>
      <c r="J33" s="24"/>
      <c r="K33" s="19">
        <f t="shared" si="0"/>
        <v>274.39999999999998</v>
      </c>
      <c r="L33" s="16"/>
      <c r="M33" s="34"/>
    </row>
    <row r="34" spans="1:13" s="4" customFormat="1" ht="13" x14ac:dyDescent="0.3">
      <c r="A34" s="14" t="s">
        <v>7</v>
      </c>
      <c r="C34" s="30">
        <v>73.099999999999994</v>
      </c>
      <c r="D34" s="31"/>
      <c r="E34" s="30">
        <v>67.400000000000006</v>
      </c>
      <c r="F34" s="31"/>
      <c r="G34" s="6">
        <v>73.2</v>
      </c>
      <c r="H34" s="28"/>
      <c r="I34" s="30"/>
      <c r="J34" s="24"/>
      <c r="K34" s="19">
        <f t="shared" si="0"/>
        <v>213.7</v>
      </c>
      <c r="L34" s="16"/>
      <c r="M34" s="34"/>
    </row>
    <row r="35" spans="1:13" s="4" customFormat="1" ht="13" x14ac:dyDescent="0.3">
      <c r="A35" s="14" t="s">
        <v>6</v>
      </c>
      <c r="C35" s="30">
        <v>30.6</v>
      </c>
      <c r="D35" s="31"/>
      <c r="E35" s="30">
        <v>36.200000000000003</v>
      </c>
      <c r="F35" s="31"/>
      <c r="G35" s="6">
        <v>34.5</v>
      </c>
      <c r="H35" s="28"/>
      <c r="I35" s="30"/>
      <c r="J35" s="24"/>
      <c r="K35" s="19">
        <f t="shared" si="0"/>
        <v>101.30000000000001</v>
      </c>
      <c r="L35" s="16"/>
      <c r="M35" s="34"/>
    </row>
    <row r="36" spans="1:13" s="4" customFormat="1" ht="13" x14ac:dyDescent="0.3">
      <c r="A36" s="14" t="s">
        <v>8</v>
      </c>
      <c r="C36" s="32">
        <v>87.9</v>
      </c>
      <c r="D36" s="31"/>
      <c r="E36" s="32">
        <v>91.2</v>
      </c>
      <c r="F36" s="31"/>
      <c r="G36" s="7">
        <v>97.4</v>
      </c>
      <c r="H36" s="28"/>
      <c r="I36" s="32"/>
      <c r="J36" s="24"/>
      <c r="K36" s="20">
        <f t="shared" si="0"/>
        <v>276.5</v>
      </c>
      <c r="L36" s="16"/>
      <c r="M36" s="34"/>
    </row>
    <row r="37" spans="1:13" s="4" customFormat="1" ht="13" x14ac:dyDescent="0.3">
      <c r="A37" s="13"/>
      <c r="D37" s="25"/>
      <c r="F37" s="25"/>
      <c r="G37" s="17"/>
      <c r="H37" s="17"/>
      <c r="J37" s="25"/>
      <c r="L37" s="17"/>
    </row>
    <row r="38" spans="1:13" s="4" customFormat="1" ht="13.5" thickBot="1" x14ac:dyDescent="0.35">
      <c r="A38" s="11" t="s">
        <v>16</v>
      </c>
      <c r="C38" s="8">
        <f>SUM(C30:C36)</f>
        <v>782.8</v>
      </c>
      <c r="D38" s="26"/>
      <c r="E38" s="8">
        <f>SUM(E30:E36)</f>
        <v>815.1</v>
      </c>
      <c r="F38" s="26"/>
      <c r="G38" s="8">
        <f>SUM(G30:G36)</f>
        <v>859.5</v>
      </c>
      <c r="H38" s="26"/>
      <c r="I38" s="8">
        <f>SUM(I30:I36)</f>
        <v>0</v>
      </c>
      <c r="J38" s="26"/>
      <c r="K38" s="8">
        <f>SUM(K30:K36)</f>
        <v>2457.4</v>
      </c>
    </row>
    <row r="39" spans="1:13" s="4" customFormat="1" ht="13" thickTop="1" x14ac:dyDescent="0.25">
      <c r="D39" s="25"/>
      <c r="F39" s="25"/>
      <c r="H39" s="25"/>
      <c r="J39" s="25"/>
    </row>
    <row r="40" spans="1:13" s="4" customFormat="1" ht="12.5" x14ac:dyDescent="0.25">
      <c r="D40" s="25"/>
      <c r="F40" s="25"/>
      <c r="H40" s="25"/>
      <c r="J40" s="25"/>
    </row>
    <row r="41" spans="1:13" s="4" customFormat="1" ht="13" x14ac:dyDescent="0.3">
      <c r="A41" s="5" t="s">
        <v>9</v>
      </c>
      <c r="D41" s="25"/>
      <c r="F41" s="25"/>
      <c r="H41" s="25"/>
      <c r="J41" s="25"/>
    </row>
    <row r="42" spans="1:13" s="4" customFormat="1" ht="13" x14ac:dyDescent="0.3">
      <c r="C42" s="45" t="s">
        <v>15</v>
      </c>
      <c r="D42" s="45"/>
      <c r="E42" s="45"/>
      <c r="F42" s="45"/>
      <c r="G42" s="45"/>
      <c r="H42" s="45"/>
      <c r="I42" s="45"/>
      <c r="J42" s="45"/>
      <c r="K42" s="45"/>
    </row>
    <row r="43" spans="1:13" s="4" customFormat="1" ht="13" x14ac:dyDescent="0.3">
      <c r="C43" s="12" t="s">
        <v>10</v>
      </c>
      <c r="D43" s="23"/>
      <c r="E43" s="12" t="s">
        <v>11</v>
      </c>
      <c r="F43" s="23"/>
      <c r="G43" s="12" t="s">
        <v>12</v>
      </c>
      <c r="H43" s="23"/>
      <c r="I43" s="12" t="s">
        <v>13</v>
      </c>
      <c r="J43" s="23"/>
      <c r="K43" s="12" t="s">
        <v>14</v>
      </c>
    </row>
    <row r="44" spans="1:13" s="4" customFormat="1" ht="13" x14ac:dyDescent="0.3">
      <c r="A44" s="4" t="s">
        <v>2</v>
      </c>
      <c r="C44" s="29">
        <v>225.5</v>
      </c>
      <c r="D44" s="21"/>
      <c r="E44" s="29">
        <v>242.9</v>
      </c>
      <c r="F44" s="21"/>
      <c r="G44" s="18">
        <v>229.3</v>
      </c>
      <c r="H44" s="26"/>
      <c r="I44" s="29">
        <v>179.5</v>
      </c>
      <c r="J44" s="21"/>
      <c r="K44" s="29">
        <f>SUM(C44:I44)</f>
        <v>877.2</v>
      </c>
      <c r="L44" s="15"/>
      <c r="M44" s="34"/>
    </row>
    <row r="45" spans="1:13" s="4" customFormat="1" ht="13" x14ac:dyDescent="0.3">
      <c r="A45" s="4" t="s">
        <v>3</v>
      </c>
      <c r="C45" s="30">
        <v>211.5</v>
      </c>
      <c r="D45" s="31"/>
      <c r="E45" s="30">
        <v>201.7</v>
      </c>
      <c r="F45" s="31"/>
      <c r="G45" s="6">
        <v>197.1</v>
      </c>
      <c r="H45" s="28"/>
      <c r="I45" s="30">
        <v>173.5</v>
      </c>
      <c r="J45" s="24"/>
      <c r="K45" s="19">
        <f t="shared" ref="K45:K50" si="1">SUM(C45:I45)</f>
        <v>783.8</v>
      </c>
      <c r="L45" s="16"/>
      <c r="M45" s="34"/>
    </row>
    <row r="46" spans="1:13" s="4" customFormat="1" ht="13" x14ac:dyDescent="0.3">
      <c r="A46" s="4" t="s">
        <v>4</v>
      </c>
      <c r="C46" s="30">
        <v>39</v>
      </c>
      <c r="D46" s="31"/>
      <c r="E46" s="30">
        <v>40.200000000000003</v>
      </c>
      <c r="F46" s="31"/>
      <c r="G46" s="6">
        <v>87.7</v>
      </c>
      <c r="H46" s="28"/>
      <c r="I46" s="30">
        <v>81.400000000000006</v>
      </c>
      <c r="J46" s="24"/>
      <c r="K46" s="19">
        <f t="shared" si="1"/>
        <v>248.3</v>
      </c>
      <c r="L46" s="16"/>
      <c r="M46" s="34"/>
    </row>
    <row r="47" spans="1:13" s="4" customFormat="1" ht="13" x14ac:dyDescent="0.3">
      <c r="A47" s="4" t="s">
        <v>5</v>
      </c>
      <c r="C47" s="30">
        <v>104.7</v>
      </c>
      <c r="D47" s="31"/>
      <c r="E47" s="30">
        <v>93.2</v>
      </c>
      <c r="F47" s="31"/>
      <c r="G47" s="6">
        <v>93.5</v>
      </c>
      <c r="H47" s="28"/>
      <c r="I47" s="30">
        <v>84</v>
      </c>
      <c r="J47" s="24"/>
      <c r="K47" s="19">
        <f t="shared" si="1"/>
        <v>375.4</v>
      </c>
      <c r="L47" s="16"/>
      <c r="M47" s="34"/>
    </row>
    <row r="48" spans="1:13" s="4" customFormat="1" ht="13" x14ac:dyDescent="0.3">
      <c r="A48" s="4" t="s">
        <v>7</v>
      </c>
      <c r="C48" s="30">
        <v>84.3</v>
      </c>
      <c r="D48" s="31"/>
      <c r="E48" s="30">
        <v>77</v>
      </c>
      <c r="F48" s="31"/>
      <c r="G48" s="6">
        <v>78.8</v>
      </c>
      <c r="H48" s="28"/>
      <c r="I48" s="30">
        <v>73.8</v>
      </c>
      <c r="J48" s="24"/>
      <c r="K48" s="19">
        <f t="shared" si="1"/>
        <v>313.90000000000003</v>
      </c>
      <c r="L48" s="16"/>
      <c r="M48" s="34"/>
    </row>
    <row r="49" spans="1:13" s="4" customFormat="1" ht="13" x14ac:dyDescent="0.3">
      <c r="A49" s="4" t="s">
        <v>6</v>
      </c>
      <c r="C49" s="30">
        <v>30.2</v>
      </c>
      <c r="D49" s="31"/>
      <c r="E49" s="30">
        <v>32.700000000000003</v>
      </c>
      <c r="F49" s="31"/>
      <c r="G49" s="6">
        <v>31.1</v>
      </c>
      <c r="H49" s="28"/>
      <c r="I49" s="30">
        <v>24.9</v>
      </c>
      <c r="J49" s="24"/>
      <c r="K49" s="19">
        <f t="shared" si="1"/>
        <v>118.9</v>
      </c>
      <c r="L49" s="16"/>
      <c r="M49" s="34"/>
    </row>
    <row r="50" spans="1:13" s="4" customFormat="1" ht="13" x14ac:dyDescent="0.3">
      <c r="A50" s="4" t="s">
        <v>8</v>
      </c>
      <c r="C50" s="32">
        <v>94.8</v>
      </c>
      <c r="D50" s="31"/>
      <c r="E50" s="32">
        <v>87</v>
      </c>
      <c r="F50" s="31"/>
      <c r="G50" s="7">
        <v>86.5</v>
      </c>
      <c r="H50" s="28"/>
      <c r="I50" s="32">
        <v>80.5</v>
      </c>
      <c r="J50" s="24"/>
      <c r="K50" s="20">
        <f t="shared" si="1"/>
        <v>348.8</v>
      </c>
      <c r="L50" s="16"/>
      <c r="M50" s="34"/>
    </row>
    <row r="51" spans="1:13" s="4" customFormat="1" ht="12.5" x14ac:dyDescent="0.25">
      <c r="D51" s="25"/>
      <c r="F51" s="25"/>
      <c r="H51" s="25"/>
      <c r="J51" s="25"/>
    </row>
    <row r="52" spans="1:13" s="4" customFormat="1" ht="13.5" thickBot="1" x14ac:dyDescent="0.35">
      <c r="A52" s="11" t="s">
        <v>16</v>
      </c>
      <c r="C52" s="8">
        <f>SUM(C44:C50)</f>
        <v>790</v>
      </c>
      <c r="D52" s="27"/>
      <c r="E52" s="8">
        <f>SUM(E44:E50)</f>
        <v>774.7</v>
      </c>
      <c r="F52" s="27"/>
      <c r="G52" s="8">
        <f>SUM(G44:G50)</f>
        <v>804</v>
      </c>
      <c r="H52" s="27"/>
      <c r="I52" s="8">
        <f>SUM(I44:I50)</f>
        <v>697.59999999999991</v>
      </c>
      <c r="J52" s="27"/>
      <c r="K52" s="8">
        <f>SUM(K44:K50)</f>
        <v>3066.3</v>
      </c>
    </row>
    <row r="53" spans="1:13" s="4" customFormat="1" ht="13" thickTop="1" x14ac:dyDescent="0.25">
      <c r="D53" s="25"/>
      <c r="F53" s="25"/>
      <c r="H53" s="25"/>
      <c r="J53" s="25"/>
    </row>
    <row r="54" spans="1:13" s="4" customFormat="1" ht="12.5" x14ac:dyDescent="0.25">
      <c r="D54" s="25"/>
      <c r="F54" s="25"/>
      <c r="H54" s="25"/>
      <c r="J54" s="25"/>
    </row>
    <row r="55" spans="1:13" s="4" customFormat="1" ht="13" x14ac:dyDescent="0.3">
      <c r="A55" s="5" t="s">
        <v>9</v>
      </c>
      <c r="D55" s="25"/>
      <c r="F55" s="25"/>
      <c r="H55" s="25"/>
      <c r="J55" s="25"/>
    </row>
    <row r="56" spans="1:13" s="4" customFormat="1" ht="13" x14ac:dyDescent="0.3">
      <c r="C56" s="45" t="s">
        <v>17</v>
      </c>
      <c r="D56" s="45"/>
      <c r="E56" s="45"/>
      <c r="F56" s="45"/>
      <c r="G56" s="45"/>
      <c r="H56" s="45"/>
      <c r="I56" s="45"/>
      <c r="J56" s="45"/>
      <c r="K56" s="45"/>
    </row>
    <row r="57" spans="1:13" s="4" customFormat="1" ht="13" x14ac:dyDescent="0.3">
      <c r="C57" s="12" t="s">
        <v>10</v>
      </c>
      <c r="D57" s="23"/>
      <c r="E57" s="12" t="s">
        <v>11</v>
      </c>
      <c r="F57" s="23"/>
      <c r="G57" s="12" t="s">
        <v>12</v>
      </c>
      <c r="H57" s="23"/>
      <c r="I57" s="12" t="s">
        <v>13</v>
      </c>
      <c r="J57" s="23"/>
      <c r="K57" s="12" t="s">
        <v>14</v>
      </c>
    </row>
    <row r="58" spans="1:13" s="4" customFormat="1" ht="12.5" x14ac:dyDescent="0.25">
      <c r="A58" s="4" t="s">
        <v>2</v>
      </c>
      <c r="C58" s="29">
        <v>197.4</v>
      </c>
      <c r="D58" s="38"/>
      <c r="E58" s="9">
        <v>226.4</v>
      </c>
      <c r="F58" s="38"/>
      <c r="G58" s="9">
        <v>230.8</v>
      </c>
      <c r="H58" s="38"/>
      <c r="I58" s="9">
        <v>178.5</v>
      </c>
      <c r="J58" s="38"/>
      <c r="K58" s="29">
        <f>SUM(C58:I58)</f>
        <v>833.1</v>
      </c>
      <c r="L58" s="37"/>
      <c r="M58" s="37"/>
    </row>
    <row r="59" spans="1:13" s="4" customFormat="1" ht="12.5" x14ac:dyDescent="0.25">
      <c r="A59" s="4" t="s">
        <v>3</v>
      </c>
      <c r="C59" s="30">
        <v>212.6</v>
      </c>
      <c r="D59" s="31"/>
      <c r="E59" s="30">
        <v>215.6</v>
      </c>
      <c r="F59" s="31"/>
      <c r="G59" s="30">
        <v>206.4</v>
      </c>
      <c r="H59" s="31"/>
      <c r="I59" s="30">
        <v>182.6</v>
      </c>
      <c r="J59" s="24"/>
      <c r="K59" s="19">
        <f t="shared" ref="K59:K64" si="2">SUM(C59:I59)</f>
        <v>817.2</v>
      </c>
      <c r="L59" s="37"/>
      <c r="M59" s="37"/>
    </row>
    <row r="60" spans="1:13" s="4" customFormat="1" ht="12.5" x14ac:dyDescent="0.25">
      <c r="A60" s="4" t="s">
        <v>4</v>
      </c>
      <c r="C60" s="30">
        <v>34.299999999999997</v>
      </c>
      <c r="D60" s="31"/>
      <c r="E60" s="30">
        <v>39.799999999999997</v>
      </c>
      <c r="F60" s="31"/>
      <c r="G60" s="30">
        <v>39.1</v>
      </c>
      <c r="H60" s="31"/>
      <c r="I60" s="30">
        <v>31.7</v>
      </c>
      <c r="J60" s="24"/>
      <c r="K60" s="19">
        <f t="shared" si="2"/>
        <v>144.89999999999998</v>
      </c>
      <c r="L60" s="37"/>
      <c r="M60" s="37"/>
    </row>
    <row r="61" spans="1:13" s="4" customFormat="1" ht="12.5" x14ac:dyDescent="0.25">
      <c r="A61" s="4" t="s">
        <v>5</v>
      </c>
      <c r="C61" s="30">
        <v>116.4</v>
      </c>
      <c r="D61" s="31"/>
      <c r="E61" s="30">
        <v>112.2</v>
      </c>
      <c r="F61" s="31"/>
      <c r="G61" s="30">
        <v>106.9</v>
      </c>
      <c r="H61" s="31"/>
      <c r="I61" s="30">
        <v>95.1</v>
      </c>
      <c r="J61" s="24"/>
      <c r="K61" s="19">
        <f t="shared" si="2"/>
        <v>430.6</v>
      </c>
      <c r="L61" s="37"/>
      <c r="M61" s="37"/>
    </row>
    <row r="62" spans="1:13" s="4" customFormat="1" ht="12.5" x14ac:dyDescent="0.25">
      <c r="A62" s="4" t="s">
        <v>7</v>
      </c>
      <c r="C62" s="30">
        <v>90.1</v>
      </c>
      <c r="D62" s="31"/>
      <c r="E62" s="30">
        <v>81.3</v>
      </c>
      <c r="F62" s="31"/>
      <c r="G62" s="30">
        <v>83</v>
      </c>
      <c r="H62" s="31"/>
      <c r="I62" s="30">
        <f>330.4-254.4</f>
        <v>75.999999999999972</v>
      </c>
      <c r="J62" s="24"/>
      <c r="K62" s="19">
        <f t="shared" si="2"/>
        <v>330.4</v>
      </c>
      <c r="L62" s="37"/>
      <c r="M62" s="37"/>
    </row>
    <row r="63" spans="1:13" s="4" customFormat="1" ht="12.5" x14ac:dyDescent="0.25">
      <c r="A63" s="4" t="s">
        <v>6</v>
      </c>
      <c r="C63" s="30">
        <v>26.6</v>
      </c>
      <c r="D63" s="31"/>
      <c r="E63" s="30">
        <v>30.9</v>
      </c>
      <c r="F63" s="31"/>
      <c r="G63" s="30">
        <v>29.5</v>
      </c>
      <c r="H63" s="31"/>
      <c r="I63" s="30">
        <v>23.5</v>
      </c>
      <c r="J63" s="24"/>
      <c r="K63" s="19">
        <f t="shared" si="2"/>
        <v>110.5</v>
      </c>
      <c r="L63" s="37"/>
      <c r="M63" s="37"/>
    </row>
    <row r="64" spans="1:13" s="4" customFormat="1" ht="12.5" x14ac:dyDescent="0.25">
      <c r="A64" s="4" t="s">
        <v>8</v>
      </c>
      <c r="C64" s="32">
        <v>97.8</v>
      </c>
      <c r="D64" s="31"/>
      <c r="E64" s="32">
        <v>100.1</v>
      </c>
      <c r="F64" s="31"/>
      <c r="G64" s="32">
        <v>94.3</v>
      </c>
      <c r="H64" s="31"/>
      <c r="I64" s="32">
        <v>78.8</v>
      </c>
      <c r="J64" s="24"/>
      <c r="K64" s="20">
        <f t="shared" si="2"/>
        <v>371</v>
      </c>
      <c r="L64" s="37"/>
      <c r="M64" s="37"/>
    </row>
    <row r="65" spans="1:14" s="4" customFormat="1" ht="12.5" x14ac:dyDescent="0.25">
      <c r="D65" s="25"/>
      <c r="F65" s="25"/>
      <c r="H65" s="25"/>
      <c r="J65" s="25"/>
    </row>
    <row r="66" spans="1:14" s="4" customFormat="1" ht="13.5" thickBot="1" x14ac:dyDescent="0.35">
      <c r="A66" s="11" t="s">
        <v>16</v>
      </c>
      <c r="C66" s="8">
        <f>SUM(C58:C64)</f>
        <v>775.2</v>
      </c>
      <c r="D66" s="27"/>
      <c r="E66" s="8">
        <f>SUM(E58:E64)</f>
        <v>806.3</v>
      </c>
      <c r="F66" s="27"/>
      <c r="G66" s="8">
        <f>SUM(G58:G64)</f>
        <v>790</v>
      </c>
      <c r="H66" s="27"/>
      <c r="I66" s="8">
        <f>SUM(I58:I64)</f>
        <v>666.19999999999993</v>
      </c>
      <c r="J66" s="27"/>
      <c r="K66" s="8">
        <f>SUM(K58:K64)</f>
        <v>3037.7000000000003</v>
      </c>
      <c r="L66" s="37"/>
    </row>
    <row r="67" spans="1:14" s="4" customFormat="1" ht="13" thickTop="1" x14ac:dyDescent="0.25">
      <c r="D67" s="25"/>
      <c r="F67" s="25"/>
      <c r="H67" s="25"/>
      <c r="J67" s="25"/>
    </row>
    <row r="68" spans="1:14" s="4" customFormat="1" ht="12.5" x14ac:dyDescent="0.25">
      <c r="C68" s="6"/>
      <c r="D68" s="28"/>
      <c r="E68" s="6"/>
      <c r="F68" s="28"/>
      <c r="G68" s="6"/>
      <c r="H68" s="28"/>
      <c r="I68" s="6"/>
      <c r="J68" s="25"/>
      <c r="K68" s="36"/>
    </row>
    <row r="69" spans="1:14" s="4" customFormat="1" ht="12.5" x14ac:dyDescent="0.25">
      <c r="C69" s="6"/>
      <c r="D69" s="28"/>
      <c r="E69" s="6"/>
      <c r="F69" s="28"/>
      <c r="G69" s="6"/>
      <c r="H69" s="28"/>
      <c r="I69" s="6"/>
      <c r="J69" s="25"/>
      <c r="K69" s="36"/>
    </row>
    <row r="70" spans="1:14" s="4" customFormat="1" ht="13" x14ac:dyDescent="0.3">
      <c r="A70" s="5" t="s">
        <v>22</v>
      </c>
      <c r="D70" s="25"/>
      <c r="F70" s="25"/>
      <c r="H70" s="25"/>
      <c r="J70" s="25"/>
    </row>
    <row r="71" spans="1:14" s="4" customFormat="1" ht="13" x14ac:dyDescent="0.3">
      <c r="C71" s="45" t="s">
        <v>18</v>
      </c>
      <c r="D71" s="45"/>
      <c r="E71" s="45"/>
      <c r="F71" s="45"/>
      <c r="G71" s="45"/>
      <c r="H71" s="45"/>
      <c r="I71" s="45"/>
      <c r="J71" s="45"/>
      <c r="K71" s="45"/>
    </row>
    <row r="72" spans="1:14" s="4" customFormat="1" ht="13" x14ac:dyDescent="0.3">
      <c r="C72" s="12" t="s">
        <v>10</v>
      </c>
      <c r="D72" s="23"/>
      <c r="E72" s="12" t="s">
        <v>11</v>
      </c>
      <c r="F72" s="23"/>
      <c r="G72" s="12" t="s">
        <v>12</v>
      </c>
      <c r="H72" s="23"/>
      <c r="I72" s="12" t="s">
        <v>13</v>
      </c>
      <c r="J72" s="23"/>
      <c r="K72" s="12" t="s">
        <v>14</v>
      </c>
    </row>
    <row r="73" spans="1:14" s="4" customFormat="1" ht="13" x14ac:dyDescent="0.3">
      <c r="A73" s="14" t="s">
        <v>2</v>
      </c>
      <c r="C73" s="9">
        <v>9</v>
      </c>
      <c r="D73" s="21"/>
      <c r="E73" s="9">
        <v>13.5</v>
      </c>
      <c r="F73" s="21"/>
      <c r="G73" s="18">
        <v>14</v>
      </c>
      <c r="H73" s="26"/>
      <c r="I73" s="10"/>
      <c r="J73" s="21"/>
      <c r="K73" s="29">
        <f>SUM(C73:I73)</f>
        <v>36.5</v>
      </c>
      <c r="L73" s="36"/>
      <c r="M73" s="15"/>
      <c r="N73" s="34"/>
    </row>
    <row r="74" spans="1:14" s="4" customFormat="1" ht="13" x14ac:dyDescent="0.3">
      <c r="A74" s="14" t="s">
        <v>3</v>
      </c>
      <c r="C74" s="30">
        <v>0.8</v>
      </c>
      <c r="D74" s="31"/>
      <c r="E74" s="30">
        <v>6.1</v>
      </c>
      <c r="F74" s="31"/>
      <c r="G74" s="6">
        <v>4.0999999999999996</v>
      </c>
      <c r="H74" s="28"/>
      <c r="I74" s="30"/>
      <c r="J74" s="24"/>
      <c r="K74" s="19">
        <f t="shared" ref="K74:K79" si="3">SUM(C74:I74)</f>
        <v>11</v>
      </c>
      <c r="L74" s="36"/>
      <c r="M74" s="16"/>
      <c r="N74" s="34"/>
    </row>
    <row r="75" spans="1:14" s="4" customFormat="1" ht="13" x14ac:dyDescent="0.3">
      <c r="A75" s="14" t="s">
        <v>4</v>
      </c>
      <c r="C75" s="30">
        <v>3.4</v>
      </c>
      <c r="D75" s="31"/>
      <c r="E75" s="30">
        <v>4.0999999999999996</v>
      </c>
      <c r="F75" s="31"/>
      <c r="G75" s="6">
        <v>3.3</v>
      </c>
      <c r="H75" s="28"/>
      <c r="I75" s="30"/>
      <c r="J75" s="24"/>
      <c r="K75" s="19">
        <f t="shared" si="3"/>
        <v>10.8</v>
      </c>
      <c r="L75" s="36"/>
      <c r="M75" s="16"/>
      <c r="N75" s="34"/>
    </row>
    <row r="76" spans="1:14" s="4" customFormat="1" ht="13" x14ac:dyDescent="0.3">
      <c r="A76" s="14" t="s">
        <v>5</v>
      </c>
      <c r="C76" s="30">
        <v>1.8</v>
      </c>
      <c r="D76" s="31"/>
      <c r="E76" s="30">
        <v>1.6</v>
      </c>
      <c r="F76" s="31"/>
      <c r="G76" s="6">
        <v>1.4</v>
      </c>
      <c r="H76" s="28"/>
      <c r="I76" s="30"/>
      <c r="J76" s="24"/>
      <c r="K76" s="19">
        <f t="shared" si="3"/>
        <v>4.8000000000000007</v>
      </c>
      <c r="L76" s="36"/>
      <c r="M76" s="16"/>
      <c r="N76" s="34"/>
    </row>
    <row r="77" spans="1:14" s="4" customFormat="1" ht="13" x14ac:dyDescent="0.3">
      <c r="A77" s="14" t="s">
        <v>7</v>
      </c>
      <c r="C77" s="30">
        <v>6.6</v>
      </c>
      <c r="D77" s="31"/>
      <c r="E77" s="30">
        <v>5.3</v>
      </c>
      <c r="F77" s="31"/>
      <c r="G77" s="6">
        <v>5.3</v>
      </c>
      <c r="H77" s="28"/>
      <c r="I77" s="30"/>
      <c r="J77" s="24"/>
      <c r="K77" s="19">
        <f t="shared" si="3"/>
        <v>17.2</v>
      </c>
      <c r="L77" s="36"/>
      <c r="M77" s="16"/>
      <c r="N77" s="34"/>
    </row>
    <row r="78" spans="1:14" s="4" customFormat="1" ht="13" x14ac:dyDescent="0.3">
      <c r="A78" s="14" t="s">
        <v>6</v>
      </c>
      <c r="C78" s="30">
        <v>1.3</v>
      </c>
      <c r="D78" s="31"/>
      <c r="E78" s="30">
        <v>3.1</v>
      </c>
      <c r="F78" s="31"/>
      <c r="G78" s="6">
        <v>2.4</v>
      </c>
      <c r="H78" s="28"/>
      <c r="I78" s="30"/>
      <c r="J78" s="24"/>
      <c r="K78" s="19">
        <f t="shared" si="3"/>
        <v>6.8000000000000007</v>
      </c>
      <c r="L78" s="36"/>
      <c r="M78" s="16"/>
      <c r="N78" s="34"/>
    </row>
    <row r="79" spans="1:14" s="4" customFormat="1" ht="13" x14ac:dyDescent="0.3">
      <c r="A79" s="14" t="s">
        <v>8</v>
      </c>
      <c r="C79" s="32">
        <v>3</v>
      </c>
      <c r="D79" s="31"/>
      <c r="E79" s="32">
        <v>2.9</v>
      </c>
      <c r="F79" s="31"/>
      <c r="G79" s="7">
        <v>3.5</v>
      </c>
      <c r="H79" s="28"/>
      <c r="I79" s="32"/>
      <c r="J79" s="24"/>
      <c r="K79" s="20">
        <f t="shared" si="3"/>
        <v>9.4</v>
      </c>
      <c r="L79" s="36"/>
      <c r="M79" s="16"/>
      <c r="N79" s="34"/>
    </row>
    <row r="80" spans="1:14" s="4" customFormat="1" ht="13" x14ac:dyDescent="0.3">
      <c r="A80" s="13"/>
      <c r="D80" s="25"/>
      <c r="F80" s="25"/>
      <c r="G80" s="17"/>
      <c r="H80" s="17"/>
      <c r="J80" s="25"/>
      <c r="M80" s="40"/>
    </row>
    <row r="81" spans="1:14" s="4" customFormat="1" ht="13.5" thickBot="1" x14ac:dyDescent="0.35">
      <c r="A81" s="11" t="s">
        <v>16</v>
      </c>
      <c r="C81" s="8">
        <f>SUM(C73:C79)</f>
        <v>25.900000000000002</v>
      </c>
      <c r="D81" s="26"/>
      <c r="E81" s="8">
        <f>SUM(E73:E79)</f>
        <v>36.6</v>
      </c>
      <c r="F81" s="26"/>
      <c r="G81" s="8">
        <f>SUM(G73:G79)</f>
        <v>34</v>
      </c>
      <c r="H81" s="26"/>
      <c r="I81" s="8">
        <f>SUM(I73:I79)</f>
        <v>0</v>
      </c>
      <c r="J81" s="26"/>
      <c r="K81" s="8">
        <f>SUM(K73:K79)</f>
        <v>96.5</v>
      </c>
      <c r="M81" s="41"/>
    </row>
    <row r="82" spans="1:14" s="4" customFormat="1" ht="13" thickTop="1" x14ac:dyDescent="0.25">
      <c r="D82" s="25"/>
      <c r="F82" s="25"/>
      <c r="H82" s="25"/>
      <c r="J82" s="25"/>
    </row>
    <row r="83" spans="1:14" s="4" customFormat="1" ht="12.5" x14ac:dyDescent="0.25">
      <c r="D83" s="25"/>
      <c r="F83" s="25"/>
      <c r="H83" s="25"/>
      <c r="J83" s="25"/>
    </row>
    <row r="84" spans="1:14" s="4" customFormat="1" ht="12.5" x14ac:dyDescent="0.25">
      <c r="D84" s="25"/>
      <c r="F84" s="25"/>
      <c r="G84" s="37"/>
      <c r="H84" s="25"/>
      <c r="I84" s="43"/>
      <c r="J84" s="25"/>
    </row>
    <row r="85" spans="1:14" s="4" customFormat="1" ht="13" x14ac:dyDescent="0.3">
      <c r="A85" s="5" t="s">
        <v>22</v>
      </c>
      <c r="D85" s="25"/>
      <c r="F85" s="25"/>
      <c r="H85" s="25"/>
      <c r="J85" s="25"/>
    </row>
    <row r="86" spans="1:14" s="4" customFormat="1" ht="13" x14ac:dyDescent="0.3">
      <c r="C86" s="45" t="s">
        <v>15</v>
      </c>
      <c r="D86" s="45"/>
      <c r="E86" s="45"/>
      <c r="F86" s="45"/>
      <c r="G86" s="45"/>
      <c r="H86" s="45"/>
      <c r="I86" s="45"/>
      <c r="J86" s="45"/>
      <c r="K86" s="45"/>
    </row>
    <row r="87" spans="1:14" s="4" customFormat="1" ht="13" x14ac:dyDescent="0.3">
      <c r="C87" s="12" t="s">
        <v>10</v>
      </c>
      <c r="D87" s="23"/>
      <c r="E87" s="12" t="s">
        <v>11</v>
      </c>
      <c r="F87" s="23"/>
      <c r="G87" s="12" t="s">
        <v>12</v>
      </c>
      <c r="H87" s="23"/>
      <c r="I87" s="12" t="s">
        <v>13</v>
      </c>
      <c r="J87" s="23"/>
      <c r="K87" s="12" t="s">
        <v>14</v>
      </c>
      <c r="L87" s="25"/>
    </row>
    <row r="88" spans="1:14" s="4" customFormat="1" ht="13" x14ac:dyDescent="0.3">
      <c r="A88" s="4" t="s">
        <v>2</v>
      </c>
      <c r="C88" s="29">
        <v>8.1</v>
      </c>
      <c r="D88" s="21"/>
      <c r="E88" s="29">
        <v>14.8</v>
      </c>
      <c r="F88" s="21"/>
      <c r="G88" s="18">
        <v>14.2</v>
      </c>
      <c r="H88" s="26"/>
      <c r="I88" s="29">
        <v>3.3</v>
      </c>
      <c r="J88" s="21"/>
      <c r="K88" s="29">
        <f>SUM(C88:I88)</f>
        <v>40.399999999999991</v>
      </c>
      <c r="L88" s="42"/>
      <c r="M88" s="15"/>
      <c r="N88" s="33"/>
    </row>
    <row r="89" spans="1:14" s="4" customFormat="1" ht="13" x14ac:dyDescent="0.3">
      <c r="A89" s="4" t="s">
        <v>3</v>
      </c>
      <c r="C89" s="30">
        <v>1.7</v>
      </c>
      <c r="D89" s="31"/>
      <c r="E89" s="30">
        <v>5.6</v>
      </c>
      <c r="F89" s="31"/>
      <c r="G89" s="6">
        <v>4.2</v>
      </c>
      <c r="H89" s="28"/>
      <c r="I89" s="30">
        <v>2.4</v>
      </c>
      <c r="J89" s="24"/>
      <c r="K89" s="19">
        <f t="shared" ref="K89:K94" si="4">SUM(C89:I89)</f>
        <v>13.9</v>
      </c>
      <c r="L89" s="42"/>
      <c r="M89" s="16"/>
      <c r="N89" s="33"/>
    </row>
    <row r="90" spans="1:14" s="4" customFormat="1" ht="13" x14ac:dyDescent="0.3">
      <c r="A90" s="4" t="s">
        <v>4</v>
      </c>
      <c r="C90" s="30">
        <v>1.6</v>
      </c>
      <c r="D90" s="31"/>
      <c r="E90" s="30">
        <v>2</v>
      </c>
      <c r="F90" s="31"/>
      <c r="G90" s="6">
        <v>3.3</v>
      </c>
      <c r="H90" s="28"/>
      <c r="I90" s="30">
        <v>3.3</v>
      </c>
      <c r="J90" s="24"/>
      <c r="K90" s="19">
        <f t="shared" si="4"/>
        <v>10.199999999999999</v>
      </c>
      <c r="L90" s="42"/>
      <c r="M90" s="16"/>
      <c r="N90" s="33"/>
    </row>
    <row r="91" spans="1:14" s="4" customFormat="1" ht="13" x14ac:dyDescent="0.3">
      <c r="A91" s="4" t="s">
        <v>5</v>
      </c>
      <c r="C91" s="30">
        <v>1.8</v>
      </c>
      <c r="D91" s="31"/>
      <c r="E91" s="30">
        <v>1.8</v>
      </c>
      <c r="F91" s="31"/>
      <c r="G91" s="6">
        <v>2.9</v>
      </c>
      <c r="H91" s="28"/>
      <c r="I91" s="30">
        <v>1.6</v>
      </c>
      <c r="J91" s="24"/>
      <c r="K91" s="19">
        <f t="shared" si="4"/>
        <v>8.1</v>
      </c>
      <c r="L91" s="42"/>
      <c r="M91" s="16"/>
      <c r="N91" s="33"/>
    </row>
    <row r="92" spans="1:14" s="4" customFormat="1" ht="13" x14ac:dyDescent="0.3">
      <c r="A92" s="4" t="s">
        <v>7</v>
      </c>
      <c r="C92" s="30">
        <v>8.6999999999999993</v>
      </c>
      <c r="D92" s="31"/>
      <c r="E92" s="30">
        <v>7.3</v>
      </c>
      <c r="F92" s="31"/>
      <c r="G92" s="6">
        <v>9.5</v>
      </c>
      <c r="H92" s="28"/>
      <c r="I92" s="30">
        <v>6.2</v>
      </c>
      <c r="J92" s="24"/>
      <c r="K92" s="19">
        <f t="shared" si="4"/>
        <v>31.7</v>
      </c>
      <c r="L92" s="42"/>
      <c r="M92" s="16"/>
      <c r="N92" s="33"/>
    </row>
    <row r="93" spans="1:14" s="4" customFormat="1" ht="13" x14ac:dyDescent="0.3">
      <c r="A93" s="4" t="s">
        <v>6</v>
      </c>
      <c r="C93" s="30">
        <v>2.2999999999999998</v>
      </c>
      <c r="D93" s="31"/>
      <c r="E93" s="30">
        <v>3</v>
      </c>
      <c r="F93" s="31"/>
      <c r="G93" s="6">
        <v>2.4</v>
      </c>
      <c r="H93" s="28"/>
      <c r="I93" s="30">
        <v>1</v>
      </c>
      <c r="J93" s="24"/>
      <c r="K93" s="19">
        <f t="shared" si="4"/>
        <v>8.6999999999999993</v>
      </c>
      <c r="L93" s="42"/>
      <c r="M93" s="16"/>
      <c r="N93" s="33"/>
    </row>
    <row r="94" spans="1:14" s="4" customFormat="1" ht="13" x14ac:dyDescent="0.3">
      <c r="A94" s="4" t="s">
        <v>8</v>
      </c>
      <c r="C94" s="32">
        <v>3.1</v>
      </c>
      <c r="D94" s="31"/>
      <c r="E94" s="32">
        <v>2.2999999999999998</v>
      </c>
      <c r="F94" s="31"/>
      <c r="G94" s="7">
        <v>2.4</v>
      </c>
      <c r="H94" s="28"/>
      <c r="I94" s="32">
        <v>0.4</v>
      </c>
      <c r="J94" s="24"/>
      <c r="K94" s="20">
        <f t="shared" si="4"/>
        <v>8.2000000000000011</v>
      </c>
      <c r="L94" s="42"/>
      <c r="M94" s="16"/>
      <c r="N94" s="33"/>
    </row>
    <row r="95" spans="1:14" s="4" customFormat="1" ht="13" x14ac:dyDescent="0.25">
      <c r="D95" s="25"/>
      <c r="F95" s="25"/>
      <c r="H95" s="25"/>
      <c r="J95" s="25"/>
      <c r="L95" s="17"/>
    </row>
    <row r="96" spans="1:14" s="4" customFormat="1" ht="13.5" thickBot="1" x14ac:dyDescent="0.35">
      <c r="A96" s="11" t="s">
        <v>16</v>
      </c>
      <c r="C96" s="8">
        <f>SUM(C88:C94)</f>
        <v>27.3</v>
      </c>
      <c r="D96" s="27"/>
      <c r="E96" s="8">
        <f>SUM(E88:E94)</f>
        <v>36.799999999999997</v>
      </c>
      <c r="F96" s="27"/>
      <c r="G96" s="8">
        <f>SUM(G88:G94)</f>
        <v>38.899999999999991</v>
      </c>
      <c r="H96" s="27"/>
      <c r="I96" s="8">
        <f>SUM(I88:I94)</f>
        <v>18.2</v>
      </c>
      <c r="J96" s="27"/>
      <c r="K96" s="8">
        <f>SUM(K88:K94)</f>
        <v>121.19999999999999</v>
      </c>
      <c r="L96" s="26"/>
    </row>
    <row r="97" spans="1:13" s="4" customFormat="1" ht="13" thickTop="1" x14ac:dyDescent="0.25">
      <c r="D97" s="25"/>
      <c r="F97" s="25"/>
      <c r="H97" s="25"/>
      <c r="J97" s="25"/>
      <c r="L97" s="25"/>
    </row>
    <row r="98" spans="1:13" s="4" customFormat="1" ht="12.5" x14ac:dyDescent="0.25">
      <c r="D98" s="25"/>
      <c r="F98" s="25"/>
      <c r="H98" s="25"/>
      <c r="J98" s="25"/>
      <c r="L98" s="25"/>
    </row>
    <row r="99" spans="1:13" s="4" customFormat="1" ht="12.5" x14ac:dyDescent="0.25">
      <c r="D99" s="25"/>
      <c r="F99" s="25"/>
      <c r="H99" s="25"/>
      <c r="I99" s="43"/>
      <c r="J99" s="25"/>
      <c r="K99" s="37"/>
    </row>
    <row r="100" spans="1:13" s="4" customFormat="1" ht="13" x14ac:dyDescent="0.3">
      <c r="A100" s="5" t="s">
        <v>37</v>
      </c>
      <c r="D100" s="25"/>
      <c r="F100" s="25"/>
      <c r="H100" s="25"/>
      <c r="J100" s="25"/>
    </row>
    <row r="101" spans="1:13" s="4" customFormat="1" ht="13" x14ac:dyDescent="0.3">
      <c r="C101" s="45" t="s">
        <v>17</v>
      </c>
      <c r="D101" s="45"/>
      <c r="E101" s="45"/>
      <c r="F101" s="45"/>
      <c r="G101" s="45"/>
      <c r="H101" s="45"/>
      <c r="I101" s="45"/>
      <c r="J101" s="45"/>
      <c r="K101" s="45"/>
    </row>
    <row r="102" spans="1:13" s="4" customFormat="1" ht="13" x14ac:dyDescent="0.3">
      <c r="C102" s="12" t="s">
        <v>10</v>
      </c>
      <c r="D102" s="23"/>
      <c r="E102" s="12" t="s">
        <v>11</v>
      </c>
      <c r="F102" s="23"/>
      <c r="G102" s="12" t="s">
        <v>12</v>
      </c>
      <c r="H102" s="23"/>
      <c r="I102" s="12" t="s">
        <v>13</v>
      </c>
      <c r="J102" s="23"/>
      <c r="K102" s="12" t="s">
        <v>14</v>
      </c>
    </row>
    <row r="103" spans="1:13" s="4" customFormat="1" ht="13" x14ac:dyDescent="0.3">
      <c r="A103" s="4" t="s">
        <v>2</v>
      </c>
      <c r="C103" s="29">
        <v>7.4</v>
      </c>
      <c r="D103" s="38"/>
      <c r="E103" s="9">
        <v>10.9</v>
      </c>
      <c r="F103" s="38"/>
      <c r="G103" s="9">
        <v>14.7</v>
      </c>
      <c r="H103" s="38"/>
      <c r="I103" s="9">
        <v>5.9</v>
      </c>
      <c r="J103" s="38"/>
      <c r="K103" s="29">
        <f>SUM(C103:I103)</f>
        <v>38.9</v>
      </c>
      <c r="L103" s="42"/>
      <c r="M103" s="37"/>
    </row>
    <row r="104" spans="1:13" s="4" customFormat="1" ht="13" x14ac:dyDescent="0.3">
      <c r="A104" s="4" t="s">
        <v>3</v>
      </c>
      <c r="C104" s="30">
        <v>-1.6</v>
      </c>
      <c r="D104" s="31"/>
      <c r="E104" s="30">
        <v>3.1</v>
      </c>
      <c r="F104" s="31"/>
      <c r="G104" s="30">
        <v>1.1000000000000001</v>
      </c>
      <c r="H104" s="31"/>
      <c r="I104" s="30">
        <v>-5.4</v>
      </c>
      <c r="J104" s="24"/>
      <c r="K104" s="19">
        <f t="shared" ref="K104:K109" si="5">SUM(C104:I104)</f>
        <v>-2.8000000000000003</v>
      </c>
      <c r="L104" s="39"/>
      <c r="M104" s="37"/>
    </row>
    <row r="105" spans="1:13" s="4" customFormat="1" ht="13" x14ac:dyDescent="0.3">
      <c r="A105" s="4" t="s">
        <v>4</v>
      </c>
      <c r="C105" s="30">
        <v>1.2</v>
      </c>
      <c r="D105" s="31"/>
      <c r="E105" s="30">
        <v>2.2000000000000002</v>
      </c>
      <c r="F105" s="31"/>
      <c r="G105" s="30">
        <v>2.2999999999999998</v>
      </c>
      <c r="H105" s="31"/>
      <c r="I105" s="30">
        <v>1.5</v>
      </c>
      <c r="J105" s="24"/>
      <c r="K105" s="19">
        <f t="shared" si="5"/>
        <v>7.2</v>
      </c>
      <c r="L105" s="39"/>
      <c r="M105" s="37"/>
    </row>
    <row r="106" spans="1:13" s="4" customFormat="1" ht="13" x14ac:dyDescent="0.3">
      <c r="A106" s="4" t="s">
        <v>5</v>
      </c>
      <c r="C106" s="30">
        <v>2.1</v>
      </c>
      <c r="D106" s="31"/>
      <c r="E106" s="30">
        <v>4</v>
      </c>
      <c r="F106" s="31"/>
      <c r="G106" s="30">
        <v>3.3</v>
      </c>
      <c r="H106" s="31"/>
      <c r="I106" s="30">
        <v>3.3</v>
      </c>
      <c r="J106" s="24"/>
      <c r="K106" s="19">
        <f t="shared" si="5"/>
        <v>12.7</v>
      </c>
      <c r="L106" s="39"/>
      <c r="M106" s="37"/>
    </row>
    <row r="107" spans="1:13" s="4" customFormat="1" ht="13" x14ac:dyDescent="0.3">
      <c r="A107" s="4" t="s">
        <v>7</v>
      </c>
      <c r="C107" s="30">
        <v>8.5</v>
      </c>
      <c r="D107" s="31"/>
      <c r="E107" s="30">
        <v>6.6</v>
      </c>
      <c r="F107" s="31"/>
      <c r="G107" s="30">
        <v>7.7</v>
      </c>
      <c r="H107" s="31"/>
      <c r="I107" s="30">
        <v>6.3</v>
      </c>
      <c r="J107" s="24"/>
      <c r="K107" s="19">
        <f t="shared" si="5"/>
        <v>29.1</v>
      </c>
      <c r="L107" s="39"/>
      <c r="M107" s="37"/>
    </row>
    <row r="108" spans="1:13" s="4" customFormat="1" ht="13" x14ac:dyDescent="0.3">
      <c r="A108" s="4" t="s">
        <v>6</v>
      </c>
      <c r="C108" s="30">
        <v>0.7</v>
      </c>
      <c r="D108" s="31"/>
      <c r="E108" s="30">
        <v>0.9</v>
      </c>
      <c r="F108" s="31"/>
      <c r="G108" s="30">
        <v>3.6</v>
      </c>
      <c r="H108" s="31"/>
      <c r="I108" s="30">
        <v>0.6</v>
      </c>
      <c r="J108" s="24"/>
      <c r="K108" s="19">
        <f t="shared" si="5"/>
        <v>5.8</v>
      </c>
      <c r="L108" s="39"/>
      <c r="M108" s="37"/>
    </row>
    <row r="109" spans="1:13" s="4" customFormat="1" ht="13" x14ac:dyDescent="0.3">
      <c r="A109" s="4" t="s">
        <v>8</v>
      </c>
      <c r="C109" s="32">
        <v>-0.6</v>
      </c>
      <c r="D109" s="31"/>
      <c r="E109" s="32">
        <v>4.0999999999999996</v>
      </c>
      <c r="F109" s="31"/>
      <c r="G109" s="32">
        <v>3.9</v>
      </c>
      <c r="H109" s="31"/>
      <c r="I109" s="32">
        <v>3</v>
      </c>
      <c r="J109" s="24"/>
      <c r="K109" s="20">
        <f t="shared" si="5"/>
        <v>10.399999999999999</v>
      </c>
      <c r="L109" s="39"/>
      <c r="M109" s="37"/>
    </row>
    <row r="110" spans="1:13" s="4" customFormat="1" ht="13" x14ac:dyDescent="0.25">
      <c r="D110" s="25"/>
      <c r="F110" s="25"/>
      <c r="H110" s="25"/>
      <c r="J110" s="25"/>
      <c r="L110" s="17"/>
    </row>
    <row r="111" spans="1:13" s="4" customFormat="1" ht="13.5" thickBot="1" x14ac:dyDescent="0.35">
      <c r="A111" s="11" t="s">
        <v>16</v>
      </c>
      <c r="C111" s="8">
        <f>SUM(C103:C109)</f>
        <v>17.7</v>
      </c>
      <c r="D111" s="27"/>
      <c r="E111" s="8">
        <f>SUM(E103:E109)</f>
        <v>31.799999999999997</v>
      </c>
      <c r="F111" s="27"/>
      <c r="G111" s="8">
        <f>SUM(G103:G109)</f>
        <v>36.599999999999994</v>
      </c>
      <c r="H111" s="27"/>
      <c r="I111" s="8">
        <f>SUM(I103:I109)</f>
        <v>15.2</v>
      </c>
      <c r="J111" s="27"/>
      <c r="K111" s="8">
        <f>SUM(K103:K109)</f>
        <v>101.29999999999998</v>
      </c>
      <c r="L111" s="26"/>
    </row>
    <row r="112" spans="1:13" s="4" customFormat="1" ht="13" thickTop="1" x14ac:dyDescent="0.25">
      <c r="D112" s="25"/>
      <c r="F112" s="25"/>
      <c r="H112" s="25"/>
      <c r="J112" s="25"/>
      <c r="L112" s="25"/>
    </row>
    <row r="113" spans="1:14" s="4" customFormat="1" ht="12.5" x14ac:dyDescent="0.25">
      <c r="D113" s="25"/>
      <c r="F113" s="25"/>
      <c r="H113" s="25"/>
      <c r="J113" s="25"/>
      <c r="L113" s="25"/>
    </row>
    <row r="114" spans="1:14" s="4" customFormat="1" ht="12.5" x14ac:dyDescent="0.25">
      <c r="D114" s="25"/>
      <c r="F114" s="25"/>
      <c r="H114" s="25"/>
      <c r="J114" s="25"/>
    </row>
    <row r="115" spans="1:14" s="4" customFormat="1" ht="13" x14ac:dyDescent="0.3">
      <c r="A115" s="5" t="s">
        <v>23</v>
      </c>
      <c r="D115" s="25"/>
      <c r="F115" s="25"/>
      <c r="H115" s="25"/>
      <c r="J115" s="25"/>
    </row>
    <row r="116" spans="1:14" s="4" customFormat="1" ht="13" x14ac:dyDescent="0.3">
      <c r="C116" s="45" t="s">
        <v>18</v>
      </c>
      <c r="D116" s="45"/>
      <c r="E116" s="45"/>
      <c r="F116" s="45"/>
      <c r="G116" s="45"/>
      <c r="H116" s="45"/>
      <c r="I116" s="45"/>
      <c r="J116" s="45"/>
      <c r="K116" s="45"/>
    </row>
    <row r="117" spans="1:14" s="4" customFormat="1" ht="13" x14ac:dyDescent="0.3">
      <c r="C117" s="12" t="s">
        <v>10</v>
      </c>
      <c r="D117" s="23"/>
      <c r="E117" s="12" t="s">
        <v>11</v>
      </c>
      <c r="F117" s="23"/>
      <c r="G117" s="12" t="s">
        <v>12</v>
      </c>
      <c r="H117" s="23"/>
      <c r="I117" s="12" t="s">
        <v>13</v>
      </c>
      <c r="J117" s="23"/>
      <c r="K117" s="12" t="s">
        <v>14</v>
      </c>
    </row>
    <row r="118" spans="1:14" s="4" customFormat="1" ht="13" x14ac:dyDescent="0.3">
      <c r="A118" s="14" t="s">
        <v>2</v>
      </c>
      <c r="C118" s="9">
        <v>0.7</v>
      </c>
      <c r="D118" s="21"/>
      <c r="E118" s="9">
        <v>0.7</v>
      </c>
      <c r="F118" s="21"/>
      <c r="G118" s="18">
        <v>1</v>
      </c>
      <c r="H118" s="26"/>
      <c r="I118" s="10"/>
      <c r="J118" s="21"/>
      <c r="K118" s="29">
        <f>SUM(C118:I118)</f>
        <v>2.4</v>
      </c>
      <c r="L118" s="15"/>
      <c r="M118" s="15"/>
      <c r="N118" s="36"/>
    </row>
    <row r="119" spans="1:14" s="4" customFormat="1" ht="13" x14ac:dyDescent="0.3">
      <c r="A119" s="14" t="s">
        <v>3</v>
      </c>
      <c r="C119" s="30">
        <v>0.8</v>
      </c>
      <c r="D119" s="31"/>
      <c r="E119" s="30">
        <v>0.8</v>
      </c>
      <c r="F119" s="31"/>
      <c r="G119" s="6">
        <v>0.8</v>
      </c>
      <c r="H119" s="28"/>
      <c r="I119" s="30"/>
      <c r="J119" s="24"/>
      <c r="K119" s="19">
        <f t="shared" ref="K119:K125" si="6">SUM(C119:I119)</f>
        <v>2.4000000000000004</v>
      </c>
      <c r="L119" s="16"/>
      <c r="M119" s="16"/>
      <c r="N119" s="36"/>
    </row>
    <row r="120" spans="1:14" s="4" customFormat="1" ht="13" x14ac:dyDescent="0.3">
      <c r="A120" s="14" t="s">
        <v>4</v>
      </c>
      <c r="C120" s="30">
        <v>0.4</v>
      </c>
      <c r="D120" s="31"/>
      <c r="E120" s="30">
        <v>0.4</v>
      </c>
      <c r="F120" s="31"/>
      <c r="G120" s="6">
        <v>0.3</v>
      </c>
      <c r="H120" s="28"/>
      <c r="I120" s="30"/>
      <c r="J120" s="24"/>
      <c r="K120" s="19">
        <f t="shared" si="6"/>
        <v>1.1000000000000001</v>
      </c>
      <c r="L120" s="16"/>
      <c r="M120" s="16"/>
      <c r="N120" s="36"/>
    </row>
    <row r="121" spans="1:14" s="4" customFormat="1" ht="13" x14ac:dyDescent="0.3">
      <c r="A121" s="14" t="s">
        <v>5</v>
      </c>
      <c r="C121" s="30">
        <v>0.3</v>
      </c>
      <c r="D121" s="31"/>
      <c r="E121" s="30">
        <v>0.2</v>
      </c>
      <c r="F121" s="31"/>
      <c r="G121" s="6">
        <v>0.2</v>
      </c>
      <c r="H121" s="28"/>
      <c r="I121" s="30"/>
      <c r="J121" s="24"/>
      <c r="K121" s="19">
        <f t="shared" si="6"/>
        <v>0.7</v>
      </c>
      <c r="L121" s="16"/>
      <c r="M121" s="16"/>
      <c r="N121" s="36"/>
    </row>
    <row r="122" spans="1:14" s="4" customFormat="1" ht="13" x14ac:dyDescent="0.3">
      <c r="A122" s="14" t="s">
        <v>7</v>
      </c>
      <c r="C122" s="30">
        <v>0.2</v>
      </c>
      <c r="D122" s="31"/>
      <c r="E122" s="30">
        <v>0.2</v>
      </c>
      <c r="F122" s="31"/>
      <c r="G122" s="6">
        <v>0.1</v>
      </c>
      <c r="H122" s="28"/>
      <c r="I122" s="30"/>
      <c r="J122" s="24"/>
      <c r="K122" s="19">
        <f t="shared" si="6"/>
        <v>0.5</v>
      </c>
      <c r="L122" s="16"/>
      <c r="M122" s="16"/>
      <c r="N122" s="36"/>
    </row>
    <row r="123" spans="1:14" s="4" customFormat="1" ht="13" x14ac:dyDescent="0.3">
      <c r="A123" s="14" t="s">
        <v>6</v>
      </c>
      <c r="C123" s="30">
        <v>0.1</v>
      </c>
      <c r="D123" s="31"/>
      <c r="E123" s="30">
        <v>0.1</v>
      </c>
      <c r="F123" s="31"/>
      <c r="G123" s="6">
        <v>0.1</v>
      </c>
      <c r="H123" s="28"/>
      <c r="I123" s="30"/>
      <c r="J123" s="24"/>
      <c r="K123" s="19">
        <f t="shared" si="6"/>
        <v>0.30000000000000004</v>
      </c>
      <c r="L123" s="16"/>
      <c r="M123" s="16"/>
      <c r="N123" s="36"/>
    </row>
    <row r="124" spans="1:14" s="4" customFormat="1" ht="13" x14ac:dyDescent="0.3">
      <c r="A124" s="14" t="s">
        <v>8</v>
      </c>
      <c r="C124" s="31">
        <v>0.5</v>
      </c>
      <c r="D124" s="31"/>
      <c r="E124" s="31">
        <v>0.5</v>
      </c>
      <c r="F124" s="31"/>
      <c r="G124" s="28">
        <v>0.7</v>
      </c>
      <c r="H124" s="28"/>
      <c r="I124" s="31"/>
      <c r="J124" s="24"/>
      <c r="K124" s="19">
        <f t="shared" si="6"/>
        <v>1.7</v>
      </c>
      <c r="L124" s="16"/>
      <c r="M124" s="16"/>
      <c r="N124" s="36"/>
    </row>
    <row r="125" spans="1:14" s="4" customFormat="1" ht="13" x14ac:dyDescent="0.3">
      <c r="A125" s="14" t="s">
        <v>19</v>
      </c>
      <c r="C125" s="32">
        <v>2.1</v>
      </c>
      <c r="D125" s="31"/>
      <c r="E125" s="32">
        <v>2.1</v>
      </c>
      <c r="F125" s="31"/>
      <c r="G125" s="7">
        <v>2.2999999999999998</v>
      </c>
      <c r="H125" s="28"/>
      <c r="I125" s="32"/>
      <c r="J125" s="24"/>
      <c r="K125" s="20">
        <f t="shared" si="6"/>
        <v>6.5</v>
      </c>
      <c r="L125" s="16"/>
      <c r="M125" s="16"/>
      <c r="N125" s="36"/>
    </row>
    <row r="126" spans="1:14" s="4" customFormat="1" ht="13" x14ac:dyDescent="0.3">
      <c r="A126" s="13"/>
      <c r="D126" s="25"/>
      <c r="F126" s="25"/>
      <c r="H126" s="17"/>
      <c r="J126" s="25"/>
      <c r="L126" s="17"/>
    </row>
    <row r="127" spans="1:14" s="4" customFormat="1" ht="13.5" thickBot="1" x14ac:dyDescent="0.35">
      <c r="A127" s="11" t="s">
        <v>16</v>
      </c>
      <c r="C127" s="8">
        <f>SUM(C118:C125)</f>
        <v>5.0999999999999996</v>
      </c>
      <c r="D127" s="26"/>
      <c r="E127" s="8">
        <f>SUM(E118:E125)</f>
        <v>5</v>
      </c>
      <c r="F127" s="26"/>
      <c r="G127" s="8">
        <f>SUM(G118:G125)</f>
        <v>5.5</v>
      </c>
      <c r="H127" s="26"/>
      <c r="I127" s="8">
        <f>SUM(I118:I125)</f>
        <v>0</v>
      </c>
      <c r="J127" s="26"/>
      <c r="K127" s="8">
        <f>SUM(K118:K125)</f>
        <v>15.6</v>
      </c>
    </row>
    <row r="128" spans="1:14" s="4" customFormat="1" ht="13" thickTop="1" x14ac:dyDescent="0.25">
      <c r="D128" s="25"/>
      <c r="F128" s="25"/>
      <c r="H128" s="25"/>
      <c r="J128" s="25"/>
    </row>
    <row r="129" spans="1:15" s="4" customFormat="1" ht="12.5" x14ac:dyDescent="0.25">
      <c r="C129" s="18"/>
      <c r="D129" s="26"/>
      <c r="E129" s="18"/>
      <c r="F129" s="26"/>
      <c r="G129" s="18"/>
      <c r="H129" s="26"/>
      <c r="I129" s="18"/>
      <c r="J129" s="26"/>
      <c r="K129" s="18"/>
    </row>
    <row r="130" spans="1:15" s="4" customFormat="1" ht="12.5" x14ac:dyDescent="0.25">
      <c r="D130" s="25"/>
      <c r="F130" s="25"/>
      <c r="H130" s="25"/>
      <c r="J130" s="25"/>
    </row>
    <row r="131" spans="1:15" s="4" customFormat="1" ht="13" x14ac:dyDescent="0.3">
      <c r="A131" s="5" t="s">
        <v>23</v>
      </c>
      <c r="D131" s="25"/>
      <c r="F131" s="25"/>
      <c r="H131" s="25"/>
      <c r="J131" s="25"/>
    </row>
    <row r="132" spans="1:15" s="4" customFormat="1" ht="13" x14ac:dyDescent="0.3">
      <c r="A132" s="5"/>
      <c r="C132" s="45" t="s">
        <v>15</v>
      </c>
      <c r="D132" s="45"/>
      <c r="E132" s="45"/>
      <c r="F132" s="45"/>
      <c r="G132" s="45"/>
      <c r="H132" s="45"/>
      <c r="I132" s="45"/>
      <c r="J132" s="45"/>
      <c r="K132" s="45"/>
    </row>
    <row r="133" spans="1:15" s="4" customFormat="1" ht="13" x14ac:dyDescent="0.3">
      <c r="C133" s="12" t="s">
        <v>10</v>
      </c>
      <c r="D133" s="23"/>
      <c r="E133" s="12" t="s">
        <v>11</v>
      </c>
      <c r="F133" s="23"/>
      <c r="G133" s="12" t="s">
        <v>12</v>
      </c>
      <c r="H133" s="23"/>
      <c r="I133" s="12" t="s">
        <v>13</v>
      </c>
      <c r="J133" s="23"/>
      <c r="K133" s="12" t="s">
        <v>14</v>
      </c>
    </row>
    <row r="134" spans="1:15" s="4" customFormat="1" ht="13" x14ac:dyDescent="0.3">
      <c r="A134" s="4" t="s">
        <v>2</v>
      </c>
      <c r="C134" s="29">
        <v>0.9</v>
      </c>
      <c r="D134" s="21"/>
      <c r="E134" s="29">
        <v>0.8</v>
      </c>
      <c r="F134" s="21"/>
      <c r="G134" s="18">
        <v>0.7</v>
      </c>
      <c r="H134" s="26"/>
      <c r="I134" s="29">
        <v>0.7</v>
      </c>
      <c r="J134" s="21"/>
      <c r="K134" s="29">
        <f>SUM(C134:I134)</f>
        <v>3.1000000000000005</v>
      </c>
      <c r="L134" s="15"/>
      <c r="M134" s="42"/>
      <c r="N134" s="25"/>
      <c r="O134" s="34"/>
    </row>
    <row r="135" spans="1:15" s="4" customFormat="1" ht="13" x14ac:dyDescent="0.3">
      <c r="A135" s="4" t="s">
        <v>3</v>
      </c>
      <c r="C135" s="30">
        <v>1</v>
      </c>
      <c r="D135" s="31"/>
      <c r="E135" s="30">
        <v>0.9</v>
      </c>
      <c r="F135" s="31"/>
      <c r="G135" s="6">
        <v>0.8</v>
      </c>
      <c r="H135" s="28"/>
      <c r="I135" s="30">
        <v>0.9</v>
      </c>
      <c r="J135" s="24"/>
      <c r="K135" s="19">
        <f t="shared" ref="K135:K141" si="7">SUM(C135:I135)</f>
        <v>3.6</v>
      </c>
      <c r="L135" s="16"/>
      <c r="M135" s="39"/>
      <c r="N135" s="25"/>
      <c r="O135" s="34"/>
    </row>
    <row r="136" spans="1:15" s="4" customFormat="1" ht="13" x14ac:dyDescent="0.3">
      <c r="A136" s="4" t="s">
        <v>4</v>
      </c>
      <c r="C136" s="30">
        <v>0</v>
      </c>
      <c r="D136" s="31"/>
      <c r="E136" s="30">
        <v>0.1</v>
      </c>
      <c r="F136" s="31"/>
      <c r="G136" s="6">
        <v>0.5</v>
      </c>
      <c r="H136" s="28"/>
      <c r="I136" s="30">
        <v>0.3</v>
      </c>
      <c r="J136" s="24"/>
      <c r="K136" s="19">
        <f t="shared" si="7"/>
        <v>0.89999999999999991</v>
      </c>
      <c r="L136" s="16"/>
      <c r="M136" s="39"/>
      <c r="N136" s="25"/>
      <c r="O136" s="34"/>
    </row>
    <row r="137" spans="1:15" s="4" customFormat="1" ht="13" x14ac:dyDescent="0.3">
      <c r="A137" s="4" t="s">
        <v>5</v>
      </c>
      <c r="C137" s="30">
        <v>0.3</v>
      </c>
      <c r="D137" s="31"/>
      <c r="E137" s="30">
        <v>0.3</v>
      </c>
      <c r="F137" s="31"/>
      <c r="G137" s="6">
        <v>0.3</v>
      </c>
      <c r="H137" s="28"/>
      <c r="I137" s="30">
        <v>0.3</v>
      </c>
      <c r="J137" s="24"/>
      <c r="K137" s="19">
        <f t="shared" si="7"/>
        <v>1.2</v>
      </c>
      <c r="L137" s="16"/>
      <c r="M137" s="39"/>
      <c r="N137" s="25"/>
      <c r="O137" s="34"/>
    </row>
    <row r="138" spans="1:15" s="4" customFormat="1" ht="13" x14ac:dyDescent="0.3">
      <c r="A138" s="4" t="s">
        <v>7</v>
      </c>
      <c r="C138" s="30">
        <v>0.2</v>
      </c>
      <c r="D138" s="31"/>
      <c r="E138" s="30">
        <v>0.2</v>
      </c>
      <c r="F138" s="31"/>
      <c r="G138" s="6">
        <v>0.2</v>
      </c>
      <c r="H138" s="28"/>
      <c r="I138" s="30">
        <v>0.2</v>
      </c>
      <c r="J138" s="24"/>
      <c r="K138" s="19">
        <f t="shared" si="7"/>
        <v>0.8</v>
      </c>
      <c r="L138" s="16"/>
      <c r="M138" s="39"/>
      <c r="N138" s="25"/>
      <c r="O138" s="34"/>
    </row>
    <row r="139" spans="1:15" s="4" customFormat="1" ht="13" x14ac:dyDescent="0.3">
      <c r="A139" s="4" t="s">
        <v>6</v>
      </c>
      <c r="C139" s="30">
        <v>0.1</v>
      </c>
      <c r="D139" s="31"/>
      <c r="E139" s="30">
        <v>0.1</v>
      </c>
      <c r="F139" s="31"/>
      <c r="G139" s="6">
        <v>0.1</v>
      </c>
      <c r="H139" s="28"/>
      <c r="I139" s="30">
        <v>0.1</v>
      </c>
      <c r="J139" s="24"/>
      <c r="K139" s="19">
        <f t="shared" si="7"/>
        <v>0.4</v>
      </c>
      <c r="L139" s="16"/>
      <c r="M139" s="39"/>
      <c r="N139" s="25"/>
      <c r="O139" s="34"/>
    </row>
    <row r="140" spans="1:15" s="4" customFormat="1" ht="13" x14ac:dyDescent="0.3">
      <c r="A140" s="4" t="s">
        <v>8</v>
      </c>
      <c r="C140" s="31">
        <v>0.7</v>
      </c>
      <c r="D140" s="31"/>
      <c r="E140" s="31">
        <v>0.6</v>
      </c>
      <c r="F140" s="31"/>
      <c r="G140" s="6">
        <v>0.6</v>
      </c>
      <c r="H140" s="28"/>
      <c r="I140" s="31">
        <v>0.6</v>
      </c>
      <c r="J140" s="24"/>
      <c r="K140" s="19">
        <f t="shared" si="7"/>
        <v>2.5</v>
      </c>
      <c r="L140" s="16"/>
      <c r="M140" s="39"/>
      <c r="N140" s="25"/>
      <c r="O140" s="34"/>
    </row>
    <row r="141" spans="1:15" s="4" customFormat="1" ht="13" x14ac:dyDescent="0.3">
      <c r="A141" s="4" t="s">
        <v>19</v>
      </c>
      <c r="C141" s="32">
        <v>1.8</v>
      </c>
      <c r="D141" s="31"/>
      <c r="E141" s="32">
        <v>1.8</v>
      </c>
      <c r="F141" s="31"/>
      <c r="G141" s="7">
        <v>1.9</v>
      </c>
      <c r="H141" s="28"/>
      <c r="I141" s="32">
        <v>2.4</v>
      </c>
      <c r="J141" s="24"/>
      <c r="K141" s="20">
        <f t="shared" si="7"/>
        <v>7.9</v>
      </c>
      <c r="L141" s="16"/>
      <c r="M141" s="39"/>
      <c r="N141" s="25"/>
      <c r="O141" s="34"/>
    </row>
    <row r="142" spans="1:15" s="4" customFormat="1" ht="12.5" x14ac:dyDescent="0.25">
      <c r="D142" s="25"/>
      <c r="F142" s="25"/>
      <c r="H142" s="25"/>
      <c r="J142" s="25"/>
      <c r="M142" s="25"/>
      <c r="N142" s="25"/>
    </row>
    <row r="143" spans="1:15" s="4" customFormat="1" ht="13.5" thickBot="1" x14ac:dyDescent="0.35">
      <c r="A143" s="11" t="s">
        <v>16</v>
      </c>
      <c r="C143" s="8">
        <f>SUM(C134:C141)</f>
        <v>5</v>
      </c>
      <c r="D143" s="27"/>
      <c r="E143" s="8">
        <f>SUM(E134:E141)</f>
        <v>4.8000000000000007</v>
      </c>
      <c r="F143" s="27"/>
      <c r="G143" s="8">
        <f>SUM(G134:G141)</f>
        <v>5.0999999999999996</v>
      </c>
      <c r="H143" s="27"/>
      <c r="I143" s="8">
        <f>SUM(I134:I141)</f>
        <v>5.5</v>
      </c>
      <c r="J143" s="27"/>
      <c r="K143" s="8">
        <f>SUM(K134:K141)</f>
        <v>20.400000000000002</v>
      </c>
      <c r="M143" s="26"/>
      <c r="N143" s="26"/>
    </row>
    <row r="144" spans="1:15" s="4" customFormat="1" ht="13" thickTop="1" x14ac:dyDescent="0.25">
      <c r="D144" s="25"/>
      <c r="F144" s="25"/>
      <c r="H144" s="25"/>
      <c r="J144" s="25"/>
      <c r="M144" s="25"/>
      <c r="N144" s="25"/>
    </row>
    <row r="145" spans="1:14" s="4" customFormat="1" ht="12.5" x14ac:dyDescent="0.25">
      <c r="C145" s="18"/>
      <c r="D145" s="26"/>
      <c r="E145" s="18"/>
      <c r="F145" s="26"/>
      <c r="G145" s="18"/>
      <c r="H145" s="26"/>
      <c r="I145" s="18"/>
      <c r="J145" s="26"/>
      <c r="K145" s="18"/>
      <c r="M145" s="25"/>
      <c r="N145" s="25"/>
    </row>
    <row r="146" spans="1:14" s="4" customFormat="1" ht="12.5" x14ac:dyDescent="0.25">
      <c r="D146" s="25"/>
      <c r="F146" s="25"/>
      <c r="H146" s="25"/>
      <c r="J146" s="25"/>
      <c r="M146" s="25"/>
    </row>
    <row r="147" spans="1:14" s="4" customFormat="1" ht="13" x14ac:dyDescent="0.3">
      <c r="A147" s="5" t="s">
        <v>23</v>
      </c>
      <c r="D147" s="25"/>
      <c r="F147" s="25"/>
      <c r="H147" s="25"/>
      <c r="J147" s="25"/>
    </row>
    <row r="148" spans="1:14" s="4" customFormat="1" ht="13" x14ac:dyDescent="0.3">
      <c r="A148" s="5"/>
      <c r="C148" s="45" t="s">
        <v>17</v>
      </c>
      <c r="D148" s="45"/>
      <c r="E148" s="45"/>
      <c r="F148" s="45"/>
      <c r="G148" s="45"/>
      <c r="H148" s="45"/>
      <c r="I148" s="45"/>
      <c r="J148" s="45"/>
      <c r="K148" s="45"/>
      <c r="M148" s="25"/>
      <c r="N148" s="25"/>
    </row>
    <row r="149" spans="1:14" s="4" customFormat="1" ht="13" x14ac:dyDescent="0.3">
      <c r="C149" s="12" t="s">
        <v>10</v>
      </c>
      <c r="D149" s="23"/>
      <c r="E149" s="12" t="s">
        <v>11</v>
      </c>
      <c r="F149" s="23"/>
      <c r="G149" s="12" t="s">
        <v>12</v>
      </c>
      <c r="H149" s="23"/>
      <c r="I149" s="12" t="s">
        <v>13</v>
      </c>
      <c r="J149" s="23"/>
      <c r="K149" s="12" t="s">
        <v>14</v>
      </c>
      <c r="M149" s="25"/>
      <c r="N149" s="25"/>
    </row>
    <row r="150" spans="1:14" s="4" customFormat="1" ht="13" x14ac:dyDescent="0.3">
      <c r="A150" s="4" t="s">
        <v>2</v>
      </c>
      <c r="C150" s="29">
        <v>1.6</v>
      </c>
      <c r="D150" s="21"/>
      <c r="E150" s="29">
        <v>1.6</v>
      </c>
      <c r="F150" s="21"/>
      <c r="G150" s="18">
        <v>1.9</v>
      </c>
      <c r="H150" s="26"/>
      <c r="I150" s="29">
        <v>1.7</v>
      </c>
      <c r="J150" s="21"/>
      <c r="K150" s="29">
        <f>SUM(C150:I150)</f>
        <v>6.8</v>
      </c>
      <c r="L150" s="15"/>
      <c r="M150" s="44"/>
      <c r="N150" s="28"/>
    </row>
    <row r="151" spans="1:14" s="4" customFormat="1" ht="13" x14ac:dyDescent="0.3">
      <c r="A151" s="4" t="s">
        <v>3</v>
      </c>
      <c r="C151" s="30">
        <v>1.6</v>
      </c>
      <c r="D151" s="31"/>
      <c r="E151" s="30">
        <v>1.8</v>
      </c>
      <c r="F151" s="31"/>
      <c r="G151" s="6">
        <v>1.4</v>
      </c>
      <c r="H151" s="28"/>
      <c r="I151" s="30">
        <v>1.4</v>
      </c>
      <c r="J151" s="24"/>
      <c r="K151" s="19">
        <f t="shared" ref="K151:K157" si="8">SUM(C151:I151)</f>
        <v>6.2000000000000011</v>
      </c>
      <c r="L151" s="16"/>
      <c r="M151" s="44"/>
      <c r="N151" s="28"/>
    </row>
    <row r="152" spans="1:14" s="4" customFormat="1" ht="13" x14ac:dyDescent="0.3">
      <c r="A152" s="4" t="s">
        <v>4</v>
      </c>
      <c r="C152" s="30">
        <v>0.1</v>
      </c>
      <c r="D152" s="31"/>
      <c r="E152" s="30">
        <v>0.2</v>
      </c>
      <c r="F152" s="31"/>
      <c r="G152" s="6">
        <v>0.1</v>
      </c>
      <c r="H152" s="28"/>
      <c r="I152" s="30">
        <v>0.1</v>
      </c>
      <c r="J152" s="24"/>
      <c r="K152" s="19">
        <f t="shared" si="8"/>
        <v>0.5</v>
      </c>
      <c r="L152" s="16"/>
      <c r="M152" s="44"/>
      <c r="N152" s="28"/>
    </row>
    <row r="153" spans="1:14" s="4" customFormat="1" ht="13" x14ac:dyDescent="0.3">
      <c r="A153" s="4" t="s">
        <v>5</v>
      </c>
      <c r="C153" s="30">
        <v>0.6</v>
      </c>
      <c r="D153" s="31"/>
      <c r="E153" s="30">
        <v>0.5</v>
      </c>
      <c r="F153" s="31"/>
      <c r="G153" s="6">
        <v>0.5</v>
      </c>
      <c r="H153" s="28"/>
      <c r="I153" s="30">
        <v>0.4</v>
      </c>
      <c r="J153" s="24"/>
      <c r="K153" s="19">
        <f t="shared" si="8"/>
        <v>2</v>
      </c>
      <c r="L153" s="16"/>
      <c r="M153" s="44"/>
      <c r="N153" s="28"/>
    </row>
    <row r="154" spans="1:14" s="4" customFormat="1" ht="13" x14ac:dyDescent="0.3">
      <c r="A154" s="4" t="s">
        <v>7</v>
      </c>
      <c r="C154" s="30">
        <v>0.7</v>
      </c>
      <c r="D154" s="31"/>
      <c r="E154" s="30">
        <v>0.7</v>
      </c>
      <c r="F154" s="31"/>
      <c r="G154" s="6">
        <v>0.7</v>
      </c>
      <c r="H154" s="28"/>
      <c r="I154" s="30">
        <v>0.7</v>
      </c>
      <c r="J154" s="24"/>
      <c r="K154" s="19">
        <f t="shared" si="8"/>
        <v>2.8</v>
      </c>
      <c r="L154" s="16"/>
      <c r="M154" s="44"/>
      <c r="N154" s="28"/>
    </row>
    <row r="155" spans="1:14" s="4" customFormat="1" ht="13" x14ac:dyDescent="0.3">
      <c r="A155" s="4" t="s">
        <v>6</v>
      </c>
      <c r="C155" s="30">
        <v>0.2</v>
      </c>
      <c r="D155" s="31"/>
      <c r="E155" s="30">
        <v>0.1</v>
      </c>
      <c r="F155" s="31"/>
      <c r="G155" s="6">
        <v>0.2</v>
      </c>
      <c r="H155" s="28"/>
      <c r="I155" s="30">
        <v>0.2</v>
      </c>
      <c r="J155" s="24"/>
      <c r="K155" s="19">
        <f t="shared" si="8"/>
        <v>0.7</v>
      </c>
      <c r="L155" s="16"/>
      <c r="M155" s="44"/>
      <c r="N155" s="28"/>
    </row>
    <row r="156" spans="1:14" s="4" customFormat="1" ht="13" x14ac:dyDescent="0.3">
      <c r="A156" s="4" t="s">
        <v>8</v>
      </c>
      <c r="C156" s="31">
        <v>1.3</v>
      </c>
      <c r="D156" s="31"/>
      <c r="E156" s="31">
        <v>1.2</v>
      </c>
      <c r="F156" s="31"/>
      <c r="G156" s="28">
        <v>1.2</v>
      </c>
      <c r="H156" s="28"/>
      <c r="I156" s="31">
        <v>1.3</v>
      </c>
      <c r="J156" s="24"/>
      <c r="K156" s="19">
        <f t="shared" si="8"/>
        <v>5</v>
      </c>
      <c r="L156" s="16"/>
      <c r="M156" s="44"/>
      <c r="N156" s="28"/>
    </row>
    <row r="157" spans="1:14" s="4" customFormat="1" ht="13" x14ac:dyDescent="0.3">
      <c r="A157" s="4" t="s">
        <v>19</v>
      </c>
      <c r="C157" s="32">
        <v>1.8</v>
      </c>
      <c r="D157" s="31"/>
      <c r="E157" s="32">
        <v>1.9</v>
      </c>
      <c r="F157" s="31"/>
      <c r="G157" s="7">
        <v>1.7</v>
      </c>
      <c r="H157" s="28"/>
      <c r="I157" s="32">
        <v>1.7</v>
      </c>
      <c r="J157" s="24"/>
      <c r="K157" s="20">
        <f t="shared" si="8"/>
        <v>7.1000000000000005</v>
      </c>
      <c r="L157" s="16"/>
      <c r="M157" s="44"/>
      <c r="N157" s="28"/>
    </row>
    <row r="158" spans="1:14" s="4" customFormat="1" ht="12.5" x14ac:dyDescent="0.25">
      <c r="D158" s="25"/>
      <c r="F158" s="25"/>
      <c r="H158" s="25"/>
      <c r="J158" s="25"/>
      <c r="M158" s="25"/>
      <c r="N158" s="25"/>
    </row>
    <row r="159" spans="1:14" s="4" customFormat="1" ht="13.5" thickBot="1" x14ac:dyDescent="0.35">
      <c r="A159" s="11" t="s">
        <v>16</v>
      </c>
      <c r="C159" s="8">
        <f>SUM(C150:C157)</f>
        <v>7.9</v>
      </c>
      <c r="D159" s="27"/>
      <c r="E159" s="8">
        <f>SUM(E150:E157)</f>
        <v>8</v>
      </c>
      <c r="F159" s="27"/>
      <c r="G159" s="8">
        <f>SUM(G150:G157)</f>
        <v>7.7</v>
      </c>
      <c r="H159" s="27"/>
      <c r="I159" s="8">
        <f>SUM(I150:I157)</f>
        <v>7.5</v>
      </c>
      <c r="J159" s="27"/>
      <c r="K159" s="8">
        <f>SUM(K150:K157)</f>
        <v>31.1</v>
      </c>
      <c r="M159" s="26"/>
      <c r="N159" s="26"/>
    </row>
    <row r="160" spans="1:14" s="4" customFormat="1" ht="13" thickTop="1" x14ac:dyDescent="0.25">
      <c r="D160" s="25"/>
      <c r="F160" s="25"/>
      <c r="H160" s="25"/>
      <c r="J160" s="25"/>
      <c r="M160" s="25"/>
      <c r="N160" s="25"/>
    </row>
    <row r="161" spans="4:10" s="4" customFormat="1" ht="12.5" x14ac:dyDescent="0.25">
      <c r="D161" s="25"/>
      <c r="F161" s="25"/>
      <c r="H161" s="25"/>
      <c r="J161" s="25"/>
    </row>
    <row r="162" spans="4:10" s="4" customFormat="1" ht="12.5" x14ac:dyDescent="0.25">
      <c r="D162" s="25"/>
      <c r="E162" s="37"/>
      <c r="F162" s="25"/>
      <c r="H162" s="25"/>
      <c r="J162" s="25"/>
    </row>
    <row r="163" spans="4:10" s="4" customFormat="1" ht="12.5" x14ac:dyDescent="0.25">
      <c r="D163" s="25"/>
      <c r="F163" s="25"/>
      <c r="H163" s="25"/>
      <c r="J163" s="25"/>
    </row>
    <row r="164" spans="4:10" s="4" customFormat="1" ht="12.5" x14ac:dyDescent="0.25">
      <c r="D164" s="25"/>
      <c r="F164" s="25"/>
      <c r="H164" s="25"/>
      <c r="J164" s="25"/>
    </row>
    <row r="165" spans="4:10" s="4" customFormat="1" ht="12.5" x14ac:dyDescent="0.25">
      <c r="D165" s="25"/>
      <c r="F165" s="25"/>
      <c r="H165" s="25"/>
      <c r="J165" s="25"/>
    </row>
    <row r="166" spans="4:10" s="4" customFormat="1" ht="12.5" x14ac:dyDescent="0.25">
      <c r="D166" s="25"/>
      <c r="F166" s="25"/>
      <c r="H166" s="25"/>
      <c r="J166" s="25"/>
    </row>
    <row r="167" spans="4:10" s="4" customFormat="1" ht="12.5" x14ac:dyDescent="0.25">
      <c r="D167" s="25"/>
      <c r="F167" s="25"/>
      <c r="H167" s="25"/>
      <c r="J167" s="25"/>
    </row>
    <row r="168" spans="4:10" s="4" customFormat="1" ht="12.5" x14ac:dyDescent="0.25">
      <c r="D168" s="25"/>
      <c r="F168" s="25"/>
      <c r="H168" s="25"/>
      <c r="J168" s="25"/>
    </row>
    <row r="169" spans="4:10" s="4" customFormat="1" ht="12.5" x14ac:dyDescent="0.25">
      <c r="D169" s="25"/>
      <c r="F169" s="25"/>
      <c r="H169" s="25"/>
      <c r="J169" s="25"/>
    </row>
    <row r="170" spans="4:10" s="4" customFormat="1" ht="12.5" x14ac:dyDescent="0.25">
      <c r="D170" s="25"/>
      <c r="F170" s="25"/>
      <c r="H170" s="25"/>
      <c r="J170" s="25"/>
    </row>
    <row r="171" spans="4:10" s="4" customFormat="1" ht="12.5" x14ac:dyDescent="0.25">
      <c r="D171" s="25"/>
      <c r="F171" s="25"/>
      <c r="H171" s="25"/>
      <c r="J171" s="25"/>
    </row>
    <row r="172" spans="4:10" s="4" customFormat="1" ht="12.5" x14ac:dyDescent="0.25">
      <c r="D172" s="25"/>
      <c r="F172" s="25"/>
      <c r="H172" s="25"/>
      <c r="J172" s="25"/>
    </row>
    <row r="173" spans="4:10" s="4" customFormat="1" ht="12.5" x14ac:dyDescent="0.25">
      <c r="D173" s="25"/>
      <c r="F173" s="25"/>
      <c r="H173" s="25"/>
      <c r="J173" s="25"/>
    </row>
    <row r="174" spans="4:10" s="4" customFormat="1" ht="12.5" x14ac:dyDescent="0.25">
      <c r="D174" s="25"/>
      <c r="F174" s="25"/>
      <c r="H174" s="25"/>
      <c r="J174" s="25"/>
    </row>
    <row r="175" spans="4:10" s="4" customFormat="1" ht="12.5" x14ac:dyDescent="0.25">
      <c r="D175" s="25"/>
      <c r="F175" s="25"/>
      <c r="H175" s="25"/>
      <c r="J175" s="25"/>
    </row>
    <row r="176" spans="4:10" s="4" customFormat="1" ht="12.5" x14ac:dyDescent="0.25">
      <c r="D176" s="25"/>
      <c r="F176" s="25"/>
      <c r="H176" s="25"/>
      <c r="J176" s="25"/>
    </row>
    <row r="177" spans="4:10" s="4" customFormat="1" ht="12.5" x14ac:dyDescent="0.25">
      <c r="D177" s="25"/>
      <c r="F177" s="25"/>
      <c r="H177" s="25"/>
      <c r="J177" s="25"/>
    </row>
    <row r="178" spans="4:10" s="4" customFormat="1" ht="12.5" x14ac:dyDescent="0.25">
      <c r="D178" s="25"/>
      <c r="F178" s="25"/>
      <c r="H178" s="25"/>
      <c r="J178" s="25"/>
    </row>
    <row r="179" spans="4:10" s="4" customFormat="1" ht="12.5" x14ac:dyDescent="0.25">
      <c r="D179" s="25"/>
      <c r="F179" s="25"/>
      <c r="H179" s="25"/>
      <c r="J179" s="25"/>
    </row>
    <row r="180" spans="4:10" s="4" customFormat="1" ht="12.5" x14ac:dyDescent="0.25">
      <c r="D180" s="25"/>
      <c r="F180" s="25"/>
      <c r="H180" s="25"/>
      <c r="J180" s="25"/>
    </row>
    <row r="181" spans="4:10" s="4" customFormat="1" ht="12.5" x14ac:dyDescent="0.25">
      <c r="D181" s="25"/>
      <c r="F181" s="25"/>
      <c r="H181" s="25"/>
      <c r="J181" s="25"/>
    </row>
    <row r="182" spans="4:10" s="4" customFormat="1" ht="12.5" x14ac:dyDescent="0.25">
      <c r="D182" s="25"/>
      <c r="F182" s="25"/>
      <c r="H182" s="25"/>
      <c r="J182" s="25"/>
    </row>
    <row r="183" spans="4:10" s="4" customFormat="1" ht="12.5" x14ac:dyDescent="0.25">
      <c r="D183" s="25"/>
      <c r="F183" s="25"/>
      <c r="H183" s="25"/>
      <c r="J183" s="25"/>
    </row>
    <row r="184" spans="4:10" s="4" customFormat="1" ht="12.5" x14ac:dyDescent="0.25">
      <c r="D184" s="25"/>
      <c r="F184" s="25"/>
      <c r="H184" s="25"/>
      <c r="J184" s="25"/>
    </row>
    <row r="185" spans="4:10" s="4" customFormat="1" ht="12.5" x14ac:dyDescent="0.25">
      <c r="D185" s="25"/>
      <c r="F185" s="25"/>
      <c r="H185" s="25"/>
      <c r="J185" s="25"/>
    </row>
    <row r="186" spans="4:10" s="4" customFormat="1" ht="12.5" x14ac:dyDescent="0.25">
      <c r="D186" s="25"/>
      <c r="F186" s="25"/>
      <c r="H186" s="25"/>
      <c r="J186" s="25"/>
    </row>
    <row r="187" spans="4:10" s="4" customFormat="1" ht="12.5" x14ac:dyDescent="0.25">
      <c r="D187" s="25"/>
      <c r="F187" s="25"/>
      <c r="H187" s="25"/>
      <c r="J187" s="25"/>
    </row>
    <row r="188" spans="4:10" s="4" customFormat="1" ht="12.5" x14ac:dyDescent="0.25">
      <c r="D188" s="25"/>
      <c r="F188" s="25"/>
      <c r="H188" s="25"/>
      <c r="J188" s="25"/>
    </row>
    <row r="189" spans="4:10" s="4" customFormat="1" ht="12.5" x14ac:dyDescent="0.25">
      <c r="D189" s="25"/>
      <c r="F189" s="25"/>
      <c r="H189" s="25"/>
      <c r="J189" s="25"/>
    </row>
    <row r="190" spans="4:10" s="4" customFormat="1" ht="12.5" x14ac:dyDescent="0.25">
      <c r="D190" s="25"/>
      <c r="F190" s="25"/>
      <c r="H190" s="25"/>
      <c r="J190" s="25"/>
    </row>
    <row r="191" spans="4:10" s="4" customFormat="1" ht="12.5" x14ac:dyDescent="0.25">
      <c r="D191" s="25"/>
      <c r="F191" s="25"/>
      <c r="H191" s="25"/>
      <c r="J191" s="25"/>
    </row>
    <row r="192" spans="4:10" s="4" customFormat="1" ht="12.5" x14ac:dyDescent="0.25">
      <c r="D192" s="25"/>
      <c r="F192" s="25"/>
      <c r="H192" s="25"/>
      <c r="J192" s="25"/>
    </row>
    <row r="193" spans="4:10" s="4" customFormat="1" ht="12.5" x14ac:dyDescent="0.25">
      <c r="D193" s="25"/>
      <c r="F193" s="25"/>
      <c r="H193" s="25"/>
      <c r="J193" s="25"/>
    </row>
    <row r="194" spans="4:10" s="4" customFormat="1" ht="12.5" x14ac:dyDescent="0.25">
      <c r="D194" s="25"/>
      <c r="F194" s="25"/>
      <c r="H194" s="25"/>
      <c r="J194" s="25"/>
    </row>
    <row r="195" spans="4:10" s="4" customFormat="1" ht="12.5" x14ac:dyDescent="0.25">
      <c r="D195" s="25"/>
      <c r="F195" s="25"/>
      <c r="H195" s="25"/>
      <c r="J195" s="25"/>
    </row>
    <row r="196" spans="4:10" s="4" customFormat="1" ht="12.5" x14ac:dyDescent="0.25">
      <c r="D196" s="25"/>
      <c r="F196" s="25"/>
      <c r="H196" s="25"/>
      <c r="J196" s="25"/>
    </row>
    <row r="197" spans="4:10" s="4" customFormat="1" ht="12.5" x14ac:dyDescent="0.25">
      <c r="D197" s="25"/>
      <c r="F197" s="25"/>
      <c r="H197" s="25"/>
      <c r="J197" s="25"/>
    </row>
    <row r="198" spans="4:10" s="4" customFormat="1" ht="12.5" x14ac:dyDescent="0.25">
      <c r="D198" s="25"/>
      <c r="F198" s="25"/>
      <c r="H198" s="25"/>
      <c r="J198" s="25"/>
    </row>
    <row r="199" spans="4:10" s="4" customFormat="1" ht="12.5" x14ac:dyDescent="0.25">
      <c r="D199" s="25"/>
      <c r="F199" s="25"/>
      <c r="H199" s="25"/>
      <c r="J199" s="25"/>
    </row>
    <row r="200" spans="4:10" s="4" customFormat="1" ht="12.5" x14ac:dyDescent="0.25">
      <c r="D200" s="25"/>
      <c r="F200" s="25"/>
      <c r="H200" s="25"/>
      <c r="J200" s="25"/>
    </row>
    <row r="201" spans="4:10" s="4" customFormat="1" ht="12.5" x14ac:dyDescent="0.25">
      <c r="D201" s="25"/>
      <c r="F201" s="25"/>
      <c r="H201" s="25"/>
      <c r="J201" s="25"/>
    </row>
    <row r="202" spans="4:10" s="4" customFormat="1" ht="12.5" x14ac:dyDescent="0.25">
      <c r="D202" s="25"/>
      <c r="F202" s="25"/>
      <c r="H202" s="25"/>
      <c r="J202" s="25"/>
    </row>
    <row r="203" spans="4:10" s="4" customFormat="1" ht="12.5" x14ac:dyDescent="0.25">
      <c r="D203" s="25"/>
      <c r="F203" s="25"/>
      <c r="H203" s="25"/>
      <c r="J203" s="25"/>
    </row>
    <row r="204" spans="4:10" s="4" customFormat="1" ht="12.5" x14ac:dyDescent="0.25">
      <c r="D204" s="25"/>
      <c r="F204" s="25"/>
      <c r="H204" s="25"/>
      <c r="J204" s="25"/>
    </row>
    <row r="205" spans="4:10" s="4" customFormat="1" ht="12.5" x14ac:dyDescent="0.25">
      <c r="D205" s="25"/>
      <c r="F205" s="25"/>
      <c r="H205" s="25"/>
      <c r="J205" s="25"/>
    </row>
    <row r="206" spans="4:10" s="4" customFormat="1" ht="12.5" x14ac:dyDescent="0.25">
      <c r="D206" s="25"/>
      <c r="F206" s="25"/>
      <c r="H206" s="25"/>
      <c r="J206" s="25"/>
    </row>
    <row r="207" spans="4:10" s="4" customFormat="1" ht="12.5" x14ac:dyDescent="0.25">
      <c r="D207" s="25"/>
      <c r="F207" s="25"/>
      <c r="H207" s="25"/>
      <c r="J207" s="25"/>
    </row>
    <row r="208" spans="4:10" s="4" customFormat="1" ht="12.5" x14ac:dyDescent="0.25">
      <c r="D208" s="25"/>
      <c r="F208" s="25"/>
      <c r="H208" s="25"/>
      <c r="J208" s="25"/>
    </row>
    <row r="209" spans="4:10" s="4" customFormat="1" ht="12.5" x14ac:dyDescent="0.25">
      <c r="D209" s="25"/>
      <c r="F209" s="25"/>
      <c r="H209" s="25"/>
      <c r="J209" s="25"/>
    </row>
    <row r="210" spans="4:10" s="4" customFormat="1" ht="12.5" x14ac:dyDescent="0.25">
      <c r="D210" s="25"/>
      <c r="F210" s="25"/>
      <c r="H210" s="25"/>
      <c r="J210" s="25"/>
    </row>
    <row r="211" spans="4:10" s="4" customFormat="1" ht="12.5" x14ac:dyDescent="0.25">
      <c r="D211" s="25"/>
      <c r="F211" s="25"/>
      <c r="H211" s="25"/>
      <c r="J211" s="25"/>
    </row>
    <row r="212" spans="4:10" s="4" customFormat="1" ht="12.5" x14ac:dyDescent="0.25">
      <c r="D212" s="25"/>
      <c r="F212" s="25"/>
      <c r="H212" s="25"/>
      <c r="J212" s="25"/>
    </row>
    <row r="213" spans="4:10" s="4" customFormat="1" ht="12.5" x14ac:dyDescent="0.25">
      <c r="D213" s="25"/>
      <c r="F213" s="25"/>
      <c r="H213" s="25"/>
      <c r="J213" s="25"/>
    </row>
    <row r="214" spans="4:10" s="4" customFormat="1" ht="12.5" x14ac:dyDescent="0.25">
      <c r="D214" s="25"/>
      <c r="F214" s="25"/>
      <c r="H214" s="25"/>
      <c r="J214" s="25"/>
    </row>
    <row r="215" spans="4:10" s="4" customFormat="1" ht="12.5" x14ac:dyDescent="0.25">
      <c r="D215" s="25"/>
      <c r="F215" s="25"/>
      <c r="H215" s="25"/>
      <c r="J215" s="25"/>
    </row>
    <row r="216" spans="4:10" s="4" customFormat="1" ht="12.5" x14ac:dyDescent="0.25">
      <c r="D216" s="25"/>
      <c r="F216" s="25"/>
      <c r="H216" s="25"/>
      <c r="J216" s="25"/>
    </row>
    <row r="217" spans="4:10" s="4" customFormat="1" ht="12.5" x14ac:dyDescent="0.25">
      <c r="D217" s="25"/>
      <c r="F217" s="25"/>
      <c r="H217" s="25"/>
      <c r="J217" s="25"/>
    </row>
    <row r="218" spans="4:10" s="4" customFormat="1" ht="12.5" x14ac:dyDescent="0.25">
      <c r="D218" s="25"/>
      <c r="F218" s="25"/>
      <c r="H218" s="25"/>
      <c r="J218" s="25"/>
    </row>
    <row r="219" spans="4:10" s="4" customFormat="1" ht="12.5" x14ac:dyDescent="0.25">
      <c r="D219" s="25"/>
      <c r="F219" s="25"/>
      <c r="H219" s="25"/>
      <c r="J219" s="25"/>
    </row>
    <row r="220" spans="4:10" s="4" customFormat="1" ht="12.5" x14ac:dyDescent="0.25">
      <c r="D220" s="25"/>
      <c r="F220" s="25"/>
      <c r="H220" s="25"/>
      <c r="J220" s="25"/>
    </row>
    <row r="221" spans="4:10" s="4" customFormat="1" ht="12.5" x14ac:dyDescent="0.25">
      <c r="D221" s="25"/>
      <c r="F221" s="25"/>
      <c r="H221" s="25"/>
      <c r="J221" s="25"/>
    </row>
    <row r="222" spans="4:10" s="4" customFormat="1" ht="12.5" x14ac:dyDescent="0.25">
      <c r="D222" s="25"/>
      <c r="F222" s="25"/>
      <c r="H222" s="25"/>
      <c r="J222" s="25"/>
    </row>
    <row r="223" spans="4:10" s="4" customFormat="1" ht="12.5" x14ac:dyDescent="0.25">
      <c r="D223" s="25"/>
      <c r="F223" s="25"/>
      <c r="H223" s="25"/>
      <c r="J223" s="25"/>
    </row>
    <row r="224" spans="4:10" s="4" customFormat="1" ht="12.5" x14ac:dyDescent="0.25">
      <c r="D224" s="25"/>
      <c r="F224" s="25"/>
      <c r="H224" s="25"/>
      <c r="J224" s="25"/>
    </row>
    <row r="225" spans="4:10" s="4" customFormat="1" ht="12.5" x14ac:dyDescent="0.25">
      <c r="D225" s="25"/>
      <c r="F225" s="25"/>
      <c r="H225" s="25"/>
      <c r="J225" s="25"/>
    </row>
    <row r="226" spans="4:10" s="4" customFormat="1" ht="12.5" x14ac:dyDescent="0.25">
      <c r="D226" s="25"/>
      <c r="F226" s="25"/>
      <c r="H226" s="25"/>
      <c r="J226" s="25"/>
    </row>
    <row r="227" spans="4:10" s="4" customFormat="1" ht="12.5" x14ac:dyDescent="0.25">
      <c r="D227" s="25"/>
      <c r="F227" s="25"/>
      <c r="H227" s="25"/>
      <c r="J227" s="25"/>
    </row>
    <row r="228" spans="4:10" s="4" customFormat="1" ht="12.5" x14ac:dyDescent="0.25">
      <c r="D228" s="25"/>
      <c r="F228" s="25"/>
      <c r="H228" s="25"/>
      <c r="J228" s="25"/>
    </row>
    <row r="229" spans="4:10" s="4" customFormat="1" ht="12.5" x14ac:dyDescent="0.25">
      <c r="D229" s="25"/>
      <c r="F229" s="25"/>
      <c r="H229" s="25"/>
      <c r="J229" s="25"/>
    </row>
    <row r="230" spans="4:10" s="4" customFormat="1" ht="12.5" x14ac:dyDescent="0.25">
      <c r="D230" s="25"/>
      <c r="F230" s="25"/>
      <c r="H230" s="25"/>
      <c r="J230" s="25"/>
    </row>
    <row r="231" spans="4:10" s="4" customFormat="1" ht="12.5" x14ac:dyDescent="0.25">
      <c r="D231" s="25"/>
      <c r="F231" s="25"/>
      <c r="H231" s="25"/>
      <c r="J231" s="25"/>
    </row>
    <row r="232" spans="4:10" s="4" customFormat="1" ht="12.5" x14ac:dyDescent="0.25">
      <c r="D232" s="25"/>
      <c r="F232" s="25"/>
      <c r="H232" s="25"/>
      <c r="J232" s="25"/>
    </row>
    <row r="233" spans="4:10" s="4" customFormat="1" ht="12.5" x14ac:dyDescent="0.25">
      <c r="D233" s="25"/>
      <c r="F233" s="25"/>
      <c r="H233" s="25"/>
      <c r="J233" s="25"/>
    </row>
    <row r="234" spans="4:10" s="4" customFormat="1" ht="12.5" x14ac:dyDescent="0.25">
      <c r="D234" s="25"/>
      <c r="F234" s="25"/>
      <c r="H234" s="25"/>
      <c r="J234" s="25"/>
    </row>
    <row r="235" spans="4:10" s="4" customFormat="1" ht="12.5" x14ac:dyDescent="0.25">
      <c r="D235" s="25"/>
      <c r="F235" s="25"/>
      <c r="H235" s="25"/>
      <c r="J235" s="25"/>
    </row>
    <row r="236" spans="4:10" s="4" customFormat="1" ht="12.5" x14ac:dyDescent="0.25">
      <c r="D236" s="25"/>
      <c r="F236" s="25"/>
      <c r="H236" s="25"/>
      <c r="J236" s="25"/>
    </row>
    <row r="237" spans="4:10" s="4" customFormat="1" ht="12.5" x14ac:dyDescent="0.25">
      <c r="D237" s="25"/>
      <c r="F237" s="25"/>
      <c r="H237" s="25"/>
      <c r="J237" s="25"/>
    </row>
    <row r="238" spans="4:10" s="4" customFormat="1" ht="12.5" x14ac:dyDescent="0.25">
      <c r="D238" s="25"/>
      <c r="F238" s="25"/>
      <c r="H238" s="25"/>
      <c r="J238" s="25"/>
    </row>
    <row r="239" spans="4:10" s="4" customFormat="1" ht="12.5" x14ac:dyDescent="0.25">
      <c r="D239" s="25"/>
      <c r="F239" s="25"/>
      <c r="H239" s="25"/>
      <c r="J239" s="25"/>
    </row>
    <row r="240" spans="4:10" s="4" customFormat="1" ht="12.5" x14ac:dyDescent="0.25">
      <c r="D240" s="25"/>
      <c r="F240" s="25"/>
      <c r="H240" s="25"/>
      <c r="J240" s="25"/>
    </row>
    <row r="241" spans="4:10" s="4" customFormat="1" ht="12.5" x14ac:dyDescent="0.25">
      <c r="D241" s="25"/>
      <c r="F241" s="25"/>
      <c r="H241" s="25"/>
      <c r="J241" s="25"/>
    </row>
    <row r="242" spans="4:10" s="4" customFormat="1" ht="12.5" x14ac:dyDescent="0.25">
      <c r="D242" s="25"/>
      <c r="F242" s="25"/>
      <c r="H242" s="25"/>
      <c r="J242" s="25"/>
    </row>
    <row r="243" spans="4:10" s="4" customFormat="1" ht="12.5" x14ac:dyDescent="0.25">
      <c r="D243" s="25"/>
      <c r="F243" s="25"/>
      <c r="H243" s="25"/>
      <c r="J243" s="25"/>
    </row>
    <row r="244" spans="4:10" s="4" customFormat="1" ht="12.5" x14ac:dyDescent="0.25">
      <c r="D244" s="25"/>
      <c r="F244" s="25"/>
      <c r="H244" s="25"/>
      <c r="J244" s="25"/>
    </row>
    <row r="245" spans="4:10" s="4" customFormat="1" ht="12.5" x14ac:dyDescent="0.25">
      <c r="D245" s="25"/>
      <c r="F245" s="25"/>
      <c r="H245" s="25"/>
      <c r="J245" s="25"/>
    </row>
    <row r="246" spans="4:10" s="4" customFormat="1" ht="12.5" x14ac:dyDescent="0.25">
      <c r="D246" s="25"/>
      <c r="F246" s="25"/>
      <c r="H246" s="25"/>
      <c r="J246" s="25"/>
    </row>
    <row r="247" spans="4:10" s="4" customFormat="1" ht="12.5" x14ac:dyDescent="0.25">
      <c r="D247" s="25"/>
      <c r="F247" s="25"/>
      <c r="H247" s="25"/>
      <c r="J247" s="25"/>
    </row>
    <row r="248" spans="4:10" s="4" customFormat="1" ht="12.5" x14ac:dyDescent="0.25">
      <c r="D248" s="25"/>
      <c r="F248" s="25"/>
      <c r="H248" s="25"/>
      <c r="J248" s="25"/>
    </row>
    <row r="249" spans="4:10" s="4" customFormat="1" ht="12.5" x14ac:dyDescent="0.25">
      <c r="D249" s="25"/>
      <c r="F249" s="25"/>
      <c r="H249" s="25"/>
      <c r="J249" s="25"/>
    </row>
    <row r="250" spans="4:10" s="4" customFormat="1" ht="12.5" x14ac:dyDescent="0.25">
      <c r="D250" s="25"/>
      <c r="F250" s="25"/>
      <c r="H250" s="25"/>
      <c r="J250" s="25"/>
    </row>
    <row r="251" spans="4:10" s="4" customFormat="1" ht="12.5" x14ac:dyDescent="0.25">
      <c r="D251" s="25"/>
      <c r="F251" s="25"/>
      <c r="H251" s="25"/>
      <c r="J251" s="25"/>
    </row>
    <row r="252" spans="4:10" s="4" customFormat="1" ht="12.5" x14ac:dyDescent="0.25">
      <c r="D252" s="25"/>
      <c r="F252" s="25"/>
      <c r="H252" s="25"/>
      <c r="J252" s="25"/>
    </row>
    <row r="253" spans="4:10" s="4" customFormat="1" ht="12.5" x14ac:dyDescent="0.25">
      <c r="D253" s="25"/>
      <c r="F253" s="25"/>
      <c r="H253" s="25"/>
      <c r="J253" s="25"/>
    </row>
    <row r="254" spans="4:10" s="4" customFormat="1" ht="12.5" x14ac:dyDescent="0.25">
      <c r="D254" s="25"/>
      <c r="F254" s="25"/>
      <c r="H254" s="25"/>
      <c r="J254" s="25"/>
    </row>
    <row r="255" spans="4:10" s="4" customFormat="1" ht="12.5" x14ac:dyDescent="0.25">
      <c r="D255" s="25"/>
      <c r="F255" s="25"/>
      <c r="H255" s="25"/>
      <c r="J255" s="25"/>
    </row>
    <row r="256" spans="4:10" s="4" customFormat="1" ht="12.5" x14ac:dyDescent="0.25">
      <c r="D256" s="25"/>
      <c r="F256" s="25"/>
      <c r="H256" s="25"/>
      <c r="J256" s="25"/>
    </row>
    <row r="257" spans="4:10" s="4" customFormat="1" ht="12.5" x14ac:dyDescent="0.25">
      <c r="D257" s="25"/>
      <c r="F257" s="25"/>
      <c r="H257" s="25"/>
      <c r="J257" s="25"/>
    </row>
    <row r="258" spans="4:10" s="4" customFormat="1" ht="12.5" x14ac:dyDescent="0.25">
      <c r="D258" s="25"/>
      <c r="F258" s="25"/>
      <c r="H258" s="25"/>
      <c r="J258" s="25"/>
    </row>
    <row r="259" spans="4:10" s="4" customFormat="1" ht="12.5" x14ac:dyDescent="0.25">
      <c r="D259" s="25"/>
      <c r="F259" s="25"/>
      <c r="H259" s="25"/>
      <c r="J259" s="25"/>
    </row>
    <row r="260" spans="4:10" s="4" customFormat="1" ht="12.5" x14ac:dyDescent="0.25">
      <c r="D260" s="25"/>
      <c r="F260" s="25"/>
      <c r="H260" s="25"/>
      <c r="J260" s="25"/>
    </row>
    <row r="261" spans="4:10" s="4" customFormat="1" ht="12.5" x14ac:dyDescent="0.25">
      <c r="D261" s="25"/>
      <c r="F261" s="25"/>
      <c r="H261" s="25"/>
      <c r="J261" s="25"/>
    </row>
    <row r="262" spans="4:10" s="4" customFormat="1" ht="12.5" x14ac:dyDescent="0.25">
      <c r="D262" s="25"/>
      <c r="F262" s="25"/>
      <c r="H262" s="25"/>
      <c r="J262" s="25"/>
    </row>
    <row r="263" spans="4:10" s="4" customFormat="1" ht="12.5" x14ac:dyDescent="0.25">
      <c r="D263" s="25"/>
      <c r="F263" s="25"/>
      <c r="H263" s="25"/>
      <c r="J263" s="25"/>
    </row>
    <row r="264" spans="4:10" s="4" customFormat="1" ht="12.5" x14ac:dyDescent="0.25">
      <c r="D264" s="25"/>
      <c r="F264" s="25"/>
      <c r="H264" s="25"/>
      <c r="J264" s="25"/>
    </row>
    <row r="265" spans="4:10" s="4" customFormat="1" ht="12.5" x14ac:dyDescent="0.25">
      <c r="D265" s="25"/>
      <c r="F265" s="25"/>
      <c r="H265" s="25"/>
      <c r="J265" s="25"/>
    </row>
    <row r="266" spans="4:10" s="4" customFormat="1" ht="12.5" x14ac:dyDescent="0.25">
      <c r="D266" s="25"/>
      <c r="F266" s="25"/>
      <c r="H266" s="25"/>
      <c r="J266" s="25"/>
    </row>
    <row r="267" spans="4:10" s="4" customFormat="1" ht="12.5" x14ac:dyDescent="0.25">
      <c r="D267" s="25"/>
      <c r="F267" s="25"/>
      <c r="H267" s="25"/>
      <c r="J267" s="25"/>
    </row>
    <row r="268" spans="4:10" s="4" customFormat="1" ht="12.5" x14ac:dyDescent="0.25">
      <c r="D268" s="25"/>
      <c r="F268" s="25"/>
      <c r="H268" s="25"/>
      <c r="J268" s="25"/>
    </row>
    <row r="269" spans="4:10" s="4" customFormat="1" ht="12.5" x14ac:dyDescent="0.25">
      <c r="D269" s="25"/>
      <c r="F269" s="25"/>
      <c r="H269" s="25"/>
      <c r="J269" s="25"/>
    </row>
    <row r="270" spans="4:10" s="4" customFormat="1" ht="12.5" x14ac:dyDescent="0.25">
      <c r="D270" s="25"/>
      <c r="F270" s="25"/>
      <c r="H270" s="25"/>
      <c r="J270" s="25"/>
    </row>
    <row r="271" spans="4:10" s="4" customFormat="1" ht="12.5" x14ac:dyDescent="0.25">
      <c r="D271" s="25"/>
      <c r="F271" s="25"/>
      <c r="H271" s="25"/>
      <c r="J271" s="25"/>
    </row>
    <row r="272" spans="4:10" s="4" customFormat="1" ht="12.5" x14ac:dyDescent="0.25">
      <c r="D272" s="25"/>
      <c r="F272" s="25"/>
      <c r="H272" s="25"/>
      <c r="J272" s="25"/>
    </row>
    <row r="273" spans="4:10" s="4" customFormat="1" ht="12.5" x14ac:dyDescent="0.25">
      <c r="D273" s="25"/>
      <c r="F273" s="25"/>
      <c r="H273" s="25"/>
      <c r="J273" s="25"/>
    </row>
    <row r="274" spans="4:10" s="4" customFormat="1" ht="12.5" x14ac:dyDescent="0.25">
      <c r="D274" s="25"/>
      <c r="F274" s="25"/>
      <c r="H274" s="25"/>
      <c r="J274" s="25"/>
    </row>
    <row r="275" spans="4:10" s="4" customFormat="1" ht="12.5" x14ac:dyDescent="0.25">
      <c r="D275" s="25"/>
      <c r="F275" s="25"/>
      <c r="H275" s="25"/>
      <c r="J275" s="25"/>
    </row>
    <row r="276" spans="4:10" s="4" customFormat="1" ht="12.5" x14ac:dyDescent="0.25">
      <c r="D276" s="25"/>
      <c r="F276" s="25"/>
      <c r="H276" s="25"/>
      <c r="J276" s="25"/>
    </row>
    <row r="277" spans="4:10" s="4" customFormat="1" ht="12.5" x14ac:dyDescent="0.25">
      <c r="D277" s="25"/>
      <c r="F277" s="25"/>
      <c r="H277" s="25"/>
      <c r="J277" s="25"/>
    </row>
    <row r="278" spans="4:10" s="4" customFormat="1" ht="12.5" x14ac:dyDescent="0.25">
      <c r="D278" s="25"/>
      <c r="F278" s="25"/>
      <c r="H278" s="25"/>
      <c r="J278" s="25"/>
    </row>
    <row r="279" spans="4:10" s="4" customFormat="1" ht="12.5" x14ac:dyDescent="0.25">
      <c r="D279" s="25"/>
      <c r="F279" s="25"/>
      <c r="H279" s="25"/>
      <c r="J279" s="25"/>
    </row>
    <row r="280" spans="4:10" s="4" customFormat="1" ht="12.5" x14ac:dyDescent="0.25">
      <c r="D280" s="25"/>
      <c r="F280" s="25"/>
      <c r="H280" s="25"/>
      <c r="J280" s="25"/>
    </row>
    <row r="281" spans="4:10" s="4" customFormat="1" ht="12.5" x14ac:dyDescent="0.25">
      <c r="D281" s="25"/>
      <c r="F281" s="25"/>
      <c r="H281" s="25"/>
      <c r="J281" s="25"/>
    </row>
    <row r="282" spans="4:10" s="4" customFormat="1" ht="12.5" x14ac:dyDescent="0.25">
      <c r="D282" s="25"/>
      <c r="F282" s="25"/>
      <c r="H282" s="25"/>
      <c r="J282" s="25"/>
    </row>
    <row r="283" spans="4:10" s="4" customFormat="1" ht="12.5" x14ac:dyDescent="0.25">
      <c r="D283" s="25"/>
      <c r="F283" s="25"/>
      <c r="H283" s="25"/>
      <c r="J283" s="25"/>
    </row>
    <row r="284" spans="4:10" s="4" customFormat="1" ht="12.5" x14ac:dyDescent="0.25">
      <c r="D284" s="25"/>
      <c r="F284" s="25"/>
      <c r="H284" s="25"/>
      <c r="J284" s="25"/>
    </row>
    <row r="285" spans="4:10" s="4" customFormat="1" ht="12.5" x14ac:dyDescent="0.25">
      <c r="D285" s="25"/>
      <c r="F285" s="25"/>
      <c r="H285" s="25"/>
      <c r="J285" s="25"/>
    </row>
    <row r="286" spans="4:10" s="4" customFormat="1" ht="12.5" x14ac:dyDescent="0.25">
      <c r="D286" s="25"/>
      <c r="F286" s="25"/>
      <c r="H286" s="25"/>
      <c r="J286" s="25"/>
    </row>
    <row r="287" spans="4:10" s="4" customFormat="1" ht="12.5" x14ac:dyDescent="0.25">
      <c r="D287" s="25"/>
      <c r="F287" s="25"/>
      <c r="H287" s="25"/>
      <c r="J287" s="25"/>
    </row>
    <row r="288" spans="4:10" s="4" customFormat="1" ht="12.5" x14ac:dyDescent="0.25">
      <c r="D288" s="25"/>
      <c r="F288" s="25"/>
      <c r="H288" s="25"/>
      <c r="J288" s="25"/>
    </row>
    <row r="289" spans="4:10" s="4" customFormat="1" ht="12.5" x14ac:dyDescent="0.25">
      <c r="D289" s="25"/>
      <c r="F289" s="25"/>
      <c r="H289" s="25"/>
      <c r="J289" s="25"/>
    </row>
    <row r="290" spans="4:10" s="4" customFormat="1" ht="12.5" x14ac:dyDescent="0.25">
      <c r="D290" s="25"/>
      <c r="F290" s="25"/>
      <c r="H290" s="25"/>
      <c r="J290" s="25"/>
    </row>
    <row r="291" spans="4:10" s="4" customFormat="1" ht="12.5" x14ac:dyDescent="0.25">
      <c r="D291" s="25"/>
      <c r="F291" s="25"/>
      <c r="H291" s="25"/>
      <c r="J291" s="25"/>
    </row>
    <row r="292" spans="4:10" s="4" customFormat="1" ht="12.5" x14ac:dyDescent="0.25">
      <c r="D292" s="25"/>
      <c r="F292" s="25"/>
      <c r="H292" s="25"/>
      <c r="J292" s="25"/>
    </row>
    <row r="293" spans="4:10" s="4" customFormat="1" ht="12.5" x14ac:dyDescent="0.25">
      <c r="D293" s="25"/>
      <c r="F293" s="25"/>
      <c r="H293" s="25"/>
      <c r="J293" s="25"/>
    </row>
    <row r="294" spans="4:10" s="4" customFormat="1" ht="12.5" x14ac:dyDescent="0.25">
      <c r="D294" s="25"/>
      <c r="F294" s="25"/>
      <c r="H294" s="25"/>
      <c r="J294" s="25"/>
    </row>
    <row r="295" spans="4:10" s="4" customFormat="1" ht="12.5" x14ac:dyDescent="0.25">
      <c r="D295" s="25"/>
      <c r="F295" s="25"/>
      <c r="H295" s="25"/>
      <c r="J295" s="25"/>
    </row>
    <row r="296" spans="4:10" s="4" customFormat="1" ht="12.5" x14ac:dyDescent="0.25">
      <c r="D296" s="25"/>
      <c r="F296" s="25"/>
      <c r="H296" s="25"/>
      <c r="J296" s="25"/>
    </row>
    <row r="297" spans="4:10" s="4" customFormat="1" ht="12.5" x14ac:dyDescent="0.25">
      <c r="D297" s="25"/>
      <c r="F297" s="25"/>
      <c r="H297" s="25"/>
      <c r="J297" s="25"/>
    </row>
    <row r="298" spans="4:10" s="4" customFormat="1" ht="12.5" x14ac:dyDescent="0.25">
      <c r="D298" s="25"/>
      <c r="F298" s="25"/>
      <c r="H298" s="25"/>
      <c r="J298" s="25"/>
    </row>
    <row r="299" spans="4:10" s="4" customFormat="1" ht="12.5" x14ac:dyDescent="0.25">
      <c r="D299" s="25"/>
      <c r="F299" s="25"/>
      <c r="H299" s="25"/>
      <c r="J299" s="25"/>
    </row>
    <row r="300" spans="4:10" s="4" customFormat="1" ht="12.5" x14ac:dyDescent="0.25">
      <c r="D300" s="25"/>
      <c r="F300" s="25"/>
      <c r="H300" s="25"/>
      <c r="J300" s="25"/>
    </row>
    <row r="301" spans="4:10" s="4" customFormat="1" ht="12.5" x14ac:dyDescent="0.25">
      <c r="D301" s="25"/>
      <c r="F301" s="25"/>
      <c r="H301" s="25"/>
      <c r="J301" s="25"/>
    </row>
    <row r="302" spans="4:10" s="4" customFormat="1" ht="12.5" x14ac:dyDescent="0.25">
      <c r="D302" s="25"/>
      <c r="F302" s="25"/>
      <c r="H302" s="25"/>
      <c r="J302" s="25"/>
    </row>
    <row r="303" spans="4:10" s="4" customFormat="1" ht="12.5" x14ac:dyDescent="0.25">
      <c r="D303" s="25"/>
      <c r="F303" s="25"/>
      <c r="H303" s="25"/>
      <c r="J303" s="25"/>
    </row>
    <row r="304" spans="4:10" s="4" customFormat="1" ht="12.5" x14ac:dyDescent="0.25">
      <c r="D304" s="25"/>
      <c r="F304" s="25"/>
      <c r="H304" s="25"/>
      <c r="J304" s="25"/>
    </row>
    <row r="305" spans="4:10" s="4" customFormat="1" ht="12.5" x14ac:dyDescent="0.25">
      <c r="D305" s="25"/>
      <c r="F305" s="25"/>
      <c r="H305" s="25"/>
      <c r="J305" s="25"/>
    </row>
    <row r="306" spans="4:10" s="4" customFormat="1" ht="12.5" x14ac:dyDescent="0.25">
      <c r="D306" s="25"/>
      <c r="F306" s="25"/>
      <c r="H306" s="25"/>
      <c r="J306" s="25"/>
    </row>
    <row r="307" spans="4:10" s="4" customFormat="1" ht="12.5" x14ac:dyDescent="0.25">
      <c r="D307" s="25"/>
      <c r="F307" s="25"/>
      <c r="H307" s="25"/>
      <c r="J307" s="25"/>
    </row>
    <row r="308" spans="4:10" s="4" customFormat="1" ht="12.5" x14ac:dyDescent="0.25">
      <c r="D308" s="25"/>
      <c r="F308" s="25"/>
      <c r="H308" s="25"/>
      <c r="J308" s="25"/>
    </row>
    <row r="309" spans="4:10" s="4" customFormat="1" ht="12.5" x14ac:dyDescent="0.25">
      <c r="D309" s="25"/>
      <c r="F309" s="25"/>
      <c r="H309" s="25"/>
      <c r="J309" s="25"/>
    </row>
    <row r="310" spans="4:10" s="4" customFormat="1" ht="12.5" x14ac:dyDescent="0.25">
      <c r="D310" s="25"/>
      <c r="F310" s="25"/>
      <c r="H310" s="25"/>
      <c r="J310" s="25"/>
    </row>
    <row r="311" spans="4:10" s="4" customFormat="1" ht="12.5" x14ac:dyDescent="0.25">
      <c r="D311" s="25"/>
      <c r="F311" s="25"/>
      <c r="H311" s="25"/>
      <c r="J311" s="25"/>
    </row>
    <row r="312" spans="4:10" s="4" customFormat="1" ht="12.5" x14ac:dyDescent="0.25">
      <c r="D312" s="25"/>
      <c r="F312" s="25"/>
      <c r="H312" s="25"/>
      <c r="J312" s="25"/>
    </row>
    <row r="313" spans="4:10" s="4" customFormat="1" ht="12.5" x14ac:dyDescent="0.25">
      <c r="D313" s="25"/>
      <c r="F313" s="25"/>
      <c r="H313" s="25"/>
      <c r="J313" s="25"/>
    </row>
    <row r="314" spans="4:10" s="4" customFormat="1" ht="12.5" x14ac:dyDescent="0.25">
      <c r="D314" s="25"/>
      <c r="F314" s="25"/>
      <c r="H314" s="25"/>
      <c r="J314" s="25"/>
    </row>
    <row r="315" spans="4:10" s="4" customFormat="1" ht="12.5" x14ac:dyDescent="0.25">
      <c r="D315" s="25"/>
      <c r="F315" s="25"/>
      <c r="H315" s="25"/>
      <c r="J315" s="25"/>
    </row>
    <row r="316" spans="4:10" s="4" customFormat="1" ht="12.5" x14ac:dyDescent="0.25">
      <c r="D316" s="25"/>
      <c r="F316" s="25"/>
      <c r="H316" s="25"/>
      <c r="J316" s="25"/>
    </row>
    <row r="317" spans="4:10" s="4" customFormat="1" ht="12.5" x14ac:dyDescent="0.25">
      <c r="D317" s="25"/>
      <c r="F317" s="25"/>
      <c r="H317" s="25"/>
      <c r="J317" s="25"/>
    </row>
    <row r="318" spans="4:10" s="4" customFormat="1" ht="12.5" x14ac:dyDescent="0.25">
      <c r="D318" s="25"/>
      <c r="F318" s="25"/>
      <c r="H318" s="25"/>
      <c r="J318" s="25"/>
    </row>
    <row r="319" spans="4:10" s="4" customFormat="1" ht="12.5" x14ac:dyDescent="0.25">
      <c r="D319" s="25"/>
      <c r="F319" s="25"/>
      <c r="H319" s="25"/>
      <c r="J319" s="25"/>
    </row>
    <row r="320" spans="4:10" s="4" customFormat="1" ht="12.5" x14ac:dyDescent="0.25">
      <c r="D320" s="25"/>
      <c r="F320" s="25"/>
      <c r="H320" s="25"/>
      <c r="J320" s="25"/>
    </row>
    <row r="321" spans="4:10" s="4" customFormat="1" ht="12.5" x14ac:dyDescent="0.25">
      <c r="D321" s="25"/>
      <c r="F321" s="25"/>
      <c r="H321" s="25"/>
      <c r="J321" s="25"/>
    </row>
    <row r="322" spans="4:10" s="4" customFormat="1" ht="12.5" x14ac:dyDescent="0.25">
      <c r="D322" s="25"/>
      <c r="F322" s="25"/>
      <c r="H322" s="25"/>
      <c r="J322" s="25"/>
    </row>
    <row r="323" spans="4:10" s="4" customFormat="1" ht="12.5" x14ac:dyDescent="0.25">
      <c r="D323" s="25"/>
      <c r="F323" s="25"/>
      <c r="H323" s="25"/>
      <c r="J323" s="25"/>
    </row>
    <row r="324" spans="4:10" s="4" customFormat="1" ht="12.5" x14ac:dyDescent="0.25">
      <c r="D324" s="25"/>
      <c r="F324" s="25"/>
      <c r="H324" s="25"/>
      <c r="J324" s="25"/>
    </row>
    <row r="325" spans="4:10" s="4" customFormat="1" ht="12.5" x14ac:dyDescent="0.25">
      <c r="D325" s="25"/>
      <c r="F325" s="25"/>
      <c r="H325" s="25"/>
      <c r="J325" s="25"/>
    </row>
    <row r="326" spans="4:10" s="4" customFormat="1" ht="12.5" x14ac:dyDescent="0.25">
      <c r="D326" s="25"/>
      <c r="F326" s="25"/>
      <c r="H326" s="25"/>
      <c r="J326" s="25"/>
    </row>
    <row r="327" spans="4:10" s="4" customFormat="1" ht="12.5" x14ac:dyDescent="0.25">
      <c r="D327" s="25"/>
      <c r="F327" s="25"/>
      <c r="H327" s="25"/>
      <c r="J327" s="25"/>
    </row>
    <row r="328" spans="4:10" s="4" customFormat="1" ht="12.5" x14ac:dyDescent="0.25">
      <c r="D328" s="25"/>
      <c r="F328" s="25"/>
      <c r="H328" s="25"/>
      <c r="J328" s="25"/>
    </row>
    <row r="329" spans="4:10" s="4" customFormat="1" ht="12.5" x14ac:dyDescent="0.25">
      <c r="D329" s="25"/>
      <c r="F329" s="25"/>
      <c r="H329" s="25"/>
      <c r="J329" s="25"/>
    </row>
    <row r="330" spans="4:10" s="4" customFormat="1" ht="12.5" x14ac:dyDescent="0.25">
      <c r="D330" s="25"/>
      <c r="F330" s="25"/>
      <c r="H330" s="25"/>
      <c r="J330" s="25"/>
    </row>
    <row r="331" spans="4:10" s="4" customFormat="1" ht="12.5" x14ac:dyDescent="0.25">
      <c r="D331" s="25"/>
      <c r="F331" s="25"/>
      <c r="H331" s="25"/>
      <c r="J331" s="25"/>
    </row>
    <row r="332" spans="4:10" s="4" customFormat="1" ht="12.5" x14ac:dyDescent="0.25">
      <c r="D332" s="25"/>
      <c r="F332" s="25"/>
      <c r="H332" s="25"/>
      <c r="J332" s="25"/>
    </row>
    <row r="333" spans="4:10" s="4" customFormat="1" ht="12.5" x14ac:dyDescent="0.25">
      <c r="D333" s="25"/>
      <c r="F333" s="25"/>
      <c r="H333" s="25"/>
      <c r="J333" s="25"/>
    </row>
    <row r="334" spans="4:10" s="4" customFormat="1" ht="12.5" x14ac:dyDescent="0.25">
      <c r="D334" s="25"/>
      <c r="F334" s="25"/>
      <c r="H334" s="25"/>
      <c r="J334" s="25"/>
    </row>
    <row r="335" spans="4:10" s="4" customFormat="1" ht="12.5" x14ac:dyDescent="0.25">
      <c r="D335" s="25"/>
      <c r="F335" s="25"/>
      <c r="H335" s="25"/>
      <c r="J335" s="25"/>
    </row>
    <row r="336" spans="4:10" s="4" customFormat="1" ht="12.5" x14ac:dyDescent="0.25">
      <c r="D336" s="25"/>
      <c r="F336" s="25"/>
      <c r="H336" s="25"/>
      <c r="J336" s="25"/>
    </row>
    <row r="337" spans="4:10" s="4" customFormat="1" ht="12.5" x14ac:dyDescent="0.25">
      <c r="D337" s="25"/>
      <c r="F337" s="25"/>
      <c r="H337" s="25"/>
      <c r="J337" s="25"/>
    </row>
    <row r="338" spans="4:10" s="4" customFormat="1" ht="12.5" x14ac:dyDescent="0.25">
      <c r="D338" s="25"/>
      <c r="F338" s="25"/>
      <c r="H338" s="25"/>
      <c r="J338" s="25"/>
    </row>
    <row r="339" spans="4:10" s="4" customFormat="1" ht="12.5" x14ac:dyDescent="0.25">
      <c r="D339" s="25"/>
      <c r="F339" s="25"/>
      <c r="H339" s="25"/>
      <c r="J339" s="25"/>
    </row>
    <row r="340" spans="4:10" s="4" customFormat="1" ht="12.5" x14ac:dyDescent="0.25">
      <c r="D340" s="25"/>
      <c r="F340" s="25"/>
      <c r="H340" s="25"/>
      <c r="J340" s="25"/>
    </row>
    <row r="341" spans="4:10" s="4" customFormat="1" ht="12.5" x14ac:dyDescent="0.25">
      <c r="D341" s="25"/>
      <c r="F341" s="25"/>
      <c r="H341" s="25"/>
      <c r="J341" s="25"/>
    </row>
    <row r="342" spans="4:10" s="4" customFormat="1" ht="12.5" x14ac:dyDescent="0.25">
      <c r="D342" s="25"/>
      <c r="F342" s="25"/>
      <c r="H342" s="25"/>
      <c r="J342" s="25"/>
    </row>
    <row r="343" spans="4:10" s="4" customFormat="1" ht="12.5" x14ac:dyDescent="0.25">
      <c r="D343" s="25"/>
      <c r="F343" s="25"/>
      <c r="H343" s="25"/>
      <c r="J343" s="25"/>
    </row>
    <row r="344" spans="4:10" s="4" customFormat="1" ht="12.5" x14ac:dyDescent="0.25">
      <c r="D344" s="25"/>
      <c r="F344" s="25"/>
      <c r="H344" s="25"/>
      <c r="J344" s="25"/>
    </row>
    <row r="345" spans="4:10" s="4" customFormat="1" ht="12.5" x14ac:dyDescent="0.25">
      <c r="D345" s="25"/>
      <c r="F345" s="25"/>
      <c r="H345" s="25"/>
      <c r="J345" s="25"/>
    </row>
    <row r="346" spans="4:10" s="4" customFormat="1" ht="12.5" x14ac:dyDescent="0.25">
      <c r="D346" s="25"/>
      <c r="F346" s="25"/>
      <c r="H346" s="25"/>
      <c r="J346" s="25"/>
    </row>
    <row r="347" spans="4:10" s="4" customFormat="1" ht="12.5" x14ac:dyDescent="0.25">
      <c r="D347" s="25"/>
      <c r="F347" s="25"/>
      <c r="H347" s="25"/>
      <c r="J347" s="25"/>
    </row>
    <row r="348" spans="4:10" s="4" customFormat="1" ht="12.5" x14ac:dyDescent="0.25">
      <c r="D348" s="25"/>
      <c r="F348" s="25"/>
      <c r="H348" s="25"/>
      <c r="J348" s="25"/>
    </row>
    <row r="349" spans="4:10" s="4" customFormat="1" ht="12.5" x14ac:dyDescent="0.25">
      <c r="D349" s="25"/>
      <c r="F349" s="25"/>
      <c r="H349" s="25"/>
      <c r="J349" s="25"/>
    </row>
    <row r="350" spans="4:10" s="4" customFormat="1" ht="12.5" x14ac:dyDescent="0.25">
      <c r="D350" s="25"/>
      <c r="F350" s="25"/>
      <c r="H350" s="25"/>
      <c r="J350" s="25"/>
    </row>
    <row r="351" spans="4:10" s="4" customFormat="1" ht="12.5" x14ac:dyDescent="0.25">
      <c r="D351" s="25"/>
      <c r="F351" s="25"/>
      <c r="H351" s="25"/>
      <c r="J351" s="25"/>
    </row>
    <row r="352" spans="4:10" s="4" customFormat="1" ht="12.5" x14ac:dyDescent="0.25">
      <c r="D352" s="25"/>
      <c r="F352" s="25"/>
      <c r="H352" s="25"/>
      <c r="J352" s="25"/>
    </row>
    <row r="353" spans="4:10" s="4" customFormat="1" ht="12.5" x14ac:dyDescent="0.25">
      <c r="D353" s="25"/>
      <c r="F353" s="25"/>
      <c r="H353" s="25"/>
      <c r="J353" s="25"/>
    </row>
    <row r="354" spans="4:10" s="4" customFormat="1" ht="12.5" x14ac:dyDescent="0.25">
      <c r="D354" s="25"/>
      <c r="F354" s="25"/>
      <c r="H354" s="25"/>
      <c r="J354" s="25"/>
    </row>
    <row r="355" spans="4:10" s="4" customFormat="1" ht="12.5" x14ac:dyDescent="0.25">
      <c r="D355" s="25"/>
      <c r="F355" s="25"/>
      <c r="H355" s="25"/>
      <c r="J355" s="25"/>
    </row>
    <row r="356" spans="4:10" s="4" customFormat="1" ht="12.5" x14ac:dyDescent="0.25">
      <c r="D356" s="25"/>
      <c r="F356" s="25"/>
      <c r="H356" s="25"/>
      <c r="J356" s="25"/>
    </row>
    <row r="357" spans="4:10" s="4" customFormat="1" ht="12.5" x14ac:dyDescent="0.25">
      <c r="D357" s="25"/>
      <c r="F357" s="25"/>
      <c r="H357" s="25"/>
      <c r="J357" s="25"/>
    </row>
    <row r="358" spans="4:10" s="4" customFormat="1" ht="12.5" x14ac:dyDescent="0.25">
      <c r="D358" s="25"/>
      <c r="F358" s="25"/>
      <c r="H358" s="25"/>
      <c r="J358" s="25"/>
    </row>
    <row r="359" spans="4:10" s="4" customFormat="1" ht="12.5" x14ac:dyDescent="0.25">
      <c r="D359" s="25"/>
      <c r="F359" s="25"/>
      <c r="H359" s="25"/>
      <c r="J359" s="25"/>
    </row>
    <row r="360" spans="4:10" s="4" customFormat="1" ht="12.5" x14ac:dyDescent="0.25">
      <c r="D360" s="25"/>
      <c r="F360" s="25"/>
      <c r="H360" s="25"/>
      <c r="J360" s="25"/>
    </row>
    <row r="361" spans="4:10" s="4" customFormat="1" ht="12.5" x14ac:dyDescent="0.25">
      <c r="D361" s="25"/>
      <c r="F361" s="25"/>
      <c r="H361" s="25"/>
      <c r="J361" s="25"/>
    </row>
    <row r="362" spans="4:10" s="4" customFormat="1" ht="12.5" x14ac:dyDescent="0.25">
      <c r="D362" s="25"/>
      <c r="F362" s="25"/>
      <c r="H362" s="25"/>
      <c r="J362" s="25"/>
    </row>
    <row r="363" spans="4:10" s="4" customFormat="1" ht="12.5" x14ac:dyDescent="0.25">
      <c r="D363" s="25"/>
      <c r="F363" s="25"/>
      <c r="H363" s="25"/>
      <c r="J363" s="25"/>
    </row>
    <row r="364" spans="4:10" s="4" customFormat="1" ht="12.5" x14ac:dyDescent="0.25">
      <c r="D364" s="25"/>
      <c r="F364" s="25"/>
      <c r="H364" s="25"/>
      <c r="J364" s="25"/>
    </row>
    <row r="365" spans="4:10" s="4" customFormat="1" ht="12.5" x14ac:dyDescent="0.25">
      <c r="D365" s="25"/>
      <c r="F365" s="25"/>
      <c r="H365" s="25"/>
      <c r="J365" s="25"/>
    </row>
    <row r="366" spans="4:10" s="4" customFormat="1" ht="12.5" x14ac:dyDescent="0.25">
      <c r="D366" s="25"/>
      <c r="F366" s="25"/>
      <c r="H366" s="25"/>
      <c r="J366" s="25"/>
    </row>
    <row r="367" spans="4:10" s="4" customFormat="1" ht="12.5" x14ac:dyDescent="0.25">
      <c r="D367" s="25"/>
      <c r="F367" s="25"/>
      <c r="H367" s="25"/>
      <c r="J367" s="25"/>
    </row>
    <row r="368" spans="4:10" s="4" customFormat="1" ht="12.5" x14ac:dyDescent="0.25">
      <c r="D368" s="25"/>
      <c r="F368" s="25"/>
      <c r="H368" s="25"/>
      <c r="J368" s="25"/>
    </row>
    <row r="369" spans="4:10" s="4" customFormat="1" ht="12.5" x14ac:dyDescent="0.25">
      <c r="D369" s="25"/>
      <c r="F369" s="25"/>
      <c r="H369" s="25"/>
      <c r="J369" s="25"/>
    </row>
    <row r="370" spans="4:10" s="4" customFormat="1" ht="12.5" x14ac:dyDescent="0.25">
      <c r="D370" s="25"/>
      <c r="F370" s="25"/>
      <c r="H370" s="25"/>
      <c r="J370" s="25"/>
    </row>
    <row r="371" spans="4:10" s="4" customFormat="1" ht="12.5" x14ac:dyDescent="0.25">
      <c r="D371" s="25"/>
      <c r="F371" s="25"/>
      <c r="H371" s="25"/>
      <c r="J371" s="25"/>
    </row>
    <row r="372" spans="4:10" s="4" customFormat="1" ht="12.5" x14ac:dyDescent="0.25">
      <c r="D372" s="25"/>
      <c r="F372" s="25"/>
      <c r="H372" s="25"/>
      <c r="J372" s="25"/>
    </row>
    <row r="373" spans="4:10" s="4" customFormat="1" ht="12.5" x14ac:dyDescent="0.25">
      <c r="D373" s="25"/>
      <c r="F373" s="25"/>
      <c r="H373" s="25"/>
      <c r="J373" s="25"/>
    </row>
    <row r="374" spans="4:10" s="4" customFormat="1" ht="12.5" x14ac:dyDescent="0.25">
      <c r="D374" s="25"/>
      <c r="F374" s="25"/>
      <c r="H374" s="25"/>
      <c r="J374" s="25"/>
    </row>
    <row r="375" spans="4:10" s="4" customFormat="1" ht="12.5" x14ac:dyDescent="0.25">
      <c r="D375" s="25"/>
      <c r="F375" s="25"/>
      <c r="H375" s="25"/>
      <c r="J375" s="25"/>
    </row>
    <row r="376" spans="4:10" s="4" customFormat="1" ht="12.5" x14ac:dyDescent="0.25">
      <c r="D376" s="25"/>
      <c r="F376" s="25"/>
      <c r="H376" s="25"/>
      <c r="J376" s="25"/>
    </row>
    <row r="377" spans="4:10" s="4" customFormat="1" ht="12.5" x14ac:dyDescent="0.25">
      <c r="D377" s="25"/>
      <c r="F377" s="25"/>
      <c r="H377" s="25"/>
      <c r="J377" s="25"/>
    </row>
    <row r="378" spans="4:10" s="4" customFormat="1" ht="12.5" x14ac:dyDescent="0.25">
      <c r="D378" s="25"/>
      <c r="F378" s="25"/>
      <c r="H378" s="25"/>
      <c r="J378" s="25"/>
    </row>
    <row r="379" spans="4:10" s="4" customFormat="1" ht="12.5" x14ac:dyDescent="0.25">
      <c r="D379" s="25"/>
      <c r="F379" s="25"/>
      <c r="H379" s="25"/>
      <c r="J379" s="25"/>
    </row>
    <row r="380" spans="4:10" s="4" customFormat="1" ht="12.5" x14ac:dyDescent="0.25">
      <c r="D380" s="25"/>
      <c r="F380" s="25"/>
      <c r="H380" s="25"/>
      <c r="J380" s="25"/>
    </row>
    <row r="381" spans="4:10" s="4" customFormat="1" ht="12.5" x14ac:dyDescent="0.25">
      <c r="D381" s="25"/>
      <c r="F381" s="25"/>
      <c r="H381" s="25"/>
      <c r="J381" s="25"/>
    </row>
    <row r="382" spans="4:10" s="4" customFormat="1" ht="12.5" x14ac:dyDescent="0.25">
      <c r="D382" s="25"/>
      <c r="F382" s="25"/>
      <c r="H382" s="25"/>
      <c r="J382" s="25"/>
    </row>
    <row r="383" spans="4:10" s="4" customFormat="1" ht="12.5" x14ac:dyDescent="0.25">
      <c r="D383" s="25"/>
      <c r="F383" s="25"/>
      <c r="H383" s="25"/>
      <c r="J383" s="25"/>
    </row>
    <row r="384" spans="4:10" s="4" customFormat="1" ht="12.5" x14ac:dyDescent="0.25">
      <c r="D384" s="25"/>
      <c r="F384" s="25"/>
      <c r="H384" s="25"/>
      <c r="J384" s="25"/>
    </row>
    <row r="385" spans="4:10" s="4" customFormat="1" ht="12.5" x14ac:dyDescent="0.25">
      <c r="D385" s="25"/>
      <c r="F385" s="25"/>
      <c r="H385" s="25"/>
      <c r="J385" s="25"/>
    </row>
    <row r="386" spans="4:10" s="4" customFormat="1" ht="12.5" x14ac:dyDescent="0.25">
      <c r="D386" s="25"/>
      <c r="F386" s="25"/>
      <c r="H386" s="25"/>
      <c r="J386" s="25"/>
    </row>
    <row r="387" spans="4:10" s="4" customFormat="1" ht="12.5" x14ac:dyDescent="0.25">
      <c r="D387" s="25"/>
      <c r="F387" s="25"/>
      <c r="H387" s="25"/>
      <c r="J387" s="25"/>
    </row>
    <row r="388" spans="4:10" s="4" customFormat="1" ht="12.5" x14ac:dyDescent="0.25">
      <c r="D388" s="25"/>
      <c r="F388" s="25"/>
      <c r="H388" s="25"/>
      <c r="J388" s="25"/>
    </row>
    <row r="389" spans="4:10" s="4" customFormat="1" ht="12.5" x14ac:dyDescent="0.25">
      <c r="D389" s="25"/>
      <c r="F389" s="25"/>
      <c r="H389" s="25"/>
      <c r="J389" s="25"/>
    </row>
    <row r="390" spans="4:10" s="4" customFormat="1" ht="12.5" x14ac:dyDescent="0.25">
      <c r="D390" s="25"/>
      <c r="F390" s="25"/>
      <c r="H390" s="25"/>
      <c r="J390" s="25"/>
    </row>
    <row r="391" spans="4:10" s="4" customFormat="1" ht="12.5" x14ac:dyDescent="0.25">
      <c r="D391" s="25"/>
      <c r="F391" s="25"/>
      <c r="H391" s="25"/>
      <c r="J391" s="25"/>
    </row>
    <row r="392" spans="4:10" s="4" customFormat="1" ht="12.5" x14ac:dyDescent="0.25">
      <c r="D392" s="25"/>
      <c r="F392" s="25"/>
      <c r="H392" s="25"/>
      <c r="J392" s="25"/>
    </row>
    <row r="393" spans="4:10" s="4" customFormat="1" ht="12.5" x14ac:dyDescent="0.25">
      <c r="D393" s="25"/>
      <c r="F393" s="25"/>
      <c r="H393" s="25"/>
      <c r="J393" s="25"/>
    </row>
    <row r="394" spans="4:10" s="4" customFormat="1" ht="12.5" x14ac:dyDescent="0.25">
      <c r="D394" s="25"/>
      <c r="F394" s="25"/>
      <c r="H394" s="25"/>
      <c r="J394" s="25"/>
    </row>
    <row r="395" spans="4:10" s="4" customFormat="1" ht="12.5" x14ac:dyDescent="0.25">
      <c r="D395" s="25"/>
      <c r="F395" s="25"/>
      <c r="H395" s="25"/>
      <c r="J395" s="25"/>
    </row>
    <row r="396" spans="4:10" s="4" customFormat="1" ht="12.5" x14ac:dyDescent="0.25">
      <c r="D396" s="25"/>
      <c r="F396" s="25"/>
      <c r="H396" s="25"/>
      <c r="J396" s="25"/>
    </row>
    <row r="397" spans="4:10" s="4" customFormat="1" ht="12.5" x14ac:dyDescent="0.25">
      <c r="D397" s="25"/>
      <c r="F397" s="25"/>
      <c r="H397" s="25"/>
      <c r="J397" s="25"/>
    </row>
    <row r="398" spans="4:10" s="4" customFormat="1" ht="12.5" x14ac:dyDescent="0.25">
      <c r="D398" s="25"/>
      <c r="F398" s="25"/>
      <c r="H398" s="25"/>
      <c r="J398" s="25"/>
    </row>
    <row r="399" spans="4:10" s="4" customFormat="1" ht="12.5" x14ac:dyDescent="0.25">
      <c r="D399" s="25"/>
      <c r="F399" s="25"/>
      <c r="H399" s="25"/>
      <c r="J399" s="25"/>
    </row>
    <row r="400" spans="4:10" s="4" customFormat="1" ht="12.5" x14ac:dyDescent="0.25">
      <c r="D400" s="25"/>
      <c r="F400" s="25"/>
      <c r="H400" s="25"/>
      <c r="J400" s="25"/>
    </row>
    <row r="401" spans="4:10" s="4" customFormat="1" ht="12.5" x14ac:dyDescent="0.25">
      <c r="D401" s="25"/>
      <c r="F401" s="25"/>
      <c r="H401" s="25"/>
      <c r="J401" s="25"/>
    </row>
    <row r="402" spans="4:10" s="4" customFormat="1" ht="12.5" x14ac:dyDescent="0.25">
      <c r="D402" s="25"/>
      <c r="F402" s="25"/>
      <c r="H402" s="25"/>
      <c r="J402" s="25"/>
    </row>
    <row r="403" spans="4:10" s="4" customFormat="1" ht="12.5" x14ac:dyDescent="0.25">
      <c r="D403" s="25"/>
      <c r="F403" s="25"/>
      <c r="H403" s="25"/>
      <c r="J403" s="25"/>
    </row>
    <row r="404" spans="4:10" s="4" customFormat="1" ht="12.5" x14ac:dyDescent="0.25">
      <c r="D404" s="25"/>
      <c r="F404" s="25"/>
      <c r="H404" s="25"/>
      <c r="J404" s="25"/>
    </row>
    <row r="405" spans="4:10" s="4" customFormat="1" ht="12.5" x14ac:dyDescent="0.25">
      <c r="D405" s="25"/>
      <c r="F405" s="25"/>
      <c r="H405" s="25"/>
      <c r="J405" s="25"/>
    </row>
    <row r="406" spans="4:10" s="4" customFormat="1" ht="12.5" x14ac:dyDescent="0.25">
      <c r="D406" s="25"/>
      <c r="F406" s="25"/>
      <c r="H406" s="25"/>
      <c r="J406" s="25"/>
    </row>
    <row r="407" spans="4:10" s="4" customFormat="1" ht="12.5" x14ac:dyDescent="0.25">
      <c r="D407" s="25"/>
      <c r="F407" s="25"/>
      <c r="H407" s="25"/>
      <c r="J407" s="25"/>
    </row>
    <row r="408" spans="4:10" s="4" customFormat="1" ht="12.5" x14ac:dyDescent="0.25">
      <c r="D408" s="25"/>
      <c r="F408" s="25"/>
      <c r="H408" s="25"/>
      <c r="J408" s="25"/>
    </row>
    <row r="409" spans="4:10" s="4" customFormat="1" ht="12.5" x14ac:dyDescent="0.25">
      <c r="D409" s="25"/>
      <c r="F409" s="25"/>
      <c r="H409" s="25"/>
      <c r="J409" s="25"/>
    </row>
    <row r="410" spans="4:10" s="4" customFormat="1" ht="12.5" x14ac:dyDescent="0.25">
      <c r="D410" s="25"/>
      <c r="F410" s="25"/>
      <c r="H410" s="25"/>
      <c r="J410" s="25"/>
    </row>
    <row r="411" spans="4:10" s="4" customFormat="1" ht="12.5" x14ac:dyDescent="0.25">
      <c r="D411" s="25"/>
      <c r="F411" s="25"/>
      <c r="H411" s="25"/>
      <c r="J411" s="25"/>
    </row>
    <row r="412" spans="4:10" s="4" customFormat="1" ht="12.5" x14ac:dyDescent="0.25">
      <c r="D412" s="25"/>
      <c r="F412" s="25"/>
      <c r="H412" s="25"/>
      <c r="J412" s="25"/>
    </row>
    <row r="413" spans="4:10" s="4" customFormat="1" ht="12.5" x14ac:dyDescent="0.25">
      <c r="D413" s="25"/>
      <c r="F413" s="25"/>
      <c r="H413" s="25"/>
      <c r="J413" s="25"/>
    </row>
    <row r="414" spans="4:10" s="4" customFormat="1" ht="12.5" x14ac:dyDescent="0.25">
      <c r="D414" s="25"/>
      <c r="F414" s="25"/>
      <c r="H414" s="25"/>
      <c r="J414" s="25"/>
    </row>
    <row r="415" spans="4:10" s="4" customFormat="1" ht="12.5" x14ac:dyDescent="0.25">
      <c r="D415" s="25"/>
      <c r="F415" s="25"/>
      <c r="H415" s="25"/>
      <c r="J415" s="25"/>
    </row>
    <row r="416" spans="4:10" s="4" customFormat="1" ht="12.5" x14ac:dyDescent="0.25">
      <c r="D416" s="25"/>
      <c r="F416" s="25"/>
      <c r="H416" s="25"/>
      <c r="J416" s="25"/>
    </row>
    <row r="417" spans="4:10" s="4" customFormat="1" ht="12.5" x14ac:dyDescent="0.25">
      <c r="D417" s="25"/>
      <c r="F417" s="25"/>
      <c r="H417" s="25"/>
      <c r="J417" s="25"/>
    </row>
    <row r="418" spans="4:10" s="4" customFormat="1" ht="12.5" x14ac:dyDescent="0.25">
      <c r="D418" s="25"/>
      <c r="F418" s="25"/>
      <c r="H418" s="25"/>
      <c r="J418" s="25"/>
    </row>
    <row r="419" spans="4:10" s="4" customFormat="1" ht="12.5" x14ac:dyDescent="0.25">
      <c r="D419" s="25"/>
      <c r="F419" s="25"/>
      <c r="H419" s="25"/>
      <c r="J419" s="25"/>
    </row>
    <row r="420" spans="4:10" s="4" customFormat="1" ht="12.5" x14ac:dyDescent="0.25">
      <c r="D420" s="25"/>
      <c r="F420" s="25"/>
      <c r="H420" s="25"/>
      <c r="J420" s="25"/>
    </row>
    <row r="421" spans="4:10" s="4" customFormat="1" ht="12.5" x14ac:dyDescent="0.25">
      <c r="D421" s="25"/>
      <c r="F421" s="25"/>
      <c r="H421" s="25"/>
      <c r="J421" s="25"/>
    </row>
    <row r="422" spans="4:10" s="4" customFormat="1" ht="12.5" x14ac:dyDescent="0.25">
      <c r="D422" s="25"/>
      <c r="F422" s="25"/>
      <c r="H422" s="25"/>
      <c r="J422" s="25"/>
    </row>
    <row r="423" spans="4:10" s="4" customFormat="1" ht="12.5" x14ac:dyDescent="0.25">
      <c r="D423" s="25"/>
      <c r="F423" s="25"/>
      <c r="H423" s="25"/>
      <c r="J423" s="25"/>
    </row>
    <row r="424" spans="4:10" s="4" customFormat="1" ht="12.5" x14ac:dyDescent="0.25">
      <c r="D424" s="25"/>
      <c r="F424" s="25"/>
      <c r="H424" s="25"/>
      <c r="J424" s="25"/>
    </row>
    <row r="425" spans="4:10" s="4" customFormat="1" ht="12.5" x14ac:dyDescent="0.25">
      <c r="D425" s="25"/>
      <c r="F425" s="25"/>
      <c r="H425" s="25"/>
      <c r="J425" s="25"/>
    </row>
    <row r="426" spans="4:10" s="4" customFormat="1" ht="12.5" x14ac:dyDescent="0.25">
      <c r="D426" s="25"/>
      <c r="F426" s="25"/>
      <c r="H426" s="25"/>
      <c r="J426" s="25"/>
    </row>
    <row r="427" spans="4:10" s="4" customFormat="1" ht="12.5" x14ac:dyDescent="0.25">
      <c r="D427" s="25"/>
      <c r="F427" s="25"/>
      <c r="H427" s="25"/>
      <c r="J427" s="25"/>
    </row>
    <row r="428" spans="4:10" s="4" customFormat="1" ht="12.5" x14ac:dyDescent="0.25">
      <c r="D428" s="25"/>
      <c r="F428" s="25"/>
      <c r="H428" s="25"/>
      <c r="J428" s="25"/>
    </row>
    <row r="429" spans="4:10" s="4" customFormat="1" ht="12.5" x14ac:dyDescent="0.25">
      <c r="D429" s="25"/>
      <c r="F429" s="25"/>
      <c r="H429" s="25"/>
      <c r="J429" s="25"/>
    </row>
    <row r="430" spans="4:10" s="4" customFormat="1" ht="12.5" x14ac:dyDescent="0.25">
      <c r="D430" s="25"/>
      <c r="F430" s="25"/>
      <c r="H430" s="25"/>
      <c r="J430" s="25"/>
    </row>
    <row r="431" spans="4:10" s="4" customFormat="1" ht="12.5" x14ac:dyDescent="0.25">
      <c r="D431" s="25"/>
      <c r="F431" s="25"/>
      <c r="H431" s="25"/>
      <c r="J431" s="25"/>
    </row>
    <row r="432" spans="4:10" s="4" customFormat="1" ht="12.5" x14ac:dyDescent="0.25">
      <c r="D432" s="25"/>
      <c r="F432" s="25"/>
      <c r="H432" s="25"/>
      <c r="J432" s="25"/>
    </row>
    <row r="433" spans="4:10" s="4" customFormat="1" ht="12.5" x14ac:dyDescent="0.25">
      <c r="D433" s="25"/>
      <c r="F433" s="25"/>
      <c r="H433" s="25"/>
      <c r="J433" s="25"/>
    </row>
    <row r="434" spans="4:10" s="4" customFormat="1" ht="12.5" x14ac:dyDescent="0.25">
      <c r="D434" s="25"/>
      <c r="F434" s="25"/>
      <c r="H434" s="25"/>
      <c r="J434" s="25"/>
    </row>
    <row r="435" spans="4:10" s="4" customFormat="1" ht="12.5" x14ac:dyDescent="0.25">
      <c r="D435" s="25"/>
      <c r="F435" s="25"/>
      <c r="H435" s="25"/>
      <c r="J435" s="25"/>
    </row>
    <row r="436" spans="4:10" s="4" customFormat="1" ht="12.5" x14ac:dyDescent="0.25">
      <c r="D436" s="25"/>
      <c r="F436" s="25"/>
      <c r="H436" s="25"/>
      <c r="J436" s="25"/>
    </row>
    <row r="437" spans="4:10" s="4" customFormat="1" ht="12.5" x14ac:dyDescent="0.25">
      <c r="D437" s="25"/>
      <c r="F437" s="25"/>
      <c r="H437" s="25"/>
      <c r="J437" s="25"/>
    </row>
    <row r="438" spans="4:10" s="4" customFormat="1" ht="12.5" x14ac:dyDescent="0.25">
      <c r="D438" s="25"/>
      <c r="F438" s="25"/>
      <c r="H438" s="25"/>
      <c r="J438" s="25"/>
    </row>
    <row r="439" spans="4:10" s="4" customFormat="1" ht="12.5" x14ac:dyDescent="0.25">
      <c r="D439" s="25"/>
      <c r="F439" s="25"/>
      <c r="H439" s="25"/>
      <c r="J439" s="25"/>
    </row>
    <row r="440" spans="4:10" s="4" customFormat="1" ht="12.5" x14ac:dyDescent="0.25">
      <c r="D440" s="25"/>
      <c r="F440" s="25"/>
      <c r="H440" s="25"/>
      <c r="J440" s="25"/>
    </row>
    <row r="441" spans="4:10" s="4" customFormat="1" ht="12.5" x14ac:dyDescent="0.25">
      <c r="D441" s="25"/>
      <c r="F441" s="25"/>
      <c r="H441" s="25"/>
      <c r="J441" s="25"/>
    </row>
    <row r="442" spans="4:10" s="4" customFormat="1" ht="12.5" x14ac:dyDescent="0.25">
      <c r="D442" s="25"/>
      <c r="F442" s="25"/>
      <c r="H442" s="25"/>
      <c r="J442" s="25"/>
    </row>
    <row r="443" spans="4:10" s="4" customFormat="1" ht="12.5" x14ac:dyDescent="0.25">
      <c r="D443" s="25"/>
      <c r="F443" s="25"/>
      <c r="H443" s="25"/>
      <c r="J443" s="25"/>
    </row>
    <row r="444" spans="4:10" s="4" customFormat="1" ht="12.5" x14ac:dyDescent="0.25">
      <c r="D444" s="25"/>
      <c r="F444" s="25"/>
      <c r="H444" s="25"/>
      <c r="J444" s="25"/>
    </row>
    <row r="445" spans="4:10" s="4" customFormat="1" ht="12.5" x14ac:dyDescent="0.25">
      <c r="D445" s="25"/>
      <c r="F445" s="25"/>
      <c r="H445" s="25"/>
      <c r="J445" s="25"/>
    </row>
    <row r="446" spans="4:10" s="4" customFormat="1" ht="12.5" x14ac:dyDescent="0.25">
      <c r="D446" s="25"/>
      <c r="F446" s="25"/>
      <c r="H446" s="25"/>
      <c r="J446" s="25"/>
    </row>
    <row r="447" spans="4:10" s="4" customFormat="1" ht="12.5" x14ac:dyDescent="0.25">
      <c r="D447" s="25"/>
      <c r="F447" s="25"/>
      <c r="H447" s="25"/>
      <c r="J447" s="25"/>
    </row>
    <row r="448" spans="4:10" s="4" customFormat="1" ht="12.5" x14ac:dyDescent="0.25">
      <c r="D448" s="25"/>
      <c r="F448" s="25"/>
      <c r="H448" s="25"/>
      <c r="J448" s="25"/>
    </row>
    <row r="449" spans="4:10" s="4" customFormat="1" ht="12.5" x14ac:dyDescent="0.25">
      <c r="D449" s="25"/>
      <c r="F449" s="25"/>
      <c r="H449" s="25"/>
      <c r="J449" s="25"/>
    </row>
    <row r="450" spans="4:10" s="4" customFormat="1" ht="12.5" x14ac:dyDescent="0.25">
      <c r="D450" s="25"/>
      <c r="F450" s="25"/>
      <c r="H450" s="25"/>
      <c r="J450" s="25"/>
    </row>
    <row r="451" spans="4:10" s="4" customFormat="1" ht="12.5" x14ac:dyDescent="0.25">
      <c r="D451" s="25"/>
      <c r="F451" s="25"/>
      <c r="H451" s="25"/>
      <c r="J451" s="25"/>
    </row>
    <row r="452" spans="4:10" s="4" customFormat="1" ht="12.5" x14ac:dyDescent="0.25">
      <c r="D452" s="25"/>
      <c r="F452" s="25"/>
      <c r="H452" s="25"/>
      <c r="J452" s="25"/>
    </row>
    <row r="453" spans="4:10" s="4" customFormat="1" ht="12.5" x14ac:dyDescent="0.25">
      <c r="D453" s="25"/>
      <c r="F453" s="25"/>
      <c r="H453" s="25"/>
      <c r="J453" s="25"/>
    </row>
    <row r="454" spans="4:10" s="4" customFormat="1" ht="12.5" x14ac:dyDescent="0.25">
      <c r="D454" s="25"/>
      <c r="F454" s="25"/>
      <c r="H454" s="25"/>
      <c r="J454" s="25"/>
    </row>
    <row r="455" spans="4:10" s="4" customFormat="1" ht="12.5" x14ac:dyDescent="0.25">
      <c r="D455" s="25"/>
      <c r="F455" s="25"/>
      <c r="H455" s="25"/>
      <c r="J455" s="25"/>
    </row>
    <row r="456" spans="4:10" s="4" customFormat="1" ht="12.5" x14ac:dyDescent="0.25">
      <c r="D456" s="25"/>
      <c r="F456" s="25"/>
      <c r="H456" s="25"/>
      <c r="J456" s="25"/>
    </row>
    <row r="457" spans="4:10" s="4" customFormat="1" ht="12.5" x14ac:dyDescent="0.25">
      <c r="D457" s="25"/>
      <c r="F457" s="25"/>
      <c r="H457" s="25"/>
      <c r="J457" s="25"/>
    </row>
    <row r="458" spans="4:10" s="4" customFormat="1" ht="12.5" x14ac:dyDescent="0.25">
      <c r="D458" s="25"/>
      <c r="F458" s="25"/>
      <c r="H458" s="25"/>
      <c r="J458" s="25"/>
    </row>
    <row r="459" spans="4:10" s="4" customFormat="1" ht="12.5" x14ac:dyDescent="0.25">
      <c r="D459" s="25"/>
      <c r="F459" s="25"/>
      <c r="H459" s="25"/>
      <c r="J459" s="25"/>
    </row>
    <row r="460" spans="4:10" s="4" customFormat="1" ht="12.5" x14ac:dyDescent="0.25">
      <c r="D460" s="25"/>
      <c r="F460" s="25"/>
      <c r="H460" s="25"/>
      <c r="J460" s="25"/>
    </row>
    <row r="461" spans="4:10" s="4" customFormat="1" ht="12.5" x14ac:dyDescent="0.25">
      <c r="D461" s="25"/>
      <c r="F461" s="25"/>
      <c r="H461" s="25"/>
      <c r="J461" s="25"/>
    </row>
    <row r="462" spans="4:10" s="4" customFormat="1" ht="12.5" x14ac:dyDescent="0.25">
      <c r="D462" s="25"/>
      <c r="F462" s="25"/>
      <c r="H462" s="25"/>
      <c r="J462" s="25"/>
    </row>
    <row r="463" spans="4:10" s="4" customFormat="1" ht="12.5" x14ac:dyDescent="0.25">
      <c r="D463" s="25"/>
      <c r="F463" s="25"/>
      <c r="H463" s="25"/>
      <c r="J463" s="25"/>
    </row>
    <row r="464" spans="4:10" s="4" customFormat="1" ht="12.5" x14ac:dyDescent="0.25">
      <c r="D464" s="25"/>
      <c r="F464" s="25"/>
      <c r="H464" s="25"/>
      <c r="J464" s="25"/>
    </row>
    <row r="465" spans="4:10" s="4" customFormat="1" ht="12.5" x14ac:dyDescent="0.25">
      <c r="D465" s="25"/>
      <c r="F465" s="25"/>
      <c r="H465" s="25"/>
      <c r="J465" s="25"/>
    </row>
    <row r="466" spans="4:10" s="4" customFormat="1" ht="12.5" x14ac:dyDescent="0.25">
      <c r="D466" s="25"/>
      <c r="F466" s="25"/>
      <c r="H466" s="25"/>
      <c r="J466" s="25"/>
    </row>
    <row r="467" spans="4:10" s="4" customFormat="1" ht="12.5" x14ac:dyDescent="0.25">
      <c r="D467" s="25"/>
      <c r="F467" s="25"/>
      <c r="H467" s="25"/>
      <c r="J467" s="25"/>
    </row>
    <row r="468" spans="4:10" s="4" customFormat="1" ht="12.5" x14ac:dyDescent="0.25">
      <c r="D468" s="25"/>
      <c r="F468" s="25"/>
      <c r="H468" s="25"/>
      <c r="J468" s="25"/>
    </row>
    <row r="469" spans="4:10" s="4" customFormat="1" ht="12.5" x14ac:dyDescent="0.25">
      <c r="D469" s="25"/>
      <c r="F469" s="25"/>
      <c r="H469" s="25"/>
      <c r="J469" s="25"/>
    </row>
    <row r="470" spans="4:10" s="4" customFormat="1" ht="12.5" x14ac:dyDescent="0.25">
      <c r="D470" s="25"/>
      <c r="F470" s="25"/>
      <c r="H470" s="25"/>
      <c r="J470" s="25"/>
    </row>
    <row r="471" spans="4:10" s="4" customFormat="1" ht="12.5" x14ac:dyDescent="0.25">
      <c r="D471" s="25"/>
      <c r="F471" s="25"/>
      <c r="H471" s="25"/>
      <c r="J471" s="25"/>
    </row>
    <row r="472" spans="4:10" s="4" customFormat="1" ht="12.5" x14ac:dyDescent="0.25">
      <c r="D472" s="25"/>
      <c r="F472" s="25"/>
      <c r="H472" s="25"/>
      <c r="J472" s="25"/>
    </row>
    <row r="473" spans="4:10" s="4" customFormat="1" ht="12.5" x14ac:dyDescent="0.25">
      <c r="D473" s="25"/>
      <c r="F473" s="25"/>
      <c r="H473" s="25"/>
      <c r="J473" s="25"/>
    </row>
    <row r="474" spans="4:10" s="4" customFormat="1" ht="12.5" x14ac:dyDescent="0.25">
      <c r="D474" s="25"/>
      <c r="F474" s="25"/>
      <c r="H474" s="25"/>
      <c r="J474" s="25"/>
    </row>
    <row r="475" spans="4:10" s="4" customFormat="1" ht="12.5" x14ac:dyDescent="0.25">
      <c r="D475" s="25"/>
      <c r="F475" s="25"/>
      <c r="H475" s="25"/>
      <c r="J475" s="25"/>
    </row>
    <row r="476" spans="4:10" s="4" customFormat="1" ht="12.5" x14ac:dyDescent="0.25">
      <c r="D476" s="25"/>
      <c r="F476" s="25"/>
      <c r="H476" s="25"/>
      <c r="J476" s="25"/>
    </row>
    <row r="477" spans="4:10" s="4" customFormat="1" ht="12.5" x14ac:dyDescent="0.25">
      <c r="D477" s="25"/>
      <c r="F477" s="25"/>
      <c r="H477" s="25"/>
      <c r="J477" s="25"/>
    </row>
    <row r="478" spans="4:10" s="4" customFormat="1" ht="12.5" x14ac:dyDescent="0.25">
      <c r="D478" s="25"/>
      <c r="F478" s="25"/>
      <c r="H478" s="25"/>
      <c r="J478" s="25"/>
    </row>
    <row r="479" spans="4:10" s="4" customFormat="1" ht="12.5" x14ac:dyDescent="0.25">
      <c r="D479" s="25"/>
      <c r="F479" s="25"/>
      <c r="H479" s="25"/>
      <c r="J479" s="25"/>
    </row>
    <row r="480" spans="4:10" s="4" customFormat="1" ht="12.5" x14ac:dyDescent="0.25">
      <c r="D480" s="25"/>
      <c r="F480" s="25"/>
      <c r="H480" s="25"/>
      <c r="J480" s="25"/>
    </row>
    <row r="481" spans="4:10" s="4" customFormat="1" ht="12.5" x14ac:dyDescent="0.25">
      <c r="D481" s="25"/>
      <c r="F481" s="25"/>
      <c r="H481" s="25"/>
      <c r="J481" s="25"/>
    </row>
    <row r="482" spans="4:10" s="4" customFormat="1" ht="12.5" x14ac:dyDescent="0.25">
      <c r="D482" s="25"/>
      <c r="F482" s="25"/>
      <c r="H482" s="25"/>
      <c r="J482" s="25"/>
    </row>
    <row r="483" spans="4:10" s="4" customFormat="1" ht="12.5" x14ac:dyDescent="0.25">
      <c r="D483" s="25"/>
      <c r="F483" s="25"/>
      <c r="H483" s="25"/>
      <c r="J483" s="25"/>
    </row>
    <row r="484" spans="4:10" s="4" customFormat="1" ht="12.5" x14ac:dyDescent="0.25">
      <c r="D484" s="25"/>
      <c r="F484" s="25"/>
      <c r="H484" s="25"/>
      <c r="J484" s="25"/>
    </row>
    <row r="485" spans="4:10" s="4" customFormat="1" ht="12.5" x14ac:dyDescent="0.25">
      <c r="D485" s="25"/>
      <c r="F485" s="25"/>
      <c r="H485" s="25"/>
      <c r="J485" s="25"/>
    </row>
    <row r="486" spans="4:10" s="4" customFormat="1" ht="12.5" x14ac:dyDescent="0.25">
      <c r="D486" s="25"/>
      <c r="F486" s="25"/>
      <c r="H486" s="25"/>
      <c r="J486" s="25"/>
    </row>
    <row r="487" spans="4:10" s="4" customFormat="1" ht="12.5" x14ac:dyDescent="0.25">
      <c r="D487" s="25"/>
      <c r="F487" s="25"/>
      <c r="H487" s="25"/>
      <c r="J487" s="25"/>
    </row>
    <row r="488" spans="4:10" s="4" customFormat="1" ht="12.5" x14ac:dyDescent="0.25">
      <c r="D488" s="25"/>
      <c r="F488" s="25"/>
      <c r="H488" s="25"/>
      <c r="J488" s="25"/>
    </row>
    <row r="489" spans="4:10" s="4" customFormat="1" ht="12.5" x14ac:dyDescent="0.25">
      <c r="D489" s="25"/>
      <c r="F489" s="25"/>
      <c r="H489" s="25"/>
      <c r="J489" s="25"/>
    </row>
    <row r="490" spans="4:10" s="4" customFormat="1" ht="12.5" x14ac:dyDescent="0.25">
      <c r="D490" s="25"/>
      <c r="F490" s="25"/>
      <c r="H490" s="25"/>
      <c r="J490" s="25"/>
    </row>
    <row r="491" spans="4:10" s="4" customFormat="1" ht="12.5" x14ac:dyDescent="0.25">
      <c r="D491" s="25"/>
      <c r="F491" s="25"/>
      <c r="H491" s="25"/>
      <c r="J491" s="25"/>
    </row>
    <row r="492" spans="4:10" s="4" customFormat="1" ht="12.5" x14ac:dyDescent="0.25">
      <c r="D492" s="25"/>
      <c r="F492" s="25"/>
      <c r="H492" s="25"/>
      <c r="J492" s="25"/>
    </row>
    <row r="493" spans="4:10" s="4" customFormat="1" ht="12.5" x14ac:dyDescent="0.25">
      <c r="D493" s="25"/>
      <c r="F493" s="25"/>
      <c r="H493" s="25"/>
      <c r="J493" s="25"/>
    </row>
    <row r="494" spans="4:10" s="4" customFormat="1" ht="12.5" x14ac:dyDescent="0.25">
      <c r="D494" s="25"/>
      <c r="F494" s="25"/>
      <c r="H494" s="25"/>
      <c r="J494" s="25"/>
    </row>
    <row r="495" spans="4:10" s="4" customFormat="1" ht="12.5" x14ac:dyDescent="0.25">
      <c r="D495" s="25"/>
      <c r="F495" s="25"/>
      <c r="H495" s="25"/>
      <c r="J495" s="25"/>
    </row>
    <row r="496" spans="4:10" s="4" customFormat="1" ht="12.5" x14ac:dyDescent="0.25">
      <c r="D496" s="25"/>
      <c r="F496" s="25"/>
      <c r="H496" s="25"/>
      <c r="J496" s="25"/>
    </row>
    <row r="497" spans="4:10" s="4" customFormat="1" ht="12.5" x14ac:dyDescent="0.25">
      <c r="D497" s="25"/>
      <c r="F497" s="25"/>
      <c r="H497" s="25"/>
      <c r="J497" s="25"/>
    </row>
    <row r="498" spans="4:10" s="4" customFormat="1" ht="12.5" x14ac:dyDescent="0.25">
      <c r="D498" s="25"/>
      <c r="F498" s="25"/>
      <c r="H498" s="25"/>
      <c r="J498" s="25"/>
    </row>
    <row r="499" spans="4:10" s="4" customFormat="1" ht="12.5" x14ac:dyDescent="0.25">
      <c r="D499" s="25"/>
      <c r="F499" s="25"/>
      <c r="H499" s="25"/>
      <c r="J499" s="25"/>
    </row>
    <row r="500" spans="4:10" s="4" customFormat="1" ht="12.5" x14ac:dyDescent="0.25">
      <c r="D500" s="25"/>
      <c r="F500" s="25"/>
      <c r="H500" s="25"/>
      <c r="J500" s="25"/>
    </row>
    <row r="501" spans="4:10" s="4" customFormat="1" ht="12.5" x14ac:dyDescent="0.25">
      <c r="D501" s="25"/>
      <c r="F501" s="25"/>
      <c r="H501" s="25"/>
      <c r="J501" s="25"/>
    </row>
    <row r="502" spans="4:10" s="4" customFormat="1" ht="12.5" x14ac:dyDescent="0.25">
      <c r="D502" s="25"/>
      <c r="F502" s="25"/>
      <c r="H502" s="25"/>
      <c r="J502" s="25"/>
    </row>
    <row r="503" spans="4:10" s="4" customFormat="1" ht="12.5" x14ac:dyDescent="0.25">
      <c r="D503" s="25"/>
      <c r="F503" s="25"/>
      <c r="H503" s="25"/>
      <c r="J503" s="25"/>
    </row>
    <row r="504" spans="4:10" s="4" customFormat="1" ht="12.5" x14ac:dyDescent="0.25">
      <c r="D504" s="25"/>
      <c r="F504" s="25"/>
      <c r="H504" s="25"/>
      <c r="J504" s="25"/>
    </row>
    <row r="505" spans="4:10" s="4" customFormat="1" ht="12.5" x14ac:dyDescent="0.25">
      <c r="D505" s="25"/>
      <c r="F505" s="25"/>
      <c r="H505" s="25"/>
      <c r="J505" s="25"/>
    </row>
    <row r="506" spans="4:10" s="4" customFormat="1" ht="12.5" x14ac:dyDescent="0.25">
      <c r="D506" s="25"/>
      <c r="F506" s="25"/>
      <c r="H506" s="25"/>
      <c r="J506" s="25"/>
    </row>
    <row r="507" spans="4:10" s="4" customFormat="1" ht="12.5" x14ac:dyDescent="0.25">
      <c r="D507" s="25"/>
      <c r="F507" s="25"/>
      <c r="H507" s="25"/>
      <c r="J507" s="25"/>
    </row>
    <row r="508" spans="4:10" s="4" customFormat="1" ht="12.5" x14ac:dyDescent="0.25">
      <c r="D508" s="25"/>
      <c r="F508" s="25"/>
      <c r="H508" s="25"/>
      <c r="J508" s="25"/>
    </row>
    <row r="509" spans="4:10" s="4" customFormat="1" ht="12.5" x14ac:dyDescent="0.25">
      <c r="D509" s="25"/>
      <c r="F509" s="25"/>
      <c r="H509" s="25"/>
      <c r="J509" s="25"/>
    </row>
    <row r="510" spans="4:10" s="4" customFormat="1" ht="12.5" x14ac:dyDescent="0.25">
      <c r="D510" s="25"/>
      <c r="F510" s="25"/>
      <c r="H510" s="25"/>
      <c r="J510" s="25"/>
    </row>
    <row r="511" spans="4:10" s="4" customFormat="1" ht="12.5" x14ac:dyDescent="0.25">
      <c r="D511" s="25"/>
      <c r="F511" s="25"/>
      <c r="H511" s="25"/>
      <c r="J511" s="25"/>
    </row>
    <row r="512" spans="4:10" s="4" customFormat="1" ht="12.5" x14ac:dyDescent="0.25">
      <c r="D512" s="25"/>
      <c r="F512" s="25"/>
      <c r="H512" s="25"/>
      <c r="J512" s="25"/>
    </row>
    <row r="513" spans="4:10" s="4" customFormat="1" ht="12.5" x14ac:dyDescent="0.25">
      <c r="D513" s="25"/>
      <c r="F513" s="25"/>
      <c r="H513" s="25"/>
      <c r="J513" s="25"/>
    </row>
    <row r="514" spans="4:10" s="4" customFormat="1" ht="12.5" x14ac:dyDescent="0.25">
      <c r="D514" s="25"/>
      <c r="F514" s="25"/>
      <c r="H514" s="25"/>
      <c r="J514" s="25"/>
    </row>
    <row r="515" spans="4:10" s="4" customFormat="1" ht="12.5" x14ac:dyDescent="0.25">
      <c r="D515" s="25"/>
      <c r="F515" s="25"/>
      <c r="H515" s="25"/>
      <c r="J515" s="25"/>
    </row>
    <row r="516" spans="4:10" s="4" customFormat="1" ht="12.5" x14ac:dyDescent="0.25">
      <c r="D516" s="25"/>
      <c r="F516" s="25"/>
      <c r="H516" s="25"/>
      <c r="J516" s="25"/>
    </row>
    <row r="517" spans="4:10" s="4" customFormat="1" ht="12.5" x14ac:dyDescent="0.25">
      <c r="D517" s="25"/>
      <c r="F517" s="25"/>
      <c r="H517" s="25"/>
      <c r="J517" s="25"/>
    </row>
    <row r="518" spans="4:10" s="4" customFormat="1" ht="12.5" x14ac:dyDescent="0.25">
      <c r="D518" s="25"/>
      <c r="F518" s="25"/>
      <c r="H518" s="25"/>
      <c r="J518" s="25"/>
    </row>
    <row r="519" spans="4:10" s="4" customFormat="1" ht="12.5" x14ac:dyDescent="0.25">
      <c r="D519" s="25"/>
      <c r="F519" s="25"/>
      <c r="H519" s="25"/>
      <c r="J519" s="25"/>
    </row>
    <row r="520" spans="4:10" s="4" customFormat="1" ht="12.5" x14ac:dyDescent="0.25">
      <c r="D520" s="25"/>
      <c r="F520" s="25"/>
      <c r="H520" s="25"/>
      <c r="J520" s="25"/>
    </row>
    <row r="521" spans="4:10" s="4" customFormat="1" ht="12.5" x14ac:dyDescent="0.25">
      <c r="D521" s="25"/>
      <c r="F521" s="25"/>
      <c r="H521" s="25"/>
      <c r="J521" s="25"/>
    </row>
    <row r="522" spans="4:10" s="4" customFormat="1" ht="12.5" x14ac:dyDescent="0.25">
      <c r="D522" s="25"/>
      <c r="F522" s="25"/>
      <c r="H522" s="25"/>
      <c r="J522" s="25"/>
    </row>
    <row r="523" spans="4:10" s="4" customFormat="1" ht="12.5" x14ac:dyDescent="0.25">
      <c r="D523" s="25"/>
      <c r="F523" s="25"/>
      <c r="H523" s="25"/>
      <c r="J523" s="25"/>
    </row>
    <row r="524" spans="4:10" s="4" customFormat="1" ht="12.5" x14ac:dyDescent="0.25">
      <c r="D524" s="25"/>
      <c r="F524" s="25"/>
      <c r="H524" s="25"/>
      <c r="J524" s="25"/>
    </row>
    <row r="525" spans="4:10" s="4" customFormat="1" ht="12.5" x14ac:dyDescent="0.25">
      <c r="D525" s="25"/>
      <c r="F525" s="25"/>
      <c r="H525" s="25"/>
      <c r="J525" s="25"/>
    </row>
    <row r="526" spans="4:10" s="4" customFormat="1" ht="12.5" x14ac:dyDescent="0.25">
      <c r="D526" s="25"/>
      <c r="F526" s="25"/>
      <c r="H526" s="25"/>
      <c r="J526" s="25"/>
    </row>
    <row r="527" spans="4:10" s="4" customFormat="1" ht="12.5" x14ac:dyDescent="0.25">
      <c r="D527" s="25"/>
      <c r="F527" s="25"/>
      <c r="H527" s="25"/>
      <c r="J527" s="25"/>
    </row>
    <row r="528" spans="4:10" s="4" customFormat="1" ht="12.5" x14ac:dyDescent="0.25">
      <c r="D528" s="25"/>
      <c r="F528" s="25"/>
      <c r="H528" s="25"/>
      <c r="J528" s="25"/>
    </row>
    <row r="529" spans="4:10" s="4" customFormat="1" ht="12.5" x14ac:dyDescent="0.25">
      <c r="D529" s="25"/>
      <c r="F529" s="25"/>
      <c r="H529" s="25"/>
      <c r="J529" s="25"/>
    </row>
    <row r="530" spans="4:10" s="4" customFormat="1" ht="12.5" x14ac:dyDescent="0.25">
      <c r="D530" s="25"/>
      <c r="F530" s="25"/>
      <c r="H530" s="25"/>
      <c r="J530" s="25"/>
    </row>
    <row r="531" spans="4:10" s="4" customFormat="1" ht="12.5" x14ac:dyDescent="0.25">
      <c r="D531" s="25"/>
      <c r="F531" s="25"/>
      <c r="H531" s="25"/>
      <c r="J531" s="25"/>
    </row>
    <row r="532" spans="4:10" s="4" customFormat="1" ht="12.5" x14ac:dyDescent="0.25">
      <c r="D532" s="25"/>
      <c r="F532" s="25"/>
      <c r="H532" s="25"/>
      <c r="J532" s="25"/>
    </row>
    <row r="533" spans="4:10" s="4" customFormat="1" ht="12.5" x14ac:dyDescent="0.25">
      <c r="D533" s="25"/>
      <c r="F533" s="25"/>
      <c r="H533" s="25"/>
      <c r="J533" s="25"/>
    </row>
    <row r="534" spans="4:10" s="4" customFormat="1" ht="12.5" x14ac:dyDescent="0.25">
      <c r="D534" s="25"/>
      <c r="F534" s="25"/>
      <c r="H534" s="25"/>
      <c r="J534" s="25"/>
    </row>
    <row r="535" spans="4:10" s="4" customFormat="1" ht="12.5" x14ac:dyDescent="0.25">
      <c r="D535" s="25"/>
      <c r="F535" s="25"/>
      <c r="H535" s="25"/>
      <c r="J535" s="25"/>
    </row>
    <row r="536" spans="4:10" s="4" customFormat="1" ht="12.5" x14ac:dyDescent="0.25">
      <c r="D536" s="25"/>
      <c r="F536" s="25"/>
      <c r="H536" s="25"/>
      <c r="J536" s="25"/>
    </row>
    <row r="537" spans="4:10" s="4" customFormat="1" ht="12.5" x14ac:dyDescent="0.25">
      <c r="D537" s="25"/>
      <c r="F537" s="25"/>
      <c r="H537" s="25"/>
      <c r="J537" s="25"/>
    </row>
    <row r="538" spans="4:10" s="4" customFormat="1" ht="12.5" x14ac:dyDescent="0.25">
      <c r="D538" s="25"/>
      <c r="F538" s="25"/>
      <c r="H538" s="25"/>
      <c r="J538" s="25"/>
    </row>
    <row r="539" spans="4:10" s="4" customFormat="1" ht="12.5" x14ac:dyDescent="0.25">
      <c r="D539" s="25"/>
      <c r="F539" s="25"/>
      <c r="H539" s="25"/>
      <c r="J539" s="25"/>
    </row>
    <row r="540" spans="4:10" s="4" customFormat="1" ht="12.5" x14ac:dyDescent="0.25">
      <c r="D540" s="25"/>
      <c r="F540" s="25"/>
      <c r="H540" s="25"/>
      <c r="J540" s="25"/>
    </row>
    <row r="541" spans="4:10" s="4" customFormat="1" ht="12.5" x14ac:dyDescent="0.25">
      <c r="D541" s="25"/>
      <c r="F541" s="25"/>
      <c r="H541" s="25"/>
      <c r="J541" s="25"/>
    </row>
    <row r="542" spans="4:10" s="4" customFormat="1" ht="12.5" x14ac:dyDescent="0.25">
      <c r="D542" s="25"/>
      <c r="F542" s="25"/>
      <c r="H542" s="25"/>
      <c r="J542" s="25"/>
    </row>
    <row r="543" spans="4:10" s="4" customFormat="1" ht="12.5" x14ac:dyDescent="0.25">
      <c r="D543" s="25"/>
      <c r="F543" s="25"/>
      <c r="H543" s="25"/>
      <c r="J543" s="25"/>
    </row>
    <row r="544" spans="4:10" s="4" customFormat="1" ht="12.5" x14ac:dyDescent="0.25">
      <c r="D544" s="25"/>
      <c r="F544" s="25"/>
      <c r="H544" s="25"/>
      <c r="J544" s="25"/>
    </row>
    <row r="545" spans="4:10" s="4" customFormat="1" ht="12.5" x14ac:dyDescent="0.25">
      <c r="D545" s="25"/>
      <c r="F545" s="25"/>
      <c r="H545" s="25"/>
      <c r="J545" s="25"/>
    </row>
    <row r="546" spans="4:10" s="4" customFormat="1" ht="12.5" x14ac:dyDescent="0.25">
      <c r="D546" s="25"/>
      <c r="F546" s="25"/>
      <c r="H546" s="25"/>
      <c r="J546" s="25"/>
    </row>
    <row r="547" spans="4:10" s="4" customFormat="1" ht="12.5" x14ac:dyDescent="0.25">
      <c r="D547" s="25"/>
      <c r="F547" s="25"/>
      <c r="H547" s="25"/>
      <c r="J547" s="25"/>
    </row>
    <row r="548" spans="4:10" s="4" customFormat="1" ht="12.5" x14ac:dyDescent="0.25">
      <c r="D548" s="25"/>
      <c r="F548" s="25"/>
      <c r="H548" s="25"/>
      <c r="J548" s="25"/>
    </row>
    <row r="549" spans="4:10" s="4" customFormat="1" ht="12.5" x14ac:dyDescent="0.25">
      <c r="D549" s="25"/>
      <c r="F549" s="25"/>
      <c r="H549" s="25"/>
      <c r="J549" s="25"/>
    </row>
    <row r="550" spans="4:10" s="4" customFormat="1" ht="12.5" x14ac:dyDescent="0.25">
      <c r="D550" s="25"/>
      <c r="F550" s="25"/>
      <c r="H550" s="25"/>
      <c r="J550" s="25"/>
    </row>
    <row r="551" spans="4:10" s="4" customFormat="1" ht="12.5" x14ac:dyDescent="0.25">
      <c r="D551" s="25"/>
      <c r="F551" s="25"/>
      <c r="H551" s="25"/>
      <c r="J551" s="25"/>
    </row>
    <row r="552" spans="4:10" s="4" customFormat="1" ht="12.5" x14ac:dyDescent="0.25">
      <c r="D552" s="25"/>
      <c r="F552" s="25"/>
      <c r="H552" s="25"/>
      <c r="J552" s="25"/>
    </row>
    <row r="553" spans="4:10" s="4" customFormat="1" ht="12.5" x14ac:dyDescent="0.25">
      <c r="D553" s="25"/>
      <c r="F553" s="25"/>
      <c r="H553" s="25"/>
      <c r="J553" s="25"/>
    </row>
    <row r="554" spans="4:10" s="4" customFormat="1" ht="12.5" x14ac:dyDescent="0.25">
      <c r="D554" s="25"/>
      <c r="F554" s="25"/>
      <c r="H554" s="25"/>
      <c r="J554" s="25"/>
    </row>
    <row r="555" spans="4:10" s="4" customFormat="1" ht="12.5" x14ac:dyDescent="0.25">
      <c r="D555" s="25"/>
      <c r="F555" s="25"/>
      <c r="H555" s="25"/>
      <c r="J555" s="25"/>
    </row>
    <row r="556" spans="4:10" s="4" customFormat="1" ht="12.5" x14ac:dyDescent="0.25">
      <c r="D556" s="25"/>
      <c r="F556" s="25"/>
      <c r="H556" s="25"/>
      <c r="J556" s="25"/>
    </row>
    <row r="557" spans="4:10" s="4" customFormat="1" ht="12.5" x14ac:dyDescent="0.25">
      <c r="D557" s="25"/>
      <c r="F557" s="25"/>
      <c r="H557" s="25"/>
      <c r="J557" s="25"/>
    </row>
    <row r="558" spans="4:10" s="4" customFormat="1" ht="12.5" x14ac:dyDescent="0.25">
      <c r="D558" s="25"/>
      <c r="F558" s="25"/>
      <c r="H558" s="25"/>
      <c r="J558" s="25"/>
    </row>
    <row r="559" spans="4:10" s="4" customFormat="1" ht="12.5" x14ac:dyDescent="0.25">
      <c r="D559" s="25"/>
      <c r="F559" s="25"/>
      <c r="H559" s="25"/>
      <c r="J559" s="25"/>
    </row>
    <row r="560" spans="4:10" s="4" customFormat="1" ht="12.5" x14ac:dyDescent="0.25">
      <c r="D560" s="25"/>
      <c r="F560" s="25"/>
      <c r="H560" s="25"/>
      <c r="J560" s="25"/>
    </row>
    <row r="561" spans="4:10" s="4" customFormat="1" ht="12.5" x14ac:dyDescent="0.25">
      <c r="D561" s="25"/>
      <c r="F561" s="25"/>
      <c r="H561" s="25"/>
      <c r="J561" s="25"/>
    </row>
    <row r="562" spans="4:10" s="4" customFormat="1" ht="12.5" x14ac:dyDescent="0.25">
      <c r="D562" s="25"/>
      <c r="F562" s="25"/>
      <c r="H562" s="25"/>
      <c r="J562" s="25"/>
    </row>
    <row r="563" spans="4:10" s="4" customFormat="1" ht="12.5" x14ac:dyDescent="0.25">
      <c r="D563" s="25"/>
      <c r="F563" s="25"/>
      <c r="H563" s="25"/>
      <c r="J563" s="25"/>
    </row>
    <row r="564" spans="4:10" s="4" customFormat="1" ht="12.5" x14ac:dyDescent="0.25">
      <c r="D564" s="25"/>
      <c r="F564" s="25"/>
      <c r="H564" s="25"/>
      <c r="J564" s="25"/>
    </row>
    <row r="565" spans="4:10" s="4" customFormat="1" ht="12.5" x14ac:dyDescent="0.25">
      <c r="D565" s="25"/>
      <c r="F565" s="25"/>
      <c r="H565" s="25"/>
      <c r="J565" s="25"/>
    </row>
    <row r="566" spans="4:10" s="4" customFormat="1" ht="12.5" x14ac:dyDescent="0.25">
      <c r="D566" s="25"/>
      <c r="F566" s="25"/>
      <c r="H566" s="25"/>
      <c r="J566" s="25"/>
    </row>
    <row r="567" spans="4:10" s="4" customFormat="1" ht="12.5" x14ac:dyDescent="0.25">
      <c r="D567" s="25"/>
      <c r="F567" s="25"/>
      <c r="H567" s="25"/>
      <c r="J567" s="25"/>
    </row>
    <row r="568" spans="4:10" s="4" customFormat="1" ht="12.5" x14ac:dyDescent="0.25">
      <c r="D568" s="25"/>
      <c r="F568" s="25"/>
      <c r="H568" s="25"/>
      <c r="J568" s="25"/>
    </row>
    <row r="569" spans="4:10" s="4" customFormat="1" ht="12.5" x14ac:dyDescent="0.25">
      <c r="D569" s="25"/>
      <c r="F569" s="25"/>
      <c r="H569" s="25"/>
      <c r="J569" s="25"/>
    </row>
    <row r="570" spans="4:10" s="4" customFormat="1" ht="12.5" x14ac:dyDescent="0.25">
      <c r="D570" s="25"/>
      <c r="F570" s="25"/>
      <c r="H570" s="25"/>
      <c r="J570" s="25"/>
    </row>
    <row r="571" spans="4:10" s="4" customFormat="1" ht="12.5" x14ac:dyDescent="0.25">
      <c r="D571" s="25"/>
      <c r="F571" s="25"/>
      <c r="H571" s="25"/>
      <c r="J571" s="25"/>
    </row>
    <row r="572" spans="4:10" s="4" customFormat="1" ht="12.5" x14ac:dyDescent="0.25">
      <c r="D572" s="25"/>
      <c r="F572" s="25"/>
      <c r="H572" s="25"/>
      <c r="J572" s="25"/>
    </row>
    <row r="573" spans="4:10" s="4" customFormat="1" ht="12.5" x14ac:dyDescent="0.25">
      <c r="D573" s="25"/>
      <c r="F573" s="25"/>
      <c r="H573" s="25"/>
      <c r="J573" s="25"/>
    </row>
    <row r="574" spans="4:10" s="4" customFormat="1" ht="12.5" x14ac:dyDescent="0.25">
      <c r="D574" s="25"/>
      <c r="F574" s="25"/>
      <c r="H574" s="25"/>
      <c r="J574" s="25"/>
    </row>
    <row r="575" spans="4:10" s="4" customFormat="1" ht="12.5" x14ac:dyDescent="0.25">
      <c r="D575" s="25"/>
      <c r="F575" s="25"/>
      <c r="H575" s="25"/>
      <c r="J575" s="25"/>
    </row>
    <row r="576" spans="4:10" s="4" customFormat="1" ht="12.5" x14ac:dyDescent="0.25">
      <c r="D576" s="25"/>
      <c r="F576" s="25"/>
      <c r="H576" s="25"/>
      <c r="J576" s="25"/>
    </row>
    <row r="577" spans="4:10" s="4" customFormat="1" ht="12.5" x14ac:dyDescent="0.25">
      <c r="D577" s="25"/>
      <c r="F577" s="25"/>
      <c r="H577" s="25"/>
      <c r="J577" s="25"/>
    </row>
  </sheetData>
  <mergeCells count="9">
    <mergeCell ref="C28:K28"/>
    <mergeCell ref="C71:K71"/>
    <mergeCell ref="C148:K148"/>
    <mergeCell ref="C86:K86"/>
    <mergeCell ref="C101:K101"/>
    <mergeCell ref="C116:K116"/>
    <mergeCell ref="C132:K132"/>
    <mergeCell ref="C42:K42"/>
    <mergeCell ref="C56:K56"/>
  </mergeCells>
  <phoneticPr fontId="0" type="noConversion"/>
  <pageMargins left="0.75" right="0.75" top="0.5" bottom="0.5" header="0.5" footer="0.25"/>
  <pageSetup orientation="portrait" r:id="rId1"/>
  <headerFooter alignWithMargins="0">
    <oddFooter>&amp;C&amp;P</oddFooter>
  </headerFooter>
  <rowBreaks count="4" manualBreakCount="4">
    <brk id="52" max="11" man="1"/>
    <brk id="97" max="11" man="1"/>
    <brk id="144" max="11" man="1"/>
    <brk id="160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Hughes Supply,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Czapka</dc:creator>
  <cp:lastModifiedBy>Carina Negreanu</cp:lastModifiedBy>
  <cp:lastPrinted>2003-12-23T12:04:02Z</cp:lastPrinted>
  <dcterms:created xsi:type="dcterms:W3CDTF">2003-12-22T16:39:29Z</dcterms:created>
  <dcterms:modified xsi:type="dcterms:W3CDTF">2020-01-27T12:01:00Z</dcterms:modified>
</cp:coreProperties>
</file>