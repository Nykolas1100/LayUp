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AD13C65-5270-4A64-BF65-10A45C9BD985}" xr6:coauthVersionLast="45" xr6:coauthVersionMax="45" xr10:uidLastSave="{00000000-0000-0000-0000-000000000000}"/>
  <bookViews>
    <workbookView xWindow="760" yWindow="760" windowWidth="28800" windowHeight="15460"/>
  </bookViews>
  <sheets>
    <sheet name="Datasheet1" sheetId="1" r:id="rId1"/>
    <sheet name="Datasheet2" sheetId="2" r:id="rId2"/>
    <sheet name="Example1" sheetId="3" r:id="rId3"/>
    <sheet name="Example2" sheetId="4" r:id="rId4"/>
    <sheet name="Comparison" sheetId="5" r:id="rId5"/>
  </sheets>
  <definedNames>
    <definedName name="LS" localSheetId="2">Example1!$B$19:$C$19</definedName>
    <definedName name="LS" localSheetId="3">Example2!$B$18:$C$18</definedName>
    <definedName name="Mbsp" localSheetId="3">Example2!$B$12:$C$12</definedName>
    <definedName name="Mc" localSheetId="2">Example1!$B$8:$C$8</definedName>
    <definedName name="Mc" localSheetId="3">Example2!$B$7:$C$7</definedName>
    <definedName name="Md" localSheetId="2">Example1!$B$10:$C$10</definedName>
    <definedName name="Md" localSheetId="3">Example2!$B$9:$C$9</definedName>
    <definedName name="MHg" localSheetId="2">Example1!$B$13:$C$13</definedName>
    <definedName name="Msp" localSheetId="3">Example2!$B$11:$C$11</definedName>
    <definedName name="Mt" localSheetId="2">Example1!$B$12:$C$12</definedName>
    <definedName name="Mw" localSheetId="2">Example1!$B$9:$C$9</definedName>
    <definedName name="Mw" localSheetId="3">Example2!$B$8:$C$8</definedName>
    <definedName name="rHg" localSheetId="2">Example1!$B$14</definedName>
    <definedName name="rwax" localSheetId="3">Example2!$B$13</definedName>
    <definedName name="SL" localSheetId="2">Example1!$B$17:$C$17</definedName>
    <definedName name="SL" localSheetId="3">Example2!$B$16:$C$16</definedName>
    <definedName name="SR" localSheetId="2">Example1!$B$18:$C$18</definedName>
    <definedName name="SR" localSheetId="3">Example2!$B$17:$C$17</definedName>
    <definedName name="V" localSheetId="2">Example1!$B$11:$C$11</definedName>
    <definedName name="V" localSheetId="3">Example2!$B$10:$C$10</definedName>
    <definedName name="V0" localSheetId="2">Example1!$B$15:$C$15</definedName>
    <definedName name="V0" localSheetId="3">Example2!$B$14:$C$14</definedName>
    <definedName name="w" localSheetId="2">Example1!$B$16:$C$16</definedName>
    <definedName name="w" localSheetId="3">Example2!$B$15:$C$15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4" i="5" l="1"/>
  <c r="C14" i="5"/>
  <c r="D14" i="5"/>
  <c r="B15" i="5"/>
  <c r="C15" i="5"/>
  <c r="B16" i="5"/>
  <c r="C16" i="5"/>
  <c r="B17" i="5"/>
  <c r="C17" i="5"/>
  <c r="B18" i="5"/>
  <c r="C18" i="5"/>
  <c r="C23" i="5"/>
  <c r="D23" i="5"/>
  <c r="C24" i="5"/>
  <c r="D24" i="5"/>
  <c r="C25" i="5"/>
  <c r="D25" i="5"/>
  <c r="C26" i="5"/>
  <c r="D26" i="5"/>
  <c r="B15" i="3"/>
  <c r="B17" i="3" s="1"/>
  <c r="D17" i="3" s="1"/>
  <c r="C15" i="3"/>
  <c r="B16" i="3"/>
  <c r="C16" i="3"/>
  <c r="D16" i="3"/>
  <c r="C17" i="3"/>
  <c r="C18" i="3"/>
  <c r="C19" i="3"/>
  <c r="B14" i="4"/>
  <c r="B17" i="4" s="1"/>
  <c r="C14" i="4"/>
  <c r="C17" i="4" s="1"/>
  <c r="B15" i="4"/>
  <c r="B16" i="4" s="1"/>
  <c r="C15" i="4"/>
  <c r="C16" i="4" s="1"/>
  <c r="D16" i="4" l="1"/>
  <c r="D17" i="4"/>
  <c r="D15" i="4"/>
  <c r="B19" i="3"/>
  <c r="D19" i="3" s="1"/>
  <c r="B18" i="3"/>
  <c r="D18" i="3" s="1"/>
  <c r="C18" i="4"/>
  <c r="B18" i="4"/>
  <c r="D18" i="4" s="1"/>
</calcChain>
</file>

<file path=xl/sharedStrings.xml><?xml version="1.0" encoding="utf-8"?>
<sst xmlns="http://schemas.openxmlformats.org/spreadsheetml/2006/main" count="102" uniqueCount="49">
  <si>
    <t>Shrinkage Test</t>
  </si>
  <si>
    <t xml:space="preserve">Analyst name: </t>
  </si>
  <si>
    <t xml:space="preserve">Test date: </t>
  </si>
  <si>
    <t>Sample description:</t>
  </si>
  <si>
    <t>WAX METHOD</t>
  </si>
  <si>
    <t>Sample No.1</t>
  </si>
  <si>
    <t>Sample No.2</t>
  </si>
  <si>
    <t>Mass of coated dish (g)</t>
  </si>
  <si>
    <t>Mass of coated dish + wet soil (g)</t>
  </si>
  <si>
    <t>Mass of coated dish + dry soil (g)</t>
  </si>
  <si>
    <r>
      <t>Volume of wet soil (cm</t>
    </r>
    <r>
      <rPr>
        <vertAlign val="superscript"/>
        <sz val="9"/>
        <rFont val="Arial"/>
        <family val="2"/>
      </rPr>
      <t>3</t>
    </r>
    <r>
      <rPr>
        <sz val="9"/>
        <rFont val="Arial"/>
        <family val="2"/>
      </rPr>
      <t>)</t>
    </r>
  </si>
  <si>
    <t>Mass of soil and wax (g)</t>
  </si>
  <si>
    <t>Buoyant Mass of soil and wax (g)</t>
  </si>
  <si>
    <r>
      <t>Unit mass of wax (g/cm</t>
    </r>
    <r>
      <rPr>
        <vertAlign val="superscript"/>
        <sz val="9"/>
        <rFont val="Arial"/>
        <family val="2"/>
      </rPr>
      <t>3</t>
    </r>
    <r>
      <rPr>
        <sz val="9"/>
        <rFont val="Arial"/>
        <family val="2"/>
      </rPr>
      <t>)</t>
    </r>
  </si>
  <si>
    <t>MERCURY METHOD</t>
  </si>
  <si>
    <t>Mass of dish (g)</t>
  </si>
  <si>
    <t>Mass of dish + displaced mercury (g)</t>
  </si>
  <si>
    <r>
      <t>Unit mass of Mercury (g/cm</t>
    </r>
    <r>
      <rPr>
        <vertAlign val="superscript"/>
        <sz val="9"/>
        <rFont val="Arial"/>
        <family val="2"/>
      </rPr>
      <t>3</t>
    </r>
    <r>
      <rPr>
        <sz val="9"/>
        <rFont val="Arial"/>
        <family val="2"/>
      </rPr>
      <t>)</t>
    </r>
  </si>
  <si>
    <t>Henry Guapo</t>
  </si>
  <si>
    <t>Aardvark modeling clay</t>
  </si>
  <si>
    <t>Sample 1</t>
  </si>
  <si>
    <t>Sample 2</t>
  </si>
  <si>
    <r>
      <t>Mass of coated dish M</t>
    </r>
    <r>
      <rPr>
        <i/>
        <sz val="9"/>
        <rFont val="Arial"/>
        <family val="2"/>
      </rPr>
      <t>c</t>
    </r>
    <r>
      <rPr>
        <sz val="9"/>
        <rFont val="Arial"/>
        <family val="2"/>
      </rPr>
      <t xml:space="preserve"> (g)</t>
    </r>
  </si>
  <si>
    <r>
      <t>Mass of coated dish and wet soil M</t>
    </r>
    <r>
      <rPr>
        <i/>
        <sz val="9"/>
        <rFont val="Arial"/>
        <family val="2"/>
      </rPr>
      <t>w</t>
    </r>
    <r>
      <rPr>
        <sz val="9"/>
        <rFont val="Arial"/>
        <family val="2"/>
      </rPr>
      <t xml:space="preserve"> (g)</t>
    </r>
  </si>
  <si>
    <r>
      <t>Mass of coated dish and dry soil M</t>
    </r>
    <r>
      <rPr>
        <i/>
        <sz val="9"/>
        <rFont val="Arial"/>
        <family val="2"/>
      </rPr>
      <t>d</t>
    </r>
    <r>
      <rPr>
        <sz val="9"/>
        <rFont val="Arial"/>
        <family val="2"/>
      </rPr>
      <t xml:space="preserve"> (g)</t>
    </r>
  </si>
  <si>
    <r>
      <t>Volume of wet soil V (cm</t>
    </r>
    <r>
      <rPr>
        <vertAlign val="superscript"/>
        <sz val="9"/>
        <rFont val="Arial"/>
        <family val="2"/>
      </rPr>
      <t>3</t>
    </r>
    <r>
      <rPr>
        <sz val="9"/>
        <rFont val="Arial"/>
        <family val="2"/>
      </rPr>
      <t>)</t>
    </r>
  </si>
  <si>
    <r>
      <t>Mass of dish M</t>
    </r>
    <r>
      <rPr>
        <i/>
        <sz val="9"/>
        <rFont val="Arial"/>
        <family val="2"/>
      </rPr>
      <t>t</t>
    </r>
    <r>
      <rPr>
        <sz val="9"/>
        <rFont val="Arial"/>
        <family val="2"/>
      </rPr>
      <t xml:space="preserve"> (g)</t>
    </r>
  </si>
  <si>
    <r>
      <t>Mass of dish and displaced mercury M</t>
    </r>
    <r>
      <rPr>
        <i/>
        <sz val="9"/>
        <rFont val="Arial"/>
        <family val="2"/>
      </rPr>
      <t>Hg</t>
    </r>
    <r>
      <rPr>
        <sz val="9"/>
        <rFont val="Arial"/>
        <family val="2"/>
      </rPr>
      <t xml:space="preserve"> (g)</t>
    </r>
  </si>
  <si>
    <r>
      <t>Unit mass of Mercury r</t>
    </r>
    <r>
      <rPr>
        <i/>
        <sz val="9"/>
        <rFont val="Arial"/>
        <family val="2"/>
      </rPr>
      <t>Hg</t>
    </r>
    <r>
      <rPr>
        <sz val="9"/>
        <rFont val="Arial"/>
        <family val="2"/>
      </rPr>
      <t xml:space="preserve"> (g/cm</t>
    </r>
    <r>
      <rPr>
        <vertAlign val="superscript"/>
        <sz val="9"/>
        <rFont val="Arial"/>
        <family val="2"/>
      </rPr>
      <t>3</t>
    </r>
    <r>
      <rPr>
        <sz val="9"/>
        <rFont val="Arial"/>
        <family val="2"/>
      </rPr>
      <t>)</t>
    </r>
  </si>
  <si>
    <r>
      <t>Volume of dry soil V</t>
    </r>
    <r>
      <rPr>
        <i/>
        <sz val="9"/>
        <rFont val="Arial"/>
        <family val="2"/>
      </rPr>
      <t>0</t>
    </r>
    <r>
      <rPr>
        <sz val="9"/>
        <rFont val="Arial"/>
        <family val="2"/>
      </rPr>
      <t xml:space="preserve"> (cm</t>
    </r>
    <r>
      <rPr>
        <vertAlign val="superscript"/>
        <sz val="9"/>
        <rFont val="Arial"/>
        <family val="2"/>
      </rPr>
      <t>3</t>
    </r>
    <r>
      <rPr>
        <sz val="9"/>
        <rFont val="Arial"/>
        <family val="2"/>
      </rPr>
      <t>)</t>
    </r>
  </si>
  <si>
    <t>Average</t>
  </si>
  <si>
    <t>Initial water content w</t>
  </si>
  <si>
    <t>Shrinkage limit SL</t>
  </si>
  <si>
    <t>Shrinkage ratio SR</t>
  </si>
  <si>
    <t>Linear Shrinkage LS</t>
  </si>
  <si>
    <r>
      <t>Mass of soil and wax M</t>
    </r>
    <r>
      <rPr>
        <i/>
        <sz val="9"/>
        <rFont val="Arial"/>
        <family val="2"/>
      </rPr>
      <t>sp</t>
    </r>
    <r>
      <rPr>
        <sz val="9"/>
        <rFont val="Arial"/>
        <family val="2"/>
      </rPr>
      <t xml:space="preserve"> (g)</t>
    </r>
  </si>
  <si>
    <r>
      <t>Buoyant mass of soil and wax M</t>
    </r>
    <r>
      <rPr>
        <i/>
        <sz val="9"/>
        <rFont val="Arial"/>
        <family val="2"/>
      </rPr>
      <t>bsp</t>
    </r>
    <r>
      <rPr>
        <sz val="9"/>
        <rFont val="Arial"/>
        <family val="2"/>
      </rPr>
      <t xml:space="preserve"> (g)</t>
    </r>
  </si>
  <si>
    <r>
      <t>Unit mass of wax r</t>
    </r>
    <r>
      <rPr>
        <i/>
        <sz val="9"/>
        <rFont val="Arial"/>
        <family val="2"/>
      </rPr>
      <t>wax</t>
    </r>
    <r>
      <rPr>
        <sz val="9"/>
        <rFont val="Arial"/>
        <family val="2"/>
      </rPr>
      <t xml:space="preserve"> (g/cm</t>
    </r>
    <r>
      <rPr>
        <vertAlign val="superscript"/>
        <sz val="9"/>
        <rFont val="Arial"/>
        <family val="2"/>
      </rPr>
      <t>3</t>
    </r>
    <r>
      <rPr>
        <sz val="9"/>
        <rFont val="Arial"/>
        <family val="2"/>
      </rPr>
      <t>)</t>
    </r>
  </si>
  <si>
    <r>
      <t>Volume of dry soil V</t>
    </r>
    <r>
      <rPr>
        <i/>
        <sz val="9"/>
        <rFont val="Arial"/>
        <family val="2"/>
      </rPr>
      <t xml:space="preserve">0 </t>
    </r>
    <r>
      <rPr>
        <sz val="9"/>
        <rFont val="Arial"/>
        <family val="2"/>
      </rPr>
      <t>(cm</t>
    </r>
    <r>
      <rPr>
        <vertAlign val="superscript"/>
        <sz val="9"/>
        <rFont val="Arial"/>
        <family val="2"/>
      </rPr>
      <t>3</t>
    </r>
    <r>
      <rPr>
        <sz val="9"/>
        <rFont val="Arial"/>
        <family val="2"/>
      </rPr>
      <t>)</t>
    </r>
  </si>
  <si>
    <t>Sample 3</t>
  </si>
  <si>
    <t>Mass of coated dish and wet soil (g)</t>
  </si>
  <si>
    <t>Mass of coated dish and dry soil (g)</t>
  </si>
  <si>
    <t>Mass of dish and displaced mercury (g)</t>
  </si>
  <si>
    <t>Initial water content</t>
  </si>
  <si>
    <r>
      <t>Volume of dry soil (cm</t>
    </r>
    <r>
      <rPr>
        <vertAlign val="superscript"/>
        <sz val="9"/>
        <rFont val="Arial"/>
        <family val="2"/>
      </rPr>
      <t>3</t>
    </r>
    <r>
      <rPr>
        <sz val="9"/>
        <rFont val="Arial"/>
        <family val="2"/>
      </rPr>
      <t>)</t>
    </r>
  </si>
  <si>
    <t>Shrinkage limit (%)</t>
  </si>
  <si>
    <t xml:space="preserve">Shrinkage ratio </t>
  </si>
  <si>
    <t>Linear Shrinkage (%)</t>
  </si>
  <si>
    <t>Bouyant mass of soil and wax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</si>
</sst>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0"/>
      <name val="Tms Rmn"/>
    </font>
    <font>
      <sz val="10"/>
      <name val="Geneva"/>
    </font>
    <font>
      <sz val="10"/>
      <name val="Tms Rmn"/>
    </font>
    <font>
      <sz val="1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vertAlign val="superscript"/>
      <sz val="9"/>
      <name val="Arial"/>
      <family val="2"/>
    </font>
    <font>
      <b/>
      <i/>
      <sz val="9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3" fillId="0" borderId="0" xfId="0" applyFont="1" applyFill="1" applyBorder="1" applyAlignment="1">
      <alignment horizontal="centerContinuous"/>
    </xf>
    <xf numFmtId="0" fontId="4" fillId="0" borderId="0" xfId="0" applyFont="1" applyFill="1" applyBorder="1" applyAlignment="1">
      <alignment horizontal="centerContinuous"/>
    </xf>
    <xf numFmtId="0" fontId="5" fillId="0" borderId="0" xfId="0" applyFont="1"/>
    <xf numFmtId="0" fontId="5" fillId="0" borderId="0" xfId="0" applyFont="1" applyBorder="1"/>
    <xf numFmtId="0" fontId="6" fillId="0" borderId="0" xfId="1" applyFont="1" applyBorder="1" applyAlignment="1">
      <alignment horizontal="right"/>
    </xf>
    <xf numFmtId="0" fontId="7" fillId="0" borderId="1" xfId="0" applyFont="1" applyBorder="1"/>
    <xf numFmtId="0" fontId="6" fillId="0" borderId="1" xfId="0" applyFont="1" applyBorder="1"/>
    <xf numFmtId="0" fontId="6" fillId="0" borderId="0" xfId="0" applyFont="1"/>
    <xf numFmtId="14" fontId="7" fillId="0" borderId="1" xfId="0" applyNumberFormat="1" applyFont="1" applyBorder="1" applyAlignment="1">
      <alignment horizontal="left"/>
    </xf>
    <xf numFmtId="0" fontId="6" fillId="0" borderId="0" xfId="0" applyFont="1" applyBorder="1" applyAlignment="1">
      <alignment horizontal="right"/>
    </xf>
    <xf numFmtId="0" fontId="7" fillId="0" borderId="0" xfId="0" applyFont="1" applyBorder="1"/>
    <xf numFmtId="0" fontId="6" fillId="0" borderId="0" xfId="0" applyFont="1" applyBorder="1"/>
    <xf numFmtId="0" fontId="6" fillId="0" borderId="0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right"/>
    </xf>
    <xf numFmtId="2" fontId="7" fillId="0" borderId="4" xfId="0" applyNumberFormat="1" applyFont="1" applyBorder="1" applyAlignment="1">
      <alignment horizontal="center"/>
    </xf>
    <xf numFmtId="0" fontId="6" fillId="0" borderId="5" xfId="0" applyFont="1" applyBorder="1" applyAlignment="1">
      <alignment horizontal="right"/>
    </xf>
    <xf numFmtId="0" fontId="6" fillId="0" borderId="6" xfId="0" applyFont="1" applyBorder="1" applyAlignment="1">
      <alignment horizontal="right"/>
    </xf>
    <xf numFmtId="2" fontId="7" fillId="0" borderId="6" xfId="0" applyNumberFormat="1" applyFont="1" applyBorder="1" applyAlignment="1">
      <alignment horizontal="center"/>
    </xf>
    <xf numFmtId="0" fontId="5" fillId="0" borderId="0" xfId="0" applyFont="1" applyFill="1"/>
    <xf numFmtId="0" fontId="6" fillId="0" borderId="0" xfId="0" applyFont="1" applyFill="1"/>
    <xf numFmtId="14" fontId="7" fillId="0" borderId="0" xfId="0" applyNumberFormat="1" applyFont="1" applyBorder="1" applyAlignment="1">
      <alignment horizontal="left"/>
    </xf>
    <xf numFmtId="2" fontId="7" fillId="0" borderId="3" xfId="0" applyNumberFormat="1" applyFont="1" applyBorder="1" applyAlignment="1">
      <alignment horizontal="center"/>
    </xf>
    <xf numFmtId="2" fontId="7" fillId="0" borderId="7" xfId="0" applyNumberFormat="1" applyFont="1" applyBorder="1" applyAlignment="1">
      <alignment horizontal="center"/>
    </xf>
    <xf numFmtId="2" fontId="7" fillId="0" borderId="5" xfId="0" applyNumberFormat="1" applyFont="1" applyBorder="1" applyAlignment="1">
      <alignment horizontal="center"/>
    </xf>
    <xf numFmtId="2" fontId="7" fillId="0" borderId="8" xfId="0" applyNumberFormat="1" applyFont="1" applyBorder="1" applyAlignment="1">
      <alignment horizontal="center"/>
    </xf>
    <xf numFmtId="0" fontId="6" fillId="0" borderId="9" xfId="0" applyFont="1" applyBorder="1" applyAlignment="1">
      <alignment horizontal="right"/>
    </xf>
    <xf numFmtId="2" fontId="6" fillId="0" borderId="3" xfId="0" applyNumberFormat="1" applyFont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10" xfId="0" applyFont="1" applyBorder="1" applyAlignment="1">
      <alignment horizontal="right"/>
    </xf>
    <xf numFmtId="10" fontId="6" fillId="0" borderId="5" xfId="0" applyNumberFormat="1" applyFont="1" applyBorder="1" applyAlignment="1">
      <alignment horizontal="center"/>
    </xf>
    <xf numFmtId="10" fontId="6" fillId="0" borderId="3" xfId="0" applyNumberFormat="1" applyFont="1" applyBorder="1" applyAlignment="1">
      <alignment horizontal="center"/>
    </xf>
    <xf numFmtId="2" fontId="6" fillId="0" borderId="5" xfId="0" applyNumberFormat="1" applyFont="1" applyBorder="1" applyAlignment="1">
      <alignment horizontal="center"/>
    </xf>
    <xf numFmtId="0" fontId="6" fillId="0" borderId="11" xfId="0" applyFont="1" applyBorder="1" applyAlignment="1">
      <alignment horizontal="right"/>
    </xf>
    <xf numFmtId="10" fontId="6" fillId="0" borderId="6" xfId="0" applyNumberFormat="1" applyFont="1" applyBorder="1" applyAlignment="1">
      <alignment horizontal="center"/>
    </xf>
    <xf numFmtId="0" fontId="5" fillId="0" borderId="0" xfId="1" applyFont="1"/>
    <xf numFmtId="0" fontId="7" fillId="0" borderId="0" xfId="1" applyFont="1" applyBorder="1"/>
    <xf numFmtId="0" fontId="6" fillId="0" borderId="0" xfId="1" applyFont="1" applyBorder="1"/>
    <xf numFmtId="0" fontId="6" fillId="0" borderId="0" xfId="1" applyFont="1"/>
    <xf numFmtId="14" fontId="7" fillId="0" borderId="0" xfId="1" applyNumberFormat="1" applyFont="1" applyBorder="1" applyAlignment="1">
      <alignment horizontal="left"/>
    </xf>
    <xf numFmtId="0" fontId="6" fillId="0" borderId="0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3" xfId="1" applyFont="1" applyBorder="1" applyAlignment="1">
      <alignment horizontal="right"/>
    </xf>
    <xf numFmtId="2" fontId="7" fillId="0" borderId="3" xfId="1" applyNumberFormat="1" applyFont="1" applyBorder="1" applyAlignment="1">
      <alignment horizontal="center"/>
    </xf>
    <xf numFmtId="2" fontId="7" fillId="0" borderId="7" xfId="1" applyNumberFormat="1" applyFont="1" applyBorder="1" applyAlignment="1">
      <alignment horizontal="center"/>
    </xf>
    <xf numFmtId="2" fontId="7" fillId="0" borderId="5" xfId="1" applyNumberFormat="1" applyFont="1" applyBorder="1" applyAlignment="1">
      <alignment horizontal="center"/>
    </xf>
    <xf numFmtId="2" fontId="7" fillId="0" borderId="8" xfId="1" applyNumberFormat="1" applyFont="1" applyBorder="1" applyAlignment="1">
      <alignment horizontal="center"/>
    </xf>
    <xf numFmtId="0" fontId="6" fillId="0" borderId="6" xfId="1" applyFont="1" applyBorder="1" applyAlignment="1">
      <alignment horizontal="right"/>
    </xf>
    <xf numFmtId="2" fontId="7" fillId="0" borderId="6" xfId="1" applyNumberFormat="1" applyFont="1" applyBorder="1" applyAlignment="1">
      <alignment horizontal="center"/>
    </xf>
    <xf numFmtId="2" fontId="7" fillId="0" borderId="12" xfId="1" applyNumberFormat="1" applyFont="1" applyBorder="1" applyAlignment="1">
      <alignment horizontal="center"/>
    </xf>
    <xf numFmtId="0" fontId="6" fillId="0" borderId="0" xfId="1" applyFont="1" applyFill="1" applyBorder="1" applyAlignment="1">
      <alignment horizontal="centerContinuous" vertical="center" wrapText="1"/>
    </xf>
    <xf numFmtId="0" fontId="9" fillId="0" borderId="0" xfId="1" applyFont="1" applyFill="1" applyBorder="1" applyAlignment="1">
      <alignment horizontal="centerContinuous" vertical="center" wrapText="1"/>
    </xf>
    <xf numFmtId="2" fontId="6" fillId="0" borderId="3" xfId="1" applyNumberFormat="1" applyFont="1" applyBorder="1" applyAlignment="1">
      <alignment horizontal="center"/>
    </xf>
    <xf numFmtId="2" fontId="6" fillId="0" borderId="5" xfId="1" applyNumberFormat="1" applyFont="1" applyBorder="1" applyAlignment="1">
      <alignment horizontal="center"/>
    </xf>
    <xf numFmtId="2" fontId="6" fillId="0" borderId="6" xfId="1" applyNumberFormat="1" applyFont="1" applyBorder="1" applyAlignment="1">
      <alignment horizontal="center"/>
    </xf>
    <xf numFmtId="0" fontId="6" fillId="0" borderId="2" xfId="1" applyFont="1" applyBorder="1" applyAlignment="1">
      <alignment horizontal="right"/>
    </xf>
    <xf numFmtId="10" fontId="6" fillId="0" borderId="2" xfId="1" applyNumberFormat="1" applyFont="1" applyBorder="1" applyAlignment="1">
      <alignment horizontal="center"/>
    </xf>
    <xf numFmtId="0" fontId="10" fillId="0" borderId="3" xfId="0" applyFont="1" applyFill="1" applyBorder="1" applyAlignment="1">
      <alignment horizontal="center"/>
    </xf>
    <xf numFmtId="0" fontId="6" fillId="0" borderId="5" xfId="1" applyFont="1" applyBorder="1" applyAlignment="1">
      <alignment horizontal="right"/>
    </xf>
    <xf numFmtId="0" fontId="6" fillId="0" borderId="3" xfId="0" applyFont="1" applyBorder="1"/>
    <xf numFmtId="10" fontId="6" fillId="0" borderId="5" xfId="1" applyNumberFormat="1" applyFont="1" applyBorder="1" applyAlignment="1">
      <alignment horizontal="center"/>
    </xf>
    <xf numFmtId="10" fontId="6" fillId="0" borderId="6" xfId="1" applyNumberFormat="1" applyFont="1" applyBorder="1" applyAlignment="1">
      <alignment horizontal="center"/>
    </xf>
  </cellXfs>
  <cellStyles count="2">
    <cellStyle name="Normal" xfId="0" builtinId="0"/>
    <cellStyle name="Normal_Summary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showGridLines="0" tabSelected="1" workbookViewId="0">
      <selection activeCell="A44" sqref="A44"/>
    </sheetView>
  </sheetViews>
  <sheetFormatPr defaultColWidth="11" defaultRowHeight="12.5"/>
  <cols>
    <col min="1" max="1" width="39" style="3" customWidth="1"/>
    <col min="2" max="2" width="16.69921875" style="3" customWidth="1"/>
    <col min="3" max="3" width="17.19921875" style="3" customWidth="1"/>
    <col min="4" max="16384" width="11" style="3"/>
  </cols>
  <sheetData>
    <row r="1" spans="1:4" ht="22.5">
      <c r="A1" s="1" t="s">
        <v>0</v>
      </c>
      <c r="B1" s="2"/>
      <c r="C1" s="2"/>
    </row>
    <row r="2" spans="1:4" ht="20.149999999999999" customHeight="1">
      <c r="A2" s="5" t="s">
        <v>1</v>
      </c>
      <c r="B2" s="6"/>
      <c r="C2" s="7"/>
      <c r="D2" s="8"/>
    </row>
    <row r="3" spans="1:4" ht="13">
      <c r="A3" s="5" t="s">
        <v>2</v>
      </c>
      <c r="B3" s="9"/>
      <c r="C3" s="7"/>
      <c r="D3" s="8"/>
    </row>
    <row r="4" spans="1:4" ht="13">
      <c r="A4" s="5" t="s">
        <v>3</v>
      </c>
      <c r="B4" s="6"/>
      <c r="C4" s="7"/>
      <c r="D4" s="8"/>
    </row>
    <row r="5" spans="1:4" ht="13">
      <c r="A5" s="10"/>
      <c r="B5" s="11"/>
      <c r="C5" s="12"/>
      <c r="D5" s="8"/>
    </row>
    <row r="6" spans="1:4" s="20" customFormat="1" ht="26.15" customHeight="1">
      <c r="A6" s="13" t="s">
        <v>4</v>
      </c>
      <c r="B6" s="14" t="s">
        <v>5</v>
      </c>
      <c r="C6" s="14" t="s">
        <v>6</v>
      </c>
      <c r="D6" s="21"/>
    </row>
    <row r="7" spans="1:4" ht="13">
      <c r="A7" s="15" t="s">
        <v>7</v>
      </c>
      <c r="B7" s="16"/>
      <c r="C7" s="16"/>
      <c r="D7" s="8"/>
    </row>
    <row r="8" spans="1:4" ht="13">
      <c r="A8" s="17" t="s">
        <v>8</v>
      </c>
      <c r="B8" s="16"/>
      <c r="C8" s="16"/>
      <c r="D8" s="8"/>
    </row>
    <row r="9" spans="1:4" ht="13">
      <c r="A9" s="17" t="s">
        <v>9</v>
      </c>
      <c r="B9" s="16"/>
      <c r="C9" s="16"/>
      <c r="D9" s="8"/>
    </row>
    <row r="10" spans="1:4" ht="14">
      <c r="A10" s="17" t="s">
        <v>10</v>
      </c>
      <c r="B10" s="16"/>
      <c r="C10" s="16"/>
      <c r="D10" s="8"/>
    </row>
    <row r="11" spans="1:4" ht="13">
      <c r="A11" s="17" t="s">
        <v>11</v>
      </c>
      <c r="B11" s="16"/>
      <c r="C11" s="16"/>
      <c r="D11" s="8"/>
    </row>
    <row r="12" spans="1:4" ht="13">
      <c r="A12" s="17" t="s">
        <v>12</v>
      </c>
      <c r="B12" s="16"/>
      <c r="C12" s="16"/>
      <c r="D12" s="8"/>
    </row>
    <row r="13" spans="1:4" ht="14">
      <c r="A13" s="18" t="s">
        <v>13</v>
      </c>
      <c r="B13" s="19"/>
      <c r="C13" s="19"/>
      <c r="D13" s="8"/>
    </row>
    <row r="14" spans="1:4">
      <c r="A14" s="8"/>
      <c r="B14" s="8"/>
      <c r="C14" s="8"/>
      <c r="D14" s="8"/>
    </row>
    <row r="15" spans="1:4">
      <c r="A15" s="8"/>
      <c r="B15" s="8"/>
      <c r="C15" s="8"/>
      <c r="D15" s="8"/>
    </row>
    <row r="16" spans="1:4">
      <c r="A16" s="8"/>
      <c r="B16" s="8"/>
      <c r="C16" s="8"/>
      <c r="D16" s="8"/>
    </row>
  </sheetData>
  <printOptions headings="1" gridLinesSet="0"/>
  <pageMargins left="0.75" right="0.75" top="1" bottom="1" header="0.5" footer="0.5"/>
  <pageSetup paperSize="0" orientation="portrait" horizontalDpi="4294967292" verticalDpi="4294967292"/>
  <headerFooter alignWithMargins="0">
    <oddHeader>&amp;F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showGridLines="0" workbookViewId="0">
      <selection activeCell="D19" sqref="D19"/>
    </sheetView>
  </sheetViews>
  <sheetFormatPr defaultColWidth="11" defaultRowHeight="12.5"/>
  <cols>
    <col min="1" max="1" width="41.69921875" style="3" customWidth="1"/>
    <col min="2" max="2" width="14" style="3" customWidth="1"/>
    <col min="3" max="3" width="15.19921875" style="3" customWidth="1"/>
    <col min="4" max="4" width="7.296875" style="3" customWidth="1"/>
    <col min="5" max="5" width="41.69921875" style="3" customWidth="1"/>
    <col min="6" max="7" width="7.796875" style="3" customWidth="1"/>
    <col min="8" max="8" width="8" style="3" customWidth="1"/>
    <col min="9" max="9" width="8.19921875" style="3" customWidth="1"/>
    <col min="10" max="16384" width="11" style="3"/>
  </cols>
  <sheetData>
    <row r="1" spans="1:5" ht="22.5">
      <c r="A1" s="1" t="s">
        <v>0</v>
      </c>
      <c r="B1" s="2"/>
      <c r="C1" s="2"/>
    </row>
    <row r="2" spans="1:5">
      <c r="A2" s="4"/>
      <c r="B2" s="4"/>
      <c r="C2" s="4"/>
    </row>
    <row r="3" spans="1:5" ht="13">
      <c r="A3" s="5" t="s">
        <v>1</v>
      </c>
      <c r="B3" s="6"/>
      <c r="C3" s="7"/>
      <c r="D3" s="8"/>
      <c r="E3" s="8"/>
    </row>
    <row r="4" spans="1:5" ht="13">
      <c r="A4" s="5" t="s">
        <v>2</v>
      </c>
      <c r="B4" s="9"/>
      <c r="C4" s="7"/>
      <c r="D4" s="8"/>
      <c r="E4" s="8"/>
    </row>
    <row r="5" spans="1:5" ht="13">
      <c r="A5" s="5" t="s">
        <v>3</v>
      </c>
      <c r="B5" s="6"/>
      <c r="C5" s="7"/>
      <c r="D5" s="8"/>
      <c r="E5" s="8"/>
    </row>
    <row r="6" spans="1:5" ht="13">
      <c r="A6" s="10"/>
      <c r="B6" s="11"/>
      <c r="C6" s="12"/>
      <c r="D6" s="8"/>
      <c r="E6" s="8"/>
    </row>
    <row r="7" spans="1:5" ht="26.15" customHeight="1">
      <c r="A7" s="13" t="s">
        <v>14</v>
      </c>
      <c r="B7" s="14" t="s">
        <v>5</v>
      </c>
      <c r="C7" s="14" t="s">
        <v>6</v>
      </c>
      <c r="D7" s="8"/>
      <c r="E7" s="8"/>
    </row>
    <row r="8" spans="1:5" ht="13">
      <c r="A8" s="15" t="s">
        <v>7</v>
      </c>
      <c r="B8" s="16"/>
      <c r="C8" s="16"/>
      <c r="D8" s="8"/>
      <c r="E8" s="8"/>
    </row>
    <row r="9" spans="1:5" ht="13">
      <c r="A9" s="17" t="s">
        <v>8</v>
      </c>
      <c r="B9" s="16"/>
      <c r="C9" s="16"/>
      <c r="D9" s="8"/>
      <c r="E9" s="8"/>
    </row>
    <row r="10" spans="1:5" ht="13">
      <c r="A10" s="17" t="s">
        <v>9</v>
      </c>
      <c r="B10" s="16"/>
      <c r="C10" s="16"/>
      <c r="D10" s="8"/>
      <c r="E10" s="8"/>
    </row>
    <row r="11" spans="1:5" ht="14">
      <c r="A11" s="17" t="s">
        <v>10</v>
      </c>
      <c r="B11" s="16"/>
      <c r="C11" s="16"/>
      <c r="D11" s="8"/>
      <c r="E11" s="8"/>
    </row>
    <row r="12" spans="1:5" ht="13">
      <c r="A12" s="17" t="s">
        <v>15</v>
      </c>
      <c r="B12" s="16"/>
      <c r="C12" s="16"/>
      <c r="D12" s="8"/>
      <c r="E12" s="8"/>
    </row>
    <row r="13" spans="1:5" ht="13">
      <c r="A13" s="17" t="s">
        <v>16</v>
      </c>
      <c r="B13" s="16"/>
      <c r="C13" s="16"/>
      <c r="D13" s="8"/>
      <c r="E13" s="8"/>
    </row>
    <row r="14" spans="1:5" ht="14">
      <c r="A14" s="18" t="s">
        <v>17</v>
      </c>
      <c r="B14" s="19"/>
      <c r="C14" s="19"/>
      <c r="D14" s="8"/>
      <c r="E14" s="8"/>
    </row>
    <row r="15" spans="1:5">
      <c r="A15" s="8"/>
      <c r="B15" s="8"/>
      <c r="C15" s="8"/>
      <c r="D15" s="8"/>
      <c r="E15" s="8"/>
    </row>
    <row r="16" spans="1:5">
      <c r="A16" s="8"/>
      <c r="B16" s="8"/>
      <c r="C16" s="8"/>
      <c r="D16" s="8"/>
      <c r="E16" s="8"/>
    </row>
    <row r="17" spans="1:5">
      <c r="A17" s="8"/>
      <c r="B17" s="8"/>
      <c r="C17" s="8"/>
      <c r="D17" s="8"/>
      <c r="E17" s="8"/>
    </row>
    <row r="18" spans="1:5">
      <c r="A18" s="8"/>
      <c r="B18" s="8"/>
      <c r="C18" s="8"/>
      <c r="D18" s="8"/>
      <c r="E18" s="8"/>
    </row>
    <row r="19" spans="1:5">
      <c r="A19" s="8"/>
      <c r="B19" s="8"/>
      <c r="C19" s="8"/>
      <c r="D19" s="8"/>
      <c r="E19" s="8"/>
    </row>
  </sheetData>
  <printOptions headings="1"/>
  <pageMargins left="0.75" right="0.75" top="1" bottom="1" header="0.5" footer="0.5"/>
  <pageSetup paperSize="0" orientation="portrait" horizontalDpi="4294967292" verticalDpi="4294967292"/>
  <headerFooter alignWithMargins="0"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showGridLines="0" workbookViewId="0">
      <selection activeCell="F13" sqref="F13"/>
    </sheetView>
  </sheetViews>
  <sheetFormatPr defaultColWidth="11" defaultRowHeight="12.5"/>
  <cols>
    <col min="1" max="1" width="43.5" style="3" customWidth="1"/>
    <col min="2" max="2" width="10.19921875" style="3" customWidth="1"/>
    <col min="3" max="3" width="10" style="3" customWidth="1"/>
    <col min="4" max="4" width="8.69921875" style="3" customWidth="1"/>
    <col min="5" max="5" width="7.296875" style="3" customWidth="1"/>
    <col min="6" max="6" width="41.69921875" style="3" customWidth="1"/>
    <col min="7" max="8" width="7.796875" style="3" customWidth="1"/>
    <col min="9" max="9" width="8" style="3" customWidth="1"/>
    <col min="10" max="10" width="8.19921875" style="3" customWidth="1"/>
    <col min="11" max="16384" width="11" style="3"/>
  </cols>
  <sheetData>
    <row r="1" spans="1:5" ht="22.5">
      <c r="A1" s="1" t="s">
        <v>0</v>
      </c>
      <c r="B1" s="2"/>
      <c r="C1" s="2"/>
      <c r="D1" s="2"/>
    </row>
    <row r="2" spans="1:5">
      <c r="A2" s="12"/>
      <c r="B2" s="12"/>
      <c r="C2" s="12"/>
      <c r="D2" s="8"/>
      <c r="E2" s="8"/>
    </row>
    <row r="3" spans="1:5" ht="13">
      <c r="A3" s="5" t="s">
        <v>1</v>
      </c>
      <c r="B3" s="11" t="s">
        <v>18</v>
      </c>
      <c r="C3" s="12"/>
      <c r="D3" s="8"/>
      <c r="E3" s="8"/>
    </row>
    <row r="4" spans="1:5" ht="13">
      <c r="A4" s="5" t="s">
        <v>2</v>
      </c>
      <c r="B4" s="22">
        <v>32560</v>
      </c>
      <c r="C4" s="12"/>
      <c r="D4" s="8"/>
      <c r="E4" s="8"/>
    </row>
    <row r="5" spans="1:5" ht="13">
      <c r="A5" s="5" t="s">
        <v>3</v>
      </c>
      <c r="B5" s="11" t="s">
        <v>19</v>
      </c>
      <c r="C5" s="12"/>
      <c r="D5" s="8"/>
      <c r="E5" s="8"/>
    </row>
    <row r="6" spans="1:5" ht="13">
      <c r="A6" s="10"/>
      <c r="B6" s="11"/>
      <c r="C6" s="12"/>
      <c r="D6" s="8"/>
      <c r="E6" s="8"/>
    </row>
    <row r="7" spans="1:5" ht="26.15" customHeight="1">
      <c r="A7" s="13" t="s">
        <v>14</v>
      </c>
      <c r="B7" s="14" t="s">
        <v>20</v>
      </c>
      <c r="C7" s="14" t="s">
        <v>21</v>
      </c>
      <c r="D7" s="8"/>
      <c r="E7" s="8"/>
    </row>
    <row r="8" spans="1:5" ht="13">
      <c r="A8" s="15" t="s">
        <v>22</v>
      </c>
      <c r="B8" s="23">
        <v>17.512</v>
      </c>
      <c r="C8" s="24">
        <v>15.635999999999999</v>
      </c>
      <c r="D8" s="8"/>
      <c r="E8" s="8"/>
    </row>
    <row r="9" spans="1:5" ht="13">
      <c r="A9" s="17" t="s">
        <v>23</v>
      </c>
      <c r="B9" s="25">
        <v>78.072000000000003</v>
      </c>
      <c r="C9" s="26">
        <v>76.465999999999994</v>
      </c>
      <c r="D9" s="8"/>
      <c r="E9" s="8"/>
    </row>
    <row r="10" spans="1:5" ht="13">
      <c r="A10" s="17" t="s">
        <v>24</v>
      </c>
      <c r="B10" s="25">
        <v>64.41</v>
      </c>
      <c r="C10" s="26">
        <v>62.56</v>
      </c>
      <c r="D10" s="8"/>
      <c r="E10" s="8"/>
    </row>
    <row r="11" spans="1:5" ht="14">
      <c r="A11" s="17" t="s">
        <v>25</v>
      </c>
      <c r="B11" s="25">
        <v>32.42</v>
      </c>
      <c r="C11" s="26">
        <v>32.85</v>
      </c>
      <c r="D11" s="8"/>
      <c r="E11" s="8"/>
    </row>
    <row r="12" spans="1:5" ht="13">
      <c r="A12" s="17" t="s">
        <v>26</v>
      </c>
      <c r="B12" s="25">
        <v>130</v>
      </c>
      <c r="C12" s="25">
        <v>130</v>
      </c>
      <c r="D12" s="8"/>
      <c r="E12" s="8"/>
    </row>
    <row r="13" spans="1:5" ht="13">
      <c r="A13" s="17" t="s">
        <v>27</v>
      </c>
      <c r="B13" s="25">
        <v>462</v>
      </c>
      <c r="C13" s="25">
        <v>466</v>
      </c>
      <c r="D13" s="8"/>
      <c r="E13" s="8"/>
    </row>
    <row r="14" spans="1:5" ht="14">
      <c r="A14" s="17" t="s">
        <v>28</v>
      </c>
      <c r="B14" s="25">
        <v>13.6</v>
      </c>
      <c r="C14" s="25"/>
      <c r="D14" s="8"/>
      <c r="E14" s="8"/>
    </row>
    <row r="15" spans="1:5" ht="14">
      <c r="A15" s="27" t="s">
        <v>29</v>
      </c>
      <c r="B15" s="28">
        <f>(MHg-Mt)/rHg</f>
        <v>24.411764705882355</v>
      </c>
      <c r="C15" s="28">
        <f>(MHg-Mt)/rHg</f>
        <v>24.705882352941178</v>
      </c>
      <c r="D15" s="29" t="s">
        <v>30</v>
      </c>
      <c r="E15" s="8"/>
    </row>
    <row r="16" spans="1:5">
      <c r="A16" s="30" t="s">
        <v>31</v>
      </c>
      <c r="B16" s="31">
        <f>(Mw-Md)/(Md-Mc)</f>
        <v>0.29131306239072047</v>
      </c>
      <c r="C16" s="31">
        <f>(Mw-Md)/(Md-Mc)</f>
        <v>0.29635154718267814</v>
      </c>
      <c r="D16" s="32">
        <f>AVERAGE(w)</f>
        <v>0.29383230478669931</v>
      </c>
      <c r="E16" s="8"/>
    </row>
    <row r="17" spans="1:5">
      <c r="A17" s="30" t="s">
        <v>32</v>
      </c>
      <c r="B17" s="31">
        <f>w-(V-V0)/(Md-Mc)</f>
        <v>0.12055449498661694</v>
      </c>
      <c r="C17" s="31">
        <f>w-(V-V0)/(Md-Mc)</f>
        <v>0.12279179850271005</v>
      </c>
      <c r="D17" s="31">
        <f>AVERAGE(SL)</f>
        <v>0.12167314674466349</v>
      </c>
      <c r="E17" s="8"/>
    </row>
    <row r="18" spans="1:5">
      <c r="A18" s="30" t="s">
        <v>33</v>
      </c>
      <c r="B18" s="33">
        <f>(Md-Mc)/V0</f>
        <v>1.9211228915662648</v>
      </c>
      <c r="C18" s="33">
        <f>(Md-Mc)/V0</f>
        <v>1.8993047619047621</v>
      </c>
      <c r="D18" s="33">
        <f>AVERAGE(SR)</f>
        <v>1.9102138267355135</v>
      </c>
      <c r="E18" s="8"/>
    </row>
    <row r="19" spans="1:5">
      <c r="A19" s="34" t="s">
        <v>34</v>
      </c>
      <c r="B19" s="35">
        <f>(1-(V0/V)^(1/3))</f>
        <v>9.023605423330161E-2</v>
      </c>
      <c r="C19" s="35">
        <f>(1-(V0/V)^(1/3))</f>
        <v>9.0599898430848591E-2</v>
      </c>
      <c r="D19" s="35">
        <f>AVERAGE(LS)</f>
        <v>9.0417976332075101E-2</v>
      </c>
      <c r="E19" s="8"/>
    </row>
    <row r="20" spans="1:5">
      <c r="A20" s="8"/>
      <c r="B20" s="8"/>
      <c r="C20" s="8"/>
      <c r="D20" s="8"/>
      <c r="E20" s="8"/>
    </row>
    <row r="21" spans="1:5">
      <c r="A21" s="8"/>
      <c r="B21" s="8"/>
      <c r="C21" s="8"/>
      <c r="D21" s="8"/>
      <c r="E21" s="8"/>
    </row>
    <row r="22" spans="1:5">
      <c r="A22" s="8"/>
      <c r="B22" s="8"/>
      <c r="C22" s="8"/>
      <c r="D22" s="8"/>
      <c r="E22" s="8"/>
    </row>
    <row r="23" spans="1:5">
      <c r="A23" s="8"/>
      <c r="B23" s="8"/>
      <c r="C23" s="8"/>
      <c r="D23" s="8"/>
      <c r="E23" s="8"/>
    </row>
  </sheetData>
  <printOptions headings="1"/>
  <pageMargins left="0.75" right="0.75" top="1" bottom="1" header="0.5" footer="0.5"/>
  <pageSetup paperSize="0" orientation="portrait" horizontalDpi="4294967292" verticalDpi="4294967292"/>
  <headerFooter alignWithMargins="0"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showGridLines="0" workbookViewId="0">
      <selection activeCell="F21" sqref="F21"/>
    </sheetView>
  </sheetViews>
  <sheetFormatPr defaultColWidth="11" defaultRowHeight="12.5"/>
  <cols>
    <col min="1" max="1" width="40.5" style="3" customWidth="1"/>
    <col min="2" max="2" width="10.296875" style="3" customWidth="1"/>
    <col min="3" max="3" width="11" style="3" customWidth="1"/>
    <col min="4" max="4" width="11.69921875" style="3" customWidth="1"/>
    <col min="5" max="16384" width="11" style="3"/>
  </cols>
  <sheetData>
    <row r="1" spans="1:4" ht="22.5">
      <c r="A1" s="1" t="s">
        <v>0</v>
      </c>
      <c r="B1" s="2"/>
      <c r="C1" s="2"/>
      <c r="D1" s="2"/>
    </row>
    <row r="2" spans="1:4" s="8" customFormat="1" ht="20.149999999999999" customHeight="1">
      <c r="A2" s="5" t="s">
        <v>1</v>
      </c>
      <c r="B2" s="11" t="s">
        <v>18</v>
      </c>
      <c r="C2" s="12"/>
    </row>
    <row r="3" spans="1:4" s="8" customFormat="1" ht="12">
      <c r="A3" s="5" t="s">
        <v>2</v>
      </c>
      <c r="B3" s="22">
        <v>32560</v>
      </c>
      <c r="C3" s="12"/>
    </row>
    <row r="4" spans="1:4" s="8" customFormat="1" ht="12">
      <c r="A4" s="5" t="s">
        <v>3</v>
      </c>
      <c r="B4" s="11" t="s">
        <v>19</v>
      </c>
      <c r="C4" s="12"/>
    </row>
    <row r="5" spans="1:4" s="8" customFormat="1" ht="12">
      <c r="A5" s="10"/>
      <c r="B5" s="11"/>
      <c r="C5" s="12"/>
    </row>
    <row r="6" spans="1:4" s="21" customFormat="1" ht="26.15" customHeight="1">
      <c r="A6" s="13" t="s">
        <v>4</v>
      </c>
      <c r="B6" s="14" t="s">
        <v>20</v>
      </c>
      <c r="C6" s="14" t="s">
        <v>21</v>
      </c>
    </row>
    <row r="7" spans="1:4" s="8" customFormat="1" ht="12">
      <c r="A7" s="15" t="s">
        <v>22</v>
      </c>
      <c r="B7" s="23">
        <v>15.635999999999999</v>
      </c>
      <c r="C7" s="23">
        <v>13.903</v>
      </c>
    </row>
    <row r="8" spans="1:4" s="8" customFormat="1" ht="12">
      <c r="A8" s="17" t="s">
        <v>23</v>
      </c>
      <c r="B8" s="25">
        <v>76.465999999999994</v>
      </c>
      <c r="C8" s="25">
        <v>76.082999999999998</v>
      </c>
    </row>
    <row r="9" spans="1:4" s="8" customFormat="1" ht="12">
      <c r="A9" s="17" t="s">
        <v>24</v>
      </c>
      <c r="B9" s="25">
        <v>62.56</v>
      </c>
      <c r="C9" s="25">
        <v>61.43</v>
      </c>
    </row>
    <row r="10" spans="1:4" s="8" customFormat="1" ht="14">
      <c r="A10" s="17" t="s">
        <v>25</v>
      </c>
      <c r="B10" s="25">
        <v>32.85</v>
      </c>
      <c r="C10" s="25">
        <v>33.75</v>
      </c>
    </row>
    <row r="11" spans="1:4" s="8" customFormat="1" ht="12">
      <c r="A11" s="17" t="s">
        <v>35</v>
      </c>
      <c r="B11" s="25">
        <v>51.85</v>
      </c>
      <c r="C11" s="25">
        <v>48.4</v>
      </c>
    </row>
    <row r="12" spans="1:4" s="8" customFormat="1" ht="12">
      <c r="A12" s="17" t="s">
        <v>36</v>
      </c>
      <c r="B12" s="25">
        <v>22.05</v>
      </c>
      <c r="C12" s="25">
        <v>22.7</v>
      </c>
    </row>
    <row r="13" spans="1:4" s="8" customFormat="1" ht="14">
      <c r="A13" s="17" t="s">
        <v>37</v>
      </c>
      <c r="B13" s="19">
        <v>0.95</v>
      </c>
      <c r="C13" s="19">
        <v>0.95</v>
      </c>
    </row>
    <row r="14" spans="1:4" s="8" customFormat="1" ht="14">
      <c r="A14" s="27" t="s">
        <v>38</v>
      </c>
      <c r="B14" s="28">
        <f>(Msp-Mbsp) - (Msp-(Md-Mc))/rwax</f>
        <v>24.61473684210527</v>
      </c>
      <c r="C14" s="28">
        <f>(Msp-Mbsp) - (Msp-(Md-Mc))/rwax</f>
        <v>24.781052631578948</v>
      </c>
      <c r="D14" s="29" t="s">
        <v>30</v>
      </c>
    </row>
    <row r="15" spans="1:4" s="8" customFormat="1" ht="11.5">
      <c r="A15" s="30" t="s">
        <v>31</v>
      </c>
      <c r="B15" s="31">
        <f>(Mw-Md)/(Md-Mc)</f>
        <v>0.29635154718267814</v>
      </c>
      <c r="C15" s="31">
        <f>(Mw-Md)/(Md-Mc)</f>
        <v>0.30830896122204215</v>
      </c>
      <c r="D15" s="32">
        <f>AVERAGE(w)</f>
        <v>0.30233025420236015</v>
      </c>
    </row>
    <row r="16" spans="1:4" s="8" customFormat="1" ht="11.5">
      <c r="A16" s="30" t="s">
        <v>32</v>
      </c>
      <c r="B16" s="31">
        <f>w-(V-V0)/(Md-Mc)</f>
        <v>0.1208493914011009</v>
      </c>
      <c r="C16" s="31">
        <f>w-(V-V0)/(Md-Mc)</f>
        <v>0.11959628488183444</v>
      </c>
      <c r="D16" s="31">
        <f>AVERAGE(SL)</f>
        <v>0.12022283814146767</v>
      </c>
    </row>
    <row r="17" spans="1:4" s="8" customFormat="1" ht="11.5">
      <c r="A17" s="30" t="s">
        <v>33</v>
      </c>
      <c r="B17" s="33">
        <f>(Md-Mc)/V0</f>
        <v>1.9063376667807046</v>
      </c>
      <c r="C17" s="33">
        <f>(Md-Mc)/V0</f>
        <v>1.9178765610398436</v>
      </c>
      <c r="D17" s="33">
        <f>AVERAGE(SR)</f>
        <v>1.9121071139102741</v>
      </c>
    </row>
    <row r="18" spans="1:4" s="8" customFormat="1" ht="11.5">
      <c r="A18" s="34" t="s">
        <v>34</v>
      </c>
      <c r="B18" s="35">
        <f>(1-(V0/V)^(1/3))</f>
        <v>9.1719603116353077E-2</v>
      </c>
      <c r="C18" s="35">
        <f>(1-(V0/V)^(1/3))</f>
        <v>9.7843274764603749E-2</v>
      </c>
      <c r="D18" s="35">
        <f>AVERAGE(LS)</f>
        <v>9.4781438940478413E-2</v>
      </c>
    </row>
    <row r="19" spans="1:4" s="8" customFormat="1" ht="11.5"/>
    <row r="20" spans="1:4" s="8" customFormat="1" ht="11.5"/>
    <row r="21" spans="1:4" s="8" customFormat="1" ht="11.5"/>
    <row r="22" spans="1:4" s="8" customFormat="1" ht="11.5"/>
    <row r="23" spans="1:4" s="8" customFormat="1" ht="11.5"/>
  </sheetData>
  <printOptions headings="1" gridLinesSet="0"/>
  <pageMargins left="0.75" right="0.75" top="1" bottom="1" header="0.5" footer="0.5"/>
  <pageSetup paperSize="0" orientation="portrait" horizontalDpi="4294967292" verticalDpi="4294967292"/>
  <headerFooter alignWithMargins="0">
    <oddHeader>&amp;F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showGridLines="0" workbookViewId="0">
      <selection activeCell="G12" sqref="G12"/>
    </sheetView>
  </sheetViews>
  <sheetFormatPr defaultColWidth="11" defaultRowHeight="12.5"/>
  <cols>
    <col min="1" max="1" width="40.69921875" style="36" customWidth="1"/>
    <col min="2" max="2" width="10.19921875" style="36" customWidth="1"/>
    <col min="3" max="4" width="10.69921875" style="36" customWidth="1"/>
    <col min="5" max="16384" width="11" style="36"/>
  </cols>
  <sheetData>
    <row r="1" spans="1:4" s="3" customFormat="1" ht="22.5">
      <c r="A1" s="1" t="s">
        <v>0</v>
      </c>
      <c r="B1" s="2"/>
      <c r="C1" s="2"/>
      <c r="D1" s="2"/>
    </row>
    <row r="2" spans="1:4" s="39" customFormat="1" ht="12">
      <c r="A2" s="5" t="s">
        <v>1</v>
      </c>
      <c r="B2" s="37" t="s">
        <v>18</v>
      </c>
      <c r="C2" s="38"/>
    </row>
    <row r="3" spans="1:4" s="39" customFormat="1" ht="12">
      <c r="A3" s="5" t="s">
        <v>2</v>
      </c>
      <c r="B3" s="40">
        <v>32560</v>
      </c>
      <c r="C3" s="38"/>
    </row>
    <row r="4" spans="1:4" s="39" customFormat="1" ht="12">
      <c r="A4" s="5" t="s">
        <v>3</v>
      </c>
      <c r="B4" s="37" t="s">
        <v>19</v>
      </c>
      <c r="C4" s="38"/>
    </row>
    <row r="5" spans="1:4" s="39" customFormat="1" ht="26.15" customHeight="1">
      <c r="A5" s="41"/>
      <c r="B5" s="14" t="s">
        <v>20</v>
      </c>
      <c r="C5" s="14" t="s">
        <v>21</v>
      </c>
      <c r="D5" s="42" t="s">
        <v>39</v>
      </c>
    </row>
    <row r="6" spans="1:4" s="39" customFormat="1" ht="12">
      <c r="A6" s="43" t="s">
        <v>7</v>
      </c>
      <c r="B6" s="44">
        <v>17.512</v>
      </c>
      <c r="C6" s="45">
        <v>15.635999999999999</v>
      </c>
      <c r="D6" s="45">
        <v>13.903</v>
      </c>
    </row>
    <row r="7" spans="1:4" s="39" customFormat="1" ht="12">
      <c r="A7" s="17" t="s">
        <v>40</v>
      </c>
      <c r="B7" s="46">
        <v>78.072000000000003</v>
      </c>
      <c r="C7" s="47">
        <v>76.465999999999994</v>
      </c>
      <c r="D7" s="47">
        <v>76.082999999999998</v>
      </c>
    </row>
    <row r="8" spans="1:4" s="39" customFormat="1" ht="12">
      <c r="A8" s="17" t="s">
        <v>41</v>
      </c>
      <c r="B8" s="46">
        <v>64.41</v>
      </c>
      <c r="C8" s="47">
        <v>62.56</v>
      </c>
      <c r="D8" s="47">
        <v>61.43</v>
      </c>
    </row>
    <row r="9" spans="1:4" s="39" customFormat="1" ht="14">
      <c r="A9" s="48" t="s">
        <v>10</v>
      </c>
      <c r="B9" s="49">
        <v>32.42</v>
      </c>
      <c r="C9" s="50">
        <v>32.85</v>
      </c>
      <c r="D9" s="50">
        <v>33.75</v>
      </c>
    </row>
    <row r="10" spans="1:4" s="39" customFormat="1" ht="11.5">
      <c r="A10" s="51" t="s">
        <v>14</v>
      </c>
      <c r="B10" s="52"/>
      <c r="C10" s="52"/>
      <c r="D10" s="52"/>
    </row>
    <row r="11" spans="1:4" s="39" customFormat="1" ht="12">
      <c r="A11" s="43" t="s">
        <v>15</v>
      </c>
      <c r="B11" s="44">
        <v>130</v>
      </c>
      <c r="C11" s="44">
        <v>130</v>
      </c>
      <c r="D11" s="53"/>
    </row>
    <row r="12" spans="1:4" s="39" customFormat="1" ht="12">
      <c r="A12" s="17" t="s">
        <v>42</v>
      </c>
      <c r="B12" s="46">
        <v>462</v>
      </c>
      <c r="C12" s="46">
        <v>466</v>
      </c>
      <c r="D12" s="54"/>
    </row>
    <row r="13" spans="1:4" s="39" customFormat="1" ht="14">
      <c r="A13" s="48" t="s">
        <v>17</v>
      </c>
      <c r="B13" s="49">
        <v>13.6</v>
      </c>
      <c r="C13" s="49">
        <v>13.6</v>
      </c>
      <c r="D13" s="55"/>
    </row>
    <row r="14" spans="1:4" s="8" customFormat="1" ht="11.5">
      <c r="A14" s="56" t="s">
        <v>43</v>
      </c>
      <c r="B14" s="57">
        <f>(B7-B8)/(B8-B6)</f>
        <v>0.29131306239072047</v>
      </c>
      <c r="C14" s="57">
        <f>(C7-C8)/(C8-C6)</f>
        <v>0.29635154718267814</v>
      </c>
      <c r="D14" s="57">
        <f>(D7-D8)/(D8-D6)</f>
        <v>0.30830896122204215</v>
      </c>
    </row>
    <row r="15" spans="1:4" s="39" customFormat="1" ht="13.5">
      <c r="A15" s="15" t="s">
        <v>44</v>
      </c>
      <c r="B15" s="28">
        <f>(B12-B11)/B13</f>
        <v>24.411764705882355</v>
      </c>
      <c r="C15" s="28">
        <f>(C12-C11)/C13</f>
        <v>24.705882352941178</v>
      </c>
      <c r="D15" s="58"/>
    </row>
    <row r="16" spans="1:4" s="39" customFormat="1" ht="11.5">
      <c r="A16" s="59" t="s">
        <v>45</v>
      </c>
      <c r="B16" s="31">
        <f>B14-(B9-B15)/(B8-B6)</f>
        <v>0.12055449498661694</v>
      </c>
      <c r="C16" s="31">
        <f>C14-(C9-C15)/(C8-C6)</f>
        <v>0.12279179850271005</v>
      </c>
      <c r="D16" s="54"/>
    </row>
    <row r="17" spans="1:4" s="39" customFormat="1" ht="11.5">
      <c r="A17" s="59" t="s">
        <v>46</v>
      </c>
      <c r="B17" s="33">
        <f>(B8-B6)/B15</f>
        <v>1.9211228915662648</v>
      </c>
      <c r="C17" s="33">
        <f>(C8-C6)/C15</f>
        <v>1.8993047619047621</v>
      </c>
      <c r="D17" s="54"/>
    </row>
    <row r="18" spans="1:4" s="39" customFormat="1" ht="11.5">
      <c r="A18" s="48" t="s">
        <v>47</v>
      </c>
      <c r="B18" s="35">
        <f>(1-(B15/B9)^(1/3))</f>
        <v>9.023605423330161E-2</v>
      </c>
      <c r="C18" s="35">
        <f>(1-(C15/C9)^(1/3))</f>
        <v>9.0599898430848591E-2</v>
      </c>
      <c r="D18" s="55"/>
    </row>
    <row r="19" spans="1:4" s="38" customFormat="1" ht="11.5">
      <c r="A19" s="51" t="s">
        <v>4</v>
      </c>
      <c r="B19" s="52"/>
      <c r="C19" s="52"/>
      <c r="D19" s="52"/>
    </row>
    <row r="20" spans="1:4" s="39" customFormat="1" ht="12">
      <c r="A20" s="43" t="s">
        <v>11</v>
      </c>
      <c r="B20" s="53"/>
      <c r="C20" s="45">
        <v>51.85</v>
      </c>
      <c r="D20" s="45">
        <v>48.4</v>
      </c>
    </row>
    <row r="21" spans="1:4" s="39" customFormat="1" ht="12">
      <c r="A21" s="59" t="s">
        <v>48</v>
      </c>
      <c r="B21" s="54"/>
      <c r="C21" s="47">
        <v>22.05</v>
      </c>
      <c r="D21" s="47">
        <v>22.7</v>
      </c>
    </row>
    <row r="22" spans="1:4" s="39" customFormat="1" ht="14">
      <c r="A22" s="48" t="s">
        <v>13</v>
      </c>
      <c r="B22" s="55"/>
      <c r="C22" s="50">
        <v>0.95</v>
      </c>
      <c r="D22" s="50">
        <v>0.95</v>
      </c>
    </row>
    <row r="23" spans="1:4" s="8" customFormat="1" ht="13.5">
      <c r="A23" s="15" t="s">
        <v>44</v>
      </c>
      <c r="B23" s="60"/>
      <c r="C23" s="28">
        <f>(C20-C21) - (C20-(C8-C6))/C22</f>
        <v>24.61473684210527</v>
      </c>
      <c r="D23" s="28">
        <f>(D20-D21) - (D20-(D8-D6))/D22</f>
        <v>24.781052631578948</v>
      </c>
    </row>
    <row r="24" spans="1:4" s="39" customFormat="1" ht="11.5">
      <c r="A24" s="59" t="s">
        <v>45</v>
      </c>
      <c r="B24" s="54"/>
      <c r="C24" s="61">
        <f>C14-(C9-C23)/(C8-C6)</f>
        <v>0.1208493914011009</v>
      </c>
      <c r="D24" s="61">
        <f>D14-(D9-D23)/(D8-D6)</f>
        <v>0.11959628488183444</v>
      </c>
    </row>
    <row r="25" spans="1:4" s="39" customFormat="1" ht="11.5">
      <c r="A25" s="59" t="s">
        <v>46</v>
      </c>
      <c r="B25" s="54"/>
      <c r="C25" s="54">
        <f>(C8-C6)/C23</f>
        <v>1.9063376667807046</v>
      </c>
      <c r="D25" s="54">
        <f>(D8-D6)/D23</f>
        <v>1.9178765610398436</v>
      </c>
    </row>
    <row r="26" spans="1:4" s="39" customFormat="1" ht="11.5">
      <c r="A26" s="48" t="s">
        <v>47</v>
      </c>
      <c r="B26" s="55"/>
      <c r="C26" s="62">
        <f>(1-(C23/C9)^(1/3))</f>
        <v>9.1719603116353077E-2</v>
      </c>
      <c r="D26" s="62">
        <f>(1-(D23/D9)^(1/3))</f>
        <v>9.7843274764603749E-2</v>
      </c>
    </row>
    <row r="27" spans="1:4" s="39" customFormat="1" ht="11.5"/>
    <row r="28" spans="1:4" s="39" customFormat="1" ht="11.5"/>
    <row r="29" spans="1:4" s="39" customFormat="1" ht="11.5"/>
    <row r="30" spans="1:4" s="39" customFormat="1" ht="11.5"/>
  </sheetData>
  <pageMargins left="0.75" right="0.75" top="1" bottom="1" header="0.5" footer="0.5"/>
  <pageSetup paperSize="0" scale="0" orientation="portrait" horizontalDpi="0" verticalDpi="0" copies="0"/>
  <headerFooter alignWithMargins="0"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24</vt:i4>
      </vt:variant>
    </vt:vector>
  </HeadingPairs>
  <TitlesOfParts>
    <vt:vector size="29" baseType="lpstr">
      <vt:lpstr>Datasheet1</vt:lpstr>
      <vt:lpstr>Datasheet2</vt:lpstr>
      <vt:lpstr>Example1</vt:lpstr>
      <vt:lpstr>Example2</vt:lpstr>
      <vt:lpstr>Comparison</vt:lpstr>
      <vt:lpstr>Example1!LS</vt:lpstr>
      <vt:lpstr>Example2!LS</vt:lpstr>
      <vt:lpstr>Example2!Mbsp</vt:lpstr>
      <vt:lpstr>Example1!Mc</vt:lpstr>
      <vt:lpstr>Example2!Mc</vt:lpstr>
      <vt:lpstr>Example1!Md</vt:lpstr>
      <vt:lpstr>Example2!Md</vt:lpstr>
      <vt:lpstr>Example1!MHg</vt:lpstr>
      <vt:lpstr>Example2!Msp</vt:lpstr>
      <vt:lpstr>Example1!Mt</vt:lpstr>
      <vt:lpstr>Example1!Mw</vt:lpstr>
      <vt:lpstr>Example2!Mw</vt:lpstr>
      <vt:lpstr>Example1!rHg</vt:lpstr>
      <vt:lpstr>Example2!rwax</vt:lpstr>
      <vt:lpstr>Example1!SL</vt:lpstr>
      <vt:lpstr>Example2!SL</vt:lpstr>
      <vt:lpstr>Example1!SR</vt:lpstr>
      <vt:lpstr>Example2!SR</vt:lpstr>
      <vt:lpstr>Example1!V</vt:lpstr>
      <vt:lpstr>Example2!V</vt:lpstr>
      <vt:lpstr>Example1!V0</vt:lpstr>
      <vt:lpstr>Example2!V0</vt:lpstr>
      <vt:lpstr>Example1!w</vt:lpstr>
      <vt:lpstr>Example2!w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Experimental Soil Mechanics</dc:title>
  <dc:subject>Shrinkage analysis</dc:subject>
  <dc:creator>J.P. Bardet</dc:creator>
  <cp:lastModifiedBy>Carina Negreanu</cp:lastModifiedBy>
  <dcterms:created xsi:type="dcterms:W3CDTF">1998-07-20T09:02:15Z</dcterms:created>
  <dcterms:modified xsi:type="dcterms:W3CDTF">2020-01-27T12:40:12Z</dcterms:modified>
</cp:coreProperties>
</file>