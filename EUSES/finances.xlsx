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F94332-B0D6-429A-A41F-BB7131A67C3E}" xr6:coauthVersionLast="45" xr6:coauthVersionMax="45" xr10:uidLastSave="{00000000-0000-0000-0000-000000000000}"/>
  <bookViews>
    <workbookView xWindow="3420" yWindow="3420" windowWidth="28800" windowHeight="15460" tabRatio="825" activeTab="4"/>
  </bookViews>
  <sheets>
    <sheet name="Balance Sheet" sheetId="1" r:id="rId1"/>
    <sheet name="Income Statement" sheetId="2" r:id="rId2"/>
    <sheet name="Income Add" sheetId="3" r:id="rId3"/>
    <sheet name="Cash Bal" sheetId="4" r:id="rId4"/>
    <sheet name="Cash Flow" sheetId="5" r:id="rId5"/>
    <sheet name="Equip Bal" sheetId="6" r:id="rId6"/>
    <sheet name="Equip Flow" sheetId="7" r:id="rId7"/>
    <sheet name="Inv Bal" sheetId="8" r:id="rId8"/>
    <sheet name="Inv Flow" sheetId="9" r:id="rId9"/>
    <sheet name="AR Bal" sheetId="10" r:id="rId10"/>
    <sheet name="AR Flow" sheetId="11" r:id="rId11"/>
    <sheet name="AP Bal" sheetId="12" r:id="rId12"/>
    <sheet name="AP Flow" sheetId="13" r:id="rId13"/>
  </sheets>
  <definedNames>
    <definedName name="AP_Beg">'AP Bal'!$C$8</definedName>
    <definedName name="AP_End">'AP Bal'!$C$14</definedName>
    <definedName name="AP_In">'AP Flow'!$C$12</definedName>
    <definedName name="AP_Out">'AP Flow'!$C$22</definedName>
    <definedName name="AR_Beg" localSheetId="11">'AP Bal'!$C$8</definedName>
    <definedName name="AR_Beg">'AR Bal'!$C$8</definedName>
    <definedName name="AR_End" localSheetId="11">'AP Bal'!$C$14</definedName>
    <definedName name="AR_End">'AR Bal'!$C$15</definedName>
    <definedName name="AR_In" localSheetId="12">'AP Flow'!$C$12</definedName>
    <definedName name="AR_In">'AR Flow'!$C$17</definedName>
    <definedName name="AR_Out" localSheetId="12">'AP Flow'!$C$22</definedName>
    <definedName name="AR_Out">'AR Flow'!$C$31</definedName>
    <definedName name="Assets_Beg" localSheetId="1">'Income Statement'!$D$20</definedName>
    <definedName name="Assets_Beg">'Balance Sheet'!$D$15</definedName>
    <definedName name="Assets_End" localSheetId="1">'Income Statement'!$F$20</definedName>
    <definedName name="Assets_End">'Balance Sheet'!$F$15</definedName>
    <definedName name="Cash_Beg">'Cash Bal'!$C$11</definedName>
    <definedName name="Cash_End">'Cash Bal'!$C$20</definedName>
    <definedName name="Cash_In" localSheetId="2">'Income Add'!#REF!</definedName>
    <definedName name="Cash_In">'Cash Flow'!$D$23</definedName>
    <definedName name="Cash_Out" localSheetId="2">'Income Add'!#REF!</definedName>
    <definedName name="Cash_Out">'Cash Flow'!$D$60</definedName>
    <definedName name="Chapter_Name">'Balance Sheet'!$C$5</definedName>
    <definedName name="Dues">'Cash Flow'!$D$11</definedName>
    <definedName name="Equip_Beg">'Equip Bal'!$D$9</definedName>
    <definedName name="Equip_End">'Equip Bal'!$D$18</definedName>
    <definedName name="Equip_In">'Equip Flow'!$E$10</definedName>
    <definedName name="Equip_Out">'Equip Flow'!$E$18</definedName>
    <definedName name="Interest">'Cash Flow'!$D$12</definedName>
    <definedName name="Inv_Beg">'Inv Bal'!$E$24</definedName>
    <definedName name="Inv_End">'Inv Bal'!$E$77</definedName>
    <definedName name="Inv_In">'Inv Flow'!$F$30</definedName>
    <definedName name="Inv_Out">'Inv Flow'!$F$66</definedName>
    <definedName name="Liables_Beg" localSheetId="1">'Income Statement'!$D$28</definedName>
    <definedName name="Liables_Beg">'Balance Sheet'!$D$22</definedName>
    <definedName name="Liables_End" localSheetId="1">'Income Statement'!$F$28</definedName>
    <definedName name="Liables_End">'Balance Sheet'!$F$22</definedName>
    <definedName name="_xlnm.Print_Titles" localSheetId="11">'AP Bal'!$1:$4</definedName>
    <definedName name="_xlnm.Print_Titles" localSheetId="12">'AP Flow'!$1:$4</definedName>
    <definedName name="_xlnm.Print_Titles" localSheetId="9">'AR Bal'!$1:$4</definedName>
    <definedName name="_xlnm.Print_Titles" localSheetId="10">'AR Flow'!$1:$4</definedName>
    <definedName name="_xlnm.Print_Titles" localSheetId="0">'Balance Sheet'!$5:$7</definedName>
    <definedName name="_xlnm.Print_Titles" localSheetId="3">'Cash Bal'!$1:$4</definedName>
    <definedName name="_xlnm.Print_Titles" localSheetId="4">'Cash Flow'!$1:$4</definedName>
    <definedName name="_xlnm.Print_Titles" localSheetId="5">'Equip Bal'!$1:$4</definedName>
    <definedName name="_xlnm.Print_Titles" localSheetId="6">'Equip Flow'!$1:$4</definedName>
    <definedName name="_xlnm.Print_Titles" localSheetId="2">'Income Add'!$1:$4</definedName>
    <definedName name="_xlnm.Print_Titles" localSheetId="1">'Income Statement'!$2:$5</definedName>
    <definedName name="_xlnm.Print_Titles" localSheetId="7">'Inv Bal'!$1:$4</definedName>
    <definedName name="_xlnm.Print_Titles" localSheetId="8">'Inv Flow'!$1:$4</definedName>
    <definedName name="Worth_Beg" localSheetId="1">'Income Statement'!$D$30</definedName>
    <definedName name="Worth_Beg">'Balance Sheet'!$D$25</definedName>
    <definedName name="Worth_End" localSheetId="1">'Income Statement'!$F$30</definedName>
    <definedName name="Worth_End">'Balance Sheet'!$F$25</definedName>
    <definedName name="Year">'Balance Sheet'!$C$6</definedName>
  </definedNames>
  <calcPr calcId="0" fullCalcOnLoad="1"/>
</workbook>
</file>

<file path=xl/calcChain.xml><?xml version="1.0" encoding="utf-8"?>
<calcChain xmlns="http://schemas.openxmlformats.org/spreadsheetml/2006/main">
  <c r="C2" i="12" l="1"/>
  <c r="A5" i="12"/>
  <c r="C8" i="12"/>
  <c r="A11" i="12"/>
  <c r="C14" i="12"/>
  <c r="C17" i="12"/>
  <c r="C18" i="12"/>
  <c r="C19" i="12"/>
  <c r="C2" i="13"/>
  <c r="C12" i="13"/>
  <c r="C22" i="13"/>
  <c r="C26" i="13"/>
  <c r="C27" i="13"/>
  <c r="C28" i="13"/>
  <c r="C30" i="13"/>
  <c r="C31" i="13"/>
  <c r="C32" i="13"/>
  <c r="C2" i="10"/>
  <c r="A5" i="10"/>
  <c r="C8" i="10"/>
  <c r="A11" i="10"/>
  <c r="C15" i="10"/>
  <c r="C18" i="10"/>
  <c r="C19" i="10"/>
  <c r="C20" i="10"/>
  <c r="C2" i="11"/>
  <c r="C17" i="11"/>
  <c r="C31" i="11"/>
  <c r="C35" i="11"/>
  <c r="C36" i="11"/>
  <c r="C37" i="11"/>
  <c r="C39" i="11"/>
  <c r="C40" i="11"/>
  <c r="C41" i="11"/>
  <c r="E6" i="1"/>
  <c r="D9" i="1"/>
  <c r="F9" i="1"/>
  <c r="D10" i="1"/>
  <c r="F10" i="1"/>
  <c r="D12" i="1"/>
  <c r="F12" i="1"/>
  <c r="D13" i="1"/>
  <c r="F13" i="1"/>
  <c r="D15" i="1"/>
  <c r="F15" i="1"/>
  <c r="D18" i="1"/>
  <c r="F18" i="1"/>
  <c r="D22" i="1"/>
  <c r="F22" i="1"/>
  <c r="D25" i="1"/>
  <c r="F25" i="1"/>
  <c r="F27" i="1"/>
  <c r="F29" i="1"/>
  <c r="C2" i="4"/>
  <c r="A5" i="4"/>
  <c r="C11" i="4"/>
  <c r="A14" i="4"/>
  <c r="C20" i="4"/>
  <c r="C23" i="4"/>
  <c r="C24" i="4"/>
  <c r="C25" i="4"/>
  <c r="D2" i="5"/>
  <c r="D18" i="5"/>
  <c r="D23" i="5"/>
  <c r="D42" i="5"/>
  <c r="D44" i="5"/>
  <c r="D45" i="5"/>
  <c r="D53" i="5"/>
  <c r="D60" i="5"/>
  <c r="D64" i="5"/>
  <c r="D65" i="5"/>
  <c r="D66" i="5"/>
  <c r="D68" i="5"/>
  <c r="D69" i="5"/>
  <c r="D70" i="5"/>
  <c r="D2" i="6"/>
  <c r="A5" i="6"/>
  <c r="D9" i="6"/>
  <c r="A12" i="6"/>
  <c r="D18" i="6"/>
  <c r="D21" i="6"/>
  <c r="D22" i="6"/>
  <c r="D23" i="6"/>
  <c r="E2" i="7"/>
  <c r="E10" i="7"/>
  <c r="E18" i="7"/>
  <c r="E22" i="7"/>
  <c r="E23" i="7"/>
  <c r="E24" i="7"/>
  <c r="E26" i="7"/>
  <c r="E27" i="7"/>
  <c r="E28" i="7"/>
  <c r="A1" i="3"/>
  <c r="D2" i="3"/>
  <c r="D16" i="3"/>
  <c r="D50" i="3"/>
  <c r="D2" i="2"/>
  <c r="C4" i="2"/>
  <c r="E4" i="2"/>
  <c r="F7" i="2"/>
  <c r="F9" i="2"/>
  <c r="F10" i="2"/>
  <c r="D12" i="2"/>
  <c r="D13" i="2"/>
  <c r="F14" i="2"/>
  <c r="D16" i="2"/>
  <c r="D17" i="2"/>
  <c r="F18" i="2"/>
  <c r="F19" i="2"/>
  <c r="F20" i="2"/>
  <c r="F23" i="2"/>
  <c r="F27" i="2"/>
  <c r="F28" i="2"/>
  <c r="F30" i="2"/>
  <c r="E2" i="8"/>
  <c r="A5" i="8"/>
  <c r="B9" i="8"/>
  <c r="B10" i="8"/>
  <c r="B11" i="8"/>
  <c r="B15" i="8"/>
  <c r="B16" i="8"/>
  <c r="B20" i="8"/>
  <c r="B23" i="8"/>
  <c r="E24" i="8"/>
  <c r="A27" i="8"/>
  <c r="C65" i="8"/>
  <c r="E65" i="8"/>
  <c r="E71" i="8"/>
  <c r="E77" i="8"/>
  <c r="E80" i="8"/>
  <c r="E81" i="8"/>
  <c r="E82" i="8"/>
  <c r="F2" i="9"/>
  <c r="D16" i="9"/>
  <c r="D19" i="9"/>
  <c r="F30" i="9"/>
  <c r="D39" i="9"/>
  <c r="F39" i="9"/>
  <c r="D51" i="9"/>
  <c r="F51" i="9"/>
  <c r="D54" i="9"/>
  <c r="F66" i="9"/>
  <c r="F70" i="9"/>
  <c r="F71" i="9"/>
  <c r="F72" i="9"/>
  <c r="F74" i="9"/>
  <c r="F75" i="9"/>
  <c r="F76" i="9"/>
</calcChain>
</file>

<file path=xl/sharedStrings.xml><?xml version="1.0" encoding="utf-8"?>
<sst xmlns="http://schemas.openxmlformats.org/spreadsheetml/2006/main" count="823" uniqueCount="380">
  <si>
    <t>AR~3</t>
  </si>
  <si>
    <t>National Space Society</t>
  </si>
  <si>
    <t>Creating a spacefaring civilization...</t>
  </si>
  <si>
    <r>
      <t xml:space="preserve">This report </t>
    </r>
    <r>
      <rPr>
        <b/>
        <u/>
        <sz val="14"/>
        <rFont val="Times New Roman"/>
        <family val="1"/>
      </rPr>
      <t>must</t>
    </r>
    <r>
      <rPr>
        <b/>
        <sz val="14"/>
        <rFont val="Times New Roman"/>
        <family val="1"/>
      </rPr>
      <t xml:space="preserve"> be filed by 15 FEB of each year.</t>
    </r>
  </si>
  <si>
    <t>BALANCE SHEET for</t>
  </si>
  <si>
    <t>(Chapter Name)</t>
  </si>
  <si>
    <t>Fiscal year from 1 JAN</t>
  </si>
  <si>
    <t>to 31 DEC</t>
  </si>
  <si>
    <t>.</t>
  </si>
  <si>
    <t>ASSETS</t>
  </si>
  <si>
    <t>Beginning Year</t>
  </si>
  <si>
    <t>Ending Year</t>
  </si>
  <si>
    <t>Cash</t>
  </si>
  <si>
    <t>Accounts Receivable</t>
  </si>
  <si>
    <t>(money owed to you)</t>
  </si>
  <si>
    <t>Equipment</t>
  </si>
  <si>
    <t>Inventory</t>
  </si>
  <si>
    <t>Other (attach schedule)</t>
  </si>
  <si>
    <t>TOTAL ASSETS</t>
  </si>
  <si>
    <t>LIABILITIES</t>
  </si>
  <si>
    <t>Accounts Payable</t>
  </si>
  <si>
    <t>(money you owe)</t>
  </si>
  <si>
    <t>Loans</t>
  </si>
  <si>
    <t>TOTAL LIABILITIES</t>
  </si>
  <si>
    <t>Assets minus Liabilities</t>
  </si>
  <si>
    <t>(subtract line 10 from line 6)</t>
  </si>
  <si>
    <t>Prior year Net Worth</t>
  </si>
  <si>
    <t>(Transfer from line 11 Beginning Year)</t>
  </si>
  <si>
    <t>Change in Net Worth</t>
  </si>
  <si>
    <t>(Subtract line 12 from line 11)</t>
  </si>
  <si>
    <t>AR~4</t>
  </si>
  <si>
    <t>INCOME STATEMENT for</t>
  </si>
  <si>
    <t>(chapter name)</t>
  </si>
  <si>
    <t>(last year)</t>
  </si>
  <si>
    <t>INCOME</t>
  </si>
  <si>
    <t>Amount</t>
  </si>
  <si>
    <t>Contributions</t>
  </si>
  <si>
    <t>Rebates from NSS HQ</t>
  </si>
  <si>
    <t>Membership Dues</t>
  </si>
  <si>
    <t>Interest</t>
  </si>
  <si>
    <t>Special fundraising events (attach schedule)</t>
  </si>
  <si>
    <t xml:space="preserve">  Gross Revenue</t>
  </si>
  <si>
    <t xml:space="preserve">  minus direct expense</t>
  </si>
  <si>
    <t xml:space="preserve">  Net Income (or Loss)</t>
  </si>
  <si>
    <t>Merchandise sales (attach schedule)</t>
  </si>
  <si>
    <t>TOTAL REVENUES</t>
  </si>
  <si>
    <t>EXPENSES</t>
  </si>
  <si>
    <t>Supplies (administrative &amp; bank), used</t>
  </si>
  <si>
    <t>Telephone (administrative)</t>
  </si>
  <si>
    <t>Postage and Shipping (administrative)</t>
  </si>
  <si>
    <t>Occupancy (Rent and Utilities, mail box)</t>
  </si>
  <si>
    <t>TOTAL EXPENSES</t>
  </si>
  <si>
    <t>Income minus Expenses (subtract line 27 from line 21)</t>
  </si>
  <si>
    <t>Line 28 must be equal to line 13 or else there is an error.</t>
  </si>
  <si>
    <t>Fiscal year from 1 January to 31 December of the Year:</t>
  </si>
  <si>
    <t>INCOME SCHEDULES</t>
  </si>
  <si>
    <t>Contributions, Positive Income, collected &amp; due</t>
  </si>
  <si>
    <t>Code</t>
  </si>
  <si>
    <t>Cash donations to Chapter General Account</t>
  </si>
  <si>
    <t>DGA</t>
  </si>
  <si>
    <t>Cash donations to Project Account</t>
  </si>
  <si>
    <t>DPA</t>
  </si>
  <si>
    <t>Educational Grant for Project Account</t>
  </si>
  <si>
    <t>GPA</t>
  </si>
  <si>
    <t>Regional Conference, Positive Income, collected &amp; due</t>
  </si>
  <si>
    <t>Regional Conference Registrations</t>
  </si>
  <si>
    <t>CRG</t>
  </si>
  <si>
    <t>less Registration Refunds, paid</t>
  </si>
  <si>
    <t>CRR</t>
  </si>
  <si>
    <t>Regional Conference, Negative Income, paid &amp; owed</t>
  </si>
  <si>
    <t>Printing and Copying, paid</t>
  </si>
  <si>
    <t>CCP</t>
  </si>
  <si>
    <t>Merchandise Sales, Positive Income, collected &amp; due</t>
  </si>
  <si>
    <t>30 Post Race for Space Project T-shirt Sales, price</t>
  </si>
  <si>
    <t>HTS</t>
  </si>
  <si>
    <t>Project Equipment Sales and Rentals Fees</t>
  </si>
  <si>
    <t>Merchandise Sales, Negative Income, paid &amp; owed</t>
  </si>
  <si>
    <t>30 Project T-shirt Sales, cost</t>
  </si>
  <si>
    <t>8 1993 ISDC T-shirts, depreciated down to $5 apiece</t>
  </si>
  <si>
    <t>T93</t>
  </si>
  <si>
    <t>Other, Cash Income, collected &amp; due</t>
  </si>
  <si>
    <t>Chapter Newsletter Subscriptions (beyond members)</t>
  </si>
  <si>
    <t>SSS</t>
  </si>
  <si>
    <t>Other, Non-cash Donations Income, collected &amp; due</t>
  </si>
  <si>
    <t>6-months CICI Internet service donated</t>
  </si>
  <si>
    <t>EXPENSE SCHEDULES</t>
  </si>
  <si>
    <t>Other, Chapter Activities, paid &amp; used</t>
  </si>
  <si>
    <t>Chapter Administrative Printing and Copying, used</t>
  </si>
  <si>
    <t>APC</t>
  </si>
  <si>
    <t>Chapter Prime Account Bank Fees, paid</t>
  </si>
  <si>
    <t>CICI Internet Service, 6 months</t>
  </si>
  <si>
    <t>NSS Chapters' Assembly Fee, paid</t>
  </si>
  <si>
    <t>ADF</t>
  </si>
  <si>
    <t>HATS Membership Dues, paid</t>
  </si>
  <si>
    <t>Membership Recruitment Printing and Copying, paid</t>
  </si>
  <si>
    <t>MPC</t>
  </si>
  <si>
    <t>Membership Recruitment Postage and Shipping, paid</t>
  </si>
  <si>
    <t>MPS</t>
  </si>
  <si>
    <r>
      <t xml:space="preserve">Membership Recruitment </t>
    </r>
    <r>
      <rPr>
        <i/>
        <sz val="12"/>
        <rFont val="Times New Roman"/>
      </rPr>
      <t>Ad Astra</t>
    </r>
    <r>
      <rPr>
        <sz val="12"/>
        <rFont val="Times New Roman"/>
        <family val="1"/>
      </rPr>
      <t xml:space="preserve"> magazines, used</t>
    </r>
  </si>
  <si>
    <t>MAA</t>
  </si>
  <si>
    <t>Newsletter Labor Fees, paid</t>
  </si>
  <si>
    <t>NLB</t>
  </si>
  <si>
    <t>Newsletter Printing and Copying, paid</t>
  </si>
  <si>
    <t>NPC</t>
  </si>
  <si>
    <t>Newsletter Postage and Shipping, paid</t>
  </si>
  <si>
    <t>NPS</t>
  </si>
  <si>
    <t>Newsletter Supplies, used</t>
  </si>
  <si>
    <t>NSP</t>
  </si>
  <si>
    <t>Programming Printing and Copying, paid</t>
  </si>
  <si>
    <t>PPC</t>
  </si>
  <si>
    <t>Programming Postage and Shipping, paid</t>
  </si>
  <si>
    <t>PPS</t>
  </si>
  <si>
    <t>Programming Supplies, used</t>
  </si>
  <si>
    <t>PSP</t>
  </si>
  <si>
    <t>Lobbying Printing and Copying, paid</t>
  </si>
  <si>
    <t>LPC</t>
  </si>
  <si>
    <t>Other, Project Activities, paid &amp; used</t>
  </si>
  <si>
    <t>Project Administrative Telephone and Fax, paid</t>
  </si>
  <si>
    <t>ATF</t>
  </si>
  <si>
    <t>Project Administrative Printing and Copying, paid</t>
  </si>
  <si>
    <t>Project Administrative Postage and Shipping, paid</t>
  </si>
  <si>
    <t>APS</t>
  </si>
  <si>
    <t>Project Administrative Bank Supplies, used</t>
  </si>
  <si>
    <t>ASB</t>
  </si>
  <si>
    <t>Project Photo Albums, Film, and Film Processing</t>
  </si>
  <si>
    <t>APH</t>
  </si>
  <si>
    <t>Fund-raising &amp; Publicity Postage and Shipping, paid</t>
  </si>
  <si>
    <t>FPS</t>
  </si>
  <si>
    <t>Fund-raising &amp; Publicity Supplies, used</t>
  </si>
  <si>
    <t>FSP</t>
  </si>
  <si>
    <t>Fund-raising &amp; Publicity Exhibit Fees, paid</t>
  </si>
  <si>
    <t>FEF</t>
  </si>
  <si>
    <t>Educational Activities Supplies, used</t>
  </si>
  <si>
    <t>ESP</t>
  </si>
  <si>
    <t>Project Educational Red Balloon, depreciated</t>
  </si>
  <si>
    <t>EBA</t>
  </si>
  <si>
    <t xml:space="preserve">CHAPTER BALANCE SHEET for ACCOUNT:     CASH </t>
  </si>
  <si>
    <t>Chapter Cash Accounts</t>
  </si>
  <si>
    <t>Chapter General Account</t>
  </si>
  <si>
    <t>Chapter Project Account</t>
  </si>
  <si>
    <t>Chapter Conference Account</t>
  </si>
  <si>
    <t>Project Investment Account</t>
  </si>
  <si>
    <t>1a.</t>
  </si>
  <si>
    <t>TOTAL ACCOUNT BALANCE</t>
  </si>
  <si>
    <t>1b.</t>
  </si>
  <si>
    <t>Account balance at BEGINNING of year</t>
  </si>
  <si>
    <t>Account balance at END of year</t>
  </si>
  <si>
    <t>Account change (Ending minus Beginning Balances)</t>
  </si>
  <si>
    <r>
      <t xml:space="preserve">CHAPTER FLOW STATEMENT for ACCOUNT:   </t>
    </r>
    <r>
      <rPr>
        <u/>
        <sz val="14"/>
        <rFont val="Times New Roman"/>
        <family val="1"/>
      </rPr>
      <t xml:space="preserve">  CASH </t>
    </r>
  </si>
  <si>
    <t>IN-FLOW (NET DEPOSITS DURING CURRENT YEAR)</t>
  </si>
  <si>
    <t>Rebates from NSS HQ, Collected Revenue</t>
  </si>
  <si>
    <t>NCH</t>
  </si>
  <si>
    <t>Membership Dues, Collected Revenue</t>
  </si>
  <si>
    <t>MEM</t>
  </si>
  <si>
    <t>Special Fundraising Events, Regional Conference</t>
  </si>
  <si>
    <t>less Printing and Copying, paid</t>
  </si>
  <si>
    <t>CPC</t>
  </si>
  <si>
    <t>less Registration Refunds</t>
  </si>
  <si>
    <t>Merchandise Sales</t>
  </si>
  <si>
    <t>Chapter T-shirt Sales</t>
  </si>
  <si>
    <t>TCH</t>
  </si>
  <si>
    <t>Equipment Sales and Rentals Fees</t>
  </si>
  <si>
    <t>Other</t>
  </si>
  <si>
    <t>NSS Memberships (NSS part), Collected Revenue</t>
  </si>
  <si>
    <t>NSS</t>
  </si>
  <si>
    <t>Newsletter Subscriptions (beyond members)</t>
  </si>
  <si>
    <t>SUB</t>
  </si>
  <si>
    <t>TOTAL ACCOUNT IN-FLOW</t>
  </si>
  <si>
    <t>OUT-FLOW (PURCHASED GOODS AND SERVICES)</t>
  </si>
  <si>
    <t>Supplies (HAL5 Administrative), purchased</t>
  </si>
  <si>
    <t>ASP</t>
  </si>
  <si>
    <t>Telephone and Fax (HAL5 Administrative), paid</t>
  </si>
  <si>
    <t>Postage and Shipping (HAL5 Administrative), paid</t>
  </si>
  <si>
    <t>Occupancy (Rent and Utilities)</t>
  </si>
  <si>
    <t>AMB</t>
  </si>
  <si>
    <t>Other, Administrative Activities</t>
  </si>
  <si>
    <t>Administrative Printing and Copying, paid</t>
  </si>
  <si>
    <t>Computer Supplies, purchased</t>
  </si>
  <si>
    <t>ASC</t>
  </si>
  <si>
    <t>Investment Account Bank Fees, paid</t>
  </si>
  <si>
    <r>
      <t xml:space="preserve">Membership Recruitment </t>
    </r>
    <r>
      <rPr>
        <i/>
        <sz val="12"/>
        <rFont val="Times New Roman"/>
      </rPr>
      <t>Ad Astra</t>
    </r>
    <r>
      <rPr>
        <sz val="12"/>
        <rFont val="Times New Roman"/>
        <family val="1"/>
      </rPr>
      <t xml:space="preserve"> magazines, purchased</t>
    </r>
  </si>
  <si>
    <t>NSS Memberships (NSS part), paid</t>
  </si>
  <si>
    <t>XHQ</t>
  </si>
  <si>
    <t>Newsletter Supplies, purchased</t>
  </si>
  <si>
    <t>Programming Supplies, purchased</t>
  </si>
  <si>
    <t>Other, Project Activities</t>
  </si>
  <si>
    <t>TTF</t>
  </si>
  <si>
    <t>TPC</t>
  </si>
  <si>
    <t>TPS</t>
  </si>
  <si>
    <t>Project Administrative Late Payment Fees, paid</t>
  </si>
  <si>
    <t>TLF</t>
  </si>
  <si>
    <t>TPH</t>
  </si>
  <si>
    <t>Fund-raising &amp; Publicity Printing and Copying, paid</t>
  </si>
  <si>
    <t>FPC</t>
  </si>
  <si>
    <t>Fund-raising &amp; Publicity Supplies, purchased</t>
  </si>
  <si>
    <t>Fund-raising &amp; Publicity Portable Exhibit, purchased</t>
  </si>
  <si>
    <t>FEX</t>
  </si>
  <si>
    <t>Educational Activities Supplies, purchased</t>
  </si>
  <si>
    <t>TOTAL ACCOUNT OUT-FLOW</t>
  </si>
  <si>
    <t>ACCOUNT FLOW SUMMARY</t>
  </si>
  <si>
    <t>Net Change (IN-FLOW minus OUT-FLOW)</t>
  </si>
  <si>
    <r>
      <t xml:space="preserve">CHAPTER BALANCE SHEET for ACCOUNT:   </t>
    </r>
    <r>
      <rPr>
        <u/>
        <sz val="14"/>
        <rFont val="Times New Roman"/>
        <family val="1"/>
      </rPr>
      <t xml:space="preserve">  CAPITAL EQUIPMENT </t>
    </r>
  </si>
  <si>
    <t>Capital Equipment ($100 or more in value)</t>
  </si>
  <si>
    <t>who</t>
  </si>
  <si>
    <t>HALO reusable 7-ft tethered red balloon</t>
  </si>
  <si>
    <t>RL</t>
  </si>
  <si>
    <t>Toroid Corporation 50-lb-capacity load cell</t>
  </si>
  <si>
    <t>TTH</t>
  </si>
  <si>
    <t>TP</t>
  </si>
  <si>
    <t>3a.</t>
  </si>
  <si>
    <t>Project HALO portable exhibit</t>
  </si>
  <si>
    <t>GA</t>
  </si>
  <si>
    <t>Used 486 personal computer (no monitor)</t>
  </si>
  <si>
    <t>SCM</t>
  </si>
  <si>
    <t>Sears Shop Vac</t>
  </si>
  <si>
    <t>SMT</t>
  </si>
  <si>
    <t>3b.</t>
  </si>
  <si>
    <t>Who</t>
  </si>
  <si>
    <t>is the person to contact and where is the equipment?</t>
  </si>
  <si>
    <t>Phone Number</t>
  </si>
  <si>
    <t>GA =</t>
  </si>
  <si>
    <t>Greg Allison, (place address here)</t>
  </si>
  <si>
    <t>205-776-ZZZZ</t>
  </si>
  <si>
    <t>RL =</t>
  </si>
  <si>
    <t>Ronnie Lajoie, (place address here)</t>
  </si>
  <si>
    <t>205-721-ZZZZ</t>
  </si>
  <si>
    <t>TP =</t>
  </si>
  <si>
    <t>Tim Pickens, (place address here)</t>
  </si>
  <si>
    <t>205-971-ZZZZ</t>
  </si>
  <si>
    <r>
      <t xml:space="preserve">CHAPTER FLOW STATEMENT for ACCOUNT:   </t>
    </r>
    <r>
      <rPr>
        <u/>
        <sz val="14"/>
        <rFont val="Times New Roman"/>
        <family val="1"/>
      </rPr>
      <t xml:space="preserve">  CAPITAL EQUIPMENT </t>
    </r>
  </si>
  <si>
    <t>IN-FLOW (NEW ITEMS FROM CURRENT YEAR)</t>
  </si>
  <si>
    <t>Project HALO Equipment, new items</t>
  </si>
  <si>
    <t>P/D</t>
  </si>
  <si>
    <t>P</t>
  </si>
  <si>
    <t>Used 386 personal computer (no monitor)</t>
  </si>
  <si>
    <t>P = purchased,  D = donated</t>
  </si>
  <si>
    <t>OUT-FLOW (USED/SOLD ITEMS FROM PREVIOUS YEARS)</t>
  </si>
  <si>
    <t>Project HALO Equipment, used/sold items</t>
  </si>
  <si>
    <t>U/S</t>
  </si>
  <si>
    <t>HALO reusable red balloon, depreciated</t>
  </si>
  <si>
    <t>U</t>
  </si>
  <si>
    <t>J</t>
  </si>
  <si>
    <t>386 to 486 PC upgrade (less depreciation)</t>
  </si>
  <si>
    <t>U = used,  S = sold,  D = donated, J = junked</t>
  </si>
  <si>
    <r>
      <t xml:space="preserve">CHAPTER BALANCE SHEET for ACCOUNT:   </t>
    </r>
    <r>
      <rPr>
        <u/>
        <sz val="14"/>
        <rFont val="Times New Roman"/>
        <family val="1"/>
      </rPr>
      <t xml:space="preserve">  INVENTORY </t>
    </r>
  </si>
  <si>
    <t>Merchandise Sales, items to be sold</t>
  </si>
  <si>
    <t>Qty</t>
  </si>
  <si>
    <t>1993 ISDC T-shirts, unsold items</t>
  </si>
  <si>
    <t>Supplies, Chapter Admin, items to be used</t>
  </si>
  <si>
    <t>APR</t>
  </si>
  <si>
    <t>Supplies, Recruitment, items to be used</t>
  </si>
  <si>
    <t>Chapter membership forms</t>
  </si>
  <si>
    <t>MCP</t>
  </si>
  <si>
    <t>Supplies, Programming, items to be used</t>
  </si>
  <si>
    <t>PPR</t>
  </si>
  <si>
    <t>Supplies, Project Admin, items to be used</t>
  </si>
  <si>
    <t>Project stationary, sheets</t>
  </si>
  <si>
    <t>3-ring binders, unused</t>
  </si>
  <si>
    <t>Project photo albums</t>
  </si>
  <si>
    <t>APA</t>
  </si>
  <si>
    <t>Supplies, Education, items to be used</t>
  </si>
  <si>
    <t>4a.</t>
  </si>
  <si>
    <t>Chapter stationary</t>
  </si>
  <si>
    <t>Chapter envelopes</t>
  </si>
  <si>
    <t>Chapter return envelopes</t>
  </si>
  <si>
    <t>Staplers</t>
  </si>
  <si>
    <t>Staples, boxes</t>
  </si>
  <si>
    <t>Plastic file box</t>
  </si>
  <si>
    <t>3" x 3" Post-It notepads</t>
  </si>
  <si>
    <t>2" x 1.5" Post-It notepads</t>
  </si>
  <si>
    <t>Paper clips, boxes</t>
  </si>
  <si>
    <t>Holepunch reinforcements, boxes</t>
  </si>
  <si>
    <t>Inkjet printer cartridge</t>
  </si>
  <si>
    <t>Chapter general account checks</t>
  </si>
  <si>
    <t>AW</t>
  </si>
  <si>
    <t>Chapter account deposit slips, pads</t>
  </si>
  <si>
    <t>3-ring check binders, unused</t>
  </si>
  <si>
    <t>"For Deposit Only" stamp and ink</t>
  </si>
  <si>
    <t>NSS Ad Astra magazines</t>
  </si>
  <si>
    <t>Supplies, Newsletter, items to be used</t>
  </si>
  <si>
    <t>Mailing labels, sheets of 30</t>
  </si>
  <si>
    <t>Award certificate paper, sheets</t>
  </si>
  <si>
    <t>Award certificate covers</t>
  </si>
  <si>
    <t>Color ChartMarkers, boxes</t>
  </si>
  <si>
    <t>Color markers</t>
  </si>
  <si>
    <t>Hi-liter markers, boxes</t>
  </si>
  <si>
    <t>Color dot labels, sheets of 63</t>
  </si>
  <si>
    <t>Pens, black, boxes of 12</t>
  </si>
  <si>
    <t>West Bend 30-cup coffet pot</t>
  </si>
  <si>
    <t>Metal cash boxes</t>
  </si>
  <si>
    <t>Overhead projector light bulbs</t>
  </si>
  <si>
    <t>Chapter sign</t>
  </si>
  <si>
    <t>Wallsaver tape, rolls unused</t>
  </si>
  <si>
    <t>Supplies, Race for Space, items to be used</t>
  </si>
  <si>
    <t>Race for Space Project T-shirts</t>
  </si>
  <si>
    <t>Project account checks</t>
  </si>
  <si>
    <t>Project deposit slips, pads</t>
  </si>
  <si>
    <t>Supplies, Project Fund-raising, items to be used</t>
  </si>
  <si>
    <t>Project black folders</t>
  </si>
  <si>
    <t>FPR</t>
  </si>
  <si>
    <t>Supplies, Project Education, items to be used</t>
  </si>
  <si>
    <t>3-inch 3-ring binder for Project Achievement</t>
  </si>
  <si>
    <t>Project Achievement sheet protectors, boxes</t>
  </si>
  <si>
    <t>4b.</t>
  </si>
  <si>
    <t>AW =</t>
  </si>
  <si>
    <t>Alfred Williams, (place address here)</t>
  </si>
  <si>
    <t>205-420-zzzz</t>
  </si>
  <si>
    <t>LS =</t>
  </si>
  <si>
    <t>Larry Scarbetti, (place address here)</t>
  </si>
  <si>
    <r>
      <t xml:space="preserve">CHAPTER FLOW STATEMENT for ACCOUNT:   </t>
    </r>
    <r>
      <rPr>
        <u/>
        <sz val="14"/>
        <rFont val="Times New Roman"/>
        <family val="1"/>
      </rPr>
      <t xml:space="preserve">  INVENTORY </t>
    </r>
  </si>
  <si>
    <t>Merchandise Sales, new items</t>
  </si>
  <si>
    <t>No new items</t>
  </si>
  <si>
    <t>Supplies, Chapter Admin, new items</t>
  </si>
  <si>
    <t>Return envelopes</t>
  </si>
  <si>
    <t>3-inch 3-ring binder for 1993 ISDC</t>
  </si>
  <si>
    <t>Supplies, Recruitment, new items</t>
  </si>
  <si>
    <t>Supplies, Newsletter, new items</t>
  </si>
  <si>
    <t>Supplies, Programming, new items</t>
  </si>
  <si>
    <t>Post-It Note glue sticks</t>
  </si>
  <si>
    <t>Supplies, Project Admin, new items</t>
  </si>
  <si>
    <t>Supplies, Project Fund-raising, new items</t>
  </si>
  <si>
    <t>Velcro for Project exhibit</t>
  </si>
  <si>
    <t>Supplies, Project Education, new items</t>
  </si>
  <si>
    <t>3-inch 3-ring Project Achievement binder</t>
  </si>
  <si>
    <t>Project Achieve. sheet protectors, boxes</t>
  </si>
  <si>
    <t>Separaters, packs</t>
  </si>
  <si>
    <t>Transparencies, boxes</t>
  </si>
  <si>
    <t>Merchandise Sales, items sold</t>
  </si>
  <si>
    <t>1993 ISDC T-shirts, depreciated</t>
  </si>
  <si>
    <t>Supplies, Chapter Admin, items used/sold</t>
  </si>
  <si>
    <t>10" x 13" yellow envelopes</t>
  </si>
  <si>
    <t>Notepads</t>
  </si>
  <si>
    <t>Receipt books, used portion</t>
  </si>
  <si>
    <t>Supplies, Recruitment, items used/sold</t>
  </si>
  <si>
    <t>Supplies, Newsletter, items used/sold</t>
  </si>
  <si>
    <t>Supplies, Programming, items used/sold</t>
  </si>
  <si>
    <t>Chapter sign, depreciated</t>
  </si>
  <si>
    <t>Supplies, Project Admin, items used/sold</t>
  </si>
  <si>
    <t>Supplies, Project Fund-raising, items used/sold</t>
  </si>
  <si>
    <t>Supplies, Project Education, items used/sold</t>
  </si>
  <si>
    <t>White paint for Project balloon, can</t>
  </si>
  <si>
    <t>Foam paintbrush</t>
  </si>
  <si>
    <r>
      <t xml:space="preserve">CHAPTER BALANCE SHEET for ACCOUNT:   </t>
    </r>
    <r>
      <rPr>
        <u/>
        <sz val="14"/>
        <rFont val="Times New Roman"/>
        <family val="1"/>
      </rPr>
      <t xml:space="preserve">  ACCOUNTS RECEIVABLE </t>
    </r>
  </si>
  <si>
    <t>Money Owed to Chapter</t>
  </si>
  <si>
    <t>No money owed to Chapter</t>
  </si>
  <si>
    <t>2a.</t>
  </si>
  <si>
    <t>Unpaid Memberships</t>
  </si>
  <si>
    <t>Unpaid Subscriptions</t>
  </si>
  <si>
    <t>2b.</t>
  </si>
  <si>
    <r>
      <t xml:space="preserve">CHAPTER FLOW STATEMENT for ACCOUNT:   </t>
    </r>
    <r>
      <rPr>
        <u/>
        <sz val="14"/>
        <rFont val="Times New Roman"/>
        <family val="1"/>
      </rPr>
      <t>ACCOUNTS RECEIVABLE</t>
    </r>
  </si>
  <si>
    <t>IN-FLOW (UNPAID SALES FROM CURRENT YEAR)</t>
  </si>
  <si>
    <t>Contributions, not paid/deposited</t>
  </si>
  <si>
    <t>None</t>
  </si>
  <si>
    <t>Rebates from NSS HQ, not paid/deposited</t>
  </si>
  <si>
    <t>Membership Dues, not paid/deposited</t>
  </si>
  <si>
    <t>Special Fundraising Events, not paid/deposited</t>
  </si>
  <si>
    <t>Merchandise Sales, not paid/deposited</t>
  </si>
  <si>
    <t>OUT-FLOW (PAID SALES FROM PREVIOUS YEARS)</t>
  </si>
  <si>
    <t>Contributions, paid or deposited</t>
  </si>
  <si>
    <t>Rebates from NSS HQ, paid or deposited</t>
  </si>
  <si>
    <t>Membership Dues, paid or deposited</t>
  </si>
  <si>
    <t>Special Fundraising Events, paid or deposited</t>
  </si>
  <si>
    <t>Merchandise Sales, paid or deposited</t>
  </si>
  <si>
    <t>NSS Memberships (NSS part), paid or deposited</t>
  </si>
  <si>
    <r>
      <t xml:space="preserve">CHAPTER BALANCE SHEET for ACCOUNT:   </t>
    </r>
    <r>
      <rPr>
        <u/>
        <sz val="14"/>
        <rFont val="Times New Roman"/>
        <family val="1"/>
      </rPr>
      <t xml:space="preserve">  ACCOUNTS PAYABLE </t>
    </r>
  </si>
  <si>
    <t>Money That Chapter Owes</t>
  </si>
  <si>
    <t>Mail Box Rental</t>
  </si>
  <si>
    <t>7a.</t>
  </si>
  <si>
    <t>No money owed by Chapter</t>
  </si>
  <si>
    <t>7b.</t>
  </si>
  <si>
    <r>
      <t xml:space="preserve">CHAPTER FLOW STATEMENT for ACCOUNT:   </t>
    </r>
    <r>
      <rPr>
        <u/>
        <sz val="14"/>
        <rFont val="Times New Roman"/>
        <family val="1"/>
      </rPr>
      <t xml:space="preserve">  ACCOUNTS PAYABLE </t>
    </r>
  </si>
  <si>
    <t>Supplies, not paid</t>
  </si>
  <si>
    <t>Telephone, not paid</t>
  </si>
  <si>
    <t>Postage and Shipping, not paid</t>
  </si>
  <si>
    <t>Occupancy, not paid</t>
  </si>
  <si>
    <t>No unpaid expenses</t>
  </si>
  <si>
    <t>Supplies, paid</t>
  </si>
  <si>
    <t>Telephone, paid</t>
  </si>
  <si>
    <t>Postage and Shipping, paid</t>
  </si>
  <si>
    <t>Occupancy,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</si>
</sst>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_(&quot;$&quot;* #,##0.00\ \ _);_(&quot;$&quot;* \(#,##0.00\)\ \ ;_(&quot;$&quot;* &quot;0.  &quot;??_);_(@_)"/>
    <numFmt numFmtId="176" formatCode="0."/>
  </numFmts>
  <fonts count="17" x14ac:knownFonts="1"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4"/>
      <name val="Times New Roman"/>
      <family val="1"/>
    </font>
    <font>
      <b/>
      <sz val="14"/>
      <name val="Times New Roman"/>
      <family val="1"/>
    </font>
    <font>
      <sz val="16"/>
      <name val="Times New Roman"/>
      <family val="1"/>
    </font>
    <font>
      <b/>
      <u/>
      <sz val="12"/>
      <name val="Times New Roman"/>
      <family val="1"/>
    </font>
    <font>
      <b/>
      <u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u/>
      <sz val="14"/>
      <name val="Times New Roman"/>
      <family val="1"/>
    </font>
    <font>
      <b/>
      <u/>
      <sz val="12"/>
      <name val="Times New Roman"/>
    </font>
    <font>
      <sz val="18"/>
      <name val="Times New Roman"/>
    </font>
    <font>
      <b/>
      <sz val="28"/>
      <name val="Times New Roman"/>
      <family val="1"/>
    </font>
    <font>
      <sz val="10"/>
      <name val="Times New Roman"/>
      <family val="1"/>
    </font>
    <font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NumberFormat="1" applyAlignment="1"/>
    <xf numFmtId="0" fontId="9" fillId="0" borderId="0" xfId="0" applyFont="1" applyAlignment="1"/>
    <xf numFmtId="174" fontId="0" fillId="0" borderId="0" xfId="0" applyNumberFormat="1" applyAlignment="1"/>
    <xf numFmtId="0" fontId="7" fillId="0" borderId="0" xfId="0" applyFont="1" applyAlignment="1"/>
    <xf numFmtId="174" fontId="3" fillId="0" borderId="0" xfId="0" applyNumberFormat="1" applyFont="1" applyAlignment="1"/>
    <xf numFmtId="0" fontId="3" fillId="0" borderId="0" xfId="0" applyFont="1" applyAlignment="1"/>
    <xf numFmtId="0" fontId="0" fillId="0" borderId="0" xfId="0" applyNumberFormat="1" applyAlignment="1">
      <alignment horizontal="center"/>
    </xf>
    <xf numFmtId="0" fontId="9" fillId="0" borderId="1" xfId="0" applyFont="1" applyBorder="1" applyAlignment="1"/>
    <xf numFmtId="174" fontId="0" fillId="0" borderId="1" xfId="0" applyNumberFormat="1" applyBorder="1" applyAlignment="1"/>
    <xf numFmtId="174" fontId="1" fillId="0" borderId="2" xfId="0" applyNumberFormat="1" applyFont="1" applyBorder="1" applyAlignment="1"/>
    <xf numFmtId="0" fontId="0" fillId="0" borderId="3" xfId="0" applyNumberFormat="1" applyBorder="1" applyAlignment="1"/>
    <xf numFmtId="0" fontId="9" fillId="0" borderId="3" xfId="0" applyFont="1" applyBorder="1" applyAlignment="1"/>
    <xf numFmtId="174" fontId="0" fillId="0" borderId="3" xfId="0" applyNumberFormat="1" applyBorder="1" applyAlignment="1"/>
    <xf numFmtId="174" fontId="0" fillId="0" borderId="2" xfId="0" applyNumberFormat="1" applyBorder="1" applyAlignment="1"/>
    <xf numFmtId="0" fontId="0" fillId="0" borderId="3" xfId="0" applyBorder="1" applyAlignment="1"/>
    <xf numFmtId="0" fontId="4" fillId="0" borderId="0" xfId="0" applyNumberFormat="1" applyFont="1" applyAlignment="1"/>
    <xf numFmtId="0" fontId="10" fillId="0" borderId="4" xfId="0" applyFont="1" applyBorder="1" applyAlignment="1"/>
    <xf numFmtId="0" fontId="9" fillId="0" borderId="4" xfId="0" applyFont="1" applyBorder="1" applyAlignment="1"/>
    <xf numFmtId="0" fontId="7" fillId="0" borderId="0" xfId="0" applyNumberFormat="1" applyFont="1" applyAlignment="1"/>
    <xf numFmtId="0" fontId="0" fillId="0" borderId="0" xfId="0" applyNumberFormat="1" applyBorder="1" applyAlignment="1"/>
    <xf numFmtId="0" fontId="9" fillId="0" borderId="0" xfId="0" applyFont="1" applyBorder="1" applyAlignment="1"/>
    <xf numFmtId="0" fontId="0" fillId="0" borderId="0" xfId="0" applyBorder="1" applyAlignment="1"/>
    <xf numFmtId="0" fontId="4" fillId="0" borderId="0" xfId="0" applyNumberFormat="1" applyFon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176" fontId="1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174" fontId="3" fillId="0" borderId="1" xfId="0" applyNumberFormat="1" applyFont="1" applyBorder="1" applyAlignment="1"/>
    <xf numFmtId="0" fontId="4" fillId="0" borderId="0" xfId="0" applyFont="1" applyBorder="1" applyAlignment="1"/>
    <xf numFmtId="0" fontId="1" fillId="0" borderId="0" xfId="0" applyFont="1" applyBorder="1" applyAlignment="1"/>
    <xf numFmtId="174" fontId="9" fillId="0" borderId="0" xfId="0" applyNumberFormat="1" applyFont="1" applyBorder="1" applyAlignment="1"/>
    <xf numFmtId="0" fontId="4" fillId="0" borderId="0" xfId="0" applyNumberFormat="1" applyFont="1" applyBorder="1" applyAlignment="1">
      <alignment horizontal="left"/>
    </xf>
    <xf numFmtId="0" fontId="9" fillId="0" borderId="0" xfId="0" applyNumberFormat="1" applyFont="1" applyBorder="1" applyAlignment="1">
      <alignment horizontal="left"/>
    </xf>
    <xf numFmtId="176" fontId="9" fillId="0" borderId="0" xfId="0" applyNumberFormat="1" applyFont="1" applyBorder="1" applyAlignment="1">
      <alignment horizontal="left"/>
    </xf>
    <xf numFmtId="0" fontId="9" fillId="0" borderId="6" xfId="0" applyNumberFormat="1" applyFont="1" applyBorder="1" applyAlignment="1">
      <alignment horizontal="left"/>
    </xf>
    <xf numFmtId="0" fontId="9" fillId="0" borderId="6" xfId="0" applyFont="1" applyBorder="1" applyAlignment="1"/>
    <xf numFmtId="174" fontId="9" fillId="0" borderId="6" xfId="0" applyNumberFormat="1" applyFont="1" applyBorder="1" applyAlignment="1"/>
    <xf numFmtId="174" fontId="9" fillId="0" borderId="5" xfId="0" applyNumberFormat="1" applyFont="1" applyBorder="1" applyAlignment="1"/>
    <xf numFmtId="0" fontId="9" fillId="0" borderId="5" xfId="0" applyNumberFormat="1" applyFont="1" applyBorder="1" applyAlignment="1">
      <alignment horizontal="left"/>
    </xf>
    <xf numFmtId="0" fontId="9" fillId="0" borderId="5" xfId="0" applyFont="1" applyBorder="1" applyAlignment="1"/>
    <xf numFmtId="0" fontId="9" fillId="0" borderId="5" xfId="0" applyNumberFormat="1" applyFont="1" applyBorder="1" applyAlignment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Continuous"/>
    </xf>
    <xf numFmtId="0" fontId="4" fillId="0" borderId="5" xfId="0" applyNumberFormat="1" applyFont="1" applyBorder="1" applyAlignment="1">
      <alignment horizontal="centerContinuous"/>
    </xf>
    <xf numFmtId="0" fontId="5" fillId="0" borderId="0" xfId="0" applyFont="1" applyBorder="1" applyAlignment="1"/>
    <xf numFmtId="0" fontId="5" fillId="0" borderId="0" xfId="0" applyNumberFormat="1" applyFont="1" applyBorder="1" applyAlignment="1">
      <alignment horizontal="centerContinuous"/>
    </xf>
    <xf numFmtId="0" fontId="5" fillId="0" borderId="0" xfId="0" applyFont="1" applyBorder="1" applyAlignment="1">
      <alignment horizontal="centerContinuous"/>
    </xf>
    <xf numFmtId="174" fontId="5" fillId="0" borderId="0" xfId="0" applyNumberFormat="1" applyFont="1" applyBorder="1" applyAlignment="1">
      <alignment horizontal="centerContinuous"/>
    </xf>
    <xf numFmtId="0" fontId="14" fillId="0" borderId="0" xfId="0" applyFont="1" applyBorder="1" applyAlignment="1"/>
    <xf numFmtId="0" fontId="14" fillId="0" borderId="0" xfId="0" applyFont="1" applyBorder="1" applyAlignment="1">
      <alignment horizontal="centerContinuous"/>
    </xf>
    <xf numFmtId="174" fontId="14" fillId="0" borderId="0" xfId="0" applyNumberFormat="1" applyFont="1" applyBorder="1" applyAlignment="1">
      <alignment horizontal="centerContinuous"/>
    </xf>
    <xf numFmtId="0" fontId="14" fillId="0" borderId="0" xfId="0" applyFont="1" applyAlignment="1"/>
    <xf numFmtId="0" fontId="13" fillId="0" borderId="0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5" xfId="0" applyFont="1" applyBorder="1" applyAlignment="1">
      <alignment vertical="top"/>
    </xf>
    <xf numFmtId="0" fontId="13" fillId="0" borderId="5" xfId="0" applyFont="1" applyBorder="1" applyAlignment="1">
      <alignment horizontal="centerContinuous" vertical="top"/>
    </xf>
    <xf numFmtId="174" fontId="13" fillId="0" borderId="5" xfId="0" applyNumberFormat="1" applyFont="1" applyBorder="1" applyAlignment="1">
      <alignment horizontal="centerContinuous" vertical="top"/>
    </xf>
    <xf numFmtId="0" fontId="0" fillId="0" borderId="5" xfId="0" applyBorder="1"/>
    <xf numFmtId="0" fontId="6" fillId="0" borderId="5" xfId="0" applyFont="1" applyBorder="1" applyAlignment="1">
      <alignment horizontal="centerContinuous" vertical="top"/>
    </xf>
    <xf numFmtId="0" fontId="4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5" fillId="0" borderId="0" xfId="0" applyNumberFormat="1" applyFont="1" applyAlignment="1"/>
    <xf numFmtId="0" fontId="15" fillId="0" borderId="0" xfId="0" applyFont="1"/>
    <xf numFmtId="0" fontId="15" fillId="0" borderId="0" xfId="0" applyFont="1" applyAlignment="1">
      <alignment horizontal="right" vertical="top"/>
    </xf>
    <xf numFmtId="0" fontId="15" fillId="0" borderId="0" xfId="0" applyFont="1" applyAlignment="1"/>
    <xf numFmtId="174" fontId="15" fillId="0" borderId="0" xfId="0" applyNumberFormat="1" applyFont="1" applyAlignment="1"/>
    <xf numFmtId="0" fontId="1" fillId="0" borderId="4" xfId="0" applyFont="1" applyBorder="1" applyAlignment="1"/>
    <xf numFmtId="0" fontId="1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 vertical="top"/>
    </xf>
    <xf numFmtId="0" fontId="9" fillId="0" borderId="5" xfId="0" applyNumberFormat="1" applyFont="1" applyBorder="1" applyAlignment="1">
      <alignment horizontal="center" vertical="top"/>
    </xf>
    <xf numFmtId="0" fontId="16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Continuous"/>
    </xf>
    <xf numFmtId="0" fontId="0" fillId="0" borderId="0" xfId="0" applyAlignment="1">
      <alignment horizontal="centerContinuous"/>
    </xf>
    <xf numFmtId="174" fontId="9" fillId="0" borderId="0" xfId="0" applyNumberFormat="1" applyFont="1" applyBorder="1" applyAlignment="1">
      <alignment horizontal="centerContinuous"/>
    </xf>
    <xf numFmtId="0" fontId="9" fillId="0" borderId="0" xfId="0" applyFont="1" applyBorder="1" applyAlignment="1">
      <alignment horizontal="centerContinuous"/>
    </xf>
    <xf numFmtId="174" fontId="16" fillId="0" borderId="0" xfId="0" applyNumberFormat="1" applyFont="1" applyBorder="1" applyAlignment="1">
      <alignment horizontal="center"/>
    </xf>
    <xf numFmtId="174" fontId="9" fillId="0" borderId="0" xfId="0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12" fillId="0" borderId="0" xfId="0" applyFont="1" applyAlignment="1">
      <alignment horizontal="center"/>
    </xf>
    <xf numFmtId="174" fontId="7" fillId="0" borderId="0" xfId="0" applyNumberFormat="1" applyFont="1" applyAlignment="1">
      <alignment horizontal="center"/>
    </xf>
    <xf numFmtId="0" fontId="0" fillId="0" borderId="0" xfId="0" applyNumberFormat="1" applyAlignment="1">
      <alignment horizontal="left"/>
    </xf>
    <xf numFmtId="174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31750</xdr:colOff>
          <xdr:row>1</xdr:row>
          <xdr:rowOff>31750</xdr:rowOff>
        </xdr:from>
        <xdr:to>
          <xdr:col>1</xdr:col>
          <xdr:colOff>1301750</xdr:colOff>
          <xdr:row>2</xdr:row>
          <xdr:rowOff>355600</xdr:rowOff>
        </xdr:to>
        <xdr:sp macro="" textlink="">
          <xdr:nvSpPr>
            <xdr:cNvPr id="1029" name="Picture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44F95D8D-490E-4B20-A6AD-69B8552BE0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9"/>
  <sheetViews>
    <sheetView topLeftCell="A5" zoomScale="75" workbookViewId="0">
      <selection activeCell="C5" sqref="C5"/>
    </sheetView>
  </sheetViews>
  <sheetFormatPr defaultColWidth="9" defaultRowHeight="15.5" x14ac:dyDescent="0.35"/>
  <cols>
    <col min="1" max="1" width="7" style="35" customWidth="1"/>
    <col min="2" max="2" width="17.25" style="24" customWidth="1"/>
    <col min="3" max="3" width="9.58203125" style="24" customWidth="1"/>
    <col min="4" max="4" width="13.58203125" style="33" customWidth="1"/>
    <col min="5" max="5" width="9.58203125" style="24" customWidth="1"/>
    <col min="6" max="6" width="13.58203125" style="33" customWidth="1"/>
    <col min="7" max="7" width="6.33203125" style="24" customWidth="1"/>
    <col min="8" max="8" width="9" style="24"/>
    <col min="9" max="9" width="14" style="1" customWidth="1"/>
    <col min="10" max="16384" width="9" style="1"/>
  </cols>
  <sheetData>
    <row r="1" spans="1:9" x14ac:dyDescent="0.35">
      <c r="A1"/>
      <c r="B1"/>
      <c r="G1" s="24" t="s">
        <v>0</v>
      </c>
    </row>
    <row r="2" spans="1:9" s="54" customFormat="1" ht="34.5" x14ac:dyDescent="0.65">
      <c r="A2"/>
      <c r="B2"/>
      <c r="C2" s="52" t="s">
        <v>1</v>
      </c>
      <c r="D2" s="53"/>
      <c r="E2" s="52"/>
      <c r="F2" s="53"/>
      <c r="G2" s="51"/>
      <c r="H2" s="51"/>
    </row>
    <row r="3" spans="1:9" s="56" customFormat="1" ht="30.75" customHeight="1" x14ac:dyDescent="0.35">
      <c r="A3" s="60"/>
      <c r="B3" s="60"/>
      <c r="C3" s="61" t="s">
        <v>2</v>
      </c>
      <c r="D3" s="59"/>
      <c r="E3" s="58"/>
      <c r="F3" s="59"/>
      <c r="G3" s="57"/>
      <c r="H3" s="55"/>
    </row>
    <row r="4" spans="1:9" s="3" customFormat="1" ht="30" customHeight="1" x14ac:dyDescent="0.35">
      <c r="A4" s="48" t="s">
        <v>3</v>
      </c>
      <c r="B4" s="49"/>
      <c r="C4" s="49"/>
      <c r="D4" s="50"/>
      <c r="E4" s="49"/>
      <c r="F4" s="50"/>
      <c r="G4" s="49"/>
      <c r="H4" s="47"/>
    </row>
    <row r="5" spans="1:9" s="2" customFormat="1" ht="27.75" customHeight="1" x14ac:dyDescent="0.4">
      <c r="A5" s="34" t="s">
        <v>4</v>
      </c>
      <c r="B5" s="31"/>
      <c r="C5" s="45" t="s">
        <v>5</v>
      </c>
      <c r="D5" s="46"/>
      <c r="E5" s="45"/>
      <c r="F5" s="46"/>
      <c r="G5" s="31"/>
      <c r="H5" s="31"/>
    </row>
    <row r="6" spans="1:9" s="2" customFormat="1" ht="30" customHeight="1" x14ac:dyDescent="0.4">
      <c r="A6" s="34" t="s">
        <v>6</v>
      </c>
      <c r="B6" s="31"/>
      <c r="C6" s="44">
        <v>1997</v>
      </c>
      <c r="D6" s="26" t="s">
        <v>7</v>
      </c>
      <c r="E6" s="44">
        <f>Year</f>
        <v>1997</v>
      </c>
      <c r="F6" s="34" t="s">
        <v>8</v>
      </c>
      <c r="G6" s="31"/>
      <c r="H6" s="31"/>
    </row>
    <row r="7" spans="1:9" ht="15.75" customHeight="1" x14ac:dyDescent="0.35">
      <c r="A7" s="41"/>
      <c r="B7" s="42"/>
      <c r="C7" s="42"/>
      <c r="D7" s="43"/>
      <c r="E7" s="42"/>
      <c r="F7" s="43"/>
      <c r="G7" s="42"/>
    </row>
    <row r="8" spans="1:9" ht="24" customHeight="1" x14ac:dyDescent="0.35">
      <c r="A8" s="35" t="s">
        <v>9</v>
      </c>
      <c r="D8" s="33" t="s">
        <v>10</v>
      </c>
      <c r="F8" s="33" t="s">
        <v>11</v>
      </c>
    </row>
    <row r="9" spans="1:9" s="9" customFormat="1" ht="27" customHeight="1" x14ac:dyDescent="0.35">
      <c r="A9" s="36">
        <v>1</v>
      </c>
      <c r="B9" s="24" t="s">
        <v>12</v>
      </c>
      <c r="C9" s="24"/>
      <c r="D9" s="40">
        <f>Cash_Beg</f>
        <v>1500</v>
      </c>
      <c r="E9" s="24"/>
      <c r="F9" s="40">
        <f>Cash_End</f>
        <v>900</v>
      </c>
      <c r="G9" s="24"/>
      <c r="H9" s="24"/>
      <c r="I9" s="8"/>
    </row>
    <row r="10" spans="1:9" s="9" customFormat="1" ht="27" customHeight="1" x14ac:dyDescent="0.35">
      <c r="A10" s="36">
        <v>2</v>
      </c>
      <c r="B10" s="24" t="s">
        <v>13</v>
      </c>
      <c r="C10" s="24"/>
      <c r="D10" s="40">
        <f>AR_Beg</f>
        <v>0</v>
      </c>
      <c r="E10" s="24"/>
      <c r="F10" s="40">
        <f>AR_End</f>
        <v>60</v>
      </c>
      <c r="G10" s="24"/>
      <c r="H10" s="24"/>
      <c r="I10" s="8"/>
    </row>
    <row r="11" spans="1:9" ht="15" customHeight="1" x14ac:dyDescent="0.35">
      <c r="B11" s="24" t="s">
        <v>14</v>
      </c>
    </row>
    <row r="12" spans="1:9" s="9" customFormat="1" ht="27" customHeight="1" x14ac:dyDescent="0.35">
      <c r="A12" s="36">
        <v>3</v>
      </c>
      <c r="B12" s="24" t="s">
        <v>15</v>
      </c>
      <c r="C12" s="24"/>
      <c r="D12" s="40">
        <f>Equip_Beg</f>
        <v>370</v>
      </c>
      <c r="E12" s="24"/>
      <c r="F12" s="40">
        <f>Equip_End</f>
        <v>710</v>
      </c>
      <c r="G12" s="24"/>
      <c r="H12" s="24"/>
      <c r="I12" s="8"/>
    </row>
    <row r="13" spans="1:9" s="9" customFormat="1" ht="27" customHeight="1" x14ac:dyDescent="0.35">
      <c r="A13" s="36">
        <v>4</v>
      </c>
      <c r="B13" s="24" t="s">
        <v>16</v>
      </c>
      <c r="C13" s="24"/>
      <c r="D13" s="40">
        <f>Inv_Beg</f>
        <v>654.79000000000008</v>
      </c>
      <c r="E13" s="24"/>
      <c r="F13" s="40">
        <f>Inv_End</f>
        <v>1174.8999999999999</v>
      </c>
      <c r="G13" s="24"/>
      <c r="H13" s="24"/>
      <c r="I13" s="8"/>
    </row>
    <row r="14" spans="1:9" s="9" customFormat="1" ht="27" customHeight="1" x14ac:dyDescent="0.35">
      <c r="A14" s="36">
        <v>5</v>
      </c>
      <c r="B14" s="24" t="s">
        <v>17</v>
      </c>
      <c r="C14" s="24"/>
      <c r="D14" s="40">
        <v>0</v>
      </c>
      <c r="E14" s="24"/>
      <c r="F14" s="40">
        <v>0</v>
      </c>
      <c r="G14" s="24"/>
      <c r="H14" s="24"/>
      <c r="I14" s="8"/>
    </row>
    <row r="15" spans="1:9" ht="27" customHeight="1" thickBot="1" x14ac:dyDescent="0.4">
      <c r="A15" s="36">
        <v>6</v>
      </c>
      <c r="B15" s="24" t="s">
        <v>18</v>
      </c>
      <c r="D15" s="39">
        <f>SUM(D9:D13)</f>
        <v>2524.79</v>
      </c>
      <c r="F15" s="39">
        <f>SUM(F9:F13)</f>
        <v>2844.8999999999996</v>
      </c>
      <c r="I15" s="8"/>
    </row>
    <row r="16" spans="1:9" ht="22" customHeight="1" thickTop="1" x14ac:dyDescent="0.35">
      <c r="A16" s="41"/>
      <c r="B16" s="42"/>
      <c r="C16" s="42"/>
      <c r="D16" s="40"/>
      <c r="E16" s="42"/>
      <c r="F16" s="40"/>
      <c r="G16" s="42"/>
    </row>
    <row r="17" spans="1:8" ht="24" customHeight="1" x14ac:dyDescent="0.35">
      <c r="A17" s="35" t="s">
        <v>19</v>
      </c>
      <c r="D17" s="33" t="s">
        <v>10</v>
      </c>
      <c r="F17" s="33" t="s">
        <v>11</v>
      </c>
    </row>
    <row r="18" spans="1:8" s="9" customFormat="1" ht="27" customHeight="1" x14ac:dyDescent="0.35">
      <c r="A18" s="36">
        <v>7</v>
      </c>
      <c r="B18" s="24" t="s">
        <v>20</v>
      </c>
      <c r="C18" s="24"/>
      <c r="D18" s="40">
        <f>AP_Beg</f>
        <v>25</v>
      </c>
      <c r="E18" s="24"/>
      <c r="F18" s="40">
        <f>AP_End</f>
        <v>0</v>
      </c>
      <c r="G18" s="24"/>
      <c r="H18" s="24"/>
    </row>
    <row r="19" spans="1:8" ht="15" customHeight="1" x14ac:dyDescent="0.35">
      <c r="B19" s="24" t="s">
        <v>21</v>
      </c>
    </row>
    <row r="20" spans="1:8" s="9" customFormat="1" ht="27" customHeight="1" x14ac:dyDescent="0.35">
      <c r="A20" s="36">
        <v>8</v>
      </c>
      <c r="B20" s="24" t="s">
        <v>22</v>
      </c>
      <c r="C20" s="24"/>
      <c r="D20" s="40">
        <v>0</v>
      </c>
      <c r="E20" s="24"/>
      <c r="F20" s="40">
        <v>0</v>
      </c>
      <c r="G20" s="24"/>
      <c r="H20" s="24"/>
    </row>
    <row r="21" spans="1:8" s="9" customFormat="1" ht="27" customHeight="1" x14ac:dyDescent="0.35">
      <c r="A21" s="36">
        <v>9</v>
      </c>
      <c r="B21" s="24" t="s">
        <v>17</v>
      </c>
      <c r="C21" s="24"/>
      <c r="D21" s="40">
        <v>0</v>
      </c>
      <c r="E21" s="24"/>
      <c r="F21" s="40">
        <v>0</v>
      </c>
      <c r="G21" s="24"/>
      <c r="H21" s="24"/>
    </row>
    <row r="22" spans="1:8" ht="27" customHeight="1" thickBot="1" x14ac:dyDescent="0.4">
      <c r="A22" s="36">
        <v>10</v>
      </c>
      <c r="B22" s="24" t="s">
        <v>23</v>
      </c>
      <c r="D22" s="39">
        <f>SUM(D18:D21)</f>
        <v>25</v>
      </c>
      <c r="F22" s="39">
        <f>SUM(F18:F21)</f>
        <v>0</v>
      </c>
    </row>
    <row r="23" spans="1:8" ht="22" customHeight="1" thickTop="1" thickBot="1" x14ac:dyDescent="0.4">
      <c r="A23" s="37"/>
      <c r="B23" s="38"/>
      <c r="C23" s="38"/>
      <c r="D23" s="39"/>
      <c r="E23" s="38"/>
      <c r="F23" s="39"/>
      <c r="G23" s="38"/>
    </row>
    <row r="24" spans="1:8" ht="11.15" customHeight="1" thickTop="1" x14ac:dyDescent="0.35"/>
    <row r="25" spans="1:8" s="9" customFormat="1" ht="27" customHeight="1" x14ac:dyDescent="0.35">
      <c r="A25" s="36">
        <v>11</v>
      </c>
      <c r="B25" s="24" t="s">
        <v>24</v>
      </c>
      <c r="C25" s="24"/>
      <c r="D25" s="40">
        <f>Assets_Beg - Liables_Beg</f>
        <v>2499.79</v>
      </c>
      <c r="E25" s="24"/>
      <c r="F25" s="40">
        <f>Assets_End - Liables_End</f>
        <v>2844.8999999999996</v>
      </c>
      <c r="G25" s="24"/>
      <c r="H25" s="24"/>
    </row>
    <row r="26" spans="1:8" ht="15" customHeight="1" x14ac:dyDescent="0.35">
      <c r="B26" s="24" t="s">
        <v>25</v>
      </c>
    </row>
    <row r="27" spans="1:8" s="9" customFormat="1" ht="27" customHeight="1" x14ac:dyDescent="0.35">
      <c r="A27" s="36">
        <v>12</v>
      </c>
      <c r="B27" s="24" t="s">
        <v>26</v>
      </c>
      <c r="C27" s="24"/>
      <c r="D27"/>
      <c r="E27" s="24"/>
      <c r="F27" s="40">
        <f>Worth_Beg</f>
        <v>2499.79</v>
      </c>
      <c r="G27" s="24"/>
      <c r="H27" s="24"/>
    </row>
    <row r="28" spans="1:8" ht="15" customHeight="1" x14ac:dyDescent="0.35">
      <c r="B28" s="24" t="s">
        <v>27</v>
      </c>
      <c r="D28"/>
    </row>
    <row r="29" spans="1:8" s="9" customFormat="1" ht="27" customHeight="1" x14ac:dyDescent="0.35">
      <c r="A29" s="36">
        <v>13</v>
      </c>
      <c r="B29" s="24" t="s">
        <v>28</v>
      </c>
      <c r="C29" s="24"/>
      <c r="D29"/>
      <c r="E29" s="24"/>
      <c r="F29" s="40">
        <f>Worth_End - Worth_Beg</f>
        <v>345.10999999999967</v>
      </c>
      <c r="G29" s="24"/>
      <c r="H29" s="24"/>
    </row>
    <row r="30" spans="1:8" ht="15" customHeight="1" x14ac:dyDescent="0.35">
      <c r="B30" s="24" t="s">
        <v>29</v>
      </c>
      <c r="D30"/>
    </row>
    <row r="31" spans="1:8" ht="22" customHeight="1" x14ac:dyDescent="0.35">
      <c r="D31"/>
    </row>
    <row r="32" spans="1:8" ht="22" customHeight="1" x14ac:dyDescent="0.35"/>
    <row r="33" ht="22" customHeight="1" x14ac:dyDescent="0.35"/>
    <row r="34" ht="22" customHeight="1" x14ac:dyDescent="0.35"/>
    <row r="35" ht="22" customHeight="1" x14ac:dyDescent="0.35"/>
    <row r="36" ht="22" customHeight="1" x14ac:dyDescent="0.35"/>
    <row r="37" ht="22" customHeight="1" x14ac:dyDescent="0.35"/>
    <row r="38" ht="22" customHeight="1" x14ac:dyDescent="0.35"/>
    <row r="39" ht="22" customHeight="1" x14ac:dyDescent="0.35"/>
    <row r="40" ht="22" customHeight="1" x14ac:dyDescent="0.35"/>
    <row r="41" ht="22" customHeight="1" x14ac:dyDescent="0.35"/>
    <row r="42" ht="22" customHeight="1" x14ac:dyDescent="0.35"/>
    <row r="43" ht="22" customHeight="1" x14ac:dyDescent="0.35"/>
    <row r="44" ht="22" customHeight="1" x14ac:dyDescent="0.35"/>
    <row r="45" ht="22" customHeight="1" x14ac:dyDescent="0.35"/>
    <row r="46" ht="22" customHeight="1" x14ac:dyDescent="0.35"/>
    <row r="47" ht="22" customHeight="1" x14ac:dyDescent="0.35"/>
    <row r="48" ht="22" customHeight="1" x14ac:dyDescent="0.35"/>
    <row r="49" ht="22" customHeight="1" x14ac:dyDescent="0.35"/>
  </sheetData>
  <pageMargins left="1.2" right="0.75" top="0.4" bottom="0.5" header="0.5" footer="0.5"/>
  <pageSetup orientation="portrait" blackAndWhite="1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FTColor" shapeId="1029" r:id="rId4">
          <objectPr defaultSize="0" autoFill="0" autoLine="0" autoPict="0" r:id="rId5">
            <anchor moveWithCells="1">
              <from>
                <xdr:col>0</xdr:col>
                <xdr:colOff>31750</xdr:colOff>
                <xdr:row>1</xdr:row>
                <xdr:rowOff>31750</xdr:rowOff>
              </from>
              <to>
                <xdr:col>1</xdr:col>
                <xdr:colOff>1301750</xdr:colOff>
                <xdr:row>2</xdr:row>
                <xdr:rowOff>355600</xdr:rowOff>
              </to>
            </anchor>
          </objectPr>
        </oleObject>
      </mc:Choice>
      <mc:Fallback>
        <oleObject progId="FTColor" shapeId="102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75" workbookViewId="0">
      <selection activeCell="B11" sqref="B11"/>
    </sheetView>
  </sheetViews>
  <sheetFormatPr defaultColWidth="9" defaultRowHeight="15.5" x14ac:dyDescent="0.35"/>
  <cols>
    <col min="1" max="1" width="6.58203125" style="35" customWidth="1"/>
    <col min="2" max="2" width="19.58203125" style="24" customWidth="1"/>
    <col min="3" max="3" width="8.58203125" style="24" customWidth="1"/>
    <col min="4" max="4" width="13.58203125" style="33" customWidth="1"/>
    <col min="5" max="5" width="9.58203125" style="24" customWidth="1"/>
    <col min="6" max="6" width="13.58203125" style="33" customWidth="1"/>
    <col min="7" max="7" width="6.33203125" style="24" customWidth="1"/>
    <col min="8" max="8" width="7.08203125" style="24" customWidth="1"/>
    <col min="9" max="9" width="12.33203125" style="1" customWidth="1"/>
    <col min="10" max="16384" width="9" style="1"/>
  </cols>
  <sheetData>
    <row r="1" spans="1:8" x14ac:dyDescent="0.35">
      <c r="A1"/>
      <c r="B1"/>
      <c r="G1" s="24" t="s">
        <v>30</v>
      </c>
    </row>
    <row r="2" spans="1:8" s="2" customFormat="1" ht="27.75" customHeight="1" x14ac:dyDescent="0.4">
      <c r="A2" s="34" t="s">
        <v>31</v>
      </c>
      <c r="B2" s="31"/>
      <c r="C2"/>
      <c r="D2" s="45" t="str">
        <f>Chapter_Name</f>
        <v>(Chapter Name)</v>
      </c>
      <c r="E2" s="45"/>
      <c r="F2" s="46"/>
      <c r="G2" s="45"/>
      <c r="H2" s="31"/>
    </row>
    <row r="3" spans="1:8" x14ac:dyDescent="0.35">
      <c r="A3"/>
      <c r="B3"/>
      <c r="D3"/>
      <c r="E3" s="97" t="s">
        <v>32</v>
      </c>
    </row>
    <row r="4" spans="1:8" s="2" customFormat="1" ht="30" customHeight="1" x14ac:dyDescent="0.4">
      <c r="A4" s="34" t="s">
        <v>6</v>
      </c>
      <c r="B4" s="31"/>
      <c r="C4" s="44">
        <f>Year</f>
        <v>1997</v>
      </c>
      <c r="D4" s="26" t="s">
        <v>7</v>
      </c>
      <c r="E4" s="44">
        <f>Year</f>
        <v>1997</v>
      </c>
      <c r="F4" s="34" t="s">
        <v>8</v>
      </c>
      <c r="G4" s="31"/>
      <c r="H4" s="31"/>
    </row>
    <row r="5" spans="1:8" ht="24.75" customHeight="1" x14ac:dyDescent="0.35">
      <c r="A5" s="41"/>
      <c r="B5" s="42"/>
      <c r="C5" s="89" t="s">
        <v>33</v>
      </c>
      <c r="D5" s="90"/>
      <c r="E5" s="89" t="s">
        <v>33</v>
      </c>
      <c r="F5" s="43"/>
      <c r="G5" s="42"/>
    </row>
    <row r="6" spans="1:8" ht="24" customHeight="1" x14ac:dyDescent="0.35">
      <c r="A6" s="91" t="s">
        <v>34</v>
      </c>
      <c r="F6" s="96" t="s">
        <v>35</v>
      </c>
    </row>
    <row r="7" spans="1:8" s="9" customFormat="1" ht="27" customHeight="1" x14ac:dyDescent="0.35">
      <c r="A7" s="36">
        <v>14</v>
      </c>
      <c r="B7" s="24" t="s">
        <v>36</v>
      </c>
      <c r="C7" s="24"/>
      <c r="D7" s="33"/>
      <c r="E7" s="24"/>
      <c r="F7" s="40">
        <f>SUM('Income Add'!D7:D9)</f>
        <v>800</v>
      </c>
      <c r="G7" s="24"/>
      <c r="H7" s="24"/>
    </row>
    <row r="8" spans="1:8" s="9" customFormat="1" ht="27" customHeight="1" x14ac:dyDescent="0.35">
      <c r="A8" s="36">
        <v>15</v>
      </c>
      <c r="B8" s="24" t="s">
        <v>37</v>
      </c>
      <c r="C8" s="24"/>
      <c r="D8" s="33"/>
      <c r="E8" s="24"/>
      <c r="F8" s="40">
        <v>20</v>
      </c>
      <c r="G8" s="24"/>
      <c r="H8" s="24"/>
    </row>
    <row r="9" spans="1:8" s="9" customFormat="1" ht="27" customHeight="1" x14ac:dyDescent="0.35">
      <c r="A9" s="36">
        <v>16</v>
      </c>
      <c r="B9" s="24" t="s">
        <v>38</v>
      </c>
      <c r="C9" s="24"/>
      <c r="D9" s="33"/>
      <c r="E9" s="24"/>
      <c r="F9" s="40">
        <f>Dues</f>
        <v>800</v>
      </c>
      <c r="G9" s="24"/>
      <c r="H9" s="24"/>
    </row>
    <row r="10" spans="1:8" s="9" customFormat="1" ht="27" customHeight="1" x14ac:dyDescent="0.35">
      <c r="A10" s="36">
        <v>17</v>
      </c>
      <c r="B10" s="24" t="s">
        <v>39</v>
      </c>
      <c r="C10" s="24"/>
      <c r="D10" s="33"/>
      <c r="E10" s="24"/>
      <c r="F10" s="40">
        <f>Interest</f>
        <v>12.73</v>
      </c>
      <c r="G10" s="24"/>
      <c r="H10" s="24"/>
    </row>
    <row r="11" spans="1:8" s="9" customFormat="1" ht="27" customHeight="1" x14ac:dyDescent="0.35">
      <c r="A11" s="36">
        <v>18</v>
      </c>
      <c r="B11" s="24" t="s">
        <v>40</v>
      </c>
      <c r="C11" s="24"/>
      <c r="D11" s="33"/>
      <c r="E11" s="24"/>
      <c r="F11" s="33"/>
      <c r="G11" s="24"/>
      <c r="H11" s="24"/>
    </row>
    <row r="12" spans="1:8" s="9" customFormat="1" ht="18" customHeight="1" x14ac:dyDescent="0.35">
      <c r="A12" s="36"/>
      <c r="B12" s="24" t="s">
        <v>41</v>
      </c>
      <c r="C12" s="24"/>
      <c r="D12" s="40">
        <f>SUM('Income Add'!D11:D12)</f>
        <v>5</v>
      </c>
      <c r="E12" s="24"/>
      <c r="F12" s="33"/>
      <c r="G12" s="24"/>
      <c r="H12" s="24"/>
    </row>
    <row r="13" spans="1:8" s="9" customFormat="1" ht="18" customHeight="1" x14ac:dyDescent="0.35">
      <c r="A13" s="36"/>
      <c r="B13" s="24" t="s">
        <v>42</v>
      </c>
      <c r="C13" s="24"/>
      <c r="D13" s="40">
        <f>SUM('Income Add'!D14)</f>
        <v>15.12</v>
      </c>
      <c r="E13" s="24"/>
      <c r="F13" s="33"/>
      <c r="G13" s="24"/>
      <c r="H13" s="24"/>
    </row>
    <row r="14" spans="1:8" s="9" customFormat="1" ht="18" customHeight="1" x14ac:dyDescent="0.35">
      <c r="A14" s="36"/>
      <c r="B14" s="24" t="s">
        <v>43</v>
      </c>
      <c r="C14" s="24"/>
      <c r="D14" s="33"/>
      <c r="E14" s="24"/>
      <c r="F14" s="40">
        <f>D12 - D13</f>
        <v>-10.119999999999999</v>
      </c>
      <c r="G14" s="24"/>
      <c r="H14" s="24"/>
    </row>
    <row r="15" spans="1:8" s="9" customFormat="1" ht="27" customHeight="1" x14ac:dyDescent="0.35">
      <c r="A15" s="36">
        <v>19</v>
      </c>
      <c r="B15" s="24" t="s">
        <v>44</v>
      </c>
      <c r="C15" s="24"/>
      <c r="D15" s="33"/>
      <c r="E15" s="24"/>
      <c r="F15" s="33"/>
      <c r="G15" s="24"/>
      <c r="H15" s="24"/>
    </row>
    <row r="16" spans="1:8" s="9" customFormat="1" ht="18" customHeight="1" x14ac:dyDescent="0.35">
      <c r="A16" s="36"/>
      <c r="B16" s="24" t="s">
        <v>41</v>
      </c>
      <c r="C16" s="24"/>
      <c r="D16" s="40">
        <f>SUM('Income Add'!D16:D17)</f>
        <v>330.8</v>
      </c>
      <c r="E16" s="24"/>
      <c r="F16" s="33"/>
      <c r="G16" s="24"/>
      <c r="H16" s="24"/>
    </row>
    <row r="17" spans="1:9" s="9" customFormat="1" ht="18" customHeight="1" x14ac:dyDescent="0.35">
      <c r="A17" s="36"/>
      <c r="B17" s="24" t="s">
        <v>42</v>
      </c>
      <c r="C17" s="24"/>
      <c r="D17" s="40">
        <f>SUM('Income Add'!D19:D20)</f>
        <v>122.63</v>
      </c>
      <c r="E17" s="24"/>
      <c r="F17" s="33"/>
      <c r="G17" s="24"/>
      <c r="H17" s="24"/>
    </row>
    <row r="18" spans="1:9" s="9" customFormat="1" ht="18" customHeight="1" x14ac:dyDescent="0.35">
      <c r="A18" s="36"/>
      <c r="B18" s="24" t="s">
        <v>43</v>
      </c>
      <c r="C18" s="24"/>
      <c r="D18" s="33"/>
      <c r="E18" s="24"/>
      <c r="F18" s="40">
        <f>D16 - D17</f>
        <v>208.17000000000002</v>
      </c>
      <c r="G18" s="24"/>
      <c r="H18" s="24"/>
    </row>
    <row r="19" spans="1:9" s="9" customFormat="1" ht="27" customHeight="1" x14ac:dyDescent="0.35">
      <c r="A19" s="36">
        <v>20</v>
      </c>
      <c r="B19" s="24" t="s">
        <v>17</v>
      </c>
      <c r="C19" s="24"/>
      <c r="D19" s="33"/>
      <c r="E19" s="24"/>
      <c r="F19" s="40">
        <f>SUM('Income Add'!D21:D24)</f>
        <v>137.5</v>
      </c>
      <c r="G19" s="24"/>
      <c r="H19" s="24"/>
    </row>
    <row r="20" spans="1:9" ht="27" customHeight="1" thickBot="1" x14ac:dyDescent="0.4">
      <c r="A20" s="36">
        <v>21</v>
      </c>
      <c r="B20" s="24" t="s">
        <v>45</v>
      </c>
      <c r="F20" s="39">
        <f>SUM(F7:F19)</f>
        <v>1968.2800000000002</v>
      </c>
      <c r="I20" s="6"/>
    </row>
    <row r="21" spans="1:9" ht="20.149999999999999" customHeight="1" thickTop="1" x14ac:dyDescent="0.35">
      <c r="A21" s="41"/>
      <c r="B21" s="42"/>
      <c r="C21" s="42"/>
      <c r="D21" s="40"/>
      <c r="E21" s="42"/>
      <c r="F21" s="40"/>
      <c r="G21" s="42"/>
    </row>
    <row r="22" spans="1:9" ht="24" customHeight="1" x14ac:dyDescent="0.35">
      <c r="A22" s="91" t="s">
        <v>46</v>
      </c>
      <c r="F22" s="96" t="s">
        <v>35</v>
      </c>
    </row>
    <row r="23" spans="1:9" s="9" customFormat="1" ht="27" customHeight="1" x14ac:dyDescent="0.35">
      <c r="A23" s="36">
        <v>22</v>
      </c>
      <c r="B23" s="24" t="s">
        <v>47</v>
      </c>
      <c r="C23" s="24"/>
      <c r="D23" s="33"/>
      <c r="E23" s="24"/>
      <c r="F23" s="40">
        <f>SUM('Inv Flow'!F40:F46)</f>
        <v>28.240000000000002</v>
      </c>
      <c r="G23" s="24"/>
      <c r="H23" s="24"/>
    </row>
    <row r="24" spans="1:9" s="9" customFormat="1" ht="27" customHeight="1" x14ac:dyDescent="0.35">
      <c r="A24" s="36">
        <v>23</v>
      </c>
      <c r="B24" s="24" t="s">
        <v>48</v>
      </c>
      <c r="C24" s="24"/>
      <c r="D24" s="33"/>
      <c r="E24" s="24"/>
      <c r="F24" s="40">
        <v>0</v>
      </c>
      <c r="G24" s="24"/>
      <c r="H24" s="24"/>
    </row>
    <row r="25" spans="1:9" s="9" customFormat="1" ht="27" customHeight="1" x14ac:dyDescent="0.35">
      <c r="A25" s="36">
        <v>24</v>
      </c>
      <c r="B25" s="24" t="s">
        <v>49</v>
      </c>
      <c r="C25" s="24"/>
      <c r="D25" s="33"/>
      <c r="E25" s="24"/>
      <c r="F25" s="40">
        <v>2.4900000000000002</v>
      </c>
      <c r="G25" s="24"/>
      <c r="H25" s="24"/>
    </row>
    <row r="26" spans="1:9" s="9" customFormat="1" ht="27" customHeight="1" x14ac:dyDescent="0.35">
      <c r="A26" s="36">
        <v>25</v>
      </c>
      <c r="B26" s="24" t="s">
        <v>50</v>
      </c>
      <c r="C26" s="24"/>
      <c r="D26" s="33"/>
      <c r="E26" s="24"/>
      <c r="F26" s="40">
        <v>50</v>
      </c>
      <c r="G26" s="24"/>
      <c r="H26" s="24"/>
    </row>
    <row r="27" spans="1:9" s="9" customFormat="1" ht="27" customHeight="1" x14ac:dyDescent="0.35">
      <c r="A27" s="36">
        <v>26</v>
      </c>
      <c r="B27" s="24" t="s">
        <v>17</v>
      </c>
      <c r="C27" s="24"/>
      <c r="D27" s="33"/>
      <c r="E27" s="24"/>
      <c r="F27" s="40">
        <f>SUM('Income Add'!D29:D55)</f>
        <v>1542.44</v>
      </c>
      <c r="G27" s="24"/>
      <c r="H27" s="24"/>
      <c r="I27" s="33"/>
    </row>
    <row r="28" spans="1:9" ht="27" customHeight="1" thickBot="1" x14ac:dyDescent="0.4">
      <c r="A28" s="36">
        <v>27</v>
      </c>
      <c r="B28" s="24" t="s">
        <v>51</v>
      </c>
      <c r="F28" s="39">
        <f>SUM(F23:F27)</f>
        <v>1623.17</v>
      </c>
      <c r="I28" s="6"/>
    </row>
    <row r="29" spans="1:9" ht="22" customHeight="1" thickTop="1" thickBot="1" x14ac:dyDescent="0.4">
      <c r="A29" s="37"/>
      <c r="B29" s="38"/>
      <c r="C29" s="38"/>
      <c r="D29" s="39"/>
      <c r="E29" s="38"/>
      <c r="F29" s="39"/>
      <c r="G29" s="38"/>
    </row>
    <row r="30" spans="1:9" s="9" customFormat="1" ht="27" customHeight="1" thickTop="1" x14ac:dyDescent="0.35">
      <c r="A30" s="36">
        <v>28</v>
      </c>
      <c r="B30" s="24" t="s">
        <v>52</v>
      </c>
      <c r="C30" s="24"/>
      <c r="D30" s="33"/>
      <c r="E30" s="24"/>
      <c r="F30" s="40">
        <f>Assets_End - Liables_End</f>
        <v>345.11000000000013</v>
      </c>
      <c r="G30" s="24"/>
      <c r="H30" s="24"/>
    </row>
    <row r="31" spans="1:9" ht="26.15" customHeight="1" x14ac:dyDescent="0.35">
      <c r="B31" s="92" t="s">
        <v>53</v>
      </c>
      <c r="C31" s="93"/>
      <c r="D31" s="94"/>
      <c r="E31" s="95"/>
      <c r="F31" s="94"/>
    </row>
    <row r="32" spans="1:9" ht="22" customHeight="1" x14ac:dyDescent="0.35"/>
    <row r="33" ht="22" customHeight="1" x14ac:dyDescent="0.35"/>
    <row r="34" ht="22" customHeight="1" x14ac:dyDescent="0.35"/>
    <row r="35" ht="22" customHeight="1" x14ac:dyDescent="0.35"/>
    <row r="36" ht="22" customHeight="1" x14ac:dyDescent="0.35"/>
    <row r="37" ht="22" customHeight="1" x14ac:dyDescent="0.35"/>
    <row r="38" ht="22" customHeight="1" x14ac:dyDescent="0.35"/>
    <row r="39" ht="22" customHeight="1" x14ac:dyDescent="0.35"/>
    <row r="40" ht="22" customHeight="1" x14ac:dyDescent="0.35"/>
    <row r="41" ht="22" customHeight="1" x14ac:dyDescent="0.35"/>
    <row r="42" ht="22" customHeight="1" x14ac:dyDescent="0.35"/>
    <row r="43" ht="22" customHeight="1" x14ac:dyDescent="0.35"/>
    <row r="44" ht="22" customHeight="1" x14ac:dyDescent="0.35"/>
    <row r="45" ht="22" customHeight="1" x14ac:dyDescent="0.35"/>
    <row r="46" ht="22" customHeight="1" x14ac:dyDescent="0.35"/>
    <row r="47" ht="22" customHeight="1" x14ac:dyDescent="0.35"/>
    <row r="48" ht="22" customHeight="1" x14ac:dyDescent="0.35"/>
  </sheetData>
  <pageMargins left="1.2" right="0.75" top="0.4" bottom="0.5" header="0.5" footer="0.5"/>
  <pageSetup orientation="portrait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zoomScale="75" workbookViewId="0">
      <selection activeCell="F18" sqref="F18"/>
    </sheetView>
  </sheetViews>
  <sheetFormatPr defaultColWidth="9" defaultRowHeight="15.5" x14ac:dyDescent="0.35"/>
  <cols>
    <col min="1" max="1" width="4.58203125" style="4" customWidth="1"/>
    <col min="2" max="2" width="49.58203125" style="5" customWidth="1"/>
    <col min="3" max="3" width="6.58203125" style="5" customWidth="1"/>
    <col min="4" max="4" width="12.58203125" style="6" customWidth="1"/>
    <col min="5" max="5" width="3.58203125" style="1" customWidth="1"/>
    <col min="6" max="6" width="12.75" customWidth="1"/>
    <col min="7" max="10" width="8.6640625" customWidth="1"/>
    <col min="11" max="16384" width="9" style="1"/>
  </cols>
  <sheetData>
    <row r="1" spans="1:10" s="2" customFormat="1" ht="22" customHeight="1" x14ac:dyDescent="0.4">
      <c r="A1" s="19" t="str">
        <f>"INCOME STATEMENT ADDENDUM for:  " &amp; Chapter_Name</f>
        <v>INCOME STATEMENT ADDENDUM for:  (Chapter Name)</v>
      </c>
      <c r="D1" s="26"/>
      <c r="F1"/>
      <c r="G1"/>
      <c r="H1"/>
      <c r="I1"/>
      <c r="J1"/>
    </row>
    <row r="2" spans="1:10" s="2" customFormat="1" ht="23.25" customHeight="1" x14ac:dyDescent="0.4">
      <c r="A2" s="19" t="s">
        <v>54</v>
      </c>
      <c r="D2" s="27">
        <f>Year</f>
        <v>1997</v>
      </c>
      <c r="F2"/>
      <c r="G2"/>
      <c r="H2"/>
      <c r="I2"/>
      <c r="J2"/>
    </row>
    <row r="3" spans="1:10" ht="15.75" customHeight="1" thickBot="1" x14ac:dyDescent="0.4">
      <c r="A3" s="23"/>
      <c r="B3" s="24"/>
      <c r="C3" s="24"/>
      <c r="D3" s="23"/>
      <c r="E3" s="25"/>
    </row>
    <row r="4" spans="1:10" ht="11.15" customHeight="1" thickTop="1" x14ac:dyDescent="0.35">
      <c r="A4" s="14"/>
      <c r="B4" s="15"/>
      <c r="C4" s="15"/>
      <c r="D4" s="16"/>
      <c r="E4" s="18"/>
    </row>
    <row r="5" spans="1:10" ht="24" customHeight="1" x14ac:dyDescent="0.35">
      <c r="A5" s="22" t="s">
        <v>55</v>
      </c>
    </row>
    <row r="6" spans="1:10" s="9" customFormat="1" ht="24" customHeight="1" x14ac:dyDescent="0.35">
      <c r="A6" s="28">
        <v>14</v>
      </c>
      <c r="B6" s="7" t="s">
        <v>56</v>
      </c>
      <c r="C6" s="7" t="s">
        <v>57</v>
      </c>
      <c r="D6" s="8"/>
      <c r="F6"/>
      <c r="G6"/>
      <c r="H6"/>
      <c r="I6"/>
      <c r="J6"/>
    </row>
    <row r="7" spans="1:10" ht="20.149999999999999" customHeight="1" x14ac:dyDescent="0.35">
      <c r="A7" s="10"/>
      <c r="B7" s="11" t="s">
        <v>58</v>
      </c>
      <c r="C7" s="11" t="s">
        <v>59</v>
      </c>
      <c r="D7" s="12">
        <v>100</v>
      </c>
    </row>
    <row r="8" spans="1:10" ht="20.149999999999999" customHeight="1" x14ac:dyDescent="0.35">
      <c r="A8" s="10"/>
      <c r="B8" s="11" t="s">
        <v>60</v>
      </c>
      <c r="C8" s="11" t="s">
        <v>61</v>
      </c>
      <c r="D8" s="12">
        <v>200</v>
      </c>
    </row>
    <row r="9" spans="1:10" ht="20.149999999999999" customHeight="1" x14ac:dyDescent="0.35">
      <c r="A9" s="10"/>
      <c r="B9" s="11" t="s">
        <v>62</v>
      </c>
      <c r="C9" s="11" t="s">
        <v>63</v>
      </c>
      <c r="D9" s="12">
        <v>500</v>
      </c>
    </row>
    <row r="10" spans="1:10" s="9" customFormat="1" ht="24" customHeight="1" x14ac:dyDescent="0.35">
      <c r="A10" s="28">
        <v>18</v>
      </c>
      <c r="B10" s="7" t="s">
        <v>64</v>
      </c>
      <c r="C10" s="7"/>
      <c r="D10" s="8"/>
      <c r="F10"/>
      <c r="G10"/>
      <c r="H10"/>
      <c r="I10"/>
      <c r="J10"/>
    </row>
    <row r="11" spans="1:10" ht="20.149999999999999" customHeight="1" x14ac:dyDescent="0.35">
      <c r="A11" s="10"/>
      <c r="B11" s="11" t="s">
        <v>65</v>
      </c>
      <c r="C11" s="11" t="s">
        <v>66</v>
      </c>
      <c r="D11" s="12">
        <v>45</v>
      </c>
    </row>
    <row r="12" spans="1:10" ht="20.149999999999999" customHeight="1" x14ac:dyDescent="0.35">
      <c r="A12" s="10"/>
      <c r="B12" s="11" t="s">
        <v>67</v>
      </c>
      <c r="C12" s="11" t="s">
        <v>68</v>
      </c>
      <c r="D12" s="12">
        <v>-40</v>
      </c>
    </row>
    <row r="13" spans="1:10" s="9" customFormat="1" ht="24" customHeight="1" x14ac:dyDescent="0.35">
      <c r="A13" s="28">
        <v>18</v>
      </c>
      <c r="B13" s="7" t="s">
        <v>69</v>
      </c>
      <c r="C13" s="7"/>
      <c r="D13" s="8"/>
      <c r="F13"/>
      <c r="G13"/>
      <c r="H13"/>
      <c r="I13"/>
      <c r="J13"/>
    </row>
    <row r="14" spans="1:10" ht="20.149999999999999" customHeight="1" x14ac:dyDescent="0.35">
      <c r="A14" s="10"/>
      <c r="B14" s="11" t="s">
        <v>70</v>
      </c>
      <c r="C14" s="11" t="s">
        <v>71</v>
      </c>
      <c r="D14" s="12">
        <v>15.12</v>
      </c>
    </row>
    <row r="15" spans="1:10" s="9" customFormat="1" ht="24" customHeight="1" x14ac:dyDescent="0.35">
      <c r="A15" s="28">
        <v>19</v>
      </c>
      <c r="B15" s="7" t="s">
        <v>72</v>
      </c>
      <c r="C15" s="7"/>
      <c r="D15" s="8"/>
      <c r="F15"/>
      <c r="G15"/>
      <c r="H15"/>
      <c r="I15"/>
      <c r="J15"/>
    </row>
    <row r="16" spans="1:10" ht="20.149999999999999" customHeight="1" x14ac:dyDescent="0.35">
      <c r="A16" s="10"/>
      <c r="B16" s="11" t="s">
        <v>73</v>
      </c>
      <c r="C16" s="11" t="s">
        <v>74</v>
      </c>
      <c r="D16" s="12">
        <f>288+25</f>
        <v>313</v>
      </c>
    </row>
    <row r="17" spans="1:10" ht="20.149999999999999" customHeight="1" x14ac:dyDescent="0.35">
      <c r="A17" s="10"/>
      <c r="B17" s="11" t="s">
        <v>75</v>
      </c>
      <c r="C17" s="11"/>
      <c r="D17" s="12">
        <v>17.8</v>
      </c>
    </row>
    <row r="18" spans="1:10" s="9" customFormat="1" ht="24" customHeight="1" x14ac:dyDescent="0.35">
      <c r="A18" s="28">
        <v>19</v>
      </c>
      <c r="B18" s="7" t="s">
        <v>76</v>
      </c>
      <c r="C18" s="7"/>
      <c r="D18" s="8"/>
      <c r="F18"/>
      <c r="G18"/>
      <c r="H18"/>
      <c r="I18"/>
      <c r="J18"/>
    </row>
    <row r="19" spans="1:10" ht="20.149999999999999" customHeight="1" x14ac:dyDescent="0.35">
      <c r="A19" s="10"/>
      <c r="B19" s="11" t="s">
        <v>77</v>
      </c>
      <c r="C19" s="11" t="s">
        <v>74</v>
      </c>
      <c r="D19" s="12">
        <v>116.63</v>
      </c>
    </row>
    <row r="20" spans="1:10" ht="20.149999999999999" customHeight="1" x14ac:dyDescent="0.35">
      <c r="A20" s="10"/>
      <c r="B20" s="11" t="s">
        <v>78</v>
      </c>
      <c r="C20" s="67" t="s">
        <v>79</v>
      </c>
      <c r="D20" s="12">
        <v>6</v>
      </c>
      <c r="E20" s="67"/>
    </row>
    <row r="21" spans="1:10" s="9" customFormat="1" ht="24" customHeight="1" x14ac:dyDescent="0.35">
      <c r="A21" s="28">
        <v>20</v>
      </c>
      <c r="B21" s="7" t="s">
        <v>80</v>
      </c>
      <c r="C21" s="7" t="s">
        <v>57</v>
      </c>
      <c r="D21" s="8"/>
      <c r="F21"/>
      <c r="G21"/>
      <c r="H21"/>
      <c r="I21"/>
      <c r="J21"/>
    </row>
    <row r="22" spans="1:10" ht="20.149999999999999" customHeight="1" x14ac:dyDescent="0.35">
      <c r="A22" s="10"/>
      <c r="B22" s="11" t="s">
        <v>81</v>
      </c>
      <c r="C22" s="11" t="s">
        <v>82</v>
      </c>
      <c r="D22" s="12">
        <v>37.5</v>
      </c>
    </row>
    <row r="23" spans="1:10" s="9" customFormat="1" ht="24" customHeight="1" x14ac:dyDescent="0.35">
      <c r="A23" s="28">
        <v>20</v>
      </c>
      <c r="B23" s="7" t="s">
        <v>83</v>
      </c>
      <c r="C23" s="7"/>
      <c r="D23" s="8"/>
      <c r="F23"/>
      <c r="G23"/>
      <c r="H23"/>
      <c r="I23"/>
      <c r="J23"/>
    </row>
    <row r="24" spans="1:10" ht="20.149999999999999" customHeight="1" x14ac:dyDescent="0.35">
      <c r="A24" s="10"/>
      <c r="B24" s="11" t="s">
        <v>84</v>
      </c>
      <c r="C24" s="11"/>
      <c r="D24" s="12">
        <v>100</v>
      </c>
    </row>
    <row r="25" spans="1:10" ht="22" customHeight="1" thickBot="1" x14ac:dyDescent="0.4"/>
    <row r="26" spans="1:10" ht="11.15" customHeight="1" thickTop="1" x14ac:dyDescent="0.35">
      <c r="A26" s="14"/>
      <c r="B26" s="15"/>
      <c r="C26" s="15"/>
      <c r="D26" s="16"/>
      <c r="E26" s="18"/>
    </row>
    <row r="27" spans="1:10" ht="24" customHeight="1" x14ac:dyDescent="0.35">
      <c r="A27" s="22" t="s">
        <v>85</v>
      </c>
    </row>
    <row r="28" spans="1:10" ht="24" customHeight="1" x14ac:dyDescent="0.35">
      <c r="A28" s="28">
        <v>26</v>
      </c>
      <c r="B28" s="7" t="s">
        <v>86</v>
      </c>
      <c r="C28" s="7"/>
    </row>
    <row r="29" spans="1:10" ht="20.149999999999999" customHeight="1" x14ac:dyDescent="0.35">
      <c r="A29" s="10"/>
      <c r="B29" s="11" t="s">
        <v>87</v>
      </c>
      <c r="C29" s="11" t="s">
        <v>88</v>
      </c>
      <c r="D29" s="12">
        <v>30</v>
      </c>
    </row>
    <row r="30" spans="1:10" ht="20.149999999999999" customHeight="1" x14ac:dyDescent="0.35">
      <c r="A30" s="10"/>
      <c r="B30" s="11" t="s">
        <v>89</v>
      </c>
      <c r="C30" s="11"/>
      <c r="D30" s="12">
        <v>12</v>
      </c>
    </row>
    <row r="31" spans="1:10" ht="20.149999999999999" customHeight="1" x14ac:dyDescent="0.35">
      <c r="A31" s="10"/>
      <c r="B31" s="11" t="s">
        <v>90</v>
      </c>
      <c r="C31" s="11"/>
      <c r="D31" s="12">
        <v>100</v>
      </c>
    </row>
    <row r="32" spans="1:10" ht="20.149999999999999" customHeight="1" x14ac:dyDescent="0.35">
      <c r="A32" s="10"/>
      <c r="B32" s="11" t="s">
        <v>91</v>
      </c>
      <c r="C32" s="11" t="s">
        <v>92</v>
      </c>
      <c r="D32" s="12">
        <v>10</v>
      </c>
    </row>
    <row r="33" spans="1:4" ht="20.149999999999999" customHeight="1" x14ac:dyDescent="0.35">
      <c r="A33" s="10"/>
      <c r="B33" s="11" t="s">
        <v>93</v>
      </c>
      <c r="C33" s="11" t="s">
        <v>92</v>
      </c>
      <c r="D33" s="12">
        <v>20</v>
      </c>
    </row>
    <row r="34" spans="1:4" ht="20.149999999999999" customHeight="1" x14ac:dyDescent="0.35">
      <c r="A34" s="10"/>
      <c r="B34" s="11" t="s">
        <v>94</v>
      </c>
      <c r="C34" s="11" t="s">
        <v>95</v>
      </c>
      <c r="D34" s="12">
        <v>300</v>
      </c>
    </row>
    <row r="35" spans="1:4" ht="20.149999999999999" customHeight="1" x14ac:dyDescent="0.35">
      <c r="A35" s="10"/>
      <c r="B35" s="11" t="s">
        <v>96</v>
      </c>
      <c r="C35" s="11" t="s">
        <v>97</v>
      </c>
      <c r="D35" s="12">
        <v>50</v>
      </c>
    </row>
    <row r="36" spans="1:4" ht="20.149999999999999" customHeight="1" x14ac:dyDescent="0.35">
      <c r="A36" s="10"/>
      <c r="B36" s="11" t="s">
        <v>98</v>
      </c>
      <c r="C36" s="11" t="s">
        <v>99</v>
      </c>
      <c r="D36" s="12">
        <v>19</v>
      </c>
    </row>
    <row r="37" spans="1:4" ht="20.149999999999999" customHeight="1" x14ac:dyDescent="0.35">
      <c r="A37" s="10"/>
      <c r="B37" s="11" t="s">
        <v>100</v>
      </c>
      <c r="C37" s="11" t="s">
        <v>101</v>
      </c>
      <c r="D37" s="12">
        <v>20</v>
      </c>
    </row>
    <row r="38" spans="1:4" ht="20.149999999999999" customHeight="1" x14ac:dyDescent="0.35">
      <c r="A38" s="10"/>
      <c r="B38" s="11" t="s">
        <v>102</v>
      </c>
      <c r="C38" s="11" t="s">
        <v>103</v>
      </c>
      <c r="D38" s="12">
        <v>200</v>
      </c>
    </row>
    <row r="39" spans="1:4" ht="20.149999999999999" customHeight="1" x14ac:dyDescent="0.35">
      <c r="A39" s="10"/>
      <c r="B39" s="11" t="s">
        <v>104</v>
      </c>
      <c r="C39" s="11" t="s">
        <v>105</v>
      </c>
      <c r="D39" s="12">
        <v>100</v>
      </c>
    </row>
    <row r="40" spans="1:4" ht="20.149999999999999" customHeight="1" x14ac:dyDescent="0.35">
      <c r="A40" s="10"/>
      <c r="B40" s="11" t="s">
        <v>106</v>
      </c>
      <c r="C40" s="11" t="s">
        <v>107</v>
      </c>
      <c r="D40" s="12">
        <v>10</v>
      </c>
    </row>
    <row r="41" spans="1:4" ht="20.149999999999999" customHeight="1" x14ac:dyDescent="0.35">
      <c r="A41" s="10"/>
      <c r="B41" s="11" t="s">
        <v>108</v>
      </c>
      <c r="C41" s="11" t="s">
        <v>109</v>
      </c>
      <c r="D41" s="12">
        <v>50</v>
      </c>
    </row>
    <row r="42" spans="1:4" ht="20.149999999999999" customHeight="1" x14ac:dyDescent="0.35">
      <c r="A42" s="10"/>
      <c r="B42" s="11" t="s">
        <v>110</v>
      </c>
      <c r="C42" s="11" t="s">
        <v>111</v>
      </c>
      <c r="D42" s="12">
        <v>40</v>
      </c>
    </row>
    <row r="43" spans="1:4" ht="20.149999999999999" customHeight="1" x14ac:dyDescent="0.35">
      <c r="A43" s="10"/>
      <c r="B43" s="11" t="s">
        <v>112</v>
      </c>
      <c r="C43" s="11" t="s">
        <v>113</v>
      </c>
      <c r="D43" s="12">
        <v>20</v>
      </c>
    </row>
    <row r="44" spans="1:4" ht="20.149999999999999" customHeight="1" x14ac:dyDescent="0.35">
      <c r="A44" s="10"/>
      <c r="B44" s="11" t="s">
        <v>114</v>
      </c>
      <c r="C44" s="11" t="s">
        <v>115</v>
      </c>
      <c r="D44" s="12">
        <v>9.14</v>
      </c>
    </row>
    <row r="45" spans="1:4" ht="24" customHeight="1" x14ac:dyDescent="0.35">
      <c r="A45" s="28">
        <v>26</v>
      </c>
      <c r="B45" s="7" t="s">
        <v>116</v>
      </c>
      <c r="C45" s="7"/>
    </row>
    <row r="46" spans="1:4" ht="20.149999999999999" customHeight="1" x14ac:dyDescent="0.35">
      <c r="A46" s="10"/>
      <c r="B46" s="11" t="s">
        <v>117</v>
      </c>
      <c r="C46" s="11" t="s">
        <v>118</v>
      </c>
      <c r="D46" s="12">
        <v>40</v>
      </c>
    </row>
    <row r="47" spans="1:4" ht="20.149999999999999" customHeight="1" x14ac:dyDescent="0.35">
      <c r="A47" s="10"/>
      <c r="B47" s="11" t="s">
        <v>119</v>
      </c>
      <c r="C47" s="11" t="s">
        <v>88</v>
      </c>
      <c r="D47" s="12">
        <v>20</v>
      </c>
    </row>
    <row r="48" spans="1:4" ht="20.149999999999999" customHeight="1" x14ac:dyDescent="0.35">
      <c r="A48" s="10"/>
      <c r="B48" s="11" t="s">
        <v>120</v>
      </c>
      <c r="C48" s="11" t="s">
        <v>121</v>
      </c>
      <c r="D48" s="12">
        <v>3.55</v>
      </c>
    </row>
    <row r="49" spans="1:4" ht="20.149999999999999" customHeight="1" x14ac:dyDescent="0.35">
      <c r="A49" s="10"/>
      <c r="B49" s="11" t="s">
        <v>122</v>
      </c>
      <c r="C49" s="11" t="s">
        <v>123</v>
      </c>
      <c r="D49" s="12">
        <v>6.85</v>
      </c>
    </row>
    <row r="50" spans="1:4" ht="20.149999999999999" customHeight="1" x14ac:dyDescent="0.35">
      <c r="A50" s="10"/>
      <c r="B50" s="11" t="s">
        <v>124</v>
      </c>
      <c r="C50" s="11" t="s">
        <v>125</v>
      </c>
      <c r="D50" s="12">
        <f>93.65</f>
        <v>93.65</v>
      </c>
    </row>
    <row r="51" spans="1:4" ht="20.149999999999999" customHeight="1" x14ac:dyDescent="0.35">
      <c r="A51" s="10"/>
      <c r="B51" s="11" t="s">
        <v>126</v>
      </c>
      <c r="C51" s="11" t="s">
        <v>127</v>
      </c>
      <c r="D51" s="12">
        <v>27.48</v>
      </c>
    </row>
    <row r="52" spans="1:4" ht="20.149999999999999" customHeight="1" x14ac:dyDescent="0.35">
      <c r="A52" s="10"/>
      <c r="B52" s="11" t="s">
        <v>128</v>
      </c>
      <c r="C52" s="11" t="s">
        <v>129</v>
      </c>
      <c r="D52" s="12">
        <v>5.38</v>
      </c>
    </row>
    <row r="53" spans="1:4" ht="20.149999999999999" customHeight="1" x14ac:dyDescent="0.35">
      <c r="A53" s="10"/>
      <c r="B53" s="11" t="s">
        <v>130</v>
      </c>
      <c r="C53" s="11" t="s">
        <v>131</v>
      </c>
      <c r="D53" s="12">
        <v>297.27</v>
      </c>
    </row>
    <row r="54" spans="1:4" ht="20.149999999999999" customHeight="1" x14ac:dyDescent="0.35">
      <c r="A54" s="10"/>
      <c r="B54" s="11" t="s">
        <v>132</v>
      </c>
      <c r="C54" s="11" t="s">
        <v>133</v>
      </c>
      <c r="D54" s="12">
        <v>47.72</v>
      </c>
    </row>
    <row r="55" spans="1:4" ht="20.149999999999999" customHeight="1" x14ac:dyDescent="0.35">
      <c r="A55" s="10"/>
      <c r="B55" s="11" t="s">
        <v>134</v>
      </c>
      <c r="C55" s="11" t="s">
        <v>135</v>
      </c>
      <c r="D55" s="12">
        <v>10.4</v>
      </c>
    </row>
    <row r="56" spans="1:4" customFormat="1" ht="22" customHeight="1" x14ac:dyDescent="0.35"/>
    <row r="57" spans="1:4" customFormat="1" ht="22" customHeight="1" x14ac:dyDescent="0.35"/>
    <row r="58" spans="1:4" customFormat="1" ht="22" customHeight="1" x14ac:dyDescent="0.35"/>
    <row r="59" spans="1:4" customFormat="1" ht="22" customHeight="1" x14ac:dyDescent="0.35"/>
    <row r="60" spans="1:4" customFormat="1" ht="22" customHeight="1" x14ac:dyDescent="0.35"/>
    <row r="61" spans="1:4" customFormat="1" ht="22" customHeight="1" x14ac:dyDescent="0.35"/>
    <row r="62" spans="1:4" customFormat="1" ht="22" customHeight="1" x14ac:dyDescent="0.35"/>
    <row r="63" spans="1:4" customFormat="1" ht="22" customHeight="1" x14ac:dyDescent="0.35"/>
    <row r="64" spans="1:4" customFormat="1" ht="22" customHeight="1" x14ac:dyDescent="0.35"/>
    <row r="65" customFormat="1" ht="22" customHeight="1" x14ac:dyDescent="0.35"/>
    <row r="66" customFormat="1" ht="22" customHeight="1" x14ac:dyDescent="0.35"/>
    <row r="67" customFormat="1" ht="22" customHeight="1" x14ac:dyDescent="0.35"/>
    <row r="68" customFormat="1" ht="22" customHeight="1" x14ac:dyDescent="0.35"/>
    <row r="69" customFormat="1" ht="22" customHeigh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</sheetData>
  <pageMargins left="1.1000000000000001" right="0.9" top="0.5" bottom="0.8" header="0.5" footer="0.5"/>
  <pageSetup orientation="portrait" blackAndWhite="1" r:id="rId1"/>
  <headerFooter alignWithMargins="0">
    <oddFooter>&amp;CPage &amp;P of &amp;N</oddFooter>
  </headerFooter>
  <rowBreaks count="1" manualBreakCount="1">
    <brk id="20" max="655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zoomScale="75" workbookViewId="0">
      <selection activeCell="G8" sqref="G8"/>
    </sheetView>
  </sheetViews>
  <sheetFormatPr defaultColWidth="9" defaultRowHeight="15.5" x14ac:dyDescent="0.35"/>
  <cols>
    <col min="1" max="1" width="5.5" style="4" customWidth="1"/>
    <col min="2" max="2" width="49.75" style="5" customWidth="1"/>
    <col min="3" max="3" width="13.58203125" style="6" customWidth="1"/>
    <col min="4" max="4" width="4.33203125" style="1" customWidth="1"/>
    <col min="5" max="16384" width="9" style="1"/>
  </cols>
  <sheetData>
    <row r="1" spans="1:4" s="2" customFormat="1" ht="22" customHeight="1" x14ac:dyDescent="0.4">
      <c r="A1" s="19" t="s">
        <v>136</v>
      </c>
      <c r="C1" s="26"/>
    </row>
    <row r="2" spans="1:4" s="2" customFormat="1" ht="23.25" customHeight="1" x14ac:dyDescent="0.4">
      <c r="A2" s="19" t="s">
        <v>54</v>
      </c>
      <c r="C2" s="27">
        <f>Year</f>
        <v>1997</v>
      </c>
    </row>
    <row r="3" spans="1:4" ht="15.75" customHeight="1" thickBot="1" x14ac:dyDescent="0.4">
      <c r="A3" s="23"/>
      <c r="B3" s="24"/>
      <c r="C3" s="23"/>
      <c r="D3" s="25"/>
    </row>
    <row r="4" spans="1:4" ht="11.15" customHeight="1" thickTop="1" x14ac:dyDescent="0.35">
      <c r="A4" s="14"/>
      <c r="B4" s="15"/>
      <c r="C4" s="16"/>
      <c r="D4" s="18"/>
    </row>
    <row r="5" spans="1:4" ht="24" customHeight="1" x14ac:dyDescent="0.35">
      <c r="A5" s="22" t="str">
        <f>"BEGINNING YEAR (BALANCE ON 1 JAN "&amp;Year&amp;")"</f>
        <v>BEGINNING YEAR (BALANCE ON 1 JAN 1997)</v>
      </c>
    </row>
    <row r="6" spans="1:4" s="9" customFormat="1" ht="24" customHeight="1" x14ac:dyDescent="0.35">
      <c r="A6" s="28">
        <v>1</v>
      </c>
      <c r="B6" s="7" t="s">
        <v>137</v>
      </c>
      <c r="C6" s="8"/>
    </row>
    <row r="7" spans="1:4" ht="20.149999999999999" customHeight="1" x14ac:dyDescent="0.35">
      <c r="A7" s="10"/>
      <c r="B7" s="11" t="s">
        <v>138</v>
      </c>
      <c r="C7" s="12">
        <v>500</v>
      </c>
    </row>
    <row r="8" spans="1:4" ht="20.149999999999999" customHeight="1" x14ac:dyDescent="0.35">
      <c r="A8" s="10"/>
      <c r="B8" s="11" t="s">
        <v>139</v>
      </c>
      <c r="C8" s="12">
        <v>600</v>
      </c>
    </row>
    <row r="9" spans="1:4" ht="20.149999999999999" customHeight="1" x14ac:dyDescent="0.35">
      <c r="A9" s="10"/>
      <c r="B9" s="11" t="s">
        <v>140</v>
      </c>
      <c r="C9" s="12">
        <v>0</v>
      </c>
    </row>
    <row r="10" spans="1:4" ht="20.149999999999999" customHeight="1" x14ac:dyDescent="0.35">
      <c r="A10" s="10"/>
      <c r="B10" s="11" t="s">
        <v>141</v>
      </c>
      <c r="C10" s="12">
        <v>400</v>
      </c>
    </row>
    <row r="11" spans="1:4" ht="24" customHeight="1" thickBot="1" x14ac:dyDescent="0.4">
      <c r="A11" s="28" t="s">
        <v>142</v>
      </c>
      <c r="B11" s="20" t="s">
        <v>143</v>
      </c>
      <c r="C11" s="13">
        <f>SUM(C7:C10)</f>
        <v>1500</v>
      </c>
    </row>
    <row r="12" spans="1:4" ht="22" customHeight="1" thickTop="1" thickBot="1" x14ac:dyDescent="0.4"/>
    <row r="13" spans="1:4" ht="11.15" customHeight="1" thickTop="1" x14ac:dyDescent="0.35">
      <c r="A13" s="14"/>
      <c r="B13" s="15"/>
      <c r="C13" s="16"/>
      <c r="D13" s="18"/>
    </row>
    <row r="14" spans="1:4" ht="24" customHeight="1" x14ac:dyDescent="0.35">
      <c r="A14" s="22" t="str">
        <f>"ENDING YEAR (BALANCE ON 31 DEC "&amp;Year&amp;")"</f>
        <v>ENDING YEAR (BALANCE ON 31 DEC 1997)</v>
      </c>
    </row>
    <row r="15" spans="1:4" ht="24" customHeight="1" x14ac:dyDescent="0.35">
      <c r="A15" s="28">
        <v>1</v>
      </c>
      <c r="B15" s="7" t="s">
        <v>137</v>
      </c>
    </row>
    <row r="16" spans="1:4" ht="20.149999999999999" customHeight="1" x14ac:dyDescent="0.35">
      <c r="A16" s="10"/>
      <c r="B16" s="11" t="s">
        <v>138</v>
      </c>
      <c r="C16" s="12">
        <v>400</v>
      </c>
    </row>
    <row r="17" spans="1:4" ht="20.149999999999999" customHeight="1" x14ac:dyDescent="0.35">
      <c r="A17" s="10"/>
      <c r="B17" s="11" t="s">
        <v>139</v>
      </c>
      <c r="C17" s="12">
        <v>300</v>
      </c>
    </row>
    <row r="18" spans="1:4" ht="20.149999999999999" customHeight="1" x14ac:dyDescent="0.35">
      <c r="A18" s="10"/>
      <c r="B18" s="11" t="s">
        <v>140</v>
      </c>
      <c r="C18" s="12">
        <v>200</v>
      </c>
    </row>
    <row r="19" spans="1:4" ht="20.149999999999999" customHeight="1" x14ac:dyDescent="0.35">
      <c r="A19" s="10"/>
      <c r="B19" s="11" t="s">
        <v>141</v>
      </c>
      <c r="C19" s="12">
        <v>0</v>
      </c>
    </row>
    <row r="20" spans="1:4" ht="24" customHeight="1" thickBot="1" x14ac:dyDescent="0.4">
      <c r="A20" s="28" t="s">
        <v>144</v>
      </c>
      <c r="B20" s="20" t="s">
        <v>143</v>
      </c>
      <c r="C20" s="13">
        <f>SUM(C16:C19)</f>
        <v>900</v>
      </c>
    </row>
    <row r="21" spans="1:4" ht="22" customHeight="1" thickTop="1" thickBot="1" x14ac:dyDescent="0.4"/>
    <row r="22" spans="1:4" ht="11.15" customHeight="1" thickTop="1" x14ac:dyDescent="0.35">
      <c r="A22" s="14"/>
      <c r="B22" s="15"/>
      <c r="C22" s="16"/>
      <c r="D22" s="18"/>
    </row>
    <row r="23" spans="1:4" ht="24" customHeight="1" x14ac:dyDescent="0.35">
      <c r="A23" s="10" t="s">
        <v>142</v>
      </c>
      <c r="B23" s="11" t="s">
        <v>145</v>
      </c>
      <c r="C23" s="12">
        <f>Cash_Beg</f>
        <v>1500</v>
      </c>
    </row>
    <row r="24" spans="1:4" ht="24" customHeight="1" x14ac:dyDescent="0.35">
      <c r="A24" s="10" t="s">
        <v>144</v>
      </c>
      <c r="B24" s="11" t="s">
        <v>146</v>
      </c>
      <c r="C24" s="12">
        <f>Cash_End</f>
        <v>900</v>
      </c>
    </row>
    <row r="25" spans="1:4" ht="24" customHeight="1" thickBot="1" x14ac:dyDescent="0.4">
      <c r="B25" s="21" t="s">
        <v>147</v>
      </c>
      <c r="C25" s="17">
        <f>Cash_End - Cash_Beg</f>
        <v>-600</v>
      </c>
    </row>
    <row r="26" spans="1:4" ht="22" customHeight="1" thickTop="1" x14ac:dyDescent="0.35"/>
    <row r="27" spans="1:4" ht="22" customHeight="1" x14ac:dyDescent="0.35"/>
    <row r="28" spans="1:4" ht="22" customHeight="1" x14ac:dyDescent="0.35"/>
    <row r="29" spans="1:4" ht="22" customHeight="1" x14ac:dyDescent="0.35"/>
    <row r="30" spans="1:4" ht="22" customHeight="1" x14ac:dyDescent="0.35"/>
    <row r="31" spans="1:4" ht="22" customHeight="1" x14ac:dyDescent="0.35"/>
    <row r="32" spans="1:4" ht="22" customHeight="1" x14ac:dyDescent="0.35"/>
    <row r="33" ht="22" customHeight="1" x14ac:dyDescent="0.35"/>
    <row r="34" ht="22" customHeight="1" x14ac:dyDescent="0.35"/>
    <row r="35" ht="22" customHeight="1" x14ac:dyDescent="0.35"/>
    <row r="36" ht="22" customHeight="1" x14ac:dyDescent="0.35"/>
    <row r="37" ht="22" customHeight="1" x14ac:dyDescent="0.35"/>
    <row r="38" ht="22" customHeight="1" x14ac:dyDescent="0.35"/>
    <row r="39" ht="22" customHeight="1" x14ac:dyDescent="0.35"/>
    <row r="40" ht="22" customHeight="1" x14ac:dyDescent="0.35"/>
    <row r="41" ht="22" customHeight="1" x14ac:dyDescent="0.35"/>
    <row r="42" ht="22" customHeight="1" x14ac:dyDescent="0.35"/>
    <row r="43" ht="22" customHeight="1" x14ac:dyDescent="0.35"/>
    <row r="44" ht="22" customHeight="1" x14ac:dyDescent="0.35"/>
    <row r="45" ht="22" customHeight="1" x14ac:dyDescent="0.35"/>
  </sheetData>
  <pageMargins left="1.2" right="1.1000000000000001" top="0.5" bottom="1" header="0.5" footer="0.5"/>
  <pageSetup orientation="portrait" blackAndWhite="1" r:id="rId1"/>
  <headerFooter alignWithMargins="0"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topLeftCell="A28" zoomScale="75" workbookViewId="0">
      <selection activeCell="C34" sqref="C34"/>
    </sheetView>
  </sheetViews>
  <sheetFormatPr defaultColWidth="9" defaultRowHeight="15.5" x14ac:dyDescent="0.35"/>
  <cols>
    <col min="1" max="1" width="4.58203125" style="4" customWidth="1"/>
    <col min="2" max="2" width="49.58203125" style="5" customWidth="1"/>
    <col min="3" max="3" width="6.58203125" style="5" customWidth="1"/>
    <col min="4" max="4" width="12.58203125" style="6" customWidth="1"/>
    <col min="5" max="5" width="3.58203125" style="1" customWidth="1"/>
    <col min="6" max="6" width="8.83203125" style="1" customWidth="1"/>
    <col min="7" max="16384" width="9" style="1"/>
  </cols>
  <sheetData>
    <row r="1" spans="1:5" s="2" customFormat="1" ht="22" customHeight="1" x14ac:dyDescent="0.4">
      <c r="A1" s="19" t="s">
        <v>148</v>
      </c>
      <c r="D1" s="26"/>
    </row>
    <row r="2" spans="1:5" s="2" customFormat="1" ht="23.25" customHeight="1" x14ac:dyDescent="0.4">
      <c r="A2" s="19" t="s">
        <v>54</v>
      </c>
      <c r="D2" s="27">
        <f>Year</f>
        <v>1997</v>
      </c>
    </row>
    <row r="3" spans="1:5" ht="15.75" customHeight="1" thickBot="1" x14ac:dyDescent="0.4">
      <c r="A3" s="23"/>
      <c r="B3" s="24"/>
      <c r="C3" s="24"/>
      <c r="D3" s="23"/>
      <c r="E3" s="25"/>
    </row>
    <row r="4" spans="1:5" ht="11.15" customHeight="1" thickTop="1" x14ac:dyDescent="0.35">
      <c r="A4" s="14"/>
      <c r="B4" s="15"/>
      <c r="C4" s="15"/>
      <c r="D4" s="16"/>
      <c r="E4" s="18"/>
    </row>
    <row r="5" spans="1:5" ht="24" customHeight="1" x14ac:dyDescent="0.35">
      <c r="A5" s="22" t="s">
        <v>149</v>
      </c>
    </row>
    <row r="6" spans="1:5" s="9" customFormat="1" ht="24" customHeight="1" x14ac:dyDescent="0.35">
      <c r="A6" s="28">
        <v>14</v>
      </c>
      <c r="B6" s="7" t="s">
        <v>36</v>
      </c>
      <c r="C6" s="7" t="s">
        <v>57</v>
      </c>
      <c r="D6" s="8"/>
    </row>
    <row r="7" spans="1:5" ht="20.149999999999999" customHeight="1" x14ac:dyDescent="0.35">
      <c r="A7" s="10"/>
      <c r="B7" s="11" t="s">
        <v>58</v>
      </c>
      <c r="C7" s="11" t="s">
        <v>59</v>
      </c>
      <c r="D7" s="12">
        <v>100</v>
      </c>
    </row>
    <row r="8" spans="1:5" ht="20.149999999999999" customHeight="1" x14ac:dyDescent="0.35">
      <c r="A8" s="10"/>
      <c r="B8" s="11" t="s">
        <v>60</v>
      </c>
      <c r="C8" s="11" t="s">
        <v>61</v>
      </c>
      <c r="D8" s="12">
        <v>200</v>
      </c>
    </row>
    <row r="9" spans="1:5" ht="20.149999999999999" customHeight="1" x14ac:dyDescent="0.35">
      <c r="A9" s="10"/>
      <c r="B9" s="11" t="s">
        <v>62</v>
      </c>
      <c r="C9" s="11" t="s">
        <v>63</v>
      </c>
      <c r="D9" s="12">
        <v>500</v>
      </c>
    </row>
    <row r="10" spans="1:5" s="9" customFormat="1" ht="24" customHeight="1" x14ac:dyDescent="0.35">
      <c r="A10" s="28">
        <v>15</v>
      </c>
      <c r="B10" s="11" t="s">
        <v>150</v>
      </c>
      <c r="C10" s="11" t="s">
        <v>151</v>
      </c>
      <c r="D10" s="30">
        <v>20</v>
      </c>
    </row>
    <row r="11" spans="1:5" s="9" customFormat="1" ht="24" customHeight="1" x14ac:dyDescent="0.35">
      <c r="A11" s="28">
        <v>16</v>
      </c>
      <c r="B11" s="11" t="s">
        <v>152</v>
      </c>
      <c r="C11" s="11" t="s">
        <v>153</v>
      </c>
      <c r="D11" s="30">
        <v>800</v>
      </c>
    </row>
    <row r="12" spans="1:5" s="9" customFormat="1" ht="24" customHeight="1" x14ac:dyDescent="0.35">
      <c r="A12" s="28">
        <v>17</v>
      </c>
      <c r="B12" s="11" t="s">
        <v>39</v>
      </c>
      <c r="C12" s="11"/>
      <c r="D12" s="30">
        <v>12.73</v>
      </c>
    </row>
    <row r="13" spans="1:5" s="9" customFormat="1" ht="24" customHeight="1" x14ac:dyDescent="0.35">
      <c r="A13" s="28">
        <v>18</v>
      </c>
      <c r="B13" s="7" t="s">
        <v>154</v>
      </c>
      <c r="C13" s="7"/>
      <c r="D13" s="8"/>
    </row>
    <row r="14" spans="1:5" ht="20.149999999999999" customHeight="1" x14ac:dyDescent="0.35">
      <c r="A14" s="10"/>
      <c r="B14" s="11" t="s">
        <v>65</v>
      </c>
      <c r="C14" s="11" t="s">
        <v>66</v>
      </c>
      <c r="D14" s="12">
        <v>45</v>
      </c>
    </row>
    <row r="15" spans="1:5" ht="20.149999999999999" customHeight="1" x14ac:dyDescent="0.35">
      <c r="A15" s="10"/>
      <c r="B15" s="11" t="s">
        <v>155</v>
      </c>
      <c r="C15" s="11" t="s">
        <v>156</v>
      </c>
      <c r="D15" s="12">
        <v>-15.12</v>
      </c>
    </row>
    <row r="16" spans="1:5" ht="20.149999999999999" customHeight="1" x14ac:dyDescent="0.35">
      <c r="A16" s="10"/>
      <c r="B16" s="11" t="s">
        <v>157</v>
      </c>
      <c r="C16" s="11" t="s">
        <v>68</v>
      </c>
      <c r="D16" s="12">
        <v>-40</v>
      </c>
    </row>
    <row r="17" spans="1:5" s="9" customFormat="1" ht="24" customHeight="1" x14ac:dyDescent="0.35">
      <c r="A17" s="28">
        <v>19</v>
      </c>
      <c r="B17" s="7" t="s">
        <v>158</v>
      </c>
      <c r="C17" s="7"/>
      <c r="D17" s="8"/>
    </row>
    <row r="18" spans="1:5" ht="20.149999999999999" customHeight="1" x14ac:dyDescent="0.35">
      <c r="A18" s="10"/>
      <c r="B18" s="11" t="s">
        <v>159</v>
      </c>
      <c r="C18" s="11" t="s">
        <v>160</v>
      </c>
      <c r="D18" s="12">
        <f>288+25</f>
        <v>313</v>
      </c>
    </row>
    <row r="19" spans="1:5" ht="20.149999999999999" customHeight="1" x14ac:dyDescent="0.35">
      <c r="A19" s="10"/>
      <c r="B19" s="11" t="s">
        <v>161</v>
      </c>
      <c r="C19" s="11"/>
      <c r="D19" s="12">
        <v>17.8</v>
      </c>
    </row>
    <row r="20" spans="1:5" s="9" customFormat="1" ht="24" customHeight="1" x14ac:dyDescent="0.35">
      <c r="A20" s="28">
        <v>20</v>
      </c>
      <c r="B20" s="7" t="s">
        <v>162</v>
      </c>
      <c r="C20" s="7"/>
      <c r="D20" s="8"/>
    </row>
    <row r="21" spans="1:5" ht="20.149999999999999" customHeight="1" x14ac:dyDescent="0.35">
      <c r="A21" s="10"/>
      <c r="B21" s="11" t="s">
        <v>163</v>
      </c>
      <c r="C21" s="11" t="s">
        <v>164</v>
      </c>
      <c r="D21" s="12">
        <v>15</v>
      </c>
    </row>
    <row r="22" spans="1:5" ht="20.149999999999999" customHeight="1" x14ac:dyDescent="0.35">
      <c r="A22" s="10"/>
      <c r="B22" s="11" t="s">
        <v>165</v>
      </c>
      <c r="C22" s="11" t="s">
        <v>166</v>
      </c>
      <c r="D22" s="12">
        <v>37.5</v>
      </c>
    </row>
    <row r="23" spans="1:5" ht="24" customHeight="1" thickBot="1" x14ac:dyDescent="0.4">
      <c r="A23" s="28">
        <v>21</v>
      </c>
      <c r="B23" s="87" t="s">
        <v>167</v>
      </c>
      <c r="C23" s="87"/>
      <c r="D23" s="13">
        <f>SUM(D7:D22)</f>
        <v>2005.91</v>
      </c>
    </row>
    <row r="24" spans="1:5" ht="22" customHeight="1" thickTop="1" thickBot="1" x14ac:dyDescent="0.4"/>
    <row r="25" spans="1:5" ht="11.15" customHeight="1" thickTop="1" x14ac:dyDescent="0.35">
      <c r="A25" s="14"/>
      <c r="B25" s="15"/>
      <c r="C25" s="15"/>
      <c r="D25" s="16"/>
      <c r="E25" s="18"/>
    </row>
    <row r="26" spans="1:5" ht="24" customHeight="1" x14ac:dyDescent="0.35">
      <c r="A26" s="22" t="s">
        <v>168</v>
      </c>
      <c r="C26" s="7" t="s">
        <v>57</v>
      </c>
    </row>
    <row r="27" spans="1:5" s="9" customFormat="1" ht="24" customHeight="1" x14ac:dyDescent="0.35">
      <c r="A27" s="28">
        <v>22</v>
      </c>
      <c r="B27" s="11" t="s">
        <v>169</v>
      </c>
      <c r="C27" s="11" t="s">
        <v>170</v>
      </c>
      <c r="D27" s="30">
        <v>13.64</v>
      </c>
    </row>
    <row r="28" spans="1:5" s="9" customFormat="1" ht="24" customHeight="1" x14ac:dyDescent="0.35">
      <c r="A28" s="28">
        <v>23</v>
      </c>
      <c r="B28" s="11" t="s">
        <v>171</v>
      </c>
      <c r="C28" s="11" t="s">
        <v>118</v>
      </c>
      <c r="D28" s="30">
        <v>0</v>
      </c>
    </row>
    <row r="29" spans="1:5" s="9" customFormat="1" ht="24" customHeight="1" x14ac:dyDescent="0.35">
      <c r="A29" s="28">
        <v>24</v>
      </c>
      <c r="B29" s="11" t="s">
        <v>172</v>
      </c>
      <c r="C29" s="11" t="s">
        <v>170</v>
      </c>
      <c r="D29" s="30">
        <v>2.4900000000000002</v>
      </c>
    </row>
    <row r="30" spans="1:5" s="9" customFormat="1" ht="24" customHeight="1" x14ac:dyDescent="0.35">
      <c r="A30" s="28">
        <v>25</v>
      </c>
      <c r="B30" s="11" t="s">
        <v>173</v>
      </c>
      <c r="C30" s="11" t="s">
        <v>174</v>
      </c>
      <c r="D30" s="30">
        <v>50</v>
      </c>
    </row>
    <row r="31" spans="1:5" ht="24" customHeight="1" x14ac:dyDescent="0.35">
      <c r="A31" s="28">
        <v>26</v>
      </c>
      <c r="B31" s="7" t="s">
        <v>175</v>
      </c>
      <c r="C31" s="7"/>
    </row>
    <row r="32" spans="1:5" ht="20.149999999999999" customHeight="1" x14ac:dyDescent="0.35">
      <c r="A32" s="10"/>
      <c r="B32" s="11" t="s">
        <v>176</v>
      </c>
      <c r="C32" s="11" t="s">
        <v>88</v>
      </c>
      <c r="D32" s="12">
        <v>37.26</v>
      </c>
    </row>
    <row r="33" spans="1:4" ht="20.149999999999999" customHeight="1" x14ac:dyDescent="0.35">
      <c r="A33" s="10"/>
      <c r="B33" s="11" t="s">
        <v>177</v>
      </c>
      <c r="C33" s="11" t="s">
        <v>178</v>
      </c>
      <c r="D33" s="12">
        <v>35.630000000000003</v>
      </c>
    </row>
    <row r="34" spans="1:4" ht="20.149999999999999" customHeight="1" x14ac:dyDescent="0.35">
      <c r="A34" s="10"/>
      <c r="B34" s="11" t="s">
        <v>179</v>
      </c>
      <c r="C34" s="11"/>
      <c r="D34" s="12">
        <v>12</v>
      </c>
    </row>
    <row r="35" spans="1:4" ht="20.149999999999999" customHeight="1" x14ac:dyDescent="0.35">
      <c r="A35" s="10"/>
      <c r="B35" s="11" t="s">
        <v>91</v>
      </c>
      <c r="C35" s="11" t="s">
        <v>92</v>
      </c>
      <c r="D35" s="12">
        <v>10</v>
      </c>
    </row>
    <row r="36" spans="1:4" ht="20.149999999999999" customHeight="1" x14ac:dyDescent="0.35">
      <c r="A36" s="10"/>
      <c r="B36" s="11" t="s">
        <v>94</v>
      </c>
      <c r="C36" s="11" t="s">
        <v>95</v>
      </c>
      <c r="D36" s="12">
        <v>482.76</v>
      </c>
    </row>
    <row r="37" spans="1:4" ht="20.149999999999999" customHeight="1" x14ac:dyDescent="0.35">
      <c r="A37" s="10"/>
      <c r="B37" s="11" t="s">
        <v>96</v>
      </c>
      <c r="C37" s="11" t="s">
        <v>97</v>
      </c>
      <c r="D37" s="12">
        <v>76.62</v>
      </c>
    </row>
    <row r="38" spans="1:4" ht="20.149999999999999" customHeight="1" x14ac:dyDescent="0.35">
      <c r="A38" s="10"/>
      <c r="B38" s="11" t="s">
        <v>180</v>
      </c>
      <c r="C38" s="11" t="s">
        <v>99</v>
      </c>
      <c r="D38" s="12">
        <v>50</v>
      </c>
    </row>
    <row r="39" spans="1:4" ht="20.149999999999999" customHeight="1" x14ac:dyDescent="0.35">
      <c r="A39" s="10"/>
      <c r="B39" s="11" t="s">
        <v>181</v>
      </c>
      <c r="C39" s="11" t="s">
        <v>182</v>
      </c>
      <c r="D39" s="12">
        <v>15</v>
      </c>
    </row>
    <row r="40" spans="1:4" ht="20.149999999999999" customHeight="1" x14ac:dyDescent="0.35">
      <c r="A40" s="10"/>
      <c r="B40" s="11" t="s">
        <v>100</v>
      </c>
      <c r="C40" s="11" t="s">
        <v>101</v>
      </c>
      <c r="D40" s="12">
        <v>20</v>
      </c>
    </row>
    <row r="41" spans="1:4" ht="20.149999999999999" customHeight="1" x14ac:dyDescent="0.35">
      <c r="A41" s="10"/>
      <c r="B41" s="11" t="s">
        <v>102</v>
      </c>
      <c r="C41" s="11" t="s">
        <v>103</v>
      </c>
      <c r="D41" s="12">
        <v>339.7</v>
      </c>
    </row>
    <row r="42" spans="1:4" ht="20.149999999999999" customHeight="1" x14ac:dyDescent="0.35">
      <c r="A42" s="10"/>
      <c r="B42" s="11" t="s">
        <v>104</v>
      </c>
      <c r="C42" s="11" t="s">
        <v>105</v>
      </c>
      <c r="D42" s="12">
        <f>144.1 + 1.28</f>
        <v>145.38</v>
      </c>
    </row>
    <row r="43" spans="1:4" ht="20.149999999999999" customHeight="1" x14ac:dyDescent="0.35">
      <c r="A43" s="10"/>
      <c r="B43" s="11" t="s">
        <v>183</v>
      </c>
      <c r="C43" s="11" t="s">
        <v>107</v>
      </c>
      <c r="D43" s="12">
        <v>11.63</v>
      </c>
    </row>
    <row r="44" spans="1:4" ht="20.149999999999999" customHeight="1" x14ac:dyDescent="0.35">
      <c r="A44" s="10"/>
      <c r="B44" s="11" t="s">
        <v>108</v>
      </c>
      <c r="C44" s="11" t="s">
        <v>109</v>
      </c>
      <c r="D44" s="12">
        <f>52.55 + 7.56</f>
        <v>60.11</v>
      </c>
    </row>
    <row r="45" spans="1:4" ht="20.149999999999999" customHeight="1" x14ac:dyDescent="0.35">
      <c r="A45" s="10"/>
      <c r="B45" s="11" t="s">
        <v>110</v>
      </c>
      <c r="C45" s="11" t="s">
        <v>111</v>
      </c>
      <c r="D45" s="12">
        <f>58.77</f>
        <v>58.77</v>
      </c>
    </row>
    <row r="46" spans="1:4" ht="20.149999999999999" customHeight="1" x14ac:dyDescent="0.35">
      <c r="A46" s="10"/>
      <c r="B46" s="11" t="s">
        <v>184</v>
      </c>
      <c r="C46" s="11" t="s">
        <v>113</v>
      </c>
      <c r="D46" s="12">
        <v>14</v>
      </c>
    </row>
    <row r="47" spans="1:4" ht="20.149999999999999" customHeight="1" x14ac:dyDescent="0.35">
      <c r="A47" s="10"/>
      <c r="B47" s="11" t="s">
        <v>114</v>
      </c>
      <c r="C47" s="11" t="s">
        <v>115</v>
      </c>
      <c r="D47" s="12">
        <v>9.07</v>
      </c>
    </row>
    <row r="48" spans="1:4" ht="24" customHeight="1" x14ac:dyDescent="0.35">
      <c r="A48" s="28">
        <v>26</v>
      </c>
      <c r="B48" s="7" t="s">
        <v>185</v>
      </c>
      <c r="C48" s="7"/>
    </row>
    <row r="49" spans="1:6" ht="20.149999999999999" customHeight="1" x14ac:dyDescent="0.35">
      <c r="A49" s="10"/>
      <c r="B49" s="11" t="s">
        <v>117</v>
      </c>
      <c r="C49" s="11" t="s">
        <v>186</v>
      </c>
      <c r="D49" s="12">
        <v>87.59</v>
      </c>
    </row>
    <row r="50" spans="1:6" ht="20.149999999999999" customHeight="1" x14ac:dyDescent="0.35">
      <c r="A50" s="10"/>
      <c r="B50" s="11" t="s">
        <v>119</v>
      </c>
      <c r="C50" s="11" t="s">
        <v>187</v>
      </c>
      <c r="D50" s="12">
        <v>47.8</v>
      </c>
    </row>
    <row r="51" spans="1:6" ht="20.149999999999999" customHeight="1" x14ac:dyDescent="0.35">
      <c r="A51" s="10"/>
      <c r="B51" s="11" t="s">
        <v>120</v>
      </c>
      <c r="C51" s="11" t="s">
        <v>188</v>
      </c>
      <c r="D51" s="12">
        <v>3.96</v>
      </c>
    </row>
    <row r="52" spans="1:6" ht="20.149999999999999" customHeight="1" x14ac:dyDescent="0.35">
      <c r="A52" s="10"/>
      <c r="B52" s="11" t="s">
        <v>189</v>
      </c>
      <c r="C52" s="11" t="s">
        <v>190</v>
      </c>
      <c r="D52" s="12">
        <v>12.91</v>
      </c>
    </row>
    <row r="53" spans="1:6" ht="20.149999999999999" customHeight="1" x14ac:dyDescent="0.35">
      <c r="A53" s="10"/>
      <c r="B53" s="11" t="s">
        <v>124</v>
      </c>
      <c r="C53" s="11" t="s">
        <v>191</v>
      </c>
      <c r="D53" s="12">
        <f>14.03+93.65</f>
        <v>107.68</v>
      </c>
    </row>
    <row r="54" spans="1:6" ht="20.149999999999999" customHeight="1" x14ac:dyDescent="0.35">
      <c r="A54" s="10"/>
      <c r="B54" s="11" t="s">
        <v>192</v>
      </c>
      <c r="C54" s="11" t="s">
        <v>193</v>
      </c>
      <c r="D54" s="12">
        <v>200</v>
      </c>
    </row>
    <row r="55" spans="1:6" ht="20.149999999999999" customHeight="1" x14ac:dyDescent="0.35">
      <c r="A55" s="10"/>
      <c r="B55" s="11" t="s">
        <v>126</v>
      </c>
      <c r="C55" s="11" t="s">
        <v>127</v>
      </c>
      <c r="D55" s="12">
        <v>27.48</v>
      </c>
    </row>
    <row r="56" spans="1:6" ht="20.149999999999999" customHeight="1" x14ac:dyDescent="0.35">
      <c r="A56" s="10"/>
      <c r="B56" s="11" t="s">
        <v>194</v>
      </c>
      <c r="C56" s="11" t="s">
        <v>129</v>
      </c>
      <c r="D56" s="12">
        <v>5.38</v>
      </c>
    </row>
    <row r="57" spans="1:6" ht="20.149999999999999" customHeight="1" x14ac:dyDescent="0.35">
      <c r="A57" s="10"/>
      <c r="B57" s="11" t="s">
        <v>195</v>
      </c>
      <c r="C57" s="11" t="s">
        <v>196</v>
      </c>
      <c r="D57" s="12">
        <v>300</v>
      </c>
      <c r="F57" s="6"/>
    </row>
    <row r="58" spans="1:6" ht="20.149999999999999" customHeight="1" x14ac:dyDescent="0.35">
      <c r="A58" s="10"/>
      <c r="B58" s="11" t="s">
        <v>130</v>
      </c>
      <c r="C58" s="11" t="s">
        <v>131</v>
      </c>
      <c r="D58" s="12">
        <v>297.27</v>
      </c>
      <c r="F58" s="6"/>
    </row>
    <row r="59" spans="1:6" ht="20.149999999999999" customHeight="1" x14ac:dyDescent="0.35">
      <c r="A59" s="10"/>
      <c r="B59" s="11" t="s">
        <v>197</v>
      </c>
      <c r="C59" s="11" t="s">
        <v>133</v>
      </c>
      <c r="D59" s="12">
        <v>71.78</v>
      </c>
    </row>
    <row r="60" spans="1:6" ht="24" customHeight="1" thickBot="1" x14ac:dyDescent="0.4">
      <c r="A60" s="28">
        <v>27</v>
      </c>
      <c r="B60" s="87" t="s">
        <v>198</v>
      </c>
      <c r="C60" s="87"/>
      <c r="D60" s="13">
        <f>SUM(D27:D59)</f>
        <v>2605.9100000000003</v>
      </c>
    </row>
    <row r="61" spans="1:6" ht="22" customHeight="1" thickTop="1" thickBot="1" x14ac:dyDescent="0.4"/>
    <row r="62" spans="1:6" ht="11.15" customHeight="1" thickTop="1" x14ac:dyDescent="0.35">
      <c r="A62" s="14"/>
      <c r="B62" s="15"/>
      <c r="C62" s="15"/>
      <c r="D62" s="16"/>
      <c r="E62" s="18"/>
    </row>
    <row r="63" spans="1:6" ht="24" customHeight="1" x14ac:dyDescent="0.35">
      <c r="A63" s="22" t="s">
        <v>199</v>
      </c>
    </row>
    <row r="64" spans="1:6" ht="24" customHeight="1" x14ac:dyDescent="0.35">
      <c r="A64" s="29">
        <v>21</v>
      </c>
      <c r="B64" s="11" t="s">
        <v>167</v>
      </c>
      <c r="C64" s="11"/>
      <c r="D64" s="12">
        <f>Cash_In</f>
        <v>2005.91</v>
      </c>
    </row>
    <row r="65" spans="1:4" ht="24" customHeight="1" x14ac:dyDescent="0.35">
      <c r="A65" s="29">
        <v>27</v>
      </c>
      <c r="B65" s="11" t="s">
        <v>198</v>
      </c>
      <c r="C65" s="11"/>
      <c r="D65" s="12">
        <f>Cash_Out</f>
        <v>2605.9100000000003</v>
      </c>
    </row>
    <row r="66" spans="1:4" ht="24" customHeight="1" thickBot="1" x14ac:dyDescent="0.4">
      <c r="B66" s="21" t="s">
        <v>200</v>
      </c>
      <c r="C66" s="21"/>
      <c r="D66" s="17">
        <f>Cash_In - Cash_Out</f>
        <v>-600.00000000000023</v>
      </c>
    </row>
    <row r="67" spans="1:4" ht="22" customHeight="1" thickTop="1" x14ac:dyDescent="0.35"/>
    <row r="68" spans="1:4" ht="24" customHeight="1" x14ac:dyDescent="0.35">
      <c r="A68" s="29" t="s">
        <v>142</v>
      </c>
      <c r="B68" s="11" t="s">
        <v>145</v>
      </c>
      <c r="C68" s="11"/>
      <c r="D68" s="12">
        <f>Cash_Beg</f>
        <v>1500</v>
      </c>
    </row>
    <row r="69" spans="1:4" ht="24" customHeight="1" x14ac:dyDescent="0.35">
      <c r="A69" s="29" t="s">
        <v>144</v>
      </c>
      <c r="B69" s="11" t="s">
        <v>146</v>
      </c>
      <c r="C69" s="11"/>
      <c r="D69" s="12">
        <f>Cash_End</f>
        <v>900</v>
      </c>
    </row>
    <row r="70" spans="1:4" ht="24" customHeight="1" thickBot="1" x14ac:dyDescent="0.4">
      <c r="B70" s="21" t="s">
        <v>147</v>
      </c>
      <c r="C70" s="21"/>
      <c r="D70" s="17">
        <f>Cash_End - Cash_Beg</f>
        <v>-600</v>
      </c>
    </row>
    <row r="71" spans="1:4" ht="22" customHeight="1" thickTop="1" x14ac:dyDescent="0.35"/>
    <row r="72" spans="1:4" ht="22" customHeight="1" x14ac:dyDescent="0.35"/>
    <row r="73" spans="1:4" ht="22" customHeight="1" x14ac:dyDescent="0.35"/>
    <row r="74" spans="1:4" ht="22" customHeight="1" x14ac:dyDescent="0.35"/>
    <row r="75" spans="1:4" ht="22" customHeight="1" x14ac:dyDescent="0.35"/>
    <row r="76" spans="1:4" ht="22" customHeight="1" x14ac:dyDescent="0.35"/>
    <row r="77" spans="1:4" ht="22" customHeight="1" x14ac:dyDescent="0.35"/>
    <row r="78" spans="1:4" ht="22" customHeight="1" x14ac:dyDescent="0.35"/>
    <row r="79" spans="1:4" ht="22" customHeight="1" x14ac:dyDescent="0.35"/>
    <row r="80" spans="1:4" ht="22" customHeight="1" x14ac:dyDescent="0.35"/>
    <row r="81" ht="22" customHeight="1" x14ac:dyDescent="0.35"/>
    <row r="82" ht="22" customHeight="1" x14ac:dyDescent="0.35"/>
    <row r="83" ht="22" customHeight="1" x14ac:dyDescent="0.35"/>
    <row r="84" ht="22" customHeight="1" x14ac:dyDescent="0.35"/>
    <row r="85" ht="22" customHeight="1" x14ac:dyDescent="0.35"/>
    <row r="86" ht="22" customHeight="1" x14ac:dyDescent="0.35"/>
    <row r="87" ht="22" customHeight="1" x14ac:dyDescent="0.35"/>
    <row r="88" ht="22" customHeight="1" x14ac:dyDescent="0.35"/>
    <row r="89" ht="22" customHeight="1" x14ac:dyDescent="0.35"/>
    <row r="90" ht="22" customHeight="1" x14ac:dyDescent="0.35"/>
  </sheetData>
  <pageMargins left="1.1000000000000001" right="0.9" top="0.5" bottom="1" header="0.5" footer="0.5"/>
  <pageSetup orientation="portrait" blackAndWhite="1" r:id="rId1"/>
  <headerFooter alignWithMargins="0">
    <oddFooter>&amp;CPage &amp;P of &amp;N</oddFooter>
  </headerFooter>
  <rowBreaks count="1" manualBreakCount="1">
    <brk id="25" max="6553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zoomScale="75" workbookViewId="0">
      <selection activeCell="B7" sqref="B7"/>
    </sheetView>
  </sheetViews>
  <sheetFormatPr defaultColWidth="9" defaultRowHeight="15.5" x14ac:dyDescent="0.35"/>
  <cols>
    <col min="1" max="1" width="5.5" style="4" customWidth="1"/>
    <col min="2" max="2" width="43.58203125" style="5" customWidth="1"/>
    <col min="3" max="3" width="6.58203125" style="65" customWidth="1"/>
    <col min="4" max="4" width="13.58203125" style="6" customWidth="1"/>
    <col min="5" max="5" width="4.33203125" style="73" customWidth="1"/>
    <col min="6" max="16384" width="9" style="1"/>
  </cols>
  <sheetData>
    <row r="1" spans="1:5" s="2" customFormat="1" ht="22" customHeight="1" x14ac:dyDescent="0.4">
      <c r="A1" s="19" t="s">
        <v>201</v>
      </c>
      <c r="C1" s="62"/>
      <c r="D1" s="26"/>
      <c r="E1" s="70"/>
    </row>
    <row r="2" spans="1:5" s="2" customFormat="1" ht="23.25" customHeight="1" x14ac:dyDescent="0.4">
      <c r="A2" s="19" t="s">
        <v>54</v>
      </c>
      <c r="C2" s="62"/>
      <c r="D2" s="27">
        <f>Year</f>
        <v>1997</v>
      </c>
      <c r="E2" s="70"/>
    </row>
    <row r="3" spans="1:5" ht="15.75" customHeight="1" thickBot="1" x14ac:dyDescent="0.4">
      <c r="A3" s="23"/>
      <c r="B3" s="24"/>
      <c r="C3" s="63"/>
      <c r="D3" s="23"/>
      <c r="E3" s="71"/>
    </row>
    <row r="4" spans="1:5" ht="11.15" customHeight="1" thickTop="1" x14ac:dyDescent="0.35">
      <c r="A4" s="14"/>
      <c r="B4" s="15"/>
      <c r="C4" s="64"/>
      <c r="D4" s="16"/>
      <c r="E4" s="72"/>
    </row>
    <row r="5" spans="1:5" ht="24" customHeight="1" x14ac:dyDescent="0.35">
      <c r="A5" s="22" t="str">
        <f>"BEGINNING YEAR (BALANCE ON 1 JAN "&amp;Year&amp;")"</f>
        <v>BEGINNING YEAR (BALANCE ON 1 JAN 1997)</v>
      </c>
    </row>
    <row r="6" spans="1:5" s="9" customFormat="1" ht="24" customHeight="1" x14ac:dyDescent="0.35">
      <c r="A6" s="28">
        <v>3</v>
      </c>
      <c r="B6" s="7" t="s">
        <v>202</v>
      </c>
      <c r="C6" s="69" t="s">
        <v>57</v>
      </c>
      <c r="D6" s="8"/>
      <c r="E6" s="99" t="s">
        <v>203</v>
      </c>
    </row>
    <row r="7" spans="1:5" ht="20.149999999999999" customHeight="1" x14ac:dyDescent="0.35">
      <c r="A7" s="10"/>
      <c r="B7" s="11" t="s">
        <v>204</v>
      </c>
      <c r="C7" s="67" t="s">
        <v>135</v>
      </c>
      <c r="D7" s="12">
        <v>220</v>
      </c>
      <c r="E7" s="75" t="s">
        <v>205</v>
      </c>
    </row>
    <row r="8" spans="1:5" ht="20.149999999999999" customHeight="1" x14ac:dyDescent="0.35">
      <c r="A8" s="10"/>
      <c r="B8" s="11" t="s">
        <v>206</v>
      </c>
      <c r="C8" s="67" t="s">
        <v>207</v>
      </c>
      <c r="D8" s="12">
        <v>150</v>
      </c>
      <c r="E8" s="75" t="s">
        <v>208</v>
      </c>
    </row>
    <row r="9" spans="1:5" ht="24" customHeight="1" thickBot="1" x14ac:dyDescent="0.4">
      <c r="A9" s="28" t="s">
        <v>209</v>
      </c>
      <c r="B9" s="20" t="s">
        <v>143</v>
      </c>
      <c r="C9" s="98"/>
      <c r="D9" s="13">
        <f>SUM(D7:D8)</f>
        <v>370</v>
      </c>
    </row>
    <row r="10" spans="1:5" ht="22" customHeight="1" thickTop="1" thickBot="1" x14ac:dyDescent="0.4"/>
    <row r="11" spans="1:5" ht="11.15" customHeight="1" thickTop="1" x14ac:dyDescent="0.35">
      <c r="A11" s="14"/>
      <c r="B11" s="15"/>
      <c r="C11" s="64"/>
      <c r="D11" s="16"/>
      <c r="E11" s="72"/>
    </row>
    <row r="12" spans="1:5" ht="24" customHeight="1" x14ac:dyDescent="0.35">
      <c r="A12" s="22" t="str">
        <f>"ENDING YEAR (BALANCE ON 31 DEC "&amp;Year&amp;")"</f>
        <v>ENDING YEAR (BALANCE ON 31 DEC 1997)</v>
      </c>
    </row>
    <row r="13" spans="1:5" ht="24" customHeight="1" x14ac:dyDescent="0.35">
      <c r="A13" s="28">
        <v>3</v>
      </c>
      <c r="B13" s="7" t="s">
        <v>202</v>
      </c>
      <c r="C13" s="68" t="s">
        <v>57</v>
      </c>
      <c r="E13" s="99" t="s">
        <v>203</v>
      </c>
    </row>
    <row r="14" spans="1:5" ht="20.149999999999999" customHeight="1" x14ac:dyDescent="0.35">
      <c r="A14" s="10"/>
      <c r="B14" s="11" t="s">
        <v>210</v>
      </c>
      <c r="C14" s="67" t="s">
        <v>196</v>
      </c>
      <c r="D14" s="12">
        <v>300</v>
      </c>
      <c r="E14" s="75" t="s">
        <v>211</v>
      </c>
    </row>
    <row r="15" spans="1:5" ht="20.149999999999999" customHeight="1" x14ac:dyDescent="0.35">
      <c r="A15" s="10"/>
      <c r="B15" s="11" t="s">
        <v>204</v>
      </c>
      <c r="C15" s="67" t="s">
        <v>135</v>
      </c>
      <c r="D15" s="12">
        <v>200</v>
      </c>
      <c r="E15" s="75" t="s">
        <v>205</v>
      </c>
    </row>
    <row r="16" spans="1:5" ht="20.149999999999999" customHeight="1" x14ac:dyDescent="0.35">
      <c r="A16" s="10"/>
      <c r="B16" s="11" t="s">
        <v>212</v>
      </c>
      <c r="C16" s="67" t="s">
        <v>213</v>
      </c>
      <c r="D16" s="12">
        <v>130</v>
      </c>
      <c r="E16" s="75" t="s">
        <v>205</v>
      </c>
    </row>
    <row r="17" spans="1:5" ht="20.149999999999999" customHeight="1" x14ac:dyDescent="0.35">
      <c r="A17" s="10"/>
      <c r="B17" s="11" t="s">
        <v>214</v>
      </c>
      <c r="C17" s="67" t="s">
        <v>215</v>
      </c>
      <c r="D17" s="12">
        <v>80</v>
      </c>
      <c r="E17" s="75" t="s">
        <v>208</v>
      </c>
    </row>
    <row r="18" spans="1:5" ht="24" customHeight="1" thickBot="1" x14ac:dyDescent="0.4">
      <c r="A18" s="28" t="s">
        <v>216</v>
      </c>
      <c r="B18" s="20" t="s">
        <v>143</v>
      </c>
      <c r="C18" s="98"/>
      <c r="D18" s="13">
        <f>SUM(D13:D17)</f>
        <v>710</v>
      </c>
      <c r="E18" s="103"/>
    </row>
    <row r="19" spans="1:5" ht="22" customHeight="1" thickTop="1" thickBot="1" x14ac:dyDescent="0.4"/>
    <row r="20" spans="1:5" ht="11.15" customHeight="1" thickTop="1" x14ac:dyDescent="0.35">
      <c r="A20" s="14"/>
      <c r="B20" s="15"/>
      <c r="C20" s="64"/>
      <c r="D20" s="16"/>
      <c r="E20" s="72"/>
    </row>
    <row r="21" spans="1:5" ht="24" customHeight="1" x14ac:dyDescent="0.35">
      <c r="A21" s="10" t="s">
        <v>209</v>
      </c>
      <c r="B21" s="11" t="s">
        <v>145</v>
      </c>
      <c r="C21" s="67"/>
      <c r="D21" s="12">
        <f>Equip_Beg</f>
        <v>370</v>
      </c>
    </row>
    <row r="22" spans="1:5" ht="24" customHeight="1" x14ac:dyDescent="0.35">
      <c r="A22" s="10" t="s">
        <v>216</v>
      </c>
      <c r="B22" s="11" t="s">
        <v>146</v>
      </c>
      <c r="C22" s="66"/>
      <c r="D22" s="12">
        <f>Equip_End</f>
        <v>710</v>
      </c>
    </row>
    <row r="23" spans="1:5" ht="24" customHeight="1" thickBot="1" x14ac:dyDescent="0.4">
      <c r="B23" s="21" t="s">
        <v>147</v>
      </c>
      <c r="D23" s="17">
        <f>Equip_End - Equip_Beg</f>
        <v>340</v>
      </c>
    </row>
    <row r="24" spans="1:5" ht="22" customHeight="1" thickTop="1" x14ac:dyDescent="0.35"/>
    <row r="25" spans="1:5" ht="22" customHeight="1" x14ac:dyDescent="0.35">
      <c r="A25" s="22" t="s">
        <v>217</v>
      </c>
      <c r="B25" s="7" t="s">
        <v>218</v>
      </c>
      <c r="C25" s="69"/>
      <c r="D25" s="100" t="s">
        <v>219</v>
      </c>
      <c r="E25" s="1"/>
    </row>
    <row r="26" spans="1:5" ht="22" customHeight="1" x14ac:dyDescent="0.35">
      <c r="A26" s="101" t="s">
        <v>220</v>
      </c>
      <c r="B26" s="5" t="s">
        <v>221</v>
      </c>
      <c r="D26" s="102" t="s">
        <v>222</v>
      </c>
      <c r="E26" s="1"/>
    </row>
    <row r="27" spans="1:5" ht="22" customHeight="1" x14ac:dyDescent="0.35">
      <c r="A27" s="4" t="s">
        <v>223</v>
      </c>
      <c r="B27" s="5" t="s">
        <v>224</v>
      </c>
      <c r="D27" s="102" t="s">
        <v>225</v>
      </c>
      <c r="E27" s="1"/>
    </row>
    <row r="28" spans="1:5" ht="22" customHeight="1" x14ac:dyDescent="0.35">
      <c r="A28" s="4" t="s">
        <v>226</v>
      </c>
      <c r="B28" s="5" t="s">
        <v>227</v>
      </c>
      <c r="D28" s="102" t="s">
        <v>228</v>
      </c>
      <c r="E28" s="1"/>
    </row>
    <row r="29" spans="1:5" ht="22" customHeight="1" x14ac:dyDescent="0.35"/>
    <row r="30" spans="1:5" ht="22" customHeight="1" x14ac:dyDescent="0.35"/>
    <row r="31" spans="1:5" ht="22" customHeight="1" x14ac:dyDescent="0.35"/>
    <row r="32" spans="1:5" ht="22" customHeight="1" x14ac:dyDescent="0.35"/>
    <row r="33" ht="22" customHeight="1" x14ac:dyDescent="0.35"/>
    <row r="34" ht="22" customHeight="1" x14ac:dyDescent="0.35"/>
    <row r="35" ht="22" customHeight="1" x14ac:dyDescent="0.35"/>
    <row r="36" ht="22" customHeight="1" x14ac:dyDescent="0.35"/>
    <row r="37" ht="22" customHeight="1" x14ac:dyDescent="0.35"/>
    <row r="38" ht="22" customHeight="1" x14ac:dyDescent="0.35"/>
    <row r="39" ht="22" customHeight="1" x14ac:dyDescent="0.35"/>
    <row r="40" ht="22" customHeight="1" x14ac:dyDescent="0.35"/>
    <row r="41" ht="22" customHeight="1" x14ac:dyDescent="0.35"/>
    <row r="42" ht="22" customHeight="1" x14ac:dyDescent="0.35"/>
    <row r="43" ht="22" customHeight="1" x14ac:dyDescent="0.35"/>
    <row r="44" ht="22" customHeight="1" x14ac:dyDescent="0.35"/>
    <row r="45" ht="22" customHeight="1" x14ac:dyDescent="0.35"/>
    <row r="46" ht="22" customHeight="1" x14ac:dyDescent="0.35"/>
  </sheetData>
  <pageMargins left="1.2" right="1.1000000000000001" top="0.5" bottom="0.75" header="0.5" footer="0.5"/>
  <pageSetup orientation="portrait" blackAndWhite="1" r:id="rId1"/>
  <headerFooter alignWithMargins="0"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zoomScale="75" workbookViewId="0">
      <selection activeCell="B7" sqref="B7"/>
    </sheetView>
  </sheetViews>
  <sheetFormatPr defaultColWidth="9" defaultRowHeight="15.5" x14ac:dyDescent="0.35"/>
  <cols>
    <col min="1" max="1" width="5.5" style="4" customWidth="1"/>
    <col min="2" max="2" width="40.58203125" style="5" customWidth="1"/>
    <col min="3" max="3" width="4.58203125" style="79" customWidth="1"/>
    <col min="4" max="4" width="6.58203125" style="5" customWidth="1"/>
    <col min="5" max="5" width="13.58203125" style="6" customWidth="1"/>
    <col min="6" max="6" width="4.33203125" style="1" customWidth="1"/>
    <col min="7" max="16384" width="9" style="1"/>
  </cols>
  <sheetData>
    <row r="1" spans="1:6" s="2" customFormat="1" ht="22" customHeight="1" x14ac:dyDescent="0.4">
      <c r="A1" s="19" t="s">
        <v>229</v>
      </c>
      <c r="C1" s="70"/>
      <c r="E1" s="26"/>
    </row>
    <row r="2" spans="1:6" s="2" customFormat="1" ht="23.25" customHeight="1" x14ac:dyDescent="0.4">
      <c r="A2" s="19" t="s">
        <v>54</v>
      </c>
      <c r="C2" s="70"/>
      <c r="E2" s="27">
        <f>Year</f>
        <v>1997</v>
      </c>
    </row>
    <row r="3" spans="1:6" ht="15.75" customHeight="1" thickBot="1" x14ac:dyDescent="0.4">
      <c r="A3" s="23"/>
      <c r="B3" s="24"/>
      <c r="C3" s="77"/>
      <c r="D3" s="24"/>
      <c r="E3" s="23"/>
      <c r="F3" s="25"/>
    </row>
    <row r="4" spans="1:6" ht="11.15" customHeight="1" thickTop="1" x14ac:dyDescent="0.35">
      <c r="A4" s="14"/>
      <c r="B4" s="15"/>
      <c r="C4" s="78"/>
      <c r="D4" s="15"/>
      <c r="E4" s="16"/>
      <c r="F4" s="18"/>
    </row>
    <row r="5" spans="1:6" ht="24" customHeight="1" x14ac:dyDescent="0.35">
      <c r="A5" s="22" t="s">
        <v>230</v>
      </c>
    </row>
    <row r="6" spans="1:6" s="9" customFormat="1" ht="24" customHeight="1" x14ac:dyDescent="0.35">
      <c r="A6" s="28">
        <v>26</v>
      </c>
      <c r="B6" s="7" t="s">
        <v>231</v>
      </c>
      <c r="C6" s="74" t="s">
        <v>232</v>
      </c>
      <c r="D6" s="7" t="s">
        <v>57</v>
      </c>
      <c r="E6" s="8"/>
    </row>
    <row r="7" spans="1:6" ht="20.149999999999999" customHeight="1" x14ac:dyDescent="0.35">
      <c r="A7" s="10"/>
      <c r="B7" s="11" t="s">
        <v>210</v>
      </c>
      <c r="C7" s="75" t="s">
        <v>233</v>
      </c>
      <c r="D7" s="67" t="s">
        <v>196</v>
      </c>
      <c r="E7" s="12">
        <v>300</v>
      </c>
    </row>
    <row r="8" spans="1:6" ht="20.149999999999999" customHeight="1" x14ac:dyDescent="0.35">
      <c r="A8" s="10"/>
      <c r="B8" s="11" t="s">
        <v>234</v>
      </c>
      <c r="C8" s="75" t="s">
        <v>233</v>
      </c>
      <c r="D8" s="67" t="s">
        <v>213</v>
      </c>
      <c r="E8" s="12">
        <v>130</v>
      </c>
    </row>
    <row r="9" spans="1:6" ht="20.149999999999999" customHeight="1" x14ac:dyDescent="0.35">
      <c r="A9" s="10"/>
      <c r="B9" s="11" t="s">
        <v>214</v>
      </c>
      <c r="C9" s="75" t="s">
        <v>233</v>
      </c>
      <c r="D9" s="67" t="s">
        <v>215</v>
      </c>
      <c r="E9" s="12">
        <v>80</v>
      </c>
    </row>
    <row r="10" spans="1:6" ht="24" customHeight="1" thickBot="1" x14ac:dyDescent="0.4">
      <c r="A10" s="28">
        <v>27</v>
      </c>
      <c r="B10" s="87" t="s">
        <v>167</v>
      </c>
      <c r="C10" s="88"/>
      <c r="D10" s="87"/>
      <c r="E10" s="13">
        <f>SUM(E6:E9)</f>
        <v>510</v>
      </c>
    </row>
    <row r="11" spans="1:6" s="85" customFormat="1" ht="22" customHeight="1" thickTop="1" thickBot="1" x14ac:dyDescent="0.35">
      <c r="A11" s="82"/>
      <c r="B11" s="83"/>
      <c r="C11" s="84" t="s">
        <v>235</v>
      </c>
      <c r="E11" s="86"/>
    </row>
    <row r="12" spans="1:6" ht="11.15" customHeight="1" thickTop="1" x14ac:dyDescent="0.35">
      <c r="A12" s="14"/>
      <c r="B12" s="15"/>
      <c r="C12" s="78"/>
      <c r="D12" s="15"/>
      <c r="E12" s="16"/>
      <c r="F12" s="18"/>
    </row>
    <row r="13" spans="1:6" ht="24" customHeight="1" x14ac:dyDescent="0.35">
      <c r="A13" s="22" t="s">
        <v>236</v>
      </c>
    </row>
    <row r="14" spans="1:6" s="9" customFormat="1" ht="24" customHeight="1" x14ac:dyDescent="0.35">
      <c r="A14" s="28">
        <v>26</v>
      </c>
      <c r="B14" s="7" t="s">
        <v>237</v>
      </c>
      <c r="C14" s="74" t="s">
        <v>238</v>
      </c>
      <c r="D14" s="7" t="s">
        <v>57</v>
      </c>
      <c r="E14" s="8"/>
    </row>
    <row r="15" spans="1:6" ht="20.149999999999999" customHeight="1" x14ac:dyDescent="0.35">
      <c r="A15" s="10"/>
      <c r="B15" s="11" t="s">
        <v>239</v>
      </c>
      <c r="C15" s="75" t="s">
        <v>240</v>
      </c>
      <c r="D15" s="67" t="s">
        <v>135</v>
      </c>
      <c r="E15" s="12">
        <v>20</v>
      </c>
    </row>
    <row r="16" spans="1:6" ht="20.149999999999999" customHeight="1" x14ac:dyDescent="0.35">
      <c r="A16" s="10"/>
      <c r="B16" s="11" t="s">
        <v>206</v>
      </c>
      <c r="C16" s="75" t="s">
        <v>241</v>
      </c>
      <c r="D16" s="67" t="s">
        <v>207</v>
      </c>
      <c r="E16" s="12">
        <v>150</v>
      </c>
    </row>
    <row r="17" spans="1:6" ht="20.149999999999999" customHeight="1" x14ac:dyDescent="0.35">
      <c r="A17" s="10"/>
      <c r="B17" s="11" t="s">
        <v>242</v>
      </c>
      <c r="C17" s="75" t="s">
        <v>240</v>
      </c>
      <c r="D17" s="67" t="s">
        <v>213</v>
      </c>
      <c r="E17" s="12">
        <v>0</v>
      </c>
    </row>
    <row r="18" spans="1:6" ht="24" customHeight="1" thickBot="1" x14ac:dyDescent="0.4">
      <c r="A18" s="28">
        <v>27</v>
      </c>
      <c r="B18" s="87" t="s">
        <v>198</v>
      </c>
      <c r="C18" s="88"/>
      <c r="D18" s="87"/>
      <c r="E18" s="13">
        <f>SUM(E14:E17)</f>
        <v>170</v>
      </c>
    </row>
    <row r="19" spans="1:6" s="85" customFormat="1" ht="22" customHeight="1" thickTop="1" thickBot="1" x14ac:dyDescent="0.35">
      <c r="A19" s="82"/>
      <c r="B19" s="83"/>
      <c r="C19" s="84" t="s">
        <v>243</v>
      </c>
      <c r="E19" s="86"/>
    </row>
    <row r="20" spans="1:6" ht="11.15" customHeight="1" thickTop="1" x14ac:dyDescent="0.35">
      <c r="A20" s="14"/>
      <c r="B20" s="15"/>
      <c r="C20" s="78"/>
      <c r="D20" s="15"/>
      <c r="E20" s="16"/>
      <c r="F20" s="18"/>
    </row>
    <row r="21" spans="1:6" ht="24" customHeight="1" x14ac:dyDescent="0.35">
      <c r="A21" s="22" t="s">
        <v>199</v>
      </c>
    </row>
    <row r="22" spans="1:6" ht="24" customHeight="1" x14ac:dyDescent="0.35">
      <c r="A22" s="29">
        <v>21</v>
      </c>
      <c r="B22" s="11" t="s">
        <v>167</v>
      </c>
      <c r="C22" s="80"/>
      <c r="D22" s="11"/>
      <c r="E22" s="12">
        <f>Equip_In</f>
        <v>510</v>
      </c>
    </row>
    <row r="23" spans="1:6" ht="24" customHeight="1" x14ac:dyDescent="0.35">
      <c r="A23" s="29">
        <v>27</v>
      </c>
      <c r="B23" s="11" t="s">
        <v>198</v>
      </c>
      <c r="C23" s="80"/>
      <c r="D23" s="11"/>
      <c r="E23" s="12">
        <f>Equip_Out</f>
        <v>170</v>
      </c>
    </row>
    <row r="24" spans="1:6" ht="24" customHeight="1" thickBot="1" x14ac:dyDescent="0.4">
      <c r="B24" s="21" t="s">
        <v>200</v>
      </c>
      <c r="C24" s="81"/>
      <c r="D24" s="21"/>
      <c r="E24" s="17">
        <f>Equip_In - Equip_Out</f>
        <v>340</v>
      </c>
    </row>
    <row r="25" spans="1:6" ht="22" customHeight="1" thickTop="1" x14ac:dyDescent="0.35"/>
    <row r="26" spans="1:6" ht="24" customHeight="1" x14ac:dyDescent="0.35">
      <c r="A26" s="29" t="s">
        <v>209</v>
      </c>
      <c r="B26" s="11" t="s">
        <v>145</v>
      </c>
      <c r="C26" s="80"/>
      <c r="D26" s="11"/>
      <c r="E26" s="12">
        <f>Equip_Beg</f>
        <v>370</v>
      </c>
    </row>
    <row r="27" spans="1:6" ht="24" customHeight="1" x14ac:dyDescent="0.35">
      <c r="A27" s="29" t="s">
        <v>216</v>
      </c>
      <c r="B27" s="11" t="s">
        <v>146</v>
      </c>
      <c r="C27" s="80"/>
      <c r="D27" s="11"/>
      <c r="E27" s="12">
        <f>Equip_End</f>
        <v>710</v>
      </c>
    </row>
    <row r="28" spans="1:6" ht="24" customHeight="1" thickBot="1" x14ac:dyDescent="0.4">
      <c r="B28" s="21" t="s">
        <v>147</v>
      </c>
      <c r="C28" s="81"/>
      <c r="D28" s="21"/>
      <c r="E28" s="17">
        <f>Equip_End - Equip_Beg</f>
        <v>340</v>
      </c>
    </row>
    <row r="29" spans="1:6" ht="22" customHeight="1" thickTop="1" x14ac:dyDescent="0.35"/>
    <row r="30" spans="1:6" ht="22" customHeight="1" x14ac:dyDescent="0.35"/>
    <row r="31" spans="1:6" ht="22" customHeight="1" x14ac:dyDescent="0.35"/>
    <row r="32" spans="1:6" ht="22" customHeight="1" x14ac:dyDescent="0.35"/>
    <row r="33" ht="22" customHeight="1" x14ac:dyDescent="0.35"/>
    <row r="34" ht="22" customHeight="1" x14ac:dyDescent="0.35"/>
    <row r="35" ht="22" customHeight="1" x14ac:dyDescent="0.35"/>
    <row r="36" ht="22" customHeight="1" x14ac:dyDescent="0.35"/>
    <row r="37" ht="22" customHeight="1" x14ac:dyDescent="0.35"/>
    <row r="38" ht="22" customHeight="1" x14ac:dyDescent="0.35"/>
    <row r="39" ht="22" customHeight="1" x14ac:dyDescent="0.35"/>
    <row r="40" ht="22" customHeight="1" x14ac:dyDescent="0.35"/>
    <row r="41" ht="22" customHeight="1" x14ac:dyDescent="0.35"/>
    <row r="42" ht="22" customHeight="1" x14ac:dyDescent="0.35"/>
    <row r="43" ht="22" customHeight="1" x14ac:dyDescent="0.35"/>
    <row r="44" ht="22" customHeight="1" x14ac:dyDescent="0.35"/>
    <row r="45" ht="22" customHeight="1" x14ac:dyDescent="0.35"/>
    <row r="46" ht="22" customHeight="1" x14ac:dyDescent="0.35"/>
    <row r="47" ht="22" customHeight="1" x14ac:dyDescent="0.35"/>
    <row r="48" ht="22" customHeight="1" x14ac:dyDescent="0.35"/>
  </sheetData>
  <pageMargins left="1.2" right="1" top="0.5" bottom="1" header="0.5" footer="0.5"/>
  <pageSetup orientation="portrait" blackAndWhite="1" r:id="rId1"/>
  <headerFooter alignWithMargins="0"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zoomScale="75" workbookViewId="0">
      <selection activeCell="B7" sqref="B7"/>
    </sheetView>
  </sheetViews>
  <sheetFormatPr defaultColWidth="9" defaultRowHeight="15.5" x14ac:dyDescent="0.35"/>
  <cols>
    <col min="1" max="1" width="5.5" style="4" customWidth="1"/>
    <col min="2" max="2" width="38.58203125" style="5" customWidth="1"/>
    <col min="3" max="3" width="6.58203125" style="73" customWidth="1"/>
    <col min="4" max="4" width="6.58203125" style="65" customWidth="1"/>
    <col min="5" max="5" width="12.58203125" style="6" customWidth="1"/>
    <col min="6" max="6" width="4.33203125" style="1" customWidth="1"/>
    <col min="7" max="7" width="10.08203125" style="1" customWidth="1"/>
    <col min="8" max="16384" width="9" style="1"/>
  </cols>
  <sheetData>
    <row r="1" spans="1:6" s="2" customFormat="1" ht="22" customHeight="1" x14ac:dyDescent="0.4">
      <c r="A1" s="19" t="s">
        <v>244</v>
      </c>
      <c r="C1" s="70"/>
      <c r="D1" s="62"/>
      <c r="E1" s="26"/>
    </row>
    <row r="2" spans="1:6" s="2" customFormat="1" ht="23.25" customHeight="1" x14ac:dyDescent="0.4">
      <c r="A2" s="19" t="s">
        <v>54</v>
      </c>
      <c r="C2" s="70"/>
      <c r="D2" s="62"/>
      <c r="E2" s="27">
        <f>Year</f>
        <v>1997</v>
      </c>
    </row>
    <row r="3" spans="1:6" ht="15.75" customHeight="1" thickBot="1" x14ac:dyDescent="0.4">
      <c r="A3" s="23"/>
      <c r="B3" s="24"/>
      <c r="C3" s="71"/>
      <c r="D3" s="63"/>
      <c r="E3" s="23"/>
      <c r="F3" s="25"/>
    </row>
    <row r="4" spans="1:6" ht="11.15" customHeight="1" thickTop="1" x14ac:dyDescent="0.35">
      <c r="A4" s="14"/>
      <c r="B4" s="15"/>
      <c r="C4" s="72"/>
      <c r="D4" s="64"/>
      <c r="E4" s="16"/>
      <c r="F4" s="18"/>
    </row>
    <row r="5" spans="1:6" ht="24" customHeight="1" x14ac:dyDescent="0.35">
      <c r="A5" s="22" t="str">
        <f>"BEGINNING YEAR (BALANCE ON 1 JAN "&amp;Year&amp;")"</f>
        <v>BEGINNING YEAR (BALANCE ON 1 JAN 1997)</v>
      </c>
    </row>
    <row r="6" spans="1:6" s="9" customFormat="1" ht="24" customHeight="1" x14ac:dyDescent="0.35">
      <c r="A6" s="28">
        <v>19</v>
      </c>
      <c r="B6" s="7" t="s">
        <v>245</v>
      </c>
      <c r="C6" s="74" t="s">
        <v>246</v>
      </c>
      <c r="D6" s="69" t="s">
        <v>57</v>
      </c>
      <c r="E6" s="8"/>
      <c r="F6" s="99" t="s">
        <v>203</v>
      </c>
    </row>
    <row r="7" spans="1:6" ht="20.149999999999999" customHeight="1" x14ac:dyDescent="0.35">
      <c r="A7" s="10"/>
      <c r="B7" s="11" t="s">
        <v>247</v>
      </c>
      <c r="C7" s="75">
        <v>8</v>
      </c>
      <c r="D7" s="67" t="s">
        <v>79</v>
      </c>
      <c r="E7" s="12">
        <v>46</v>
      </c>
      <c r="F7" s="75" t="s">
        <v>205</v>
      </c>
    </row>
    <row r="8" spans="1:6" s="9" customFormat="1" ht="24" customHeight="1" x14ac:dyDescent="0.35">
      <c r="A8" s="28">
        <v>22</v>
      </c>
      <c r="B8" s="7" t="s">
        <v>248</v>
      </c>
      <c r="C8" s="74"/>
      <c r="D8" s="69"/>
      <c r="E8" s="8"/>
    </row>
    <row r="9" spans="1:6" ht="20.149999999999999" customHeight="1" x14ac:dyDescent="0.35">
      <c r="A9" s="10"/>
      <c r="B9" s="11" t="str">
        <f t="shared" ref="B9:B11" si="0">"Total from "&amp;Year-1&amp;" Inventory Balance Sheet"</f>
        <v>Total from 1996 Inventory Balance Sheet</v>
      </c>
      <c r="C9" s="75"/>
      <c r="D9" s="67" t="s">
        <v>249</v>
      </c>
      <c r="E9" s="12">
        <v>24</v>
      </c>
      <c r="F9" s="75"/>
    </row>
    <row r="10" spans="1:6" ht="20.149999999999999" customHeight="1" x14ac:dyDescent="0.35">
      <c r="A10" s="10"/>
      <c r="B10" s="11" t="str">
        <f t="shared" si="0"/>
        <v>Total from 1996 Inventory Balance Sheet</v>
      </c>
      <c r="C10" s="75"/>
      <c r="D10" s="67" t="s">
        <v>170</v>
      </c>
      <c r="E10" s="12">
        <v>39.6</v>
      </c>
      <c r="F10" s="75"/>
    </row>
    <row r="11" spans="1:6" ht="20.149999999999999" customHeight="1" x14ac:dyDescent="0.35">
      <c r="A11" s="10"/>
      <c r="B11" s="11" t="str">
        <f t="shared" si="0"/>
        <v>Total from 1996 Inventory Balance Sheet</v>
      </c>
      <c r="C11" s="75"/>
      <c r="D11" s="67" t="s">
        <v>123</v>
      </c>
      <c r="E11" s="12">
        <v>85.78</v>
      </c>
      <c r="F11" s="75"/>
    </row>
    <row r="12" spans="1:6" s="9" customFormat="1" ht="24" customHeight="1" x14ac:dyDescent="0.35">
      <c r="A12" s="28">
        <v>26</v>
      </c>
      <c r="B12" s="7" t="s">
        <v>250</v>
      </c>
      <c r="C12" s="74"/>
      <c r="D12" s="69"/>
      <c r="E12" s="8"/>
    </row>
    <row r="13" spans="1:6" ht="20.149999999999999" customHeight="1" x14ac:dyDescent="0.35">
      <c r="A13" s="10"/>
      <c r="B13" s="11" t="s">
        <v>251</v>
      </c>
      <c r="C13" s="75">
        <v>60</v>
      </c>
      <c r="D13" s="67" t="s">
        <v>252</v>
      </c>
      <c r="E13" s="12">
        <v>9.7200000000000006</v>
      </c>
      <c r="F13" s="75" t="s">
        <v>205</v>
      </c>
    </row>
    <row r="14" spans="1:6" s="9" customFormat="1" ht="24" customHeight="1" x14ac:dyDescent="0.35">
      <c r="A14" s="28">
        <v>26</v>
      </c>
      <c r="B14" s="7" t="s">
        <v>253</v>
      </c>
      <c r="C14" s="74"/>
      <c r="D14" s="69"/>
      <c r="E14" s="8"/>
    </row>
    <row r="15" spans="1:6" ht="20.149999999999999" customHeight="1" x14ac:dyDescent="0.35">
      <c r="A15" s="10"/>
      <c r="B15" s="11" t="str">
        <f t="shared" ref="B15:B16" si="1">"Total from "&amp;Year-1&amp;" Inventory Balance Sheet"</f>
        <v>Total from 1996 Inventory Balance Sheet</v>
      </c>
      <c r="C15" s="75"/>
      <c r="D15" s="67" t="s">
        <v>254</v>
      </c>
      <c r="E15" s="12">
        <v>81.3</v>
      </c>
      <c r="F15" s="75"/>
    </row>
    <row r="16" spans="1:6" ht="20.149999999999999" customHeight="1" x14ac:dyDescent="0.35">
      <c r="A16" s="10"/>
      <c r="B16" s="11" t="str">
        <f t="shared" si="1"/>
        <v>Total from 1996 Inventory Balance Sheet</v>
      </c>
      <c r="C16" s="75"/>
      <c r="D16" s="67" t="s">
        <v>113</v>
      </c>
      <c r="E16" s="12">
        <v>264.54000000000002</v>
      </c>
      <c r="F16" s="75"/>
    </row>
    <row r="17" spans="1:8" s="9" customFormat="1" ht="24" customHeight="1" x14ac:dyDescent="0.35">
      <c r="A17" s="28">
        <v>26</v>
      </c>
      <c r="B17" s="7" t="s">
        <v>255</v>
      </c>
      <c r="C17" s="74"/>
      <c r="D17" s="69"/>
      <c r="E17" s="8"/>
    </row>
    <row r="18" spans="1:8" ht="20.149999999999999" customHeight="1" x14ac:dyDescent="0.35">
      <c r="A18" s="10"/>
      <c r="B18" s="11" t="s">
        <v>256</v>
      </c>
      <c r="C18" s="75">
        <v>500</v>
      </c>
      <c r="D18" s="67" t="s">
        <v>249</v>
      </c>
      <c r="E18" s="12">
        <v>22.5</v>
      </c>
      <c r="F18" s="75" t="s">
        <v>205</v>
      </c>
    </row>
    <row r="19" spans="1:8" ht="20.149999999999999" customHeight="1" x14ac:dyDescent="0.35">
      <c r="A19" s="10"/>
      <c r="B19" s="11" t="s">
        <v>257</v>
      </c>
      <c r="C19" s="75">
        <v>1</v>
      </c>
      <c r="D19" s="67" t="s">
        <v>170</v>
      </c>
      <c r="E19" s="12">
        <v>4.42</v>
      </c>
      <c r="F19" s="75" t="s">
        <v>205</v>
      </c>
    </row>
    <row r="20" spans="1:8" ht="20.149999999999999" customHeight="1" x14ac:dyDescent="0.35">
      <c r="A20" s="10"/>
      <c r="B20" s="11" t="str">
        <f>"Total from "&amp;Year-1&amp;" Inventory Balance Sheet"</f>
        <v>Total from 1996 Inventory Balance Sheet</v>
      </c>
      <c r="C20" s="75"/>
      <c r="D20" s="67" t="s">
        <v>123</v>
      </c>
      <c r="E20" s="12">
        <v>30.02</v>
      </c>
      <c r="F20" s="75"/>
    </row>
    <row r="21" spans="1:8" ht="20.149999999999999" customHeight="1" x14ac:dyDescent="0.35">
      <c r="A21" s="10"/>
      <c r="B21" s="11" t="s">
        <v>258</v>
      </c>
      <c r="C21" s="75">
        <v>1</v>
      </c>
      <c r="D21" s="67" t="s">
        <v>259</v>
      </c>
      <c r="E21" s="12">
        <v>16.190000000000001</v>
      </c>
      <c r="F21" s="75" t="s">
        <v>205</v>
      </c>
    </row>
    <row r="22" spans="1:8" ht="20.149999999999999" customHeight="1" x14ac:dyDescent="0.35">
      <c r="A22" s="28">
        <v>26</v>
      </c>
      <c r="B22" s="7" t="s">
        <v>260</v>
      </c>
      <c r="C22" s="74"/>
      <c r="D22" s="69"/>
      <c r="E22" s="8"/>
      <c r="F22" s="71"/>
    </row>
    <row r="23" spans="1:8" ht="20.149999999999999" customHeight="1" x14ac:dyDescent="0.35">
      <c r="A23" s="10"/>
      <c r="B23" s="11" t="str">
        <f>"Total from "&amp;Year-1&amp;" Inventory Balance Sheet"</f>
        <v>Total from 1996 Inventory Balance Sheet</v>
      </c>
      <c r="C23" s="75"/>
      <c r="D23" s="67" t="s">
        <v>133</v>
      </c>
      <c r="E23" s="12">
        <v>30.72</v>
      </c>
      <c r="F23" s="75"/>
    </row>
    <row r="24" spans="1:8" ht="24" customHeight="1" thickBot="1" x14ac:dyDescent="0.4">
      <c r="A24" s="28" t="s">
        <v>261</v>
      </c>
      <c r="B24" s="20" t="s">
        <v>143</v>
      </c>
      <c r="E24" s="13">
        <f>SUM(E6:E23)</f>
        <v>654.79000000000008</v>
      </c>
    </row>
    <row r="25" spans="1:8" ht="22" customHeight="1" thickTop="1" thickBot="1" x14ac:dyDescent="0.4"/>
    <row r="26" spans="1:8" ht="11.15" customHeight="1" thickTop="1" x14ac:dyDescent="0.35">
      <c r="A26" s="14"/>
      <c r="B26" s="15"/>
      <c r="C26" s="72"/>
      <c r="D26" s="64"/>
      <c r="E26" s="16"/>
      <c r="F26" s="18"/>
    </row>
    <row r="27" spans="1:8" ht="24" customHeight="1" x14ac:dyDescent="0.35">
      <c r="A27" s="22" t="str">
        <f>"ENDING YEAR (BALANCE ON 31 DEC "&amp;Year&amp;")"</f>
        <v>ENDING YEAR (BALANCE ON 31 DEC 1997)</v>
      </c>
    </row>
    <row r="28" spans="1:8" s="9" customFormat="1" ht="24" customHeight="1" x14ac:dyDescent="0.35">
      <c r="A28" s="28">
        <v>19</v>
      </c>
      <c r="B28" s="7" t="s">
        <v>245</v>
      </c>
      <c r="C28" s="74" t="s">
        <v>246</v>
      </c>
      <c r="D28" s="69" t="s">
        <v>57</v>
      </c>
      <c r="E28" s="8"/>
      <c r="F28" s="99" t="s">
        <v>203</v>
      </c>
    </row>
    <row r="29" spans="1:8" ht="20.149999999999999" customHeight="1" x14ac:dyDescent="0.35">
      <c r="A29" s="10"/>
      <c r="B29" s="11" t="s">
        <v>247</v>
      </c>
      <c r="C29" s="75">
        <v>8</v>
      </c>
      <c r="D29" s="67" t="s">
        <v>79</v>
      </c>
      <c r="E29" s="12">
        <v>40</v>
      </c>
      <c r="F29" s="75" t="s">
        <v>205</v>
      </c>
    </row>
    <row r="30" spans="1:8" s="9" customFormat="1" ht="24" customHeight="1" x14ac:dyDescent="0.35">
      <c r="A30" s="28">
        <v>22</v>
      </c>
      <c r="B30" s="7" t="s">
        <v>248</v>
      </c>
      <c r="C30" s="74"/>
      <c r="D30" s="69"/>
      <c r="E30" s="8"/>
      <c r="F30" s="99"/>
    </row>
    <row r="31" spans="1:8" ht="20.149999999999999" customHeight="1" x14ac:dyDescent="0.35">
      <c r="A31" s="10"/>
      <c r="B31" s="11" t="s">
        <v>262</v>
      </c>
      <c r="C31" s="75">
        <v>30</v>
      </c>
      <c r="D31" s="67" t="s">
        <v>249</v>
      </c>
      <c r="E31" s="12">
        <v>3</v>
      </c>
      <c r="F31" s="75" t="s">
        <v>205</v>
      </c>
      <c r="G31" s="6"/>
    </row>
    <row r="32" spans="1:8" ht="20.149999999999999" customHeight="1" x14ac:dyDescent="0.35">
      <c r="A32" s="10"/>
      <c r="B32" s="11" t="s">
        <v>263</v>
      </c>
      <c r="C32" s="75">
        <v>290</v>
      </c>
      <c r="D32" s="67" t="s">
        <v>249</v>
      </c>
      <c r="E32" s="12">
        <v>12.76</v>
      </c>
      <c r="F32" s="75" t="s">
        <v>205</v>
      </c>
      <c r="H32" s="6"/>
    </row>
    <row r="33" spans="1:8" ht="20.149999999999999" customHeight="1" x14ac:dyDescent="0.35">
      <c r="A33" s="10"/>
      <c r="B33" s="11" t="s">
        <v>264</v>
      </c>
      <c r="C33" s="75">
        <v>283</v>
      </c>
      <c r="D33" s="67" t="s">
        <v>249</v>
      </c>
      <c r="E33" s="12">
        <v>15.28</v>
      </c>
      <c r="F33" s="75" t="s">
        <v>205</v>
      </c>
      <c r="H33" s="6"/>
    </row>
    <row r="34" spans="1:8" ht="20.149999999999999" customHeight="1" x14ac:dyDescent="0.35">
      <c r="A34" s="10"/>
      <c r="B34" s="11" t="s">
        <v>265</v>
      </c>
      <c r="C34" s="75">
        <v>2</v>
      </c>
      <c r="D34" s="67" t="s">
        <v>170</v>
      </c>
      <c r="E34" s="12">
        <v>8</v>
      </c>
      <c r="F34" s="75" t="s">
        <v>205</v>
      </c>
    </row>
    <row r="35" spans="1:8" ht="20.149999999999999" customHeight="1" x14ac:dyDescent="0.35">
      <c r="A35" s="10"/>
      <c r="B35" s="11" t="s">
        <v>266</v>
      </c>
      <c r="C35" s="75">
        <v>1</v>
      </c>
      <c r="D35" s="67" t="s">
        <v>170</v>
      </c>
      <c r="E35" s="12">
        <v>2</v>
      </c>
      <c r="F35" s="75" t="s">
        <v>205</v>
      </c>
    </row>
    <row r="36" spans="1:8" ht="20.149999999999999" customHeight="1" x14ac:dyDescent="0.35">
      <c r="A36" s="10"/>
      <c r="B36" s="11" t="s">
        <v>257</v>
      </c>
      <c r="C36" s="75">
        <v>2</v>
      </c>
      <c r="D36" s="67" t="s">
        <v>170</v>
      </c>
      <c r="E36" s="12">
        <v>6.46</v>
      </c>
      <c r="F36" s="75" t="s">
        <v>205</v>
      </c>
    </row>
    <row r="37" spans="1:8" ht="20.149999999999999" customHeight="1" x14ac:dyDescent="0.35">
      <c r="A37" s="10"/>
      <c r="B37" s="11" t="s">
        <v>267</v>
      </c>
      <c r="C37" s="75">
        <v>1</v>
      </c>
      <c r="D37" s="67" t="s">
        <v>170</v>
      </c>
      <c r="E37" s="12">
        <v>10</v>
      </c>
      <c r="F37" s="75" t="s">
        <v>205</v>
      </c>
    </row>
    <row r="38" spans="1:8" ht="20.149999999999999" customHeight="1" x14ac:dyDescent="0.35">
      <c r="A38" s="10"/>
      <c r="B38" s="11" t="s">
        <v>268</v>
      </c>
      <c r="C38" s="75">
        <v>3</v>
      </c>
      <c r="D38" s="67" t="s">
        <v>170</v>
      </c>
      <c r="E38" s="12">
        <v>1.05</v>
      </c>
      <c r="F38" s="75" t="s">
        <v>205</v>
      </c>
    </row>
    <row r="39" spans="1:8" ht="20.149999999999999" customHeight="1" x14ac:dyDescent="0.35">
      <c r="A39" s="10"/>
      <c r="B39" s="11" t="s">
        <v>269</v>
      </c>
      <c r="C39" s="75">
        <v>12</v>
      </c>
      <c r="D39" s="67" t="s">
        <v>170</v>
      </c>
      <c r="E39" s="12">
        <v>2.2000000000000002</v>
      </c>
      <c r="F39" s="75" t="s">
        <v>205</v>
      </c>
    </row>
    <row r="40" spans="1:8" ht="20.149999999999999" customHeight="1" x14ac:dyDescent="0.35">
      <c r="A40" s="10"/>
      <c r="B40" s="11" t="s">
        <v>270</v>
      </c>
      <c r="C40" s="75">
        <v>4</v>
      </c>
      <c r="D40" s="67" t="s">
        <v>170</v>
      </c>
      <c r="E40" s="12">
        <v>0.48</v>
      </c>
      <c r="F40" s="75" t="s">
        <v>205</v>
      </c>
    </row>
    <row r="41" spans="1:8" ht="20.149999999999999" customHeight="1" x14ac:dyDescent="0.35">
      <c r="A41" s="10"/>
      <c r="B41" s="11" t="s">
        <v>271</v>
      </c>
      <c r="C41" s="75">
        <v>0.5</v>
      </c>
      <c r="D41" s="67" t="s">
        <v>170</v>
      </c>
      <c r="E41" s="12">
        <v>0.75</v>
      </c>
      <c r="F41" s="75" t="s">
        <v>205</v>
      </c>
    </row>
    <row r="42" spans="1:8" ht="20.149999999999999" customHeight="1" x14ac:dyDescent="0.35">
      <c r="A42" s="10"/>
      <c r="B42" s="11" t="s">
        <v>272</v>
      </c>
      <c r="C42" s="75">
        <v>0.5</v>
      </c>
      <c r="D42" s="67" t="s">
        <v>178</v>
      </c>
      <c r="E42" s="12">
        <v>17.809999999999999</v>
      </c>
      <c r="F42" s="75" t="s">
        <v>211</v>
      </c>
    </row>
    <row r="43" spans="1:8" ht="20.149999999999999" customHeight="1" x14ac:dyDescent="0.35">
      <c r="A43" s="10"/>
      <c r="B43" s="11" t="s">
        <v>273</v>
      </c>
      <c r="C43" s="75">
        <v>474</v>
      </c>
      <c r="D43" s="67" t="s">
        <v>123</v>
      </c>
      <c r="E43" s="12">
        <v>53.09</v>
      </c>
      <c r="F43" s="75" t="s">
        <v>274</v>
      </c>
      <c r="H43" s="6"/>
    </row>
    <row r="44" spans="1:8" ht="20.149999999999999" customHeight="1" x14ac:dyDescent="0.35">
      <c r="A44" s="10"/>
      <c r="B44" s="11" t="s">
        <v>275</v>
      </c>
      <c r="C44" s="75">
        <v>1.1000000000000001</v>
      </c>
      <c r="D44" s="67" t="s">
        <v>123</v>
      </c>
      <c r="E44" s="12">
        <v>4.57</v>
      </c>
      <c r="F44" s="75" t="s">
        <v>274</v>
      </c>
      <c r="H44" s="6"/>
    </row>
    <row r="45" spans="1:8" ht="20.149999999999999" customHeight="1" x14ac:dyDescent="0.35">
      <c r="A45" s="10"/>
      <c r="B45" s="11" t="s">
        <v>276</v>
      </c>
      <c r="C45" s="75">
        <v>1</v>
      </c>
      <c r="D45" s="67" t="s">
        <v>123</v>
      </c>
      <c r="E45" s="12">
        <v>14</v>
      </c>
      <c r="F45" s="75" t="s">
        <v>205</v>
      </c>
    </row>
    <row r="46" spans="1:8" s="9" customFormat="1" ht="20.149999999999999" customHeight="1" x14ac:dyDescent="0.35">
      <c r="A46" s="10"/>
      <c r="B46" s="11" t="s">
        <v>277</v>
      </c>
      <c r="C46" s="75">
        <v>1</v>
      </c>
      <c r="D46" s="67" t="s">
        <v>123</v>
      </c>
      <c r="E46" s="12">
        <v>10</v>
      </c>
      <c r="F46" s="75" t="s">
        <v>205</v>
      </c>
    </row>
    <row r="47" spans="1:8" ht="24" customHeight="1" x14ac:dyDescent="0.35">
      <c r="A47" s="28">
        <v>26</v>
      </c>
      <c r="B47" s="7" t="s">
        <v>250</v>
      </c>
      <c r="C47" s="74"/>
      <c r="D47" s="69"/>
      <c r="E47" s="8"/>
      <c r="F47" s="9"/>
    </row>
    <row r="48" spans="1:8" s="9" customFormat="1" ht="20.149999999999999" customHeight="1" x14ac:dyDescent="0.35">
      <c r="A48" s="10"/>
      <c r="B48" s="11" t="s">
        <v>278</v>
      </c>
      <c r="C48" s="75">
        <v>31</v>
      </c>
      <c r="D48" s="67" t="s">
        <v>99</v>
      </c>
      <c r="E48" s="12">
        <v>31</v>
      </c>
      <c r="F48" s="75" t="s">
        <v>205</v>
      </c>
      <c r="G48" s="8"/>
    </row>
    <row r="49" spans="1:8" ht="24" customHeight="1" x14ac:dyDescent="0.35">
      <c r="A49" s="28">
        <v>26</v>
      </c>
      <c r="B49" s="7" t="s">
        <v>279</v>
      </c>
      <c r="C49" s="74"/>
      <c r="D49" s="69"/>
      <c r="E49" s="8"/>
      <c r="F49" s="99"/>
    </row>
    <row r="50" spans="1:8" s="9" customFormat="1" ht="20.149999999999999" customHeight="1" x14ac:dyDescent="0.35">
      <c r="A50" s="10"/>
      <c r="B50" s="11" t="s">
        <v>280</v>
      </c>
      <c r="C50" s="75">
        <v>4</v>
      </c>
      <c r="D50" s="67" t="s">
        <v>107</v>
      </c>
      <c r="E50" s="12">
        <v>1.44</v>
      </c>
      <c r="F50" s="75" t="s">
        <v>205</v>
      </c>
      <c r="G50" s="8"/>
    </row>
    <row r="51" spans="1:8" ht="24" customHeight="1" x14ac:dyDescent="0.35">
      <c r="A51" s="28">
        <v>26</v>
      </c>
      <c r="B51" s="7" t="s">
        <v>253</v>
      </c>
      <c r="C51" s="74" t="s">
        <v>246</v>
      </c>
      <c r="D51" s="69" t="s">
        <v>57</v>
      </c>
      <c r="E51" s="8"/>
      <c r="F51" s="99" t="s">
        <v>203</v>
      </c>
    </row>
    <row r="52" spans="1:8" ht="20.149999999999999" customHeight="1" x14ac:dyDescent="0.35">
      <c r="A52" s="10"/>
      <c r="B52" s="11" t="s">
        <v>281</v>
      </c>
      <c r="C52" s="75">
        <v>390</v>
      </c>
      <c r="D52" s="67" t="s">
        <v>254</v>
      </c>
      <c r="E52" s="12">
        <v>36.299999999999997</v>
      </c>
      <c r="F52" s="75" t="s">
        <v>205</v>
      </c>
    </row>
    <row r="53" spans="1:8" ht="20.149999999999999" customHeight="1" x14ac:dyDescent="0.35">
      <c r="A53" s="10"/>
      <c r="B53" s="11" t="s">
        <v>282</v>
      </c>
      <c r="C53" s="75">
        <v>50</v>
      </c>
      <c r="D53" s="67" t="s">
        <v>254</v>
      </c>
      <c r="E53" s="12">
        <v>45</v>
      </c>
      <c r="F53" s="75" t="s">
        <v>205</v>
      </c>
      <c r="H53" s="6"/>
    </row>
    <row r="54" spans="1:8" ht="20.149999999999999" customHeight="1" x14ac:dyDescent="0.35">
      <c r="A54" s="10"/>
      <c r="B54" s="11" t="s">
        <v>283</v>
      </c>
      <c r="C54" s="75">
        <v>2</v>
      </c>
      <c r="D54" s="67" t="s">
        <v>113</v>
      </c>
      <c r="E54" s="12">
        <v>5.0999999999999996</v>
      </c>
      <c r="F54" s="75" t="s">
        <v>205</v>
      </c>
    </row>
    <row r="55" spans="1:8" ht="20.149999999999999" customHeight="1" x14ac:dyDescent="0.35">
      <c r="A55" s="10"/>
      <c r="B55" s="11" t="s">
        <v>284</v>
      </c>
      <c r="C55" s="75">
        <v>12</v>
      </c>
      <c r="D55" s="67" t="s">
        <v>113</v>
      </c>
      <c r="E55" s="12">
        <v>7.97</v>
      </c>
      <c r="F55" s="75" t="s">
        <v>205</v>
      </c>
    </row>
    <row r="56" spans="1:8" ht="20.149999999999999" customHeight="1" x14ac:dyDescent="0.35">
      <c r="A56" s="10"/>
      <c r="B56" s="11" t="s">
        <v>285</v>
      </c>
      <c r="C56" s="75">
        <v>1</v>
      </c>
      <c r="D56" s="67" t="s">
        <v>113</v>
      </c>
      <c r="E56" s="12">
        <v>2.1</v>
      </c>
      <c r="F56" s="75" t="s">
        <v>205</v>
      </c>
    </row>
    <row r="57" spans="1:8" ht="20.149999999999999" customHeight="1" x14ac:dyDescent="0.35">
      <c r="A57" s="10"/>
      <c r="B57" s="11" t="s">
        <v>286</v>
      </c>
      <c r="C57" s="75">
        <v>9</v>
      </c>
      <c r="D57" s="67" t="s">
        <v>113</v>
      </c>
      <c r="E57" s="12">
        <v>3.6</v>
      </c>
      <c r="F57" s="75" t="s">
        <v>205</v>
      </c>
      <c r="G57" s="6"/>
      <c r="H57"/>
    </row>
    <row r="58" spans="1:8" ht="20.149999999999999" customHeight="1" x14ac:dyDescent="0.35">
      <c r="A58" s="10"/>
      <c r="B58" s="11" t="s">
        <v>287</v>
      </c>
      <c r="C58" s="75">
        <v>4</v>
      </c>
      <c r="D58" s="67" t="s">
        <v>113</v>
      </c>
      <c r="E58" s="12">
        <v>4</v>
      </c>
      <c r="F58" s="75" t="s">
        <v>205</v>
      </c>
      <c r="G58" s="6"/>
    </row>
    <row r="59" spans="1:8" ht="20.149999999999999" customHeight="1" x14ac:dyDescent="0.35">
      <c r="A59" s="10"/>
      <c r="B59" s="11" t="s">
        <v>288</v>
      </c>
      <c r="C59" s="75">
        <v>1</v>
      </c>
      <c r="D59" s="67" t="s">
        <v>113</v>
      </c>
      <c r="E59" s="12">
        <v>27</v>
      </c>
      <c r="F59" s="75" t="s">
        <v>205</v>
      </c>
      <c r="G59" s="6"/>
    </row>
    <row r="60" spans="1:8" ht="20.149999999999999" customHeight="1" x14ac:dyDescent="0.35">
      <c r="A60" s="10"/>
      <c r="B60" s="11" t="s">
        <v>289</v>
      </c>
      <c r="C60" s="75">
        <v>2</v>
      </c>
      <c r="D60" s="67" t="s">
        <v>113</v>
      </c>
      <c r="E60" s="12">
        <v>26</v>
      </c>
      <c r="F60" s="75" t="s">
        <v>205</v>
      </c>
    </row>
    <row r="61" spans="1:8" ht="20.149999999999999" customHeight="1" x14ac:dyDescent="0.35">
      <c r="A61" s="10"/>
      <c r="B61" s="11" t="s">
        <v>290</v>
      </c>
      <c r="C61" s="75">
        <v>3</v>
      </c>
      <c r="D61" s="67" t="s">
        <v>113</v>
      </c>
      <c r="E61" s="12">
        <v>50</v>
      </c>
      <c r="F61" s="75" t="s">
        <v>205</v>
      </c>
    </row>
    <row r="62" spans="1:8" ht="20.149999999999999" customHeight="1" x14ac:dyDescent="0.35">
      <c r="A62" s="10"/>
      <c r="B62" s="11" t="s">
        <v>291</v>
      </c>
      <c r="C62" s="75">
        <v>1</v>
      </c>
      <c r="D62" s="67" t="s">
        <v>113</v>
      </c>
      <c r="E62" s="12">
        <v>60</v>
      </c>
      <c r="F62" s="75" t="s">
        <v>205</v>
      </c>
    </row>
    <row r="63" spans="1:8" ht="20.149999999999999" customHeight="1" x14ac:dyDescent="0.35">
      <c r="A63" s="10"/>
      <c r="B63" s="11" t="s">
        <v>292</v>
      </c>
      <c r="C63" s="75">
        <v>0.75</v>
      </c>
      <c r="D63" s="67" t="s">
        <v>113</v>
      </c>
      <c r="E63" s="12">
        <v>2</v>
      </c>
      <c r="F63" s="75" t="s">
        <v>205</v>
      </c>
    </row>
    <row r="64" spans="1:8" ht="24" customHeight="1" x14ac:dyDescent="0.35">
      <c r="A64" s="28">
        <v>26</v>
      </c>
      <c r="B64" s="7" t="s">
        <v>293</v>
      </c>
      <c r="C64" s="74"/>
      <c r="D64" s="69"/>
      <c r="E64" s="8"/>
      <c r="F64" s="99"/>
    </row>
    <row r="65" spans="1:7" s="9" customFormat="1" ht="20.149999999999999" customHeight="1" x14ac:dyDescent="0.35">
      <c r="A65" s="10"/>
      <c r="B65" s="11" t="s">
        <v>294</v>
      </c>
      <c r="C65" s="75">
        <f>3+12+28+23+1</f>
        <v>67</v>
      </c>
      <c r="D65" s="67" t="s">
        <v>74</v>
      </c>
      <c r="E65" s="12">
        <f>15.55+46.65+108.85+89.41</f>
        <v>260.46000000000004</v>
      </c>
      <c r="F65" s="75" t="s">
        <v>205</v>
      </c>
      <c r="G65" s="8"/>
    </row>
    <row r="66" spans="1:7" ht="24" customHeight="1" x14ac:dyDescent="0.35">
      <c r="A66" s="28">
        <v>26</v>
      </c>
      <c r="B66" s="7" t="s">
        <v>255</v>
      </c>
      <c r="C66" s="74" t="s">
        <v>246</v>
      </c>
      <c r="D66" s="69" t="s">
        <v>57</v>
      </c>
      <c r="E66" s="8"/>
      <c r="F66" s="99" t="s">
        <v>203</v>
      </c>
    </row>
    <row r="67" spans="1:7" ht="20.149999999999999" customHeight="1" x14ac:dyDescent="0.35">
      <c r="A67" s="10"/>
      <c r="B67" s="11" t="s">
        <v>256</v>
      </c>
      <c r="C67" s="75">
        <v>500</v>
      </c>
      <c r="D67" s="67" t="s">
        <v>249</v>
      </c>
      <c r="E67" s="12">
        <v>22.5</v>
      </c>
      <c r="F67" s="75" t="s">
        <v>205</v>
      </c>
    </row>
    <row r="68" spans="1:7" ht="20.149999999999999" customHeight="1" x14ac:dyDescent="0.35">
      <c r="A68" s="10"/>
      <c r="B68" s="11" t="s">
        <v>257</v>
      </c>
      <c r="C68" s="75">
        <v>1</v>
      </c>
      <c r="D68" s="67" t="s">
        <v>170</v>
      </c>
      <c r="E68" s="12">
        <v>4.42</v>
      </c>
      <c r="F68" s="75" t="s">
        <v>205</v>
      </c>
    </row>
    <row r="69" spans="1:7" ht="20.149999999999999" customHeight="1" x14ac:dyDescent="0.35">
      <c r="A69" s="10"/>
      <c r="B69" s="11" t="s">
        <v>295</v>
      </c>
      <c r="C69" s="75">
        <v>155</v>
      </c>
      <c r="D69" s="67" t="s">
        <v>123</v>
      </c>
      <c r="E69" s="12">
        <v>17.36</v>
      </c>
      <c r="F69" s="75" t="s">
        <v>274</v>
      </c>
    </row>
    <row r="70" spans="1:7" s="9" customFormat="1" ht="20.149999999999999" customHeight="1" x14ac:dyDescent="0.35">
      <c r="A70" s="10"/>
      <c r="B70" s="11" t="s">
        <v>296</v>
      </c>
      <c r="C70" s="75">
        <v>1.4</v>
      </c>
      <c r="D70" s="67" t="s">
        <v>123</v>
      </c>
      <c r="E70" s="12">
        <v>5.81</v>
      </c>
      <c r="F70" s="75" t="s">
        <v>274</v>
      </c>
    </row>
    <row r="71" spans="1:7" ht="20.149999999999999" customHeight="1" x14ac:dyDescent="0.35">
      <c r="A71" s="10"/>
      <c r="B71" s="11" t="s">
        <v>258</v>
      </c>
      <c r="C71" s="75">
        <v>2</v>
      </c>
      <c r="D71" s="67" t="s">
        <v>259</v>
      </c>
      <c r="E71" s="12">
        <f>16.19 + 14.03</f>
        <v>30.22</v>
      </c>
      <c r="F71" s="75" t="s">
        <v>211</v>
      </c>
    </row>
    <row r="72" spans="1:7" ht="24" customHeight="1" x14ac:dyDescent="0.35">
      <c r="A72" s="28">
        <v>26</v>
      </c>
      <c r="B72" s="7" t="s">
        <v>297</v>
      </c>
      <c r="C72" s="74"/>
      <c r="D72" s="69"/>
      <c r="E72" s="8"/>
      <c r="F72" s="71"/>
    </row>
    <row r="73" spans="1:7" ht="20.149999999999999" customHeight="1" x14ac:dyDescent="0.35">
      <c r="A73" s="10"/>
      <c r="B73" s="11" t="s">
        <v>298</v>
      </c>
      <c r="C73" s="75">
        <v>200</v>
      </c>
      <c r="D73" s="67" t="s">
        <v>299</v>
      </c>
      <c r="E73" s="12">
        <v>305.10000000000002</v>
      </c>
      <c r="F73" s="75" t="s">
        <v>205</v>
      </c>
    </row>
    <row r="74" spans="1:7" ht="24" customHeight="1" x14ac:dyDescent="0.35">
      <c r="A74" s="28">
        <v>26</v>
      </c>
      <c r="B74" s="7" t="s">
        <v>300</v>
      </c>
      <c r="C74" s="74"/>
      <c r="D74" s="69"/>
      <c r="E74" s="8"/>
      <c r="F74" s="71"/>
    </row>
    <row r="75" spans="1:7" ht="20.149999999999999" customHeight="1" x14ac:dyDescent="0.35">
      <c r="A75" s="10"/>
      <c r="B75" s="11" t="s">
        <v>301</v>
      </c>
      <c r="C75" s="75">
        <v>1</v>
      </c>
      <c r="D75" s="67" t="s">
        <v>133</v>
      </c>
      <c r="E75" s="12">
        <v>5.07</v>
      </c>
      <c r="F75" s="75" t="s">
        <v>211</v>
      </c>
    </row>
    <row r="76" spans="1:7" ht="20.149999999999999" customHeight="1" x14ac:dyDescent="0.35">
      <c r="A76" s="10"/>
      <c r="B76" s="11" t="s">
        <v>302</v>
      </c>
      <c r="C76" s="75">
        <v>1</v>
      </c>
      <c r="D76" s="67" t="s">
        <v>133</v>
      </c>
      <c r="E76" s="12">
        <v>21</v>
      </c>
      <c r="F76" s="75" t="s">
        <v>211</v>
      </c>
    </row>
    <row r="77" spans="1:7" ht="24" customHeight="1" thickBot="1" x14ac:dyDescent="0.4">
      <c r="A77" s="28" t="s">
        <v>303</v>
      </c>
      <c r="B77" s="20" t="s">
        <v>143</v>
      </c>
      <c r="E77" s="13">
        <f>SUM(E28:E76)</f>
        <v>1174.8999999999999</v>
      </c>
      <c r="F77" s="71"/>
    </row>
    <row r="78" spans="1:7" ht="24" customHeight="1" thickTop="1" thickBot="1" x14ac:dyDescent="0.4"/>
    <row r="79" spans="1:7" ht="24" customHeight="1" thickTop="1" x14ac:dyDescent="0.35">
      <c r="A79" s="14"/>
      <c r="B79" s="15"/>
      <c r="C79" s="72"/>
      <c r="D79" s="64"/>
      <c r="E79" s="16"/>
      <c r="F79" s="18"/>
    </row>
    <row r="80" spans="1:7" ht="24" customHeight="1" x14ac:dyDescent="0.35">
      <c r="A80" s="10" t="s">
        <v>261</v>
      </c>
      <c r="B80" s="11" t="s">
        <v>145</v>
      </c>
      <c r="C80" s="75"/>
      <c r="D80" s="67"/>
      <c r="E80" s="12">
        <f>Inv_Beg</f>
        <v>654.79000000000008</v>
      </c>
    </row>
    <row r="81" spans="1:5" ht="24" customHeight="1" x14ac:dyDescent="0.35">
      <c r="A81" s="10" t="s">
        <v>303</v>
      </c>
      <c r="B81" s="11" t="s">
        <v>146</v>
      </c>
      <c r="C81" s="76"/>
      <c r="D81" s="66"/>
      <c r="E81" s="12">
        <f>Inv_End</f>
        <v>1174.8999999999999</v>
      </c>
    </row>
    <row r="82" spans="1:5" ht="24" customHeight="1" thickBot="1" x14ac:dyDescent="0.4">
      <c r="B82" s="21" t="s">
        <v>147</v>
      </c>
      <c r="E82" s="17">
        <f>Inv_End - Inv_Beg</f>
        <v>520.10999999999979</v>
      </c>
    </row>
    <row r="83" spans="1:5" ht="22" customHeight="1" thickTop="1" x14ac:dyDescent="0.35"/>
    <row r="84" spans="1:5" ht="22" customHeight="1" x14ac:dyDescent="0.35"/>
    <row r="85" spans="1:5" ht="22" customHeight="1" x14ac:dyDescent="0.35">
      <c r="A85" s="22" t="s">
        <v>217</v>
      </c>
      <c r="B85" s="7" t="s">
        <v>218</v>
      </c>
      <c r="C85" s="69"/>
      <c r="D85"/>
      <c r="E85" s="100" t="s">
        <v>219</v>
      </c>
    </row>
    <row r="86" spans="1:5" ht="22" customHeight="1" x14ac:dyDescent="0.35">
      <c r="A86" s="101" t="s">
        <v>304</v>
      </c>
      <c r="B86" s="5" t="s">
        <v>305</v>
      </c>
      <c r="C86" s="65"/>
      <c r="D86"/>
      <c r="E86" s="102" t="s">
        <v>306</v>
      </c>
    </row>
    <row r="87" spans="1:5" ht="22" customHeight="1" x14ac:dyDescent="0.35">
      <c r="A87" s="101" t="s">
        <v>220</v>
      </c>
      <c r="B87" s="5" t="s">
        <v>221</v>
      </c>
      <c r="C87" s="65"/>
      <c r="D87"/>
      <c r="E87" s="102" t="s">
        <v>306</v>
      </c>
    </row>
    <row r="88" spans="1:5" ht="22" customHeight="1" x14ac:dyDescent="0.35">
      <c r="A88" s="101" t="s">
        <v>307</v>
      </c>
      <c r="B88" s="5" t="s">
        <v>308</v>
      </c>
      <c r="C88" s="65"/>
      <c r="D88"/>
      <c r="E88" s="102" t="s">
        <v>306</v>
      </c>
    </row>
    <row r="89" spans="1:5" ht="22" customHeight="1" x14ac:dyDescent="0.35">
      <c r="A89" s="4" t="s">
        <v>223</v>
      </c>
      <c r="B89" s="5" t="s">
        <v>224</v>
      </c>
      <c r="C89" s="65"/>
      <c r="D89"/>
      <c r="E89" s="102" t="s">
        <v>306</v>
      </c>
    </row>
    <row r="90" spans="1:5" ht="22" customHeight="1" x14ac:dyDescent="0.35">
      <c r="A90" s="4" t="s">
        <v>226</v>
      </c>
      <c r="B90" s="5" t="s">
        <v>227</v>
      </c>
      <c r="C90" s="65"/>
      <c r="D90"/>
      <c r="E90" s="102" t="s">
        <v>306</v>
      </c>
    </row>
    <row r="91" spans="1:5" ht="22" customHeight="1" x14ac:dyDescent="0.35"/>
    <row r="92" spans="1:5" ht="22" customHeight="1" x14ac:dyDescent="0.35"/>
    <row r="93" spans="1:5" ht="22" customHeight="1" x14ac:dyDescent="0.35"/>
    <row r="94" spans="1:5" ht="22" customHeight="1" x14ac:dyDescent="0.35"/>
    <row r="95" spans="1:5" ht="22" customHeight="1" x14ac:dyDescent="0.35"/>
    <row r="96" spans="1:5" ht="22" customHeight="1" x14ac:dyDescent="0.35"/>
    <row r="97" ht="22" customHeight="1" x14ac:dyDescent="0.35"/>
    <row r="98" ht="22" customHeight="1" x14ac:dyDescent="0.35"/>
    <row r="99" ht="22" customHeight="1" x14ac:dyDescent="0.35"/>
    <row r="100" ht="22" customHeight="1" x14ac:dyDescent="0.35"/>
    <row r="101" ht="22" customHeight="1" x14ac:dyDescent="0.35"/>
  </sheetData>
  <pageMargins left="1.2" right="1.05" top="0.5" bottom="0.8" header="0.5" footer="0.45"/>
  <pageSetup orientation="portrait" blackAndWhite="1" r:id="rId1"/>
  <headerFooter alignWithMargins="0">
    <oddFooter>&amp;CPage &amp;P of &amp;N</oddFooter>
  </headerFooter>
  <rowBreaks count="2" manualBreakCount="2">
    <brk id="50" max="65535" man="1"/>
    <brk id="65" max="6553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zoomScale="75" workbookViewId="0">
      <selection activeCell="B9" sqref="B9"/>
    </sheetView>
  </sheetViews>
  <sheetFormatPr defaultColWidth="9" defaultRowHeight="15.5" x14ac:dyDescent="0.35"/>
  <cols>
    <col min="1" max="1" width="5.5" style="4" customWidth="1"/>
    <col min="2" max="2" width="34.58203125" style="5" customWidth="1"/>
    <col min="3" max="3" width="4.58203125" style="79" customWidth="1"/>
    <col min="4" max="4" width="6.58203125" style="79" customWidth="1"/>
    <col min="5" max="5" width="6.58203125" style="5" customWidth="1"/>
    <col min="6" max="6" width="12.58203125" style="6" customWidth="1"/>
    <col min="7" max="7" width="4.33203125" style="1" customWidth="1"/>
    <col min="8" max="8" width="10" style="1" customWidth="1"/>
    <col min="9" max="16384" width="9" style="1"/>
  </cols>
  <sheetData>
    <row r="1" spans="1:8" s="2" customFormat="1" ht="22" customHeight="1" x14ac:dyDescent="0.4">
      <c r="A1" s="19" t="s">
        <v>309</v>
      </c>
      <c r="C1" s="70"/>
      <c r="D1" s="70"/>
      <c r="F1" s="26"/>
    </row>
    <row r="2" spans="1:8" s="2" customFormat="1" ht="23.25" customHeight="1" x14ac:dyDescent="0.4">
      <c r="A2" s="19" t="s">
        <v>54</v>
      </c>
      <c r="C2" s="70"/>
      <c r="D2" s="70"/>
      <c r="F2" s="27">
        <f>Year</f>
        <v>1997</v>
      </c>
    </row>
    <row r="3" spans="1:8" ht="15.75" customHeight="1" thickBot="1" x14ac:dyDescent="0.4">
      <c r="A3" s="23"/>
      <c r="B3" s="24"/>
      <c r="C3" s="77"/>
      <c r="D3" s="77"/>
      <c r="E3" s="24"/>
      <c r="F3" s="23"/>
      <c r="G3" s="25"/>
    </row>
    <row r="4" spans="1:8" ht="11.15" customHeight="1" thickTop="1" x14ac:dyDescent="0.35">
      <c r="A4" s="14"/>
      <c r="B4" s="15"/>
      <c r="C4" s="78"/>
      <c r="D4" s="78"/>
      <c r="E4" s="15"/>
      <c r="F4" s="16"/>
      <c r="G4" s="18"/>
    </row>
    <row r="5" spans="1:8" ht="24" customHeight="1" x14ac:dyDescent="0.35">
      <c r="A5" s="22" t="s">
        <v>230</v>
      </c>
    </row>
    <row r="6" spans="1:8" s="9" customFormat="1" ht="24" customHeight="1" x14ac:dyDescent="0.35">
      <c r="A6" s="28">
        <v>19</v>
      </c>
      <c r="B6" s="7" t="s">
        <v>310</v>
      </c>
      <c r="C6" s="74" t="s">
        <v>232</v>
      </c>
      <c r="D6" s="74" t="s">
        <v>246</v>
      </c>
      <c r="E6" s="7" t="s">
        <v>57</v>
      </c>
      <c r="F6" s="8"/>
    </row>
    <row r="7" spans="1:8" ht="20.149999999999999" customHeight="1" x14ac:dyDescent="0.35">
      <c r="A7" s="10"/>
      <c r="B7" s="11" t="s">
        <v>311</v>
      </c>
      <c r="C7" s="80"/>
      <c r="D7" s="80"/>
      <c r="E7" s="67"/>
      <c r="F7" s="12">
        <v>0</v>
      </c>
    </row>
    <row r="8" spans="1:8" s="9" customFormat="1" ht="24" customHeight="1" x14ac:dyDescent="0.35">
      <c r="A8" s="28">
        <v>26</v>
      </c>
      <c r="B8" s="7" t="s">
        <v>312</v>
      </c>
      <c r="C8" s="74"/>
      <c r="D8" s="74"/>
      <c r="E8" s="69"/>
      <c r="F8" s="8"/>
    </row>
    <row r="9" spans="1:8" ht="20.149999999999999" customHeight="1" x14ac:dyDescent="0.35">
      <c r="A9" s="10"/>
      <c r="B9" s="11" t="s">
        <v>264</v>
      </c>
      <c r="C9" s="75" t="s">
        <v>233</v>
      </c>
      <c r="D9" s="75">
        <v>500</v>
      </c>
      <c r="E9" s="67" t="s">
        <v>249</v>
      </c>
      <c r="F9" s="12">
        <v>30</v>
      </c>
      <c r="H9" s="6"/>
    </row>
    <row r="10" spans="1:8" ht="20.149999999999999" customHeight="1" x14ac:dyDescent="0.35">
      <c r="A10" s="10"/>
      <c r="B10" s="11" t="s">
        <v>313</v>
      </c>
      <c r="C10" s="75" t="s">
        <v>233</v>
      </c>
      <c r="D10" s="75">
        <v>100</v>
      </c>
      <c r="E10" s="67" t="s">
        <v>170</v>
      </c>
      <c r="F10" s="12">
        <v>10</v>
      </c>
      <c r="H10" s="6"/>
    </row>
    <row r="11" spans="1:8" ht="20.149999999999999" customHeight="1" x14ac:dyDescent="0.35">
      <c r="A11" s="10"/>
      <c r="B11" s="11" t="s">
        <v>314</v>
      </c>
      <c r="C11" s="75" t="s">
        <v>233</v>
      </c>
      <c r="D11" s="75">
        <v>1</v>
      </c>
      <c r="E11" s="67" t="s">
        <v>170</v>
      </c>
      <c r="F11" s="12">
        <v>10</v>
      </c>
      <c r="H11" s="6"/>
    </row>
    <row r="12" spans="1:8" ht="20.149999999999999" customHeight="1" x14ac:dyDescent="0.35">
      <c r="A12" s="10"/>
      <c r="B12" s="11" t="s">
        <v>272</v>
      </c>
      <c r="C12" s="75" t="s">
        <v>233</v>
      </c>
      <c r="D12" s="75">
        <v>1</v>
      </c>
      <c r="E12" s="67" t="s">
        <v>178</v>
      </c>
      <c r="F12" s="12">
        <v>50</v>
      </c>
    </row>
    <row r="13" spans="1:8" s="9" customFormat="1" ht="24" customHeight="1" x14ac:dyDescent="0.35">
      <c r="A13" s="28">
        <v>26</v>
      </c>
      <c r="B13" s="7" t="s">
        <v>315</v>
      </c>
      <c r="C13" s="74"/>
      <c r="D13" s="74"/>
      <c r="E13" s="69"/>
      <c r="F13" s="8"/>
    </row>
    <row r="14" spans="1:8" s="9" customFormat="1" ht="20.149999999999999" customHeight="1" x14ac:dyDescent="0.35">
      <c r="A14" s="10"/>
      <c r="B14" s="11" t="s">
        <v>278</v>
      </c>
      <c r="C14" s="75" t="s">
        <v>233</v>
      </c>
      <c r="D14" s="75">
        <v>50</v>
      </c>
      <c r="E14" s="67" t="s">
        <v>99</v>
      </c>
      <c r="F14" s="12">
        <v>100</v>
      </c>
      <c r="G14" s="8"/>
    </row>
    <row r="15" spans="1:8" s="9" customFormat="1" ht="24" customHeight="1" x14ac:dyDescent="0.35">
      <c r="A15" s="28">
        <v>26</v>
      </c>
      <c r="B15" s="7" t="s">
        <v>316</v>
      </c>
      <c r="C15" s="74"/>
      <c r="D15" s="74"/>
      <c r="E15" s="69"/>
      <c r="F15" s="8"/>
    </row>
    <row r="16" spans="1:8" ht="20.149999999999999" customHeight="1" x14ac:dyDescent="0.35">
      <c r="A16" s="10"/>
      <c r="B16" s="11" t="s">
        <v>280</v>
      </c>
      <c r="C16" s="75" t="s">
        <v>233</v>
      </c>
      <c r="D16" s="75">
        <f>15 + 12.5</f>
        <v>27.5</v>
      </c>
      <c r="E16" s="67" t="s">
        <v>107</v>
      </c>
      <c r="F16" s="12">
        <v>15</v>
      </c>
    </row>
    <row r="17" spans="1:8" s="9" customFormat="1" ht="24" customHeight="1" x14ac:dyDescent="0.35">
      <c r="A17" s="28">
        <v>26</v>
      </c>
      <c r="B17" s="7" t="s">
        <v>317</v>
      </c>
      <c r="C17" s="74"/>
      <c r="D17" s="74"/>
      <c r="E17" s="69"/>
      <c r="F17" s="8"/>
    </row>
    <row r="18" spans="1:8" ht="20.149999999999999" customHeight="1" x14ac:dyDescent="0.35">
      <c r="A18" s="10"/>
      <c r="B18" s="11" t="s">
        <v>318</v>
      </c>
      <c r="C18" s="75" t="s">
        <v>233</v>
      </c>
      <c r="D18" s="75">
        <v>1</v>
      </c>
      <c r="E18" s="67" t="s">
        <v>113</v>
      </c>
      <c r="F18" s="12">
        <v>2</v>
      </c>
    </row>
    <row r="19" spans="1:8" ht="20.149999999999999" customHeight="1" x14ac:dyDescent="0.35">
      <c r="A19" s="10"/>
      <c r="B19" s="11" t="s">
        <v>280</v>
      </c>
      <c r="C19" s="75" t="s">
        <v>233</v>
      </c>
      <c r="D19" s="75">
        <f>10 + 12.5</f>
        <v>22.5</v>
      </c>
      <c r="E19" s="67" t="s">
        <v>113</v>
      </c>
      <c r="F19" s="12">
        <v>15</v>
      </c>
      <c r="H19" s="6"/>
    </row>
    <row r="20" spans="1:8" s="9" customFormat="1" ht="24" customHeight="1" x14ac:dyDescent="0.35">
      <c r="A20" s="28">
        <v>26</v>
      </c>
      <c r="B20" s="7" t="s">
        <v>319</v>
      </c>
      <c r="C20" s="74"/>
      <c r="D20" s="74"/>
      <c r="E20" s="69"/>
      <c r="F20" s="8"/>
    </row>
    <row r="21" spans="1:8" ht="20.149999999999999" customHeight="1" x14ac:dyDescent="0.35">
      <c r="A21" s="10"/>
      <c r="B21" s="11" t="s">
        <v>258</v>
      </c>
      <c r="C21" s="80" t="s">
        <v>233</v>
      </c>
      <c r="D21" s="75">
        <v>1</v>
      </c>
      <c r="E21" s="67" t="s">
        <v>259</v>
      </c>
      <c r="F21" s="12">
        <v>20</v>
      </c>
    </row>
    <row r="22" spans="1:8" s="9" customFormat="1" ht="24" customHeight="1" x14ac:dyDescent="0.35">
      <c r="A22" s="28">
        <v>26</v>
      </c>
      <c r="B22" s="7" t="s">
        <v>320</v>
      </c>
      <c r="C22"/>
      <c r="D22" s="74" t="s">
        <v>246</v>
      </c>
      <c r="E22" s="7" t="s">
        <v>57</v>
      </c>
      <c r="F22" s="8"/>
    </row>
    <row r="23" spans="1:8" ht="20.149999999999999" customHeight="1" x14ac:dyDescent="0.35">
      <c r="A23" s="10"/>
      <c r="B23" s="11" t="s">
        <v>298</v>
      </c>
      <c r="C23" s="80" t="s">
        <v>233</v>
      </c>
      <c r="D23" s="75">
        <v>200</v>
      </c>
      <c r="E23" s="67" t="s">
        <v>299</v>
      </c>
      <c r="F23" s="12">
        <v>305.10000000000002</v>
      </c>
    </row>
    <row r="24" spans="1:8" ht="20.149999999999999" customHeight="1" x14ac:dyDescent="0.35">
      <c r="A24" s="10"/>
      <c r="B24" s="11" t="s">
        <v>321</v>
      </c>
      <c r="C24" s="75" t="s">
        <v>233</v>
      </c>
      <c r="D24" s="75">
        <v>1</v>
      </c>
      <c r="E24" s="67" t="s">
        <v>129</v>
      </c>
      <c r="F24" s="12">
        <v>10</v>
      </c>
    </row>
    <row r="25" spans="1:8" s="9" customFormat="1" ht="24" customHeight="1" x14ac:dyDescent="0.35">
      <c r="A25" s="28">
        <v>26</v>
      </c>
      <c r="B25" s="7" t="s">
        <v>322</v>
      </c>
      <c r="C25"/>
      <c r="D25" s="74"/>
      <c r="E25" s="69"/>
      <c r="F25" s="8"/>
    </row>
    <row r="26" spans="1:8" ht="20.149999999999999" customHeight="1" x14ac:dyDescent="0.35">
      <c r="A26" s="10"/>
      <c r="B26" s="11" t="s">
        <v>323</v>
      </c>
      <c r="C26" s="80" t="s">
        <v>233</v>
      </c>
      <c r="D26" s="75">
        <v>1</v>
      </c>
      <c r="E26" s="67" t="s">
        <v>133</v>
      </c>
      <c r="F26" s="12">
        <v>10</v>
      </c>
    </row>
    <row r="27" spans="1:8" ht="20.149999999999999" customHeight="1" x14ac:dyDescent="0.35">
      <c r="A27" s="10"/>
      <c r="B27" s="11" t="s">
        <v>324</v>
      </c>
      <c r="C27" s="80" t="s">
        <v>233</v>
      </c>
      <c r="D27" s="75">
        <v>1</v>
      </c>
      <c r="E27" s="67" t="s">
        <v>133</v>
      </c>
      <c r="F27" s="12">
        <v>30</v>
      </c>
    </row>
    <row r="28" spans="1:8" ht="20.149999999999999" customHeight="1" x14ac:dyDescent="0.35">
      <c r="A28" s="10"/>
      <c r="B28" s="11" t="s">
        <v>325</v>
      </c>
      <c r="C28" s="80" t="s">
        <v>233</v>
      </c>
      <c r="D28" s="75">
        <v>6</v>
      </c>
      <c r="E28" s="67" t="s">
        <v>133</v>
      </c>
      <c r="F28" s="12">
        <v>5</v>
      </c>
    </row>
    <row r="29" spans="1:8" ht="20.149999999999999" customHeight="1" x14ac:dyDescent="0.35">
      <c r="A29" s="10"/>
      <c r="B29" s="11" t="s">
        <v>326</v>
      </c>
      <c r="C29" s="80" t="s">
        <v>233</v>
      </c>
      <c r="D29" s="75">
        <v>1</v>
      </c>
      <c r="E29" s="67" t="s">
        <v>133</v>
      </c>
      <c r="F29" s="12">
        <v>50</v>
      </c>
    </row>
    <row r="30" spans="1:8" ht="24" customHeight="1" thickBot="1" x14ac:dyDescent="0.4">
      <c r="A30" s="28">
        <v>27</v>
      </c>
      <c r="B30" s="87" t="s">
        <v>167</v>
      </c>
      <c r="C30" s="88"/>
      <c r="D30" s="88"/>
      <c r="E30" s="87"/>
      <c r="F30" s="13">
        <f>SUM(F6:F29)</f>
        <v>662.1</v>
      </c>
    </row>
    <row r="31" spans="1:8" ht="22" customHeight="1" thickTop="1" thickBot="1" x14ac:dyDescent="0.4">
      <c r="C31" s="84" t="s">
        <v>235</v>
      </c>
    </row>
    <row r="32" spans="1:8" ht="11.15" customHeight="1" thickTop="1" x14ac:dyDescent="0.35">
      <c r="A32" s="14"/>
      <c r="B32" s="15"/>
      <c r="C32" s="78"/>
      <c r="D32" s="78"/>
      <c r="E32" s="15"/>
      <c r="F32" s="16"/>
      <c r="G32" s="18"/>
    </row>
    <row r="33" spans="1:8" ht="24" customHeight="1" x14ac:dyDescent="0.35">
      <c r="A33" s="22" t="s">
        <v>236</v>
      </c>
    </row>
    <row r="34" spans="1:8" s="9" customFormat="1" ht="24" customHeight="1" x14ac:dyDescent="0.35">
      <c r="A34" s="28">
        <v>19</v>
      </c>
      <c r="B34" s="7" t="s">
        <v>327</v>
      </c>
      <c r="C34" s="74" t="s">
        <v>238</v>
      </c>
      <c r="D34" s="74" t="s">
        <v>246</v>
      </c>
      <c r="E34" s="7" t="s">
        <v>57</v>
      </c>
      <c r="F34" s="8"/>
    </row>
    <row r="35" spans="1:8" ht="20.149999999999999" customHeight="1" x14ac:dyDescent="0.35">
      <c r="A35" s="10"/>
      <c r="B35" s="11" t="s">
        <v>328</v>
      </c>
      <c r="C35" s="75" t="s">
        <v>240</v>
      </c>
      <c r="D35" s="75">
        <v>8</v>
      </c>
      <c r="E35" s="67" t="s">
        <v>79</v>
      </c>
      <c r="F35" s="12">
        <v>6</v>
      </c>
    </row>
    <row r="36" spans="1:8" s="9" customFormat="1" ht="24" customHeight="1" x14ac:dyDescent="0.35">
      <c r="A36" s="28">
        <v>22</v>
      </c>
      <c r="B36" s="7" t="s">
        <v>329</v>
      </c>
      <c r="C36" s="74"/>
      <c r="D36" s="74" t="s">
        <v>246</v>
      </c>
      <c r="E36" s="7" t="s">
        <v>57</v>
      </c>
      <c r="F36" s="8"/>
    </row>
    <row r="37" spans="1:8" ht="20.149999999999999" customHeight="1" x14ac:dyDescent="0.35">
      <c r="A37" s="10"/>
      <c r="B37" s="11" t="s">
        <v>262</v>
      </c>
      <c r="C37" s="75" t="s">
        <v>240</v>
      </c>
      <c r="D37" s="75">
        <v>50</v>
      </c>
      <c r="E37" s="67" t="s">
        <v>249</v>
      </c>
      <c r="F37" s="12">
        <v>5</v>
      </c>
      <c r="H37" s="6"/>
    </row>
    <row r="38" spans="1:8" ht="20.149999999999999" customHeight="1" x14ac:dyDescent="0.35">
      <c r="A38" s="10"/>
      <c r="B38" s="11" t="s">
        <v>263</v>
      </c>
      <c r="C38" s="75" t="s">
        <v>240</v>
      </c>
      <c r="D38" s="75">
        <v>10</v>
      </c>
      <c r="E38" s="67" t="s">
        <v>249</v>
      </c>
      <c r="F38" s="12">
        <v>0.44</v>
      </c>
      <c r="H38" s="6"/>
    </row>
    <row r="39" spans="1:8" ht="20.149999999999999" customHeight="1" x14ac:dyDescent="0.35">
      <c r="A39" s="10"/>
      <c r="B39" s="11" t="s">
        <v>264</v>
      </c>
      <c r="C39" s="75" t="s">
        <v>240</v>
      </c>
      <c r="D39" s="75">
        <f>130 + 217</f>
        <v>347</v>
      </c>
      <c r="E39" s="67" t="s">
        <v>249</v>
      </c>
      <c r="F39" s="12">
        <f xml:space="preserve"> 2.8 + 11.72</f>
        <v>14.52</v>
      </c>
      <c r="H39" s="6"/>
    </row>
    <row r="40" spans="1:8" ht="20.149999999999999" customHeight="1" x14ac:dyDescent="0.35">
      <c r="A40" s="10"/>
      <c r="B40" s="11" t="s">
        <v>313</v>
      </c>
      <c r="C40" s="75" t="s">
        <v>240</v>
      </c>
      <c r="D40" s="75">
        <v>100</v>
      </c>
      <c r="E40" s="67" t="s">
        <v>170</v>
      </c>
      <c r="F40" s="12">
        <v>2.85</v>
      </c>
      <c r="H40" s="6"/>
    </row>
    <row r="41" spans="1:8" ht="20.149999999999999" customHeight="1" x14ac:dyDescent="0.35">
      <c r="A41" s="10"/>
      <c r="B41" s="11" t="s">
        <v>330</v>
      </c>
      <c r="C41" s="75" t="s">
        <v>240</v>
      </c>
      <c r="D41" s="75">
        <v>9</v>
      </c>
      <c r="E41" s="67" t="s">
        <v>170</v>
      </c>
      <c r="F41" s="12">
        <v>0.69</v>
      </c>
    </row>
    <row r="42" spans="1:8" ht="20.149999999999999" customHeight="1" x14ac:dyDescent="0.35">
      <c r="A42" s="10"/>
      <c r="B42" s="11" t="s">
        <v>331</v>
      </c>
      <c r="C42" s="75" t="s">
        <v>240</v>
      </c>
      <c r="D42" s="75">
        <v>2</v>
      </c>
      <c r="E42" s="67" t="s">
        <v>170</v>
      </c>
      <c r="F42" s="12">
        <v>0.2</v>
      </c>
    </row>
    <row r="43" spans="1:8" ht="20.149999999999999" customHeight="1" x14ac:dyDescent="0.35">
      <c r="A43" s="10"/>
      <c r="B43" s="11" t="s">
        <v>332</v>
      </c>
      <c r="C43" s="75" t="s">
        <v>240</v>
      </c>
      <c r="D43" s="75">
        <v>0.64</v>
      </c>
      <c r="E43" s="67" t="s">
        <v>170</v>
      </c>
      <c r="F43" s="12">
        <v>2.56</v>
      </c>
      <c r="G43" s="71"/>
    </row>
    <row r="44" spans="1:8" ht="20.149999999999999" customHeight="1" x14ac:dyDescent="0.35">
      <c r="A44" s="10"/>
      <c r="B44" s="11" t="s">
        <v>272</v>
      </c>
      <c r="C44" s="75" t="s">
        <v>240</v>
      </c>
      <c r="D44" s="75">
        <v>0.5</v>
      </c>
      <c r="E44" s="67" t="s">
        <v>178</v>
      </c>
      <c r="F44" s="12">
        <v>17.82</v>
      </c>
    </row>
    <row r="45" spans="1:8" ht="20.149999999999999" customHeight="1" x14ac:dyDescent="0.35">
      <c r="A45" s="10"/>
      <c r="B45" s="11" t="s">
        <v>273</v>
      </c>
      <c r="C45" s="75" t="s">
        <v>240</v>
      </c>
      <c r="D45" s="75">
        <v>22</v>
      </c>
      <c r="E45" s="67" t="s">
        <v>123</v>
      </c>
      <c r="F45" s="12">
        <v>2.46</v>
      </c>
    </row>
    <row r="46" spans="1:8" ht="20.149999999999999" customHeight="1" x14ac:dyDescent="0.35">
      <c r="A46" s="10"/>
      <c r="B46" s="11" t="s">
        <v>275</v>
      </c>
      <c r="C46" s="75" t="s">
        <v>240</v>
      </c>
      <c r="D46" s="75">
        <v>0.4</v>
      </c>
      <c r="E46" s="67" t="s">
        <v>123</v>
      </c>
      <c r="F46" s="12">
        <v>1.66</v>
      </c>
    </row>
    <row r="47" spans="1:8" s="9" customFormat="1" ht="24" customHeight="1" x14ac:dyDescent="0.35">
      <c r="A47" s="28">
        <v>26</v>
      </c>
      <c r="B47" s="7" t="s">
        <v>333</v>
      </c>
      <c r="C47" s="74"/>
      <c r="D47" s="74"/>
      <c r="E47" s="69"/>
      <c r="F47" s="8"/>
    </row>
    <row r="48" spans="1:8" ht="20.149999999999999" customHeight="1" x14ac:dyDescent="0.35">
      <c r="A48" s="10"/>
      <c r="B48" s="11" t="s">
        <v>251</v>
      </c>
      <c r="C48" s="75" t="s">
        <v>240</v>
      </c>
      <c r="D48" s="75">
        <v>60</v>
      </c>
      <c r="E48" s="67" t="s">
        <v>252</v>
      </c>
      <c r="F48" s="12">
        <v>9.7200000000000006</v>
      </c>
    </row>
    <row r="49" spans="1:8" s="9" customFormat="1" ht="20.149999999999999" customHeight="1" x14ac:dyDescent="0.35">
      <c r="A49" s="10"/>
      <c r="B49" s="11" t="s">
        <v>278</v>
      </c>
      <c r="C49" s="75" t="s">
        <v>240</v>
      </c>
      <c r="D49" s="75">
        <v>19</v>
      </c>
      <c r="E49" s="67" t="s">
        <v>99</v>
      </c>
      <c r="F49" s="12">
        <v>19</v>
      </c>
      <c r="G49" s="8"/>
    </row>
    <row r="50" spans="1:8" s="9" customFormat="1" ht="24" customHeight="1" x14ac:dyDescent="0.35">
      <c r="A50" s="28">
        <v>26</v>
      </c>
      <c r="B50" s="7" t="s">
        <v>334</v>
      </c>
      <c r="C50" s="74"/>
      <c r="D50" s="74"/>
      <c r="E50" s="69"/>
      <c r="F50" s="8"/>
    </row>
    <row r="51" spans="1:8" ht="20.149999999999999" customHeight="1" x14ac:dyDescent="0.35">
      <c r="A51" s="10"/>
      <c r="B51" s="11" t="s">
        <v>280</v>
      </c>
      <c r="C51" s="75" t="s">
        <v>240</v>
      </c>
      <c r="D51" s="75">
        <f>15 + 12.5</f>
        <v>27.5</v>
      </c>
      <c r="E51" s="67" t="s">
        <v>107</v>
      </c>
      <c r="F51" s="12">
        <f>7.12 + 3.07</f>
        <v>10.19</v>
      </c>
    </row>
    <row r="52" spans="1:8" s="9" customFormat="1" ht="24" customHeight="1" x14ac:dyDescent="0.35">
      <c r="A52" s="28">
        <v>26</v>
      </c>
      <c r="B52" s="7" t="s">
        <v>335</v>
      </c>
      <c r="C52" s="74"/>
      <c r="D52" s="74"/>
      <c r="E52" s="69"/>
      <c r="F52" s="8"/>
    </row>
    <row r="53" spans="1:8" ht="20.149999999999999" customHeight="1" x14ac:dyDescent="0.35">
      <c r="A53" s="10"/>
      <c r="B53" s="11" t="s">
        <v>284</v>
      </c>
      <c r="C53" s="75" t="s">
        <v>240</v>
      </c>
      <c r="D53" s="75">
        <v>2</v>
      </c>
      <c r="E53" s="67" t="s">
        <v>113</v>
      </c>
      <c r="F53" s="12">
        <v>1.33</v>
      </c>
    </row>
    <row r="54" spans="1:8" ht="20.149999999999999" customHeight="1" x14ac:dyDescent="0.35">
      <c r="A54" s="10"/>
      <c r="B54" s="11" t="s">
        <v>280</v>
      </c>
      <c r="C54" s="75" t="s">
        <v>240</v>
      </c>
      <c r="D54" s="75">
        <f>10 + 12.5</f>
        <v>22.5</v>
      </c>
      <c r="E54" s="67" t="s">
        <v>113</v>
      </c>
      <c r="F54" s="12">
        <v>5</v>
      </c>
      <c r="H54" s="6"/>
    </row>
    <row r="55" spans="1:8" ht="20.149999999999999" customHeight="1" x14ac:dyDescent="0.35">
      <c r="A55" s="10"/>
      <c r="B55" s="11" t="s">
        <v>336</v>
      </c>
      <c r="C55" s="75" t="s">
        <v>240</v>
      </c>
      <c r="D55" s="75">
        <v>1</v>
      </c>
      <c r="E55" s="67" t="s">
        <v>113</v>
      </c>
      <c r="F55" s="12">
        <v>6</v>
      </c>
    </row>
    <row r="56" spans="1:8" s="9" customFormat="1" ht="24" customHeight="1" x14ac:dyDescent="0.35">
      <c r="A56" s="28">
        <v>26</v>
      </c>
      <c r="B56" s="7" t="s">
        <v>337</v>
      </c>
      <c r="C56" s="74"/>
      <c r="D56" s="74"/>
      <c r="E56" s="69"/>
      <c r="F56" s="8"/>
    </row>
    <row r="57" spans="1:8" ht="20.149999999999999" customHeight="1" x14ac:dyDescent="0.35">
      <c r="A57" s="10"/>
      <c r="B57" s="11" t="s">
        <v>295</v>
      </c>
      <c r="C57" s="80" t="s">
        <v>240</v>
      </c>
      <c r="D57" s="75">
        <v>50</v>
      </c>
      <c r="E57" s="67" t="s">
        <v>123</v>
      </c>
      <c r="F57" s="12">
        <v>5.6</v>
      </c>
    </row>
    <row r="58" spans="1:8" ht="20.149999999999999" customHeight="1" x14ac:dyDescent="0.35">
      <c r="A58" s="10"/>
      <c r="B58" s="11" t="s">
        <v>296</v>
      </c>
      <c r="C58" s="80" t="s">
        <v>240</v>
      </c>
      <c r="D58" s="75">
        <v>0.3</v>
      </c>
      <c r="E58" s="67" t="s">
        <v>123</v>
      </c>
      <c r="F58" s="12">
        <v>1.25</v>
      </c>
    </row>
    <row r="59" spans="1:8" s="9" customFormat="1" ht="24" customHeight="1" x14ac:dyDescent="0.35">
      <c r="A59" s="28">
        <v>26</v>
      </c>
      <c r="B59" s="7" t="s">
        <v>338</v>
      </c>
      <c r="C59"/>
      <c r="D59" s="74"/>
      <c r="E59" s="69"/>
      <c r="F59" s="8"/>
    </row>
    <row r="60" spans="1:8" ht="20.149999999999999" customHeight="1" x14ac:dyDescent="0.35">
      <c r="A60" s="10"/>
      <c r="B60" s="11" t="s">
        <v>321</v>
      </c>
      <c r="C60" s="75" t="s">
        <v>240</v>
      </c>
      <c r="D60" s="75">
        <v>1</v>
      </c>
      <c r="E60" s="67" t="s">
        <v>129</v>
      </c>
      <c r="F60" s="12">
        <v>5</v>
      </c>
    </row>
    <row r="61" spans="1:8" s="9" customFormat="1" ht="24" customHeight="1" x14ac:dyDescent="0.35">
      <c r="A61" s="28">
        <v>26</v>
      </c>
      <c r="B61" s="7" t="s">
        <v>339</v>
      </c>
      <c r="C61"/>
      <c r="D61" s="74"/>
      <c r="E61" s="69"/>
      <c r="F61" s="8"/>
    </row>
    <row r="62" spans="1:8" ht="20.149999999999999" customHeight="1" x14ac:dyDescent="0.35">
      <c r="A62" s="10"/>
      <c r="B62" s="11" t="s">
        <v>340</v>
      </c>
      <c r="C62" s="80" t="s">
        <v>240</v>
      </c>
      <c r="D62" s="75">
        <v>0.2</v>
      </c>
      <c r="E62" s="67" t="s">
        <v>133</v>
      </c>
      <c r="F62" s="12">
        <v>1</v>
      </c>
    </row>
    <row r="63" spans="1:8" ht="20.149999999999999" customHeight="1" x14ac:dyDescent="0.35">
      <c r="A63" s="10"/>
      <c r="B63" s="11" t="s">
        <v>341</v>
      </c>
      <c r="C63" s="80" t="s">
        <v>240</v>
      </c>
      <c r="D63" s="75">
        <v>1</v>
      </c>
      <c r="E63" s="67" t="s">
        <v>133</v>
      </c>
      <c r="F63" s="12">
        <v>1.7</v>
      </c>
    </row>
    <row r="64" spans="1:8" ht="20.149999999999999" customHeight="1" x14ac:dyDescent="0.35">
      <c r="A64" s="10"/>
      <c r="B64" s="11" t="s">
        <v>325</v>
      </c>
      <c r="C64" s="80" t="s">
        <v>240</v>
      </c>
      <c r="D64" s="75">
        <v>6</v>
      </c>
      <c r="E64" s="67" t="s">
        <v>133</v>
      </c>
      <c r="F64" s="12">
        <v>2</v>
      </c>
      <c r="H64" s="6"/>
    </row>
    <row r="65" spans="1:8" ht="20.149999999999999" customHeight="1" x14ac:dyDescent="0.35">
      <c r="A65" s="10"/>
      <c r="B65" s="11" t="s">
        <v>326</v>
      </c>
      <c r="C65" s="80" t="s">
        <v>240</v>
      </c>
      <c r="D65" s="75">
        <v>1</v>
      </c>
      <c r="E65" s="67" t="s">
        <v>133</v>
      </c>
      <c r="F65" s="12">
        <v>20</v>
      </c>
    </row>
    <row r="66" spans="1:8" ht="24" customHeight="1" thickBot="1" x14ac:dyDescent="0.4">
      <c r="A66" s="28">
        <v>27</v>
      </c>
      <c r="B66" s="87" t="s">
        <v>198</v>
      </c>
      <c r="C66" s="88"/>
      <c r="D66" s="88"/>
      <c r="E66" s="87"/>
      <c r="F66" s="13">
        <f>SUM(F34:F65)</f>
        <v>141.99</v>
      </c>
    </row>
    <row r="67" spans="1:8" ht="22" customHeight="1" thickTop="1" thickBot="1" x14ac:dyDescent="0.4">
      <c r="C67" s="84" t="s">
        <v>243</v>
      </c>
    </row>
    <row r="68" spans="1:8" ht="11.15" customHeight="1" thickTop="1" x14ac:dyDescent="0.35">
      <c r="A68" s="14"/>
      <c r="B68" s="15"/>
      <c r="C68" s="78"/>
      <c r="D68" s="78"/>
      <c r="E68" s="15"/>
      <c r="F68" s="16"/>
      <c r="G68" s="18"/>
    </row>
    <row r="69" spans="1:8" ht="24" customHeight="1" x14ac:dyDescent="0.35">
      <c r="A69" s="22" t="s">
        <v>199</v>
      </c>
      <c r="H69" s="6"/>
    </row>
    <row r="70" spans="1:8" ht="24" customHeight="1" x14ac:dyDescent="0.35">
      <c r="A70" s="29">
        <v>21</v>
      </c>
      <c r="B70" s="11" t="s">
        <v>167</v>
      </c>
      <c r="C70" s="80"/>
      <c r="D70" s="80"/>
      <c r="E70" s="11"/>
      <c r="F70" s="12">
        <f>Inv_In</f>
        <v>662.1</v>
      </c>
    </row>
    <row r="71" spans="1:8" ht="24" customHeight="1" x14ac:dyDescent="0.35">
      <c r="A71" s="29">
        <v>27</v>
      </c>
      <c r="B71" s="11" t="s">
        <v>198</v>
      </c>
      <c r="C71" s="80"/>
      <c r="D71" s="80"/>
      <c r="E71" s="11"/>
      <c r="F71" s="12">
        <f>Inv_Out</f>
        <v>141.99</v>
      </c>
    </row>
    <row r="72" spans="1:8" ht="24" customHeight="1" thickBot="1" x14ac:dyDescent="0.4">
      <c r="B72" s="21" t="s">
        <v>200</v>
      </c>
      <c r="C72" s="81"/>
      <c r="D72" s="81"/>
      <c r="E72" s="21"/>
      <c r="F72" s="17">
        <f>Inv_In - Inv_Out</f>
        <v>520.11</v>
      </c>
    </row>
    <row r="73" spans="1:8" ht="22" customHeight="1" thickTop="1" x14ac:dyDescent="0.35"/>
    <row r="74" spans="1:8" ht="24" customHeight="1" x14ac:dyDescent="0.35">
      <c r="A74" s="29" t="s">
        <v>209</v>
      </c>
      <c r="B74" s="11" t="s">
        <v>145</v>
      </c>
      <c r="C74" s="80"/>
      <c r="D74" s="80"/>
      <c r="E74" s="11"/>
      <c r="F74" s="12">
        <f>Inv_Beg</f>
        <v>654.79000000000008</v>
      </c>
    </row>
    <row r="75" spans="1:8" ht="24" customHeight="1" x14ac:dyDescent="0.35">
      <c r="A75" s="29" t="s">
        <v>216</v>
      </c>
      <c r="B75" s="11" t="s">
        <v>146</v>
      </c>
      <c r="C75" s="80"/>
      <c r="D75" s="80"/>
      <c r="E75" s="11"/>
      <c r="F75" s="12">
        <f>Inv_End</f>
        <v>1174.8999999999999</v>
      </c>
    </row>
    <row r="76" spans="1:8" ht="24" customHeight="1" thickBot="1" x14ac:dyDescent="0.4">
      <c r="B76" s="21" t="s">
        <v>147</v>
      </c>
      <c r="C76" s="81"/>
      <c r="D76" s="81"/>
      <c r="E76" s="21"/>
      <c r="F76" s="17">
        <f>Inv_End - Inv_Beg</f>
        <v>520.10999999999979</v>
      </c>
    </row>
    <row r="77" spans="1:8" ht="22" customHeight="1" thickTop="1" x14ac:dyDescent="0.35"/>
    <row r="78" spans="1:8" ht="22" customHeight="1" x14ac:dyDescent="0.35"/>
    <row r="79" spans="1:8" ht="22" customHeight="1" x14ac:dyDescent="0.35"/>
    <row r="80" spans="1:8" ht="22" customHeight="1" x14ac:dyDescent="0.35"/>
    <row r="81" ht="22" customHeight="1" x14ac:dyDescent="0.35"/>
    <row r="82" ht="22" customHeight="1" x14ac:dyDescent="0.35"/>
    <row r="83" ht="22" customHeight="1" x14ac:dyDescent="0.35"/>
    <row r="84" ht="22" customHeight="1" x14ac:dyDescent="0.35"/>
    <row r="85" ht="22" customHeight="1" x14ac:dyDescent="0.35"/>
    <row r="86" ht="22" customHeight="1" x14ac:dyDescent="0.35"/>
    <row r="87" ht="22" customHeight="1" x14ac:dyDescent="0.35"/>
    <row r="88" ht="22" customHeight="1" x14ac:dyDescent="0.35"/>
    <row r="89" ht="22" customHeight="1" x14ac:dyDescent="0.35"/>
    <row r="90" ht="22" customHeight="1" x14ac:dyDescent="0.35"/>
    <row r="91" ht="22" customHeight="1" x14ac:dyDescent="0.35"/>
    <row r="92" ht="22" customHeight="1" x14ac:dyDescent="0.35"/>
    <row r="93" ht="22" customHeight="1" x14ac:dyDescent="0.35"/>
    <row r="94" ht="22" customHeight="1" x14ac:dyDescent="0.35"/>
    <row r="95" ht="22" customHeight="1" x14ac:dyDescent="0.35"/>
    <row r="96" ht="22" customHeight="1" x14ac:dyDescent="0.35"/>
  </sheetData>
  <pageMargins left="1.2" right="1" top="0.5" bottom="0.8" header="0.5" footer="0.5"/>
  <pageSetup orientation="portrait" blackAndWhite="1" r:id="rId1"/>
  <headerFooter alignWithMargins="0">
    <oddFooter>&amp;CPage &amp;P of &amp;N</oddFooter>
  </headerFooter>
  <rowBreaks count="1" manualBreakCount="1">
    <brk id="32" max="6553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zoomScale="75" workbookViewId="0">
      <selection activeCell="C7" sqref="C7"/>
    </sheetView>
  </sheetViews>
  <sheetFormatPr defaultColWidth="9" defaultRowHeight="15.5" x14ac:dyDescent="0.35"/>
  <cols>
    <col min="1" max="1" width="5.5" style="4" customWidth="1"/>
    <col min="2" max="2" width="49.75" style="5" customWidth="1"/>
    <col min="3" max="3" width="13.58203125" style="6" customWidth="1"/>
    <col min="4" max="4" width="4.33203125" style="1" customWidth="1"/>
    <col min="5" max="16384" width="9" style="1"/>
  </cols>
  <sheetData>
    <row r="1" spans="1:4" s="2" customFormat="1" ht="22" customHeight="1" x14ac:dyDescent="0.4">
      <c r="A1" s="19" t="s">
        <v>342</v>
      </c>
      <c r="C1" s="26"/>
    </row>
    <row r="2" spans="1:4" s="2" customFormat="1" ht="23.25" customHeight="1" x14ac:dyDescent="0.4">
      <c r="A2" s="19" t="s">
        <v>54</v>
      </c>
      <c r="C2" s="27">
        <f>Year</f>
        <v>1997</v>
      </c>
    </row>
    <row r="3" spans="1:4" ht="15.75" customHeight="1" thickBot="1" x14ac:dyDescent="0.4">
      <c r="A3" s="23"/>
      <c r="B3" s="24"/>
      <c r="C3" s="23"/>
      <c r="D3" s="25"/>
    </row>
    <row r="4" spans="1:4" ht="11.15" customHeight="1" thickTop="1" x14ac:dyDescent="0.35">
      <c r="A4" s="14"/>
      <c r="B4" s="15"/>
      <c r="C4" s="16"/>
      <c r="D4" s="18"/>
    </row>
    <row r="5" spans="1:4" ht="24" customHeight="1" x14ac:dyDescent="0.35">
      <c r="A5" s="22" t="str">
        <f>"BEGINNING YEAR (BALANCE ON 1 JAN "&amp;Year&amp;")"</f>
        <v>BEGINNING YEAR (BALANCE ON 1 JAN 1997)</v>
      </c>
    </row>
    <row r="6" spans="1:4" s="9" customFormat="1" ht="24" customHeight="1" x14ac:dyDescent="0.35">
      <c r="A6" s="28">
        <v>2</v>
      </c>
      <c r="B6" s="7" t="s">
        <v>343</v>
      </c>
      <c r="C6" s="8"/>
    </row>
    <row r="7" spans="1:4" ht="20.149999999999999" customHeight="1" x14ac:dyDescent="0.35">
      <c r="A7" s="10"/>
      <c r="B7" s="11" t="s">
        <v>344</v>
      </c>
      <c r="C7" s="12">
        <v>0</v>
      </c>
    </row>
    <row r="8" spans="1:4" ht="24" customHeight="1" thickBot="1" x14ac:dyDescent="0.4">
      <c r="A8" s="28" t="s">
        <v>345</v>
      </c>
      <c r="B8" s="20" t="s">
        <v>143</v>
      </c>
      <c r="C8" s="13">
        <f>SUM(C7:C7)</f>
        <v>0</v>
      </c>
    </row>
    <row r="9" spans="1:4" ht="22" customHeight="1" thickTop="1" thickBot="1" x14ac:dyDescent="0.4"/>
    <row r="10" spans="1:4" ht="11.15" customHeight="1" thickTop="1" x14ac:dyDescent="0.35">
      <c r="A10" s="14"/>
      <c r="B10" s="15"/>
      <c r="C10" s="16"/>
      <c r="D10" s="18"/>
    </row>
    <row r="11" spans="1:4" ht="24" customHeight="1" x14ac:dyDescent="0.35">
      <c r="A11" s="22" t="str">
        <f>"ENDING YEAR (BALANCE ON 31 DEC "&amp;Year&amp;")"</f>
        <v>ENDING YEAR (BALANCE ON 31 DEC 1997)</v>
      </c>
    </row>
    <row r="12" spans="1:4" s="9" customFormat="1" ht="24" customHeight="1" x14ac:dyDescent="0.35">
      <c r="A12" s="28">
        <v>2</v>
      </c>
      <c r="B12" s="7" t="s">
        <v>343</v>
      </c>
      <c r="C12" s="8"/>
    </row>
    <row r="13" spans="1:4" ht="20.149999999999999" customHeight="1" x14ac:dyDescent="0.35">
      <c r="A13" s="10"/>
      <c r="B13" s="11" t="s">
        <v>346</v>
      </c>
      <c r="C13" s="12">
        <v>50</v>
      </c>
    </row>
    <row r="14" spans="1:4" ht="20.149999999999999" customHeight="1" x14ac:dyDescent="0.35">
      <c r="A14" s="10"/>
      <c r="B14" s="11" t="s">
        <v>347</v>
      </c>
      <c r="C14" s="12">
        <v>10</v>
      </c>
    </row>
    <row r="15" spans="1:4" ht="24" customHeight="1" thickBot="1" x14ac:dyDescent="0.4">
      <c r="A15" s="28" t="s">
        <v>348</v>
      </c>
      <c r="B15" s="20" t="s">
        <v>143</v>
      </c>
      <c r="C15" s="13">
        <f>SUM(C13:C14)</f>
        <v>60</v>
      </c>
    </row>
    <row r="16" spans="1:4" ht="22" customHeight="1" thickTop="1" thickBot="1" x14ac:dyDescent="0.4"/>
    <row r="17" spans="1:4" ht="11.15" customHeight="1" thickTop="1" x14ac:dyDescent="0.35">
      <c r="A17" s="14"/>
      <c r="B17" s="15"/>
      <c r="C17" s="16"/>
      <c r="D17" s="18"/>
    </row>
    <row r="18" spans="1:4" ht="24" customHeight="1" x14ac:dyDescent="0.35">
      <c r="A18" s="10" t="s">
        <v>345</v>
      </c>
      <c r="B18" s="11" t="s">
        <v>145</v>
      </c>
      <c r="C18" s="12">
        <f>AR_Beg</f>
        <v>0</v>
      </c>
    </row>
    <row r="19" spans="1:4" ht="24" customHeight="1" x14ac:dyDescent="0.35">
      <c r="A19" s="10" t="s">
        <v>348</v>
      </c>
      <c r="B19" s="11" t="s">
        <v>146</v>
      </c>
      <c r="C19" s="12">
        <f>AR_End</f>
        <v>60</v>
      </c>
    </row>
    <row r="20" spans="1:4" ht="24" customHeight="1" thickBot="1" x14ac:dyDescent="0.4">
      <c r="B20" s="21" t="s">
        <v>147</v>
      </c>
      <c r="C20" s="17">
        <f>AR_End - AR_Beg</f>
        <v>60</v>
      </c>
    </row>
    <row r="21" spans="1:4" ht="22" customHeight="1" thickTop="1" x14ac:dyDescent="0.35"/>
    <row r="22" spans="1:4" ht="22" customHeight="1" x14ac:dyDescent="0.35"/>
    <row r="23" spans="1:4" ht="22" customHeight="1" x14ac:dyDescent="0.35"/>
    <row r="24" spans="1:4" ht="22" customHeight="1" x14ac:dyDescent="0.35"/>
    <row r="25" spans="1:4" ht="22" customHeight="1" x14ac:dyDescent="0.35"/>
    <row r="26" spans="1:4" ht="22" customHeight="1" x14ac:dyDescent="0.35"/>
    <row r="27" spans="1:4" ht="22" customHeight="1" x14ac:dyDescent="0.35"/>
    <row r="28" spans="1:4" ht="22" customHeight="1" x14ac:dyDescent="0.35"/>
    <row r="29" spans="1:4" ht="22" customHeight="1" x14ac:dyDescent="0.35"/>
    <row r="30" spans="1:4" ht="22" customHeight="1" x14ac:dyDescent="0.35"/>
    <row r="31" spans="1:4" ht="22" customHeight="1" x14ac:dyDescent="0.35"/>
    <row r="32" spans="1:4" ht="22" customHeight="1" x14ac:dyDescent="0.35"/>
    <row r="33" ht="22" customHeight="1" x14ac:dyDescent="0.35"/>
    <row r="34" ht="22" customHeight="1" x14ac:dyDescent="0.35"/>
    <row r="35" ht="22" customHeight="1" x14ac:dyDescent="0.35"/>
    <row r="36" ht="22" customHeight="1" x14ac:dyDescent="0.35"/>
    <row r="37" ht="22" customHeight="1" x14ac:dyDescent="0.35"/>
    <row r="38" ht="22" customHeight="1" x14ac:dyDescent="0.35"/>
    <row r="39" ht="22" customHeight="1" x14ac:dyDescent="0.35"/>
    <row r="40" ht="22" customHeight="1" x14ac:dyDescent="0.35"/>
  </sheetData>
  <pageMargins left="1.2" right="1.1000000000000001" top="0.5" bottom="1" header="0.5" footer="0.5"/>
  <pageSetup orientation="portrait" blackAndWhite="1" r:id="rId1"/>
  <headerFooter alignWithMargins="0">
    <oddFooter>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opLeftCell="A16" zoomScale="75" workbookViewId="0">
      <selection activeCell="C7" sqref="C7"/>
    </sheetView>
  </sheetViews>
  <sheetFormatPr defaultColWidth="9" defaultRowHeight="15.5" x14ac:dyDescent="0.35"/>
  <cols>
    <col min="1" max="1" width="5.5" style="4" customWidth="1"/>
    <col min="2" max="2" width="49.75" style="5" customWidth="1"/>
    <col min="3" max="3" width="13.58203125" style="6" customWidth="1"/>
    <col min="4" max="4" width="4.33203125" style="1" customWidth="1"/>
    <col min="5" max="16384" width="9" style="1"/>
  </cols>
  <sheetData>
    <row r="1" spans="1:4" s="2" customFormat="1" ht="22" customHeight="1" x14ac:dyDescent="0.4">
      <c r="A1" s="19" t="s">
        <v>349</v>
      </c>
      <c r="C1" s="26"/>
    </row>
    <row r="2" spans="1:4" s="2" customFormat="1" ht="23.25" customHeight="1" x14ac:dyDescent="0.4">
      <c r="A2" s="19" t="s">
        <v>54</v>
      </c>
      <c r="C2" s="27">
        <f>Year</f>
        <v>1997</v>
      </c>
    </row>
    <row r="3" spans="1:4" ht="15.75" customHeight="1" thickBot="1" x14ac:dyDescent="0.4">
      <c r="A3" s="23"/>
      <c r="B3" s="24"/>
      <c r="C3" s="23"/>
      <c r="D3" s="25"/>
    </row>
    <row r="4" spans="1:4" ht="11.15" customHeight="1" thickTop="1" x14ac:dyDescent="0.35">
      <c r="A4" s="14"/>
      <c r="B4" s="15"/>
      <c r="C4" s="16"/>
      <c r="D4" s="18"/>
    </row>
    <row r="5" spans="1:4" ht="24" customHeight="1" x14ac:dyDescent="0.35">
      <c r="A5" s="22" t="s">
        <v>350</v>
      </c>
    </row>
    <row r="6" spans="1:4" s="9" customFormat="1" ht="24" customHeight="1" x14ac:dyDescent="0.35">
      <c r="A6" s="28">
        <v>14</v>
      </c>
      <c r="B6" s="7" t="s">
        <v>351</v>
      </c>
      <c r="C6" s="8"/>
    </row>
    <row r="7" spans="1:4" ht="20.149999999999999" customHeight="1" x14ac:dyDescent="0.35">
      <c r="A7" s="10"/>
      <c r="B7" s="11" t="s">
        <v>352</v>
      </c>
      <c r="C7" s="12">
        <v>0</v>
      </c>
    </row>
    <row r="8" spans="1:4" s="9" customFormat="1" ht="24" customHeight="1" x14ac:dyDescent="0.35">
      <c r="A8" s="28">
        <v>15</v>
      </c>
      <c r="B8" s="11" t="s">
        <v>353</v>
      </c>
      <c r="C8" s="30">
        <v>0</v>
      </c>
    </row>
    <row r="9" spans="1:4" s="9" customFormat="1" ht="24" customHeight="1" x14ac:dyDescent="0.35">
      <c r="A9" s="28">
        <v>16</v>
      </c>
      <c r="B9" s="11" t="s">
        <v>354</v>
      </c>
      <c r="C9" s="30">
        <v>0</v>
      </c>
    </row>
    <row r="10" spans="1:4" s="9" customFormat="1" ht="24" customHeight="1" x14ac:dyDescent="0.35">
      <c r="A10" s="28">
        <v>18</v>
      </c>
      <c r="B10" s="7" t="s">
        <v>355</v>
      </c>
      <c r="C10" s="8"/>
    </row>
    <row r="11" spans="1:4" ht="20.149999999999999" customHeight="1" x14ac:dyDescent="0.35">
      <c r="A11" s="10"/>
      <c r="B11" s="11" t="s">
        <v>352</v>
      </c>
      <c r="C11" s="12">
        <v>0</v>
      </c>
    </row>
    <row r="12" spans="1:4" s="9" customFormat="1" ht="24" customHeight="1" x14ac:dyDescent="0.35">
      <c r="A12" s="28">
        <v>19</v>
      </c>
      <c r="B12" s="7" t="s">
        <v>356</v>
      </c>
      <c r="C12" s="8"/>
    </row>
    <row r="13" spans="1:4" ht="20.149999999999999" customHeight="1" x14ac:dyDescent="0.35">
      <c r="A13" s="10"/>
      <c r="B13" s="11" t="s">
        <v>352</v>
      </c>
      <c r="C13" s="12">
        <v>0</v>
      </c>
    </row>
    <row r="14" spans="1:4" s="9" customFormat="1" ht="24" customHeight="1" x14ac:dyDescent="0.35">
      <c r="A14" s="28">
        <v>20</v>
      </c>
      <c r="B14" s="7" t="s">
        <v>162</v>
      </c>
      <c r="C14" s="8"/>
    </row>
    <row r="15" spans="1:4" ht="20.149999999999999" customHeight="1" x14ac:dyDescent="0.35">
      <c r="A15" s="10"/>
      <c r="B15" s="11" t="s">
        <v>346</v>
      </c>
      <c r="C15" s="12">
        <v>50</v>
      </c>
    </row>
    <row r="16" spans="1:4" ht="20.149999999999999" customHeight="1" x14ac:dyDescent="0.35">
      <c r="A16" s="10"/>
      <c r="B16" s="11" t="s">
        <v>347</v>
      </c>
      <c r="C16" s="12">
        <v>10</v>
      </c>
    </row>
    <row r="17" spans="1:4" ht="24" customHeight="1" thickBot="1" x14ac:dyDescent="0.4">
      <c r="A17" s="28">
        <v>21</v>
      </c>
      <c r="B17" s="87" t="s">
        <v>167</v>
      </c>
      <c r="C17" s="13">
        <f>SUM(C6:C16)</f>
        <v>60</v>
      </c>
    </row>
    <row r="18" spans="1:4" ht="22" customHeight="1" thickTop="1" thickBot="1" x14ac:dyDescent="0.4"/>
    <row r="19" spans="1:4" ht="11.15" customHeight="1" thickTop="1" x14ac:dyDescent="0.35">
      <c r="A19" s="14"/>
      <c r="B19" s="15"/>
      <c r="C19" s="16"/>
      <c r="D19" s="18"/>
    </row>
    <row r="20" spans="1:4" ht="24" customHeight="1" x14ac:dyDescent="0.35">
      <c r="A20" s="22" t="s">
        <v>357</v>
      </c>
    </row>
    <row r="21" spans="1:4" s="9" customFormat="1" ht="24" customHeight="1" x14ac:dyDescent="0.35">
      <c r="A21" s="28">
        <v>14</v>
      </c>
      <c r="B21" s="7" t="s">
        <v>358</v>
      </c>
      <c r="C21" s="8"/>
    </row>
    <row r="22" spans="1:4" ht="20.149999999999999" customHeight="1" x14ac:dyDescent="0.35">
      <c r="A22" s="10"/>
      <c r="B22" s="11" t="s">
        <v>352</v>
      </c>
      <c r="C22" s="12">
        <v>0</v>
      </c>
    </row>
    <row r="23" spans="1:4" s="9" customFormat="1" ht="24" customHeight="1" x14ac:dyDescent="0.35">
      <c r="A23" s="28">
        <v>15</v>
      </c>
      <c r="B23" s="11" t="s">
        <v>359</v>
      </c>
      <c r="C23" s="30">
        <v>0</v>
      </c>
    </row>
    <row r="24" spans="1:4" s="9" customFormat="1" ht="24" customHeight="1" x14ac:dyDescent="0.35">
      <c r="A24" s="28">
        <v>16</v>
      </c>
      <c r="B24" s="11" t="s">
        <v>360</v>
      </c>
      <c r="C24" s="30">
        <v>0</v>
      </c>
    </row>
    <row r="25" spans="1:4" s="9" customFormat="1" ht="24" customHeight="1" x14ac:dyDescent="0.35">
      <c r="A25" s="28">
        <v>18</v>
      </c>
      <c r="B25" s="7" t="s">
        <v>361</v>
      </c>
      <c r="C25" s="8"/>
    </row>
    <row r="26" spans="1:4" ht="20.149999999999999" customHeight="1" x14ac:dyDescent="0.35">
      <c r="A26" s="10"/>
      <c r="B26" s="11" t="s">
        <v>352</v>
      </c>
      <c r="C26" s="12">
        <v>0</v>
      </c>
    </row>
    <row r="27" spans="1:4" s="9" customFormat="1" ht="24" customHeight="1" x14ac:dyDescent="0.35">
      <c r="A27" s="28">
        <v>19</v>
      </c>
      <c r="B27" s="7" t="s">
        <v>362</v>
      </c>
      <c r="C27" s="8"/>
    </row>
    <row r="28" spans="1:4" ht="20.149999999999999" customHeight="1" x14ac:dyDescent="0.35">
      <c r="A28" s="10"/>
      <c r="B28" s="11" t="s">
        <v>352</v>
      </c>
      <c r="C28" s="12">
        <v>0</v>
      </c>
    </row>
    <row r="29" spans="1:4" s="9" customFormat="1" ht="24" customHeight="1" x14ac:dyDescent="0.35">
      <c r="A29" s="28">
        <v>20</v>
      </c>
      <c r="B29" s="7" t="s">
        <v>162</v>
      </c>
      <c r="C29" s="8"/>
    </row>
    <row r="30" spans="1:4" ht="20.149999999999999" customHeight="1" x14ac:dyDescent="0.35">
      <c r="A30" s="10"/>
      <c r="B30" s="11" t="s">
        <v>363</v>
      </c>
      <c r="C30" s="12">
        <v>0</v>
      </c>
    </row>
    <row r="31" spans="1:4" ht="24" customHeight="1" thickBot="1" x14ac:dyDescent="0.4">
      <c r="A31" s="28">
        <v>27</v>
      </c>
      <c r="B31" s="87" t="s">
        <v>198</v>
      </c>
      <c r="C31" s="13">
        <f>SUM(C21:C30)</f>
        <v>0</v>
      </c>
    </row>
    <row r="32" spans="1:4" ht="22" customHeight="1" thickTop="1" thickBot="1" x14ac:dyDescent="0.4"/>
    <row r="33" spans="1:4" ht="11.15" customHeight="1" thickTop="1" x14ac:dyDescent="0.35">
      <c r="A33" s="14"/>
      <c r="B33" s="15"/>
      <c r="C33" s="16"/>
      <c r="D33" s="18"/>
    </row>
    <row r="34" spans="1:4" ht="24" customHeight="1" x14ac:dyDescent="0.35">
      <c r="A34" s="22" t="s">
        <v>199</v>
      </c>
    </row>
    <row r="35" spans="1:4" ht="24" customHeight="1" x14ac:dyDescent="0.35">
      <c r="A35" s="29">
        <v>21</v>
      </c>
      <c r="B35" s="11" t="s">
        <v>167</v>
      </c>
      <c r="C35" s="12">
        <f>AR_In</f>
        <v>60</v>
      </c>
    </row>
    <row r="36" spans="1:4" ht="24" customHeight="1" x14ac:dyDescent="0.35">
      <c r="A36" s="29">
        <v>27</v>
      </c>
      <c r="B36" s="11" t="s">
        <v>198</v>
      </c>
      <c r="C36" s="12">
        <f>AR_Out</f>
        <v>0</v>
      </c>
    </row>
    <row r="37" spans="1:4" ht="24" customHeight="1" thickBot="1" x14ac:dyDescent="0.4">
      <c r="B37" s="21" t="s">
        <v>200</v>
      </c>
      <c r="C37" s="17">
        <f>AR_In - AR_Out</f>
        <v>60</v>
      </c>
    </row>
    <row r="38" spans="1:4" ht="22" customHeight="1" thickTop="1" x14ac:dyDescent="0.35"/>
    <row r="39" spans="1:4" ht="24" customHeight="1" x14ac:dyDescent="0.35">
      <c r="A39" s="29" t="s">
        <v>345</v>
      </c>
      <c r="B39" s="11" t="s">
        <v>145</v>
      </c>
      <c r="C39" s="12">
        <f>AR_Beg</f>
        <v>0</v>
      </c>
    </row>
    <row r="40" spans="1:4" ht="24" customHeight="1" x14ac:dyDescent="0.35">
      <c r="A40" s="29" t="s">
        <v>348</v>
      </c>
      <c r="B40" s="11" t="s">
        <v>146</v>
      </c>
      <c r="C40" s="12">
        <f>AR_End</f>
        <v>60</v>
      </c>
    </row>
    <row r="41" spans="1:4" ht="24" customHeight="1" thickBot="1" x14ac:dyDescent="0.4">
      <c r="B41" s="21" t="s">
        <v>147</v>
      </c>
      <c r="C41" s="17">
        <f>AR_End - AR_Beg</f>
        <v>60</v>
      </c>
    </row>
    <row r="42" spans="1:4" ht="22" customHeight="1" thickTop="1" x14ac:dyDescent="0.35"/>
    <row r="43" spans="1:4" ht="22" customHeight="1" x14ac:dyDescent="0.35"/>
    <row r="44" spans="1:4" ht="22" customHeight="1" x14ac:dyDescent="0.35"/>
    <row r="45" spans="1:4" ht="22" customHeight="1" x14ac:dyDescent="0.35"/>
    <row r="46" spans="1:4" ht="22" customHeight="1" x14ac:dyDescent="0.35"/>
    <row r="47" spans="1:4" ht="22" customHeight="1" x14ac:dyDescent="0.35"/>
    <row r="48" spans="1:4" ht="22" customHeight="1" x14ac:dyDescent="0.35"/>
    <row r="49" ht="22" customHeight="1" x14ac:dyDescent="0.35"/>
    <row r="50" ht="22" customHeight="1" x14ac:dyDescent="0.35"/>
    <row r="51" ht="22" customHeight="1" x14ac:dyDescent="0.35"/>
    <row r="52" ht="22" customHeight="1" x14ac:dyDescent="0.35"/>
    <row r="53" ht="22" customHeight="1" x14ac:dyDescent="0.35"/>
    <row r="54" ht="22" customHeight="1" x14ac:dyDescent="0.35"/>
    <row r="55" ht="22" customHeight="1" x14ac:dyDescent="0.35"/>
    <row r="56" ht="22" customHeight="1" x14ac:dyDescent="0.35"/>
    <row r="57" ht="22" customHeight="1" x14ac:dyDescent="0.35"/>
    <row r="58" ht="22" customHeight="1" x14ac:dyDescent="0.35"/>
    <row r="59" ht="22" customHeight="1" x14ac:dyDescent="0.35"/>
    <row r="60" ht="22" customHeight="1" x14ac:dyDescent="0.35"/>
    <row r="61" ht="22" customHeight="1" x14ac:dyDescent="0.35"/>
  </sheetData>
  <pageMargins left="1.2" right="1.1000000000000001" top="0.5" bottom="1" header="0.5" footer="0.5"/>
  <pageSetup orientation="portrait" blackAndWhite="1" r:id="rId1"/>
  <headerFooter alignWithMargins="0">
    <oddFooter>&amp;CPage &amp;P of &amp;N</oddFooter>
  </headerFooter>
  <rowBreaks count="1" manualBreakCount="1">
    <brk id="33" max="6553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zoomScale="75" workbookViewId="0">
      <selection activeCell="B7" sqref="B7"/>
    </sheetView>
  </sheetViews>
  <sheetFormatPr defaultColWidth="9" defaultRowHeight="15.5" x14ac:dyDescent="0.35"/>
  <cols>
    <col min="1" max="1" width="5.5" style="4" customWidth="1"/>
    <col min="2" max="2" width="49.75" style="5" customWidth="1"/>
    <col min="3" max="3" width="13.58203125" style="6" customWidth="1"/>
    <col min="4" max="4" width="4.33203125" style="1" customWidth="1"/>
    <col min="5" max="16384" width="9" style="1"/>
  </cols>
  <sheetData>
    <row r="1" spans="1:4" s="2" customFormat="1" ht="22" customHeight="1" x14ac:dyDescent="0.4">
      <c r="A1" s="19" t="s">
        <v>364</v>
      </c>
      <c r="C1" s="26"/>
    </row>
    <row r="2" spans="1:4" s="2" customFormat="1" ht="23.25" customHeight="1" x14ac:dyDescent="0.4">
      <c r="A2" s="19" t="s">
        <v>54</v>
      </c>
      <c r="C2" s="27">
        <f>Year</f>
        <v>1997</v>
      </c>
    </row>
    <row r="3" spans="1:4" ht="15.75" customHeight="1" thickBot="1" x14ac:dyDescent="0.4">
      <c r="A3" s="23"/>
      <c r="B3" s="24"/>
      <c r="C3" s="23"/>
      <c r="D3" s="25"/>
    </row>
    <row r="4" spans="1:4" ht="11.15" customHeight="1" thickTop="1" x14ac:dyDescent="0.35">
      <c r="A4" s="14"/>
      <c r="B4" s="15"/>
      <c r="C4" s="16"/>
      <c r="D4" s="18"/>
    </row>
    <row r="5" spans="1:4" ht="24" customHeight="1" x14ac:dyDescent="0.35">
      <c r="A5" s="22" t="str">
        <f>"BEGINNING YEAR (BALANCE ON 1 JAN "&amp;Year&amp;")"</f>
        <v>BEGINNING YEAR (BALANCE ON 1 JAN 1997)</v>
      </c>
    </row>
    <row r="6" spans="1:4" s="9" customFormat="1" ht="24" customHeight="1" x14ac:dyDescent="0.35">
      <c r="A6" s="28">
        <v>7</v>
      </c>
      <c r="B6" s="7" t="s">
        <v>365</v>
      </c>
      <c r="C6" s="8"/>
    </row>
    <row r="7" spans="1:4" ht="20.149999999999999" customHeight="1" x14ac:dyDescent="0.35">
      <c r="A7" s="10"/>
      <c r="B7" s="11" t="s">
        <v>366</v>
      </c>
      <c r="C7" s="12">
        <v>25</v>
      </c>
    </row>
    <row r="8" spans="1:4" ht="24" customHeight="1" thickBot="1" x14ac:dyDescent="0.4">
      <c r="A8" s="28" t="s">
        <v>367</v>
      </c>
      <c r="B8" s="20" t="s">
        <v>143</v>
      </c>
      <c r="C8" s="13">
        <f>SUM(C7:C7)</f>
        <v>25</v>
      </c>
    </row>
    <row r="9" spans="1:4" ht="22" customHeight="1" thickTop="1" thickBot="1" x14ac:dyDescent="0.4"/>
    <row r="10" spans="1:4" ht="11.15" customHeight="1" thickTop="1" x14ac:dyDescent="0.35">
      <c r="A10" s="14"/>
      <c r="B10" s="15"/>
      <c r="C10" s="16"/>
      <c r="D10" s="18"/>
    </row>
    <row r="11" spans="1:4" ht="24" customHeight="1" x14ac:dyDescent="0.35">
      <c r="A11" s="22" t="str">
        <f>"ENDING YEAR (BALANCE ON 31 DEC "&amp;Year&amp;")"</f>
        <v>ENDING YEAR (BALANCE ON 31 DEC 1997)</v>
      </c>
    </row>
    <row r="12" spans="1:4" s="9" customFormat="1" ht="24" customHeight="1" x14ac:dyDescent="0.35">
      <c r="A12" s="28">
        <v>7</v>
      </c>
      <c r="B12" s="7" t="s">
        <v>365</v>
      </c>
      <c r="C12" s="8"/>
    </row>
    <row r="13" spans="1:4" ht="20.149999999999999" customHeight="1" x14ac:dyDescent="0.35">
      <c r="A13" s="10"/>
      <c r="B13" s="11" t="s">
        <v>368</v>
      </c>
      <c r="C13" s="12">
        <v>0</v>
      </c>
    </row>
    <row r="14" spans="1:4" ht="24" customHeight="1" thickBot="1" x14ac:dyDescent="0.4">
      <c r="A14" s="28" t="s">
        <v>369</v>
      </c>
      <c r="B14" s="20" t="s">
        <v>143</v>
      </c>
      <c r="C14" s="13">
        <f>SUM(C13:C13)</f>
        <v>0</v>
      </c>
    </row>
    <row r="15" spans="1:4" ht="22" customHeight="1" thickTop="1" thickBot="1" x14ac:dyDescent="0.4"/>
    <row r="16" spans="1:4" ht="11.15" customHeight="1" thickTop="1" x14ac:dyDescent="0.35">
      <c r="A16" s="14"/>
      <c r="B16" s="15"/>
      <c r="C16" s="16"/>
      <c r="D16" s="18"/>
    </row>
    <row r="17" spans="1:3" ht="24" customHeight="1" x14ac:dyDescent="0.35">
      <c r="A17" s="10" t="s">
        <v>367</v>
      </c>
      <c r="B17" s="11" t="s">
        <v>145</v>
      </c>
      <c r="C17" s="12">
        <f>AP_Beg</f>
        <v>25</v>
      </c>
    </row>
    <row r="18" spans="1:3" ht="24" customHeight="1" x14ac:dyDescent="0.35">
      <c r="A18" s="10" t="s">
        <v>369</v>
      </c>
      <c r="B18" s="11" t="s">
        <v>146</v>
      </c>
      <c r="C18" s="12">
        <f>AP_End</f>
        <v>0</v>
      </c>
    </row>
    <row r="19" spans="1:3" ht="24" customHeight="1" thickBot="1" x14ac:dyDescent="0.4">
      <c r="B19" s="21" t="s">
        <v>147</v>
      </c>
      <c r="C19" s="17">
        <f>AP_End - AP_Beg</f>
        <v>-25</v>
      </c>
    </row>
    <row r="20" spans="1:3" ht="22" customHeight="1" thickTop="1" x14ac:dyDescent="0.35"/>
    <row r="21" spans="1:3" ht="22" customHeight="1" x14ac:dyDescent="0.35"/>
    <row r="22" spans="1:3" ht="22" customHeight="1" x14ac:dyDescent="0.35"/>
    <row r="23" spans="1:3" ht="22" customHeight="1" x14ac:dyDescent="0.35"/>
    <row r="24" spans="1:3" ht="22" customHeight="1" x14ac:dyDescent="0.35"/>
    <row r="25" spans="1:3" ht="22" customHeight="1" x14ac:dyDescent="0.35"/>
    <row r="26" spans="1:3" ht="22" customHeight="1" x14ac:dyDescent="0.35"/>
    <row r="27" spans="1:3" ht="22" customHeight="1" x14ac:dyDescent="0.35"/>
    <row r="28" spans="1:3" ht="22" customHeight="1" x14ac:dyDescent="0.35"/>
    <row r="29" spans="1:3" ht="22" customHeight="1" x14ac:dyDescent="0.35"/>
    <row r="30" spans="1:3" ht="22" customHeight="1" x14ac:dyDescent="0.35"/>
    <row r="31" spans="1:3" ht="22" customHeight="1" x14ac:dyDescent="0.35"/>
    <row r="32" spans="1:3" ht="22" customHeight="1" x14ac:dyDescent="0.35"/>
    <row r="33" ht="22" customHeight="1" x14ac:dyDescent="0.35"/>
    <row r="34" ht="22" customHeight="1" x14ac:dyDescent="0.35"/>
    <row r="35" ht="22" customHeight="1" x14ac:dyDescent="0.35"/>
    <row r="36" ht="22" customHeight="1" x14ac:dyDescent="0.35"/>
    <row r="37" ht="22" customHeight="1" x14ac:dyDescent="0.35"/>
    <row r="38" ht="22" customHeight="1" x14ac:dyDescent="0.35"/>
    <row r="39" ht="22" customHeight="1" x14ac:dyDescent="0.35"/>
  </sheetData>
  <pageMargins left="1.2" right="1.1000000000000001" top="0.5" bottom="1" header="0.5" footer="0.5"/>
  <pageSetup orientation="portrait" blackAndWhite="1" r:id="rId1"/>
  <headerFooter alignWithMargins="0">
    <oddFooter>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opLeftCell="A15" zoomScale="75" workbookViewId="0">
      <selection activeCell="C6" sqref="C6"/>
    </sheetView>
  </sheetViews>
  <sheetFormatPr defaultColWidth="9" defaultRowHeight="15.5" x14ac:dyDescent="0.35"/>
  <cols>
    <col min="1" max="1" width="5.5" style="4" customWidth="1"/>
    <col min="2" max="2" width="49.75" style="5" customWidth="1"/>
    <col min="3" max="3" width="13.58203125" style="6" customWidth="1"/>
    <col min="4" max="4" width="4.33203125" style="1" customWidth="1"/>
    <col min="5" max="16384" width="9" style="1"/>
  </cols>
  <sheetData>
    <row r="1" spans="1:4" s="2" customFormat="1" ht="22" customHeight="1" x14ac:dyDescent="0.4">
      <c r="A1" s="19" t="s">
        <v>370</v>
      </c>
      <c r="C1" s="26"/>
    </row>
    <row r="2" spans="1:4" s="2" customFormat="1" ht="23.25" customHeight="1" x14ac:dyDescent="0.4">
      <c r="A2" s="19" t="s">
        <v>54</v>
      </c>
      <c r="C2" s="27">
        <f>Year</f>
        <v>1997</v>
      </c>
    </row>
    <row r="3" spans="1:4" ht="15.75" customHeight="1" thickBot="1" x14ac:dyDescent="0.4">
      <c r="A3" s="23"/>
      <c r="B3" s="24"/>
      <c r="C3" s="23"/>
      <c r="D3" s="25"/>
    </row>
    <row r="4" spans="1:4" ht="11.15" customHeight="1" thickTop="1" x14ac:dyDescent="0.35">
      <c r="A4" s="14"/>
      <c r="B4" s="15"/>
      <c r="C4" s="16"/>
      <c r="D4" s="18"/>
    </row>
    <row r="5" spans="1:4" ht="24" customHeight="1" x14ac:dyDescent="0.35">
      <c r="A5" s="22" t="s">
        <v>350</v>
      </c>
    </row>
    <row r="6" spans="1:4" s="9" customFormat="1" ht="24" customHeight="1" x14ac:dyDescent="0.35">
      <c r="A6" s="28">
        <v>22</v>
      </c>
      <c r="B6" s="11" t="s">
        <v>371</v>
      </c>
      <c r="C6" s="30">
        <v>0</v>
      </c>
    </row>
    <row r="7" spans="1:4" s="9" customFormat="1" ht="24" customHeight="1" x14ac:dyDescent="0.35">
      <c r="A7" s="28">
        <v>23</v>
      </c>
      <c r="B7" s="11" t="s">
        <v>372</v>
      </c>
      <c r="C7" s="30">
        <v>0</v>
      </c>
    </row>
    <row r="8" spans="1:4" s="9" customFormat="1" ht="24" customHeight="1" x14ac:dyDescent="0.35">
      <c r="A8" s="28">
        <v>24</v>
      </c>
      <c r="B8" s="11" t="s">
        <v>373</v>
      </c>
      <c r="C8" s="30">
        <v>0</v>
      </c>
    </row>
    <row r="9" spans="1:4" s="9" customFormat="1" ht="24" customHeight="1" x14ac:dyDescent="0.35">
      <c r="A9" s="28">
        <v>25</v>
      </c>
      <c r="B9" s="11" t="s">
        <v>374</v>
      </c>
      <c r="C9" s="30">
        <v>0</v>
      </c>
    </row>
    <row r="10" spans="1:4" s="9" customFormat="1" ht="24" customHeight="1" x14ac:dyDescent="0.35">
      <c r="A10" s="28">
        <v>26</v>
      </c>
      <c r="B10" s="7" t="s">
        <v>162</v>
      </c>
      <c r="C10" s="8"/>
    </row>
    <row r="11" spans="1:4" ht="20.149999999999999" customHeight="1" x14ac:dyDescent="0.35">
      <c r="A11" s="10"/>
      <c r="B11" s="11" t="s">
        <v>375</v>
      </c>
      <c r="C11" s="12">
        <v>0</v>
      </c>
    </row>
    <row r="12" spans="1:4" ht="24" customHeight="1" thickBot="1" x14ac:dyDescent="0.4">
      <c r="A12" s="28">
        <v>27</v>
      </c>
      <c r="B12" s="32" t="s">
        <v>167</v>
      </c>
      <c r="C12" s="13">
        <f>SUM(C6:C11)</f>
        <v>0</v>
      </c>
    </row>
    <row r="13" spans="1:4" ht="22" customHeight="1" thickTop="1" thickBot="1" x14ac:dyDescent="0.4"/>
    <row r="14" spans="1:4" ht="11.15" customHeight="1" thickTop="1" x14ac:dyDescent="0.35">
      <c r="A14" s="14"/>
      <c r="B14" s="15"/>
      <c r="C14" s="16"/>
      <c r="D14" s="18"/>
    </row>
    <row r="15" spans="1:4" ht="24" customHeight="1" x14ac:dyDescent="0.35">
      <c r="A15" s="22" t="s">
        <v>357</v>
      </c>
    </row>
    <row r="16" spans="1:4" s="9" customFormat="1" ht="24" customHeight="1" x14ac:dyDescent="0.35">
      <c r="A16" s="28">
        <v>22</v>
      </c>
      <c r="B16" s="11" t="s">
        <v>376</v>
      </c>
      <c r="C16" s="30">
        <v>0</v>
      </c>
    </row>
    <row r="17" spans="1:4" s="9" customFormat="1" ht="24" customHeight="1" x14ac:dyDescent="0.35">
      <c r="A17" s="28">
        <v>23</v>
      </c>
      <c r="B17" s="11" t="s">
        <v>377</v>
      </c>
      <c r="C17" s="30">
        <v>0</v>
      </c>
    </row>
    <row r="18" spans="1:4" s="9" customFormat="1" ht="24" customHeight="1" x14ac:dyDescent="0.35">
      <c r="A18" s="28">
        <v>24</v>
      </c>
      <c r="B18" s="11" t="s">
        <v>378</v>
      </c>
      <c r="C18" s="30">
        <v>0</v>
      </c>
    </row>
    <row r="19" spans="1:4" s="9" customFormat="1" ht="24" customHeight="1" x14ac:dyDescent="0.35">
      <c r="A19" s="28">
        <v>25</v>
      </c>
      <c r="B19" s="11" t="s">
        <v>379</v>
      </c>
      <c r="C19" s="30">
        <v>25</v>
      </c>
    </row>
    <row r="20" spans="1:4" s="9" customFormat="1" ht="24" customHeight="1" x14ac:dyDescent="0.35">
      <c r="A20" s="28">
        <v>26</v>
      </c>
      <c r="B20" s="7" t="s">
        <v>162</v>
      </c>
      <c r="C20" s="8"/>
    </row>
    <row r="21" spans="1:4" ht="20.149999999999999" customHeight="1" x14ac:dyDescent="0.35">
      <c r="A21" s="10"/>
      <c r="B21" s="11" t="s">
        <v>375</v>
      </c>
      <c r="C21" s="12">
        <v>0</v>
      </c>
    </row>
    <row r="22" spans="1:4" ht="24" customHeight="1" thickBot="1" x14ac:dyDescent="0.4">
      <c r="A22" s="28">
        <v>27</v>
      </c>
      <c r="B22" s="32" t="s">
        <v>198</v>
      </c>
      <c r="C22" s="13">
        <f>SUM(C16:C21)</f>
        <v>25</v>
      </c>
    </row>
    <row r="23" spans="1:4" ht="22" customHeight="1" thickTop="1" thickBot="1" x14ac:dyDescent="0.4"/>
    <row r="24" spans="1:4" ht="11.15" customHeight="1" thickTop="1" x14ac:dyDescent="0.35">
      <c r="A24" s="14"/>
      <c r="B24" s="15"/>
      <c r="C24" s="16"/>
      <c r="D24" s="18"/>
    </row>
    <row r="25" spans="1:4" ht="24" customHeight="1" x14ac:dyDescent="0.35">
      <c r="A25" s="22" t="s">
        <v>199</v>
      </c>
    </row>
    <row r="26" spans="1:4" ht="24" customHeight="1" x14ac:dyDescent="0.35">
      <c r="A26" s="29">
        <v>21</v>
      </c>
      <c r="B26" s="11" t="s">
        <v>167</v>
      </c>
      <c r="C26" s="12">
        <f>AP_In</f>
        <v>0</v>
      </c>
    </row>
    <row r="27" spans="1:4" ht="24" customHeight="1" x14ac:dyDescent="0.35">
      <c r="A27" s="29">
        <v>27</v>
      </c>
      <c r="B27" s="11" t="s">
        <v>198</v>
      </c>
      <c r="C27" s="12">
        <f>AP_Out</f>
        <v>25</v>
      </c>
    </row>
    <row r="28" spans="1:4" ht="24" customHeight="1" thickBot="1" x14ac:dyDescent="0.4">
      <c r="B28" s="21" t="s">
        <v>200</v>
      </c>
      <c r="C28" s="17">
        <f>AP_In - AP_Out</f>
        <v>-25</v>
      </c>
    </row>
    <row r="29" spans="1:4" ht="22" customHeight="1" thickTop="1" x14ac:dyDescent="0.35"/>
    <row r="30" spans="1:4" ht="24" customHeight="1" x14ac:dyDescent="0.35">
      <c r="A30" s="29" t="s">
        <v>142</v>
      </c>
      <c r="B30" s="11" t="s">
        <v>145</v>
      </c>
      <c r="C30" s="12">
        <f>AP_Beg</f>
        <v>25</v>
      </c>
    </row>
    <row r="31" spans="1:4" ht="24" customHeight="1" x14ac:dyDescent="0.35">
      <c r="A31" s="29" t="s">
        <v>144</v>
      </c>
      <c r="B31" s="11" t="s">
        <v>146</v>
      </c>
      <c r="C31" s="12">
        <f>AP_End</f>
        <v>0</v>
      </c>
    </row>
    <row r="32" spans="1:4" ht="24" customHeight="1" thickBot="1" x14ac:dyDescent="0.4">
      <c r="B32" s="21" t="s">
        <v>147</v>
      </c>
      <c r="C32" s="17">
        <f>AP_End - AP_Beg</f>
        <v>-25</v>
      </c>
    </row>
    <row r="33" ht="22" customHeight="1" thickTop="1" x14ac:dyDescent="0.35"/>
    <row r="34" ht="22" customHeight="1" x14ac:dyDescent="0.35"/>
    <row r="35" ht="22" customHeight="1" x14ac:dyDescent="0.35"/>
    <row r="36" ht="22" customHeight="1" x14ac:dyDescent="0.35"/>
    <row r="37" ht="22" customHeight="1" x14ac:dyDescent="0.35"/>
    <row r="38" ht="22" customHeight="1" x14ac:dyDescent="0.35"/>
    <row r="39" ht="22" customHeight="1" x14ac:dyDescent="0.35"/>
    <row r="40" ht="22" customHeight="1" x14ac:dyDescent="0.35"/>
    <row r="41" ht="22" customHeight="1" x14ac:dyDescent="0.35"/>
    <row r="42" ht="22" customHeight="1" x14ac:dyDescent="0.35"/>
    <row r="43" ht="22" customHeight="1" x14ac:dyDescent="0.35"/>
    <row r="44" ht="22" customHeight="1" x14ac:dyDescent="0.35"/>
    <row r="45" ht="22" customHeight="1" x14ac:dyDescent="0.35"/>
    <row r="46" ht="22" customHeight="1" x14ac:dyDescent="0.35"/>
    <row r="47" ht="22" customHeight="1" x14ac:dyDescent="0.35"/>
    <row r="48" ht="22" customHeight="1" x14ac:dyDescent="0.35"/>
    <row r="49" ht="22" customHeight="1" x14ac:dyDescent="0.35"/>
    <row r="50" ht="22" customHeight="1" x14ac:dyDescent="0.35"/>
    <row r="51" ht="22" customHeight="1" x14ac:dyDescent="0.35"/>
    <row r="52" ht="22" customHeight="1" x14ac:dyDescent="0.35"/>
  </sheetData>
  <pageMargins left="1.2" right="1.1000000000000001" top="0.5" bottom="1" header="0.5" footer="0.5"/>
  <pageSetup orientation="portrait" blackAndWhite="1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53</vt:i4>
      </vt:variant>
    </vt:vector>
  </HeadingPairs>
  <TitlesOfParts>
    <vt:vector size="66" baseType="lpstr">
      <vt:lpstr>Balance Sheet</vt:lpstr>
      <vt:lpstr>Income Statement</vt:lpstr>
      <vt:lpstr>Income Add</vt:lpstr>
      <vt:lpstr>Cash Bal</vt:lpstr>
      <vt:lpstr>Cash Flow</vt:lpstr>
      <vt:lpstr>Equip Bal</vt:lpstr>
      <vt:lpstr>Equip Flow</vt:lpstr>
      <vt:lpstr>Inv Bal</vt:lpstr>
      <vt:lpstr>Inv Flow</vt:lpstr>
      <vt:lpstr>AR Bal</vt:lpstr>
      <vt:lpstr>AR Flow</vt:lpstr>
      <vt:lpstr>AP Bal</vt:lpstr>
      <vt:lpstr>AP Flow</vt:lpstr>
      <vt:lpstr>AP_Beg</vt:lpstr>
      <vt:lpstr>AP_End</vt:lpstr>
      <vt:lpstr>AP_In</vt:lpstr>
      <vt:lpstr>AP_Out</vt:lpstr>
      <vt:lpstr>'AP Bal'!AR_Beg</vt:lpstr>
      <vt:lpstr>AR_Beg</vt:lpstr>
      <vt:lpstr>'AP Bal'!AR_End</vt:lpstr>
      <vt:lpstr>AR_End</vt:lpstr>
      <vt:lpstr>'AP Flow'!AR_In</vt:lpstr>
      <vt:lpstr>AR_In</vt:lpstr>
      <vt:lpstr>'AP Flow'!AR_Out</vt:lpstr>
      <vt:lpstr>AR_Out</vt:lpstr>
      <vt:lpstr>'Income Statement'!Assets_Beg</vt:lpstr>
      <vt:lpstr>Assets_Beg</vt:lpstr>
      <vt:lpstr>'Income Statement'!Assets_End</vt:lpstr>
      <vt:lpstr>Assets_End</vt:lpstr>
      <vt:lpstr>Cash_Beg</vt:lpstr>
      <vt:lpstr>Cash_End</vt:lpstr>
      <vt:lpstr>Cash_In</vt:lpstr>
      <vt:lpstr>Cash_Out</vt:lpstr>
      <vt:lpstr>Chapter_Name</vt:lpstr>
      <vt:lpstr>Dues</vt:lpstr>
      <vt:lpstr>Equip_Beg</vt:lpstr>
      <vt:lpstr>Equip_End</vt:lpstr>
      <vt:lpstr>Equip_In</vt:lpstr>
      <vt:lpstr>Equip_Out</vt:lpstr>
      <vt:lpstr>Interest</vt:lpstr>
      <vt:lpstr>Inv_Beg</vt:lpstr>
      <vt:lpstr>Inv_End</vt:lpstr>
      <vt:lpstr>Inv_In</vt:lpstr>
      <vt:lpstr>Inv_Out</vt:lpstr>
      <vt:lpstr>'Income Statement'!Liables_Beg</vt:lpstr>
      <vt:lpstr>Liables_Beg</vt:lpstr>
      <vt:lpstr>'Income Statement'!Liables_End</vt:lpstr>
      <vt:lpstr>Liables_End</vt:lpstr>
      <vt:lpstr>'AP Bal'!Print_Titles</vt:lpstr>
      <vt:lpstr>'AP Flow'!Print_Titles</vt:lpstr>
      <vt:lpstr>'AR Bal'!Print_Titles</vt:lpstr>
      <vt:lpstr>'AR Flow'!Print_Titles</vt:lpstr>
      <vt:lpstr>'Balance Sheet'!Print_Titles</vt:lpstr>
      <vt:lpstr>'Cash Bal'!Print_Titles</vt:lpstr>
      <vt:lpstr>'Cash Flow'!Print_Titles</vt:lpstr>
      <vt:lpstr>'Equip Bal'!Print_Titles</vt:lpstr>
      <vt:lpstr>'Equip Flow'!Print_Titles</vt:lpstr>
      <vt:lpstr>'Income Add'!Print_Titles</vt:lpstr>
      <vt:lpstr>'Income Statement'!Print_Titles</vt:lpstr>
      <vt:lpstr>'Inv Bal'!Print_Titles</vt:lpstr>
      <vt:lpstr>'Inv Flow'!Print_Titles</vt:lpstr>
      <vt:lpstr>'Income Statement'!Worth_Beg</vt:lpstr>
      <vt:lpstr>Worth_Beg</vt:lpstr>
      <vt:lpstr>'Income Statement'!Worth_End</vt:lpstr>
      <vt:lpstr>Worth_End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1998-02-09T17:47:37Z</cp:lastPrinted>
  <dcterms:created xsi:type="dcterms:W3CDTF">1998-02-07T00:43:19Z</dcterms:created>
  <dcterms:modified xsi:type="dcterms:W3CDTF">2020-01-27T10:29:35Z</dcterms:modified>
</cp:coreProperties>
</file>