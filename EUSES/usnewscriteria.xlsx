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C05DA1-ED76-4A0B-B837-685967CD91CC}" xr6:coauthVersionLast="45" xr6:coauthVersionMax="45" xr10:uidLastSave="{00000000-0000-0000-0000-000000000000}"/>
  <bookViews>
    <workbookView xWindow="4560" yWindow="4560" windowWidth="28800" windowHeight="15460"/>
  </bookViews>
  <sheets>
    <sheet name="USNews Criteria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5" i="1" l="1"/>
  <c r="AA25" i="1"/>
  <c r="AK26" i="1"/>
  <c r="AS26" i="1"/>
</calcChain>
</file>

<file path=xl/sharedStrings.xml><?xml version="1.0" encoding="utf-8"?>
<sst xmlns="http://schemas.openxmlformats.org/spreadsheetml/2006/main" count="315" uniqueCount="64">
  <si>
    <t>[Criteria Sorted by Percentage of Final Score]</t>
  </si>
  <si>
    <t xml:space="preserve"> </t>
  </si>
  <si>
    <t>2000 Rankings</t>
  </si>
  <si>
    <t>1999 Rankings</t>
  </si>
  <si>
    <t>1998 Rankings</t>
  </si>
  <si>
    <t>1997 Rankings</t>
  </si>
  <si>
    <t>1996 Rankings</t>
  </si>
  <si>
    <t>1995 Rankings</t>
  </si>
  <si>
    <t>1994 Rankings</t>
  </si>
  <si>
    <t>1993 Rankings</t>
  </si>
  <si>
    <t>1992 Rankings</t>
  </si>
  <si>
    <t>1991 Rankings</t>
  </si>
  <si>
    <t>UF Rank</t>
  </si>
  <si>
    <t>Attribute Rated</t>
  </si>
  <si>
    <t>% of Final Score</t>
  </si>
  <si>
    <t>(Among 32 AAU Publics)</t>
  </si>
  <si>
    <t>Acad. Reputation</t>
  </si>
  <si>
    <t>Graduation Rates (6-yr)</t>
  </si>
  <si>
    <t>Retention:</t>
  </si>
  <si>
    <t>Selectivity</t>
  </si>
  <si>
    <t>Financial Resources</t>
  </si>
  <si>
    <t>Educ. Expend./FT Student</t>
  </si>
  <si>
    <t>§</t>
  </si>
  <si>
    <t>Freshman Retention</t>
  </si>
  <si>
    <t>Freshman Acceptance Rate</t>
  </si>
  <si>
    <t>Faculty Compensation**</t>
  </si>
  <si>
    <t>N/Avail</t>
  </si>
  <si>
    <t>Freshman Yield Rate</t>
  </si>
  <si>
    <t>Test Scores</t>
  </si>
  <si>
    <t>% Classes of 50 or More</t>
  </si>
  <si>
    <t>Faculty Resources</t>
  </si>
  <si>
    <t>Percent Classes Under 20</t>
  </si>
  <si>
    <t>Student to Faculty Ratio</t>
  </si>
  <si>
    <t>HS Class Standing</t>
  </si>
  <si>
    <t>Fac. w/Terminal Degrees</t>
  </si>
  <si>
    <t>Grad Rate Performance</t>
  </si>
  <si>
    <t>Percent Part-time Faculty</t>
  </si>
  <si>
    <t>Alumni Giving Rate</t>
  </si>
  <si>
    <t>Freshman Retention Rates</t>
  </si>
  <si>
    <t>Class Size:</t>
  </si>
  <si>
    <t>Faculty Compensation</t>
  </si>
  <si>
    <t>% Classes Under 20</t>
  </si>
  <si>
    <t>% FT faculty w/Terminal Degrees</t>
  </si>
  <si>
    <t>% FT Faculty w/Doctorates</t>
  </si>
  <si>
    <t>Financial Resources:</t>
  </si>
  <si>
    <t>Educ. Expend. per student</t>
  </si>
  <si>
    <t>Total E&amp;G Expend divided by FTE</t>
  </si>
  <si>
    <t xml:space="preserve">Total E&amp;G Expend divided by </t>
  </si>
  <si>
    <t>Other Expend./FT Student</t>
  </si>
  <si>
    <t>Graduation Rate (6-yr)</t>
  </si>
  <si>
    <t>Other Expenditures per Student</t>
  </si>
  <si>
    <t>enrollment.</t>
  </si>
  <si>
    <t>headcount enrollment.</t>
  </si>
  <si>
    <t>Student-to-Faculty Ratio</t>
  </si>
  <si>
    <t>Student Satisfaction</t>
  </si>
  <si>
    <t>Percent Full-time Faculty</t>
  </si>
  <si>
    <t>Alumni Satisfaction (Giving Rate)</t>
  </si>
  <si>
    <t>5-yr Grad Rates of first-time</t>
  </si>
  <si>
    <t>5-year Grad Rates of first-time</t>
  </si>
  <si>
    <t>freshmen</t>
  </si>
  <si>
    <t>**Adjusted for cost of living (using indices from the Runzheimer International).</t>
  </si>
  <si>
    <r>
      <t>U.S. News &amp; World Report</t>
    </r>
    <r>
      <rPr>
        <b/>
        <sz val="14"/>
        <rFont val="Verdana"/>
        <family val="2"/>
      </rPr>
      <t xml:space="preserve"> </t>
    </r>
    <r>
      <rPr>
        <b/>
        <u/>
        <sz val="14"/>
        <rFont val="Verdana"/>
        <family val="2"/>
      </rPr>
      <t xml:space="preserve">
Ranking Criteria by Year</t>
    </r>
  </si>
  <si>
    <t>2001 Rankings</t>
  </si>
  <si>
    <r>
      <t xml:space="preserve">Denise Gater, </t>
    </r>
    <r>
      <rPr>
        <i/>
        <sz val="10"/>
        <rFont val="Verdana"/>
        <family val="2"/>
      </rPr>
      <t>TheCenter, 2000 (revised)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</si>
</sst>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0"/>
      <name val="Verdana"/>
      <family val="2"/>
    </font>
    <font>
      <b/>
      <i/>
      <sz val="14"/>
      <name val="Verdana"/>
      <family val="2"/>
    </font>
    <font>
      <b/>
      <sz val="14"/>
      <name val="Verdana"/>
      <family val="2"/>
    </font>
    <font>
      <b/>
      <u/>
      <sz val="14"/>
      <name val="Verdana"/>
      <family val="2"/>
    </font>
    <font>
      <b/>
      <i/>
      <u/>
      <sz val="14"/>
      <name val="Verdana"/>
      <family val="2"/>
    </font>
    <font>
      <b/>
      <sz val="9"/>
      <name val="Verdana"/>
      <family val="2"/>
    </font>
    <font>
      <i/>
      <sz val="10"/>
      <name val="Verdana"/>
      <family val="2"/>
    </font>
    <font>
      <b/>
      <sz val="16"/>
      <name val="Verdana"/>
      <family val="2"/>
    </font>
    <font>
      <sz val="14"/>
      <name val="Verdana"/>
      <family val="2"/>
    </font>
    <font>
      <sz val="12"/>
      <name val="Verdana"/>
      <family val="2"/>
    </font>
    <font>
      <b/>
      <sz val="10"/>
      <name val="Verdana"/>
      <family val="2"/>
    </font>
    <font>
      <b/>
      <u/>
      <sz val="10"/>
      <name val="Verdana"/>
      <family val="2"/>
    </font>
    <font>
      <sz val="10"/>
      <color indexed="41"/>
      <name val="Verdana"/>
      <family val="2"/>
    </font>
    <font>
      <b/>
      <sz val="12"/>
      <name val="Verdana"/>
      <family val="2"/>
    </font>
    <font>
      <b/>
      <sz val="8"/>
      <name val="Verdana"/>
      <family val="2"/>
    </font>
    <font>
      <b/>
      <sz val="10"/>
      <color indexed="41"/>
      <name val="Verdana"/>
      <family val="2"/>
    </font>
    <font>
      <sz val="9"/>
      <name val="Verdana"/>
      <family val="2"/>
    </font>
    <font>
      <sz val="9"/>
      <color indexed="41"/>
      <name val="Verdana"/>
      <family val="2"/>
    </font>
    <font>
      <b/>
      <sz val="9"/>
      <color indexed="4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Continuous"/>
    </xf>
    <xf numFmtId="0" fontId="8" fillId="0" borderId="0" xfId="0" applyFont="1" applyBorder="1"/>
    <xf numFmtId="0" fontId="9" fillId="0" borderId="0" xfId="0" applyFont="1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0" fontId="8" fillId="0" borderId="0" xfId="0" applyFont="1"/>
    <xf numFmtId="0" fontId="8" fillId="0" borderId="0" xfId="0" applyFont="1" applyAlignment="1"/>
    <xf numFmtId="0" fontId="1" fillId="0" borderId="1" xfId="0" applyFont="1" applyBorder="1"/>
    <xf numFmtId="0" fontId="8" fillId="0" borderId="1" xfId="0" applyFont="1" applyBorder="1" applyAlignment="1">
      <alignment horizontal="centerContinuous"/>
    </xf>
    <xf numFmtId="0" fontId="9" fillId="0" borderId="1" xfId="0" applyFont="1" applyBorder="1" applyAlignment="1">
      <alignment horizontal="centerContinuous"/>
    </xf>
    <xf numFmtId="0" fontId="10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Continuous"/>
    </xf>
    <xf numFmtId="0" fontId="12" fillId="0" borderId="0" xfId="0" applyFont="1" applyBorder="1" applyAlignment="1">
      <alignment horizontal="right"/>
    </xf>
    <xf numFmtId="0" fontId="10" fillId="0" borderId="0" xfId="0" applyFont="1"/>
    <xf numFmtId="0" fontId="14" fillId="0" borderId="0" xfId="0" applyFont="1" applyBorder="1"/>
    <xf numFmtId="0" fontId="12" fillId="0" borderId="2" xfId="0" applyFont="1" applyBorder="1"/>
    <xf numFmtId="0" fontId="11" fillId="0" borderId="2" xfId="0" applyFont="1" applyBorder="1"/>
    <xf numFmtId="0" fontId="12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centerContinuous"/>
    </xf>
    <xf numFmtId="0" fontId="15" fillId="0" borderId="2" xfId="0" applyFont="1" applyBorder="1" applyAlignment="1">
      <alignment horizontal="right" wrapText="1"/>
    </xf>
    <xf numFmtId="0" fontId="14" fillId="0" borderId="0" xfId="0" applyFont="1"/>
    <xf numFmtId="0" fontId="1" fillId="0" borderId="0" xfId="0" applyFont="1" applyBorder="1"/>
    <xf numFmtId="0" fontId="17" fillId="0" borderId="0" xfId="0" applyFont="1"/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8" fillId="2" borderId="1" xfId="0" applyFont="1" applyFill="1" applyBorder="1" applyAlignment="1">
      <alignment horizontal="centerContinuous"/>
    </xf>
    <xf numFmtId="0" fontId="13" fillId="2" borderId="0" xfId="0" applyFont="1" applyFill="1" applyBorder="1" applyAlignment="1">
      <alignment horizontal="centerContinuous"/>
    </xf>
    <xf numFmtId="0" fontId="16" fillId="2" borderId="0" xfId="0" applyFont="1" applyFill="1" applyBorder="1" applyAlignment="1">
      <alignment horizontal="centerContinuous"/>
    </xf>
    <xf numFmtId="0" fontId="13" fillId="2" borderId="0" xfId="0" applyFont="1" applyFill="1" applyBorder="1"/>
    <xf numFmtId="0" fontId="8" fillId="2" borderId="1" xfId="0" applyFont="1" applyFill="1" applyBorder="1"/>
    <xf numFmtId="0" fontId="10" fillId="2" borderId="0" xfId="0" applyFont="1" applyFill="1"/>
    <xf numFmtId="0" fontId="14" fillId="2" borderId="0" xfId="0" applyFont="1" applyFill="1"/>
    <xf numFmtId="0" fontId="1" fillId="2" borderId="0" xfId="0" applyFont="1" applyFill="1"/>
    <xf numFmtId="0" fontId="11" fillId="2" borderId="0" xfId="0" applyFont="1" applyFill="1"/>
    <xf numFmtId="0" fontId="1" fillId="2" borderId="1" xfId="0" applyFont="1" applyFill="1" applyBorder="1"/>
    <xf numFmtId="0" fontId="17" fillId="0" borderId="0" xfId="0" applyFont="1" applyBorder="1"/>
    <xf numFmtId="0" fontId="17" fillId="0" borderId="4" xfId="0" applyFont="1" applyBorder="1"/>
    <xf numFmtId="10" fontId="17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right"/>
    </xf>
    <xf numFmtId="0" fontId="17" fillId="0" borderId="0" xfId="0" applyFont="1" applyBorder="1" applyAlignment="1">
      <alignment horizontal="right"/>
    </xf>
    <xf numFmtId="0" fontId="18" fillId="2" borderId="0" xfId="0" applyFont="1" applyFill="1" applyBorder="1" applyAlignment="1">
      <alignment horizontal="right"/>
    </xf>
    <xf numFmtId="0" fontId="17" fillId="2" borderId="0" xfId="0" applyFont="1" applyFill="1"/>
    <xf numFmtId="0" fontId="17" fillId="0" borderId="5" xfId="0" applyFont="1" applyBorder="1"/>
    <xf numFmtId="10" fontId="17" fillId="0" borderId="5" xfId="0" applyNumberFormat="1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19" fillId="2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17" fillId="0" borderId="4" xfId="0" applyFont="1" applyFill="1" applyBorder="1"/>
    <xf numFmtId="0" fontId="17" fillId="0" borderId="5" xfId="0" applyFont="1" applyFill="1" applyBorder="1"/>
    <xf numFmtId="10" fontId="17" fillId="0" borderId="4" xfId="0" applyNumberFormat="1" applyFont="1" applyFill="1" applyBorder="1" applyAlignment="1">
      <alignment horizontal="center"/>
    </xf>
    <xf numFmtId="10" fontId="17" fillId="0" borderId="5" xfId="0" applyNumberFormat="1" applyFont="1" applyBorder="1"/>
    <xf numFmtId="10" fontId="17" fillId="0" borderId="0" xfId="0" applyNumberFormat="1" applyFont="1" applyBorder="1" applyAlignment="1">
      <alignment horizontal="center"/>
    </xf>
    <xf numFmtId="0" fontId="17" fillId="2" borderId="0" xfId="0" applyFont="1" applyFill="1" applyBorder="1"/>
    <xf numFmtId="0" fontId="2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K51"/>
  <sheetViews>
    <sheetView showGridLines="0" tabSelected="1" workbookViewId="0">
      <selection activeCell="BO1" sqref="BO1:BO65536"/>
    </sheetView>
  </sheetViews>
  <sheetFormatPr defaultColWidth="11.453125" defaultRowHeight="13.5" x14ac:dyDescent="0.3"/>
  <cols>
    <col min="1" max="1" width="2.7265625" style="1" customWidth="1"/>
    <col min="2" max="2" width="1.81640625" style="1" customWidth="1"/>
    <col min="3" max="3" width="2.1796875" style="1" customWidth="1"/>
    <col min="4" max="4" width="2.54296875" style="1" customWidth="1"/>
    <col min="5" max="5" width="11.453125" style="1" customWidth="1"/>
    <col min="6" max="6" width="5.54296875" style="1" customWidth="1"/>
    <col min="7" max="7" width="10" style="1" customWidth="1"/>
    <col min="8" max="8" width="1.26953125" style="1" customWidth="1"/>
    <col min="9" max="9" width="7.26953125" style="1" hidden="1" customWidth="1"/>
    <col min="10" max="10" width="1.81640625" style="1" customWidth="1"/>
    <col min="11" max="11" width="3.453125" style="1" customWidth="1"/>
    <col min="12" max="12" width="1.81640625" style="1" customWidth="1"/>
    <col min="13" max="13" width="2.1796875" style="1" customWidth="1"/>
    <col min="14" max="14" width="2.54296875" style="1" customWidth="1"/>
    <col min="15" max="15" width="11.453125" style="1" customWidth="1"/>
    <col min="16" max="16" width="8.1796875" style="1" customWidth="1"/>
    <col min="17" max="17" width="10" style="1" customWidth="1"/>
    <col min="18" max="18" width="1.26953125" style="1" customWidth="1"/>
    <col min="19" max="19" width="7.26953125" style="1" hidden="1" customWidth="1"/>
    <col min="20" max="20" width="1.81640625" style="1" customWidth="1"/>
    <col min="21" max="21" width="3.453125" style="1" customWidth="1"/>
    <col min="22" max="22" width="1.81640625" style="1" customWidth="1"/>
    <col min="23" max="23" width="2.1796875" style="1" customWidth="1"/>
    <col min="24" max="24" width="2.54296875" style="1" customWidth="1"/>
    <col min="25" max="25" width="11.453125" style="1" customWidth="1"/>
    <col min="26" max="26" width="8.1796875" style="1" customWidth="1"/>
    <col min="27" max="27" width="10.26953125" style="1" customWidth="1"/>
    <col min="28" max="28" width="1.26953125" style="1" customWidth="1"/>
    <col min="29" max="29" width="7.26953125" style="1" hidden="1" customWidth="1"/>
    <col min="30" max="30" width="2.26953125" style="1" customWidth="1"/>
    <col min="31" max="31" width="4.1796875" style="1" customWidth="1"/>
    <col min="32" max="32" width="2.1796875" style="1" customWidth="1"/>
    <col min="33" max="33" width="2.54296875" style="1" customWidth="1"/>
    <col min="34" max="34" width="11.453125" style="1" customWidth="1"/>
    <col min="35" max="35" width="5.453125" style="1" customWidth="1"/>
    <col min="36" max="36" width="7.7265625" style="1" customWidth="1"/>
    <col min="37" max="37" width="10.453125" style="1" customWidth="1"/>
    <col min="38" max="38" width="1.54296875" style="1" customWidth="1"/>
    <col min="39" max="39" width="2.54296875" style="1" customWidth="1"/>
    <col min="40" max="40" width="11.453125" style="1" customWidth="1"/>
    <col min="41" max="41" width="5.453125" style="1" customWidth="1"/>
    <col min="42" max="42" width="10" style="1" customWidth="1"/>
    <col min="43" max="43" width="9.1796875" style="1" customWidth="1"/>
    <col min="44" max="44" width="2" style="1" customWidth="1"/>
    <col min="45" max="45" width="8.1796875" style="1" customWidth="1"/>
    <col min="46" max="46" width="2.54296875" style="1" customWidth="1"/>
    <col min="47" max="47" width="11.453125" style="1" customWidth="1"/>
    <col min="48" max="48" width="10" style="1" customWidth="1"/>
    <col min="49" max="49" width="14" style="1" customWidth="1"/>
    <col min="50" max="50" width="1.26953125" style="1" customWidth="1"/>
    <col min="51" max="51" width="20.7265625" style="1" customWidth="1"/>
    <col min="52" max="52" width="9.7265625" style="1" customWidth="1"/>
    <col min="53" max="53" width="2.54296875" style="1" customWidth="1"/>
    <col min="54" max="54" width="11.453125" style="1" customWidth="1"/>
    <col min="55" max="55" width="10" style="1" customWidth="1"/>
    <col min="56" max="56" width="4.81640625" style="1" customWidth="1"/>
    <col min="57" max="57" width="11.81640625" style="1" customWidth="1"/>
    <col min="58" max="58" width="22.26953125" style="1" customWidth="1"/>
    <col min="59" max="59" width="10.1796875" style="1" customWidth="1"/>
    <col min="60" max="60" width="2.54296875" style="1" customWidth="1"/>
    <col min="61" max="61" width="11.453125" style="1" customWidth="1"/>
    <col min="62" max="62" width="5.453125" style="1" customWidth="1"/>
    <col min="63" max="63" width="5.7265625" style="1" customWidth="1"/>
    <col min="64" max="64" width="11.453125" style="1" customWidth="1"/>
    <col min="65" max="65" width="25.7265625" style="1" customWidth="1"/>
    <col min="66" max="66" width="10.453125" style="1" customWidth="1"/>
    <col min="67" max="67" width="2.54296875" style="1" customWidth="1"/>
    <col min="68" max="68" width="11.453125" style="1" customWidth="1"/>
    <col min="69" max="69" width="5.453125" style="1" customWidth="1"/>
    <col min="70" max="70" width="4.54296875" style="1" customWidth="1"/>
    <col min="71" max="71" width="31.1796875" style="1" customWidth="1"/>
    <col min="72" max="72" width="2" style="1" customWidth="1"/>
    <col min="73" max="73" width="9.453125" style="1" customWidth="1"/>
    <col min="74" max="74" width="2.54296875" style="1" customWidth="1"/>
    <col min="75" max="75" width="11.453125" style="1" customWidth="1"/>
    <col min="76" max="76" width="5.453125" style="1" customWidth="1"/>
    <col min="77" max="77" width="8.26953125" style="1" customWidth="1"/>
    <col min="78" max="78" width="1.26953125" style="1" customWidth="1"/>
    <col min="79" max="80" width="11.453125" style="1" customWidth="1"/>
    <col min="81" max="81" width="7.26953125" style="1" customWidth="1"/>
    <col min="82" max="82" width="2.54296875" style="1" customWidth="1"/>
    <col min="83" max="84" width="11.453125" style="1" customWidth="1"/>
    <col min="85" max="85" width="6.7265625" style="1" customWidth="1"/>
    <col min="86" max="88" width="11.453125" style="1" customWidth="1"/>
    <col min="89" max="89" width="4.1796875" style="1" customWidth="1"/>
    <col min="90" max="16384" width="11.453125" style="1"/>
  </cols>
  <sheetData>
    <row r="1" spans="2:89" ht="12.75" customHeight="1" x14ac:dyDescent="0.3"/>
    <row r="2" spans="2:89" ht="43" customHeight="1" x14ac:dyDescent="0.3">
      <c r="B2" s="56" t="s">
        <v>61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2:89" ht="22.5" customHeight="1" x14ac:dyDescent="0.3">
      <c r="B3" s="58" t="s">
        <v>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2"/>
      <c r="R3" s="2"/>
      <c r="T3" s="2"/>
      <c r="U3" s="59" t="s">
        <v>63</v>
      </c>
      <c r="V3" s="59"/>
      <c r="W3" s="59"/>
      <c r="X3" s="59"/>
      <c r="Y3" s="59"/>
      <c r="Z3" s="59"/>
      <c r="AA3" s="59"/>
      <c r="AB3" s="59"/>
      <c r="AC3" s="59"/>
      <c r="AD3" s="59"/>
      <c r="AE3" s="2"/>
      <c r="AF3" s="2"/>
      <c r="AH3" s="2"/>
      <c r="AI3" s="2"/>
      <c r="AJ3" s="2"/>
      <c r="AK3" s="2"/>
      <c r="AL3" s="2"/>
      <c r="AM3" s="2"/>
      <c r="AO3" s="2"/>
      <c r="AP3" s="2"/>
      <c r="AQ3" s="2"/>
      <c r="AR3" s="2"/>
      <c r="AS3" s="2"/>
      <c r="AT3" s="2"/>
      <c r="AU3" s="2"/>
      <c r="AW3" s="2"/>
      <c r="AX3" s="2"/>
      <c r="AY3" s="2"/>
      <c r="AZ3" s="2"/>
      <c r="BA3" s="2"/>
      <c r="BB3" s="2"/>
      <c r="BC3" s="2"/>
      <c r="BE3" s="2"/>
      <c r="BF3" s="2"/>
      <c r="BG3" s="2"/>
      <c r="BH3" s="2"/>
      <c r="BI3" s="2"/>
      <c r="BJ3" s="2"/>
      <c r="BK3" s="2"/>
      <c r="BM3" s="2"/>
      <c r="BN3" s="2"/>
      <c r="BO3" s="2"/>
      <c r="BP3" s="2"/>
      <c r="BQ3" s="2"/>
      <c r="BR3" s="2"/>
      <c r="BS3" s="2"/>
      <c r="BU3" s="2"/>
      <c r="BV3" s="2"/>
      <c r="BW3" s="2"/>
      <c r="BX3" s="2"/>
      <c r="BY3" s="2"/>
      <c r="BZ3" s="2"/>
      <c r="CA3" s="2"/>
      <c r="CD3" s="2"/>
    </row>
    <row r="4" spans="2:89" s="6" customFormat="1" ht="16" customHeight="1" thickBot="1" x14ac:dyDescent="0.4">
      <c r="B4" s="3"/>
      <c r="C4" s="4"/>
      <c r="D4" s="5"/>
      <c r="E4" s="3"/>
      <c r="F4" s="5"/>
      <c r="G4" s="5"/>
      <c r="H4" s="5"/>
      <c r="I4" s="5"/>
      <c r="J4" s="5"/>
      <c r="K4" s="5"/>
      <c r="L4" s="3"/>
      <c r="M4" s="4"/>
      <c r="N4" s="5"/>
      <c r="O4" s="3"/>
      <c r="P4" s="5"/>
      <c r="Q4" s="5"/>
      <c r="R4" s="5"/>
      <c r="S4" s="5"/>
      <c r="T4" s="5"/>
      <c r="V4" s="3"/>
      <c r="W4" s="4"/>
      <c r="X4" s="5"/>
      <c r="Y4" s="3"/>
      <c r="Z4" s="5"/>
      <c r="AA4" s="5"/>
      <c r="AB4" s="5"/>
      <c r="AC4" s="5"/>
      <c r="AD4" s="5"/>
      <c r="AE4" s="7"/>
      <c r="AF4" s="4"/>
      <c r="AG4" s="5"/>
      <c r="AH4" s="3"/>
      <c r="AI4" s="5"/>
      <c r="AJ4" s="5"/>
      <c r="AK4" s="5"/>
      <c r="AM4" s="5"/>
      <c r="AN4" s="3"/>
      <c r="AO4" s="5"/>
      <c r="AP4" s="5"/>
      <c r="AQ4" s="5"/>
      <c r="AS4" s="4"/>
      <c r="AT4" s="5"/>
      <c r="AU4" s="3"/>
      <c r="AV4" s="5"/>
      <c r="AW4" s="5"/>
      <c r="AX4" s="5"/>
      <c r="AZ4" s="4"/>
      <c r="BA4" s="5"/>
      <c r="BB4" s="3"/>
      <c r="BC4" s="5"/>
      <c r="BD4" s="5"/>
      <c r="BE4" s="5"/>
      <c r="BG4" s="4"/>
      <c r="BH4" s="5"/>
      <c r="BI4" s="3"/>
      <c r="BJ4" s="5"/>
      <c r="BK4" s="5"/>
      <c r="BL4" s="5"/>
      <c r="BN4" s="4"/>
      <c r="BO4" s="5"/>
      <c r="BP4" s="3"/>
      <c r="BQ4" s="5"/>
      <c r="BR4" s="5"/>
      <c r="BS4" s="5"/>
      <c r="BU4" s="4"/>
      <c r="BV4" s="5"/>
      <c r="BW4" s="3"/>
      <c r="BX4" s="5"/>
      <c r="BY4" s="5"/>
      <c r="BZ4" s="5"/>
      <c r="CD4" s="5"/>
    </row>
    <row r="5" spans="2:89" s="6" customFormat="1" ht="20" thickBot="1" x14ac:dyDescent="0.4">
      <c r="B5" s="27" t="s">
        <v>62</v>
      </c>
      <c r="C5" s="8"/>
      <c r="D5" s="8"/>
      <c r="E5" s="8"/>
      <c r="F5" s="8"/>
      <c r="G5" s="8"/>
      <c r="H5" s="9"/>
      <c r="I5" s="9"/>
      <c r="J5" s="9"/>
      <c r="K5" s="28"/>
      <c r="L5" s="27" t="s">
        <v>2</v>
      </c>
      <c r="M5" s="8"/>
      <c r="N5" s="8"/>
      <c r="O5" s="8"/>
      <c r="P5" s="8"/>
      <c r="Q5" s="8"/>
      <c r="R5" s="9"/>
      <c r="S5" s="9"/>
      <c r="T5" s="9"/>
      <c r="U5" s="28"/>
      <c r="V5" s="26" t="s">
        <v>3</v>
      </c>
      <c r="W5" s="8"/>
      <c r="X5" s="8"/>
      <c r="Y5" s="8"/>
      <c r="Z5" s="8"/>
      <c r="AA5" s="8"/>
      <c r="AB5" s="9"/>
      <c r="AC5" s="9"/>
      <c r="AD5" s="9"/>
      <c r="AE5" s="32"/>
      <c r="AF5" s="26" t="s">
        <v>4</v>
      </c>
      <c r="AG5" s="10"/>
      <c r="AH5" s="9"/>
      <c r="AI5" s="9"/>
      <c r="AJ5" s="9"/>
      <c r="AK5" s="9"/>
      <c r="AL5" s="9"/>
      <c r="AM5" s="9"/>
      <c r="AN5" s="28"/>
      <c r="AO5" s="26" t="s">
        <v>5</v>
      </c>
      <c r="AP5" s="8"/>
      <c r="AQ5" s="8"/>
      <c r="AR5" s="8"/>
      <c r="AS5" s="8"/>
      <c r="AT5" s="9"/>
      <c r="AU5" s="37"/>
      <c r="AV5" s="26" t="s">
        <v>6</v>
      </c>
      <c r="AW5" s="8"/>
      <c r="AX5" s="8"/>
      <c r="AY5" s="8"/>
      <c r="AZ5" s="8"/>
      <c r="BA5" s="9"/>
      <c r="BB5" s="37"/>
      <c r="BC5" s="26" t="s">
        <v>7</v>
      </c>
      <c r="BD5" s="8"/>
      <c r="BE5" s="8"/>
      <c r="BF5" s="8"/>
      <c r="BG5" s="8"/>
      <c r="BH5" s="9"/>
      <c r="BI5" s="37"/>
      <c r="BJ5" s="26" t="s">
        <v>8</v>
      </c>
      <c r="BK5" s="8"/>
      <c r="BL5" s="8"/>
      <c r="BM5" s="8"/>
      <c r="BN5" s="8"/>
      <c r="BO5" s="9"/>
      <c r="BP5" s="37"/>
      <c r="BQ5" s="26" t="s">
        <v>9</v>
      </c>
      <c r="BR5" s="8"/>
      <c r="BS5" s="8"/>
      <c r="BT5" s="8"/>
      <c r="BU5" s="8"/>
      <c r="BV5" s="9"/>
      <c r="BW5" s="37"/>
      <c r="BX5" s="26" t="s">
        <v>10</v>
      </c>
      <c r="BY5" s="8"/>
      <c r="BZ5" s="8"/>
      <c r="CA5" s="8"/>
      <c r="CB5" s="8"/>
      <c r="CC5" s="8"/>
      <c r="CD5" s="9"/>
      <c r="CE5" s="37"/>
      <c r="CF5" s="26" t="s">
        <v>11</v>
      </c>
      <c r="CG5" s="8"/>
      <c r="CH5" s="8"/>
      <c r="CI5" s="8"/>
      <c r="CJ5" s="8"/>
      <c r="CK5" s="8"/>
    </row>
    <row r="6" spans="2:89" s="16" customFormat="1" ht="15" x14ac:dyDescent="0.3">
      <c r="B6" s="11"/>
      <c r="C6" s="12" t="s">
        <v>1</v>
      </c>
      <c r="D6" s="12"/>
      <c r="E6" s="12"/>
      <c r="F6" s="12"/>
      <c r="G6" s="13"/>
      <c r="H6" s="14"/>
      <c r="I6" s="15" t="s">
        <v>12</v>
      </c>
      <c r="J6" s="2"/>
      <c r="K6" s="29"/>
      <c r="L6" s="11"/>
      <c r="M6" s="12" t="s">
        <v>1</v>
      </c>
      <c r="N6" s="12"/>
      <c r="O6" s="12"/>
      <c r="P6" s="12"/>
      <c r="Q6" s="13"/>
      <c r="R6" s="14"/>
      <c r="S6" s="15" t="s">
        <v>12</v>
      </c>
      <c r="T6" s="2"/>
      <c r="U6" s="29"/>
      <c r="V6" s="11"/>
      <c r="W6" s="12" t="s">
        <v>1</v>
      </c>
      <c r="X6" s="12"/>
      <c r="Y6" s="12"/>
      <c r="Z6" s="12"/>
      <c r="AA6" s="13"/>
      <c r="AB6" s="14"/>
      <c r="AC6" s="15" t="s">
        <v>12</v>
      </c>
      <c r="AD6" s="2"/>
      <c r="AE6" s="33"/>
      <c r="AF6" s="11"/>
      <c r="AG6" s="12" t="s">
        <v>1</v>
      </c>
      <c r="AH6" s="12"/>
      <c r="AI6" s="12"/>
      <c r="AJ6" s="12"/>
      <c r="AK6" s="13"/>
      <c r="AL6" s="14"/>
      <c r="AM6" s="2"/>
      <c r="AN6" s="35"/>
      <c r="AO6" s="12" t="s">
        <v>1</v>
      </c>
      <c r="AP6" s="12"/>
      <c r="AQ6" s="12"/>
      <c r="AR6" s="12"/>
      <c r="AS6" s="13"/>
      <c r="AT6" s="2"/>
      <c r="AU6" s="33"/>
      <c r="AV6" s="12" t="s">
        <v>1</v>
      </c>
      <c r="AW6" s="12"/>
      <c r="AX6" s="12"/>
      <c r="AY6" s="12"/>
      <c r="AZ6" s="13"/>
      <c r="BA6" s="2"/>
      <c r="BB6" s="33"/>
      <c r="BC6" s="12" t="s">
        <v>1</v>
      </c>
      <c r="BD6" s="12"/>
      <c r="BE6" s="12"/>
      <c r="BF6" s="12"/>
      <c r="BG6" s="13"/>
      <c r="BH6" s="2"/>
      <c r="BI6" s="33"/>
      <c r="BJ6" s="12" t="s">
        <v>1</v>
      </c>
      <c r="BK6" s="12"/>
      <c r="BL6" s="12"/>
      <c r="BM6" s="12"/>
      <c r="BN6" s="13"/>
      <c r="BO6" s="2"/>
      <c r="BP6" s="33"/>
      <c r="BQ6" s="12" t="s">
        <v>1</v>
      </c>
      <c r="BR6" s="12"/>
      <c r="BS6" s="12"/>
      <c r="BT6" s="12"/>
      <c r="BU6" s="13"/>
      <c r="BV6" s="2"/>
      <c r="BW6" s="33"/>
      <c r="BX6" s="12" t="s">
        <v>1</v>
      </c>
      <c r="BY6" s="12"/>
      <c r="BZ6" s="12"/>
      <c r="CA6" s="12"/>
      <c r="CB6" s="13"/>
      <c r="CC6" s="14"/>
      <c r="CD6" s="2"/>
      <c r="CE6" s="33"/>
      <c r="CF6" s="12" t="s">
        <v>1</v>
      </c>
      <c r="CG6" s="12"/>
      <c r="CH6" s="12"/>
      <c r="CI6" s="12"/>
      <c r="CJ6" s="13"/>
      <c r="CK6" s="14"/>
    </row>
    <row r="7" spans="2:89" s="23" customFormat="1" ht="38.25" customHeight="1" x14ac:dyDescent="0.3">
      <c r="B7" s="17"/>
      <c r="C7" s="18" t="s">
        <v>13</v>
      </c>
      <c r="D7" s="19"/>
      <c r="E7" s="19"/>
      <c r="F7" s="19"/>
      <c r="G7" s="20" t="s">
        <v>14</v>
      </c>
      <c r="H7" s="21"/>
      <c r="I7" s="22" t="s">
        <v>15</v>
      </c>
      <c r="J7" s="14"/>
      <c r="K7" s="30"/>
      <c r="L7" s="17"/>
      <c r="M7" s="18" t="s">
        <v>13</v>
      </c>
      <c r="N7" s="19"/>
      <c r="O7" s="19"/>
      <c r="P7" s="19"/>
      <c r="Q7" s="20" t="s">
        <v>14</v>
      </c>
      <c r="R7" s="21"/>
      <c r="S7" s="22" t="s">
        <v>15</v>
      </c>
      <c r="T7" s="14"/>
      <c r="U7" s="30"/>
      <c r="V7" s="17"/>
      <c r="W7" s="18" t="s">
        <v>13</v>
      </c>
      <c r="X7" s="19"/>
      <c r="Y7" s="19"/>
      <c r="Z7" s="19"/>
      <c r="AA7" s="20" t="s">
        <v>14</v>
      </c>
      <c r="AB7" s="21"/>
      <c r="AC7" s="22" t="s">
        <v>15</v>
      </c>
      <c r="AD7" s="14"/>
      <c r="AE7" s="34"/>
      <c r="AF7" s="17"/>
      <c r="AG7" s="18" t="s">
        <v>13</v>
      </c>
      <c r="AH7" s="19"/>
      <c r="AI7" s="19"/>
      <c r="AJ7" s="19"/>
      <c r="AK7" s="20" t="s">
        <v>14</v>
      </c>
      <c r="AL7" s="21"/>
      <c r="AM7" s="14"/>
      <c r="AN7" s="36"/>
      <c r="AO7" s="18" t="s">
        <v>13</v>
      </c>
      <c r="AP7" s="19"/>
      <c r="AQ7" s="19"/>
      <c r="AR7" s="19"/>
      <c r="AS7" s="20" t="s">
        <v>14</v>
      </c>
      <c r="AT7" s="14"/>
      <c r="AU7" s="34"/>
      <c r="AV7" s="18" t="s">
        <v>13</v>
      </c>
      <c r="AW7" s="19"/>
      <c r="AX7" s="19"/>
      <c r="AY7" s="19"/>
      <c r="AZ7" s="20" t="s">
        <v>14</v>
      </c>
      <c r="BA7" s="14"/>
      <c r="BB7" s="34"/>
      <c r="BC7" s="18" t="s">
        <v>13</v>
      </c>
      <c r="BD7" s="19"/>
      <c r="BE7" s="19"/>
      <c r="BF7" s="19"/>
      <c r="BG7" s="20" t="s">
        <v>14</v>
      </c>
      <c r="BH7" s="14"/>
      <c r="BI7" s="34"/>
      <c r="BJ7" s="18" t="s">
        <v>13</v>
      </c>
      <c r="BK7" s="19"/>
      <c r="BL7" s="19"/>
      <c r="BM7" s="19"/>
      <c r="BN7" s="20" t="s">
        <v>14</v>
      </c>
      <c r="BO7" s="14"/>
      <c r="BP7" s="34"/>
      <c r="BQ7" s="18" t="s">
        <v>13</v>
      </c>
      <c r="BR7" s="19"/>
      <c r="BS7" s="19"/>
      <c r="BT7" s="19"/>
      <c r="BU7" s="20" t="s">
        <v>14</v>
      </c>
      <c r="BV7" s="14"/>
      <c r="BW7" s="34"/>
      <c r="BX7" s="18" t="s">
        <v>13</v>
      </c>
      <c r="BY7" s="19"/>
      <c r="BZ7" s="19"/>
      <c r="CA7" s="19"/>
      <c r="CB7" s="20" t="s">
        <v>14</v>
      </c>
      <c r="CC7" s="21"/>
      <c r="CD7" s="14"/>
      <c r="CE7" s="34"/>
      <c r="CF7" s="18" t="s">
        <v>13</v>
      </c>
      <c r="CG7" s="19"/>
      <c r="CH7" s="19"/>
      <c r="CI7" s="19"/>
      <c r="CJ7" s="20" t="s">
        <v>14</v>
      </c>
      <c r="CK7" s="21"/>
    </row>
    <row r="8" spans="2:89" ht="7" customHeight="1" x14ac:dyDescent="0.3">
      <c r="B8" s="24"/>
      <c r="C8" s="24"/>
      <c r="D8" s="24"/>
      <c r="E8" s="24"/>
      <c r="F8" s="24"/>
      <c r="G8" s="24"/>
      <c r="H8" s="24"/>
      <c r="I8" s="24"/>
      <c r="J8" s="24"/>
      <c r="K8" s="31"/>
      <c r="L8" s="24"/>
      <c r="M8" s="24"/>
      <c r="N8" s="24"/>
      <c r="O8" s="24"/>
      <c r="P8" s="24"/>
      <c r="Q8" s="24"/>
      <c r="R8" s="24"/>
      <c r="S8" s="24"/>
      <c r="T8" s="24"/>
      <c r="U8" s="31"/>
      <c r="V8" s="24"/>
      <c r="W8" s="24"/>
      <c r="X8" s="24"/>
      <c r="Y8" s="24"/>
      <c r="Z8" s="24"/>
      <c r="AA8" s="24"/>
      <c r="AB8" s="24"/>
      <c r="AC8" s="24"/>
      <c r="AD8" s="24"/>
      <c r="AE8" s="35"/>
      <c r="AF8" s="24"/>
      <c r="AG8" s="24"/>
      <c r="AH8" s="24"/>
      <c r="AI8" s="24"/>
      <c r="AJ8" s="24"/>
      <c r="AK8" s="24"/>
      <c r="AL8" s="24"/>
      <c r="AM8" s="24"/>
      <c r="AN8" s="35"/>
      <c r="AO8" s="24"/>
      <c r="AP8" s="24"/>
      <c r="AQ8" s="24"/>
      <c r="AR8" s="24"/>
      <c r="AS8" s="24"/>
      <c r="AT8" s="24"/>
      <c r="AU8" s="35"/>
      <c r="AV8" s="24"/>
      <c r="AW8" s="24"/>
      <c r="AX8" s="24"/>
      <c r="AY8" s="24"/>
      <c r="AZ8" s="24"/>
      <c r="BA8" s="24"/>
      <c r="BB8" s="35"/>
      <c r="BC8" s="24"/>
      <c r="BD8" s="24"/>
      <c r="BE8" s="24"/>
      <c r="BF8" s="24"/>
      <c r="BG8" s="24"/>
      <c r="BH8" s="24"/>
      <c r="BI8" s="35"/>
      <c r="BJ8" s="24"/>
      <c r="BK8" s="24"/>
      <c r="BL8" s="24"/>
      <c r="BM8" s="24"/>
      <c r="BN8" s="24"/>
      <c r="BO8" s="24"/>
      <c r="BP8" s="35"/>
      <c r="BQ8" s="24"/>
      <c r="BR8" s="24"/>
      <c r="BS8" s="24"/>
      <c r="BT8" s="24"/>
      <c r="BU8" s="24"/>
      <c r="BV8" s="24"/>
      <c r="BW8" s="35"/>
      <c r="BX8" s="24"/>
      <c r="BY8" s="24"/>
      <c r="BZ8" s="24"/>
      <c r="CA8" s="24"/>
      <c r="CB8" s="24"/>
      <c r="CC8" s="24"/>
      <c r="CD8" s="24"/>
      <c r="CE8" s="35"/>
      <c r="CF8" s="24"/>
      <c r="CG8" s="24"/>
      <c r="CH8" s="24"/>
      <c r="CI8" s="24"/>
      <c r="CJ8" s="24"/>
      <c r="CK8" s="24"/>
    </row>
    <row r="9" spans="2:89" s="25" customFormat="1" ht="18" customHeight="1" x14ac:dyDescent="0.25">
      <c r="B9" s="38"/>
      <c r="C9" s="39" t="s">
        <v>16</v>
      </c>
      <c r="D9" s="39"/>
      <c r="E9" s="39"/>
      <c r="F9" s="39"/>
      <c r="G9" s="40">
        <v>0.25</v>
      </c>
      <c r="H9" s="39"/>
      <c r="I9" s="41">
        <v>19</v>
      </c>
      <c r="J9" s="42"/>
      <c r="K9" s="43"/>
      <c r="L9" s="38"/>
      <c r="M9" s="39" t="s">
        <v>16</v>
      </c>
      <c r="N9" s="39"/>
      <c r="O9" s="39"/>
      <c r="P9" s="39"/>
      <c r="Q9" s="40">
        <v>0.25</v>
      </c>
      <c r="R9" s="39"/>
      <c r="S9" s="41">
        <v>19</v>
      </c>
      <c r="T9" s="42"/>
      <c r="U9" s="43"/>
      <c r="V9" s="38"/>
      <c r="W9" s="39" t="s">
        <v>16</v>
      </c>
      <c r="X9" s="39"/>
      <c r="Y9" s="39"/>
      <c r="Z9" s="39"/>
      <c r="AA9" s="40">
        <v>0.25</v>
      </c>
      <c r="AB9" s="39"/>
      <c r="AC9" s="41">
        <v>21</v>
      </c>
      <c r="AD9" s="42"/>
      <c r="AE9" s="44"/>
      <c r="AF9" s="38"/>
      <c r="AG9" s="39" t="s">
        <v>16</v>
      </c>
      <c r="AH9" s="39"/>
      <c r="AI9" s="39"/>
      <c r="AJ9" s="39"/>
      <c r="AK9" s="40">
        <v>0.25</v>
      </c>
      <c r="AL9" s="39"/>
      <c r="AM9" s="42"/>
      <c r="AN9" s="44"/>
      <c r="AO9" s="39" t="s">
        <v>16</v>
      </c>
      <c r="AP9" s="39"/>
      <c r="AQ9" s="39"/>
      <c r="AR9" s="39"/>
      <c r="AS9" s="40">
        <v>0.25</v>
      </c>
      <c r="AT9" s="42"/>
      <c r="AU9" s="44"/>
      <c r="AV9" s="39" t="s">
        <v>16</v>
      </c>
      <c r="AW9" s="39"/>
      <c r="AX9" s="39"/>
      <c r="AY9" s="39"/>
      <c r="AZ9" s="40">
        <v>0.25</v>
      </c>
      <c r="BA9" s="42"/>
      <c r="BB9" s="44"/>
      <c r="BC9" s="39" t="s">
        <v>16</v>
      </c>
      <c r="BD9" s="39"/>
      <c r="BE9" s="39"/>
      <c r="BF9" s="39"/>
      <c r="BG9" s="40">
        <v>0.25</v>
      </c>
      <c r="BH9" s="42"/>
      <c r="BI9" s="44"/>
      <c r="BJ9" s="39" t="s">
        <v>16</v>
      </c>
      <c r="BK9" s="39"/>
      <c r="BL9" s="39"/>
      <c r="BM9" s="39"/>
      <c r="BN9" s="40">
        <v>0.25</v>
      </c>
      <c r="BO9" s="42"/>
      <c r="BP9" s="44"/>
      <c r="BQ9" s="39" t="s">
        <v>16</v>
      </c>
      <c r="BR9" s="39"/>
      <c r="BS9" s="39"/>
      <c r="BT9" s="39"/>
      <c r="BU9" s="40">
        <v>0.25</v>
      </c>
      <c r="BV9" s="42"/>
      <c r="BW9" s="44"/>
      <c r="BX9" s="39" t="s">
        <v>16</v>
      </c>
      <c r="BY9" s="39"/>
      <c r="BZ9" s="39"/>
      <c r="CA9" s="39"/>
      <c r="CB9" s="40">
        <v>0.25</v>
      </c>
      <c r="CC9" s="39"/>
      <c r="CD9" s="42"/>
      <c r="CE9" s="44"/>
      <c r="CF9" s="39" t="s">
        <v>16</v>
      </c>
      <c r="CG9" s="39"/>
      <c r="CH9" s="39"/>
      <c r="CI9" s="39"/>
      <c r="CJ9" s="40">
        <v>0.25</v>
      </c>
      <c r="CK9" s="39"/>
    </row>
    <row r="10" spans="2:89" s="25" customFormat="1" ht="18" customHeight="1" x14ac:dyDescent="0.25">
      <c r="B10" s="38"/>
      <c r="C10" s="39" t="s">
        <v>17</v>
      </c>
      <c r="D10" s="39"/>
      <c r="E10" s="45"/>
      <c r="F10" s="39"/>
      <c r="G10" s="40">
        <v>0.16</v>
      </c>
      <c r="H10" s="39"/>
      <c r="I10" s="41">
        <v>15</v>
      </c>
      <c r="J10" s="42"/>
      <c r="K10" s="43"/>
      <c r="L10" s="38"/>
      <c r="M10" s="39" t="s">
        <v>17</v>
      </c>
      <c r="N10" s="39"/>
      <c r="O10" s="45"/>
      <c r="P10" s="39"/>
      <c r="Q10" s="40">
        <v>0.16</v>
      </c>
      <c r="R10" s="39"/>
      <c r="S10" s="41">
        <v>15</v>
      </c>
      <c r="T10" s="42"/>
      <c r="U10" s="43"/>
      <c r="V10" s="38"/>
      <c r="W10" s="39" t="s">
        <v>17</v>
      </c>
      <c r="X10" s="39"/>
      <c r="Y10" s="45"/>
      <c r="Z10" s="39"/>
      <c r="AA10" s="40">
        <v>0.16</v>
      </c>
      <c r="AB10" s="39"/>
      <c r="AC10" s="41">
        <v>16</v>
      </c>
      <c r="AD10" s="42"/>
      <c r="AE10" s="44"/>
      <c r="AF10" s="38"/>
      <c r="AG10" s="39" t="s">
        <v>17</v>
      </c>
      <c r="AH10" s="39"/>
      <c r="AI10" s="45"/>
      <c r="AJ10" s="39"/>
      <c r="AK10" s="40">
        <v>0.16</v>
      </c>
      <c r="AL10" s="39"/>
      <c r="AM10" s="42"/>
      <c r="AN10" s="44"/>
      <c r="AO10" s="39" t="s">
        <v>17</v>
      </c>
      <c r="AP10" s="39"/>
      <c r="AQ10" s="45"/>
      <c r="AR10" s="39"/>
      <c r="AS10" s="40">
        <v>0.16</v>
      </c>
      <c r="AT10" s="42"/>
      <c r="AU10" s="44"/>
      <c r="AV10" s="45" t="s">
        <v>18</v>
      </c>
      <c r="AW10" s="45"/>
      <c r="AX10" s="45"/>
      <c r="AY10" s="45"/>
      <c r="AZ10" s="46">
        <v>0.25</v>
      </c>
      <c r="BA10" s="42"/>
      <c r="BB10" s="44"/>
      <c r="BC10" s="45" t="s">
        <v>19</v>
      </c>
      <c r="BD10" s="45"/>
      <c r="BE10" s="45"/>
      <c r="BF10" s="45"/>
      <c r="BG10" s="46">
        <v>0.25</v>
      </c>
      <c r="BH10" s="42"/>
      <c r="BI10" s="44"/>
      <c r="BJ10" s="45" t="s">
        <v>19</v>
      </c>
      <c r="BK10" s="45"/>
      <c r="BL10" s="45"/>
      <c r="BM10" s="45"/>
      <c r="BN10" s="40">
        <v>0.25</v>
      </c>
      <c r="BO10" s="42"/>
      <c r="BP10" s="44"/>
      <c r="BQ10" s="45" t="s">
        <v>19</v>
      </c>
      <c r="BR10" s="45"/>
      <c r="BS10" s="45"/>
      <c r="BT10" s="45"/>
      <c r="BU10" s="40">
        <v>0.25</v>
      </c>
      <c r="BV10" s="42"/>
      <c r="BW10" s="44"/>
      <c r="BX10" s="45" t="s">
        <v>19</v>
      </c>
      <c r="BY10" s="45"/>
      <c r="BZ10" s="45"/>
      <c r="CA10" s="45"/>
      <c r="CB10" s="40">
        <v>0.25</v>
      </c>
      <c r="CC10" s="45"/>
      <c r="CD10" s="42"/>
      <c r="CE10" s="44"/>
      <c r="CF10" s="45" t="s">
        <v>19</v>
      </c>
      <c r="CG10" s="45"/>
      <c r="CH10" s="45"/>
      <c r="CI10" s="45"/>
      <c r="CJ10" s="40">
        <v>0.25</v>
      </c>
      <c r="CK10" s="45"/>
    </row>
    <row r="11" spans="2:89" s="25" customFormat="1" ht="18" customHeight="1" x14ac:dyDescent="0.25">
      <c r="B11" s="38"/>
      <c r="C11" s="39" t="s">
        <v>20</v>
      </c>
      <c r="D11" s="39"/>
      <c r="E11" s="45"/>
      <c r="F11" s="39"/>
      <c r="G11" s="40">
        <v>0.1</v>
      </c>
      <c r="H11" s="39"/>
      <c r="I11" s="41">
        <v>10</v>
      </c>
      <c r="J11" s="47"/>
      <c r="K11" s="48"/>
      <c r="L11" s="38"/>
      <c r="M11" s="39" t="s">
        <v>20</v>
      </c>
      <c r="N11" s="39"/>
      <c r="O11" s="45"/>
      <c r="P11" s="39"/>
      <c r="Q11" s="40">
        <v>0.1</v>
      </c>
      <c r="R11" s="39"/>
      <c r="S11" s="41">
        <v>10</v>
      </c>
      <c r="T11" s="47"/>
      <c r="U11" s="48"/>
      <c r="V11" s="38"/>
      <c r="W11" s="39" t="s">
        <v>20</v>
      </c>
      <c r="X11" s="39"/>
      <c r="Y11" s="45"/>
      <c r="Z11" s="39"/>
      <c r="AA11" s="40">
        <v>0.1</v>
      </c>
      <c r="AB11" s="39"/>
      <c r="AC11" s="41">
        <v>9</v>
      </c>
      <c r="AD11" s="47"/>
      <c r="AE11" s="44"/>
      <c r="AF11" s="38"/>
      <c r="AG11" s="39" t="s">
        <v>21</v>
      </c>
      <c r="AH11" s="39"/>
      <c r="AI11" s="45"/>
      <c r="AJ11" s="39"/>
      <c r="AK11" s="40">
        <v>0.08</v>
      </c>
      <c r="AL11" s="39"/>
      <c r="AM11" s="49"/>
      <c r="AN11" s="44"/>
      <c r="AO11" s="39" t="s">
        <v>21</v>
      </c>
      <c r="AP11" s="39"/>
      <c r="AQ11" s="45"/>
      <c r="AR11" s="39"/>
      <c r="AS11" s="40">
        <v>0.08</v>
      </c>
      <c r="AT11" s="49"/>
      <c r="AU11" s="44"/>
      <c r="AV11" s="45"/>
      <c r="AW11" s="45" t="s">
        <v>22</v>
      </c>
      <c r="AX11" s="45" t="s">
        <v>23</v>
      </c>
      <c r="AY11" s="45"/>
      <c r="AZ11" s="45"/>
      <c r="BA11" s="49"/>
      <c r="BB11" s="44"/>
      <c r="BC11" s="45"/>
      <c r="BD11" s="45" t="s">
        <v>22</v>
      </c>
      <c r="BE11" s="45" t="s">
        <v>24</v>
      </c>
      <c r="BF11" s="45"/>
      <c r="BG11" s="45"/>
      <c r="BH11" s="49"/>
      <c r="BI11" s="44"/>
      <c r="BJ11" s="45"/>
      <c r="BK11" s="45" t="s">
        <v>22</v>
      </c>
      <c r="BL11" s="45" t="s">
        <v>24</v>
      </c>
      <c r="BM11" s="45"/>
      <c r="BN11" s="45"/>
      <c r="BO11" s="49"/>
      <c r="BP11" s="44"/>
      <c r="BQ11" s="45"/>
      <c r="BR11" s="45" t="s">
        <v>22</v>
      </c>
      <c r="BS11" s="45" t="s">
        <v>24</v>
      </c>
      <c r="BT11" s="45"/>
      <c r="BU11" s="45"/>
      <c r="BV11" s="49"/>
      <c r="BW11" s="44"/>
      <c r="BX11" s="45"/>
      <c r="BY11" s="45" t="s">
        <v>22</v>
      </c>
      <c r="BZ11" s="45" t="s">
        <v>24</v>
      </c>
      <c r="CA11" s="45"/>
      <c r="CB11" s="45"/>
      <c r="CC11" s="45"/>
      <c r="CD11" s="49"/>
      <c r="CE11" s="44"/>
      <c r="CF11" s="45"/>
      <c r="CG11" s="45" t="s">
        <v>22</v>
      </c>
      <c r="CH11" s="45" t="s">
        <v>24</v>
      </c>
      <c r="CI11" s="45"/>
      <c r="CJ11" s="45"/>
      <c r="CK11" s="45"/>
    </row>
    <row r="12" spans="2:89" s="25" customFormat="1" ht="18" customHeight="1" x14ac:dyDescent="0.25">
      <c r="B12" s="38"/>
      <c r="C12" s="39" t="s">
        <v>25</v>
      </c>
      <c r="D12" s="39"/>
      <c r="E12" s="45"/>
      <c r="F12" s="39"/>
      <c r="G12" s="40">
        <v>7.0000000000000007E-2</v>
      </c>
      <c r="H12" s="39"/>
      <c r="I12" s="41" t="s">
        <v>26</v>
      </c>
      <c r="J12" s="47"/>
      <c r="K12" s="48"/>
      <c r="L12" s="38"/>
      <c r="M12" s="39" t="s">
        <v>25</v>
      </c>
      <c r="N12" s="39"/>
      <c r="O12" s="45"/>
      <c r="P12" s="39"/>
      <c r="Q12" s="40">
        <v>7.0000000000000007E-2</v>
      </c>
      <c r="R12" s="39"/>
      <c r="S12" s="41" t="s">
        <v>26</v>
      </c>
      <c r="T12" s="47"/>
      <c r="U12" s="48"/>
      <c r="V12" s="38"/>
      <c r="W12" s="39" t="s">
        <v>25</v>
      </c>
      <c r="X12" s="39"/>
      <c r="Y12" s="45"/>
      <c r="Z12" s="39"/>
      <c r="AA12" s="40">
        <v>7.0000000000000007E-2</v>
      </c>
      <c r="AB12" s="39"/>
      <c r="AC12" s="41">
        <v>16</v>
      </c>
      <c r="AD12" s="47"/>
      <c r="AE12" s="44"/>
      <c r="AF12" s="38"/>
      <c r="AG12" s="39" t="s">
        <v>25</v>
      </c>
      <c r="AH12" s="39"/>
      <c r="AI12" s="45"/>
      <c r="AJ12" s="39"/>
      <c r="AK12" s="40">
        <v>7.0000000000000007E-2</v>
      </c>
      <c r="AL12" s="39"/>
      <c r="AM12" s="49"/>
      <c r="AN12" s="44"/>
      <c r="AO12" s="39" t="s">
        <v>25</v>
      </c>
      <c r="AP12" s="39"/>
      <c r="AQ12" s="45"/>
      <c r="AR12" s="39"/>
      <c r="AS12" s="40">
        <v>7.0000000000000007E-2</v>
      </c>
      <c r="AT12" s="49"/>
      <c r="AU12" s="44"/>
      <c r="AV12" s="45"/>
      <c r="AW12" s="45" t="s">
        <v>22</v>
      </c>
      <c r="AX12" s="45" t="s">
        <v>17</v>
      </c>
      <c r="AY12" s="45"/>
      <c r="AZ12" s="45"/>
      <c r="BA12" s="49"/>
      <c r="BB12" s="44"/>
      <c r="BC12" s="45"/>
      <c r="BD12" s="45" t="s">
        <v>22</v>
      </c>
      <c r="BE12" s="45" t="s">
        <v>27</v>
      </c>
      <c r="BF12" s="45"/>
      <c r="BG12" s="45"/>
      <c r="BH12" s="49"/>
      <c r="BI12" s="44"/>
      <c r="BJ12" s="45"/>
      <c r="BK12" s="45" t="s">
        <v>22</v>
      </c>
      <c r="BL12" s="45" t="s">
        <v>27</v>
      </c>
      <c r="BM12" s="45"/>
      <c r="BN12" s="45"/>
      <c r="BO12" s="49"/>
      <c r="BP12" s="44"/>
      <c r="BQ12" s="45"/>
      <c r="BR12" s="45" t="s">
        <v>22</v>
      </c>
      <c r="BS12" s="45" t="s">
        <v>27</v>
      </c>
      <c r="BT12" s="45"/>
      <c r="BU12" s="45"/>
      <c r="BV12" s="49"/>
      <c r="BW12" s="44"/>
      <c r="BX12" s="45"/>
      <c r="BY12" s="45" t="s">
        <v>22</v>
      </c>
      <c r="BZ12" s="45" t="s">
        <v>27</v>
      </c>
      <c r="CA12" s="45"/>
      <c r="CB12" s="45"/>
      <c r="CC12" s="45"/>
      <c r="CD12" s="49"/>
      <c r="CE12" s="44"/>
      <c r="CF12" s="45"/>
      <c r="CG12" s="45" t="s">
        <v>22</v>
      </c>
      <c r="CH12" s="45" t="s">
        <v>27</v>
      </c>
      <c r="CI12" s="45"/>
      <c r="CJ12" s="45"/>
      <c r="CK12" s="45"/>
    </row>
    <row r="13" spans="2:89" s="25" customFormat="1" ht="18" customHeight="1" x14ac:dyDescent="0.25">
      <c r="B13" s="38"/>
      <c r="C13" s="39" t="s">
        <v>28</v>
      </c>
      <c r="D13" s="39"/>
      <c r="E13" s="45"/>
      <c r="F13" s="39"/>
      <c r="G13" s="40">
        <v>0.06</v>
      </c>
      <c r="H13" s="39"/>
      <c r="I13" s="41">
        <v>6</v>
      </c>
      <c r="J13" s="42"/>
      <c r="K13" s="43"/>
      <c r="L13" s="38"/>
      <c r="M13" s="39" t="s">
        <v>28</v>
      </c>
      <c r="N13" s="39"/>
      <c r="O13" s="45"/>
      <c r="P13" s="39"/>
      <c r="Q13" s="40">
        <v>0.06</v>
      </c>
      <c r="R13" s="39"/>
      <c r="S13" s="41">
        <v>6</v>
      </c>
      <c r="T13" s="42"/>
      <c r="U13" s="43"/>
      <c r="V13" s="38"/>
      <c r="W13" s="39" t="s">
        <v>28</v>
      </c>
      <c r="X13" s="39"/>
      <c r="Y13" s="45"/>
      <c r="Z13" s="39"/>
      <c r="AA13" s="40">
        <v>0.06</v>
      </c>
      <c r="AB13" s="39"/>
      <c r="AC13" s="41">
        <v>7</v>
      </c>
      <c r="AD13" s="42"/>
      <c r="AE13" s="44"/>
      <c r="AF13" s="38"/>
      <c r="AG13" s="39" t="s">
        <v>29</v>
      </c>
      <c r="AH13" s="39"/>
      <c r="AI13" s="45"/>
      <c r="AJ13" s="39"/>
      <c r="AK13" s="40">
        <v>0.06</v>
      </c>
      <c r="AL13" s="39"/>
      <c r="AM13" s="42"/>
      <c r="AN13" s="44"/>
      <c r="AO13" s="39" t="s">
        <v>28</v>
      </c>
      <c r="AP13" s="39"/>
      <c r="AQ13" s="45"/>
      <c r="AR13" s="39"/>
      <c r="AS13" s="40">
        <v>0.06</v>
      </c>
      <c r="AT13" s="42"/>
      <c r="AU13" s="44"/>
      <c r="AV13" s="45" t="s">
        <v>30</v>
      </c>
      <c r="AW13" s="45"/>
      <c r="AX13" s="45"/>
      <c r="AY13" s="45"/>
      <c r="AZ13" s="46">
        <v>0.2</v>
      </c>
      <c r="BA13" s="42"/>
      <c r="BB13" s="44"/>
      <c r="BC13" s="45"/>
      <c r="BD13" s="45" t="s">
        <v>22</v>
      </c>
      <c r="BE13" s="45" t="s">
        <v>28</v>
      </c>
      <c r="BF13" s="45"/>
      <c r="BG13" s="45"/>
      <c r="BH13" s="42"/>
      <c r="BI13" s="44"/>
      <c r="BJ13" s="45"/>
      <c r="BK13" s="45" t="s">
        <v>22</v>
      </c>
      <c r="BL13" s="45" t="s">
        <v>28</v>
      </c>
      <c r="BM13" s="45"/>
      <c r="BN13" s="45"/>
      <c r="BO13" s="42"/>
      <c r="BP13" s="44"/>
      <c r="BQ13" s="45"/>
      <c r="BR13" s="45" t="s">
        <v>22</v>
      </c>
      <c r="BS13" s="45" t="s">
        <v>28</v>
      </c>
      <c r="BT13" s="45"/>
      <c r="BU13" s="45"/>
      <c r="BV13" s="42"/>
      <c r="BW13" s="44"/>
      <c r="BX13" s="45"/>
      <c r="BY13" s="45" t="s">
        <v>22</v>
      </c>
      <c r="BZ13" s="45" t="s">
        <v>28</v>
      </c>
      <c r="CA13" s="45"/>
      <c r="CB13" s="45"/>
      <c r="CC13" s="45"/>
      <c r="CD13" s="42"/>
      <c r="CE13" s="44"/>
      <c r="CF13" s="45"/>
      <c r="CG13" s="45" t="s">
        <v>22</v>
      </c>
      <c r="CH13" s="45" t="s">
        <v>28</v>
      </c>
      <c r="CI13" s="45"/>
      <c r="CJ13" s="45"/>
      <c r="CK13" s="45"/>
    </row>
    <row r="14" spans="2:89" s="25" customFormat="1" ht="18" customHeight="1" x14ac:dyDescent="0.25">
      <c r="B14" s="38"/>
      <c r="C14" s="39" t="s">
        <v>31</v>
      </c>
      <c r="D14" s="39"/>
      <c r="E14" s="45"/>
      <c r="F14" s="39"/>
      <c r="G14" s="40">
        <v>0.06</v>
      </c>
      <c r="H14" s="39"/>
      <c r="I14" s="41">
        <v>28</v>
      </c>
      <c r="J14" s="42"/>
      <c r="K14" s="43"/>
      <c r="L14" s="38"/>
      <c r="M14" s="39" t="s">
        <v>31</v>
      </c>
      <c r="N14" s="39"/>
      <c r="O14" s="45"/>
      <c r="P14" s="39"/>
      <c r="Q14" s="40">
        <v>0.06</v>
      </c>
      <c r="R14" s="39"/>
      <c r="S14" s="41">
        <v>28</v>
      </c>
      <c r="T14" s="42"/>
      <c r="U14" s="43"/>
      <c r="V14" s="38"/>
      <c r="W14" s="39" t="s">
        <v>31</v>
      </c>
      <c r="X14" s="39"/>
      <c r="Y14" s="45"/>
      <c r="Z14" s="39"/>
      <c r="AA14" s="40">
        <v>0.06</v>
      </c>
      <c r="AB14" s="39"/>
      <c r="AC14" s="41">
        <v>23</v>
      </c>
      <c r="AD14" s="42"/>
      <c r="AE14" s="44"/>
      <c r="AF14" s="38"/>
      <c r="AG14" s="39" t="s">
        <v>28</v>
      </c>
      <c r="AH14" s="39"/>
      <c r="AI14" s="45"/>
      <c r="AJ14" s="39"/>
      <c r="AK14" s="40">
        <v>0.06</v>
      </c>
      <c r="AL14" s="39"/>
      <c r="AM14" s="42"/>
      <c r="AN14" s="44"/>
      <c r="AO14" s="39" t="s">
        <v>31</v>
      </c>
      <c r="AP14" s="39"/>
      <c r="AQ14" s="45"/>
      <c r="AR14" s="39"/>
      <c r="AS14" s="40">
        <v>0.06</v>
      </c>
      <c r="AT14" s="42"/>
      <c r="AU14" s="44"/>
      <c r="AV14" s="45"/>
      <c r="AW14" s="45" t="s">
        <v>22</v>
      </c>
      <c r="AX14" s="45" t="s">
        <v>32</v>
      </c>
      <c r="AY14" s="45"/>
      <c r="AZ14" s="45"/>
      <c r="BA14" s="42"/>
      <c r="BB14" s="44"/>
      <c r="BC14" s="45"/>
      <c r="BD14" s="45" t="s">
        <v>22</v>
      </c>
      <c r="BE14" s="45" t="s">
        <v>33</v>
      </c>
      <c r="BF14" s="45"/>
      <c r="BG14" s="45"/>
      <c r="BH14" s="42"/>
      <c r="BI14" s="44"/>
      <c r="BJ14" s="45"/>
      <c r="BK14" s="45" t="s">
        <v>22</v>
      </c>
      <c r="BL14" s="45" t="s">
        <v>33</v>
      </c>
      <c r="BM14" s="45"/>
      <c r="BN14" s="45"/>
      <c r="BO14" s="42"/>
      <c r="BP14" s="44"/>
      <c r="BQ14" s="45"/>
      <c r="BR14" s="45" t="s">
        <v>22</v>
      </c>
      <c r="BS14" s="45" t="s">
        <v>33</v>
      </c>
      <c r="BT14" s="45"/>
      <c r="BU14" s="45"/>
      <c r="BV14" s="42"/>
      <c r="BW14" s="44"/>
      <c r="BX14" s="45"/>
      <c r="BY14" s="45" t="s">
        <v>22</v>
      </c>
      <c r="BZ14" s="45" t="s">
        <v>33</v>
      </c>
      <c r="CA14" s="45"/>
      <c r="CB14" s="45"/>
      <c r="CC14" s="45"/>
      <c r="CD14" s="42"/>
      <c r="CE14" s="44"/>
      <c r="CF14" s="45"/>
      <c r="CG14" s="45" t="s">
        <v>22</v>
      </c>
      <c r="CH14" s="45" t="s">
        <v>33</v>
      </c>
      <c r="CI14" s="45"/>
      <c r="CJ14" s="45"/>
      <c r="CK14" s="45"/>
    </row>
    <row r="15" spans="2:89" s="25" customFormat="1" ht="18" customHeight="1" x14ac:dyDescent="0.25">
      <c r="B15" s="38"/>
      <c r="C15" s="39" t="s">
        <v>33</v>
      </c>
      <c r="D15" s="39"/>
      <c r="E15" s="45"/>
      <c r="F15" s="39"/>
      <c r="G15" s="40">
        <v>5.2499999999999998E-2</v>
      </c>
      <c r="H15" s="39"/>
      <c r="I15" s="41">
        <v>10</v>
      </c>
      <c r="J15" s="42"/>
      <c r="K15" s="43"/>
      <c r="L15" s="38"/>
      <c r="M15" s="39" t="s">
        <v>33</v>
      </c>
      <c r="N15" s="39"/>
      <c r="O15" s="45"/>
      <c r="P15" s="39"/>
      <c r="Q15" s="40">
        <v>5.2499999999999998E-2</v>
      </c>
      <c r="R15" s="39"/>
      <c r="S15" s="41">
        <v>10</v>
      </c>
      <c r="T15" s="42"/>
      <c r="U15" s="43"/>
      <c r="V15" s="38"/>
      <c r="W15" s="39" t="s">
        <v>33</v>
      </c>
      <c r="X15" s="39"/>
      <c r="Y15" s="45"/>
      <c r="Z15" s="39"/>
      <c r="AA15" s="40">
        <v>5.2499999999999998E-2</v>
      </c>
      <c r="AB15" s="39"/>
      <c r="AC15" s="41">
        <v>9</v>
      </c>
      <c r="AD15" s="42"/>
      <c r="AE15" s="44"/>
      <c r="AF15" s="38"/>
      <c r="AG15" s="39" t="s">
        <v>33</v>
      </c>
      <c r="AH15" s="39"/>
      <c r="AI15" s="45"/>
      <c r="AJ15" s="39"/>
      <c r="AK15" s="40">
        <v>5.2499999999999998E-2</v>
      </c>
      <c r="AL15" s="39"/>
      <c r="AM15" s="42"/>
      <c r="AN15" s="44"/>
      <c r="AO15" s="39" t="s">
        <v>33</v>
      </c>
      <c r="AP15" s="39"/>
      <c r="AQ15" s="45"/>
      <c r="AR15" s="39"/>
      <c r="AS15" s="40">
        <v>5.2499999999999998E-2</v>
      </c>
      <c r="AT15" s="42"/>
      <c r="AU15" s="44"/>
      <c r="AV15" s="45"/>
      <c r="AW15" s="45" t="s">
        <v>22</v>
      </c>
      <c r="AX15" s="45" t="s">
        <v>34</v>
      </c>
      <c r="AY15" s="45"/>
      <c r="AZ15" s="45"/>
      <c r="BA15" s="42"/>
      <c r="BB15" s="44"/>
      <c r="BC15" s="45" t="s">
        <v>30</v>
      </c>
      <c r="BD15" s="45"/>
      <c r="BE15" s="45"/>
      <c r="BF15" s="45"/>
      <c r="BG15" s="46">
        <v>0.2</v>
      </c>
      <c r="BH15" s="42"/>
      <c r="BI15" s="44"/>
      <c r="BJ15" s="45" t="s">
        <v>30</v>
      </c>
      <c r="BK15" s="45"/>
      <c r="BL15" s="45"/>
      <c r="BM15" s="45"/>
      <c r="BN15" s="40">
        <v>0.2</v>
      </c>
      <c r="BO15" s="42"/>
      <c r="BP15" s="44"/>
      <c r="BQ15" s="45" t="s">
        <v>30</v>
      </c>
      <c r="BR15" s="45"/>
      <c r="BS15" s="45"/>
      <c r="BT15" s="45"/>
      <c r="BU15" s="40">
        <v>0.25</v>
      </c>
      <c r="BV15" s="42"/>
      <c r="BW15" s="44"/>
      <c r="BX15" s="45" t="s">
        <v>30</v>
      </c>
      <c r="BY15" s="45"/>
      <c r="BZ15" s="45"/>
      <c r="CA15" s="45"/>
      <c r="CB15" s="40">
        <v>0.25</v>
      </c>
      <c r="CC15" s="45"/>
      <c r="CD15" s="42"/>
      <c r="CE15" s="44"/>
      <c r="CF15" s="45" t="s">
        <v>30</v>
      </c>
      <c r="CG15" s="45"/>
      <c r="CH15" s="45"/>
      <c r="CI15" s="45"/>
      <c r="CJ15" s="40">
        <v>0.25</v>
      </c>
      <c r="CK15" s="45"/>
    </row>
    <row r="16" spans="2:89" s="25" customFormat="1" ht="18" customHeight="1" x14ac:dyDescent="0.25">
      <c r="B16" s="38"/>
      <c r="C16" s="39" t="s">
        <v>35</v>
      </c>
      <c r="D16" s="39"/>
      <c r="E16" s="45"/>
      <c r="F16" s="39"/>
      <c r="G16" s="40">
        <v>0.05</v>
      </c>
      <c r="H16" s="39"/>
      <c r="I16" s="41">
        <v>6</v>
      </c>
      <c r="J16" s="42"/>
      <c r="K16" s="43"/>
      <c r="L16" s="38"/>
      <c r="M16" s="39" t="s">
        <v>35</v>
      </c>
      <c r="N16" s="39"/>
      <c r="O16" s="45"/>
      <c r="P16" s="39"/>
      <c r="Q16" s="40">
        <v>0.05</v>
      </c>
      <c r="R16" s="39"/>
      <c r="S16" s="41">
        <v>6</v>
      </c>
      <c r="T16" s="42"/>
      <c r="U16" s="43"/>
      <c r="V16" s="38"/>
      <c r="W16" s="39" t="s">
        <v>35</v>
      </c>
      <c r="X16" s="39"/>
      <c r="Y16" s="45"/>
      <c r="Z16" s="39"/>
      <c r="AA16" s="40">
        <v>0.05</v>
      </c>
      <c r="AB16" s="39"/>
      <c r="AC16" s="41">
        <v>12</v>
      </c>
      <c r="AD16" s="42"/>
      <c r="AE16" s="44"/>
      <c r="AF16" s="38"/>
      <c r="AG16" s="39" t="s">
        <v>35</v>
      </c>
      <c r="AH16" s="39"/>
      <c r="AI16" s="45"/>
      <c r="AJ16" s="39"/>
      <c r="AK16" s="40">
        <v>0.05</v>
      </c>
      <c r="AL16" s="39"/>
      <c r="AM16" s="42"/>
      <c r="AN16" s="44"/>
      <c r="AO16" s="50" t="s">
        <v>35</v>
      </c>
      <c r="AP16" s="50"/>
      <c r="AQ16" s="51"/>
      <c r="AR16" s="50"/>
      <c r="AS16" s="52">
        <v>0.05</v>
      </c>
      <c r="AT16" s="42"/>
      <c r="AU16" s="44"/>
      <c r="AV16" s="45"/>
      <c r="AW16" s="45" t="s">
        <v>22</v>
      </c>
      <c r="AX16" s="45" t="s">
        <v>36</v>
      </c>
      <c r="AY16" s="45"/>
      <c r="AZ16" s="45"/>
      <c r="BA16" s="42"/>
      <c r="BB16" s="44"/>
      <c r="BC16" s="45"/>
      <c r="BD16" s="45" t="s">
        <v>22</v>
      </c>
      <c r="BE16" s="45" t="s">
        <v>32</v>
      </c>
      <c r="BF16" s="45"/>
      <c r="BG16" s="45"/>
      <c r="BH16" s="42"/>
      <c r="BI16" s="44"/>
      <c r="BJ16" s="45"/>
      <c r="BK16" s="45" t="s">
        <v>22</v>
      </c>
      <c r="BL16" s="45" t="s">
        <v>32</v>
      </c>
      <c r="BM16" s="45"/>
      <c r="BN16" s="45"/>
      <c r="BO16" s="42"/>
      <c r="BP16" s="44"/>
      <c r="BQ16" s="45"/>
      <c r="BR16" s="45" t="s">
        <v>22</v>
      </c>
      <c r="BS16" s="45" t="s">
        <v>32</v>
      </c>
      <c r="BT16" s="45"/>
      <c r="BU16" s="45"/>
      <c r="BV16" s="42"/>
      <c r="BW16" s="44"/>
      <c r="BX16" s="45"/>
      <c r="BY16" s="45" t="s">
        <v>22</v>
      </c>
      <c r="BZ16" s="45" t="s">
        <v>32</v>
      </c>
      <c r="CA16" s="45"/>
      <c r="CB16" s="45"/>
      <c r="CC16" s="45"/>
      <c r="CD16" s="42"/>
      <c r="CE16" s="44"/>
      <c r="CF16" s="45"/>
      <c r="CG16" s="45" t="s">
        <v>22</v>
      </c>
      <c r="CH16" s="45" t="s">
        <v>32</v>
      </c>
      <c r="CI16" s="45"/>
      <c r="CJ16" s="45"/>
      <c r="CK16" s="45"/>
    </row>
    <row r="17" spans="2:89" s="25" customFormat="1" ht="18" customHeight="1" x14ac:dyDescent="0.25">
      <c r="B17" s="38"/>
      <c r="C17" s="39" t="s">
        <v>37</v>
      </c>
      <c r="D17" s="39"/>
      <c r="E17" s="45"/>
      <c r="F17" s="39"/>
      <c r="G17" s="40">
        <v>0.05</v>
      </c>
      <c r="H17" s="39"/>
      <c r="I17" s="41">
        <v>5</v>
      </c>
      <c r="J17" s="42"/>
      <c r="K17" s="43"/>
      <c r="L17" s="38"/>
      <c r="M17" s="39" t="s">
        <v>37</v>
      </c>
      <c r="N17" s="39"/>
      <c r="O17" s="45"/>
      <c r="P17" s="39"/>
      <c r="Q17" s="40">
        <v>0.05</v>
      </c>
      <c r="R17" s="39"/>
      <c r="S17" s="41">
        <v>5</v>
      </c>
      <c r="T17" s="42"/>
      <c r="U17" s="43"/>
      <c r="V17" s="38"/>
      <c r="W17" s="39" t="s">
        <v>37</v>
      </c>
      <c r="X17" s="39"/>
      <c r="Y17" s="45"/>
      <c r="Z17" s="39"/>
      <c r="AA17" s="40">
        <v>0.05</v>
      </c>
      <c r="AB17" s="39"/>
      <c r="AC17" s="41">
        <v>5</v>
      </c>
      <c r="AD17" s="42"/>
      <c r="AE17" s="44"/>
      <c r="AF17" s="38"/>
      <c r="AG17" s="39" t="s">
        <v>37</v>
      </c>
      <c r="AH17" s="39"/>
      <c r="AI17" s="45"/>
      <c r="AJ17" s="39"/>
      <c r="AK17" s="40">
        <v>0.05</v>
      </c>
      <c r="AL17" s="39"/>
      <c r="AM17" s="42"/>
      <c r="AN17" s="44"/>
      <c r="AO17" s="39" t="s">
        <v>37</v>
      </c>
      <c r="AP17" s="39"/>
      <c r="AQ17" s="45"/>
      <c r="AR17" s="39"/>
      <c r="AS17" s="40">
        <v>0.05</v>
      </c>
      <c r="AT17" s="42"/>
      <c r="AU17" s="44"/>
      <c r="AV17" s="45"/>
      <c r="AW17" s="45" t="s">
        <v>22</v>
      </c>
      <c r="AX17" s="45" t="s">
        <v>25</v>
      </c>
      <c r="AY17" s="45"/>
      <c r="AZ17" s="45"/>
      <c r="BA17" s="42"/>
      <c r="BB17" s="44"/>
      <c r="BC17" s="45"/>
      <c r="BD17" s="45" t="s">
        <v>22</v>
      </c>
      <c r="BE17" s="45" t="s">
        <v>34</v>
      </c>
      <c r="BF17" s="45"/>
      <c r="BG17" s="45"/>
      <c r="BH17" s="42"/>
      <c r="BI17" s="44"/>
      <c r="BJ17" s="45"/>
      <c r="BK17" s="45" t="s">
        <v>22</v>
      </c>
      <c r="BL17" s="45" t="s">
        <v>36</v>
      </c>
      <c r="BM17" s="45"/>
      <c r="BN17" s="46"/>
      <c r="BO17" s="42"/>
      <c r="BP17" s="44"/>
      <c r="BQ17" s="45"/>
      <c r="BR17" s="45" t="s">
        <v>22</v>
      </c>
      <c r="BS17" s="45" t="s">
        <v>36</v>
      </c>
      <c r="BT17" s="45"/>
      <c r="BU17" s="46"/>
      <c r="BV17" s="42"/>
      <c r="BW17" s="44"/>
      <c r="BX17" s="45"/>
      <c r="BY17" s="45" t="s">
        <v>22</v>
      </c>
      <c r="BZ17" s="45" t="s">
        <v>36</v>
      </c>
      <c r="CA17" s="45"/>
      <c r="CB17" s="46"/>
      <c r="CC17" s="45"/>
      <c r="CD17" s="42"/>
      <c r="CE17" s="44"/>
      <c r="CF17" s="45"/>
      <c r="CG17" s="45" t="s">
        <v>22</v>
      </c>
      <c r="CH17" s="45" t="s">
        <v>36</v>
      </c>
      <c r="CI17" s="45"/>
      <c r="CJ17" s="46"/>
      <c r="CK17" s="45"/>
    </row>
    <row r="18" spans="2:89" s="25" customFormat="1" ht="18" customHeight="1" x14ac:dyDescent="0.25">
      <c r="B18" s="38"/>
      <c r="C18" s="39" t="s">
        <v>38</v>
      </c>
      <c r="D18" s="39"/>
      <c r="E18" s="45"/>
      <c r="F18" s="39"/>
      <c r="G18" s="40">
        <v>0.04</v>
      </c>
      <c r="H18" s="39"/>
      <c r="I18" s="41">
        <v>10</v>
      </c>
      <c r="J18" s="42"/>
      <c r="K18" s="43"/>
      <c r="L18" s="38"/>
      <c r="M18" s="39" t="s">
        <v>38</v>
      </c>
      <c r="N18" s="39"/>
      <c r="O18" s="45"/>
      <c r="P18" s="39"/>
      <c r="Q18" s="40">
        <v>0.04</v>
      </c>
      <c r="R18" s="39"/>
      <c r="S18" s="41">
        <v>10</v>
      </c>
      <c r="T18" s="42"/>
      <c r="U18" s="43"/>
      <c r="V18" s="38"/>
      <c r="W18" s="39" t="s">
        <v>38</v>
      </c>
      <c r="X18" s="39"/>
      <c r="Y18" s="45"/>
      <c r="Z18" s="39"/>
      <c r="AA18" s="40">
        <v>0.04</v>
      </c>
      <c r="AB18" s="39"/>
      <c r="AC18" s="41">
        <v>12</v>
      </c>
      <c r="AD18" s="42"/>
      <c r="AE18" s="44"/>
      <c r="AF18" s="38"/>
      <c r="AG18" s="39" t="s">
        <v>38</v>
      </c>
      <c r="AH18" s="39"/>
      <c r="AI18" s="45"/>
      <c r="AJ18" s="39"/>
      <c r="AK18" s="40">
        <v>0.04</v>
      </c>
      <c r="AL18" s="39"/>
      <c r="AM18" s="42"/>
      <c r="AN18" s="44"/>
      <c r="AO18" s="39" t="s">
        <v>38</v>
      </c>
      <c r="AP18" s="39"/>
      <c r="AQ18" s="45"/>
      <c r="AR18" s="39"/>
      <c r="AS18" s="40">
        <v>0.04</v>
      </c>
      <c r="AT18" s="42"/>
      <c r="AU18" s="44"/>
      <c r="AV18" s="45"/>
      <c r="AW18" s="45" t="s">
        <v>22</v>
      </c>
      <c r="AX18" s="45" t="s">
        <v>39</v>
      </c>
      <c r="AY18" s="45" t="s">
        <v>29</v>
      </c>
      <c r="AZ18" s="45"/>
      <c r="BA18" s="42"/>
      <c r="BB18" s="44"/>
      <c r="BC18" s="45"/>
      <c r="BD18" s="45" t="s">
        <v>22</v>
      </c>
      <c r="BE18" s="45" t="s">
        <v>36</v>
      </c>
      <c r="BF18" s="45"/>
      <c r="BG18" s="45"/>
      <c r="BH18" s="42"/>
      <c r="BI18" s="44"/>
      <c r="BJ18" s="45"/>
      <c r="BK18" s="45" t="s">
        <v>22</v>
      </c>
      <c r="BL18" s="45" t="s">
        <v>40</v>
      </c>
      <c r="BM18" s="45"/>
      <c r="BN18" s="45"/>
      <c r="BO18" s="42"/>
      <c r="BP18" s="44"/>
      <c r="BQ18" s="45"/>
      <c r="BR18" s="45" t="s">
        <v>22</v>
      </c>
      <c r="BS18" s="45" t="s">
        <v>40</v>
      </c>
      <c r="BT18" s="45"/>
      <c r="BU18" s="45"/>
      <c r="BV18" s="42"/>
      <c r="BW18" s="44"/>
      <c r="BX18" s="45"/>
      <c r="BY18" s="45" t="s">
        <v>22</v>
      </c>
      <c r="BZ18" s="45" t="s">
        <v>40</v>
      </c>
      <c r="CA18" s="45"/>
      <c r="CB18" s="45"/>
      <c r="CC18" s="45"/>
      <c r="CD18" s="42"/>
      <c r="CE18" s="44"/>
      <c r="CF18" s="45"/>
      <c r="CG18" s="45" t="s">
        <v>22</v>
      </c>
      <c r="CH18" s="45" t="s">
        <v>40</v>
      </c>
      <c r="CI18" s="45"/>
      <c r="CJ18" s="45"/>
      <c r="CK18" s="45"/>
    </row>
    <row r="19" spans="2:89" s="25" customFormat="1" ht="18" customHeight="1" x14ac:dyDescent="0.25">
      <c r="B19" s="38"/>
      <c r="C19" s="39" t="s">
        <v>34</v>
      </c>
      <c r="D19" s="39"/>
      <c r="E19" s="45"/>
      <c r="F19" s="39"/>
      <c r="G19" s="40">
        <v>0.03</v>
      </c>
      <c r="H19" s="39"/>
      <c r="I19" s="41" t="s">
        <v>26</v>
      </c>
      <c r="J19" s="42"/>
      <c r="K19" s="43"/>
      <c r="L19" s="38"/>
      <c r="M19" s="39" t="s">
        <v>34</v>
      </c>
      <c r="N19" s="39"/>
      <c r="O19" s="45"/>
      <c r="P19" s="39"/>
      <c r="Q19" s="40">
        <v>0.03</v>
      </c>
      <c r="R19" s="39"/>
      <c r="S19" s="41" t="s">
        <v>26</v>
      </c>
      <c r="T19" s="42"/>
      <c r="U19" s="43"/>
      <c r="V19" s="38"/>
      <c r="W19" s="39" t="s">
        <v>34</v>
      </c>
      <c r="X19" s="39"/>
      <c r="Y19" s="45"/>
      <c r="Z19" s="39"/>
      <c r="AA19" s="40">
        <v>0.03</v>
      </c>
      <c r="AB19" s="39"/>
      <c r="AC19" s="41" t="s">
        <v>26</v>
      </c>
      <c r="AD19" s="42"/>
      <c r="AE19" s="44"/>
      <c r="AF19" s="38"/>
      <c r="AG19" s="39" t="s">
        <v>34</v>
      </c>
      <c r="AH19" s="39"/>
      <c r="AI19" s="45"/>
      <c r="AJ19" s="39"/>
      <c r="AK19" s="40">
        <v>0.03</v>
      </c>
      <c r="AL19" s="39"/>
      <c r="AM19" s="42"/>
      <c r="AN19" s="44"/>
      <c r="AO19" s="39" t="s">
        <v>34</v>
      </c>
      <c r="AP19" s="39"/>
      <c r="AQ19" s="45"/>
      <c r="AR19" s="39"/>
      <c r="AS19" s="40">
        <v>0.03</v>
      </c>
      <c r="AT19" s="42"/>
      <c r="AU19" s="44"/>
      <c r="AV19" s="45"/>
      <c r="AW19" s="45"/>
      <c r="AX19" s="45"/>
      <c r="AY19" s="45" t="s">
        <v>41</v>
      </c>
      <c r="AZ19" s="45"/>
      <c r="BA19" s="42"/>
      <c r="BB19" s="44"/>
      <c r="BC19" s="45"/>
      <c r="BD19" s="45" t="s">
        <v>22</v>
      </c>
      <c r="BE19" s="45" t="s">
        <v>25</v>
      </c>
      <c r="BF19" s="45"/>
      <c r="BG19" s="45"/>
      <c r="BH19" s="42"/>
      <c r="BI19" s="44"/>
      <c r="BK19" s="45" t="s">
        <v>22</v>
      </c>
      <c r="BL19" s="25" t="s">
        <v>42</v>
      </c>
      <c r="BN19" s="45"/>
      <c r="BO19" s="42"/>
      <c r="BP19" s="44"/>
      <c r="BR19" s="45" t="s">
        <v>22</v>
      </c>
      <c r="BS19" s="25" t="s">
        <v>42</v>
      </c>
      <c r="BU19" s="45"/>
      <c r="BV19" s="42"/>
      <c r="BW19" s="44"/>
      <c r="BY19" s="45" t="s">
        <v>22</v>
      </c>
      <c r="BZ19" s="25" t="s">
        <v>42</v>
      </c>
      <c r="CB19" s="45"/>
      <c r="CD19" s="42"/>
      <c r="CE19" s="44"/>
      <c r="CG19" s="45" t="s">
        <v>22</v>
      </c>
      <c r="CH19" s="25" t="s">
        <v>43</v>
      </c>
      <c r="CJ19" s="45"/>
    </row>
    <row r="20" spans="2:89" s="25" customFormat="1" ht="18" customHeight="1" x14ac:dyDescent="0.25">
      <c r="B20" s="38"/>
      <c r="C20" s="39" t="s">
        <v>24</v>
      </c>
      <c r="D20" s="39"/>
      <c r="E20" s="45"/>
      <c r="F20" s="39"/>
      <c r="G20" s="40">
        <v>2.2499999999999999E-2</v>
      </c>
      <c r="H20" s="39"/>
      <c r="I20" s="41">
        <v>8</v>
      </c>
      <c r="J20" s="42"/>
      <c r="K20" s="43"/>
      <c r="L20" s="38"/>
      <c r="M20" s="39" t="s">
        <v>24</v>
      </c>
      <c r="N20" s="39"/>
      <c r="O20" s="45"/>
      <c r="P20" s="39"/>
      <c r="Q20" s="40">
        <v>2.2499999999999999E-2</v>
      </c>
      <c r="R20" s="39"/>
      <c r="S20" s="41">
        <v>8</v>
      </c>
      <c r="T20" s="42"/>
      <c r="U20" s="43"/>
      <c r="V20" s="38"/>
      <c r="W20" s="39" t="s">
        <v>24</v>
      </c>
      <c r="X20" s="39"/>
      <c r="Y20" s="45"/>
      <c r="Z20" s="39"/>
      <c r="AA20" s="40">
        <v>2.2499999999999999E-2</v>
      </c>
      <c r="AB20" s="39"/>
      <c r="AC20" s="41">
        <v>11</v>
      </c>
      <c r="AD20" s="42"/>
      <c r="AE20" s="44"/>
      <c r="AF20" s="38"/>
      <c r="AG20" s="39" t="s">
        <v>24</v>
      </c>
      <c r="AH20" s="39"/>
      <c r="AI20" s="45"/>
      <c r="AJ20" s="39"/>
      <c r="AK20" s="40">
        <v>2.2499999999999999E-2</v>
      </c>
      <c r="AL20" s="39"/>
      <c r="AM20" s="42"/>
      <c r="AN20" s="44"/>
      <c r="AO20" s="39" t="s">
        <v>24</v>
      </c>
      <c r="AP20" s="39"/>
      <c r="AQ20" s="45"/>
      <c r="AR20" s="39"/>
      <c r="AS20" s="40">
        <v>2.2499999999999999E-2</v>
      </c>
      <c r="AT20" s="42"/>
      <c r="AU20" s="44"/>
      <c r="AV20" s="45" t="s">
        <v>19</v>
      </c>
      <c r="AW20" s="45"/>
      <c r="AX20" s="45"/>
      <c r="AY20" s="45"/>
      <c r="AZ20" s="46">
        <v>0.15</v>
      </c>
      <c r="BA20" s="42"/>
      <c r="BB20" s="44"/>
      <c r="BC20" s="45"/>
      <c r="BD20" s="45" t="s">
        <v>22</v>
      </c>
      <c r="BE20" s="45" t="s">
        <v>39</v>
      </c>
      <c r="BF20" s="45" t="s">
        <v>29</v>
      </c>
      <c r="BG20" s="45"/>
      <c r="BH20" s="42"/>
      <c r="BI20" s="44"/>
      <c r="BJ20" s="45"/>
      <c r="BK20" s="45" t="s">
        <v>22</v>
      </c>
      <c r="BL20" s="45" t="s">
        <v>39</v>
      </c>
      <c r="BM20" s="45" t="s">
        <v>29</v>
      </c>
      <c r="BN20" s="45"/>
      <c r="BO20" s="42"/>
      <c r="BP20" s="44"/>
      <c r="BQ20" s="45" t="s">
        <v>44</v>
      </c>
      <c r="BR20" s="45"/>
      <c r="BS20" s="45"/>
      <c r="BT20" s="45"/>
      <c r="BU20" s="40">
        <v>0.18</v>
      </c>
      <c r="BV20" s="42"/>
      <c r="BW20" s="44"/>
      <c r="BX20" s="45" t="s">
        <v>44</v>
      </c>
      <c r="BY20" s="45"/>
      <c r="BZ20" s="45"/>
      <c r="CA20" s="45"/>
      <c r="CB20" s="40">
        <v>0.2</v>
      </c>
      <c r="CC20" s="45"/>
      <c r="CD20" s="42"/>
      <c r="CE20" s="44"/>
      <c r="CF20" s="45" t="s">
        <v>44</v>
      </c>
      <c r="CG20" s="45"/>
      <c r="CH20" s="45"/>
      <c r="CI20" s="45"/>
      <c r="CJ20" s="40">
        <v>0.2</v>
      </c>
      <c r="CK20" s="45"/>
    </row>
    <row r="21" spans="2:89" s="25" customFormat="1" ht="18" customHeight="1" x14ac:dyDescent="0.25">
      <c r="B21" s="38"/>
      <c r="C21" s="39" t="s">
        <v>29</v>
      </c>
      <c r="D21" s="39"/>
      <c r="E21" s="45"/>
      <c r="F21" s="39"/>
      <c r="G21" s="40">
        <v>0.02</v>
      </c>
      <c r="H21" s="39"/>
      <c r="I21" s="41">
        <v>27</v>
      </c>
      <c r="J21" s="42"/>
      <c r="K21" s="43"/>
      <c r="L21" s="38"/>
      <c r="M21" s="39" t="s">
        <v>29</v>
      </c>
      <c r="N21" s="39"/>
      <c r="O21" s="45"/>
      <c r="P21" s="39"/>
      <c r="Q21" s="40">
        <v>0.02</v>
      </c>
      <c r="R21" s="39"/>
      <c r="S21" s="41">
        <v>27</v>
      </c>
      <c r="T21" s="42"/>
      <c r="U21" s="43"/>
      <c r="V21" s="38"/>
      <c r="W21" s="39" t="s">
        <v>29</v>
      </c>
      <c r="X21" s="39"/>
      <c r="Y21" s="45"/>
      <c r="Z21" s="39"/>
      <c r="AA21" s="40">
        <v>0.02</v>
      </c>
      <c r="AB21" s="39"/>
      <c r="AC21" s="41">
        <v>23</v>
      </c>
      <c r="AD21" s="42"/>
      <c r="AE21" s="44"/>
      <c r="AF21" s="38"/>
      <c r="AG21" s="39" t="s">
        <v>31</v>
      </c>
      <c r="AH21" s="39"/>
      <c r="AI21" s="45"/>
      <c r="AJ21" s="39"/>
      <c r="AK21" s="40">
        <v>0.02</v>
      </c>
      <c r="AL21" s="39"/>
      <c r="AM21" s="42"/>
      <c r="AN21" s="44"/>
      <c r="AO21" s="39" t="s">
        <v>29</v>
      </c>
      <c r="AP21" s="39"/>
      <c r="AQ21" s="45"/>
      <c r="AR21" s="39"/>
      <c r="AS21" s="40">
        <v>0.02</v>
      </c>
      <c r="AT21" s="42"/>
      <c r="AU21" s="44"/>
      <c r="AV21" s="45"/>
      <c r="AW21" s="45" t="s">
        <v>22</v>
      </c>
      <c r="AX21" s="45" t="s">
        <v>24</v>
      </c>
      <c r="AY21" s="45"/>
      <c r="AZ21" s="45"/>
      <c r="BA21" s="42"/>
      <c r="BB21" s="44"/>
      <c r="BC21" s="45"/>
      <c r="BD21" s="45"/>
      <c r="BE21" s="45"/>
      <c r="BF21" s="45" t="s">
        <v>41</v>
      </c>
      <c r="BG21" s="45"/>
      <c r="BH21" s="42"/>
      <c r="BI21" s="44"/>
      <c r="BJ21" s="45"/>
      <c r="BK21" s="45"/>
      <c r="BL21" s="45"/>
      <c r="BM21" s="45" t="s">
        <v>41</v>
      </c>
      <c r="BN21" s="45"/>
      <c r="BO21" s="42"/>
      <c r="BP21" s="44"/>
      <c r="BQ21" s="45" t="s">
        <v>22</v>
      </c>
      <c r="BR21" s="45" t="s">
        <v>45</v>
      </c>
      <c r="BS21" s="45"/>
      <c r="BT21" s="45"/>
      <c r="BU21" s="45"/>
      <c r="BV21" s="42"/>
      <c r="BW21" s="44"/>
      <c r="BX21" s="45" t="s">
        <v>22</v>
      </c>
      <c r="BY21" s="45" t="s">
        <v>46</v>
      </c>
      <c r="BZ21" s="45"/>
      <c r="CA21" s="45"/>
      <c r="CB21" s="45"/>
      <c r="CC21" s="45"/>
      <c r="CD21" s="42"/>
      <c r="CE21" s="44"/>
      <c r="CF21" s="45" t="s">
        <v>22</v>
      </c>
      <c r="CG21" s="45" t="s">
        <v>47</v>
      </c>
      <c r="CH21" s="45"/>
      <c r="CI21" s="45"/>
      <c r="CJ21" s="45"/>
      <c r="CK21" s="45"/>
    </row>
    <row r="22" spans="2:89" s="25" customFormat="1" ht="18" customHeight="1" x14ac:dyDescent="0.25">
      <c r="B22" s="38"/>
      <c r="C22" s="39" t="s">
        <v>27</v>
      </c>
      <c r="D22" s="39"/>
      <c r="E22" s="39"/>
      <c r="F22" s="39"/>
      <c r="G22" s="40">
        <v>1.4999999999999999E-2</v>
      </c>
      <c r="H22" s="39"/>
      <c r="I22" s="41" t="s">
        <v>26</v>
      </c>
      <c r="J22" s="47"/>
      <c r="K22" s="48"/>
      <c r="L22" s="38"/>
      <c r="M22" s="39" t="s">
        <v>27</v>
      </c>
      <c r="N22" s="39"/>
      <c r="O22" s="39"/>
      <c r="P22" s="39"/>
      <c r="Q22" s="40">
        <v>1.4999999999999999E-2</v>
      </c>
      <c r="R22" s="39"/>
      <c r="S22" s="41" t="s">
        <v>26</v>
      </c>
      <c r="T22" s="47"/>
      <c r="U22" s="48"/>
      <c r="V22" s="38"/>
      <c r="W22" s="39" t="s">
        <v>27</v>
      </c>
      <c r="X22" s="39"/>
      <c r="Y22" s="39"/>
      <c r="Z22" s="39"/>
      <c r="AA22" s="40">
        <v>1.4999999999999999E-2</v>
      </c>
      <c r="AB22" s="39"/>
      <c r="AC22" s="41" t="s">
        <v>26</v>
      </c>
      <c r="AD22" s="47"/>
      <c r="AE22" s="44"/>
      <c r="AF22" s="38"/>
      <c r="AG22" s="39" t="s">
        <v>48</v>
      </c>
      <c r="AH22" s="39"/>
      <c r="AI22" s="45"/>
      <c r="AJ22" s="39"/>
      <c r="AK22" s="40">
        <v>0.02</v>
      </c>
      <c r="AL22" s="39"/>
      <c r="AM22" s="49"/>
      <c r="AN22" s="44"/>
      <c r="AO22" s="39" t="s">
        <v>48</v>
      </c>
      <c r="AP22" s="39"/>
      <c r="AQ22" s="45"/>
      <c r="AR22" s="39"/>
      <c r="AS22" s="40">
        <v>0.02</v>
      </c>
      <c r="AT22" s="49"/>
      <c r="AU22" s="44"/>
      <c r="AV22" s="45"/>
      <c r="AW22" s="45" t="s">
        <v>22</v>
      </c>
      <c r="AX22" s="45" t="s">
        <v>27</v>
      </c>
      <c r="AY22" s="45"/>
      <c r="AZ22" s="45"/>
      <c r="BA22" s="49"/>
      <c r="BB22" s="44"/>
      <c r="BC22" s="45" t="s">
        <v>49</v>
      </c>
      <c r="BD22" s="45"/>
      <c r="BE22" s="45"/>
      <c r="BF22" s="45"/>
      <c r="BG22" s="46">
        <v>0.15</v>
      </c>
      <c r="BH22" s="49"/>
      <c r="BI22" s="44"/>
      <c r="BJ22" s="45" t="s">
        <v>44</v>
      </c>
      <c r="BK22" s="45"/>
      <c r="BL22" s="45"/>
      <c r="BM22" s="45"/>
      <c r="BN22" s="40">
        <v>0.15</v>
      </c>
      <c r="BO22" s="49"/>
      <c r="BP22" s="44"/>
      <c r="BQ22" s="45" t="s">
        <v>22</v>
      </c>
      <c r="BR22" s="25" t="s">
        <v>50</v>
      </c>
      <c r="BV22" s="49"/>
      <c r="BW22" s="44"/>
      <c r="BX22" s="45"/>
      <c r="BY22" s="45" t="s">
        <v>51</v>
      </c>
      <c r="BZ22" s="45"/>
      <c r="CA22" s="45"/>
      <c r="CB22" s="45"/>
      <c r="CC22" s="45"/>
      <c r="CD22" s="49"/>
      <c r="CE22" s="44"/>
      <c r="CF22" s="45"/>
      <c r="CG22" s="45" t="s">
        <v>52</v>
      </c>
      <c r="CH22" s="45"/>
      <c r="CI22" s="45"/>
      <c r="CJ22" s="45"/>
      <c r="CK22" s="45"/>
    </row>
    <row r="23" spans="2:89" s="25" customFormat="1" ht="18" customHeight="1" x14ac:dyDescent="0.25">
      <c r="B23" s="38"/>
      <c r="C23" s="39" t="s">
        <v>53</v>
      </c>
      <c r="D23" s="39"/>
      <c r="E23" s="39"/>
      <c r="F23" s="39"/>
      <c r="G23" s="40">
        <v>0.01</v>
      </c>
      <c r="H23" s="39"/>
      <c r="I23" s="41" t="s">
        <v>26</v>
      </c>
      <c r="J23" s="42"/>
      <c r="K23" s="43"/>
      <c r="L23" s="38"/>
      <c r="M23" s="39" t="s">
        <v>53</v>
      </c>
      <c r="N23" s="39"/>
      <c r="O23" s="39"/>
      <c r="P23" s="39"/>
      <c r="Q23" s="40">
        <v>0.01</v>
      </c>
      <c r="R23" s="39"/>
      <c r="S23" s="41" t="s">
        <v>26</v>
      </c>
      <c r="T23" s="42"/>
      <c r="U23" s="43"/>
      <c r="V23" s="38"/>
      <c r="W23" s="39" t="s">
        <v>53</v>
      </c>
      <c r="X23" s="39"/>
      <c r="Y23" s="39"/>
      <c r="Z23" s="39"/>
      <c r="AA23" s="40">
        <v>0.01</v>
      </c>
      <c r="AB23" s="39"/>
      <c r="AC23" s="41" t="s">
        <v>26</v>
      </c>
      <c r="AD23" s="42"/>
      <c r="AE23" s="44"/>
      <c r="AF23" s="38"/>
      <c r="AG23" s="39" t="s">
        <v>27</v>
      </c>
      <c r="AH23" s="39"/>
      <c r="AI23" s="39"/>
      <c r="AJ23" s="39"/>
      <c r="AK23" s="40">
        <v>1.4999999999999999E-2</v>
      </c>
      <c r="AL23" s="39"/>
      <c r="AM23" s="42"/>
      <c r="AN23" s="44"/>
      <c r="AO23" s="39" t="s">
        <v>27</v>
      </c>
      <c r="AP23" s="39"/>
      <c r="AQ23" s="39"/>
      <c r="AR23" s="39"/>
      <c r="AS23" s="40">
        <v>1.4999999999999999E-2</v>
      </c>
      <c r="AT23" s="42"/>
      <c r="AU23" s="44"/>
      <c r="AV23" s="45"/>
      <c r="AW23" s="45" t="s">
        <v>22</v>
      </c>
      <c r="AX23" s="45" t="s">
        <v>28</v>
      </c>
      <c r="AY23" s="45"/>
      <c r="AZ23" s="45"/>
      <c r="BA23" s="42"/>
      <c r="BB23" s="44"/>
      <c r="BC23" s="39" t="s">
        <v>20</v>
      </c>
      <c r="BD23" s="39"/>
      <c r="BE23" s="39"/>
      <c r="BF23" s="39"/>
      <c r="BG23" s="40">
        <v>0.1</v>
      </c>
      <c r="BH23" s="42"/>
      <c r="BI23" s="44"/>
      <c r="BJ23" s="45"/>
      <c r="BK23" s="45" t="s">
        <v>22</v>
      </c>
      <c r="BL23" s="39" t="s">
        <v>21</v>
      </c>
      <c r="BM23" s="45"/>
      <c r="BN23" s="45"/>
      <c r="BO23" s="42"/>
      <c r="BP23" s="44"/>
      <c r="BQ23" s="45" t="s">
        <v>54</v>
      </c>
      <c r="BR23" s="45"/>
      <c r="BS23" s="45"/>
      <c r="BT23" s="45"/>
      <c r="BU23" s="53">
        <v>7.0000000000000007E-2</v>
      </c>
      <c r="BV23" s="42"/>
      <c r="BW23" s="44"/>
      <c r="BX23" s="45" t="s">
        <v>54</v>
      </c>
      <c r="BY23" s="45"/>
      <c r="BZ23" s="45"/>
      <c r="CA23" s="45"/>
      <c r="CB23" s="53">
        <v>0.05</v>
      </c>
      <c r="CC23" s="45"/>
      <c r="CD23" s="42"/>
      <c r="CE23" s="44"/>
      <c r="CF23" s="45" t="s">
        <v>54</v>
      </c>
      <c r="CG23" s="45"/>
      <c r="CH23" s="45"/>
      <c r="CI23" s="45"/>
      <c r="CJ23" s="53">
        <v>0.05</v>
      </c>
      <c r="CK23" s="45"/>
    </row>
    <row r="24" spans="2:89" s="25" customFormat="1" ht="18" customHeight="1" x14ac:dyDescent="0.25">
      <c r="B24" s="38"/>
      <c r="C24" s="39" t="s">
        <v>55</v>
      </c>
      <c r="D24" s="39"/>
      <c r="E24" s="39"/>
      <c r="F24" s="39"/>
      <c r="G24" s="40">
        <v>0.01</v>
      </c>
      <c r="H24" s="39"/>
      <c r="I24" s="41">
        <v>1</v>
      </c>
      <c r="J24" s="42"/>
      <c r="K24" s="43"/>
      <c r="L24" s="38"/>
      <c r="M24" s="39" t="s">
        <v>55</v>
      </c>
      <c r="N24" s="39"/>
      <c r="O24" s="39"/>
      <c r="P24" s="39"/>
      <c r="Q24" s="40">
        <v>0.01</v>
      </c>
      <c r="R24" s="39"/>
      <c r="S24" s="41">
        <v>1</v>
      </c>
      <c r="T24" s="42"/>
      <c r="U24" s="43"/>
      <c r="V24" s="38"/>
      <c r="W24" s="39" t="s">
        <v>55</v>
      </c>
      <c r="X24" s="39"/>
      <c r="Y24" s="39"/>
      <c r="Z24" s="39"/>
      <c r="AA24" s="40">
        <v>0.01</v>
      </c>
      <c r="AB24" s="39"/>
      <c r="AC24" s="41">
        <v>5</v>
      </c>
      <c r="AD24" s="42"/>
      <c r="AE24" s="44"/>
      <c r="AF24" s="38"/>
      <c r="AG24" s="39" t="s">
        <v>53</v>
      </c>
      <c r="AH24" s="39"/>
      <c r="AI24" s="39"/>
      <c r="AJ24" s="39"/>
      <c r="AK24" s="40">
        <v>0.01</v>
      </c>
      <c r="AL24" s="39"/>
      <c r="AM24" s="42"/>
      <c r="AN24" s="44"/>
      <c r="AO24" s="39" t="s">
        <v>53</v>
      </c>
      <c r="AP24" s="39"/>
      <c r="AQ24" s="39"/>
      <c r="AR24" s="39"/>
      <c r="AS24" s="40">
        <v>0.01</v>
      </c>
      <c r="AT24" s="42"/>
      <c r="AU24" s="44"/>
      <c r="AV24" s="45"/>
      <c r="AW24" s="45" t="s">
        <v>22</v>
      </c>
      <c r="AX24" s="45" t="s">
        <v>33</v>
      </c>
      <c r="AY24" s="45"/>
      <c r="AZ24" s="45"/>
      <c r="BA24" s="42"/>
      <c r="BB24" s="44"/>
      <c r="BC24" s="39" t="s">
        <v>56</v>
      </c>
      <c r="BD24" s="39"/>
      <c r="BE24" s="45"/>
      <c r="BF24" s="39"/>
      <c r="BG24" s="40">
        <v>0.05</v>
      </c>
      <c r="BH24" s="42"/>
      <c r="BI24" s="44"/>
      <c r="BJ24" s="45"/>
      <c r="BK24" s="45" t="s">
        <v>22</v>
      </c>
      <c r="BL24" s="39" t="s">
        <v>48</v>
      </c>
      <c r="BM24" s="45"/>
      <c r="BN24" s="45"/>
      <c r="BO24" s="42"/>
      <c r="BP24" s="44"/>
      <c r="BQ24" s="45" t="s">
        <v>22</v>
      </c>
      <c r="BR24" s="45" t="s">
        <v>57</v>
      </c>
      <c r="BS24" s="45"/>
      <c r="BT24" s="45"/>
      <c r="BU24" s="45"/>
      <c r="BV24" s="42"/>
      <c r="BW24" s="44"/>
      <c r="BX24" s="45" t="s">
        <v>22</v>
      </c>
      <c r="BY24" s="45" t="s">
        <v>58</v>
      </c>
      <c r="BZ24" s="45"/>
      <c r="CA24" s="45"/>
      <c r="CB24" s="45"/>
      <c r="CC24" s="45"/>
      <c r="CD24" s="42"/>
      <c r="CE24" s="44"/>
      <c r="CF24" s="45" t="s">
        <v>22</v>
      </c>
      <c r="CG24" s="45" t="s">
        <v>58</v>
      </c>
      <c r="CH24" s="45"/>
      <c r="CI24" s="45"/>
      <c r="CJ24" s="45"/>
      <c r="CK24" s="45"/>
    </row>
    <row r="25" spans="2:89" s="25" customFormat="1" ht="18" customHeight="1" x14ac:dyDescent="0.25">
      <c r="B25" s="38"/>
      <c r="C25" s="38"/>
      <c r="D25" s="38"/>
      <c r="E25" s="38"/>
      <c r="F25" s="38"/>
      <c r="G25" s="54">
        <v>1</v>
      </c>
      <c r="H25" s="38"/>
      <c r="I25" s="38"/>
      <c r="J25" s="42"/>
      <c r="K25" s="43"/>
      <c r="L25" s="38"/>
      <c r="M25" s="38"/>
      <c r="N25" s="38"/>
      <c r="O25" s="38"/>
      <c r="P25" s="38"/>
      <c r="Q25" s="54">
        <f>SUM(Q9:Q24)</f>
        <v>1.0000000000000002</v>
      </c>
      <c r="R25" s="38"/>
      <c r="S25" s="38"/>
      <c r="T25" s="42"/>
      <c r="U25" s="43"/>
      <c r="V25" s="38"/>
      <c r="W25" s="38"/>
      <c r="X25" s="38"/>
      <c r="Y25" s="38"/>
      <c r="Z25" s="38"/>
      <c r="AA25" s="54">
        <f>SUM(AA9:AA24)</f>
        <v>1.0000000000000002</v>
      </c>
      <c r="AB25" s="38"/>
      <c r="AC25" s="38"/>
      <c r="AD25" s="42"/>
      <c r="AE25" s="44"/>
      <c r="AF25" s="38"/>
      <c r="AG25" s="39" t="s">
        <v>55</v>
      </c>
      <c r="AH25" s="39"/>
      <c r="AI25" s="39"/>
      <c r="AJ25" s="39"/>
      <c r="AK25" s="40">
        <v>0.01</v>
      </c>
      <c r="AL25" s="39"/>
      <c r="AM25" s="42"/>
      <c r="AN25" s="44"/>
      <c r="AO25" s="39" t="s">
        <v>55</v>
      </c>
      <c r="AP25" s="39"/>
      <c r="AQ25" s="39"/>
      <c r="AR25" s="39"/>
      <c r="AS25" s="40">
        <v>0.01</v>
      </c>
      <c r="AT25" s="42"/>
      <c r="AU25" s="44"/>
      <c r="AV25" s="39" t="s">
        <v>20</v>
      </c>
      <c r="AW25" s="39"/>
      <c r="AX25" s="39"/>
      <c r="AY25" s="39"/>
      <c r="AZ25" s="40">
        <v>0.1</v>
      </c>
      <c r="BA25" s="42"/>
      <c r="BB25" s="44"/>
      <c r="BH25" s="42"/>
      <c r="BI25" s="44"/>
      <c r="BJ25" s="45" t="s">
        <v>17</v>
      </c>
      <c r="BK25" s="39"/>
      <c r="BL25" s="39"/>
      <c r="BM25" s="39"/>
      <c r="BN25" s="40">
        <v>0.1</v>
      </c>
      <c r="BO25" s="42"/>
      <c r="BP25" s="44"/>
      <c r="BQ25" s="45"/>
      <c r="BR25" s="45" t="s">
        <v>59</v>
      </c>
      <c r="BS25" s="45"/>
      <c r="BT25" s="45"/>
      <c r="BU25" s="45"/>
      <c r="BV25" s="42"/>
      <c r="BW25" s="44"/>
      <c r="BX25" s="45"/>
      <c r="BY25" s="45" t="s">
        <v>59</v>
      </c>
      <c r="BZ25" s="45"/>
      <c r="CA25" s="45"/>
      <c r="CB25" s="45"/>
      <c r="CC25" s="45"/>
      <c r="CD25" s="42"/>
      <c r="CE25" s="44"/>
      <c r="CF25" s="45"/>
      <c r="CG25" s="45" t="s">
        <v>59</v>
      </c>
      <c r="CH25" s="45"/>
      <c r="CI25" s="45"/>
      <c r="CJ25" s="45"/>
      <c r="CK25" s="45"/>
    </row>
    <row r="26" spans="2:89" s="25" customFormat="1" ht="11.5" x14ac:dyDescent="0.25">
      <c r="B26" s="38"/>
      <c r="J26" s="38"/>
      <c r="K26" s="55"/>
      <c r="L26" s="38"/>
      <c r="T26" s="38"/>
      <c r="U26" s="55"/>
      <c r="V26" s="38"/>
      <c r="AD26" s="38"/>
      <c r="AE26" s="44"/>
      <c r="AF26" s="38"/>
      <c r="AG26" s="38"/>
      <c r="AH26" s="38"/>
      <c r="AI26" s="38"/>
      <c r="AJ26" s="38"/>
      <c r="AK26" s="54">
        <f>SUM(AK9:AK25)</f>
        <v>1.0000000000000002</v>
      </c>
      <c r="AL26" s="38"/>
      <c r="AM26" s="38"/>
      <c r="AN26" s="44"/>
      <c r="AO26" s="38"/>
      <c r="AP26" s="38"/>
      <c r="AQ26" s="38"/>
      <c r="AR26" s="38"/>
      <c r="AS26" s="54">
        <f>SUM(AS9:AS25)</f>
        <v>1.0000000000000002</v>
      </c>
      <c r="AT26" s="38"/>
      <c r="AU26" s="44"/>
      <c r="AV26" s="39" t="s">
        <v>37</v>
      </c>
      <c r="AW26" s="39"/>
      <c r="AX26" s="45"/>
      <c r="AY26" s="39"/>
      <c r="AZ26" s="40">
        <v>0.05</v>
      </c>
      <c r="BA26" s="38"/>
      <c r="BB26" s="44"/>
      <c r="BH26" s="38"/>
      <c r="BI26" s="44"/>
      <c r="BJ26" s="39" t="s">
        <v>56</v>
      </c>
      <c r="BK26" s="39"/>
      <c r="BL26" s="45"/>
      <c r="BM26" s="39"/>
      <c r="BN26" s="40">
        <v>0.05</v>
      </c>
      <c r="BO26" s="38"/>
      <c r="BP26" s="44"/>
      <c r="BQ26" s="45"/>
      <c r="BR26" s="45"/>
      <c r="BS26" s="45"/>
      <c r="BT26" s="45"/>
      <c r="BU26" s="45"/>
      <c r="BV26" s="38"/>
      <c r="BW26" s="44"/>
      <c r="BX26" s="39"/>
      <c r="BY26" s="39"/>
      <c r="BZ26" s="45"/>
      <c r="CA26" s="39"/>
      <c r="CB26" s="40"/>
      <c r="CC26" s="39"/>
      <c r="CD26" s="38"/>
      <c r="CE26" s="44"/>
      <c r="CF26" s="39"/>
      <c r="CG26" s="39"/>
      <c r="CH26" s="45"/>
      <c r="CI26" s="39"/>
      <c r="CJ26" s="40"/>
      <c r="CK26" s="39"/>
    </row>
    <row r="27" spans="2:89" s="25" customFormat="1" ht="11.5" x14ac:dyDescent="0.25"/>
    <row r="28" spans="2:89" s="25" customFormat="1" ht="11.5" x14ac:dyDescent="0.25">
      <c r="B28" s="25" t="s">
        <v>60</v>
      </c>
    </row>
    <row r="42" ht="20.149999999999999" customHeight="1" x14ac:dyDescent="0.3"/>
    <row r="43" ht="20.149999999999999" customHeight="1" x14ac:dyDescent="0.3"/>
    <row r="44" ht="20.149999999999999" customHeight="1" x14ac:dyDescent="0.3"/>
    <row r="45" ht="20.149999999999999" customHeight="1" x14ac:dyDescent="0.3"/>
    <row r="46" ht="20.149999999999999" customHeight="1" x14ac:dyDescent="0.3"/>
    <row r="47" ht="20.149999999999999" customHeight="1" x14ac:dyDescent="0.3"/>
    <row r="48" ht="20.149999999999999" customHeight="1" x14ac:dyDescent="0.3"/>
    <row r="49" ht="20.149999999999999" customHeight="1" x14ac:dyDescent="0.3"/>
    <row r="50" ht="20.149999999999999" customHeight="1" x14ac:dyDescent="0.3"/>
    <row r="51" ht="20.149999999999999" customHeight="1" x14ac:dyDescent="0.3"/>
  </sheetData>
  <mergeCells count="3">
    <mergeCell ref="B2:N2"/>
    <mergeCell ref="B3:O3"/>
    <mergeCell ref="U3:AD3"/>
  </mergeCells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USNews Criteria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V. Lombardi</dc:creator>
  <cp:lastModifiedBy>Carina Negreanu</cp:lastModifiedBy>
  <dcterms:created xsi:type="dcterms:W3CDTF">2000-07-07T13:06:01Z</dcterms:created>
  <dcterms:modified xsi:type="dcterms:W3CDTF">2020-01-27T12:48:50Z</dcterms:modified>
</cp:coreProperties>
</file>