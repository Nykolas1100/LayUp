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BD4F32-413E-47E3-A6E4-4AA3EEB0A1B2}" xr6:coauthVersionLast="45" xr6:coauthVersionMax="45" xr10:uidLastSave="{00000000-0000-0000-0000-000000000000}"/>
  <bookViews>
    <workbookView xWindow="3420" yWindow="3420" windowWidth="28800" windowHeight="15460" firstSheet="1" activeTab="9"/>
  </bookViews>
  <sheets>
    <sheet name="Exercise 1" sheetId="4" r:id="rId1"/>
    <sheet name="Exercise 2" sheetId="6" r:id="rId2"/>
    <sheet name="Exercise 3" sheetId="5" r:id="rId3"/>
    <sheet name="Exercises 4, 5 and 6" sheetId="7" r:id="rId4"/>
    <sheet name="Exercise 7" sheetId="9" r:id="rId5"/>
    <sheet name="Exercise 8 and 9" sheetId="10" r:id="rId6"/>
    <sheet name="Exercise 11,12,13 and 14" sheetId="11" r:id="rId7"/>
    <sheet name="Exercise 15" sheetId="12" r:id="rId8"/>
    <sheet name="Exercise 15 b" sheetId="13" r:id="rId9"/>
    <sheet name="Exercise 16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4" l="1"/>
  <c r="C2" i="4"/>
  <c r="D2" i="4"/>
  <c r="E2" i="4"/>
  <c r="F2" i="4"/>
  <c r="G2" i="4"/>
  <c r="H2" i="4"/>
  <c r="I2" i="4"/>
  <c r="B1" i="11" s="1"/>
  <c r="B9" i="11"/>
  <c r="C9" i="11"/>
  <c r="B10" i="11"/>
  <c r="C10" i="11"/>
  <c r="B11" i="11"/>
  <c r="C11" i="11"/>
  <c r="D14" i="11"/>
  <c r="D17" i="11"/>
  <c r="B2" i="12"/>
  <c r="C2" i="12"/>
  <c r="D2" i="12"/>
  <c r="E2" i="12" s="1"/>
  <c r="F2" i="12" s="1"/>
  <c r="B4" i="13" s="1"/>
  <c r="C4" i="13" s="1"/>
  <c r="H2" i="12" a="1"/>
  <c r="H4" i="12" s="1"/>
  <c r="H3" i="12"/>
  <c r="J3" i="12" s="1" a="1"/>
  <c r="J3" i="12" s="1"/>
  <c r="I3" i="12" a="1"/>
  <c r="I3" i="12" s="1"/>
  <c r="H7" i="12"/>
  <c r="J7" i="12" s="1" a="1"/>
  <c r="J7" i="12" s="1"/>
  <c r="I7" i="12" a="1"/>
  <c r="I7" i="12" s="1"/>
  <c r="H11" i="12"/>
  <c r="J11" i="12" s="1" a="1"/>
  <c r="J11" i="12" s="1"/>
  <c r="I11" i="12" a="1"/>
  <c r="I11" i="12" s="1"/>
  <c r="D4" i="13"/>
  <c r="C2" i="14"/>
  <c r="C2" i="14" a="1"/>
  <c r="E2" i="14"/>
  <c r="F2" i="14"/>
  <c r="G2" i="14"/>
  <c r="H2" i="14"/>
  <c r="I2" i="14"/>
  <c r="C3" i="14" a="1"/>
  <c r="C3" i="14" s="1"/>
  <c r="E7" i="14" s="1"/>
  <c r="C4" i="14" a="1"/>
  <c r="C4" i="14" s="1"/>
  <c r="G4" i="14"/>
  <c r="H4" i="14"/>
  <c r="I4" i="14"/>
  <c r="C5" i="14"/>
  <c r="C5" i="14" a="1"/>
  <c r="C6" i="14"/>
  <c r="C6" i="14" a="1"/>
  <c r="C7" i="14" a="1"/>
  <c r="C7" i="14" s="1"/>
  <c r="C8" i="14" a="1"/>
  <c r="C8" i="14" s="1"/>
  <c r="C9" i="14"/>
  <c r="C9" i="14" a="1"/>
  <c r="C10" i="14"/>
  <c r="C10" i="14" a="1"/>
  <c r="C11" i="14"/>
  <c r="C11" i="14" a="1"/>
  <c r="E13" i="14"/>
  <c r="B2" i="6" a="1"/>
  <c r="B9" i="6" s="1"/>
  <c r="C9" i="6" s="1" a="1"/>
  <c r="C9" i="6" s="1"/>
  <c r="B2" i="5"/>
  <c r="B2" i="5" a="1"/>
  <c r="B6" i="5" s="1"/>
  <c r="B3" i="5"/>
  <c r="B4" i="5"/>
  <c r="B5" i="5"/>
  <c r="B9" i="5"/>
  <c r="B2" i="9"/>
  <c r="B2" i="9" a="1"/>
  <c r="B3" i="9"/>
  <c r="B3" i="9" a="1"/>
  <c r="G3" i="9"/>
  <c r="B4" i="9" a="1"/>
  <c r="B4" i="9" s="1"/>
  <c r="B5" i="9" a="1"/>
  <c r="B5" i="9" s="1"/>
  <c r="B6" i="9" a="1"/>
  <c r="B6" i="9" s="1"/>
  <c r="B7" i="9" a="1"/>
  <c r="B7" i="9" s="1"/>
  <c r="B8" i="9" a="1"/>
  <c r="B8" i="9" s="1"/>
  <c r="B9" i="9"/>
  <c r="B9" i="9" a="1"/>
  <c r="B10" i="9" a="1"/>
  <c r="B10" i="9" s="1"/>
  <c r="B11" i="9" a="1"/>
  <c r="B11" i="9" s="1"/>
  <c r="C2" i="10"/>
  <c r="C3" i="10"/>
  <c r="C4" i="10"/>
  <c r="C5" i="10"/>
  <c r="B2" i="7" a="1"/>
  <c r="B5" i="7" s="1"/>
  <c r="B3" i="7"/>
  <c r="C3" i="7" s="1" a="1"/>
  <c r="C3" i="7" s="1"/>
  <c r="B7" i="7"/>
  <c r="C7" i="7" s="1" a="1"/>
  <c r="C7" i="7" s="1"/>
  <c r="I4" i="12" l="1" a="1"/>
  <c r="I4" i="12" s="1"/>
  <c r="J4" i="12" a="1"/>
  <c r="J4" i="12" s="1"/>
  <c r="C5" i="7" a="1"/>
  <c r="C5" i="7" s="1"/>
  <c r="E5" i="7" a="1"/>
  <c r="E5" i="7" s="1"/>
  <c r="G5" i="7" a="1"/>
  <c r="G5" i="7" s="1"/>
  <c r="H5" i="7" s="1" a="1"/>
  <c r="H5" i="7" s="1"/>
  <c r="E9" i="14"/>
  <c r="B14" i="11"/>
  <c r="C14" i="11" s="1"/>
  <c r="B17" i="11"/>
  <c r="C17" i="11" s="1"/>
  <c r="B4" i="11"/>
  <c r="C4" i="11"/>
  <c r="B6" i="11"/>
  <c r="B5" i="11"/>
  <c r="C5" i="11"/>
  <c r="C6" i="11"/>
  <c r="B15" i="6"/>
  <c r="C15" i="6" s="1" a="1"/>
  <c r="C15" i="6" s="1"/>
  <c r="B41" i="6"/>
  <c r="C41" i="6" s="1" a="1"/>
  <c r="C41" i="6" s="1"/>
  <c r="B21" i="6"/>
  <c r="C21" i="6" s="1" a="1"/>
  <c r="C21" i="6" s="1"/>
  <c r="B42" i="6"/>
  <c r="C42" i="6" s="1" a="1"/>
  <c r="C42" i="6" s="1"/>
  <c r="B34" i="6"/>
  <c r="C34" i="6" s="1" a="1"/>
  <c r="C34" i="6" s="1"/>
  <c r="B14" i="6"/>
  <c r="C14" i="6" s="1" a="1"/>
  <c r="C14" i="6" s="1"/>
  <c r="B2" i="7"/>
  <c r="B27" i="6"/>
  <c r="C27" i="6" s="1" a="1"/>
  <c r="C27" i="6" s="1"/>
  <c r="B7" i="6"/>
  <c r="C7" i="6" s="1" a="1"/>
  <c r="C7" i="6" s="1"/>
  <c r="B22" i="6"/>
  <c r="C22" i="6" s="1" a="1"/>
  <c r="C22" i="6" s="1"/>
  <c r="B9" i="7"/>
  <c r="B28" i="6"/>
  <c r="C28" i="6" s="1" a="1"/>
  <c r="C28" i="6" s="1"/>
  <c r="B33" i="6"/>
  <c r="C33" i="6" s="1" a="1"/>
  <c r="C33" i="6" s="1"/>
  <c r="H10" i="12"/>
  <c r="H6" i="12"/>
  <c r="H2" i="12"/>
  <c r="B46" i="6"/>
  <c r="C46" i="6" s="1" a="1"/>
  <c r="C46" i="6" s="1"/>
  <c r="B26" i="6"/>
  <c r="C26" i="6" s="1" a="1"/>
  <c r="C26" i="6" s="1"/>
  <c r="B6" i="6"/>
  <c r="C6" i="6" s="1" a="1"/>
  <c r="C6" i="6" s="1"/>
  <c r="B20" i="6"/>
  <c r="C20" i="6" s="1" a="1"/>
  <c r="C20" i="6" s="1"/>
  <c r="B13" i="6"/>
  <c r="C13" i="6" s="1" a="1"/>
  <c r="C13" i="6" s="1"/>
  <c r="B6" i="7"/>
  <c r="B39" i="6"/>
  <c r="C39" i="6" s="1" a="1"/>
  <c r="C39" i="6" s="1"/>
  <c r="B19" i="6"/>
  <c r="C19" i="6" s="1" a="1"/>
  <c r="C19" i="6" s="1"/>
  <c r="G3" i="7" a="1"/>
  <c r="G3" i="7" s="1"/>
  <c r="H3" i="7" s="1" a="1"/>
  <c r="H3" i="7" s="1"/>
  <c r="E3" i="9" s="1"/>
  <c r="F3" i="9" s="1"/>
  <c r="B12" i="6"/>
  <c r="C12" i="6" s="1" a="1"/>
  <c r="C12" i="6" s="1"/>
  <c r="B40" i="6"/>
  <c r="C40" i="6" s="1" a="1"/>
  <c r="C40" i="6" s="1"/>
  <c r="B4" i="7"/>
  <c r="B32" i="6"/>
  <c r="C32" i="6" s="1" a="1"/>
  <c r="C32" i="6" s="1"/>
  <c r="B8" i="7"/>
  <c r="B45" i="6"/>
  <c r="C45" i="6" s="1" a="1"/>
  <c r="C45" i="6" s="1"/>
  <c r="B25" i="6"/>
  <c r="C25" i="6" s="1" a="1"/>
  <c r="C25" i="6" s="1"/>
  <c r="B5" i="6"/>
  <c r="C5" i="6" s="1" a="1"/>
  <c r="C5" i="6" s="1"/>
  <c r="H9" i="12"/>
  <c r="B2" i="6"/>
  <c r="C2" i="6" s="1" a="1"/>
  <c r="C2" i="6" s="1"/>
  <c r="B11" i="7"/>
  <c r="E3" i="7" a="1"/>
  <c r="E3" i="7" s="1"/>
  <c r="B35" i="6"/>
  <c r="C35" i="6" s="1" a="1"/>
  <c r="C35" i="6" s="1"/>
  <c r="G7" i="7" a="1"/>
  <c r="G7" i="7" s="1"/>
  <c r="H7" i="7" s="1" a="1"/>
  <c r="H7" i="7" s="1"/>
  <c r="B11" i="5"/>
  <c r="B44" i="6"/>
  <c r="C44" i="6" s="1" a="1"/>
  <c r="C44" i="6" s="1"/>
  <c r="B24" i="6"/>
  <c r="C24" i="6" s="1" a="1"/>
  <c r="C24" i="6" s="1"/>
  <c r="B4" i="6"/>
  <c r="C4" i="6" s="1" a="1"/>
  <c r="C4" i="6" s="1"/>
  <c r="B8" i="6"/>
  <c r="C8" i="6" s="1" a="1"/>
  <c r="C8" i="6" s="1"/>
  <c r="B38" i="6"/>
  <c r="C38" i="6" s="1" a="1"/>
  <c r="C38" i="6" s="1"/>
  <c r="B18" i="6"/>
  <c r="C18" i="6" s="1" a="1"/>
  <c r="C18" i="6" s="1"/>
  <c r="H5" i="12"/>
  <c r="B10" i="7"/>
  <c r="B31" i="6"/>
  <c r="C31" i="6" s="1" a="1"/>
  <c r="C31" i="6" s="1"/>
  <c r="B11" i="6"/>
  <c r="C11" i="6" s="1" a="1"/>
  <c r="C11" i="6" s="1"/>
  <c r="B10" i="5"/>
  <c r="B37" i="6"/>
  <c r="C37" i="6" s="1" a="1"/>
  <c r="C37" i="6" s="1"/>
  <c r="B17" i="6"/>
  <c r="C17" i="6" s="1" a="1"/>
  <c r="C17" i="6" s="1"/>
  <c r="E7" i="7" a="1"/>
  <c r="E7" i="7" s="1"/>
  <c r="B30" i="6"/>
  <c r="C30" i="6" s="1" a="1"/>
  <c r="C30" i="6" s="1"/>
  <c r="B10" i="6"/>
  <c r="C10" i="6" s="1" a="1"/>
  <c r="C10" i="6" s="1"/>
  <c r="B8" i="5"/>
  <c r="B43" i="6"/>
  <c r="C43" i="6" s="1" a="1"/>
  <c r="C43" i="6" s="1"/>
  <c r="B23" i="6"/>
  <c r="C23" i="6" s="1" a="1"/>
  <c r="C23" i="6" s="1"/>
  <c r="B3" i="6"/>
  <c r="C3" i="6" s="1" a="1"/>
  <c r="C3" i="6" s="1"/>
  <c r="H8" i="12"/>
  <c r="B7" i="5"/>
  <c r="B12" i="5" s="1"/>
  <c r="B36" i="6"/>
  <c r="C36" i="6" s="1" a="1"/>
  <c r="C36" i="6" s="1"/>
  <c r="B16" i="6"/>
  <c r="C16" i="6" s="1" a="1"/>
  <c r="C16" i="6" s="1"/>
  <c r="B29" i="6"/>
  <c r="C29" i="6" s="1" a="1"/>
  <c r="C29" i="6" s="1"/>
  <c r="C6" i="7" l="1" a="1"/>
  <c r="C6" i="7" s="1"/>
  <c r="E6" i="7" a="1"/>
  <c r="E6" i="7" s="1"/>
  <c r="G6" i="7" a="1"/>
  <c r="G6" i="7" s="1"/>
  <c r="H6" i="7" s="1" a="1"/>
  <c r="H6" i="7" s="1"/>
  <c r="I8" i="12" a="1"/>
  <c r="I8" i="12" s="1"/>
  <c r="J8" i="12" a="1"/>
  <c r="J8" i="12" s="1"/>
  <c r="C47" i="6"/>
  <c r="I6" i="12" a="1"/>
  <c r="I6" i="12" s="1"/>
  <c r="J6" i="12" a="1"/>
  <c r="J6" i="12" s="1"/>
  <c r="I9" i="12" a="1"/>
  <c r="I9" i="12" s="1"/>
  <c r="J9" i="12" a="1"/>
  <c r="J9" i="12" s="1"/>
  <c r="I10" i="12" a="1"/>
  <c r="I10" i="12" s="1"/>
  <c r="J10" i="12" a="1"/>
  <c r="J10" i="12" s="1"/>
  <c r="H12" i="12"/>
  <c r="I2" i="12"/>
  <c r="I12" i="12" s="1"/>
  <c r="J2" i="12" a="1"/>
  <c r="J2" i="12" s="1"/>
  <c r="E9" i="7" a="1"/>
  <c r="E9" i="7" s="1"/>
  <c r="G9" i="7" a="1"/>
  <c r="G9" i="7" s="1"/>
  <c r="H9" i="7" s="1" a="1"/>
  <c r="H9" i="7" s="1"/>
  <c r="C9" i="7" a="1"/>
  <c r="C9" i="7" s="1"/>
  <c r="E8" i="7" a="1"/>
  <c r="E8" i="7" s="1"/>
  <c r="C8" i="7" a="1"/>
  <c r="C8" i="7" s="1"/>
  <c r="G8" i="7" a="1"/>
  <c r="G8" i="7" s="1"/>
  <c r="H8" i="7" s="1" a="1"/>
  <c r="H8" i="7" s="1"/>
  <c r="G11" i="7" a="1"/>
  <c r="G11" i="7" s="1"/>
  <c r="H11" i="7" s="1" a="1"/>
  <c r="H11" i="7" s="1"/>
  <c r="C11" i="7" a="1"/>
  <c r="C11" i="7" s="1"/>
  <c r="E11" i="7" a="1"/>
  <c r="E11" i="7" s="1"/>
  <c r="C10" i="7" a="1"/>
  <c r="C10" i="7" s="1"/>
  <c r="E10" i="7" a="1"/>
  <c r="E10" i="7" s="1"/>
  <c r="G10" i="7" a="1"/>
  <c r="G10" i="7" s="1"/>
  <c r="H10" i="7" s="1" a="1"/>
  <c r="H10" i="7" s="1"/>
  <c r="G4" i="7" a="1"/>
  <c r="G4" i="7" s="1"/>
  <c r="H4" i="7" s="1" a="1"/>
  <c r="H4" i="7" s="1"/>
  <c r="C4" i="7" a="1"/>
  <c r="C4" i="7" s="1"/>
  <c r="E4" i="7" a="1"/>
  <c r="E4" i="7" s="1"/>
  <c r="I5" i="12" a="1"/>
  <c r="I5" i="12" s="1"/>
  <c r="J5" i="12" a="1"/>
  <c r="J5" i="12" s="1"/>
  <c r="G2" i="7" a="1"/>
  <c r="G2" i="7" s="1"/>
  <c r="H2" i="7" s="1" a="1"/>
  <c r="H2" i="7" s="1"/>
  <c r="B12" i="7"/>
  <c r="E12" i="7" s="1" a="1"/>
  <c r="E12" i="7" s="1"/>
  <c r="E2" i="7"/>
  <c r="C2" i="7" a="1"/>
  <c r="C2" i="7" s="1"/>
  <c r="C12" i="7" l="1"/>
  <c r="H12" i="7"/>
</calcChain>
</file>

<file path=xl/sharedStrings.xml><?xml version="1.0" encoding="utf-8"?>
<sst xmlns="http://schemas.openxmlformats.org/spreadsheetml/2006/main" count="96" uniqueCount="80">
  <si>
    <t>Maximum</t>
  </si>
  <si>
    <t>Minimum</t>
  </si>
  <si>
    <t>Mean</t>
  </si>
  <si>
    <t>Mode</t>
  </si>
  <si>
    <t>Median</t>
  </si>
  <si>
    <t xml:space="preserve">Grade in mathematics </t>
  </si>
  <si>
    <t>Sum</t>
  </si>
  <si>
    <t>Grades</t>
  </si>
  <si>
    <t>Frequency</t>
  </si>
  <si>
    <t>Bin range</t>
  </si>
  <si>
    <t>Relative frequency in %</t>
  </si>
  <si>
    <t>Area of bins</t>
  </si>
  <si>
    <t>Total Area</t>
  </si>
  <si>
    <t>Probabilistic frequencies</t>
  </si>
  <si>
    <t>Variance</t>
  </si>
  <si>
    <t>Standard desviation</t>
  </si>
  <si>
    <t>60-64</t>
  </si>
  <si>
    <t>75-79</t>
  </si>
  <si>
    <t>83-86</t>
  </si>
  <si>
    <t>Intervals</t>
  </si>
  <si>
    <t>0.0275*5=0.1375</t>
  </si>
  <si>
    <t>0.0525*5=0.2625</t>
  </si>
  <si>
    <t>0.015*2+0.0225*2=0.075</t>
  </si>
  <si>
    <t>0.01*3+0.01*5=0.08</t>
  </si>
  <si>
    <t>Probability of the normal distribution</t>
  </si>
  <si>
    <t>Interval probability grades variable</t>
  </si>
  <si>
    <t>92-99</t>
  </si>
  <si>
    <t>Standard error</t>
  </si>
  <si>
    <t>90%CI(mean)</t>
  </si>
  <si>
    <t>99%CI(mean)</t>
  </si>
  <si>
    <t>95%CI(mean)</t>
  </si>
  <si>
    <t>CI with a t-distribution</t>
  </si>
  <si>
    <t>CI with a normal distribution</t>
  </si>
  <si>
    <t>t test for the mean and the expected value 75</t>
  </si>
  <si>
    <t>t value</t>
  </si>
  <si>
    <t>P(| t |) or p-value</t>
  </si>
  <si>
    <t>Null hyp: sample mean is not different from 75</t>
  </si>
  <si>
    <t>t test for the mean and the expected value 50</t>
  </si>
  <si>
    <t>Null hyp: sample mean is not different from 50</t>
  </si>
  <si>
    <t>t statistic (critical value for 95%)</t>
  </si>
  <si>
    <t>Grades 2</t>
  </si>
  <si>
    <t>s</t>
  </si>
  <si>
    <t>SE</t>
  </si>
  <si>
    <t>Frequencies</t>
  </si>
  <si>
    <t>Relative Frequencies</t>
  </si>
  <si>
    <t>Probability frequencies</t>
  </si>
  <si>
    <t>two-sample t test</t>
  </si>
  <si>
    <t>Null hyp: sample mean of both group is not significantly different</t>
  </si>
  <si>
    <t xml:space="preserve">No reject null hyp. Since t-value&lt;t statistic </t>
  </si>
  <si>
    <t>t-value</t>
  </si>
  <si>
    <t>or p-value&gt;0.05</t>
  </si>
  <si>
    <t>Reject null hyp. Since t-value&gt;t statistic</t>
  </si>
  <si>
    <t>or p-value&lt;0.05</t>
  </si>
  <si>
    <t>Reject null hyp. Since |t-value|&gt;t statistic</t>
  </si>
  <si>
    <t>Chi test to check normality</t>
  </si>
  <si>
    <t>Chi -value(O-E)</t>
  </si>
  <si>
    <t>p-value</t>
  </si>
  <si>
    <t>Density function</t>
  </si>
  <si>
    <t xml:space="preserve">No reject null hyp. Since Chi-value&lt;Chi statistic </t>
  </si>
  <si>
    <t>Chi statistic 95%</t>
  </si>
  <si>
    <t>Covariance</t>
  </si>
  <si>
    <t>Correlation</t>
  </si>
  <si>
    <t>Average Men</t>
  </si>
  <si>
    <t>Men</t>
  </si>
  <si>
    <t>Stand. Dev. Men</t>
  </si>
  <si>
    <t>Stand. Dev. Women</t>
  </si>
  <si>
    <t>SD of Total</t>
  </si>
  <si>
    <t>Average of Total</t>
  </si>
  <si>
    <t>Women</t>
  </si>
  <si>
    <t>Men-Women</t>
  </si>
  <si>
    <t>Average Women</t>
  </si>
  <si>
    <t>Men-Women Average</t>
  </si>
  <si>
    <t>Men-Women SD</t>
  </si>
  <si>
    <t>Regression Parameters</t>
  </si>
  <si>
    <t>a (constant)</t>
  </si>
  <si>
    <t>b(slope)</t>
  </si>
  <si>
    <t>Product</t>
  </si>
  <si>
    <t>Absolute Frequency</t>
  </si>
  <si>
    <t>Note that the three histograms are proportional</t>
  </si>
  <si>
    <t>Null Hyp. The grades are N(75.25,10.37) distributed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</si>
</sst>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Frequency of Grades</a:t>
            </a:r>
          </a:p>
        </c:rich>
      </c:tx>
      <c:layout>
        <c:manualLayout>
          <c:xMode val="edge"/>
          <c:yMode val="edge"/>
          <c:x val="0.3338097953631457"/>
          <c:y val="3.77791151732123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024766335760342E-2"/>
          <c:y val="0.20667398300639711"/>
          <c:w val="0.89807405196026224"/>
          <c:h val="0.6311334534819008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'Exercise 2'!$A$2:$A$46</c:f>
              <c:numCache>
                <c:formatCode>General</c:formatCode>
                <c:ptCount val="45"/>
                <c:pt idx="0">
                  <c:v>53</c:v>
                </c:pt>
                <c:pt idx="1">
                  <c:v>54</c:v>
                </c:pt>
                <c:pt idx="2">
                  <c:v>55</c:v>
                </c:pt>
                <c:pt idx="3">
                  <c:v>56</c:v>
                </c:pt>
                <c:pt idx="4">
                  <c:v>57</c:v>
                </c:pt>
                <c:pt idx="5">
                  <c:v>58</c:v>
                </c:pt>
                <c:pt idx="6">
                  <c:v>59</c:v>
                </c:pt>
                <c:pt idx="7">
                  <c:v>60</c:v>
                </c:pt>
                <c:pt idx="8">
                  <c:v>61</c:v>
                </c:pt>
                <c:pt idx="9">
                  <c:v>62</c:v>
                </c:pt>
                <c:pt idx="10">
                  <c:v>63</c:v>
                </c:pt>
                <c:pt idx="11">
                  <c:v>64</c:v>
                </c:pt>
                <c:pt idx="12">
                  <c:v>65</c:v>
                </c:pt>
                <c:pt idx="13">
                  <c:v>66</c:v>
                </c:pt>
                <c:pt idx="14">
                  <c:v>67</c:v>
                </c:pt>
                <c:pt idx="15">
                  <c:v>68</c:v>
                </c:pt>
                <c:pt idx="16">
                  <c:v>69</c:v>
                </c:pt>
                <c:pt idx="17">
                  <c:v>70</c:v>
                </c:pt>
                <c:pt idx="18">
                  <c:v>71</c:v>
                </c:pt>
                <c:pt idx="19">
                  <c:v>72</c:v>
                </c:pt>
                <c:pt idx="20">
                  <c:v>73</c:v>
                </c:pt>
                <c:pt idx="21">
                  <c:v>74</c:v>
                </c:pt>
                <c:pt idx="22">
                  <c:v>75</c:v>
                </c:pt>
                <c:pt idx="23">
                  <c:v>76</c:v>
                </c:pt>
                <c:pt idx="24">
                  <c:v>77</c:v>
                </c:pt>
                <c:pt idx="25">
                  <c:v>78</c:v>
                </c:pt>
                <c:pt idx="26">
                  <c:v>79</c:v>
                </c:pt>
                <c:pt idx="27">
                  <c:v>80</c:v>
                </c:pt>
                <c:pt idx="28">
                  <c:v>81</c:v>
                </c:pt>
                <c:pt idx="29">
                  <c:v>82</c:v>
                </c:pt>
                <c:pt idx="30">
                  <c:v>83</c:v>
                </c:pt>
                <c:pt idx="31">
                  <c:v>84</c:v>
                </c:pt>
                <c:pt idx="32">
                  <c:v>85</c:v>
                </c:pt>
                <c:pt idx="33">
                  <c:v>86</c:v>
                </c:pt>
                <c:pt idx="34">
                  <c:v>87</c:v>
                </c:pt>
                <c:pt idx="35">
                  <c:v>88</c:v>
                </c:pt>
                <c:pt idx="36">
                  <c:v>89</c:v>
                </c:pt>
                <c:pt idx="37">
                  <c:v>90</c:v>
                </c:pt>
                <c:pt idx="38">
                  <c:v>91</c:v>
                </c:pt>
                <c:pt idx="39">
                  <c:v>92</c:v>
                </c:pt>
                <c:pt idx="40">
                  <c:v>93</c:v>
                </c:pt>
                <c:pt idx="41">
                  <c:v>94</c:v>
                </c:pt>
                <c:pt idx="42">
                  <c:v>95</c:v>
                </c:pt>
                <c:pt idx="43">
                  <c:v>96</c:v>
                </c:pt>
                <c:pt idx="44">
                  <c:v>97</c:v>
                </c:pt>
              </c:numCache>
            </c:numRef>
          </c:cat>
          <c:val>
            <c:numRef>
              <c:f>'Exercise 2'!$B$2:$B$46</c:f>
              <c:numCache>
                <c:formatCode>General</c:formatCode>
                <c:ptCount val="4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0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4</c:v>
                </c:pt>
                <c:pt idx="21">
                  <c:v>3</c:v>
                </c:pt>
                <c:pt idx="22">
                  <c:v>7</c:v>
                </c:pt>
                <c:pt idx="23">
                  <c:v>4</c:v>
                </c:pt>
                <c:pt idx="24">
                  <c:v>2</c:v>
                </c:pt>
                <c:pt idx="25">
                  <c:v>5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7-434C-B129-69DB1EEB3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81261599"/>
        <c:axId val="1"/>
      </c:barChart>
      <c:catAx>
        <c:axId val="88126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615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Histogram with the absolute frequencies</a:t>
            </a:r>
          </a:p>
        </c:rich>
      </c:tx>
      <c:layout>
        <c:manualLayout>
          <c:xMode val="edge"/>
          <c:yMode val="edge"/>
          <c:x val="0.23144094722018091"/>
          <c:y val="5.15890446427911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268363660207309E-2"/>
          <c:y val="0.26985038736229233"/>
          <c:w val="0.89122036392248771"/>
          <c:h val="0.555574326922366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'Exercise 3'!$A$2:$A$11</c:f>
              <c:numCache>
                <c:formatCode>General</c:formatCode>
                <c:ptCount val="10"/>
                <c:pt idx="0">
                  <c:v>54</c:v>
                </c:pt>
                <c:pt idx="1">
                  <c:v>59</c:v>
                </c:pt>
                <c:pt idx="2">
                  <c:v>64</c:v>
                </c:pt>
                <c:pt idx="3">
                  <c:v>69</c:v>
                </c:pt>
                <c:pt idx="4">
                  <c:v>74</c:v>
                </c:pt>
                <c:pt idx="5">
                  <c:v>79</c:v>
                </c:pt>
                <c:pt idx="6">
                  <c:v>84</c:v>
                </c:pt>
                <c:pt idx="7">
                  <c:v>89</c:v>
                </c:pt>
                <c:pt idx="8">
                  <c:v>94</c:v>
                </c:pt>
                <c:pt idx="9">
                  <c:v>99</c:v>
                </c:pt>
              </c:numCache>
            </c:numRef>
          </c:cat>
          <c:val>
            <c:numRef>
              <c:f>'Exercise 3'!$B$2:$B$11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11</c:v>
                </c:pt>
                <c:pt idx="3">
                  <c:v>10</c:v>
                </c:pt>
                <c:pt idx="4">
                  <c:v>12</c:v>
                </c:pt>
                <c:pt idx="5">
                  <c:v>21</c:v>
                </c:pt>
                <c:pt idx="6">
                  <c:v>6</c:v>
                </c:pt>
                <c:pt idx="7">
                  <c:v>9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3-449E-A7A9-2AD7FC7DC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81260799"/>
        <c:axId val="1"/>
      </c:barChart>
      <c:catAx>
        <c:axId val="881260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607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Histogram With Relative Frequencies in %</a:t>
            </a:r>
          </a:p>
        </c:rich>
      </c:tx>
      <c:layout>
        <c:manualLayout>
          <c:xMode val="edge"/>
          <c:yMode val="edge"/>
          <c:x val="0.14031669650447356"/>
          <c:y val="4.67640478548108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68071009063901"/>
          <c:y val="0.25900088042664465"/>
          <c:w val="0.85080917563030001"/>
          <c:h val="0.561168574257730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'Exercises 4, 5 and 6'!$A$2:$A$11</c:f>
              <c:numCache>
                <c:formatCode>General</c:formatCode>
                <c:ptCount val="10"/>
                <c:pt idx="0">
                  <c:v>54</c:v>
                </c:pt>
                <c:pt idx="1">
                  <c:v>59</c:v>
                </c:pt>
                <c:pt idx="2">
                  <c:v>64</c:v>
                </c:pt>
                <c:pt idx="3">
                  <c:v>69</c:v>
                </c:pt>
                <c:pt idx="4">
                  <c:v>74</c:v>
                </c:pt>
                <c:pt idx="5">
                  <c:v>79</c:v>
                </c:pt>
                <c:pt idx="6">
                  <c:v>84</c:v>
                </c:pt>
                <c:pt idx="7">
                  <c:v>89</c:v>
                </c:pt>
                <c:pt idx="8">
                  <c:v>94</c:v>
                </c:pt>
                <c:pt idx="9">
                  <c:v>99</c:v>
                </c:pt>
              </c:numCache>
            </c:numRef>
          </c:cat>
          <c:val>
            <c:numRef>
              <c:f>'Exercises 4, 5 and 6'!$E$2:$E$11</c:f>
              <c:numCache>
                <c:formatCode>General</c:formatCode>
                <c:ptCount val="10"/>
                <c:pt idx="0">
                  <c:v>1.25</c:v>
                </c:pt>
                <c:pt idx="1">
                  <c:v>2.5</c:v>
                </c:pt>
                <c:pt idx="2">
                  <c:v>13.750000000000002</c:v>
                </c:pt>
                <c:pt idx="3">
                  <c:v>12.5</c:v>
                </c:pt>
                <c:pt idx="4">
                  <c:v>15</c:v>
                </c:pt>
                <c:pt idx="5">
                  <c:v>26.25</c:v>
                </c:pt>
                <c:pt idx="6">
                  <c:v>7.5</c:v>
                </c:pt>
                <c:pt idx="7">
                  <c:v>11.25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7-4501-9186-74572F102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89172143"/>
        <c:axId val="1"/>
      </c:barChart>
      <c:catAx>
        <c:axId val="789172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917214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Probability Density Histogram</a:t>
            </a:r>
          </a:p>
        </c:rich>
      </c:tx>
      <c:layout>
        <c:manualLayout>
          <c:xMode val="edge"/>
          <c:yMode val="edge"/>
          <c:x val="0.26381179773475216"/>
          <c:y val="4.74469570989885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56800365023932"/>
          <c:y val="0.25913338107909123"/>
          <c:w val="0.8425617105947123"/>
          <c:h val="0.5584141873957881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'Exercises 4, 5 and 6'!$A$2:$A$11</c:f>
              <c:numCache>
                <c:formatCode>General</c:formatCode>
                <c:ptCount val="10"/>
                <c:pt idx="0">
                  <c:v>54</c:v>
                </c:pt>
                <c:pt idx="1">
                  <c:v>59</c:v>
                </c:pt>
                <c:pt idx="2">
                  <c:v>64</c:v>
                </c:pt>
                <c:pt idx="3">
                  <c:v>69</c:v>
                </c:pt>
                <c:pt idx="4">
                  <c:v>74</c:v>
                </c:pt>
                <c:pt idx="5">
                  <c:v>79</c:v>
                </c:pt>
                <c:pt idx="6">
                  <c:v>84</c:v>
                </c:pt>
                <c:pt idx="7">
                  <c:v>89</c:v>
                </c:pt>
                <c:pt idx="8">
                  <c:v>94</c:v>
                </c:pt>
                <c:pt idx="9">
                  <c:v>99</c:v>
                </c:pt>
              </c:numCache>
            </c:numRef>
          </c:cat>
          <c:val>
            <c:numRef>
              <c:f>'Exercises 4, 5 and 6'!$G$2:$G$11</c:f>
              <c:numCache>
                <c:formatCode>General</c:formatCode>
                <c:ptCount val="10"/>
                <c:pt idx="0">
                  <c:v>2.5000000000000001E-3</c:v>
                </c:pt>
                <c:pt idx="1">
                  <c:v>5.0000000000000001E-3</c:v>
                </c:pt>
                <c:pt idx="2">
                  <c:v>2.75E-2</c:v>
                </c:pt>
                <c:pt idx="3">
                  <c:v>2.5000000000000001E-2</c:v>
                </c:pt>
                <c:pt idx="4">
                  <c:v>0.03</c:v>
                </c:pt>
                <c:pt idx="5">
                  <c:v>5.2499999999999998E-2</c:v>
                </c:pt>
                <c:pt idx="6">
                  <c:v>1.4999999999999999E-2</c:v>
                </c:pt>
                <c:pt idx="7">
                  <c:v>2.2499999999999999E-2</c:v>
                </c:pt>
                <c:pt idx="8">
                  <c:v>0.01</c:v>
                </c:pt>
                <c:pt idx="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2-4B67-9925-2A27F52A7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78966031"/>
        <c:axId val="1"/>
      </c:barChart>
      <c:catAx>
        <c:axId val="878966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9660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Histogram With Relative Frequencies</a:t>
            </a:r>
          </a:p>
        </c:rich>
      </c:tx>
      <c:layout>
        <c:manualLayout>
          <c:xMode val="edge"/>
          <c:yMode val="edge"/>
          <c:x val="0.16589351639751929"/>
          <c:y val="4.710321487093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88393119762412"/>
          <c:y val="0.26450266812139239"/>
          <c:w val="0.79441965598812059"/>
          <c:h val="0.532628660463625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'Exercises 4, 5 and 6'!$A$2:$A$11</c:f>
              <c:numCache>
                <c:formatCode>General</c:formatCode>
                <c:ptCount val="10"/>
                <c:pt idx="0">
                  <c:v>54</c:v>
                </c:pt>
                <c:pt idx="1">
                  <c:v>59</c:v>
                </c:pt>
                <c:pt idx="2">
                  <c:v>64</c:v>
                </c:pt>
                <c:pt idx="3">
                  <c:v>69</c:v>
                </c:pt>
                <c:pt idx="4">
                  <c:v>74</c:v>
                </c:pt>
                <c:pt idx="5">
                  <c:v>79</c:v>
                </c:pt>
                <c:pt idx="6">
                  <c:v>84</c:v>
                </c:pt>
                <c:pt idx="7">
                  <c:v>89</c:v>
                </c:pt>
                <c:pt idx="8">
                  <c:v>94</c:v>
                </c:pt>
                <c:pt idx="9">
                  <c:v>99</c:v>
                </c:pt>
              </c:numCache>
            </c:numRef>
          </c:cat>
          <c:val>
            <c:numRef>
              <c:f>'Exercises 4, 5 and 6'!$C$2:$C$11</c:f>
              <c:numCache>
                <c:formatCode>General</c:formatCode>
                <c:ptCount val="10"/>
                <c:pt idx="0">
                  <c:v>1.2500000000000001E-2</c:v>
                </c:pt>
                <c:pt idx="1">
                  <c:v>2.5000000000000001E-2</c:v>
                </c:pt>
                <c:pt idx="2">
                  <c:v>0.13750000000000001</c:v>
                </c:pt>
                <c:pt idx="3">
                  <c:v>0.125</c:v>
                </c:pt>
                <c:pt idx="4">
                  <c:v>0.15</c:v>
                </c:pt>
                <c:pt idx="5">
                  <c:v>0.26250000000000001</c:v>
                </c:pt>
                <c:pt idx="6">
                  <c:v>7.4999999999999997E-2</c:v>
                </c:pt>
                <c:pt idx="7">
                  <c:v>0.1125</c:v>
                </c:pt>
                <c:pt idx="8">
                  <c:v>0.05</c:v>
                </c:pt>
                <c:pt idx="9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8-4A5E-8958-74141985E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78968031"/>
        <c:axId val="1"/>
      </c:barChart>
      <c:catAx>
        <c:axId val="878968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89680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Histogram of a normal distribution with mean 75.25 and standard dev.  10.37</a:t>
            </a:r>
          </a:p>
        </c:rich>
      </c:tx>
      <c:layout>
        <c:manualLayout>
          <c:xMode val="edge"/>
          <c:yMode val="edge"/>
          <c:x val="0.12438232706094016"/>
          <c:y val="8.09996646754135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11487884110653"/>
          <c:y val="0.34892163244793506"/>
          <c:w val="0.68659044537638969"/>
          <c:h val="0.479767244615910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'Exercise 7'!$A$2:$A$11</c:f>
              <c:numCache>
                <c:formatCode>General</c:formatCode>
                <c:ptCount val="10"/>
                <c:pt idx="0">
                  <c:v>54</c:v>
                </c:pt>
                <c:pt idx="1">
                  <c:v>59</c:v>
                </c:pt>
                <c:pt idx="2">
                  <c:v>64</c:v>
                </c:pt>
                <c:pt idx="3">
                  <c:v>69</c:v>
                </c:pt>
                <c:pt idx="4">
                  <c:v>74</c:v>
                </c:pt>
                <c:pt idx="5">
                  <c:v>79</c:v>
                </c:pt>
                <c:pt idx="6">
                  <c:v>84</c:v>
                </c:pt>
                <c:pt idx="7">
                  <c:v>89</c:v>
                </c:pt>
                <c:pt idx="8">
                  <c:v>94</c:v>
                </c:pt>
                <c:pt idx="9">
                  <c:v>99</c:v>
                </c:pt>
              </c:numCache>
            </c:numRef>
          </c:cat>
          <c:val>
            <c:numRef>
              <c:f>'Exercise 7'!$B$2:$B$11</c:f>
              <c:numCache>
                <c:formatCode>General</c:formatCode>
                <c:ptCount val="10"/>
                <c:pt idx="0">
                  <c:v>4.7130238833392327E-3</c:v>
                </c:pt>
                <c:pt idx="1">
                  <c:v>1.126976516264943E-2</c:v>
                </c:pt>
                <c:pt idx="2">
                  <c:v>2.1358268016372715E-2</c:v>
                </c:pt>
                <c:pt idx="3">
                  <c:v>3.2081387086360554E-2</c:v>
                </c:pt>
                <c:pt idx="4">
                  <c:v>3.8192332493925049E-2</c:v>
                </c:pt>
                <c:pt idx="5">
                  <c:v>3.6035882941704879E-2</c:v>
                </c:pt>
                <c:pt idx="6">
                  <c:v>2.6948220498148701E-2</c:v>
                </c:pt>
                <c:pt idx="7">
                  <c:v>1.597206087318194E-2</c:v>
                </c:pt>
                <c:pt idx="8">
                  <c:v>7.5028758631132189E-3</c:v>
                </c:pt>
                <c:pt idx="9">
                  <c:v>2.7933831240035305E-3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6-4FA9-AD69-F301FA273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81256399"/>
        <c:axId val="1"/>
      </c:barChart>
      <c:catAx>
        <c:axId val="881256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563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Comparison of both plots: normal distribution and grades </a:t>
            </a:r>
          </a:p>
        </c:rich>
      </c:tx>
      <c:layout>
        <c:manualLayout>
          <c:xMode val="edge"/>
          <c:yMode val="edge"/>
          <c:x val="0.12364034265129716"/>
          <c:y val="4.03740865967593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45858298440446"/>
          <c:y val="0.33230978968101949"/>
          <c:w val="0.83820879356247036"/>
          <c:h val="0.4938061360680569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'Exercise 7'!$A$2:$A$11</c:f>
              <c:numCache>
                <c:formatCode>General</c:formatCode>
                <c:ptCount val="10"/>
                <c:pt idx="0">
                  <c:v>54</c:v>
                </c:pt>
                <c:pt idx="1">
                  <c:v>59</c:v>
                </c:pt>
                <c:pt idx="2">
                  <c:v>64</c:v>
                </c:pt>
                <c:pt idx="3">
                  <c:v>69</c:v>
                </c:pt>
                <c:pt idx="4">
                  <c:v>74</c:v>
                </c:pt>
                <c:pt idx="5">
                  <c:v>79</c:v>
                </c:pt>
                <c:pt idx="6">
                  <c:v>84</c:v>
                </c:pt>
                <c:pt idx="7">
                  <c:v>89</c:v>
                </c:pt>
                <c:pt idx="8">
                  <c:v>94</c:v>
                </c:pt>
                <c:pt idx="9">
                  <c:v>99</c:v>
                </c:pt>
              </c:numCache>
            </c:numRef>
          </c:cat>
          <c:val>
            <c:numRef>
              <c:f>'Exercise 7'!$B$2:$B$11</c:f>
              <c:numCache>
                <c:formatCode>General</c:formatCode>
                <c:ptCount val="10"/>
                <c:pt idx="0">
                  <c:v>4.7130238833392327E-3</c:v>
                </c:pt>
                <c:pt idx="1">
                  <c:v>1.126976516264943E-2</c:v>
                </c:pt>
                <c:pt idx="2">
                  <c:v>2.1358268016372715E-2</c:v>
                </c:pt>
                <c:pt idx="3">
                  <c:v>3.2081387086360554E-2</c:v>
                </c:pt>
                <c:pt idx="4">
                  <c:v>3.8192332493925049E-2</c:v>
                </c:pt>
                <c:pt idx="5">
                  <c:v>3.6035882941704879E-2</c:v>
                </c:pt>
                <c:pt idx="6">
                  <c:v>2.6948220498148701E-2</c:v>
                </c:pt>
                <c:pt idx="7">
                  <c:v>1.597206087318194E-2</c:v>
                </c:pt>
                <c:pt idx="8">
                  <c:v>7.5028758631132189E-3</c:v>
                </c:pt>
                <c:pt idx="9">
                  <c:v>2.7933831240035305E-3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8-4D4A-87CF-203EFBDC2054}"/>
            </c:ext>
          </c:extLst>
        </c:ser>
        <c:ser>
          <c:idx val="0"/>
          <c:order val="1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'Exercises 4, 5 and 6'!$A$2:$A$11</c:f>
              <c:numCache>
                <c:formatCode>General</c:formatCode>
                <c:ptCount val="10"/>
                <c:pt idx="0">
                  <c:v>54</c:v>
                </c:pt>
                <c:pt idx="1">
                  <c:v>59</c:v>
                </c:pt>
                <c:pt idx="2">
                  <c:v>64</c:v>
                </c:pt>
                <c:pt idx="3">
                  <c:v>69</c:v>
                </c:pt>
                <c:pt idx="4">
                  <c:v>74</c:v>
                </c:pt>
                <c:pt idx="5">
                  <c:v>79</c:v>
                </c:pt>
                <c:pt idx="6">
                  <c:v>84</c:v>
                </c:pt>
                <c:pt idx="7">
                  <c:v>89</c:v>
                </c:pt>
                <c:pt idx="8">
                  <c:v>94</c:v>
                </c:pt>
                <c:pt idx="9">
                  <c:v>99</c:v>
                </c:pt>
              </c:numCache>
            </c:numRef>
          </c:cat>
          <c:val>
            <c:numRef>
              <c:f>'Exercises 4, 5 and 6'!$G$2:$G$11</c:f>
              <c:numCache>
                <c:formatCode>General</c:formatCode>
                <c:ptCount val="10"/>
                <c:pt idx="0">
                  <c:v>2.5000000000000001E-3</c:v>
                </c:pt>
                <c:pt idx="1">
                  <c:v>5.0000000000000001E-3</c:v>
                </c:pt>
                <c:pt idx="2">
                  <c:v>2.75E-2</c:v>
                </c:pt>
                <c:pt idx="3">
                  <c:v>2.5000000000000001E-2</c:v>
                </c:pt>
                <c:pt idx="4">
                  <c:v>0.03</c:v>
                </c:pt>
                <c:pt idx="5">
                  <c:v>5.2499999999999998E-2</c:v>
                </c:pt>
                <c:pt idx="6">
                  <c:v>1.4999999999999999E-2</c:v>
                </c:pt>
                <c:pt idx="7">
                  <c:v>2.2499999999999999E-2</c:v>
                </c:pt>
                <c:pt idx="8">
                  <c:v>0.01</c:v>
                </c:pt>
                <c:pt idx="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68-4D4A-87CF-203EFBDC2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86451871"/>
        <c:axId val="1"/>
      </c:barChart>
      <c:catAx>
        <c:axId val="586451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645187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Probability Distribution</a:t>
            </a:r>
          </a:p>
        </c:rich>
      </c:tx>
      <c:layout>
        <c:manualLayout>
          <c:xMode val="edge"/>
          <c:yMode val="edge"/>
          <c:x val="0.32065120533485791"/>
          <c:y val="4.72744585151045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27676226731461"/>
          <c:y val="0.26546426704635623"/>
          <c:w val="0.82367278370391628"/>
          <c:h val="0.5309285340927124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'Exercise 15'!$G$2:$G$11</c:f>
              <c:numCache>
                <c:formatCode>General</c:formatCode>
                <c:ptCount val="10"/>
                <c:pt idx="0">
                  <c:v>54</c:v>
                </c:pt>
                <c:pt idx="1">
                  <c:v>59</c:v>
                </c:pt>
                <c:pt idx="2">
                  <c:v>64</c:v>
                </c:pt>
                <c:pt idx="3">
                  <c:v>69</c:v>
                </c:pt>
                <c:pt idx="4">
                  <c:v>74</c:v>
                </c:pt>
                <c:pt idx="5">
                  <c:v>79</c:v>
                </c:pt>
                <c:pt idx="6">
                  <c:v>84</c:v>
                </c:pt>
                <c:pt idx="7">
                  <c:v>89</c:v>
                </c:pt>
                <c:pt idx="8">
                  <c:v>94</c:v>
                </c:pt>
                <c:pt idx="9">
                  <c:v>99</c:v>
                </c:pt>
              </c:numCache>
            </c:numRef>
          </c:cat>
          <c:val>
            <c:numRef>
              <c:f>'Exercise 15'!$J$2:$J$11</c:f>
              <c:numCache>
                <c:formatCode>General</c:formatCode>
                <c:ptCount val="10"/>
                <c:pt idx="0">
                  <c:v>1.4999999999999999E-2</c:v>
                </c:pt>
                <c:pt idx="1">
                  <c:v>3.4999999999999996E-2</c:v>
                </c:pt>
                <c:pt idx="2">
                  <c:v>4.4999999999999998E-2</c:v>
                </c:pt>
                <c:pt idx="3">
                  <c:v>0.05</c:v>
                </c:pt>
                <c:pt idx="4">
                  <c:v>0.03</c:v>
                </c:pt>
                <c:pt idx="5">
                  <c:v>2.5000000000000001E-2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F-4A72-93C5-95378C2B7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96229679"/>
        <c:axId val="1"/>
      </c:barChart>
      <c:catAx>
        <c:axId val="796229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22967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Comparison of Both Groups of Students
</a:t>
            </a:r>
          </a:p>
        </c:rich>
      </c:tx>
      <c:layout>
        <c:manualLayout>
          <c:xMode val="edge"/>
          <c:yMode val="edge"/>
          <c:x val="0.16761370004194434"/>
          <c:y val="4.72744585151045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89740003676022"/>
          <c:y val="0.22182630534010589"/>
          <c:w val="0.81546890020406626"/>
          <c:h val="0.5454745213281292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'Exercises 4, 5 and 6'!$A$2:$A$11</c:f>
              <c:numCache>
                <c:formatCode>General</c:formatCode>
                <c:ptCount val="10"/>
                <c:pt idx="0">
                  <c:v>54</c:v>
                </c:pt>
                <c:pt idx="1">
                  <c:v>59</c:v>
                </c:pt>
                <c:pt idx="2">
                  <c:v>64</c:v>
                </c:pt>
                <c:pt idx="3">
                  <c:v>69</c:v>
                </c:pt>
                <c:pt idx="4">
                  <c:v>74</c:v>
                </c:pt>
                <c:pt idx="5">
                  <c:v>79</c:v>
                </c:pt>
                <c:pt idx="6">
                  <c:v>84</c:v>
                </c:pt>
                <c:pt idx="7">
                  <c:v>89</c:v>
                </c:pt>
                <c:pt idx="8">
                  <c:v>94</c:v>
                </c:pt>
                <c:pt idx="9">
                  <c:v>99</c:v>
                </c:pt>
              </c:numCache>
            </c:numRef>
          </c:cat>
          <c:val>
            <c:numRef>
              <c:f>'Exercises 4, 5 and 6'!$G$2:$G$11</c:f>
              <c:numCache>
                <c:formatCode>General</c:formatCode>
                <c:ptCount val="10"/>
                <c:pt idx="0">
                  <c:v>2.5000000000000001E-3</c:v>
                </c:pt>
                <c:pt idx="1">
                  <c:v>5.0000000000000001E-3</c:v>
                </c:pt>
                <c:pt idx="2">
                  <c:v>2.75E-2</c:v>
                </c:pt>
                <c:pt idx="3">
                  <c:v>2.5000000000000001E-2</c:v>
                </c:pt>
                <c:pt idx="4">
                  <c:v>0.03</c:v>
                </c:pt>
                <c:pt idx="5">
                  <c:v>5.2499999999999998E-2</c:v>
                </c:pt>
                <c:pt idx="6">
                  <c:v>1.4999999999999999E-2</c:v>
                </c:pt>
                <c:pt idx="7">
                  <c:v>2.2499999999999999E-2</c:v>
                </c:pt>
                <c:pt idx="8">
                  <c:v>0.01</c:v>
                </c:pt>
                <c:pt idx="9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7-4EB3-8FA4-AEB9CA130295}"/>
            </c:ext>
          </c:extLst>
        </c:ser>
        <c:ser>
          <c:idx val="0"/>
          <c:order val="1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'Exercise 15'!$G$2:$G$11</c:f>
              <c:numCache>
                <c:formatCode>General</c:formatCode>
                <c:ptCount val="10"/>
                <c:pt idx="0">
                  <c:v>54</c:v>
                </c:pt>
                <c:pt idx="1">
                  <c:v>59</c:v>
                </c:pt>
                <c:pt idx="2">
                  <c:v>64</c:v>
                </c:pt>
                <c:pt idx="3">
                  <c:v>69</c:v>
                </c:pt>
                <c:pt idx="4">
                  <c:v>74</c:v>
                </c:pt>
                <c:pt idx="5">
                  <c:v>79</c:v>
                </c:pt>
                <c:pt idx="6">
                  <c:v>84</c:v>
                </c:pt>
                <c:pt idx="7">
                  <c:v>89</c:v>
                </c:pt>
                <c:pt idx="8">
                  <c:v>94</c:v>
                </c:pt>
                <c:pt idx="9">
                  <c:v>99</c:v>
                </c:pt>
              </c:numCache>
            </c:numRef>
          </c:cat>
          <c:val>
            <c:numRef>
              <c:f>'Exercise 15'!$J$2:$J$11</c:f>
              <c:numCache>
                <c:formatCode>General</c:formatCode>
                <c:ptCount val="10"/>
                <c:pt idx="0">
                  <c:v>1.4999999999999999E-2</c:v>
                </c:pt>
                <c:pt idx="1">
                  <c:v>3.4999999999999996E-2</c:v>
                </c:pt>
                <c:pt idx="2">
                  <c:v>4.4999999999999998E-2</c:v>
                </c:pt>
                <c:pt idx="3">
                  <c:v>0.05</c:v>
                </c:pt>
                <c:pt idx="4">
                  <c:v>0.03</c:v>
                </c:pt>
                <c:pt idx="5">
                  <c:v>2.5000000000000001E-2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7-4EB3-8FA4-AEB9CA130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88773343"/>
        <c:axId val="1"/>
      </c:barChart>
      <c:catAx>
        <c:axId val="788773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877334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Men Women Income Regression
</a:t>
            </a:r>
          </a:p>
        </c:rich>
      </c:tx>
      <c:layout>
        <c:manualLayout>
          <c:xMode val="edge"/>
          <c:yMode val="edge"/>
          <c:x val="0.25153245255353085"/>
          <c:y val="5.86101093182369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05288493634298"/>
          <c:y val="0.35166065590942153"/>
          <c:w val="0.82167267834153424"/>
          <c:h val="0.33700812857986234"/>
        </c:manualLayout>
      </c:layout>
      <c:scatterChart>
        <c:scatterStyle val="lineMarker"/>
        <c:varyColors val="0"/>
        <c:ser>
          <c:idx val="0"/>
          <c:order val="0"/>
          <c:tx>
            <c:v>Men Women Income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'Exercise 16'!$A$2:$A$11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30</c:v>
                </c:pt>
                <c:pt idx="3">
                  <c:v>20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30</c:v>
                </c:pt>
                <c:pt idx="8">
                  <c:v>40</c:v>
                </c:pt>
                <c:pt idx="9">
                  <c:v>40</c:v>
                </c:pt>
              </c:numCache>
            </c:numRef>
          </c:xVal>
          <c:yVal>
            <c:numRef>
              <c:f>'Exercise 16'!$B$2:$B$11</c:f>
              <c:numCache>
                <c:formatCode>General</c:formatCode>
                <c:ptCount val="10"/>
                <c:pt idx="0">
                  <c:v>15</c:v>
                </c:pt>
                <c:pt idx="1">
                  <c:v>35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15</c:v>
                </c:pt>
                <c:pt idx="6">
                  <c:v>25</c:v>
                </c:pt>
                <c:pt idx="7">
                  <c:v>25</c:v>
                </c:pt>
                <c:pt idx="8">
                  <c:v>35</c:v>
                </c:pt>
                <c:pt idx="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80-48EE-9C85-DF093FBD5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246015"/>
        <c:axId val="1"/>
      </c:scatterChart>
      <c:valAx>
        <c:axId val="876246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Men</a:t>
                </a:r>
              </a:p>
            </c:rich>
          </c:tx>
          <c:layout>
            <c:manualLayout>
              <c:xMode val="edge"/>
              <c:yMode val="edge"/>
              <c:x val="0.50916266153260192"/>
              <c:y val="0.820541530455316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Women</a:t>
                </a:r>
              </a:p>
            </c:rich>
          </c:tx>
          <c:layout>
            <c:manualLayout>
              <c:xMode val="edge"/>
              <c:yMode val="edge"/>
              <c:x val="3.2013221234085745E-2"/>
              <c:y val="0.402944501562878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624601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6350</xdr:rowOff>
    </xdr:from>
    <xdr:to>
      <xdr:col>11</xdr:col>
      <xdr:colOff>279400</xdr:colOff>
      <xdr:row>20</xdr:row>
      <xdr:rowOff>6350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1CBA3FBA-00C1-424C-B2CB-387F2BEF7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615950</xdr:colOff>
      <xdr:row>0</xdr:row>
      <xdr:rowOff>146050</xdr:rowOff>
    </xdr:from>
    <xdr:to>
      <xdr:col>9</xdr:col>
      <xdr:colOff>6350</xdr:colOff>
      <xdr:row>11</xdr:row>
      <xdr:rowOff>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A85C2FD9-1A56-4376-AFC4-D07952DE7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11</xdr:row>
      <xdr:rowOff>152400</xdr:rowOff>
    </xdr:from>
    <xdr:to>
      <xdr:col>5</xdr:col>
      <xdr:colOff>0</xdr:colOff>
      <xdr:row>23</xdr:row>
      <xdr:rowOff>12700</xdr:rowOff>
    </xdr:to>
    <xdr:graphicFrame macro="">
      <xdr:nvGraphicFramePr>
        <xdr:cNvPr id="4098" name="Chart 2">
          <a:extLst>
            <a:ext uri="{FF2B5EF4-FFF2-40B4-BE49-F238E27FC236}">
              <a16:creationId xmlns:a16="http://schemas.microsoft.com/office/drawing/2014/main" id="{236C771A-92BA-4B51-9788-57337145A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603250</xdr:colOff>
      <xdr:row>12</xdr:row>
      <xdr:rowOff>6350</xdr:rowOff>
    </xdr:from>
    <xdr:to>
      <xdr:col>8</xdr:col>
      <xdr:colOff>6350</xdr:colOff>
      <xdr:row>23</xdr:row>
      <xdr:rowOff>0</xdr:rowOff>
    </xdr:to>
    <xdr:graphicFrame macro="">
      <xdr:nvGraphicFramePr>
        <xdr:cNvPr id="4100" name="Chart 4">
          <a:extLst>
            <a:ext uri="{FF2B5EF4-FFF2-40B4-BE49-F238E27FC236}">
              <a16:creationId xmlns:a16="http://schemas.microsoft.com/office/drawing/2014/main" id="{121B7732-FE55-45FA-AF81-D0B34DF7A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</xdr:colOff>
      <xdr:row>12</xdr:row>
      <xdr:rowOff>0</xdr:rowOff>
    </xdr:from>
    <xdr:to>
      <xdr:col>2</xdr:col>
      <xdr:colOff>1314450</xdr:colOff>
      <xdr:row>23</xdr:row>
      <xdr:rowOff>6350</xdr:rowOff>
    </xdr:to>
    <xdr:graphicFrame macro="">
      <xdr:nvGraphicFramePr>
        <xdr:cNvPr id="4102" name="Chart 6">
          <a:extLst>
            <a:ext uri="{FF2B5EF4-FFF2-40B4-BE49-F238E27FC236}">
              <a16:creationId xmlns:a16="http://schemas.microsoft.com/office/drawing/2014/main" id="{447BC40A-929D-4608-816B-FFBCE1072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107950</xdr:rowOff>
    </xdr:from>
    <xdr:to>
      <xdr:col>4</xdr:col>
      <xdr:colOff>965200</xdr:colOff>
      <xdr:row>24</xdr:row>
      <xdr:rowOff>82550</xdr:rowOff>
    </xdr:to>
    <xdr:graphicFrame macro="">
      <xdr:nvGraphicFramePr>
        <xdr:cNvPr id="5126" name="Chart 6">
          <a:extLst>
            <a:ext uri="{FF2B5EF4-FFF2-40B4-BE49-F238E27FC236}">
              <a16:creationId xmlns:a16="http://schemas.microsoft.com/office/drawing/2014/main" id="{D5F5A868-4211-4E12-8958-9161AEA30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971550</xdr:colOff>
      <xdr:row>11</xdr:row>
      <xdr:rowOff>107950</xdr:rowOff>
    </xdr:from>
    <xdr:to>
      <xdr:col>7</xdr:col>
      <xdr:colOff>901700</xdr:colOff>
      <xdr:row>24</xdr:row>
      <xdr:rowOff>88900</xdr:rowOff>
    </xdr:to>
    <xdr:graphicFrame macro="">
      <xdr:nvGraphicFramePr>
        <xdr:cNvPr id="5127" name="Chart 7">
          <a:extLst>
            <a:ext uri="{FF2B5EF4-FFF2-40B4-BE49-F238E27FC236}">
              <a16:creationId xmlns:a16="http://schemas.microsoft.com/office/drawing/2014/main" id="{A5306EDC-0BD9-48FD-8286-899718973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120650</xdr:colOff>
      <xdr:row>13</xdr:row>
      <xdr:rowOff>6350</xdr:rowOff>
    </xdr:from>
    <xdr:to>
      <xdr:col>6</xdr:col>
      <xdr:colOff>241300</xdr:colOff>
      <xdr:row>24</xdr:row>
      <xdr:rowOff>6350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8BB65441-3CCC-4669-8F3D-82F8E07E7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260350</xdr:colOff>
      <xdr:row>13</xdr:row>
      <xdr:rowOff>0</xdr:rowOff>
    </xdr:from>
    <xdr:to>
      <xdr:col>9</xdr:col>
      <xdr:colOff>1016000</xdr:colOff>
      <xdr:row>24</xdr:row>
      <xdr:rowOff>0</xdr:rowOff>
    </xdr:to>
    <xdr:graphicFrame macro="">
      <xdr:nvGraphicFramePr>
        <xdr:cNvPr id="6146" name="Chart 2">
          <a:extLst>
            <a:ext uri="{FF2B5EF4-FFF2-40B4-BE49-F238E27FC236}">
              <a16:creationId xmlns:a16="http://schemas.microsoft.com/office/drawing/2014/main" id="{5737457E-1573-4F4B-B9E1-F9FF4DD14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14</xdr:row>
      <xdr:rowOff>44450</xdr:rowOff>
    </xdr:from>
    <xdr:to>
      <xdr:col>5</xdr:col>
      <xdr:colOff>323850</xdr:colOff>
      <xdr:row>25</xdr:row>
      <xdr:rowOff>31750</xdr:rowOff>
    </xdr:to>
    <xdr:graphicFrame macro="">
      <xdr:nvGraphicFramePr>
        <xdr:cNvPr id="7169" name="Chart 1">
          <a:extLst>
            <a:ext uri="{FF2B5EF4-FFF2-40B4-BE49-F238E27FC236}">
              <a16:creationId xmlns:a16="http://schemas.microsoft.com/office/drawing/2014/main" id="{C41C3D63-5735-4CDC-B470-0273A3ED24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opLeftCell="C1" workbookViewId="0">
      <selection activeCell="D2" sqref="D2"/>
    </sheetView>
  </sheetViews>
  <sheetFormatPr defaultRowHeight="12.5" x14ac:dyDescent="0.25"/>
  <cols>
    <col min="1" max="1" width="20.1796875" customWidth="1"/>
    <col min="8" max="8" width="10.54296875" customWidth="1"/>
    <col min="9" max="9" width="18.0898437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14</v>
      </c>
      <c r="I1" t="s">
        <v>15</v>
      </c>
    </row>
    <row r="2" spans="1:9" x14ac:dyDescent="0.25">
      <c r="A2">
        <v>68</v>
      </c>
      <c r="B2">
        <f>MAX(A2:A81)</f>
        <v>97</v>
      </c>
      <c r="C2">
        <f>MIN(A2:A81)</f>
        <v>53</v>
      </c>
      <c r="D2">
        <f>AVERAGE(A2:A81)</f>
        <v>75.25</v>
      </c>
      <c r="E2">
        <f>MODE(A2:A81)</f>
        <v>75</v>
      </c>
      <c r="F2">
        <f>MEDIAN(A2:A81)</f>
        <v>75</v>
      </c>
      <c r="G2">
        <f>SUM(A2:A81)</f>
        <v>6020</v>
      </c>
      <c r="H2">
        <f>VAR(A2:A81)</f>
        <v>107.63291139240506</v>
      </c>
      <c r="I2">
        <f>STDEV(A2:A81)</f>
        <v>10.37462825321491</v>
      </c>
    </row>
    <row r="3" spans="1:9" x14ac:dyDescent="0.25">
      <c r="A3">
        <v>84</v>
      </c>
    </row>
    <row r="4" spans="1:9" x14ac:dyDescent="0.25">
      <c r="A4">
        <v>75</v>
      </c>
    </row>
    <row r="5" spans="1:9" x14ac:dyDescent="0.25">
      <c r="A5">
        <v>82</v>
      </c>
    </row>
    <row r="6" spans="1:9" x14ac:dyDescent="0.25">
      <c r="A6">
        <v>68</v>
      </c>
    </row>
    <row r="7" spans="1:9" x14ac:dyDescent="0.25">
      <c r="A7">
        <v>90</v>
      </c>
    </row>
    <row r="8" spans="1:9" x14ac:dyDescent="0.25">
      <c r="A8">
        <v>62</v>
      </c>
    </row>
    <row r="9" spans="1:9" x14ac:dyDescent="0.25">
      <c r="A9">
        <v>88</v>
      </c>
    </row>
    <row r="10" spans="1:9" x14ac:dyDescent="0.25">
      <c r="A10">
        <v>76</v>
      </c>
    </row>
    <row r="11" spans="1:9" x14ac:dyDescent="0.25">
      <c r="A11">
        <v>93</v>
      </c>
    </row>
    <row r="12" spans="1:9" x14ac:dyDescent="0.25">
      <c r="A12">
        <v>73</v>
      </c>
    </row>
    <row r="13" spans="1:9" x14ac:dyDescent="0.25">
      <c r="A13">
        <v>79</v>
      </c>
    </row>
    <row r="14" spans="1:9" x14ac:dyDescent="0.25">
      <c r="A14">
        <v>88</v>
      </c>
    </row>
    <row r="15" spans="1:9" x14ac:dyDescent="0.25">
      <c r="A15">
        <v>73</v>
      </c>
    </row>
    <row r="16" spans="1:9" x14ac:dyDescent="0.25">
      <c r="A16">
        <v>60</v>
      </c>
    </row>
    <row r="17" spans="1:1" x14ac:dyDescent="0.25">
      <c r="A17">
        <v>93</v>
      </c>
    </row>
    <row r="18" spans="1:1" x14ac:dyDescent="0.25">
      <c r="A18">
        <v>71</v>
      </c>
    </row>
    <row r="19" spans="1:1" x14ac:dyDescent="0.25">
      <c r="A19">
        <v>59</v>
      </c>
    </row>
    <row r="20" spans="1:1" x14ac:dyDescent="0.25">
      <c r="A20">
        <v>85</v>
      </c>
    </row>
    <row r="21" spans="1:1" x14ac:dyDescent="0.25">
      <c r="A21">
        <v>75</v>
      </c>
    </row>
    <row r="22" spans="1:1" x14ac:dyDescent="0.25">
      <c r="A22">
        <v>61</v>
      </c>
    </row>
    <row r="23" spans="1:1" x14ac:dyDescent="0.25">
      <c r="A23">
        <v>65</v>
      </c>
    </row>
    <row r="24" spans="1:1" x14ac:dyDescent="0.25">
      <c r="A24">
        <v>75</v>
      </c>
    </row>
    <row r="25" spans="1:1" x14ac:dyDescent="0.25">
      <c r="A25">
        <v>87</v>
      </c>
    </row>
    <row r="26" spans="1:1" x14ac:dyDescent="0.25">
      <c r="A26">
        <v>74</v>
      </c>
    </row>
    <row r="27" spans="1:1" x14ac:dyDescent="0.25">
      <c r="A27">
        <v>62</v>
      </c>
    </row>
    <row r="28" spans="1:1" x14ac:dyDescent="0.25">
      <c r="A28">
        <v>95</v>
      </c>
    </row>
    <row r="29" spans="1:1" x14ac:dyDescent="0.25">
      <c r="A29">
        <v>78</v>
      </c>
    </row>
    <row r="30" spans="1:1" x14ac:dyDescent="0.25">
      <c r="A30">
        <v>63</v>
      </c>
    </row>
    <row r="31" spans="1:1" x14ac:dyDescent="0.25">
      <c r="A31">
        <v>72</v>
      </c>
    </row>
    <row r="32" spans="1:1" x14ac:dyDescent="0.25">
      <c r="A32">
        <v>66</v>
      </c>
    </row>
    <row r="33" spans="1:1" x14ac:dyDescent="0.25">
      <c r="A33">
        <v>78</v>
      </c>
    </row>
    <row r="34" spans="1:1" x14ac:dyDescent="0.25">
      <c r="A34">
        <v>82</v>
      </c>
    </row>
    <row r="35" spans="1:1" x14ac:dyDescent="0.25">
      <c r="A35">
        <v>75</v>
      </c>
    </row>
    <row r="36" spans="1:1" x14ac:dyDescent="0.25">
      <c r="A36">
        <v>94</v>
      </c>
    </row>
    <row r="37" spans="1:1" x14ac:dyDescent="0.25">
      <c r="A37">
        <v>77</v>
      </c>
    </row>
    <row r="38" spans="1:1" x14ac:dyDescent="0.25">
      <c r="A38">
        <v>69</v>
      </c>
    </row>
    <row r="39" spans="1:1" x14ac:dyDescent="0.25">
      <c r="A39">
        <v>74</v>
      </c>
    </row>
    <row r="40" spans="1:1" x14ac:dyDescent="0.25">
      <c r="A40">
        <v>68</v>
      </c>
    </row>
    <row r="41" spans="1:1" x14ac:dyDescent="0.25">
      <c r="A41">
        <v>60</v>
      </c>
    </row>
    <row r="42" spans="1:1" x14ac:dyDescent="0.25">
      <c r="A42">
        <v>96</v>
      </c>
    </row>
    <row r="43" spans="1:1" x14ac:dyDescent="0.25">
      <c r="A43">
        <v>78</v>
      </c>
    </row>
    <row r="44" spans="1:1" x14ac:dyDescent="0.25">
      <c r="A44">
        <v>89</v>
      </c>
    </row>
    <row r="45" spans="1:1" x14ac:dyDescent="0.25">
      <c r="A45">
        <v>61</v>
      </c>
    </row>
    <row r="46" spans="1:1" x14ac:dyDescent="0.25">
      <c r="A46">
        <v>75</v>
      </c>
    </row>
    <row r="47" spans="1:1" x14ac:dyDescent="0.25">
      <c r="A47">
        <v>95</v>
      </c>
    </row>
    <row r="48" spans="1:1" x14ac:dyDescent="0.25">
      <c r="A48">
        <v>60</v>
      </c>
    </row>
    <row r="49" spans="1:1" x14ac:dyDescent="0.25">
      <c r="A49">
        <v>79</v>
      </c>
    </row>
    <row r="50" spans="1:1" x14ac:dyDescent="0.25">
      <c r="A50">
        <v>83</v>
      </c>
    </row>
    <row r="51" spans="1:1" x14ac:dyDescent="0.25">
      <c r="A51">
        <v>71</v>
      </c>
    </row>
    <row r="52" spans="1:1" x14ac:dyDescent="0.25">
      <c r="A52">
        <v>79</v>
      </c>
    </row>
    <row r="53" spans="1:1" x14ac:dyDescent="0.25">
      <c r="A53">
        <v>62</v>
      </c>
    </row>
    <row r="54" spans="1:1" x14ac:dyDescent="0.25">
      <c r="A54">
        <v>67</v>
      </c>
    </row>
    <row r="55" spans="1:1" x14ac:dyDescent="0.25">
      <c r="A55">
        <v>97</v>
      </c>
    </row>
    <row r="56" spans="1:1" x14ac:dyDescent="0.25">
      <c r="A56">
        <v>78</v>
      </c>
    </row>
    <row r="57" spans="1:1" x14ac:dyDescent="0.25">
      <c r="A57">
        <v>85</v>
      </c>
    </row>
    <row r="58" spans="1:1" x14ac:dyDescent="0.25">
      <c r="A58">
        <v>76</v>
      </c>
    </row>
    <row r="59" spans="1:1" x14ac:dyDescent="0.25">
      <c r="A59">
        <v>65</v>
      </c>
    </row>
    <row r="60" spans="1:1" x14ac:dyDescent="0.25">
      <c r="A60">
        <v>71</v>
      </c>
    </row>
    <row r="61" spans="1:1" x14ac:dyDescent="0.25">
      <c r="A61">
        <v>75</v>
      </c>
    </row>
    <row r="62" spans="1:1" x14ac:dyDescent="0.25">
      <c r="A62">
        <v>65</v>
      </c>
    </row>
    <row r="63" spans="1:1" x14ac:dyDescent="0.25">
      <c r="A63">
        <v>80</v>
      </c>
    </row>
    <row r="64" spans="1:1" x14ac:dyDescent="0.25">
      <c r="A64">
        <v>73</v>
      </c>
    </row>
    <row r="65" spans="1:1" x14ac:dyDescent="0.25">
      <c r="A65">
        <v>57</v>
      </c>
    </row>
    <row r="66" spans="1:1" x14ac:dyDescent="0.25">
      <c r="A66">
        <v>88</v>
      </c>
    </row>
    <row r="67" spans="1:1" x14ac:dyDescent="0.25">
      <c r="A67">
        <v>78</v>
      </c>
    </row>
    <row r="68" spans="1:1" x14ac:dyDescent="0.25">
      <c r="A68">
        <v>62</v>
      </c>
    </row>
    <row r="69" spans="1:1" x14ac:dyDescent="0.25">
      <c r="A69">
        <v>76</v>
      </c>
    </row>
    <row r="70" spans="1:1" x14ac:dyDescent="0.25">
      <c r="A70">
        <v>53</v>
      </c>
    </row>
    <row r="71" spans="1:1" x14ac:dyDescent="0.25">
      <c r="A71">
        <v>74</v>
      </c>
    </row>
    <row r="72" spans="1:1" x14ac:dyDescent="0.25">
      <c r="A72">
        <v>86</v>
      </c>
    </row>
    <row r="73" spans="1:1" x14ac:dyDescent="0.25">
      <c r="A73">
        <v>67</v>
      </c>
    </row>
    <row r="74" spans="1:1" x14ac:dyDescent="0.25">
      <c r="A74">
        <v>73</v>
      </c>
    </row>
    <row r="75" spans="1:1" x14ac:dyDescent="0.25">
      <c r="A75">
        <v>81</v>
      </c>
    </row>
    <row r="76" spans="1:1" x14ac:dyDescent="0.25">
      <c r="A76">
        <v>72</v>
      </c>
    </row>
    <row r="77" spans="1:1" x14ac:dyDescent="0.25">
      <c r="A77">
        <v>63</v>
      </c>
    </row>
    <row r="78" spans="1:1" x14ac:dyDescent="0.25">
      <c r="A78">
        <v>76</v>
      </c>
    </row>
    <row r="79" spans="1:1" x14ac:dyDescent="0.25">
      <c r="A79">
        <v>75</v>
      </c>
    </row>
    <row r="80" spans="1:1" x14ac:dyDescent="0.25">
      <c r="A80">
        <v>85</v>
      </c>
    </row>
    <row r="81" spans="1:1" x14ac:dyDescent="0.25">
      <c r="A81">
        <v>77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selection activeCell="C2" sqref="C2"/>
    </sheetView>
  </sheetViews>
  <sheetFormatPr defaultRowHeight="12.5" x14ac:dyDescent="0.25"/>
  <cols>
    <col min="2" max="2" width="10.81640625" customWidth="1"/>
  </cols>
  <sheetData>
    <row r="1" spans="1:3" x14ac:dyDescent="0.25">
      <c r="A1" t="s">
        <v>7</v>
      </c>
      <c r="B1" t="s">
        <v>8</v>
      </c>
      <c r="C1" t="s">
        <v>76</v>
      </c>
    </row>
    <row r="2" spans="1:3" x14ac:dyDescent="0.25">
      <c r="A2">
        <v>53</v>
      </c>
      <c r="B2">
        <f t="array" ref="B2:B46">FREQUENCY('Exercise 1'!A2:A81,A2:A46)</f>
        <v>1</v>
      </c>
      <c r="C2">
        <f t="array" ref="C2">PRODUCT(A2:B2)</f>
        <v>53</v>
      </c>
    </row>
    <row r="3" spans="1:3" x14ac:dyDescent="0.25">
      <c r="A3">
        <v>54</v>
      </c>
      <c r="B3">
        <v>0</v>
      </c>
      <c r="C3">
        <f t="array" ref="C3">PRODUCT(A3:B3)</f>
        <v>0</v>
      </c>
    </row>
    <row r="4" spans="1:3" x14ac:dyDescent="0.25">
      <c r="A4">
        <v>55</v>
      </c>
      <c r="B4">
        <v>0</v>
      </c>
      <c r="C4">
        <f t="array" ref="C4">PRODUCT(A4:B4)</f>
        <v>0</v>
      </c>
    </row>
    <row r="5" spans="1:3" x14ac:dyDescent="0.25">
      <c r="A5">
        <v>56</v>
      </c>
      <c r="B5">
        <v>0</v>
      </c>
      <c r="C5">
        <f t="array" ref="C5">PRODUCT(A5:B5)</f>
        <v>0</v>
      </c>
    </row>
    <row r="6" spans="1:3" x14ac:dyDescent="0.25">
      <c r="A6">
        <v>57</v>
      </c>
      <c r="B6">
        <v>1</v>
      </c>
      <c r="C6">
        <f t="array" ref="C6">PRODUCT(A6:B6)</f>
        <v>57</v>
      </c>
    </row>
    <row r="7" spans="1:3" x14ac:dyDescent="0.25">
      <c r="A7">
        <v>58</v>
      </c>
      <c r="B7">
        <v>0</v>
      </c>
      <c r="C7">
        <f t="array" ref="C7">PRODUCT(A7:B7)</f>
        <v>0</v>
      </c>
    </row>
    <row r="8" spans="1:3" x14ac:dyDescent="0.25">
      <c r="A8">
        <v>59</v>
      </c>
      <c r="B8">
        <v>1</v>
      </c>
      <c r="C8">
        <f t="array" ref="C8">PRODUCT(A8:B8)</f>
        <v>59</v>
      </c>
    </row>
    <row r="9" spans="1:3" x14ac:dyDescent="0.25">
      <c r="A9">
        <v>60</v>
      </c>
      <c r="B9">
        <v>3</v>
      </c>
      <c r="C9">
        <f t="array" ref="C9">PRODUCT(A9:B9)</f>
        <v>180</v>
      </c>
    </row>
    <row r="10" spans="1:3" x14ac:dyDescent="0.25">
      <c r="A10">
        <v>61</v>
      </c>
      <c r="B10">
        <v>2</v>
      </c>
      <c r="C10">
        <f t="array" ref="C10">PRODUCT(A10:B10)</f>
        <v>122</v>
      </c>
    </row>
    <row r="11" spans="1:3" x14ac:dyDescent="0.25">
      <c r="A11">
        <v>62</v>
      </c>
      <c r="B11">
        <v>4</v>
      </c>
      <c r="C11">
        <f t="array" ref="C11">PRODUCT(A11:B11)</f>
        <v>248</v>
      </c>
    </row>
    <row r="12" spans="1:3" x14ac:dyDescent="0.25">
      <c r="A12">
        <v>63</v>
      </c>
      <c r="B12">
        <v>2</v>
      </c>
      <c r="C12">
        <f t="array" ref="C12">PRODUCT(A12:B12)</f>
        <v>126</v>
      </c>
    </row>
    <row r="13" spans="1:3" x14ac:dyDescent="0.25">
      <c r="A13">
        <v>64</v>
      </c>
      <c r="B13">
        <v>0</v>
      </c>
      <c r="C13">
        <f t="array" ref="C13">PRODUCT(A13:B13)</f>
        <v>0</v>
      </c>
    </row>
    <row r="14" spans="1:3" x14ac:dyDescent="0.25">
      <c r="A14">
        <v>65</v>
      </c>
      <c r="B14">
        <v>3</v>
      </c>
      <c r="C14">
        <f t="array" ref="C14">PRODUCT(A14:B14)</f>
        <v>195</v>
      </c>
    </row>
    <row r="15" spans="1:3" x14ac:dyDescent="0.25">
      <c r="A15">
        <v>66</v>
      </c>
      <c r="B15">
        <v>1</v>
      </c>
      <c r="C15">
        <f t="array" ref="C15">PRODUCT(A15:B15)</f>
        <v>66</v>
      </c>
    </row>
    <row r="16" spans="1:3" x14ac:dyDescent="0.25">
      <c r="A16">
        <v>67</v>
      </c>
      <c r="B16">
        <v>2</v>
      </c>
      <c r="C16">
        <f t="array" ref="C16">PRODUCT(A16:B16)</f>
        <v>134</v>
      </c>
    </row>
    <row r="17" spans="1:3" x14ac:dyDescent="0.25">
      <c r="A17">
        <v>68</v>
      </c>
      <c r="B17">
        <v>3</v>
      </c>
      <c r="C17">
        <f t="array" ref="C17">PRODUCT(A17:B17)</f>
        <v>204</v>
      </c>
    </row>
    <row r="18" spans="1:3" x14ac:dyDescent="0.25">
      <c r="A18">
        <v>69</v>
      </c>
      <c r="B18">
        <v>1</v>
      </c>
      <c r="C18">
        <f t="array" ref="C18">PRODUCT(A18:B18)</f>
        <v>69</v>
      </c>
    </row>
    <row r="19" spans="1:3" x14ac:dyDescent="0.25">
      <c r="A19">
        <v>70</v>
      </c>
      <c r="B19">
        <v>0</v>
      </c>
      <c r="C19">
        <f t="array" ref="C19">PRODUCT(A19:B19)</f>
        <v>0</v>
      </c>
    </row>
    <row r="20" spans="1:3" x14ac:dyDescent="0.25">
      <c r="A20">
        <v>71</v>
      </c>
      <c r="B20">
        <v>3</v>
      </c>
      <c r="C20">
        <f t="array" ref="C20">PRODUCT(A20:B20)</f>
        <v>213</v>
      </c>
    </row>
    <row r="21" spans="1:3" x14ac:dyDescent="0.25">
      <c r="A21">
        <v>72</v>
      </c>
      <c r="B21">
        <v>2</v>
      </c>
      <c r="C21">
        <f t="array" ref="C21">PRODUCT(A21:B21)</f>
        <v>144</v>
      </c>
    </row>
    <row r="22" spans="1:3" x14ac:dyDescent="0.25">
      <c r="A22">
        <v>73</v>
      </c>
      <c r="B22">
        <v>4</v>
      </c>
      <c r="C22">
        <f t="array" ref="C22">PRODUCT(A22:B22)</f>
        <v>292</v>
      </c>
    </row>
    <row r="23" spans="1:3" x14ac:dyDescent="0.25">
      <c r="A23">
        <v>74</v>
      </c>
      <c r="B23">
        <v>3</v>
      </c>
      <c r="C23">
        <f t="array" ref="C23">PRODUCT(A23:B23)</f>
        <v>222</v>
      </c>
    </row>
    <row r="24" spans="1:3" x14ac:dyDescent="0.25">
      <c r="A24">
        <v>75</v>
      </c>
      <c r="B24">
        <v>7</v>
      </c>
      <c r="C24">
        <f t="array" ref="C24">PRODUCT(A24:B24)</f>
        <v>525</v>
      </c>
    </row>
    <row r="25" spans="1:3" x14ac:dyDescent="0.25">
      <c r="A25">
        <v>76</v>
      </c>
      <c r="B25">
        <v>4</v>
      </c>
      <c r="C25">
        <f t="array" ref="C25">PRODUCT(A25:B25)</f>
        <v>304</v>
      </c>
    </row>
    <row r="26" spans="1:3" x14ac:dyDescent="0.25">
      <c r="A26">
        <v>77</v>
      </c>
      <c r="B26">
        <v>2</v>
      </c>
      <c r="C26">
        <f t="array" ref="C26">PRODUCT(A26:B26)</f>
        <v>154</v>
      </c>
    </row>
    <row r="27" spans="1:3" x14ac:dyDescent="0.25">
      <c r="A27">
        <v>78</v>
      </c>
      <c r="B27">
        <v>5</v>
      </c>
      <c r="C27">
        <f t="array" ref="C27">PRODUCT(A27:B27)</f>
        <v>390</v>
      </c>
    </row>
    <row r="28" spans="1:3" x14ac:dyDescent="0.25">
      <c r="A28">
        <v>79</v>
      </c>
      <c r="B28">
        <v>3</v>
      </c>
      <c r="C28">
        <f t="array" ref="C28">PRODUCT(A28:B28)</f>
        <v>237</v>
      </c>
    </row>
    <row r="29" spans="1:3" x14ac:dyDescent="0.25">
      <c r="A29">
        <v>80</v>
      </c>
      <c r="B29">
        <v>1</v>
      </c>
      <c r="C29">
        <f t="array" ref="C29">PRODUCT(A29:B29)</f>
        <v>80</v>
      </c>
    </row>
    <row r="30" spans="1:3" x14ac:dyDescent="0.25">
      <c r="A30">
        <v>81</v>
      </c>
      <c r="B30">
        <v>1</v>
      </c>
      <c r="C30">
        <f t="array" ref="C30">PRODUCT(A30:B30)</f>
        <v>81</v>
      </c>
    </row>
    <row r="31" spans="1:3" x14ac:dyDescent="0.25">
      <c r="A31">
        <v>82</v>
      </c>
      <c r="B31">
        <v>2</v>
      </c>
      <c r="C31">
        <f t="array" ref="C31">PRODUCT(A31:B31)</f>
        <v>164</v>
      </c>
    </row>
    <row r="32" spans="1:3" x14ac:dyDescent="0.25">
      <c r="A32">
        <v>83</v>
      </c>
      <c r="B32">
        <v>1</v>
      </c>
      <c r="C32">
        <f t="array" ref="C32">PRODUCT(A32:B32)</f>
        <v>83</v>
      </c>
    </row>
    <row r="33" spans="1:3" x14ac:dyDescent="0.25">
      <c r="A33">
        <v>84</v>
      </c>
      <c r="B33">
        <v>1</v>
      </c>
      <c r="C33">
        <f t="array" ref="C33">PRODUCT(A33:B33)</f>
        <v>84</v>
      </c>
    </row>
    <row r="34" spans="1:3" x14ac:dyDescent="0.25">
      <c r="A34">
        <v>85</v>
      </c>
      <c r="B34">
        <v>3</v>
      </c>
      <c r="C34">
        <f t="array" ref="C34">PRODUCT(A34:B34)</f>
        <v>255</v>
      </c>
    </row>
    <row r="35" spans="1:3" x14ac:dyDescent="0.25">
      <c r="A35">
        <v>86</v>
      </c>
      <c r="B35">
        <v>1</v>
      </c>
      <c r="C35">
        <f t="array" ref="C35">PRODUCT(A35:B35)</f>
        <v>86</v>
      </c>
    </row>
    <row r="36" spans="1:3" x14ac:dyDescent="0.25">
      <c r="A36">
        <v>87</v>
      </c>
      <c r="B36">
        <v>1</v>
      </c>
      <c r="C36">
        <f t="array" ref="C36">PRODUCT(A36:B36)</f>
        <v>87</v>
      </c>
    </row>
    <row r="37" spans="1:3" x14ac:dyDescent="0.25">
      <c r="A37">
        <v>88</v>
      </c>
      <c r="B37">
        <v>3</v>
      </c>
      <c r="C37">
        <f t="array" ref="C37">PRODUCT(A37:B37)</f>
        <v>264</v>
      </c>
    </row>
    <row r="38" spans="1:3" x14ac:dyDescent="0.25">
      <c r="A38">
        <v>89</v>
      </c>
      <c r="B38">
        <v>1</v>
      </c>
      <c r="C38">
        <f t="array" ref="C38">PRODUCT(A38:B38)</f>
        <v>89</v>
      </c>
    </row>
    <row r="39" spans="1:3" x14ac:dyDescent="0.25">
      <c r="A39">
        <v>90</v>
      </c>
      <c r="B39">
        <v>1</v>
      </c>
      <c r="C39">
        <f t="array" ref="C39">PRODUCT(A39:B39)</f>
        <v>90</v>
      </c>
    </row>
    <row r="40" spans="1:3" x14ac:dyDescent="0.25">
      <c r="A40">
        <v>91</v>
      </c>
      <c r="B40">
        <v>0</v>
      </c>
      <c r="C40">
        <f t="array" ref="C40">PRODUCT(A40:B40)</f>
        <v>0</v>
      </c>
    </row>
    <row r="41" spans="1:3" x14ac:dyDescent="0.25">
      <c r="A41">
        <v>92</v>
      </c>
      <c r="B41">
        <v>0</v>
      </c>
      <c r="C41">
        <f t="array" ref="C41">PRODUCT(A41:B41)</f>
        <v>0</v>
      </c>
    </row>
    <row r="42" spans="1:3" x14ac:dyDescent="0.25">
      <c r="A42">
        <v>93</v>
      </c>
      <c r="B42">
        <v>2</v>
      </c>
      <c r="C42">
        <f t="array" ref="C42">PRODUCT(A42:B42)</f>
        <v>186</v>
      </c>
    </row>
    <row r="43" spans="1:3" x14ac:dyDescent="0.25">
      <c r="A43">
        <v>94</v>
      </c>
      <c r="B43">
        <v>1</v>
      </c>
      <c r="C43">
        <f t="array" ref="C43">PRODUCT(A43:B43)</f>
        <v>94</v>
      </c>
    </row>
    <row r="44" spans="1:3" x14ac:dyDescent="0.25">
      <c r="A44">
        <v>95</v>
      </c>
      <c r="B44">
        <v>2</v>
      </c>
      <c r="C44">
        <f t="array" ref="C44">PRODUCT(A44:B44)</f>
        <v>190</v>
      </c>
    </row>
    <row r="45" spans="1:3" x14ac:dyDescent="0.25">
      <c r="A45">
        <v>96</v>
      </c>
      <c r="B45">
        <v>1</v>
      </c>
      <c r="C45">
        <f t="array" ref="C45">PRODUCT(A45:B45)</f>
        <v>96</v>
      </c>
    </row>
    <row r="46" spans="1:3" x14ac:dyDescent="0.25">
      <c r="A46">
        <v>97</v>
      </c>
      <c r="B46">
        <v>1</v>
      </c>
      <c r="C46">
        <f t="array" ref="C46">PRODUCT(A46:B46)</f>
        <v>97</v>
      </c>
    </row>
    <row r="47" spans="1:3" x14ac:dyDescent="0.25">
      <c r="C47">
        <f>SUM(C2:C46)</f>
        <v>6020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G15" sqref="G15"/>
    </sheetView>
  </sheetViews>
  <sheetFormatPr defaultRowHeight="12.5" x14ac:dyDescent="0.25"/>
  <cols>
    <col min="1" max="1" width="12.90625" customWidth="1"/>
    <col min="2" max="2" width="14.81640625" customWidth="1"/>
    <col min="3" max="3" width="9" bestFit="1" customWidth="1"/>
  </cols>
  <sheetData>
    <row r="1" spans="1:2" x14ac:dyDescent="0.25">
      <c r="A1" t="s">
        <v>9</v>
      </c>
      <c r="B1" t="s">
        <v>77</v>
      </c>
    </row>
    <row r="2" spans="1:2" x14ac:dyDescent="0.25">
      <c r="A2">
        <v>54</v>
      </c>
      <c r="B2">
        <f t="array" ref="B2:B11">FREQUENCY('Exercise 1'!A2:A81,A2:A11)</f>
        <v>1</v>
      </c>
    </row>
    <row r="3" spans="1:2" x14ac:dyDescent="0.25">
      <c r="A3">
        <v>59</v>
      </c>
      <c r="B3">
        <v>2</v>
      </c>
    </row>
    <row r="4" spans="1:2" x14ac:dyDescent="0.25">
      <c r="A4">
        <v>64</v>
      </c>
      <c r="B4">
        <v>11</v>
      </c>
    </row>
    <row r="5" spans="1:2" x14ac:dyDescent="0.25">
      <c r="A5">
        <v>69</v>
      </c>
      <c r="B5">
        <v>10</v>
      </c>
    </row>
    <row r="6" spans="1:2" x14ac:dyDescent="0.25">
      <c r="A6">
        <v>74</v>
      </c>
      <c r="B6">
        <v>12</v>
      </c>
    </row>
    <row r="7" spans="1:2" x14ac:dyDescent="0.25">
      <c r="A7">
        <v>79</v>
      </c>
      <c r="B7">
        <v>21</v>
      </c>
    </row>
    <row r="8" spans="1:2" x14ac:dyDescent="0.25">
      <c r="A8">
        <v>84</v>
      </c>
      <c r="B8">
        <v>6</v>
      </c>
    </row>
    <row r="9" spans="1:2" x14ac:dyDescent="0.25">
      <c r="A9">
        <v>89</v>
      </c>
      <c r="B9">
        <v>9</v>
      </c>
    </row>
    <row r="10" spans="1:2" x14ac:dyDescent="0.25">
      <c r="A10">
        <v>94</v>
      </c>
      <c r="B10">
        <v>4</v>
      </c>
    </row>
    <row r="11" spans="1:2" x14ac:dyDescent="0.25">
      <c r="A11">
        <v>99</v>
      </c>
      <c r="B11">
        <v>4</v>
      </c>
    </row>
    <row r="12" spans="1:2" x14ac:dyDescent="0.25">
      <c r="B12">
        <f>SUM(B2:B11)</f>
        <v>80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D1" workbookViewId="0">
      <selection activeCell="G1" sqref="G1"/>
    </sheetView>
  </sheetViews>
  <sheetFormatPr defaultRowHeight="12.5" x14ac:dyDescent="0.25"/>
  <cols>
    <col min="2" max="2" width="11.81640625" customWidth="1"/>
    <col min="3" max="4" width="18.90625" customWidth="1"/>
    <col min="5" max="5" width="22.08984375" customWidth="1"/>
    <col min="7" max="7" width="27.453125" customWidth="1"/>
    <col min="8" max="8" width="16.81640625" customWidth="1"/>
  </cols>
  <sheetData>
    <row r="1" spans="1:8" x14ac:dyDescent="0.25">
      <c r="A1" t="s">
        <v>9</v>
      </c>
      <c r="B1" t="s">
        <v>8</v>
      </c>
      <c r="C1" t="s">
        <v>44</v>
      </c>
      <c r="E1" t="s">
        <v>10</v>
      </c>
      <c r="G1" t="s">
        <v>13</v>
      </c>
      <c r="H1" t="s">
        <v>11</v>
      </c>
    </row>
    <row r="2" spans="1:8" x14ac:dyDescent="0.25">
      <c r="A2">
        <v>54</v>
      </c>
      <c r="B2">
        <f t="array" ref="B2:B11">FREQUENCY('Exercise 1'!A2:A81,A2:A11)</f>
        <v>1</v>
      </c>
      <c r="C2">
        <f t="array" ref="C2">B2/80</f>
        <v>1.2500000000000001E-2</v>
      </c>
      <c r="E2">
        <f>(B2/80)*100</f>
        <v>1.25</v>
      </c>
      <c r="G2">
        <f t="array" ref="G2">(B2/(5*80))</f>
        <v>2.5000000000000001E-3</v>
      </c>
      <c r="H2">
        <f t="array" ref="H2">G2*5</f>
        <v>1.2500000000000001E-2</v>
      </c>
    </row>
    <row r="3" spans="1:8" x14ac:dyDescent="0.25">
      <c r="A3">
        <v>59</v>
      </c>
      <c r="B3">
        <v>2</v>
      </c>
      <c r="C3">
        <f t="array" ref="C3">B3/80</f>
        <v>2.5000000000000001E-2</v>
      </c>
      <c r="E3">
        <f t="array" ref="E3">(B3/80)*100</f>
        <v>2.5</v>
      </c>
      <c r="G3">
        <f t="array" ref="G3">(B3/(5*80))</f>
        <v>5.0000000000000001E-3</v>
      </c>
      <c r="H3">
        <f t="array" ref="H3">G3*5</f>
        <v>2.5000000000000001E-2</v>
      </c>
    </row>
    <row r="4" spans="1:8" x14ac:dyDescent="0.25">
      <c r="A4">
        <v>64</v>
      </c>
      <c r="B4">
        <v>11</v>
      </c>
      <c r="C4">
        <f t="array" ref="C4">B4/80</f>
        <v>0.13750000000000001</v>
      </c>
      <c r="E4">
        <f t="array" ref="E4">(B4/80)*100</f>
        <v>13.750000000000002</v>
      </c>
      <c r="G4">
        <f t="array" ref="G4">(B4/(5*80))</f>
        <v>2.75E-2</v>
      </c>
      <c r="H4">
        <f t="array" ref="H4">G4*5</f>
        <v>0.13750000000000001</v>
      </c>
    </row>
    <row r="5" spans="1:8" x14ac:dyDescent="0.25">
      <c r="A5">
        <v>69</v>
      </c>
      <c r="B5">
        <v>10</v>
      </c>
      <c r="C5">
        <f t="array" ref="C5">B5/80</f>
        <v>0.125</v>
      </c>
      <c r="E5">
        <f t="array" ref="E5">(B5/80)*100</f>
        <v>12.5</v>
      </c>
      <c r="G5">
        <f t="array" ref="G5">(B5/(5*80))</f>
        <v>2.5000000000000001E-2</v>
      </c>
      <c r="H5">
        <f t="array" ref="H5">G5*5</f>
        <v>0.125</v>
      </c>
    </row>
    <row r="6" spans="1:8" x14ac:dyDescent="0.25">
      <c r="A6">
        <v>74</v>
      </c>
      <c r="B6">
        <v>12</v>
      </c>
      <c r="C6">
        <f t="array" ref="C6">B6/80</f>
        <v>0.15</v>
      </c>
      <c r="E6">
        <f t="array" ref="E6">(B6/80)*100</f>
        <v>15</v>
      </c>
      <c r="G6">
        <f t="array" ref="G6">(B6/(5*80))</f>
        <v>0.03</v>
      </c>
      <c r="H6">
        <f t="array" ref="H6">G6*5</f>
        <v>0.15</v>
      </c>
    </row>
    <row r="7" spans="1:8" x14ac:dyDescent="0.25">
      <c r="A7">
        <v>79</v>
      </c>
      <c r="B7">
        <v>21</v>
      </c>
      <c r="C7">
        <f t="array" ref="C7">B7/80</f>
        <v>0.26250000000000001</v>
      </c>
      <c r="E7">
        <f t="array" ref="E7">(B7/80)*100</f>
        <v>26.25</v>
      </c>
      <c r="G7">
        <f t="array" ref="G7">(B7/(5*80))</f>
        <v>5.2499999999999998E-2</v>
      </c>
      <c r="H7">
        <f t="array" ref="H7">G7*5</f>
        <v>0.26250000000000001</v>
      </c>
    </row>
    <row r="8" spans="1:8" x14ac:dyDescent="0.25">
      <c r="A8">
        <v>84</v>
      </c>
      <c r="B8">
        <v>6</v>
      </c>
      <c r="C8">
        <f t="array" ref="C8">B8/80</f>
        <v>7.4999999999999997E-2</v>
      </c>
      <c r="E8">
        <f t="array" ref="E8">(B8/80)*100</f>
        <v>7.5</v>
      </c>
      <c r="G8">
        <f t="array" ref="G8">(B8/(5*80))</f>
        <v>1.4999999999999999E-2</v>
      </c>
      <c r="H8">
        <f t="array" ref="H8">G8*5</f>
        <v>7.4999999999999997E-2</v>
      </c>
    </row>
    <row r="9" spans="1:8" x14ac:dyDescent="0.25">
      <c r="A9">
        <v>89</v>
      </c>
      <c r="B9">
        <v>9</v>
      </c>
      <c r="C9">
        <f t="array" ref="C9">B9/80</f>
        <v>0.1125</v>
      </c>
      <c r="E9">
        <f t="array" ref="E9">(B9/80)*100</f>
        <v>11.25</v>
      </c>
      <c r="G9">
        <f t="array" ref="G9">(B9/(5*80))</f>
        <v>2.2499999999999999E-2</v>
      </c>
      <c r="H9">
        <f t="array" ref="H9">G9*5</f>
        <v>0.11249999999999999</v>
      </c>
    </row>
    <row r="10" spans="1:8" x14ac:dyDescent="0.25">
      <c r="A10">
        <v>94</v>
      </c>
      <c r="B10">
        <v>4</v>
      </c>
      <c r="C10">
        <f t="array" ref="C10">B10/80</f>
        <v>0.05</v>
      </c>
      <c r="E10">
        <f t="array" ref="E10">(B10/80)*100</f>
        <v>5</v>
      </c>
      <c r="G10">
        <f t="array" ref="G10">(B10/(5*80))</f>
        <v>0.01</v>
      </c>
      <c r="H10">
        <f t="array" ref="H10">G10*5</f>
        <v>0.05</v>
      </c>
    </row>
    <row r="11" spans="1:8" x14ac:dyDescent="0.25">
      <c r="A11">
        <v>99</v>
      </c>
      <c r="B11">
        <v>4</v>
      </c>
      <c r="C11">
        <f t="array" ref="C11">B11/80</f>
        <v>0.05</v>
      </c>
      <c r="E11">
        <f t="array" ref="E11">(B11/80)*100</f>
        <v>5</v>
      </c>
      <c r="G11">
        <f t="array" ref="G11">(B11/(5*80))</f>
        <v>0.01</v>
      </c>
      <c r="H11">
        <f t="array" ref="H11">G11*5</f>
        <v>0.05</v>
      </c>
    </row>
    <row r="12" spans="1:8" x14ac:dyDescent="0.25">
      <c r="A12" t="s">
        <v>6</v>
      </c>
      <c r="B12">
        <f>SUM(B2:B11)</f>
        <v>80</v>
      </c>
      <c r="C12">
        <f>SUM(C2:C11)</f>
        <v>1.0000000000000002</v>
      </c>
      <c r="E12">
        <f t="array" ref="E12">(B12/80)*100</f>
        <v>100</v>
      </c>
      <c r="G12" t="s">
        <v>12</v>
      </c>
      <c r="H12">
        <f>SUM(H2:H11)</f>
        <v>1.0000000000000002</v>
      </c>
    </row>
    <row r="26" spans="3:3" ht="25" x14ac:dyDescent="0.5">
      <c r="C26" s="1" t="s">
        <v>78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opLeftCell="B1" workbookViewId="0">
      <selection activeCell="F3" sqref="F3"/>
    </sheetView>
  </sheetViews>
  <sheetFormatPr defaultRowHeight="12.5" x14ac:dyDescent="0.25"/>
  <cols>
    <col min="1" max="1" width="8.90625" customWidth="1"/>
    <col min="2" max="2" width="14.6328125" customWidth="1"/>
    <col min="5" max="5" width="22.36328125" customWidth="1"/>
    <col min="6" max="6" width="14.08984375" customWidth="1"/>
    <col min="7" max="7" width="14.54296875" customWidth="1"/>
    <col min="8" max="8" width="29.453125" customWidth="1"/>
  </cols>
  <sheetData>
    <row r="1" spans="1:8" x14ac:dyDescent="0.25">
      <c r="A1" t="s">
        <v>9</v>
      </c>
      <c r="B1" t="s">
        <v>57</v>
      </c>
      <c r="E1" t="s">
        <v>54</v>
      </c>
      <c r="F1" t="s">
        <v>79</v>
      </c>
    </row>
    <row r="2" spans="1:8" x14ac:dyDescent="0.25">
      <c r="A2">
        <v>54</v>
      </c>
      <c r="B2">
        <f t="array" ref="B2">NORMDIST(A2,75.25,10.37,FALSE)</f>
        <v>4.7130238833392327E-3</v>
      </c>
      <c r="E2" t="s">
        <v>55</v>
      </c>
      <c r="F2" t="s">
        <v>56</v>
      </c>
      <c r="G2" t="s">
        <v>59</v>
      </c>
    </row>
    <row r="3" spans="1:8" x14ac:dyDescent="0.25">
      <c r="A3">
        <v>59</v>
      </c>
      <c r="B3">
        <f t="array" ref="B3">NORMDIST(A3,75.25,10.37,FALSE)</f>
        <v>1.126976516264943E-2</v>
      </c>
      <c r="E3">
        <f>SUM(('Exercises 4, 5 and 6'!$H$2:$H$11-'Exercise 7'!B2:B11)/'Exercise 7'!B2:B11)</f>
        <v>1.2183248398871434</v>
      </c>
      <c r="F3">
        <f>CHIDIST(E3,9)</f>
        <v>0.99874715802013336</v>
      </c>
      <c r="G3">
        <f>CHIINV(0.05,9)</f>
        <v>16.918977604620451</v>
      </c>
      <c r="H3" t="s">
        <v>58</v>
      </c>
    </row>
    <row r="4" spans="1:8" x14ac:dyDescent="0.25">
      <c r="A4">
        <v>64</v>
      </c>
      <c r="B4">
        <f t="array" ref="B4">NORMDIST(A4,75.25,10.37,FALSE)</f>
        <v>2.1358268016372715E-2</v>
      </c>
      <c r="H4" t="s">
        <v>52</v>
      </c>
    </row>
    <row r="5" spans="1:8" x14ac:dyDescent="0.25">
      <c r="A5">
        <v>69</v>
      </c>
      <c r="B5">
        <f t="array" ref="B5">NORMDIST(A5,75.25,10.37,FALSE)</f>
        <v>3.2081387086360554E-2</v>
      </c>
    </row>
    <row r="6" spans="1:8" x14ac:dyDescent="0.25">
      <c r="A6">
        <v>74</v>
      </c>
      <c r="B6">
        <f t="array" ref="B6">NORMDIST(A6,75.25,10.37,FALSE)</f>
        <v>3.8192332493925049E-2</v>
      </c>
    </row>
    <row r="7" spans="1:8" x14ac:dyDescent="0.25">
      <c r="A7">
        <v>79</v>
      </c>
      <c r="B7">
        <f t="array" ref="B7">NORMDIST(A7,75.25,10.37,FALSE)</f>
        <v>3.6035882941704879E-2</v>
      </c>
    </row>
    <row r="8" spans="1:8" x14ac:dyDescent="0.25">
      <c r="A8">
        <v>84</v>
      </c>
      <c r="B8">
        <f t="array" ref="B8">NORMDIST(A8,75.25,10.37,FALSE)</f>
        <v>2.6948220498148701E-2</v>
      </c>
    </row>
    <row r="9" spans="1:8" x14ac:dyDescent="0.25">
      <c r="A9">
        <v>89</v>
      </c>
      <c r="B9">
        <f t="array" ref="B9">NORMDIST(A9,75.25,10.37,FALSE)</f>
        <v>1.597206087318194E-2</v>
      </c>
    </row>
    <row r="10" spans="1:8" x14ac:dyDescent="0.25">
      <c r="A10">
        <v>94</v>
      </c>
      <c r="B10">
        <f t="array" ref="B10">NORMDIST(A10,75.25,10.37,FALSE)</f>
        <v>7.5028758631132189E-3</v>
      </c>
    </row>
    <row r="11" spans="1:8" x14ac:dyDescent="0.25">
      <c r="A11">
        <v>99</v>
      </c>
      <c r="B11">
        <f t="array" ref="B11">NORMDIST(A11,75.25,10.37,FALSE)</f>
        <v>2.7933831240035305E-3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opLeftCell="B1" workbookViewId="0">
      <selection activeCell="C2" sqref="C2"/>
    </sheetView>
  </sheetViews>
  <sheetFormatPr defaultRowHeight="12.5" x14ac:dyDescent="0.25"/>
  <cols>
    <col min="2" max="2" width="31" customWidth="1"/>
    <col min="3" max="3" width="31.1796875" customWidth="1"/>
  </cols>
  <sheetData>
    <row r="1" spans="1:3" x14ac:dyDescent="0.25">
      <c r="A1" t="s">
        <v>19</v>
      </c>
      <c r="B1" t="s">
        <v>25</v>
      </c>
      <c r="C1" t="s">
        <v>24</v>
      </c>
    </row>
    <row r="2" spans="1:3" x14ac:dyDescent="0.25">
      <c r="A2" t="s">
        <v>16</v>
      </c>
      <c r="B2" t="s">
        <v>20</v>
      </c>
      <c r="C2">
        <f>NORMDIST(64,75.25,10.37,TRUE)-NORMDIST(60,75.25,10.37,TRUE)</f>
        <v>6.8290541030332497E-2</v>
      </c>
    </row>
    <row r="3" spans="1:3" x14ac:dyDescent="0.25">
      <c r="A3" t="s">
        <v>17</v>
      </c>
      <c r="B3" t="s">
        <v>21</v>
      </c>
      <c r="C3">
        <f>NORMDIST(79,75.25,10.37,TRUE)-NORMDIST(75,75.25,10.37,TRUE)</f>
        <v>0.1507987836452252</v>
      </c>
    </row>
    <row r="4" spans="1:3" x14ac:dyDescent="0.25">
      <c r="A4" t="s">
        <v>18</v>
      </c>
      <c r="B4" t="s">
        <v>22</v>
      </c>
      <c r="C4">
        <f>NORMDIST(86,75.25,10.37,TRUE)-NORMDIST(83,75.25,10.37,TRUE)</f>
        <v>7.7475865572257607E-2</v>
      </c>
    </row>
    <row r="5" spans="1:3" x14ac:dyDescent="0.25">
      <c r="A5" t="s">
        <v>26</v>
      </c>
      <c r="B5" t="s">
        <v>23</v>
      </c>
      <c r="C5">
        <f>NORMDIST(99,75.25,10.37,TRUE)-NORMDIST(92,75.25,10.37,TRUE)</f>
        <v>4.2126656726338307E-2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E14" sqref="E14"/>
    </sheetView>
  </sheetViews>
  <sheetFormatPr defaultRowHeight="12.5" x14ac:dyDescent="0.25"/>
  <cols>
    <col min="1" max="1" width="47.453125" customWidth="1"/>
    <col min="3" max="3" width="16" customWidth="1"/>
    <col min="4" max="4" width="19.81640625" customWidth="1"/>
    <col min="5" max="5" width="34.1796875" customWidth="1"/>
  </cols>
  <sheetData>
    <row r="1" spans="1:5" x14ac:dyDescent="0.25">
      <c r="A1" t="s">
        <v>27</v>
      </c>
      <c r="B1">
        <f>'Exercise 1'!I2/SQRT(80)</f>
        <v>1.159918700773922</v>
      </c>
    </row>
    <row r="3" spans="1:5" x14ac:dyDescent="0.25">
      <c r="A3" t="s">
        <v>31</v>
      </c>
    </row>
    <row r="4" spans="1:5" x14ac:dyDescent="0.25">
      <c r="A4" t="s">
        <v>28</v>
      </c>
      <c r="B4">
        <f>'Exercise 11,12,13 and 14'!D4-(TINV(0.1,79)*'Exercise 11,12,13 and 14'!B1)</f>
        <v>-1.9305355224909297</v>
      </c>
      <c r="C4">
        <f>'Exercise 11,12,13 and 14'!D4+(TINV(0.1,79)*'Exercise 11,12,13 and 14'!B1)</f>
        <v>1.9305355224909297</v>
      </c>
    </row>
    <row r="5" spans="1:5" x14ac:dyDescent="0.25">
      <c r="A5" t="s">
        <v>30</v>
      </c>
      <c r="B5">
        <f>'Exercise 11,12,13 and 14'!D4-(TINV(0.05,79)*'Exercise 11,12,13 and 14'!B1)</f>
        <v>-2.3087604218053106</v>
      </c>
      <c r="C5">
        <f>'Exercise 11,12,13 and 14'!D4+(TINV(0.05,79)*'Exercise 11,12,13 and 14'!B1)</f>
        <v>2.3087604218053106</v>
      </c>
    </row>
    <row r="6" spans="1:5" x14ac:dyDescent="0.25">
      <c r="A6" t="s">
        <v>29</v>
      </c>
      <c r="B6">
        <f>'Exercise 11,12,13 and 14'!D4-(TINV(0.01,79)*'Exercise 11,12,13 and 14'!B1)</f>
        <v>-3.0616107781622941</v>
      </c>
      <c r="C6">
        <f>'Exercise 11,12,13 and 14'!D4+(TINV(0.01,79)*'Exercise 11,12,13 and 14'!B1)</f>
        <v>3.0616107781622941</v>
      </c>
    </row>
    <row r="8" spans="1:5" x14ac:dyDescent="0.25">
      <c r="A8" t="s">
        <v>32</v>
      </c>
    </row>
    <row r="9" spans="1:5" x14ac:dyDescent="0.25">
      <c r="A9" t="s">
        <v>28</v>
      </c>
      <c r="B9">
        <f>-CONFIDENCE(0.1,10.37,80)</f>
        <v>-1.9070453451239455</v>
      </c>
      <c r="C9">
        <f>CONFIDENCE(0.1,10.37,80)</f>
        <v>1.9070453451239455</v>
      </c>
    </row>
    <row r="10" spans="1:5" x14ac:dyDescent="0.25">
      <c r="A10" t="s">
        <v>30</v>
      </c>
      <c r="B10">
        <f>-CONFIDENCE(0.05,10.37,80)</f>
        <v>-2.2723846864447865</v>
      </c>
      <c r="C10">
        <f>CONFIDENCE(0.05,10.37,80)</f>
        <v>2.2723846864447865</v>
      </c>
    </row>
    <row r="11" spans="1:5" x14ac:dyDescent="0.25">
      <c r="A11" t="s">
        <v>29</v>
      </c>
      <c r="B11">
        <f>-CONFIDENCE(0.01,10.37,80)</f>
        <v>-2.9864197048773082</v>
      </c>
      <c r="C11">
        <f>CONFIDENCE(0.01,10.37,80)</f>
        <v>2.9864197048773082</v>
      </c>
    </row>
    <row r="13" spans="1:5" x14ac:dyDescent="0.25">
      <c r="B13" t="s">
        <v>49</v>
      </c>
      <c r="C13" t="s">
        <v>35</v>
      </c>
      <c r="D13" t="s">
        <v>39</v>
      </c>
    </row>
    <row r="14" spans="1:5" x14ac:dyDescent="0.25">
      <c r="A14" t="s">
        <v>33</v>
      </c>
      <c r="B14">
        <f>('Exercise 1'!D2-75)/B1</f>
        <v>0.2155323470801831</v>
      </c>
      <c r="C14">
        <f>TDIST(B14,79,2)</f>
        <v>0.8299077855905731</v>
      </c>
      <c r="D14">
        <f>TINV(0.05,79)</f>
        <v>1.9904502102301287</v>
      </c>
      <c r="E14" t="s">
        <v>48</v>
      </c>
    </row>
    <row r="15" spans="1:5" x14ac:dyDescent="0.25">
      <c r="A15" t="s">
        <v>36</v>
      </c>
      <c r="E15" t="s">
        <v>50</v>
      </c>
    </row>
    <row r="17" spans="1:5" x14ac:dyDescent="0.25">
      <c r="A17" t="s">
        <v>37</v>
      </c>
      <c r="B17">
        <f>('Exercise 1'!D2-50)/'Exercise 11,12,13 and 14'!B1</f>
        <v>21.768767055098493</v>
      </c>
      <c r="C17">
        <f>TDIST(ABS(B17),79,2)</f>
        <v>4.0431389522039682E-35</v>
      </c>
      <c r="D17">
        <f>TINV(0.05,79)</f>
        <v>1.9904502102301287</v>
      </c>
      <c r="E17" t="s">
        <v>51</v>
      </c>
    </row>
    <row r="18" spans="1:5" x14ac:dyDescent="0.25">
      <c r="A18" t="s">
        <v>38</v>
      </c>
      <c r="E18" t="s">
        <v>52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A21" sqref="A21"/>
    </sheetView>
  </sheetViews>
  <sheetFormatPr defaultRowHeight="12.5" x14ac:dyDescent="0.25"/>
  <cols>
    <col min="8" max="8" width="11.08984375" customWidth="1"/>
    <col min="9" max="9" width="17.6328125" customWidth="1"/>
    <col min="10" max="10" width="19.90625" customWidth="1"/>
  </cols>
  <sheetData>
    <row r="1" spans="1:10" x14ac:dyDescent="0.25">
      <c r="A1" t="s">
        <v>40</v>
      </c>
      <c r="B1" t="s">
        <v>6</v>
      </c>
      <c r="C1" t="s">
        <v>2</v>
      </c>
      <c r="D1" t="s">
        <v>14</v>
      </c>
      <c r="E1" t="s">
        <v>41</v>
      </c>
      <c r="F1" t="s">
        <v>42</v>
      </c>
      <c r="G1" t="s">
        <v>9</v>
      </c>
      <c r="H1" t="s">
        <v>43</v>
      </c>
      <c r="I1" t="s">
        <v>44</v>
      </c>
      <c r="J1" t="s">
        <v>45</v>
      </c>
    </row>
    <row r="2" spans="1:10" x14ac:dyDescent="0.25">
      <c r="A2">
        <v>51</v>
      </c>
      <c r="B2">
        <f>SUM(A2:A41)</f>
        <v>2576</v>
      </c>
      <c r="C2">
        <f>AVERAGE(A2:A41)</f>
        <v>64.400000000000006</v>
      </c>
      <c r="D2">
        <f>VAR(A2:A41)</f>
        <v>56.656410256410403</v>
      </c>
      <c r="E2">
        <f>SQRT(D2)</f>
        <v>7.5270452540429433</v>
      </c>
      <c r="F2">
        <f>E2/SQRT(40)</f>
        <v>1.190130352696821</v>
      </c>
      <c r="G2">
        <v>54</v>
      </c>
      <c r="H2">
        <f t="array" ref="H2:H11">FREQUENCY(A2:A41,G2:G11)</f>
        <v>3</v>
      </c>
      <c r="I2">
        <f>(H2/40)</f>
        <v>7.4999999999999997E-2</v>
      </c>
      <c r="J2">
        <f t="array" ref="J2">(H2/40)/5</f>
        <v>1.4999999999999999E-2</v>
      </c>
    </row>
    <row r="3" spans="1:10" x14ac:dyDescent="0.25">
      <c r="A3">
        <v>65</v>
      </c>
      <c r="G3">
        <v>59</v>
      </c>
      <c r="H3">
        <v>7</v>
      </c>
      <c r="I3">
        <f t="array" ref="I3">(H3/40)</f>
        <v>0.17499999999999999</v>
      </c>
      <c r="J3">
        <f t="array" ref="J3">(H3/40)/5</f>
        <v>3.4999999999999996E-2</v>
      </c>
    </row>
    <row r="4" spans="1:10" x14ac:dyDescent="0.25">
      <c r="A4">
        <v>61</v>
      </c>
      <c r="G4">
        <v>64</v>
      </c>
      <c r="H4">
        <v>9</v>
      </c>
      <c r="I4">
        <f t="array" ref="I4">(H4/40)</f>
        <v>0.22500000000000001</v>
      </c>
      <c r="J4">
        <f t="array" ref="J4">(H4/40)/5</f>
        <v>4.4999999999999998E-2</v>
      </c>
    </row>
    <row r="5" spans="1:10" x14ac:dyDescent="0.25">
      <c r="A5">
        <v>66</v>
      </c>
      <c r="G5">
        <v>69</v>
      </c>
      <c r="H5">
        <v>10</v>
      </c>
      <c r="I5">
        <f t="array" ref="I5">(H5/40)</f>
        <v>0.25</v>
      </c>
      <c r="J5">
        <f t="array" ref="J5">(H5/40)/5</f>
        <v>0.05</v>
      </c>
    </row>
    <row r="6" spans="1:10" x14ac:dyDescent="0.25">
      <c r="A6">
        <v>55</v>
      </c>
      <c r="G6">
        <v>74</v>
      </c>
      <c r="H6">
        <v>6</v>
      </c>
      <c r="I6">
        <f t="array" ref="I6">(H6/40)</f>
        <v>0.15</v>
      </c>
      <c r="J6">
        <f t="array" ref="J6">(H6/40)/5</f>
        <v>0.03</v>
      </c>
    </row>
    <row r="7" spans="1:10" x14ac:dyDescent="0.25">
      <c r="A7">
        <v>70</v>
      </c>
      <c r="G7">
        <v>79</v>
      </c>
      <c r="H7">
        <v>5</v>
      </c>
      <c r="I7">
        <f t="array" ref="I7">(H7/40)</f>
        <v>0.125</v>
      </c>
      <c r="J7">
        <f t="array" ref="J7">(H7/40)/5</f>
        <v>2.5000000000000001E-2</v>
      </c>
    </row>
    <row r="8" spans="1:10" x14ac:dyDescent="0.25">
      <c r="A8">
        <v>65</v>
      </c>
      <c r="G8">
        <v>84</v>
      </c>
      <c r="H8">
        <v>0</v>
      </c>
      <c r="I8">
        <f t="array" ref="I8">(H8/40)</f>
        <v>0</v>
      </c>
      <c r="J8">
        <f t="array" ref="J8">(H8/40)/5</f>
        <v>0</v>
      </c>
    </row>
    <row r="9" spans="1:10" x14ac:dyDescent="0.25">
      <c r="A9">
        <v>52</v>
      </c>
      <c r="G9">
        <v>89</v>
      </c>
      <c r="H9">
        <v>0</v>
      </c>
      <c r="I9">
        <f t="array" ref="I9">(H9/40)</f>
        <v>0</v>
      </c>
      <c r="J9">
        <f t="array" ref="J9">(H9/40)/5</f>
        <v>0</v>
      </c>
    </row>
    <row r="10" spans="1:10" x14ac:dyDescent="0.25">
      <c r="A10">
        <v>75</v>
      </c>
      <c r="G10">
        <v>94</v>
      </c>
      <c r="H10">
        <v>0</v>
      </c>
      <c r="I10">
        <f t="array" ref="I10">(H10/40)</f>
        <v>0</v>
      </c>
      <c r="J10">
        <f t="array" ref="J10">(H10/40)/5</f>
        <v>0</v>
      </c>
    </row>
    <row r="11" spans="1:10" x14ac:dyDescent="0.25">
      <c r="A11">
        <v>65</v>
      </c>
      <c r="G11">
        <v>99</v>
      </c>
      <c r="H11">
        <v>0</v>
      </c>
      <c r="I11">
        <f t="array" ref="I11">(H11/40)</f>
        <v>0</v>
      </c>
      <c r="J11">
        <f t="array" ref="J11">(H11/40)/5</f>
        <v>0</v>
      </c>
    </row>
    <row r="12" spans="1:10" x14ac:dyDescent="0.25">
      <c r="A12">
        <v>75</v>
      </c>
      <c r="H12">
        <f>SUM(H2:H11)</f>
        <v>40</v>
      </c>
      <c r="I12">
        <f>SUM(I2:I11)</f>
        <v>1</v>
      </c>
    </row>
    <row r="13" spans="1:10" x14ac:dyDescent="0.25">
      <c r="A13">
        <v>65</v>
      </c>
    </row>
    <row r="14" spans="1:10" x14ac:dyDescent="0.25">
      <c r="A14">
        <v>55</v>
      </c>
    </row>
    <row r="15" spans="1:10" x14ac:dyDescent="0.25">
      <c r="A15">
        <v>73</v>
      </c>
    </row>
    <row r="16" spans="1:10" x14ac:dyDescent="0.25">
      <c r="A16">
        <v>56</v>
      </c>
    </row>
    <row r="17" spans="1:1" x14ac:dyDescent="0.25">
      <c r="A17">
        <v>60</v>
      </c>
    </row>
    <row r="18" spans="1:1" x14ac:dyDescent="0.25">
      <c r="A18">
        <v>68</v>
      </c>
    </row>
    <row r="19" spans="1:1" x14ac:dyDescent="0.25">
      <c r="A19">
        <v>60</v>
      </c>
    </row>
    <row r="20" spans="1:1" x14ac:dyDescent="0.25">
      <c r="A20">
        <v>74</v>
      </c>
    </row>
    <row r="21" spans="1:1" x14ac:dyDescent="0.25">
      <c r="A21">
        <v>66</v>
      </c>
    </row>
    <row r="22" spans="1:1" x14ac:dyDescent="0.25">
      <c r="A22">
        <v>62</v>
      </c>
    </row>
    <row r="23" spans="1:1" x14ac:dyDescent="0.25">
      <c r="A23">
        <v>64</v>
      </c>
    </row>
    <row r="24" spans="1:1" x14ac:dyDescent="0.25">
      <c r="A24">
        <v>62</v>
      </c>
    </row>
    <row r="25" spans="1:1" x14ac:dyDescent="0.25">
      <c r="A25">
        <v>66</v>
      </c>
    </row>
    <row r="26" spans="1:1" x14ac:dyDescent="0.25">
      <c r="A26">
        <v>62</v>
      </c>
    </row>
    <row r="27" spans="1:1" x14ac:dyDescent="0.25">
      <c r="A27">
        <v>71</v>
      </c>
    </row>
    <row r="28" spans="1:1" x14ac:dyDescent="0.25">
      <c r="A28">
        <v>55</v>
      </c>
    </row>
    <row r="29" spans="1:1" x14ac:dyDescent="0.25">
      <c r="A29">
        <v>69</v>
      </c>
    </row>
    <row r="30" spans="1:1" x14ac:dyDescent="0.25">
      <c r="A30">
        <v>55</v>
      </c>
    </row>
    <row r="31" spans="1:1" x14ac:dyDescent="0.25">
      <c r="A31">
        <v>59</v>
      </c>
    </row>
    <row r="32" spans="1:1" x14ac:dyDescent="0.25">
      <c r="A32">
        <v>78</v>
      </c>
    </row>
    <row r="33" spans="1:1" x14ac:dyDescent="0.25">
      <c r="A33">
        <v>74</v>
      </c>
    </row>
    <row r="34" spans="1:1" x14ac:dyDescent="0.25">
      <c r="A34">
        <v>76</v>
      </c>
    </row>
    <row r="35" spans="1:1" x14ac:dyDescent="0.25">
      <c r="A35">
        <v>54</v>
      </c>
    </row>
    <row r="36" spans="1:1" x14ac:dyDescent="0.25">
      <c r="A36">
        <v>63</v>
      </c>
    </row>
    <row r="37" spans="1:1" x14ac:dyDescent="0.25">
      <c r="A37">
        <v>77</v>
      </c>
    </row>
    <row r="38" spans="1:1" x14ac:dyDescent="0.25">
      <c r="A38">
        <v>55</v>
      </c>
    </row>
    <row r="39" spans="1:1" x14ac:dyDescent="0.25">
      <c r="A39">
        <v>65</v>
      </c>
    </row>
    <row r="40" spans="1:1" x14ac:dyDescent="0.25">
      <c r="A40">
        <v>72</v>
      </c>
    </row>
    <row r="41" spans="1:1" x14ac:dyDescent="0.25">
      <c r="A41">
        <v>60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"/>
  <sheetViews>
    <sheetView workbookViewId="0">
      <selection activeCell="A12" sqref="A12"/>
    </sheetView>
  </sheetViews>
  <sheetFormatPr defaultRowHeight="12.5" x14ac:dyDescent="0.25"/>
  <cols>
    <col min="1" max="1" width="36.6328125" customWidth="1"/>
    <col min="3" max="3" width="16.36328125" customWidth="1"/>
    <col min="4" max="4" width="26.90625" customWidth="1"/>
  </cols>
  <sheetData>
    <row r="3" spans="1:5" x14ac:dyDescent="0.25">
      <c r="B3" t="s">
        <v>34</v>
      </c>
      <c r="C3" t="s">
        <v>35</v>
      </c>
      <c r="D3" t="s">
        <v>39</v>
      </c>
    </row>
    <row r="4" spans="1:5" x14ac:dyDescent="0.25">
      <c r="A4" t="s">
        <v>46</v>
      </c>
      <c r="B4">
        <f>('Exercise 15'!C2-'Exercise 1'!D2)/SQRT('Exercise 15'!F2^2+'Exercise 11,12,13 and 14'!B1^2)</f>
        <v>-6.528778330711293</v>
      </c>
      <c r="C4">
        <f>TDIST(ABS(B4),118,2)</f>
        <v>1.7446918106026119E-9</v>
      </c>
      <c r="D4">
        <f>TINV(0.05,118)</f>
        <v>1.9802722492729716</v>
      </c>
    </row>
    <row r="5" spans="1:5" x14ac:dyDescent="0.25">
      <c r="A5" t="s">
        <v>47</v>
      </c>
      <c r="E5" t="s">
        <v>53</v>
      </c>
    </row>
    <row r="6" spans="1:5" x14ac:dyDescent="0.25">
      <c r="E6" t="s">
        <v>52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sqref="A1:B11"/>
    </sheetView>
  </sheetViews>
  <sheetFormatPr defaultRowHeight="12.5" x14ac:dyDescent="0.25"/>
  <cols>
    <col min="3" max="4" width="11.453125" customWidth="1"/>
    <col min="5" max="5" width="19" customWidth="1"/>
    <col min="6" max="6" width="12.08984375" customWidth="1"/>
    <col min="7" max="7" width="14.54296875" customWidth="1"/>
    <col min="8" max="8" width="17.54296875" customWidth="1"/>
    <col min="9" max="10" width="15.08984375" customWidth="1"/>
  </cols>
  <sheetData>
    <row r="1" spans="1:9" x14ac:dyDescent="0.25">
      <c r="A1" t="s">
        <v>63</v>
      </c>
      <c r="B1" t="s">
        <v>68</v>
      </c>
      <c r="C1" t="s">
        <v>69</v>
      </c>
      <c r="E1" t="s">
        <v>60</v>
      </c>
      <c r="F1" t="s">
        <v>61</v>
      </c>
      <c r="G1" t="s">
        <v>62</v>
      </c>
      <c r="H1" t="s">
        <v>70</v>
      </c>
      <c r="I1" t="s">
        <v>67</v>
      </c>
    </row>
    <row r="2" spans="1:9" x14ac:dyDescent="0.25">
      <c r="A2">
        <v>20</v>
      </c>
      <c r="B2">
        <v>15</v>
      </c>
      <c r="C2">
        <f t="array" ref="C2">A2-B2</f>
        <v>5</v>
      </c>
      <c r="E2">
        <f>COVAR(A2:A11,B2:B11)</f>
        <v>20</v>
      </c>
      <c r="F2">
        <f>CORREL(A2:A11,B2:B11)</f>
        <v>0.40824829046386296</v>
      </c>
      <c r="G2">
        <f>AVERAGE(A2:A11)</f>
        <v>30</v>
      </c>
      <c r="H2">
        <f>AVERAGE(B2:B11)</f>
        <v>25</v>
      </c>
      <c r="I2">
        <f>AVERAGE(A2:A11,B2:B11)</f>
        <v>27.5</v>
      </c>
    </row>
    <row r="3" spans="1:9" x14ac:dyDescent="0.25">
      <c r="A3">
        <v>30</v>
      </c>
      <c r="B3">
        <v>35</v>
      </c>
      <c r="C3">
        <f t="array" ref="C3">A3-B3</f>
        <v>-5</v>
      </c>
      <c r="G3" t="s">
        <v>64</v>
      </c>
      <c r="H3" t="s">
        <v>65</v>
      </c>
      <c r="I3" t="s">
        <v>66</v>
      </c>
    </row>
    <row r="4" spans="1:9" x14ac:dyDescent="0.25">
      <c r="A4">
        <v>30</v>
      </c>
      <c r="B4">
        <v>25</v>
      </c>
      <c r="C4">
        <f t="array" ref="C4">A4-B4</f>
        <v>5</v>
      </c>
      <c r="G4">
        <f>STDEV(A2:A11)</f>
        <v>8.1649658092772608</v>
      </c>
      <c r="H4">
        <f>STDEV(B2:B11)</f>
        <v>6.666666666666667</v>
      </c>
      <c r="I4">
        <f>STDEV(A2:A11,B2:B11)</f>
        <v>7.6948376406386556</v>
      </c>
    </row>
    <row r="5" spans="1:9" x14ac:dyDescent="0.25">
      <c r="A5">
        <v>20</v>
      </c>
      <c r="B5">
        <v>25</v>
      </c>
      <c r="C5">
        <f t="array" ref="C5">A5-B5</f>
        <v>-5</v>
      </c>
    </row>
    <row r="6" spans="1:9" x14ac:dyDescent="0.25">
      <c r="A6">
        <v>20</v>
      </c>
      <c r="B6">
        <v>25</v>
      </c>
      <c r="C6">
        <f t="array" ref="C6">A6-B6</f>
        <v>-5</v>
      </c>
      <c r="E6" t="s">
        <v>71</v>
      </c>
    </row>
    <row r="7" spans="1:9" x14ac:dyDescent="0.25">
      <c r="A7">
        <v>30</v>
      </c>
      <c r="B7">
        <v>15</v>
      </c>
      <c r="C7">
        <f t="array" ref="C7">A7-B7</f>
        <v>15</v>
      </c>
      <c r="E7">
        <f>AVERAGE(C2:C11)</f>
        <v>5</v>
      </c>
    </row>
    <row r="8" spans="1:9" x14ac:dyDescent="0.25">
      <c r="A8">
        <v>40</v>
      </c>
      <c r="B8">
        <v>25</v>
      </c>
      <c r="C8">
        <f t="array" ref="C8">A8-B8</f>
        <v>15</v>
      </c>
      <c r="E8" t="s">
        <v>72</v>
      </c>
    </row>
    <row r="9" spans="1:9" x14ac:dyDescent="0.25">
      <c r="A9">
        <v>30</v>
      </c>
      <c r="B9">
        <v>25</v>
      </c>
      <c r="C9">
        <f t="array" ref="C9">A9-B9</f>
        <v>5</v>
      </c>
      <c r="E9">
        <f>STDEV(C2:C11)</f>
        <v>8.1649658092772608</v>
      </c>
    </row>
    <row r="10" spans="1:9" x14ac:dyDescent="0.25">
      <c r="A10">
        <v>40</v>
      </c>
      <c r="B10">
        <v>35</v>
      </c>
      <c r="C10">
        <f t="array" ref="C10">A10-B10</f>
        <v>5</v>
      </c>
    </row>
    <row r="11" spans="1:9" x14ac:dyDescent="0.25">
      <c r="A11">
        <v>40</v>
      </c>
      <c r="B11">
        <v>25</v>
      </c>
      <c r="C11">
        <f t="array" ref="C11">A11-B11</f>
        <v>15</v>
      </c>
      <c r="E11" t="s">
        <v>73</v>
      </c>
    </row>
    <row r="12" spans="1:9" x14ac:dyDescent="0.25">
      <c r="E12" t="s">
        <v>75</v>
      </c>
      <c r="F12" t="s">
        <v>74</v>
      </c>
    </row>
    <row r="13" spans="1:9" x14ac:dyDescent="0.25">
      <c r="E13">
        <f>LINEST(B2:B11,A2:A11,TRUE,TRUE)</f>
        <v>0.33333333333333315</v>
      </c>
      <c r="F13">
        <v>15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Exercise 1</vt:lpstr>
      <vt:lpstr>Exercise 2</vt:lpstr>
      <vt:lpstr>Exercise 3</vt:lpstr>
      <vt:lpstr>Exercises 4, 5 and 6</vt:lpstr>
      <vt:lpstr>Exercise 7</vt:lpstr>
      <vt:lpstr>Exercise 8 and 9</vt:lpstr>
      <vt:lpstr>Exercise 11,12,13 and 14</vt:lpstr>
      <vt:lpstr>Exercise 15</vt:lpstr>
      <vt:lpstr>Exercise 15 b</vt:lpstr>
      <vt:lpstr>Exercise 16</vt:lpstr>
    </vt:vector>
  </TitlesOfParts>
  <Company>UMIST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Hubbard</dc:creator>
  <cp:lastModifiedBy>Carina Negreanu</cp:lastModifiedBy>
  <cp:lastPrinted>2000-11-20T18:19:01Z</cp:lastPrinted>
  <dcterms:created xsi:type="dcterms:W3CDTF">1998-11-06T11:58:36Z</dcterms:created>
  <dcterms:modified xsi:type="dcterms:W3CDTF">2020-01-27T11:28:37Z</dcterms:modified>
</cp:coreProperties>
</file>