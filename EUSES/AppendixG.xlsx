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84A304-81DC-4C37-8EBD-808645A9D482}" xr6:coauthVersionLast="45" xr6:coauthVersionMax="45" xr10:uidLastSave="{00000000-0000-0000-0000-000000000000}"/>
  <bookViews>
    <workbookView xWindow="3420" yWindow="3420" windowWidth="28800" windowHeight="15460"/>
  </bookViews>
  <sheets>
    <sheet name="Appendix 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3" i="1" l="1"/>
  <c r="H73" i="1"/>
  <c r="I73" i="1"/>
  <c r="J73" i="1"/>
  <c r="K73" i="1"/>
</calcChain>
</file>

<file path=xl/sharedStrings.xml><?xml version="1.0" encoding="utf-8"?>
<sst xmlns="http://schemas.openxmlformats.org/spreadsheetml/2006/main" count="79" uniqueCount="65">
  <si>
    <t>FY04</t>
  </si>
  <si>
    <t>FY05</t>
  </si>
  <si>
    <t>Post-Implementation</t>
  </si>
  <si>
    <t>FY01</t>
  </si>
  <si>
    <t>FY02</t>
  </si>
  <si>
    <t>FY03</t>
  </si>
  <si>
    <t>Hardware</t>
  </si>
  <si>
    <t xml:space="preserve">     Development Server</t>
  </si>
  <si>
    <t xml:space="preserve">     CPU Upgrade</t>
  </si>
  <si>
    <t xml:space="preserve">     Disk Drive (2)</t>
  </si>
  <si>
    <t xml:space="preserve">     RackMount Kit</t>
  </si>
  <si>
    <t xml:space="preserve">     Drive Cage</t>
  </si>
  <si>
    <t xml:space="preserve">     Memory</t>
  </si>
  <si>
    <t xml:space="preserve">     Color Monitor</t>
  </si>
  <si>
    <t xml:space="preserve">     Power Cord</t>
  </si>
  <si>
    <t xml:space="preserve">     Video Extension Cable</t>
  </si>
  <si>
    <t xml:space="preserve">     Graphic Accelerator</t>
  </si>
  <si>
    <t xml:space="preserve">     Keyboard</t>
  </si>
  <si>
    <t xml:space="preserve">     Server Operating System</t>
  </si>
  <si>
    <t xml:space="preserve">     Documentation</t>
  </si>
  <si>
    <t xml:space="preserve">     Installation Service</t>
  </si>
  <si>
    <t xml:space="preserve">     Support and Warranty</t>
  </si>
  <si>
    <t>Server Software</t>
  </si>
  <si>
    <t>Development Software</t>
  </si>
  <si>
    <t xml:space="preserve">     Database license</t>
  </si>
  <si>
    <r>
      <t xml:space="preserve"> </t>
    </r>
    <r>
      <rPr>
        <sz val="10"/>
        <rFont val="Arial"/>
        <family val="2"/>
      </rPr>
      <t xml:space="preserve">    Database SW</t>
    </r>
  </si>
  <si>
    <t>Development tools</t>
  </si>
  <si>
    <r>
      <t xml:space="preserve">     </t>
    </r>
    <r>
      <rPr>
        <sz val="10"/>
        <rFont val="Arial"/>
        <family val="2"/>
      </rPr>
      <t xml:space="preserve">Design </t>
    </r>
  </si>
  <si>
    <t xml:space="preserve">     Forms</t>
  </si>
  <si>
    <t xml:space="preserve">     Admin</t>
  </si>
  <si>
    <t xml:space="preserve">     Dev tool</t>
  </si>
  <si>
    <t xml:space="preserve">     Component</t>
  </si>
  <si>
    <t xml:space="preserve">     Report Dev</t>
  </si>
  <si>
    <t xml:space="preserve">     Form server License</t>
  </si>
  <si>
    <t xml:space="preserve">     Report server license</t>
  </si>
  <si>
    <t xml:space="preserve">     Viewer</t>
  </si>
  <si>
    <t>Training</t>
  </si>
  <si>
    <t xml:space="preserve">     Trainer</t>
  </si>
  <si>
    <t xml:space="preserve">     Travel for training</t>
  </si>
  <si>
    <t xml:space="preserve">Implementation </t>
  </si>
  <si>
    <t xml:space="preserve">     Support</t>
  </si>
  <si>
    <t xml:space="preserve">     Database Analyst(2)</t>
  </si>
  <si>
    <t xml:space="preserve">     Technical Writer(2)</t>
  </si>
  <si>
    <t xml:space="preserve">     Programmer Analyst (6)</t>
  </si>
  <si>
    <t xml:space="preserve">     Facilities maintenance</t>
  </si>
  <si>
    <t>TOTAL</t>
  </si>
  <si>
    <t xml:space="preserve">                                                                              Alternative 2-Develop Regulatory System</t>
  </si>
  <si>
    <t xml:space="preserve">Consultant Contract </t>
  </si>
  <si>
    <t>Facilities Cost</t>
  </si>
  <si>
    <t xml:space="preserve">     Database Documentation</t>
  </si>
  <si>
    <t xml:space="preserve">                                                                              Alternative 2-Develop Regulatory System Cont.</t>
  </si>
  <si>
    <t>Business Area Requirements Analysis</t>
  </si>
  <si>
    <t>Project Office</t>
  </si>
  <si>
    <t xml:space="preserve">     Project Manager</t>
  </si>
  <si>
    <t xml:space="preserve">     Project Analyst</t>
  </si>
  <si>
    <t xml:space="preserve">     Administrative Support</t>
  </si>
  <si>
    <t>Contracted Development Team</t>
  </si>
  <si>
    <t xml:space="preserve">     Business Analyst(4)</t>
  </si>
  <si>
    <t>Production Server Hardware/Software</t>
  </si>
  <si>
    <t xml:space="preserve">     Contracted DBA Services</t>
  </si>
  <si>
    <t xml:space="preserve">     Application Maintenance Vendor</t>
  </si>
  <si>
    <t xml:space="preserve">     Server HW/SW Maintenance</t>
  </si>
  <si>
    <t xml:space="preserve"> </t>
  </si>
  <si>
    <t xml:space="preserve">     Contracted Application Enhancements</t>
  </si>
  <si>
    <r>
      <t xml:space="preserve">     </t>
    </r>
    <r>
      <rPr>
        <sz val="10"/>
        <rFont val="Arial"/>
        <family val="2"/>
      </rPr>
      <t>Project Management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</si>
</sst>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Protection="0"/>
  </cellStyleXfs>
  <cellXfs count="15">
    <xf numFmtId="0" fontId="0" fillId="0" borderId="0" xfId="0"/>
    <xf numFmtId="0" fontId="2" fillId="0" borderId="0" xfId="0" applyFon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65" fontId="3" fillId="0" borderId="0" xfId="1" applyNumberFormat="1" applyFont="1" applyAlignment="1"/>
    <xf numFmtId="165" fontId="0" fillId="0" borderId="0" xfId="1" applyNumberFormat="1" applyFont="1" applyAlignment="1"/>
    <xf numFmtId="173" fontId="0" fillId="0" borderId="0" xfId="1" applyNumberFormat="1" applyFont="1" applyAlignment="1">
      <alignment horizontal="left" indent="2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5" fontId="2" fillId="0" borderId="0" xfId="0" applyNumberFormat="1" applyFont="1"/>
    <xf numFmtId="0" fontId="2" fillId="0" borderId="1" xfId="0" applyFont="1" applyBorder="1" applyAlignment="1">
      <alignment horizontal="center"/>
    </xf>
    <xf numFmtId="173" fontId="0" fillId="0" borderId="0" xfId="1" applyNumberFormat="1" applyFont="1" applyAlignment="1">
      <alignment horizontal="left" indent="1"/>
    </xf>
    <xf numFmtId="0" fontId="5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topLeftCell="A55" zoomScaleNormal="100" workbookViewId="0">
      <selection activeCell="F70" sqref="F70"/>
    </sheetView>
  </sheetViews>
  <sheetFormatPr defaultRowHeight="12.5" x14ac:dyDescent="0.25"/>
  <cols>
    <col min="6" max="6" width="13.81640625" customWidth="1"/>
    <col min="7" max="8" width="10.7265625" customWidth="1"/>
    <col min="9" max="9" width="10.81640625" customWidth="1"/>
    <col min="12" max="12" width="10.7265625" bestFit="1" customWidth="1"/>
  </cols>
  <sheetData>
    <row r="1" spans="1:11" ht="15.5" x14ac:dyDescent="0.35">
      <c r="A1" s="1" t="s">
        <v>46</v>
      </c>
      <c r="E1" s="14"/>
      <c r="F1" s="14"/>
      <c r="G1" s="14"/>
      <c r="H1" s="14"/>
      <c r="I1" s="14"/>
    </row>
    <row r="2" spans="1:11" ht="15.5" x14ac:dyDescent="0.35">
      <c r="A2" s="1"/>
      <c r="E2" s="14"/>
      <c r="F2" s="14"/>
      <c r="G2" s="14"/>
      <c r="H2" s="14"/>
      <c r="I2" s="14"/>
    </row>
    <row r="4" spans="1:11" ht="16" thickBot="1" x14ac:dyDescent="0.4">
      <c r="A4" s="4"/>
      <c r="G4" s="12" t="s">
        <v>3</v>
      </c>
      <c r="H4" s="12" t="s">
        <v>4</v>
      </c>
      <c r="I4" s="12" t="s">
        <v>5</v>
      </c>
      <c r="J4" s="12" t="s">
        <v>0</v>
      </c>
      <c r="K4" s="12" t="s">
        <v>1</v>
      </c>
    </row>
    <row r="5" spans="1:11" ht="13" x14ac:dyDescent="0.3">
      <c r="A5" s="1" t="s">
        <v>47</v>
      </c>
    </row>
    <row r="6" spans="1:11" x14ac:dyDescent="0.25">
      <c r="A6" s="3" t="s">
        <v>51</v>
      </c>
      <c r="G6" s="2">
        <v>500000</v>
      </c>
    </row>
    <row r="7" spans="1:11" ht="13" x14ac:dyDescent="0.3">
      <c r="A7" s="1" t="s">
        <v>52</v>
      </c>
      <c r="G7" s="5"/>
    </row>
    <row r="8" spans="1:11" x14ac:dyDescent="0.25">
      <c r="A8" t="s">
        <v>53</v>
      </c>
      <c r="E8" s="2"/>
      <c r="G8" s="2">
        <v>91524</v>
      </c>
      <c r="H8" s="2">
        <v>91524</v>
      </c>
      <c r="I8" s="2">
        <v>91524</v>
      </c>
    </row>
    <row r="9" spans="1:11" x14ac:dyDescent="0.25">
      <c r="A9" t="s">
        <v>54</v>
      </c>
      <c r="E9" s="2"/>
      <c r="G9" s="2">
        <v>85872</v>
      </c>
      <c r="H9" s="2">
        <v>85872</v>
      </c>
      <c r="I9" s="2">
        <v>85872</v>
      </c>
    </row>
    <row r="10" spans="1:11" x14ac:dyDescent="0.25">
      <c r="A10" t="s">
        <v>55</v>
      </c>
      <c r="E10" s="2"/>
      <c r="G10" s="2">
        <v>35000</v>
      </c>
      <c r="H10" s="2">
        <v>35000</v>
      </c>
      <c r="I10" s="2">
        <v>35000</v>
      </c>
    </row>
    <row r="11" spans="1:11" ht="13" x14ac:dyDescent="0.3">
      <c r="A11" s="1" t="s">
        <v>56</v>
      </c>
      <c r="E11" s="2"/>
      <c r="G11" s="2"/>
    </row>
    <row r="12" spans="1:11" x14ac:dyDescent="0.25">
      <c r="A12" t="s">
        <v>53</v>
      </c>
      <c r="E12" s="2"/>
      <c r="G12" s="2">
        <v>208000</v>
      </c>
      <c r="H12" s="2">
        <v>208000</v>
      </c>
      <c r="I12" s="2">
        <v>208000</v>
      </c>
    </row>
    <row r="13" spans="1:11" x14ac:dyDescent="0.25">
      <c r="A13" t="s">
        <v>57</v>
      </c>
      <c r="E13" s="2"/>
      <c r="G13" s="2">
        <v>353600</v>
      </c>
      <c r="H13" s="2">
        <v>707200</v>
      </c>
      <c r="I13" s="2">
        <v>353600</v>
      </c>
    </row>
    <row r="14" spans="1:11" x14ac:dyDescent="0.25">
      <c r="A14" t="s">
        <v>43</v>
      </c>
      <c r="E14" s="2"/>
      <c r="G14" s="2">
        <v>530400</v>
      </c>
      <c r="H14" s="2">
        <v>1060800</v>
      </c>
      <c r="I14" s="2">
        <v>1060800</v>
      </c>
    </row>
    <row r="15" spans="1:11" x14ac:dyDescent="0.25">
      <c r="A15" t="s">
        <v>41</v>
      </c>
      <c r="E15" s="2"/>
      <c r="G15" s="2">
        <v>208000</v>
      </c>
      <c r="H15" s="2">
        <v>416000</v>
      </c>
      <c r="I15" s="2">
        <v>416000</v>
      </c>
    </row>
    <row r="16" spans="1:11" x14ac:dyDescent="0.25">
      <c r="A16" t="s">
        <v>42</v>
      </c>
      <c r="E16" s="2"/>
      <c r="G16" s="2">
        <v>83200</v>
      </c>
      <c r="H16" s="2">
        <v>166400</v>
      </c>
      <c r="I16" s="2">
        <v>166400</v>
      </c>
    </row>
    <row r="17" spans="1:7" ht="13" x14ac:dyDescent="0.3">
      <c r="A17" s="1" t="s">
        <v>6</v>
      </c>
    </row>
    <row r="18" spans="1:7" x14ac:dyDescent="0.25">
      <c r="A18" t="s">
        <v>7</v>
      </c>
      <c r="G18" s="2">
        <v>10500</v>
      </c>
    </row>
    <row r="19" spans="1:7" x14ac:dyDescent="0.25">
      <c r="A19" t="s">
        <v>8</v>
      </c>
      <c r="G19" s="2">
        <v>4000</v>
      </c>
    </row>
    <row r="20" spans="1:7" x14ac:dyDescent="0.25">
      <c r="A20" t="s">
        <v>9</v>
      </c>
      <c r="G20" s="2">
        <v>1900</v>
      </c>
    </row>
    <row r="21" spans="1:7" x14ac:dyDescent="0.25">
      <c r="A21" t="s">
        <v>10</v>
      </c>
      <c r="G21" s="2">
        <v>200</v>
      </c>
    </row>
    <row r="22" spans="1:7" x14ac:dyDescent="0.25">
      <c r="A22" t="s">
        <v>11</v>
      </c>
      <c r="G22" s="2">
        <v>450</v>
      </c>
    </row>
    <row r="23" spans="1:7" x14ac:dyDescent="0.25">
      <c r="A23" t="s">
        <v>12</v>
      </c>
      <c r="G23" s="2">
        <v>2400</v>
      </c>
    </row>
    <row r="24" spans="1:7" x14ac:dyDescent="0.25">
      <c r="A24" t="s">
        <v>13</v>
      </c>
      <c r="G24" s="2">
        <v>400</v>
      </c>
    </row>
    <row r="25" spans="1:7" x14ac:dyDescent="0.25">
      <c r="A25" t="s">
        <v>14</v>
      </c>
      <c r="G25" s="2">
        <v>11</v>
      </c>
    </row>
    <row r="26" spans="1:7" x14ac:dyDescent="0.25">
      <c r="A26" t="s">
        <v>15</v>
      </c>
      <c r="G26" s="2">
        <v>22</v>
      </c>
    </row>
    <row r="27" spans="1:7" x14ac:dyDescent="0.25">
      <c r="A27" t="s">
        <v>16</v>
      </c>
      <c r="G27" s="2">
        <v>189</v>
      </c>
    </row>
    <row r="28" spans="1:7" x14ac:dyDescent="0.25">
      <c r="A28" t="s">
        <v>17</v>
      </c>
      <c r="G28" s="2">
        <v>16</v>
      </c>
    </row>
    <row r="29" spans="1:7" x14ac:dyDescent="0.25">
      <c r="A29" t="s">
        <v>21</v>
      </c>
      <c r="G29" s="2">
        <v>1500</v>
      </c>
    </row>
    <row r="30" spans="1:7" ht="13" x14ac:dyDescent="0.3">
      <c r="A30" s="1" t="s">
        <v>48</v>
      </c>
      <c r="B30" s="1"/>
      <c r="G30" s="2">
        <v>165826</v>
      </c>
    </row>
    <row r="31" spans="1:7" ht="13" x14ac:dyDescent="0.3">
      <c r="A31" s="1" t="s">
        <v>22</v>
      </c>
      <c r="G31" s="2"/>
    </row>
    <row r="32" spans="1:7" x14ac:dyDescent="0.25">
      <c r="A32" s="3" t="s">
        <v>18</v>
      </c>
      <c r="G32" s="6">
        <v>400</v>
      </c>
    </row>
    <row r="33" spans="1:11" x14ac:dyDescent="0.25">
      <c r="A33" s="3" t="s">
        <v>19</v>
      </c>
      <c r="B33" s="3"/>
      <c r="G33" s="7">
        <v>100</v>
      </c>
    </row>
    <row r="34" spans="1:11" x14ac:dyDescent="0.25">
      <c r="A34" s="3" t="s">
        <v>20</v>
      </c>
      <c r="G34" s="8">
        <v>600</v>
      </c>
    </row>
    <row r="35" spans="1:11" x14ac:dyDescent="0.25">
      <c r="A35" s="3" t="s">
        <v>21</v>
      </c>
      <c r="G35" s="13">
        <v>1500</v>
      </c>
    </row>
    <row r="36" spans="1:11" ht="13" x14ac:dyDescent="0.3">
      <c r="A36" s="1" t="s">
        <v>23</v>
      </c>
    </row>
    <row r="37" spans="1:11" x14ac:dyDescent="0.25">
      <c r="A37" s="3" t="s">
        <v>24</v>
      </c>
      <c r="G37" s="2">
        <v>60000</v>
      </c>
    </row>
    <row r="38" spans="1:11" ht="13" x14ac:dyDescent="0.3">
      <c r="A38" s="1" t="s">
        <v>25</v>
      </c>
      <c r="G38" s="2">
        <v>750</v>
      </c>
    </row>
    <row r="39" spans="1:11" x14ac:dyDescent="0.25">
      <c r="A39" s="3" t="s">
        <v>49</v>
      </c>
      <c r="G39" s="2">
        <v>400</v>
      </c>
    </row>
    <row r="40" spans="1:11" x14ac:dyDescent="0.25">
      <c r="A40" s="3"/>
      <c r="G40" s="2"/>
    </row>
    <row r="41" spans="1:11" x14ac:dyDescent="0.25">
      <c r="A41" s="3"/>
      <c r="G41" s="2"/>
    </row>
    <row r="42" spans="1:11" x14ac:dyDescent="0.25">
      <c r="A42" s="3"/>
      <c r="G42" s="2"/>
    </row>
    <row r="43" spans="1:11" x14ac:dyDescent="0.25">
      <c r="A43" s="3"/>
      <c r="G43" s="2"/>
    </row>
    <row r="44" spans="1:11" ht="15.5" x14ac:dyDescent="0.35">
      <c r="A44" s="1" t="s">
        <v>50</v>
      </c>
      <c r="E44" s="14"/>
      <c r="F44" s="14"/>
      <c r="G44" s="14"/>
      <c r="H44" s="14"/>
      <c r="I44" s="14"/>
    </row>
    <row r="45" spans="1:11" x14ac:dyDescent="0.25">
      <c r="A45" s="3"/>
    </row>
    <row r="46" spans="1:11" x14ac:dyDescent="0.25">
      <c r="A46" s="3"/>
    </row>
    <row r="47" spans="1:11" ht="13.5" thickBot="1" x14ac:dyDescent="0.35">
      <c r="A47" s="3"/>
      <c r="G47" s="12" t="s">
        <v>3</v>
      </c>
      <c r="H47" s="12" t="s">
        <v>4</v>
      </c>
      <c r="I47" s="12" t="s">
        <v>5</v>
      </c>
      <c r="J47" s="12" t="s">
        <v>0</v>
      </c>
      <c r="K47" s="12" t="s">
        <v>1</v>
      </c>
    </row>
    <row r="48" spans="1:11" ht="13" x14ac:dyDescent="0.3">
      <c r="A48" s="1" t="s">
        <v>26</v>
      </c>
    </row>
    <row r="49" spans="1:9" ht="13" x14ac:dyDescent="0.3">
      <c r="A49" s="1" t="s">
        <v>27</v>
      </c>
      <c r="G49" s="2">
        <v>4995</v>
      </c>
    </row>
    <row r="50" spans="1:9" x14ac:dyDescent="0.25">
      <c r="A50" s="3" t="s">
        <v>28</v>
      </c>
      <c r="G50" s="2">
        <v>3745</v>
      </c>
    </row>
    <row r="51" spans="1:9" x14ac:dyDescent="0.25">
      <c r="A51" s="3" t="s">
        <v>29</v>
      </c>
      <c r="G51" s="2">
        <v>2495</v>
      </c>
    </row>
    <row r="52" spans="1:9" x14ac:dyDescent="0.25">
      <c r="A52" s="3" t="s">
        <v>33</v>
      </c>
      <c r="G52" s="2">
        <v>95</v>
      </c>
    </row>
    <row r="53" spans="1:9" x14ac:dyDescent="0.25">
      <c r="A53" s="3" t="s">
        <v>30</v>
      </c>
      <c r="G53" s="2">
        <v>3745</v>
      </c>
    </row>
    <row r="54" spans="1:9" x14ac:dyDescent="0.25">
      <c r="A54" s="3" t="s">
        <v>31</v>
      </c>
      <c r="G54" s="2">
        <v>100</v>
      </c>
    </row>
    <row r="55" spans="1:9" x14ac:dyDescent="0.25">
      <c r="A55" s="3" t="s">
        <v>32</v>
      </c>
      <c r="G55" s="2">
        <v>2495</v>
      </c>
    </row>
    <row r="56" spans="1:9" x14ac:dyDescent="0.25">
      <c r="A56" s="3" t="s">
        <v>34</v>
      </c>
      <c r="G56" s="2">
        <v>95</v>
      </c>
    </row>
    <row r="57" spans="1:9" x14ac:dyDescent="0.25">
      <c r="A57" s="3" t="s">
        <v>35</v>
      </c>
      <c r="G57" s="2">
        <v>495</v>
      </c>
    </row>
    <row r="58" spans="1:9" ht="13" x14ac:dyDescent="0.3">
      <c r="A58" s="9" t="s">
        <v>36</v>
      </c>
      <c r="I58" s="2"/>
    </row>
    <row r="59" spans="1:9" x14ac:dyDescent="0.25">
      <c r="A59" s="10" t="s">
        <v>37</v>
      </c>
      <c r="G59" s="2">
        <v>25000</v>
      </c>
    </row>
    <row r="60" spans="1:9" ht="13" x14ac:dyDescent="0.3">
      <c r="A60" s="3" t="s">
        <v>38</v>
      </c>
      <c r="B60" s="1"/>
      <c r="G60" s="2">
        <v>5000</v>
      </c>
    </row>
    <row r="61" spans="1:9" ht="13" x14ac:dyDescent="0.3">
      <c r="A61" s="9" t="s">
        <v>39</v>
      </c>
    </row>
    <row r="62" spans="1:9" x14ac:dyDescent="0.25">
      <c r="A62" s="3" t="s">
        <v>40</v>
      </c>
      <c r="G62" s="2">
        <v>38400</v>
      </c>
    </row>
    <row r="63" spans="1:9" ht="13" x14ac:dyDescent="0.3">
      <c r="A63" s="1" t="s">
        <v>58</v>
      </c>
      <c r="G63" s="2"/>
      <c r="H63" s="2">
        <v>300000</v>
      </c>
    </row>
    <row r="64" spans="1:9" ht="15.5" x14ac:dyDescent="0.35">
      <c r="A64" s="4"/>
      <c r="G64" s="2"/>
    </row>
    <row r="65" spans="1:12" ht="13" x14ac:dyDescent="0.3">
      <c r="A65" s="1" t="s">
        <v>2</v>
      </c>
    </row>
    <row r="66" spans="1:12" ht="13" x14ac:dyDescent="0.3">
      <c r="A66" s="1" t="s">
        <v>64</v>
      </c>
      <c r="J66" s="2">
        <v>79800</v>
      </c>
      <c r="K66" s="2">
        <v>79800</v>
      </c>
    </row>
    <row r="67" spans="1:12" x14ac:dyDescent="0.25">
      <c r="A67" s="3" t="s">
        <v>59</v>
      </c>
      <c r="H67" s="2" t="s">
        <v>62</v>
      </c>
      <c r="I67" s="2" t="s">
        <v>62</v>
      </c>
      <c r="J67" s="2">
        <v>100000</v>
      </c>
      <c r="K67" s="2">
        <v>100000</v>
      </c>
    </row>
    <row r="68" spans="1:12" x14ac:dyDescent="0.25">
      <c r="A68" t="s">
        <v>60</v>
      </c>
      <c r="H68" s="2" t="s">
        <v>62</v>
      </c>
      <c r="I68" s="2" t="s">
        <v>62</v>
      </c>
      <c r="J68" s="2">
        <v>229764</v>
      </c>
      <c r="K68" s="2">
        <v>236657</v>
      </c>
    </row>
    <row r="69" spans="1:12" x14ac:dyDescent="0.25">
      <c r="A69" t="s">
        <v>61</v>
      </c>
      <c r="G69" s="2" t="s">
        <v>62</v>
      </c>
      <c r="H69" s="2">
        <v>100000</v>
      </c>
      <c r="I69" s="2">
        <v>100000</v>
      </c>
      <c r="J69" s="2">
        <v>100000</v>
      </c>
      <c r="K69" s="2">
        <v>100000</v>
      </c>
    </row>
    <row r="70" spans="1:12" x14ac:dyDescent="0.25">
      <c r="A70" t="s">
        <v>44</v>
      </c>
      <c r="H70" s="2">
        <v>171464</v>
      </c>
      <c r="I70" s="2">
        <v>177294</v>
      </c>
      <c r="J70" s="2">
        <v>183322</v>
      </c>
      <c r="K70" s="2">
        <v>188822</v>
      </c>
    </row>
    <row r="71" spans="1:12" x14ac:dyDescent="0.25">
      <c r="A71" t="s">
        <v>63</v>
      </c>
      <c r="H71" s="2" t="s">
        <v>62</v>
      </c>
      <c r="I71" s="2" t="s">
        <v>62</v>
      </c>
      <c r="J71" s="2">
        <v>50000</v>
      </c>
      <c r="K71" s="2">
        <v>50000</v>
      </c>
    </row>
    <row r="73" spans="1:12" ht="13" x14ac:dyDescent="0.3">
      <c r="A73" s="1" t="s">
        <v>45</v>
      </c>
      <c r="G73" s="11">
        <f>SUM(G5:G72)</f>
        <v>2433420</v>
      </c>
      <c r="H73" s="11">
        <f>SUM(H5:H72)</f>
        <v>3342260</v>
      </c>
      <c r="I73" s="11">
        <f>SUM(I5:I72)</f>
        <v>2694490</v>
      </c>
      <c r="J73" s="11">
        <f>SUM(J5:J72)</f>
        <v>742886</v>
      </c>
      <c r="K73" s="11">
        <f>SUM(K6:K72)</f>
        <v>755279</v>
      </c>
      <c r="L73" s="2" t="s">
        <v>62</v>
      </c>
    </row>
  </sheetData>
  <pageMargins left="0.75" right="0.75" top="0.75" bottom="0.5" header="0.5" footer="0.5"/>
  <pageSetup scale="90" orientation="landscape" horizontalDpi="300" verticalDpi="300" r:id="rId1"/>
  <headerFooter alignWithMargins="0">
    <oddHeader xml:space="preserve">&amp;RAPPENDIX G  </oddHeader>
    <oddFooter>&amp;LFinal Report - August 2000&amp;R&amp;P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G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2000-07-29T06:27:50Z</cp:lastPrinted>
  <dcterms:created xsi:type="dcterms:W3CDTF">2000-06-15T01:36:14Z</dcterms:created>
  <dcterms:modified xsi:type="dcterms:W3CDTF">2020-01-27T11:15:10Z</dcterms:modified>
</cp:coreProperties>
</file>