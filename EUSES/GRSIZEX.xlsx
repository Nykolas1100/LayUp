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B02A2DA-A1D4-4272-AAFB-520446CAFA96}" xr6:coauthVersionLast="45" xr6:coauthVersionMax="45" xr10:uidLastSave="{00000000-0000-0000-0000-000000000000}"/>
  <bookViews>
    <workbookView xWindow="380" yWindow="380" windowWidth="28800" windowHeight="15460"/>
  </bookViews>
  <sheets>
    <sheet name="Grain Size" sheetId="1" r:id="rId1"/>
  </sheets>
  <definedNames>
    <definedName name="Results">'Grain Size'!$B$16:$B$32</definedName>
  </definedNames>
  <calcPr calcId="0"/>
</workbook>
</file>

<file path=xl/calcChain.xml><?xml version="1.0" encoding="utf-8"?>
<calcChain xmlns="http://schemas.openxmlformats.org/spreadsheetml/2006/main">
  <c r="G7" i="1" l="1"/>
  <c r="G8" i="1"/>
  <c r="F14" i="1"/>
  <c r="F15" i="1"/>
  <c r="B16" i="1"/>
  <c r="B17" i="1"/>
  <c r="B18" i="1"/>
  <c r="B19" i="1"/>
  <c r="G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</calcChain>
</file>

<file path=xl/sharedStrings.xml><?xml version="1.0" encoding="utf-8"?>
<sst xmlns="http://schemas.openxmlformats.org/spreadsheetml/2006/main" count="15" uniqueCount="15">
  <si>
    <t xml:space="preserve"> Grain Size</t>
  </si>
  <si>
    <t>Sample Identification</t>
  </si>
  <si>
    <t>Reheated Austenite Grain Size</t>
  </si>
  <si>
    <r>
      <t>Length of Test Line [</t>
    </r>
    <r>
      <rPr>
        <b/>
        <sz val="10"/>
        <rFont val="Symbol"/>
        <family val="1"/>
        <charset val="2"/>
      </rPr>
      <t>m</t>
    </r>
    <r>
      <rPr>
        <b/>
        <sz val="10"/>
        <rFont val="Arial"/>
        <family val="2"/>
      </rPr>
      <t>m]</t>
    </r>
  </si>
  <si>
    <t>Magnification [x]</t>
  </si>
  <si>
    <t>Number of</t>
  </si>
  <si>
    <t>G.S.</t>
  </si>
  <si>
    <r>
      <t>Mean [</t>
    </r>
    <r>
      <rPr>
        <b/>
        <sz val="10"/>
        <rFont val="Symbol"/>
        <family val="1"/>
        <charset val="2"/>
      </rPr>
      <t>m</t>
    </r>
    <r>
      <rPr>
        <b/>
        <sz val="10"/>
        <rFont val="Arial"/>
      </rPr>
      <t>m]</t>
    </r>
  </si>
  <si>
    <t>Intercepts</t>
  </si>
  <si>
    <r>
      <t>[</t>
    </r>
    <r>
      <rPr>
        <b/>
        <sz val="10"/>
        <rFont val="Symbol"/>
        <family val="1"/>
        <charset val="2"/>
      </rPr>
      <t>m</t>
    </r>
    <r>
      <rPr>
        <b/>
        <sz val="10"/>
        <rFont val="Arial"/>
      </rPr>
      <t>m]</t>
    </r>
  </si>
  <si>
    <r>
      <t>Standard Deviation [</t>
    </r>
    <r>
      <rPr>
        <b/>
        <sz val="10"/>
        <rFont val="Symbol"/>
        <family val="1"/>
        <charset val="2"/>
      </rPr>
      <t>m</t>
    </r>
    <r>
      <rPr>
        <b/>
        <sz val="10"/>
        <rFont val="Arial"/>
      </rPr>
      <t>m]</t>
    </r>
  </si>
  <si>
    <t>Precision [%]</t>
  </si>
  <si>
    <t>Desired Precision [%]</t>
  </si>
  <si>
    <t>Number of Fields to Required Precision</t>
  </si>
  <si>
    <t>Current Number of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</si>
</sst>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87" formatCode="0.0%"/>
    <numFmt numFmtId="189" formatCode="0.0"/>
    <numFmt numFmtId="191" formatCode="h:mm"/>
  </numFmts>
  <fonts count="9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20"/>
      <color indexed="8"/>
      <name val="Arial"/>
      <family val="2"/>
    </font>
    <font>
      <sz val="20"/>
      <color indexed="8"/>
      <name val="Arial"/>
      <family val="2"/>
    </font>
    <font>
      <b/>
      <sz val="10"/>
      <name val="Symbol"/>
      <family val="1"/>
      <charset val="2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gray0625">
        <fgColor indexed="8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8"/>
      </patternFill>
    </fill>
  </fills>
  <borders count="17">
    <border>
      <left/>
      <right/>
      <top/>
      <bottom/>
      <diagonal/>
    </border>
    <border>
      <left style="double">
        <color indexed="8"/>
      </left>
      <right/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 style="double">
        <color indexed="8"/>
      </top>
      <bottom style="double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7">
    <xf numFmtId="0" fontId="0" fillId="0" borderId="0" xfId="0"/>
    <xf numFmtId="10" fontId="0" fillId="0" borderId="0" xfId="0" applyNumberFormat="1"/>
    <xf numFmtId="0" fontId="3" fillId="2" borderId="1" xfId="0" applyFont="1" applyFill="1" applyBorder="1"/>
    <xf numFmtId="0" fontId="3" fillId="2" borderId="2" xfId="0" applyFont="1" applyFill="1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0" fillId="0" borderId="8" xfId="0" applyBorder="1"/>
    <xf numFmtId="0" fontId="4" fillId="0" borderId="9" xfId="0" applyFont="1" applyBorder="1" applyAlignment="1">
      <alignment horizontal="center"/>
    </xf>
    <xf numFmtId="0" fontId="0" fillId="0" borderId="3" xfId="0" applyBorder="1" applyAlignment="1">
      <alignment horizontal="left"/>
    </xf>
    <xf numFmtId="189" fontId="0" fillId="0" borderId="4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5" fillId="3" borderId="11" xfId="0" applyFont="1" applyFill="1" applyBorder="1" applyAlignment="1">
      <alignment horizontal="left"/>
    </xf>
    <xf numFmtId="189" fontId="4" fillId="0" borderId="10" xfId="0" applyNumberFormat="1" applyFont="1" applyBorder="1" applyAlignment="1">
      <alignment horizontal="center"/>
    </xf>
    <xf numFmtId="9" fontId="1" fillId="0" borderId="12" xfId="1" applyFont="1" applyBorder="1"/>
    <xf numFmtId="0" fontId="1" fillId="0" borderId="12" xfId="0" applyFont="1" applyBorder="1"/>
    <xf numFmtId="0" fontId="1" fillId="0" borderId="3" xfId="0" applyFont="1" applyBorder="1"/>
    <xf numFmtId="187" fontId="0" fillId="0" borderId="0" xfId="0" applyNumberFormat="1"/>
    <xf numFmtId="189" fontId="4" fillId="0" borderId="0" xfId="0" applyNumberFormat="1" applyFont="1"/>
    <xf numFmtId="1" fontId="0" fillId="0" borderId="0" xfId="0" applyNumberFormat="1"/>
    <xf numFmtId="0" fontId="1" fillId="0" borderId="13" xfId="0" applyFont="1" applyBorder="1" applyAlignment="1">
      <alignment horizontal="center"/>
    </xf>
    <xf numFmtId="187" fontId="1" fillId="0" borderId="13" xfId="1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91" fontId="0" fillId="4" borderId="13" xfId="0" applyNumberFormat="1" applyFill="1" applyBorder="1" applyAlignment="1">
      <alignment horizontal="center"/>
    </xf>
    <xf numFmtId="0" fontId="5" fillId="3" borderId="15" xfId="0" applyFont="1" applyFill="1" applyBorder="1" applyAlignment="1">
      <alignment horizontal="left"/>
    </xf>
    <xf numFmtId="0" fontId="6" fillId="5" borderId="0" xfId="0" applyFont="1" applyFill="1" applyBorder="1" applyAlignment="1">
      <alignment horizontal="left"/>
    </xf>
    <xf numFmtId="0" fontId="4" fillId="0" borderId="16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189" fontId="0" fillId="0" borderId="16" xfId="0" applyNumberFormat="1" applyBorder="1" applyAlignment="1">
      <alignment horizontal="center"/>
    </xf>
    <xf numFmtId="189" fontId="0" fillId="0" borderId="13" xfId="0" applyNumberFormat="1" applyBorder="1" applyAlignment="1">
      <alignment horizontal="center"/>
    </xf>
    <xf numFmtId="0" fontId="8" fillId="0" borderId="12" xfId="0" applyFont="1" applyBorder="1"/>
    <xf numFmtId="0" fontId="8" fillId="0" borderId="3" xfId="0" applyFont="1" applyBorder="1"/>
    <xf numFmtId="0" fontId="8" fillId="0" borderId="8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25400</xdr:colOff>
          <xdr:row>9</xdr:row>
          <xdr:rowOff>38100</xdr:rowOff>
        </xdr:from>
        <xdr:to>
          <xdr:col>1</xdr:col>
          <xdr:colOff>25400</xdr:colOff>
          <xdr:row>11</xdr:row>
          <xdr:rowOff>63500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52D7F759-922E-4E98-A2DE-16C270DD21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Calculation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25400</xdr:colOff>
          <xdr:row>9</xdr:row>
          <xdr:rowOff>38100</xdr:rowOff>
        </xdr:from>
        <xdr:to>
          <xdr:col>3</xdr:col>
          <xdr:colOff>25400</xdr:colOff>
          <xdr:row>11</xdr:row>
          <xdr:rowOff>63500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8C758894-FFB3-4528-822C-D6DF7A36B9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Clear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3"/>
  <sheetViews>
    <sheetView showGridLines="0" tabSelected="1" workbookViewId="0"/>
  </sheetViews>
  <sheetFormatPr defaultColWidth="11.453125" defaultRowHeight="12.5" x14ac:dyDescent="0.25"/>
  <sheetData>
    <row r="1" spans="1:7" ht="26" thickTop="1" thickBot="1" x14ac:dyDescent="0.55000000000000004">
      <c r="A1" s="16" t="s">
        <v>0</v>
      </c>
      <c r="B1" s="28"/>
      <c r="C1" s="29"/>
      <c r="D1" s="29"/>
    </row>
    <row r="2" spans="1:7" ht="13" thickTop="1" x14ac:dyDescent="0.25"/>
    <row r="4" spans="1:7" ht="13" thickBot="1" x14ac:dyDescent="0.3"/>
    <row r="5" spans="1:7" ht="14" thickTop="1" thickBot="1" x14ac:dyDescent="0.35">
      <c r="A5" s="8" t="s">
        <v>1</v>
      </c>
      <c r="B5" s="9"/>
      <c r="C5" s="4" t="s">
        <v>2</v>
      </c>
      <c r="D5" s="12"/>
      <c r="E5" s="4"/>
      <c r="F5" s="4"/>
      <c r="G5" s="5"/>
    </row>
    <row r="6" spans="1:7" ht="13.5" thickTop="1" thickBot="1" x14ac:dyDescent="0.3"/>
    <row r="7" spans="1:7" ht="14" thickTop="1" thickBot="1" x14ac:dyDescent="0.35">
      <c r="A7" s="2" t="s">
        <v>3</v>
      </c>
      <c r="B7" s="3"/>
      <c r="C7" s="11">
        <v>2938492</v>
      </c>
      <c r="G7" s="26">
        <f ca="1">TODAY()</f>
        <v>43857</v>
      </c>
    </row>
    <row r="8" spans="1:7" ht="14" thickTop="1" thickBot="1" x14ac:dyDescent="0.35">
      <c r="A8" s="2" t="s">
        <v>4</v>
      </c>
      <c r="B8" s="3"/>
      <c r="C8" s="11">
        <v>500</v>
      </c>
      <c r="E8" s="1"/>
      <c r="G8" s="27">
        <f ca="1">NOW()</f>
        <v>43857.48666840278</v>
      </c>
    </row>
    <row r="9" spans="1:7" ht="13" thickTop="1" x14ac:dyDescent="0.25"/>
    <row r="11" spans="1:7" x14ac:dyDescent="0.25">
      <c r="F11" s="21"/>
    </row>
    <row r="12" spans="1:7" x14ac:dyDescent="0.25">
      <c r="F12" s="21"/>
    </row>
    <row r="13" spans="1:7" ht="13" thickBot="1" x14ac:dyDescent="0.3">
      <c r="F13" s="21"/>
    </row>
    <row r="14" spans="1:7" ht="14" thickTop="1" thickBot="1" x14ac:dyDescent="0.35">
      <c r="A14" s="6" t="s">
        <v>5</v>
      </c>
      <c r="B14" s="7" t="s">
        <v>6</v>
      </c>
      <c r="D14" s="18" t="s">
        <v>7</v>
      </c>
      <c r="E14" s="10"/>
      <c r="F14" s="13">
        <f xml:space="preserve"> AVERAGE(B16:B32)</f>
        <v>172.9585212721328</v>
      </c>
    </row>
    <row r="15" spans="1:7" ht="14" thickTop="1" thickBot="1" x14ac:dyDescent="0.35">
      <c r="A15" s="24" t="s">
        <v>8</v>
      </c>
      <c r="B15" s="25" t="s">
        <v>9</v>
      </c>
      <c r="D15" s="18" t="s">
        <v>10</v>
      </c>
      <c r="E15" s="9"/>
      <c r="F15" s="13">
        <f xml:space="preserve"> STDEV(B16:B32)</f>
        <v>43.010236940064829</v>
      </c>
      <c r="G15" s="22"/>
    </row>
    <row r="16" spans="1:7" ht="14" thickTop="1" thickBot="1" x14ac:dyDescent="0.35">
      <c r="A16" s="30">
        <v>22</v>
      </c>
      <c r="B16" s="32">
        <f t="shared" ref="B16:B32" si="0">$C$7/A16/$C$8</f>
        <v>267.13563636363637</v>
      </c>
      <c r="D16" s="19" t="s">
        <v>11</v>
      </c>
      <c r="E16" s="9"/>
      <c r="F16" s="13">
        <v>12.0624465942382</v>
      </c>
      <c r="G16" s="23"/>
    </row>
    <row r="17" spans="1:7" ht="13.5" thickTop="1" thickBot="1" x14ac:dyDescent="0.3">
      <c r="A17" s="30">
        <v>23</v>
      </c>
      <c r="B17" s="32">
        <f t="shared" si="0"/>
        <v>255.52104347826088</v>
      </c>
      <c r="G17" s="23"/>
    </row>
    <row r="18" spans="1:7" ht="14" thickTop="1" thickBot="1" x14ac:dyDescent="0.35">
      <c r="A18" s="30">
        <v>28</v>
      </c>
      <c r="B18" s="32">
        <f t="shared" si="0"/>
        <v>209.89228571428572</v>
      </c>
      <c r="D18" s="19" t="s">
        <v>12</v>
      </c>
      <c r="E18" s="19"/>
      <c r="F18" s="15"/>
      <c r="G18" s="17">
        <v>5</v>
      </c>
    </row>
    <row r="19" spans="1:7" ht="13.5" thickTop="1" thickBot="1" x14ac:dyDescent="0.3">
      <c r="A19" s="30">
        <v>29</v>
      </c>
      <c r="B19" s="32">
        <f t="shared" si="0"/>
        <v>202.65462068965516</v>
      </c>
      <c r="D19" s="34" t="s">
        <v>13</v>
      </c>
      <c r="E19" s="35"/>
      <c r="F19" s="36"/>
      <c r="G19" s="14">
        <f>(200*F15/(G18 * F14))^2</f>
        <v>98.941781456439685</v>
      </c>
    </row>
    <row r="20" spans="1:7" ht="14" thickTop="1" thickBot="1" x14ac:dyDescent="0.35">
      <c r="A20" s="30">
        <v>32</v>
      </c>
      <c r="B20" s="32">
        <f t="shared" si="0"/>
        <v>183.65575000000001</v>
      </c>
      <c r="D20" s="19" t="s">
        <v>14</v>
      </c>
      <c r="E20" s="20"/>
      <c r="F20" s="20"/>
      <c r="G20" s="14">
        <v>17</v>
      </c>
    </row>
    <row r="21" spans="1:7" ht="13" thickTop="1" x14ac:dyDescent="0.25">
      <c r="A21" s="30">
        <v>33</v>
      </c>
      <c r="B21" s="32">
        <f t="shared" si="0"/>
        <v>178.09042424242426</v>
      </c>
    </row>
    <row r="22" spans="1:7" x14ac:dyDescent="0.25">
      <c r="A22" s="30">
        <v>33</v>
      </c>
      <c r="B22" s="32">
        <f t="shared" si="0"/>
        <v>178.09042424242426</v>
      </c>
    </row>
    <row r="23" spans="1:7" x14ac:dyDescent="0.25">
      <c r="A23" s="30">
        <v>34</v>
      </c>
      <c r="B23" s="32">
        <f t="shared" si="0"/>
        <v>172.85247058823529</v>
      </c>
    </row>
    <row r="24" spans="1:7" x14ac:dyDescent="0.25">
      <c r="A24" s="30">
        <v>34</v>
      </c>
      <c r="B24" s="32">
        <f t="shared" si="0"/>
        <v>172.85247058823529</v>
      </c>
    </row>
    <row r="25" spans="1:7" x14ac:dyDescent="0.25">
      <c r="A25" s="30">
        <v>34</v>
      </c>
      <c r="B25" s="32">
        <f t="shared" si="0"/>
        <v>172.85247058823529</v>
      </c>
    </row>
    <row r="26" spans="1:7" x14ac:dyDescent="0.25">
      <c r="A26" s="30">
        <v>37</v>
      </c>
      <c r="B26" s="32">
        <f t="shared" si="0"/>
        <v>158.83740540540541</v>
      </c>
    </row>
    <row r="27" spans="1:7" x14ac:dyDescent="0.25">
      <c r="A27" s="30">
        <v>39</v>
      </c>
      <c r="B27" s="32">
        <f t="shared" si="0"/>
        <v>150.69189743589743</v>
      </c>
    </row>
    <row r="28" spans="1:7" x14ac:dyDescent="0.25">
      <c r="A28" s="30">
        <v>44</v>
      </c>
      <c r="B28" s="32">
        <f t="shared" si="0"/>
        <v>133.56781818181818</v>
      </c>
    </row>
    <row r="29" spans="1:7" x14ac:dyDescent="0.25">
      <c r="A29" s="30">
        <v>44</v>
      </c>
      <c r="B29" s="32">
        <f t="shared" si="0"/>
        <v>133.56781818181818</v>
      </c>
    </row>
    <row r="30" spans="1:7" x14ac:dyDescent="0.25">
      <c r="A30" s="30">
        <v>45</v>
      </c>
      <c r="B30" s="32">
        <f t="shared" si="0"/>
        <v>130.59964444444444</v>
      </c>
    </row>
    <row r="31" spans="1:7" x14ac:dyDescent="0.25">
      <c r="A31" s="30">
        <v>45</v>
      </c>
      <c r="B31" s="32">
        <f t="shared" si="0"/>
        <v>130.59964444444444</v>
      </c>
    </row>
    <row r="32" spans="1:7" ht="13" thickBot="1" x14ac:dyDescent="0.3">
      <c r="A32" s="31">
        <v>54</v>
      </c>
      <c r="B32" s="33">
        <f t="shared" si="0"/>
        <v>108.83303703703703</v>
      </c>
    </row>
    <row r="33" ht="13" thickTop="1" x14ac:dyDescent="0.25"/>
  </sheetData>
  <scenarios current="2" show="2">
    <scenario name="Best Precision" locked="1" count="1" user="Antonio Augusto Gorni" comment="This precision of Grain Size is the best, but the_x000a_number of fields to be counted may be excessive due_x000a_to the statistical variation of the microstructure._x000a__x000a_Alterado por Antonio Augusto Gorni em 23/01/97">
      <inputCells r="G18" val="1" numFmtId="1"/>
    </scenario>
    <scenario name="Optimum Case" locked="1" count="1" user="Antonio Augusto Gorni" comment="In this case precision is not so high, but it is generally_x000a_adequate. The number of fields to be counted lowers_x000a_significantly._x000a_">
      <inputCells r="G18" val="5" numFmtId="1"/>
    </scenario>
    <scenario name="Non-recommended case" locked="1" count="1" user="Antonio Augusto Gorni" comment="Precision is not high, and this can affect conclusions_x000a_to be drawn from these data. However, the number of_x000a_fields to be counted is low._x000a_">
      <inputCells r="G18" val="10" numFmtId="1"/>
    </scenario>
  </scenarios>
  <pageMargins left="0.75" right="0.75" top="1" bottom="1" header="0.49212598499999999" footer="0.49212598499999999"/>
  <pageSetup paperSize="9" orientation="portrait" horizontalDpi="300" verticalDpi="300" r:id="rId1"/>
  <headerFooter alignWithMargins="0">
    <oddHeader>&amp;A</oddHeader>
    <oddFooter>Página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Button 5">
              <controlPr defaultSize="0" print="0" autoFill="0" autoLine="0" autoPict="0" macro="[0]!gS.gS">
                <anchor moveWithCells="1" sizeWithCells="1">
                  <from>
                    <xdr:col>0</xdr:col>
                    <xdr:colOff>25400</xdr:colOff>
                    <xdr:row>9</xdr:row>
                    <xdr:rowOff>38100</xdr:rowOff>
                  </from>
                  <to>
                    <xdr:col>1</xdr:col>
                    <xdr:colOff>25400</xdr:colOff>
                    <xdr:row>11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Button 6">
              <controlPr defaultSize="0" print="0" autoFill="0" autoLine="0" autoPict="0" macro="[0]!_xludf.clear">
                <anchor moveWithCells="1" sizeWithCells="1">
                  <from>
                    <xdr:col>2</xdr:col>
                    <xdr:colOff>25400</xdr:colOff>
                    <xdr:row>9</xdr:row>
                    <xdr:rowOff>38100</xdr:rowOff>
                  </from>
                  <to>
                    <xdr:col>3</xdr:col>
                    <xdr:colOff>25400</xdr:colOff>
                    <xdr:row>11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Grain Size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Volumetric Fraction</dc:title>
  <dc:subject/>
  <dc:creator/>
  <cp:keywords/>
  <dc:description/>
  <cp:lastModifiedBy>Carina Negreanu</cp:lastModifiedBy>
  <dcterms:created xsi:type="dcterms:W3CDTF">1997-01-21T02:37:27Z</dcterms:created>
  <dcterms:modified xsi:type="dcterms:W3CDTF">2020-01-27T11:40:50Z</dcterms:modified>
</cp:coreProperties>
</file>