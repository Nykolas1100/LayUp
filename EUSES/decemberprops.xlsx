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E3C692-3A1E-4094-9531-774DFDFCBCFF}" xr6:coauthVersionLast="45" xr6:coauthVersionMax="45" xr10:uidLastSave="{00000000-0000-0000-0000-000000000000}"/>
  <bookViews>
    <workbookView xWindow="3420" yWindow="3420" windowWidth="28800" windowHeight="15460"/>
  </bookViews>
  <sheets>
    <sheet name="Dec 02 Props" sheetId="2" r:id="rId1"/>
    <sheet name="December_02_Props" sheetId="1" r:id="rId2"/>
  </sheets>
  <definedNames>
    <definedName name="December_02_Props">December_02_Props!$A$1:$J$25</definedName>
    <definedName name="_xlnm.Print_Area" localSheetId="0">'Dec 02 Props'!$A$1:$J$26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5" i="2" l="1"/>
</calcChain>
</file>

<file path=xl/sharedStrings.xml><?xml version="1.0" encoding="utf-8"?>
<sst xmlns="http://schemas.openxmlformats.org/spreadsheetml/2006/main" count="320" uniqueCount="156">
  <si>
    <t>PI1</t>
  </si>
  <si>
    <t>PI2</t>
  </si>
  <si>
    <t>School/College</t>
  </si>
  <si>
    <t>Center/Institute</t>
  </si>
  <si>
    <t>Department</t>
  </si>
  <si>
    <t>Title</t>
  </si>
  <si>
    <t>Agency</t>
  </si>
  <si>
    <t>Grant</t>
  </si>
  <si>
    <t>Review</t>
  </si>
  <si>
    <t>Rqd Amt</t>
  </si>
  <si>
    <t>DeLapp</t>
  </si>
  <si>
    <t>College of Health &amp; Soc Welfare</t>
  </si>
  <si>
    <t>School of Nursing</t>
  </si>
  <si>
    <t>Recruitment &amp; Retention of AK Natives in Nursing (Project RRANN)</t>
  </si>
  <si>
    <t>US DHHS, HRSA</t>
  </si>
  <si>
    <t>AA0300145</t>
  </si>
  <si>
    <t>Olsson</t>
  </si>
  <si>
    <t>Community &amp; Tech College</t>
  </si>
  <si>
    <t>AK Experimental Forecast Facility</t>
  </si>
  <si>
    <t>Aviation Tech Div</t>
  </si>
  <si>
    <t>High Resolution Numerical Modeling of Near-Surface Weather Conditions over Alaska's Cool Inlet &amp; Shelikof Strait</t>
  </si>
  <si>
    <t>UAF</t>
  </si>
  <si>
    <t>AA0300146</t>
  </si>
  <si>
    <t>Gehler</t>
  </si>
  <si>
    <t>Dean's Office</t>
  </si>
  <si>
    <t>EDA University Center Preapplication</t>
  </si>
  <si>
    <t>US DOC Econ Dev Adm</t>
  </si>
  <si>
    <t>AA0300147</t>
  </si>
  <si>
    <t>Kirk</t>
  </si>
  <si>
    <t>Aviation Division</t>
  </si>
  <si>
    <t>Chelton Certification Contract</t>
  </si>
  <si>
    <t>Chelton Flight Systems, Inc.</t>
  </si>
  <si>
    <t>AA0300148</t>
  </si>
  <si>
    <t>Fredericks</t>
  </si>
  <si>
    <t>College of Bus &amp; Public Policy</t>
  </si>
  <si>
    <t>AK Small Bus Dev Ctr</t>
  </si>
  <si>
    <t>Kenai Small Business Development Center</t>
  </si>
  <si>
    <t>Kenai Peninsula Borough</t>
  </si>
  <si>
    <t>AA0300149</t>
  </si>
  <si>
    <t>Carlson</t>
  </si>
  <si>
    <t>College of Arts &amp; Sciences</t>
  </si>
  <si>
    <t>Env &amp; Natural Resources Inst</t>
  </si>
  <si>
    <t>AK Natural Heritage Prog</t>
  </si>
  <si>
    <t>Effects of Grazing on Population Viability of the Rare Chukchi Primrose, Primula Tschuktschorum</t>
  </si>
  <si>
    <t>National Fish &amp; Wildlife Foundation</t>
  </si>
  <si>
    <t>AA0300150</t>
  </si>
  <si>
    <t>Brems</t>
  </si>
  <si>
    <t>Johnson</t>
  </si>
  <si>
    <t>ACSES</t>
  </si>
  <si>
    <t>Psychology</t>
  </si>
  <si>
    <t>Evaluation of the Special Project of National Significance (SPNS)</t>
  </si>
  <si>
    <t>AK Native Tribal Health Consortium</t>
  </si>
  <si>
    <t>AA0300151</t>
  </si>
  <si>
    <t>Evaluation of the Pathways to Sobriety Project</t>
  </si>
  <si>
    <t>Anchorage Safe City Prog</t>
  </si>
  <si>
    <t>AA0300152</t>
  </si>
  <si>
    <t>Evaluation of Community Mental Health/API 2000 Completion</t>
  </si>
  <si>
    <t>AK Div of Mental Health &amp; Dev Dis</t>
  </si>
  <si>
    <t>AA0300153</t>
  </si>
  <si>
    <t>Washek</t>
  </si>
  <si>
    <t>Student Affairs</t>
  </si>
  <si>
    <t>Career Svs Ctr</t>
  </si>
  <si>
    <t>Irina Morozova, Student Intern</t>
  </si>
  <si>
    <t>Accenture</t>
  </si>
  <si>
    <t>AA0300154</t>
  </si>
  <si>
    <t>Jeanice O'Garro, Student Intern</t>
  </si>
  <si>
    <t>AA0300155</t>
  </si>
  <si>
    <t>Maselko</t>
  </si>
  <si>
    <t>Chemistry</t>
  </si>
  <si>
    <t>Pattern Formation in Multi-Process Chemical Systems</t>
  </si>
  <si>
    <t>American Chemical Society</t>
  </si>
  <si>
    <t>AA0300156</t>
  </si>
  <si>
    <t>Jones</t>
  </si>
  <si>
    <t>Biology</t>
  </si>
  <si>
    <t>Role of Caveolin-1 in Aryl Hydrocarbon Receptor (AhR) Function</t>
  </si>
  <si>
    <t>AK BRIN, UAF</t>
  </si>
  <si>
    <t>AA0300157</t>
  </si>
  <si>
    <t>Nursing</t>
  </si>
  <si>
    <t>Baccalaureate Enrollment Expansion: Meeting Alaska's Need for Nurses</t>
  </si>
  <si>
    <t>US DHHS, HRSA, BHP</t>
  </si>
  <si>
    <t>AA0300158</t>
  </si>
  <si>
    <t>Boggs</t>
  </si>
  <si>
    <t>Support for the National Park Service Inventory &amp; Monitoring Program Activities in the AK Region</t>
  </si>
  <si>
    <t>National Park Service</t>
  </si>
  <si>
    <t>AA0300159</t>
  </si>
  <si>
    <t>Rural Outreach Business Assistance</t>
  </si>
  <si>
    <t>US Dept of Agriculture</t>
  </si>
  <si>
    <t>AA0300160</t>
  </si>
  <si>
    <t>Segal</t>
  </si>
  <si>
    <t>Inst for Circumpolar Health Studies</t>
  </si>
  <si>
    <t>CAAS</t>
  </si>
  <si>
    <t>Life Givers FY03</t>
  </si>
  <si>
    <t>Fairbanks Native Association</t>
  </si>
  <si>
    <t>AA0300161</t>
  </si>
  <si>
    <t>Alessa</t>
  </si>
  <si>
    <t>Occurrence of Chlorinated Fatty Acids in Alaskan Stellar Sea Lions: Implications for Metabolism</t>
  </si>
  <si>
    <t>North Pacific Research Board</t>
  </si>
  <si>
    <t>AA0300162</t>
  </si>
  <si>
    <t>Stigma &amp; Rurality: Drug Abuse, HIV/STD &amp; Mental Illness; Health Disparities Adm Supplement</t>
  </si>
  <si>
    <t>U of NM Health Sciences Ctr</t>
  </si>
  <si>
    <t>AA0300163</t>
  </si>
  <si>
    <t>Washington</t>
  </si>
  <si>
    <t>Academic Affairs</t>
  </si>
  <si>
    <t>AHAINA</t>
  </si>
  <si>
    <t>Pre-College Programs</t>
  </si>
  <si>
    <t>Upward Bound</t>
  </si>
  <si>
    <t>US Dept of Education</t>
  </si>
  <si>
    <t>AA0300164</t>
  </si>
  <si>
    <t>Trainor</t>
  </si>
  <si>
    <t>Provost, ACE</t>
  </si>
  <si>
    <t>Ed Opportunity Ctr</t>
  </si>
  <si>
    <t>Veterans Upward Bound</t>
  </si>
  <si>
    <t>AA0300165</t>
  </si>
  <si>
    <t>Krebs</t>
  </si>
  <si>
    <t>Role of Histone Modifications in Double Strand Break Repair</t>
  </si>
  <si>
    <t>National Science Foundation</t>
  </si>
  <si>
    <t>AA0300166</t>
  </si>
  <si>
    <t>Kennish</t>
  </si>
  <si>
    <t>ASET Lab</t>
  </si>
  <si>
    <t>Assessment of Biological Transport of Methylmercury and Other Contaminants by Salmon</t>
  </si>
  <si>
    <t>N Pacific Research Board</t>
  </si>
  <si>
    <t>AA0300167</t>
  </si>
  <si>
    <t>Methylmercury, PCB, DDT and Selected Other Pesticides in Copper and Kenai Rivers</t>
  </si>
  <si>
    <t>AA0300168</t>
  </si>
  <si>
    <t>Brems/Johnson</t>
  </si>
  <si>
    <t xml:space="preserve">P I </t>
  </si>
  <si>
    <t>Location</t>
  </si>
  <si>
    <t>Amount</t>
  </si>
  <si>
    <t>CAS, Biology</t>
  </si>
  <si>
    <t>CAS, ENRI, ANHP</t>
  </si>
  <si>
    <t>CAS, ACSES, Psych</t>
  </si>
  <si>
    <t>, ENRI, ANHP</t>
  </si>
  <si>
    <t>CHSW, Nursing</t>
  </si>
  <si>
    <t>CBPP, SBDC</t>
  </si>
  <si>
    <t>CTC, Dean</t>
  </si>
  <si>
    <t>CTC, Aviation</t>
  </si>
  <si>
    <t>CAS, Chemistry</t>
  </si>
  <si>
    <t>CTC, EFF, Aviation</t>
  </si>
  <si>
    <t>CHSW, ICHS</t>
  </si>
  <si>
    <t>Provost, ACE, EOC</t>
  </si>
  <si>
    <t>SA, Career Svs Ctr</t>
  </si>
  <si>
    <t>Occurrence of Chlorinated Fatty Acids in AK Stellar Sea Lions:…</t>
  </si>
  <si>
    <t>Support for the Na'l Park Service Inventory &amp; Monitoring Prog…</t>
  </si>
  <si>
    <t>Stigma &amp; Rurality: Drug Abuse, HIV/STD &amp; Mental Illness;…</t>
  </si>
  <si>
    <t>Effects of Grazing on Population Viability of the Rare Chukchi …</t>
  </si>
  <si>
    <t>Baccalaureate Enrollment Expansion: Mtg AK's Need for Nurses</t>
  </si>
  <si>
    <t>High Resolution Numerical Modeling of Near-Surface Weather …</t>
  </si>
  <si>
    <t>Irina Morozova, Student Internship</t>
  </si>
  <si>
    <t>Jeanice O'Garro, Student Internship</t>
  </si>
  <si>
    <t>AK Native Tribal Health Cons</t>
  </si>
  <si>
    <t>AK Div of Mental Health &amp; DD</t>
  </si>
  <si>
    <t xml:space="preserve">National Fish &amp; Wildlife Found </t>
  </si>
  <si>
    <t>contract</t>
  </si>
  <si>
    <t>Total of 21 Proposals</t>
  </si>
  <si>
    <t xml:space="preserve">OAA, AHAINA, Pre-Coll </t>
  </si>
  <si>
    <t>University of AK Fairbanks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</si>
</sst>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6" x14ac:knownFonts="1">
    <font>
      <sz val="10"/>
      <name val="MS Sans Serif"/>
    </font>
    <font>
      <sz val="10"/>
      <name val="MS Sans Serif"/>
    </font>
    <font>
      <sz val="8"/>
      <name val="MS Sans Serif"/>
    </font>
    <font>
      <b/>
      <sz val="12"/>
      <color indexed="58"/>
      <name val="MS Sans Serif"/>
      <family val="2"/>
    </font>
    <font>
      <sz val="10"/>
      <color indexed="58"/>
      <name val="MS Sans Serif"/>
      <family val="2"/>
    </font>
    <font>
      <b/>
      <sz val="10"/>
      <color indexed="58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166" fontId="0" fillId="0" borderId="0" xfId="0" applyNumberFormat="1"/>
    <xf numFmtId="0" fontId="3" fillId="2" borderId="0" xfId="0" applyFont="1" applyFill="1"/>
    <xf numFmtId="0" fontId="4" fillId="0" borderId="1" xfId="0" quotePrefix="1" applyNumberFormat="1" applyFont="1" applyBorder="1"/>
    <xf numFmtId="0" fontId="4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168" fontId="4" fillId="0" borderId="1" xfId="1" applyNumberFormat="1" applyFont="1" applyBorder="1"/>
    <xf numFmtId="0" fontId="4" fillId="0" borderId="1" xfId="0" applyNumberFormat="1" applyFont="1" applyBorder="1"/>
    <xf numFmtId="168" fontId="4" fillId="0" borderId="0" xfId="1" applyNumberFormat="1" applyFont="1"/>
    <xf numFmtId="168" fontId="4" fillId="0" borderId="2" xfId="1" applyNumberFormat="1" applyFont="1" applyBorder="1"/>
    <xf numFmtId="168" fontId="4" fillId="0" borderId="3" xfId="1" applyNumberFormat="1" applyFont="1" applyBorder="1"/>
    <xf numFmtId="0" fontId="3" fillId="2" borderId="4" xfId="0" quotePrefix="1" applyNumberFormat="1" applyFont="1" applyFill="1" applyBorder="1"/>
    <xf numFmtId="0" fontId="4" fillId="0" borderId="2" xfId="0" quotePrefix="1" applyNumberFormat="1" applyFont="1" applyBorder="1"/>
    <xf numFmtId="0" fontId="3" fillId="2" borderId="5" xfId="0" applyNumberFormat="1" applyFont="1" applyFill="1" applyBorder="1"/>
    <xf numFmtId="0" fontId="3" fillId="2" borderId="6" xfId="0" quotePrefix="1" applyNumberFormat="1" applyFont="1" applyFill="1" applyBorder="1"/>
    <xf numFmtId="0" fontId="3" fillId="2" borderId="7" xfId="0" quotePrefix="1" applyNumberFormat="1" applyFont="1" applyFill="1" applyBorder="1"/>
    <xf numFmtId="0" fontId="3" fillId="2" borderId="5" xfId="0" quotePrefix="1" applyNumberFormat="1" applyFont="1" applyFill="1" applyBorder="1"/>
    <xf numFmtId="168" fontId="4" fillId="0" borderId="2" xfId="1" quotePrefix="1" applyNumberFormat="1" applyFont="1" applyBorder="1"/>
    <xf numFmtId="168" fontId="3" fillId="2" borderId="5" xfId="1" applyNumberFormat="1" applyFont="1" applyFill="1" applyBorder="1" applyAlignment="1">
      <alignment horizontal="right"/>
    </xf>
    <xf numFmtId="168" fontId="4" fillId="0" borderId="1" xfId="1" applyNumberFormat="1" applyFont="1" applyBorder="1" applyAlignment="1">
      <alignment horizontal="right"/>
    </xf>
    <xf numFmtId="0" fontId="5" fillId="0" borderId="1" xfId="0" applyFont="1" applyBorder="1"/>
    <xf numFmtId="168" fontId="5" fillId="0" borderId="8" xfId="1" applyNumberFormat="1" applyFont="1" applyBorder="1"/>
    <xf numFmtId="0" fontId="4" fillId="3" borderId="1" xfId="0" quotePrefix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G23" sqref="G23"/>
    </sheetView>
  </sheetViews>
  <sheetFormatPr defaultColWidth="9.1796875" defaultRowHeight="13" x14ac:dyDescent="0.3"/>
  <cols>
    <col min="1" max="1" width="14.26953125" style="6" customWidth="1"/>
    <col min="2" max="2" width="8.26953125" style="6" hidden="1" customWidth="1"/>
    <col min="3" max="3" width="21.54296875" style="6" customWidth="1"/>
    <col min="4" max="4" width="30.7265625" style="6" hidden="1" customWidth="1"/>
    <col min="5" max="5" width="22.81640625" style="6" hidden="1" customWidth="1"/>
    <col min="6" max="6" width="57.453125" style="6" customWidth="1"/>
    <col min="7" max="7" width="26.26953125" style="6" customWidth="1"/>
    <col min="8" max="8" width="14.7265625" style="6" hidden="1" customWidth="1"/>
    <col min="9" max="9" width="13.81640625" style="6" hidden="1" customWidth="1"/>
    <col min="10" max="10" width="14.54296875" style="11" customWidth="1"/>
    <col min="11" max="16384" width="9.1796875" style="6"/>
  </cols>
  <sheetData>
    <row r="1" spans="1:10" s="4" customFormat="1" ht="18" customHeight="1" x14ac:dyDescent="0.35">
      <c r="A1" s="16" t="s">
        <v>125</v>
      </c>
      <c r="B1" s="17" t="s">
        <v>1</v>
      </c>
      <c r="C1" s="16" t="s">
        <v>126</v>
      </c>
      <c r="D1" s="14" t="s">
        <v>3</v>
      </c>
      <c r="E1" s="18" t="s">
        <v>4</v>
      </c>
      <c r="F1" s="19" t="s">
        <v>5</v>
      </c>
      <c r="G1" s="19" t="s">
        <v>6</v>
      </c>
      <c r="H1" s="14" t="s">
        <v>7</v>
      </c>
      <c r="I1" s="18" t="s">
        <v>8</v>
      </c>
      <c r="J1" s="21" t="s">
        <v>127</v>
      </c>
    </row>
    <row r="2" spans="1:10" ht="18" customHeight="1" x14ac:dyDescent="0.3">
      <c r="A2" s="15"/>
      <c r="B2" s="5"/>
      <c r="C2" s="15"/>
      <c r="D2" s="5"/>
      <c r="E2" s="5"/>
      <c r="F2" s="15"/>
      <c r="G2" s="15"/>
      <c r="H2" s="5"/>
      <c r="I2" s="5"/>
      <c r="J2" s="20"/>
    </row>
    <row r="3" spans="1:10" ht="18" customHeight="1" x14ac:dyDescent="0.3">
      <c r="A3" s="5" t="s">
        <v>94</v>
      </c>
      <c r="B3" s="7"/>
      <c r="C3" s="5" t="s">
        <v>128</v>
      </c>
      <c r="D3" s="5" t="s">
        <v>73</v>
      </c>
      <c r="E3" s="7"/>
      <c r="F3" s="5" t="s">
        <v>141</v>
      </c>
      <c r="G3" s="5" t="s">
        <v>96</v>
      </c>
      <c r="H3" s="5" t="s">
        <v>97</v>
      </c>
      <c r="I3" s="8">
        <v>37607</v>
      </c>
      <c r="J3" s="9">
        <v>264463</v>
      </c>
    </row>
    <row r="4" spans="1:10" ht="18" customHeight="1" x14ac:dyDescent="0.3">
      <c r="A4" s="5" t="s">
        <v>81</v>
      </c>
      <c r="B4" s="7"/>
      <c r="C4" s="5" t="s">
        <v>129</v>
      </c>
      <c r="D4" s="5" t="s">
        <v>41</v>
      </c>
      <c r="E4" s="5" t="s">
        <v>42</v>
      </c>
      <c r="F4" s="5" t="s">
        <v>142</v>
      </c>
      <c r="G4" s="25" t="s">
        <v>83</v>
      </c>
      <c r="H4" s="5" t="s">
        <v>84</v>
      </c>
      <c r="I4" s="8">
        <v>37603</v>
      </c>
      <c r="J4" s="9">
        <v>8000</v>
      </c>
    </row>
    <row r="5" spans="1:10" ht="18" customHeight="1" x14ac:dyDescent="0.3">
      <c r="A5" s="5" t="s">
        <v>124</v>
      </c>
      <c r="B5" s="5" t="s">
        <v>47</v>
      </c>
      <c r="C5" s="5" t="s">
        <v>130</v>
      </c>
      <c r="D5" s="5" t="s">
        <v>48</v>
      </c>
      <c r="E5" s="5" t="s">
        <v>49</v>
      </c>
      <c r="F5" s="5" t="s">
        <v>50</v>
      </c>
      <c r="G5" s="5" t="s">
        <v>149</v>
      </c>
      <c r="H5" s="5" t="s">
        <v>52</v>
      </c>
      <c r="I5" s="8">
        <v>37601</v>
      </c>
      <c r="J5" s="9">
        <v>170201</v>
      </c>
    </row>
    <row r="6" spans="1:10" ht="18" customHeight="1" x14ac:dyDescent="0.3">
      <c r="A6" s="5" t="s">
        <v>124</v>
      </c>
      <c r="B6" s="5" t="s">
        <v>47</v>
      </c>
      <c r="C6" s="5" t="s">
        <v>130</v>
      </c>
      <c r="D6" s="5" t="s">
        <v>48</v>
      </c>
      <c r="E6" s="5" t="s">
        <v>49</v>
      </c>
      <c r="F6" s="5" t="s">
        <v>53</v>
      </c>
      <c r="G6" s="5" t="s">
        <v>54</v>
      </c>
      <c r="H6" s="5" t="s">
        <v>55</v>
      </c>
      <c r="I6" s="8">
        <v>37601</v>
      </c>
      <c r="J6" s="9">
        <v>75241</v>
      </c>
    </row>
    <row r="7" spans="1:10" ht="18" customHeight="1" x14ac:dyDescent="0.3">
      <c r="A7" s="5" t="s">
        <v>124</v>
      </c>
      <c r="B7" s="5" t="s">
        <v>47</v>
      </c>
      <c r="C7" s="5" t="s">
        <v>130</v>
      </c>
      <c r="D7" s="5" t="s">
        <v>48</v>
      </c>
      <c r="E7" s="5" t="s">
        <v>49</v>
      </c>
      <c r="F7" s="5" t="s">
        <v>56</v>
      </c>
      <c r="G7" s="5" t="s">
        <v>150</v>
      </c>
      <c r="H7" s="5" t="s">
        <v>58</v>
      </c>
      <c r="I7" s="8">
        <v>37601</v>
      </c>
      <c r="J7" s="9">
        <v>75131</v>
      </c>
    </row>
    <row r="8" spans="1:10" ht="18" customHeight="1" x14ac:dyDescent="0.3">
      <c r="A8" s="5" t="s">
        <v>124</v>
      </c>
      <c r="B8" s="5" t="s">
        <v>47</v>
      </c>
      <c r="C8" s="5" t="s">
        <v>130</v>
      </c>
      <c r="D8" s="5" t="s">
        <v>48</v>
      </c>
      <c r="E8" s="5" t="s">
        <v>49</v>
      </c>
      <c r="F8" s="5" t="s">
        <v>143</v>
      </c>
      <c r="G8" s="5" t="s">
        <v>99</v>
      </c>
      <c r="H8" s="5" t="s">
        <v>100</v>
      </c>
      <c r="I8" s="8">
        <v>37610</v>
      </c>
      <c r="J8" s="9">
        <v>43250</v>
      </c>
    </row>
    <row r="9" spans="1:10" ht="18" customHeight="1" x14ac:dyDescent="0.3">
      <c r="A9" s="5" t="s">
        <v>39</v>
      </c>
      <c r="B9" s="7"/>
      <c r="C9" s="10" t="s">
        <v>131</v>
      </c>
      <c r="D9" s="5" t="s">
        <v>41</v>
      </c>
      <c r="E9" s="5" t="s">
        <v>42</v>
      </c>
      <c r="F9" s="5" t="s">
        <v>144</v>
      </c>
      <c r="G9" s="25" t="s">
        <v>151</v>
      </c>
      <c r="H9" s="5" t="s">
        <v>45</v>
      </c>
      <c r="I9" s="8">
        <v>37596</v>
      </c>
      <c r="J9" s="9">
        <v>28400</v>
      </c>
    </row>
    <row r="10" spans="1:10" ht="18" customHeight="1" x14ac:dyDescent="0.3">
      <c r="A10" s="5" t="s">
        <v>10</v>
      </c>
      <c r="B10" s="7"/>
      <c r="C10" s="10" t="s">
        <v>132</v>
      </c>
      <c r="D10" s="5" t="s">
        <v>12</v>
      </c>
      <c r="E10" s="7"/>
      <c r="F10" s="5" t="s">
        <v>13</v>
      </c>
      <c r="G10" s="25" t="s">
        <v>14</v>
      </c>
      <c r="H10" s="5" t="s">
        <v>15</v>
      </c>
      <c r="I10" s="8">
        <v>37594</v>
      </c>
      <c r="J10" s="9">
        <v>539274</v>
      </c>
    </row>
    <row r="11" spans="1:10" ht="18" customHeight="1" x14ac:dyDescent="0.3">
      <c r="A11" s="5" t="s">
        <v>10</v>
      </c>
      <c r="B11" s="7"/>
      <c r="C11" s="10" t="s">
        <v>132</v>
      </c>
      <c r="D11" s="5" t="s">
        <v>77</v>
      </c>
      <c r="E11" s="7"/>
      <c r="F11" s="5" t="s">
        <v>145</v>
      </c>
      <c r="G11" s="25" t="s">
        <v>79</v>
      </c>
      <c r="H11" s="5" t="s">
        <v>80</v>
      </c>
      <c r="I11" s="8">
        <v>37603</v>
      </c>
      <c r="J11" s="9">
        <v>782170</v>
      </c>
    </row>
    <row r="12" spans="1:10" ht="18" customHeight="1" x14ac:dyDescent="0.3">
      <c r="A12" s="5" t="s">
        <v>33</v>
      </c>
      <c r="B12" s="7"/>
      <c r="C12" s="5" t="s">
        <v>133</v>
      </c>
      <c r="D12" s="5" t="s">
        <v>35</v>
      </c>
      <c r="E12" s="7"/>
      <c r="F12" s="5" t="s">
        <v>36</v>
      </c>
      <c r="G12" s="5" t="s">
        <v>37</v>
      </c>
      <c r="H12" s="5" t="s">
        <v>38</v>
      </c>
      <c r="I12" s="8">
        <v>37596</v>
      </c>
      <c r="J12" s="9">
        <v>78944</v>
      </c>
    </row>
    <row r="13" spans="1:10" ht="18" customHeight="1" x14ac:dyDescent="0.3">
      <c r="A13" s="5" t="s">
        <v>33</v>
      </c>
      <c r="B13" s="7"/>
      <c r="C13" s="5" t="s">
        <v>133</v>
      </c>
      <c r="D13" s="5" t="s">
        <v>35</v>
      </c>
      <c r="E13" s="7"/>
      <c r="F13" s="5" t="s">
        <v>85</v>
      </c>
      <c r="G13" s="25" t="s">
        <v>86</v>
      </c>
      <c r="H13" s="5" t="s">
        <v>87</v>
      </c>
      <c r="I13" s="8">
        <v>37606</v>
      </c>
      <c r="J13" s="9">
        <v>50000</v>
      </c>
    </row>
    <row r="14" spans="1:10" ht="18" customHeight="1" x14ac:dyDescent="0.3">
      <c r="A14" s="5" t="s">
        <v>23</v>
      </c>
      <c r="B14" s="7"/>
      <c r="C14" s="5" t="s">
        <v>134</v>
      </c>
      <c r="D14" s="5" t="s">
        <v>24</v>
      </c>
      <c r="E14" s="7"/>
      <c r="F14" s="5" t="s">
        <v>25</v>
      </c>
      <c r="G14" s="25" t="s">
        <v>26</v>
      </c>
      <c r="H14" s="5" t="s">
        <v>27</v>
      </c>
      <c r="I14" s="8">
        <v>37595</v>
      </c>
      <c r="J14" s="9">
        <v>3050000</v>
      </c>
    </row>
    <row r="15" spans="1:10" ht="18" customHeight="1" x14ac:dyDescent="0.3">
      <c r="A15" s="5" t="s">
        <v>72</v>
      </c>
      <c r="B15" s="7"/>
      <c r="C15" s="5" t="s">
        <v>128</v>
      </c>
      <c r="D15" s="5" t="s">
        <v>73</v>
      </c>
      <c r="E15" s="7"/>
      <c r="F15" s="5" t="s">
        <v>74</v>
      </c>
      <c r="G15" s="5" t="s">
        <v>75</v>
      </c>
      <c r="H15" s="5" t="s">
        <v>76</v>
      </c>
      <c r="I15" s="8">
        <v>37603</v>
      </c>
      <c r="J15" s="9">
        <v>41679</v>
      </c>
    </row>
    <row r="16" spans="1:10" ht="18" customHeight="1" x14ac:dyDescent="0.3">
      <c r="A16" s="5" t="s">
        <v>28</v>
      </c>
      <c r="B16" s="7"/>
      <c r="C16" s="5" t="s">
        <v>135</v>
      </c>
      <c r="D16" s="5" t="s">
        <v>29</v>
      </c>
      <c r="E16" s="7"/>
      <c r="F16" s="5" t="s">
        <v>30</v>
      </c>
      <c r="G16" s="5" t="s">
        <v>31</v>
      </c>
      <c r="H16" s="5" t="s">
        <v>32</v>
      </c>
      <c r="I16" s="8">
        <v>37596</v>
      </c>
      <c r="J16" s="22" t="s">
        <v>152</v>
      </c>
    </row>
    <row r="17" spans="1:10" ht="18" customHeight="1" x14ac:dyDescent="0.3">
      <c r="A17" s="5" t="s">
        <v>67</v>
      </c>
      <c r="B17" s="7"/>
      <c r="C17" s="5" t="s">
        <v>136</v>
      </c>
      <c r="D17" s="5" t="s">
        <v>68</v>
      </c>
      <c r="E17" s="7"/>
      <c r="F17" s="5" t="s">
        <v>69</v>
      </c>
      <c r="G17" s="5" t="s">
        <v>70</v>
      </c>
      <c r="H17" s="5" t="s">
        <v>71</v>
      </c>
      <c r="I17" s="8">
        <v>37603</v>
      </c>
      <c r="J17" s="9">
        <v>50000</v>
      </c>
    </row>
    <row r="18" spans="1:10" ht="18" customHeight="1" x14ac:dyDescent="0.3">
      <c r="A18" s="5" t="s">
        <v>16</v>
      </c>
      <c r="B18" s="7"/>
      <c r="C18" s="5" t="s">
        <v>137</v>
      </c>
      <c r="D18" s="5" t="s">
        <v>18</v>
      </c>
      <c r="E18" s="5" t="s">
        <v>19</v>
      </c>
      <c r="F18" s="5" t="s">
        <v>146</v>
      </c>
      <c r="G18" s="10" t="s">
        <v>155</v>
      </c>
      <c r="H18" s="5" t="s">
        <v>22</v>
      </c>
      <c r="I18" s="8">
        <v>37595</v>
      </c>
      <c r="J18" s="9">
        <v>300000</v>
      </c>
    </row>
    <row r="19" spans="1:10" ht="18" customHeight="1" x14ac:dyDescent="0.3">
      <c r="A19" s="5" t="s">
        <v>88</v>
      </c>
      <c r="B19" s="7"/>
      <c r="C19" s="10" t="s">
        <v>138</v>
      </c>
      <c r="D19" s="5" t="s">
        <v>89</v>
      </c>
      <c r="E19" s="5" t="s">
        <v>90</v>
      </c>
      <c r="F19" s="5" t="s">
        <v>91</v>
      </c>
      <c r="G19" s="5" t="s">
        <v>92</v>
      </c>
      <c r="H19" s="5" t="s">
        <v>93</v>
      </c>
      <c r="I19" s="8">
        <v>37606</v>
      </c>
      <c r="J19" s="9">
        <v>40000</v>
      </c>
    </row>
    <row r="20" spans="1:10" ht="18" customHeight="1" x14ac:dyDescent="0.3">
      <c r="A20" s="5" t="s">
        <v>108</v>
      </c>
      <c r="B20" s="7"/>
      <c r="C20" s="5" t="s">
        <v>139</v>
      </c>
      <c r="D20" s="5" t="s">
        <v>110</v>
      </c>
      <c r="E20" s="7"/>
      <c r="F20" s="5" t="s">
        <v>111</v>
      </c>
      <c r="G20" s="25" t="s">
        <v>106</v>
      </c>
      <c r="H20" s="5" t="s">
        <v>112</v>
      </c>
      <c r="I20" s="8">
        <v>37613</v>
      </c>
      <c r="J20" s="9">
        <v>1728862</v>
      </c>
    </row>
    <row r="21" spans="1:10" ht="18" customHeight="1" x14ac:dyDescent="0.3">
      <c r="A21" s="5" t="s">
        <v>59</v>
      </c>
      <c r="B21" s="7"/>
      <c r="C21" s="10" t="s">
        <v>140</v>
      </c>
      <c r="D21" s="5" t="s">
        <v>61</v>
      </c>
      <c r="E21" s="7"/>
      <c r="F21" s="5" t="s">
        <v>147</v>
      </c>
      <c r="G21" s="5" t="s">
        <v>63</v>
      </c>
      <c r="H21" s="5" t="s">
        <v>64</v>
      </c>
      <c r="I21" s="8">
        <v>37603</v>
      </c>
      <c r="J21" s="9">
        <v>8402</v>
      </c>
    </row>
    <row r="22" spans="1:10" ht="18" customHeight="1" x14ac:dyDescent="0.3">
      <c r="A22" s="5" t="s">
        <v>59</v>
      </c>
      <c r="B22" s="7"/>
      <c r="C22" s="10" t="s">
        <v>140</v>
      </c>
      <c r="D22" s="5" t="s">
        <v>61</v>
      </c>
      <c r="E22" s="7"/>
      <c r="F22" s="5" t="s">
        <v>148</v>
      </c>
      <c r="G22" s="5" t="s">
        <v>63</v>
      </c>
      <c r="H22" s="5" t="s">
        <v>66</v>
      </c>
      <c r="I22" s="8">
        <v>37603</v>
      </c>
      <c r="J22" s="9">
        <v>8402</v>
      </c>
    </row>
    <row r="23" spans="1:10" ht="18" customHeight="1" x14ac:dyDescent="0.3">
      <c r="A23" s="5" t="s">
        <v>101</v>
      </c>
      <c r="B23" s="7"/>
      <c r="C23" s="10" t="s">
        <v>154</v>
      </c>
      <c r="D23" s="5" t="s">
        <v>103</v>
      </c>
      <c r="E23" s="5" t="s">
        <v>104</v>
      </c>
      <c r="F23" s="5" t="s">
        <v>105</v>
      </c>
      <c r="G23" s="25" t="s">
        <v>106</v>
      </c>
      <c r="H23" s="5" t="s">
        <v>107</v>
      </c>
      <c r="I23" s="8">
        <v>37610</v>
      </c>
      <c r="J23" s="13">
        <v>1787147</v>
      </c>
    </row>
    <row r="24" spans="1:10" ht="18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12"/>
    </row>
    <row r="25" spans="1:10" ht="18" customHeight="1" thickBot="1" x14ac:dyDescent="0.35">
      <c r="A25" s="7"/>
      <c r="B25" s="7"/>
      <c r="C25" s="7"/>
      <c r="D25" s="7"/>
      <c r="E25" s="7"/>
      <c r="F25" s="7"/>
      <c r="G25" s="23" t="s">
        <v>153</v>
      </c>
      <c r="H25" s="7"/>
      <c r="I25" s="7"/>
      <c r="J25" s="24">
        <f>SUM(J3:J24)</f>
        <v>9129566</v>
      </c>
    </row>
    <row r="26" spans="1:10" ht="18" customHeight="1" thickTop="1" x14ac:dyDescent="0.3">
      <c r="A26" s="7"/>
      <c r="B26" s="7"/>
      <c r="C26" s="7"/>
      <c r="D26" s="7"/>
      <c r="E26" s="7"/>
      <c r="F26" s="7"/>
      <c r="G26" s="7"/>
      <c r="H26" s="7"/>
      <c r="I26" s="7"/>
      <c r="J26" s="12"/>
    </row>
    <row r="27" spans="1:10" ht="18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9"/>
    </row>
  </sheetData>
  <phoneticPr fontId="2" type="noConversion"/>
  <pageMargins left="0.35" right="0.35" top="1" bottom="1" header="0.5" footer="0.5"/>
  <pageSetup orientation="landscape" r:id="rId1"/>
  <headerFooter alignWithMargins="0">
    <oddHeader>&amp;C&amp;"MS Sans Serif,Bold"&amp;12Awards for December 2002
By Principal Investigator</oddHeader>
    <oddFooter>&amp;C&amp;8&amp;D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sqref="A1:IV65536"/>
    </sheetView>
  </sheetViews>
  <sheetFormatPr defaultRowHeight="13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C2" s="1" t="s">
        <v>11</v>
      </c>
      <c r="D2" s="1" t="s">
        <v>12</v>
      </c>
      <c r="F2" s="1" t="s">
        <v>13</v>
      </c>
      <c r="G2" s="1" t="s">
        <v>14</v>
      </c>
      <c r="H2" s="1" t="s">
        <v>15</v>
      </c>
      <c r="I2" s="2">
        <v>37594</v>
      </c>
      <c r="J2" s="3">
        <v>539274</v>
      </c>
    </row>
    <row r="3" spans="1:10" x14ac:dyDescent="0.3">
      <c r="A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2">
        <v>37595</v>
      </c>
      <c r="J3" s="3">
        <v>300000</v>
      </c>
    </row>
    <row r="4" spans="1:10" x14ac:dyDescent="0.3">
      <c r="A4" s="1" t="s">
        <v>23</v>
      </c>
      <c r="C4" s="1" t="s">
        <v>17</v>
      </c>
      <c r="D4" s="1" t="s">
        <v>24</v>
      </c>
      <c r="F4" s="1" t="s">
        <v>25</v>
      </c>
      <c r="G4" s="1" t="s">
        <v>26</v>
      </c>
      <c r="H4" s="1" t="s">
        <v>27</v>
      </c>
      <c r="I4" s="2">
        <v>37595</v>
      </c>
      <c r="J4" s="3">
        <v>3050000</v>
      </c>
    </row>
    <row r="5" spans="1:10" x14ac:dyDescent="0.3">
      <c r="A5" s="1" t="s">
        <v>28</v>
      </c>
      <c r="C5" s="1" t="s">
        <v>17</v>
      </c>
      <c r="D5" s="1" t="s">
        <v>29</v>
      </c>
      <c r="F5" s="1" t="s">
        <v>30</v>
      </c>
      <c r="G5" s="1" t="s">
        <v>31</v>
      </c>
      <c r="H5" s="1" t="s">
        <v>32</v>
      </c>
      <c r="I5" s="2">
        <v>37596</v>
      </c>
    </row>
    <row r="6" spans="1:10" x14ac:dyDescent="0.3">
      <c r="A6" s="1" t="s">
        <v>33</v>
      </c>
      <c r="C6" s="1" t="s">
        <v>34</v>
      </c>
      <c r="D6" s="1" t="s">
        <v>35</v>
      </c>
      <c r="F6" s="1" t="s">
        <v>36</v>
      </c>
      <c r="G6" s="1" t="s">
        <v>37</v>
      </c>
      <c r="H6" s="1" t="s">
        <v>38</v>
      </c>
      <c r="I6" s="2">
        <v>37596</v>
      </c>
      <c r="J6" s="3">
        <v>78944</v>
      </c>
    </row>
    <row r="7" spans="1:10" x14ac:dyDescent="0.3">
      <c r="A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2">
        <v>37596</v>
      </c>
      <c r="J7" s="3">
        <v>28400</v>
      </c>
    </row>
    <row r="8" spans="1:10" x14ac:dyDescent="0.3">
      <c r="A8" s="1" t="s">
        <v>46</v>
      </c>
      <c r="B8" s="1" t="s">
        <v>47</v>
      </c>
      <c r="C8" s="1" t="s">
        <v>40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2">
        <v>37601</v>
      </c>
      <c r="J8" s="3">
        <v>170201</v>
      </c>
    </row>
    <row r="9" spans="1:10" x14ac:dyDescent="0.3">
      <c r="A9" s="1" t="s">
        <v>46</v>
      </c>
      <c r="B9" s="1" t="s">
        <v>47</v>
      </c>
      <c r="C9" s="1" t="s">
        <v>40</v>
      </c>
      <c r="D9" s="1" t="s">
        <v>48</v>
      </c>
      <c r="E9" s="1" t="s">
        <v>49</v>
      </c>
      <c r="F9" s="1" t="s">
        <v>53</v>
      </c>
      <c r="G9" s="1" t="s">
        <v>54</v>
      </c>
      <c r="H9" s="1" t="s">
        <v>55</v>
      </c>
      <c r="I9" s="2">
        <v>37601</v>
      </c>
      <c r="J9" s="3">
        <v>75241</v>
      </c>
    </row>
    <row r="10" spans="1:10" x14ac:dyDescent="0.3">
      <c r="A10" s="1" t="s">
        <v>46</v>
      </c>
      <c r="B10" s="1" t="s">
        <v>47</v>
      </c>
      <c r="C10" s="1" t="s">
        <v>40</v>
      </c>
      <c r="D10" s="1" t="s">
        <v>48</v>
      </c>
      <c r="E10" s="1" t="s">
        <v>49</v>
      </c>
      <c r="F10" s="1" t="s">
        <v>56</v>
      </c>
      <c r="G10" s="1" t="s">
        <v>57</v>
      </c>
      <c r="H10" s="1" t="s">
        <v>58</v>
      </c>
      <c r="I10" s="2">
        <v>37601</v>
      </c>
      <c r="J10" s="3">
        <v>75131</v>
      </c>
    </row>
    <row r="11" spans="1:10" x14ac:dyDescent="0.3">
      <c r="A11" s="1" t="s">
        <v>59</v>
      </c>
      <c r="C11" s="1" t="s">
        <v>60</v>
      </c>
      <c r="D11" s="1" t="s">
        <v>61</v>
      </c>
      <c r="F11" s="1" t="s">
        <v>62</v>
      </c>
      <c r="G11" s="1" t="s">
        <v>63</v>
      </c>
      <c r="H11" s="1" t="s">
        <v>64</v>
      </c>
      <c r="I11" s="2">
        <v>37603</v>
      </c>
      <c r="J11" s="3">
        <v>8402</v>
      </c>
    </row>
    <row r="12" spans="1:10" x14ac:dyDescent="0.3">
      <c r="A12" s="1" t="s">
        <v>59</v>
      </c>
      <c r="C12" s="1" t="s">
        <v>60</v>
      </c>
      <c r="D12" s="1" t="s">
        <v>61</v>
      </c>
      <c r="F12" s="1" t="s">
        <v>65</v>
      </c>
      <c r="G12" s="1" t="s">
        <v>63</v>
      </c>
      <c r="H12" s="1" t="s">
        <v>66</v>
      </c>
      <c r="I12" s="2">
        <v>37603</v>
      </c>
      <c r="J12" s="3">
        <v>8402</v>
      </c>
    </row>
    <row r="13" spans="1:10" x14ac:dyDescent="0.3">
      <c r="A13" s="1" t="s">
        <v>67</v>
      </c>
      <c r="C13" s="1" t="s">
        <v>40</v>
      </c>
      <c r="D13" s="1" t="s">
        <v>68</v>
      </c>
      <c r="F13" s="1" t="s">
        <v>69</v>
      </c>
      <c r="G13" s="1" t="s">
        <v>70</v>
      </c>
      <c r="H13" s="1" t="s">
        <v>71</v>
      </c>
      <c r="I13" s="2">
        <v>37603</v>
      </c>
      <c r="J13" s="3">
        <v>50000</v>
      </c>
    </row>
    <row r="14" spans="1:10" x14ac:dyDescent="0.3">
      <c r="A14" s="1" t="s">
        <v>72</v>
      </c>
      <c r="C14" s="1" t="s">
        <v>40</v>
      </c>
      <c r="D14" s="1" t="s">
        <v>73</v>
      </c>
      <c r="F14" s="1" t="s">
        <v>74</v>
      </c>
      <c r="G14" s="1" t="s">
        <v>75</v>
      </c>
      <c r="H14" s="1" t="s">
        <v>76</v>
      </c>
      <c r="I14" s="2">
        <v>37603</v>
      </c>
      <c r="J14" s="3">
        <v>41679</v>
      </c>
    </row>
    <row r="15" spans="1:10" x14ac:dyDescent="0.3">
      <c r="A15" s="1" t="s">
        <v>10</v>
      </c>
      <c r="C15" s="1" t="s">
        <v>11</v>
      </c>
      <c r="D15" s="1" t="s">
        <v>77</v>
      </c>
      <c r="F15" s="1" t="s">
        <v>78</v>
      </c>
      <c r="G15" s="1" t="s">
        <v>79</v>
      </c>
      <c r="H15" s="1" t="s">
        <v>80</v>
      </c>
      <c r="I15" s="2">
        <v>37603</v>
      </c>
      <c r="J15" s="3">
        <v>782170</v>
      </c>
    </row>
    <row r="16" spans="1:10" x14ac:dyDescent="0.3">
      <c r="A16" s="1" t="s">
        <v>81</v>
      </c>
      <c r="C16" s="1" t="s">
        <v>40</v>
      </c>
      <c r="D16" s="1" t="s">
        <v>41</v>
      </c>
      <c r="E16" s="1" t="s">
        <v>42</v>
      </c>
      <c r="F16" s="1" t="s">
        <v>82</v>
      </c>
      <c r="G16" s="1" t="s">
        <v>83</v>
      </c>
      <c r="H16" s="1" t="s">
        <v>84</v>
      </c>
      <c r="I16" s="2">
        <v>37603</v>
      </c>
      <c r="J16" s="3">
        <v>8000</v>
      </c>
    </row>
    <row r="17" spans="1:10" x14ac:dyDescent="0.3">
      <c r="A17" s="1" t="s">
        <v>33</v>
      </c>
      <c r="C17" s="1" t="s">
        <v>34</v>
      </c>
      <c r="D17" s="1" t="s">
        <v>35</v>
      </c>
      <c r="F17" s="1" t="s">
        <v>85</v>
      </c>
      <c r="G17" s="1" t="s">
        <v>86</v>
      </c>
      <c r="H17" s="1" t="s">
        <v>87</v>
      </c>
      <c r="I17" s="2">
        <v>37606</v>
      </c>
      <c r="J17" s="3">
        <v>50000</v>
      </c>
    </row>
    <row r="18" spans="1:10" x14ac:dyDescent="0.3">
      <c r="A18" s="1" t="s">
        <v>88</v>
      </c>
      <c r="C18" s="1" t="s">
        <v>11</v>
      </c>
      <c r="D18" s="1" t="s">
        <v>89</v>
      </c>
      <c r="E18" s="1" t="s">
        <v>90</v>
      </c>
      <c r="F18" s="1" t="s">
        <v>91</v>
      </c>
      <c r="G18" s="1" t="s">
        <v>92</v>
      </c>
      <c r="H18" s="1" t="s">
        <v>93</v>
      </c>
      <c r="I18" s="2">
        <v>37606</v>
      </c>
      <c r="J18" s="3">
        <v>40000</v>
      </c>
    </row>
    <row r="19" spans="1:10" x14ac:dyDescent="0.3">
      <c r="A19" s="1" t="s">
        <v>94</v>
      </c>
      <c r="C19" s="1" t="s">
        <v>40</v>
      </c>
      <c r="D19" s="1" t="s">
        <v>73</v>
      </c>
      <c r="F19" s="1" t="s">
        <v>95</v>
      </c>
      <c r="G19" s="1" t="s">
        <v>96</v>
      </c>
      <c r="H19" s="1" t="s">
        <v>97</v>
      </c>
      <c r="I19" s="2">
        <v>37607</v>
      </c>
      <c r="J19" s="3">
        <v>264463</v>
      </c>
    </row>
    <row r="20" spans="1:10" x14ac:dyDescent="0.3">
      <c r="A20" s="1" t="s">
        <v>46</v>
      </c>
      <c r="B20" s="1" t="s">
        <v>47</v>
      </c>
      <c r="C20" s="1" t="s">
        <v>40</v>
      </c>
      <c r="D20" s="1" t="s">
        <v>48</v>
      </c>
      <c r="E20" s="1" t="s">
        <v>49</v>
      </c>
      <c r="F20" s="1" t="s">
        <v>98</v>
      </c>
      <c r="G20" s="1" t="s">
        <v>99</v>
      </c>
      <c r="H20" s="1" t="s">
        <v>100</v>
      </c>
      <c r="I20" s="2">
        <v>37610</v>
      </c>
      <c r="J20" s="3">
        <v>43250</v>
      </c>
    </row>
    <row r="21" spans="1:10" x14ac:dyDescent="0.3">
      <c r="A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1" t="s">
        <v>106</v>
      </c>
      <c r="H21" s="1" t="s">
        <v>107</v>
      </c>
      <c r="I21" s="2">
        <v>37610</v>
      </c>
      <c r="J21" s="3">
        <v>1787147</v>
      </c>
    </row>
    <row r="22" spans="1:10" x14ac:dyDescent="0.3">
      <c r="A22" s="1" t="s">
        <v>108</v>
      </c>
      <c r="C22" s="1" t="s">
        <v>109</v>
      </c>
      <c r="D22" s="1" t="s">
        <v>110</v>
      </c>
      <c r="F22" s="1" t="s">
        <v>111</v>
      </c>
      <c r="G22" s="1" t="s">
        <v>106</v>
      </c>
      <c r="H22" s="1" t="s">
        <v>112</v>
      </c>
      <c r="I22" s="2">
        <v>37613</v>
      </c>
      <c r="J22" s="3">
        <v>1728862</v>
      </c>
    </row>
    <row r="23" spans="1:10" x14ac:dyDescent="0.3">
      <c r="A23" s="1" t="s">
        <v>113</v>
      </c>
      <c r="C23" s="1" t="s">
        <v>40</v>
      </c>
      <c r="D23" s="1" t="s">
        <v>73</v>
      </c>
      <c r="F23" s="1" t="s">
        <v>114</v>
      </c>
      <c r="G23" s="1" t="s">
        <v>115</v>
      </c>
      <c r="H23" s="1" t="s">
        <v>116</v>
      </c>
      <c r="I23" s="2">
        <v>37628</v>
      </c>
      <c r="J23" s="3">
        <v>670042</v>
      </c>
    </row>
    <row r="24" spans="1:10" x14ac:dyDescent="0.3">
      <c r="A24" s="1" t="s">
        <v>117</v>
      </c>
      <c r="C24" s="1" t="s">
        <v>40</v>
      </c>
      <c r="D24" s="1" t="s">
        <v>68</v>
      </c>
      <c r="E24" s="1" t="s">
        <v>118</v>
      </c>
      <c r="F24" s="1" t="s">
        <v>119</v>
      </c>
      <c r="G24" s="1" t="s">
        <v>120</v>
      </c>
      <c r="H24" s="1" t="s">
        <v>121</v>
      </c>
      <c r="I24" s="2">
        <v>37628</v>
      </c>
      <c r="J24" s="3">
        <v>8028</v>
      </c>
    </row>
    <row r="25" spans="1:10" x14ac:dyDescent="0.3">
      <c r="A25" s="1" t="s">
        <v>117</v>
      </c>
      <c r="C25" s="1" t="s">
        <v>40</v>
      </c>
      <c r="D25" s="1" t="s">
        <v>68</v>
      </c>
      <c r="E25" s="1" t="s">
        <v>118</v>
      </c>
      <c r="F25" s="1" t="s">
        <v>122</v>
      </c>
      <c r="G25" s="1" t="s">
        <v>120</v>
      </c>
      <c r="H25" s="1" t="s">
        <v>123</v>
      </c>
      <c r="I25" s="2">
        <v>37628</v>
      </c>
      <c r="J25" s="3">
        <v>6690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Dec 02 Props</vt:lpstr>
      <vt:lpstr>December_02_Props</vt:lpstr>
      <vt:lpstr>December_02_Props</vt:lpstr>
      <vt:lpstr>'Dec 02 Props'!Print_Area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2003-01-08T21:31:11Z</cp:lastPrinted>
  <dcterms:created xsi:type="dcterms:W3CDTF">2003-01-08T20:44:52Z</dcterms:created>
  <dcterms:modified xsi:type="dcterms:W3CDTF">2020-01-27T11:28:10Z</dcterms:modified>
</cp:coreProperties>
</file>