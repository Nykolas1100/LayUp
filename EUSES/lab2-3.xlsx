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E1ED9BC-9FEA-4079-9503-9F01AFE0C6FC}" xr6:coauthVersionLast="45" xr6:coauthVersionMax="45" xr10:uidLastSave="{00000000-0000-0000-0000-000000000000}"/>
  <bookViews>
    <workbookView xWindow="380" yWindow="380" windowWidth="28800" windowHeight="15460"/>
  </bookViews>
  <sheets>
    <sheet name="Appendix2A-3a" sheetId="1" r:id="rId1"/>
    <sheet name="2-4 Formulas" sheetId="2" r:id="rId2"/>
  </sheets>
  <definedNames>
    <definedName name="_xlnm.Print_Area" localSheetId="1">'2-4 Formulas'!$A$1:$K$60</definedName>
    <definedName name="_xlnm.Print_Area" localSheetId="0">'Appendix2A-3a'!$A$1:$P$32</definedName>
    <definedName name="solver_adj" localSheetId="1" hidden="1">'2-4 Formulas'!$H$19</definedName>
    <definedName name="solver_adj" localSheetId="0" hidden="1">'Appendix2A-3a'!$F$31</definedName>
    <definedName name="solver_cvg" localSheetId="1" hidden="1">0.001</definedName>
    <definedName name="solver_cvg" localSheetId="0" hidden="1">0.001</definedName>
    <definedName name="solver_drv" localSheetId="1" hidden="1">1</definedName>
    <definedName name="solver_drv" localSheetId="0" hidden="1">1</definedName>
    <definedName name="solver_est" localSheetId="1" hidden="1">1</definedName>
    <definedName name="solver_est" localSheetId="0" hidden="1">1</definedName>
    <definedName name="solver_itr" localSheetId="1" hidden="1">100</definedName>
    <definedName name="solver_itr" localSheetId="0" hidden="1">100</definedName>
    <definedName name="solver_lhs1" localSheetId="0" hidden="1">'Appendix2A-3a'!$F$31</definedName>
    <definedName name="solver_lin" localSheetId="1" hidden="1">2</definedName>
    <definedName name="solver_lin" localSheetId="0" hidden="1">2</definedName>
    <definedName name="solver_neg" localSheetId="1" hidden="1">2</definedName>
    <definedName name="solver_neg" localSheetId="0" hidden="1">2</definedName>
    <definedName name="solver_num" localSheetId="1" hidden="1">0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'2-4 Formulas'!$H$18</definedName>
    <definedName name="solver_opt" localSheetId="0" hidden="1">'Appendix2A-3a'!$F$32</definedName>
    <definedName name="solver_pre" localSheetId="1" hidden="1">0.000001</definedName>
    <definedName name="solver_pre" localSheetId="0" hidden="1">0.000001</definedName>
    <definedName name="solver_rel1" localSheetId="0" hidden="1">3</definedName>
    <definedName name="solver_rhs1" localSheetId="0" hidden="1">0</definedName>
    <definedName name="solver_scl" localSheetId="1" hidden="1">2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tim" localSheetId="1" hidden="1">100</definedName>
    <definedName name="solver_tim" localSheetId="0" hidden="1">100</definedName>
    <definedName name="solver_tol" localSheetId="1" hidden="1">0.05</definedName>
    <definedName name="solver_tol" localSheetId="0" hidden="1">0.05</definedName>
    <definedName name="solver_typ" localSheetId="1" hidden="1">1</definedName>
    <definedName name="solver_typ" localSheetId="0" hidden="1">3</definedName>
    <definedName name="solver_val" localSheetId="1" hidden="1">0</definedName>
    <definedName name="solver_val" localSheetId="0" hidden="1">0</definedName>
  </definedNames>
  <calcPr calcId="0"/>
</workbook>
</file>

<file path=xl/calcChain.xml><?xml version="1.0" encoding="utf-8"?>
<calcChain xmlns="http://schemas.openxmlformats.org/spreadsheetml/2006/main">
  <c r="H18" i="2" l="1"/>
  <c r="I18" i="2"/>
  <c r="H20" i="2"/>
  <c r="I20" i="2"/>
  <c r="H21" i="2"/>
  <c r="I21" i="2"/>
  <c r="B10" i="1"/>
  <c r="C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F30" i="1"/>
  <c r="F32" i="1"/>
</calcChain>
</file>

<file path=xl/sharedStrings.xml><?xml version="1.0" encoding="utf-8"?>
<sst xmlns="http://schemas.openxmlformats.org/spreadsheetml/2006/main" count="82" uniqueCount="78">
  <si>
    <t>AAE421 HOMEWORK 2: Appendix 2A, Problem 3 (Cubic Cost Function)</t>
  </si>
  <si>
    <t>Problem 3a: Cubic</t>
  </si>
  <si>
    <t>Problem 3b: Cubic</t>
  </si>
  <si>
    <t>TC = 1500 + 300Q - 25 Q*Q + 1.5Q*Q*Q</t>
  </si>
  <si>
    <t>dTC/dQ = MC = 300 -50Q + 4.5Q*Q</t>
  </si>
  <si>
    <t>AC = 1500/Q + 300 - 25Q + 1.5Q*Q</t>
  </si>
  <si>
    <t>AVC = 300 - 25Q + 1.5 Q*Q</t>
  </si>
  <si>
    <t>Qutput</t>
  </si>
  <si>
    <t>Total Cost</t>
  </si>
  <si>
    <t>Marginal Cost</t>
  </si>
  <si>
    <t>Average Cost</t>
  </si>
  <si>
    <t>Avg Variable Cost</t>
  </si>
  <si>
    <t>Problem 3c: Cubic (for Lab #3: Excel/Solve) !!!</t>
  </si>
  <si>
    <t xml:space="preserve">MIN Marginal Costs (MC) ???  </t>
  </si>
  <si>
    <t xml:space="preserve">Q = </t>
  </si>
  <si>
    <t>Use Tools, Solve and MIN MC !!!</t>
  </si>
  <si>
    <t xml:space="preserve">MC = </t>
  </si>
  <si>
    <t>MIN MC ??? Set dMC/dQ = 0,</t>
  </si>
  <si>
    <t>Use Tools, Solve !!!</t>
  </si>
  <si>
    <t xml:space="preserve">dMC/dQ= </t>
  </si>
  <si>
    <t xml:space="preserve"> </t>
  </si>
  <si>
    <t>AAE421 HMWK 2-4: EXCEL Relative Versus Absolute References in Formulas.</t>
  </si>
  <si>
    <t>Revenue Side of Profits:</t>
  </si>
  <si>
    <t>Demand Curve (Quantity Dependent)</t>
  </si>
  <si>
    <t>Inverse Demand Curve (Price Dependent)</t>
  </si>
  <si>
    <t>Q = 10 - 0.004*P</t>
  </si>
  <si>
    <t>P = 2500 - 250*Q</t>
  </si>
  <si>
    <t>Total Revenue = TR = f(Q)</t>
  </si>
  <si>
    <t>Marginal Revenue = MR = g(Q)</t>
  </si>
  <si>
    <t>TR = P*Q = 2500*Q - 250*Q*Q</t>
  </si>
  <si>
    <t>MR = 2500 - 500*Q</t>
  </si>
  <si>
    <t>Cost Side of Profits:</t>
  </si>
  <si>
    <t xml:space="preserve">Total Cost = TC = h(Q) = </t>
  </si>
  <si>
    <t xml:space="preserve">Marginal Cost = MC = i(Q) = </t>
  </si>
  <si>
    <t>1500 + 300*Q - 25*Q*Q + 1.5*Q*Q*Q</t>
  </si>
  <si>
    <t>300 - 50*Q + 4.5*Q*Q</t>
  </si>
  <si>
    <t>Profits:</t>
  </si>
  <si>
    <t>Profit Function: PROFIT = TR - TC</t>
  </si>
  <si>
    <t>FOC: MR -MC = 0 =</t>
  </si>
  <si>
    <t>-1500 + 2200*Q - 225*Q*Q - 1.5*Q*Q*Q</t>
  </si>
  <si>
    <t>2200 - 450*Q - 4.5*Q*Q</t>
  </si>
  <si>
    <t>MAX</t>
  </si>
  <si>
    <t>Solve = 0</t>
  </si>
  <si>
    <t xml:space="preserve">Maximum Profit = </t>
  </si>
  <si>
    <t xml:space="preserve">Optimal Quantity (Output) = </t>
  </si>
  <si>
    <t xml:space="preserve">Optimal Price (Inverse Demand) = </t>
  </si>
  <si>
    <t>FOC Conditions:</t>
  </si>
  <si>
    <t>CELL H18 Formula:</t>
  </si>
  <si>
    <t>=-1500 + 2200*H19 - 225*H19^2 - 1.5*H19^3</t>
  </si>
  <si>
    <t>NOTE: Relative Row/Relative Column Refence !!!</t>
  </si>
  <si>
    <t>NOTE: Q = H19 !!!</t>
  </si>
  <si>
    <t>NOTE: Formula in H18 (Column H, Row 18) references H19 (Column H, Row 19).</t>
  </si>
  <si>
    <t>NOTE: Relative Column will reference same column as that of the cell copied to.</t>
  </si>
  <si>
    <t>NOTE: Relative Row will access the row below the cell copied to.</t>
  </si>
  <si>
    <t>CELL H18 Formula Copied to Cell B31:</t>
  </si>
  <si>
    <t>NOTE: Formula in B31 (Column B, Row 31) references B32 (Column B, Row 32).</t>
  </si>
  <si>
    <t>NOTE: Relative Column references same column as that of the cell copied to (Column B).</t>
  </si>
  <si>
    <t>NOTE: Relative Row references the row below where the formula is copied to (Row 32).</t>
  </si>
  <si>
    <t>CELL H20 Formula:</t>
  </si>
  <si>
    <t>=2500 - 250*$H19</t>
  </si>
  <si>
    <t>NOTE: Absolute Row/Relative Column Refence !!!</t>
  </si>
  <si>
    <t>NOTE: Q = $H19 !!!</t>
  </si>
  <si>
    <t>NOTE: Formula in H20 (Column H, Row 20) references H19 (Column H, Row 19).</t>
  </si>
  <si>
    <t>NOTE: Absolute ($H) Column will reference Column H regardless of where formula is copied !!!</t>
  </si>
  <si>
    <t>NOTE: Relative Row references the row above where the formula is copied to (Row 19).</t>
  </si>
  <si>
    <t>CELL H20 Formula Copied to Cell B44:</t>
  </si>
  <si>
    <t>NOTE: Formula in B44 (Column B, Row 44) references $H43 (Column H, Row 43).</t>
  </si>
  <si>
    <t>NOTE: Absolute Column ($H) references column H regardless where copied !!!</t>
  </si>
  <si>
    <t>NOTE: Relative Row references the row below the cell copied to (Row 43).</t>
  </si>
  <si>
    <t>CELL H21 Formula:</t>
  </si>
  <si>
    <t>=2200 - 450*$H$19 - 4.5*$H$19^2</t>
  </si>
  <si>
    <t>NOTE: Absolute Column/Absolute Row Refence !!!</t>
  </si>
  <si>
    <t>NOTE: Q = $H$19 !!!</t>
  </si>
  <si>
    <t>NOTE: Formula in H21 (Column H, Row 21) references $H$19 (Column H, Row 19).</t>
  </si>
  <si>
    <t>NOTE: Absolute ($19) Row will reference Row 19 regardless of where formula is copied !!!</t>
  </si>
  <si>
    <t>CELL H20 Formula Copied to Cell B57:</t>
  </si>
  <si>
    <t>NOTE: Formula in B57 (Column B, Row 57) references $H$19 (Column H, Row 19).</t>
  </si>
  <si>
    <t>NOTE: Absolute Row ($19) references Row 19 regardless where copied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</si>
</sst>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4" formatCode="0.000"/>
    <numFmt numFmtId="175" formatCode="&quot;$&quot;#,##0"/>
    <numFmt numFmtId="176" formatCode="&quot;$&quot;#,##0.0"/>
  </numFmts>
  <fonts count="15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b/>
      <sz val="26"/>
      <name val="Times New Roman"/>
      <family val="1"/>
    </font>
    <font>
      <b/>
      <sz val="16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18"/>
      <color indexed="10"/>
      <name val="Times New Roman"/>
      <family val="1"/>
    </font>
    <font>
      <b/>
      <sz val="22"/>
      <name val="Times New Roman"/>
      <family val="1"/>
    </font>
    <font>
      <sz val="18"/>
      <color indexed="12"/>
      <name val="Times New Roman"/>
      <family val="1"/>
    </font>
    <font>
      <sz val="18"/>
      <color indexed="10"/>
      <name val="Times New Roman"/>
      <family val="1"/>
    </font>
    <font>
      <b/>
      <sz val="22"/>
      <color indexed="12"/>
      <name val="Times New Roman"/>
      <family val="1"/>
    </font>
    <font>
      <b/>
      <sz val="18"/>
      <color indexed="12"/>
      <name val="Times New Roman"/>
      <family val="1"/>
    </font>
    <font>
      <b/>
      <sz val="36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1" fillId="0" borderId="0" xfId="0" applyFont="1" applyBorder="1"/>
    <xf numFmtId="0" fontId="1" fillId="0" borderId="1" xfId="0" applyFont="1" applyBorder="1"/>
    <xf numFmtId="0" fontId="2" fillId="0" borderId="0" xfId="0" applyFont="1" applyBorder="1"/>
    <xf numFmtId="0" fontId="1" fillId="0" borderId="1" xfId="0" applyFont="1" applyBorder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5" xfId="0" applyFont="1" applyBorder="1" applyAlignment="1">
      <alignment horizontal="centerContinuous"/>
    </xf>
    <xf numFmtId="0" fontId="1" fillId="0" borderId="6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8" xfId="0" applyFont="1" applyBorder="1" applyAlignment="1">
      <alignment horizontal="centerContinuous"/>
    </xf>
    <xf numFmtId="3" fontId="1" fillId="0" borderId="9" xfId="0" applyNumberFormat="1" applyFont="1" applyBorder="1" applyAlignment="1">
      <alignment horizontal="center"/>
    </xf>
    <xf numFmtId="3" fontId="2" fillId="0" borderId="9" xfId="0" applyNumberFormat="1" applyFont="1" applyBorder="1"/>
    <xf numFmtId="0" fontId="1" fillId="0" borderId="10" xfId="0" applyFont="1" applyBorder="1" applyAlignment="1">
      <alignment horizontal="center"/>
    </xf>
    <xf numFmtId="3" fontId="2" fillId="0" borderId="11" xfId="0" applyNumberFormat="1" applyFont="1" applyBorder="1"/>
    <xf numFmtId="3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3" fontId="1" fillId="0" borderId="14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8" xfId="0" applyFont="1" applyBorder="1"/>
    <xf numFmtId="174" fontId="1" fillId="0" borderId="17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4" xfId="0" applyFont="1" applyBorder="1" applyAlignment="1">
      <alignment horizontal="centerContinuous"/>
    </xf>
    <xf numFmtId="0" fontId="2" fillId="0" borderId="1" xfId="0" applyFont="1" applyBorder="1"/>
    <xf numFmtId="0" fontId="2" fillId="0" borderId="5" xfId="0" applyFont="1" applyBorder="1"/>
    <xf numFmtId="0" fontId="2" fillId="0" borderId="8" xfId="0" applyFont="1" applyBorder="1"/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1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Font="1" applyBorder="1"/>
    <xf numFmtId="0" fontId="7" fillId="0" borderId="0" xfId="0" applyFont="1"/>
    <xf numFmtId="0" fontId="4" fillId="0" borderId="0" xfId="0" applyFont="1" applyAlignment="1">
      <alignment horizontal="centerContinuous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Continuous"/>
    </xf>
    <xf numFmtId="0" fontId="6" fillId="0" borderId="2" xfId="0" applyFont="1" applyBorder="1" applyAlignment="1">
      <alignment horizontal="left"/>
    </xf>
    <xf numFmtId="0" fontId="7" fillId="0" borderId="3" xfId="0" applyFont="1" applyBorder="1"/>
    <xf numFmtId="0" fontId="6" fillId="0" borderId="3" xfId="0" applyFont="1" applyBorder="1" applyAlignment="1">
      <alignment horizontal="left"/>
    </xf>
    <xf numFmtId="0" fontId="7" fillId="0" borderId="4" xfId="0" applyFont="1" applyBorder="1"/>
    <xf numFmtId="0" fontId="8" fillId="0" borderId="1" xfId="0" applyFont="1" applyBorder="1" applyAlignment="1">
      <alignment horizontal="centerContinuous"/>
    </xf>
    <xf numFmtId="0" fontId="6" fillId="0" borderId="5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5" xfId="0" applyFont="1" applyBorder="1"/>
    <xf numFmtId="0" fontId="8" fillId="0" borderId="6" xfId="0" applyFont="1" applyBorder="1" applyAlignment="1">
      <alignment horizontal="centerContinuous"/>
    </xf>
    <xf numFmtId="0" fontId="8" fillId="0" borderId="7" xfId="0" applyFont="1" applyBorder="1" applyAlignment="1">
      <alignment horizontal="centerContinuous"/>
    </xf>
    <xf numFmtId="0" fontId="8" fillId="0" borderId="7" xfId="0" applyFont="1" applyBorder="1" applyAlignment="1">
      <alignment horizontal="center"/>
    </xf>
    <xf numFmtId="0" fontId="7" fillId="0" borderId="8" xfId="0" applyFont="1" applyBorder="1"/>
    <xf numFmtId="0" fontId="8" fillId="0" borderId="6" xfId="0" quotePrefix="1" applyFont="1" applyBorder="1" applyAlignment="1">
      <alignment horizontal="centerContinuous"/>
    </xf>
    <xf numFmtId="0" fontId="8" fillId="0" borderId="7" xfId="0" quotePrefix="1" applyFont="1" applyBorder="1" applyAlignment="1">
      <alignment horizontal="centerContinuous"/>
    </xf>
    <xf numFmtId="0" fontId="8" fillId="0" borderId="7" xfId="0" quotePrefix="1" applyFont="1" applyBorder="1" applyAlignment="1">
      <alignment horizontal="center"/>
    </xf>
    <xf numFmtId="0" fontId="8" fillId="0" borderId="6" xfId="0" quotePrefix="1" applyFont="1" applyBorder="1" applyAlignment="1">
      <alignment horizontal="left"/>
    </xf>
    <xf numFmtId="0" fontId="7" fillId="0" borderId="7" xfId="0" applyFont="1" applyBorder="1"/>
    <xf numFmtId="0" fontId="9" fillId="0" borderId="7" xfId="0" applyFont="1" applyBorder="1" applyAlignment="1">
      <alignment horizontal="centerContinuous"/>
    </xf>
    <xf numFmtId="0" fontId="9" fillId="0" borderId="0" xfId="0" applyFont="1" applyBorder="1" applyAlignment="1">
      <alignment horizontal="centerContinuous"/>
    </xf>
    <xf numFmtId="0" fontId="7" fillId="0" borderId="2" xfId="0" applyFont="1" applyBorder="1"/>
    <xf numFmtId="175" fontId="8" fillId="0" borderId="5" xfId="0" quotePrefix="1" applyNumberFormat="1" applyFont="1" applyBorder="1" applyAlignment="1">
      <alignment horizontal="center"/>
    </xf>
    <xf numFmtId="2" fontId="8" fillId="0" borderId="5" xfId="0" quotePrefix="1" applyNumberFormat="1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175" fontId="10" fillId="0" borderId="0" xfId="0" quotePrefix="1" applyNumberFormat="1" applyFont="1" applyBorder="1" applyAlignment="1">
      <alignment horizontal="left"/>
    </xf>
    <xf numFmtId="175" fontId="11" fillId="0" borderId="0" xfId="0" quotePrefix="1" applyNumberFormat="1" applyFont="1" applyBorder="1" applyAlignment="1">
      <alignment horizontal="left"/>
    </xf>
    <xf numFmtId="175" fontId="12" fillId="0" borderId="0" xfId="0" quotePrefix="1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176" fontId="12" fillId="0" borderId="0" xfId="0" quotePrefix="1" applyNumberFormat="1" applyFont="1" applyBorder="1" applyAlignment="1">
      <alignment horizontal="left"/>
    </xf>
    <xf numFmtId="0" fontId="9" fillId="0" borderId="0" xfId="0" quotePrefix="1" applyFont="1" applyBorder="1"/>
    <xf numFmtId="0" fontId="9" fillId="0" borderId="0" xfId="0" applyFont="1"/>
    <xf numFmtId="175" fontId="13" fillId="0" borderId="0" xfId="0" quotePrefix="1" applyNumberFormat="1" applyFont="1" applyBorder="1" applyAlignment="1">
      <alignment horizontal="left"/>
    </xf>
    <xf numFmtId="0" fontId="9" fillId="0" borderId="2" xfId="0" applyFont="1" applyBorder="1"/>
    <xf numFmtId="175" fontId="12" fillId="0" borderId="3" xfId="0" quotePrefix="1" applyNumberFormat="1" applyFont="1" applyBorder="1" applyAlignment="1">
      <alignment horizontal="left"/>
    </xf>
    <xf numFmtId="175" fontId="10" fillId="0" borderId="3" xfId="0" quotePrefix="1" applyNumberFormat="1" applyFont="1" applyBorder="1" applyAlignment="1">
      <alignment horizontal="left"/>
    </xf>
    <xf numFmtId="0" fontId="9" fillId="0" borderId="1" xfId="0" applyFont="1" applyBorder="1"/>
    <xf numFmtId="0" fontId="7" fillId="0" borderId="1" xfId="0" applyFont="1" applyBorder="1"/>
    <xf numFmtId="0" fontId="9" fillId="0" borderId="1" xfId="0" quotePrefix="1" applyFont="1" applyBorder="1"/>
    <xf numFmtId="0" fontId="9" fillId="0" borderId="6" xfId="0" quotePrefix="1" applyFont="1" applyBorder="1"/>
    <xf numFmtId="175" fontId="12" fillId="0" borderId="7" xfId="0" quotePrefix="1" applyNumberFormat="1" applyFont="1" applyBorder="1" applyAlignment="1">
      <alignment horizontal="left"/>
    </xf>
    <xf numFmtId="0" fontId="6" fillId="0" borderId="7" xfId="0" applyFont="1" applyBorder="1"/>
    <xf numFmtId="175" fontId="13" fillId="0" borderId="7" xfId="0" quotePrefix="1" applyNumberFormat="1" applyFont="1" applyBorder="1" applyAlignment="1">
      <alignment horizontal="left"/>
    </xf>
    <xf numFmtId="175" fontId="8" fillId="0" borderId="0" xfId="0" quotePrefix="1" applyNumberFormat="1" applyFont="1" applyBorder="1" applyAlignment="1">
      <alignment horizontal="left"/>
    </xf>
    <xf numFmtId="176" fontId="12" fillId="0" borderId="3" xfId="0" quotePrefix="1" applyNumberFormat="1" applyFont="1" applyBorder="1" applyAlignment="1">
      <alignment horizontal="left"/>
    </xf>
    <xf numFmtId="176" fontId="8" fillId="0" borderId="0" xfId="0" quotePrefix="1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quotePrefix="1" applyFont="1" applyBorder="1" applyAlignment="1">
      <alignment horizontal="centerContinuous"/>
    </xf>
    <xf numFmtId="176" fontId="8" fillId="0" borderId="5" xfId="0" applyNumberFormat="1" applyFont="1" applyBorder="1" applyAlignment="1">
      <alignment horizontal="center"/>
    </xf>
    <xf numFmtId="174" fontId="8" fillId="0" borderId="8" xfId="0" quotePrefix="1" applyNumberFormat="1" applyFont="1" applyBorder="1" applyAlignment="1">
      <alignment horizontal="center"/>
    </xf>
    <xf numFmtId="0" fontId="8" fillId="0" borderId="0" xfId="0" quotePrefix="1" applyFont="1" applyBorder="1" applyAlignment="1">
      <alignment horizontal="left"/>
    </xf>
    <xf numFmtId="0" fontId="8" fillId="0" borderId="3" xfId="0" quotePrefix="1" applyFont="1" applyBorder="1" applyAlignment="1">
      <alignment horizontal="centerContinuous"/>
    </xf>
    <xf numFmtId="174" fontId="8" fillId="0" borderId="0" xfId="0" quotePrefix="1" applyNumberFormat="1" applyFont="1" applyBorder="1" applyAlignment="1">
      <alignment horizontal="left"/>
    </xf>
    <xf numFmtId="0" fontId="14" fillId="0" borderId="0" xfId="0" applyFont="1" applyAlignment="1">
      <alignment horizontal="centerContinuous" wrapText="1"/>
    </xf>
    <xf numFmtId="175" fontId="8" fillId="0" borderId="20" xfId="0" quotePrefix="1" applyNumberFormat="1" applyFont="1" applyBorder="1" applyAlignment="1">
      <alignment horizontal="center"/>
    </xf>
    <xf numFmtId="2" fontId="8" fillId="0" borderId="20" xfId="0" quotePrefix="1" applyNumberFormat="1" applyFont="1" applyBorder="1" applyAlignment="1">
      <alignment horizontal="center"/>
    </xf>
    <xf numFmtId="176" fontId="8" fillId="0" borderId="20" xfId="0" applyNumberFormat="1" applyFont="1" applyBorder="1" applyAlignment="1">
      <alignment horizontal="center"/>
    </xf>
    <xf numFmtId="174" fontId="8" fillId="0" borderId="21" xfId="0" quotePrefix="1" applyNumberFormat="1" applyFont="1" applyBorder="1" applyAlignment="1">
      <alignment horizontal="center"/>
    </xf>
    <xf numFmtId="0" fontId="13" fillId="0" borderId="22" xfId="0" applyFont="1" applyBorder="1" applyAlignment="1">
      <alignment horizontal="centerContinuous"/>
    </xf>
    <xf numFmtId="0" fontId="13" fillId="0" borderId="4" xfId="0" applyFont="1" applyBorder="1" applyAlignment="1">
      <alignment horizontal="centerContinuous"/>
    </xf>
    <xf numFmtId="174" fontId="12" fillId="0" borderId="3" xfId="0" quotePrefix="1" applyNumberFormat="1" applyFont="1" applyBorder="1" applyAlignment="1">
      <alignment horizontal="left"/>
    </xf>
    <xf numFmtId="0" fontId="6" fillId="0" borderId="0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AAE421 Homework 2: Appendix 2A, Problem 3 (Cubic Cost Function)</a:t>
            </a:r>
          </a:p>
        </c:rich>
      </c:tx>
      <c:layout>
        <c:manualLayout>
          <c:xMode val="edge"/>
          <c:yMode val="edge"/>
          <c:x val="0.12338049343545737"/>
          <c:y val="2.96783963559788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49998839276482"/>
          <c:y val="0.26581520214485388"/>
          <c:w val="0.82006282854845347"/>
          <c:h val="0.55098588017404182"/>
        </c:manualLayout>
      </c:layout>
      <c:scatterChart>
        <c:scatterStyle val="lineMarker"/>
        <c:varyColors val="0"/>
        <c:ser>
          <c:idx val="0"/>
          <c:order val="0"/>
          <c:tx>
            <c:strRef>
              <c:f>'Appendix2A-3a'!$C$9</c:f>
              <c:strCache>
                <c:ptCount val="1"/>
                <c:pt idx="0">
                  <c:v>Marginal Cost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'Appendix2A-3a'!$A$10:$A$25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'Appendix2A-3a'!$C$10:$C$25</c:f>
              <c:numCache>
                <c:formatCode>#,##0</c:formatCode>
                <c:ptCount val="16"/>
                <c:pt idx="0">
                  <c:v>300</c:v>
                </c:pt>
                <c:pt idx="1">
                  <c:v>254.5</c:v>
                </c:pt>
                <c:pt idx="2">
                  <c:v>218</c:v>
                </c:pt>
                <c:pt idx="3">
                  <c:v>190.5</c:v>
                </c:pt>
                <c:pt idx="4">
                  <c:v>172</c:v>
                </c:pt>
                <c:pt idx="5">
                  <c:v>162.5</c:v>
                </c:pt>
                <c:pt idx="6">
                  <c:v>162</c:v>
                </c:pt>
                <c:pt idx="7">
                  <c:v>170.5</c:v>
                </c:pt>
                <c:pt idx="8">
                  <c:v>188</c:v>
                </c:pt>
                <c:pt idx="9">
                  <c:v>214.5</c:v>
                </c:pt>
                <c:pt idx="10">
                  <c:v>250</c:v>
                </c:pt>
                <c:pt idx="11">
                  <c:v>294.5</c:v>
                </c:pt>
                <c:pt idx="12">
                  <c:v>348</c:v>
                </c:pt>
                <c:pt idx="13">
                  <c:v>410.5</c:v>
                </c:pt>
                <c:pt idx="14">
                  <c:v>482</c:v>
                </c:pt>
                <c:pt idx="15">
                  <c:v>562.5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7-429F-80EB-CCF54B2D563C}"/>
            </c:ext>
          </c:extLst>
        </c:ser>
        <c:ser>
          <c:idx val="1"/>
          <c:order val="1"/>
          <c:tx>
            <c:strRef>
              <c:f>'Appendix2A-3a'!$D$9</c:f>
              <c:strCache>
                <c:ptCount val="1"/>
                <c:pt idx="0">
                  <c:v>Average Cost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'Appendix2A-3a'!$A$10:$A$25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'Appendix2A-3a'!$D$10:$D$25</c:f>
              <c:numCache>
                <c:formatCode>#,##0</c:formatCode>
                <c:ptCount val="16"/>
                <c:pt idx="1">
                  <c:v>1776.5</c:v>
                </c:pt>
                <c:pt idx="2">
                  <c:v>1006</c:v>
                </c:pt>
                <c:pt idx="3">
                  <c:v>738.5</c:v>
                </c:pt>
                <c:pt idx="4">
                  <c:v>599</c:v>
                </c:pt>
                <c:pt idx="5">
                  <c:v>512.5</c:v>
                </c:pt>
                <c:pt idx="6">
                  <c:v>454</c:v>
                </c:pt>
                <c:pt idx="7">
                  <c:v>412.78571428571428</c:v>
                </c:pt>
                <c:pt idx="8">
                  <c:v>383.5</c:v>
                </c:pt>
                <c:pt idx="9">
                  <c:v>363.16666666666669</c:v>
                </c:pt>
                <c:pt idx="10">
                  <c:v>350</c:v>
                </c:pt>
                <c:pt idx="11">
                  <c:v>342.86363636363637</c:v>
                </c:pt>
                <c:pt idx="12">
                  <c:v>341</c:v>
                </c:pt>
                <c:pt idx="13">
                  <c:v>343.88461538461536</c:v>
                </c:pt>
                <c:pt idx="14">
                  <c:v>351.14285714285717</c:v>
                </c:pt>
                <c:pt idx="15">
                  <c:v>362.5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07-429F-80EB-CCF54B2D563C}"/>
            </c:ext>
          </c:extLst>
        </c:ser>
        <c:ser>
          <c:idx val="2"/>
          <c:order val="2"/>
          <c:tx>
            <c:strRef>
              <c:f>'Appendix2A-3a'!$E$9</c:f>
              <c:strCache>
                <c:ptCount val="1"/>
                <c:pt idx="0">
                  <c:v>Avg Variable Cost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'Appendix2A-3a'!$A$10:$A$25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'Appendix2A-3a'!$E$10:$E$25</c:f>
              <c:numCache>
                <c:formatCode>#,##0</c:formatCode>
                <c:ptCount val="16"/>
                <c:pt idx="1">
                  <c:v>276.5</c:v>
                </c:pt>
                <c:pt idx="2">
                  <c:v>256</c:v>
                </c:pt>
                <c:pt idx="3">
                  <c:v>238.5</c:v>
                </c:pt>
                <c:pt idx="4">
                  <c:v>224</c:v>
                </c:pt>
                <c:pt idx="5">
                  <c:v>212.5</c:v>
                </c:pt>
                <c:pt idx="6">
                  <c:v>204</c:v>
                </c:pt>
                <c:pt idx="7">
                  <c:v>198.5</c:v>
                </c:pt>
                <c:pt idx="8">
                  <c:v>196</c:v>
                </c:pt>
                <c:pt idx="9">
                  <c:v>196.5</c:v>
                </c:pt>
                <c:pt idx="10">
                  <c:v>200</c:v>
                </c:pt>
                <c:pt idx="11">
                  <c:v>206.5</c:v>
                </c:pt>
                <c:pt idx="12">
                  <c:v>216</c:v>
                </c:pt>
                <c:pt idx="13">
                  <c:v>228.5</c:v>
                </c:pt>
                <c:pt idx="14">
                  <c:v>244</c:v>
                </c:pt>
                <c:pt idx="15">
                  <c:v>262.5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07-429F-80EB-CCF54B2D5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992399"/>
        <c:axId val="1"/>
      </c:scatterChart>
      <c:valAx>
        <c:axId val="790992399"/>
        <c:scaling>
          <c:orientation val="minMax"/>
          <c:max val="16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Output</a:t>
                </a:r>
              </a:p>
            </c:rich>
          </c:tx>
          <c:layout>
            <c:manualLayout>
              <c:xMode val="edge"/>
              <c:yMode val="edge"/>
              <c:x val="0.50650939410345663"/>
              <c:y val="0.909707366563698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2"/>
        <c:minorUnit val="1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Cost ($)</a:t>
                </a:r>
              </a:p>
            </c:rich>
          </c:tx>
          <c:layout>
            <c:manualLayout>
              <c:xMode val="edge"/>
              <c:yMode val="edge"/>
              <c:x val="7.4213830637869099E-3"/>
              <c:y val="0.4619506911061052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0992399"/>
        <c:crosses val="autoZero"/>
        <c:crossBetween val="midCat"/>
      </c:valAx>
      <c:spPr>
        <a:noFill/>
        <a:ln w="381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5938674843293834"/>
          <c:y val="0.32001053462098911"/>
          <c:w val="0.36179242435961184"/>
          <c:h val="0.1612956323694501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8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8100">
      <a:solidFill>
        <a:srgbClr val="000000"/>
      </a:solidFill>
      <a:prstDash val="solid"/>
    </a:ln>
  </c:spPr>
  <c:txPr>
    <a:bodyPr/>
    <a:lstStyle/>
    <a:p>
      <a:pPr>
        <a:defRPr sz="15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317500</xdr:colOff>
      <xdr:row>3</xdr:row>
      <xdr:rowOff>0</xdr:rowOff>
    </xdr:from>
    <xdr:to>
      <xdr:col>15</xdr:col>
      <xdr:colOff>361950</xdr:colOff>
      <xdr:row>26</xdr:row>
      <xdr:rowOff>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FE1D051D-63CF-419E-B3EE-A4044BD5A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2"/>
  <sheetViews>
    <sheetView showGridLines="0" tabSelected="1" zoomScale="50" workbookViewId="0">
      <selection activeCell="D17" sqref="D17"/>
    </sheetView>
  </sheetViews>
  <sheetFormatPr defaultColWidth="9.1796875" defaultRowHeight="15.5" x14ac:dyDescent="0.35"/>
  <cols>
    <col min="1" max="6" width="14.7265625" style="1" customWidth="1"/>
    <col min="7" max="16384" width="9.1796875" style="1"/>
  </cols>
  <sheetData>
    <row r="1" spans="1:19" ht="32.5" x14ac:dyDescent="0.65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8"/>
      <c r="Q1" s="35"/>
      <c r="R1" s="35"/>
      <c r="S1" s="35"/>
    </row>
    <row r="2" spans="1:19" ht="16" thickBot="1" x14ac:dyDescent="0.4">
      <c r="A2" s="3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0"/>
    </row>
    <row r="3" spans="1:19" ht="20.5" thickBot="1" x14ac:dyDescent="0.45">
      <c r="A3" s="45" t="s">
        <v>1</v>
      </c>
      <c r="B3" s="22"/>
      <c r="C3" s="22"/>
      <c r="D3" s="22"/>
      <c r="E3" s="22"/>
      <c r="F3" s="22"/>
      <c r="G3" s="46" t="s">
        <v>2</v>
      </c>
      <c r="H3" s="22"/>
      <c r="I3" s="22"/>
      <c r="J3" s="22"/>
      <c r="K3" s="22"/>
      <c r="L3" s="22"/>
      <c r="M3" s="22"/>
      <c r="N3" s="22"/>
      <c r="O3" s="22"/>
      <c r="P3" s="23"/>
    </row>
    <row r="4" spans="1:19" x14ac:dyDescent="0.35">
      <c r="A4" s="7" t="s">
        <v>3</v>
      </c>
      <c r="B4" s="8"/>
      <c r="C4" s="8"/>
      <c r="D4" s="8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0"/>
    </row>
    <row r="5" spans="1:19" x14ac:dyDescent="0.35">
      <c r="A5" s="5" t="s">
        <v>4</v>
      </c>
      <c r="B5" s="6"/>
      <c r="C5" s="6"/>
      <c r="D5" s="6"/>
      <c r="E5" s="10"/>
      <c r="F5" s="4"/>
      <c r="G5" s="4"/>
      <c r="H5" s="4"/>
      <c r="I5" s="4"/>
      <c r="J5" s="4"/>
      <c r="K5" s="4"/>
      <c r="L5" s="4"/>
      <c r="M5" s="4"/>
      <c r="N5" s="4"/>
      <c r="O5" s="4"/>
      <c r="P5" s="40"/>
    </row>
    <row r="6" spans="1:19" x14ac:dyDescent="0.35">
      <c r="A6" s="5" t="s">
        <v>5</v>
      </c>
      <c r="B6" s="6"/>
      <c r="C6" s="6"/>
      <c r="D6" s="6"/>
      <c r="E6" s="10"/>
      <c r="F6" s="4"/>
      <c r="G6" s="4"/>
      <c r="H6" s="4"/>
      <c r="I6" s="4"/>
      <c r="J6" s="4"/>
      <c r="K6" s="4"/>
      <c r="L6" s="4"/>
      <c r="M6" s="4"/>
      <c r="N6" s="4"/>
      <c r="O6" s="4"/>
      <c r="P6" s="40"/>
    </row>
    <row r="7" spans="1:19" ht="16" thickBot="1" x14ac:dyDescent="0.4">
      <c r="A7" s="11" t="s">
        <v>6</v>
      </c>
      <c r="B7" s="12"/>
      <c r="C7" s="12"/>
      <c r="D7" s="12"/>
      <c r="E7" s="13"/>
      <c r="F7" s="4"/>
      <c r="G7" s="4"/>
      <c r="H7" s="4"/>
      <c r="I7" s="4"/>
      <c r="J7" s="4"/>
      <c r="K7" s="4"/>
      <c r="L7" s="4"/>
      <c r="M7" s="4"/>
      <c r="N7" s="4"/>
      <c r="O7" s="4"/>
      <c r="P7" s="40"/>
    </row>
    <row r="8" spans="1:19" ht="16" thickBot="1" x14ac:dyDescent="0.4">
      <c r="A8" s="3"/>
      <c r="B8" s="2"/>
      <c r="C8" s="2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0"/>
    </row>
    <row r="9" spans="1:19" ht="45" customHeight="1" x14ac:dyDescent="0.35">
      <c r="A9" s="42" t="s">
        <v>7</v>
      </c>
      <c r="B9" s="43" t="s">
        <v>8</v>
      </c>
      <c r="C9" s="43" t="s">
        <v>9</v>
      </c>
      <c r="D9" s="43" t="s">
        <v>10</v>
      </c>
      <c r="E9" s="44" t="s">
        <v>11</v>
      </c>
      <c r="F9" s="4"/>
      <c r="G9" s="4"/>
      <c r="H9" s="4"/>
      <c r="I9" s="4"/>
      <c r="J9" s="4"/>
      <c r="K9" s="4"/>
      <c r="L9" s="4"/>
      <c r="M9" s="4"/>
      <c r="N9" s="4"/>
      <c r="O9" s="4"/>
      <c r="P9" s="40"/>
    </row>
    <row r="10" spans="1:19" x14ac:dyDescent="0.35">
      <c r="A10" s="16">
        <v>0</v>
      </c>
      <c r="B10" s="14">
        <f>1500+300*$A10-25*$A10^2+1.5*$A10^3</f>
        <v>1500</v>
      </c>
      <c r="C10" s="14">
        <f>300-50*$A10+4.5*$A10^2</f>
        <v>300</v>
      </c>
      <c r="D10" s="15"/>
      <c r="E10" s="17"/>
      <c r="F10" s="4"/>
      <c r="G10" s="4"/>
      <c r="H10" s="4"/>
      <c r="I10" s="4"/>
      <c r="J10" s="4"/>
      <c r="K10" s="4"/>
      <c r="L10" s="4"/>
      <c r="M10" s="4"/>
      <c r="N10" s="4"/>
      <c r="O10" s="4"/>
      <c r="P10" s="40"/>
    </row>
    <row r="11" spans="1:19" x14ac:dyDescent="0.35">
      <c r="A11" s="16">
        <v>1</v>
      </c>
      <c r="B11" s="14">
        <f>1500+300*$A11-25*$A11^2+1.5*$A11^3</f>
        <v>1776.5</v>
      </c>
      <c r="C11" s="14">
        <f>300-50*$A11+4.5*$A11^2</f>
        <v>254.5</v>
      </c>
      <c r="D11" s="14">
        <f>B11/A11</f>
        <v>1776.5</v>
      </c>
      <c r="E11" s="18">
        <f>(B11-1500)/A11</f>
        <v>276.5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0"/>
    </row>
    <row r="12" spans="1:19" x14ac:dyDescent="0.35">
      <c r="A12" s="16">
        <v>2</v>
      </c>
      <c r="B12" s="14">
        <f t="shared" ref="B12:B25" si="0">1500+300*$A12-25*$A12^2+1.5*$A12^3</f>
        <v>2012</v>
      </c>
      <c r="C12" s="14">
        <f t="shared" ref="C12:C25" si="1">300-50*$A12+4.5*$A12^2</f>
        <v>218</v>
      </c>
      <c r="D12" s="14">
        <f t="shared" ref="D12:D25" si="2">B12/A12</f>
        <v>1006</v>
      </c>
      <c r="E12" s="18">
        <f t="shared" ref="E12:E25" si="3">(B12-1500)/A12</f>
        <v>256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0"/>
    </row>
    <row r="13" spans="1:19" x14ac:dyDescent="0.35">
      <c r="A13" s="16">
        <v>3</v>
      </c>
      <c r="B13" s="14">
        <f t="shared" si="0"/>
        <v>2215.5</v>
      </c>
      <c r="C13" s="14">
        <f t="shared" si="1"/>
        <v>190.5</v>
      </c>
      <c r="D13" s="14">
        <f t="shared" si="2"/>
        <v>738.5</v>
      </c>
      <c r="E13" s="18">
        <f t="shared" si="3"/>
        <v>238.5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0"/>
    </row>
    <row r="14" spans="1:19" x14ac:dyDescent="0.35">
      <c r="A14" s="16">
        <v>4</v>
      </c>
      <c r="B14" s="14">
        <f t="shared" si="0"/>
        <v>2396</v>
      </c>
      <c r="C14" s="14">
        <f t="shared" si="1"/>
        <v>172</v>
      </c>
      <c r="D14" s="14">
        <f t="shared" si="2"/>
        <v>599</v>
      </c>
      <c r="E14" s="18">
        <f t="shared" si="3"/>
        <v>224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0"/>
    </row>
    <row r="15" spans="1:19" x14ac:dyDescent="0.35">
      <c r="A15" s="16">
        <v>5</v>
      </c>
      <c r="B15" s="14">
        <f t="shared" si="0"/>
        <v>2562.5</v>
      </c>
      <c r="C15" s="14">
        <f t="shared" si="1"/>
        <v>162.5</v>
      </c>
      <c r="D15" s="14">
        <f t="shared" si="2"/>
        <v>512.5</v>
      </c>
      <c r="E15" s="18">
        <f t="shared" si="3"/>
        <v>212.5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0"/>
    </row>
    <row r="16" spans="1:19" x14ac:dyDescent="0.35">
      <c r="A16" s="16">
        <v>6</v>
      </c>
      <c r="B16" s="14">
        <f t="shared" si="0"/>
        <v>2724</v>
      </c>
      <c r="C16" s="14">
        <f t="shared" si="1"/>
        <v>162</v>
      </c>
      <c r="D16" s="14">
        <f t="shared" si="2"/>
        <v>454</v>
      </c>
      <c r="E16" s="18">
        <f t="shared" si="3"/>
        <v>204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0"/>
    </row>
    <row r="17" spans="1:16" x14ac:dyDescent="0.35">
      <c r="A17" s="16">
        <v>7</v>
      </c>
      <c r="B17" s="14">
        <f t="shared" si="0"/>
        <v>2889.5</v>
      </c>
      <c r="C17" s="14">
        <f t="shared" si="1"/>
        <v>170.5</v>
      </c>
      <c r="D17" s="14">
        <f t="shared" si="2"/>
        <v>412.78571428571428</v>
      </c>
      <c r="E17" s="18">
        <f t="shared" si="3"/>
        <v>198.5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0"/>
    </row>
    <row r="18" spans="1:16" x14ac:dyDescent="0.35">
      <c r="A18" s="16">
        <v>8</v>
      </c>
      <c r="B18" s="14">
        <f t="shared" si="0"/>
        <v>3068</v>
      </c>
      <c r="C18" s="14">
        <f t="shared" si="1"/>
        <v>188</v>
      </c>
      <c r="D18" s="14">
        <f t="shared" si="2"/>
        <v>383.5</v>
      </c>
      <c r="E18" s="18">
        <f t="shared" si="3"/>
        <v>196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0"/>
    </row>
    <row r="19" spans="1:16" x14ac:dyDescent="0.35">
      <c r="A19" s="16">
        <v>9</v>
      </c>
      <c r="B19" s="14">
        <f t="shared" si="0"/>
        <v>3268.5</v>
      </c>
      <c r="C19" s="14">
        <f t="shared" si="1"/>
        <v>214.5</v>
      </c>
      <c r="D19" s="14">
        <f t="shared" si="2"/>
        <v>363.16666666666669</v>
      </c>
      <c r="E19" s="18">
        <f t="shared" si="3"/>
        <v>196.5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0"/>
    </row>
    <row r="20" spans="1:16" x14ac:dyDescent="0.35">
      <c r="A20" s="16">
        <v>10</v>
      </c>
      <c r="B20" s="14">
        <f t="shared" si="0"/>
        <v>3500</v>
      </c>
      <c r="C20" s="14">
        <f t="shared" si="1"/>
        <v>250</v>
      </c>
      <c r="D20" s="14">
        <f t="shared" si="2"/>
        <v>350</v>
      </c>
      <c r="E20" s="18">
        <f t="shared" si="3"/>
        <v>200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0"/>
    </row>
    <row r="21" spans="1:16" x14ac:dyDescent="0.35">
      <c r="A21" s="16">
        <v>11</v>
      </c>
      <c r="B21" s="14">
        <f t="shared" si="0"/>
        <v>3771.5</v>
      </c>
      <c r="C21" s="14">
        <f t="shared" si="1"/>
        <v>294.5</v>
      </c>
      <c r="D21" s="14">
        <f t="shared" si="2"/>
        <v>342.86363636363637</v>
      </c>
      <c r="E21" s="18">
        <f t="shared" si="3"/>
        <v>206.5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0"/>
    </row>
    <row r="22" spans="1:16" x14ac:dyDescent="0.35">
      <c r="A22" s="16">
        <v>12</v>
      </c>
      <c r="B22" s="14">
        <f t="shared" si="0"/>
        <v>4092</v>
      </c>
      <c r="C22" s="14">
        <f t="shared" si="1"/>
        <v>348</v>
      </c>
      <c r="D22" s="14">
        <f t="shared" si="2"/>
        <v>341</v>
      </c>
      <c r="E22" s="18">
        <f t="shared" si="3"/>
        <v>216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0"/>
    </row>
    <row r="23" spans="1:16" x14ac:dyDescent="0.35">
      <c r="A23" s="16">
        <v>13</v>
      </c>
      <c r="B23" s="14">
        <f t="shared" si="0"/>
        <v>4470.5</v>
      </c>
      <c r="C23" s="14">
        <f t="shared" si="1"/>
        <v>410.5</v>
      </c>
      <c r="D23" s="14">
        <f t="shared" si="2"/>
        <v>343.88461538461536</v>
      </c>
      <c r="E23" s="18">
        <f t="shared" si="3"/>
        <v>228.5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0"/>
    </row>
    <row r="24" spans="1:16" x14ac:dyDescent="0.35">
      <c r="A24" s="16">
        <v>14</v>
      </c>
      <c r="B24" s="14">
        <f t="shared" si="0"/>
        <v>4916</v>
      </c>
      <c r="C24" s="14">
        <f t="shared" si="1"/>
        <v>482</v>
      </c>
      <c r="D24" s="14">
        <f t="shared" si="2"/>
        <v>351.14285714285717</v>
      </c>
      <c r="E24" s="18">
        <f t="shared" si="3"/>
        <v>244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0"/>
    </row>
    <row r="25" spans="1:16" x14ac:dyDescent="0.35">
      <c r="A25" s="16">
        <v>15</v>
      </c>
      <c r="B25" s="14">
        <f t="shared" si="0"/>
        <v>5437.5</v>
      </c>
      <c r="C25" s="14">
        <f t="shared" si="1"/>
        <v>562.5</v>
      </c>
      <c r="D25" s="14">
        <f t="shared" si="2"/>
        <v>362.5</v>
      </c>
      <c r="E25" s="18">
        <f t="shared" si="3"/>
        <v>262.5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0"/>
    </row>
    <row r="26" spans="1:16" ht="16" thickBot="1" x14ac:dyDescent="0.4">
      <c r="A26" s="19">
        <v>16</v>
      </c>
      <c r="B26" s="20"/>
      <c r="C26" s="20"/>
      <c r="D26" s="20"/>
      <c r="E26" s="21"/>
      <c r="F26" s="4"/>
      <c r="G26" s="4"/>
      <c r="H26" s="4"/>
      <c r="I26" s="4"/>
      <c r="J26" s="4"/>
      <c r="K26" s="4"/>
      <c r="L26" s="4"/>
      <c r="M26" s="4"/>
      <c r="N26" s="4"/>
      <c r="O26" s="4"/>
      <c r="P26" s="40"/>
    </row>
    <row r="27" spans="1:16" x14ac:dyDescent="0.35">
      <c r="A27" s="39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0"/>
    </row>
    <row r="28" spans="1:16" ht="20.5" thickBot="1" x14ac:dyDescent="0.45">
      <c r="A28" s="47" t="s">
        <v>12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0"/>
    </row>
    <row r="29" spans="1:16" x14ac:dyDescent="0.35">
      <c r="A29" s="26" t="s">
        <v>13</v>
      </c>
      <c r="B29" s="27"/>
      <c r="C29" s="27"/>
      <c r="D29" s="28"/>
      <c r="E29" s="31" t="s">
        <v>14</v>
      </c>
      <c r="F29" s="34">
        <v>5.555555538953989</v>
      </c>
      <c r="G29" s="4"/>
      <c r="H29" s="4"/>
      <c r="I29" s="4"/>
      <c r="J29" s="4"/>
      <c r="K29" s="4"/>
      <c r="L29" s="4"/>
      <c r="M29" s="4"/>
      <c r="N29" s="4"/>
      <c r="O29" s="4"/>
      <c r="P29" s="40"/>
    </row>
    <row r="30" spans="1:16" ht="16" thickBot="1" x14ac:dyDescent="0.4">
      <c r="A30" s="29" t="s">
        <v>15</v>
      </c>
      <c r="B30" s="30"/>
      <c r="C30" s="30"/>
      <c r="D30" s="33"/>
      <c r="E30" s="32" t="s">
        <v>16</v>
      </c>
      <c r="F30" s="25">
        <f>300-50*$F$29+4.5*$F$29^2</f>
        <v>161.11111111111109</v>
      </c>
      <c r="G30" s="4"/>
      <c r="H30" s="4"/>
      <c r="I30" s="4"/>
      <c r="J30" s="4"/>
      <c r="K30" s="4"/>
      <c r="L30" s="4"/>
      <c r="M30" s="4"/>
      <c r="N30" s="4"/>
      <c r="O30" s="4"/>
      <c r="P30" s="40"/>
    </row>
    <row r="31" spans="1:16" x14ac:dyDescent="0.35">
      <c r="A31" s="26" t="s">
        <v>17</v>
      </c>
      <c r="B31" s="27"/>
      <c r="C31" s="27"/>
      <c r="D31" s="28"/>
      <c r="E31" s="31" t="s">
        <v>14</v>
      </c>
      <c r="F31" s="34">
        <v>5.5555556666666668</v>
      </c>
      <c r="G31" s="4"/>
      <c r="H31" s="4"/>
      <c r="I31" s="4"/>
      <c r="J31" s="4"/>
      <c r="K31" s="4"/>
      <c r="L31" s="4"/>
      <c r="M31" s="4"/>
      <c r="N31" s="4"/>
      <c r="O31" s="4"/>
      <c r="P31" s="40"/>
    </row>
    <row r="32" spans="1:16" ht="16" thickBot="1" x14ac:dyDescent="0.4">
      <c r="A32" s="29" t="s">
        <v>18</v>
      </c>
      <c r="B32" s="30"/>
      <c r="C32" s="30"/>
      <c r="D32" s="33"/>
      <c r="E32" s="32" t="s">
        <v>19</v>
      </c>
      <c r="F32" s="25">
        <f>-50+9*$F$31</f>
        <v>9.9999999747524271E-7</v>
      </c>
      <c r="G32" s="24"/>
      <c r="H32" s="24"/>
      <c r="I32" s="24"/>
      <c r="J32" s="24" t="s">
        <v>20</v>
      </c>
      <c r="K32" s="24"/>
      <c r="L32" s="24"/>
      <c r="M32" s="24"/>
      <c r="N32" s="24"/>
      <c r="O32" s="24"/>
      <c r="P32" s="41"/>
    </row>
  </sheetData>
  <printOptions horizontalCentered="1" verticalCentered="1" headings="1" gridLines="1"/>
  <pageMargins left="0.75" right="0.75" top="0.75" bottom="0.75" header="0.5" footer="0.5"/>
  <pageSetup scale="67" orientation="landscape" r:id="rId1"/>
  <headerFooter alignWithMargins="0">
    <oddHeader xml:space="preserve">&amp;LTom Cox
AAE421: Homework 2&amp;R
</oddHeader>
    <oddFooter>&amp;L&amp;F&amp;R&amp;D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zoomScale="50" workbookViewId="0">
      <selection activeCell="B2" sqref="B2"/>
    </sheetView>
  </sheetViews>
  <sheetFormatPr defaultColWidth="9.1796875" defaultRowHeight="23" x14ac:dyDescent="0.5"/>
  <cols>
    <col min="1" max="13" width="14.7265625" style="52" customWidth="1"/>
    <col min="14" max="16384" width="9.1796875" style="52"/>
  </cols>
  <sheetData>
    <row r="1" spans="1:12" ht="88.5" customHeight="1" x14ac:dyDescent="0.9">
      <c r="A1" s="108" t="s">
        <v>21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2" ht="32.5" x14ac:dyDescent="0.65">
      <c r="A2" s="101"/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2" ht="28" thickBot="1" x14ac:dyDescent="0.6">
      <c r="A3" s="73" t="s">
        <v>22</v>
      </c>
      <c r="B3" s="73"/>
      <c r="C3" s="73"/>
      <c r="D3" s="73"/>
      <c r="E3" s="73"/>
      <c r="F3" s="73"/>
      <c r="G3" s="73"/>
      <c r="H3" s="73"/>
      <c r="I3" s="73"/>
      <c r="J3" s="73"/>
      <c r="K3" s="73"/>
    </row>
    <row r="4" spans="1:12" x14ac:dyDescent="0.5">
      <c r="A4" s="56" t="s">
        <v>23</v>
      </c>
      <c r="B4" s="57"/>
      <c r="C4" s="57"/>
      <c r="D4" s="57"/>
      <c r="E4" s="57"/>
      <c r="F4" s="57"/>
      <c r="G4" s="58" t="s">
        <v>24</v>
      </c>
      <c r="H4" s="57"/>
      <c r="I4" s="57"/>
      <c r="J4" s="57"/>
      <c r="K4" s="59"/>
      <c r="L4" s="51"/>
    </row>
    <row r="5" spans="1:12" x14ac:dyDescent="0.5">
      <c r="A5" s="60" t="s">
        <v>25</v>
      </c>
      <c r="B5" s="55"/>
      <c r="C5" s="55"/>
      <c r="D5" s="55"/>
      <c r="E5" s="54"/>
      <c r="F5" s="49"/>
      <c r="G5" s="55" t="s">
        <v>26</v>
      </c>
      <c r="H5" s="55"/>
      <c r="I5" s="55"/>
      <c r="J5" s="55"/>
      <c r="K5" s="61"/>
      <c r="L5" s="51"/>
    </row>
    <row r="6" spans="1:12" x14ac:dyDescent="0.5">
      <c r="A6" s="62"/>
      <c r="B6" s="116"/>
      <c r="C6" s="116"/>
      <c r="D6" s="116"/>
      <c r="E6" s="50"/>
      <c r="F6" s="49"/>
      <c r="G6" s="51"/>
      <c r="H6" s="50"/>
      <c r="I6" s="50"/>
      <c r="J6" s="50"/>
      <c r="K6" s="63"/>
    </row>
    <row r="7" spans="1:12" x14ac:dyDescent="0.5">
      <c r="A7" s="62" t="s">
        <v>27</v>
      </c>
      <c r="B7" s="51"/>
      <c r="C7" s="51"/>
      <c r="D7" s="50"/>
      <c r="E7" s="50"/>
      <c r="F7" s="50"/>
      <c r="G7" s="49" t="s">
        <v>28</v>
      </c>
      <c r="H7" s="51"/>
      <c r="I7" s="51"/>
      <c r="J7" s="50"/>
      <c r="K7" s="63"/>
    </row>
    <row r="8" spans="1:12" ht="23.5" thickBot="1" x14ac:dyDescent="0.55000000000000004">
      <c r="A8" s="64" t="s">
        <v>29</v>
      </c>
      <c r="B8" s="65"/>
      <c r="C8" s="65"/>
      <c r="D8" s="65"/>
      <c r="E8" s="66"/>
      <c r="F8" s="48"/>
      <c r="G8" s="65" t="s">
        <v>30</v>
      </c>
      <c r="H8" s="65"/>
      <c r="I8" s="65"/>
      <c r="J8" s="65"/>
      <c r="K8" s="67"/>
    </row>
    <row r="9" spans="1:12" x14ac:dyDescent="0.5">
      <c r="A9" s="49"/>
      <c r="B9" s="50"/>
      <c r="C9" s="50"/>
      <c r="D9" s="50"/>
      <c r="E9" s="50"/>
      <c r="F9" s="49"/>
      <c r="G9" s="51"/>
      <c r="H9" s="51"/>
      <c r="K9" s="50"/>
    </row>
    <row r="10" spans="1:12" ht="28" thickBot="1" x14ac:dyDescent="0.6">
      <c r="A10" s="73" t="s">
        <v>31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</row>
    <row r="11" spans="1:12" x14ac:dyDescent="0.5">
      <c r="A11" s="56" t="s">
        <v>32</v>
      </c>
      <c r="B11" s="57"/>
      <c r="C11" s="57"/>
      <c r="D11" s="57"/>
      <c r="E11" s="57"/>
      <c r="F11" s="57"/>
      <c r="G11" s="58" t="s">
        <v>33</v>
      </c>
      <c r="H11" s="57"/>
      <c r="I11" s="57"/>
      <c r="J11" s="57"/>
      <c r="K11" s="59"/>
    </row>
    <row r="12" spans="1:12" ht="23.5" thickBot="1" x14ac:dyDescent="0.55000000000000004">
      <c r="A12" s="68" t="s">
        <v>34</v>
      </c>
      <c r="B12" s="69"/>
      <c r="C12" s="69"/>
      <c r="D12" s="69"/>
      <c r="E12" s="70"/>
      <c r="F12" s="48"/>
      <c r="G12" s="69" t="s">
        <v>35</v>
      </c>
      <c r="H12" s="69"/>
      <c r="I12" s="69"/>
      <c r="J12" s="69"/>
      <c r="K12" s="67"/>
    </row>
    <row r="13" spans="1:12" x14ac:dyDescent="0.5">
      <c r="G13" s="51"/>
      <c r="H13" s="51"/>
      <c r="K13" s="50"/>
    </row>
    <row r="14" spans="1:12" ht="28" thickBot="1" x14ac:dyDescent="0.6">
      <c r="A14" s="74" t="s">
        <v>36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</row>
    <row r="15" spans="1:12" x14ac:dyDescent="0.5">
      <c r="A15" s="56" t="s">
        <v>37</v>
      </c>
      <c r="B15" s="57"/>
      <c r="C15" s="57"/>
      <c r="D15" s="57"/>
      <c r="E15" s="57"/>
      <c r="F15" s="57"/>
      <c r="G15" s="58" t="s">
        <v>38</v>
      </c>
      <c r="H15" s="57"/>
      <c r="I15" s="57"/>
      <c r="J15" s="57"/>
      <c r="K15" s="59"/>
    </row>
    <row r="16" spans="1:12" ht="23.5" thickBot="1" x14ac:dyDescent="0.55000000000000004">
      <c r="A16" s="71" t="s">
        <v>39</v>
      </c>
      <c r="B16" s="72"/>
      <c r="C16" s="72"/>
      <c r="D16" s="50"/>
      <c r="E16" s="50"/>
      <c r="F16" s="50"/>
      <c r="G16" s="102" t="s">
        <v>40</v>
      </c>
      <c r="H16" s="102"/>
      <c r="I16" s="69"/>
      <c r="J16" s="69"/>
      <c r="K16" s="67"/>
    </row>
    <row r="17" spans="1:11" x14ac:dyDescent="0.5">
      <c r="A17" s="105"/>
      <c r="B17" s="50"/>
      <c r="C17" s="50"/>
      <c r="D17" s="75"/>
      <c r="E17" s="57"/>
      <c r="F17" s="57"/>
      <c r="G17" s="106"/>
      <c r="H17" s="113" t="s">
        <v>41</v>
      </c>
      <c r="I17" s="114" t="s">
        <v>42</v>
      </c>
      <c r="J17" s="55" t="s">
        <v>20</v>
      </c>
      <c r="K17" s="50"/>
    </row>
    <row r="18" spans="1:11" x14ac:dyDescent="0.5">
      <c r="D18" s="62" t="s">
        <v>43</v>
      </c>
      <c r="E18" s="50"/>
      <c r="F18" s="50"/>
      <c r="G18" s="50"/>
      <c r="H18" s="109">
        <f>-1500 + 2200*H19 - 225*H19^2 - 1.5*H19^3</f>
        <v>3714.2262871620674</v>
      </c>
      <c r="I18" s="76">
        <f>-1500 + 2200*I19 - 225*I19^2 - 1.5*I19^3</f>
        <v>3714.2262871620674</v>
      </c>
    </row>
    <row r="19" spans="1:11" x14ac:dyDescent="0.5">
      <c r="D19" s="62" t="s">
        <v>44</v>
      </c>
      <c r="E19" s="50"/>
      <c r="F19" s="50"/>
      <c r="G19" s="50"/>
      <c r="H19" s="110">
        <v>4.6707310934898922</v>
      </c>
      <c r="I19" s="77">
        <v>4.6707310934898922</v>
      </c>
    </row>
    <row r="20" spans="1:11" x14ac:dyDescent="0.5">
      <c r="D20" s="62" t="s">
        <v>45</v>
      </c>
      <c r="E20" s="50"/>
      <c r="F20" s="50"/>
      <c r="G20" s="50"/>
      <c r="H20" s="111">
        <f>2500 - 250*$H19</f>
        <v>1332.3172266275269</v>
      </c>
      <c r="I20" s="103">
        <f>2500 - 250*$I19</f>
        <v>1332.3172266275269</v>
      </c>
    </row>
    <row r="21" spans="1:11" ht="23.5" thickBot="1" x14ac:dyDescent="0.55000000000000004">
      <c r="D21" s="78" t="s">
        <v>46</v>
      </c>
      <c r="E21" s="72"/>
      <c r="F21" s="72"/>
      <c r="G21" s="72"/>
      <c r="H21" s="112">
        <f>2200 - 450*$H$19 - 4.5*$H$19^2</f>
        <v>2.2766492874382038E-4</v>
      </c>
      <c r="I21" s="104">
        <f>2200 - 450*$I$19 - 4.5*$I$19^2</f>
        <v>2.2766492874382038E-4</v>
      </c>
    </row>
    <row r="22" spans="1:11" ht="23.5" thickBot="1" x14ac:dyDescent="0.55000000000000004">
      <c r="J22" s="50"/>
      <c r="K22" s="50"/>
    </row>
    <row r="23" spans="1:11" ht="27.5" x14ac:dyDescent="0.55000000000000004">
      <c r="A23" s="88" t="s">
        <v>47</v>
      </c>
      <c r="B23" s="57"/>
      <c r="C23" s="57"/>
      <c r="D23" s="89" t="s">
        <v>48</v>
      </c>
      <c r="E23" s="90"/>
      <c r="F23" s="57"/>
      <c r="G23" s="57"/>
      <c r="H23" s="57"/>
      <c r="I23" s="57"/>
      <c r="J23" s="57"/>
      <c r="K23" s="59"/>
    </row>
    <row r="24" spans="1:11" ht="27.5" x14ac:dyDescent="0.55000000000000004">
      <c r="A24" s="91"/>
      <c r="B24" s="85" t="s">
        <v>49</v>
      </c>
      <c r="C24" s="50"/>
      <c r="D24" s="81"/>
      <c r="E24" s="79"/>
      <c r="F24" s="50"/>
      <c r="G24" s="50"/>
      <c r="H24" s="50"/>
      <c r="I24" s="50"/>
      <c r="J24" s="50"/>
      <c r="K24" s="63"/>
    </row>
    <row r="25" spans="1:11" ht="27.5" x14ac:dyDescent="0.55000000000000004">
      <c r="A25" s="92"/>
      <c r="B25" s="85" t="s">
        <v>50</v>
      </c>
      <c r="C25" s="50"/>
      <c r="D25" s="81"/>
      <c r="E25" s="79"/>
      <c r="F25" s="50"/>
      <c r="G25" s="50"/>
      <c r="H25" s="50"/>
      <c r="I25" s="50"/>
      <c r="J25" s="50"/>
      <c r="K25" s="63"/>
    </row>
    <row r="26" spans="1:11" ht="27.5" x14ac:dyDescent="0.55000000000000004">
      <c r="A26" s="91"/>
      <c r="B26" s="51" t="s">
        <v>51</v>
      </c>
      <c r="C26" s="51"/>
      <c r="D26" s="81"/>
      <c r="E26" s="87"/>
      <c r="F26" s="51"/>
      <c r="G26" s="51"/>
      <c r="H26" s="51"/>
      <c r="I26" s="51"/>
      <c r="J26" s="50"/>
      <c r="K26" s="63"/>
    </row>
    <row r="27" spans="1:11" ht="27.5" x14ac:dyDescent="0.55000000000000004">
      <c r="A27" s="91"/>
      <c r="B27" s="51" t="s">
        <v>52</v>
      </c>
      <c r="C27" s="51"/>
      <c r="D27" s="81"/>
      <c r="E27" s="87"/>
      <c r="F27" s="51"/>
      <c r="G27" s="51"/>
      <c r="H27" s="51"/>
      <c r="I27" s="51"/>
      <c r="J27" s="50"/>
      <c r="K27" s="63"/>
    </row>
    <row r="28" spans="1:11" ht="27.5" x14ac:dyDescent="0.55000000000000004">
      <c r="A28" s="91"/>
      <c r="B28" s="51" t="s">
        <v>53</v>
      </c>
      <c r="C28" s="51"/>
      <c r="D28" s="81"/>
      <c r="E28" s="87"/>
      <c r="F28" s="51"/>
      <c r="G28" s="51"/>
      <c r="H28" s="51"/>
      <c r="I28" s="51"/>
      <c r="J28" s="50"/>
      <c r="K28" s="63"/>
    </row>
    <row r="29" spans="1:11" ht="27.5" x14ac:dyDescent="0.55000000000000004">
      <c r="A29" s="91"/>
      <c r="B29" s="50"/>
      <c r="C29" s="50"/>
      <c r="D29" s="81"/>
      <c r="E29" s="79"/>
      <c r="F29" s="50"/>
      <c r="G29" s="50"/>
      <c r="H29" s="50"/>
      <c r="I29" s="50"/>
      <c r="J29" s="50"/>
      <c r="K29" s="63"/>
    </row>
    <row r="30" spans="1:11" ht="27.5" x14ac:dyDescent="0.55000000000000004">
      <c r="A30" s="93" t="s">
        <v>54</v>
      </c>
      <c r="B30" s="50"/>
      <c r="C30" s="50"/>
      <c r="D30" s="50"/>
      <c r="E30" s="80"/>
      <c r="F30" s="50"/>
      <c r="G30" s="50"/>
      <c r="H30" s="50"/>
      <c r="I30" s="50"/>
      <c r="J30" s="50"/>
      <c r="K30" s="63"/>
    </row>
    <row r="31" spans="1:11" ht="27.5" x14ac:dyDescent="0.55000000000000004">
      <c r="A31" s="92"/>
      <c r="B31" s="98"/>
      <c r="C31" s="50"/>
      <c r="D31" s="82"/>
      <c r="E31" s="50"/>
      <c r="F31" s="50"/>
      <c r="G31" s="50"/>
      <c r="H31" s="50"/>
      <c r="I31" s="50"/>
      <c r="J31" s="50"/>
      <c r="K31" s="63"/>
    </row>
    <row r="32" spans="1:11" ht="27.5" x14ac:dyDescent="0.55000000000000004">
      <c r="A32" s="92"/>
      <c r="B32" s="51" t="s">
        <v>55</v>
      </c>
      <c r="C32" s="51"/>
      <c r="D32" s="81"/>
      <c r="E32" s="87"/>
      <c r="F32" s="51"/>
      <c r="G32" s="51"/>
      <c r="H32" s="51"/>
      <c r="I32" s="51"/>
      <c r="J32" s="50"/>
      <c r="K32" s="63"/>
    </row>
    <row r="33" spans="1:11" ht="27.5" x14ac:dyDescent="0.55000000000000004">
      <c r="A33" s="92"/>
      <c r="B33" s="51" t="s">
        <v>56</v>
      </c>
      <c r="C33" s="51"/>
      <c r="D33" s="81"/>
      <c r="E33" s="87"/>
      <c r="F33" s="51"/>
      <c r="G33" s="51"/>
      <c r="H33" s="51"/>
      <c r="I33" s="51"/>
      <c r="J33" s="50"/>
      <c r="K33" s="63"/>
    </row>
    <row r="34" spans="1:11" ht="28" thickBot="1" x14ac:dyDescent="0.6">
      <c r="A34" s="94"/>
      <c r="B34" s="96" t="s">
        <v>57</v>
      </c>
      <c r="C34" s="96"/>
      <c r="D34" s="95"/>
      <c r="E34" s="97"/>
      <c r="F34" s="96"/>
      <c r="G34" s="96"/>
      <c r="H34" s="96"/>
      <c r="I34" s="96"/>
      <c r="J34" s="72"/>
      <c r="K34" s="67"/>
    </row>
    <row r="35" spans="1:11" ht="28" thickBot="1" x14ac:dyDescent="0.6">
      <c r="A35" s="86"/>
      <c r="B35" s="50"/>
      <c r="C35" s="50"/>
      <c r="D35" s="83"/>
      <c r="E35" s="50"/>
      <c r="F35" s="50"/>
      <c r="G35" s="50"/>
      <c r="H35" s="50"/>
      <c r="I35" s="50"/>
      <c r="J35" s="50"/>
      <c r="K35" s="50"/>
    </row>
    <row r="36" spans="1:11" ht="27.5" x14ac:dyDescent="0.55000000000000004">
      <c r="A36" s="88" t="s">
        <v>58</v>
      </c>
      <c r="B36" s="57"/>
      <c r="C36" s="57"/>
      <c r="D36" s="99" t="s">
        <v>59</v>
      </c>
      <c r="E36" s="57"/>
      <c r="F36" s="57"/>
      <c r="G36" s="57"/>
      <c r="H36" s="57"/>
      <c r="I36" s="57"/>
      <c r="J36" s="57"/>
      <c r="K36" s="59"/>
    </row>
    <row r="37" spans="1:11" ht="27.5" x14ac:dyDescent="0.55000000000000004">
      <c r="A37" s="91"/>
      <c r="B37" s="85" t="s">
        <v>60</v>
      </c>
      <c r="C37" s="50"/>
      <c r="D37" s="81"/>
      <c r="E37" s="79"/>
      <c r="F37" s="50"/>
      <c r="G37" s="50"/>
      <c r="H37" s="50"/>
      <c r="I37" s="50"/>
      <c r="J37" s="50"/>
      <c r="K37" s="63"/>
    </row>
    <row r="38" spans="1:11" ht="27.5" x14ac:dyDescent="0.55000000000000004">
      <c r="A38" s="92"/>
      <c r="B38" s="85" t="s">
        <v>61</v>
      </c>
      <c r="C38" s="50"/>
      <c r="D38" s="81"/>
      <c r="E38" s="79"/>
      <c r="F38" s="50"/>
      <c r="G38" s="50"/>
      <c r="H38" s="50"/>
      <c r="I38" s="50"/>
      <c r="J38" s="50"/>
      <c r="K38" s="63"/>
    </row>
    <row r="39" spans="1:11" ht="27.5" x14ac:dyDescent="0.55000000000000004">
      <c r="A39" s="91"/>
      <c r="B39" s="51" t="s">
        <v>62</v>
      </c>
      <c r="C39" s="51"/>
      <c r="D39" s="81"/>
      <c r="E39" s="87"/>
      <c r="F39" s="51"/>
      <c r="G39" s="51"/>
      <c r="H39" s="51"/>
      <c r="I39" s="51"/>
      <c r="J39" s="50"/>
      <c r="K39" s="63"/>
    </row>
    <row r="40" spans="1:11" ht="27.5" x14ac:dyDescent="0.55000000000000004">
      <c r="A40" s="91"/>
      <c r="B40" s="51" t="s">
        <v>63</v>
      </c>
      <c r="C40" s="51"/>
      <c r="D40" s="81"/>
      <c r="E40" s="87"/>
      <c r="F40" s="51"/>
      <c r="G40" s="51"/>
      <c r="H40" s="51"/>
      <c r="I40" s="51"/>
      <c r="J40" s="50"/>
      <c r="K40" s="63"/>
    </row>
    <row r="41" spans="1:11" ht="27.5" x14ac:dyDescent="0.55000000000000004">
      <c r="A41" s="91"/>
      <c r="B41" s="51" t="s">
        <v>64</v>
      </c>
      <c r="C41" s="51"/>
      <c r="D41" s="81"/>
      <c r="E41" s="87"/>
      <c r="F41" s="51"/>
      <c r="G41" s="51"/>
      <c r="H41" s="51"/>
      <c r="I41" s="51"/>
      <c r="J41" s="50"/>
      <c r="K41" s="63"/>
    </row>
    <row r="42" spans="1:11" ht="27.5" x14ac:dyDescent="0.55000000000000004">
      <c r="A42" s="91"/>
      <c r="B42" s="50"/>
      <c r="C42" s="50"/>
      <c r="D42" s="84"/>
      <c r="E42" s="50"/>
      <c r="F42" s="50"/>
      <c r="G42" s="50"/>
      <c r="H42" s="50"/>
      <c r="I42" s="50"/>
      <c r="J42" s="50"/>
      <c r="K42" s="63"/>
    </row>
    <row r="43" spans="1:11" ht="27.5" x14ac:dyDescent="0.55000000000000004">
      <c r="A43" s="93" t="s">
        <v>65</v>
      </c>
      <c r="B43" s="50"/>
      <c r="C43" s="50"/>
      <c r="D43" s="50"/>
      <c r="E43" s="80"/>
      <c r="F43" s="50"/>
      <c r="G43" s="50"/>
      <c r="H43" s="50"/>
      <c r="I43" s="50"/>
      <c r="J43" s="50"/>
      <c r="K43" s="63"/>
    </row>
    <row r="44" spans="1:11" ht="27.5" x14ac:dyDescent="0.55000000000000004">
      <c r="A44" s="92"/>
      <c r="B44" s="100"/>
      <c r="C44" s="50"/>
      <c r="D44" s="82"/>
      <c r="E44" s="50"/>
      <c r="F44" s="50"/>
      <c r="G44" s="50"/>
      <c r="H44" s="50"/>
      <c r="I44" s="50"/>
      <c r="J44" s="50"/>
      <c r="K44" s="63"/>
    </row>
    <row r="45" spans="1:11" ht="27.5" x14ac:dyDescent="0.55000000000000004">
      <c r="A45" s="92"/>
      <c r="B45" s="51" t="s">
        <v>66</v>
      </c>
      <c r="C45" s="51"/>
      <c r="D45" s="81"/>
      <c r="E45" s="87"/>
      <c r="F45" s="51"/>
      <c r="G45" s="51"/>
      <c r="H45" s="51"/>
      <c r="I45" s="51"/>
      <c r="J45" s="50"/>
      <c r="K45" s="63"/>
    </row>
    <row r="46" spans="1:11" ht="27.5" x14ac:dyDescent="0.55000000000000004">
      <c r="A46" s="92"/>
      <c r="B46" s="51" t="s">
        <v>67</v>
      </c>
      <c r="C46" s="51"/>
      <c r="D46" s="81"/>
      <c r="E46" s="87"/>
      <c r="F46" s="51"/>
      <c r="G46" s="51"/>
      <c r="H46" s="51"/>
      <c r="I46" s="51"/>
      <c r="J46" s="50"/>
      <c r="K46" s="63"/>
    </row>
    <row r="47" spans="1:11" ht="28" thickBot="1" x14ac:dyDescent="0.6">
      <c r="A47" s="94"/>
      <c r="B47" s="96" t="s">
        <v>68</v>
      </c>
      <c r="C47" s="96"/>
      <c r="D47" s="95"/>
      <c r="E47" s="97"/>
      <c r="F47" s="96"/>
      <c r="G47" s="96"/>
      <c r="H47" s="96"/>
      <c r="I47" s="96"/>
      <c r="J47" s="72"/>
      <c r="K47" s="67"/>
    </row>
    <row r="48" spans="1:11" ht="28" thickBot="1" x14ac:dyDescent="0.6">
      <c r="A48" s="91"/>
      <c r="B48" s="51"/>
      <c r="C48" s="51"/>
      <c r="D48" s="81"/>
      <c r="E48" s="87"/>
      <c r="F48" s="51"/>
      <c r="G48" s="51"/>
      <c r="H48" s="51"/>
      <c r="I48" s="51"/>
      <c r="J48" s="50"/>
    </row>
    <row r="49" spans="1:11" ht="27.5" x14ac:dyDescent="0.55000000000000004">
      <c r="A49" s="88" t="s">
        <v>69</v>
      </c>
      <c r="B49" s="57"/>
      <c r="C49" s="57"/>
      <c r="D49" s="115" t="s">
        <v>70</v>
      </c>
      <c r="E49" s="57"/>
      <c r="F49" s="57"/>
      <c r="G49" s="57"/>
      <c r="H49" s="57"/>
      <c r="I49" s="57"/>
      <c r="J49" s="57"/>
      <c r="K49" s="59"/>
    </row>
    <row r="50" spans="1:11" ht="27.5" x14ac:dyDescent="0.55000000000000004">
      <c r="A50" s="91"/>
      <c r="B50" s="85" t="s">
        <v>71</v>
      </c>
      <c r="C50" s="50"/>
      <c r="D50" s="81"/>
      <c r="E50" s="79"/>
      <c r="F50" s="50"/>
      <c r="G50" s="50"/>
      <c r="H50" s="50"/>
      <c r="I50" s="50"/>
      <c r="J50" s="50"/>
      <c r="K50" s="63"/>
    </row>
    <row r="51" spans="1:11" ht="27.5" x14ac:dyDescent="0.55000000000000004">
      <c r="A51" s="92"/>
      <c r="B51" s="85" t="s">
        <v>72</v>
      </c>
      <c r="C51" s="50"/>
      <c r="D51" s="81"/>
      <c r="E51" s="79"/>
      <c r="F51" s="50"/>
      <c r="G51" s="50"/>
      <c r="H51" s="50"/>
      <c r="I51" s="50"/>
      <c r="J51" s="50"/>
      <c r="K51" s="63"/>
    </row>
    <row r="52" spans="1:11" ht="27.5" x14ac:dyDescent="0.55000000000000004">
      <c r="A52" s="91"/>
      <c r="B52" s="51" t="s">
        <v>73</v>
      </c>
      <c r="C52" s="51"/>
      <c r="D52" s="81"/>
      <c r="E52" s="87"/>
      <c r="F52" s="51"/>
      <c r="G52" s="51"/>
      <c r="H52" s="51"/>
      <c r="I52" s="51"/>
      <c r="J52" s="50"/>
      <c r="K52" s="63"/>
    </row>
    <row r="53" spans="1:11" ht="27.5" x14ac:dyDescent="0.55000000000000004">
      <c r="A53" s="91"/>
      <c r="B53" s="51" t="s">
        <v>63</v>
      </c>
      <c r="C53" s="51"/>
      <c r="D53" s="81"/>
      <c r="E53" s="87"/>
      <c r="F53" s="51"/>
      <c r="G53" s="51"/>
      <c r="H53" s="51"/>
      <c r="I53" s="51"/>
      <c r="J53" s="50"/>
      <c r="K53" s="63"/>
    </row>
    <row r="54" spans="1:11" ht="27.5" x14ac:dyDescent="0.55000000000000004">
      <c r="A54" s="91"/>
      <c r="B54" s="51" t="s">
        <v>74</v>
      </c>
      <c r="C54" s="51"/>
      <c r="D54" s="81"/>
      <c r="E54" s="87"/>
      <c r="F54" s="51"/>
      <c r="G54" s="51"/>
      <c r="H54" s="51"/>
      <c r="I54" s="51"/>
      <c r="J54" s="50"/>
      <c r="K54" s="63"/>
    </row>
    <row r="55" spans="1:11" ht="27.5" x14ac:dyDescent="0.55000000000000004">
      <c r="A55" s="91"/>
      <c r="B55" s="50"/>
      <c r="C55" s="50"/>
      <c r="D55" s="84"/>
      <c r="E55" s="50"/>
      <c r="F55" s="50"/>
      <c r="G55" s="50"/>
      <c r="H55" s="50"/>
      <c r="I55" s="50"/>
      <c r="J55" s="50"/>
      <c r="K55" s="63"/>
    </row>
    <row r="56" spans="1:11" ht="27.5" x14ac:dyDescent="0.55000000000000004">
      <c r="A56" s="93" t="s">
        <v>75</v>
      </c>
      <c r="B56" s="50"/>
      <c r="C56" s="50"/>
      <c r="D56" s="50"/>
      <c r="E56" s="80"/>
      <c r="F56" s="50"/>
      <c r="G56" s="50"/>
      <c r="H56" s="50"/>
      <c r="I56" s="50"/>
      <c r="J56" s="50"/>
      <c r="K56" s="63"/>
    </row>
    <row r="57" spans="1:11" ht="27.5" x14ac:dyDescent="0.55000000000000004">
      <c r="A57" s="92"/>
      <c r="B57" s="107"/>
      <c r="C57" s="50"/>
      <c r="D57" s="82"/>
      <c r="E57" s="50"/>
      <c r="F57" s="50"/>
      <c r="G57" s="50"/>
      <c r="H57" s="50"/>
      <c r="I57" s="50"/>
      <c r="J57" s="50"/>
      <c r="K57" s="63"/>
    </row>
    <row r="58" spans="1:11" ht="27.5" x14ac:dyDescent="0.55000000000000004">
      <c r="A58" s="92"/>
      <c r="B58" s="51" t="s">
        <v>76</v>
      </c>
      <c r="C58" s="51"/>
      <c r="D58" s="81"/>
      <c r="E58" s="87"/>
      <c r="F58" s="51"/>
      <c r="G58" s="51"/>
      <c r="H58" s="51"/>
      <c r="I58" s="51"/>
      <c r="J58" s="50"/>
      <c r="K58" s="63"/>
    </row>
    <row r="59" spans="1:11" ht="27.5" x14ac:dyDescent="0.55000000000000004">
      <c r="A59" s="92"/>
      <c r="B59" s="51" t="s">
        <v>67</v>
      </c>
      <c r="C59" s="51"/>
      <c r="D59" s="81"/>
      <c r="E59" s="87"/>
      <c r="F59" s="51"/>
      <c r="G59" s="51"/>
      <c r="H59" s="51"/>
      <c r="I59" s="51"/>
      <c r="J59" s="50"/>
      <c r="K59" s="63"/>
    </row>
    <row r="60" spans="1:11" ht="28" thickBot="1" x14ac:dyDescent="0.6">
      <c r="A60" s="94"/>
      <c r="B60" s="96" t="s">
        <v>77</v>
      </c>
      <c r="C60" s="96"/>
      <c r="D60" s="95"/>
      <c r="E60" s="97"/>
      <c r="F60" s="96"/>
      <c r="G60" s="96"/>
      <c r="H60" s="96"/>
      <c r="I60" s="96"/>
      <c r="J60" s="72"/>
      <c r="K60" s="67"/>
    </row>
  </sheetData>
  <printOptions horizontalCentered="1" verticalCentered="1" headings="1" gridLines="1"/>
  <pageMargins left="0.75" right="0.75" top="0.75" bottom="0.75" header="0.5" footer="0.5"/>
  <pageSetup scale="74" orientation="landscape" r:id="rId1"/>
  <headerFooter alignWithMargins="0"/>
  <rowBreaks count="1" manualBreakCount="1">
    <brk id="22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Appendix2A-3a</vt:lpstr>
      <vt:lpstr>2-4 Formulas</vt:lpstr>
      <vt:lpstr>'2-4 Formulas'!Print_Area</vt:lpstr>
      <vt:lpstr>'Appendix2A-3a'!Print_Area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Math Appendix A</dc:title>
  <dc:subject/>
  <dc:creator>Preferred Customer</dc:creator>
  <cp:keywords/>
  <dc:description/>
  <cp:lastModifiedBy>Carina Negreanu</cp:lastModifiedBy>
  <cp:lastPrinted>1998-02-11T18:40:51Z</cp:lastPrinted>
  <dcterms:created xsi:type="dcterms:W3CDTF">1998-02-03T22:33:04Z</dcterms:created>
  <dcterms:modified xsi:type="dcterms:W3CDTF">2020-01-27T11:48:03Z</dcterms:modified>
</cp:coreProperties>
</file>