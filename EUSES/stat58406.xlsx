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94676A-5D48-45A9-B4D7-26CBB8BEB58D}" xr6:coauthVersionLast="45" xr6:coauthVersionMax="45" xr10:uidLastSave="{00000000-0000-0000-0000-000000000000}"/>
  <bookViews>
    <workbookView xWindow="1140" yWindow="1140" windowWidth="28800" windowHeight="15460"/>
  </bookViews>
  <sheets>
    <sheet name="s216_11" sheetId="3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5" i="3" l="1"/>
  <c r="AS5" i="3"/>
  <c r="AX5" i="3"/>
  <c r="AY5" i="3" s="1"/>
  <c r="AQ6" i="3"/>
  <c r="AS6" i="3"/>
  <c r="AX6" i="3"/>
  <c r="AY6" i="3"/>
  <c r="AQ7" i="3"/>
  <c r="AS7" i="3"/>
  <c r="AX7" i="3"/>
  <c r="AY7" i="3"/>
  <c r="AQ8" i="3"/>
  <c r="AS8" i="3"/>
  <c r="AX8" i="3"/>
  <c r="AY8" i="3"/>
  <c r="AQ9" i="3"/>
  <c r="AX9" i="3"/>
  <c r="AY9" i="3"/>
  <c r="AQ10" i="3"/>
  <c r="AS10" i="3" s="1"/>
  <c r="AX10" i="3" s="1"/>
  <c r="AY10" i="3" s="1"/>
  <c r="AQ11" i="3"/>
  <c r="AX11" i="3"/>
  <c r="AY11" i="3"/>
  <c r="AQ12" i="3"/>
  <c r="AS12" i="3"/>
  <c r="AX12" i="3"/>
  <c r="AY12" i="3"/>
  <c r="AQ14" i="3"/>
  <c r="AX14" i="3"/>
  <c r="AY14" i="3"/>
  <c r="AQ15" i="3"/>
  <c r="AS15" i="3"/>
  <c r="AX15" i="3"/>
  <c r="AY15" i="3"/>
  <c r="AQ16" i="3"/>
  <c r="AS16" i="3"/>
  <c r="AX16" i="3"/>
  <c r="AY16" i="3" s="1"/>
  <c r="AQ17" i="3"/>
  <c r="AS17" i="3"/>
  <c r="AX17" i="3" s="1"/>
  <c r="AY17" i="3" s="1"/>
  <c r="AQ18" i="3"/>
  <c r="AX18" i="3"/>
  <c r="AY18" i="3"/>
  <c r="AQ19" i="3"/>
  <c r="AS19" i="3"/>
  <c r="AX19" i="3" s="1"/>
  <c r="AY19" i="3" s="1"/>
  <c r="AQ20" i="3"/>
  <c r="AX20" i="3"/>
  <c r="AY20" i="3"/>
  <c r="AQ22" i="3"/>
  <c r="AS22" i="3"/>
  <c r="AX22" i="3"/>
  <c r="AY22" i="3"/>
  <c r="AQ23" i="3"/>
  <c r="AS23" i="3" s="1"/>
  <c r="AX23" i="3" s="1"/>
  <c r="AY23" i="3" s="1"/>
  <c r="AQ24" i="3"/>
  <c r="AS24" i="3"/>
  <c r="AX24" i="3"/>
  <c r="AY24" i="3"/>
  <c r="AQ25" i="3"/>
  <c r="AS25" i="3"/>
  <c r="AX25" i="3"/>
  <c r="AY25" i="3"/>
  <c r="AQ26" i="3"/>
  <c r="AS26" i="3"/>
  <c r="AX26" i="3"/>
  <c r="AY26" i="3"/>
  <c r="AQ27" i="3"/>
  <c r="AX27" i="3"/>
  <c r="AY27" i="3"/>
  <c r="AQ28" i="3"/>
  <c r="AS28" i="3"/>
  <c r="AX28" i="3" s="1"/>
  <c r="AY28" i="3" s="1"/>
  <c r="AQ30" i="3"/>
  <c r="AS30" i="3" s="1"/>
  <c r="AX30" i="3" s="1"/>
  <c r="AY30" i="3" s="1"/>
  <c r="AQ31" i="3"/>
  <c r="AS31" i="3"/>
  <c r="AX31" i="3"/>
  <c r="AY31" i="3"/>
  <c r="AQ32" i="3"/>
  <c r="AS32" i="3"/>
  <c r="AX32" i="3"/>
  <c r="AY32" i="3"/>
  <c r="AQ33" i="3"/>
  <c r="AS33" i="3"/>
  <c r="AX33" i="3"/>
  <c r="AY33" i="3"/>
  <c r="AQ34" i="3"/>
  <c r="AX34" i="3"/>
  <c r="AY34" i="3" s="1"/>
  <c r="AQ35" i="3"/>
  <c r="AS35" i="3"/>
  <c r="AX35" i="3" s="1"/>
  <c r="AY35" i="3" s="1"/>
  <c r="AQ36" i="3"/>
  <c r="AX36" i="3"/>
  <c r="AY36" i="3"/>
  <c r="AQ38" i="3"/>
  <c r="AS38" i="3"/>
  <c r="AX38" i="3"/>
  <c r="AY38" i="3"/>
  <c r="AQ39" i="3"/>
  <c r="AS39" i="3"/>
  <c r="AX39" i="3"/>
  <c r="AY39" i="3" s="1"/>
  <c r="AQ40" i="3"/>
  <c r="AS40" i="3"/>
  <c r="AX40" i="3"/>
  <c r="AY40" i="3"/>
  <c r="AQ41" i="3"/>
  <c r="AX41" i="3"/>
  <c r="AY41" i="3"/>
  <c r="AQ42" i="3"/>
  <c r="AS42" i="3"/>
  <c r="AX42" i="3"/>
  <c r="AY42" i="3"/>
  <c r="AQ43" i="3"/>
  <c r="AS43" i="3"/>
  <c r="AX43" i="3"/>
  <c r="AY43" i="3"/>
  <c r="AQ44" i="3"/>
  <c r="AS44" i="3"/>
  <c r="AX44" i="3"/>
  <c r="AY44" i="3"/>
  <c r="AQ45" i="3"/>
  <c r="AS45" i="3" s="1"/>
  <c r="AX45" i="3" s="1"/>
  <c r="AY45" i="3" s="1"/>
  <c r="AQ46" i="3"/>
  <c r="AX46" i="3"/>
  <c r="AY46" i="3"/>
</calcChain>
</file>

<file path=xl/sharedStrings.xml><?xml version="1.0" encoding="utf-8"?>
<sst xmlns="http://schemas.openxmlformats.org/spreadsheetml/2006/main" count="411" uniqueCount="45">
  <si>
    <t>E</t>
  </si>
  <si>
    <t>D</t>
  </si>
  <si>
    <t>NUM</t>
  </si>
  <si>
    <t>B</t>
  </si>
  <si>
    <t>TOTAL</t>
  </si>
  <si>
    <t>EX#1</t>
  </si>
  <si>
    <t>EX#2</t>
  </si>
  <si>
    <t>ID</t>
  </si>
  <si>
    <t>perfect</t>
  </si>
  <si>
    <t>FINALS</t>
  </si>
  <si>
    <t>GRADE</t>
  </si>
  <si>
    <t>DC</t>
  </si>
  <si>
    <t>G%</t>
  </si>
  <si>
    <t>HOMEWORK</t>
  </si>
  <si>
    <t>#1</t>
  </si>
  <si>
    <t>#2</t>
  </si>
  <si>
    <t>#3</t>
  </si>
  <si>
    <t>#4</t>
  </si>
  <si>
    <t>EXCEL HOMEWORK</t>
  </si>
  <si>
    <t>GRADE PERCENTAGE</t>
  </si>
  <si>
    <t>CLASS%</t>
  </si>
  <si>
    <t>GRADING</t>
  </si>
  <si>
    <t>#5</t>
  </si>
  <si>
    <t>#6</t>
  </si>
  <si>
    <t>ONLINE QUIZZES</t>
  </si>
  <si>
    <t>INCLASS QUIZZES</t>
  </si>
  <si>
    <t>#7</t>
  </si>
  <si>
    <t>#8</t>
  </si>
  <si>
    <t>#9</t>
  </si>
  <si>
    <t>#10</t>
  </si>
  <si>
    <t>#11</t>
  </si>
  <si>
    <t>STAT 216 11-11:50</t>
  </si>
  <si>
    <t>no</t>
  </si>
  <si>
    <t>zl79</t>
  </si>
  <si>
    <t>rk25</t>
  </si>
  <si>
    <t>kb19</t>
  </si>
  <si>
    <t>bt82</t>
  </si>
  <si>
    <t>C</t>
  </si>
  <si>
    <t>CB</t>
  </si>
  <si>
    <t>BA</t>
  </si>
  <si>
    <t>A</t>
  </si>
  <si>
    <t>extra</t>
  </si>
  <si>
    <t>#12</t>
  </si>
  <si>
    <t>bonus</t>
  </si>
  <si>
    <t>attend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</si>
</sst>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sz val="10"/>
      <name val="Abadi MT Condensed Light"/>
      <family val="2"/>
    </font>
    <font>
      <b/>
      <sz val="14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Fill="1" applyBorder="1"/>
    <xf numFmtId="0" fontId="3" fillId="0" borderId="0" xfId="0" applyFont="1"/>
    <xf numFmtId="0" fontId="2" fillId="0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1" fillId="2" borderId="0" xfId="0" applyFont="1" applyFill="1" applyBorder="1"/>
    <xf numFmtId="0" fontId="1" fillId="0" borderId="2" xfId="0" applyFont="1" applyBorder="1"/>
    <xf numFmtId="1" fontId="1" fillId="0" borderId="0" xfId="0" applyNumberFormat="1" applyFont="1" applyAlignment="1">
      <alignment horizontal="center"/>
    </xf>
    <xf numFmtId="0" fontId="1" fillId="0" borderId="0" xfId="0" applyFont="1"/>
    <xf numFmtId="0" fontId="4" fillId="0" borderId="0" xfId="0" applyFont="1"/>
    <xf numFmtId="0" fontId="1" fillId="2" borderId="0" xfId="0" applyFont="1" applyFill="1"/>
    <xf numFmtId="0" fontId="1" fillId="0" borderId="0" xfId="0" applyFont="1" applyBorder="1"/>
    <xf numFmtId="2" fontId="1" fillId="0" borderId="0" xfId="0" applyNumberFormat="1" applyFont="1" applyBorder="1"/>
    <xf numFmtId="2" fontId="1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" fontId="1" fillId="0" borderId="0" xfId="0" applyNumberFormat="1" applyFont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/>
    <xf numFmtId="2" fontId="1" fillId="0" borderId="2" xfId="0" applyNumberFormat="1" applyFont="1" applyBorder="1"/>
    <xf numFmtId="0" fontId="1" fillId="0" borderId="2" xfId="0" applyFont="1" applyFill="1" applyBorder="1"/>
    <xf numFmtId="2" fontId="1" fillId="0" borderId="1" xfId="0" applyNumberFormat="1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2" fontId="1" fillId="2" borderId="0" xfId="0" applyNumberFormat="1" applyFont="1" applyFill="1" applyBorder="1"/>
    <xf numFmtId="1" fontId="1" fillId="0" borderId="0" xfId="0" applyNumberFormat="1" applyFont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2" fillId="0" borderId="1" xfId="0" applyFont="1" applyBorder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1" fillId="3" borderId="1" xfId="0" applyFont="1" applyFill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4" fillId="0" borderId="0" xfId="0" applyNumberFormat="1" applyFont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indexed="43"/>
        </patternFill>
      </fill>
    </dxf>
    <dxf>
      <font>
        <condense val="0"/>
        <extend val="0"/>
        <color auto="1"/>
      </font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/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42"/>
        </patternFill>
      </fill>
    </dxf>
    <dxf>
      <font/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52"/>
  <sheetViews>
    <sheetView tabSelected="1" zoomScale="50" zoomScaleNormal="56" workbookViewId="0">
      <pane xSplit="2" ySplit="4" topLeftCell="C5" activePane="bottomRight" state="frozen"/>
      <selection pane="topRight" activeCell="D1" sqref="D1"/>
      <selection pane="bottomLeft" activeCell="A5" sqref="A5"/>
      <selection pane="bottomRight"/>
    </sheetView>
  </sheetViews>
  <sheetFormatPr defaultColWidth="9.1796875" defaultRowHeight="12.5" x14ac:dyDescent="0.25"/>
  <cols>
    <col min="1" max="1" width="5.1796875" style="10" bestFit="1" customWidth="1"/>
    <col min="2" max="2" width="7.1796875" style="9" customWidth="1"/>
    <col min="3" max="3" width="2.1796875" style="12" customWidth="1"/>
    <col min="4" max="18" width="7.7265625" style="10" customWidth="1"/>
    <col min="19" max="19" width="2.1796875" style="12" customWidth="1"/>
    <col min="20" max="24" width="7.7265625" style="10" customWidth="1"/>
    <col min="25" max="25" width="2.1796875" style="12" customWidth="1"/>
    <col min="26" max="36" width="6.7265625" style="10" customWidth="1"/>
    <col min="37" max="37" width="2.1796875" style="12" customWidth="1"/>
    <col min="38" max="41" width="7.7265625" style="10" customWidth="1"/>
    <col min="42" max="42" width="2.1796875" style="12" customWidth="1"/>
    <col min="43" max="43" width="7.7265625" style="13" customWidth="1"/>
    <col min="44" max="44" width="2.1796875" style="12" customWidth="1"/>
    <col min="45" max="45" width="10" style="14" customWidth="1"/>
    <col min="46" max="48" width="10" style="10" customWidth="1"/>
    <col min="49" max="49" width="2.1796875" style="12" customWidth="1"/>
    <col min="50" max="50" width="7.7265625" style="15" customWidth="1"/>
    <col min="51" max="51" width="7.7265625" style="10" customWidth="1"/>
    <col min="52" max="52" width="4.1796875" style="10" bestFit="1" customWidth="1"/>
    <col min="53" max="16384" width="9.1796875" style="10"/>
  </cols>
  <sheetData>
    <row r="1" spans="1:54" ht="18" x14ac:dyDescent="0.4">
      <c r="A1" s="4" t="s">
        <v>31</v>
      </c>
    </row>
    <row r="2" spans="1:54" ht="13" x14ac:dyDescent="0.3">
      <c r="D2" s="42" t="s">
        <v>13</v>
      </c>
      <c r="E2" s="42"/>
      <c r="F2" s="42"/>
      <c r="G2" s="43"/>
      <c r="H2" s="43"/>
      <c r="I2" s="43"/>
      <c r="J2" s="43"/>
      <c r="K2" s="43"/>
      <c r="L2" s="43"/>
      <c r="M2" s="43"/>
      <c r="N2" s="43"/>
      <c r="O2" s="40"/>
      <c r="P2" s="40"/>
      <c r="Q2" s="40"/>
      <c r="R2" s="40"/>
      <c r="T2" s="42" t="s">
        <v>25</v>
      </c>
      <c r="U2" s="42"/>
      <c r="V2" s="42"/>
      <c r="W2" s="42"/>
      <c r="X2" s="43"/>
      <c r="Z2" s="42" t="s">
        <v>24</v>
      </c>
      <c r="AA2" s="42"/>
      <c r="AB2" s="42"/>
      <c r="AC2" s="42"/>
      <c r="AD2" s="43"/>
      <c r="AE2" s="43"/>
      <c r="AF2" s="43"/>
      <c r="AG2" s="43"/>
      <c r="AH2" s="43"/>
      <c r="AI2" s="43"/>
      <c r="AJ2" s="43"/>
      <c r="AL2" s="42" t="s">
        <v>18</v>
      </c>
      <c r="AM2" s="42"/>
      <c r="AN2" s="42"/>
      <c r="AO2" s="43"/>
      <c r="AS2" s="44" t="s">
        <v>19</v>
      </c>
      <c r="AT2" s="42"/>
      <c r="AU2" s="42"/>
      <c r="AV2" s="42"/>
    </row>
    <row r="3" spans="1:54" ht="13" x14ac:dyDescent="0.3">
      <c r="A3" s="11"/>
      <c r="B3" s="17"/>
      <c r="D3" s="18">
        <v>37874</v>
      </c>
      <c r="E3" s="18">
        <v>37881</v>
      </c>
      <c r="F3" s="18">
        <v>37890</v>
      </c>
      <c r="G3" s="18">
        <v>37900</v>
      </c>
      <c r="H3" s="18">
        <v>37900</v>
      </c>
      <c r="I3" s="18">
        <v>37914</v>
      </c>
      <c r="J3" s="18">
        <v>37921</v>
      </c>
      <c r="K3" s="18">
        <v>37923</v>
      </c>
      <c r="L3" s="18">
        <v>37928</v>
      </c>
      <c r="M3" s="18">
        <v>37904</v>
      </c>
      <c r="N3" s="18">
        <v>37904</v>
      </c>
      <c r="O3" s="18">
        <v>37944</v>
      </c>
      <c r="P3" s="18">
        <v>37946</v>
      </c>
      <c r="Q3" s="18">
        <v>37960</v>
      </c>
      <c r="R3" s="18" t="s">
        <v>43</v>
      </c>
      <c r="T3" s="18">
        <v>37881</v>
      </c>
      <c r="U3" s="18">
        <v>37925</v>
      </c>
      <c r="V3" s="18">
        <v>37937</v>
      </c>
      <c r="W3" s="18">
        <v>37946</v>
      </c>
      <c r="X3" s="18">
        <v>37951</v>
      </c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L3" s="18">
        <v>37900</v>
      </c>
      <c r="AM3" s="18">
        <v>37904</v>
      </c>
      <c r="AN3" s="18">
        <v>37949</v>
      </c>
      <c r="AO3" s="18">
        <v>37963</v>
      </c>
      <c r="AT3" s="18">
        <v>37901</v>
      </c>
      <c r="AU3" s="18">
        <v>37936</v>
      </c>
      <c r="AV3" s="18">
        <v>37967</v>
      </c>
    </row>
    <row r="4" spans="1:54" s="16" customFormat="1" ht="13" x14ac:dyDescent="0.3">
      <c r="A4" s="19" t="s">
        <v>2</v>
      </c>
      <c r="B4" s="20" t="s">
        <v>7</v>
      </c>
      <c r="C4" s="21"/>
      <c r="D4" s="19" t="s">
        <v>14</v>
      </c>
      <c r="E4" s="19" t="s">
        <v>15</v>
      </c>
      <c r="F4" s="19" t="s">
        <v>16</v>
      </c>
      <c r="G4" s="19" t="s">
        <v>17</v>
      </c>
      <c r="H4" s="19" t="s">
        <v>41</v>
      </c>
      <c r="I4" s="19" t="s">
        <v>22</v>
      </c>
      <c r="J4" s="19" t="s">
        <v>23</v>
      </c>
      <c r="K4" s="19" t="s">
        <v>26</v>
      </c>
      <c r="L4" s="19" t="s">
        <v>27</v>
      </c>
      <c r="M4" s="19" t="s">
        <v>28</v>
      </c>
      <c r="N4" s="19" t="s">
        <v>41</v>
      </c>
      <c r="O4" s="19" t="s">
        <v>29</v>
      </c>
      <c r="P4" s="19" t="s">
        <v>30</v>
      </c>
      <c r="Q4" s="19" t="s">
        <v>42</v>
      </c>
      <c r="R4" s="19" t="s">
        <v>44</v>
      </c>
      <c r="S4" s="21"/>
      <c r="T4" s="19" t="s">
        <v>14</v>
      </c>
      <c r="U4" s="19" t="s">
        <v>15</v>
      </c>
      <c r="V4" s="19" t="s">
        <v>16</v>
      </c>
      <c r="W4" s="19" t="s">
        <v>17</v>
      </c>
      <c r="X4" s="19" t="s">
        <v>22</v>
      </c>
      <c r="Y4" s="21"/>
      <c r="Z4" s="19" t="s">
        <v>14</v>
      </c>
      <c r="AA4" s="19" t="s">
        <v>15</v>
      </c>
      <c r="AB4" s="19" t="s">
        <v>16</v>
      </c>
      <c r="AC4" s="19" t="s">
        <v>17</v>
      </c>
      <c r="AD4" s="19" t="s">
        <v>22</v>
      </c>
      <c r="AE4" s="19" t="s">
        <v>23</v>
      </c>
      <c r="AF4" s="19" t="s">
        <v>26</v>
      </c>
      <c r="AG4" s="19" t="s">
        <v>27</v>
      </c>
      <c r="AH4" s="19" t="s">
        <v>28</v>
      </c>
      <c r="AI4" s="19" t="s">
        <v>29</v>
      </c>
      <c r="AJ4" s="19" t="s">
        <v>30</v>
      </c>
      <c r="AK4" s="21"/>
      <c r="AL4" s="19" t="s">
        <v>14</v>
      </c>
      <c r="AM4" s="19" t="s">
        <v>15</v>
      </c>
      <c r="AN4" s="19" t="s">
        <v>16</v>
      </c>
      <c r="AO4" s="19" t="s">
        <v>17</v>
      </c>
      <c r="AP4" s="21"/>
      <c r="AQ4" s="19" t="s">
        <v>4</v>
      </c>
      <c r="AR4" s="21"/>
      <c r="AS4" s="22" t="s">
        <v>20</v>
      </c>
      <c r="AT4" s="19" t="s">
        <v>5</v>
      </c>
      <c r="AU4" s="19" t="s">
        <v>6</v>
      </c>
      <c r="AV4" s="19" t="s">
        <v>9</v>
      </c>
      <c r="AW4" s="21"/>
      <c r="AX4" s="22" t="s">
        <v>12</v>
      </c>
      <c r="AY4" s="19" t="s">
        <v>10</v>
      </c>
      <c r="AZ4" s="23"/>
    </row>
    <row r="5" spans="1:54" x14ac:dyDescent="0.25">
      <c r="A5" s="8">
        <v>0</v>
      </c>
      <c r="B5" s="24" t="s">
        <v>8</v>
      </c>
      <c r="C5" s="26"/>
      <c r="D5" s="8">
        <v>13</v>
      </c>
      <c r="E5" s="8">
        <v>8</v>
      </c>
      <c r="F5" s="8">
        <v>8</v>
      </c>
      <c r="G5" s="8">
        <v>10</v>
      </c>
      <c r="H5" s="8">
        <v>0</v>
      </c>
      <c r="I5" s="8">
        <v>10</v>
      </c>
      <c r="J5" s="8">
        <v>10</v>
      </c>
      <c r="K5" s="8">
        <v>10</v>
      </c>
      <c r="L5" s="8">
        <v>25</v>
      </c>
      <c r="M5" s="8">
        <v>0</v>
      </c>
      <c r="N5" s="8">
        <v>0</v>
      </c>
      <c r="O5" s="8">
        <v>10</v>
      </c>
      <c r="P5" s="8">
        <v>0</v>
      </c>
      <c r="Q5" s="8">
        <v>0</v>
      </c>
      <c r="R5" s="8">
        <v>0</v>
      </c>
      <c r="S5" s="26"/>
      <c r="T5" s="8">
        <v>0</v>
      </c>
      <c r="U5" s="8">
        <v>15</v>
      </c>
      <c r="V5" s="8">
        <v>6</v>
      </c>
      <c r="W5" s="8">
        <v>6</v>
      </c>
      <c r="X5" s="8">
        <v>10</v>
      </c>
      <c r="Y5" s="26"/>
      <c r="Z5" s="8">
        <v>5</v>
      </c>
      <c r="AA5" s="8">
        <v>5</v>
      </c>
      <c r="AB5" s="8">
        <v>5</v>
      </c>
      <c r="AC5" s="8">
        <v>5</v>
      </c>
      <c r="AD5" s="8">
        <v>5</v>
      </c>
      <c r="AE5" s="8">
        <v>5</v>
      </c>
      <c r="AF5" s="8">
        <v>5</v>
      </c>
      <c r="AG5" s="8">
        <v>5</v>
      </c>
      <c r="AH5" s="8">
        <v>5</v>
      </c>
      <c r="AI5" s="8">
        <v>5</v>
      </c>
      <c r="AJ5" s="8">
        <v>5</v>
      </c>
      <c r="AK5" s="26"/>
      <c r="AL5" s="8">
        <v>20</v>
      </c>
      <c r="AM5" s="8">
        <v>30</v>
      </c>
      <c r="AN5" s="8">
        <v>40</v>
      </c>
      <c r="AO5" s="8">
        <v>40</v>
      </c>
      <c r="AP5" s="26"/>
      <c r="AQ5" s="27">
        <f>SUM(D5:AO5)</f>
        <v>326</v>
      </c>
      <c r="AR5" s="26"/>
      <c r="AS5" s="27">
        <f>AQ5/$AQ$5*20</f>
        <v>20</v>
      </c>
      <c r="AT5" s="28">
        <v>25</v>
      </c>
      <c r="AU5" s="8">
        <v>25</v>
      </c>
      <c r="AV5" s="28">
        <v>30</v>
      </c>
      <c r="AW5" s="26"/>
      <c r="AX5" s="29">
        <f>(AS5+AT5+AU5+AV5)</f>
        <v>100</v>
      </c>
      <c r="AY5" s="25" t="str">
        <f>LOOKUP(AX5,$BA$8:$BA$15,$BB$8:$BB$15)</f>
        <v>A</v>
      </c>
      <c r="AZ5" s="30"/>
    </row>
    <row r="6" spans="1:54" s="1" customFormat="1" x14ac:dyDescent="0.25">
      <c r="A6" s="1">
        <v>1</v>
      </c>
      <c r="B6" s="31">
        <v>1821</v>
      </c>
      <c r="C6" s="2"/>
      <c r="D6" s="1">
        <v>11</v>
      </c>
      <c r="E6" s="1">
        <v>6.5</v>
      </c>
      <c r="F6" s="1">
        <v>7</v>
      </c>
      <c r="G6" s="1">
        <v>10</v>
      </c>
      <c r="H6" s="1">
        <v>9</v>
      </c>
      <c r="I6" s="1">
        <v>10</v>
      </c>
      <c r="J6" s="1">
        <v>6.5</v>
      </c>
      <c r="K6" s="1">
        <v>7</v>
      </c>
      <c r="L6" s="1">
        <v>19</v>
      </c>
      <c r="M6" s="1">
        <v>5</v>
      </c>
      <c r="N6" s="1">
        <v>10</v>
      </c>
      <c r="O6" s="1">
        <v>10</v>
      </c>
      <c r="P6" s="1">
        <v>3</v>
      </c>
      <c r="Q6" s="1">
        <v>19.5</v>
      </c>
      <c r="R6" s="1">
        <v>10</v>
      </c>
      <c r="S6" s="2"/>
      <c r="T6" s="1">
        <v>9.5</v>
      </c>
      <c r="U6" s="1" t="s">
        <v>32</v>
      </c>
      <c r="V6" s="1" t="s">
        <v>32</v>
      </c>
      <c r="W6" s="1">
        <v>4</v>
      </c>
      <c r="X6" s="1">
        <v>10</v>
      </c>
      <c r="Y6" s="2"/>
      <c r="Z6" s="1">
        <v>4</v>
      </c>
      <c r="AA6" s="1">
        <v>5</v>
      </c>
      <c r="AB6" s="1">
        <v>0</v>
      </c>
      <c r="AC6" s="1">
        <v>0</v>
      </c>
      <c r="AD6" s="1">
        <v>4</v>
      </c>
      <c r="AE6" s="1">
        <v>2</v>
      </c>
      <c r="AF6" s="1">
        <v>5</v>
      </c>
      <c r="AG6" s="1">
        <v>0</v>
      </c>
      <c r="AH6" s="1">
        <v>4</v>
      </c>
      <c r="AI6" s="1">
        <v>0</v>
      </c>
      <c r="AJ6" s="1">
        <v>2</v>
      </c>
      <c r="AK6" s="2"/>
      <c r="AL6" s="1">
        <v>20</v>
      </c>
      <c r="AM6" s="1">
        <v>30</v>
      </c>
      <c r="AN6" s="1">
        <v>40</v>
      </c>
      <c r="AO6" s="1">
        <v>40</v>
      </c>
      <c r="AP6" s="2"/>
      <c r="AQ6" s="27">
        <f t="shared" ref="AQ6:AQ46" si="0">SUM(D6:AO6)</f>
        <v>323</v>
      </c>
      <c r="AR6" s="2"/>
      <c r="AS6" s="27">
        <f t="shared" ref="AS6:AS45" si="1">AQ6/$AQ$5*20</f>
        <v>19.815950920245399</v>
      </c>
      <c r="AT6" s="3">
        <v>21</v>
      </c>
      <c r="AU6" s="1">
        <v>20</v>
      </c>
      <c r="AV6" s="3">
        <v>29</v>
      </c>
      <c r="AW6" s="2"/>
      <c r="AX6" s="29">
        <f t="shared" ref="AX6:AX46" si="2">(AS6+AT6+AU6+AV6)</f>
        <v>89.815950920245399</v>
      </c>
      <c r="AY6" s="25" t="str">
        <f t="shared" ref="AY6:AY46" si="3">LOOKUP(AX6,$BA$8:$BA$15,$BB$8:$BB$15)</f>
        <v>A</v>
      </c>
      <c r="AZ6" s="31"/>
    </row>
    <row r="7" spans="1:54" s="1" customFormat="1" ht="13" x14ac:dyDescent="0.3">
      <c r="A7" s="1">
        <v>2</v>
      </c>
      <c r="B7" s="31">
        <v>2204</v>
      </c>
      <c r="C7" s="2"/>
      <c r="D7" s="1" t="s">
        <v>32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32</v>
      </c>
      <c r="Q7" s="1" t="s">
        <v>32</v>
      </c>
      <c r="R7" s="3">
        <v>0</v>
      </c>
      <c r="S7" s="2"/>
      <c r="T7" s="1" t="s">
        <v>32</v>
      </c>
      <c r="U7" s="1" t="s">
        <v>32</v>
      </c>
      <c r="V7" s="1" t="s">
        <v>32</v>
      </c>
      <c r="W7" s="1" t="s">
        <v>32</v>
      </c>
      <c r="X7" s="1" t="s">
        <v>32</v>
      </c>
      <c r="Y7" s="2"/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3">
        <v>0</v>
      </c>
      <c r="AH7" s="3">
        <v>0</v>
      </c>
      <c r="AI7" s="3">
        <v>0</v>
      </c>
      <c r="AJ7" s="3">
        <v>0</v>
      </c>
      <c r="AK7" s="2"/>
      <c r="AL7" s="3">
        <v>10</v>
      </c>
      <c r="AM7" s="1" t="s">
        <v>32</v>
      </c>
      <c r="AN7" s="1" t="s">
        <v>32</v>
      </c>
      <c r="AO7" s="1" t="s">
        <v>32</v>
      </c>
      <c r="AP7" s="2"/>
      <c r="AQ7" s="27">
        <f t="shared" si="0"/>
        <v>10</v>
      </c>
      <c r="AR7" s="2"/>
      <c r="AS7" s="27">
        <f t="shared" si="1"/>
        <v>0.61349693251533743</v>
      </c>
      <c r="AT7" s="3">
        <v>22</v>
      </c>
      <c r="AU7" s="1">
        <v>11</v>
      </c>
      <c r="AV7" s="3">
        <v>12</v>
      </c>
      <c r="AW7" s="2"/>
      <c r="AX7" s="29">
        <f t="shared" si="2"/>
        <v>45.613496932515339</v>
      </c>
      <c r="AY7" s="25" t="str">
        <f t="shared" si="3"/>
        <v>E</v>
      </c>
      <c r="AZ7" s="31"/>
      <c r="BA7" s="32" t="s">
        <v>21</v>
      </c>
    </row>
    <row r="8" spans="1:54" s="1" customFormat="1" x14ac:dyDescent="0.25">
      <c r="A8" s="1">
        <v>3</v>
      </c>
      <c r="B8" s="31" t="s">
        <v>36</v>
      </c>
      <c r="C8" s="2"/>
      <c r="E8" s="1" t="s">
        <v>32</v>
      </c>
      <c r="F8" s="1" t="s">
        <v>32</v>
      </c>
      <c r="G8" s="1" t="s">
        <v>32</v>
      </c>
      <c r="H8" s="1" t="s">
        <v>32</v>
      </c>
      <c r="I8" s="1" t="s">
        <v>32</v>
      </c>
      <c r="J8" s="1" t="s">
        <v>32</v>
      </c>
      <c r="K8" s="1" t="s">
        <v>32</v>
      </c>
      <c r="L8" s="1" t="s">
        <v>32</v>
      </c>
      <c r="M8" s="1" t="s">
        <v>32</v>
      </c>
      <c r="N8" s="1" t="s">
        <v>32</v>
      </c>
      <c r="O8" s="1" t="s">
        <v>32</v>
      </c>
      <c r="P8" s="1" t="s">
        <v>32</v>
      </c>
      <c r="Q8" s="1" t="s">
        <v>32</v>
      </c>
      <c r="R8" s="3">
        <v>0</v>
      </c>
      <c r="S8" s="2"/>
      <c r="T8" s="1" t="s">
        <v>32</v>
      </c>
      <c r="U8" s="1" t="s">
        <v>32</v>
      </c>
      <c r="V8" s="1" t="s">
        <v>32</v>
      </c>
      <c r="W8" s="1" t="s">
        <v>32</v>
      </c>
      <c r="X8" s="1" t="s">
        <v>32</v>
      </c>
      <c r="Y8" s="2"/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3">
        <v>0</v>
      </c>
      <c r="AH8" s="3">
        <v>0</v>
      </c>
      <c r="AI8" s="3">
        <v>0</v>
      </c>
      <c r="AJ8" s="3">
        <v>0</v>
      </c>
      <c r="AK8" s="2"/>
      <c r="AL8" s="3" t="s">
        <v>32</v>
      </c>
      <c r="AM8" s="1" t="s">
        <v>32</v>
      </c>
      <c r="AN8" s="1" t="s">
        <v>32</v>
      </c>
      <c r="AO8" s="1" t="s">
        <v>32</v>
      </c>
      <c r="AP8" s="2"/>
      <c r="AQ8" s="27">
        <f t="shared" si="0"/>
        <v>0</v>
      </c>
      <c r="AR8" s="2"/>
      <c r="AS8" s="27">
        <f t="shared" si="1"/>
        <v>0</v>
      </c>
      <c r="AT8" s="3">
        <v>0</v>
      </c>
      <c r="AU8" s="1">
        <v>0</v>
      </c>
      <c r="AV8" s="3">
        <v>0</v>
      </c>
      <c r="AW8" s="2"/>
      <c r="AX8" s="29">
        <f t="shared" si="2"/>
        <v>0</v>
      </c>
      <c r="AY8" s="25" t="str">
        <f t="shared" si="3"/>
        <v>E</v>
      </c>
      <c r="AZ8" s="31"/>
      <c r="BA8" s="5">
        <v>0</v>
      </c>
      <c r="BB8" s="6" t="s">
        <v>0</v>
      </c>
    </row>
    <row r="9" spans="1:54" s="1" customFormat="1" x14ac:dyDescent="0.25">
      <c r="A9" s="1">
        <v>4</v>
      </c>
      <c r="B9" s="31">
        <v>4761</v>
      </c>
      <c r="C9" s="2"/>
      <c r="D9" s="1">
        <v>11.5</v>
      </c>
      <c r="E9" s="1" t="s">
        <v>32</v>
      </c>
      <c r="F9" s="1">
        <v>7.5</v>
      </c>
      <c r="G9" s="1">
        <v>10.5</v>
      </c>
      <c r="H9" s="1" t="s">
        <v>32</v>
      </c>
      <c r="I9" s="3">
        <v>7</v>
      </c>
      <c r="J9" s="1">
        <v>7</v>
      </c>
      <c r="K9" s="1">
        <v>9</v>
      </c>
      <c r="L9" s="1">
        <v>23.5</v>
      </c>
      <c r="M9" s="1">
        <v>4.5</v>
      </c>
      <c r="N9" s="1">
        <v>7</v>
      </c>
      <c r="O9" s="1">
        <v>10</v>
      </c>
      <c r="P9" s="1">
        <v>2</v>
      </c>
      <c r="Q9" s="1">
        <v>20</v>
      </c>
      <c r="R9" s="1">
        <v>10</v>
      </c>
      <c r="S9" s="2"/>
      <c r="T9" s="1">
        <v>10</v>
      </c>
      <c r="U9" s="1">
        <v>15</v>
      </c>
      <c r="V9" s="1">
        <v>6</v>
      </c>
      <c r="W9" s="1">
        <v>5</v>
      </c>
      <c r="X9" s="1" t="s">
        <v>32</v>
      </c>
      <c r="Y9" s="2"/>
      <c r="Z9" s="1">
        <v>5</v>
      </c>
      <c r="AA9" s="1">
        <v>4</v>
      </c>
      <c r="AB9" s="1">
        <v>5</v>
      </c>
      <c r="AC9" s="1">
        <v>4</v>
      </c>
      <c r="AD9" s="1">
        <v>0</v>
      </c>
      <c r="AE9" s="1">
        <v>5</v>
      </c>
      <c r="AF9" s="1">
        <v>5</v>
      </c>
      <c r="AG9" s="1">
        <v>5</v>
      </c>
      <c r="AH9" s="1">
        <v>4</v>
      </c>
      <c r="AI9" s="1">
        <v>4</v>
      </c>
      <c r="AJ9" s="1">
        <v>3</v>
      </c>
      <c r="AK9" s="2"/>
      <c r="AL9" s="3">
        <v>19</v>
      </c>
      <c r="AM9" s="1">
        <v>28</v>
      </c>
      <c r="AN9" s="1">
        <v>39</v>
      </c>
      <c r="AO9" s="1">
        <v>40</v>
      </c>
      <c r="AP9" s="2"/>
      <c r="AQ9" s="27">
        <f t="shared" si="0"/>
        <v>335.5</v>
      </c>
      <c r="AR9" s="2"/>
      <c r="AS9" s="27">
        <v>20</v>
      </c>
      <c r="AT9" s="3">
        <v>21</v>
      </c>
      <c r="AU9" s="1">
        <v>15</v>
      </c>
      <c r="AV9" s="3">
        <v>30</v>
      </c>
      <c r="AW9" s="2"/>
      <c r="AX9" s="29">
        <f t="shared" si="2"/>
        <v>86</v>
      </c>
      <c r="AY9" s="25" t="str">
        <f t="shared" si="3"/>
        <v>BA</v>
      </c>
      <c r="AZ9" s="31"/>
      <c r="BA9" s="5">
        <v>49.5</v>
      </c>
      <c r="BB9" s="6" t="s">
        <v>1</v>
      </c>
    </row>
    <row r="10" spans="1:54" s="1" customFormat="1" x14ac:dyDescent="0.25">
      <c r="A10" s="1">
        <v>5</v>
      </c>
      <c r="B10" s="31">
        <v>4999</v>
      </c>
      <c r="C10" s="2"/>
      <c r="D10" s="1">
        <v>11.5</v>
      </c>
      <c r="E10" s="1" t="s">
        <v>32</v>
      </c>
      <c r="F10" s="1" t="s">
        <v>32</v>
      </c>
      <c r="G10" s="1">
        <v>11</v>
      </c>
      <c r="H10" s="1">
        <v>7</v>
      </c>
      <c r="I10" s="1" t="s">
        <v>32</v>
      </c>
      <c r="J10" s="1">
        <v>5</v>
      </c>
      <c r="K10" s="1">
        <v>8</v>
      </c>
      <c r="L10" s="1">
        <v>12</v>
      </c>
      <c r="M10" s="1">
        <v>4.5</v>
      </c>
      <c r="N10" s="1" t="s">
        <v>32</v>
      </c>
      <c r="O10" s="1">
        <v>10</v>
      </c>
      <c r="P10" s="1">
        <v>3</v>
      </c>
      <c r="Q10" s="1">
        <v>13</v>
      </c>
      <c r="R10" s="1">
        <v>0</v>
      </c>
      <c r="S10" s="2"/>
      <c r="T10" s="1">
        <v>10</v>
      </c>
      <c r="U10" s="1">
        <v>10</v>
      </c>
      <c r="V10" s="1">
        <v>6</v>
      </c>
      <c r="W10" s="1" t="s">
        <v>32</v>
      </c>
      <c r="X10" s="1">
        <v>6</v>
      </c>
      <c r="Y10" s="2"/>
      <c r="Z10" s="1">
        <v>3</v>
      </c>
      <c r="AA10" s="1">
        <v>2</v>
      </c>
      <c r="AB10" s="1">
        <v>3</v>
      </c>
      <c r="AC10" s="1">
        <v>4</v>
      </c>
      <c r="AD10" s="1">
        <v>4</v>
      </c>
      <c r="AE10" s="1">
        <v>0</v>
      </c>
      <c r="AF10" s="1">
        <v>1</v>
      </c>
      <c r="AG10" s="1">
        <v>3</v>
      </c>
      <c r="AH10" s="1">
        <v>0</v>
      </c>
      <c r="AI10" s="1">
        <v>3</v>
      </c>
      <c r="AJ10" s="1">
        <v>0</v>
      </c>
      <c r="AK10" s="2"/>
      <c r="AL10" s="3">
        <v>16.5</v>
      </c>
      <c r="AM10" s="1">
        <v>17.5</v>
      </c>
      <c r="AO10" s="1">
        <v>40</v>
      </c>
      <c r="AP10" s="2"/>
      <c r="AQ10" s="27">
        <f t="shared" si="0"/>
        <v>214</v>
      </c>
      <c r="AR10" s="2"/>
      <c r="AS10" s="27">
        <f t="shared" si="1"/>
        <v>13.128834355828221</v>
      </c>
      <c r="AT10" s="3">
        <v>17</v>
      </c>
      <c r="AU10" s="1">
        <v>20</v>
      </c>
      <c r="AV10" s="3">
        <v>23</v>
      </c>
      <c r="AW10" s="2"/>
      <c r="AX10" s="29">
        <f t="shared" si="2"/>
        <v>73.128834355828218</v>
      </c>
      <c r="AY10" s="25" t="str">
        <f t="shared" si="3"/>
        <v>CB</v>
      </c>
      <c r="AZ10" s="31"/>
      <c r="BA10" s="5">
        <v>56.5</v>
      </c>
      <c r="BB10" s="6" t="s">
        <v>11</v>
      </c>
    </row>
    <row r="11" spans="1:54" s="1" customFormat="1" x14ac:dyDescent="0.25">
      <c r="A11" s="1">
        <v>6</v>
      </c>
      <c r="B11" s="31">
        <v>8480</v>
      </c>
      <c r="C11" s="2"/>
      <c r="D11" s="1">
        <v>11</v>
      </c>
      <c r="E11" s="3">
        <v>7.5</v>
      </c>
      <c r="F11" s="1" t="s">
        <v>32</v>
      </c>
      <c r="G11" s="1" t="s">
        <v>32</v>
      </c>
      <c r="H11" s="1" t="s">
        <v>32</v>
      </c>
      <c r="I11" s="1">
        <v>11</v>
      </c>
      <c r="J11" s="1">
        <v>5</v>
      </c>
      <c r="K11" s="1">
        <v>10</v>
      </c>
      <c r="L11" s="1">
        <v>25</v>
      </c>
      <c r="M11" s="1" t="s">
        <v>32</v>
      </c>
      <c r="N11" s="1" t="s">
        <v>32</v>
      </c>
      <c r="O11" s="1">
        <v>7</v>
      </c>
      <c r="P11" s="1">
        <v>2</v>
      </c>
      <c r="Q11" s="1">
        <v>21</v>
      </c>
      <c r="R11" s="1">
        <v>10</v>
      </c>
      <c r="S11" s="2"/>
      <c r="T11" s="3">
        <v>10</v>
      </c>
      <c r="U11" s="3">
        <v>12</v>
      </c>
      <c r="V11" s="1">
        <v>6</v>
      </c>
      <c r="W11" s="1">
        <v>3.5</v>
      </c>
      <c r="X11" s="1">
        <v>8</v>
      </c>
      <c r="Y11" s="2"/>
      <c r="Z11" s="3">
        <v>5</v>
      </c>
      <c r="AA11" s="3">
        <v>5</v>
      </c>
      <c r="AB11" s="1">
        <v>5</v>
      </c>
      <c r="AC11" s="1">
        <v>5</v>
      </c>
      <c r="AD11" s="1">
        <v>5</v>
      </c>
      <c r="AE11" s="1">
        <v>5</v>
      </c>
      <c r="AF11" s="1">
        <v>5</v>
      </c>
      <c r="AG11" s="1">
        <v>5</v>
      </c>
      <c r="AH11" s="1">
        <v>5</v>
      </c>
      <c r="AI11" s="1">
        <v>1</v>
      </c>
      <c r="AJ11" s="1">
        <v>5</v>
      </c>
      <c r="AK11" s="2"/>
      <c r="AL11" s="3">
        <v>19</v>
      </c>
      <c r="AM11" s="1">
        <v>30</v>
      </c>
      <c r="AN11" s="1">
        <v>37.5</v>
      </c>
      <c r="AO11" s="1">
        <v>40</v>
      </c>
      <c r="AP11" s="2"/>
      <c r="AQ11" s="27">
        <f t="shared" si="0"/>
        <v>326.5</v>
      </c>
      <c r="AR11" s="2"/>
      <c r="AS11" s="27">
        <v>20</v>
      </c>
      <c r="AT11" s="3">
        <v>15</v>
      </c>
      <c r="AU11" s="1">
        <v>19</v>
      </c>
      <c r="AV11" s="3">
        <v>25</v>
      </c>
      <c r="AW11" s="2"/>
      <c r="AX11" s="29">
        <f t="shared" si="2"/>
        <v>79</v>
      </c>
      <c r="AY11" s="25" t="str">
        <f t="shared" si="3"/>
        <v>B</v>
      </c>
      <c r="AZ11" s="31"/>
      <c r="BA11" s="5">
        <v>63.5</v>
      </c>
      <c r="BB11" s="6" t="s">
        <v>37</v>
      </c>
    </row>
    <row r="12" spans="1:54" s="1" customFormat="1" x14ac:dyDescent="0.25">
      <c r="A12" s="1">
        <v>7</v>
      </c>
      <c r="B12" s="31" t="s">
        <v>35</v>
      </c>
      <c r="C12" s="2"/>
      <c r="D12" s="3" t="s">
        <v>32</v>
      </c>
      <c r="E12" s="3" t="s">
        <v>32</v>
      </c>
      <c r="F12" s="3" t="s">
        <v>32</v>
      </c>
      <c r="G12" s="1" t="s">
        <v>32</v>
      </c>
      <c r="H12" s="1" t="s">
        <v>32</v>
      </c>
      <c r="I12" s="3" t="s">
        <v>32</v>
      </c>
      <c r="J12" s="3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 t="s">
        <v>32</v>
      </c>
      <c r="R12" s="1">
        <v>0</v>
      </c>
      <c r="S12" s="2"/>
      <c r="T12" s="3" t="s">
        <v>32</v>
      </c>
      <c r="U12" s="3" t="s">
        <v>32</v>
      </c>
      <c r="V12" s="1" t="s">
        <v>32</v>
      </c>
      <c r="W12" s="1" t="s">
        <v>32</v>
      </c>
      <c r="X12" s="1" t="s">
        <v>32</v>
      </c>
      <c r="Y12" s="2"/>
      <c r="Z12" s="3">
        <v>0</v>
      </c>
      <c r="AA12" s="3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2"/>
      <c r="AL12" s="3" t="s">
        <v>32</v>
      </c>
      <c r="AM12" s="1" t="s">
        <v>32</v>
      </c>
      <c r="AN12" s="1" t="s">
        <v>32</v>
      </c>
      <c r="AO12" s="1" t="s">
        <v>32</v>
      </c>
      <c r="AP12" s="2"/>
      <c r="AQ12" s="27">
        <f t="shared" si="0"/>
        <v>0</v>
      </c>
      <c r="AR12" s="2"/>
      <c r="AS12" s="27">
        <f t="shared" si="1"/>
        <v>0</v>
      </c>
      <c r="AT12" s="1">
        <v>0</v>
      </c>
      <c r="AU12" s="1">
        <v>0</v>
      </c>
      <c r="AV12" s="1">
        <v>0</v>
      </c>
      <c r="AW12" s="2"/>
      <c r="AX12" s="29">
        <f t="shared" si="2"/>
        <v>0</v>
      </c>
      <c r="AY12" s="25" t="str">
        <f t="shared" si="3"/>
        <v>E</v>
      </c>
      <c r="AZ12" s="31"/>
      <c r="BA12" s="38">
        <v>72.5</v>
      </c>
      <c r="BB12" s="6" t="s">
        <v>38</v>
      </c>
    </row>
    <row r="13" spans="1:54" s="2" customFormat="1" x14ac:dyDescent="0.25">
      <c r="B13" s="33"/>
      <c r="AZ13" s="33"/>
      <c r="BA13" s="5">
        <v>77.5</v>
      </c>
      <c r="BB13" s="6" t="s">
        <v>3</v>
      </c>
    </row>
    <row r="14" spans="1:54" s="1" customFormat="1" x14ac:dyDescent="0.25">
      <c r="A14" s="1">
        <v>8</v>
      </c>
      <c r="B14" s="31">
        <v>3139</v>
      </c>
      <c r="C14" s="2"/>
      <c r="D14" s="3">
        <v>13</v>
      </c>
      <c r="E14" s="3">
        <v>4</v>
      </c>
      <c r="F14" s="3">
        <v>6</v>
      </c>
      <c r="G14" s="1">
        <v>9.5</v>
      </c>
      <c r="H14" s="1">
        <v>5</v>
      </c>
      <c r="I14" s="3">
        <v>8</v>
      </c>
      <c r="J14" s="3">
        <v>8.5</v>
      </c>
      <c r="K14" s="1">
        <v>8</v>
      </c>
      <c r="L14" s="1">
        <v>25</v>
      </c>
      <c r="M14" s="1">
        <v>5</v>
      </c>
      <c r="N14" s="1">
        <v>8</v>
      </c>
      <c r="O14" s="1">
        <v>9</v>
      </c>
      <c r="P14" s="1">
        <v>3</v>
      </c>
      <c r="Q14" s="1">
        <v>20</v>
      </c>
      <c r="R14" s="1">
        <v>10</v>
      </c>
      <c r="S14" s="2"/>
      <c r="T14" s="3">
        <v>10</v>
      </c>
      <c r="U14" s="3">
        <v>13</v>
      </c>
      <c r="V14" s="1">
        <v>6</v>
      </c>
      <c r="W14" s="1">
        <v>6</v>
      </c>
      <c r="X14" s="1">
        <v>12</v>
      </c>
      <c r="Y14" s="2"/>
      <c r="Z14" s="3">
        <v>5</v>
      </c>
      <c r="AA14" s="3">
        <v>5</v>
      </c>
      <c r="AB14" s="1">
        <v>3</v>
      </c>
      <c r="AC14" s="1">
        <v>5</v>
      </c>
      <c r="AD14" s="1">
        <v>5</v>
      </c>
      <c r="AE14" s="1">
        <v>4</v>
      </c>
      <c r="AF14" s="1">
        <v>5</v>
      </c>
      <c r="AG14" s="1">
        <v>4</v>
      </c>
      <c r="AH14" s="1">
        <v>3</v>
      </c>
      <c r="AI14" s="1">
        <v>4</v>
      </c>
      <c r="AJ14" s="1">
        <v>2</v>
      </c>
      <c r="AK14" s="2"/>
      <c r="AL14" s="3">
        <v>19.5</v>
      </c>
      <c r="AM14" s="1">
        <v>22</v>
      </c>
      <c r="AN14" s="1">
        <v>37.5</v>
      </c>
      <c r="AO14" s="1">
        <v>40</v>
      </c>
      <c r="AP14" s="2"/>
      <c r="AQ14" s="27">
        <f t="shared" si="0"/>
        <v>353</v>
      </c>
      <c r="AR14" s="2"/>
      <c r="AS14" s="27">
        <v>20</v>
      </c>
      <c r="AT14" s="3">
        <v>22</v>
      </c>
      <c r="AU14" s="1">
        <v>22</v>
      </c>
      <c r="AV14" s="3">
        <v>30</v>
      </c>
      <c r="AW14" s="2"/>
      <c r="AX14" s="29">
        <f t="shared" si="2"/>
        <v>94</v>
      </c>
      <c r="AY14" s="25" t="str">
        <f t="shared" si="3"/>
        <v>A</v>
      </c>
      <c r="AZ14" s="31"/>
      <c r="BA14" s="5">
        <v>84.5</v>
      </c>
      <c r="BB14" s="6" t="s">
        <v>39</v>
      </c>
    </row>
    <row r="15" spans="1:54" s="1" customFormat="1" x14ac:dyDescent="0.25">
      <c r="A15" s="1">
        <v>9</v>
      </c>
      <c r="B15" s="31">
        <v>7603</v>
      </c>
      <c r="C15" s="2"/>
      <c r="D15" s="3">
        <v>13</v>
      </c>
      <c r="E15" s="1">
        <v>8</v>
      </c>
      <c r="F15" s="3" t="s">
        <v>32</v>
      </c>
      <c r="G15" s="1">
        <v>9</v>
      </c>
      <c r="H15" s="1">
        <v>4</v>
      </c>
      <c r="I15" s="3">
        <v>9</v>
      </c>
      <c r="J15" s="3" t="s">
        <v>32</v>
      </c>
      <c r="K15" s="1">
        <v>7</v>
      </c>
      <c r="L15" s="1">
        <v>23</v>
      </c>
      <c r="M15" s="1" t="s">
        <v>32</v>
      </c>
      <c r="N15" s="1" t="s">
        <v>32</v>
      </c>
      <c r="O15" s="1">
        <v>10</v>
      </c>
      <c r="P15" s="1">
        <v>3</v>
      </c>
      <c r="Q15" s="1" t="s">
        <v>32</v>
      </c>
      <c r="R15" s="1">
        <v>10</v>
      </c>
      <c r="S15" s="2"/>
      <c r="T15" s="1">
        <v>6</v>
      </c>
      <c r="U15" s="1">
        <v>9</v>
      </c>
      <c r="V15" s="1" t="s">
        <v>32</v>
      </c>
      <c r="W15" s="1">
        <v>6</v>
      </c>
      <c r="X15" s="1" t="s">
        <v>32</v>
      </c>
      <c r="Y15" s="2"/>
      <c r="Z15" s="1">
        <v>4</v>
      </c>
      <c r="AA15" s="39">
        <v>5</v>
      </c>
      <c r="AB15" s="1">
        <v>4</v>
      </c>
      <c r="AC15" s="1">
        <v>3</v>
      </c>
      <c r="AD15" s="1">
        <v>0</v>
      </c>
      <c r="AE15" s="1">
        <v>4</v>
      </c>
      <c r="AF15" s="1">
        <v>2</v>
      </c>
      <c r="AG15" s="1">
        <v>3</v>
      </c>
      <c r="AH15" s="1">
        <v>4</v>
      </c>
      <c r="AI15" s="1">
        <v>3</v>
      </c>
      <c r="AJ15" s="1">
        <v>0</v>
      </c>
      <c r="AK15" s="2"/>
      <c r="AL15" s="1">
        <v>20</v>
      </c>
      <c r="AM15" s="1">
        <v>26</v>
      </c>
      <c r="AN15" s="1">
        <v>38</v>
      </c>
      <c r="AO15" s="1">
        <v>40</v>
      </c>
      <c r="AP15" s="2"/>
      <c r="AQ15" s="27">
        <f t="shared" si="0"/>
        <v>273</v>
      </c>
      <c r="AR15" s="2"/>
      <c r="AS15" s="27">
        <f t="shared" si="1"/>
        <v>16.748466257668714</v>
      </c>
      <c r="AT15" s="3">
        <v>19</v>
      </c>
      <c r="AU15" s="1">
        <v>18</v>
      </c>
      <c r="AV15" s="3">
        <v>28</v>
      </c>
      <c r="AW15" s="2"/>
      <c r="AX15" s="29">
        <f t="shared" si="2"/>
        <v>81.74846625766871</v>
      </c>
      <c r="AY15" s="25" t="str">
        <f t="shared" si="3"/>
        <v>B</v>
      </c>
      <c r="AZ15" s="31"/>
      <c r="BA15" s="38">
        <v>89.5</v>
      </c>
      <c r="BB15" s="6" t="s">
        <v>40</v>
      </c>
    </row>
    <row r="16" spans="1:54" s="1" customFormat="1" x14ac:dyDescent="0.25">
      <c r="A16" s="1">
        <v>10</v>
      </c>
      <c r="B16" s="31">
        <v>2140</v>
      </c>
      <c r="C16" s="2"/>
      <c r="D16" s="3">
        <v>13</v>
      </c>
      <c r="E16" s="3" t="s">
        <v>32</v>
      </c>
      <c r="F16" s="3">
        <v>8</v>
      </c>
      <c r="G16" s="1">
        <v>6</v>
      </c>
      <c r="H16" s="1" t="s">
        <v>32</v>
      </c>
      <c r="I16" s="3" t="s">
        <v>32</v>
      </c>
      <c r="J16" s="3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32</v>
      </c>
      <c r="Q16" s="1" t="s">
        <v>32</v>
      </c>
      <c r="R16" s="1">
        <v>0</v>
      </c>
      <c r="S16" s="2"/>
      <c r="T16" s="3" t="s">
        <v>32</v>
      </c>
      <c r="U16" s="3" t="s">
        <v>32</v>
      </c>
      <c r="V16" s="3" t="s">
        <v>32</v>
      </c>
      <c r="W16" s="1" t="s">
        <v>32</v>
      </c>
      <c r="X16" s="1" t="s">
        <v>32</v>
      </c>
      <c r="Y16" s="2"/>
      <c r="Z16" s="3">
        <v>3</v>
      </c>
      <c r="AA16" s="3">
        <v>3</v>
      </c>
      <c r="AB16" s="3">
        <v>4</v>
      </c>
      <c r="AC16" s="1">
        <v>2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2"/>
      <c r="AL16" s="3">
        <v>10</v>
      </c>
      <c r="AM16" s="1" t="s">
        <v>32</v>
      </c>
      <c r="AN16" s="1" t="s">
        <v>32</v>
      </c>
      <c r="AO16" s="1" t="s">
        <v>32</v>
      </c>
      <c r="AP16" s="2"/>
      <c r="AQ16" s="27">
        <f t="shared" si="0"/>
        <v>50</v>
      </c>
      <c r="AR16" s="2"/>
      <c r="AS16" s="27">
        <f t="shared" si="1"/>
        <v>3.0674846625766872</v>
      </c>
      <c r="AT16" s="3">
        <v>19</v>
      </c>
      <c r="AU16" s="1">
        <v>0</v>
      </c>
      <c r="AV16" s="41">
        <v>0</v>
      </c>
      <c r="AW16" s="2"/>
      <c r="AX16" s="29">
        <f t="shared" si="2"/>
        <v>22.067484662576689</v>
      </c>
      <c r="AY16" s="25" t="str">
        <f t="shared" si="3"/>
        <v>E</v>
      </c>
      <c r="AZ16" s="31"/>
    </row>
    <row r="17" spans="1:52" s="1" customFormat="1" x14ac:dyDescent="0.25">
      <c r="A17" s="1">
        <v>11</v>
      </c>
      <c r="B17" s="31">
        <v>7425</v>
      </c>
      <c r="C17" s="2"/>
      <c r="D17" s="3" t="s">
        <v>32</v>
      </c>
      <c r="E17" s="3" t="s">
        <v>32</v>
      </c>
      <c r="F17" s="3">
        <v>7.5</v>
      </c>
      <c r="G17" s="1">
        <v>7</v>
      </c>
      <c r="H17" s="1">
        <v>8</v>
      </c>
      <c r="I17" s="3" t="s">
        <v>32</v>
      </c>
      <c r="J17" s="3" t="s">
        <v>32</v>
      </c>
      <c r="K17" s="1" t="s">
        <v>32</v>
      </c>
      <c r="L17" s="1" t="s">
        <v>32</v>
      </c>
      <c r="M17" s="1">
        <v>4</v>
      </c>
      <c r="N17" s="1">
        <v>7</v>
      </c>
      <c r="O17" s="1" t="s">
        <v>32</v>
      </c>
      <c r="P17" s="1" t="s">
        <v>32</v>
      </c>
      <c r="Q17" s="1" t="s">
        <v>32</v>
      </c>
      <c r="R17" s="1">
        <v>0</v>
      </c>
      <c r="S17" s="2"/>
      <c r="T17" s="3">
        <v>10</v>
      </c>
      <c r="U17" s="3">
        <v>11</v>
      </c>
      <c r="V17" s="3" t="s">
        <v>32</v>
      </c>
      <c r="W17" s="1" t="s">
        <v>32</v>
      </c>
      <c r="X17" s="1" t="s">
        <v>32</v>
      </c>
      <c r="Y17" s="2"/>
      <c r="Z17" s="3">
        <v>0</v>
      </c>
      <c r="AA17" s="3">
        <v>1</v>
      </c>
      <c r="AB17" s="3">
        <v>4</v>
      </c>
      <c r="AC17" s="1">
        <v>1</v>
      </c>
      <c r="AD17" s="1">
        <v>0</v>
      </c>
      <c r="AE17" s="1">
        <v>2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2"/>
      <c r="AL17" s="3">
        <v>20</v>
      </c>
      <c r="AM17" s="1">
        <v>23</v>
      </c>
      <c r="AN17" s="1" t="s">
        <v>32</v>
      </c>
      <c r="AO17" s="1" t="s">
        <v>32</v>
      </c>
      <c r="AP17" s="2"/>
      <c r="AQ17" s="27">
        <f t="shared" si="0"/>
        <v>105.5</v>
      </c>
      <c r="AR17" s="2"/>
      <c r="AS17" s="27">
        <f t="shared" si="1"/>
        <v>6.4723926380368102</v>
      </c>
      <c r="AT17" s="3">
        <v>21</v>
      </c>
      <c r="AU17" s="1">
        <v>21</v>
      </c>
      <c r="AV17" s="3">
        <v>12</v>
      </c>
      <c r="AW17" s="2"/>
      <c r="AX17" s="29">
        <f t="shared" si="2"/>
        <v>60.472392638036808</v>
      </c>
      <c r="AY17" s="25" t="str">
        <f t="shared" si="3"/>
        <v>DC</v>
      </c>
      <c r="AZ17" s="31"/>
    </row>
    <row r="18" spans="1:52" s="1" customFormat="1" x14ac:dyDescent="0.25">
      <c r="A18" s="1">
        <v>12</v>
      </c>
      <c r="B18" s="31">
        <v>7929</v>
      </c>
      <c r="C18" s="2"/>
      <c r="D18" s="1">
        <v>13</v>
      </c>
      <c r="E18" s="3">
        <v>7</v>
      </c>
      <c r="F18" s="1">
        <v>8</v>
      </c>
      <c r="G18" s="1">
        <v>11</v>
      </c>
      <c r="H18" s="1">
        <v>8</v>
      </c>
      <c r="I18" s="1">
        <v>11</v>
      </c>
      <c r="J18" s="1">
        <v>7.5</v>
      </c>
      <c r="K18" s="1">
        <v>10</v>
      </c>
      <c r="L18" s="1">
        <v>26</v>
      </c>
      <c r="M18" s="1" t="s">
        <v>32</v>
      </c>
      <c r="N18" s="1" t="s">
        <v>32</v>
      </c>
      <c r="O18" s="1">
        <v>10</v>
      </c>
      <c r="P18" s="1">
        <v>2</v>
      </c>
      <c r="Q18" s="1">
        <v>20.5</v>
      </c>
      <c r="R18" s="1">
        <v>10</v>
      </c>
      <c r="S18" s="2"/>
      <c r="T18" s="3">
        <v>10</v>
      </c>
      <c r="U18" s="3">
        <v>15</v>
      </c>
      <c r="V18" s="3">
        <v>6</v>
      </c>
      <c r="W18" s="1">
        <v>5.5</v>
      </c>
      <c r="X18" s="1" t="s">
        <v>32</v>
      </c>
      <c r="Y18" s="2"/>
      <c r="Z18" s="3">
        <v>5</v>
      </c>
      <c r="AA18" s="3">
        <v>5</v>
      </c>
      <c r="AB18" s="3">
        <v>5</v>
      </c>
      <c r="AC18" s="1">
        <v>5</v>
      </c>
      <c r="AD18" s="1">
        <v>5</v>
      </c>
      <c r="AE18" s="1">
        <v>4</v>
      </c>
      <c r="AF18" s="1">
        <v>5</v>
      </c>
      <c r="AG18" s="1">
        <v>5</v>
      </c>
      <c r="AH18" s="1">
        <v>5</v>
      </c>
      <c r="AI18" s="1">
        <v>4</v>
      </c>
      <c r="AJ18" s="1">
        <v>2</v>
      </c>
      <c r="AK18" s="2"/>
      <c r="AL18" s="3">
        <v>20</v>
      </c>
      <c r="AM18" s="1">
        <v>30</v>
      </c>
      <c r="AN18" s="1">
        <v>40</v>
      </c>
      <c r="AO18" s="1">
        <v>40</v>
      </c>
      <c r="AP18" s="2"/>
      <c r="AQ18" s="27">
        <f t="shared" si="0"/>
        <v>360.5</v>
      </c>
      <c r="AR18" s="2"/>
      <c r="AS18" s="27">
        <v>20</v>
      </c>
      <c r="AT18" s="3">
        <v>25</v>
      </c>
      <c r="AU18" s="1">
        <v>24</v>
      </c>
      <c r="AV18" s="3">
        <v>30</v>
      </c>
      <c r="AW18" s="2"/>
      <c r="AX18" s="29">
        <f t="shared" si="2"/>
        <v>99</v>
      </c>
      <c r="AY18" s="25" t="str">
        <f t="shared" si="3"/>
        <v>A</v>
      </c>
      <c r="AZ18" s="31"/>
    </row>
    <row r="19" spans="1:52" s="1" customFormat="1" x14ac:dyDescent="0.25">
      <c r="A19" s="1">
        <v>13</v>
      </c>
      <c r="B19" s="31">
        <v>4606</v>
      </c>
      <c r="C19" s="2"/>
      <c r="D19" s="1">
        <v>12</v>
      </c>
      <c r="E19" s="3">
        <v>5</v>
      </c>
      <c r="F19" s="1">
        <v>7</v>
      </c>
      <c r="G19" s="1">
        <v>7</v>
      </c>
      <c r="H19" s="1">
        <v>6</v>
      </c>
      <c r="I19" s="1">
        <v>5.5</v>
      </c>
      <c r="J19" s="1">
        <v>5</v>
      </c>
      <c r="K19" s="1">
        <v>7</v>
      </c>
      <c r="L19" s="1">
        <v>20</v>
      </c>
      <c r="M19" s="1">
        <v>2.5</v>
      </c>
      <c r="N19" s="1" t="s">
        <v>32</v>
      </c>
      <c r="O19" s="1">
        <v>10</v>
      </c>
      <c r="P19" s="1" t="s">
        <v>32</v>
      </c>
      <c r="Q19" s="1">
        <v>15</v>
      </c>
      <c r="R19" s="1">
        <v>10</v>
      </c>
      <c r="S19" s="2"/>
      <c r="T19" s="3">
        <v>9</v>
      </c>
      <c r="U19" s="3">
        <v>12</v>
      </c>
      <c r="V19" s="3" t="s">
        <v>32</v>
      </c>
      <c r="W19" s="1">
        <v>2</v>
      </c>
      <c r="X19" s="1" t="s">
        <v>32</v>
      </c>
      <c r="Y19" s="2"/>
      <c r="Z19" s="3">
        <v>5</v>
      </c>
      <c r="AA19" s="3">
        <v>3</v>
      </c>
      <c r="AB19" s="3">
        <v>4</v>
      </c>
      <c r="AC19" s="1">
        <v>4</v>
      </c>
      <c r="AD19" s="1">
        <v>2</v>
      </c>
      <c r="AE19" s="1">
        <v>2</v>
      </c>
      <c r="AF19" s="1">
        <v>5</v>
      </c>
      <c r="AG19" s="1">
        <v>3</v>
      </c>
      <c r="AH19" s="1">
        <v>4</v>
      </c>
      <c r="AI19" s="1">
        <v>3</v>
      </c>
      <c r="AJ19" s="1">
        <v>1</v>
      </c>
      <c r="AK19" s="2"/>
      <c r="AL19" s="3">
        <v>16</v>
      </c>
      <c r="AM19" s="1">
        <v>20</v>
      </c>
      <c r="AN19" s="1">
        <v>38</v>
      </c>
      <c r="AO19" s="1">
        <v>40</v>
      </c>
      <c r="AP19" s="2"/>
      <c r="AQ19" s="27">
        <f t="shared" si="0"/>
        <v>285</v>
      </c>
      <c r="AR19" s="2"/>
      <c r="AS19" s="27">
        <f t="shared" si="1"/>
        <v>17.484662576687114</v>
      </c>
      <c r="AT19" s="3">
        <v>17</v>
      </c>
      <c r="AU19" s="1">
        <v>19</v>
      </c>
      <c r="AV19" s="3">
        <v>21</v>
      </c>
      <c r="AW19" s="2"/>
      <c r="AX19" s="29">
        <f t="shared" si="2"/>
        <v>74.484662576687114</v>
      </c>
      <c r="AY19" s="25" t="str">
        <f t="shared" si="3"/>
        <v>CB</v>
      </c>
      <c r="AZ19" s="31"/>
    </row>
    <row r="20" spans="1:52" s="1" customFormat="1" x14ac:dyDescent="0.25">
      <c r="A20" s="1">
        <v>14</v>
      </c>
      <c r="B20" s="31">
        <v>1538</v>
      </c>
      <c r="C20" s="2"/>
      <c r="D20" s="1">
        <v>13</v>
      </c>
      <c r="E20" s="3">
        <v>7</v>
      </c>
      <c r="F20" s="1">
        <v>8</v>
      </c>
      <c r="G20" s="1">
        <v>8</v>
      </c>
      <c r="H20" s="1">
        <v>8</v>
      </c>
      <c r="I20" s="1">
        <v>8.5</v>
      </c>
      <c r="J20" s="1" t="s">
        <v>32</v>
      </c>
      <c r="K20" s="1">
        <v>9</v>
      </c>
      <c r="L20" s="1">
        <v>25.5</v>
      </c>
      <c r="M20" s="1">
        <v>4</v>
      </c>
      <c r="N20" s="1">
        <v>9</v>
      </c>
      <c r="O20" s="1">
        <v>10</v>
      </c>
      <c r="P20" s="1">
        <v>3</v>
      </c>
      <c r="Q20" s="1">
        <v>15</v>
      </c>
      <c r="R20" s="1">
        <v>0</v>
      </c>
      <c r="S20" s="2"/>
      <c r="T20" s="3">
        <v>10</v>
      </c>
      <c r="U20" s="3">
        <v>11</v>
      </c>
      <c r="V20" s="3">
        <v>6</v>
      </c>
      <c r="W20" s="1">
        <v>2</v>
      </c>
      <c r="X20" s="1" t="s">
        <v>32</v>
      </c>
      <c r="Y20" s="2"/>
      <c r="Z20" s="3">
        <v>4</v>
      </c>
      <c r="AA20" s="3">
        <v>5</v>
      </c>
      <c r="AB20" s="3">
        <v>3</v>
      </c>
      <c r="AC20" s="1">
        <v>4</v>
      </c>
      <c r="AD20" s="1">
        <v>5</v>
      </c>
      <c r="AE20" s="1">
        <v>4</v>
      </c>
      <c r="AF20" s="1">
        <v>5</v>
      </c>
      <c r="AG20" s="1">
        <v>5</v>
      </c>
      <c r="AH20" s="1">
        <v>5</v>
      </c>
      <c r="AI20" s="1">
        <v>5</v>
      </c>
      <c r="AJ20" s="1">
        <v>4</v>
      </c>
      <c r="AK20" s="2"/>
      <c r="AL20" s="3">
        <v>19</v>
      </c>
      <c r="AM20" s="1">
        <v>27</v>
      </c>
      <c r="AN20" s="1">
        <v>40</v>
      </c>
      <c r="AO20" s="1">
        <v>40</v>
      </c>
      <c r="AP20" s="2"/>
      <c r="AQ20" s="27">
        <f t="shared" si="0"/>
        <v>332</v>
      </c>
      <c r="AR20" s="2"/>
      <c r="AS20" s="27">
        <v>20</v>
      </c>
      <c r="AT20" s="3">
        <v>18</v>
      </c>
      <c r="AU20" s="1">
        <v>23</v>
      </c>
      <c r="AV20" s="3">
        <v>26</v>
      </c>
      <c r="AW20" s="2"/>
      <c r="AX20" s="29">
        <f t="shared" si="2"/>
        <v>87</v>
      </c>
      <c r="AY20" s="25" t="str">
        <f t="shared" si="3"/>
        <v>BA</v>
      </c>
      <c r="AZ20" s="31"/>
    </row>
    <row r="21" spans="1:52" s="2" customFormat="1" x14ac:dyDescent="0.25">
      <c r="B21" s="33"/>
    </row>
    <row r="22" spans="1:52" s="1" customFormat="1" x14ac:dyDescent="0.25">
      <c r="A22" s="1">
        <v>15</v>
      </c>
      <c r="B22" s="31">
        <v>7970</v>
      </c>
      <c r="C22" s="2"/>
      <c r="D22" s="1" t="s">
        <v>32</v>
      </c>
      <c r="E22" s="3" t="s">
        <v>32</v>
      </c>
      <c r="F22" s="1" t="s">
        <v>32</v>
      </c>
      <c r="G22" s="1" t="s">
        <v>32</v>
      </c>
      <c r="H22" s="1" t="s">
        <v>32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32</v>
      </c>
      <c r="Q22" s="1" t="s">
        <v>32</v>
      </c>
      <c r="R22" s="1">
        <v>0</v>
      </c>
      <c r="S22" s="2"/>
      <c r="T22" s="3" t="s">
        <v>32</v>
      </c>
      <c r="U22" s="3" t="s">
        <v>32</v>
      </c>
      <c r="V22" s="3" t="s">
        <v>32</v>
      </c>
      <c r="W22" s="1" t="s">
        <v>32</v>
      </c>
      <c r="X22" s="1" t="s">
        <v>32</v>
      </c>
      <c r="Y22" s="2"/>
      <c r="Z22" s="3">
        <v>0</v>
      </c>
      <c r="AA22" s="3">
        <v>0</v>
      </c>
      <c r="AB22" s="3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2"/>
      <c r="AL22" s="1" t="s">
        <v>32</v>
      </c>
      <c r="AM22" s="1" t="s">
        <v>32</v>
      </c>
      <c r="AN22" s="1" t="s">
        <v>32</v>
      </c>
      <c r="AO22" s="1" t="s">
        <v>32</v>
      </c>
      <c r="AP22" s="2"/>
      <c r="AQ22" s="27">
        <f t="shared" si="0"/>
        <v>0</v>
      </c>
      <c r="AR22" s="2"/>
      <c r="AS22" s="27">
        <f t="shared" si="1"/>
        <v>0</v>
      </c>
      <c r="AT22" s="3">
        <v>0</v>
      </c>
      <c r="AU22" s="1">
        <v>0</v>
      </c>
      <c r="AV22" s="3">
        <v>0</v>
      </c>
      <c r="AW22" s="2"/>
      <c r="AX22" s="29">
        <f t="shared" si="2"/>
        <v>0</v>
      </c>
      <c r="AY22" s="25" t="str">
        <f t="shared" si="3"/>
        <v>E</v>
      </c>
      <c r="AZ22" s="31"/>
    </row>
    <row r="23" spans="1:52" s="1" customFormat="1" x14ac:dyDescent="0.25">
      <c r="A23" s="1">
        <v>16</v>
      </c>
      <c r="B23" s="31">
        <v>9802</v>
      </c>
      <c r="C23" s="2"/>
      <c r="D23" s="1">
        <v>12.5</v>
      </c>
      <c r="E23" s="1">
        <v>5</v>
      </c>
      <c r="F23" s="1">
        <v>4</v>
      </c>
      <c r="G23" s="1">
        <v>8.5</v>
      </c>
      <c r="H23" s="1">
        <v>7</v>
      </c>
      <c r="I23" s="1">
        <v>8.5</v>
      </c>
      <c r="J23" s="1">
        <v>6</v>
      </c>
      <c r="K23" s="1">
        <v>5</v>
      </c>
      <c r="L23" s="1">
        <v>18.5</v>
      </c>
      <c r="M23" s="1">
        <v>5</v>
      </c>
      <c r="N23" s="1">
        <v>8</v>
      </c>
      <c r="O23" s="1">
        <v>5</v>
      </c>
      <c r="P23" s="1">
        <v>3</v>
      </c>
      <c r="Q23" s="1">
        <v>15.5</v>
      </c>
      <c r="R23" s="1">
        <v>10</v>
      </c>
      <c r="S23" s="2"/>
      <c r="T23" s="1" t="s">
        <v>32</v>
      </c>
      <c r="U23" s="1">
        <v>6.5</v>
      </c>
      <c r="V23" s="1" t="s">
        <v>32</v>
      </c>
      <c r="W23" s="1">
        <v>3</v>
      </c>
      <c r="X23" s="1">
        <v>7</v>
      </c>
      <c r="Y23" s="2"/>
      <c r="Z23" s="1">
        <v>4</v>
      </c>
      <c r="AA23" s="1">
        <v>3</v>
      </c>
      <c r="AB23" s="1">
        <v>4</v>
      </c>
      <c r="AC23" s="1">
        <v>0</v>
      </c>
      <c r="AD23" s="1">
        <v>3</v>
      </c>
      <c r="AE23" s="1">
        <v>2</v>
      </c>
      <c r="AF23" s="1">
        <v>2</v>
      </c>
      <c r="AG23" s="1">
        <v>3</v>
      </c>
      <c r="AH23" s="1">
        <v>0</v>
      </c>
      <c r="AI23" s="1">
        <v>0</v>
      </c>
      <c r="AJ23" s="1">
        <v>0</v>
      </c>
      <c r="AK23" s="2"/>
      <c r="AL23" s="1">
        <v>15.5</v>
      </c>
      <c r="AM23" s="1">
        <v>11.5</v>
      </c>
      <c r="AN23" s="1">
        <v>38</v>
      </c>
      <c r="AO23" s="1">
        <v>40</v>
      </c>
      <c r="AP23" s="2"/>
      <c r="AQ23" s="27">
        <f t="shared" si="0"/>
        <v>264</v>
      </c>
      <c r="AR23" s="2"/>
      <c r="AS23" s="27">
        <f t="shared" si="1"/>
        <v>16.196319018404907</v>
      </c>
      <c r="AT23" s="3">
        <v>18</v>
      </c>
      <c r="AU23" s="1">
        <v>17</v>
      </c>
      <c r="AV23" s="3">
        <v>25</v>
      </c>
      <c r="AW23" s="2"/>
      <c r="AX23" s="29">
        <f t="shared" si="2"/>
        <v>76.196319018404907</v>
      </c>
      <c r="AY23" s="25" t="str">
        <f t="shared" si="3"/>
        <v>CB</v>
      </c>
      <c r="AZ23" s="31"/>
    </row>
    <row r="24" spans="1:52" s="1" customFormat="1" x14ac:dyDescent="0.25">
      <c r="A24" s="1">
        <v>17</v>
      </c>
      <c r="B24" s="31">
        <v>6599</v>
      </c>
      <c r="C24" s="2"/>
      <c r="D24" s="1" t="s">
        <v>32</v>
      </c>
      <c r="E24" s="1" t="s">
        <v>32</v>
      </c>
      <c r="F24" s="1" t="s">
        <v>32</v>
      </c>
      <c r="G24" s="1" t="s">
        <v>32</v>
      </c>
      <c r="H24" s="1" t="s">
        <v>32</v>
      </c>
      <c r="I24" s="1" t="s">
        <v>32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32</v>
      </c>
      <c r="Q24" s="1" t="s">
        <v>32</v>
      </c>
      <c r="R24" s="3">
        <v>0</v>
      </c>
      <c r="S24" s="2"/>
      <c r="T24" s="1" t="s">
        <v>32</v>
      </c>
      <c r="U24" s="1" t="s">
        <v>32</v>
      </c>
      <c r="V24" s="1" t="s">
        <v>32</v>
      </c>
      <c r="W24" s="1" t="s">
        <v>32</v>
      </c>
      <c r="X24" s="1" t="s">
        <v>32</v>
      </c>
      <c r="Y24" s="2"/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3">
        <v>0</v>
      </c>
      <c r="AH24" s="3">
        <v>0</v>
      </c>
      <c r="AI24" s="3">
        <v>0</v>
      </c>
      <c r="AJ24" s="3">
        <v>0</v>
      </c>
      <c r="AK24" s="2"/>
      <c r="AL24" s="1" t="s">
        <v>32</v>
      </c>
      <c r="AM24" s="1" t="s">
        <v>32</v>
      </c>
      <c r="AN24" s="1" t="s">
        <v>32</v>
      </c>
      <c r="AO24" s="1" t="s">
        <v>32</v>
      </c>
      <c r="AP24" s="2"/>
      <c r="AQ24" s="27">
        <f t="shared" si="0"/>
        <v>0</v>
      </c>
      <c r="AR24" s="2"/>
      <c r="AS24" s="27">
        <f t="shared" si="1"/>
        <v>0</v>
      </c>
      <c r="AT24" s="1">
        <v>0</v>
      </c>
      <c r="AU24" s="1">
        <v>0</v>
      </c>
      <c r="AV24" s="1">
        <v>0</v>
      </c>
      <c r="AW24" s="2"/>
      <c r="AX24" s="29">
        <f t="shared" si="2"/>
        <v>0</v>
      </c>
      <c r="AY24" s="25" t="str">
        <f t="shared" si="3"/>
        <v>E</v>
      </c>
      <c r="AZ24" s="31"/>
    </row>
    <row r="25" spans="1:52" s="1" customFormat="1" x14ac:dyDescent="0.25">
      <c r="A25" s="1">
        <v>18</v>
      </c>
      <c r="B25" s="31" t="s">
        <v>34</v>
      </c>
      <c r="C25" s="2"/>
      <c r="D25" s="3" t="s">
        <v>32</v>
      </c>
      <c r="E25" s="3">
        <v>6</v>
      </c>
      <c r="F25" s="3">
        <v>6</v>
      </c>
      <c r="G25" s="1">
        <v>6</v>
      </c>
      <c r="H25" s="1">
        <v>5</v>
      </c>
      <c r="I25" s="3">
        <v>4</v>
      </c>
      <c r="J25" s="3">
        <v>5</v>
      </c>
      <c r="K25" s="1">
        <v>4</v>
      </c>
      <c r="L25" s="1">
        <v>7.5</v>
      </c>
      <c r="M25" s="1" t="s">
        <v>32</v>
      </c>
      <c r="N25" s="1" t="s">
        <v>32</v>
      </c>
      <c r="O25" s="1" t="s">
        <v>32</v>
      </c>
      <c r="P25" s="1" t="s">
        <v>32</v>
      </c>
      <c r="Q25" s="1" t="s">
        <v>32</v>
      </c>
      <c r="R25" s="1">
        <v>0</v>
      </c>
      <c r="S25" s="2"/>
      <c r="T25" s="3">
        <v>4.5</v>
      </c>
      <c r="U25" s="3" t="s">
        <v>32</v>
      </c>
      <c r="V25" s="1" t="s">
        <v>32</v>
      </c>
      <c r="W25" s="1" t="s">
        <v>32</v>
      </c>
      <c r="X25" s="1" t="s">
        <v>32</v>
      </c>
      <c r="Y25" s="2"/>
      <c r="Z25" s="3">
        <v>0</v>
      </c>
      <c r="AA25" s="3">
        <v>3</v>
      </c>
      <c r="AB25" s="1">
        <v>0</v>
      </c>
      <c r="AC25" s="1">
        <v>3</v>
      </c>
      <c r="AD25" s="1">
        <v>0</v>
      </c>
      <c r="AE25" s="1">
        <v>2</v>
      </c>
      <c r="AF25" s="39">
        <v>5</v>
      </c>
      <c r="AG25" s="1">
        <v>0</v>
      </c>
      <c r="AH25" s="1">
        <v>0</v>
      </c>
      <c r="AI25" s="1">
        <v>0</v>
      </c>
      <c r="AJ25" s="1">
        <v>0</v>
      </c>
      <c r="AK25" s="2"/>
      <c r="AL25" s="3">
        <v>15.5</v>
      </c>
      <c r="AM25" s="1">
        <v>16.5</v>
      </c>
      <c r="AN25" s="1">
        <v>19</v>
      </c>
      <c r="AO25" s="1" t="s">
        <v>32</v>
      </c>
      <c r="AP25" s="2"/>
      <c r="AQ25" s="27">
        <f t="shared" si="0"/>
        <v>112</v>
      </c>
      <c r="AR25" s="2"/>
      <c r="AS25" s="27">
        <f t="shared" si="1"/>
        <v>6.8711656441717794</v>
      </c>
      <c r="AT25" s="1">
        <v>17</v>
      </c>
      <c r="AU25" s="1">
        <v>12</v>
      </c>
      <c r="AV25" s="1">
        <v>12</v>
      </c>
      <c r="AW25" s="2"/>
      <c r="AX25" s="29">
        <f t="shared" si="2"/>
        <v>47.871165644171782</v>
      </c>
      <c r="AY25" s="25" t="str">
        <f t="shared" si="3"/>
        <v>E</v>
      </c>
      <c r="AZ25" s="31"/>
    </row>
    <row r="26" spans="1:52" s="1" customFormat="1" x14ac:dyDescent="0.25">
      <c r="A26" s="1">
        <v>19</v>
      </c>
      <c r="B26" s="31" t="s">
        <v>33</v>
      </c>
      <c r="C26" s="2"/>
      <c r="D26" s="3">
        <v>10.5</v>
      </c>
      <c r="E26" s="3">
        <v>6.5</v>
      </c>
      <c r="F26" s="3" t="s">
        <v>32</v>
      </c>
      <c r="G26" s="1">
        <v>7</v>
      </c>
      <c r="H26" s="1">
        <v>2</v>
      </c>
      <c r="I26" s="3">
        <v>3</v>
      </c>
      <c r="J26" s="3" t="s">
        <v>32</v>
      </c>
      <c r="K26" s="1">
        <v>3</v>
      </c>
      <c r="L26" s="1" t="s">
        <v>32</v>
      </c>
      <c r="M26" s="1" t="s">
        <v>32</v>
      </c>
      <c r="N26" s="1" t="s">
        <v>32</v>
      </c>
      <c r="O26" s="1">
        <v>10</v>
      </c>
      <c r="P26" s="1" t="s">
        <v>32</v>
      </c>
      <c r="Q26" s="1" t="s">
        <v>32</v>
      </c>
      <c r="R26" s="1">
        <v>0</v>
      </c>
      <c r="S26" s="2"/>
      <c r="T26" s="3" t="s">
        <v>32</v>
      </c>
      <c r="U26" s="3">
        <v>3</v>
      </c>
      <c r="V26" s="1" t="s">
        <v>32</v>
      </c>
      <c r="W26" s="1">
        <v>4</v>
      </c>
      <c r="X26" s="1" t="s">
        <v>32</v>
      </c>
      <c r="Y26" s="2"/>
      <c r="Z26" s="3">
        <v>3</v>
      </c>
      <c r="AA26" s="3">
        <v>3</v>
      </c>
      <c r="AB26" s="1">
        <v>3</v>
      </c>
      <c r="AC26" s="1">
        <v>0</v>
      </c>
      <c r="AD26" s="1">
        <v>2</v>
      </c>
      <c r="AE26" s="1">
        <v>2</v>
      </c>
      <c r="AF26" s="1">
        <v>1</v>
      </c>
      <c r="AG26" s="1">
        <v>1</v>
      </c>
      <c r="AH26" s="1">
        <v>0</v>
      </c>
      <c r="AI26" s="1">
        <v>0</v>
      </c>
      <c r="AJ26" s="1">
        <v>1</v>
      </c>
      <c r="AK26" s="2"/>
      <c r="AL26" s="3">
        <v>20</v>
      </c>
      <c r="AM26" s="1">
        <v>30</v>
      </c>
      <c r="AN26" s="1">
        <v>36</v>
      </c>
      <c r="AO26" s="1">
        <v>40</v>
      </c>
      <c r="AP26" s="2"/>
      <c r="AQ26" s="27">
        <f t="shared" si="0"/>
        <v>191</v>
      </c>
      <c r="AR26" s="2"/>
      <c r="AS26" s="27">
        <f t="shared" si="1"/>
        <v>11.717791411042944</v>
      </c>
      <c r="AT26" s="1">
        <v>15</v>
      </c>
      <c r="AU26" s="1">
        <v>14</v>
      </c>
      <c r="AV26" s="1">
        <v>17</v>
      </c>
      <c r="AW26" s="2"/>
      <c r="AX26" s="29">
        <f t="shared" si="2"/>
        <v>57.717791411042946</v>
      </c>
      <c r="AY26" s="25" t="str">
        <f t="shared" si="3"/>
        <v>DC</v>
      </c>
      <c r="AZ26" s="31"/>
    </row>
    <row r="27" spans="1:52" s="1" customFormat="1" x14ac:dyDescent="0.25">
      <c r="A27" s="1">
        <v>20</v>
      </c>
      <c r="B27" s="31">
        <v>6472</v>
      </c>
      <c r="C27" s="2"/>
      <c r="D27" s="1">
        <v>12.5</v>
      </c>
      <c r="E27" s="1">
        <v>8</v>
      </c>
      <c r="F27" s="3">
        <v>8</v>
      </c>
      <c r="G27" s="1">
        <v>11</v>
      </c>
      <c r="H27" s="1">
        <v>9.5</v>
      </c>
      <c r="I27" s="1">
        <v>10</v>
      </c>
      <c r="J27" s="1">
        <v>9</v>
      </c>
      <c r="K27" s="1">
        <v>10</v>
      </c>
      <c r="L27" s="1">
        <v>21.5</v>
      </c>
      <c r="M27" s="1">
        <v>4</v>
      </c>
      <c r="N27" s="1">
        <v>10</v>
      </c>
      <c r="O27" s="1">
        <v>9</v>
      </c>
      <c r="P27" s="1">
        <v>3</v>
      </c>
      <c r="Q27" s="1">
        <v>19</v>
      </c>
      <c r="R27" s="1">
        <v>10</v>
      </c>
      <c r="S27" s="2"/>
      <c r="T27" s="1">
        <v>10</v>
      </c>
      <c r="U27" s="1">
        <v>13</v>
      </c>
      <c r="V27" s="1" t="s">
        <v>32</v>
      </c>
      <c r="W27" s="1">
        <v>3</v>
      </c>
      <c r="X27" s="1" t="s">
        <v>32</v>
      </c>
      <c r="Y27" s="2"/>
      <c r="Z27" s="1">
        <v>4</v>
      </c>
      <c r="AA27" s="1">
        <v>4</v>
      </c>
      <c r="AB27" s="1">
        <v>3</v>
      </c>
      <c r="AC27" s="1">
        <v>5</v>
      </c>
      <c r="AD27" s="1">
        <v>4</v>
      </c>
      <c r="AE27" s="1">
        <v>5</v>
      </c>
      <c r="AF27" s="1">
        <v>5</v>
      </c>
      <c r="AG27" s="1">
        <v>4</v>
      </c>
      <c r="AH27" s="1">
        <v>3</v>
      </c>
      <c r="AI27" s="1">
        <v>5</v>
      </c>
      <c r="AJ27" s="1">
        <v>2</v>
      </c>
      <c r="AK27" s="2"/>
      <c r="AL27" s="1">
        <v>18</v>
      </c>
      <c r="AM27" s="1">
        <v>30</v>
      </c>
      <c r="AN27" s="1">
        <v>39</v>
      </c>
      <c r="AO27" s="1">
        <v>40</v>
      </c>
      <c r="AP27" s="2"/>
      <c r="AQ27" s="27">
        <f t="shared" si="0"/>
        <v>351.5</v>
      </c>
      <c r="AR27" s="2"/>
      <c r="AS27" s="27">
        <v>20</v>
      </c>
      <c r="AT27" s="1">
        <v>23</v>
      </c>
      <c r="AU27" s="1">
        <v>22</v>
      </c>
      <c r="AV27" s="1">
        <v>27</v>
      </c>
      <c r="AW27" s="2"/>
      <c r="AX27" s="29">
        <f t="shared" si="2"/>
        <v>92</v>
      </c>
      <c r="AY27" s="25" t="str">
        <f t="shared" si="3"/>
        <v>A</v>
      </c>
      <c r="AZ27" s="31"/>
    </row>
    <row r="28" spans="1:52" s="1" customFormat="1" x14ac:dyDescent="0.25">
      <c r="A28" s="1">
        <v>21</v>
      </c>
      <c r="B28" s="31">
        <v>3352</v>
      </c>
      <c r="C28" s="2"/>
      <c r="D28" s="3">
        <v>13</v>
      </c>
      <c r="E28" s="3">
        <v>8</v>
      </c>
      <c r="F28" s="3">
        <v>5</v>
      </c>
      <c r="G28" s="3">
        <v>9.5</v>
      </c>
      <c r="H28" s="3">
        <v>8</v>
      </c>
      <c r="I28" s="3">
        <v>7.5</v>
      </c>
      <c r="J28" s="3" t="s">
        <v>32</v>
      </c>
      <c r="K28" s="3">
        <v>10</v>
      </c>
      <c r="L28" s="3">
        <v>19</v>
      </c>
      <c r="M28" s="3" t="s">
        <v>32</v>
      </c>
      <c r="N28" s="3">
        <v>7</v>
      </c>
      <c r="O28" s="3">
        <v>10</v>
      </c>
      <c r="P28" s="3">
        <v>3</v>
      </c>
      <c r="Q28" s="3">
        <v>16.5</v>
      </c>
      <c r="R28" s="3">
        <v>10</v>
      </c>
      <c r="S28" s="2"/>
      <c r="T28" s="3">
        <v>10</v>
      </c>
      <c r="U28" s="3">
        <v>12</v>
      </c>
      <c r="V28" s="3">
        <v>6</v>
      </c>
      <c r="W28" s="3">
        <v>0</v>
      </c>
      <c r="X28" s="3" t="s">
        <v>32</v>
      </c>
      <c r="Y28" s="2"/>
      <c r="Z28" s="3">
        <v>2</v>
      </c>
      <c r="AA28" s="3">
        <v>5</v>
      </c>
      <c r="AB28" s="3">
        <v>4</v>
      </c>
      <c r="AC28" s="3">
        <v>5</v>
      </c>
      <c r="AD28" s="3">
        <v>1</v>
      </c>
      <c r="AE28" s="3">
        <v>5</v>
      </c>
      <c r="AF28" s="3">
        <v>4</v>
      </c>
      <c r="AG28" s="3">
        <v>4</v>
      </c>
      <c r="AH28" s="3">
        <v>5</v>
      </c>
      <c r="AI28" s="3">
        <v>5</v>
      </c>
      <c r="AJ28" s="3">
        <v>4</v>
      </c>
      <c r="AK28" s="2"/>
      <c r="AL28" s="3">
        <v>14.5</v>
      </c>
      <c r="AM28" s="1">
        <v>30</v>
      </c>
      <c r="AN28" s="1">
        <v>40</v>
      </c>
      <c r="AO28" s="1">
        <v>40</v>
      </c>
      <c r="AP28" s="2"/>
      <c r="AQ28" s="27">
        <f t="shared" si="0"/>
        <v>323</v>
      </c>
      <c r="AR28" s="2"/>
      <c r="AS28" s="27">
        <f t="shared" si="1"/>
        <v>19.815950920245399</v>
      </c>
      <c r="AT28" s="3">
        <v>24</v>
      </c>
      <c r="AU28" s="1">
        <v>22</v>
      </c>
      <c r="AV28" s="3">
        <v>22</v>
      </c>
      <c r="AW28" s="2"/>
      <c r="AX28" s="29">
        <f t="shared" si="2"/>
        <v>87.815950920245399</v>
      </c>
      <c r="AY28" s="25" t="str">
        <f t="shared" si="3"/>
        <v>BA</v>
      </c>
      <c r="AZ28" s="31"/>
    </row>
    <row r="29" spans="1:52" s="2" customFormat="1" x14ac:dyDescent="0.25">
      <c r="B29" s="33"/>
    </row>
    <row r="30" spans="1:52" s="1" customFormat="1" x14ac:dyDescent="0.25">
      <c r="A30" s="1">
        <v>22</v>
      </c>
      <c r="B30" s="31">
        <v>8824</v>
      </c>
      <c r="C30" s="2"/>
      <c r="D30" s="3">
        <v>9.5</v>
      </c>
      <c r="E30" s="3" t="s">
        <v>32</v>
      </c>
      <c r="F30" s="3" t="s">
        <v>32</v>
      </c>
      <c r="G30" s="3" t="s">
        <v>32</v>
      </c>
      <c r="H30" s="3" t="s">
        <v>32</v>
      </c>
      <c r="I30" s="3" t="s">
        <v>32</v>
      </c>
      <c r="J30" s="3" t="s">
        <v>32</v>
      </c>
      <c r="K30" s="3" t="s">
        <v>32</v>
      </c>
      <c r="L30" s="3" t="s">
        <v>32</v>
      </c>
      <c r="M30" s="3" t="s">
        <v>32</v>
      </c>
      <c r="N30" s="3">
        <v>10</v>
      </c>
      <c r="O30" s="3">
        <v>10</v>
      </c>
      <c r="P30" s="3" t="s">
        <v>32</v>
      </c>
      <c r="Q30" s="3">
        <v>17</v>
      </c>
      <c r="R30" s="3">
        <v>10</v>
      </c>
      <c r="S30" s="2"/>
      <c r="T30" s="3" t="s">
        <v>32</v>
      </c>
      <c r="U30" s="3">
        <v>7</v>
      </c>
      <c r="V30" s="3">
        <v>6</v>
      </c>
      <c r="W30" s="3" t="s">
        <v>32</v>
      </c>
      <c r="X30" s="3">
        <v>12</v>
      </c>
      <c r="Y30" s="2"/>
      <c r="Z30" s="3">
        <v>0</v>
      </c>
      <c r="AA30" s="3">
        <v>2</v>
      </c>
      <c r="AB30" s="3">
        <v>1</v>
      </c>
      <c r="AC30" s="3">
        <v>0</v>
      </c>
      <c r="AD30" s="3">
        <v>0</v>
      </c>
      <c r="AE30" s="3">
        <v>2</v>
      </c>
      <c r="AF30" s="3">
        <v>2</v>
      </c>
      <c r="AG30" s="3">
        <v>0</v>
      </c>
      <c r="AH30" s="3">
        <v>2</v>
      </c>
      <c r="AI30" s="3">
        <v>3</v>
      </c>
      <c r="AJ30" s="3">
        <v>0</v>
      </c>
      <c r="AK30" s="2"/>
      <c r="AL30" s="1" t="s">
        <v>32</v>
      </c>
      <c r="AM30" s="1">
        <v>30</v>
      </c>
      <c r="AN30" s="1">
        <v>39.5</v>
      </c>
      <c r="AO30" s="1">
        <v>40</v>
      </c>
      <c r="AP30" s="2"/>
      <c r="AQ30" s="27">
        <f t="shared" si="0"/>
        <v>203</v>
      </c>
      <c r="AR30" s="2"/>
      <c r="AS30" s="27">
        <f t="shared" si="1"/>
        <v>12.45398773006135</v>
      </c>
      <c r="AT30" s="1">
        <v>13</v>
      </c>
      <c r="AU30" s="1">
        <v>19</v>
      </c>
      <c r="AV30" s="1">
        <v>28</v>
      </c>
      <c r="AW30" s="2"/>
      <c r="AX30" s="29">
        <f t="shared" si="2"/>
        <v>72.453987730061357</v>
      </c>
      <c r="AY30" s="25" t="str">
        <f t="shared" si="3"/>
        <v>C</v>
      </c>
      <c r="AZ30" s="31"/>
    </row>
    <row r="31" spans="1:52" s="1" customFormat="1" x14ac:dyDescent="0.25">
      <c r="A31" s="1">
        <v>23</v>
      </c>
      <c r="B31" s="31">
        <v>9647</v>
      </c>
      <c r="C31" s="2"/>
      <c r="D31" s="3">
        <v>11</v>
      </c>
      <c r="E31" s="3">
        <v>3</v>
      </c>
      <c r="F31" s="3">
        <v>8</v>
      </c>
      <c r="G31" s="3">
        <v>5</v>
      </c>
      <c r="H31" s="3">
        <v>5</v>
      </c>
      <c r="I31" s="3" t="s">
        <v>32</v>
      </c>
      <c r="J31" s="3" t="s">
        <v>32</v>
      </c>
      <c r="K31" s="3" t="s">
        <v>32</v>
      </c>
      <c r="L31" s="3" t="s">
        <v>32</v>
      </c>
      <c r="M31" s="3" t="s">
        <v>32</v>
      </c>
      <c r="N31" s="3" t="s">
        <v>32</v>
      </c>
      <c r="O31" s="3" t="s">
        <v>32</v>
      </c>
      <c r="P31" s="3" t="s">
        <v>32</v>
      </c>
      <c r="Q31" s="3" t="s">
        <v>32</v>
      </c>
      <c r="R31" s="3">
        <v>0</v>
      </c>
      <c r="S31" s="2"/>
      <c r="T31" s="3">
        <v>7.5</v>
      </c>
      <c r="U31" s="3">
        <v>5</v>
      </c>
      <c r="V31" s="3">
        <v>6</v>
      </c>
      <c r="W31" s="3">
        <v>2.5</v>
      </c>
      <c r="X31" s="3" t="s">
        <v>32</v>
      </c>
      <c r="Y31" s="2"/>
      <c r="Z31" s="3">
        <v>4</v>
      </c>
      <c r="AA31" s="3">
        <v>4</v>
      </c>
      <c r="AB31" s="3">
        <v>3</v>
      </c>
      <c r="AC31" s="3">
        <v>0</v>
      </c>
      <c r="AD31" s="3">
        <v>0</v>
      </c>
      <c r="AE31" s="3">
        <v>1</v>
      </c>
      <c r="AF31" s="3">
        <v>4</v>
      </c>
      <c r="AG31" s="3">
        <v>0</v>
      </c>
      <c r="AH31" s="3">
        <v>0</v>
      </c>
      <c r="AI31" s="3">
        <v>0</v>
      </c>
      <c r="AJ31" s="3">
        <v>0</v>
      </c>
      <c r="AK31" s="2"/>
      <c r="AL31" s="1">
        <v>10</v>
      </c>
      <c r="AM31" s="1">
        <v>14</v>
      </c>
      <c r="AN31" s="1" t="s">
        <v>32</v>
      </c>
      <c r="AO31" s="1" t="s">
        <v>32</v>
      </c>
      <c r="AP31" s="2"/>
      <c r="AQ31" s="27">
        <f t="shared" si="0"/>
        <v>93</v>
      </c>
      <c r="AR31" s="2"/>
      <c r="AS31" s="27">
        <f t="shared" si="1"/>
        <v>5.705521472392638</v>
      </c>
      <c r="AT31" s="1">
        <v>16</v>
      </c>
      <c r="AU31" s="1">
        <v>17</v>
      </c>
      <c r="AV31" s="1">
        <v>15</v>
      </c>
      <c r="AW31" s="2"/>
      <c r="AX31" s="29">
        <f t="shared" si="2"/>
        <v>53.70552147239264</v>
      </c>
      <c r="AY31" s="25" t="str">
        <f t="shared" si="3"/>
        <v>D</v>
      </c>
      <c r="AZ31" s="31"/>
    </row>
    <row r="32" spans="1:52" s="1" customFormat="1" x14ac:dyDescent="0.25">
      <c r="A32" s="1">
        <v>24</v>
      </c>
      <c r="B32" s="31">
        <v>4380</v>
      </c>
      <c r="C32" s="2"/>
      <c r="D32" s="3">
        <v>12</v>
      </c>
      <c r="E32" s="3">
        <v>6</v>
      </c>
      <c r="F32" s="3">
        <v>5</v>
      </c>
      <c r="G32" s="3" t="s">
        <v>32</v>
      </c>
      <c r="H32" s="3" t="s">
        <v>32</v>
      </c>
      <c r="I32" s="3">
        <v>5</v>
      </c>
      <c r="J32" s="3">
        <v>9</v>
      </c>
      <c r="K32" s="3">
        <v>8.5</v>
      </c>
      <c r="L32" s="3">
        <v>21</v>
      </c>
      <c r="M32" s="3">
        <v>5</v>
      </c>
      <c r="N32" s="3">
        <v>10</v>
      </c>
      <c r="O32" s="3">
        <v>6</v>
      </c>
      <c r="P32" s="3">
        <v>3</v>
      </c>
      <c r="Q32" s="3">
        <v>14.5</v>
      </c>
      <c r="R32" s="3">
        <v>10</v>
      </c>
      <c r="S32" s="2"/>
      <c r="T32" s="3">
        <v>9.5</v>
      </c>
      <c r="U32" s="3">
        <v>11</v>
      </c>
      <c r="V32" s="3" t="s">
        <v>32</v>
      </c>
      <c r="W32" s="3">
        <v>4</v>
      </c>
      <c r="X32" s="3" t="s">
        <v>32</v>
      </c>
      <c r="Y32" s="2"/>
      <c r="Z32" s="3">
        <v>5</v>
      </c>
      <c r="AA32" s="3">
        <v>5</v>
      </c>
      <c r="AB32" s="3">
        <v>3</v>
      </c>
      <c r="AC32" s="3">
        <v>2</v>
      </c>
      <c r="AD32" s="3">
        <v>3</v>
      </c>
      <c r="AE32" s="3">
        <v>3</v>
      </c>
      <c r="AF32" s="3">
        <v>2</v>
      </c>
      <c r="AG32" s="3">
        <v>4</v>
      </c>
      <c r="AH32" s="3">
        <v>5</v>
      </c>
      <c r="AI32" s="3">
        <v>0</v>
      </c>
      <c r="AJ32" s="3">
        <v>5</v>
      </c>
      <c r="AK32" s="2"/>
      <c r="AL32" s="1">
        <v>11</v>
      </c>
      <c r="AM32" s="1">
        <v>14</v>
      </c>
      <c r="AN32" s="1">
        <v>32</v>
      </c>
      <c r="AO32" s="1">
        <v>40</v>
      </c>
      <c r="AP32" s="2"/>
      <c r="AQ32" s="27">
        <f t="shared" si="0"/>
        <v>273.5</v>
      </c>
      <c r="AR32" s="2"/>
      <c r="AS32" s="27">
        <f t="shared" si="1"/>
        <v>16.779141104294478</v>
      </c>
      <c r="AT32" s="1">
        <v>19</v>
      </c>
      <c r="AU32" s="1">
        <v>21</v>
      </c>
      <c r="AV32" s="1">
        <v>25</v>
      </c>
      <c r="AW32" s="2"/>
      <c r="AX32" s="29">
        <f t="shared" si="2"/>
        <v>81.779141104294482</v>
      </c>
      <c r="AY32" s="25" t="str">
        <f t="shared" si="3"/>
        <v>B</v>
      </c>
      <c r="AZ32" s="31"/>
    </row>
    <row r="33" spans="1:52" s="1" customFormat="1" x14ac:dyDescent="0.25">
      <c r="A33" s="1">
        <v>25</v>
      </c>
      <c r="B33" s="31">
        <v>6261</v>
      </c>
      <c r="C33" s="2"/>
      <c r="D33" s="1">
        <v>10.5</v>
      </c>
      <c r="E33" s="3">
        <v>5.5</v>
      </c>
      <c r="F33" s="1">
        <v>8</v>
      </c>
      <c r="G33" s="3" t="s">
        <v>32</v>
      </c>
      <c r="H33" s="3" t="s">
        <v>32</v>
      </c>
      <c r="I33" s="1" t="s">
        <v>32</v>
      </c>
      <c r="J33" s="1">
        <v>7</v>
      </c>
      <c r="K33" s="3">
        <v>6</v>
      </c>
      <c r="L33" s="3">
        <v>20.5</v>
      </c>
      <c r="M33" s="3" t="s">
        <v>32</v>
      </c>
      <c r="N33" s="3">
        <v>4</v>
      </c>
      <c r="O33" s="3">
        <v>5</v>
      </c>
      <c r="P33" s="3">
        <v>2</v>
      </c>
      <c r="Q33" s="3">
        <v>13.5</v>
      </c>
      <c r="R33" s="3">
        <v>10</v>
      </c>
      <c r="S33" s="2"/>
      <c r="T33" s="3">
        <v>9</v>
      </c>
      <c r="U33" s="3">
        <v>10</v>
      </c>
      <c r="V33" s="3">
        <v>6</v>
      </c>
      <c r="W33" s="3">
        <v>1.5</v>
      </c>
      <c r="X33" s="3">
        <v>7</v>
      </c>
      <c r="Y33" s="2"/>
      <c r="Z33" s="3">
        <v>3</v>
      </c>
      <c r="AA33" s="3">
        <v>4</v>
      </c>
      <c r="AB33" s="3">
        <v>4</v>
      </c>
      <c r="AC33" s="3">
        <v>3</v>
      </c>
      <c r="AD33" s="3">
        <v>0</v>
      </c>
      <c r="AE33" s="3">
        <v>0</v>
      </c>
      <c r="AF33" s="3">
        <v>4</v>
      </c>
      <c r="AG33" s="3">
        <v>3</v>
      </c>
      <c r="AH33" s="3">
        <v>5</v>
      </c>
      <c r="AI33" s="3">
        <v>2</v>
      </c>
      <c r="AJ33" s="3">
        <v>3</v>
      </c>
      <c r="AK33" s="2"/>
      <c r="AL33" s="1">
        <v>19.5</v>
      </c>
      <c r="AM33" s="1">
        <v>19</v>
      </c>
      <c r="AN33" s="1">
        <v>28</v>
      </c>
      <c r="AO33" s="1">
        <v>40</v>
      </c>
      <c r="AP33" s="2"/>
      <c r="AQ33" s="27">
        <f t="shared" si="0"/>
        <v>263</v>
      </c>
      <c r="AR33" s="2"/>
      <c r="AS33" s="27">
        <f t="shared" si="1"/>
        <v>16.134969325153374</v>
      </c>
      <c r="AT33" s="1">
        <v>16</v>
      </c>
      <c r="AU33" s="1">
        <v>22</v>
      </c>
      <c r="AV33" s="1">
        <v>27</v>
      </c>
      <c r="AW33" s="2"/>
      <c r="AX33" s="29">
        <f t="shared" si="2"/>
        <v>81.134969325153378</v>
      </c>
      <c r="AY33" s="25" t="str">
        <f t="shared" si="3"/>
        <v>B</v>
      </c>
      <c r="AZ33" s="31"/>
    </row>
    <row r="34" spans="1:52" s="1" customFormat="1" x14ac:dyDescent="0.25">
      <c r="A34" s="1">
        <v>26</v>
      </c>
      <c r="B34" s="31">
        <v>1122</v>
      </c>
      <c r="C34" s="2"/>
      <c r="D34" s="1">
        <v>13</v>
      </c>
      <c r="E34" s="3">
        <v>5.5</v>
      </c>
      <c r="F34" s="1">
        <v>7</v>
      </c>
      <c r="G34" s="3">
        <v>11.5</v>
      </c>
      <c r="H34" s="3">
        <v>9</v>
      </c>
      <c r="I34" s="1">
        <v>6.5</v>
      </c>
      <c r="J34" s="1">
        <v>9.5</v>
      </c>
      <c r="K34" s="3">
        <v>10</v>
      </c>
      <c r="L34" s="3">
        <v>25.5</v>
      </c>
      <c r="M34" s="3">
        <v>5</v>
      </c>
      <c r="N34" s="3">
        <v>8</v>
      </c>
      <c r="O34" s="3">
        <v>6</v>
      </c>
      <c r="P34" s="3">
        <v>3</v>
      </c>
      <c r="Q34" s="3">
        <v>20.5</v>
      </c>
      <c r="R34" s="3">
        <v>10</v>
      </c>
      <c r="S34" s="2"/>
      <c r="T34" s="3">
        <v>9.5</v>
      </c>
      <c r="U34" s="3">
        <v>11</v>
      </c>
      <c r="V34" s="3" t="s">
        <v>32</v>
      </c>
      <c r="W34" s="3">
        <v>4</v>
      </c>
      <c r="X34" s="3">
        <v>5</v>
      </c>
      <c r="Y34" s="2"/>
      <c r="Z34" s="3">
        <v>2</v>
      </c>
      <c r="AA34" s="3">
        <v>4</v>
      </c>
      <c r="AB34" s="3">
        <v>5</v>
      </c>
      <c r="AC34" s="3">
        <v>5</v>
      </c>
      <c r="AD34" s="3">
        <v>3</v>
      </c>
      <c r="AE34" s="3">
        <v>4</v>
      </c>
      <c r="AF34" s="3">
        <v>5</v>
      </c>
      <c r="AG34" s="3">
        <v>4</v>
      </c>
      <c r="AH34" s="3">
        <v>5</v>
      </c>
      <c r="AI34" s="3">
        <v>4</v>
      </c>
      <c r="AJ34" s="3">
        <v>0</v>
      </c>
      <c r="AK34" s="2"/>
      <c r="AL34" s="1">
        <v>19</v>
      </c>
      <c r="AM34" s="1">
        <v>24</v>
      </c>
      <c r="AN34" s="1">
        <v>32</v>
      </c>
      <c r="AO34" s="1">
        <v>40</v>
      </c>
      <c r="AP34" s="2"/>
      <c r="AQ34" s="27">
        <f t="shared" si="0"/>
        <v>335.5</v>
      </c>
      <c r="AR34" s="2"/>
      <c r="AS34" s="27">
        <v>20</v>
      </c>
      <c r="AT34" s="1">
        <v>22</v>
      </c>
      <c r="AU34" s="1">
        <v>23</v>
      </c>
      <c r="AV34" s="1">
        <v>29</v>
      </c>
      <c r="AW34" s="2"/>
      <c r="AX34" s="29">
        <f t="shared" si="2"/>
        <v>94</v>
      </c>
      <c r="AY34" s="25" t="str">
        <f t="shared" si="3"/>
        <v>A</v>
      </c>
      <c r="AZ34" s="31"/>
    </row>
    <row r="35" spans="1:52" s="1" customFormat="1" x14ac:dyDescent="0.25">
      <c r="A35" s="1">
        <v>27</v>
      </c>
      <c r="B35" s="31">
        <v>8844</v>
      </c>
      <c r="C35" s="2"/>
      <c r="D35" s="3">
        <v>11</v>
      </c>
      <c r="E35" s="1">
        <v>6.5</v>
      </c>
      <c r="F35" s="3">
        <v>6</v>
      </c>
      <c r="G35" s="1">
        <v>9</v>
      </c>
      <c r="H35" s="1" t="s">
        <v>32</v>
      </c>
      <c r="I35" s="3">
        <v>5</v>
      </c>
      <c r="J35" s="3" t="s">
        <v>32</v>
      </c>
      <c r="K35" s="1">
        <v>5</v>
      </c>
      <c r="L35" s="1">
        <v>12.5</v>
      </c>
      <c r="M35" s="1" t="s">
        <v>32</v>
      </c>
      <c r="N35" s="1" t="s">
        <v>32</v>
      </c>
      <c r="O35" s="1">
        <v>10</v>
      </c>
      <c r="P35" s="1">
        <v>3</v>
      </c>
      <c r="Q35" s="1">
        <v>15</v>
      </c>
      <c r="R35" s="1">
        <v>10</v>
      </c>
      <c r="S35" s="2"/>
      <c r="T35" s="1">
        <v>8</v>
      </c>
      <c r="U35" s="1">
        <v>10</v>
      </c>
      <c r="V35" s="1">
        <v>6</v>
      </c>
      <c r="W35" s="1">
        <v>5</v>
      </c>
      <c r="X35" s="1">
        <v>11</v>
      </c>
      <c r="Y35" s="2"/>
      <c r="Z35" s="1">
        <v>5</v>
      </c>
      <c r="AA35" s="1">
        <v>5</v>
      </c>
      <c r="AB35" s="1">
        <v>5</v>
      </c>
      <c r="AC35" s="1">
        <v>4</v>
      </c>
      <c r="AD35" s="1">
        <v>3</v>
      </c>
      <c r="AE35" s="1">
        <v>1</v>
      </c>
      <c r="AF35" s="1">
        <v>4</v>
      </c>
      <c r="AG35" s="1">
        <v>2</v>
      </c>
      <c r="AH35" s="1">
        <v>5</v>
      </c>
      <c r="AI35" s="1">
        <v>0</v>
      </c>
      <c r="AJ35" s="1">
        <v>2</v>
      </c>
      <c r="AK35" s="2"/>
      <c r="AL35" s="1">
        <v>19</v>
      </c>
      <c r="AM35" s="1">
        <v>29</v>
      </c>
      <c r="AN35" s="1">
        <v>40</v>
      </c>
      <c r="AO35" s="1">
        <v>40</v>
      </c>
      <c r="AP35" s="2"/>
      <c r="AQ35" s="27">
        <f t="shared" si="0"/>
        <v>297</v>
      </c>
      <c r="AR35" s="2"/>
      <c r="AS35" s="27">
        <f t="shared" si="1"/>
        <v>18.220858895705522</v>
      </c>
      <c r="AT35" s="1">
        <v>23</v>
      </c>
      <c r="AU35" s="1">
        <v>17</v>
      </c>
      <c r="AV35" s="1">
        <v>26</v>
      </c>
      <c r="AW35" s="2"/>
      <c r="AX35" s="29">
        <f t="shared" si="2"/>
        <v>84.220858895705518</v>
      </c>
      <c r="AY35" s="25" t="str">
        <f t="shared" si="3"/>
        <v>B</v>
      </c>
      <c r="AZ35" s="31"/>
    </row>
    <row r="36" spans="1:52" s="1" customFormat="1" x14ac:dyDescent="0.25">
      <c r="A36" s="1">
        <v>28</v>
      </c>
      <c r="B36" s="31">
        <v>3991</v>
      </c>
      <c r="C36" s="2"/>
      <c r="D36" s="3">
        <v>13</v>
      </c>
      <c r="E36" s="3">
        <v>8</v>
      </c>
      <c r="F36" s="3">
        <v>8</v>
      </c>
      <c r="G36" s="3">
        <v>9.5</v>
      </c>
      <c r="H36" s="3">
        <v>8</v>
      </c>
      <c r="I36" s="3">
        <v>6.5</v>
      </c>
      <c r="J36" s="3">
        <v>10</v>
      </c>
      <c r="K36" s="3">
        <v>7</v>
      </c>
      <c r="L36" s="3">
        <v>26.5</v>
      </c>
      <c r="M36" s="3">
        <v>5</v>
      </c>
      <c r="N36" s="3">
        <v>7</v>
      </c>
      <c r="O36" s="3">
        <v>10</v>
      </c>
      <c r="P36" s="3">
        <v>2</v>
      </c>
      <c r="Q36" s="3">
        <v>21</v>
      </c>
      <c r="R36" s="3">
        <v>10</v>
      </c>
      <c r="S36" s="2"/>
      <c r="T36" s="3">
        <v>8</v>
      </c>
      <c r="U36" s="3">
        <v>14</v>
      </c>
      <c r="V36" s="3">
        <v>6</v>
      </c>
      <c r="W36" s="3">
        <v>5.5</v>
      </c>
      <c r="X36" s="3">
        <v>12</v>
      </c>
      <c r="Y36" s="2"/>
      <c r="Z36" s="3">
        <v>5</v>
      </c>
      <c r="AA36" s="3">
        <v>5</v>
      </c>
      <c r="AB36" s="3">
        <v>5</v>
      </c>
      <c r="AC36" s="3">
        <v>5</v>
      </c>
      <c r="AD36" s="3">
        <v>5</v>
      </c>
      <c r="AE36" s="3">
        <v>5</v>
      </c>
      <c r="AF36" s="3">
        <v>5</v>
      </c>
      <c r="AG36" s="3">
        <v>5</v>
      </c>
      <c r="AH36" s="3">
        <v>5</v>
      </c>
      <c r="AI36" s="3">
        <v>5</v>
      </c>
      <c r="AJ36" s="3">
        <v>3</v>
      </c>
      <c r="AK36" s="2"/>
      <c r="AL36" s="3">
        <v>18</v>
      </c>
      <c r="AM36" s="1">
        <v>22</v>
      </c>
      <c r="AN36" s="1">
        <v>37</v>
      </c>
      <c r="AO36" s="1">
        <v>40</v>
      </c>
      <c r="AP36" s="2"/>
      <c r="AQ36" s="27">
        <f t="shared" si="0"/>
        <v>367</v>
      </c>
      <c r="AR36" s="2"/>
      <c r="AS36" s="27">
        <v>20</v>
      </c>
      <c r="AT36" s="1">
        <v>21</v>
      </c>
      <c r="AU36" s="1">
        <v>23</v>
      </c>
      <c r="AV36" s="1">
        <v>28</v>
      </c>
      <c r="AW36" s="2"/>
      <c r="AX36" s="29">
        <f t="shared" si="2"/>
        <v>92</v>
      </c>
      <c r="AY36" s="25" t="str">
        <f t="shared" si="3"/>
        <v>A</v>
      </c>
      <c r="AZ36" s="31"/>
    </row>
    <row r="37" spans="1:52" s="2" customFormat="1" x14ac:dyDescent="0.25">
      <c r="B37" s="33"/>
    </row>
    <row r="38" spans="1:52" s="1" customFormat="1" x14ac:dyDescent="0.25">
      <c r="A38" s="1">
        <v>29</v>
      </c>
      <c r="B38" s="31">
        <v>400</v>
      </c>
      <c r="C38" s="2"/>
      <c r="D38" s="3">
        <v>11.5</v>
      </c>
      <c r="E38" s="3">
        <v>5</v>
      </c>
      <c r="F38" s="3" t="s">
        <v>32</v>
      </c>
      <c r="G38" s="3" t="s">
        <v>32</v>
      </c>
      <c r="H38" s="3" t="s">
        <v>32</v>
      </c>
      <c r="I38" s="3">
        <v>6.5</v>
      </c>
      <c r="J38" s="3">
        <v>5</v>
      </c>
      <c r="K38" s="3" t="s">
        <v>32</v>
      </c>
      <c r="L38" s="3">
        <v>10.5</v>
      </c>
      <c r="M38" s="3" t="s">
        <v>32</v>
      </c>
      <c r="N38" s="3" t="s">
        <v>32</v>
      </c>
      <c r="O38" s="3">
        <v>7</v>
      </c>
      <c r="P38" s="3">
        <v>12.5</v>
      </c>
      <c r="Q38" s="3" t="s">
        <v>32</v>
      </c>
      <c r="R38" s="3">
        <v>0</v>
      </c>
      <c r="S38" s="2"/>
      <c r="T38" s="3">
        <v>5</v>
      </c>
      <c r="U38" s="3">
        <v>4</v>
      </c>
      <c r="V38" s="3">
        <v>6</v>
      </c>
      <c r="W38" s="3">
        <v>0</v>
      </c>
      <c r="X38" s="3" t="s">
        <v>32</v>
      </c>
      <c r="Y38" s="2"/>
      <c r="Z38" s="3">
        <v>5</v>
      </c>
      <c r="AA38" s="3">
        <v>3</v>
      </c>
      <c r="AB38" s="3">
        <v>2</v>
      </c>
      <c r="AC38" s="3">
        <v>3</v>
      </c>
      <c r="AD38" s="3">
        <v>2</v>
      </c>
      <c r="AE38" s="3">
        <v>3</v>
      </c>
      <c r="AF38" s="3">
        <v>3</v>
      </c>
      <c r="AG38" s="3">
        <v>3</v>
      </c>
      <c r="AH38" s="3">
        <v>1</v>
      </c>
      <c r="AI38" s="3">
        <v>0</v>
      </c>
      <c r="AJ38" s="3">
        <v>0</v>
      </c>
      <c r="AK38" s="2"/>
      <c r="AL38" s="3">
        <v>18</v>
      </c>
      <c r="AM38" s="1">
        <v>13</v>
      </c>
      <c r="AN38" s="1">
        <v>25</v>
      </c>
      <c r="AO38" s="1">
        <v>40</v>
      </c>
      <c r="AP38" s="2"/>
      <c r="AQ38" s="27">
        <f t="shared" si="0"/>
        <v>194</v>
      </c>
      <c r="AR38" s="2"/>
      <c r="AS38" s="27">
        <f t="shared" si="1"/>
        <v>11.901840490797547</v>
      </c>
      <c r="AT38" s="1">
        <v>10</v>
      </c>
      <c r="AU38" s="1">
        <v>16</v>
      </c>
      <c r="AV38" s="1">
        <v>26</v>
      </c>
      <c r="AW38" s="2"/>
      <c r="AX38" s="29">
        <f t="shared" si="2"/>
        <v>63.901840490797547</v>
      </c>
      <c r="AY38" s="25" t="str">
        <f t="shared" si="3"/>
        <v>C</v>
      </c>
      <c r="AZ38" s="31"/>
    </row>
    <row r="39" spans="1:52" s="1" customFormat="1" x14ac:dyDescent="0.25">
      <c r="A39" s="1">
        <v>30</v>
      </c>
      <c r="B39" s="31">
        <v>8572</v>
      </c>
      <c r="C39" s="2"/>
      <c r="D39" s="3">
        <v>13</v>
      </c>
      <c r="E39" s="3">
        <v>3</v>
      </c>
      <c r="F39" s="3">
        <v>7</v>
      </c>
      <c r="G39" s="3" t="s">
        <v>32</v>
      </c>
      <c r="H39" s="3">
        <v>4</v>
      </c>
      <c r="I39" s="3">
        <v>5</v>
      </c>
      <c r="J39" s="3">
        <v>6</v>
      </c>
      <c r="K39" s="3" t="s">
        <v>32</v>
      </c>
      <c r="L39" s="3">
        <v>17</v>
      </c>
      <c r="M39" s="3">
        <v>5</v>
      </c>
      <c r="N39" s="3">
        <v>9</v>
      </c>
      <c r="O39" s="3">
        <v>6</v>
      </c>
      <c r="P39" s="3">
        <v>3</v>
      </c>
      <c r="Q39" s="3">
        <v>17</v>
      </c>
      <c r="R39" s="3">
        <v>10</v>
      </c>
      <c r="S39" s="2"/>
      <c r="T39" s="3">
        <v>9</v>
      </c>
      <c r="U39" s="3">
        <v>10</v>
      </c>
      <c r="V39" s="3">
        <v>6</v>
      </c>
      <c r="W39" s="3">
        <v>2</v>
      </c>
      <c r="X39" s="3">
        <v>8</v>
      </c>
      <c r="Y39" s="2"/>
      <c r="Z39" s="3">
        <v>0</v>
      </c>
      <c r="AA39" s="3">
        <v>0</v>
      </c>
      <c r="AB39" s="3">
        <v>4</v>
      </c>
      <c r="AC39" s="3">
        <v>0</v>
      </c>
      <c r="AD39" s="3">
        <v>0</v>
      </c>
      <c r="AE39" s="3">
        <v>1</v>
      </c>
      <c r="AF39" s="3">
        <v>0</v>
      </c>
      <c r="AG39" s="3">
        <v>1</v>
      </c>
      <c r="AH39" s="3">
        <v>0</v>
      </c>
      <c r="AI39" s="3">
        <v>0</v>
      </c>
      <c r="AJ39" s="3">
        <v>1</v>
      </c>
      <c r="AK39" s="2"/>
      <c r="AL39" s="3">
        <v>9</v>
      </c>
      <c r="AM39" s="1" t="s">
        <v>32</v>
      </c>
      <c r="AN39" s="1">
        <v>30</v>
      </c>
      <c r="AO39" s="1" t="s">
        <v>32</v>
      </c>
      <c r="AP39" s="2"/>
      <c r="AQ39" s="27">
        <f t="shared" si="0"/>
        <v>186</v>
      </c>
      <c r="AR39" s="2"/>
      <c r="AS39" s="27">
        <f t="shared" si="1"/>
        <v>11.411042944785276</v>
      </c>
      <c r="AT39" s="1">
        <v>18</v>
      </c>
      <c r="AU39" s="1">
        <v>19</v>
      </c>
      <c r="AV39" s="1">
        <v>21</v>
      </c>
      <c r="AW39" s="2"/>
      <c r="AX39" s="29">
        <f t="shared" si="2"/>
        <v>69.411042944785279</v>
      </c>
      <c r="AY39" s="25" t="str">
        <f t="shared" si="3"/>
        <v>C</v>
      </c>
      <c r="AZ39" s="31"/>
    </row>
    <row r="40" spans="1:52" s="1" customFormat="1" x14ac:dyDescent="0.25">
      <c r="A40" s="1">
        <v>31</v>
      </c>
      <c r="B40" s="31">
        <v>9710</v>
      </c>
      <c r="C40" s="2"/>
      <c r="D40" s="3" t="s">
        <v>32</v>
      </c>
      <c r="E40" s="3" t="s">
        <v>32</v>
      </c>
      <c r="F40" s="3" t="s">
        <v>32</v>
      </c>
      <c r="G40" s="3" t="s">
        <v>32</v>
      </c>
      <c r="H40" s="3" t="s">
        <v>32</v>
      </c>
      <c r="I40" s="3" t="s">
        <v>32</v>
      </c>
      <c r="J40" s="3" t="s">
        <v>32</v>
      </c>
      <c r="K40" s="3" t="s">
        <v>32</v>
      </c>
      <c r="L40" s="3" t="s">
        <v>32</v>
      </c>
      <c r="M40" s="3" t="s">
        <v>32</v>
      </c>
      <c r="N40" s="3" t="s">
        <v>32</v>
      </c>
      <c r="O40" s="3" t="s">
        <v>32</v>
      </c>
      <c r="P40" s="3" t="s">
        <v>32</v>
      </c>
      <c r="Q40" s="3" t="s">
        <v>32</v>
      </c>
      <c r="R40" s="3">
        <v>0</v>
      </c>
      <c r="S40" s="2"/>
      <c r="T40" s="3" t="s">
        <v>32</v>
      </c>
      <c r="U40" s="3" t="s">
        <v>32</v>
      </c>
      <c r="V40" s="3" t="s">
        <v>32</v>
      </c>
      <c r="W40" s="3" t="s">
        <v>32</v>
      </c>
      <c r="X40" s="3" t="s">
        <v>32</v>
      </c>
      <c r="Y40" s="2"/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2"/>
      <c r="AL40" s="3" t="s">
        <v>32</v>
      </c>
      <c r="AM40" s="1">
        <v>22</v>
      </c>
      <c r="AN40" s="1" t="s">
        <v>32</v>
      </c>
      <c r="AO40" s="1" t="s">
        <v>32</v>
      </c>
      <c r="AP40" s="2"/>
      <c r="AQ40" s="27">
        <f t="shared" si="0"/>
        <v>22</v>
      </c>
      <c r="AR40" s="2"/>
      <c r="AS40" s="27">
        <f t="shared" si="1"/>
        <v>1.3496932515337423</v>
      </c>
      <c r="AT40" s="3">
        <v>0</v>
      </c>
      <c r="AU40" s="1">
        <v>0</v>
      </c>
      <c r="AV40" s="3">
        <v>0</v>
      </c>
      <c r="AW40" s="2"/>
      <c r="AX40" s="29">
        <f t="shared" si="2"/>
        <v>1.3496932515337423</v>
      </c>
      <c r="AY40" s="25" t="str">
        <f t="shared" si="3"/>
        <v>E</v>
      </c>
      <c r="AZ40" s="31"/>
    </row>
    <row r="41" spans="1:52" s="1" customFormat="1" x14ac:dyDescent="0.25">
      <c r="A41" s="1">
        <v>32</v>
      </c>
      <c r="B41" s="31">
        <v>9645</v>
      </c>
      <c r="C41" s="2"/>
      <c r="D41" s="3">
        <v>10.5</v>
      </c>
      <c r="E41" s="3">
        <v>8</v>
      </c>
      <c r="F41" s="3">
        <v>8</v>
      </c>
      <c r="G41" s="3">
        <v>12</v>
      </c>
      <c r="H41" s="3">
        <v>9.5</v>
      </c>
      <c r="I41" s="3">
        <v>9.5</v>
      </c>
      <c r="J41" s="3">
        <v>10</v>
      </c>
      <c r="K41" s="3">
        <v>10</v>
      </c>
      <c r="L41" s="3">
        <v>27</v>
      </c>
      <c r="M41" s="3">
        <v>5</v>
      </c>
      <c r="N41" s="3">
        <v>10</v>
      </c>
      <c r="O41" s="3">
        <v>10</v>
      </c>
      <c r="P41" s="3">
        <v>3</v>
      </c>
      <c r="Q41" s="3">
        <v>20</v>
      </c>
      <c r="R41" s="3">
        <v>10</v>
      </c>
      <c r="S41" s="2"/>
      <c r="T41" s="3">
        <v>9</v>
      </c>
      <c r="U41" s="3">
        <v>12</v>
      </c>
      <c r="V41" s="3">
        <v>6</v>
      </c>
      <c r="W41" s="3">
        <v>3</v>
      </c>
      <c r="X41" s="3">
        <v>10</v>
      </c>
      <c r="Y41" s="2"/>
      <c r="Z41" s="3">
        <v>5</v>
      </c>
      <c r="AA41" s="3">
        <v>5</v>
      </c>
      <c r="AB41" s="3">
        <v>5</v>
      </c>
      <c r="AC41" s="3">
        <v>0</v>
      </c>
      <c r="AD41" s="3">
        <v>3</v>
      </c>
      <c r="AE41" s="3">
        <v>5</v>
      </c>
      <c r="AF41" s="3">
        <v>5</v>
      </c>
      <c r="AG41" s="3">
        <v>4</v>
      </c>
      <c r="AH41" s="3">
        <v>3</v>
      </c>
      <c r="AI41" s="3">
        <v>5</v>
      </c>
      <c r="AJ41" s="3">
        <v>5</v>
      </c>
      <c r="AK41" s="2"/>
      <c r="AL41" s="3">
        <v>20</v>
      </c>
      <c r="AM41" s="1">
        <v>30</v>
      </c>
      <c r="AN41" s="1">
        <v>40</v>
      </c>
      <c r="AO41" s="1">
        <v>40</v>
      </c>
      <c r="AP41" s="2"/>
      <c r="AQ41" s="27">
        <f t="shared" si="0"/>
        <v>377.5</v>
      </c>
      <c r="AR41" s="2"/>
      <c r="AS41" s="27">
        <v>20</v>
      </c>
      <c r="AT41" s="3">
        <v>22</v>
      </c>
      <c r="AU41" s="1">
        <v>23</v>
      </c>
      <c r="AV41" s="3">
        <v>29</v>
      </c>
      <c r="AW41" s="2"/>
      <c r="AX41" s="29">
        <f t="shared" si="2"/>
        <v>94</v>
      </c>
      <c r="AY41" s="25" t="str">
        <f t="shared" si="3"/>
        <v>A</v>
      </c>
      <c r="AZ41" s="31"/>
    </row>
    <row r="42" spans="1:52" s="1" customFormat="1" x14ac:dyDescent="0.25">
      <c r="A42" s="1">
        <v>33</v>
      </c>
      <c r="B42" s="31">
        <v>8301</v>
      </c>
      <c r="C42" s="2"/>
      <c r="D42" s="3">
        <v>12</v>
      </c>
      <c r="E42" s="3">
        <v>7</v>
      </c>
      <c r="F42" s="3">
        <v>7.5</v>
      </c>
      <c r="G42" s="1">
        <v>10.5</v>
      </c>
      <c r="H42" s="1">
        <v>9</v>
      </c>
      <c r="I42" s="3" t="s">
        <v>32</v>
      </c>
      <c r="J42" s="3" t="s">
        <v>32</v>
      </c>
      <c r="K42" s="1" t="s">
        <v>32</v>
      </c>
      <c r="L42" s="1" t="s">
        <v>32</v>
      </c>
      <c r="M42" s="1" t="s">
        <v>32</v>
      </c>
      <c r="N42" s="1" t="s">
        <v>32</v>
      </c>
      <c r="O42" s="1">
        <v>10</v>
      </c>
      <c r="P42" s="1">
        <v>2</v>
      </c>
      <c r="Q42" s="1" t="s">
        <v>32</v>
      </c>
      <c r="R42" s="1">
        <v>10</v>
      </c>
      <c r="S42" s="2"/>
      <c r="T42" s="3">
        <v>10</v>
      </c>
      <c r="U42" s="3">
        <v>9</v>
      </c>
      <c r="V42" s="1">
        <v>6</v>
      </c>
      <c r="W42" s="1">
        <v>3</v>
      </c>
      <c r="X42" s="1" t="s">
        <v>32</v>
      </c>
      <c r="Y42" s="2"/>
      <c r="Z42" s="3">
        <v>5</v>
      </c>
      <c r="AA42" s="3">
        <v>5</v>
      </c>
      <c r="AB42" s="1">
        <v>4</v>
      </c>
      <c r="AC42" s="1">
        <v>3</v>
      </c>
      <c r="AD42" s="1">
        <v>3</v>
      </c>
      <c r="AE42" s="1">
        <v>4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2"/>
      <c r="AL42" s="3">
        <v>19</v>
      </c>
      <c r="AM42" s="1">
        <v>12</v>
      </c>
      <c r="AN42" s="1">
        <v>40</v>
      </c>
      <c r="AO42" s="1" t="s">
        <v>32</v>
      </c>
      <c r="AP42" s="2"/>
      <c r="AQ42" s="27">
        <f t="shared" si="0"/>
        <v>191</v>
      </c>
      <c r="AR42" s="2"/>
      <c r="AS42" s="27">
        <f t="shared" si="1"/>
        <v>11.717791411042944</v>
      </c>
      <c r="AT42" s="1">
        <v>21</v>
      </c>
      <c r="AU42" s="1">
        <v>21</v>
      </c>
      <c r="AV42" s="1">
        <v>17</v>
      </c>
      <c r="AW42" s="2"/>
      <c r="AX42" s="29">
        <f t="shared" si="2"/>
        <v>70.717791411042953</v>
      </c>
      <c r="AY42" s="25" t="str">
        <f t="shared" si="3"/>
        <v>C</v>
      </c>
      <c r="AZ42" s="31"/>
    </row>
    <row r="43" spans="1:52" s="1" customFormat="1" x14ac:dyDescent="0.25">
      <c r="A43" s="1">
        <v>34</v>
      </c>
      <c r="B43" s="31">
        <v>2634</v>
      </c>
      <c r="C43" s="2"/>
      <c r="D43" s="3" t="s">
        <v>32</v>
      </c>
      <c r="E43" s="3">
        <v>5.5</v>
      </c>
      <c r="F43" s="3">
        <v>5</v>
      </c>
      <c r="G43" s="1">
        <v>10</v>
      </c>
      <c r="H43" s="1">
        <v>10</v>
      </c>
      <c r="I43" s="3" t="s">
        <v>32</v>
      </c>
      <c r="J43" s="3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32</v>
      </c>
      <c r="P43" s="1" t="s">
        <v>32</v>
      </c>
      <c r="Q43" s="1" t="s">
        <v>32</v>
      </c>
      <c r="R43" s="1">
        <v>0</v>
      </c>
      <c r="S43" s="2"/>
      <c r="T43" s="3">
        <v>5</v>
      </c>
      <c r="U43" s="3">
        <v>2</v>
      </c>
      <c r="V43" s="1" t="s">
        <v>32</v>
      </c>
      <c r="W43" s="1" t="s">
        <v>32</v>
      </c>
      <c r="X43" s="1" t="s">
        <v>32</v>
      </c>
      <c r="Y43" s="2"/>
      <c r="Z43" s="3">
        <v>4</v>
      </c>
      <c r="AA43" s="3">
        <v>2</v>
      </c>
      <c r="AB43" s="1">
        <v>4</v>
      </c>
      <c r="AC43" s="1">
        <v>0</v>
      </c>
      <c r="AD43" s="1">
        <v>0</v>
      </c>
      <c r="AE43" s="1">
        <v>1</v>
      </c>
      <c r="AF43" s="1">
        <v>0</v>
      </c>
      <c r="AG43" s="1">
        <v>1</v>
      </c>
      <c r="AH43" s="1">
        <v>0</v>
      </c>
      <c r="AI43" s="1">
        <v>0</v>
      </c>
      <c r="AJ43" s="1">
        <v>0</v>
      </c>
      <c r="AK43" s="2"/>
      <c r="AL43" s="3" t="s">
        <v>32</v>
      </c>
      <c r="AM43" s="1" t="s">
        <v>32</v>
      </c>
      <c r="AN43" s="1" t="s">
        <v>32</v>
      </c>
      <c r="AO43" s="1" t="s">
        <v>32</v>
      </c>
      <c r="AP43" s="2"/>
      <c r="AQ43" s="27">
        <f t="shared" si="0"/>
        <v>49.5</v>
      </c>
      <c r="AR43" s="2"/>
      <c r="AS43" s="27">
        <f t="shared" si="1"/>
        <v>3.0368098159509205</v>
      </c>
      <c r="AT43" s="1">
        <v>9</v>
      </c>
      <c r="AU43" s="1">
        <v>5</v>
      </c>
      <c r="AV43" s="41">
        <v>0</v>
      </c>
      <c r="AW43" s="2"/>
      <c r="AX43" s="29">
        <f t="shared" si="2"/>
        <v>17.036809815950921</v>
      </c>
      <c r="AY43" s="25" t="str">
        <f t="shared" si="3"/>
        <v>E</v>
      </c>
      <c r="AZ43" s="31"/>
    </row>
    <row r="44" spans="1:52" s="1" customFormat="1" x14ac:dyDescent="0.25">
      <c r="A44" s="1">
        <v>35</v>
      </c>
      <c r="B44" s="31">
        <v>7628</v>
      </c>
      <c r="C44" s="2"/>
      <c r="D44" s="3" t="s">
        <v>32</v>
      </c>
      <c r="E44" s="3" t="s">
        <v>32</v>
      </c>
      <c r="F44" s="3" t="s">
        <v>32</v>
      </c>
      <c r="G44" s="1" t="s">
        <v>32</v>
      </c>
      <c r="H44" s="1" t="s">
        <v>32</v>
      </c>
      <c r="I44" s="3" t="s">
        <v>32</v>
      </c>
      <c r="J44" s="3" t="s">
        <v>32</v>
      </c>
      <c r="K44" s="1" t="s">
        <v>32</v>
      </c>
      <c r="L44" s="1" t="s">
        <v>32</v>
      </c>
      <c r="M44" s="1" t="s">
        <v>32</v>
      </c>
      <c r="N44" s="1" t="s">
        <v>32</v>
      </c>
      <c r="O44" s="1" t="s">
        <v>32</v>
      </c>
      <c r="P44" s="1" t="s">
        <v>32</v>
      </c>
      <c r="Q44" s="1" t="s">
        <v>32</v>
      </c>
      <c r="R44" s="1">
        <v>0</v>
      </c>
      <c r="S44" s="2"/>
      <c r="T44" s="3" t="s">
        <v>32</v>
      </c>
      <c r="U44" s="3" t="s">
        <v>32</v>
      </c>
      <c r="V44" s="1" t="s">
        <v>32</v>
      </c>
      <c r="W44" s="1" t="s">
        <v>32</v>
      </c>
      <c r="X44" s="1" t="s">
        <v>32</v>
      </c>
      <c r="Y44" s="2"/>
      <c r="Z44" s="3">
        <v>0</v>
      </c>
      <c r="AA44" s="3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2"/>
      <c r="AL44" s="3" t="s">
        <v>32</v>
      </c>
      <c r="AM44" s="1" t="s">
        <v>32</v>
      </c>
      <c r="AN44" s="1" t="s">
        <v>32</v>
      </c>
      <c r="AO44" s="1" t="s">
        <v>32</v>
      </c>
      <c r="AP44" s="2"/>
      <c r="AQ44" s="27">
        <f t="shared" si="0"/>
        <v>0</v>
      </c>
      <c r="AR44" s="2"/>
      <c r="AS44" s="27">
        <f t="shared" si="1"/>
        <v>0</v>
      </c>
      <c r="AT44" s="1">
        <v>0</v>
      </c>
      <c r="AU44" s="1">
        <v>0</v>
      </c>
      <c r="AV44" s="1">
        <v>0</v>
      </c>
      <c r="AW44" s="2"/>
      <c r="AX44" s="29">
        <f t="shared" si="2"/>
        <v>0</v>
      </c>
      <c r="AY44" s="25" t="str">
        <f t="shared" si="3"/>
        <v>E</v>
      </c>
      <c r="AZ44" s="31"/>
    </row>
    <row r="45" spans="1:52" s="1" customFormat="1" x14ac:dyDescent="0.25">
      <c r="A45" s="1">
        <v>36</v>
      </c>
      <c r="B45" s="31">
        <v>1784</v>
      </c>
      <c r="C45" s="2"/>
      <c r="D45" s="3">
        <v>11</v>
      </c>
      <c r="E45" s="3">
        <v>8</v>
      </c>
      <c r="F45" s="3" t="s">
        <v>32</v>
      </c>
      <c r="G45" s="1" t="s">
        <v>32</v>
      </c>
      <c r="H45" s="1" t="s">
        <v>32</v>
      </c>
      <c r="I45" s="3" t="s">
        <v>32</v>
      </c>
      <c r="J45" s="3" t="s">
        <v>32</v>
      </c>
      <c r="K45" s="1" t="s">
        <v>32</v>
      </c>
      <c r="L45" s="1" t="s">
        <v>32</v>
      </c>
      <c r="M45" s="1" t="s">
        <v>32</v>
      </c>
      <c r="N45" s="1" t="s">
        <v>32</v>
      </c>
      <c r="O45" s="1" t="s">
        <v>32</v>
      </c>
      <c r="P45" s="1" t="s">
        <v>32</v>
      </c>
      <c r="Q45" s="1" t="s">
        <v>32</v>
      </c>
      <c r="R45" s="1">
        <v>0</v>
      </c>
      <c r="S45" s="2"/>
      <c r="T45" s="3">
        <v>8</v>
      </c>
      <c r="U45" s="3" t="s">
        <v>32</v>
      </c>
      <c r="V45" s="1" t="s">
        <v>32</v>
      </c>
      <c r="W45" s="1" t="s">
        <v>32</v>
      </c>
      <c r="X45" s="1" t="s">
        <v>32</v>
      </c>
      <c r="Y45" s="2"/>
      <c r="Z45" s="3">
        <v>5</v>
      </c>
      <c r="AA45" s="3">
        <v>0</v>
      </c>
      <c r="AB45" s="1">
        <v>4</v>
      </c>
      <c r="AC45" s="1">
        <v>3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2"/>
      <c r="AL45" s="3" t="s">
        <v>32</v>
      </c>
      <c r="AM45" s="1" t="s">
        <v>32</v>
      </c>
      <c r="AN45" s="1" t="s">
        <v>32</v>
      </c>
      <c r="AO45" s="1" t="s">
        <v>32</v>
      </c>
      <c r="AP45" s="2"/>
      <c r="AQ45" s="29">
        <f t="shared" si="0"/>
        <v>39</v>
      </c>
      <c r="AR45" s="2"/>
      <c r="AS45" s="27">
        <f t="shared" si="1"/>
        <v>2.3926380368098159</v>
      </c>
      <c r="AT45" s="1">
        <v>0</v>
      </c>
      <c r="AU45" s="1">
        <v>0</v>
      </c>
      <c r="AV45" s="1">
        <v>0</v>
      </c>
      <c r="AW45" s="2"/>
      <c r="AX45" s="29">
        <f t="shared" si="2"/>
        <v>2.3926380368098159</v>
      </c>
      <c r="AY45" s="31" t="str">
        <f t="shared" si="3"/>
        <v>E</v>
      </c>
      <c r="AZ45" s="31"/>
    </row>
    <row r="46" spans="1:52" s="1" customFormat="1" x14ac:dyDescent="0.25">
      <c r="A46" s="1">
        <v>37</v>
      </c>
      <c r="B46" s="31">
        <v>4106</v>
      </c>
      <c r="C46" s="2"/>
      <c r="D46" s="3">
        <v>11</v>
      </c>
      <c r="E46" s="3">
        <v>8</v>
      </c>
      <c r="F46" s="3">
        <v>7.5</v>
      </c>
      <c r="G46" s="1">
        <v>12</v>
      </c>
      <c r="H46" s="1">
        <v>10</v>
      </c>
      <c r="I46" s="3">
        <v>10</v>
      </c>
      <c r="J46" s="3">
        <v>5</v>
      </c>
      <c r="K46" s="1">
        <v>9</v>
      </c>
      <c r="L46" s="1">
        <v>26</v>
      </c>
      <c r="M46" s="1">
        <v>4.5</v>
      </c>
      <c r="N46" s="1">
        <v>9.5</v>
      </c>
      <c r="O46" s="1">
        <v>8</v>
      </c>
      <c r="P46" s="1">
        <v>3</v>
      </c>
      <c r="Q46" s="1">
        <v>19.5</v>
      </c>
      <c r="R46" s="1">
        <v>10</v>
      </c>
      <c r="S46" s="2"/>
      <c r="T46" s="3">
        <v>10</v>
      </c>
      <c r="U46" s="3">
        <v>13</v>
      </c>
      <c r="V46" s="1">
        <v>6</v>
      </c>
      <c r="W46" s="1">
        <v>5</v>
      </c>
      <c r="X46" s="1">
        <v>10</v>
      </c>
      <c r="Y46" s="2"/>
      <c r="Z46" s="3">
        <v>4</v>
      </c>
      <c r="AA46" s="3">
        <v>4</v>
      </c>
      <c r="AB46" s="1">
        <v>3</v>
      </c>
      <c r="AC46" s="1">
        <v>4</v>
      </c>
      <c r="AD46" s="1">
        <v>3</v>
      </c>
      <c r="AE46" s="1">
        <v>2</v>
      </c>
      <c r="AF46" s="1">
        <v>4</v>
      </c>
      <c r="AG46" s="1">
        <v>5</v>
      </c>
      <c r="AH46" s="1">
        <v>5</v>
      </c>
      <c r="AI46" s="1">
        <v>4</v>
      </c>
      <c r="AJ46" s="1">
        <v>2</v>
      </c>
      <c r="AK46" s="2"/>
      <c r="AL46" s="3">
        <v>20</v>
      </c>
      <c r="AM46" s="1">
        <v>30</v>
      </c>
      <c r="AN46" s="1">
        <v>39.5</v>
      </c>
      <c r="AO46" s="1">
        <v>40</v>
      </c>
      <c r="AP46" s="2"/>
      <c r="AQ46" s="29">
        <f t="shared" si="0"/>
        <v>366.5</v>
      </c>
      <c r="AR46" s="2"/>
      <c r="AS46" s="29">
        <v>20</v>
      </c>
      <c r="AT46" s="1">
        <v>15</v>
      </c>
      <c r="AU46" s="1">
        <v>23</v>
      </c>
      <c r="AV46" s="1">
        <v>29</v>
      </c>
      <c r="AW46" s="2"/>
      <c r="AX46" s="29">
        <f t="shared" si="2"/>
        <v>87</v>
      </c>
      <c r="AY46" s="31" t="str">
        <f t="shared" si="3"/>
        <v>BA</v>
      </c>
      <c r="AZ46" s="31"/>
    </row>
    <row r="47" spans="1:52" s="7" customFormat="1" x14ac:dyDescent="0.25">
      <c r="B47" s="34"/>
      <c r="AQ47" s="35"/>
    </row>
    <row r="48" spans="1:52" x14ac:dyDescent="0.25">
      <c r="B48" s="36"/>
    </row>
    <row r="49" spans="2:2" x14ac:dyDescent="0.25">
      <c r="B49" s="36"/>
    </row>
    <row r="50" spans="2:2" x14ac:dyDescent="0.25">
      <c r="B50" s="37"/>
    </row>
    <row r="51" spans="2:2" x14ac:dyDescent="0.25">
      <c r="B51" s="36"/>
    </row>
    <row r="52" spans="2:2" x14ac:dyDescent="0.25">
      <c r="B52" s="36"/>
    </row>
  </sheetData>
  <mergeCells count="5">
    <mergeCell ref="AL2:AO2"/>
    <mergeCell ref="AS2:AV2"/>
    <mergeCell ref="T2:X2"/>
    <mergeCell ref="D2:N2"/>
    <mergeCell ref="Z2:AJ2"/>
  </mergeCells>
  <phoneticPr fontId="0" type="noConversion"/>
  <conditionalFormatting sqref="AU1:AW1 BB3:BB5 G1:J1 AE1:AK1 X1:Y1 AP1 BB15 BA16:BB65536 BA3:BA8 BA13:BB14 BA9:BB11 BB12 AP3:AP65536 Z1:AD2 AS47:AV65536 AG3:AO12 AG38:AO46 AG30:AO36 AG22:AO28 AQ1:AR1048576 AL1:AO2 H4:Q4 AT3:AU12 AT1:AT2 AS1:AS46 S1:W2 S47:AO65536 D38:J65536 AG14:AO20 I3:J3 G3:G4 AF3:AF4 D30:J36 S30:AE36 S38:AE46 D22:J28 D14:J20 S14:AE20 S22:AE28 D1:F12 G5:J12 S3:AE12 AT14:AU20 AT38:AU46 AV3:AV46 AT30:AU36 AT22:AU28 AW3:AZ65536">
    <cfRule type="cellIs" dxfId="6" priority="1" stopIfTrue="1" operator="equal">
      <formula>"no"</formula>
    </cfRule>
    <cfRule type="cellIs" dxfId="5" priority="2" stopIfTrue="1" operator="equal">
      <formula>"ex"</formula>
    </cfRule>
  </conditionalFormatting>
  <conditionalFormatting sqref="BF1:BF8 BF15:BF65536 BD1:BD1048576 BC3:BC5 BC9:BC65536">
    <cfRule type="cellIs" dxfId="4" priority="3" stopIfTrue="1" operator="equal">
      <formula>"no"</formula>
    </cfRule>
    <cfRule type="cellIs" dxfId="3" priority="4" stopIfTrue="1" operator="equal">
      <formula>ex</formula>
    </cfRule>
  </conditionalFormatting>
  <conditionalFormatting sqref="BG1:FT8 BG15:FT65536 BE9:FR14">
    <cfRule type="cellIs" dxfId="2" priority="5" stopIfTrue="1" operator="equal">
      <formula>"no"</formula>
    </cfRule>
    <cfRule type="cellIs" dxfId="1" priority="6" stopIfTrue="1" operator="equal">
      <formula>"""ex"""</formula>
    </cfRule>
  </conditionalFormatting>
  <conditionalFormatting sqref="L1:R1 L47:R65536 AF38:AF46 L3:Q3 K30:Q36 K14:Q20 K38:Q46 AF22:AF28 AF30:AF36 K22:Q28 K5:Q12 AF14:AF20 AF5:AF12">
    <cfRule type="cellIs" dxfId="0" priority="7" stopIfTrue="1" operator="equal">
      <formula>"no"</formula>
    </cfRule>
  </conditionalFormatting>
  <pageMargins left="0.5" right="0.5" top="0.5" bottom="0.5" header="0.5" footer="0.5"/>
  <pageSetup scale="43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s216_11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jbi0331</dc:creator>
  <cp:lastModifiedBy>Carina Negreanu</cp:lastModifiedBy>
  <cp:lastPrinted>2002-12-16T19:28:24Z</cp:lastPrinted>
  <dcterms:created xsi:type="dcterms:W3CDTF">2002-09-21T04:40:22Z</dcterms:created>
  <dcterms:modified xsi:type="dcterms:W3CDTF">2020-01-27T12:42:18Z</dcterms:modified>
</cp:coreProperties>
</file>