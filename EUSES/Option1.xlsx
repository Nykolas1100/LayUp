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E03F5FF-A2B2-4568-B2EE-10D8C0513BFD}" xr6:coauthVersionLast="45" xr6:coauthVersionMax="45" xr10:uidLastSave="{00000000-0000-0000-0000-000000000000}"/>
  <bookViews>
    <workbookView xWindow="2280" yWindow="2280" windowWidth="28800" windowHeight="15460"/>
  </bookViews>
  <sheets>
    <sheet name="JRBinomial" sheetId="1" r:id="rId1"/>
    <sheet name="JREuro" sheetId="2" r:id="rId2"/>
    <sheet name="CRREuro" sheetId="3" r:id="rId3"/>
    <sheet name="CRRTheory" sheetId="4" r:id="rId4"/>
    <sheet name="LREuro" sheetId="5" r:id="rId5"/>
    <sheet name="Compare" sheetId="6" r:id="rId6"/>
    <sheet name="CRRTree" sheetId="7" r:id="rId7"/>
    <sheet name="Chart1" sheetId="10" r:id="rId8"/>
  </sheets>
  <calcPr calcId="0"/>
</workbook>
</file>

<file path=xl/calcChain.xml><?xml version="1.0" encoding="utf-8"?>
<calcChain xmlns="http://schemas.openxmlformats.org/spreadsheetml/2006/main">
  <c r="H4" i="6" l="1"/>
  <c r="H5" i="6"/>
  <c r="H6" i="6"/>
  <c r="F10" i="6"/>
  <c r="G10" i="6"/>
  <c r="H10" i="6"/>
  <c r="F11" i="6"/>
  <c r="G11" i="6"/>
  <c r="H11" i="6"/>
  <c r="B12" i="6"/>
  <c r="F12" i="6"/>
  <c r="G12" i="6"/>
  <c r="H12" i="6"/>
  <c r="F13" i="6"/>
  <c r="G13" i="6"/>
  <c r="H13" i="6"/>
  <c r="F14" i="6"/>
  <c r="G14" i="6"/>
  <c r="H14" i="6"/>
  <c r="F15" i="6"/>
  <c r="G15" i="6"/>
  <c r="H15" i="6"/>
  <c r="F16" i="6"/>
  <c r="G16" i="6"/>
  <c r="H16" i="6"/>
  <c r="B17" i="6"/>
  <c r="F17" i="6"/>
  <c r="G17" i="6"/>
  <c r="H17" i="6"/>
  <c r="G6" i="3"/>
  <c r="J6" i="3"/>
  <c r="G7" i="3"/>
  <c r="J7" i="3"/>
  <c r="G8" i="3"/>
  <c r="G9" i="3"/>
  <c r="J9" i="3"/>
  <c r="G10" i="3"/>
  <c r="J10" i="3"/>
  <c r="G11" i="3"/>
  <c r="D12" i="3"/>
  <c r="G12" i="3"/>
  <c r="D17" i="3"/>
  <c r="G17" i="3"/>
  <c r="C21" i="3"/>
  <c r="D21" i="3"/>
  <c r="E21" i="3"/>
  <c r="F21" i="3"/>
  <c r="G21" i="3"/>
  <c r="H21" i="3"/>
  <c r="I21" i="3"/>
  <c r="J21" i="3"/>
  <c r="N21" i="3"/>
  <c r="N21" i="3" a="1"/>
  <c r="O21" i="3"/>
  <c r="P21" i="3"/>
  <c r="Q21" i="3"/>
  <c r="R21" i="3"/>
  <c r="S21" i="3"/>
  <c r="T21" i="3"/>
  <c r="U21" i="3"/>
  <c r="V21" i="3"/>
  <c r="W21" i="3"/>
  <c r="C22" i="3"/>
  <c r="D22" i="3"/>
  <c r="E22" i="3"/>
  <c r="F22" i="3"/>
  <c r="G22" i="3"/>
  <c r="H22" i="3"/>
  <c r="I22" i="3"/>
  <c r="N22" i="3"/>
  <c r="O22" i="3"/>
  <c r="P22" i="3"/>
  <c r="Q22" i="3"/>
  <c r="R22" i="3"/>
  <c r="S22" i="3"/>
  <c r="T22" i="3"/>
  <c r="U22" i="3"/>
  <c r="V22" i="3"/>
  <c r="W22" i="3"/>
  <c r="C23" i="3"/>
  <c r="D23" i="3"/>
  <c r="E23" i="3"/>
  <c r="F23" i="3"/>
  <c r="G23" i="3"/>
  <c r="H23" i="3"/>
  <c r="N23" i="3"/>
  <c r="O23" i="3"/>
  <c r="P23" i="3"/>
  <c r="Q23" i="3"/>
  <c r="R23" i="3"/>
  <c r="S23" i="3"/>
  <c r="T23" i="3"/>
  <c r="U23" i="3"/>
  <c r="V23" i="3"/>
  <c r="W23" i="3"/>
  <c r="C24" i="3"/>
  <c r="D24" i="3"/>
  <c r="E24" i="3"/>
  <c r="F24" i="3"/>
  <c r="G24" i="3"/>
  <c r="N24" i="3"/>
  <c r="O24" i="3"/>
  <c r="P24" i="3"/>
  <c r="Q24" i="3"/>
  <c r="R24" i="3"/>
  <c r="S24" i="3"/>
  <c r="T24" i="3"/>
  <c r="U24" i="3"/>
  <c r="V24" i="3"/>
  <c r="W24" i="3"/>
  <c r="C25" i="3"/>
  <c r="D25" i="3"/>
  <c r="E25" i="3"/>
  <c r="F25" i="3"/>
  <c r="N25" i="3"/>
  <c r="O25" i="3"/>
  <c r="P25" i="3"/>
  <c r="Q25" i="3"/>
  <c r="R25" i="3"/>
  <c r="S25" i="3"/>
  <c r="T25" i="3"/>
  <c r="U25" i="3"/>
  <c r="V25" i="3"/>
  <c r="W25" i="3"/>
  <c r="C26" i="3"/>
  <c r="D26" i="3"/>
  <c r="E26" i="3"/>
  <c r="N26" i="3"/>
  <c r="O26" i="3"/>
  <c r="P26" i="3"/>
  <c r="Q26" i="3"/>
  <c r="R26" i="3"/>
  <c r="S26" i="3"/>
  <c r="T26" i="3"/>
  <c r="U26" i="3"/>
  <c r="V26" i="3"/>
  <c r="W26" i="3"/>
  <c r="C27" i="3"/>
  <c r="D27" i="3"/>
  <c r="N27" i="3"/>
  <c r="O27" i="3"/>
  <c r="P27" i="3"/>
  <c r="Q27" i="3"/>
  <c r="R27" i="3"/>
  <c r="S27" i="3"/>
  <c r="T27" i="3"/>
  <c r="U27" i="3"/>
  <c r="V27" i="3"/>
  <c r="W27" i="3"/>
  <c r="C28" i="3"/>
  <c r="N28" i="3"/>
  <c r="O28" i="3"/>
  <c r="P28" i="3"/>
  <c r="Q28" i="3"/>
  <c r="R28" i="3"/>
  <c r="S28" i="3"/>
  <c r="T28" i="3"/>
  <c r="U28" i="3"/>
  <c r="V28" i="3"/>
  <c r="W28" i="3"/>
  <c r="C29" i="3"/>
  <c r="D28" i="3" s="1"/>
  <c r="D29" i="3"/>
  <c r="E29" i="3" s="1"/>
  <c r="F29" i="3" s="1"/>
  <c r="G29" i="3" s="1"/>
  <c r="H29" i="3" s="1"/>
  <c r="I29" i="3" s="1"/>
  <c r="J29" i="3" s="1"/>
  <c r="K29" i="3" s="1"/>
  <c r="K57" i="3" s="1"/>
  <c r="N29" i="3"/>
  <c r="O29" i="3"/>
  <c r="P29" i="3"/>
  <c r="Q29" i="3"/>
  <c r="R29" i="3"/>
  <c r="S29" i="3"/>
  <c r="T29" i="3"/>
  <c r="U29" i="3"/>
  <c r="V29" i="3"/>
  <c r="W29" i="3"/>
  <c r="B30" i="3"/>
  <c r="C30" i="3"/>
  <c r="D30" i="3"/>
  <c r="E30" i="3" s="1"/>
  <c r="F30" i="3" s="1"/>
  <c r="G30" i="3" s="1"/>
  <c r="H30" i="3" s="1"/>
  <c r="I30" i="3" s="1"/>
  <c r="J30" i="3" s="1"/>
  <c r="K30" i="3" s="1"/>
  <c r="K58" i="3" s="1"/>
  <c r="N30" i="3"/>
  <c r="O30" i="3"/>
  <c r="P30" i="3"/>
  <c r="Q30" i="3"/>
  <c r="R30" i="3"/>
  <c r="S30" i="3"/>
  <c r="T30" i="3"/>
  <c r="U30" i="3"/>
  <c r="V30" i="3"/>
  <c r="W30" i="3"/>
  <c r="B35" i="3"/>
  <c r="C35" i="3"/>
  <c r="D35" i="3"/>
  <c r="E35" i="3"/>
  <c r="F35" i="3"/>
  <c r="G35" i="3"/>
  <c r="H35" i="3"/>
  <c r="I35" i="3"/>
  <c r="J35" i="3"/>
  <c r="K35" i="3"/>
  <c r="N35" i="3"/>
  <c r="N35" i="3" a="1"/>
  <c r="O35" i="3"/>
  <c r="P35" i="3"/>
  <c r="Q35" i="3"/>
  <c r="R35" i="3"/>
  <c r="S35" i="3"/>
  <c r="T35" i="3"/>
  <c r="U35" i="3"/>
  <c r="V35" i="3"/>
  <c r="W35" i="3"/>
  <c r="K36" i="3"/>
  <c r="N36" i="3"/>
  <c r="O36" i="3"/>
  <c r="P36" i="3"/>
  <c r="Q36" i="3"/>
  <c r="R36" i="3"/>
  <c r="S36" i="3"/>
  <c r="T36" i="3"/>
  <c r="U36" i="3"/>
  <c r="V36" i="3"/>
  <c r="W36" i="3"/>
  <c r="K37" i="3"/>
  <c r="N37" i="3"/>
  <c r="O37" i="3"/>
  <c r="P37" i="3"/>
  <c r="Q37" i="3"/>
  <c r="R37" i="3"/>
  <c r="S37" i="3"/>
  <c r="T37" i="3"/>
  <c r="U37" i="3"/>
  <c r="V37" i="3"/>
  <c r="W37" i="3"/>
  <c r="K38" i="3"/>
  <c r="N38" i="3"/>
  <c r="O38" i="3"/>
  <c r="P38" i="3"/>
  <c r="Q38" i="3"/>
  <c r="R38" i="3"/>
  <c r="S38" i="3"/>
  <c r="T38" i="3"/>
  <c r="U38" i="3"/>
  <c r="V38" i="3"/>
  <c r="W38" i="3"/>
  <c r="K39" i="3"/>
  <c r="N39" i="3"/>
  <c r="O39" i="3"/>
  <c r="P39" i="3"/>
  <c r="Q39" i="3"/>
  <c r="R39" i="3"/>
  <c r="S39" i="3"/>
  <c r="T39" i="3"/>
  <c r="U39" i="3"/>
  <c r="V39" i="3"/>
  <c r="W39" i="3"/>
  <c r="K40" i="3"/>
  <c r="N40" i="3"/>
  <c r="O40" i="3"/>
  <c r="P40" i="3"/>
  <c r="Q40" i="3"/>
  <c r="R40" i="3"/>
  <c r="S40" i="3"/>
  <c r="T40" i="3"/>
  <c r="U40" i="3"/>
  <c r="V40" i="3"/>
  <c r="W40" i="3"/>
  <c r="K41" i="3"/>
  <c r="N41" i="3"/>
  <c r="O41" i="3"/>
  <c r="P41" i="3"/>
  <c r="Q41" i="3"/>
  <c r="R41" i="3"/>
  <c r="S41" i="3"/>
  <c r="T41" i="3"/>
  <c r="U41" i="3"/>
  <c r="V41" i="3"/>
  <c r="W41" i="3"/>
  <c r="K42" i="3"/>
  <c r="N42" i="3"/>
  <c r="O42" i="3"/>
  <c r="P42" i="3"/>
  <c r="Q42" i="3"/>
  <c r="R42" i="3"/>
  <c r="S42" i="3"/>
  <c r="T42" i="3"/>
  <c r="U42" i="3"/>
  <c r="V42" i="3"/>
  <c r="W42" i="3"/>
  <c r="K43" i="3"/>
  <c r="N43" i="3"/>
  <c r="O43" i="3"/>
  <c r="P43" i="3"/>
  <c r="Q43" i="3"/>
  <c r="R43" i="3"/>
  <c r="S43" i="3"/>
  <c r="T43" i="3"/>
  <c r="U43" i="3"/>
  <c r="V43" i="3"/>
  <c r="W43" i="3"/>
  <c r="K44" i="3"/>
  <c r="N44" i="3"/>
  <c r="O44" i="3"/>
  <c r="P44" i="3"/>
  <c r="Q44" i="3"/>
  <c r="R44" i="3"/>
  <c r="S44" i="3"/>
  <c r="T44" i="3"/>
  <c r="U44" i="3"/>
  <c r="V44" i="3"/>
  <c r="W44" i="3"/>
  <c r="E6" i="4"/>
  <c r="E7" i="4"/>
  <c r="E8" i="4"/>
  <c r="E9" i="4"/>
  <c r="E10" i="4"/>
  <c r="E11" i="4"/>
  <c r="B12" i="4"/>
  <c r="E12" i="4"/>
  <c r="E14" i="4"/>
  <c r="H15" i="4"/>
  <c r="E16" i="4"/>
  <c r="H16" i="4"/>
  <c r="B17" i="4"/>
  <c r="H17" i="4"/>
  <c r="B18" i="4"/>
  <c r="E18" i="4"/>
  <c r="H18" i="4"/>
  <c r="B20" i="4"/>
  <c r="G6" i="7"/>
  <c r="G7" i="7"/>
  <c r="G8" i="7"/>
  <c r="G9" i="7"/>
  <c r="G10" i="7"/>
  <c r="G11" i="7"/>
  <c r="D12" i="7"/>
  <c r="G12" i="7"/>
  <c r="K15" i="7"/>
  <c r="D17" i="7"/>
  <c r="C21" i="7"/>
  <c r="D21" i="7"/>
  <c r="E21" i="7"/>
  <c r="F21" i="7"/>
  <c r="G21" i="7"/>
  <c r="H21" i="7"/>
  <c r="I21" i="7"/>
  <c r="J21" i="7"/>
  <c r="C22" i="7"/>
  <c r="D22" i="7"/>
  <c r="E22" i="7"/>
  <c r="F22" i="7"/>
  <c r="G22" i="7"/>
  <c r="H22" i="7"/>
  <c r="I22" i="7"/>
  <c r="C23" i="7"/>
  <c r="D23" i="7"/>
  <c r="E23" i="7"/>
  <c r="F23" i="7"/>
  <c r="G23" i="7"/>
  <c r="H23" i="7"/>
  <c r="C24" i="7"/>
  <c r="D24" i="7"/>
  <c r="E24" i="7"/>
  <c r="F24" i="7"/>
  <c r="G24" i="7"/>
  <c r="C25" i="7"/>
  <c r="D25" i="7"/>
  <c r="E25" i="7"/>
  <c r="F25" i="7"/>
  <c r="C26" i="7"/>
  <c r="D26" i="7"/>
  <c r="E26" i="7"/>
  <c r="C27" i="7"/>
  <c r="D27" i="7"/>
  <c r="C28" i="7"/>
  <c r="C29" i="7"/>
  <c r="D28" i="7" s="1"/>
  <c r="B30" i="7"/>
  <c r="C30" i="7"/>
  <c r="D30" i="7" s="1"/>
  <c r="B35" i="7"/>
  <c r="C35" i="7"/>
  <c r="D35" i="7"/>
  <c r="E35" i="7"/>
  <c r="F35" i="7"/>
  <c r="G35" i="7"/>
  <c r="H35" i="7"/>
  <c r="I35" i="7"/>
  <c r="J35" i="7"/>
  <c r="K35" i="7"/>
  <c r="N35" i="7"/>
  <c r="N35" i="7" a="1"/>
  <c r="O35" i="7"/>
  <c r="P35" i="7"/>
  <c r="Q35" i="7"/>
  <c r="R35" i="7"/>
  <c r="S35" i="7"/>
  <c r="T35" i="7"/>
  <c r="U35" i="7"/>
  <c r="V35" i="7"/>
  <c r="W35" i="7"/>
  <c r="B36" i="7"/>
  <c r="C36" i="7"/>
  <c r="D36" i="7"/>
  <c r="E36" i="7"/>
  <c r="F36" i="7"/>
  <c r="G36" i="7"/>
  <c r="H36" i="7"/>
  <c r="I36" i="7"/>
  <c r="J36" i="7"/>
  <c r="K36" i="7"/>
  <c r="N36" i="7"/>
  <c r="O36" i="7"/>
  <c r="P36" i="7"/>
  <c r="Q36" i="7"/>
  <c r="R36" i="7"/>
  <c r="S36" i="7"/>
  <c r="T36" i="7"/>
  <c r="U36" i="7"/>
  <c r="V36" i="7"/>
  <c r="W36" i="7"/>
  <c r="B37" i="7"/>
  <c r="C37" i="7"/>
  <c r="D37" i="7"/>
  <c r="E37" i="7"/>
  <c r="F37" i="7"/>
  <c r="G37" i="7"/>
  <c r="H37" i="7"/>
  <c r="I37" i="7"/>
  <c r="J37" i="7"/>
  <c r="K37" i="7"/>
  <c r="N37" i="7"/>
  <c r="O37" i="7"/>
  <c r="P37" i="7"/>
  <c r="Q37" i="7"/>
  <c r="R37" i="7"/>
  <c r="S37" i="7"/>
  <c r="T37" i="7"/>
  <c r="U37" i="7"/>
  <c r="V37" i="7"/>
  <c r="W37" i="7"/>
  <c r="B38" i="7"/>
  <c r="C38" i="7"/>
  <c r="D38" i="7"/>
  <c r="E38" i="7"/>
  <c r="F38" i="7"/>
  <c r="G38" i="7"/>
  <c r="H38" i="7"/>
  <c r="I38" i="7"/>
  <c r="J38" i="7"/>
  <c r="K38" i="7"/>
  <c r="N38" i="7"/>
  <c r="O38" i="7"/>
  <c r="P38" i="7"/>
  <c r="Q38" i="7"/>
  <c r="R38" i="7"/>
  <c r="S38" i="7"/>
  <c r="T38" i="7"/>
  <c r="U38" i="7"/>
  <c r="V38" i="7"/>
  <c r="W38" i="7"/>
  <c r="B39" i="7"/>
  <c r="C39" i="7"/>
  <c r="D39" i="7"/>
  <c r="E39" i="7"/>
  <c r="F39" i="7"/>
  <c r="G39" i="7"/>
  <c r="H39" i="7"/>
  <c r="I39" i="7"/>
  <c r="J39" i="7"/>
  <c r="K39" i="7"/>
  <c r="N39" i="7"/>
  <c r="O39" i="7"/>
  <c r="P39" i="7"/>
  <c r="Q39" i="7"/>
  <c r="R39" i="7"/>
  <c r="S39" i="7"/>
  <c r="T39" i="7"/>
  <c r="U39" i="7"/>
  <c r="V39" i="7"/>
  <c r="W39" i="7"/>
  <c r="B40" i="7"/>
  <c r="C40" i="7"/>
  <c r="D40" i="7"/>
  <c r="E40" i="7"/>
  <c r="F40" i="7"/>
  <c r="G40" i="7"/>
  <c r="H40" i="7"/>
  <c r="I40" i="7"/>
  <c r="J40" i="7"/>
  <c r="K40" i="7"/>
  <c r="N40" i="7"/>
  <c r="O40" i="7"/>
  <c r="P40" i="7"/>
  <c r="Q40" i="7"/>
  <c r="R40" i="7"/>
  <c r="S40" i="7"/>
  <c r="T40" i="7"/>
  <c r="U40" i="7"/>
  <c r="V40" i="7"/>
  <c r="W40" i="7"/>
  <c r="B41" i="7"/>
  <c r="C41" i="7"/>
  <c r="D41" i="7"/>
  <c r="E41" i="7"/>
  <c r="F41" i="7"/>
  <c r="G41" i="7"/>
  <c r="H41" i="7"/>
  <c r="I41" i="7"/>
  <c r="J41" i="7"/>
  <c r="K41" i="7"/>
  <c r="N41" i="7"/>
  <c r="O41" i="7"/>
  <c r="P41" i="7"/>
  <c r="Q41" i="7"/>
  <c r="R41" i="7"/>
  <c r="S41" i="7"/>
  <c r="T41" i="7"/>
  <c r="U41" i="7"/>
  <c r="V41" i="7"/>
  <c r="W41" i="7"/>
  <c r="B42" i="7"/>
  <c r="C42" i="7"/>
  <c r="D42" i="7"/>
  <c r="E42" i="7"/>
  <c r="F42" i="7"/>
  <c r="G42" i="7"/>
  <c r="H42" i="7"/>
  <c r="I42" i="7"/>
  <c r="J42" i="7"/>
  <c r="K42" i="7"/>
  <c r="N42" i="7"/>
  <c r="O42" i="7"/>
  <c r="P42" i="7"/>
  <c r="Q42" i="7"/>
  <c r="R42" i="7"/>
  <c r="S42" i="7"/>
  <c r="T42" i="7"/>
  <c r="U42" i="7"/>
  <c r="V42" i="7"/>
  <c r="W42" i="7"/>
  <c r="B43" i="7"/>
  <c r="C43" i="7"/>
  <c r="D43" i="7"/>
  <c r="E43" i="7"/>
  <c r="F43" i="7"/>
  <c r="G43" i="7"/>
  <c r="H43" i="7"/>
  <c r="I43" i="7"/>
  <c r="J43" i="7"/>
  <c r="K43" i="7"/>
  <c r="N43" i="7"/>
  <c r="O43" i="7"/>
  <c r="P43" i="7"/>
  <c r="Q43" i="7"/>
  <c r="R43" i="7"/>
  <c r="S43" i="7"/>
  <c r="T43" i="7"/>
  <c r="U43" i="7"/>
  <c r="V43" i="7"/>
  <c r="W43" i="7"/>
  <c r="B44" i="7"/>
  <c r="C44" i="7"/>
  <c r="D44" i="7"/>
  <c r="E44" i="7"/>
  <c r="F44" i="7"/>
  <c r="G44" i="7"/>
  <c r="H44" i="7"/>
  <c r="I44" i="7"/>
  <c r="J44" i="7"/>
  <c r="K44" i="7"/>
  <c r="N44" i="7"/>
  <c r="O44" i="7"/>
  <c r="P44" i="7"/>
  <c r="Q44" i="7"/>
  <c r="R44" i="7"/>
  <c r="S44" i="7"/>
  <c r="T44" i="7"/>
  <c r="U44" i="7"/>
  <c r="V44" i="7"/>
  <c r="W44" i="7"/>
  <c r="B49" i="7"/>
  <c r="C49" i="7"/>
  <c r="D49" i="7"/>
  <c r="E49" i="7"/>
  <c r="F49" i="7"/>
  <c r="G49" i="7"/>
  <c r="H49" i="7"/>
  <c r="I49" i="7"/>
  <c r="J49" i="7"/>
  <c r="B50" i="7"/>
  <c r="C50" i="7"/>
  <c r="D50" i="7"/>
  <c r="E50" i="7"/>
  <c r="F50" i="7"/>
  <c r="G50" i="7"/>
  <c r="H50" i="7"/>
  <c r="I50" i="7"/>
  <c r="B51" i="7"/>
  <c r="C51" i="7"/>
  <c r="D51" i="7"/>
  <c r="E51" i="7"/>
  <c r="F51" i="7"/>
  <c r="G51" i="7"/>
  <c r="H51" i="7"/>
  <c r="B52" i="7"/>
  <c r="C52" i="7"/>
  <c r="D52" i="7"/>
  <c r="E52" i="7"/>
  <c r="F52" i="7"/>
  <c r="G52" i="7"/>
  <c r="B53" i="7"/>
  <c r="C53" i="7"/>
  <c r="D53" i="7"/>
  <c r="E53" i="7"/>
  <c r="F53" i="7"/>
  <c r="B54" i="7"/>
  <c r="C54" i="7"/>
  <c r="D54" i="7"/>
  <c r="E54" i="7"/>
  <c r="B55" i="7"/>
  <c r="C55" i="7"/>
  <c r="D55" i="7"/>
  <c r="B56" i="7"/>
  <c r="C56" i="7"/>
  <c r="B57" i="7"/>
  <c r="B58" i="7"/>
  <c r="B63" i="7"/>
  <c r="C63" i="7"/>
  <c r="D63" i="7"/>
  <c r="E63" i="7"/>
  <c r="F63" i="7"/>
  <c r="G63" i="7"/>
  <c r="H63" i="7"/>
  <c r="I63" i="7"/>
  <c r="J63" i="7"/>
  <c r="B64" i="7"/>
  <c r="C64" i="7"/>
  <c r="D64" i="7"/>
  <c r="E64" i="7"/>
  <c r="F64" i="7"/>
  <c r="G64" i="7"/>
  <c r="H64" i="7"/>
  <c r="I64" i="7"/>
  <c r="B65" i="7"/>
  <c r="C65" i="7"/>
  <c r="D65" i="7"/>
  <c r="E65" i="7"/>
  <c r="F65" i="7"/>
  <c r="G65" i="7"/>
  <c r="H65" i="7"/>
  <c r="B66" i="7"/>
  <c r="C66" i="7"/>
  <c r="D66" i="7"/>
  <c r="E66" i="7"/>
  <c r="F66" i="7"/>
  <c r="G66" i="7"/>
  <c r="B67" i="7"/>
  <c r="C67" i="7"/>
  <c r="D67" i="7"/>
  <c r="E67" i="7"/>
  <c r="F67" i="7"/>
  <c r="B68" i="7"/>
  <c r="C68" i="7"/>
  <c r="D68" i="7"/>
  <c r="E68" i="7"/>
  <c r="B69" i="7"/>
  <c r="C69" i="7"/>
  <c r="D69" i="7"/>
  <c r="B70" i="7"/>
  <c r="C70" i="7"/>
  <c r="B71" i="7"/>
  <c r="B77" i="7"/>
  <c r="C77" i="7"/>
  <c r="D77" i="7"/>
  <c r="E77" i="7"/>
  <c r="F77" i="7"/>
  <c r="G77" i="7"/>
  <c r="H77" i="7"/>
  <c r="I77" i="7"/>
  <c r="J77" i="7"/>
  <c r="B78" i="7"/>
  <c r="C78" i="7"/>
  <c r="D78" i="7"/>
  <c r="E78" i="7"/>
  <c r="F78" i="7"/>
  <c r="G78" i="7"/>
  <c r="H78" i="7"/>
  <c r="I78" i="7"/>
  <c r="B79" i="7"/>
  <c r="C79" i="7"/>
  <c r="D79" i="7"/>
  <c r="E79" i="7"/>
  <c r="F79" i="7"/>
  <c r="G79" i="7"/>
  <c r="H79" i="7"/>
  <c r="B80" i="7"/>
  <c r="C80" i="7"/>
  <c r="D80" i="7"/>
  <c r="E80" i="7"/>
  <c r="F80" i="7"/>
  <c r="G80" i="7"/>
  <c r="B81" i="7"/>
  <c r="C81" i="7"/>
  <c r="D81" i="7"/>
  <c r="E81" i="7"/>
  <c r="F81" i="7"/>
  <c r="B82" i="7"/>
  <c r="C82" i="7"/>
  <c r="D82" i="7"/>
  <c r="E82" i="7"/>
  <c r="B83" i="7"/>
  <c r="C83" i="7"/>
  <c r="D83" i="7"/>
  <c r="B84" i="7"/>
  <c r="C84" i="7"/>
  <c r="B85" i="7"/>
  <c r="C5" i="1"/>
  <c r="C17" i="1"/>
  <c r="D16" i="1" s="1"/>
  <c r="D17" i="1"/>
  <c r="E17" i="1" s="1"/>
  <c r="F17" i="1" s="1"/>
  <c r="G17" i="1" s="1"/>
  <c r="H17" i="1" s="1"/>
  <c r="I17" i="1" s="1"/>
  <c r="J17" i="1" s="1"/>
  <c r="K17" i="1" s="1"/>
  <c r="C18" i="1"/>
  <c r="D18" i="1"/>
  <c r="E18" i="1" s="1"/>
  <c r="F18" i="1" s="1"/>
  <c r="G18" i="1" s="1"/>
  <c r="H18" i="1" s="1"/>
  <c r="I18" i="1" s="1"/>
  <c r="J18" i="1" s="1"/>
  <c r="K18" i="1" s="1"/>
  <c r="E22" i="1"/>
  <c r="G22" i="1"/>
  <c r="I22" i="1"/>
  <c r="E23" i="1"/>
  <c r="G23" i="1"/>
  <c r="I23" i="1"/>
  <c r="E24" i="1"/>
  <c r="G24" i="1"/>
  <c r="I24" i="1"/>
  <c r="E25" i="1"/>
  <c r="G25" i="1"/>
  <c r="I25" i="1"/>
  <c r="E26" i="1"/>
  <c r="G26" i="1"/>
  <c r="I26" i="1"/>
  <c r="E27" i="1"/>
  <c r="G27" i="1"/>
  <c r="I27" i="1"/>
  <c r="E28" i="1"/>
  <c r="G28" i="1"/>
  <c r="I28" i="1"/>
  <c r="E29" i="1"/>
  <c r="G29" i="1"/>
  <c r="I29" i="1"/>
  <c r="E30" i="1"/>
  <c r="G30" i="1"/>
  <c r="I30" i="1"/>
  <c r="E31" i="1"/>
  <c r="G31" i="1"/>
  <c r="I31" i="1"/>
  <c r="I33" i="1"/>
  <c r="I34" i="1"/>
  <c r="G6" i="2"/>
  <c r="J6" i="2"/>
  <c r="G7" i="2"/>
  <c r="J7" i="2"/>
  <c r="G9" i="2"/>
  <c r="J9" i="2"/>
  <c r="G10" i="2"/>
  <c r="J10" i="2"/>
  <c r="G11" i="2"/>
  <c r="D12" i="2"/>
  <c r="G12" i="2"/>
  <c r="D17" i="2"/>
  <c r="G17" i="2"/>
  <c r="C21" i="2"/>
  <c r="D21" i="2"/>
  <c r="E21" i="2"/>
  <c r="F21" i="2"/>
  <c r="G21" i="2"/>
  <c r="H21" i="2"/>
  <c r="I21" i="2"/>
  <c r="J21" i="2"/>
  <c r="N21" i="2"/>
  <c r="N21" i="2" a="1"/>
  <c r="O21" i="2"/>
  <c r="P21" i="2"/>
  <c r="Q21" i="2"/>
  <c r="R21" i="2"/>
  <c r="S21" i="2"/>
  <c r="T21" i="2"/>
  <c r="U21" i="2"/>
  <c r="V21" i="2"/>
  <c r="W21" i="2"/>
  <c r="C22" i="2"/>
  <c r="D22" i="2"/>
  <c r="E22" i="2"/>
  <c r="F22" i="2"/>
  <c r="G22" i="2"/>
  <c r="H22" i="2"/>
  <c r="I22" i="2"/>
  <c r="N22" i="2"/>
  <c r="O22" i="2"/>
  <c r="P22" i="2"/>
  <c r="Q22" i="2"/>
  <c r="R22" i="2"/>
  <c r="S22" i="2"/>
  <c r="T22" i="2"/>
  <c r="U22" i="2"/>
  <c r="V22" i="2"/>
  <c r="W22" i="2"/>
  <c r="C23" i="2"/>
  <c r="D23" i="2"/>
  <c r="E23" i="2"/>
  <c r="F23" i="2"/>
  <c r="G23" i="2"/>
  <c r="H23" i="2"/>
  <c r="N23" i="2"/>
  <c r="O23" i="2"/>
  <c r="P23" i="2"/>
  <c r="Q23" i="2"/>
  <c r="R23" i="2"/>
  <c r="S23" i="2"/>
  <c r="T23" i="2"/>
  <c r="U23" i="2"/>
  <c r="V23" i="2"/>
  <c r="W23" i="2"/>
  <c r="C24" i="2"/>
  <c r="D24" i="2"/>
  <c r="E24" i="2"/>
  <c r="F24" i="2"/>
  <c r="G24" i="2"/>
  <c r="N24" i="2"/>
  <c r="O24" i="2"/>
  <c r="P24" i="2"/>
  <c r="Q24" i="2"/>
  <c r="R24" i="2"/>
  <c r="S24" i="2"/>
  <c r="T24" i="2"/>
  <c r="U24" i="2"/>
  <c r="V24" i="2"/>
  <c r="W24" i="2"/>
  <c r="C25" i="2"/>
  <c r="D25" i="2"/>
  <c r="E25" i="2"/>
  <c r="F25" i="2"/>
  <c r="N25" i="2"/>
  <c r="O25" i="2"/>
  <c r="P25" i="2"/>
  <c r="Q25" i="2"/>
  <c r="R25" i="2"/>
  <c r="S25" i="2"/>
  <c r="T25" i="2"/>
  <c r="U25" i="2"/>
  <c r="V25" i="2"/>
  <c r="W25" i="2"/>
  <c r="C26" i="2"/>
  <c r="D26" i="2"/>
  <c r="E26" i="2"/>
  <c r="N26" i="2"/>
  <c r="O26" i="2"/>
  <c r="P26" i="2"/>
  <c r="Q26" i="2"/>
  <c r="R26" i="2"/>
  <c r="S26" i="2"/>
  <c r="T26" i="2"/>
  <c r="U26" i="2"/>
  <c r="V26" i="2"/>
  <c r="W26" i="2"/>
  <c r="C27" i="2"/>
  <c r="D27" i="2"/>
  <c r="N27" i="2"/>
  <c r="O27" i="2"/>
  <c r="P27" i="2"/>
  <c r="Q27" i="2"/>
  <c r="R27" i="2"/>
  <c r="S27" i="2"/>
  <c r="T27" i="2"/>
  <c r="U27" i="2"/>
  <c r="V27" i="2"/>
  <c r="W27" i="2"/>
  <c r="C28" i="2"/>
  <c r="N28" i="2"/>
  <c r="O28" i="2"/>
  <c r="P28" i="2"/>
  <c r="Q28" i="2"/>
  <c r="R28" i="2"/>
  <c r="S28" i="2"/>
  <c r="T28" i="2"/>
  <c r="U28" i="2"/>
  <c r="V28" i="2"/>
  <c r="W28" i="2"/>
  <c r="C29" i="2"/>
  <c r="D29" i="2" s="1"/>
  <c r="E29" i="2" s="1"/>
  <c r="F29" i="2" s="1"/>
  <c r="G29" i="2" s="1"/>
  <c r="H29" i="2" s="1"/>
  <c r="I29" i="2" s="1"/>
  <c r="J29" i="2" s="1"/>
  <c r="K29" i="2" s="1"/>
  <c r="K57" i="2" s="1"/>
  <c r="N29" i="2"/>
  <c r="O29" i="2"/>
  <c r="P29" i="2"/>
  <c r="Q29" i="2"/>
  <c r="R29" i="2"/>
  <c r="S29" i="2"/>
  <c r="T29" i="2"/>
  <c r="U29" i="2"/>
  <c r="V29" i="2"/>
  <c r="W29" i="2"/>
  <c r="B30" i="2"/>
  <c r="C30" i="2"/>
  <c r="D30" i="2" s="1"/>
  <c r="E30" i="2" s="1"/>
  <c r="F30" i="2" s="1"/>
  <c r="G30" i="2" s="1"/>
  <c r="H30" i="2" s="1"/>
  <c r="I30" i="2" s="1"/>
  <c r="J30" i="2" s="1"/>
  <c r="K30" i="2" s="1"/>
  <c r="K58" i="2" s="1"/>
  <c r="N30" i="2"/>
  <c r="O30" i="2"/>
  <c r="P30" i="2"/>
  <c r="Q30" i="2"/>
  <c r="R30" i="2"/>
  <c r="S30" i="2"/>
  <c r="T30" i="2"/>
  <c r="U30" i="2"/>
  <c r="V30" i="2"/>
  <c r="W30" i="2"/>
  <c r="B35" i="2"/>
  <c r="C35" i="2"/>
  <c r="D35" i="2"/>
  <c r="E35" i="2"/>
  <c r="F35" i="2"/>
  <c r="G35" i="2"/>
  <c r="H35" i="2"/>
  <c r="I35" i="2"/>
  <c r="J35" i="2"/>
  <c r="K35" i="2"/>
  <c r="N35" i="2"/>
  <c r="N35" i="2" a="1"/>
  <c r="O35" i="2"/>
  <c r="P35" i="2"/>
  <c r="Q35" i="2"/>
  <c r="R35" i="2"/>
  <c r="S35" i="2"/>
  <c r="T35" i="2"/>
  <c r="U35" i="2"/>
  <c r="V35" i="2"/>
  <c r="W35" i="2"/>
  <c r="K36" i="2"/>
  <c r="N36" i="2"/>
  <c r="O36" i="2"/>
  <c r="P36" i="2"/>
  <c r="Q36" i="2"/>
  <c r="R36" i="2"/>
  <c r="S36" i="2"/>
  <c r="T36" i="2"/>
  <c r="U36" i="2"/>
  <c r="V36" i="2"/>
  <c r="W36" i="2"/>
  <c r="K37" i="2"/>
  <c r="N37" i="2"/>
  <c r="O37" i="2"/>
  <c r="P37" i="2"/>
  <c r="Q37" i="2"/>
  <c r="R37" i="2"/>
  <c r="S37" i="2"/>
  <c r="T37" i="2"/>
  <c r="U37" i="2"/>
  <c r="V37" i="2"/>
  <c r="W37" i="2"/>
  <c r="K38" i="2"/>
  <c r="N38" i="2"/>
  <c r="O38" i="2"/>
  <c r="P38" i="2"/>
  <c r="Q38" i="2"/>
  <c r="R38" i="2"/>
  <c r="S38" i="2"/>
  <c r="T38" i="2"/>
  <c r="U38" i="2"/>
  <c r="V38" i="2"/>
  <c r="W38" i="2"/>
  <c r="K39" i="2"/>
  <c r="N39" i="2"/>
  <c r="O39" i="2"/>
  <c r="P39" i="2"/>
  <c r="Q39" i="2"/>
  <c r="R39" i="2"/>
  <c r="S39" i="2"/>
  <c r="T39" i="2"/>
  <c r="U39" i="2"/>
  <c r="V39" i="2"/>
  <c r="W39" i="2"/>
  <c r="K40" i="2"/>
  <c r="N40" i="2"/>
  <c r="O40" i="2"/>
  <c r="P40" i="2"/>
  <c r="Q40" i="2"/>
  <c r="R40" i="2"/>
  <c r="S40" i="2"/>
  <c r="T40" i="2"/>
  <c r="U40" i="2"/>
  <c r="V40" i="2"/>
  <c r="W40" i="2"/>
  <c r="K41" i="2"/>
  <c r="N41" i="2"/>
  <c r="O41" i="2"/>
  <c r="P41" i="2"/>
  <c r="Q41" i="2"/>
  <c r="R41" i="2"/>
  <c r="S41" i="2"/>
  <c r="T41" i="2"/>
  <c r="U41" i="2"/>
  <c r="V41" i="2"/>
  <c r="W41" i="2"/>
  <c r="K42" i="2"/>
  <c r="N42" i="2"/>
  <c r="O42" i="2"/>
  <c r="P42" i="2"/>
  <c r="Q42" i="2"/>
  <c r="R42" i="2"/>
  <c r="S42" i="2"/>
  <c r="T42" i="2"/>
  <c r="U42" i="2"/>
  <c r="V42" i="2"/>
  <c r="W42" i="2"/>
  <c r="K43" i="2"/>
  <c r="N43" i="2"/>
  <c r="O43" i="2"/>
  <c r="P43" i="2"/>
  <c r="Q43" i="2"/>
  <c r="R43" i="2"/>
  <c r="S43" i="2"/>
  <c r="T43" i="2"/>
  <c r="U43" i="2"/>
  <c r="V43" i="2"/>
  <c r="W43" i="2"/>
  <c r="K44" i="2"/>
  <c r="N44" i="2"/>
  <c r="O44" i="2"/>
  <c r="P44" i="2"/>
  <c r="Q44" i="2"/>
  <c r="R44" i="2"/>
  <c r="S44" i="2"/>
  <c r="T44" i="2"/>
  <c r="U44" i="2"/>
  <c r="V44" i="2"/>
  <c r="W44" i="2"/>
  <c r="G4" i="5"/>
  <c r="G5" i="5"/>
  <c r="G6" i="5"/>
  <c r="J6" i="5"/>
  <c r="G7" i="5"/>
  <c r="J7" i="5"/>
  <c r="G8" i="5"/>
  <c r="G9" i="5"/>
  <c r="J9" i="5"/>
  <c r="G10" i="5"/>
  <c r="J10" i="5"/>
  <c r="G11" i="5"/>
  <c r="D12" i="5"/>
  <c r="G12" i="5"/>
  <c r="K12" i="5"/>
  <c r="G13" i="5"/>
  <c r="K13" i="5"/>
  <c r="K14" i="5"/>
  <c r="K15" i="5"/>
  <c r="K16" i="5"/>
  <c r="D17" i="5"/>
  <c r="G17" i="5"/>
  <c r="C21" i="5"/>
  <c r="D21" i="5"/>
  <c r="E21" i="5"/>
  <c r="F21" i="5"/>
  <c r="G21" i="5"/>
  <c r="H21" i="5"/>
  <c r="I21" i="5"/>
  <c r="J21" i="5"/>
  <c r="C22" i="5"/>
  <c r="D22" i="5"/>
  <c r="E22" i="5"/>
  <c r="F22" i="5"/>
  <c r="G22" i="5"/>
  <c r="H22" i="5"/>
  <c r="I22" i="5"/>
  <c r="C23" i="5"/>
  <c r="D23" i="5"/>
  <c r="E23" i="5"/>
  <c r="F23" i="5"/>
  <c r="G23" i="5"/>
  <c r="H23" i="5"/>
  <c r="C24" i="5"/>
  <c r="D24" i="5"/>
  <c r="E24" i="5"/>
  <c r="F24" i="5"/>
  <c r="G24" i="5"/>
  <c r="C25" i="5"/>
  <c r="D25" i="5"/>
  <c r="E25" i="5"/>
  <c r="F25" i="5"/>
  <c r="C26" i="5"/>
  <c r="D26" i="5"/>
  <c r="E26" i="5"/>
  <c r="C27" i="5"/>
  <c r="D27" i="5"/>
  <c r="C28" i="5"/>
  <c r="D28" i="5"/>
  <c r="E27" i="5" s="1"/>
  <c r="C29" i="5"/>
  <c r="D29" i="5"/>
  <c r="E29" i="5" s="1"/>
  <c r="F29" i="5" s="1"/>
  <c r="G29" i="5" s="1"/>
  <c r="H29" i="5" s="1"/>
  <c r="I29" i="5" s="1"/>
  <c r="J29" i="5" s="1"/>
  <c r="K29" i="5" s="1"/>
  <c r="K57" i="5" s="1"/>
  <c r="B30" i="5"/>
  <c r="C30" i="5"/>
  <c r="D30" i="5"/>
  <c r="E30" i="5" s="1"/>
  <c r="F30" i="5" s="1"/>
  <c r="G30" i="5" s="1"/>
  <c r="H30" i="5" s="1"/>
  <c r="I30" i="5" s="1"/>
  <c r="J30" i="5" s="1"/>
  <c r="K30" i="5" s="1"/>
  <c r="K58" i="5" s="1"/>
  <c r="B35" i="5"/>
  <c r="C35" i="5"/>
  <c r="D35" i="5"/>
  <c r="E35" i="5"/>
  <c r="F35" i="5"/>
  <c r="G35" i="5"/>
  <c r="H35" i="5"/>
  <c r="I35" i="5"/>
  <c r="J35" i="5"/>
  <c r="K35" i="5"/>
  <c r="K36" i="5"/>
  <c r="K37" i="5"/>
  <c r="K38" i="5"/>
  <c r="K39" i="5"/>
  <c r="K40" i="5"/>
  <c r="K41" i="5"/>
  <c r="K42" i="5"/>
  <c r="K43" i="5"/>
  <c r="K44" i="5"/>
  <c r="F27" i="5" l="1"/>
  <c r="G27" i="5" s="1"/>
  <c r="H27" i="5" s="1"/>
  <c r="I27" i="5" s="1"/>
  <c r="J27" i="5" s="1"/>
  <c r="K27" i="5" s="1"/>
  <c r="K55" i="5" s="1"/>
  <c r="F26" i="5"/>
  <c r="E30" i="7"/>
  <c r="D58" i="7"/>
  <c r="E16" i="1"/>
  <c r="F16" i="1" s="1"/>
  <c r="G16" i="1" s="1"/>
  <c r="H16" i="1" s="1"/>
  <c r="I16" i="1" s="1"/>
  <c r="J16" i="1" s="1"/>
  <c r="K16" i="1" s="1"/>
  <c r="E15" i="1"/>
  <c r="D56" i="7"/>
  <c r="E28" i="7"/>
  <c r="E27" i="7"/>
  <c r="E28" i="3"/>
  <c r="F28" i="3" s="1"/>
  <c r="G28" i="3" s="1"/>
  <c r="H28" i="3" s="1"/>
  <c r="I28" i="3" s="1"/>
  <c r="J28" i="3" s="1"/>
  <c r="K28" i="3" s="1"/>
  <c r="K56" i="3" s="1"/>
  <c r="E27" i="3"/>
  <c r="C57" i="7"/>
  <c r="D29" i="7"/>
  <c r="D28" i="2"/>
  <c r="E28" i="5"/>
  <c r="F28" i="5" s="1"/>
  <c r="G28" i="5" s="1"/>
  <c r="H28" i="5" s="1"/>
  <c r="I28" i="5" s="1"/>
  <c r="J28" i="5" s="1"/>
  <c r="K28" i="5" s="1"/>
  <c r="K56" i="5" s="1"/>
  <c r="C58" i="7"/>
  <c r="E28" i="2" l="1"/>
  <c r="F28" i="2" s="1"/>
  <c r="G28" i="2" s="1"/>
  <c r="H28" i="2" s="1"/>
  <c r="I28" i="2" s="1"/>
  <c r="J28" i="2" s="1"/>
  <c r="K28" i="2" s="1"/>
  <c r="K56" i="2" s="1"/>
  <c r="E27" i="2"/>
  <c r="E29" i="7"/>
  <c r="D57" i="7"/>
  <c r="E56" i="7"/>
  <c r="F28" i="7"/>
  <c r="F27" i="3"/>
  <c r="G27" i="3" s="1"/>
  <c r="H27" i="3" s="1"/>
  <c r="I27" i="3" s="1"/>
  <c r="J27" i="3" s="1"/>
  <c r="K27" i="3" s="1"/>
  <c r="K55" i="3" s="1"/>
  <c r="F26" i="3"/>
  <c r="F26" i="7"/>
  <c r="E55" i="7"/>
  <c r="F27" i="7"/>
  <c r="F14" i="1"/>
  <c r="F15" i="1"/>
  <c r="G15" i="1" s="1"/>
  <c r="H15" i="1" s="1"/>
  <c r="I15" i="1" s="1"/>
  <c r="J15" i="1" s="1"/>
  <c r="K15" i="1" s="1"/>
  <c r="F30" i="7"/>
  <c r="E58" i="7"/>
  <c r="G25" i="5"/>
  <c r="G26" i="5"/>
  <c r="H26" i="5" s="1"/>
  <c r="I26" i="5" s="1"/>
  <c r="J26" i="5" s="1"/>
  <c r="K26" i="5" s="1"/>
  <c r="K54" i="5" s="1"/>
  <c r="G13" i="1" l="1"/>
  <c r="G14" i="1"/>
  <c r="H14" i="1" s="1"/>
  <c r="I14" i="1" s="1"/>
  <c r="J14" i="1" s="1"/>
  <c r="K14" i="1" s="1"/>
  <c r="G30" i="7"/>
  <c r="F58" i="7"/>
  <c r="G26" i="3"/>
  <c r="H26" i="3" s="1"/>
  <c r="I26" i="3" s="1"/>
  <c r="J26" i="3" s="1"/>
  <c r="K26" i="3" s="1"/>
  <c r="K54" i="3" s="1"/>
  <c r="G25" i="3"/>
  <c r="F56" i="7"/>
  <c r="G28" i="7"/>
  <c r="F29" i="7"/>
  <c r="E57" i="7"/>
  <c r="H25" i="5"/>
  <c r="I25" i="5" s="1"/>
  <c r="J25" i="5" s="1"/>
  <c r="K25" i="5" s="1"/>
  <c r="K53" i="5" s="1"/>
  <c r="H24" i="5"/>
  <c r="F55" i="7"/>
  <c r="G27" i="7"/>
  <c r="F27" i="2"/>
  <c r="G27" i="2" s="1"/>
  <c r="H27" i="2" s="1"/>
  <c r="I27" i="2" s="1"/>
  <c r="J27" i="2" s="1"/>
  <c r="K27" i="2" s="1"/>
  <c r="K55" i="2" s="1"/>
  <c r="F26" i="2"/>
  <c r="G25" i="7"/>
  <c r="F54" i="7"/>
  <c r="G26" i="7"/>
  <c r="H25" i="7" l="1"/>
  <c r="H24" i="7"/>
  <c r="G53" i="7"/>
  <c r="G55" i="7"/>
  <c r="H27" i="7"/>
  <c r="G54" i="7"/>
  <c r="H26" i="7"/>
  <c r="G56" i="7"/>
  <c r="H28" i="7"/>
  <c r="H25" i="3"/>
  <c r="I25" i="3" s="1"/>
  <c r="J25" i="3" s="1"/>
  <c r="K25" i="3" s="1"/>
  <c r="K53" i="3" s="1"/>
  <c r="H24" i="3"/>
  <c r="H30" i="7"/>
  <c r="G58" i="7"/>
  <c r="G26" i="2"/>
  <c r="H26" i="2" s="1"/>
  <c r="I26" i="2" s="1"/>
  <c r="J26" i="2" s="1"/>
  <c r="K26" i="2" s="1"/>
  <c r="K54" i="2" s="1"/>
  <c r="G25" i="2"/>
  <c r="I23" i="5"/>
  <c r="I24" i="5"/>
  <c r="J24" i="5" s="1"/>
  <c r="K24" i="5" s="1"/>
  <c r="K52" i="5" s="1"/>
  <c r="G29" i="7"/>
  <c r="F57" i="7"/>
  <c r="H13" i="1"/>
  <c r="I13" i="1" s="1"/>
  <c r="J13" i="1" s="1"/>
  <c r="K13" i="1" s="1"/>
  <c r="H12" i="1"/>
  <c r="I24" i="3" l="1"/>
  <c r="J24" i="3" s="1"/>
  <c r="K24" i="3" s="1"/>
  <c r="K52" i="3" s="1"/>
  <c r="I23" i="3"/>
  <c r="J22" i="5"/>
  <c r="J23" i="5"/>
  <c r="K23" i="5" s="1"/>
  <c r="K51" i="5" s="1"/>
  <c r="H29" i="7"/>
  <c r="G57" i="7"/>
  <c r="H24" i="2"/>
  <c r="H25" i="2"/>
  <c r="I25" i="2" s="1"/>
  <c r="J25" i="2" s="1"/>
  <c r="K25" i="2" s="1"/>
  <c r="K53" i="2" s="1"/>
  <c r="H56" i="7"/>
  <c r="I28" i="7"/>
  <c r="I30" i="7"/>
  <c r="H58" i="7"/>
  <c r="I27" i="7"/>
  <c r="H55" i="7"/>
  <c r="I23" i="7"/>
  <c r="H52" i="7"/>
  <c r="I24" i="7"/>
  <c r="H54" i="7"/>
  <c r="I26" i="7"/>
  <c r="I12" i="1"/>
  <c r="J12" i="1" s="1"/>
  <c r="K12" i="1" s="1"/>
  <c r="I11" i="1"/>
  <c r="I25" i="7"/>
  <c r="H53" i="7"/>
  <c r="J23" i="7" l="1"/>
  <c r="J22" i="7"/>
  <c r="I51" i="7"/>
  <c r="I54" i="7"/>
  <c r="J26" i="7"/>
  <c r="I29" i="7"/>
  <c r="H57" i="7"/>
  <c r="I52" i="7"/>
  <c r="J24" i="7"/>
  <c r="J27" i="7"/>
  <c r="I55" i="7"/>
  <c r="J30" i="7"/>
  <c r="I58" i="7"/>
  <c r="I24" i="2"/>
  <c r="J24" i="2" s="1"/>
  <c r="K24" i="2" s="1"/>
  <c r="K52" i="2" s="1"/>
  <c r="I23" i="2"/>
  <c r="K22" i="5"/>
  <c r="K50" i="5" s="1"/>
  <c r="K21" i="5"/>
  <c r="J25" i="7"/>
  <c r="I53" i="7"/>
  <c r="J23" i="3"/>
  <c r="K23" i="3" s="1"/>
  <c r="K51" i="3" s="1"/>
  <c r="J22" i="3"/>
  <c r="I56" i="7"/>
  <c r="J28" i="7"/>
  <c r="J10" i="1"/>
  <c r="J11" i="1"/>
  <c r="K11" i="1" s="1"/>
  <c r="K9" i="5" l="1"/>
  <c r="K10" i="5"/>
  <c r="K7" i="5" s="1"/>
  <c r="K49" i="5"/>
  <c r="G15" i="5" s="1"/>
  <c r="K30" i="7"/>
  <c r="K58" i="7" s="1"/>
  <c r="J58" i="7"/>
  <c r="J54" i="7"/>
  <c r="K26" i="7"/>
  <c r="K54" i="7" s="1"/>
  <c r="J53" i="7"/>
  <c r="K25" i="7"/>
  <c r="K53" i="7" s="1"/>
  <c r="J23" i="2"/>
  <c r="K23" i="2" s="1"/>
  <c r="K51" i="2" s="1"/>
  <c r="J22" i="2"/>
  <c r="J55" i="7"/>
  <c r="K27" i="7"/>
  <c r="K55" i="7" s="1"/>
  <c r="J29" i="7"/>
  <c r="I57" i="7"/>
  <c r="J52" i="7"/>
  <c r="K24" i="7"/>
  <c r="K52" i="7" s="1"/>
  <c r="K21" i="7"/>
  <c r="K49" i="7" s="1"/>
  <c r="J50" i="7"/>
  <c r="K22" i="7"/>
  <c r="K50" i="7" s="1"/>
  <c r="K9" i="1"/>
  <c r="K10" i="1"/>
  <c r="J56" i="7"/>
  <c r="K28" i="7"/>
  <c r="K56" i="7" s="1"/>
  <c r="K21" i="3"/>
  <c r="K22" i="3"/>
  <c r="K50" i="3" s="1"/>
  <c r="J51" i="7"/>
  <c r="K23" i="7"/>
  <c r="K51" i="7" s="1"/>
  <c r="K66" i="7" l="1"/>
  <c r="K80" i="7"/>
  <c r="K29" i="7"/>
  <c r="K57" i="7" s="1"/>
  <c r="J57" i="7"/>
  <c r="K21" i="2"/>
  <c r="K22" i="2"/>
  <c r="K50" i="2" s="1"/>
  <c r="K64" i="7"/>
  <c r="K78" i="7"/>
  <c r="K68" i="7"/>
  <c r="K82" i="7"/>
  <c r="K63" i="7"/>
  <c r="J64" i="7" s="1"/>
  <c r="K77" i="7"/>
  <c r="J78" i="7" s="1"/>
  <c r="H15" i="7"/>
  <c r="K49" i="3"/>
  <c r="G15" i="3" s="1"/>
  <c r="K10" i="3"/>
  <c r="K7" i="3" s="1"/>
  <c r="K9" i="3"/>
  <c r="K69" i="7"/>
  <c r="J70" i="7" s="1"/>
  <c r="K83" i="7"/>
  <c r="J84" i="7" s="1"/>
  <c r="K65" i="7"/>
  <c r="J66" i="7" s="1"/>
  <c r="K79" i="7"/>
  <c r="J80" i="7" s="1"/>
  <c r="K70" i="7"/>
  <c r="K84" i="7"/>
  <c r="K72" i="7"/>
  <c r="K86" i="7"/>
  <c r="K67" i="7"/>
  <c r="K81" i="7"/>
  <c r="K6" i="5"/>
  <c r="J83" i="7" l="1"/>
  <c r="I84" i="7" s="1"/>
  <c r="J79" i="7"/>
  <c r="I80" i="7" s="1"/>
  <c r="K9" i="2"/>
  <c r="K49" i="2"/>
  <c r="G15" i="2" s="1"/>
  <c r="K10" i="2"/>
  <c r="K7" i="2" s="1"/>
  <c r="K6" i="3"/>
  <c r="J69" i="7"/>
  <c r="I70" i="7" s="1"/>
  <c r="J82" i="7"/>
  <c r="I83" i="7" s="1"/>
  <c r="H84" i="7" s="1"/>
  <c r="I79" i="7"/>
  <c r="H80" i="7" s="1"/>
  <c r="J65" i="7"/>
  <c r="I66" i="7" s="1"/>
  <c r="K71" i="7"/>
  <c r="J72" i="7" s="1"/>
  <c r="K85" i="7"/>
  <c r="J86" i="7" s="1"/>
  <c r="J81" i="7"/>
  <c r="I82" i="7" s="1"/>
  <c r="H83" i="7" s="1"/>
  <c r="G84" i="7" s="1"/>
  <c r="J68" i="7"/>
  <c r="I69" i="7" s="1"/>
  <c r="H70" i="7" s="1"/>
  <c r="J67" i="7"/>
  <c r="I67" i="7" s="1"/>
  <c r="H67" i="7" l="1"/>
  <c r="J85" i="7"/>
  <c r="K6" i="2"/>
  <c r="I65" i="7"/>
  <c r="H66" i="7" s="1"/>
  <c r="G67" i="7" s="1"/>
  <c r="I68" i="7"/>
  <c r="H69" i="7" s="1"/>
  <c r="G70" i="7" s="1"/>
  <c r="J71" i="7"/>
  <c r="I81" i="7"/>
  <c r="H82" i="7" s="1"/>
  <c r="G83" i="7" s="1"/>
  <c r="F84" i="7" s="1"/>
  <c r="H81" i="7" l="1"/>
  <c r="I72" i="7"/>
  <c r="I71" i="7"/>
  <c r="H68" i="7"/>
  <c r="I86" i="7"/>
  <c r="I85" i="7"/>
  <c r="H86" i="7" l="1"/>
  <c r="H85" i="7"/>
  <c r="G69" i="7"/>
  <c r="F70" i="7" s="1"/>
  <c r="G68" i="7"/>
  <c r="H72" i="7"/>
  <c r="H71" i="7"/>
  <c r="G82" i="7"/>
  <c r="F83" i="7" s="1"/>
  <c r="E84" i="7" s="1"/>
  <c r="G81" i="7"/>
  <c r="F82" i="7" l="1"/>
  <c r="E83" i="7" s="1"/>
  <c r="D84" i="7" s="1"/>
  <c r="F69" i="7"/>
  <c r="E70" i="7" s="1"/>
  <c r="F68" i="7"/>
  <c r="G72" i="7"/>
  <c r="G71" i="7"/>
  <c r="G86" i="7"/>
  <c r="G85" i="7"/>
  <c r="E69" i="7" l="1"/>
  <c r="D70" i="7" s="1"/>
  <c r="F86" i="7"/>
  <c r="F85" i="7"/>
  <c r="F72" i="7"/>
  <c r="F71" i="7"/>
  <c r="E86" i="7" l="1"/>
  <c r="E85" i="7"/>
  <c r="E72" i="7"/>
  <c r="E71" i="7"/>
  <c r="D86" i="7" l="1"/>
  <c r="D85" i="7"/>
  <c r="D72" i="7"/>
  <c r="D71" i="7"/>
  <c r="C86" i="7" l="1"/>
  <c r="C85" i="7"/>
  <c r="B86" i="7" s="1"/>
  <c r="H17" i="7" s="1"/>
  <c r="C72" i="7"/>
  <c r="C71" i="7"/>
  <c r="B72" i="7" l="1"/>
</calcChain>
</file>

<file path=xl/sharedStrings.xml><?xml version="1.0" encoding="utf-8"?>
<sst xmlns="http://schemas.openxmlformats.org/spreadsheetml/2006/main" count="203" uniqueCount="76">
  <si>
    <t>Option1.XLS</t>
  </si>
  <si>
    <t>Adapted JR Binomial Distribution</t>
  </si>
  <si>
    <t>nstep</t>
  </si>
  <si>
    <t>step size</t>
  </si>
  <si>
    <t>p</t>
  </si>
  <si>
    <t># of up steps</t>
  </si>
  <si>
    <t xml:space="preserve"> End price</t>
  </si>
  <si>
    <t># paths</t>
  </si>
  <si>
    <t>Binomial probs</t>
  </si>
  <si>
    <t>mean</t>
  </si>
  <si>
    <t>st dev</t>
  </si>
  <si>
    <t>JR European Option Value</t>
  </si>
  <si>
    <t>Share price (S)</t>
  </si>
  <si>
    <t>Jarrow &amp; Rudd</t>
  </si>
  <si>
    <t>BS</t>
  </si>
  <si>
    <t>JR</t>
  </si>
  <si>
    <t>Exercise price (X)</t>
  </si>
  <si>
    <t>Int rate-cont (r)</t>
  </si>
  <si>
    <r>
      <t>d</t>
    </r>
    <r>
      <rPr>
        <sz val="10"/>
        <rFont val="Times New Roman"/>
        <family val="1"/>
      </rPr>
      <t>t</t>
    </r>
  </si>
  <si>
    <t>M</t>
  </si>
  <si>
    <t>erdt</t>
  </si>
  <si>
    <t>V</t>
  </si>
  <si>
    <t>Dividend yield - cont (q)</t>
  </si>
  <si>
    <t>u</t>
  </si>
  <si>
    <t>M1</t>
  </si>
  <si>
    <t>Time now (0, years)</t>
  </si>
  <si>
    <t>d</t>
  </si>
  <si>
    <t>M2</t>
  </si>
  <si>
    <t>Time maturity (T, years)</t>
  </si>
  <si>
    <r>
      <t>Option life (</t>
    </r>
    <r>
      <rPr>
        <sz val="10"/>
        <rFont val="Symbol"/>
        <family val="1"/>
        <charset val="2"/>
      </rPr>
      <t>t</t>
    </r>
    <r>
      <rPr>
        <sz val="10"/>
        <rFont val="Times New Roman"/>
      </rPr>
      <t>, years)</t>
    </r>
  </si>
  <si>
    <t>p*</t>
  </si>
  <si>
    <r>
      <t>Volatility (</t>
    </r>
    <r>
      <rPr>
        <sz val="10"/>
        <rFont val="Symbol"/>
        <family val="1"/>
        <charset val="2"/>
      </rPr>
      <t>s</t>
    </r>
    <r>
      <rPr>
        <sz val="10"/>
        <rFont val="Times New Roman"/>
      </rPr>
      <t>)</t>
    </r>
  </si>
  <si>
    <t>Steps in tree (n)</t>
  </si>
  <si>
    <t>JR value</t>
  </si>
  <si>
    <t>iopt</t>
  </si>
  <si>
    <t>option type</t>
  </si>
  <si>
    <t>BS value</t>
  </si>
  <si>
    <t>Share</t>
  </si>
  <si>
    <t>via fn</t>
  </si>
  <si>
    <t>Nodal Probabilities</t>
  </si>
  <si>
    <t>European Option Payoff</t>
  </si>
  <si>
    <t>CRR European Option Value</t>
  </si>
  <si>
    <t>Cox, Ross &amp; Rubinstein</t>
  </si>
  <si>
    <t>CRR</t>
  </si>
  <si>
    <t>ermqdt</t>
  </si>
  <si>
    <t>CRR value</t>
  </si>
  <si>
    <t>Theory behind Binomial Trees</t>
  </si>
  <si>
    <t>Black-Scholes</t>
  </si>
  <si>
    <t>p'</t>
  </si>
  <si>
    <t>a</t>
  </si>
  <si>
    <t>d1</t>
  </si>
  <si>
    <r>
      <t xml:space="preserve">F </t>
    </r>
    <r>
      <rPr>
        <sz val="10"/>
        <rFont val="Times New Roman"/>
      </rPr>
      <t>[a:n,p']</t>
    </r>
  </si>
  <si>
    <t>N (d1)</t>
  </si>
  <si>
    <t>CRR Euro Value</t>
  </si>
  <si>
    <t>d2</t>
  </si>
  <si>
    <r>
      <t xml:space="preserve">F </t>
    </r>
    <r>
      <rPr>
        <sz val="10"/>
        <rFont val="Times New Roman"/>
      </rPr>
      <t>[a:n,p]</t>
    </r>
  </si>
  <si>
    <t>N (d2)</t>
  </si>
  <si>
    <t>BS Call Value</t>
  </si>
  <si>
    <t>LR European Option Value</t>
  </si>
  <si>
    <t>Leisen &amp; Reimer</t>
  </si>
  <si>
    <t>LR</t>
  </si>
  <si>
    <t>delta</t>
  </si>
  <si>
    <t>gamma</t>
  </si>
  <si>
    <t>LR value</t>
  </si>
  <si>
    <t>rho</t>
  </si>
  <si>
    <t>theta</t>
  </si>
  <si>
    <t>vega</t>
  </si>
  <si>
    <t>Euro Binomial Tree</t>
  </si>
  <si>
    <t>CRR tree</t>
  </si>
  <si>
    <t>LR tree</t>
  </si>
  <si>
    <t>steps</t>
  </si>
  <si>
    <t>CRR American Binomial Tree</t>
  </si>
  <si>
    <t>CRR Amer Value</t>
  </si>
  <si>
    <t>Option Payoff</t>
  </si>
  <si>
    <t>European Option Value</t>
  </si>
  <si>
    <t>American Option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</si>
</sst>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0.0000"/>
    <numFmt numFmtId="173" formatCode="General_)"/>
    <numFmt numFmtId="174" formatCode="0.000"/>
    <numFmt numFmtId="179" formatCode="0.0"/>
  </numFmts>
  <fonts count="6" x14ac:knownFonts="1">
    <font>
      <sz val="10"/>
      <name val="Times New Roman"/>
    </font>
    <font>
      <b/>
      <sz val="10"/>
      <name val="Times New Roman"/>
    </font>
    <font>
      <sz val="10"/>
      <name val="Times New Roman"/>
      <family val="1"/>
    </font>
    <font>
      <sz val="10"/>
      <name val="Symbol"/>
      <family val="1"/>
      <charset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3" fontId="4" fillId="0" borderId="0"/>
  </cellStyleXfs>
  <cellXfs count="32">
    <xf numFmtId="0" fontId="0" fillId="0" borderId="0" xfId="0"/>
    <xf numFmtId="0" fontId="1" fillId="0" borderId="0" xfId="0" applyFont="1"/>
    <xf numFmtId="17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2" fontId="1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73" fontId="3" fillId="0" borderId="0" xfId="1" quotePrefix="1" applyFont="1" applyAlignment="1">
      <alignment horizontal="left"/>
    </xf>
    <xf numFmtId="10" fontId="1" fillId="0" borderId="0" xfId="0" applyNumberFormat="1" applyFont="1"/>
    <xf numFmtId="173" fontId="4" fillId="0" borderId="0" xfId="1" quotePrefix="1" applyFont="1" applyAlignment="1" applyProtection="1">
      <alignment horizontal="left"/>
    </xf>
    <xf numFmtId="173" fontId="4" fillId="0" borderId="0" xfId="1" applyFont="1" applyAlignment="1" applyProtection="1">
      <alignment horizontal="left"/>
    </xf>
    <xf numFmtId="172" fontId="1" fillId="0" borderId="0" xfId="0" applyNumberFormat="1" applyFont="1"/>
    <xf numFmtId="172" fontId="2" fillId="0" borderId="0" xfId="0" applyNumberFormat="1" applyFont="1"/>
    <xf numFmtId="1" fontId="2" fillId="0" borderId="0" xfId="1" applyNumberFormat="1" applyFont="1" applyProtection="1"/>
    <xf numFmtId="1" fontId="1" fillId="0" borderId="0" xfId="1" applyNumberFormat="1" applyFont="1" applyProtection="1"/>
    <xf numFmtId="0" fontId="3" fillId="0" borderId="0" xfId="0" quotePrefix="1" applyFont="1" applyAlignment="1">
      <alignment horizontal="left"/>
    </xf>
    <xf numFmtId="0" fontId="2" fillId="0" borderId="0" xfId="0" applyFont="1"/>
    <xf numFmtId="2" fontId="2" fillId="0" borderId="0" xfId="0" applyNumberFormat="1" applyFont="1"/>
    <xf numFmtId="174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74" fontId="1" fillId="0" borderId="0" xfId="0" applyNumberFormat="1" applyFont="1"/>
    <xf numFmtId="174" fontId="2" fillId="0" borderId="0" xfId="0" applyNumberFormat="1" applyFont="1"/>
    <xf numFmtId="174" fontId="5" fillId="0" borderId="0" xfId="0" applyNumberFormat="1" applyFont="1"/>
    <xf numFmtId="179" fontId="2" fillId="0" borderId="0" xfId="0" applyNumberFormat="1" applyFont="1"/>
    <xf numFmtId="179" fontId="0" fillId="0" borderId="0" xfId="0" applyNumberFormat="1"/>
    <xf numFmtId="0" fontId="5" fillId="0" borderId="0" xfId="0" applyFont="1"/>
    <xf numFmtId="174" fontId="5" fillId="0" borderId="0" xfId="0" quotePrefix="1" applyNumberFormat="1" applyFont="1"/>
    <xf numFmtId="2" fontId="0" fillId="0" borderId="0" xfId="0" quotePrefix="1" applyNumberFormat="1"/>
  </cellXfs>
  <cellStyles count="2">
    <cellStyle name="Normal" xfId="0" builtinId="0"/>
    <cellStyle name="Normal_Call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Convergence of CRR formula</a:t>
            </a:r>
          </a:p>
        </c:rich>
      </c:tx>
      <c:layout>
        <c:manualLayout>
          <c:xMode val="edge"/>
          <c:yMode val="edge"/>
          <c:x val="0.39379310344827584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103448275862071E-2"/>
          <c:y val="0.14366515837104071"/>
          <c:w val="0.81862068965517243"/>
          <c:h val="0.71040723981900455"/>
        </c:manualLayout>
      </c:layout>
      <c:scatterChart>
        <c:scatterStyle val="lineMarker"/>
        <c:varyColors val="0"/>
        <c:ser>
          <c:idx val="0"/>
          <c:order val="0"/>
          <c:tx>
            <c:strRef>
              <c:f>Compare!$F$9</c:f>
              <c:strCache>
                <c:ptCount val="1"/>
                <c:pt idx="0">
                  <c:v>BS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Compare!$E$10:$E$17</c:f>
              <c:numCache>
                <c:formatCode>General</c:formatCode>
                <c:ptCount val="8"/>
                <c:pt idx="0">
                  <c:v>16</c:v>
                </c:pt>
                <c:pt idx="1">
                  <c:v>32</c:v>
                </c:pt>
                <c:pt idx="2">
                  <c:v>48</c:v>
                </c:pt>
                <c:pt idx="3">
                  <c:v>64</c:v>
                </c:pt>
                <c:pt idx="4">
                  <c:v>80</c:v>
                </c:pt>
                <c:pt idx="5">
                  <c:v>96</c:v>
                </c:pt>
                <c:pt idx="6">
                  <c:v>112</c:v>
                </c:pt>
                <c:pt idx="7">
                  <c:v>128</c:v>
                </c:pt>
              </c:numCache>
            </c:numRef>
          </c:xVal>
          <c:yVal>
            <c:numRef>
              <c:f>Compare!$F$10:$F$17</c:f>
              <c:numCache>
                <c:formatCode>0.0000</c:formatCode>
                <c:ptCount val="8"/>
                <c:pt idx="0">
                  <c:v>9.7257629574651006</c:v>
                </c:pt>
                <c:pt idx="1">
                  <c:v>9.7257629574651006</c:v>
                </c:pt>
                <c:pt idx="2">
                  <c:v>9.7257629574651006</c:v>
                </c:pt>
                <c:pt idx="3">
                  <c:v>9.7257629574651006</c:v>
                </c:pt>
                <c:pt idx="4">
                  <c:v>9.7257629574651006</c:v>
                </c:pt>
                <c:pt idx="5">
                  <c:v>9.7257629574651006</c:v>
                </c:pt>
                <c:pt idx="6">
                  <c:v>9.7257629574651006</c:v>
                </c:pt>
                <c:pt idx="7">
                  <c:v>9.7257629574651006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81-4375-84D7-4710C8B8B4E3}"/>
            </c:ext>
          </c:extLst>
        </c:ser>
        <c:ser>
          <c:idx val="1"/>
          <c:order val="1"/>
          <c:tx>
            <c:strRef>
              <c:f>Compare!$G$9</c:f>
              <c:strCache>
                <c:ptCount val="1"/>
                <c:pt idx="0">
                  <c:v>CRR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Compare!$E$10:$E$17</c:f>
              <c:numCache>
                <c:formatCode>General</c:formatCode>
                <c:ptCount val="8"/>
                <c:pt idx="0">
                  <c:v>16</c:v>
                </c:pt>
                <c:pt idx="1">
                  <c:v>32</c:v>
                </c:pt>
                <c:pt idx="2">
                  <c:v>48</c:v>
                </c:pt>
                <c:pt idx="3">
                  <c:v>64</c:v>
                </c:pt>
                <c:pt idx="4">
                  <c:v>80</c:v>
                </c:pt>
                <c:pt idx="5">
                  <c:v>96</c:v>
                </c:pt>
                <c:pt idx="6">
                  <c:v>112</c:v>
                </c:pt>
                <c:pt idx="7">
                  <c:v>128</c:v>
                </c:pt>
              </c:numCache>
            </c:numRef>
          </c:xVal>
          <c:yVal>
            <c:numRef>
              <c:f>Compare!$G$10:$G$17</c:f>
              <c:numCache>
                <c:formatCode>0.0000</c:formatCode>
                <c:ptCount val="8"/>
                <c:pt idx="0">
                  <c:v>9.7709292801831165</c:v>
                </c:pt>
                <c:pt idx="1">
                  <c:v>9.6954333191186883</c:v>
                </c:pt>
                <c:pt idx="2">
                  <c:v>9.7366680290354211</c:v>
                </c:pt>
                <c:pt idx="3">
                  <c:v>9.742689686043521</c:v>
                </c:pt>
                <c:pt idx="4">
                  <c:v>9.7382483432089799</c:v>
                </c:pt>
                <c:pt idx="5">
                  <c:v>9.7303384607986221</c:v>
                </c:pt>
                <c:pt idx="6">
                  <c:v>9.7214037771644009</c:v>
                </c:pt>
                <c:pt idx="7">
                  <c:v>9.7198796085700696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81-4375-84D7-4710C8B8B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811807"/>
        <c:axId val="1"/>
      </c:scatterChart>
      <c:valAx>
        <c:axId val="702811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Binomial steps</a:t>
                </a:r>
              </a:p>
            </c:rich>
          </c:tx>
          <c:layout>
            <c:manualLayout>
              <c:xMode val="edge"/>
              <c:yMode val="edge"/>
              <c:x val="0.43862068965517242"/>
              <c:y val="0.908371040723981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Option value</a:t>
                </a:r>
              </a:p>
            </c:rich>
          </c:tx>
          <c:layout>
            <c:manualLayout>
              <c:xMode val="edge"/>
              <c:yMode val="edge"/>
              <c:x val="1.1724137931034483E-2"/>
              <c:y val="0.4343891402714932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02811807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4227586206896552"/>
          <c:y val="0.95588235294117652"/>
          <c:w val="0.12482758620689655"/>
          <c:h val="3.733031674208144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pageSetup paperSize="9" orientation="landscape" horizontalDpi="300" verticalDpi="300" r:id="rId1"/>
  <headerFooter alignWithMargins="0">
    <oddHeader>&amp;A</oddHeader>
    <oddFooter>Page &amp;P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713FB2-8D51-4C46-95D9-56475FDABD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tabSelected="1" workbookViewId="0"/>
  </sheetViews>
  <sheetFormatPr defaultRowHeight="13" x14ac:dyDescent="0.3"/>
  <sheetData>
    <row r="1" spans="1:11" x14ac:dyDescent="0.3">
      <c r="A1" s="5" t="s">
        <v>0</v>
      </c>
    </row>
    <row r="2" spans="1:11" x14ac:dyDescent="0.3">
      <c r="A2" s="5" t="s">
        <v>1</v>
      </c>
    </row>
    <row r="4" spans="1:11" x14ac:dyDescent="0.3">
      <c r="B4" t="s">
        <v>2</v>
      </c>
      <c r="C4" s="19">
        <v>9</v>
      </c>
    </row>
    <row r="5" spans="1:11" x14ac:dyDescent="0.3">
      <c r="B5" t="s">
        <v>3</v>
      </c>
      <c r="C5" s="4">
        <f>1/SQRT(C4)</f>
        <v>0.33333333333333331</v>
      </c>
    </row>
    <row r="6" spans="1:11" x14ac:dyDescent="0.3">
      <c r="B6" t="s">
        <v>4</v>
      </c>
      <c r="C6" s="4">
        <v>0.5</v>
      </c>
    </row>
    <row r="8" spans="1:11" x14ac:dyDescent="0.3">
      <c r="B8">
        <v>0</v>
      </c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>
        <v>8</v>
      </c>
      <c r="K8">
        <v>9</v>
      </c>
    </row>
    <row r="9" spans="1:11" x14ac:dyDescent="0.3">
      <c r="A9">
        <v>9</v>
      </c>
      <c r="K9" s="20">
        <f t="shared" ref="K9:K18" ca="1" si="0">IF($A9&lt;K$8,OFFSET(K9,0,-1)-$C$5,OFFSET(K9,1,-1)+$C$5)</f>
        <v>3</v>
      </c>
    </row>
    <row r="10" spans="1:11" x14ac:dyDescent="0.3">
      <c r="A10">
        <v>8</v>
      </c>
      <c r="J10" s="20">
        <f t="shared" ref="J10:J18" ca="1" si="1">IF($A10&lt;J$8,OFFSET(J10,0,-1)-$C$5,OFFSET(J10,1,-1)+$C$5)</f>
        <v>2.6666666666666665</v>
      </c>
      <c r="K10" s="20">
        <f t="shared" ca="1" si="0"/>
        <v>2.333333333333333</v>
      </c>
    </row>
    <row r="11" spans="1:11" x14ac:dyDescent="0.3">
      <c r="A11">
        <v>7</v>
      </c>
      <c r="I11" s="20">
        <f t="shared" ref="I11:I18" ca="1" si="2">IF($A11&lt;I$8,OFFSET(I11,0,-1)-$C$5,OFFSET(I11,1,-1)+$C$5)</f>
        <v>2.333333333333333</v>
      </c>
      <c r="J11" s="20">
        <f t="shared" ca="1" si="1"/>
        <v>1.9999999999999998</v>
      </c>
      <c r="K11" s="20">
        <f t="shared" ca="1" si="0"/>
        <v>1.6666666666666665</v>
      </c>
    </row>
    <row r="12" spans="1:11" x14ac:dyDescent="0.3">
      <c r="A12">
        <v>6</v>
      </c>
      <c r="H12" s="20">
        <f t="shared" ref="H12:H18" ca="1" si="3">IF($A12&lt;H$8,OFFSET(H12,0,-1)-$C$5,OFFSET(H12,1,-1)+$C$5)</f>
        <v>1.9999999999999998</v>
      </c>
      <c r="I12" s="20">
        <f t="shared" ca="1" si="2"/>
        <v>1.6666666666666665</v>
      </c>
      <c r="J12" s="20">
        <f t="shared" ca="1" si="1"/>
        <v>1.3333333333333333</v>
      </c>
      <c r="K12" s="20">
        <f t="shared" ca="1" si="0"/>
        <v>1</v>
      </c>
    </row>
    <row r="13" spans="1:11" x14ac:dyDescent="0.3">
      <c r="A13">
        <v>5</v>
      </c>
      <c r="G13" s="20">
        <f t="shared" ref="G13:G18" ca="1" si="4">IF($A13&lt;G$8,OFFSET(G13,0,-1)-$C$5,OFFSET(G13,1,-1)+$C$5)</f>
        <v>1.6666666666666665</v>
      </c>
      <c r="H13" s="20">
        <f t="shared" ca="1" si="3"/>
        <v>1.3333333333333333</v>
      </c>
      <c r="I13" s="20">
        <f t="shared" ca="1" si="2"/>
        <v>1</v>
      </c>
      <c r="J13" s="20">
        <f t="shared" ca="1" si="1"/>
        <v>0.66666666666666674</v>
      </c>
      <c r="K13" s="20">
        <f t="shared" ca="1" si="0"/>
        <v>0.33333333333333343</v>
      </c>
    </row>
    <row r="14" spans="1:11" x14ac:dyDescent="0.3">
      <c r="A14">
        <v>4</v>
      </c>
      <c r="F14" s="20">
        <f t="shared" ref="F14:F18" ca="1" si="5">IF($A14&lt;F$8,OFFSET(F14,0,-1)-$C$5,OFFSET(F14,1,-1)+$C$5)</f>
        <v>1.3333333333333333</v>
      </c>
      <c r="G14" s="20">
        <f t="shared" ca="1" si="4"/>
        <v>1</v>
      </c>
      <c r="H14" s="20">
        <f t="shared" ca="1" si="3"/>
        <v>0.66666666666666674</v>
      </c>
      <c r="I14" s="20">
        <f t="shared" ca="1" si="2"/>
        <v>0.33333333333333343</v>
      </c>
      <c r="J14" s="20">
        <f t="shared" ca="1" si="1"/>
        <v>1.1102230246251565E-16</v>
      </c>
      <c r="K14" s="20">
        <f t="shared" ca="1" si="0"/>
        <v>-0.3333333333333332</v>
      </c>
    </row>
    <row r="15" spans="1:11" x14ac:dyDescent="0.3">
      <c r="A15">
        <v>3</v>
      </c>
      <c r="E15" s="20">
        <f t="shared" ref="E15:E18" ca="1" si="6">IF($A15&lt;E$8,OFFSET(E15,0,-1)-$C$5,OFFSET(E15,1,-1)+$C$5)</f>
        <v>1</v>
      </c>
      <c r="F15" s="20">
        <f t="shared" ca="1" si="5"/>
        <v>0.66666666666666674</v>
      </c>
      <c r="G15" s="20">
        <f t="shared" ca="1" si="4"/>
        <v>0.33333333333333343</v>
      </c>
      <c r="H15" s="20">
        <f t="shared" ca="1" si="3"/>
        <v>1.1102230246251565E-16</v>
      </c>
      <c r="I15" s="20">
        <f t="shared" ca="1" si="2"/>
        <v>-0.3333333333333332</v>
      </c>
      <c r="J15" s="20">
        <f t="shared" ca="1" si="1"/>
        <v>-0.66666666666666652</v>
      </c>
      <c r="K15" s="20">
        <f t="shared" ca="1" si="0"/>
        <v>-0.99999999999999978</v>
      </c>
    </row>
    <row r="16" spans="1:11" x14ac:dyDescent="0.3">
      <c r="A16">
        <v>2</v>
      </c>
      <c r="D16" s="20">
        <f t="shared" ref="D16:D18" ca="1" si="7">IF($A16&lt;D$8,OFFSET(D16,0,-1)-$C$5,OFFSET(D16,1,-1)+$C$5)</f>
        <v>0.66666666666666663</v>
      </c>
      <c r="E16" s="20">
        <f t="shared" ca="1" si="6"/>
        <v>0.33333333333333331</v>
      </c>
      <c r="F16" s="20">
        <f t="shared" ca="1" si="5"/>
        <v>0</v>
      </c>
      <c r="G16" s="20">
        <f t="shared" ca="1" si="4"/>
        <v>-0.33333333333333331</v>
      </c>
      <c r="H16" s="20">
        <f t="shared" ca="1" si="3"/>
        <v>-0.66666666666666663</v>
      </c>
      <c r="I16" s="20">
        <f t="shared" ca="1" si="2"/>
        <v>-1</v>
      </c>
      <c r="J16" s="20">
        <f t="shared" ca="1" si="1"/>
        <v>-1.3333333333333333</v>
      </c>
      <c r="K16" s="20">
        <f t="shared" ca="1" si="0"/>
        <v>-1.6666666666666665</v>
      </c>
    </row>
    <row r="17" spans="1:11" x14ac:dyDescent="0.3">
      <c r="A17">
        <v>1</v>
      </c>
      <c r="C17" s="20">
        <f t="shared" ref="C17:C18" ca="1" si="8">IF($A17&lt;C$8,OFFSET(C17,0,-1)-$C$5,OFFSET(C17,1,-1)+$C$5)</f>
        <v>0.33333333333333331</v>
      </c>
      <c r="D17" s="20">
        <f t="shared" ca="1" si="7"/>
        <v>0</v>
      </c>
      <c r="E17" s="20">
        <f t="shared" ca="1" si="6"/>
        <v>-0.33333333333333331</v>
      </c>
      <c r="F17" s="20">
        <f t="shared" ca="1" si="5"/>
        <v>-0.66666666666666663</v>
      </c>
      <c r="G17" s="20">
        <f t="shared" ca="1" si="4"/>
        <v>-1</v>
      </c>
      <c r="H17" s="20">
        <f t="shared" ca="1" si="3"/>
        <v>-1.3333333333333333</v>
      </c>
      <c r="I17" s="20">
        <f t="shared" ca="1" si="2"/>
        <v>-1.6666666666666665</v>
      </c>
      <c r="J17" s="20">
        <f t="shared" ca="1" si="1"/>
        <v>-1.9999999999999998</v>
      </c>
      <c r="K17" s="20">
        <f t="shared" ca="1" si="0"/>
        <v>-2.333333333333333</v>
      </c>
    </row>
    <row r="18" spans="1:11" x14ac:dyDescent="0.3">
      <c r="A18">
        <v>0</v>
      </c>
      <c r="B18" s="20">
        <v>0</v>
      </c>
      <c r="C18" s="7">
        <f t="shared" ca="1" si="8"/>
        <v>-0.33333333333333331</v>
      </c>
      <c r="D18" s="20">
        <f t="shared" ca="1" si="7"/>
        <v>-0.66666666666666663</v>
      </c>
      <c r="E18" s="20">
        <f t="shared" ca="1" si="6"/>
        <v>-1</v>
      </c>
      <c r="F18" s="20">
        <f t="shared" ca="1" si="5"/>
        <v>-1.3333333333333333</v>
      </c>
      <c r="G18" s="20">
        <f t="shared" ca="1" si="4"/>
        <v>-1.6666666666666665</v>
      </c>
      <c r="H18" s="20">
        <f t="shared" ca="1" si="3"/>
        <v>-1.9999999999999998</v>
      </c>
      <c r="I18" s="20">
        <f t="shared" ca="1" si="2"/>
        <v>-2.333333333333333</v>
      </c>
      <c r="J18" s="20">
        <f t="shared" ca="1" si="1"/>
        <v>-2.6666666666666665</v>
      </c>
      <c r="K18" s="20">
        <f t="shared" ca="1" si="0"/>
        <v>-3</v>
      </c>
    </row>
    <row r="20" spans="1:11" x14ac:dyDescent="0.3">
      <c r="C20" s="22" t="s">
        <v>5</v>
      </c>
      <c r="E20" s="23" t="s">
        <v>6</v>
      </c>
      <c r="G20" s="22" t="s">
        <v>7</v>
      </c>
      <c r="I20" s="23" t="s">
        <v>8</v>
      </c>
    </row>
    <row r="22" spans="1:11" x14ac:dyDescent="0.3">
      <c r="C22">
        <v>9</v>
      </c>
      <c r="E22" s="4">
        <f t="shared" ref="E22:E31" si="9">(2*C22-$C$4)/SQRT($C$4)</f>
        <v>3</v>
      </c>
      <c r="G22" s="1">
        <f t="shared" ref="G22:G31" si="10">COMBIN($C$4,C22)</f>
        <v>1</v>
      </c>
      <c r="I22" s="24">
        <f t="shared" ref="I22:I31" si="11">G22*$C$6^$C$4</f>
        <v>1.953125E-3</v>
      </c>
    </row>
    <row r="23" spans="1:11" x14ac:dyDescent="0.3">
      <c r="C23">
        <v>8</v>
      </c>
      <c r="E23" s="4">
        <f t="shared" si="9"/>
        <v>2.3333333333333335</v>
      </c>
      <c r="G23">
        <f t="shared" si="10"/>
        <v>9</v>
      </c>
      <c r="I23" s="25">
        <f t="shared" si="11"/>
        <v>1.7578125E-2</v>
      </c>
    </row>
    <row r="24" spans="1:11" x14ac:dyDescent="0.3">
      <c r="C24">
        <v>7</v>
      </c>
      <c r="E24" s="4">
        <f t="shared" si="9"/>
        <v>1.6666666666666667</v>
      </c>
      <c r="G24">
        <f t="shared" si="10"/>
        <v>36</v>
      </c>
      <c r="I24" s="25">
        <f t="shared" si="11"/>
        <v>7.03125E-2</v>
      </c>
    </row>
    <row r="25" spans="1:11" x14ac:dyDescent="0.3">
      <c r="C25">
        <v>6</v>
      </c>
      <c r="E25" s="4">
        <f t="shared" si="9"/>
        <v>1</v>
      </c>
      <c r="G25">
        <f t="shared" si="10"/>
        <v>83.999999999999986</v>
      </c>
      <c r="I25" s="25">
        <f t="shared" si="11"/>
        <v>0.16406249999999997</v>
      </c>
    </row>
    <row r="26" spans="1:11" x14ac:dyDescent="0.3">
      <c r="C26">
        <v>5</v>
      </c>
      <c r="E26" s="4">
        <f t="shared" si="9"/>
        <v>0.33333333333333331</v>
      </c>
      <c r="G26">
        <f t="shared" si="10"/>
        <v>126</v>
      </c>
      <c r="I26" s="25">
        <f t="shared" si="11"/>
        <v>0.24609375</v>
      </c>
    </row>
    <row r="27" spans="1:11" x14ac:dyDescent="0.3">
      <c r="C27">
        <v>4</v>
      </c>
      <c r="E27" s="4">
        <f t="shared" si="9"/>
        <v>-0.33333333333333331</v>
      </c>
      <c r="G27">
        <f t="shared" si="10"/>
        <v>126</v>
      </c>
      <c r="I27" s="25">
        <f t="shared" si="11"/>
        <v>0.24609375</v>
      </c>
    </row>
    <row r="28" spans="1:11" x14ac:dyDescent="0.3">
      <c r="C28">
        <v>3</v>
      </c>
      <c r="E28" s="4">
        <f t="shared" si="9"/>
        <v>-1</v>
      </c>
      <c r="G28">
        <f t="shared" si="10"/>
        <v>83.999999999999986</v>
      </c>
      <c r="I28" s="25">
        <f t="shared" si="11"/>
        <v>0.16406249999999997</v>
      </c>
    </row>
    <row r="29" spans="1:11" x14ac:dyDescent="0.3">
      <c r="C29">
        <v>2</v>
      </c>
      <c r="E29" s="4">
        <f t="shared" si="9"/>
        <v>-1.6666666666666667</v>
      </c>
      <c r="G29">
        <f t="shared" si="10"/>
        <v>36</v>
      </c>
      <c r="I29" s="25">
        <f t="shared" si="11"/>
        <v>7.03125E-2</v>
      </c>
    </row>
    <row r="30" spans="1:11" x14ac:dyDescent="0.3">
      <c r="C30">
        <v>1</v>
      </c>
      <c r="E30" s="4">
        <f t="shared" si="9"/>
        <v>-2.3333333333333335</v>
      </c>
      <c r="G30">
        <f t="shared" si="10"/>
        <v>9</v>
      </c>
      <c r="I30" s="25">
        <f t="shared" si="11"/>
        <v>1.7578125E-2</v>
      </c>
    </row>
    <row r="31" spans="1:11" x14ac:dyDescent="0.3">
      <c r="C31">
        <v>0</v>
      </c>
      <c r="E31" s="4">
        <f t="shared" si="9"/>
        <v>-3</v>
      </c>
      <c r="G31">
        <f t="shared" si="10"/>
        <v>1</v>
      </c>
      <c r="I31" s="25">
        <f t="shared" si="11"/>
        <v>1.953125E-3</v>
      </c>
    </row>
    <row r="33" spans="8:9" x14ac:dyDescent="0.3">
      <c r="H33" s="1" t="s">
        <v>9</v>
      </c>
      <c r="I33" s="21">
        <f>SUMPRODUCT(E22:E31,I22:I31)</f>
        <v>2.7755575615628914E-17</v>
      </c>
    </row>
    <row r="34" spans="8:9" x14ac:dyDescent="0.3">
      <c r="H34" s="1" t="s">
        <v>10</v>
      </c>
      <c r="I34" s="21">
        <f>SQRT(SUMPRODUCT(I22:I31,(E22:E31)^2)-I33^2)</f>
        <v>1</v>
      </c>
    </row>
  </sheetData>
  <printOptions headings="1" gridLines="1"/>
  <pageMargins left="0.75" right="0.75" top="1" bottom="1" header="0.5" footer="0.5"/>
  <pageSetup paperSize="9" scale="95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9"/>
  <sheetViews>
    <sheetView workbookViewId="0"/>
  </sheetViews>
  <sheetFormatPr defaultRowHeight="13" x14ac:dyDescent="0.3"/>
  <cols>
    <col min="2" max="2" width="11.296875" customWidth="1"/>
    <col min="4" max="4" width="11.19921875" customWidth="1"/>
  </cols>
  <sheetData>
    <row r="1" spans="1:11" x14ac:dyDescent="0.3">
      <c r="A1" s="5" t="s">
        <v>0</v>
      </c>
    </row>
    <row r="2" spans="1:11" x14ac:dyDescent="0.3">
      <c r="A2" s="5" t="s">
        <v>11</v>
      </c>
    </row>
    <row r="4" spans="1:11" x14ac:dyDescent="0.3">
      <c r="A4" s="6" t="s">
        <v>12</v>
      </c>
      <c r="D4" s="7">
        <v>100</v>
      </c>
      <c r="F4" s="8" t="s">
        <v>13</v>
      </c>
      <c r="J4" s="3" t="s">
        <v>14</v>
      </c>
      <c r="K4" s="3" t="s">
        <v>15</v>
      </c>
    </row>
    <row r="5" spans="1:11" x14ac:dyDescent="0.3">
      <c r="A5" s="9" t="s">
        <v>16</v>
      </c>
      <c r="D5" s="7">
        <v>95</v>
      </c>
      <c r="F5" s="10"/>
    </row>
    <row r="6" spans="1:11" x14ac:dyDescent="0.3">
      <c r="A6" s="6" t="s">
        <v>17</v>
      </c>
      <c r="D6" s="11">
        <v>0.08</v>
      </c>
      <c r="F6" s="10" t="s">
        <v>18</v>
      </c>
      <c r="G6" s="2">
        <f>D12/D15</f>
        <v>5.5555555555555552E-2</v>
      </c>
      <c r="I6" t="s">
        <v>19</v>
      </c>
      <c r="J6" s="2">
        <f>LN(D4)+(D6-D8-0.5*D13^2)*D12</f>
        <v>4.6201701859880915</v>
      </c>
      <c r="K6" s="2">
        <f ca="1">2*LN(K9)-0.5*LN(K10)</f>
        <v>4.6201923425527065</v>
      </c>
    </row>
    <row r="7" spans="1:11" x14ac:dyDescent="0.3">
      <c r="F7" s="12" t="s">
        <v>20</v>
      </c>
      <c r="G7" s="2">
        <f>EXP(D6*G6)</f>
        <v>1.0044543356358424</v>
      </c>
      <c r="I7" t="s">
        <v>21</v>
      </c>
      <c r="J7" s="2">
        <f>D13^2*D12</f>
        <v>2.0000000000000004E-2</v>
      </c>
      <c r="K7" s="2">
        <f ca="1">LN(K10)-2*LN(K9)</f>
        <v>1.9948283849977599E-2</v>
      </c>
    </row>
    <row r="8" spans="1:11" x14ac:dyDescent="0.3">
      <c r="A8" s="6" t="s">
        <v>22</v>
      </c>
      <c r="D8" s="11">
        <v>0.03</v>
      </c>
    </row>
    <row r="9" spans="1:11" x14ac:dyDescent="0.3">
      <c r="F9" s="13" t="s">
        <v>23</v>
      </c>
      <c r="G9" s="2">
        <f>EXP((D6-D8-0.5*D13^2)*G6+D13*SQRT(G6))</f>
        <v>1.0500178024560709</v>
      </c>
      <c r="I9" t="s">
        <v>24</v>
      </c>
      <c r="J9" s="25">
        <f>EXP(J6+0.5*J7)</f>
        <v>102.53151205244288</v>
      </c>
      <c r="K9" s="25">
        <f ca="1">SUMPRODUCT(K35:K44,K$21:K$30)</f>
        <v>102.53113253168753</v>
      </c>
    </row>
    <row r="10" spans="1:11" x14ac:dyDescent="0.3">
      <c r="A10" s="6" t="s">
        <v>25</v>
      </c>
      <c r="D10" s="20">
        <v>0</v>
      </c>
      <c r="F10" s="13" t="s">
        <v>26</v>
      </c>
      <c r="G10" s="2">
        <f>EXP((D6-D8-0.5*D13^2)*G6-D13*SQRT(G6))</f>
        <v>0.95554465145256628</v>
      </c>
      <c r="I10" t="s">
        <v>27</v>
      </c>
      <c r="J10" s="27">
        <f>EXP(2*J6+2*J7)</f>
        <v>10725.081812542157</v>
      </c>
      <c r="K10" s="27">
        <f ca="1">SUMPRODUCT(K35:K44,(K$21:K$30)^2)</f>
        <v>10724.447773340618</v>
      </c>
    </row>
    <row r="11" spans="1:11" x14ac:dyDescent="0.3">
      <c r="A11" s="6" t="s">
        <v>28</v>
      </c>
      <c r="D11" s="7">
        <v>0.5</v>
      </c>
      <c r="F11" s="13" t="s">
        <v>4</v>
      </c>
      <c r="G11" s="2">
        <f>0.5</f>
        <v>0.5</v>
      </c>
    </row>
    <row r="12" spans="1:11" x14ac:dyDescent="0.3">
      <c r="A12" s="6" t="s">
        <v>29</v>
      </c>
      <c r="D12" s="20">
        <f>D11-D10</f>
        <v>0.5</v>
      </c>
      <c r="F12" t="s">
        <v>30</v>
      </c>
      <c r="G12" s="2">
        <f>1-G11</f>
        <v>0.5</v>
      </c>
    </row>
    <row r="13" spans="1:11" x14ac:dyDescent="0.3">
      <c r="A13" s="6" t="s">
        <v>31</v>
      </c>
      <c r="D13" s="11">
        <v>0.2</v>
      </c>
    </row>
    <row r="15" spans="1:11" x14ac:dyDescent="0.3">
      <c r="A15" s="13" t="s">
        <v>32</v>
      </c>
      <c r="D15" s="16">
        <v>9</v>
      </c>
      <c r="F15" s="6" t="s">
        <v>33</v>
      </c>
      <c r="G15" s="31">
        <f ca="1">EXP(-D6*D12)*SUMPRODUCT(K35:K44,K49:K58)</f>
        <v>9.7452955981893226</v>
      </c>
    </row>
    <row r="16" spans="1:11" x14ac:dyDescent="0.3">
      <c r="A16" t="s">
        <v>34</v>
      </c>
      <c r="D16" s="19">
        <v>1</v>
      </c>
    </row>
    <row r="17" spans="1:23" x14ac:dyDescent="0.3">
      <c r="A17" t="s">
        <v>35</v>
      </c>
      <c r="D17" s="3" t="str">
        <f>IF(D16=1,"Call","Put")</f>
        <v>Call</v>
      </c>
      <c r="F17" t="s">
        <v>36</v>
      </c>
      <c r="G17" s="4">
        <f>BSOptionValue(D16,D4,D5,D6,D8,D12,D13)</f>
        <v>9.7257629574651006</v>
      </c>
    </row>
    <row r="19" spans="1:23" x14ac:dyDescent="0.3">
      <c r="A19" s="1" t="s">
        <v>37</v>
      </c>
      <c r="M19" s="1" t="s">
        <v>38</v>
      </c>
    </row>
    <row r="20" spans="1:23" x14ac:dyDescent="0.3">
      <c r="B20" s="3">
        <v>0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N20" s="3">
        <v>0</v>
      </c>
      <c r="O20" s="3">
        <v>1</v>
      </c>
      <c r="P20" s="3">
        <v>2</v>
      </c>
      <c r="Q20" s="3">
        <v>3</v>
      </c>
      <c r="R20" s="3">
        <v>4</v>
      </c>
      <c r="S20" s="3">
        <v>5</v>
      </c>
      <c r="T20" s="3">
        <v>6</v>
      </c>
      <c r="U20" s="3">
        <v>7</v>
      </c>
      <c r="V20" s="3">
        <v>8</v>
      </c>
      <c r="W20" s="3">
        <v>9</v>
      </c>
    </row>
    <row r="21" spans="1:23" x14ac:dyDescent="0.3">
      <c r="A21">
        <v>9</v>
      </c>
      <c r="C21" s="4" t="str">
        <f t="shared" ref="C21:K30" ca="1" si="0">IF($A21&lt;C$20,$G$10*OFFSET(C21,0,-1),IF($A21=C$20,$G$9*OFFSET(C21,1,-1),""))</f>
        <v/>
      </c>
      <c r="D21" s="4" t="str">
        <f t="shared" ca="1" si="0"/>
        <v/>
      </c>
      <c r="E21" s="4" t="str">
        <f t="shared" ca="1" si="0"/>
        <v/>
      </c>
      <c r="F21" s="4" t="str">
        <f t="shared" ca="1" si="0"/>
        <v/>
      </c>
      <c r="G21" s="4" t="str">
        <f t="shared" ca="1" si="0"/>
        <v/>
      </c>
      <c r="H21" s="4" t="str">
        <f t="shared" ca="1" si="0"/>
        <v/>
      </c>
      <c r="I21" s="4" t="str">
        <f t="shared" ca="1" si="0"/>
        <v/>
      </c>
      <c r="J21" s="4" t="str">
        <f t="shared" ca="1" si="0"/>
        <v/>
      </c>
      <c r="K21" s="4">
        <f t="shared" ca="1" si="0"/>
        <v>155.15649530540185</v>
      </c>
      <c r="M21">
        <v>9</v>
      </c>
      <c r="N21" s="4" t="str">
        <f t="array" ref="N21:W30">BinTree(0,D4,D6,D8,D12,D13,D15)</f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>
        <v>155.15649530540185</v>
      </c>
    </row>
    <row r="22" spans="1:23" x14ac:dyDescent="0.3">
      <c r="A22">
        <v>8</v>
      </c>
      <c r="C22" s="4" t="str">
        <f t="shared" ca="1" si="0"/>
        <v/>
      </c>
      <c r="D22" s="4" t="str">
        <f t="shared" ca="1" si="0"/>
        <v/>
      </c>
      <c r="E22" s="4" t="str">
        <f t="shared" ca="1" si="0"/>
        <v/>
      </c>
      <c r="F22" s="4" t="str">
        <f t="shared" ca="1" si="0"/>
        <v/>
      </c>
      <c r="G22" s="4" t="str">
        <f t="shared" ca="1" si="0"/>
        <v/>
      </c>
      <c r="H22" s="4" t="str">
        <f t="shared" ca="1" si="0"/>
        <v/>
      </c>
      <c r="I22" s="4" t="str">
        <f t="shared" ca="1" si="0"/>
        <v/>
      </c>
      <c r="J22" s="4">
        <f t="shared" ca="1" si="0"/>
        <v>147.76558544291257</v>
      </c>
      <c r="K22" s="4">
        <f t="shared" ca="1" si="0"/>
        <v>141.1966148387323</v>
      </c>
      <c r="M22">
        <v>8</v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>
        <v>147.76558544291257</v>
      </c>
      <c r="W22" s="4">
        <v>141.1966148387323</v>
      </c>
    </row>
    <row r="23" spans="1:23" x14ac:dyDescent="0.3">
      <c r="A23">
        <v>7</v>
      </c>
      <c r="C23" s="4" t="str">
        <f t="shared" ca="1" si="0"/>
        <v/>
      </c>
      <c r="D23" s="4" t="str">
        <f t="shared" ca="1" si="0"/>
        <v/>
      </c>
      <c r="E23" s="4" t="str">
        <f t="shared" ca="1" si="0"/>
        <v/>
      </c>
      <c r="F23" s="4" t="str">
        <f t="shared" ca="1" si="0"/>
        <v/>
      </c>
      <c r="G23" s="4" t="str">
        <f t="shared" ca="1" si="0"/>
        <v/>
      </c>
      <c r="H23" s="4" t="str">
        <f t="shared" ca="1" si="0"/>
        <v/>
      </c>
      <c r="I23" s="4">
        <f t="shared" ca="1" si="0"/>
        <v>140.72674301071629</v>
      </c>
      <c r="J23" s="4">
        <f t="shared" ca="1" si="0"/>
        <v>134.47068660022975</v>
      </c>
      <c r="K23" s="4">
        <f t="shared" ca="1" si="0"/>
        <v>128.49274535800382</v>
      </c>
      <c r="M23">
        <v>7</v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>
        <v>140.72674301071629</v>
      </c>
      <c r="V23" s="4">
        <v>134.47068660022975</v>
      </c>
      <c r="W23" s="4">
        <v>128.49274535800382</v>
      </c>
    </row>
    <row r="24" spans="1:23" x14ac:dyDescent="0.3">
      <c r="A24">
        <v>6</v>
      </c>
      <c r="C24" s="4" t="str">
        <f t="shared" ca="1" si="0"/>
        <v/>
      </c>
      <c r="D24" s="4" t="str">
        <f t="shared" ca="1" si="0"/>
        <v/>
      </c>
      <c r="E24" s="4" t="str">
        <f t="shared" ca="1" si="0"/>
        <v/>
      </c>
      <c r="F24" s="4" t="str">
        <f t="shared" ca="1" si="0"/>
        <v/>
      </c>
      <c r="G24" s="4" t="str">
        <f t="shared" ca="1" si="0"/>
        <v/>
      </c>
      <c r="H24" s="4">
        <f t="shared" ca="1" si="0"/>
        <v>134.0231972082243</v>
      </c>
      <c r="I24" s="4">
        <f t="shared" ca="1" si="0"/>
        <v>128.06514926289125</v>
      </c>
      <c r="J24" s="4">
        <f t="shared" ca="1" si="0"/>
        <v>122.37196841563031</v>
      </c>
      <c r="K24" s="4">
        <f t="shared" ca="1" si="0"/>
        <v>116.93187990727792</v>
      </c>
      <c r="M24">
        <v>6</v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>
        <v>134.0231972082243</v>
      </c>
      <c r="U24" s="4">
        <v>128.06514926289125</v>
      </c>
      <c r="V24" s="4">
        <v>122.37196841563031</v>
      </c>
      <c r="W24" s="4">
        <v>116.93187990727792</v>
      </c>
    </row>
    <row r="25" spans="1:23" x14ac:dyDescent="0.3">
      <c r="A25">
        <v>5</v>
      </c>
      <c r="C25" s="4" t="str">
        <f t="shared" ca="1" si="0"/>
        <v/>
      </c>
      <c r="D25" s="4" t="str">
        <f t="shared" ca="1" si="0"/>
        <v/>
      </c>
      <c r="E25" s="4" t="str">
        <f t="shared" ca="1" si="0"/>
        <v/>
      </c>
      <c r="F25" s="4" t="str">
        <f t="shared" ca="1" si="0"/>
        <v/>
      </c>
      <c r="G25" s="4">
        <f t="shared" ca="1" si="0"/>
        <v>127.63897611519913</v>
      </c>
      <c r="H25" s="4">
        <f t="shared" ca="1" si="0"/>
        <v>121.96474094376039</v>
      </c>
      <c r="I25" s="4">
        <f t="shared" ca="1" si="0"/>
        <v>116.54275587460806</v>
      </c>
      <c r="J25" s="4">
        <f t="shared" ca="1" si="0"/>
        <v>111.36180704152389</v>
      </c>
      <c r="K25" s="4">
        <f t="shared" ca="1" si="0"/>
        <v>106.41117909462089</v>
      </c>
      <c r="M25">
        <v>5</v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>
        <v>127.63897611519913</v>
      </c>
      <c r="T25" s="4">
        <v>121.96474094376039</v>
      </c>
      <c r="U25" s="4">
        <v>116.54275587460806</v>
      </c>
      <c r="V25" s="4">
        <v>111.36180704152389</v>
      </c>
      <c r="W25" s="4">
        <v>106.41117909462089</v>
      </c>
    </row>
    <row r="26" spans="1:23" x14ac:dyDescent="0.3">
      <c r="A26">
        <v>4</v>
      </c>
      <c r="C26" s="4" t="str">
        <f t="shared" ca="1" si="0"/>
        <v/>
      </c>
      <c r="D26" s="4" t="str">
        <f t="shared" ca="1" si="0"/>
        <v/>
      </c>
      <c r="E26" s="4" t="str">
        <f t="shared" ca="1" si="0"/>
        <v/>
      </c>
      <c r="F26" s="4">
        <f t="shared" ca="1" si="0"/>
        <v>121.55886863693351</v>
      </c>
      <c r="G26" s="4">
        <f t="shared" ca="1" si="0"/>
        <v>116.15492676264692</v>
      </c>
      <c r="H26" s="4">
        <f t="shared" ca="1" si="0"/>
        <v>110.99121900791182</v>
      </c>
      <c r="I26" s="4">
        <f t="shared" ca="1" si="0"/>
        <v>106.05706568121056</v>
      </c>
      <c r="J26" s="4">
        <f t="shared" ca="1" si="0"/>
        <v>101.34226186043428</v>
      </c>
      <c r="K26" s="4">
        <f t="shared" ca="1" si="0"/>
        <v>96.837056286843378</v>
      </c>
      <c r="M26">
        <v>4</v>
      </c>
      <c r="N26" s="4" t="str">
        <v/>
      </c>
      <c r="O26" s="4" t="str">
        <v/>
      </c>
      <c r="P26" s="4" t="str">
        <v/>
      </c>
      <c r="Q26" s="4" t="str">
        <v/>
      </c>
      <c r="R26" s="4">
        <v>121.55886863693351</v>
      </c>
      <c r="S26" s="4">
        <v>116.15492676264692</v>
      </c>
      <c r="T26" s="4">
        <v>110.99121900791182</v>
      </c>
      <c r="U26" s="4">
        <v>106.05706568121056</v>
      </c>
      <c r="V26" s="4">
        <v>101.34226186043428</v>
      </c>
      <c r="W26" s="4">
        <v>96.837056286843378</v>
      </c>
    </row>
    <row r="27" spans="1:23" x14ac:dyDescent="0.3">
      <c r="A27">
        <v>3</v>
      </c>
      <c r="C27" s="4" t="str">
        <f t="shared" ca="1" si="0"/>
        <v/>
      </c>
      <c r="D27" s="4" t="str">
        <f t="shared" ca="1" si="0"/>
        <v/>
      </c>
      <c r="E27" s="4">
        <f t="shared" ca="1" si="0"/>
        <v>115.76838826217816</v>
      </c>
      <c r="F27" s="4">
        <f t="shared" ca="1" si="0"/>
        <v>110.6218642112084</v>
      </c>
      <c r="G27" s="4">
        <f t="shared" ca="1" si="0"/>
        <v>105.70413068073225</v>
      </c>
      <c r="H27" s="4">
        <f t="shared" ca="1" si="0"/>
        <v>101.00501670841682</v>
      </c>
      <c r="I27" s="4">
        <f t="shared" ca="1" si="0"/>
        <v>96.514803485604787</v>
      </c>
      <c r="J27" s="4">
        <f t="shared" ca="1" si="0"/>
        <v>92.224204256665161</v>
      </c>
      <c r="K27" s="4">
        <f t="shared" ca="1" si="0"/>
        <v>88.124345111925393</v>
      </c>
      <c r="M27">
        <v>3</v>
      </c>
      <c r="N27" s="4" t="str">
        <v/>
      </c>
      <c r="O27" s="4" t="str">
        <v/>
      </c>
      <c r="P27" s="4" t="str">
        <v/>
      </c>
      <c r="Q27" s="4">
        <v>115.76838826217816</v>
      </c>
      <c r="R27" s="4">
        <v>110.6218642112084</v>
      </c>
      <c r="S27" s="4">
        <v>105.70413068073225</v>
      </c>
      <c r="T27" s="4">
        <v>101.00501670841682</v>
      </c>
      <c r="U27" s="4">
        <v>96.514803485604787</v>
      </c>
      <c r="V27" s="4">
        <v>92.224204256665161</v>
      </c>
      <c r="W27" s="4">
        <v>88.124345111925393</v>
      </c>
    </row>
    <row r="28" spans="1:23" x14ac:dyDescent="0.3">
      <c r="A28">
        <v>2</v>
      </c>
      <c r="C28" s="4" t="str">
        <f t="shared" ca="1" si="0"/>
        <v/>
      </c>
      <c r="D28" s="4">
        <f t="shared" ca="1" si="0"/>
        <v>110.25373854746763</v>
      </c>
      <c r="E28" s="4">
        <f t="shared" ca="1" si="0"/>
        <v>105.35237017168234</v>
      </c>
      <c r="F28" s="4">
        <f t="shared" ca="1" si="0"/>
        <v>100.66889383540195</v>
      </c>
      <c r="G28" s="4">
        <f t="shared" ca="1" si="0"/>
        <v>96.193623072064554</v>
      </c>
      <c r="H28" s="4">
        <f t="shared" ca="1" si="0"/>
        <v>91.917302030355458</v>
      </c>
      <c r="I28" s="4">
        <f t="shared" ca="1" si="0"/>
        <v>87.83108633105627</v>
      </c>
      <c r="J28" s="4">
        <f t="shared" ca="1" si="0"/>
        <v>83.926524774909424</v>
      </c>
      <c r="K28" s="4">
        <f t="shared" ca="1" si="0"/>
        <v>80.195541863665994</v>
      </c>
      <c r="M28">
        <v>2</v>
      </c>
      <c r="N28" s="4" t="str">
        <v/>
      </c>
      <c r="O28" s="4" t="str">
        <v/>
      </c>
      <c r="P28" s="4">
        <v>110.25373854746763</v>
      </c>
      <c r="Q28" s="4">
        <v>105.35237017168234</v>
      </c>
      <c r="R28" s="4">
        <v>100.66889383540195</v>
      </c>
      <c r="S28" s="4">
        <v>96.193623072064554</v>
      </c>
      <c r="T28" s="4">
        <v>91.917302030355458</v>
      </c>
      <c r="U28" s="4">
        <v>87.83108633105627</v>
      </c>
      <c r="V28" s="4">
        <v>83.926524774909424</v>
      </c>
      <c r="W28" s="4">
        <v>80.195541863665994</v>
      </c>
    </row>
    <row r="29" spans="1:23" x14ac:dyDescent="0.3">
      <c r="A29">
        <v>1</v>
      </c>
      <c r="C29" s="4">
        <f t="shared" ca="1" si="0"/>
        <v>105.00178024560709</v>
      </c>
      <c r="D29" s="4">
        <f t="shared" ca="1" si="0"/>
        <v>100.33388950668758</v>
      </c>
      <c r="E29" s="4">
        <f t="shared" ca="1" si="0"/>
        <v>95.873511477548078</v>
      </c>
      <c r="F29" s="4">
        <f t="shared" ca="1" si="0"/>
        <v>91.611421108347287</v>
      </c>
      <c r="G29" s="4">
        <f t="shared" ca="1" si="0"/>
        <v>87.538803452049976</v>
      </c>
      <c r="H29" s="4">
        <f t="shared" ca="1" si="0"/>
        <v>83.6472354331638</v>
      </c>
      <c r="I29" s="4">
        <f t="shared" ca="1" si="0"/>
        <v>79.928668426953251</v>
      </c>
      <c r="J29" s="4">
        <f t="shared" ca="1" si="0"/>
        <v>76.375411613100781</v>
      </c>
      <c r="K29" s="4">
        <f t="shared" ca="1" si="0"/>
        <v>72.980116069386668</v>
      </c>
      <c r="M29">
        <v>1</v>
      </c>
      <c r="N29" s="4" t="str">
        <v/>
      </c>
      <c r="O29" s="4">
        <v>105.00178024560709</v>
      </c>
      <c r="P29" s="4">
        <v>100.33388950668758</v>
      </c>
      <c r="Q29" s="4">
        <v>95.873511477548078</v>
      </c>
      <c r="R29" s="4">
        <v>91.611421108347287</v>
      </c>
      <c r="S29" s="4">
        <v>87.538803452049976</v>
      </c>
      <c r="T29" s="4">
        <v>83.6472354331638</v>
      </c>
      <c r="U29" s="4">
        <v>79.928668426953251</v>
      </c>
      <c r="V29" s="4">
        <v>76.375411613100781</v>
      </c>
      <c r="W29" s="4">
        <v>72.980116069386668</v>
      </c>
    </row>
    <row r="30" spans="1:23" x14ac:dyDescent="0.3">
      <c r="A30">
        <v>0</v>
      </c>
      <c r="B30" s="7">
        <f>$D$4</f>
        <v>100</v>
      </c>
      <c r="C30" s="7">
        <f t="shared" ca="1" si="0"/>
        <v>95.554465145256628</v>
      </c>
      <c r="D30" s="4">
        <f t="shared" ca="1" si="0"/>
        <v>91.306558091960639</v>
      </c>
      <c r="E30" s="4">
        <f t="shared" ca="1" si="0"/>
        <v>87.247493227316028</v>
      </c>
      <c r="F30" s="4">
        <f t="shared" ca="1" si="0"/>
        <v>83.368875506005836</v>
      </c>
      <c r="G30" s="4">
        <f t="shared" ca="1" si="0"/>
        <v>79.662683087378738</v>
      </c>
      <c r="H30" s="4">
        <f t="shared" ca="1" si="0"/>
        <v>76.121250744505559</v>
      </c>
      <c r="I30" s="4">
        <f t="shared" ca="1" si="0"/>
        <v>72.737254010791972</v>
      </c>
      <c r="J30" s="4">
        <f t="shared" ca="1" si="0"/>
        <v>69.503694031358989</v>
      </c>
      <c r="K30" s="4">
        <f t="shared" ca="1" si="0"/>
        <v>66.413883087860739</v>
      </c>
      <c r="M30">
        <v>0</v>
      </c>
      <c r="N30" s="4">
        <v>100</v>
      </c>
      <c r="O30" s="4">
        <v>95.554465145256628</v>
      </c>
      <c r="P30" s="4">
        <v>91.306558091960639</v>
      </c>
      <c r="Q30" s="4">
        <v>87.247493227316028</v>
      </c>
      <c r="R30" s="4">
        <v>83.368875506005836</v>
      </c>
      <c r="S30" s="4">
        <v>79.662683087378738</v>
      </c>
      <c r="T30" s="4">
        <v>76.121250744505559</v>
      </c>
      <c r="U30" s="4">
        <v>72.737254010791972</v>
      </c>
      <c r="V30" s="4">
        <v>69.503694031358989</v>
      </c>
      <c r="W30" s="4">
        <v>66.413883087860739</v>
      </c>
    </row>
    <row r="33" spans="1:23" x14ac:dyDescent="0.3">
      <c r="A33" s="5" t="s">
        <v>39</v>
      </c>
      <c r="M33" s="8" t="s">
        <v>38</v>
      </c>
    </row>
    <row r="34" spans="1:23" x14ac:dyDescent="0.3">
      <c r="B34" s="3">
        <v>0</v>
      </c>
      <c r="C34" s="3">
        <v>1</v>
      </c>
      <c r="D34" s="3">
        <v>2</v>
      </c>
      <c r="E34" s="3">
        <v>3</v>
      </c>
      <c r="F34" s="3">
        <v>4</v>
      </c>
      <c r="G34" s="3">
        <v>5</v>
      </c>
      <c r="H34" s="3">
        <v>6</v>
      </c>
      <c r="I34" s="3">
        <v>7</v>
      </c>
      <c r="J34" s="3">
        <v>8</v>
      </c>
      <c r="K34" s="3">
        <v>9</v>
      </c>
      <c r="N34" s="3">
        <v>0</v>
      </c>
      <c r="O34" s="3">
        <v>1</v>
      </c>
      <c r="P34" s="3">
        <v>2</v>
      </c>
      <c r="Q34" s="3">
        <v>3</v>
      </c>
      <c r="R34" s="3">
        <v>4</v>
      </c>
      <c r="S34" s="3">
        <v>5</v>
      </c>
      <c r="T34" s="3">
        <v>6</v>
      </c>
      <c r="U34" s="3">
        <v>7</v>
      </c>
      <c r="V34" s="3">
        <v>8</v>
      </c>
      <c r="W34" s="3">
        <v>9</v>
      </c>
    </row>
    <row r="35" spans="1:23" x14ac:dyDescent="0.3">
      <c r="A35">
        <v>9</v>
      </c>
      <c r="B35" s="25" t="str">
        <f t="shared" ref="B35:J35" si="1">IF($A35&lt;=B$34,COMBIN(B$34,$A35)*$G$11^$A35*$G$12^(B$34-$A35),"")</f>
        <v/>
      </c>
      <c r="C35" s="25" t="str">
        <f t="shared" si="1"/>
        <v/>
      </c>
      <c r="D35" s="25" t="str">
        <f t="shared" si="1"/>
        <v/>
      </c>
      <c r="E35" s="25" t="str">
        <f t="shared" si="1"/>
        <v/>
      </c>
      <c r="F35" s="25" t="str">
        <f t="shared" si="1"/>
        <v/>
      </c>
      <c r="G35" s="25" t="str">
        <f t="shared" si="1"/>
        <v/>
      </c>
      <c r="H35" s="25" t="str">
        <f t="shared" si="1"/>
        <v/>
      </c>
      <c r="I35" s="25" t="str">
        <f t="shared" si="1"/>
        <v/>
      </c>
      <c r="J35" s="25" t="str">
        <f t="shared" si="1"/>
        <v/>
      </c>
      <c r="K35" s="25">
        <f t="shared" ref="K35:K44" si="2">COMBIN($D$15,A35)*$G$11^$D$15</f>
        <v>1.953125E-3</v>
      </c>
      <c r="M35">
        <v>9</v>
      </c>
      <c r="N35" s="25" t="str">
        <f t="array" ref="N35:W44">BinTreeProbs(0,D6,D8,D12,D13,D15)</f>
        <v/>
      </c>
      <c r="O35" s="25" t="str">
        <v/>
      </c>
      <c r="P35" s="25" t="str">
        <v/>
      </c>
      <c r="Q35" s="25" t="str">
        <v/>
      </c>
      <c r="R35" s="25" t="str">
        <v/>
      </c>
      <c r="S35" s="25" t="str">
        <v/>
      </c>
      <c r="T35" s="25" t="str">
        <v/>
      </c>
      <c r="U35" s="25" t="str">
        <v/>
      </c>
      <c r="V35" s="25" t="str">
        <v/>
      </c>
      <c r="W35" s="25">
        <v>1.953125E-3</v>
      </c>
    </row>
    <row r="36" spans="1:23" x14ac:dyDescent="0.3">
      <c r="A36">
        <v>8</v>
      </c>
      <c r="K36" s="25">
        <f t="shared" si="2"/>
        <v>1.7578125E-2</v>
      </c>
      <c r="M36">
        <v>8</v>
      </c>
      <c r="N36" s="25" t="str">
        <v/>
      </c>
      <c r="O36" s="25" t="str">
        <v/>
      </c>
      <c r="P36" s="25" t="str">
        <v/>
      </c>
      <c r="Q36" s="25" t="str">
        <v/>
      </c>
      <c r="R36" s="25" t="str">
        <v/>
      </c>
      <c r="S36" s="25" t="str">
        <v/>
      </c>
      <c r="T36" s="25" t="str">
        <v/>
      </c>
      <c r="U36" s="25" t="str">
        <v/>
      </c>
      <c r="V36" s="25">
        <v>3.90625E-3</v>
      </c>
      <c r="W36" s="25">
        <v>1.7578125E-2</v>
      </c>
    </row>
    <row r="37" spans="1:23" x14ac:dyDescent="0.3">
      <c r="A37">
        <v>7</v>
      </c>
      <c r="K37" s="25">
        <f t="shared" si="2"/>
        <v>7.03125E-2</v>
      </c>
      <c r="M37">
        <v>7</v>
      </c>
      <c r="N37" s="25" t="str">
        <v/>
      </c>
      <c r="O37" s="25" t="str">
        <v/>
      </c>
      <c r="P37" s="25" t="str">
        <v/>
      </c>
      <c r="Q37" s="25" t="str">
        <v/>
      </c>
      <c r="R37" s="25" t="str">
        <v/>
      </c>
      <c r="S37" s="25" t="str">
        <v/>
      </c>
      <c r="T37" s="25" t="str">
        <v/>
      </c>
      <c r="U37" s="25">
        <v>7.8125E-3</v>
      </c>
      <c r="V37" s="25">
        <v>3.125E-2</v>
      </c>
      <c r="W37" s="25">
        <v>7.03125E-2</v>
      </c>
    </row>
    <row r="38" spans="1:23" x14ac:dyDescent="0.3">
      <c r="A38">
        <v>6</v>
      </c>
      <c r="K38" s="25">
        <f t="shared" si="2"/>
        <v>0.16406249999999997</v>
      </c>
      <c r="M38">
        <v>6</v>
      </c>
      <c r="N38" s="25" t="str">
        <v/>
      </c>
      <c r="O38" s="25" t="str">
        <v/>
      </c>
      <c r="P38" s="25" t="str">
        <v/>
      </c>
      <c r="Q38" s="25" t="str">
        <v/>
      </c>
      <c r="R38" s="25" t="str">
        <v/>
      </c>
      <c r="S38" s="25" t="str">
        <v/>
      </c>
      <c r="T38" s="25">
        <v>1.5625E-2</v>
      </c>
      <c r="U38" s="25">
        <v>5.46875E-2</v>
      </c>
      <c r="V38" s="25">
        <v>0.109375</v>
      </c>
      <c r="W38" s="25">
        <v>0.16406249999999997</v>
      </c>
    </row>
    <row r="39" spans="1:23" x14ac:dyDescent="0.3">
      <c r="A39">
        <v>5</v>
      </c>
      <c r="I39" s="25"/>
      <c r="K39" s="25">
        <f t="shared" si="2"/>
        <v>0.24609375</v>
      </c>
      <c r="M39">
        <v>5</v>
      </c>
      <c r="N39" s="25" t="str">
        <v/>
      </c>
      <c r="O39" s="25" t="str">
        <v/>
      </c>
      <c r="P39" s="25" t="str">
        <v/>
      </c>
      <c r="Q39" s="25" t="str">
        <v/>
      </c>
      <c r="R39" s="25" t="str">
        <v/>
      </c>
      <c r="S39" s="25">
        <v>3.125E-2</v>
      </c>
      <c r="T39" s="25">
        <v>9.375E-2</v>
      </c>
      <c r="U39" s="25">
        <v>0.1640625</v>
      </c>
      <c r="V39" s="25">
        <v>0.21875</v>
      </c>
      <c r="W39" s="25">
        <v>0.24609375</v>
      </c>
    </row>
    <row r="40" spans="1:23" x14ac:dyDescent="0.3">
      <c r="A40">
        <v>4</v>
      </c>
      <c r="K40" s="25">
        <f t="shared" si="2"/>
        <v>0.24609375</v>
      </c>
      <c r="M40">
        <v>4</v>
      </c>
      <c r="N40" s="25" t="str">
        <v/>
      </c>
      <c r="O40" s="25" t="str">
        <v/>
      </c>
      <c r="P40" s="25" t="str">
        <v/>
      </c>
      <c r="Q40" s="25" t="str">
        <v/>
      </c>
      <c r="R40" s="25">
        <v>6.25E-2</v>
      </c>
      <c r="S40" s="25">
        <v>0.15625</v>
      </c>
      <c r="T40" s="25">
        <v>0.234375</v>
      </c>
      <c r="U40" s="25">
        <v>0.2734375</v>
      </c>
      <c r="V40" s="25">
        <v>0.2734375</v>
      </c>
      <c r="W40" s="25">
        <v>0.24609375</v>
      </c>
    </row>
    <row r="41" spans="1:23" x14ac:dyDescent="0.3">
      <c r="A41">
        <v>3</v>
      </c>
      <c r="K41" s="25">
        <f t="shared" si="2"/>
        <v>0.16406249999999997</v>
      </c>
      <c r="M41">
        <v>3</v>
      </c>
      <c r="N41" s="25" t="str">
        <v/>
      </c>
      <c r="O41" s="25" t="str">
        <v/>
      </c>
      <c r="P41" s="25" t="str">
        <v/>
      </c>
      <c r="Q41" s="25">
        <v>0.125</v>
      </c>
      <c r="R41" s="25">
        <v>0.25</v>
      </c>
      <c r="S41" s="25">
        <v>0.3125</v>
      </c>
      <c r="T41" s="25">
        <v>0.3125</v>
      </c>
      <c r="U41" s="25">
        <v>0.2734375</v>
      </c>
      <c r="V41" s="25">
        <v>0.21875</v>
      </c>
      <c r="W41" s="25">
        <v>0.16406249999999997</v>
      </c>
    </row>
    <row r="42" spans="1:23" x14ac:dyDescent="0.3">
      <c r="A42">
        <v>2</v>
      </c>
      <c r="K42" s="25">
        <f t="shared" si="2"/>
        <v>7.03125E-2</v>
      </c>
      <c r="M42">
        <v>2</v>
      </c>
      <c r="N42" s="25" t="str">
        <v/>
      </c>
      <c r="O42" s="25" t="str">
        <v/>
      </c>
      <c r="P42" s="25">
        <v>0.25</v>
      </c>
      <c r="Q42" s="25">
        <v>0.375</v>
      </c>
      <c r="R42" s="25">
        <v>0.375</v>
      </c>
      <c r="S42" s="25">
        <v>0.3125</v>
      </c>
      <c r="T42" s="25">
        <v>0.234375</v>
      </c>
      <c r="U42" s="25">
        <v>0.1640625</v>
      </c>
      <c r="V42" s="25">
        <v>0.109375</v>
      </c>
      <c r="W42" s="25">
        <v>7.03125E-2</v>
      </c>
    </row>
    <row r="43" spans="1:23" x14ac:dyDescent="0.3">
      <c r="A43">
        <v>1</v>
      </c>
      <c r="K43" s="25">
        <f t="shared" si="2"/>
        <v>1.7578125E-2</v>
      </c>
      <c r="M43">
        <v>1</v>
      </c>
      <c r="N43" s="25" t="str">
        <v/>
      </c>
      <c r="O43" s="25">
        <v>0.5</v>
      </c>
      <c r="P43" s="25">
        <v>0.5</v>
      </c>
      <c r="Q43" s="25">
        <v>0.375</v>
      </c>
      <c r="R43" s="25">
        <v>0.25</v>
      </c>
      <c r="S43" s="25">
        <v>0.15625</v>
      </c>
      <c r="T43" s="25">
        <v>9.375E-2</v>
      </c>
      <c r="U43" s="25">
        <v>5.46875E-2</v>
      </c>
      <c r="V43" s="25">
        <v>3.125E-2</v>
      </c>
      <c r="W43" s="25">
        <v>1.7578125E-2</v>
      </c>
    </row>
    <row r="44" spans="1:23" x14ac:dyDescent="0.3">
      <c r="A44">
        <v>0</v>
      </c>
      <c r="K44" s="30">
        <f t="shared" si="2"/>
        <v>1.953125E-3</v>
      </c>
      <c r="M44">
        <v>0</v>
      </c>
      <c r="N44" s="25">
        <v>1</v>
      </c>
      <c r="O44" s="25">
        <v>0.5</v>
      </c>
      <c r="P44" s="25">
        <v>0.25</v>
      </c>
      <c r="Q44" s="25">
        <v>0.125</v>
      </c>
      <c r="R44" s="25">
        <v>6.25E-2</v>
      </c>
      <c r="S44" s="25">
        <v>3.125E-2</v>
      </c>
      <c r="T44" s="25">
        <v>1.5625E-2</v>
      </c>
      <c r="U44" s="25">
        <v>7.8125E-3</v>
      </c>
      <c r="V44" s="25">
        <v>3.90625E-3</v>
      </c>
      <c r="W44" s="25">
        <v>1.953125E-3</v>
      </c>
    </row>
    <row r="47" spans="1:23" x14ac:dyDescent="0.3">
      <c r="A47" s="5" t="s">
        <v>40</v>
      </c>
    </row>
    <row r="48" spans="1:23" x14ac:dyDescent="0.3">
      <c r="B48" s="3">
        <v>0</v>
      </c>
      <c r="C48" s="3">
        <v>1</v>
      </c>
      <c r="D48" s="3">
        <v>2</v>
      </c>
      <c r="E48" s="3">
        <v>3</v>
      </c>
      <c r="F48" s="3">
        <v>4</v>
      </c>
      <c r="G48" s="3">
        <v>5</v>
      </c>
      <c r="H48" s="3">
        <v>6</v>
      </c>
      <c r="I48" s="3">
        <v>7</v>
      </c>
      <c r="J48" s="3">
        <v>8</v>
      </c>
      <c r="K48" s="3">
        <v>9</v>
      </c>
    </row>
    <row r="49" spans="1:15" x14ac:dyDescent="0.3">
      <c r="A49">
        <v>9</v>
      </c>
      <c r="K49" s="20">
        <f t="shared" ref="K49:K58" ca="1" si="3">MAX($D$16*(K21-$D$5),0)</f>
        <v>60.156495305401847</v>
      </c>
    </row>
    <row r="50" spans="1:15" x14ac:dyDescent="0.3">
      <c r="A50">
        <v>8</v>
      </c>
      <c r="K50" s="20">
        <f t="shared" ca="1" si="3"/>
        <v>46.196614838732302</v>
      </c>
    </row>
    <row r="51" spans="1:15" x14ac:dyDescent="0.3">
      <c r="A51">
        <v>7</v>
      </c>
      <c r="K51" s="20">
        <f t="shared" ca="1" si="3"/>
        <v>33.492745358003816</v>
      </c>
    </row>
    <row r="52" spans="1:15" x14ac:dyDescent="0.3">
      <c r="A52">
        <v>6</v>
      </c>
      <c r="K52" s="20">
        <f t="shared" ca="1" si="3"/>
        <v>21.931879907277917</v>
      </c>
    </row>
    <row r="53" spans="1:15" x14ac:dyDescent="0.3">
      <c r="A53">
        <v>5</v>
      </c>
      <c r="K53" s="20">
        <f t="shared" ca="1" si="3"/>
        <v>11.411179094620891</v>
      </c>
    </row>
    <row r="54" spans="1:15" x14ac:dyDescent="0.3">
      <c r="A54">
        <v>4</v>
      </c>
      <c r="K54" s="20">
        <f t="shared" ca="1" si="3"/>
        <v>1.837056286843378</v>
      </c>
    </row>
    <row r="55" spans="1:15" x14ac:dyDescent="0.3">
      <c r="A55">
        <v>3</v>
      </c>
      <c r="K55" s="20">
        <f t="shared" ca="1" si="3"/>
        <v>0</v>
      </c>
    </row>
    <row r="56" spans="1:15" x14ac:dyDescent="0.3">
      <c r="A56">
        <v>2</v>
      </c>
      <c r="K56" s="20">
        <f t="shared" ca="1" si="3"/>
        <v>0</v>
      </c>
    </row>
    <row r="57" spans="1:15" x14ac:dyDescent="0.3">
      <c r="A57">
        <v>1</v>
      </c>
      <c r="K57" s="20">
        <f t="shared" ca="1" si="3"/>
        <v>0</v>
      </c>
    </row>
    <row r="58" spans="1:15" x14ac:dyDescent="0.3">
      <c r="A58">
        <v>0</v>
      </c>
      <c r="K58" s="7">
        <f t="shared" ca="1" si="3"/>
        <v>0</v>
      </c>
    </row>
    <row r="61" spans="1:15" x14ac:dyDescent="0.3"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x14ac:dyDescent="0.3">
      <c r="F62" s="2"/>
      <c r="G62" s="2"/>
      <c r="H62" s="2"/>
      <c r="I62" s="2"/>
      <c r="J62" s="2"/>
      <c r="K62" s="2"/>
      <c r="L62" s="2"/>
      <c r="M62" s="2"/>
      <c r="N62" s="2"/>
      <c r="O62" s="2"/>
    </row>
    <row r="89" spans="12:12" x14ac:dyDescent="0.3">
      <c r="L89" s="2"/>
    </row>
  </sheetData>
  <pageMargins left="0.75" right="0.75" top="1" bottom="1" header="0.5" footer="0.5"/>
  <pageSetup paperSize="9" scale="46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8"/>
  <sheetViews>
    <sheetView workbookViewId="0"/>
  </sheetViews>
  <sheetFormatPr defaultRowHeight="13" x14ac:dyDescent="0.3"/>
  <sheetData>
    <row r="1" spans="1:11" x14ac:dyDescent="0.3">
      <c r="A1" s="5" t="s">
        <v>0</v>
      </c>
    </row>
    <row r="2" spans="1:11" x14ac:dyDescent="0.3">
      <c r="A2" s="5" t="s">
        <v>41</v>
      </c>
    </row>
    <row r="4" spans="1:11" x14ac:dyDescent="0.3">
      <c r="A4" s="6" t="s">
        <v>12</v>
      </c>
      <c r="D4" s="7">
        <v>100</v>
      </c>
      <c r="F4" s="5" t="s">
        <v>42</v>
      </c>
      <c r="J4" s="3" t="s">
        <v>14</v>
      </c>
      <c r="K4" s="3" t="s">
        <v>43</v>
      </c>
    </row>
    <row r="5" spans="1:11" x14ac:dyDescent="0.3">
      <c r="A5" s="9" t="s">
        <v>16</v>
      </c>
      <c r="D5" s="7">
        <v>95</v>
      </c>
      <c r="F5" s="10"/>
    </row>
    <row r="6" spans="1:11" x14ac:dyDescent="0.3">
      <c r="A6" s="6" t="s">
        <v>17</v>
      </c>
      <c r="D6" s="11">
        <v>0.08</v>
      </c>
      <c r="F6" s="10" t="s">
        <v>18</v>
      </c>
      <c r="G6" s="2">
        <f>D12/D15</f>
        <v>5.5555555555555552E-2</v>
      </c>
      <c r="I6" t="s">
        <v>19</v>
      </c>
      <c r="J6" s="2">
        <f>LN(D4)+(D6-D8-0.5*D13^2)*D12</f>
        <v>4.6201701859880915</v>
      </c>
      <c r="K6" s="2">
        <f ca="1">2*LN(K9)-0.5*LN(K10)</f>
        <v>4.6202416651930633</v>
      </c>
    </row>
    <row r="7" spans="1:11" x14ac:dyDescent="0.3">
      <c r="F7" s="12" t="s">
        <v>20</v>
      </c>
      <c r="G7" s="2">
        <f>EXP(D6*G6)</f>
        <v>1.0044543356358424</v>
      </c>
      <c r="I7" t="s">
        <v>21</v>
      </c>
      <c r="J7" s="2">
        <f>D13^2*D12</f>
        <v>2.0000000000000004E-2</v>
      </c>
      <c r="K7" s="2">
        <f ca="1">LN(K10)-2*LN(K9)</f>
        <v>1.9857041590054081E-2</v>
      </c>
    </row>
    <row r="8" spans="1:11" x14ac:dyDescent="0.3">
      <c r="A8" s="6" t="s">
        <v>22</v>
      </c>
      <c r="D8" s="11">
        <v>0.03</v>
      </c>
      <c r="F8" s="13" t="s">
        <v>44</v>
      </c>
      <c r="G8" s="2">
        <f>EXP((D6-D8)*G6)</f>
        <v>1.0027816393771962</v>
      </c>
    </row>
    <row r="9" spans="1:11" x14ac:dyDescent="0.3">
      <c r="F9" s="13" t="s">
        <v>23</v>
      </c>
      <c r="G9" s="2">
        <f>EXP(D13*SQRT(G6))</f>
        <v>1.0482692303335082</v>
      </c>
      <c r="I9" t="s">
        <v>24</v>
      </c>
      <c r="J9" s="21">
        <f>EXP(J6+0.5*J7)</f>
        <v>102.53151205244288</v>
      </c>
      <c r="K9" s="21">
        <f ca="1">SUMPRODUCT(K$35:K$44,K$21:K$30)</f>
        <v>102.53151205244276</v>
      </c>
    </row>
    <row r="10" spans="1:11" x14ac:dyDescent="0.3">
      <c r="A10" s="6" t="s">
        <v>25</v>
      </c>
      <c r="D10" s="20">
        <v>0</v>
      </c>
      <c r="F10" s="13" t="s">
        <v>26</v>
      </c>
      <c r="G10" s="2">
        <f>1/G9</f>
        <v>0.95395340344183222</v>
      </c>
      <c r="I10" t="s">
        <v>27</v>
      </c>
      <c r="J10" s="28">
        <f>EXP(2*J6+2*J7)</f>
        <v>10725.081812542157</v>
      </c>
      <c r="K10" s="28">
        <f ca="1">SUMPRODUCT(K$35:K$44,(K$21:K$30)^2)</f>
        <v>10723.548681489288</v>
      </c>
    </row>
    <row r="11" spans="1:11" x14ac:dyDescent="0.3">
      <c r="A11" s="6" t="s">
        <v>28</v>
      </c>
      <c r="D11" s="7">
        <v>0.5</v>
      </c>
      <c r="F11" s="13" t="s">
        <v>4</v>
      </c>
      <c r="G11" s="2">
        <f>(G8-G10)/(G9-G10)</f>
        <v>0.51770988544101337</v>
      </c>
    </row>
    <row r="12" spans="1:11" x14ac:dyDescent="0.3">
      <c r="A12" s="6" t="s">
        <v>29</v>
      </c>
      <c r="D12" s="20">
        <f>D11-D10</f>
        <v>0.5</v>
      </c>
      <c r="F12" t="s">
        <v>30</v>
      </c>
      <c r="G12" s="2">
        <f>1-G11</f>
        <v>0.48229011455898663</v>
      </c>
    </row>
    <row r="13" spans="1:11" x14ac:dyDescent="0.3">
      <c r="A13" s="6" t="s">
        <v>31</v>
      </c>
      <c r="D13" s="11">
        <v>0.2</v>
      </c>
    </row>
    <row r="15" spans="1:11" x14ac:dyDescent="0.3">
      <c r="A15" s="13" t="s">
        <v>32</v>
      </c>
      <c r="D15" s="16">
        <v>9</v>
      </c>
      <c r="F15" t="s">
        <v>45</v>
      </c>
      <c r="G15" s="4">
        <f ca="1">EXP(-D6*D12)*SUMPRODUCT(K35:K44,K49:K58)</f>
        <v>9.6332371978806144</v>
      </c>
    </row>
    <row r="16" spans="1:11" x14ac:dyDescent="0.3">
      <c r="A16" t="s">
        <v>34</v>
      </c>
      <c r="D16" s="19">
        <v>1</v>
      </c>
    </row>
    <row r="17" spans="1:23" x14ac:dyDescent="0.3">
      <c r="A17" t="s">
        <v>35</v>
      </c>
      <c r="D17" s="3" t="str">
        <f>IF(D16=1,"Call","Put")</f>
        <v>Call</v>
      </c>
      <c r="F17" t="s">
        <v>36</v>
      </c>
      <c r="G17" s="4">
        <f>BSOptionValue(D16,D4,D5,D6,D8,D12,D13)</f>
        <v>9.7257629574651006</v>
      </c>
    </row>
    <row r="19" spans="1:23" x14ac:dyDescent="0.3">
      <c r="A19" s="1" t="s">
        <v>37</v>
      </c>
      <c r="M19" s="1" t="s">
        <v>38</v>
      </c>
    </row>
    <row r="20" spans="1:23" x14ac:dyDescent="0.3">
      <c r="B20" s="3">
        <v>0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N20" s="3">
        <v>0</v>
      </c>
      <c r="O20" s="3">
        <v>1</v>
      </c>
      <c r="P20" s="3">
        <v>2</v>
      </c>
      <c r="Q20" s="3">
        <v>3</v>
      </c>
      <c r="R20" s="3">
        <v>4</v>
      </c>
      <c r="S20" s="3">
        <v>5</v>
      </c>
      <c r="T20" s="3">
        <v>6</v>
      </c>
      <c r="U20" s="3">
        <v>7</v>
      </c>
      <c r="V20" s="3">
        <v>8</v>
      </c>
      <c r="W20" s="3">
        <v>9</v>
      </c>
    </row>
    <row r="21" spans="1:23" x14ac:dyDescent="0.3">
      <c r="A21">
        <v>9</v>
      </c>
      <c r="C21" s="4" t="str">
        <f t="shared" ref="C21:K30" ca="1" si="0">IF($A21&lt;C$20,$G$10*OFFSET(C21,0,-1),IF($A21=C$20,$G$9*OFFSET(C21,1,-1),""))</f>
        <v/>
      </c>
      <c r="D21" s="4" t="str">
        <f t="shared" ca="1" si="0"/>
        <v/>
      </c>
      <c r="E21" s="4" t="str">
        <f t="shared" ca="1" si="0"/>
        <v/>
      </c>
      <c r="F21" s="4" t="str">
        <f t="shared" ca="1" si="0"/>
        <v/>
      </c>
      <c r="G21" s="4" t="str">
        <f t="shared" ca="1" si="0"/>
        <v/>
      </c>
      <c r="H21" s="4" t="str">
        <f t="shared" ca="1" si="0"/>
        <v/>
      </c>
      <c r="I21" s="4" t="str">
        <f t="shared" ca="1" si="0"/>
        <v/>
      </c>
      <c r="J21" s="4" t="str">
        <f t="shared" ca="1" si="0"/>
        <v/>
      </c>
      <c r="K21" s="4">
        <f t="shared" ca="1" si="0"/>
        <v>152.84651603231768</v>
      </c>
      <c r="M21">
        <v>9</v>
      </c>
      <c r="N21" s="4" t="str">
        <f t="array" ref="N21:W30">BinTree(1,D4,D6,D8,D12,D13,D15)</f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>
        <v>152.84651603231768</v>
      </c>
    </row>
    <row r="22" spans="1:23" x14ac:dyDescent="0.3">
      <c r="A22">
        <v>8</v>
      </c>
      <c r="C22" s="4" t="str">
        <f t="shared" ca="1" si="0"/>
        <v/>
      </c>
      <c r="D22" s="4" t="str">
        <f t="shared" ca="1" si="0"/>
        <v/>
      </c>
      <c r="E22" s="4" t="str">
        <f t="shared" ca="1" si="0"/>
        <v/>
      </c>
      <c r="F22" s="4" t="str">
        <f t="shared" ca="1" si="0"/>
        <v/>
      </c>
      <c r="G22" s="4" t="str">
        <f t="shared" ca="1" si="0"/>
        <v/>
      </c>
      <c r="H22" s="4" t="str">
        <f t="shared" ca="1" si="0"/>
        <v/>
      </c>
      <c r="I22" s="4" t="str">
        <f t="shared" ca="1" si="0"/>
        <v/>
      </c>
      <c r="J22" s="4">
        <f t="shared" ca="1" si="0"/>
        <v>145.80845417325602</v>
      </c>
      <c r="K22" s="4">
        <f t="shared" ca="1" si="0"/>
        <v>139.09447110917</v>
      </c>
      <c r="M22">
        <v>8</v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>
        <v>145.80845417325602</v>
      </c>
      <c r="W22" s="4">
        <v>139.09447110917</v>
      </c>
    </row>
    <row r="23" spans="1:23" x14ac:dyDescent="0.3">
      <c r="A23">
        <v>7</v>
      </c>
      <c r="C23" s="4" t="str">
        <f t="shared" ca="1" si="0"/>
        <v/>
      </c>
      <c r="D23" s="4" t="str">
        <f t="shared" ca="1" si="0"/>
        <v/>
      </c>
      <c r="E23" s="4" t="str">
        <f t="shared" ca="1" si="0"/>
        <v/>
      </c>
      <c r="F23" s="4" t="str">
        <f t="shared" ca="1" si="0"/>
        <v/>
      </c>
      <c r="G23" s="4" t="str">
        <f t="shared" ca="1" si="0"/>
        <v/>
      </c>
      <c r="H23" s="4" t="str">
        <f t="shared" ca="1" si="0"/>
        <v/>
      </c>
      <c r="I23" s="4">
        <f t="shared" ca="1" si="0"/>
        <v>139.09447110917</v>
      </c>
      <c r="J23" s="4">
        <f t="shared" ca="1" si="0"/>
        <v>132.68964411453433</v>
      </c>
      <c r="K23" s="4">
        <f t="shared" ca="1" si="0"/>
        <v>126.57973760454551</v>
      </c>
      <c r="M23">
        <v>7</v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>
        <v>139.09447110917</v>
      </c>
      <c r="V23" s="4">
        <v>132.68964411453433</v>
      </c>
      <c r="W23" s="4">
        <v>126.57973760454551</v>
      </c>
    </row>
    <row r="24" spans="1:23" x14ac:dyDescent="0.3">
      <c r="A24">
        <v>6</v>
      </c>
      <c r="C24" s="4" t="str">
        <f t="shared" ca="1" si="0"/>
        <v/>
      </c>
      <c r="D24" s="4" t="str">
        <f t="shared" ca="1" si="0"/>
        <v/>
      </c>
      <c r="E24" s="4" t="str">
        <f t="shared" ca="1" si="0"/>
        <v/>
      </c>
      <c r="F24" s="4" t="str">
        <f t="shared" ca="1" si="0"/>
        <v/>
      </c>
      <c r="G24" s="4" t="str">
        <f t="shared" ca="1" si="0"/>
        <v/>
      </c>
      <c r="H24" s="4">
        <f t="shared" ca="1" si="0"/>
        <v>132.68964411453433</v>
      </c>
      <c r="I24" s="4">
        <f t="shared" ca="1" si="0"/>
        <v>126.57973760454551</v>
      </c>
      <c r="J24" s="4">
        <f t="shared" ca="1" si="0"/>
        <v>120.75117149463027</v>
      </c>
      <c r="K24" s="4">
        <f t="shared" ca="1" si="0"/>
        <v>115.19099101689091</v>
      </c>
      <c r="M24">
        <v>6</v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>
        <v>132.68964411453433</v>
      </c>
      <c r="U24" s="4">
        <v>126.57973760454551</v>
      </c>
      <c r="V24" s="4">
        <v>120.75117149463027</v>
      </c>
      <c r="W24" s="4">
        <v>115.19099101689091</v>
      </c>
    </row>
    <row r="25" spans="1:23" x14ac:dyDescent="0.3">
      <c r="A25">
        <v>5</v>
      </c>
      <c r="C25" s="4" t="str">
        <f t="shared" ca="1" si="0"/>
        <v/>
      </c>
      <c r="D25" s="4" t="str">
        <f t="shared" ca="1" si="0"/>
        <v/>
      </c>
      <c r="E25" s="4" t="str">
        <f t="shared" ca="1" si="0"/>
        <v/>
      </c>
      <c r="F25" s="4" t="str">
        <f t="shared" ca="1" si="0"/>
        <v/>
      </c>
      <c r="G25" s="4">
        <f t="shared" ca="1" si="0"/>
        <v>126.5797376045455</v>
      </c>
      <c r="H25" s="4">
        <f t="shared" ca="1" si="0"/>
        <v>120.75117149463026</v>
      </c>
      <c r="I25" s="4">
        <f t="shared" ca="1" si="0"/>
        <v>115.19099101689089</v>
      </c>
      <c r="J25" s="4">
        <f t="shared" ca="1" si="0"/>
        <v>109.88683792640059</v>
      </c>
      <c r="K25" s="4">
        <f t="shared" ca="1" si="0"/>
        <v>104.82692303335085</v>
      </c>
      <c r="M25">
        <v>5</v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>
        <v>126.5797376045455</v>
      </c>
      <c r="T25" s="4">
        <v>120.75117149463026</v>
      </c>
      <c r="U25" s="4">
        <v>115.19099101689089</v>
      </c>
      <c r="V25" s="4">
        <v>109.88683792640059</v>
      </c>
      <c r="W25" s="4">
        <v>104.82692303335085</v>
      </c>
    </row>
    <row r="26" spans="1:23" x14ac:dyDescent="0.3">
      <c r="A26">
        <v>4</v>
      </c>
      <c r="C26" s="4" t="str">
        <f t="shared" ca="1" si="0"/>
        <v/>
      </c>
      <c r="D26" s="4" t="str">
        <f t="shared" ca="1" si="0"/>
        <v/>
      </c>
      <c r="E26" s="4" t="str">
        <f t="shared" ca="1" si="0"/>
        <v/>
      </c>
      <c r="F26" s="4">
        <f t="shared" ca="1" si="0"/>
        <v>120.75117149463024</v>
      </c>
      <c r="G26" s="4">
        <f t="shared" ca="1" si="0"/>
        <v>115.19099101689088</v>
      </c>
      <c r="H26" s="4">
        <f t="shared" ca="1" si="0"/>
        <v>109.88683792640057</v>
      </c>
      <c r="I26" s="4">
        <f t="shared" ca="1" si="0"/>
        <v>104.82692303335084</v>
      </c>
      <c r="J26" s="4">
        <f t="shared" ca="1" si="0"/>
        <v>100.00000000000003</v>
      </c>
      <c r="K26" s="4">
        <f t="shared" ca="1" si="0"/>
        <v>95.395340344183253</v>
      </c>
      <c r="M26">
        <v>4</v>
      </c>
      <c r="N26" s="4" t="str">
        <v/>
      </c>
      <c r="O26" s="4" t="str">
        <v/>
      </c>
      <c r="P26" s="4" t="str">
        <v/>
      </c>
      <c r="Q26" s="4" t="str">
        <v/>
      </c>
      <c r="R26" s="4">
        <v>120.75117149463024</v>
      </c>
      <c r="S26" s="4">
        <v>115.19099101689088</v>
      </c>
      <c r="T26" s="4">
        <v>109.88683792640057</v>
      </c>
      <c r="U26" s="4">
        <v>104.82692303335084</v>
      </c>
      <c r="V26" s="4">
        <v>100.00000000000003</v>
      </c>
      <c r="W26" s="4">
        <v>95.395340344183253</v>
      </c>
    </row>
    <row r="27" spans="1:23" x14ac:dyDescent="0.3">
      <c r="A27">
        <v>3</v>
      </c>
      <c r="C27" s="4" t="str">
        <f t="shared" ca="1" si="0"/>
        <v/>
      </c>
      <c r="D27" s="4" t="str">
        <f t="shared" ca="1" si="0"/>
        <v/>
      </c>
      <c r="E27" s="4">
        <f t="shared" ca="1" si="0"/>
        <v>115.19099101689086</v>
      </c>
      <c r="F27" s="4">
        <f t="shared" ca="1" si="0"/>
        <v>109.88683792640056</v>
      </c>
      <c r="G27" s="4">
        <f t="shared" ca="1" si="0"/>
        <v>104.82692303335082</v>
      </c>
      <c r="H27" s="4">
        <f t="shared" ca="1" si="0"/>
        <v>100.00000000000001</v>
      </c>
      <c r="I27" s="4">
        <f t="shared" ca="1" si="0"/>
        <v>95.395340344183239</v>
      </c>
      <c r="J27" s="4">
        <f t="shared" ca="1" si="0"/>
        <v>91.002709593825529</v>
      </c>
      <c r="K27" s="4">
        <f t="shared" ca="1" si="0"/>
        <v>86.812344539458536</v>
      </c>
      <c r="M27">
        <v>3</v>
      </c>
      <c r="N27" s="4" t="str">
        <v/>
      </c>
      <c r="O27" s="4" t="str">
        <v/>
      </c>
      <c r="P27" s="4" t="str">
        <v/>
      </c>
      <c r="Q27" s="4">
        <v>115.19099101689086</v>
      </c>
      <c r="R27" s="4">
        <v>109.88683792640056</v>
      </c>
      <c r="S27" s="4">
        <v>104.82692303335082</v>
      </c>
      <c r="T27" s="4">
        <v>100.00000000000001</v>
      </c>
      <c r="U27" s="4">
        <v>95.395340344183239</v>
      </c>
      <c r="V27" s="4">
        <v>91.002709593825529</v>
      </c>
      <c r="W27" s="4">
        <v>86.812344539458536</v>
      </c>
    </row>
    <row r="28" spans="1:23" x14ac:dyDescent="0.3">
      <c r="A28">
        <v>2</v>
      </c>
      <c r="C28" s="4" t="str">
        <f t="shared" ca="1" si="0"/>
        <v/>
      </c>
      <c r="D28" s="4">
        <f t="shared" ca="1" si="0"/>
        <v>109.88683792640056</v>
      </c>
      <c r="E28" s="4">
        <f t="shared" ca="1" si="0"/>
        <v>104.82692303335082</v>
      </c>
      <c r="F28" s="4">
        <f t="shared" ca="1" si="0"/>
        <v>100.00000000000001</v>
      </c>
      <c r="G28" s="4">
        <f t="shared" ca="1" si="0"/>
        <v>95.395340344183239</v>
      </c>
      <c r="H28" s="4">
        <f t="shared" ca="1" si="0"/>
        <v>91.002709593825529</v>
      </c>
      <c r="I28" s="4">
        <f t="shared" ca="1" si="0"/>
        <v>86.812344539458536</v>
      </c>
      <c r="J28" s="4">
        <f t="shared" ca="1" si="0"/>
        <v>82.814931534181426</v>
      </c>
      <c r="K28" s="4">
        <f t="shared" ca="1" si="0"/>
        <v>79.001585792834689</v>
      </c>
      <c r="M28">
        <v>2</v>
      </c>
      <c r="N28" s="4" t="str">
        <v/>
      </c>
      <c r="O28" s="4" t="str">
        <v/>
      </c>
      <c r="P28" s="4">
        <v>109.88683792640056</v>
      </c>
      <c r="Q28" s="4">
        <v>104.82692303335082</v>
      </c>
      <c r="R28" s="4">
        <v>100.00000000000001</v>
      </c>
      <c r="S28" s="4">
        <v>95.395340344183239</v>
      </c>
      <c r="T28" s="4">
        <v>91.002709593825529</v>
      </c>
      <c r="U28" s="4">
        <v>86.812344539458536</v>
      </c>
      <c r="V28" s="4">
        <v>82.814931534181426</v>
      </c>
      <c r="W28" s="4">
        <v>79.001585792834689</v>
      </c>
    </row>
    <row r="29" spans="1:23" x14ac:dyDescent="0.3">
      <c r="A29">
        <v>1</v>
      </c>
      <c r="C29" s="4">
        <f t="shared" ca="1" si="0"/>
        <v>104.82692303335082</v>
      </c>
      <c r="D29" s="4">
        <f t="shared" ca="1" si="0"/>
        <v>100.00000000000001</v>
      </c>
      <c r="E29" s="4">
        <f t="shared" ca="1" si="0"/>
        <v>95.395340344183239</v>
      </c>
      <c r="F29" s="4">
        <f t="shared" ca="1" si="0"/>
        <v>91.002709593825529</v>
      </c>
      <c r="G29" s="4">
        <f t="shared" ca="1" si="0"/>
        <v>86.812344539458536</v>
      </c>
      <c r="H29" s="4">
        <f t="shared" ca="1" si="0"/>
        <v>82.814931534181426</v>
      </c>
      <c r="I29" s="4">
        <f t="shared" ca="1" si="0"/>
        <v>79.001585792834689</v>
      </c>
      <c r="J29" s="4">
        <f t="shared" ca="1" si="0"/>
        <v>75.363831644376546</v>
      </c>
      <c r="K29" s="4">
        <f t="shared" ca="1" si="0"/>
        <v>71.893583693570264</v>
      </c>
      <c r="M29">
        <v>1</v>
      </c>
      <c r="N29" s="4" t="str">
        <v/>
      </c>
      <c r="O29" s="4">
        <v>104.82692303335082</v>
      </c>
      <c r="P29" s="4">
        <v>100.00000000000001</v>
      </c>
      <c r="Q29" s="4">
        <v>95.395340344183239</v>
      </c>
      <c r="R29" s="4">
        <v>91.002709593825529</v>
      </c>
      <c r="S29" s="4">
        <v>86.812344539458536</v>
      </c>
      <c r="T29" s="4">
        <v>82.814931534181426</v>
      </c>
      <c r="U29" s="4">
        <v>79.001585792834689</v>
      </c>
      <c r="V29" s="4">
        <v>75.363831644376546</v>
      </c>
      <c r="W29" s="4">
        <v>71.893583693570264</v>
      </c>
    </row>
    <row r="30" spans="1:23" x14ac:dyDescent="0.3">
      <c r="A30">
        <v>0</v>
      </c>
      <c r="B30" s="7">
        <f>$D$4</f>
        <v>100</v>
      </c>
      <c r="C30" s="7">
        <f t="shared" ca="1" si="0"/>
        <v>95.395340344183225</v>
      </c>
      <c r="D30" s="4">
        <f t="shared" ca="1" si="0"/>
        <v>91.002709593825514</v>
      </c>
      <c r="E30" s="4">
        <f t="shared" ca="1" si="0"/>
        <v>86.812344539458522</v>
      </c>
      <c r="F30" s="4">
        <f t="shared" ca="1" si="0"/>
        <v>82.814931534181412</v>
      </c>
      <c r="G30" s="4">
        <f t="shared" ca="1" si="0"/>
        <v>79.001585792834675</v>
      </c>
      <c r="H30" s="4">
        <f t="shared" ca="1" si="0"/>
        <v>75.363831644376532</v>
      </c>
      <c r="I30" s="4">
        <f t="shared" ca="1" si="0"/>
        <v>71.89358369357025</v>
      </c>
      <c r="J30" s="4">
        <f t="shared" ca="1" si="0"/>
        <v>68.583128850111549</v>
      </c>
      <c r="K30" s="4">
        <f t="shared" ca="1" si="0"/>
        <v>65.425109185253632</v>
      </c>
      <c r="M30">
        <v>0</v>
      </c>
      <c r="N30" s="4">
        <v>100</v>
      </c>
      <c r="O30" s="4">
        <v>95.395340344183225</v>
      </c>
      <c r="P30" s="4">
        <v>91.002709593825514</v>
      </c>
      <c r="Q30" s="4">
        <v>86.812344539458522</v>
      </c>
      <c r="R30" s="4">
        <v>82.814931534181412</v>
      </c>
      <c r="S30" s="4">
        <v>79.001585792834675</v>
      </c>
      <c r="T30" s="4">
        <v>75.363831644376532</v>
      </c>
      <c r="U30" s="4">
        <v>71.89358369357025</v>
      </c>
      <c r="V30" s="4">
        <v>68.583128850111549</v>
      </c>
      <c r="W30" s="4">
        <v>65.425109185253632</v>
      </c>
    </row>
    <row r="31" spans="1:23" x14ac:dyDescent="0.3">
      <c r="B31" s="7"/>
      <c r="C31" s="7"/>
      <c r="D31" s="4"/>
      <c r="E31" s="4"/>
      <c r="F31" s="4"/>
      <c r="G31" s="4"/>
      <c r="H31" s="4"/>
      <c r="I31" s="4"/>
      <c r="J31" s="4"/>
      <c r="K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x14ac:dyDescent="0.3">
      <c r="B32" s="7"/>
      <c r="C32" s="7"/>
      <c r="D32" s="4"/>
      <c r="E32" s="4"/>
      <c r="F32" s="4"/>
      <c r="G32" s="4"/>
      <c r="H32" s="4"/>
      <c r="I32" s="4"/>
      <c r="J32" s="4"/>
      <c r="K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x14ac:dyDescent="0.3">
      <c r="A33" s="5" t="s">
        <v>39</v>
      </c>
      <c r="M33" s="8" t="s">
        <v>38</v>
      </c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x14ac:dyDescent="0.3">
      <c r="B34" s="3">
        <v>0</v>
      </c>
      <c r="C34" s="3">
        <v>1</v>
      </c>
      <c r="D34" s="3">
        <v>2</v>
      </c>
      <c r="E34" s="3">
        <v>3</v>
      </c>
      <c r="F34" s="3">
        <v>4</v>
      </c>
      <c r="G34" s="3">
        <v>5</v>
      </c>
      <c r="H34" s="3">
        <v>6</v>
      </c>
      <c r="I34" s="3">
        <v>7</v>
      </c>
      <c r="J34" s="3">
        <v>8</v>
      </c>
      <c r="K34" s="3">
        <v>9</v>
      </c>
      <c r="N34" s="3">
        <v>0</v>
      </c>
      <c r="O34" s="3">
        <v>1</v>
      </c>
      <c r="P34" s="3">
        <v>2</v>
      </c>
      <c r="Q34" s="3">
        <v>3</v>
      </c>
      <c r="R34" s="3">
        <v>4</v>
      </c>
      <c r="S34" s="3">
        <v>5</v>
      </c>
      <c r="T34" s="3">
        <v>6</v>
      </c>
      <c r="U34" s="3">
        <v>7</v>
      </c>
      <c r="V34" s="3">
        <v>8</v>
      </c>
      <c r="W34" s="3">
        <v>9</v>
      </c>
    </row>
    <row r="35" spans="1:23" x14ac:dyDescent="0.3">
      <c r="A35">
        <v>9</v>
      </c>
      <c r="B35" s="25" t="str">
        <f t="shared" ref="B35:K35" si="1">IF($A35&lt;=B$34,COMBIN(B$34,$A35)*$G$11^$A35*$G$12^(B$34-$A35),"")</f>
        <v/>
      </c>
      <c r="C35" s="25" t="str">
        <f t="shared" si="1"/>
        <v/>
      </c>
      <c r="D35" s="25" t="str">
        <f t="shared" si="1"/>
        <v/>
      </c>
      <c r="E35" s="25" t="str">
        <f t="shared" si="1"/>
        <v/>
      </c>
      <c r="F35" s="25" t="str">
        <f t="shared" si="1"/>
        <v/>
      </c>
      <c r="G35" s="25" t="str">
        <f t="shared" si="1"/>
        <v/>
      </c>
      <c r="H35" s="25" t="str">
        <f t="shared" si="1"/>
        <v/>
      </c>
      <c r="I35" s="25" t="str">
        <f t="shared" si="1"/>
        <v/>
      </c>
      <c r="J35" s="25" t="str">
        <f t="shared" si="1"/>
        <v/>
      </c>
      <c r="K35" s="25">
        <f t="shared" si="1"/>
        <v>2.6716411218499427E-3</v>
      </c>
      <c r="M35">
        <v>9</v>
      </c>
      <c r="N35" s="21" t="str">
        <f t="array" ref="N35:W44">BinTreeProbs(1,D6,D8,D12,D13,D15)</f>
        <v/>
      </c>
      <c r="O35" s="21" t="str">
        <v/>
      </c>
      <c r="P35" s="21" t="str">
        <v/>
      </c>
      <c r="Q35" s="21" t="str">
        <v/>
      </c>
      <c r="R35" s="21" t="str">
        <v/>
      </c>
      <c r="S35" s="21" t="str">
        <v/>
      </c>
      <c r="T35" s="21" t="str">
        <v/>
      </c>
      <c r="U35" s="21" t="str">
        <v/>
      </c>
      <c r="V35" s="21" t="str">
        <v/>
      </c>
      <c r="W35" s="21">
        <v>2.6716411218499431E-3</v>
      </c>
    </row>
    <row r="36" spans="1:23" x14ac:dyDescent="0.3">
      <c r="A36">
        <v>8</v>
      </c>
      <c r="K36" s="25">
        <f t="shared" ref="K36:K44" si="2">IF($A36&lt;=K$34,COMBIN(K$34,$A36)*$G$11^$A36*$G$12^(K$34-$A36),"")</f>
        <v>2.2399717004783482E-2</v>
      </c>
      <c r="M36">
        <v>8</v>
      </c>
      <c r="N36" s="21" t="str">
        <v/>
      </c>
      <c r="O36" s="21" t="str">
        <v/>
      </c>
      <c r="P36" s="21" t="str">
        <v/>
      </c>
      <c r="Q36" s="21" t="str">
        <v/>
      </c>
      <c r="R36" s="21" t="str">
        <v/>
      </c>
      <c r="S36" s="21" t="str">
        <v/>
      </c>
      <c r="T36" s="21" t="str">
        <v/>
      </c>
      <c r="U36" s="21" t="str">
        <v/>
      </c>
      <c r="V36" s="21">
        <v>5.160498566825886E-3</v>
      </c>
      <c r="W36" s="21">
        <v>2.2399717004783486E-2</v>
      </c>
    </row>
    <row r="37" spans="1:23" x14ac:dyDescent="0.3">
      <c r="A37">
        <v>7</v>
      </c>
      <c r="K37" s="25">
        <f t="shared" si="2"/>
        <v>8.3468849130614448E-2</v>
      </c>
      <c r="M37">
        <v>7</v>
      </c>
      <c r="N37" s="21" t="str">
        <v/>
      </c>
      <c r="O37" s="21" t="str">
        <v/>
      </c>
      <c r="P37" s="21" t="str">
        <v/>
      </c>
      <c r="Q37" s="21" t="str">
        <v/>
      </c>
      <c r="R37" s="21" t="str">
        <v/>
      </c>
      <c r="S37" s="21" t="str">
        <v/>
      </c>
      <c r="T37" s="21" t="str">
        <v/>
      </c>
      <c r="U37" s="21">
        <v>9.9679351543188969E-3</v>
      </c>
      <c r="V37" s="21">
        <v>3.8459492699944087E-2</v>
      </c>
      <c r="W37" s="21">
        <v>8.3468849130614448E-2</v>
      </c>
    </row>
    <row r="38" spans="1:23" x14ac:dyDescent="0.3">
      <c r="A38">
        <v>6</v>
      </c>
      <c r="K38" s="25">
        <f t="shared" si="2"/>
        <v>0.18143585406276252</v>
      </c>
      <c r="M38">
        <v>6</v>
      </c>
      <c r="N38" s="21" t="str">
        <v/>
      </c>
      <c r="O38" s="21" t="str">
        <v/>
      </c>
      <c r="P38" s="21" t="str">
        <v/>
      </c>
      <c r="Q38" s="21" t="str">
        <v/>
      </c>
      <c r="R38" s="21" t="str">
        <v/>
      </c>
      <c r="S38" s="21" t="str">
        <v/>
      </c>
      <c r="T38" s="21">
        <v>1.9253901527933291E-2</v>
      </c>
      <c r="U38" s="21">
        <v>6.5001764615300758E-2</v>
      </c>
      <c r="V38" s="21">
        <v>0.12539883401139873</v>
      </c>
      <c r="W38" s="21">
        <v>0.18143585406276252</v>
      </c>
    </row>
    <row r="39" spans="1:23" x14ac:dyDescent="0.3">
      <c r="A39">
        <v>5</v>
      </c>
      <c r="K39" s="25">
        <f t="shared" si="2"/>
        <v>0.25353403895261545</v>
      </c>
      <c r="M39">
        <v>5</v>
      </c>
      <c r="N39" s="21" t="str">
        <v/>
      </c>
      <c r="O39" s="21" t="str">
        <v/>
      </c>
      <c r="P39" s="21" t="str">
        <v/>
      </c>
      <c r="Q39" s="21" t="str">
        <v/>
      </c>
      <c r="R39" s="21" t="str">
        <v/>
      </c>
      <c r="S39" s="21">
        <v>3.7190523243595737E-2</v>
      </c>
      <c r="T39" s="21">
        <v>0.10761973029397465</v>
      </c>
      <c r="U39" s="21">
        <v>0.18166376218300898</v>
      </c>
      <c r="V39" s="21">
        <v>0.23363903113189308</v>
      </c>
      <c r="W39" s="21">
        <v>0.25353403895261561</v>
      </c>
    </row>
    <row r="40" spans="1:23" x14ac:dyDescent="0.3">
      <c r="A40">
        <v>4</v>
      </c>
      <c r="K40" s="25">
        <f t="shared" si="2"/>
        <v>0.23618818981387105</v>
      </c>
      <c r="M40">
        <v>4</v>
      </c>
      <c r="N40" s="21" t="str">
        <v/>
      </c>
      <c r="O40" s="21" t="str">
        <v/>
      </c>
      <c r="P40" s="21" t="str">
        <v/>
      </c>
      <c r="Q40" s="21" t="str">
        <v/>
      </c>
      <c r="R40" s="21">
        <v>7.1836610212522467E-2</v>
      </c>
      <c r="S40" s="21">
        <v>0.17323043484463366</v>
      </c>
      <c r="T40" s="21">
        <v>0.25064197879896427</v>
      </c>
      <c r="U40" s="21">
        <v>0.28205834689256831</v>
      </c>
      <c r="V40" s="21">
        <v>0.27206790487027038</v>
      </c>
      <c r="W40" s="21">
        <v>0.23618818981387113</v>
      </c>
    </row>
    <row r="41" spans="1:23" x14ac:dyDescent="0.3">
      <c r="A41">
        <v>3</v>
      </c>
      <c r="K41" s="25">
        <f t="shared" si="2"/>
        <v>0.14668605246066951</v>
      </c>
      <c r="M41">
        <v>3</v>
      </c>
      <c r="N41" s="21" t="str">
        <v/>
      </c>
      <c r="O41" s="21" t="str">
        <v/>
      </c>
      <c r="P41" s="21" t="str">
        <v/>
      </c>
      <c r="Q41" s="21">
        <v>0.13875842867348021</v>
      </c>
      <c r="R41" s="21">
        <v>0.26768727384383095</v>
      </c>
      <c r="S41" s="21">
        <v>0.32275731492031012</v>
      </c>
      <c r="T41" s="21">
        <v>0.31132532477533459</v>
      </c>
      <c r="U41" s="21">
        <v>0.26276097146426725</v>
      </c>
      <c r="V41" s="21">
        <v>0.20276323044661132</v>
      </c>
      <c r="W41" s="21">
        <v>0.14668605246066954</v>
      </c>
    </row>
    <row r="42" spans="1:23" x14ac:dyDescent="0.3">
      <c r="A42">
        <v>2</v>
      </c>
      <c r="K42" s="25">
        <f t="shared" si="2"/>
        <v>5.8564432404230621E-2</v>
      </c>
      <c r="M42">
        <v>2</v>
      </c>
      <c r="N42" s="21" t="str">
        <v/>
      </c>
      <c r="O42" s="21" t="str">
        <v/>
      </c>
      <c r="P42" s="21">
        <v>0.26802352548334718</v>
      </c>
      <c r="Q42" s="21">
        <v>0.38779529042960093</v>
      </c>
      <c r="R42" s="21">
        <v>0.37405967009345548</v>
      </c>
      <c r="S42" s="21">
        <v>0.3006754685687823</v>
      </c>
      <c r="T42" s="21">
        <v>0.21751920927167251</v>
      </c>
      <c r="U42" s="21">
        <v>0.14687031010178117</v>
      </c>
      <c r="V42" s="21">
        <v>9.4445464912402563E-2</v>
      </c>
      <c r="W42" s="21">
        <v>5.8564432404230642E-2</v>
      </c>
    </row>
    <row r="43" spans="1:23" x14ac:dyDescent="0.3">
      <c r="A43">
        <v>1</v>
      </c>
      <c r="K43" s="25">
        <f t="shared" si="2"/>
        <v>1.3639418334294388E-2</v>
      </c>
      <c r="M43">
        <v>1</v>
      </c>
      <c r="N43" s="21" t="str">
        <v/>
      </c>
      <c r="O43" s="21">
        <v>0.51770988544101337</v>
      </c>
      <c r="P43" s="21">
        <v>0.49937271991533239</v>
      </c>
      <c r="Q43" s="21">
        <v>0.36126378944339754</v>
      </c>
      <c r="R43" s="21">
        <v>0.23231193919555979</v>
      </c>
      <c r="S43" s="21">
        <v>0.14005218971005859</v>
      </c>
      <c r="T43" s="21">
        <v>8.1054943943401306E-2</v>
      </c>
      <c r="U43" s="21">
        <v>4.560733123337446E-2</v>
      </c>
      <c r="V43" s="21">
        <v>2.5138245720312934E-2</v>
      </c>
      <c r="W43" s="21">
        <v>1.3639418334294391E-2</v>
      </c>
    </row>
    <row r="44" spans="1:23" x14ac:dyDescent="0.3">
      <c r="A44">
        <v>0</v>
      </c>
      <c r="K44" s="26">
        <f t="shared" si="2"/>
        <v>1.4118067143083326E-3</v>
      </c>
      <c r="M44">
        <v>0</v>
      </c>
      <c r="N44" s="21">
        <v>1</v>
      </c>
      <c r="O44" s="21">
        <v>0.48229011455898663</v>
      </c>
      <c r="P44" s="21">
        <v>0.23260375460132043</v>
      </c>
      <c r="Q44" s="21">
        <v>0.11218249145352124</v>
      </c>
      <c r="R44" s="21">
        <v>5.4104506654631304E-2</v>
      </c>
      <c r="S44" s="21">
        <v>2.6094068712619586E-2</v>
      </c>
      <c r="T44" s="21">
        <v>1.2584911388719368E-2</v>
      </c>
      <c r="U44" s="21">
        <v>6.0695783553801593E-3</v>
      </c>
      <c r="V44" s="21">
        <v>2.9272976403410429E-3</v>
      </c>
      <c r="W44" s="21">
        <v>1.4118067143083328E-3</v>
      </c>
    </row>
    <row r="47" spans="1:23" x14ac:dyDescent="0.3">
      <c r="A47" s="5" t="s">
        <v>40</v>
      </c>
    </row>
    <row r="48" spans="1:23" x14ac:dyDescent="0.3">
      <c r="B48" s="3">
        <v>0</v>
      </c>
      <c r="C48" s="3">
        <v>1</v>
      </c>
      <c r="D48" s="3">
        <v>2</v>
      </c>
      <c r="E48" s="3">
        <v>3</v>
      </c>
      <c r="F48" s="3">
        <v>4</v>
      </c>
      <c r="G48" s="3">
        <v>5</v>
      </c>
      <c r="H48" s="3">
        <v>6</v>
      </c>
      <c r="I48" s="3">
        <v>7</v>
      </c>
      <c r="J48" s="3">
        <v>8</v>
      </c>
      <c r="K48" s="3">
        <v>9</v>
      </c>
    </row>
    <row r="49" spans="1:11" x14ac:dyDescent="0.3">
      <c r="A49">
        <v>9</v>
      </c>
      <c r="K49" s="20">
        <f t="shared" ref="K49:K58" ca="1" si="3">MAX($D$16*(K21-$D$5),0)</f>
        <v>57.84651603231768</v>
      </c>
    </row>
    <row r="50" spans="1:11" x14ac:dyDescent="0.3">
      <c r="A50">
        <v>8</v>
      </c>
      <c r="K50" s="20">
        <f t="shared" ca="1" si="3"/>
        <v>44.094471109170001</v>
      </c>
    </row>
    <row r="51" spans="1:11" x14ac:dyDescent="0.3">
      <c r="A51">
        <v>7</v>
      </c>
      <c r="K51" s="20">
        <f t="shared" ca="1" si="3"/>
        <v>31.579737604545514</v>
      </c>
    </row>
    <row r="52" spans="1:11" x14ac:dyDescent="0.3">
      <c r="A52">
        <v>6</v>
      </c>
      <c r="K52" s="20">
        <f t="shared" ca="1" si="3"/>
        <v>20.190991016890905</v>
      </c>
    </row>
    <row r="53" spans="1:11" x14ac:dyDescent="0.3">
      <c r="A53">
        <v>5</v>
      </c>
      <c r="K53" s="20">
        <f t="shared" ca="1" si="3"/>
        <v>9.8269230333508517</v>
      </c>
    </row>
    <row r="54" spans="1:11" x14ac:dyDescent="0.3">
      <c r="A54">
        <v>4</v>
      </c>
      <c r="K54" s="20">
        <f t="shared" ca="1" si="3"/>
        <v>0.39534034418325348</v>
      </c>
    </row>
    <row r="55" spans="1:11" x14ac:dyDescent="0.3">
      <c r="A55">
        <v>3</v>
      </c>
      <c r="K55" s="20">
        <f t="shared" ca="1" si="3"/>
        <v>0</v>
      </c>
    </row>
    <row r="56" spans="1:11" x14ac:dyDescent="0.3">
      <c r="A56">
        <v>2</v>
      </c>
      <c r="K56" s="20">
        <f t="shared" ca="1" si="3"/>
        <v>0</v>
      </c>
    </row>
    <row r="57" spans="1:11" x14ac:dyDescent="0.3">
      <c r="A57">
        <v>1</v>
      </c>
      <c r="K57" s="20">
        <f t="shared" ca="1" si="3"/>
        <v>0</v>
      </c>
    </row>
    <row r="58" spans="1:11" x14ac:dyDescent="0.3">
      <c r="A58">
        <v>0</v>
      </c>
      <c r="K58" s="7">
        <f t="shared" ca="1" si="3"/>
        <v>0</v>
      </c>
    </row>
  </sheetData>
  <printOptions headings="1" gridLines="1"/>
  <pageMargins left="0.75" right="0.75" top="1" bottom="1" header="0.5" footer="0.5"/>
  <pageSetup paperSize="9" scale="73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2"/>
  <sheetViews>
    <sheetView workbookViewId="0"/>
  </sheetViews>
  <sheetFormatPr defaultRowHeight="13" x14ac:dyDescent="0.3"/>
  <cols>
    <col min="1" max="1" width="22.296875" customWidth="1"/>
    <col min="4" max="4" width="10" customWidth="1"/>
  </cols>
  <sheetData>
    <row r="1" spans="1:12" x14ac:dyDescent="0.3">
      <c r="A1" s="5" t="s">
        <v>0</v>
      </c>
    </row>
    <row r="2" spans="1:12" x14ac:dyDescent="0.3">
      <c r="A2" s="5" t="s">
        <v>46</v>
      </c>
    </row>
    <row r="4" spans="1:12" x14ac:dyDescent="0.3">
      <c r="A4" s="6" t="s">
        <v>12</v>
      </c>
      <c r="B4" s="7">
        <v>100</v>
      </c>
      <c r="D4" s="5" t="s">
        <v>42</v>
      </c>
      <c r="G4" s="8" t="s">
        <v>47</v>
      </c>
      <c r="K4" s="4"/>
      <c r="L4" s="4"/>
    </row>
    <row r="5" spans="1:12" x14ac:dyDescent="0.3">
      <c r="A5" s="9" t="s">
        <v>16</v>
      </c>
      <c r="B5" s="7">
        <v>95</v>
      </c>
      <c r="D5" s="10"/>
      <c r="K5" s="21"/>
      <c r="L5" s="21"/>
    </row>
    <row r="6" spans="1:12" x14ac:dyDescent="0.3">
      <c r="A6" s="6" t="s">
        <v>17</v>
      </c>
      <c r="B6" s="11">
        <v>0.08</v>
      </c>
      <c r="D6" s="10" t="s">
        <v>18</v>
      </c>
      <c r="E6" s="2">
        <f>B12/B15</f>
        <v>5.5555555555555552E-2</v>
      </c>
      <c r="K6" s="21"/>
      <c r="L6" s="21"/>
    </row>
    <row r="7" spans="1:12" x14ac:dyDescent="0.3">
      <c r="D7" s="12" t="s">
        <v>20</v>
      </c>
      <c r="E7" s="2">
        <f>EXP(B6*E6)</f>
        <v>1.0044543356358424</v>
      </c>
      <c r="K7" s="21"/>
      <c r="L7" s="21"/>
    </row>
    <row r="8" spans="1:12" x14ac:dyDescent="0.3">
      <c r="A8" s="6" t="s">
        <v>22</v>
      </c>
      <c r="B8" s="11">
        <v>0.03</v>
      </c>
      <c r="D8" s="13" t="s">
        <v>44</v>
      </c>
      <c r="E8" s="2">
        <f>EXP((B6-B8)*E6)</f>
        <v>1.0027816393771962</v>
      </c>
      <c r="K8" s="21"/>
      <c r="L8" s="21"/>
    </row>
    <row r="9" spans="1:12" x14ac:dyDescent="0.3">
      <c r="D9" s="13" t="s">
        <v>23</v>
      </c>
      <c r="E9" s="2">
        <f>EXP(B13*SQRT(E6))</f>
        <v>1.0482692303335082</v>
      </c>
      <c r="K9" s="21"/>
      <c r="L9" s="21"/>
    </row>
    <row r="10" spans="1:12" x14ac:dyDescent="0.3">
      <c r="A10" s="6" t="s">
        <v>25</v>
      </c>
      <c r="B10" s="20">
        <v>0</v>
      </c>
      <c r="D10" s="13" t="s">
        <v>26</v>
      </c>
      <c r="E10" s="2">
        <f>1/E9</f>
        <v>0.95395340344183222</v>
      </c>
      <c r="K10" s="21"/>
      <c r="L10" s="21"/>
    </row>
    <row r="11" spans="1:12" x14ac:dyDescent="0.3">
      <c r="A11" s="6" t="s">
        <v>28</v>
      </c>
      <c r="B11" s="7">
        <v>0.5</v>
      </c>
      <c r="D11" s="13" t="s">
        <v>4</v>
      </c>
      <c r="E11" s="2">
        <f>(E8-E10)/(E9-E10)</f>
        <v>0.51770988544101337</v>
      </c>
      <c r="K11" s="21"/>
      <c r="L11" s="21"/>
    </row>
    <row r="12" spans="1:12" x14ac:dyDescent="0.3">
      <c r="A12" s="6" t="s">
        <v>29</v>
      </c>
      <c r="B12" s="20">
        <f>B11-B10</f>
        <v>0.5</v>
      </c>
      <c r="D12" t="s">
        <v>48</v>
      </c>
      <c r="E12" s="2">
        <f>(E9/E8)*E11</f>
        <v>0.54119393678204697</v>
      </c>
      <c r="K12" s="21"/>
      <c r="L12" s="21"/>
    </row>
    <row r="13" spans="1:12" x14ac:dyDescent="0.3">
      <c r="A13" s="6" t="s">
        <v>31</v>
      </c>
      <c r="B13" s="11">
        <v>0.2</v>
      </c>
    </row>
    <row r="14" spans="1:12" x14ac:dyDescent="0.3">
      <c r="D14" s="6" t="s">
        <v>49</v>
      </c>
      <c r="E14" s="16">
        <f>MAX(0,1+INT(LN(B5/(B4*E10^B15))/LN(E9/E10)))</f>
        <v>4</v>
      </c>
    </row>
    <row r="15" spans="1:12" x14ac:dyDescent="0.3">
      <c r="A15" s="12" t="s">
        <v>32</v>
      </c>
      <c r="B15" s="17">
        <v>9</v>
      </c>
      <c r="G15" t="s">
        <v>50</v>
      </c>
      <c r="H15" s="2">
        <f>BSDOne(B4,B5,B6,B8,B12,B13)</f>
        <v>0.61018573632363982</v>
      </c>
      <c r="L15" s="21"/>
    </row>
    <row r="16" spans="1:12" x14ac:dyDescent="0.3">
      <c r="B16" s="4"/>
      <c r="D16" s="18" t="s">
        <v>51</v>
      </c>
      <c r="E16" s="2">
        <f>1-BINOMDIST(E14-1,B15,E12,TRUE)</f>
        <v>0.82021334651836586</v>
      </c>
      <c r="G16" t="s">
        <v>52</v>
      </c>
      <c r="H16" s="2">
        <f>NORMSDIST(H15)</f>
        <v>0.7291306676505882</v>
      </c>
      <c r="L16" s="21"/>
    </row>
    <row r="17" spans="1:12" x14ac:dyDescent="0.3">
      <c r="A17" s="6" t="s">
        <v>53</v>
      </c>
      <c r="B17" s="4">
        <f>IF(E14&lt;=B15,B4*EXP(-B8*B12)*E16-B5*EXP(-B6*B12)*E18,0)</f>
        <v>9.6332371978806748</v>
      </c>
      <c r="G17" t="s">
        <v>54</v>
      </c>
      <c r="H17" s="2">
        <f>BSDTwo(B4,B5,B6,B8,B12,B13)</f>
        <v>0.46876438008633026</v>
      </c>
      <c r="L17" s="21"/>
    </row>
    <row r="18" spans="1:12" x14ac:dyDescent="0.3">
      <c r="A18" t="s">
        <v>38</v>
      </c>
      <c r="B18" s="4">
        <f>BinEuroOptionValue(1,1,B4,B5,B6,B8,B12,B13,B15)</f>
        <v>9.6332371978806748</v>
      </c>
      <c r="D18" s="18" t="s">
        <v>55</v>
      </c>
      <c r="E18" s="2">
        <f>1-BINOMDIST(E14-1,B15,E11,TRUE)</f>
        <v>0.77969829008649716</v>
      </c>
      <c r="G18" t="s">
        <v>56</v>
      </c>
      <c r="H18" s="2">
        <f>NORMSDIST(H17)</f>
        <v>0.68038095752264316</v>
      </c>
      <c r="L18" s="21"/>
    </row>
    <row r="19" spans="1:12" x14ac:dyDescent="0.3">
      <c r="L19" s="21"/>
    </row>
    <row r="20" spans="1:12" x14ac:dyDescent="0.3">
      <c r="A20" s="6" t="s">
        <v>57</v>
      </c>
      <c r="B20" s="4">
        <f>BSOptionValue(1,B4,B5,B6,B8,B12,B13)</f>
        <v>9.7257629574651006</v>
      </c>
      <c r="L20" s="21"/>
    </row>
    <row r="21" spans="1:12" x14ac:dyDescent="0.3">
      <c r="L21" s="21"/>
    </row>
    <row r="22" spans="1:12" x14ac:dyDescent="0.3">
      <c r="L22" s="21"/>
    </row>
  </sheetData>
  <printOptions headings="1" gridLines="1"/>
  <pageMargins left="0.75" right="0.75" top="1" bottom="1" header="0.5" footer="0.5"/>
  <pageSetup paperSize="9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/>
  </sheetViews>
  <sheetFormatPr defaultRowHeight="13" x14ac:dyDescent="0.3"/>
  <cols>
    <col min="9" max="9" width="10" customWidth="1"/>
  </cols>
  <sheetData>
    <row r="1" spans="1:15" x14ac:dyDescent="0.3">
      <c r="A1" s="5" t="s">
        <v>0</v>
      </c>
    </row>
    <row r="2" spans="1:15" x14ac:dyDescent="0.3">
      <c r="A2" s="5" t="s">
        <v>58</v>
      </c>
    </row>
    <row r="3" spans="1:15" x14ac:dyDescent="0.3">
      <c r="F3" s="1" t="s">
        <v>59</v>
      </c>
    </row>
    <row r="4" spans="1:15" x14ac:dyDescent="0.3">
      <c r="A4" s="6" t="s">
        <v>12</v>
      </c>
      <c r="D4" s="7">
        <v>100</v>
      </c>
      <c r="F4" s="10" t="s">
        <v>18</v>
      </c>
      <c r="G4" s="2">
        <f>D12/D15</f>
        <v>5.5555555555555552E-2</v>
      </c>
      <c r="J4" s="3" t="s">
        <v>14</v>
      </c>
      <c r="K4" s="3" t="s">
        <v>60</v>
      </c>
    </row>
    <row r="5" spans="1:15" x14ac:dyDescent="0.3">
      <c r="A5" s="9" t="s">
        <v>16</v>
      </c>
      <c r="D5" s="7">
        <v>95</v>
      </c>
      <c r="F5" s="12" t="s">
        <v>20</v>
      </c>
      <c r="G5" s="2">
        <f>EXP(D6*G4)</f>
        <v>1.0044543356358424</v>
      </c>
    </row>
    <row r="6" spans="1:15" x14ac:dyDescent="0.3">
      <c r="A6" s="6" t="s">
        <v>17</v>
      </c>
      <c r="D6" s="11">
        <v>0.08</v>
      </c>
      <c r="F6" s="13" t="s">
        <v>44</v>
      </c>
      <c r="G6" s="2">
        <f>EXP((D6-D8)*G4)</f>
        <v>1.0027816393771962</v>
      </c>
      <c r="I6" t="s">
        <v>19</v>
      </c>
      <c r="J6" s="2">
        <f>LN(D4)+(D6-D8-0.5*D13^2)*D12</f>
        <v>4.6201701859880915</v>
      </c>
      <c r="K6" s="2">
        <f ca="1">2*LN(K9)-0.5*LN(K10)</f>
        <v>4.6209446498312001</v>
      </c>
    </row>
    <row r="7" spans="1:15" x14ac:dyDescent="0.3">
      <c r="F7" t="s">
        <v>50</v>
      </c>
      <c r="G7" s="2">
        <f>BSDOne(D4,D5,D6,D8,D12,D13)</f>
        <v>0.61018573632363982</v>
      </c>
      <c r="I7" t="s">
        <v>21</v>
      </c>
      <c r="J7" s="2">
        <f>D13^2*D12</f>
        <v>2.0000000000000004E-2</v>
      </c>
      <c r="K7" s="2">
        <f ca="1">LN(K10)-2*LN(K9)</f>
        <v>1.8451072313782291E-2</v>
      </c>
    </row>
    <row r="8" spans="1:15" x14ac:dyDescent="0.3">
      <c r="A8" s="6" t="s">
        <v>22</v>
      </c>
      <c r="D8" s="11">
        <v>0.03</v>
      </c>
      <c r="F8" t="s">
        <v>54</v>
      </c>
      <c r="G8" s="2">
        <f>BSDTwo(D4,D5,D6,D8,D12,D13)</f>
        <v>0.46876438008633026</v>
      </c>
    </row>
    <row r="9" spans="1:15" x14ac:dyDescent="0.3">
      <c r="F9" s="13" t="s">
        <v>4</v>
      </c>
      <c r="G9" s="2">
        <f>PPNormInv(G8,D15)</f>
        <v>0.57551410988837215</v>
      </c>
      <c r="I9" t="s">
        <v>24</v>
      </c>
      <c r="J9" s="21">
        <f>EXP(J6+0.5*J7)</f>
        <v>102.53151205244288</v>
      </c>
      <c r="K9" s="21">
        <f ca="1">SUMPRODUCT(K$35:K$44,K$21:K$30)</f>
        <v>102.53151205244286</v>
      </c>
    </row>
    <row r="10" spans="1:15" x14ac:dyDescent="0.3">
      <c r="A10" s="6" t="s">
        <v>25</v>
      </c>
      <c r="D10" s="15">
        <v>0</v>
      </c>
      <c r="F10" s="13" t="s">
        <v>30</v>
      </c>
      <c r="G10" s="2">
        <f>1-G9</f>
        <v>0.42448589011162785</v>
      </c>
      <c r="I10" t="s">
        <v>27</v>
      </c>
      <c r="J10" s="28">
        <f>EXP(2*J6+2*J7)</f>
        <v>10725.081812542157</v>
      </c>
      <c r="K10" s="28">
        <f ca="1">SUMPRODUCT(K$35:K$44,(K$21:K$30)^2)</f>
        <v>10708.482295430349</v>
      </c>
    </row>
    <row r="11" spans="1:15" x14ac:dyDescent="0.3">
      <c r="A11" s="6" t="s">
        <v>28</v>
      </c>
      <c r="D11" s="14">
        <v>0.5</v>
      </c>
      <c r="F11" s="6" t="s">
        <v>48</v>
      </c>
      <c r="G11" s="2">
        <f>PPNormInv(G7,D15)</f>
        <v>0.59790502249850441</v>
      </c>
    </row>
    <row r="12" spans="1:15" x14ac:dyDescent="0.3">
      <c r="A12" s="6" t="s">
        <v>29</v>
      </c>
      <c r="D12" s="15">
        <f>D11-D10</f>
        <v>0.5</v>
      </c>
      <c r="F12" s="13" t="s">
        <v>23</v>
      </c>
      <c r="G12" s="2">
        <f>G6*G11/G9</f>
        <v>1.0417957932763857</v>
      </c>
      <c r="J12" s="6" t="s">
        <v>49</v>
      </c>
      <c r="K12" s="16">
        <f>(D15+1)/2</f>
        <v>5</v>
      </c>
    </row>
    <row r="13" spans="1:15" x14ac:dyDescent="0.3">
      <c r="A13" s="6" t="s">
        <v>31</v>
      </c>
      <c r="D13" s="11">
        <v>0.2</v>
      </c>
      <c r="F13" s="13" t="s">
        <v>26</v>
      </c>
      <c r="G13" s="2">
        <f>G6*(1-G11)/(1-G9)</f>
        <v>0.94988660428324911</v>
      </c>
      <c r="J13" s="18" t="s">
        <v>51</v>
      </c>
      <c r="K13" s="2">
        <f>1-BINOMDIST(K12-1,D15,G11,TRUE)</f>
        <v>0.72903821247311718</v>
      </c>
      <c r="N13" t="s">
        <v>61</v>
      </c>
      <c r="O13" s="2">
        <v>0.71795473036130053</v>
      </c>
    </row>
    <row r="14" spans="1:15" x14ac:dyDescent="0.3">
      <c r="J14" t="s">
        <v>52</v>
      </c>
      <c r="K14" s="2">
        <f>NORMSDIST(G7)</f>
        <v>0.7291306676505882</v>
      </c>
      <c r="N14" t="s">
        <v>62</v>
      </c>
      <c r="O14" s="2">
        <v>2.2977937711352901E-2</v>
      </c>
    </row>
    <row r="15" spans="1:15" x14ac:dyDescent="0.3">
      <c r="A15" s="13" t="s">
        <v>32</v>
      </c>
      <c r="D15" s="16">
        <v>9</v>
      </c>
      <c r="F15" t="s">
        <v>63</v>
      </c>
      <c r="G15" s="21">
        <f ca="1">EXP(-D6*D12)*SUMPRODUCT(K35:K44,K49:K58)</f>
        <v>9.7241801448898411</v>
      </c>
      <c r="J15" s="18" t="s">
        <v>55</v>
      </c>
      <c r="K15" s="2">
        <f>1-BINOMDIST(K12-1,D15,G9,TRUE)</f>
        <v>0.68029851372515548</v>
      </c>
      <c r="N15" t="s">
        <v>64</v>
      </c>
      <c r="O15" s="2">
        <v>31.050970190484861</v>
      </c>
    </row>
    <row r="16" spans="1:15" x14ac:dyDescent="0.3">
      <c r="A16" t="s">
        <v>34</v>
      </c>
      <c r="D16" s="19">
        <v>1</v>
      </c>
      <c r="J16" s="6" t="s">
        <v>56</v>
      </c>
      <c r="K16" s="2">
        <f>NORMSDIST(G8)</f>
        <v>0.68038095752264316</v>
      </c>
      <c r="N16" t="s">
        <v>65</v>
      </c>
      <c r="O16" s="2">
        <v>-7.4073014045001297</v>
      </c>
    </row>
    <row r="17" spans="1:15" x14ac:dyDescent="0.3">
      <c r="A17" t="s">
        <v>35</v>
      </c>
      <c r="D17" s="3" t="str">
        <f>IF(D16=1,"Call","Put")</f>
        <v>Call</v>
      </c>
      <c r="F17" t="s">
        <v>36</v>
      </c>
      <c r="G17" s="21">
        <f>BSOptionValue(D16,D4,D5,D6,D8,D12,D13)</f>
        <v>9.7257629574651006</v>
      </c>
      <c r="N17" t="s">
        <v>66</v>
      </c>
      <c r="O17" s="2">
        <v>23.069007149851828</v>
      </c>
    </row>
    <row r="19" spans="1:15" x14ac:dyDescent="0.3">
      <c r="A19" s="1" t="s">
        <v>37</v>
      </c>
    </row>
    <row r="20" spans="1:15" x14ac:dyDescent="0.3">
      <c r="B20" s="3">
        <v>0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</row>
    <row r="21" spans="1:15" x14ac:dyDescent="0.3">
      <c r="A21">
        <v>9</v>
      </c>
      <c r="C21" s="20" t="str">
        <f t="shared" ref="C21:K30" ca="1" si="0">IF($A21&lt;C$20,$G$13*OFFSET(C21,0,-1),IF($A21=C$20,$G$12*OFFSET(C21,1,-1),""))</f>
        <v/>
      </c>
      <c r="D21" s="20" t="str">
        <f t="shared" ca="1" si="0"/>
        <v/>
      </c>
      <c r="E21" s="20" t="str">
        <f t="shared" ca="1" si="0"/>
        <v/>
      </c>
      <c r="F21" s="20" t="str">
        <f t="shared" ca="1" si="0"/>
        <v/>
      </c>
      <c r="G21" s="20" t="str">
        <f t="shared" ca="1" si="0"/>
        <v/>
      </c>
      <c r="H21" s="20" t="str">
        <f t="shared" ca="1" si="0"/>
        <v/>
      </c>
      <c r="I21" s="20" t="str">
        <f t="shared" ca="1" si="0"/>
        <v/>
      </c>
      <c r="J21" s="20" t="str">
        <f t="shared" ca="1" si="0"/>
        <v/>
      </c>
      <c r="K21" s="20">
        <f t="shared" ca="1" si="0"/>
        <v>144.55842071245675</v>
      </c>
    </row>
    <row r="22" spans="1:15" x14ac:dyDescent="0.3">
      <c r="A22">
        <v>8</v>
      </c>
      <c r="C22" s="20" t="str">
        <f t="shared" ca="1" si="0"/>
        <v/>
      </c>
      <c r="D22" s="20" t="str">
        <f t="shared" ca="1" si="0"/>
        <v/>
      </c>
      <c r="E22" s="20" t="str">
        <f t="shared" ca="1" si="0"/>
        <v/>
      </c>
      <c r="F22" s="20" t="str">
        <f t="shared" ca="1" si="0"/>
        <v/>
      </c>
      <c r="G22" s="20" t="str">
        <f t="shared" ca="1" si="0"/>
        <v/>
      </c>
      <c r="H22" s="20" t="str">
        <f t="shared" ca="1" si="0"/>
        <v/>
      </c>
      <c r="I22" s="20" t="str">
        <f t="shared" ca="1" si="0"/>
        <v/>
      </c>
      <c r="J22" s="20">
        <f t="shared" ca="1" si="0"/>
        <v>138.75888311837883</v>
      </c>
      <c r="K22" s="20">
        <f t="shared" ca="1" si="0"/>
        <v>131.80520429945312</v>
      </c>
    </row>
    <row r="23" spans="1:15" x14ac:dyDescent="0.3">
      <c r="A23">
        <v>7</v>
      </c>
      <c r="C23" s="20" t="str">
        <f t="shared" ca="1" si="0"/>
        <v/>
      </c>
      <c r="D23" s="20" t="str">
        <f t="shared" ca="1" si="0"/>
        <v/>
      </c>
      <c r="E23" s="20" t="str">
        <f t="shared" ca="1" si="0"/>
        <v/>
      </c>
      <c r="F23" s="20" t="str">
        <f t="shared" ca="1" si="0"/>
        <v/>
      </c>
      <c r="G23" s="20" t="str">
        <f t="shared" ca="1" si="0"/>
        <v/>
      </c>
      <c r="H23" s="20" t="str">
        <f t="shared" ca="1" si="0"/>
        <v/>
      </c>
      <c r="I23" s="20">
        <f t="shared" ca="1" si="0"/>
        <v>133.19201710537763</v>
      </c>
      <c r="J23" s="20">
        <f t="shared" ca="1" si="0"/>
        <v>126.51731284586359</v>
      </c>
      <c r="K23" s="20">
        <f t="shared" ca="1" si="0"/>
        <v>120.17710068219885</v>
      </c>
    </row>
    <row r="24" spans="1:15" x14ac:dyDescent="0.3">
      <c r="A24">
        <v>6</v>
      </c>
      <c r="C24" s="20" t="str">
        <f t="shared" ca="1" si="0"/>
        <v/>
      </c>
      <c r="D24" s="20" t="str">
        <f t="shared" ca="1" si="0"/>
        <v/>
      </c>
      <c r="E24" s="20" t="str">
        <f t="shared" ca="1" si="0"/>
        <v/>
      </c>
      <c r="F24" s="20" t="str">
        <f t="shared" ca="1" si="0"/>
        <v/>
      </c>
      <c r="G24" s="20" t="str">
        <f t="shared" ca="1" si="0"/>
        <v/>
      </c>
      <c r="H24" s="20">
        <f t="shared" ca="1" si="0"/>
        <v>127.8484881250064</v>
      </c>
      <c r="I24" s="20">
        <f t="shared" ca="1" si="0"/>
        <v>121.44156624780963</v>
      </c>
      <c r="J24" s="20">
        <f t="shared" ca="1" si="0"/>
        <v>115.35571698197113</v>
      </c>
      <c r="K24" s="20">
        <f t="shared" ca="1" si="0"/>
        <v>109.57485028866409</v>
      </c>
    </row>
    <row r="25" spans="1:15" x14ac:dyDescent="0.3">
      <c r="A25">
        <v>5</v>
      </c>
      <c r="C25" s="20" t="str">
        <f t="shared" ca="1" si="0"/>
        <v/>
      </c>
      <c r="D25" s="20" t="str">
        <f t="shared" ca="1" si="0"/>
        <v/>
      </c>
      <c r="E25" s="20" t="str">
        <f t="shared" ca="1" si="0"/>
        <v/>
      </c>
      <c r="F25" s="20" t="str">
        <f t="shared" ca="1" si="0"/>
        <v/>
      </c>
      <c r="G25" s="20">
        <f t="shared" ca="1" si="0"/>
        <v>122.71933612145862</v>
      </c>
      <c r="H25" s="20">
        <f t="shared" ca="1" si="0"/>
        <v>116.569453468307</v>
      </c>
      <c r="I25" s="20">
        <f t="shared" ca="1" si="0"/>
        <v>110.72776231816435</v>
      </c>
      <c r="J25" s="20">
        <f t="shared" ca="1" si="0"/>
        <v>105.17881814828384</v>
      </c>
      <c r="K25" s="20">
        <f t="shared" ca="1" si="0"/>
        <v>99.907950413398709</v>
      </c>
    </row>
    <row r="26" spans="1:15" x14ac:dyDescent="0.3">
      <c r="A26">
        <v>4</v>
      </c>
      <c r="C26" s="20" t="str">
        <f t="shared" ca="1" si="0"/>
        <v/>
      </c>
      <c r="D26" s="20" t="str">
        <f t="shared" ca="1" si="0"/>
        <v/>
      </c>
      <c r="E26" s="20" t="str">
        <f t="shared" ca="1" si="0"/>
        <v/>
      </c>
      <c r="F26" s="20">
        <f t="shared" ca="1" si="0"/>
        <v>117.79596050730213</v>
      </c>
      <c r="G26" s="20">
        <f t="shared" ca="1" si="0"/>
        <v>111.89280492456494</v>
      </c>
      <c r="H26" s="20">
        <f t="shared" ca="1" si="0"/>
        <v>106.28547651352301</v>
      </c>
      <c r="I26" s="20">
        <f t="shared" ca="1" si="0"/>
        <v>100.9591503700574</v>
      </c>
      <c r="J26" s="20">
        <f t="shared" ca="1" si="0"/>
        <v>95.899744516335758</v>
      </c>
      <c r="K26" s="20">
        <f t="shared" ca="1" si="0"/>
        <v>91.093882670253308</v>
      </c>
    </row>
    <row r="27" spans="1:15" x14ac:dyDescent="0.3">
      <c r="A27">
        <v>3</v>
      </c>
      <c r="C27" s="20" t="str">
        <f t="shared" ca="1" si="0"/>
        <v/>
      </c>
      <c r="D27" s="20" t="str">
        <f t="shared" ca="1" si="0"/>
        <v/>
      </c>
      <c r="E27" s="20">
        <f t="shared" ca="1" si="0"/>
        <v>113.0701057419716</v>
      </c>
      <c r="F27" s="20">
        <f t="shared" ca="1" si="0"/>
        <v>107.40377878918932</v>
      </c>
      <c r="G27" s="20">
        <f t="shared" ca="1" si="0"/>
        <v>102.02141072125229</v>
      </c>
      <c r="H27" s="20">
        <f t="shared" ca="1" si="0"/>
        <v>96.908771394197004</v>
      </c>
      <c r="I27" s="20">
        <f t="shared" ca="1" si="0"/>
        <v>92.052343784895456</v>
      </c>
      <c r="J27" s="20">
        <f t="shared" ca="1" si="0"/>
        <v>87.439288254148593</v>
      </c>
      <c r="K27" s="20">
        <f t="shared" ca="1" si="0"/>
        <v>83.057408600677391</v>
      </c>
    </row>
    <row r="28" spans="1:15" x14ac:dyDescent="0.3">
      <c r="A28">
        <v>2</v>
      </c>
      <c r="C28" s="20" t="str">
        <f t="shared" ca="1" si="0"/>
        <v/>
      </c>
      <c r="D28" s="20">
        <f t="shared" ca="1" si="0"/>
        <v>108.53384748883738</v>
      </c>
      <c r="E28" s="20">
        <f t="shared" ca="1" si="0"/>
        <v>103.09484784096779</v>
      </c>
      <c r="F28" s="20">
        <f t="shared" ca="1" si="0"/>
        <v>97.928414934755153</v>
      </c>
      <c r="G28" s="20">
        <f t="shared" ca="1" si="0"/>
        <v>93.020889525215594</v>
      </c>
      <c r="H28" s="20">
        <f t="shared" ca="1" si="0"/>
        <v>88.3592968785143</v>
      </c>
      <c r="I28" s="20">
        <f t="shared" ca="1" si="0"/>
        <v>83.931312468787439</v>
      </c>
      <c r="J28" s="20">
        <f t="shared" ca="1" si="0"/>
        <v>79.725229394012828</v>
      </c>
      <c r="K28" s="20">
        <f t="shared" ca="1" si="0"/>
        <v>75.72992742478192</v>
      </c>
    </row>
    <row r="29" spans="1:15" x14ac:dyDescent="0.3">
      <c r="A29">
        <v>1</v>
      </c>
      <c r="C29" s="20">
        <f t="shared" ca="1" si="0"/>
        <v>104.17957932763858</v>
      </c>
      <c r="D29" s="20">
        <f t="shared" ca="1" si="0"/>
        <v>98.95878684318798</v>
      </c>
      <c r="E29" s="20">
        <f t="shared" ca="1" si="0"/>
        <v>93.999625998465703</v>
      </c>
      <c r="F29" s="20">
        <f t="shared" ca="1" si="0"/>
        <v>89.288985543578008</v>
      </c>
      <c r="G29" s="20">
        <f t="shared" ca="1" si="0"/>
        <v>84.814411277885441</v>
      </c>
      <c r="H29" s="20">
        <f t="shared" ca="1" si="0"/>
        <v>80.564073123033509</v>
      </c>
      <c r="I29" s="20">
        <f t="shared" ca="1" si="0"/>
        <v>76.526733846065682</v>
      </c>
      <c r="J29" s="20">
        <f t="shared" ca="1" si="0"/>
        <v>72.691719349927325</v>
      </c>
      <c r="K29" s="20">
        <f t="shared" ca="1" si="0"/>
        <v>69.048890452813424</v>
      </c>
    </row>
    <row r="30" spans="1:15" x14ac:dyDescent="0.3">
      <c r="A30">
        <v>0</v>
      </c>
      <c r="B30" s="7">
        <f>$D$4</f>
        <v>100</v>
      </c>
      <c r="C30" s="7">
        <f ca="1">IF($A30&lt;C$20,$G$13*OFFSET(C30,0,-1),IF($A30=C$20,$G$12*OFFSET(C30,1,-1),""))</f>
        <v>94.988660428324906</v>
      </c>
      <c r="D30" s="20">
        <f t="shared" ca="1" si="0"/>
        <v>90.22845609967618</v>
      </c>
      <c r="E30" s="20">
        <f t="shared" ca="1" si="0"/>
        <v>85.706801774241626</v>
      </c>
      <c r="F30" s="20">
        <f t="shared" ca="1" si="0"/>
        <v>81.411742901311925</v>
      </c>
      <c r="G30" s="20">
        <f t="shared" ca="1" si="0"/>
        <v>77.331924013308097</v>
      </c>
      <c r="H30" s="20">
        <f t="shared" ca="1" si="0"/>
        <v>73.456558703691485</v>
      </c>
      <c r="I30" s="20">
        <f t="shared" ca="1" si="0"/>
        <v>69.775401109382656</v>
      </c>
      <c r="J30" s="20">
        <f t="shared" ca="1" si="0"/>
        <v>66.278718822293143</v>
      </c>
      <c r="K30" s="20">
        <f t="shared" ca="1" si="0"/>
        <v>62.957267158352302</v>
      </c>
    </row>
    <row r="33" spans="1:11" x14ac:dyDescent="0.3">
      <c r="A33" s="5" t="s">
        <v>39</v>
      </c>
    </row>
    <row r="34" spans="1:11" x14ac:dyDescent="0.3">
      <c r="B34" s="3">
        <v>0</v>
      </c>
      <c r="C34" s="3">
        <v>1</v>
      </c>
      <c r="D34" s="3">
        <v>2</v>
      </c>
      <c r="E34" s="3">
        <v>3</v>
      </c>
      <c r="F34" s="3">
        <v>4</v>
      </c>
      <c r="G34" s="3">
        <v>5</v>
      </c>
      <c r="H34" s="3">
        <v>6</v>
      </c>
      <c r="I34" s="3">
        <v>7</v>
      </c>
      <c r="J34" s="3">
        <v>8</v>
      </c>
      <c r="K34" s="3">
        <v>9</v>
      </c>
    </row>
    <row r="35" spans="1:11" x14ac:dyDescent="0.3">
      <c r="A35">
        <v>9</v>
      </c>
      <c r="B35" s="25" t="str">
        <f t="shared" ref="B35:K35" si="1">IF($A35&lt;=B$34,COMBIN(B$34,$A35)*$G$9^$A35*$G$10^(B$34-$A35),"")</f>
        <v/>
      </c>
      <c r="C35" s="25" t="str">
        <f t="shared" si="1"/>
        <v/>
      </c>
      <c r="D35" s="25" t="str">
        <f t="shared" si="1"/>
        <v/>
      </c>
      <c r="E35" s="25" t="str">
        <f t="shared" si="1"/>
        <v/>
      </c>
      <c r="F35" s="25" t="str">
        <f t="shared" si="1"/>
        <v/>
      </c>
      <c r="G35" s="25" t="str">
        <f t="shared" si="1"/>
        <v/>
      </c>
      <c r="H35" s="25" t="str">
        <f t="shared" si="1"/>
        <v/>
      </c>
      <c r="I35" s="25" t="str">
        <f t="shared" si="1"/>
        <v/>
      </c>
      <c r="J35" s="25" t="str">
        <f t="shared" si="1"/>
        <v/>
      </c>
      <c r="K35" s="25">
        <f t="shared" si="1"/>
        <v>6.9263396002509437E-3</v>
      </c>
    </row>
    <row r="36" spans="1:11" x14ac:dyDescent="0.3">
      <c r="A36">
        <v>8</v>
      </c>
      <c r="K36" s="25">
        <f t="shared" ref="K36:K44" si="2">IF($A36&lt;=K$34,COMBIN(K$34,$A36)*$G$9^$A36*$G$10^(K$34-$A36),"")</f>
        <v>4.5978370328720375E-2</v>
      </c>
    </row>
    <row r="37" spans="1:11" x14ac:dyDescent="0.3">
      <c r="A37">
        <v>7</v>
      </c>
      <c r="K37" s="25">
        <f t="shared" si="2"/>
        <v>0.13565032807730476</v>
      </c>
    </row>
    <row r="38" spans="1:11" x14ac:dyDescent="0.3">
      <c r="A38">
        <v>6</v>
      </c>
      <c r="K38" s="25">
        <f t="shared" si="2"/>
        <v>0.23345593379282156</v>
      </c>
    </row>
    <row r="39" spans="1:11" x14ac:dyDescent="0.3">
      <c r="A39">
        <v>5</v>
      </c>
      <c r="K39" s="25">
        <f t="shared" si="2"/>
        <v>0.2582875419260578</v>
      </c>
    </row>
    <row r="40" spans="1:11" x14ac:dyDescent="0.3">
      <c r="A40">
        <v>4</v>
      </c>
      <c r="K40" s="25">
        <f t="shared" si="2"/>
        <v>0.19050691417538468</v>
      </c>
    </row>
    <row r="41" spans="1:11" x14ac:dyDescent="0.3">
      <c r="A41">
        <v>3</v>
      </c>
      <c r="K41" s="25">
        <f t="shared" si="2"/>
        <v>9.3675661055866347E-2</v>
      </c>
    </row>
    <row r="42" spans="1:11" x14ac:dyDescent="0.3">
      <c r="A42">
        <v>2</v>
      </c>
      <c r="K42" s="25">
        <f t="shared" si="2"/>
        <v>2.9611285692375335E-2</v>
      </c>
    </row>
    <row r="43" spans="1:11" x14ac:dyDescent="0.3">
      <c r="A43">
        <v>1</v>
      </c>
      <c r="K43" s="25">
        <f t="shared" si="2"/>
        <v>5.4601497810868949E-3</v>
      </c>
    </row>
    <row r="44" spans="1:11" x14ac:dyDescent="0.3">
      <c r="A44">
        <v>0</v>
      </c>
      <c r="K44" s="26">
        <f t="shared" si="2"/>
        <v>4.4747557013116826E-4</v>
      </c>
    </row>
    <row r="47" spans="1:11" x14ac:dyDescent="0.3">
      <c r="A47" s="5" t="s">
        <v>40</v>
      </c>
    </row>
    <row r="48" spans="1:11" x14ac:dyDescent="0.3">
      <c r="B48" s="3">
        <v>0</v>
      </c>
      <c r="C48" s="3">
        <v>1</v>
      </c>
      <c r="D48" s="3">
        <v>2</v>
      </c>
      <c r="E48" s="3">
        <v>3</v>
      </c>
      <c r="F48" s="3">
        <v>4</v>
      </c>
      <c r="G48" s="3">
        <v>5</v>
      </c>
      <c r="H48" s="3">
        <v>6</v>
      </c>
      <c r="I48" s="3">
        <v>7</v>
      </c>
      <c r="J48" s="3">
        <v>8</v>
      </c>
      <c r="K48" s="3">
        <v>9</v>
      </c>
    </row>
    <row r="49" spans="1:11" x14ac:dyDescent="0.3">
      <c r="A49">
        <v>9</v>
      </c>
      <c r="K49" s="20">
        <f t="shared" ref="K49:K58" ca="1" si="3">MAX($D$16*(K21-$D$5),0)</f>
        <v>49.558420712456751</v>
      </c>
    </row>
    <row r="50" spans="1:11" x14ac:dyDescent="0.3">
      <c r="A50">
        <v>8</v>
      </c>
      <c r="K50" s="20">
        <f t="shared" ca="1" si="3"/>
        <v>36.805204299453123</v>
      </c>
    </row>
    <row r="51" spans="1:11" x14ac:dyDescent="0.3">
      <c r="A51">
        <v>7</v>
      </c>
      <c r="K51" s="20">
        <f t="shared" ca="1" si="3"/>
        <v>25.177100682198855</v>
      </c>
    </row>
    <row r="52" spans="1:11" x14ac:dyDescent="0.3">
      <c r="A52">
        <v>6</v>
      </c>
      <c r="K52" s="20">
        <f t="shared" ca="1" si="3"/>
        <v>14.574850288664095</v>
      </c>
    </row>
    <row r="53" spans="1:11" x14ac:dyDescent="0.3">
      <c r="A53">
        <v>5</v>
      </c>
      <c r="K53" s="20">
        <f t="shared" ca="1" si="3"/>
        <v>4.9079504133987086</v>
      </c>
    </row>
    <row r="54" spans="1:11" x14ac:dyDescent="0.3">
      <c r="A54">
        <v>4</v>
      </c>
      <c r="K54" s="20">
        <f t="shared" ca="1" si="3"/>
        <v>0</v>
      </c>
    </row>
    <row r="55" spans="1:11" x14ac:dyDescent="0.3">
      <c r="A55">
        <v>3</v>
      </c>
      <c r="K55" s="20">
        <f t="shared" ca="1" si="3"/>
        <v>0</v>
      </c>
    </row>
    <row r="56" spans="1:11" x14ac:dyDescent="0.3">
      <c r="A56">
        <v>2</v>
      </c>
      <c r="K56" s="20">
        <f t="shared" ca="1" si="3"/>
        <v>0</v>
      </c>
    </row>
    <row r="57" spans="1:11" x14ac:dyDescent="0.3">
      <c r="A57">
        <v>1</v>
      </c>
      <c r="K57" s="20">
        <f t="shared" ca="1" si="3"/>
        <v>0</v>
      </c>
    </row>
    <row r="58" spans="1:11" x14ac:dyDescent="0.3">
      <c r="A58">
        <v>0</v>
      </c>
      <c r="K58" s="7">
        <f t="shared" ca="1" si="3"/>
        <v>0</v>
      </c>
    </row>
  </sheetData>
  <printOptions headings="1" gridLines="1"/>
  <pageMargins left="0.75" right="0.75" top="1" bottom="1" header="0.5" footer="0.5"/>
  <pageSetup paperSize="9" scale="91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workbookViewId="0"/>
  </sheetViews>
  <sheetFormatPr defaultRowHeight="13" x14ac:dyDescent="0.3"/>
  <cols>
    <col min="1" max="1" width="22.796875" customWidth="1"/>
  </cols>
  <sheetData>
    <row r="1" spans="1:8" x14ac:dyDescent="0.3">
      <c r="A1" s="5" t="s">
        <v>0</v>
      </c>
    </row>
    <row r="2" spans="1:8" x14ac:dyDescent="0.3">
      <c r="A2" s="5" t="s">
        <v>67</v>
      </c>
    </row>
    <row r="4" spans="1:8" x14ac:dyDescent="0.3">
      <c r="A4" s="6" t="s">
        <v>12</v>
      </c>
      <c r="B4" s="7">
        <v>100</v>
      </c>
      <c r="D4" s="13" t="s">
        <v>32</v>
      </c>
      <c r="G4" t="s">
        <v>36</v>
      </c>
      <c r="H4" s="2">
        <f>BSOptionValue(B15,B4,B5,B6,B8,B12,B13)</f>
        <v>9.7257629574651006</v>
      </c>
    </row>
    <row r="5" spans="1:8" x14ac:dyDescent="0.3">
      <c r="A5" s="9" t="s">
        <v>16</v>
      </c>
      <c r="B5" s="7">
        <v>95</v>
      </c>
      <c r="E5" s="16">
        <v>9</v>
      </c>
      <c r="G5" t="s">
        <v>68</v>
      </c>
      <c r="H5" s="2">
        <f>BinOptionValue(1,B15,1,B4,B5,B6,B8,B12,B13,E5)</f>
        <v>9.6332371978806002</v>
      </c>
    </row>
    <row r="6" spans="1:8" x14ac:dyDescent="0.3">
      <c r="A6" s="6" t="s">
        <v>17</v>
      </c>
      <c r="B6" s="11">
        <v>0.08</v>
      </c>
      <c r="G6" t="s">
        <v>69</v>
      </c>
      <c r="H6" s="2">
        <f>BinOptionValue(2,B15,1,B4,B5,B6,B8,B12,B13,E5)</f>
        <v>9.7241801448898126</v>
      </c>
    </row>
    <row r="8" spans="1:8" x14ac:dyDescent="0.3">
      <c r="A8" s="6" t="s">
        <v>22</v>
      </c>
      <c r="B8" s="11">
        <v>0.03</v>
      </c>
    </row>
    <row r="9" spans="1:8" x14ac:dyDescent="0.3">
      <c r="E9" s="3" t="s">
        <v>70</v>
      </c>
      <c r="F9" s="3" t="s">
        <v>14</v>
      </c>
      <c r="G9" s="3" t="s">
        <v>43</v>
      </c>
      <c r="H9" s="3" t="s">
        <v>60</v>
      </c>
    </row>
    <row r="10" spans="1:8" x14ac:dyDescent="0.3">
      <c r="A10" s="6" t="s">
        <v>25</v>
      </c>
      <c r="B10" s="15">
        <v>0</v>
      </c>
      <c r="E10">
        <v>16</v>
      </c>
      <c r="F10" s="2">
        <f t="shared" ref="F10:F17" si="0">BSOptionValue($B$15,$B$4,$B$5,$B$6,$B$8,$B$12,$B$13)</f>
        <v>9.7257629574651006</v>
      </c>
      <c r="G10" s="2">
        <f t="shared" ref="G10:G17" si="1">BinOptionValue(1,$B$15,1,$B$4,$B$5,$B$6,$B$8,$B$12,$B$13,E10)</f>
        <v>9.7709292801831165</v>
      </c>
      <c r="H10" s="2">
        <f t="shared" ref="H10:H17" si="2">BinOptionValue(2,$B$15,1,$B$4,$B$5,$B$6,$B$8,$B$12,$B$13,E10)</f>
        <v>9.7252791032578987</v>
      </c>
    </row>
    <row r="11" spans="1:8" x14ac:dyDescent="0.3">
      <c r="A11" s="6" t="s">
        <v>28</v>
      </c>
      <c r="B11" s="14">
        <v>0.5</v>
      </c>
      <c r="E11">
        <v>32</v>
      </c>
      <c r="F11" s="2">
        <f t="shared" si="0"/>
        <v>9.7257629574651006</v>
      </c>
      <c r="G11" s="2">
        <f t="shared" si="1"/>
        <v>9.6954333191186883</v>
      </c>
      <c r="H11" s="2">
        <f t="shared" si="2"/>
        <v>9.7256236186980267</v>
      </c>
    </row>
    <row r="12" spans="1:8" x14ac:dyDescent="0.3">
      <c r="A12" s="6" t="s">
        <v>29</v>
      </c>
      <c r="B12" s="15">
        <f>B11-B10</f>
        <v>0.5</v>
      </c>
      <c r="E12">
        <v>48</v>
      </c>
      <c r="F12" s="2">
        <f t="shared" si="0"/>
        <v>9.7257629574651006</v>
      </c>
      <c r="G12" s="2">
        <f t="shared" si="1"/>
        <v>9.7366680290354211</v>
      </c>
      <c r="H12" s="2">
        <f t="shared" si="2"/>
        <v>9.725695134386303</v>
      </c>
    </row>
    <row r="13" spans="1:8" x14ac:dyDescent="0.3">
      <c r="A13" s="6" t="s">
        <v>31</v>
      </c>
      <c r="B13" s="11">
        <v>0.2</v>
      </c>
      <c r="E13">
        <v>64</v>
      </c>
      <c r="F13" s="2">
        <f t="shared" si="0"/>
        <v>9.7257629574651006</v>
      </c>
      <c r="G13" s="2">
        <f t="shared" si="1"/>
        <v>9.742689686043521</v>
      </c>
      <c r="H13" s="2">
        <f t="shared" si="2"/>
        <v>9.725721277227958</v>
      </c>
    </row>
    <row r="14" spans="1:8" x14ac:dyDescent="0.3">
      <c r="E14">
        <v>80</v>
      </c>
      <c r="F14" s="2">
        <f t="shared" si="0"/>
        <v>9.7257629574651006</v>
      </c>
      <c r="G14" s="2">
        <f t="shared" si="1"/>
        <v>9.7382483432089799</v>
      </c>
      <c r="H14" s="2">
        <f t="shared" si="2"/>
        <v>9.7257336636780689</v>
      </c>
    </row>
    <row r="15" spans="1:8" x14ac:dyDescent="0.3">
      <c r="A15" t="s">
        <v>34</v>
      </c>
      <c r="B15" s="1">
        <v>1</v>
      </c>
      <c r="E15">
        <v>96</v>
      </c>
      <c r="F15" s="2">
        <f t="shared" si="0"/>
        <v>9.7257629574651006</v>
      </c>
      <c r="G15" s="2">
        <f t="shared" si="1"/>
        <v>9.7303384607986221</v>
      </c>
      <c r="H15" s="2">
        <f t="shared" si="2"/>
        <v>9.7257404916107344</v>
      </c>
    </row>
    <row r="16" spans="1:8" x14ac:dyDescent="0.3">
      <c r="E16">
        <v>112</v>
      </c>
      <c r="F16" s="2">
        <f t="shared" si="0"/>
        <v>9.7257629574651006</v>
      </c>
      <c r="G16" s="2">
        <f t="shared" si="1"/>
        <v>9.7214037771644009</v>
      </c>
      <c r="H16" s="2">
        <f t="shared" si="2"/>
        <v>9.7257446504473855</v>
      </c>
    </row>
    <row r="17" spans="1:8" x14ac:dyDescent="0.3">
      <c r="A17" t="s">
        <v>35</v>
      </c>
      <c r="B17" s="3" t="str">
        <f>IF(B15=1,"Call","Put")</f>
        <v>Call</v>
      </c>
      <c r="E17">
        <v>128</v>
      </c>
      <c r="F17" s="2">
        <f t="shared" si="0"/>
        <v>9.7257629574651006</v>
      </c>
      <c r="G17" s="2">
        <f t="shared" si="1"/>
        <v>9.7198796085700696</v>
      </c>
      <c r="H17" s="2">
        <f t="shared" si="2"/>
        <v>9.7257473697119305</v>
      </c>
    </row>
  </sheetData>
  <printOptions headings="1" gridLines="1"/>
  <pageMargins left="0.75" right="0.75" top="1" bottom="1" header="0.5" footer="0.5"/>
  <pageSetup paperSize="9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6"/>
  <sheetViews>
    <sheetView workbookViewId="0"/>
  </sheetViews>
  <sheetFormatPr defaultRowHeight="13" x14ac:dyDescent="0.3"/>
  <sheetData>
    <row r="1" spans="1:11" x14ac:dyDescent="0.3">
      <c r="A1" s="5" t="s">
        <v>0</v>
      </c>
    </row>
    <row r="2" spans="1:11" x14ac:dyDescent="0.3">
      <c r="A2" s="5" t="s">
        <v>71</v>
      </c>
    </row>
    <row r="4" spans="1:11" x14ac:dyDescent="0.3">
      <c r="A4" s="6" t="s">
        <v>12</v>
      </c>
      <c r="D4" s="7">
        <v>100</v>
      </c>
      <c r="F4" s="5" t="s">
        <v>42</v>
      </c>
    </row>
    <row r="5" spans="1:11" x14ac:dyDescent="0.3">
      <c r="A5" s="9" t="s">
        <v>16</v>
      </c>
      <c r="D5" s="7">
        <v>95</v>
      </c>
      <c r="F5" s="10"/>
    </row>
    <row r="6" spans="1:11" x14ac:dyDescent="0.3">
      <c r="A6" s="6" t="s">
        <v>17</v>
      </c>
      <c r="D6" s="11">
        <v>0.08</v>
      </c>
      <c r="F6" s="10" t="s">
        <v>18</v>
      </c>
      <c r="G6" s="2">
        <f>D12/D15</f>
        <v>5.5555555555555552E-2</v>
      </c>
    </row>
    <row r="7" spans="1:11" x14ac:dyDescent="0.3">
      <c r="F7" s="12" t="s">
        <v>20</v>
      </c>
      <c r="G7" s="2">
        <f>EXP(D6*G6)</f>
        <v>1.0044543356358424</v>
      </c>
    </row>
    <row r="8" spans="1:11" x14ac:dyDescent="0.3">
      <c r="A8" s="6" t="s">
        <v>22</v>
      </c>
      <c r="D8" s="11">
        <v>0.03</v>
      </c>
      <c r="F8" s="13" t="s">
        <v>44</v>
      </c>
      <c r="G8" s="2">
        <f>EXP((D6-D8)*G6)</f>
        <v>1.0027816393771962</v>
      </c>
    </row>
    <row r="9" spans="1:11" x14ac:dyDescent="0.3">
      <c r="F9" s="13" t="s">
        <v>23</v>
      </c>
      <c r="G9" s="2">
        <f>EXP(D13*SQRT(G6))</f>
        <v>1.0482692303335082</v>
      </c>
    </row>
    <row r="10" spans="1:11" x14ac:dyDescent="0.3">
      <c r="A10" s="6" t="s">
        <v>25</v>
      </c>
      <c r="D10" s="20">
        <v>0</v>
      </c>
      <c r="F10" s="13" t="s">
        <v>26</v>
      </c>
      <c r="G10" s="2">
        <f>1/G9</f>
        <v>0.95395340344183222</v>
      </c>
    </row>
    <row r="11" spans="1:11" x14ac:dyDescent="0.3">
      <c r="A11" s="6" t="s">
        <v>28</v>
      </c>
      <c r="D11" s="7">
        <v>0.5</v>
      </c>
      <c r="F11" s="13" t="s">
        <v>4</v>
      </c>
      <c r="G11" s="2">
        <f>(G8-G10)/(G9-G10)</f>
        <v>0.51770988544101337</v>
      </c>
    </row>
    <row r="12" spans="1:11" x14ac:dyDescent="0.3">
      <c r="A12" s="6" t="s">
        <v>29</v>
      </c>
      <c r="D12" s="20">
        <f>D11-D10</f>
        <v>0.5</v>
      </c>
      <c r="F12" t="s">
        <v>30</v>
      </c>
      <c r="G12" s="2">
        <f>1-G11</f>
        <v>0.48229011455898663</v>
      </c>
    </row>
    <row r="13" spans="1:11" x14ac:dyDescent="0.3">
      <c r="A13" s="6" t="s">
        <v>31</v>
      </c>
      <c r="D13" s="11">
        <v>0.2</v>
      </c>
    </row>
    <row r="15" spans="1:11" x14ac:dyDescent="0.3">
      <c r="A15" s="13" t="s">
        <v>32</v>
      </c>
      <c r="D15" s="16">
        <v>9</v>
      </c>
      <c r="F15" t="s">
        <v>53</v>
      </c>
      <c r="H15" s="4">
        <f ca="1">EXP(-D6*D12)*SUMPRODUCT(K35:K44,K49:K58)</f>
        <v>9.6332371978806144</v>
      </c>
      <c r="J15" t="s">
        <v>36</v>
      </c>
      <c r="K15" s="4">
        <f>BSOptionValue(D16,D4,D5,D6,D8,D12,D13)</f>
        <v>9.7257629574651006</v>
      </c>
    </row>
    <row r="16" spans="1:11" x14ac:dyDescent="0.3">
      <c r="A16" t="s">
        <v>34</v>
      </c>
      <c r="D16" s="29">
        <v>1</v>
      </c>
    </row>
    <row r="17" spans="1:11" x14ac:dyDescent="0.3">
      <c r="A17" t="s">
        <v>35</v>
      </c>
      <c r="D17" s="3" t="str">
        <f>IF(D16=1,"Call","Put")</f>
        <v>Call</v>
      </c>
      <c r="F17" s="6" t="s">
        <v>72</v>
      </c>
      <c r="H17" s="4">
        <f ca="1">B86</f>
        <v>9.6332371978806126</v>
      </c>
      <c r="K17" s="4"/>
    </row>
    <row r="19" spans="1:11" x14ac:dyDescent="0.3">
      <c r="A19" s="1" t="s">
        <v>37</v>
      </c>
    </row>
    <row r="20" spans="1:11" x14ac:dyDescent="0.3">
      <c r="B20" s="3">
        <v>0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</row>
    <row r="21" spans="1:11" x14ac:dyDescent="0.3">
      <c r="A21">
        <v>9</v>
      </c>
      <c r="C21" s="4" t="str">
        <f t="shared" ref="C21:K30" ca="1" si="0">IF($A21&lt;C$20,$G$10*OFFSET(C21,0,-1),IF($A21=C$20,$G$9*OFFSET(C21,1,-1),""))</f>
        <v/>
      </c>
      <c r="D21" s="4" t="str">
        <f t="shared" ca="1" si="0"/>
        <v/>
      </c>
      <c r="E21" s="4" t="str">
        <f t="shared" ca="1" si="0"/>
        <v/>
      </c>
      <c r="F21" s="4" t="str">
        <f t="shared" ca="1" si="0"/>
        <v/>
      </c>
      <c r="G21" s="4" t="str">
        <f t="shared" ca="1" si="0"/>
        <v/>
      </c>
      <c r="H21" s="4" t="str">
        <f t="shared" ca="1" si="0"/>
        <v/>
      </c>
      <c r="I21" s="4" t="str">
        <f t="shared" ca="1" si="0"/>
        <v/>
      </c>
      <c r="J21" s="4" t="str">
        <f t="shared" ca="1" si="0"/>
        <v/>
      </c>
      <c r="K21" s="4">
        <f t="shared" ca="1" si="0"/>
        <v>152.84651603231768</v>
      </c>
    </row>
    <row r="22" spans="1:11" x14ac:dyDescent="0.3">
      <c r="A22">
        <v>8</v>
      </c>
      <c r="C22" s="4" t="str">
        <f t="shared" ca="1" si="0"/>
        <v/>
      </c>
      <c r="D22" s="4" t="str">
        <f t="shared" ca="1" si="0"/>
        <v/>
      </c>
      <c r="E22" s="4" t="str">
        <f t="shared" ca="1" si="0"/>
        <v/>
      </c>
      <c r="F22" s="4" t="str">
        <f t="shared" ca="1" si="0"/>
        <v/>
      </c>
      <c r="G22" s="4" t="str">
        <f t="shared" ca="1" si="0"/>
        <v/>
      </c>
      <c r="H22" s="4" t="str">
        <f t="shared" ca="1" si="0"/>
        <v/>
      </c>
      <c r="I22" s="4" t="str">
        <f t="shared" ca="1" si="0"/>
        <v/>
      </c>
      <c r="J22" s="4">
        <f t="shared" ca="1" si="0"/>
        <v>145.80845417325602</v>
      </c>
      <c r="K22" s="4">
        <f t="shared" ca="1" si="0"/>
        <v>139.09447110917</v>
      </c>
    </row>
    <row r="23" spans="1:11" x14ac:dyDescent="0.3">
      <c r="A23">
        <v>7</v>
      </c>
      <c r="C23" s="4" t="str">
        <f t="shared" ca="1" si="0"/>
        <v/>
      </c>
      <c r="D23" s="4" t="str">
        <f t="shared" ca="1" si="0"/>
        <v/>
      </c>
      <c r="E23" s="4" t="str">
        <f t="shared" ca="1" si="0"/>
        <v/>
      </c>
      <c r="F23" s="4" t="str">
        <f t="shared" ca="1" si="0"/>
        <v/>
      </c>
      <c r="G23" s="4" t="str">
        <f t="shared" ca="1" si="0"/>
        <v/>
      </c>
      <c r="H23" s="4" t="str">
        <f t="shared" ca="1" si="0"/>
        <v/>
      </c>
      <c r="I23" s="4">
        <f t="shared" ca="1" si="0"/>
        <v>139.09447110917</v>
      </c>
      <c r="J23" s="4">
        <f t="shared" ca="1" si="0"/>
        <v>132.68964411453433</v>
      </c>
      <c r="K23" s="4">
        <f t="shared" ca="1" si="0"/>
        <v>126.57973760454551</v>
      </c>
    </row>
    <row r="24" spans="1:11" x14ac:dyDescent="0.3">
      <c r="A24">
        <v>6</v>
      </c>
      <c r="C24" s="4" t="str">
        <f t="shared" ca="1" si="0"/>
        <v/>
      </c>
      <c r="D24" s="4" t="str">
        <f t="shared" ca="1" si="0"/>
        <v/>
      </c>
      <c r="E24" s="4" t="str">
        <f t="shared" ca="1" si="0"/>
        <v/>
      </c>
      <c r="F24" s="4" t="str">
        <f t="shared" ca="1" si="0"/>
        <v/>
      </c>
      <c r="G24" s="4" t="str">
        <f t="shared" ca="1" si="0"/>
        <v/>
      </c>
      <c r="H24" s="4">
        <f t="shared" ca="1" si="0"/>
        <v>132.68964411453433</v>
      </c>
      <c r="I24" s="4">
        <f t="shared" ca="1" si="0"/>
        <v>126.57973760454551</v>
      </c>
      <c r="J24" s="4">
        <f t="shared" ca="1" si="0"/>
        <v>120.75117149463027</v>
      </c>
      <c r="K24" s="4">
        <f t="shared" ca="1" si="0"/>
        <v>115.19099101689091</v>
      </c>
    </row>
    <row r="25" spans="1:11" x14ac:dyDescent="0.3">
      <c r="A25">
        <v>5</v>
      </c>
      <c r="C25" s="4" t="str">
        <f t="shared" ca="1" si="0"/>
        <v/>
      </c>
      <c r="D25" s="4" t="str">
        <f t="shared" ca="1" si="0"/>
        <v/>
      </c>
      <c r="E25" s="4" t="str">
        <f t="shared" ca="1" si="0"/>
        <v/>
      </c>
      <c r="F25" s="4" t="str">
        <f t="shared" ca="1" si="0"/>
        <v/>
      </c>
      <c r="G25" s="4">
        <f t="shared" ca="1" si="0"/>
        <v>126.5797376045455</v>
      </c>
      <c r="H25" s="4">
        <f t="shared" ca="1" si="0"/>
        <v>120.75117149463026</v>
      </c>
      <c r="I25" s="4">
        <f t="shared" ca="1" si="0"/>
        <v>115.19099101689089</v>
      </c>
      <c r="J25" s="4">
        <f t="shared" ca="1" si="0"/>
        <v>109.88683792640059</v>
      </c>
      <c r="K25" s="4">
        <f t="shared" ca="1" si="0"/>
        <v>104.82692303335085</v>
      </c>
    </row>
    <row r="26" spans="1:11" x14ac:dyDescent="0.3">
      <c r="A26">
        <v>4</v>
      </c>
      <c r="C26" s="4" t="str">
        <f t="shared" ca="1" si="0"/>
        <v/>
      </c>
      <c r="D26" s="4" t="str">
        <f t="shared" ca="1" si="0"/>
        <v/>
      </c>
      <c r="E26" s="4" t="str">
        <f t="shared" ca="1" si="0"/>
        <v/>
      </c>
      <c r="F26" s="4">
        <f t="shared" ca="1" si="0"/>
        <v>120.75117149463024</v>
      </c>
      <c r="G26" s="4">
        <f t="shared" ca="1" si="0"/>
        <v>115.19099101689088</v>
      </c>
      <c r="H26" s="4">
        <f t="shared" ca="1" si="0"/>
        <v>109.88683792640057</v>
      </c>
      <c r="I26" s="4">
        <f t="shared" ca="1" si="0"/>
        <v>104.82692303335084</v>
      </c>
      <c r="J26" s="4">
        <f t="shared" ca="1" si="0"/>
        <v>100.00000000000003</v>
      </c>
      <c r="K26" s="4">
        <f t="shared" ca="1" si="0"/>
        <v>95.395340344183253</v>
      </c>
    </row>
    <row r="27" spans="1:11" x14ac:dyDescent="0.3">
      <c r="A27">
        <v>3</v>
      </c>
      <c r="C27" s="4" t="str">
        <f t="shared" ca="1" si="0"/>
        <v/>
      </c>
      <c r="D27" s="4" t="str">
        <f t="shared" ca="1" si="0"/>
        <v/>
      </c>
      <c r="E27" s="4">
        <f t="shared" ca="1" si="0"/>
        <v>115.19099101689086</v>
      </c>
      <c r="F27" s="4">
        <f t="shared" ca="1" si="0"/>
        <v>109.88683792640056</v>
      </c>
      <c r="G27" s="4">
        <f t="shared" ca="1" si="0"/>
        <v>104.82692303335082</v>
      </c>
      <c r="H27" s="4">
        <f t="shared" ca="1" si="0"/>
        <v>100.00000000000001</v>
      </c>
      <c r="I27" s="4">
        <f t="shared" ca="1" si="0"/>
        <v>95.395340344183239</v>
      </c>
      <c r="J27" s="4">
        <f t="shared" ca="1" si="0"/>
        <v>91.002709593825529</v>
      </c>
      <c r="K27" s="4">
        <f t="shared" ca="1" si="0"/>
        <v>86.812344539458536</v>
      </c>
    </row>
    <row r="28" spans="1:11" x14ac:dyDescent="0.3">
      <c r="A28">
        <v>2</v>
      </c>
      <c r="C28" s="4" t="str">
        <f t="shared" ca="1" si="0"/>
        <v/>
      </c>
      <c r="D28" s="4">
        <f t="shared" ca="1" si="0"/>
        <v>109.88683792640056</v>
      </c>
      <c r="E28" s="4">
        <f t="shared" ca="1" si="0"/>
        <v>104.82692303335082</v>
      </c>
      <c r="F28" s="4">
        <f t="shared" ca="1" si="0"/>
        <v>100.00000000000001</v>
      </c>
      <c r="G28" s="4">
        <f t="shared" ca="1" si="0"/>
        <v>95.395340344183239</v>
      </c>
      <c r="H28" s="4">
        <f t="shared" ca="1" si="0"/>
        <v>91.002709593825529</v>
      </c>
      <c r="I28" s="4">
        <f t="shared" ca="1" si="0"/>
        <v>86.812344539458536</v>
      </c>
      <c r="J28" s="4">
        <f t="shared" ca="1" si="0"/>
        <v>82.814931534181426</v>
      </c>
      <c r="K28" s="4">
        <f t="shared" ca="1" si="0"/>
        <v>79.001585792834689</v>
      </c>
    </row>
    <row r="29" spans="1:11" x14ac:dyDescent="0.3">
      <c r="A29">
        <v>1</v>
      </c>
      <c r="C29" s="4">
        <f t="shared" ca="1" si="0"/>
        <v>104.82692303335082</v>
      </c>
      <c r="D29" s="4">
        <f t="shared" ca="1" si="0"/>
        <v>100.00000000000001</v>
      </c>
      <c r="E29" s="4">
        <f t="shared" ca="1" si="0"/>
        <v>95.395340344183239</v>
      </c>
      <c r="F29" s="4">
        <f t="shared" ca="1" si="0"/>
        <v>91.002709593825529</v>
      </c>
      <c r="G29" s="4">
        <f t="shared" ca="1" si="0"/>
        <v>86.812344539458536</v>
      </c>
      <c r="H29" s="4">
        <f t="shared" ca="1" si="0"/>
        <v>82.814931534181426</v>
      </c>
      <c r="I29" s="4">
        <f t="shared" ca="1" si="0"/>
        <v>79.001585792834689</v>
      </c>
      <c r="J29" s="4">
        <f t="shared" ca="1" si="0"/>
        <v>75.363831644376546</v>
      </c>
      <c r="K29" s="4">
        <f t="shared" ca="1" si="0"/>
        <v>71.893583693570264</v>
      </c>
    </row>
    <row r="30" spans="1:11" x14ac:dyDescent="0.3">
      <c r="A30">
        <v>0</v>
      </c>
      <c r="B30" s="7">
        <f>$D$4</f>
        <v>100</v>
      </c>
      <c r="C30" s="7">
        <f t="shared" ca="1" si="0"/>
        <v>95.395340344183225</v>
      </c>
      <c r="D30" s="4">
        <f t="shared" ca="1" si="0"/>
        <v>91.002709593825514</v>
      </c>
      <c r="E30" s="4">
        <f t="shared" ca="1" si="0"/>
        <v>86.812344539458522</v>
      </c>
      <c r="F30" s="4">
        <f t="shared" ca="1" si="0"/>
        <v>82.814931534181412</v>
      </c>
      <c r="G30" s="4">
        <f t="shared" ca="1" si="0"/>
        <v>79.001585792834675</v>
      </c>
      <c r="H30" s="4">
        <f t="shared" ca="1" si="0"/>
        <v>75.363831644376532</v>
      </c>
      <c r="I30" s="4">
        <f t="shared" ca="1" si="0"/>
        <v>71.89358369357025</v>
      </c>
      <c r="J30" s="4">
        <f t="shared" ca="1" si="0"/>
        <v>68.583128850111549</v>
      </c>
      <c r="K30" s="4">
        <f t="shared" ca="1" si="0"/>
        <v>65.425109185253632</v>
      </c>
    </row>
    <row r="33" spans="1:23" x14ac:dyDescent="0.3">
      <c r="A33" s="5" t="s">
        <v>39</v>
      </c>
      <c r="M33" s="8" t="s">
        <v>38</v>
      </c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x14ac:dyDescent="0.3">
      <c r="B34" s="3">
        <v>0</v>
      </c>
      <c r="C34" s="3">
        <v>1</v>
      </c>
      <c r="D34" s="3">
        <v>2</v>
      </c>
      <c r="E34" s="3">
        <v>3</v>
      </c>
      <c r="F34" s="3">
        <v>4</v>
      </c>
      <c r="G34" s="3">
        <v>5</v>
      </c>
      <c r="H34" s="3">
        <v>6</v>
      </c>
      <c r="I34" s="3">
        <v>7</v>
      </c>
      <c r="J34" s="3">
        <v>8</v>
      </c>
      <c r="K34" s="3">
        <v>9</v>
      </c>
      <c r="N34" s="3">
        <v>0</v>
      </c>
      <c r="O34" s="3">
        <v>1</v>
      </c>
      <c r="P34" s="3">
        <v>2</v>
      </c>
      <c r="Q34" s="3">
        <v>3</v>
      </c>
      <c r="R34" s="3">
        <v>4</v>
      </c>
      <c r="S34" s="3">
        <v>5</v>
      </c>
      <c r="T34" s="3">
        <v>6</v>
      </c>
      <c r="U34" s="3">
        <v>7</v>
      </c>
      <c r="V34" s="3">
        <v>8</v>
      </c>
      <c r="W34" s="3">
        <v>9</v>
      </c>
    </row>
    <row r="35" spans="1:23" x14ac:dyDescent="0.3">
      <c r="A35">
        <v>9</v>
      </c>
      <c r="B35" s="25" t="str">
        <f t="shared" ref="B35:K44" si="1">IF($A35&lt;=B$34,COMBIN(B$34,$A35)*$G$11^$A35*$G$12^(B$34-$A35),"")</f>
        <v/>
      </c>
      <c r="C35" s="25" t="str">
        <f t="shared" si="1"/>
        <v/>
      </c>
      <c r="D35" s="25" t="str">
        <f t="shared" si="1"/>
        <v/>
      </c>
      <c r="E35" s="25" t="str">
        <f t="shared" si="1"/>
        <v/>
      </c>
      <c r="F35" s="25" t="str">
        <f t="shared" si="1"/>
        <v/>
      </c>
      <c r="G35" s="25" t="str">
        <f t="shared" si="1"/>
        <v/>
      </c>
      <c r="H35" s="25" t="str">
        <f t="shared" si="1"/>
        <v/>
      </c>
      <c r="I35" s="25" t="str">
        <f t="shared" si="1"/>
        <v/>
      </c>
      <c r="J35" s="25" t="str">
        <f t="shared" si="1"/>
        <v/>
      </c>
      <c r="K35" s="25">
        <f t="shared" si="1"/>
        <v>2.6716411218499427E-3</v>
      </c>
      <c r="M35">
        <v>9</v>
      </c>
      <c r="N35" s="21" t="str">
        <f t="array" ref="N35:W44">BinTreeProbs(1,D6,D8,D12,D13,D15)</f>
        <v/>
      </c>
      <c r="O35" s="21" t="str">
        <v/>
      </c>
      <c r="P35" s="21" t="str">
        <v/>
      </c>
      <c r="Q35" s="21" t="str">
        <v/>
      </c>
      <c r="R35" s="21" t="str">
        <v/>
      </c>
      <c r="S35" s="21" t="str">
        <v/>
      </c>
      <c r="T35" s="21" t="str">
        <v/>
      </c>
      <c r="U35" s="21" t="str">
        <v/>
      </c>
      <c r="V35" s="21" t="str">
        <v/>
      </c>
      <c r="W35" s="21">
        <v>2.6716411218499431E-3</v>
      </c>
    </row>
    <row r="36" spans="1:23" x14ac:dyDescent="0.3">
      <c r="A36">
        <v>8</v>
      </c>
      <c r="B36" s="25" t="str">
        <f t="shared" si="1"/>
        <v/>
      </c>
      <c r="C36" s="25" t="str">
        <f t="shared" si="1"/>
        <v/>
      </c>
      <c r="D36" s="25" t="str">
        <f t="shared" si="1"/>
        <v/>
      </c>
      <c r="E36" s="25" t="str">
        <f t="shared" si="1"/>
        <v/>
      </c>
      <c r="F36" s="25" t="str">
        <f t="shared" si="1"/>
        <v/>
      </c>
      <c r="G36" s="25" t="str">
        <f t="shared" si="1"/>
        <v/>
      </c>
      <c r="H36" s="25" t="str">
        <f t="shared" si="1"/>
        <v/>
      </c>
      <c r="I36" s="25" t="str">
        <f t="shared" si="1"/>
        <v/>
      </c>
      <c r="J36" s="25">
        <f t="shared" si="1"/>
        <v>5.1604985668258852E-3</v>
      </c>
      <c r="K36" s="25">
        <f t="shared" si="1"/>
        <v>2.2399717004783482E-2</v>
      </c>
      <c r="M36">
        <v>8</v>
      </c>
      <c r="N36" s="21" t="str">
        <v/>
      </c>
      <c r="O36" s="21" t="str">
        <v/>
      </c>
      <c r="P36" s="21" t="str">
        <v/>
      </c>
      <c r="Q36" s="21" t="str">
        <v/>
      </c>
      <c r="R36" s="21" t="str">
        <v/>
      </c>
      <c r="S36" s="21" t="str">
        <v/>
      </c>
      <c r="T36" s="21" t="str">
        <v/>
      </c>
      <c r="U36" s="21" t="str">
        <v/>
      </c>
      <c r="V36" s="21">
        <v>5.160498566825886E-3</v>
      </c>
      <c r="W36" s="21">
        <v>2.2399717004783486E-2</v>
      </c>
    </row>
    <row r="37" spans="1:23" x14ac:dyDescent="0.3">
      <c r="A37">
        <v>7</v>
      </c>
      <c r="B37" s="25" t="str">
        <f t="shared" si="1"/>
        <v/>
      </c>
      <c r="C37" s="25" t="str">
        <f t="shared" si="1"/>
        <v/>
      </c>
      <c r="D37" s="25" t="str">
        <f t="shared" si="1"/>
        <v/>
      </c>
      <c r="E37" s="25" t="str">
        <f t="shared" si="1"/>
        <v/>
      </c>
      <c r="F37" s="25" t="str">
        <f t="shared" si="1"/>
        <v/>
      </c>
      <c r="G37" s="25" t="str">
        <f t="shared" si="1"/>
        <v/>
      </c>
      <c r="H37" s="25" t="str">
        <f t="shared" si="1"/>
        <v/>
      </c>
      <c r="I37" s="25">
        <f t="shared" si="1"/>
        <v>9.9679351543188969E-3</v>
      </c>
      <c r="J37" s="25">
        <f t="shared" si="1"/>
        <v>3.8459492699944087E-2</v>
      </c>
      <c r="K37" s="25">
        <f t="shared" si="1"/>
        <v>8.3468849130614448E-2</v>
      </c>
      <c r="M37">
        <v>7</v>
      </c>
      <c r="N37" s="21" t="str">
        <v/>
      </c>
      <c r="O37" s="21" t="str">
        <v/>
      </c>
      <c r="P37" s="21" t="str">
        <v/>
      </c>
      <c r="Q37" s="21" t="str">
        <v/>
      </c>
      <c r="R37" s="21" t="str">
        <v/>
      </c>
      <c r="S37" s="21" t="str">
        <v/>
      </c>
      <c r="T37" s="21" t="str">
        <v/>
      </c>
      <c r="U37" s="21">
        <v>9.9679351543188969E-3</v>
      </c>
      <c r="V37" s="21">
        <v>3.8459492699944087E-2</v>
      </c>
      <c r="W37" s="21">
        <v>8.3468849130614448E-2</v>
      </c>
    </row>
    <row r="38" spans="1:23" x14ac:dyDescent="0.3">
      <c r="A38">
        <v>6</v>
      </c>
      <c r="B38" s="25" t="str">
        <f t="shared" si="1"/>
        <v/>
      </c>
      <c r="C38" s="25" t="str">
        <f t="shared" si="1"/>
        <v/>
      </c>
      <c r="D38" s="25" t="str">
        <f t="shared" si="1"/>
        <v/>
      </c>
      <c r="E38" s="25" t="str">
        <f t="shared" si="1"/>
        <v/>
      </c>
      <c r="F38" s="25" t="str">
        <f t="shared" si="1"/>
        <v/>
      </c>
      <c r="G38" s="25" t="str">
        <f t="shared" si="1"/>
        <v/>
      </c>
      <c r="H38" s="25">
        <f t="shared" si="1"/>
        <v>1.9253901527933291E-2</v>
      </c>
      <c r="I38" s="25">
        <f t="shared" si="1"/>
        <v>6.5001764615300758E-2</v>
      </c>
      <c r="J38" s="25">
        <f t="shared" si="1"/>
        <v>0.12539883401139873</v>
      </c>
      <c r="K38" s="25">
        <f t="shared" si="1"/>
        <v>0.18143585406276252</v>
      </c>
      <c r="M38">
        <v>6</v>
      </c>
      <c r="N38" s="21" t="str">
        <v/>
      </c>
      <c r="O38" s="21" t="str">
        <v/>
      </c>
      <c r="P38" s="21" t="str">
        <v/>
      </c>
      <c r="Q38" s="21" t="str">
        <v/>
      </c>
      <c r="R38" s="21" t="str">
        <v/>
      </c>
      <c r="S38" s="21" t="str">
        <v/>
      </c>
      <c r="T38" s="21">
        <v>1.9253901527933291E-2</v>
      </c>
      <c r="U38" s="21">
        <v>6.5001764615300758E-2</v>
      </c>
      <c r="V38" s="21">
        <v>0.12539883401139873</v>
      </c>
      <c r="W38" s="21">
        <v>0.18143585406276252</v>
      </c>
    </row>
    <row r="39" spans="1:23" x14ac:dyDescent="0.3">
      <c r="A39">
        <v>5</v>
      </c>
      <c r="B39" s="25" t="str">
        <f t="shared" si="1"/>
        <v/>
      </c>
      <c r="C39" s="25" t="str">
        <f t="shared" si="1"/>
        <v/>
      </c>
      <c r="D39" s="25" t="str">
        <f t="shared" si="1"/>
        <v/>
      </c>
      <c r="E39" s="25" t="str">
        <f t="shared" si="1"/>
        <v/>
      </c>
      <c r="F39" s="25" t="str">
        <f t="shared" si="1"/>
        <v/>
      </c>
      <c r="G39" s="25">
        <f t="shared" si="1"/>
        <v>3.719052324359573E-2</v>
      </c>
      <c r="H39" s="25">
        <f t="shared" si="1"/>
        <v>0.10761973029397463</v>
      </c>
      <c r="I39" s="25">
        <f t="shared" si="1"/>
        <v>0.18166376218300895</v>
      </c>
      <c r="J39" s="25">
        <f t="shared" si="1"/>
        <v>0.23363903113189302</v>
      </c>
      <c r="K39" s="25">
        <f t="shared" si="1"/>
        <v>0.25353403895261545</v>
      </c>
      <c r="M39">
        <v>5</v>
      </c>
      <c r="N39" s="21" t="str">
        <v/>
      </c>
      <c r="O39" s="21" t="str">
        <v/>
      </c>
      <c r="P39" s="21" t="str">
        <v/>
      </c>
      <c r="Q39" s="21" t="str">
        <v/>
      </c>
      <c r="R39" s="21" t="str">
        <v/>
      </c>
      <c r="S39" s="21">
        <v>3.7190523243595737E-2</v>
      </c>
      <c r="T39" s="21">
        <v>0.10761973029397465</v>
      </c>
      <c r="U39" s="21">
        <v>0.18166376218300898</v>
      </c>
      <c r="V39" s="21">
        <v>0.23363903113189308</v>
      </c>
      <c r="W39" s="21">
        <v>0.25353403895261561</v>
      </c>
    </row>
    <row r="40" spans="1:23" x14ac:dyDescent="0.3">
      <c r="A40">
        <v>4</v>
      </c>
      <c r="B40" s="25" t="str">
        <f t="shared" si="1"/>
        <v/>
      </c>
      <c r="C40" s="25" t="str">
        <f t="shared" si="1"/>
        <v/>
      </c>
      <c r="D40" s="25" t="str">
        <f t="shared" si="1"/>
        <v/>
      </c>
      <c r="E40" s="25" t="str">
        <f t="shared" si="1"/>
        <v/>
      </c>
      <c r="F40" s="25">
        <f t="shared" si="1"/>
        <v>7.1836610212522453E-2</v>
      </c>
      <c r="G40" s="25">
        <f t="shared" si="1"/>
        <v>0.17323043484463363</v>
      </c>
      <c r="H40" s="25">
        <f t="shared" si="1"/>
        <v>0.25064197879896422</v>
      </c>
      <c r="I40" s="25">
        <f t="shared" si="1"/>
        <v>0.28205834689256831</v>
      </c>
      <c r="J40" s="25">
        <f t="shared" si="1"/>
        <v>0.27206790487027033</v>
      </c>
      <c r="K40" s="25">
        <f t="shared" si="1"/>
        <v>0.23618818981387105</v>
      </c>
      <c r="M40">
        <v>4</v>
      </c>
      <c r="N40" s="21" t="str">
        <v/>
      </c>
      <c r="O40" s="21" t="str">
        <v/>
      </c>
      <c r="P40" s="21" t="str">
        <v/>
      </c>
      <c r="Q40" s="21" t="str">
        <v/>
      </c>
      <c r="R40" s="21">
        <v>7.1836610212522467E-2</v>
      </c>
      <c r="S40" s="21">
        <v>0.17323043484463366</v>
      </c>
      <c r="T40" s="21">
        <v>0.25064197879896427</v>
      </c>
      <c r="U40" s="21">
        <v>0.28205834689256831</v>
      </c>
      <c r="V40" s="21">
        <v>0.27206790487027038</v>
      </c>
      <c r="W40" s="21">
        <v>0.23618818981387113</v>
      </c>
    </row>
    <row r="41" spans="1:23" x14ac:dyDescent="0.3">
      <c r="A41">
        <v>3</v>
      </c>
      <c r="B41" s="25" t="str">
        <f t="shared" si="1"/>
        <v/>
      </c>
      <c r="C41" s="25" t="str">
        <f t="shared" si="1"/>
        <v/>
      </c>
      <c r="D41" s="25" t="str">
        <f t="shared" si="1"/>
        <v/>
      </c>
      <c r="E41" s="25">
        <f t="shared" si="1"/>
        <v>0.13875842867348021</v>
      </c>
      <c r="F41" s="25">
        <f t="shared" si="1"/>
        <v>0.26768727384383095</v>
      </c>
      <c r="G41" s="25">
        <f t="shared" si="1"/>
        <v>0.32275731492031012</v>
      </c>
      <c r="H41" s="25">
        <f t="shared" si="1"/>
        <v>0.31132532477533459</v>
      </c>
      <c r="I41" s="25">
        <f t="shared" si="1"/>
        <v>0.26276097146426725</v>
      </c>
      <c r="J41" s="25">
        <f t="shared" si="1"/>
        <v>0.20276323044661129</v>
      </c>
      <c r="K41" s="25">
        <f t="shared" si="1"/>
        <v>0.14668605246066951</v>
      </c>
      <c r="M41">
        <v>3</v>
      </c>
      <c r="N41" s="21" t="str">
        <v/>
      </c>
      <c r="O41" s="21" t="str">
        <v/>
      </c>
      <c r="P41" s="21" t="str">
        <v/>
      </c>
      <c r="Q41" s="21">
        <v>0.13875842867348021</v>
      </c>
      <c r="R41" s="21">
        <v>0.26768727384383095</v>
      </c>
      <c r="S41" s="21">
        <v>0.32275731492031012</v>
      </c>
      <c r="T41" s="21">
        <v>0.31132532477533459</v>
      </c>
      <c r="U41" s="21">
        <v>0.26276097146426725</v>
      </c>
      <c r="V41" s="21">
        <v>0.20276323044661132</v>
      </c>
      <c r="W41" s="21">
        <v>0.14668605246066954</v>
      </c>
    </row>
    <row r="42" spans="1:23" x14ac:dyDescent="0.3">
      <c r="A42">
        <v>2</v>
      </c>
      <c r="B42" s="25" t="str">
        <f t="shared" si="1"/>
        <v/>
      </c>
      <c r="C42" s="25" t="str">
        <f t="shared" si="1"/>
        <v/>
      </c>
      <c r="D42" s="25">
        <f t="shared" si="1"/>
        <v>0.26802352548334718</v>
      </c>
      <c r="E42" s="25">
        <f t="shared" si="1"/>
        <v>0.38779529042960093</v>
      </c>
      <c r="F42" s="25">
        <f t="shared" si="1"/>
        <v>0.37405967009345542</v>
      </c>
      <c r="G42" s="25">
        <f t="shared" si="1"/>
        <v>0.3006754685687823</v>
      </c>
      <c r="H42" s="25">
        <f t="shared" si="1"/>
        <v>0.21751920927167248</v>
      </c>
      <c r="I42" s="25">
        <f t="shared" si="1"/>
        <v>0.14687031010178114</v>
      </c>
      <c r="J42" s="25">
        <f t="shared" si="1"/>
        <v>9.4445464912402549E-2</v>
      </c>
      <c r="K42" s="25">
        <f t="shared" si="1"/>
        <v>5.8564432404230621E-2</v>
      </c>
      <c r="M42">
        <v>2</v>
      </c>
      <c r="N42" s="21" t="str">
        <v/>
      </c>
      <c r="O42" s="21" t="str">
        <v/>
      </c>
      <c r="P42" s="21">
        <v>0.26802352548334718</v>
      </c>
      <c r="Q42" s="21">
        <v>0.38779529042960093</v>
      </c>
      <c r="R42" s="21">
        <v>0.37405967009345548</v>
      </c>
      <c r="S42" s="21">
        <v>0.3006754685687823</v>
      </c>
      <c r="T42" s="21">
        <v>0.21751920927167251</v>
      </c>
      <c r="U42" s="21">
        <v>0.14687031010178117</v>
      </c>
      <c r="V42" s="21">
        <v>9.4445464912402563E-2</v>
      </c>
      <c r="W42" s="21">
        <v>5.8564432404230642E-2</v>
      </c>
    </row>
    <row r="43" spans="1:23" x14ac:dyDescent="0.3">
      <c r="A43">
        <v>1</v>
      </c>
      <c r="B43" s="25" t="str">
        <f t="shared" si="1"/>
        <v/>
      </c>
      <c r="C43" s="25">
        <f t="shared" si="1"/>
        <v>0.51770988544101337</v>
      </c>
      <c r="D43" s="25">
        <f t="shared" si="1"/>
        <v>0.49937271991533239</v>
      </c>
      <c r="E43" s="25">
        <f t="shared" si="1"/>
        <v>0.36126378944339754</v>
      </c>
      <c r="F43" s="25">
        <f t="shared" si="1"/>
        <v>0.23231193919555979</v>
      </c>
      <c r="G43" s="25">
        <f t="shared" si="1"/>
        <v>0.14005218971005856</v>
      </c>
      <c r="H43" s="25">
        <f t="shared" si="1"/>
        <v>8.1054943943401292E-2</v>
      </c>
      <c r="I43" s="25">
        <f t="shared" si="1"/>
        <v>4.5607331233374453E-2</v>
      </c>
      <c r="J43" s="25">
        <f t="shared" si="1"/>
        <v>2.5138245720312931E-2</v>
      </c>
      <c r="K43" s="25">
        <f t="shared" si="1"/>
        <v>1.3639418334294388E-2</v>
      </c>
      <c r="M43">
        <v>1</v>
      </c>
      <c r="N43" s="21" t="str">
        <v/>
      </c>
      <c r="O43" s="21">
        <v>0.51770988544101337</v>
      </c>
      <c r="P43" s="21">
        <v>0.49937271991533239</v>
      </c>
      <c r="Q43" s="21">
        <v>0.36126378944339754</v>
      </c>
      <c r="R43" s="21">
        <v>0.23231193919555979</v>
      </c>
      <c r="S43" s="21">
        <v>0.14005218971005859</v>
      </c>
      <c r="T43" s="21">
        <v>8.1054943943401306E-2</v>
      </c>
      <c r="U43" s="21">
        <v>4.560733123337446E-2</v>
      </c>
      <c r="V43" s="21">
        <v>2.5138245720312934E-2</v>
      </c>
      <c r="W43" s="21">
        <v>1.3639418334294391E-2</v>
      </c>
    </row>
    <row r="44" spans="1:23" x14ac:dyDescent="0.3">
      <c r="A44">
        <v>0</v>
      </c>
      <c r="B44" s="24">
        <f t="shared" si="1"/>
        <v>1</v>
      </c>
      <c r="C44" s="25">
        <f t="shared" si="1"/>
        <v>0.48229011455898663</v>
      </c>
      <c r="D44" s="25">
        <f t="shared" si="1"/>
        <v>0.23260375460132043</v>
      </c>
      <c r="E44" s="25">
        <f t="shared" si="1"/>
        <v>0.11218249145352124</v>
      </c>
      <c r="F44" s="25">
        <f t="shared" si="1"/>
        <v>5.4104506654631297E-2</v>
      </c>
      <c r="G44" s="25">
        <f t="shared" si="1"/>
        <v>2.6094068712619583E-2</v>
      </c>
      <c r="H44" s="25">
        <f t="shared" si="1"/>
        <v>1.2584911388719366E-2</v>
      </c>
      <c r="I44" s="25">
        <f t="shared" si="1"/>
        <v>6.0695783553801584E-3</v>
      </c>
      <c r="J44" s="25">
        <f t="shared" si="1"/>
        <v>2.9272976403410425E-3</v>
      </c>
      <c r="K44" s="25">
        <f t="shared" si="1"/>
        <v>1.4118067143083326E-3</v>
      </c>
      <c r="M44">
        <v>0</v>
      </c>
      <c r="N44" s="21">
        <v>1</v>
      </c>
      <c r="O44" s="21">
        <v>0.48229011455898663</v>
      </c>
      <c r="P44" s="21">
        <v>0.23260375460132043</v>
      </c>
      <c r="Q44" s="21">
        <v>0.11218249145352124</v>
      </c>
      <c r="R44" s="21">
        <v>5.4104506654631304E-2</v>
      </c>
      <c r="S44" s="21">
        <v>2.6094068712619586E-2</v>
      </c>
      <c r="T44" s="21">
        <v>1.2584911388719368E-2</v>
      </c>
      <c r="U44" s="21">
        <v>6.0695783553801593E-3</v>
      </c>
      <c r="V44" s="21">
        <v>2.9272976403410429E-3</v>
      </c>
      <c r="W44" s="21">
        <v>1.4118067143083328E-3</v>
      </c>
    </row>
    <row r="47" spans="1:23" x14ac:dyDescent="0.3">
      <c r="A47" s="5" t="s">
        <v>73</v>
      </c>
    </row>
    <row r="48" spans="1:23" x14ac:dyDescent="0.3">
      <c r="B48" s="3">
        <v>0</v>
      </c>
      <c r="C48" s="3">
        <v>1</v>
      </c>
      <c r="D48" s="3">
        <v>2</v>
      </c>
      <c r="E48" s="3">
        <v>3</v>
      </c>
      <c r="F48" s="3">
        <v>4</v>
      </c>
      <c r="G48" s="3">
        <v>5</v>
      </c>
      <c r="H48" s="3">
        <v>6</v>
      </c>
      <c r="I48" s="3">
        <v>7</v>
      </c>
      <c r="J48" s="3">
        <v>8</v>
      </c>
      <c r="K48" s="3">
        <v>9</v>
      </c>
    </row>
    <row r="49" spans="1:11" x14ac:dyDescent="0.3">
      <c r="A49">
        <v>9</v>
      </c>
      <c r="B49" s="20" t="str">
        <f t="shared" ref="B49:K49" si="2">IF($A49&lt;=B$48,MAX($D$16*(B21-$D$5),0),"")</f>
        <v/>
      </c>
      <c r="C49" s="20" t="str">
        <f t="shared" si="2"/>
        <v/>
      </c>
      <c r="D49" s="20" t="str">
        <f t="shared" si="2"/>
        <v/>
      </c>
      <c r="E49" s="20" t="str">
        <f t="shared" si="2"/>
        <v/>
      </c>
      <c r="F49" s="20" t="str">
        <f t="shared" si="2"/>
        <v/>
      </c>
      <c r="G49" s="20" t="str">
        <f t="shared" si="2"/>
        <v/>
      </c>
      <c r="H49" s="20" t="str">
        <f t="shared" si="2"/>
        <v/>
      </c>
      <c r="I49" s="20" t="str">
        <f t="shared" si="2"/>
        <v/>
      </c>
      <c r="J49" s="20" t="str">
        <f t="shared" si="2"/>
        <v/>
      </c>
      <c r="K49" s="20">
        <f t="shared" ca="1" si="2"/>
        <v>57.84651603231768</v>
      </c>
    </row>
    <row r="50" spans="1:11" x14ac:dyDescent="0.3">
      <c r="A50">
        <v>8</v>
      </c>
      <c r="B50" s="20" t="str">
        <f t="shared" ref="B50:K50" si="3">IF($A50&lt;=B$48,MAX($D$16*(B22-$D$5),0),"")</f>
        <v/>
      </c>
      <c r="C50" s="20" t="str">
        <f t="shared" si="3"/>
        <v/>
      </c>
      <c r="D50" s="20" t="str">
        <f t="shared" si="3"/>
        <v/>
      </c>
      <c r="E50" s="20" t="str">
        <f t="shared" si="3"/>
        <v/>
      </c>
      <c r="F50" s="20" t="str">
        <f t="shared" si="3"/>
        <v/>
      </c>
      <c r="G50" s="20" t="str">
        <f t="shared" si="3"/>
        <v/>
      </c>
      <c r="H50" s="20" t="str">
        <f t="shared" si="3"/>
        <v/>
      </c>
      <c r="I50" s="20" t="str">
        <f t="shared" si="3"/>
        <v/>
      </c>
      <c r="J50" s="20">
        <f t="shared" ca="1" si="3"/>
        <v>50.808454173256024</v>
      </c>
      <c r="K50" s="20">
        <f t="shared" ca="1" si="3"/>
        <v>44.094471109170001</v>
      </c>
    </row>
    <row r="51" spans="1:11" x14ac:dyDescent="0.3">
      <c r="A51">
        <v>7</v>
      </c>
      <c r="B51" s="20" t="str">
        <f t="shared" ref="B51:K51" si="4">IF($A51&lt;=B$48,MAX($D$16*(B23-$D$5),0),"")</f>
        <v/>
      </c>
      <c r="C51" s="20" t="str">
        <f t="shared" si="4"/>
        <v/>
      </c>
      <c r="D51" s="20" t="str">
        <f t="shared" si="4"/>
        <v/>
      </c>
      <c r="E51" s="20" t="str">
        <f t="shared" si="4"/>
        <v/>
      </c>
      <c r="F51" s="20" t="str">
        <f t="shared" si="4"/>
        <v/>
      </c>
      <c r="G51" s="20" t="str">
        <f t="shared" si="4"/>
        <v/>
      </c>
      <c r="H51" s="20" t="str">
        <f t="shared" si="4"/>
        <v/>
      </c>
      <c r="I51" s="20">
        <f t="shared" ca="1" si="4"/>
        <v>44.094471109170001</v>
      </c>
      <c r="J51" s="20">
        <f t="shared" ca="1" si="4"/>
        <v>37.689644114534332</v>
      </c>
      <c r="K51" s="20">
        <f t="shared" ca="1" si="4"/>
        <v>31.579737604545514</v>
      </c>
    </row>
    <row r="52" spans="1:11" x14ac:dyDescent="0.3">
      <c r="A52">
        <v>6</v>
      </c>
      <c r="B52" s="20" t="str">
        <f t="shared" ref="B52:K52" si="5">IF($A52&lt;=B$48,MAX($D$16*(B24-$D$5),0),"")</f>
        <v/>
      </c>
      <c r="C52" s="20" t="str">
        <f t="shared" si="5"/>
        <v/>
      </c>
      <c r="D52" s="20" t="str">
        <f t="shared" si="5"/>
        <v/>
      </c>
      <c r="E52" s="20" t="str">
        <f t="shared" si="5"/>
        <v/>
      </c>
      <c r="F52" s="20" t="str">
        <f t="shared" si="5"/>
        <v/>
      </c>
      <c r="G52" s="20" t="str">
        <f t="shared" si="5"/>
        <v/>
      </c>
      <c r="H52" s="20">
        <f t="shared" ca="1" si="5"/>
        <v>37.689644114534332</v>
      </c>
      <c r="I52" s="20">
        <f t="shared" ca="1" si="5"/>
        <v>31.579737604545514</v>
      </c>
      <c r="J52" s="20">
        <f t="shared" ca="1" si="5"/>
        <v>25.75117149463027</v>
      </c>
      <c r="K52" s="20">
        <f t="shared" ca="1" si="5"/>
        <v>20.190991016890905</v>
      </c>
    </row>
    <row r="53" spans="1:11" x14ac:dyDescent="0.3">
      <c r="A53">
        <v>5</v>
      </c>
      <c r="B53" s="20" t="str">
        <f t="shared" ref="B53:K53" si="6">IF($A53&lt;=B$48,MAX($D$16*(B25-$D$5),0),"")</f>
        <v/>
      </c>
      <c r="C53" s="20" t="str">
        <f t="shared" si="6"/>
        <v/>
      </c>
      <c r="D53" s="20" t="str">
        <f t="shared" si="6"/>
        <v/>
      </c>
      <c r="E53" s="20" t="str">
        <f t="shared" si="6"/>
        <v/>
      </c>
      <c r="F53" s="20" t="str">
        <f t="shared" si="6"/>
        <v/>
      </c>
      <c r="G53" s="20">
        <f t="shared" ca="1" si="6"/>
        <v>31.5797376045455</v>
      </c>
      <c r="H53" s="20">
        <f t="shared" ca="1" si="6"/>
        <v>25.751171494630256</v>
      </c>
      <c r="I53" s="20">
        <f t="shared" ca="1" si="6"/>
        <v>20.190991016890891</v>
      </c>
      <c r="J53" s="20">
        <f t="shared" ca="1" si="6"/>
        <v>14.886837926400588</v>
      </c>
      <c r="K53" s="20">
        <f t="shared" ca="1" si="6"/>
        <v>9.8269230333508517</v>
      </c>
    </row>
    <row r="54" spans="1:11" x14ac:dyDescent="0.3">
      <c r="A54">
        <v>4</v>
      </c>
      <c r="B54" s="20" t="str">
        <f t="shared" ref="B54:K54" si="7">IF($A54&lt;=B$48,MAX($D$16*(B26-$D$5),0),"")</f>
        <v/>
      </c>
      <c r="C54" s="20" t="str">
        <f t="shared" si="7"/>
        <v/>
      </c>
      <c r="D54" s="20" t="str">
        <f t="shared" si="7"/>
        <v/>
      </c>
      <c r="E54" s="20" t="str">
        <f t="shared" si="7"/>
        <v/>
      </c>
      <c r="F54" s="20">
        <f t="shared" ca="1" si="7"/>
        <v>25.751171494630242</v>
      </c>
      <c r="G54" s="20">
        <f t="shared" ca="1" si="7"/>
        <v>20.190991016890877</v>
      </c>
      <c r="H54" s="20">
        <f t="shared" ca="1" si="7"/>
        <v>14.886837926400574</v>
      </c>
      <c r="I54" s="20">
        <f t="shared" ca="1" si="7"/>
        <v>9.8269230333508375</v>
      </c>
      <c r="J54" s="20">
        <f t="shared" ca="1" si="7"/>
        <v>5.0000000000000284</v>
      </c>
      <c r="K54" s="20">
        <f t="shared" ca="1" si="7"/>
        <v>0.39534034418325348</v>
      </c>
    </row>
    <row r="55" spans="1:11" x14ac:dyDescent="0.3">
      <c r="A55">
        <v>3</v>
      </c>
      <c r="B55" s="20" t="str">
        <f t="shared" ref="B55:K55" si="8">IF($A55&lt;=B$48,MAX($D$16*(B27-$D$5),0),"")</f>
        <v/>
      </c>
      <c r="C55" s="20" t="str">
        <f t="shared" si="8"/>
        <v/>
      </c>
      <c r="D55" s="20" t="str">
        <f t="shared" si="8"/>
        <v/>
      </c>
      <c r="E55" s="20">
        <f t="shared" ca="1" si="8"/>
        <v>20.190991016890862</v>
      </c>
      <c r="F55" s="20">
        <f t="shared" ca="1" si="8"/>
        <v>14.88683792640056</v>
      </c>
      <c r="G55" s="20">
        <f t="shared" ca="1" si="8"/>
        <v>9.8269230333508233</v>
      </c>
      <c r="H55" s="20">
        <f t="shared" ca="1" si="8"/>
        <v>5.0000000000000142</v>
      </c>
      <c r="I55" s="20">
        <f t="shared" ca="1" si="8"/>
        <v>0.39534034418323927</v>
      </c>
      <c r="J55" s="20">
        <f t="shared" ca="1" si="8"/>
        <v>0</v>
      </c>
      <c r="K55" s="20">
        <f t="shared" ca="1" si="8"/>
        <v>0</v>
      </c>
    </row>
    <row r="56" spans="1:11" x14ac:dyDescent="0.3">
      <c r="A56">
        <v>2</v>
      </c>
      <c r="B56" s="20" t="str">
        <f t="shared" ref="B56:K56" si="9">IF($A56&lt;=B$48,MAX($D$16*(B28-$D$5),0),"")</f>
        <v/>
      </c>
      <c r="C56" s="20" t="str">
        <f t="shared" si="9"/>
        <v/>
      </c>
      <c r="D56" s="20">
        <f t="shared" ca="1" si="9"/>
        <v>14.88683792640056</v>
      </c>
      <c r="E56" s="20">
        <f t="shared" ca="1" si="9"/>
        <v>9.8269230333508233</v>
      </c>
      <c r="F56" s="20">
        <f t="shared" ca="1" si="9"/>
        <v>5.0000000000000142</v>
      </c>
      <c r="G56" s="20">
        <f t="shared" ca="1" si="9"/>
        <v>0.39534034418323927</v>
      </c>
      <c r="H56" s="20">
        <f t="shared" ca="1" si="9"/>
        <v>0</v>
      </c>
      <c r="I56" s="20">
        <f t="shared" ca="1" si="9"/>
        <v>0</v>
      </c>
      <c r="J56" s="20">
        <f t="shared" ca="1" si="9"/>
        <v>0</v>
      </c>
      <c r="K56" s="20">
        <f t="shared" ca="1" si="9"/>
        <v>0</v>
      </c>
    </row>
    <row r="57" spans="1:11" x14ac:dyDescent="0.3">
      <c r="A57">
        <v>1</v>
      </c>
      <c r="B57" s="20" t="str">
        <f t="shared" ref="B57:K57" si="10">IF($A57&lt;=B$48,MAX($D$16*(B29-$D$5),0),"")</f>
        <v/>
      </c>
      <c r="C57" s="20">
        <f t="shared" ca="1" si="10"/>
        <v>9.8269230333508233</v>
      </c>
      <c r="D57" s="20">
        <f t="shared" ca="1" si="10"/>
        <v>5.0000000000000142</v>
      </c>
      <c r="E57" s="20">
        <f t="shared" ca="1" si="10"/>
        <v>0.39534034418323927</v>
      </c>
      <c r="F57" s="20">
        <f t="shared" ca="1" si="10"/>
        <v>0</v>
      </c>
      <c r="G57" s="20">
        <f t="shared" ca="1" si="10"/>
        <v>0</v>
      </c>
      <c r="H57" s="20">
        <f t="shared" ca="1" si="10"/>
        <v>0</v>
      </c>
      <c r="I57" s="20">
        <f t="shared" ca="1" si="10"/>
        <v>0</v>
      </c>
      <c r="J57" s="20">
        <f t="shared" ca="1" si="10"/>
        <v>0</v>
      </c>
      <c r="K57" s="20">
        <f t="shared" ca="1" si="10"/>
        <v>0</v>
      </c>
    </row>
    <row r="58" spans="1:11" x14ac:dyDescent="0.3">
      <c r="A58">
        <v>0</v>
      </c>
      <c r="B58" s="20">
        <f t="shared" ref="B58:K58" si="11">IF($A58&lt;=B$48,MAX($D$16*(B30-$D$5),0),"")</f>
        <v>5</v>
      </c>
      <c r="C58" s="20">
        <f t="shared" ca="1" si="11"/>
        <v>0.39534034418322506</v>
      </c>
      <c r="D58" s="20">
        <f t="shared" ca="1" si="11"/>
        <v>0</v>
      </c>
      <c r="E58" s="20">
        <f t="shared" ca="1" si="11"/>
        <v>0</v>
      </c>
      <c r="F58" s="20">
        <f t="shared" ca="1" si="11"/>
        <v>0</v>
      </c>
      <c r="G58" s="20">
        <f t="shared" ca="1" si="11"/>
        <v>0</v>
      </c>
      <c r="H58" s="20">
        <f t="shared" ca="1" si="11"/>
        <v>0</v>
      </c>
      <c r="I58" s="20">
        <f t="shared" ca="1" si="11"/>
        <v>0</v>
      </c>
      <c r="J58" s="20">
        <f t="shared" ca="1" si="11"/>
        <v>0</v>
      </c>
      <c r="K58" s="7">
        <f t="shared" ca="1" si="11"/>
        <v>0</v>
      </c>
    </row>
    <row r="61" spans="1:11" x14ac:dyDescent="0.3">
      <c r="A61" s="5" t="s">
        <v>74</v>
      </c>
    </row>
    <row r="62" spans="1:11" x14ac:dyDescent="0.3">
      <c r="B62" s="3">
        <v>0</v>
      </c>
      <c r="C62" s="3">
        <v>1</v>
      </c>
      <c r="D62" s="3">
        <v>2</v>
      </c>
      <c r="E62" s="3">
        <v>3</v>
      </c>
      <c r="F62" s="3">
        <v>4</v>
      </c>
      <c r="G62" s="3">
        <v>5</v>
      </c>
      <c r="H62" s="3">
        <v>6</v>
      </c>
      <c r="I62" s="3">
        <v>7</v>
      </c>
      <c r="J62" s="3">
        <v>8</v>
      </c>
      <c r="K62" s="3">
        <v>9</v>
      </c>
    </row>
    <row r="63" spans="1:11" x14ac:dyDescent="0.3">
      <c r="A63">
        <v>9</v>
      </c>
      <c r="B63" s="20" t="str">
        <f t="shared" ref="B63:J63" si="12">IF($A63&lt;=B$62,($G$11*C62+$G$12*C63)/$G$7,"")</f>
        <v/>
      </c>
      <c r="C63" s="20" t="str">
        <f t="shared" si="12"/>
        <v/>
      </c>
      <c r="D63" s="20" t="str">
        <f t="shared" si="12"/>
        <v/>
      </c>
      <c r="E63" s="20" t="str">
        <f t="shared" si="12"/>
        <v/>
      </c>
      <c r="F63" s="20" t="str">
        <f t="shared" si="12"/>
        <v/>
      </c>
      <c r="G63" s="20" t="str">
        <f t="shared" si="12"/>
        <v/>
      </c>
      <c r="H63" s="20" t="str">
        <f t="shared" si="12"/>
        <v/>
      </c>
      <c r="I63" s="20" t="str">
        <f t="shared" si="12"/>
        <v/>
      </c>
      <c r="J63" s="20" t="str">
        <f t="shared" si="12"/>
        <v/>
      </c>
      <c r="K63" s="20">
        <f t="shared" ref="K63:K72" ca="1" si="13">K49</f>
        <v>57.84651603231768</v>
      </c>
    </row>
    <row r="64" spans="1:11" x14ac:dyDescent="0.3">
      <c r="A64">
        <v>8</v>
      </c>
      <c r="B64" s="20" t="str">
        <f t="shared" ref="B64:J64" si="14">IF($A64&lt;=B$62,($G$11*C63+$G$12*C64)/$G$7,"")</f>
        <v/>
      </c>
      <c r="C64" s="20" t="str">
        <f t="shared" si="14"/>
        <v/>
      </c>
      <c r="D64" s="20" t="str">
        <f t="shared" si="14"/>
        <v/>
      </c>
      <c r="E64" s="20" t="str">
        <f t="shared" si="14"/>
        <v/>
      </c>
      <c r="F64" s="20" t="str">
        <f t="shared" si="14"/>
        <v/>
      </c>
      <c r="G64" s="20" t="str">
        <f t="shared" si="14"/>
        <v/>
      </c>
      <c r="H64" s="20" t="str">
        <f t="shared" si="14"/>
        <v/>
      </c>
      <c r="I64" s="20" t="str">
        <f t="shared" si="14"/>
        <v/>
      </c>
      <c r="J64" s="20">
        <f t="shared" ca="1" si="14"/>
        <v>50.986927821355664</v>
      </c>
      <c r="K64" s="20">
        <f t="shared" ca="1" si="13"/>
        <v>44.094471109170001</v>
      </c>
    </row>
    <row r="65" spans="1:11" x14ac:dyDescent="0.3">
      <c r="A65">
        <v>7</v>
      </c>
      <c r="B65" s="20" t="str">
        <f t="shared" ref="B65:J65" si="15">IF($A65&lt;=B$62,($G$11*C64+$G$12*C65)/$G$7,"")</f>
        <v/>
      </c>
      <c r="C65" s="20" t="str">
        <f t="shared" si="15"/>
        <v/>
      </c>
      <c r="D65" s="20" t="str">
        <f t="shared" si="15"/>
        <v/>
      </c>
      <c r="E65" s="20" t="str">
        <f t="shared" si="15"/>
        <v/>
      </c>
      <c r="F65" s="20" t="str">
        <f t="shared" si="15"/>
        <v/>
      </c>
      <c r="G65" s="20" t="str">
        <f t="shared" si="15"/>
        <v/>
      </c>
      <c r="H65" s="20" t="str">
        <f t="shared" si="15"/>
        <v/>
      </c>
      <c r="I65" s="20">
        <f t="shared" ca="1" si="15"/>
        <v>44.472297214921234</v>
      </c>
      <c r="J65" s="20">
        <f t="shared" ca="1" si="15"/>
        <v>37.889964235613981</v>
      </c>
      <c r="K65" s="20">
        <f t="shared" ca="1" si="13"/>
        <v>31.579737604545514</v>
      </c>
    </row>
    <row r="66" spans="1:11" x14ac:dyDescent="0.3">
      <c r="A66">
        <v>6</v>
      </c>
      <c r="B66" s="20" t="str">
        <f t="shared" ref="B66:J66" si="16">IF($A66&lt;=B$62,($G$11*C65+$G$12*C66)/$G$7,"")</f>
        <v/>
      </c>
      <c r="C66" s="20" t="str">
        <f t="shared" si="16"/>
        <v/>
      </c>
      <c r="D66" s="20" t="str">
        <f t="shared" si="16"/>
        <v/>
      </c>
      <c r="E66" s="20" t="str">
        <f t="shared" si="16"/>
        <v/>
      </c>
      <c r="F66" s="20" t="str">
        <f t="shared" si="16"/>
        <v/>
      </c>
      <c r="G66" s="20" t="str">
        <f t="shared" si="16"/>
        <v/>
      </c>
      <c r="H66" s="20">
        <f t="shared" ca="1" si="16"/>
        <v>38.286111381913862</v>
      </c>
      <c r="I66" s="20">
        <f t="shared" ca="1" si="16"/>
        <v>31.999210039535356</v>
      </c>
      <c r="J66" s="20">
        <f t="shared" ca="1" si="16"/>
        <v>25.971372498072405</v>
      </c>
      <c r="K66" s="20">
        <f t="shared" ca="1" si="13"/>
        <v>20.190991016890905</v>
      </c>
    </row>
    <row r="67" spans="1:11" x14ac:dyDescent="0.3">
      <c r="A67">
        <v>5</v>
      </c>
      <c r="B67" s="20" t="str">
        <f t="shared" ref="B67:J67" si="17">IF($A67&lt;=B$62,($G$11*C66+$G$12*C67)/$G$7,"")</f>
        <v/>
      </c>
      <c r="C67" s="20" t="str">
        <f t="shared" si="17"/>
        <v/>
      </c>
      <c r="D67" s="20" t="str">
        <f t="shared" si="17"/>
        <v/>
      </c>
      <c r="E67" s="20" t="str">
        <f t="shared" si="17"/>
        <v/>
      </c>
      <c r="F67" s="20" t="str">
        <f t="shared" si="17"/>
        <v/>
      </c>
      <c r="G67" s="20">
        <f t="shared" ca="1" si="17"/>
        <v>32.41264444106578</v>
      </c>
      <c r="H67" s="20">
        <f t="shared" ca="1" si="17"/>
        <v>26.40718214260917</v>
      </c>
      <c r="I67" s="20">
        <f t="shared" ca="1" si="17"/>
        <v>20.648362739934246</v>
      </c>
      <c r="J67" s="20">
        <f t="shared" ca="1" si="17"/>
        <v>15.12513107148375</v>
      </c>
      <c r="K67" s="20">
        <f t="shared" ca="1" si="13"/>
        <v>9.8269230333508517</v>
      </c>
    </row>
    <row r="68" spans="1:11" x14ac:dyDescent="0.3">
      <c r="A68">
        <v>4</v>
      </c>
      <c r="B68" s="20" t="str">
        <f t="shared" ref="B68:J68" si="18">IF($A68&lt;=B$62,($G$11*C67+$G$12*C68)/$G$7,"")</f>
        <v/>
      </c>
      <c r="C68" s="20" t="str">
        <f t="shared" si="18"/>
        <v/>
      </c>
      <c r="D68" s="20" t="str">
        <f t="shared" si="18"/>
        <v/>
      </c>
      <c r="E68" s="20" t="str">
        <f t="shared" si="18"/>
        <v/>
      </c>
      <c r="F68" s="20">
        <f t="shared" ca="1" si="18"/>
        <v>26.836919972846285</v>
      </c>
      <c r="G68" s="20">
        <f t="shared" ca="1" si="18"/>
        <v>21.099570308875844</v>
      </c>
      <c r="H68" s="20">
        <f t="shared" ca="1" si="18"/>
        <v>15.597034664108683</v>
      </c>
      <c r="I68" s="20">
        <f t="shared" ca="1" si="18"/>
        <v>10.318784135439657</v>
      </c>
      <c r="J68" s="20">
        <f t="shared" ca="1" si="18"/>
        <v>5.2547574842000735</v>
      </c>
      <c r="K68" s="20">
        <f t="shared" ca="1" si="13"/>
        <v>0.39534034418325348</v>
      </c>
    </row>
    <row r="69" spans="1:11" x14ac:dyDescent="0.3">
      <c r="A69">
        <v>3</v>
      </c>
      <c r="B69" s="20" t="str">
        <f t="shared" ref="B69:J69" si="19">IF($A69&lt;=B$62,($G$11*C68+$G$12*C69)/$G$7,"")</f>
        <v/>
      </c>
      <c r="C69" s="20" t="str">
        <f t="shared" si="19"/>
        <v/>
      </c>
      <c r="D69" s="20" t="str">
        <f t="shared" si="19"/>
        <v/>
      </c>
      <c r="E69" s="20">
        <f t="shared" ca="1" si="19"/>
        <v>21.645004791023116</v>
      </c>
      <c r="F69" s="20">
        <f t="shared" ca="1" si="19"/>
        <v>16.271700177072653</v>
      </c>
      <c r="G69" s="20">
        <f t="shared" ca="1" si="19"/>
        <v>11.239549598733118</v>
      </c>
      <c r="H69" s="20">
        <f t="shared" ca="1" si="19"/>
        <v>6.6658535989403038</v>
      </c>
      <c r="I69" s="20">
        <f t="shared" ca="1" si="19"/>
        <v>2.8062134276957731</v>
      </c>
      <c r="J69" s="20">
        <f t="shared" ca="1" si="19"/>
        <v>0.20376397117919867</v>
      </c>
      <c r="K69" s="20">
        <f t="shared" ca="1" si="13"/>
        <v>0</v>
      </c>
    </row>
    <row r="70" spans="1:11" x14ac:dyDescent="0.3">
      <c r="A70">
        <v>2</v>
      </c>
      <c r="B70" s="20" t="str">
        <f t="shared" ref="B70:J70" si="20">IF($A70&lt;=B$62,($G$11*C69+$G$12*C70)/$G$7,"")</f>
        <v/>
      </c>
      <c r="C70" s="20" t="str">
        <f t="shared" si="20"/>
        <v/>
      </c>
      <c r="D70" s="20">
        <f t="shared" ca="1" si="20"/>
        <v>16.978435257251366</v>
      </c>
      <c r="E70" s="20">
        <f t="shared" ca="1" si="20"/>
        <v>12.125958586307597</v>
      </c>
      <c r="F70" s="20">
        <f t="shared" ca="1" si="20"/>
        <v>7.787743368095021</v>
      </c>
      <c r="G70" s="20">
        <f t="shared" ca="1" si="20"/>
        <v>4.1543597831478234</v>
      </c>
      <c r="H70" s="20">
        <f t="shared" ca="1" si="20"/>
        <v>1.4967886985619892</v>
      </c>
      <c r="I70" s="20">
        <f t="shared" ca="1" si="20"/>
        <v>0.10502281530738869</v>
      </c>
      <c r="J70" s="20">
        <f t="shared" ca="1" si="20"/>
        <v>0</v>
      </c>
      <c r="K70" s="20">
        <f t="shared" ca="1" si="13"/>
        <v>0</v>
      </c>
    </row>
    <row r="71" spans="1:11" x14ac:dyDescent="0.3">
      <c r="A71">
        <v>1</v>
      </c>
      <c r="B71" s="20" t="str">
        <f t="shared" ref="B71:J71" si="21">IF($A71&lt;=B$62,($G$11*C70+$G$12*C71)/$G$7,"")</f>
        <v/>
      </c>
      <c r="C71" s="20">
        <f t="shared" ca="1" si="21"/>
        <v>12.956617039317122</v>
      </c>
      <c r="D71" s="20">
        <f t="shared" ca="1" si="21"/>
        <v>8.7590980216936991</v>
      </c>
      <c r="E71" s="20">
        <f t="shared" ca="1" si="21"/>
        <v>5.2258698187800627</v>
      </c>
      <c r="F71" s="20">
        <f t="shared" ca="1" si="21"/>
        <v>2.5241153265494822</v>
      </c>
      <c r="G71" s="20">
        <f t="shared" ca="1" si="21"/>
        <v>0.79745664357019641</v>
      </c>
      <c r="H71" s="20">
        <f t="shared" ca="1" si="21"/>
        <v>5.413023544476276E-2</v>
      </c>
      <c r="I71" s="20">
        <f t="shared" ca="1" si="21"/>
        <v>0</v>
      </c>
      <c r="J71" s="20">
        <f t="shared" ca="1" si="21"/>
        <v>0</v>
      </c>
      <c r="K71" s="20">
        <f t="shared" ca="1" si="13"/>
        <v>0</v>
      </c>
    </row>
    <row r="72" spans="1:11" x14ac:dyDescent="0.3">
      <c r="A72">
        <v>0</v>
      </c>
      <c r="B72" s="20">
        <f t="shared" ref="B72:J72" ca="1" si="22">IF($A72&lt;=B$62,($G$11*C71+$G$12*C72)/$G$7,"")</f>
        <v>9.6332371978806126</v>
      </c>
      <c r="C72" s="20">
        <f t="shared" ca="1" si="22"/>
        <v>6.1547563528355456</v>
      </c>
      <c r="D72" s="20">
        <f t="shared" ca="1" si="22"/>
        <v>3.4159938598715733</v>
      </c>
      <c r="E72" s="20">
        <f t="shared" ca="1" si="22"/>
        <v>1.5047486065658984</v>
      </c>
      <c r="F72" s="20">
        <f t="shared" ca="1" si="22"/>
        <v>0.4244163402487397</v>
      </c>
      <c r="G72" s="20">
        <f t="shared" ca="1" si="22"/>
        <v>2.7899484323758265E-2</v>
      </c>
      <c r="H72" s="20">
        <f t="shared" ca="1" si="22"/>
        <v>0</v>
      </c>
      <c r="I72" s="20">
        <f t="shared" ca="1" si="22"/>
        <v>0</v>
      </c>
      <c r="J72" s="7">
        <f t="shared" ca="1" si="22"/>
        <v>0</v>
      </c>
      <c r="K72" s="7">
        <f t="shared" ca="1" si="13"/>
        <v>0</v>
      </c>
    </row>
    <row r="75" spans="1:11" x14ac:dyDescent="0.3">
      <c r="A75" s="5" t="s">
        <v>75</v>
      </c>
    </row>
    <row r="76" spans="1:11" x14ac:dyDescent="0.3">
      <c r="B76" s="3">
        <v>0</v>
      </c>
      <c r="C76" s="3">
        <v>1</v>
      </c>
      <c r="D76" s="3">
        <v>2</v>
      </c>
      <c r="E76" s="3">
        <v>3</v>
      </c>
      <c r="F76" s="3">
        <v>4</v>
      </c>
      <c r="G76" s="3">
        <v>5</v>
      </c>
      <c r="H76" s="3">
        <v>6</v>
      </c>
      <c r="I76" s="3">
        <v>7</v>
      </c>
      <c r="J76" s="3">
        <v>8</v>
      </c>
      <c r="K76" s="3">
        <v>9</v>
      </c>
    </row>
    <row r="77" spans="1:11" x14ac:dyDescent="0.3">
      <c r="A77">
        <v>9</v>
      </c>
      <c r="B77" s="20" t="str">
        <f t="shared" ref="B77:J77" si="23">IF($A77&lt;=B$76,MAX(($G$11*C76+$G$12*C77)/$G$7,B49),"")</f>
        <v/>
      </c>
      <c r="C77" s="20" t="str">
        <f t="shared" si="23"/>
        <v/>
      </c>
      <c r="D77" s="20" t="str">
        <f t="shared" si="23"/>
        <v/>
      </c>
      <c r="E77" s="20" t="str">
        <f t="shared" si="23"/>
        <v/>
      </c>
      <c r="F77" s="20" t="str">
        <f t="shared" si="23"/>
        <v/>
      </c>
      <c r="G77" s="20" t="str">
        <f t="shared" si="23"/>
        <v/>
      </c>
      <c r="H77" s="20" t="str">
        <f t="shared" si="23"/>
        <v/>
      </c>
      <c r="I77" s="20" t="str">
        <f t="shared" si="23"/>
        <v/>
      </c>
      <c r="J77" s="20" t="str">
        <f t="shared" si="23"/>
        <v/>
      </c>
      <c r="K77" s="20">
        <f t="shared" ref="K77:K86" ca="1" si="24">K49</f>
        <v>57.84651603231768</v>
      </c>
    </row>
    <row r="78" spans="1:11" x14ac:dyDescent="0.3">
      <c r="A78">
        <v>8</v>
      </c>
      <c r="B78" s="20" t="str">
        <f t="shared" ref="B78:J78" si="25">IF($A78&lt;=B$76,MAX(($G$11*C77+$G$12*C78)/$G$7,B50),"")</f>
        <v/>
      </c>
      <c r="C78" s="20" t="str">
        <f t="shared" si="25"/>
        <v/>
      </c>
      <c r="D78" s="20" t="str">
        <f t="shared" si="25"/>
        <v/>
      </c>
      <c r="E78" s="20" t="str">
        <f t="shared" si="25"/>
        <v/>
      </c>
      <c r="F78" s="20" t="str">
        <f t="shared" si="25"/>
        <v/>
      </c>
      <c r="G78" s="20" t="str">
        <f t="shared" si="25"/>
        <v/>
      </c>
      <c r="H78" s="20" t="str">
        <f t="shared" si="25"/>
        <v/>
      </c>
      <c r="I78" s="20" t="str">
        <f t="shared" si="25"/>
        <v/>
      </c>
      <c r="J78" s="20">
        <f t="shared" ca="1" si="25"/>
        <v>50.986927821355664</v>
      </c>
      <c r="K78" s="20">
        <f t="shared" ca="1" si="24"/>
        <v>44.094471109170001</v>
      </c>
    </row>
    <row r="79" spans="1:11" x14ac:dyDescent="0.3">
      <c r="A79">
        <v>7</v>
      </c>
      <c r="B79" s="20" t="str">
        <f t="shared" ref="B79:J79" si="26">IF($A79&lt;=B$76,MAX(($G$11*C78+$G$12*C79)/$G$7,B51),"")</f>
        <v/>
      </c>
      <c r="C79" s="20" t="str">
        <f t="shared" si="26"/>
        <v/>
      </c>
      <c r="D79" s="20" t="str">
        <f t="shared" si="26"/>
        <v/>
      </c>
      <c r="E79" s="20" t="str">
        <f t="shared" si="26"/>
        <v/>
      </c>
      <c r="F79" s="20" t="str">
        <f t="shared" si="26"/>
        <v/>
      </c>
      <c r="G79" s="20" t="str">
        <f t="shared" si="26"/>
        <v/>
      </c>
      <c r="H79" s="20" t="str">
        <f t="shared" si="26"/>
        <v/>
      </c>
      <c r="I79" s="20">
        <f t="shared" ca="1" si="26"/>
        <v>44.472297214921234</v>
      </c>
      <c r="J79" s="20">
        <f t="shared" ca="1" si="26"/>
        <v>37.889964235613981</v>
      </c>
      <c r="K79" s="20">
        <f t="shared" ca="1" si="24"/>
        <v>31.579737604545514</v>
      </c>
    </row>
    <row r="80" spans="1:11" x14ac:dyDescent="0.3">
      <c r="A80">
        <v>6</v>
      </c>
      <c r="B80" s="20" t="str">
        <f t="shared" ref="B80:J80" si="27">IF($A80&lt;=B$76,MAX(($G$11*C79+$G$12*C80)/$G$7,B52),"")</f>
        <v/>
      </c>
      <c r="C80" s="20" t="str">
        <f t="shared" si="27"/>
        <v/>
      </c>
      <c r="D80" s="20" t="str">
        <f t="shared" si="27"/>
        <v/>
      </c>
      <c r="E80" s="20" t="str">
        <f t="shared" si="27"/>
        <v/>
      </c>
      <c r="F80" s="20" t="str">
        <f t="shared" si="27"/>
        <v/>
      </c>
      <c r="G80" s="20" t="str">
        <f t="shared" si="27"/>
        <v/>
      </c>
      <c r="H80" s="20">
        <f t="shared" ca="1" si="27"/>
        <v>38.286111381913862</v>
      </c>
      <c r="I80" s="20">
        <f t="shared" ca="1" si="27"/>
        <v>31.999210039535356</v>
      </c>
      <c r="J80" s="20">
        <f t="shared" ca="1" si="27"/>
        <v>25.971372498072405</v>
      </c>
      <c r="K80" s="20">
        <f t="shared" ca="1" si="24"/>
        <v>20.190991016890905</v>
      </c>
    </row>
    <row r="81" spans="1:11" x14ac:dyDescent="0.3">
      <c r="A81">
        <v>5</v>
      </c>
      <c r="B81" s="20" t="str">
        <f t="shared" ref="B81:J81" si="28">IF($A81&lt;=B$76,MAX(($G$11*C80+$G$12*C81)/$G$7,B53),"")</f>
        <v/>
      </c>
      <c r="C81" s="20" t="str">
        <f t="shared" si="28"/>
        <v/>
      </c>
      <c r="D81" s="20" t="str">
        <f t="shared" si="28"/>
        <v/>
      </c>
      <c r="E81" s="20" t="str">
        <f t="shared" si="28"/>
        <v/>
      </c>
      <c r="F81" s="20" t="str">
        <f t="shared" si="28"/>
        <v/>
      </c>
      <c r="G81" s="20">
        <f t="shared" ca="1" si="28"/>
        <v>32.41264444106578</v>
      </c>
      <c r="H81" s="20">
        <f t="shared" ca="1" si="28"/>
        <v>26.40718214260917</v>
      </c>
      <c r="I81" s="20">
        <f t="shared" ca="1" si="28"/>
        <v>20.648362739934246</v>
      </c>
      <c r="J81" s="20">
        <f t="shared" ca="1" si="28"/>
        <v>15.12513107148375</v>
      </c>
      <c r="K81" s="20">
        <f t="shared" ca="1" si="24"/>
        <v>9.8269230333508517</v>
      </c>
    </row>
    <row r="82" spans="1:11" x14ac:dyDescent="0.3">
      <c r="A82">
        <v>4</v>
      </c>
      <c r="B82" s="20" t="str">
        <f t="shared" ref="B82:J82" si="29">IF($A82&lt;=B$76,MAX(($G$11*C81+$G$12*C82)/$G$7,B54),"")</f>
        <v/>
      </c>
      <c r="C82" s="20" t="str">
        <f t="shared" si="29"/>
        <v/>
      </c>
      <c r="D82" s="20" t="str">
        <f t="shared" si="29"/>
        <v/>
      </c>
      <c r="E82" s="20" t="str">
        <f t="shared" si="29"/>
        <v/>
      </c>
      <c r="F82" s="20">
        <f t="shared" ca="1" si="29"/>
        <v>26.836919972846285</v>
      </c>
      <c r="G82" s="20">
        <f t="shared" ca="1" si="29"/>
        <v>21.099570308875844</v>
      </c>
      <c r="H82" s="20">
        <f t="shared" ca="1" si="29"/>
        <v>15.597034664108683</v>
      </c>
      <c r="I82" s="20">
        <f t="shared" ca="1" si="29"/>
        <v>10.318784135439657</v>
      </c>
      <c r="J82" s="20">
        <f t="shared" ca="1" si="29"/>
        <v>5.2547574842000735</v>
      </c>
      <c r="K82" s="20">
        <f t="shared" ca="1" si="24"/>
        <v>0.39534034418325348</v>
      </c>
    </row>
    <row r="83" spans="1:11" x14ac:dyDescent="0.3">
      <c r="A83">
        <v>3</v>
      </c>
      <c r="B83" s="20" t="str">
        <f t="shared" ref="B83:J83" si="30">IF($A83&lt;=B$76,MAX(($G$11*C82+$G$12*C83)/$G$7,B55),"")</f>
        <v/>
      </c>
      <c r="C83" s="20" t="str">
        <f t="shared" si="30"/>
        <v/>
      </c>
      <c r="D83" s="20" t="str">
        <f t="shared" si="30"/>
        <v/>
      </c>
      <c r="E83" s="20">
        <f t="shared" ca="1" si="30"/>
        <v>21.645004791023116</v>
      </c>
      <c r="F83" s="20">
        <f t="shared" ca="1" si="30"/>
        <v>16.271700177072653</v>
      </c>
      <c r="G83" s="20">
        <f t="shared" ca="1" si="30"/>
        <v>11.239549598733118</v>
      </c>
      <c r="H83" s="20">
        <f t="shared" ca="1" si="30"/>
        <v>6.6658535989403038</v>
      </c>
      <c r="I83" s="20">
        <f t="shared" ca="1" si="30"/>
        <v>2.8062134276957731</v>
      </c>
      <c r="J83" s="20">
        <f t="shared" ca="1" si="30"/>
        <v>0.20376397117919867</v>
      </c>
      <c r="K83" s="20">
        <f t="shared" ca="1" si="24"/>
        <v>0</v>
      </c>
    </row>
    <row r="84" spans="1:11" x14ac:dyDescent="0.3">
      <c r="A84">
        <v>2</v>
      </c>
      <c r="B84" s="20" t="str">
        <f t="shared" ref="B84:J84" si="31">IF($A84&lt;=B$76,MAX(($G$11*C83+$G$12*C84)/$G$7,B56),"")</f>
        <v/>
      </c>
      <c r="C84" s="20" t="str">
        <f t="shared" si="31"/>
        <v/>
      </c>
      <c r="D84" s="20">
        <f t="shared" ca="1" si="31"/>
        <v>16.978435257251366</v>
      </c>
      <c r="E84" s="20">
        <f t="shared" ca="1" si="31"/>
        <v>12.125958586307597</v>
      </c>
      <c r="F84" s="20">
        <f t="shared" ca="1" si="31"/>
        <v>7.787743368095021</v>
      </c>
      <c r="G84" s="20">
        <f t="shared" ca="1" si="31"/>
        <v>4.1543597831478234</v>
      </c>
      <c r="H84" s="20">
        <f t="shared" ca="1" si="31"/>
        <v>1.4967886985619892</v>
      </c>
      <c r="I84" s="20">
        <f t="shared" ca="1" si="31"/>
        <v>0.10502281530738869</v>
      </c>
      <c r="J84" s="20">
        <f t="shared" ca="1" si="31"/>
        <v>0</v>
      </c>
      <c r="K84" s="20">
        <f t="shared" ca="1" si="24"/>
        <v>0</v>
      </c>
    </row>
    <row r="85" spans="1:11" x14ac:dyDescent="0.3">
      <c r="A85">
        <v>1</v>
      </c>
      <c r="B85" s="20" t="str">
        <f t="shared" ref="B85:J85" si="32">IF($A85&lt;=B$76,MAX(($G$11*C84+$G$12*C85)/$G$7,B57),"")</f>
        <v/>
      </c>
      <c r="C85" s="20">
        <f t="shared" ca="1" si="32"/>
        <v>12.956617039317122</v>
      </c>
      <c r="D85" s="20">
        <f t="shared" ca="1" si="32"/>
        <v>8.7590980216936991</v>
      </c>
      <c r="E85" s="20">
        <f t="shared" ca="1" si="32"/>
        <v>5.2258698187800627</v>
      </c>
      <c r="F85" s="20">
        <f t="shared" ca="1" si="32"/>
        <v>2.5241153265494822</v>
      </c>
      <c r="G85" s="20">
        <f t="shared" ca="1" si="32"/>
        <v>0.79745664357019641</v>
      </c>
      <c r="H85" s="20">
        <f t="shared" ca="1" si="32"/>
        <v>5.413023544476276E-2</v>
      </c>
      <c r="I85" s="20">
        <f t="shared" ca="1" si="32"/>
        <v>0</v>
      </c>
      <c r="J85" s="20">
        <f t="shared" ca="1" si="32"/>
        <v>0</v>
      </c>
      <c r="K85" s="20">
        <f t="shared" ca="1" si="24"/>
        <v>0</v>
      </c>
    </row>
    <row r="86" spans="1:11" x14ac:dyDescent="0.3">
      <c r="A86">
        <v>0</v>
      </c>
      <c r="B86" s="20">
        <f t="shared" ref="B86:J86" ca="1" si="33">IF($A86&lt;=B$76,MAX(($G$11*C85+$G$12*C86)/$G$7,B58),"")</f>
        <v>9.6332371978806126</v>
      </c>
      <c r="C86" s="20">
        <f t="shared" ca="1" si="33"/>
        <v>6.1547563528355456</v>
      </c>
      <c r="D86" s="20">
        <f t="shared" ca="1" si="33"/>
        <v>3.4159938598715733</v>
      </c>
      <c r="E86" s="20">
        <f t="shared" ca="1" si="33"/>
        <v>1.5047486065658984</v>
      </c>
      <c r="F86" s="20">
        <f t="shared" ca="1" si="33"/>
        <v>0.4244163402487397</v>
      </c>
      <c r="G86" s="20">
        <f t="shared" ca="1" si="33"/>
        <v>2.7899484323758265E-2</v>
      </c>
      <c r="H86" s="20">
        <f t="shared" ca="1" si="33"/>
        <v>0</v>
      </c>
      <c r="I86" s="20">
        <f t="shared" ca="1" si="33"/>
        <v>0</v>
      </c>
      <c r="J86" s="7">
        <f t="shared" ca="1" si="33"/>
        <v>0</v>
      </c>
      <c r="K86" s="7">
        <f t="shared" ca="1" si="24"/>
        <v>0</v>
      </c>
    </row>
  </sheetData>
  <printOptions headings="1" gridLines="1"/>
  <pageMargins left="0.75" right="0.75" top="1" bottom="1" header="0.5" footer="0.5"/>
  <pageSetup paperSize="9" scale="91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</vt:vector>
  </HeadingPairs>
  <TitlesOfParts>
    <vt:vector size="8" baseType="lpstr">
      <vt:lpstr>JRBinomial</vt:lpstr>
      <vt:lpstr>JREuro</vt:lpstr>
      <vt:lpstr>CRREuro</vt:lpstr>
      <vt:lpstr>CRRTheory</vt:lpstr>
      <vt:lpstr>LREuro</vt:lpstr>
      <vt:lpstr>Compare</vt:lpstr>
      <vt:lpstr>CRRTree</vt:lpstr>
      <vt:lpstr>Chart1</vt:lpstr>
    </vt:vector>
  </TitlesOfParts>
  <Company>London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Models for AMF chapter 10</dc:title>
  <dc:creator>Mary Jackson and Mike Staunton</dc:creator>
  <dc:description/>
  <cp:lastModifiedBy>Carina Negreanu</cp:lastModifiedBy>
  <cp:lastPrinted>2000-07-06T15:39:49Z</cp:lastPrinted>
  <dcterms:created xsi:type="dcterms:W3CDTF">1997-06-13T13:38:33Z</dcterms:created>
  <dcterms:modified xsi:type="dcterms:W3CDTF">2020-01-27T11:56:25Z</dcterms:modified>
</cp:coreProperties>
</file>