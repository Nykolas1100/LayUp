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3F1E7A-75A9-4F28-8804-3497271EAEE6}" xr6:coauthVersionLast="45" xr6:coauthVersionMax="45" xr10:uidLastSave="{00000000-0000-0000-0000-000000000000}"/>
  <bookViews>
    <workbookView xWindow="2280" yWindow="2280" windowWidth="28800" windowHeight="15460"/>
  </bookViews>
  <sheets>
    <sheet name="Calculations" sheetId="1" r:id="rId1"/>
    <sheet name="Plot" sheetId="2" r:id="rId2"/>
    <sheet name="Sequences" sheetId="3" r:id="rId3"/>
  </sheets>
  <calcPr calcId="0"/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L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D60" i="1" s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D81" i="1" s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D119" i="1" s="1"/>
  <c r="B111" i="1"/>
  <c r="C111" i="1"/>
  <c r="B112" i="1"/>
  <c r="C112" i="1"/>
  <c r="B113" i="1"/>
  <c r="C113" i="1"/>
  <c r="B114" i="1"/>
  <c r="C114" i="1"/>
  <c r="B115" i="1"/>
  <c r="C115" i="1"/>
  <c r="D122" i="1" s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D175" i="1" s="1"/>
  <c r="B170" i="1"/>
  <c r="C170" i="1"/>
  <c r="B171" i="1"/>
  <c r="C171" i="1"/>
  <c r="B172" i="1"/>
  <c r="C172" i="1"/>
  <c r="B173" i="1"/>
  <c r="C173" i="1"/>
  <c r="B174" i="1"/>
  <c r="C174" i="1"/>
  <c r="B175" i="1"/>
  <c r="C175" i="1"/>
  <c r="D182" i="1" s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D261" i="1" s="1"/>
  <c r="B255" i="1"/>
  <c r="C255" i="1"/>
  <c r="B256" i="1"/>
  <c r="C256" i="1"/>
  <c r="B257" i="1"/>
  <c r="C257" i="1"/>
  <c r="B258" i="1"/>
  <c r="C258" i="1"/>
  <c r="D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D273" i="1" s="1"/>
  <c r="B265" i="1"/>
  <c r="C265" i="1"/>
  <c r="D274" i="1" s="1"/>
  <c r="B266" i="1"/>
  <c r="C266" i="1"/>
  <c r="D275" i="1" s="1"/>
  <c r="B267" i="1"/>
  <c r="C267" i="1"/>
  <c r="B268" i="1"/>
  <c r="C268" i="1"/>
  <c r="D277" i="1" s="1"/>
  <c r="B269" i="1"/>
  <c r="C269" i="1"/>
  <c r="D278" i="1" s="1"/>
  <c r="B270" i="1"/>
  <c r="C270" i="1"/>
  <c r="D279" i="1" s="1"/>
  <c r="B271" i="1"/>
  <c r="C271" i="1"/>
  <c r="D280" i="1" s="1"/>
  <c r="B272" i="1"/>
  <c r="C272" i="1"/>
  <c r="B273" i="1"/>
  <c r="C273" i="1"/>
  <c r="D282" i="1" s="1"/>
  <c r="B274" i="1"/>
  <c r="C274" i="1"/>
  <c r="D283" i="1" s="1"/>
  <c r="B275" i="1"/>
  <c r="C275" i="1"/>
  <c r="B276" i="1"/>
  <c r="C276" i="1"/>
  <c r="D285" i="1" s="1"/>
  <c r="D276" i="1"/>
  <c r="B277" i="1"/>
  <c r="C277" i="1"/>
  <c r="D286" i="1" s="1"/>
  <c r="B278" i="1"/>
  <c r="C278" i="1"/>
  <c r="D287" i="1" s="1"/>
  <c r="B279" i="1"/>
  <c r="C279" i="1"/>
  <c r="D288" i="1" s="1"/>
  <c r="B280" i="1"/>
  <c r="C280" i="1"/>
  <c r="B281" i="1"/>
  <c r="C281" i="1"/>
  <c r="D290" i="1" s="1"/>
  <c r="D281" i="1"/>
  <c r="B282" i="1"/>
  <c r="C282" i="1"/>
  <c r="B283" i="1"/>
  <c r="C283" i="1"/>
  <c r="D292" i="1" s="1"/>
  <c r="B284" i="1"/>
  <c r="C284" i="1"/>
  <c r="D293" i="1" s="1"/>
  <c r="D284" i="1"/>
  <c r="B285" i="1"/>
  <c r="C285" i="1"/>
  <c r="D294" i="1" s="1"/>
  <c r="B286" i="1"/>
  <c r="C286" i="1"/>
  <c r="B287" i="1"/>
  <c r="C287" i="1"/>
  <c r="B288" i="1"/>
  <c r="C288" i="1"/>
  <c r="D297" i="1" s="1"/>
  <c r="B289" i="1"/>
  <c r="C289" i="1"/>
  <c r="D298" i="1" s="1"/>
  <c r="D289" i="1"/>
  <c r="B290" i="1"/>
  <c r="C290" i="1"/>
  <c r="D299" i="1" s="1"/>
  <c r="B291" i="1"/>
  <c r="C291" i="1"/>
  <c r="D300" i="1" s="1"/>
  <c r="D291" i="1"/>
  <c r="B292" i="1"/>
  <c r="C292" i="1"/>
  <c r="D301" i="1" s="1"/>
  <c r="B293" i="1"/>
  <c r="C293" i="1"/>
  <c r="B294" i="1"/>
  <c r="C294" i="1"/>
  <c r="B295" i="1"/>
  <c r="C295" i="1"/>
  <c r="D295" i="1"/>
  <c r="B296" i="1"/>
  <c r="C296" i="1"/>
  <c r="D305" i="1" s="1"/>
  <c r="D296" i="1"/>
  <c r="B297" i="1"/>
  <c r="C297" i="1"/>
  <c r="D306" i="1" s="1"/>
  <c r="B298" i="1"/>
  <c r="C298" i="1"/>
  <c r="D307" i="1" s="1"/>
  <c r="B299" i="1"/>
  <c r="C299" i="1"/>
  <c r="B300" i="1"/>
  <c r="C300" i="1"/>
  <c r="D309" i="1" s="1"/>
  <c r="B301" i="1"/>
  <c r="C301" i="1"/>
  <c r="B302" i="1"/>
  <c r="C302" i="1"/>
  <c r="D302" i="1"/>
  <c r="B303" i="1"/>
  <c r="C303" i="1"/>
  <c r="D312" i="1" s="1"/>
  <c r="D303" i="1"/>
  <c r="B304" i="1"/>
  <c r="C304" i="1"/>
  <c r="D313" i="1" s="1"/>
  <c r="D304" i="1"/>
  <c r="B305" i="1"/>
  <c r="C305" i="1"/>
  <c r="D314" i="1" s="1"/>
  <c r="B306" i="1"/>
  <c r="C306" i="1"/>
  <c r="B307" i="1"/>
  <c r="C307" i="1"/>
  <c r="D316" i="1" s="1"/>
  <c r="B308" i="1"/>
  <c r="C308" i="1"/>
  <c r="D317" i="1" s="1"/>
  <c r="D308" i="1"/>
  <c r="B309" i="1"/>
  <c r="C309" i="1"/>
  <c r="B310" i="1"/>
  <c r="C310" i="1"/>
  <c r="D319" i="1" s="1"/>
  <c r="D310" i="1"/>
  <c r="B311" i="1"/>
  <c r="C311" i="1"/>
  <c r="D320" i="1" s="1"/>
  <c r="D311" i="1"/>
  <c r="B312" i="1"/>
  <c r="C312" i="1"/>
  <c r="D321" i="1" s="1"/>
  <c r="B313" i="1"/>
  <c r="C313" i="1"/>
  <c r="B314" i="1"/>
  <c r="C314" i="1"/>
  <c r="B315" i="1"/>
  <c r="C315" i="1"/>
  <c r="D324" i="1" s="1"/>
  <c r="D315" i="1"/>
  <c r="B316" i="1"/>
  <c r="C316" i="1"/>
  <c r="D325" i="1" s="1"/>
  <c r="B317" i="1"/>
  <c r="C317" i="1"/>
  <c r="D326" i="1" s="1"/>
  <c r="B318" i="1"/>
  <c r="C318" i="1"/>
  <c r="D327" i="1" s="1"/>
  <c r="D318" i="1"/>
  <c r="B319" i="1"/>
  <c r="C319" i="1"/>
  <c r="D328" i="1" s="1"/>
  <c r="B320" i="1"/>
  <c r="C320" i="1"/>
  <c r="D329" i="1" s="1"/>
  <c r="B321" i="1"/>
  <c r="C321" i="1"/>
  <c r="B322" i="1"/>
  <c r="C322" i="1"/>
  <c r="D331" i="1" s="1"/>
  <c r="D322" i="1"/>
  <c r="B323" i="1"/>
  <c r="C323" i="1"/>
  <c r="D332" i="1" s="1"/>
  <c r="D323" i="1"/>
  <c r="B324" i="1"/>
  <c r="C324" i="1"/>
  <c r="D333" i="1" s="1"/>
  <c r="B325" i="1"/>
  <c r="C325" i="1"/>
  <c r="D334" i="1" s="1"/>
  <c r="B326" i="1"/>
  <c r="C326" i="1"/>
  <c r="B327" i="1"/>
  <c r="C327" i="1"/>
  <c r="D336" i="1" s="1"/>
  <c r="B328" i="1"/>
  <c r="C328" i="1"/>
  <c r="D337" i="1" s="1"/>
  <c r="B329" i="1"/>
  <c r="C329" i="1"/>
  <c r="B330" i="1"/>
  <c r="C330" i="1"/>
  <c r="D339" i="1" s="1"/>
  <c r="D330" i="1"/>
  <c r="B331" i="1"/>
  <c r="C331" i="1"/>
  <c r="D340" i="1" s="1"/>
  <c r="B332" i="1"/>
  <c r="C332" i="1"/>
  <c r="B333" i="1"/>
  <c r="C333" i="1"/>
  <c r="B334" i="1"/>
  <c r="C334" i="1"/>
  <c r="D343" i="1" s="1"/>
  <c r="B335" i="1"/>
  <c r="C335" i="1"/>
  <c r="D344" i="1" s="1"/>
  <c r="D335" i="1"/>
  <c r="B336" i="1"/>
  <c r="C336" i="1"/>
  <c r="D345" i="1" s="1"/>
  <c r="B337" i="1"/>
  <c r="C337" i="1"/>
  <c r="D346" i="1" s="1"/>
  <c r="B338" i="1"/>
  <c r="C338" i="1"/>
  <c r="D347" i="1" s="1"/>
  <c r="D338" i="1"/>
  <c r="B339" i="1"/>
  <c r="C339" i="1"/>
  <c r="D348" i="1" s="1"/>
  <c r="B340" i="1"/>
  <c r="C340" i="1"/>
  <c r="B341" i="1"/>
  <c r="C341" i="1"/>
  <c r="D341" i="1"/>
  <c r="B342" i="1"/>
  <c r="C342" i="1"/>
  <c r="D342" i="1"/>
  <c r="B343" i="1"/>
  <c r="C343" i="1"/>
  <c r="D352" i="1" s="1"/>
  <c r="B344" i="1"/>
  <c r="C344" i="1"/>
  <c r="D353" i="1" s="1"/>
  <c r="B345" i="1"/>
  <c r="C345" i="1"/>
  <c r="D354" i="1" s="1"/>
  <c r="B346" i="1"/>
  <c r="C346" i="1"/>
  <c r="D355" i="1" s="1"/>
  <c r="B347" i="1"/>
  <c r="C347" i="1"/>
  <c r="B348" i="1"/>
  <c r="C348" i="1"/>
  <c r="B349" i="1"/>
  <c r="C349" i="1"/>
  <c r="D349" i="1"/>
  <c r="B350" i="1"/>
  <c r="C350" i="1"/>
  <c r="D359" i="1" s="1"/>
  <c r="D350" i="1"/>
  <c r="B351" i="1"/>
  <c r="C351" i="1"/>
  <c r="D360" i="1" s="1"/>
  <c r="D351" i="1"/>
  <c r="B352" i="1"/>
  <c r="C352" i="1"/>
  <c r="B353" i="1"/>
  <c r="C353" i="1"/>
  <c r="D362" i="1" s="1"/>
  <c r="B354" i="1"/>
  <c r="C354" i="1"/>
  <c r="D363" i="1" s="1"/>
  <c r="B355" i="1"/>
  <c r="C355" i="1"/>
  <c r="B356" i="1"/>
  <c r="C356" i="1"/>
  <c r="D365" i="1" s="1"/>
  <c r="D356" i="1"/>
  <c r="B357" i="1"/>
  <c r="C357" i="1"/>
  <c r="D366" i="1" s="1"/>
  <c r="D357" i="1"/>
  <c r="B358" i="1"/>
  <c r="C358" i="1"/>
  <c r="D367" i="1" s="1"/>
  <c r="D358" i="1"/>
  <c r="B359" i="1"/>
  <c r="C359" i="1"/>
  <c r="B360" i="1"/>
  <c r="C360" i="1"/>
  <c r="B361" i="1"/>
  <c r="C361" i="1"/>
  <c r="D370" i="1" s="1"/>
  <c r="D361" i="1"/>
  <c r="B362" i="1"/>
  <c r="C362" i="1"/>
  <c r="D371" i="1" s="1"/>
  <c r="B363" i="1"/>
  <c r="C363" i="1"/>
  <c r="D372" i="1" s="1"/>
  <c r="B364" i="1"/>
  <c r="C364" i="1"/>
  <c r="D373" i="1" s="1"/>
  <c r="D364" i="1"/>
  <c r="B365" i="1"/>
  <c r="C365" i="1"/>
  <c r="D374" i="1" s="1"/>
  <c r="B366" i="1"/>
  <c r="C366" i="1"/>
  <c r="D375" i="1" s="1"/>
  <c r="B367" i="1"/>
  <c r="C367" i="1"/>
  <c r="B368" i="1"/>
  <c r="C368" i="1"/>
  <c r="D368" i="1"/>
  <c r="B369" i="1"/>
  <c r="C369" i="1"/>
  <c r="D378" i="1" s="1"/>
  <c r="D369" i="1"/>
  <c r="B370" i="1"/>
  <c r="C370" i="1"/>
  <c r="D379" i="1" s="1"/>
  <c r="B371" i="1"/>
  <c r="C371" i="1"/>
  <c r="D380" i="1" s="1"/>
  <c r="B372" i="1"/>
  <c r="C372" i="1"/>
  <c r="B373" i="1"/>
  <c r="C373" i="1"/>
  <c r="D382" i="1" s="1"/>
  <c r="B374" i="1"/>
  <c r="C374" i="1"/>
  <c r="D383" i="1" s="1"/>
  <c r="B375" i="1"/>
  <c r="C375" i="1"/>
  <c r="B376" i="1"/>
  <c r="C376" i="1"/>
  <c r="D385" i="1" s="1"/>
  <c r="D376" i="1"/>
  <c r="B377" i="1"/>
  <c r="C377" i="1"/>
  <c r="D386" i="1" s="1"/>
  <c r="D377" i="1"/>
  <c r="B378" i="1"/>
  <c r="C378" i="1"/>
  <c r="D387" i="1" s="1"/>
  <c r="B379" i="1"/>
  <c r="C379" i="1"/>
  <c r="B380" i="1"/>
  <c r="C380" i="1"/>
  <c r="B381" i="1"/>
  <c r="C381" i="1"/>
  <c r="D390" i="1" s="1"/>
  <c r="D381" i="1"/>
  <c r="B382" i="1"/>
  <c r="C382" i="1"/>
  <c r="B383" i="1"/>
  <c r="C383" i="1"/>
  <c r="D392" i="1" s="1"/>
  <c r="B384" i="1"/>
  <c r="C384" i="1"/>
  <c r="D393" i="1" s="1"/>
  <c r="D384" i="1"/>
  <c r="B385" i="1"/>
  <c r="C385" i="1"/>
  <c r="D394" i="1" s="1"/>
  <c r="B386" i="1"/>
  <c r="C386" i="1"/>
  <c r="B387" i="1"/>
  <c r="C387" i="1"/>
  <c r="B388" i="1"/>
  <c r="C388" i="1"/>
  <c r="D397" i="1" s="1"/>
  <c r="D388" i="1"/>
  <c r="B389" i="1"/>
  <c r="C389" i="1"/>
  <c r="D398" i="1" s="1"/>
  <c r="D389" i="1"/>
  <c r="B390" i="1"/>
  <c r="C390" i="1"/>
  <c r="D399" i="1" s="1"/>
  <c r="B391" i="1"/>
  <c r="C391" i="1"/>
  <c r="D400" i="1" s="1"/>
  <c r="D391" i="1"/>
  <c r="B392" i="1"/>
  <c r="C392" i="1"/>
  <c r="D401" i="1" s="1"/>
  <c r="B393" i="1"/>
  <c r="C393" i="1"/>
  <c r="D402" i="1" s="1"/>
  <c r="B394" i="1"/>
  <c r="C394" i="1"/>
  <c r="B395" i="1"/>
  <c r="C395" i="1"/>
  <c r="D395" i="1"/>
  <c r="B396" i="1"/>
  <c r="C396" i="1"/>
  <c r="D405" i="1" s="1"/>
  <c r="D396" i="1"/>
  <c r="B397" i="1"/>
  <c r="C397" i="1"/>
  <c r="D406" i="1" s="1"/>
  <c r="B398" i="1"/>
  <c r="C398" i="1"/>
  <c r="D407" i="1" s="1"/>
  <c r="B399" i="1"/>
  <c r="C399" i="1"/>
  <c r="B400" i="1"/>
  <c r="C400" i="1"/>
  <c r="D409" i="1" s="1"/>
  <c r="B401" i="1"/>
  <c r="C401" i="1"/>
  <c r="B402" i="1"/>
  <c r="C402" i="1"/>
  <c r="B403" i="1"/>
  <c r="C403" i="1"/>
  <c r="D412" i="1" s="1"/>
  <c r="D403" i="1"/>
  <c r="B404" i="1"/>
  <c r="C404" i="1"/>
  <c r="D413" i="1" s="1"/>
  <c r="D404" i="1"/>
  <c r="B405" i="1"/>
  <c r="C405" i="1"/>
  <c r="D414" i="1" s="1"/>
  <c r="B406" i="1"/>
  <c r="C406" i="1"/>
  <c r="B407" i="1"/>
  <c r="C407" i="1"/>
  <c r="D416" i="1" s="1"/>
  <c r="B408" i="1"/>
  <c r="C408" i="1"/>
  <c r="D417" i="1" s="1"/>
  <c r="D408" i="1"/>
  <c r="B409" i="1"/>
  <c r="C409" i="1"/>
  <c r="B410" i="1"/>
  <c r="C410" i="1"/>
  <c r="D419" i="1" s="1"/>
  <c r="D410" i="1"/>
  <c r="B411" i="1"/>
  <c r="C411" i="1"/>
  <c r="D420" i="1" s="1"/>
  <c r="D411" i="1"/>
  <c r="B412" i="1"/>
  <c r="C412" i="1"/>
  <c r="D421" i="1" s="1"/>
  <c r="B413" i="1"/>
  <c r="C413" i="1"/>
  <c r="B414" i="1"/>
  <c r="C414" i="1"/>
  <c r="B415" i="1"/>
  <c r="C415" i="1"/>
  <c r="D415" i="1"/>
  <c r="B416" i="1"/>
  <c r="C416" i="1"/>
  <c r="B417" i="1"/>
  <c r="C417" i="1"/>
  <c r="B418" i="1"/>
  <c r="C418" i="1"/>
  <c r="D418" i="1"/>
  <c r="B419" i="1"/>
  <c r="C419" i="1"/>
  <c r="B420" i="1"/>
  <c r="C420" i="1"/>
  <c r="B421" i="1"/>
  <c r="C421" i="1"/>
  <c r="D267" i="1" l="1"/>
  <c r="D247" i="1"/>
  <c r="D227" i="1"/>
  <c r="D207" i="1"/>
  <c r="D178" i="1"/>
  <c r="D135" i="1"/>
  <c r="D99" i="1"/>
  <c r="D79" i="1"/>
  <c r="D20" i="1"/>
  <c r="D155" i="1"/>
  <c r="D187" i="1"/>
  <c r="D167" i="1"/>
  <c r="D138" i="1"/>
  <c r="D115" i="1"/>
  <c r="D59" i="1"/>
  <c r="D39" i="1"/>
  <c r="D40" i="1"/>
  <c r="D266" i="1"/>
  <c r="D246" i="1"/>
  <c r="D226" i="1"/>
  <c r="D206" i="1"/>
  <c r="D147" i="1"/>
  <c r="D118" i="1"/>
  <c r="D95" i="1"/>
  <c r="D75" i="1"/>
  <c r="D19" i="1"/>
  <c r="D186" i="1"/>
  <c r="D166" i="1"/>
  <c r="D127" i="1"/>
  <c r="D98" i="1"/>
  <c r="D55" i="1"/>
  <c r="D35" i="1"/>
  <c r="D265" i="1"/>
  <c r="D245" i="1"/>
  <c r="D225" i="1"/>
  <c r="D205" i="1"/>
  <c r="D146" i="1"/>
  <c r="D107" i="1"/>
  <c r="D87" i="1"/>
  <c r="D58" i="1"/>
  <c r="D185" i="1"/>
  <c r="D165" i="1"/>
  <c r="D67" i="1"/>
  <c r="D47" i="1"/>
  <c r="D18" i="1"/>
  <c r="D126" i="1"/>
  <c r="D254" i="1"/>
  <c r="D234" i="1"/>
  <c r="D222" i="1"/>
  <c r="D214" i="1"/>
  <c r="D202" i="1"/>
  <c r="D190" i="1"/>
  <c r="D145" i="1"/>
  <c r="D106" i="1"/>
  <c r="D86" i="1"/>
  <c r="D27" i="1"/>
  <c r="D174" i="1"/>
  <c r="D162" i="1"/>
  <c r="D154" i="1"/>
  <c r="D125" i="1"/>
  <c r="D66" i="1"/>
  <c r="D46" i="1"/>
  <c r="D253" i="1"/>
  <c r="D241" i="1"/>
  <c r="D233" i="1"/>
  <c r="D221" i="1"/>
  <c r="D213" i="1"/>
  <c r="D201" i="1"/>
  <c r="D193" i="1"/>
  <c r="D142" i="1"/>
  <c r="D130" i="1"/>
  <c r="D105" i="1"/>
  <c r="D85" i="1"/>
  <c r="D26" i="1"/>
  <c r="D272" i="1"/>
  <c r="D161" i="1"/>
  <c r="D114" i="1"/>
  <c r="D65" i="1"/>
  <c r="D14" i="1"/>
  <c r="D181" i="1"/>
  <c r="D173" i="1"/>
  <c r="D153" i="1"/>
  <c r="D45" i="1"/>
  <c r="D252" i="1"/>
  <c r="D232" i="1"/>
  <c r="D212" i="1"/>
  <c r="D192" i="1"/>
  <c r="D141" i="1"/>
  <c r="D133" i="1"/>
  <c r="D102" i="1"/>
  <c r="D78" i="1"/>
  <c r="D82" i="1"/>
  <c r="D70" i="1"/>
  <c r="D25" i="1"/>
  <c r="D172" i="1"/>
  <c r="D152" i="1"/>
  <c r="D121" i="1"/>
  <c r="D113" i="1"/>
  <c r="D62" i="1"/>
  <c r="D38" i="1"/>
  <c r="D42" i="1"/>
  <c r="D34" i="1"/>
  <c r="D15" i="1"/>
  <c r="D132" i="1"/>
  <c r="D93" i="1"/>
  <c r="D73" i="1"/>
  <c r="D22" i="1"/>
  <c r="D33" i="1"/>
  <c r="D268" i="1"/>
  <c r="D53" i="1"/>
  <c r="D12" i="1"/>
  <c r="D260" i="1"/>
  <c r="D248" i="1"/>
  <c r="D240" i="1"/>
  <c r="D228" i="1"/>
  <c r="D220" i="1"/>
  <c r="D208" i="1"/>
  <c r="D200" i="1"/>
  <c r="D188" i="1"/>
  <c r="D92" i="1"/>
  <c r="D72" i="1"/>
  <c r="D21" i="1"/>
  <c r="D41" i="1"/>
  <c r="D180" i="1"/>
  <c r="D168" i="1"/>
  <c r="D160" i="1"/>
  <c r="D148" i="1"/>
  <c r="D52" i="1"/>
  <c r="D32" i="1"/>
  <c r="D112" i="1"/>
  <c r="D61" i="1"/>
  <c r="D259" i="1"/>
  <c r="D239" i="1"/>
  <c r="D219" i="1"/>
  <c r="D199" i="1"/>
  <c r="D140" i="1"/>
  <c r="D128" i="1"/>
  <c r="D101" i="1"/>
  <c r="D179" i="1"/>
  <c r="D159" i="1"/>
  <c r="D120" i="1"/>
  <c r="D108" i="1"/>
  <c r="D255" i="1"/>
  <c r="D235" i="1"/>
  <c r="D215" i="1"/>
  <c r="D195" i="1"/>
  <c r="D139" i="1"/>
  <c r="D100" i="1"/>
  <c r="D88" i="1"/>
  <c r="D80" i="1"/>
  <c r="D271" i="1"/>
  <c r="D251" i="1"/>
  <c r="D231" i="1"/>
  <c r="D211" i="1"/>
  <c r="D191" i="1"/>
  <c r="D171" i="1"/>
  <c r="D151" i="1"/>
  <c r="D131" i="1"/>
  <c r="D111" i="1"/>
  <c r="D91" i="1"/>
  <c r="D71" i="1"/>
  <c r="D51" i="1"/>
  <c r="D31" i="1"/>
  <c r="D158" i="1"/>
  <c r="D264" i="1"/>
  <c r="D244" i="1"/>
  <c r="D224" i="1"/>
  <c r="D204" i="1"/>
  <c r="D184" i="1"/>
  <c r="D164" i="1"/>
  <c r="D144" i="1"/>
  <c r="D124" i="1"/>
  <c r="D104" i="1"/>
  <c r="D84" i="1"/>
  <c r="D64" i="1"/>
  <c r="D44" i="1"/>
  <c r="D24" i="1"/>
  <c r="D218" i="1"/>
  <c r="D257" i="1"/>
  <c r="D237" i="1"/>
  <c r="D217" i="1"/>
  <c r="D197" i="1"/>
  <c r="D177" i="1"/>
  <c r="D157" i="1"/>
  <c r="D137" i="1"/>
  <c r="D117" i="1"/>
  <c r="D97" i="1"/>
  <c r="D77" i="1"/>
  <c r="D57" i="1"/>
  <c r="D37" i="1"/>
  <c r="D17" i="1"/>
  <c r="D198" i="1"/>
  <c r="D250" i="1"/>
  <c r="D210" i="1"/>
  <c r="D170" i="1"/>
  <c r="D50" i="1"/>
  <c r="D263" i="1"/>
  <c r="D243" i="1"/>
  <c r="D223" i="1"/>
  <c r="D203" i="1"/>
  <c r="D183" i="1"/>
  <c r="D163" i="1"/>
  <c r="D143" i="1"/>
  <c r="D123" i="1"/>
  <c r="D103" i="1"/>
  <c r="D83" i="1"/>
  <c r="D63" i="1"/>
  <c r="D43" i="1"/>
  <c r="D23" i="1"/>
  <c r="D90" i="1"/>
  <c r="D256" i="1"/>
  <c r="D236" i="1"/>
  <c r="D216" i="1"/>
  <c r="D196" i="1"/>
  <c r="D176" i="1"/>
  <c r="D156" i="1"/>
  <c r="D136" i="1"/>
  <c r="D116" i="1"/>
  <c r="D96" i="1"/>
  <c r="D76" i="1"/>
  <c r="D56" i="1"/>
  <c r="D36" i="1"/>
  <c r="D16" i="1"/>
  <c r="D150" i="1"/>
  <c r="D269" i="1"/>
  <c r="D249" i="1"/>
  <c r="D229" i="1"/>
  <c r="D209" i="1"/>
  <c r="D189" i="1"/>
  <c r="D169" i="1"/>
  <c r="D149" i="1"/>
  <c r="D129" i="1"/>
  <c r="D109" i="1"/>
  <c r="D89" i="1"/>
  <c r="D69" i="1"/>
  <c r="D49" i="1"/>
  <c r="D29" i="1"/>
  <c r="D230" i="1"/>
  <c r="D262" i="1"/>
  <c r="D242" i="1"/>
  <c r="D110" i="1"/>
  <c r="D68" i="1"/>
  <c r="D48" i="1"/>
  <c r="D28" i="1"/>
  <c r="D30" i="1"/>
  <c r="D194" i="1"/>
  <c r="D134" i="1"/>
  <c r="D94" i="1"/>
  <c r="D74" i="1"/>
  <c r="D54" i="1"/>
  <c r="D270" i="1"/>
  <c r="D13" i="1"/>
  <c r="D238" i="1"/>
</calcChain>
</file>

<file path=xl/sharedStrings.xml><?xml version="1.0" encoding="utf-8"?>
<sst xmlns="http://schemas.openxmlformats.org/spreadsheetml/2006/main" count="2181" uniqueCount="37">
  <si>
    <t xml:space="preserve">Prediction of Structural Features of Proteins </t>
  </si>
  <si>
    <t>Rhodopsin</t>
  </si>
  <si>
    <t>AA no</t>
  </si>
  <si>
    <t>Ave 20</t>
  </si>
  <si>
    <t>Argos</t>
  </si>
  <si>
    <t>K/D</t>
  </si>
  <si>
    <t>EGS</t>
  </si>
  <si>
    <t>v. Heijne</t>
  </si>
  <si>
    <t>H/W</t>
  </si>
  <si>
    <t>Welling</t>
  </si>
  <si>
    <t>M</t>
  </si>
  <si>
    <t>Type Number=</t>
  </si>
  <si>
    <t>L</t>
  </si>
  <si>
    <t>E</t>
  </si>
  <si>
    <t>A</t>
  </si>
  <si>
    <t>C</t>
  </si>
  <si>
    <t>D</t>
  </si>
  <si>
    <t>P</t>
  </si>
  <si>
    <t>T</t>
  </si>
  <si>
    <t>F</t>
  </si>
  <si>
    <t>G</t>
  </si>
  <si>
    <t>V</t>
  </si>
  <si>
    <t>H</t>
  </si>
  <si>
    <t>I</t>
  </si>
  <si>
    <t>K</t>
  </si>
  <si>
    <t>S</t>
  </si>
  <si>
    <t>Q</t>
  </si>
  <si>
    <t>N</t>
  </si>
  <si>
    <t>R</t>
  </si>
  <si>
    <t>W</t>
  </si>
  <si>
    <t>Y</t>
  </si>
  <si>
    <t>Plot of Structural Prediction</t>
  </si>
  <si>
    <t>Tropomyosin</t>
  </si>
  <si>
    <t>AB light</t>
  </si>
  <si>
    <r>
      <t>G-</t>
    </r>
    <r>
      <rPr>
        <sz val="10"/>
        <rFont val="Symbol"/>
        <family val="1"/>
        <charset val="2"/>
      </rPr>
      <t>b</t>
    </r>
    <r>
      <rPr>
        <sz val="10"/>
        <rFont val="Arial"/>
      </rPr>
      <t xml:space="preserve"> </t>
    </r>
  </si>
  <si>
    <r>
      <t>b</t>
    </r>
    <r>
      <rPr>
        <sz val="10"/>
        <rFont val="Arial"/>
      </rPr>
      <t>2-AR</t>
    </r>
  </si>
  <si>
    <t>At1a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</si>
</sst>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 Prediction of Membrane Spanning Regions</a:t>
            </a:r>
          </a:p>
        </c:rich>
      </c:tx>
      <c:layout>
        <c:manualLayout>
          <c:xMode val="edge"/>
          <c:yMode val="edge"/>
          <c:x val="0.26448084834577706"/>
          <c:y val="3.44838835621700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18664839616563"/>
          <c:y val="0.15900901864778397"/>
          <c:w val="0.50966481076074632"/>
          <c:h val="0.66668841553528702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Calculations!$D$2</c:f>
              <c:strCache>
                <c:ptCount val="1"/>
                <c:pt idx="0">
                  <c:v>Ave 20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ysDash"/>
            </a:ln>
          </c:spPr>
          <c:marker>
            <c:symbol val="none"/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10"/>
            <c:dispRSqr val="0"/>
            <c:dispEq val="0"/>
          </c:trendline>
          <c:val>
            <c:numRef>
              <c:f>Calculations!$D$3:$D$421</c:f>
              <c:numCache>
                <c:formatCode>General</c:formatCode>
                <c:ptCount val="419"/>
                <c:pt idx="9">
                  <c:v>0.68849999999999978</c:v>
                </c:pt>
                <c:pt idx="10">
                  <c:v>0.43349999999999983</c:v>
                </c:pt>
                <c:pt idx="11">
                  <c:v>5.3500000000000061E-2</c:v>
                </c:pt>
                <c:pt idx="12">
                  <c:v>0.26099999999999984</c:v>
                </c:pt>
                <c:pt idx="13">
                  <c:v>0.26300000000000007</c:v>
                </c:pt>
                <c:pt idx="14">
                  <c:v>9.0499999999999997E-2</c:v>
                </c:pt>
                <c:pt idx="15">
                  <c:v>0.40899999999999997</c:v>
                </c:pt>
                <c:pt idx="16">
                  <c:v>0.56850000000000001</c:v>
                </c:pt>
                <c:pt idx="17">
                  <c:v>0.63400000000000001</c:v>
                </c:pt>
                <c:pt idx="18">
                  <c:v>0.47749999999999987</c:v>
                </c:pt>
                <c:pt idx="19">
                  <c:v>0.63250000000000006</c:v>
                </c:pt>
                <c:pt idx="20">
                  <c:v>0.72699999999999998</c:v>
                </c:pt>
                <c:pt idx="21">
                  <c:v>0.73049999999999982</c:v>
                </c:pt>
                <c:pt idx="22">
                  <c:v>0.9395</c:v>
                </c:pt>
                <c:pt idx="23">
                  <c:v>1.0959999999999999</c:v>
                </c:pt>
                <c:pt idx="24">
                  <c:v>1.1614999999999998</c:v>
                </c:pt>
                <c:pt idx="25">
                  <c:v>1.3179999999999998</c:v>
                </c:pt>
                <c:pt idx="26">
                  <c:v>1.0909999999999997</c:v>
                </c:pt>
                <c:pt idx="27">
                  <c:v>1.3159999999999996</c:v>
                </c:pt>
                <c:pt idx="28">
                  <c:v>1.2339999999999995</c:v>
                </c:pt>
                <c:pt idx="29">
                  <c:v>1.5959999999999996</c:v>
                </c:pt>
                <c:pt idx="30">
                  <c:v>1.9144999999999996</c:v>
                </c:pt>
                <c:pt idx="31">
                  <c:v>2.2909999999999995</c:v>
                </c:pt>
                <c:pt idx="32">
                  <c:v>2.1199999999999997</c:v>
                </c:pt>
                <c:pt idx="33">
                  <c:v>1.9579999999999997</c:v>
                </c:pt>
                <c:pt idx="34">
                  <c:v>2.0669999999999993</c:v>
                </c:pt>
                <c:pt idx="35">
                  <c:v>1.9069999999999996</c:v>
                </c:pt>
                <c:pt idx="36">
                  <c:v>1.9689999999999999</c:v>
                </c:pt>
                <c:pt idx="37">
                  <c:v>1.6964999999999997</c:v>
                </c:pt>
                <c:pt idx="38">
                  <c:v>1.4074999999999995</c:v>
                </c:pt>
                <c:pt idx="39">
                  <c:v>1.3139999999999998</c:v>
                </c:pt>
                <c:pt idx="40">
                  <c:v>0.93049999999999999</c:v>
                </c:pt>
                <c:pt idx="41">
                  <c:v>0.86499999999999988</c:v>
                </c:pt>
                <c:pt idx="42">
                  <c:v>0.58499999999999974</c:v>
                </c:pt>
                <c:pt idx="43">
                  <c:v>0.40149999999999969</c:v>
                </c:pt>
                <c:pt idx="44">
                  <c:v>0.3454999999999997</c:v>
                </c:pt>
                <c:pt idx="45">
                  <c:v>0.26349999999999973</c:v>
                </c:pt>
                <c:pt idx="46">
                  <c:v>0.4229999999999996</c:v>
                </c:pt>
                <c:pt idx="47">
                  <c:v>0.42499999999999999</c:v>
                </c:pt>
                <c:pt idx="48">
                  <c:v>0.44199999999999989</c:v>
                </c:pt>
                <c:pt idx="49">
                  <c:v>0.27299999999999991</c:v>
                </c:pt>
                <c:pt idx="50">
                  <c:v>0.27299999999999996</c:v>
                </c:pt>
                <c:pt idx="51">
                  <c:v>0.27299999999999996</c:v>
                </c:pt>
                <c:pt idx="52">
                  <c:v>0.29799999999999993</c:v>
                </c:pt>
                <c:pt idx="53">
                  <c:v>0.39249999999999996</c:v>
                </c:pt>
                <c:pt idx="54">
                  <c:v>0.45799999999999991</c:v>
                </c:pt>
                <c:pt idx="55">
                  <c:v>0.55249999999999999</c:v>
                </c:pt>
                <c:pt idx="56">
                  <c:v>0.49999999999999989</c:v>
                </c:pt>
                <c:pt idx="57">
                  <c:v>0.54749999999999988</c:v>
                </c:pt>
                <c:pt idx="58">
                  <c:v>0.93300000000000005</c:v>
                </c:pt>
                <c:pt idx="59">
                  <c:v>1.0094999999999996</c:v>
                </c:pt>
                <c:pt idx="60">
                  <c:v>1.4584999999999997</c:v>
                </c:pt>
                <c:pt idx="61">
                  <c:v>1.2514999999999996</c:v>
                </c:pt>
                <c:pt idx="62">
                  <c:v>1.5314999999999996</c:v>
                </c:pt>
                <c:pt idx="63">
                  <c:v>1.875</c:v>
                </c:pt>
                <c:pt idx="64">
                  <c:v>1.9309999999999998</c:v>
                </c:pt>
                <c:pt idx="65">
                  <c:v>2.0129999999999995</c:v>
                </c:pt>
                <c:pt idx="66">
                  <c:v>1.8364999999999998</c:v>
                </c:pt>
                <c:pt idx="67">
                  <c:v>1.6744999999999994</c:v>
                </c:pt>
                <c:pt idx="68">
                  <c:v>1.8994999999999997</c:v>
                </c:pt>
                <c:pt idx="69">
                  <c:v>1.8994999999999997</c:v>
                </c:pt>
                <c:pt idx="70">
                  <c:v>1.8359999999999999</c:v>
                </c:pt>
                <c:pt idx="71">
                  <c:v>1.8359999999999996</c:v>
                </c:pt>
                <c:pt idx="72">
                  <c:v>1.8359999999999999</c:v>
                </c:pt>
                <c:pt idx="73">
                  <c:v>1.8454999999999995</c:v>
                </c:pt>
                <c:pt idx="74">
                  <c:v>1.6834999999999998</c:v>
                </c:pt>
                <c:pt idx="75">
                  <c:v>1.5889999999999997</c:v>
                </c:pt>
                <c:pt idx="76">
                  <c:v>1.2649999999999999</c:v>
                </c:pt>
                <c:pt idx="77">
                  <c:v>1.1735000000000002</c:v>
                </c:pt>
                <c:pt idx="78">
                  <c:v>0.86449999999999982</c:v>
                </c:pt>
                <c:pt idx="79">
                  <c:v>0.78799999999999981</c:v>
                </c:pt>
                <c:pt idx="80">
                  <c:v>0.79</c:v>
                </c:pt>
                <c:pt idx="81">
                  <c:v>0.82050000000000001</c:v>
                </c:pt>
                <c:pt idx="82">
                  <c:v>0.71150000000000013</c:v>
                </c:pt>
                <c:pt idx="83">
                  <c:v>0.64600000000000002</c:v>
                </c:pt>
                <c:pt idx="84">
                  <c:v>0.2279999999999999</c:v>
                </c:pt>
                <c:pt idx="85">
                  <c:v>0.14599999999999996</c:v>
                </c:pt>
                <c:pt idx="86">
                  <c:v>0.32249999999999979</c:v>
                </c:pt>
                <c:pt idx="87">
                  <c:v>3.3499999999999863E-2</c:v>
                </c:pt>
                <c:pt idx="88">
                  <c:v>-0.13900000000000004</c:v>
                </c:pt>
                <c:pt idx="89">
                  <c:v>8.5999999999999924E-2</c:v>
                </c:pt>
                <c:pt idx="90">
                  <c:v>9.3499999999999986E-2</c:v>
                </c:pt>
                <c:pt idx="91">
                  <c:v>-0.12800000000000006</c:v>
                </c:pt>
                <c:pt idx="92">
                  <c:v>-3.4500000000000045E-2</c:v>
                </c:pt>
                <c:pt idx="93">
                  <c:v>-0.2970000000000001</c:v>
                </c:pt>
                <c:pt idx="94">
                  <c:v>-0.13700000000000007</c:v>
                </c:pt>
                <c:pt idx="95">
                  <c:v>2.2999999999999864E-2</c:v>
                </c:pt>
                <c:pt idx="96">
                  <c:v>0.40299999999999991</c:v>
                </c:pt>
                <c:pt idx="97">
                  <c:v>0.71949999999999981</c:v>
                </c:pt>
                <c:pt idx="98">
                  <c:v>0.64299999999999968</c:v>
                </c:pt>
                <c:pt idx="99">
                  <c:v>0.9614999999999998</c:v>
                </c:pt>
                <c:pt idx="100">
                  <c:v>0.89399999999999991</c:v>
                </c:pt>
                <c:pt idx="101">
                  <c:v>1.1359999999999997</c:v>
                </c:pt>
                <c:pt idx="102">
                  <c:v>1.3084999999999998</c:v>
                </c:pt>
                <c:pt idx="103">
                  <c:v>1.3704999999999998</c:v>
                </c:pt>
                <c:pt idx="104">
                  <c:v>1.3394999999999997</c:v>
                </c:pt>
                <c:pt idx="105">
                  <c:v>1.5159999999999996</c:v>
                </c:pt>
                <c:pt idx="106">
                  <c:v>1.1324999999999996</c:v>
                </c:pt>
                <c:pt idx="107">
                  <c:v>1.2649999999999992</c:v>
                </c:pt>
                <c:pt idx="108">
                  <c:v>1.2774999999999996</c:v>
                </c:pt>
                <c:pt idx="109">
                  <c:v>1.0524999999999995</c:v>
                </c:pt>
                <c:pt idx="110">
                  <c:v>1.1104999999999996</c:v>
                </c:pt>
                <c:pt idx="111">
                  <c:v>1.3354999999999995</c:v>
                </c:pt>
                <c:pt idx="112">
                  <c:v>1.4949999999999994</c:v>
                </c:pt>
                <c:pt idx="113">
                  <c:v>1.8134999999999999</c:v>
                </c:pt>
                <c:pt idx="114">
                  <c:v>1.8099999999999998</c:v>
                </c:pt>
                <c:pt idx="115">
                  <c:v>1.6499999999999997</c:v>
                </c:pt>
                <c:pt idx="116">
                  <c:v>1.5844999999999996</c:v>
                </c:pt>
                <c:pt idx="117">
                  <c:v>1.1354999999999997</c:v>
                </c:pt>
                <c:pt idx="118">
                  <c:v>1.4244999999999997</c:v>
                </c:pt>
                <c:pt idx="119">
                  <c:v>1.4264999999999997</c:v>
                </c:pt>
                <c:pt idx="120">
                  <c:v>1.4284999999999997</c:v>
                </c:pt>
                <c:pt idx="121">
                  <c:v>1.4304999999999999</c:v>
                </c:pt>
                <c:pt idx="122">
                  <c:v>1.2704999999999997</c:v>
                </c:pt>
                <c:pt idx="123">
                  <c:v>1.0489999999999997</c:v>
                </c:pt>
                <c:pt idx="124">
                  <c:v>1.3379999999999996</c:v>
                </c:pt>
                <c:pt idx="125">
                  <c:v>1.4034999999999997</c:v>
                </c:pt>
                <c:pt idx="126">
                  <c:v>1.8489999999999998</c:v>
                </c:pt>
                <c:pt idx="127">
                  <c:v>2.0054999999999996</c:v>
                </c:pt>
                <c:pt idx="128">
                  <c:v>2.0999999999999996</c:v>
                </c:pt>
                <c:pt idx="129">
                  <c:v>2.3250000000000002</c:v>
                </c:pt>
                <c:pt idx="130">
                  <c:v>2.0979999999999999</c:v>
                </c:pt>
                <c:pt idx="131">
                  <c:v>1.7544999999999997</c:v>
                </c:pt>
                <c:pt idx="132">
                  <c:v>1.8165</c:v>
                </c:pt>
                <c:pt idx="133">
                  <c:v>1.5744999999999998</c:v>
                </c:pt>
                <c:pt idx="134">
                  <c:v>1.3054999999999997</c:v>
                </c:pt>
                <c:pt idx="135">
                  <c:v>1.2234999999999996</c:v>
                </c:pt>
                <c:pt idx="136">
                  <c:v>0.87099999999999955</c:v>
                </c:pt>
                <c:pt idx="137">
                  <c:v>1.2639999999999998</c:v>
                </c:pt>
                <c:pt idx="138">
                  <c:v>1.4204999999999999</c:v>
                </c:pt>
                <c:pt idx="139">
                  <c:v>1.2459999999999998</c:v>
                </c:pt>
                <c:pt idx="140">
                  <c:v>1.1369999999999998</c:v>
                </c:pt>
                <c:pt idx="141">
                  <c:v>1.0694999999999999</c:v>
                </c:pt>
                <c:pt idx="142">
                  <c:v>1.2314999999999998</c:v>
                </c:pt>
                <c:pt idx="143">
                  <c:v>1.1839999999999997</c:v>
                </c:pt>
                <c:pt idx="144">
                  <c:v>1.119</c:v>
                </c:pt>
                <c:pt idx="145">
                  <c:v>1.0534999999999999</c:v>
                </c:pt>
                <c:pt idx="146">
                  <c:v>0.99149999999999994</c:v>
                </c:pt>
                <c:pt idx="147">
                  <c:v>1.0879999999999999</c:v>
                </c:pt>
                <c:pt idx="148">
                  <c:v>1.1534999999999997</c:v>
                </c:pt>
                <c:pt idx="149">
                  <c:v>0.91149999999999987</c:v>
                </c:pt>
                <c:pt idx="150">
                  <c:v>1.1384999999999998</c:v>
                </c:pt>
                <c:pt idx="151">
                  <c:v>1.4819999999999998</c:v>
                </c:pt>
                <c:pt idx="152">
                  <c:v>1.2434999999999996</c:v>
                </c:pt>
                <c:pt idx="153">
                  <c:v>1.4819999999999998</c:v>
                </c:pt>
                <c:pt idx="154">
                  <c:v>1.7544999999999997</c:v>
                </c:pt>
                <c:pt idx="155">
                  <c:v>1.9404999999999997</c:v>
                </c:pt>
                <c:pt idx="156">
                  <c:v>2.3024999999999998</c:v>
                </c:pt>
                <c:pt idx="157">
                  <c:v>2.1984999999999997</c:v>
                </c:pt>
                <c:pt idx="158">
                  <c:v>2.1459999999999995</c:v>
                </c:pt>
                <c:pt idx="159">
                  <c:v>2.0934999999999997</c:v>
                </c:pt>
                <c:pt idx="160">
                  <c:v>1.9934999999999996</c:v>
                </c:pt>
                <c:pt idx="161">
                  <c:v>1.7154999999999994</c:v>
                </c:pt>
                <c:pt idx="162">
                  <c:v>1.6480000000000004</c:v>
                </c:pt>
                <c:pt idx="163">
                  <c:v>1.5404999999999998</c:v>
                </c:pt>
                <c:pt idx="164">
                  <c:v>1.4929999999999997</c:v>
                </c:pt>
                <c:pt idx="165">
                  <c:v>1.4950000000000003</c:v>
                </c:pt>
                <c:pt idx="166">
                  <c:v>1.1424999999999998</c:v>
                </c:pt>
                <c:pt idx="167">
                  <c:v>0.88749999999999996</c:v>
                </c:pt>
                <c:pt idx="168">
                  <c:v>0.50749999999999995</c:v>
                </c:pt>
                <c:pt idx="169">
                  <c:v>0.746</c:v>
                </c:pt>
                <c:pt idx="170">
                  <c:v>0.67849999999999988</c:v>
                </c:pt>
                <c:pt idx="171">
                  <c:v>0.40599999999999969</c:v>
                </c:pt>
                <c:pt idx="172">
                  <c:v>0.42299999999999977</c:v>
                </c:pt>
                <c:pt idx="173">
                  <c:v>0.37049999999999994</c:v>
                </c:pt>
                <c:pt idx="174">
                  <c:v>2.700000000000009E-2</c:v>
                </c:pt>
                <c:pt idx="175">
                  <c:v>7.9500000000000057E-2</c:v>
                </c:pt>
                <c:pt idx="176">
                  <c:v>0.13550000000000004</c:v>
                </c:pt>
                <c:pt idx="177">
                  <c:v>-0.12249999999999991</c:v>
                </c:pt>
                <c:pt idx="178">
                  <c:v>-0.43900000000000006</c:v>
                </c:pt>
                <c:pt idx="179">
                  <c:v>-0.21749999999999997</c:v>
                </c:pt>
                <c:pt idx="180">
                  <c:v>-0.17000000000000012</c:v>
                </c:pt>
                <c:pt idx="181">
                  <c:v>0.1700000000000001</c:v>
                </c:pt>
                <c:pt idx="182">
                  <c:v>0.23200000000000004</c:v>
                </c:pt>
                <c:pt idx="183">
                  <c:v>0.61199999999999988</c:v>
                </c:pt>
                <c:pt idx="184">
                  <c:v>0.71199999999999997</c:v>
                </c:pt>
                <c:pt idx="185">
                  <c:v>0.50300000000000011</c:v>
                </c:pt>
                <c:pt idx="186">
                  <c:v>0.85549999999999993</c:v>
                </c:pt>
                <c:pt idx="187">
                  <c:v>0.93200000000000005</c:v>
                </c:pt>
                <c:pt idx="188">
                  <c:v>0.99349999999999983</c:v>
                </c:pt>
                <c:pt idx="189">
                  <c:v>0.99350000000000005</c:v>
                </c:pt>
                <c:pt idx="190">
                  <c:v>1.0554999999999999</c:v>
                </c:pt>
                <c:pt idx="191">
                  <c:v>1.1555</c:v>
                </c:pt>
                <c:pt idx="192">
                  <c:v>1.3804999999999998</c:v>
                </c:pt>
                <c:pt idx="193">
                  <c:v>1.4384999999999999</c:v>
                </c:pt>
                <c:pt idx="194">
                  <c:v>1.6219999999999999</c:v>
                </c:pt>
                <c:pt idx="195">
                  <c:v>1.3529999999999998</c:v>
                </c:pt>
                <c:pt idx="196">
                  <c:v>0.97300000000000009</c:v>
                </c:pt>
                <c:pt idx="197">
                  <c:v>1.2309999999999999</c:v>
                </c:pt>
                <c:pt idx="198">
                  <c:v>1.5379999999999996</c:v>
                </c:pt>
                <c:pt idx="199">
                  <c:v>1.3814999999999997</c:v>
                </c:pt>
                <c:pt idx="200">
                  <c:v>1.6084999999999998</c:v>
                </c:pt>
                <c:pt idx="201">
                  <c:v>1.6085</c:v>
                </c:pt>
                <c:pt idx="202">
                  <c:v>1.2935000000000001</c:v>
                </c:pt>
                <c:pt idx="203">
                  <c:v>1.2935000000000003</c:v>
                </c:pt>
                <c:pt idx="204">
                  <c:v>1.0934999999999999</c:v>
                </c:pt>
                <c:pt idx="205">
                  <c:v>1.3679999999999999</c:v>
                </c:pt>
                <c:pt idx="206">
                  <c:v>1.0535000000000001</c:v>
                </c:pt>
                <c:pt idx="207">
                  <c:v>1.0705</c:v>
                </c:pt>
                <c:pt idx="208">
                  <c:v>1.389</c:v>
                </c:pt>
                <c:pt idx="209">
                  <c:v>1.3924999999999998</c:v>
                </c:pt>
                <c:pt idx="210">
                  <c:v>1.34</c:v>
                </c:pt>
                <c:pt idx="211">
                  <c:v>1.4490000000000001</c:v>
                </c:pt>
                <c:pt idx="212">
                  <c:v>1.4454999999999998</c:v>
                </c:pt>
                <c:pt idx="213">
                  <c:v>1.4434999999999998</c:v>
                </c:pt>
                <c:pt idx="214">
                  <c:v>1.1544999999999999</c:v>
                </c:pt>
                <c:pt idx="215">
                  <c:v>1.4235</c:v>
                </c:pt>
                <c:pt idx="216">
                  <c:v>1.5309999999999999</c:v>
                </c:pt>
                <c:pt idx="217">
                  <c:v>1.6254999999999999</c:v>
                </c:pt>
                <c:pt idx="218">
                  <c:v>1.3474999999999999</c:v>
                </c:pt>
                <c:pt idx="219">
                  <c:v>1.504</c:v>
                </c:pt>
                <c:pt idx="220">
                  <c:v>1.3420000000000001</c:v>
                </c:pt>
                <c:pt idx="221">
                  <c:v>1.2895000000000001</c:v>
                </c:pt>
                <c:pt idx="222">
                  <c:v>1.4480000000000002</c:v>
                </c:pt>
                <c:pt idx="223">
                  <c:v>1.448</c:v>
                </c:pt>
                <c:pt idx="224">
                  <c:v>1.8225000000000002</c:v>
                </c:pt>
                <c:pt idx="225">
                  <c:v>1.8204999999999998</c:v>
                </c:pt>
                <c:pt idx="226">
                  <c:v>2.2005000000000003</c:v>
                </c:pt>
                <c:pt idx="227">
                  <c:v>2.0075000000000003</c:v>
                </c:pt>
                <c:pt idx="228">
                  <c:v>1.7350000000000001</c:v>
                </c:pt>
                <c:pt idx="229">
                  <c:v>1.3170000000000004</c:v>
                </c:pt>
                <c:pt idx="230">
                  <c:v>1.3074999999999997</c:v>
                </c:pt>
                <c:pt idx="231">
                  <c:v>1.3729999999999998</c:v>
                </c:pt>
                <c:pt idx="232">
                  <c:v>1.3205</c:v>
                </c:pt>
                <c:pt idx="233">
                  <c:v>1.1604999999999999</c:v>
                </c:pt>
                <c:pt idx="234">
                  <c:v>1.2295</c:v>
                </c:pt>
                <c:pt idx="235">
                  <c:v>1.1675</c:v>
                </c:pt>
                <c:pt idx="236">
                  <c:v>1.06</c:v>
                </c:pt>
                <c:pt idx="237">
                  <c:v>1.06</c:v>
                </c:pt>
                <c:pt idx="238">
                  <c:v>1.0850000000000002</c:v>
                </c:pt>
                <c:pt idx="239">
                  <c:v>0.70850000000000013</c:v>
                </c:pt>
                <c:pt idx="240">
                  <c:v>0.55000000000000004</c:v>
                </c:pt>
                <c:pt idx="241">
                  <c:v>0.33349999999999969</c:v>
                </c:pt>
                <c:pt idx="242">
                  <c:v>0.42799999999999977</c:v>
                </c:pt>
                <c:pt idx="243">
                  <c:v>0.26799999999999985</c:v>
                </c:pt>
                <c:pt idx="244">
                  <c:v>-0.18300000000000008</c:v>
                </c:pt>
                <c:pt idx="245">
                  <c:v>-0.34300000000000003</c:v>
                </c:pt>
                <c:pt idx="246">
                  <c:v>-0.40850000000000009</c:v>
                </c:pt>
                <c:pt idx="247">
                  <c:v>-5.6000000000000008E-2</c:v>
                </c:pt>
                <c:pt idx="248">
                  <c:v>0.15100000000000002</c:v>
                </c:pt>
                <c:pt idx="249">
                  <c:v>0.34399999999999997</c:v>
                </c:pt>
                <c:pt idx="250">
                  <c:v>0.13700000000000001</c:v>
                </c:pt>
                <c:pt idx="251">
                  <c:v>-0.314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7-4B63-B495-E42862619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1937215"/>
        <c:axId val="1"/>
      </c:lineChart>
      <c:catAx>
        <c:axId val="107193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Amino Acid</a:t>
                </a:r>
              </a:p>
            </c:rich>
          </c:tx>
          <c:layout>
            <c:manualLayout>
              <c:xMode val="edge"/>
              <c:yMode val="edge"/>
              <c:x val="0.30534484208160528"/>
              <c:y val="0.862097089054250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5"/>
        <c:auto val="0"/>
        <c:lblAlgn val="ctr"/>
        <c:lblOffset val="100"/>
        <c:tickLblSkip val="50"/>
        <c:tickMarkSkip val="50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Property</a:t>
                </a:r>
              </a:p>
            </c:rich>
          </c:tx>
          <c:layout>
            <c:manualLayout>
              <c:xMode val="edge"/>
              <c:yMode val="edge"/>
              <c:x val="3.7458660924509196E-2"/>
              <c:y val="0.423385459291087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193721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176967633299588"/>
          <c:y val="0.45403780023523854"/>
          <c:w val="0.29739906552186091"/>
          <c:h val="9.770433675948171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615950</xdr:colOff>
      <xdr:row>2</xdr:row>
      <xdr:rowOff>0</xdr:rowOff>
    </xdr:from>
    <xdr:to>
      <xdr:col>9</xdr:col>
      <xdr:colOff>609600</xdr:colOff>
      <xdr:row>22</xdr:row>
      <xdr:rowOff>139700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CF0EC99C-B280-4CE2-9E8E-17F5FBC13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1"/>
  <sheetViews>
    <sheetView tabSelected="1" workbookViewId="0"/>
  </sheetViews>
  <sheetFormatPr defaultColWidth="8.90625" defaultRowHeight="12.5" x14ac:dyDescent="0.25"/>
  <cols>
    <col min="1" max="1" width="9.08984375" style="3" customWidth="1"/>
    <col min="5" max="5" width="13.6328125" customWidth="1"/>
  </cols>
  <sheetData>
    <row r="1" spans="1:15" ht="13" x14ac:dyDescent="0.3">
      <c r="A1"/>
      <c r="B1" s="6" t="s">
        <v>0</v>
      </c>
    </row>
    <row r="2" spans="1:15" ht="13" x14ac:dyDescent="0.3">
      <c r="A2" s="3" t="s">
        <v>1</v>
      </c>
      <c r="B2" s="1" t="s">
        <v>2</v>
      </c>
      <c r="C2" s="1"/>
      <c r="D2" s="4" t="s">
        <v>3</v>
      </c>
      <c r="E2" s="1"/>
      <c r="F2" s="1"/>
      <c r="G2" s="1"/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/>
      <c r="O2" s="1"/>
    </row>
    <row r="3" spans="1:15" ht="13" x14ac:dyDescent="0.3">
      <c r="A3" s="3" t="s">
        <v>10</v>
      </c>
      <c r="B3">
        <f t="shared" ref="B3:B5" si="0">LOOKUP(A3,$F$5:$F$24,$G$5:$G$24)</f>
        <v>10</v>
      </c>
      <c r="C3">
        <f t="shared" ref="C3:C5" ca="1" si="1">OFFSET($G$5,B3,$F$3,1,1)</f>
        <v>2.79</v>
      </c>
      <c r="D3" s="4"/>
      <c r="E3" s="1" t="s">
        <v>11</v>
      </c>
      <c r="F3" s="1">
        <v>1</v>
      </c>
      <c r="G3" s="1"/>
      <c r="H3" s="1">
        <v>1</v>
      </c>
      <c r="I3" s="1">
        <v>2</v>
      </c>
      <c r="J3" s="1">
        <v>3</v>
      </c>
      <c r="K3" s="1">
        <v>4</v>
      </c>
      <c r="L3" s="1">
        <v>5</v>
      </c>
      <c r="M3" s="1">
        <v>6</v>
      </c>
      <c r="N3" s="1">
        <v>7</v>
      </c>
      <c r="O3" s="1"/>
    </row>
    <row r="4" spans="1:15" x14ac:dyDescent="0.25">
      <c r="A4" s="3" t="s">
        <v>12</v>
      </c>
      <c r="B4">
        <f t="shared" si="0"/>
        <v>9</v>
      </c>
      <c r="C4">
        <f t="shared" ca="1" si="1"/>
        <v>4.0599999999999996</v>
      </c>
      <c r="H4" s="3"/>
      <c r="I4" s="3"/>
      <c r="J4" s="3"/>
      <c r="K4" s="3"/>
      <c r="L4" s="3"/>
      <c r="M4" s="3"/>
    </row>
    <row r="5" spans="1:15" ht="13" x14ac:dyDescent="0.3">
      <c r="A5" s="3" t="s">
        <v>13</v>
      </c>
      <c r="B5">
        <f t="shared" si="0"/>
        <v>3</v>
      </c>
      <c r="C5">
        <f t="shared" ca="1" si="1"/>
        <v>-3.54</v>
      </c>
      <c r="F5" s="1" t="s">
        <v>14</v>
      </c>
      <c r="G5" s="2">
        <v>0</v>
      </c>
      <c r="H5" s="3">
        <v>2.75</v>
      </c>
      <c r="I5" s="3">
        <v>1.8</v>
      </c>
      <c r="J5" s="3">
        <v>-1.6</v>
      </c>
      <c r="K5" s="3">
        <v>-1</v>
      </c>
      <c r="L5" s="3">
        <v>-0.5</v>
      </c>
      <c r="M5" s="3">
        <v>0.115</v>
      </c>
    </row>
    <row r="6" spans="1:15" ht="13" x14ac:dyDescent="0.3">
      <c r="A6" s="3" t="s">
        <v>12</v>
      </c>
      <c r="B6">
        <f t="shared" ref="B6:B20" si="2">LOOKUP(A6,$F$5:$F$24,$G$5:$G$24)</f>
        <v>9</v>
      </c>
      <c r="C6">
        <f t="shared" ref="C6:C20" ca="1" si="3">OFFSET($G$5,B6,$F$3,1,1)</f>
        <v>4.0599999999999996</v>
      </c>
      <c r="F6" s="1" t="s">
        <v>15</v>
      </c>
      <c r="G6" s="2">
        <v>1</v>
      </c>
      <c r="H6" s="3">
        <v>1.91</v>
      </c>
      <c r="I6" s="3">
        <v>2.5</v>
      </c>
      <c r="J6" s="3">
        <v>-2</v>
      </c>
      <c r="K6" s="3">
        <v>-1.5</v>
      </c>
      <c r="L6" s="3">
        <v>-1</v>
      </c>
      <c r="M6" s="3">
        <v>-0.12</v>
      </c>
    </row>
    <row r="7" spans="1:15" ht="13" x14ac:dyDescent="0.3">
      <c r="A7" s="3" t="s">
        <v>12</v>
      </c>
      <c r="B7">
        <f t="shared" si="2"/>
        <v>9</v>
      </c>
      <c r="C7">
        <f t="shared" ca="1" si="3"/>
        <v>4.0599999999999996</v>
      </c>
      <c r="F7" s="1" t="s">
        <v>16</v>
      </c>
      <c r="G7" s="2">
        <v>2</v>
      </c>
      <c r="H7" s="3">
        <v>-4.92</v>
      </c>
      <c r="I7" s="3">
        <v>-3.5</v>
      </c>
      <c r="J7" s="3">
        <v>9.1999999999999993</v>
      </c>
      <c r="K7" s="3">
        <v>7.4</v>
      </c>
      <c r="L7" s="3">
        <v>3</v>
      </c>
      <c r="M7" s="3">
        <v>6.5000000000000002E-2</v>
      </c>
    </row>
    <row r="8" spans="1:15" ht="13" x14ac:dyDescent="0.3">
      <c r="A8" s="3" t="s">
        <v>17</v>
      </c>
      <c r="B8">
        <f t="shared" si="2"/>
        <v>12</v>
      </c>
      <c r="C8">
        <f t="shared" ca="1" si="3"/>
        <v>-2.31</v>
      </c>
      <c r="F8" s="1" t="s">
        <v>13</v>
      </c>
      <c r="G8" s="2">
        <v>3</v>
      </c>
      <c r="H8" s="3">
        <v>-3.54</v>
      </c>
      <c r="I8" s="3">
        <v>-3.5</v>
      </c>
      <c r="J8" s="3">
        <v>8.1999999999999993</v>
      </c>
      <c r="K8" s="3">
        <v>5.9</v>
      </c>
      <c r="L8" s="3">
        <v>3</v>
      </c>
      <c r="M8" s="3">
        <v>-7.0999999999999994E-2</v>
      </c>
    </row>
    <row r="9" spans="1:15" ht="13" x14ac:dyDescent="0.3">
      <c r="A9" s="3" t="s">
        <v>18</v>
      </c>
      <c r="B9">
        <f t="shared" si="2"/>
        <v>16</v>
      </c>
      <c r="C9">
        <f t="shared" ca="1" si="3"/>
        <v>-0.44</v>
      </c>
      <c r="F9" s="1" t="s">
        <v>19</v>
      </c>
      <c r="G9" s="2">
        <v>4</v>
      </c>
      <c r="H9" s="3">
        <v>2.94</v>
      </c>
      <c r="I9" s="3">
        <v>2.8</v>
      </c>
      <c r="J9" s="3">
        <v>-3.7</v>
      </c>
      <c r="K9" s="3">
        <v>-3.4</v>
      </c>
      <c r="L9" s="3">
        <f>--2.5</f>
        <v>2.5</v>
      </c>
      <c r="M9" s="3">
        <v>-0.14099999999999999</v>
      </c>
    </row>
    <row r="10" spans="1:15" ht="13" x14ac:dyDescent="0.3">
      <c r="A10" s="3" t="s">
        <v>14</v>
      </c>
      <c r="B10">
        <f t="shared" si="2"/>
        <v>0</v>
      </c>
      <c r="C10">
        <f t="shared" ca="1" si="3"/>
        <v>2.75</v>
      </c>
      <c r="F10" s="1" t="s">
        <v>20</v>
      </c>
      <c r="G10" s="2">
        <v>5</v>
      </c>
      <c r="H10" s="3">
        <v>0.86</v>
      </c>
      <c r="I10" s="3">
        <v>-0.4</v>
      </c>
      <c r="J10" s="3">
        <v>-1</v>
      </c>
      <c r="K10" s="3">
        <v>0</v>
      </c>
      <c r="L10" s="3">
        <v>0</v>
      </c>
      <c r="M10" s="3">
        <v>-0.184</v>
      </c>
    </row>
    <row r="11" spans="1:15" ht="13" x14ac:dyDescent="0.3">
      <c r="A11" s="3" t="s">
        <v>21</v>
      </c>
      <c r="B11">
        <f t="shared" si="2"/>
        <v>17</v>
      </c>
      <c r="C11">
        <f t="shared" ca="1" si="3"/>
        <v>3.99</v>
      </c>
      <c r="F11" s="1" t="s">
        <v>22</v>
      </c>
      <c r="G11" s="2">
        <v>6</v>
      </c>
      <c r="H11" s="3">
        <v>-2.48</v>
      </c>
      <c r="I11" s="3">
        <v>-3.2</v>
      </c>
      <c r="J11" s="3">
        <v>3</v>
      </c>
      <c r="K11" s="3">
        <v>3.4</v>
      </c>
      <c r="L11" s="3">
        <v>-0.5</v>
      </c>
      <c r="M11" s="3">
        <v>0.312</v>
      </c>
    </row>
    <row r="12" spans="1:15" ht="13" x14ac:dyDescent="0.3">
      <c r="A12" s="3" t="s">
        <v>13</v>
      </c>
      <c r="B12">
        <f t="shared" si="2"/>
        <v>3</v>
      </c>
      <c r="C12">
        <f t="shared" ca="1" si="3"/>
        <v>-3.54</v>
      </c>
      <c r="D12">
        <f t="shared" ref="D12:D13" ca="1" si="4">AVERAGE(C3:C22)</f>
        <v>0.68849999999999978</v>
      </c>
      <c r="F12" s="1" t="s">
        <v>23</v>
      </c>
      <c r="G12" s="2">
        <v>7</v>
      </c>
      <c r="H12" s="3">
        <v>4.0999999999999996</v>
      </c>
      <c r="I12" s="3">
        <v>4.5</v>
      </c>
      <c r="J12" s="3">
        <v>-3.1</v>
      </c>
      <c r="K12" s="3">
        <v>-2.5</v>
      </c>
      <c r="L12" s="3">
        <v>-1.8</v>
      </c>
      <c r="M12" s="3">
        <v>-0.29199999999999998</v>
      </c>
    </row>
    <row r="13" spans="1:15" ht="13" x14ac:dyDescent="0.3">
      <c r="A13" s="3" t="s">
        <v>20</v>
      </c>
      <c r="B13">
        <f t="shared" si="2"/>
        <v>5</v>
      </c>
      <c r="C13">
        <f t="shared" ca="1" si="3"/>
        <v>0.86</v>
      </c>
      <c r="D13">
        <f t="shared" ca="1" si="4"/>
        <v>0.43349999999999983</v>
      </c>
      <c r="F13" s="1" t="s">
        <v>24</v>
      </c>
      <c r="G13" s="2">
        <v>8</v>
      </c>
      <c r="H13" s="3">
        <v>-2.81</v>
      </c>
      <c r="I13" s="3">
        <v>-3.9</v>
      </c>
      <c r="J13" s="3">
        <v>8.8000000000000007</v>
      </c>
      <c r="K13" s="3">
        <v>4.2</v>
      </c>
      <c r="L13" s="3">
        <v>-1.8</v>
      </c>
      <c r="M13" s="3">
        <v>0.20599999999999999</v>
      </c>
    </row>
    <row r="14" spans="1:15" ht="13" x14ac:dyDescent="0.3">
      <c r="A14" s="3" t="s">
        <v>21</v>
      </c>
      <c r="B14">
        <f t="shared" si="2"/>
        <v>17</v>
      </c>
      <c r="C14">
        <f t="shared" ca="1" si="3"/>
        <v>3.99</v>
      </c>
      <c r="D14">
        <f t="shared" ref="D14:D29" ca="1" si="5">AVERAGE(C5:C24)</f>
        <v>5.3500000000000061E-2</v>
      </c>
      <c r="F14" s="1" t="s">
        <v>12</v>
      </c>
      <c r="G14" s="2">
        <v>9</v>
      </c>
      <c r="H14" s="3">
        <v>4.0599999999999996</v>
      </c>
      <c r="I14" s="3">
        <v>3.8</v>
      </c>
      <c r="J14" s="3">
        <v>-2.8</v>
      </c>
      <c r="K14" s="3">
        <v>-2.4</v>
      </c>
      <c r="L14" s="3">
        <v>-1.8</v>
      </c>
      <c r="M14" s="3">
        <v>7.4999999999999997E-2</v>
      </c>
    </row>
    <row r="15" spans="1:15" ht="13" x14ac:dyDescent="0.3">
      <c r="A15" s="3" t="s">
        <v>25</v>
      </c>
      <c r="B15">
        <f t="shared" si="2"/>
        <v>15</v>
      </c>
      <c r="C15">
        <f t="shared" ca="1" si="3"/>
        <v>-1.39</v>
      </c>
      <c r="D15">
        <f t="shared" ca="1" si="5"/>
        <v>0.26099999999999984</v>
      </c>
      <c r="F15" s="1" t="s">
        <v>10</v>
      </c>
      <c r="G15" s="2">
        <v>10</v>
      </c>
      <c r="H15" s="3">
        <v>2.79</v>
      </c>
      <c r="I15" s="3">
        <v>1.9</v>
      </c>
      <c r="J15" s="3">
        <v>-3.4</v>
      </c>
      <c r="K15" s="3">
        <v>-2.7</v>
      </c>
      <c r="L15" s="3">
        <v>-1.3</v>
      </c>
      <c r="M15" s="3">
        <v>-0.38500000000000001</v>
      </c>
    </row>
    <row r="16" spans="1:15" ht="13" x14ac:dyDescent="0.3">
      <c r="A16" s="3" t="s">
        <v>26</v>
      </c>
      <c r="B16">
        <f t="shared" si="2"/>
        <v>13</v>
      </c>
      <c r="C16">
        <f t="shared" ca="1" si="3"/>
        <v>-2.27</v>
      </c>
      <c r="D16">
        <f t="shared" ca="1" si="5"/>
        <v>0.26300000000000007</v>
      </c>
      <c r="F16" s="1" t="s">
        <v>27</v>
      </c>
      <c r="G16" s="2">
        <v>11</v>
      </c>
      <c r="H16" s="3">
        <v>-3.39</v>
      </c>
      <c r="I16" s="3">
        <v>-3.5</v>
      </c>
      <c r="J16" s="3">
        <v>4.8</v>
      </c>
      <c r="K16" s="3">
        <v>2.9</v>
      </c>
      <c r="L16" s="3">
        <v>0.2</v>
      </c>
      <c r="M16" s="3">
        <v>-7.6999999999999999E-2</v>
      </c>
    </row>
    <row r="17" spans="1:13" ht="13" x14ac:dyDescent="0.3">
      <c r="A17" s="3" t="s">
        <v>14</v>
      </c>
      <c r="B17">
        <f t="shared" si="2"/>
        <v>0</v>
      </c>
      <c r="C17">
        <f t="shared" ca="1" si="3"/>
        <v>2.75</v>
      </c>
      <c r="D17">
        <f t="shared" ca="1" si="5"/>
        <v>9.0499999999999997E-2</v>
      </c>
      <c r="F17" s="1" t="s">
        <v>17</v>
      </c>
      <c r="G17" s="2">
        <v>12</v>
      </c>
      <c r="H17" s="3">
        <v>-2.31</v>
      </c>
      <c r="I17" s="3">
        <v>-1.6</v>
      </c>
      <c r="J17" s="3">
        <v>0.2</v>
      </c>
      <c r="K17" s="3">
        <v>3.3</v>
      </c>
      <c r="L17" s="3">
        <v>0</v>
      </c>
      <c r="M17" s="3">
        <v>-5.2999999999999999E-2</v>
      </c>
    </row>
    <row r="18" spans="1:13" ht="13" x14ac:dyDescent="0.3">
      <c r="A18" s="3" t="s">
        <v>26</v>
      </c>
      <c r="B18">
        <f t="shared" si="2"/>
        <v>13</v>
      </c>
      <c r="C18">
        <f t="shared" ca="1" si="3"/>
        <v>-2.27</v>
      </c>
      <c r="D18">
        <f t="shared" ca="1" si="5"/>
        <v>0.40899999999999997</v>
      </c>
      <c r="F18" s="1" t="s">
        <v>26</v>
      </c>
      <c r="G18" s="2">
        <v>13</v>
      </c>
      <c r="H18" s="3">
        <v>-2.27</v>
      </c>
      <c r="I18" s="3">
        <v>-3.5</v>
      </c>
      <c r="J18" s="3">
        <v>4.0999999999999996</v>
      </c>
      <c r="K18" s="3">
        <v>2.4</v>
      </c>
      <c r="L18" s="3">
        <v>0.2</v>
      </c>
      <c r="M18" s="3">
        <v>-1.0999999999999999E-2</v>
      </c>
    </row>
    <row r="19" spans="1:13" ht="13" x14ac:dyDescent="0.3">
      <c r="A19" s="3" t="s">
        <v>23</v>
      </c>
      <c r="B19">
        <f t="shared" si="2"/>
        <v>7</v>
      </c>
      <c r="C19">
        <f t="shared" ca="1" si="3"/>
        <v>4.0999999999999996</v>
      </c>
      <c r="D19">
        <f t="shared" ca="1" si="5"/>
        <v>0.56850000000000001</v>
      </c>
      <c r="F19" s="1" t="s">
        <v>28</v>
      </c>
      <c r="G19" s="2">
        <v>14</v>
      </c>
      <c r="H19" s="3">
        <v>-4.3</v>
      </c>
      <c r="I19" s="3">
        <v>-4.5</v>
      </c>
      <c r="J19" s="3">
        <v>12.3</v>
      </c>
      <c r="K19" s="3">
        <v>11.3</v>
      </c>
      <c r="L19" s="3">
        <v>3</v>
      </c>
      <c r="M19" s="3">
        <v>5.8000000000000003E-2</v>
      </c>
    </row>
    <row r="20" spans="1:13" ht="13" x14ac:dyDescent="0.3">
      <c r="A20" s="3" t="s">
        <v>18</v>
      </c>
      <c r="B20">
        <f t="shared" si="2"/>
        <v>16</v>
      </c>
      <c r="C20">
        <f t="shared" ca="1" si="3"/>
        <v>-0.44</v>
      </c>
      <c r="D20">
        <f t="shared" ca="1" si="5"/>
        <v>0.63400000000000001</v>
      </c>
      <c r="F20" s="1" t="s">
        <v>25</v>
      </c>
      <c r="G20" s="2">
        <v>15</v>
      </c>
      <c r="H20" s="3">
        <v>-1.39</v>
      </c>
      <c r="I20" s="3">
        <v>-0.8</v>
      </c>
      <c r="J20" s="3">
        <v>-0.6</v>
      </c>
      <c r="K20" s="3">
        <v>1.5</v>
      </c>
      <c r="L20" s="3">
        <v>0.3</v>
      </c>
      <c r="M20" s="3">
        <v>-2.5999999999999999E-2</v>
      </c>
    </row>
    <row r="21" spans="1:13" ht="13" x14ac:dyDescent="0.3">
      <c r="A21" s="3" t="s">
        <v>20</v>
      </c>
      <c r="B21">
        <f t="shared" ref="B21:B36" si="6">LOOKUP(A21,$F$5:$F$24,$G$5:$G$24)</f>
        <v>5</v>
      </c>
      <c r="C21">
        <f t="shared" ref="C21:C36" ca="1" si="7">OFFSET($G$5,B21,$F$3,1,1)</f>
        <v>0.86</v>
      </c>
      <c r="D21">
        <f t="shared" ca="1" si="5"/>
        <v>0.47749999999999987</v>
      </c>
      <c r="F21" s="1" t="s">
        <v>18</v>
      </c>
      <c r="G21" s="2">
        <v>16</v>
      </c>
      <c r="H21" s="3">
        <v>-0.44</v>
      </c>
      <c r="I21" s="3">
        <v>-0.7</v>
      </c>
      <c r="J21" s="3">
        <v>-1.2</v>
      </c>
      <c r="K21" s="3">
        <v>0.9</v>
      </c>
      <c r="L21" s="3">
        <v>-0.4</v>
      </c>
      <c r="M21" s="3">
        <v>-4.4999999999999998E-2</v>
      </c>
    </row>
    <row r="22" spans="1:13" ht="13" x14ac:dyDescent="0.3">
      <c r="A22" s="3" t="s">
        <v>28</v>
      </c>
      <c r="B22">
        <f t="shared" si="6"/>
        <v>14</v>
      </c>
      <c r="C22">
        <f t="shared" ca="1" si="7"/>
        <v>-4.3</v>
      </c>
      <c r="D22">
        <f t="shared" ca="1" si="5"/>
        <v>0.63250000000000006</v>
      </c>
      <c r="F22" s="1" t="s">
        <v>21</v>
      </c>
      <c r="G22" s="2">
        <v>17</v>
      </c>
      <c r="H22" s="3">
        <v>3.99</v>
      </c>
      <c r="I22" s="3">
        <v>4.2</v>
      </c>
      <c r="J22" s="3">
        <v>-2.6</v>
      </c>
      <c r="K22" s="3">
        <v>-2</v>
      </c>
      <c r="L22" s="3">
        <v>-1.5</v>
      </c>
      <c r="M22" s="3">
        <v>-1.2999999999999999E-2</v>
      </c>
    </row>
    <row r="23" spans="1:13" ht="13" x14ac:dyDescent="0.3">
      <c r="A23" s="3" t="s">
        <v>17</v>
      </c>
      <c r="B23">
        <f t="shared" si="6"/>
        <v>12</v>
      </c>
      <c r="C23">
        <f t="shared" ca="1" si="7"/>
        <v>-2.31</v>
      </c>
      <c r="D23">
        <f t="shared" ca="1" si="5"/>
        <v>0.72699999999999998</v>
      </c>
      <c r="F23" s="1" t="s">
        <v>29</v>
      </c>
      <c r="G23" s="2">
        <v>18</v>
      </c>
      <c r="H23" s="3">
        <v>0.61</v>
      </c>
      <c r="I23" s="3">
        <v>-0.9</v>
      </c>
      <c r="J23" s="3">
        <v>-1.9</v>
      </c>
      <c r="K23" s="3">
        <v>-2</v>
      </c>
      <c r="L23" s="3">
        <v>-3.4</v>
      </c>
      <c r="M23" s="3">
        <v>-0.114</v>
      </c>
    </row>
    <row r="24" spans="1:13" ht="13" x14ac:dyDescent="0.3">
      <c r="A24" s="3" t="s">
        <v>13</v>
      </c>
      <c r="B24">
        <f t="shared" si="6"/>
        <v>3</v>
      </c>
      <c r="C24">
        <f t="shared" ca="1" si="7"/>
        <v>-3.54</v>
      </c>
      <c r="D24">
        <f t="shared" ca="1" si="5"/>
        <v>0.73049999999999982</v>
      </c>
      <c r="F24" s="1" t="s">
        <v>30</v>
      </c>
      <c r="G24" s="2">
        <v>19</v>
      </c>
      <c r="H24" s="3">
        <v>-0.78</v>
      </c>
      <c r="I24" s="3">
        <v>-1.3</v>
      </c>
      <c r="J24" s="3">
        <v>0.7</v>
      </c>
      <c r="K24" s="3">
        <v>1.1000000000000001</v>
      </c>
      <c r="L24" s="3">
        <v>-2.2999999999999998</v>
      </c>
      <c r="M24" s="3">
        <v>1.2999999999999999E-2</v>
      </c>
    </row>
    <row r="25" spans="1:13" x14ac:dyDescent="0.25">
      <c r="A25" s="3" t="s">
        <v>29</v>
      </c>
      <c r="B25">
        <f t="shared" si="6"/>
        <v>18</v>
      </c>
      <c r="C25">
        <f t="shared" ca="1" si="7"/>
        <v>0.61</v>
      </c>
      <c r="D25">
        <f t="shared" ca="1" si="5"/>
        <v>0.9395</v>
      </c>
      <c r="H25" s="3"/>
      <c r="I25" s="3"/>
      <c r="J25" s="3"/>
      <c r="K25" s="3"/>
      <c r="L25" s="3"/>
      <c r="M25" s="3"/>
    </row>
    <row r="26" spans="1:13" x14ac:dyDescent="0.25">
      <c r="A26" s="3" t="s">
        <v>23</v>
      </c>
      <c r="B26">
        <f t="shared" si="6"/>
        <v>7</v>
      </c>
      <c r="C26">
        <f t="shared" ca="1" si="7"/>
        <v>4.0999999999999996</v>
      </c>
      <c r="D26">
        <f t="shared" ca="1" si="5"/>
        <v>1.0959999999999999</v>
      </c>
    </row>
    <row r="27" spans="1:13" x14ac:dyDescent="0.25">
      <c r="A27" s="3" t="s">
        <v>29</v>
      </c>
      <c r="B27">
        <f t="shared" si="6"/>
        <v>18</v>
      </c>
      <c r="C27">
        <f t="shared" ca="1" si="7"/>
        <v>0.61</v>
      </c>
      <c r="D27">
        <f t="shared" ca="1" si="5"/>
        <v>1.1614999999999998</v>
      </c>
    </row>
    <row r="28" spans="1:13" x14ac:dyDescent="0.25">
      <c r="A28" s="3" t="s">
        <v>12</v>
      </c>
      <c r="B28">
        <f t="shared" si="6"/>
        <v>9</v>
      </c>
      <c r="C28">
        <f t="shared" ca="1" si="7"/>
        <v>4.0599999999999996</v>
      </c>
      <c r="D28">
        <f t="shared" ca="1" si="5"/>
        <v>1.3179999999999998</v>
      </c>
    </row>
    <row r="29" spans="1:13" x14ac:dyDescent="0.25">
      <c r="A29" s="3" t="s">
        <v>14</v>
      </c>
      <c r="B29">
        <f t="shared" si="6"/>
        <v>0</v>
      </c>
      <c r="C29">
        <f t="shared" ca="1" si="7"/>
        <v>2.75</v>
      </c>
      <c r="D29">
        <f t="shared" ca="1" si="5"/>
        <v>1.0909999999999997</v>
      </c>
    </row>
    <row r="30" spans="1:13" x14ac:dyDescent="0.25">
      <c r="A30" s="3" t="s">
        <v>12</v>
      </c>
      <c r="B30">
        <f t="shared" si="6"/>
        <v>9</v>
      </c>
      <c r="C30">
        <f t="shared" ca="1" si="7"/>
        <v>4.0599999999999996</v>
      </c>
      <c r="D30">
        <f t="shared" ref="D30:D45" ca="1" si="8">AVERAGE(C21:C40)</f>
        <v>1.3159999999999996</v>
      </c>
    </row>
    <row r="31" spans="1:13" x14ac:dyDescent="0.25">
      <c r="A31" s="3" t="s">
        <v>20</v>
      </c>
      <c r="B31">
        <f t="shared" si="6"/>
        <v>5</v>
      </c>
      <c r="C31">
        <f t="shared" ca="1" si="7"/>
        <v>0.86</v>
      </c>
      <c r="D31">
        <f t="shared" ca="1" si="8"/>
        <v>1.2339999999999995</v>
      </c>
    </row>
    <row r="32" spans="1:13" x14ac:dyDescent="0.25">
      <c r="A32" s="3" t="s">
        <v>18</v>
      </c>
      <c r="B32">
        <f t="shared" si="6"/>
        <v>16</v>
      </c>
      <c r="C32">
        <f t="shared" ca="1" si="7"/>
        <v>-0.44</v>
      </c>
      <c r="D32">
        <f t="shared" ca="1" si="8"/>
        <v>1.5959999999999996</v>
      </c>
    </row>
    <row r="33" spans="1:4" x14ac:dyDescent="0.25">
      <c r="A33" s="3" t="s">
        <v>14</v>
      </c>
      <c r="B33">
        <f t="shared" si="6"/>
        <v>0</v>
      </c>
      <c r="C33">
        <f t="shared" ca="1" si="7"/>
        <v>2.75</v>
      </c>
      <c r="D33">
        <f t="shared" ca="1" si="8"/>
        <v>1.9144999999999996</v>
      </c>
    </row>
    <row r="34" spans="1:4" x14ac:dyDescent="0.25">
      <c r="A34" s="3" t="s">
        <v>12</v>
      </c>
      <c r="B34">
        <f t="shared" si="6"/>
        <v>9</v>
      </c>
      <c r="C34">
        <f t="shared" ca="1" si="7"/>
        <v>4.0599999999999996</v>
      </c>
      <c r="D34">
        <f t="shared" ca="1" si="8"/>
        <v>2.2909999999999995</v>
      </c>
    </row>
    <row r="35" spans="1:4" x14ac:dyDescent="0.25">
      <c r="A35" s="3" t="s">
        <v>10</v>
      </c>
      <c r="B35">
        <f t="shared" si="6"/>
        <v>10</v>
      </c>
      <c r="C35">
        <f t="shared" ca="1" si="7"/>
        <v>2.79</v>
      </c>
      <c r="D35">
        <f t="shared" ca="1" si="8"/>
        <v>2.1199999999999997</v>
      </c>
    </row>
    <row r="36" spans="1:4" x14ac:dyDescent="0.25">
      <c r="A36" s="3" t="s">
        <v>20</v>
      </c>
      <c r="B36">
        <f t="shared" si="6"/>
        <v>5</v>
      </c>
      <c r="C36">
        <f t="shared" ca="1" si="7"/>
        <v>0.86</v>
      </c>
      <c r="D36">
        <f t="shared" ca="1" si="8"/>
        <v>1.9579999999999997</v>
      </c>
    </row>
    <row r="37" spans="1:4" x14ac:dyDescent="0.25">
      <c r="A37" s="3" t="s">
        <v>12</v>
      </c>
      <c r="B37">
        <f t="shared" ref="B37:B52" si="9">LOOKUP(A37,$F$5:$F$24,$G$5:$G$24)</f>
        <v>9</v>
      </c>
      <c r="C37">
        <f t="shared" ref="C37:C52" ca="1" si="10">OFFSET($G$5,B37,$F$3,1,1)</f>
        <v>4.0599999999999996</v>
      </c>
      <c r="D37">
        <f t="shared" ca="1" si="8"/>
        <v>2.0669999999999993</v>
      </c>
    </row>
    <row r="38" spans="1:4" x14ac:dyDescent="0.25">
      <c r="A38" s="3" t="s">
        <v>20</v>
      </c>
      <c r="B38">
        <f t="shared" si="9"/>
        <v>5</v>
      </c>
      <c r="C38">
        <f t="shared" ca="1" si="10"/>
        <v>0.86</v>
      </c>
      <c r="D38">
        <f t="shared" ca="1" si="8"/>
        <v>1.9069999999999996</v>
      </c>
    </row>
    <row r="39" spans="1:4" x14ac:dyDescent="0.25">
      <c r="A39" s="3" t="s">
        <v>18</v>
      </c>
      <c r="B39">
        <f t="shared" si="9"/>
        <v>16</v>
      </c>
      <c r="C39">
        <f t="shared" ca="1" si="10"/>
        <v>-0.44</v>
      </c>
      <c r="D39">
        <f t="shared" ca="1" si="8"/>
        <v>1.9689999999999999</v>
      </c>
    </row>
    <row r="40" spans="1:4" x14ac:dyDescent="0.25">
      <c r="A40" s="3" t="s">
        <v>12</v>
      </c>
      <c r="B40">
        <f t="shared" si="9"/>
        <v>9</v>
      </c>
      <c r="C40">
        <f t="shared" ca="1" si="10"/>
        <v>4.0599999999999996</v>
      </c>
      <c r="D40">
        <f t="shared" ca="1" si="8"/>
        <v>1.6964999999999997</v>
      </c>
    </row>
    <row r="41" spans="1:4" x14ac:dyDescent="0.25">
      <c r="A41" s="3" t="s">
        <v>30</v>
      </c>
      <c r="B41">
        <f t="shared" si="9"/>
        <v>19</v>
      </c>
      <c r="C41">
        <f t="shared" ca="1" si="10"/>
        <v>-0.78</v>
      </c>
      <c r="D41">
        <f t="shared" ca="1" si="8"/>
        <v>1.4074999999999995</v>
      </c>
    </row>
    <row r="42" spans="1:4" x14ac:dyDescent="0.25">
      <c r="A42" s="3" t="s">
        <v>19</v>
      </c>
      <c r="B42">
        <f t="shared" si="9"/>
        <v>4</v>
      </c>
      <c r="C42">
        <f t="shared" ca="1" si="10"/>
        <v>2.94</v>
      </c>
      <c r="D42">
        <f t="shared" ca="1" si="8"/>
        <v>1.3139999999999998</v>
      </c>
    </row>
    <row r="43" spans="1:4" x14ac:dyDescent="0.25">
      <c r="A43" s="3" t="s">
        <v>12</v>
      </c>
      <c r="B43">
        <f t="shared" si="9"/>
        <v>9</v>
      </c>
      <c r="C43">
        <f t="shared" ca="1" si="10"/>
        <v>4.0599999999999996</v>
      </c>
      <c r="D43">
        <f t="shared" ca="1" si="8"/>
        <v>0.93049999999999999</v>
      </c>
    </row>
    <row r="44" spans="1:4" x14ac:dyDescent="0.25">
      <c r="A44" s="3" t="s">
        <v>21</v>
      </c>
      <c r="B44">
        <f t="shared" si="9"/>
        <v>17</v>
      </c>
      <c r="C44">
        <f t="shared" ca="1" si="10"/>
        <v>3.99</v>
      </c>
      <c r="D44">
        <f t="shared" ca="1" si="8"/>
        <v>0.86499999999999988</v>
      </c>
    </row>
    <row r="45" spans="1:4" x14ac:dyDescent="0.25">
      <c r="A45" s="3" t="s">
        <v>24</v>
      </c>
      <c r="B45">
        <f t="shared" si="9"/>
        <v>8</v>
      </c>
      <c r="C45">
        <f t="shared" ca="1" si="10"/>
        <v>-2.81</v>
      </c>
      <c r="D45">
        <f t="shared" ca="1" si="8"/>
        <v>0.58499999999999974</v>
      </c>
    </row>
    <row r="46" spans="1:4" x14ac:dyDescent="0.25">
      <c r="A46" s="3" t="s">
        <v>20</v>
      </c>
      <c r="B46">
        <f t="shared" si="9"/>
        <v>5</v>
      </c>
      <c r="C46">
        <f t="shared" ca="1" si="10"/>
        <v>0.86</v>
      </c>
      <c r="D46">
        <f t="shared" ref="D46:D61" ca="1" si="11">AVERAGE(C37:C56)</f>
        <v>0.40149999999999969</v>
      </c>
    </row>
    <row r="47" spans="1:4" x14ac:dyDescent="0.25">
      <c r="A47" s="3" t="s">
        <v>10</v>
      </c>
      <c r="B47">
        <f t="shared" si="9"/>
        <v>10</v>
      </c>
      <c r="C47">
        <f t="shared" ca="1" si="10"/>
        <v>2.79</v>
      </c>
      <c r="D47">
        <f t="shared" ca="1" si="11"/>
        <v>0.3454999999999997</v>
      </c>
    </row>
    <row r="48" spans="1:4" x14ac:dyDescent="0.25">
      <c r="A48" s="3" t="s">
        <v>20</v>
      </c>
      <c r="B48">
        <f t="shared" si="9"/>
        <v>5</v>
      </c>
      <c r="C48">
        <f t="shared" ca="1" si="10"/>
        <v>0.86</v>
      </c>
      <c r="D48">
        <f t="shared" ca="1" si="11"/>
        <v>0.26349999999999973</v>
      </c>
    </row>
    <row r="49" spans="1:4" x14ac:dyDescent="0.25">
      <c r="A49" s="3" t="s">
        <v>21</v>
      </c>
      <c r="B49">
        <f t="shared" si="9"/>
        <v>17</v>
      </c>
      <c r="C49">
        <f t="shared" ca="1" si="10"/>
        <v>3.99</v>
      </c>
      <c r="D49">
        <f t="shared" ca="1" si="11"/>
        <v>0.4229999999999996</v>
      </c>
    </row>
    <row r="50" spans="1:4" x14ac:dyDescent="0.25">
      <c r="A50" s="3" t="s">
        <v>25</v>
      </c>
      <c r="B50">
        <f t="shared" si="9"/>
        <v>15</v>
      </c>
      <c r="C50">
        <f t="shared" ca="1" si="10"/>
        <v>-1.39</v>
      </c>
      <c r="D50">
        <f t="shared" ca="1" si="11"/>
        <v>0.42499999999999999</v>
      </c>
    </row>
    <row r="51" spans="1:4" x14ac:dyDescent="0.25">
      <c r="A51" s="3" t="s">
        <v>16</v>
      </c>
      <c r="B51">
        <f t="shared" si="9"/>
        <v>2</v>
      </c>
      <c r="C51">
        <f t="shared" ca="1" si="10"/>
        <v>-4.92</v>
      </c>
      <c r="D51">
        <f t="shared" ca="1" si="11"/>
        <v>0.44199999999999989</v>
      </c>
    </row>
    <row r="52" spans="1:4" x14ac:dyDescent="0.25">
      <c r="A52" s="3" t="s">
        <v>17</v>
      </c>
      <c r="B52">
        <f t="shared" si="9"/>
        <v>12</v>
      </c>
      <c r="C52">
        <f t="shared" ca="1" si="10"/>
        <v>-2.31</v>
      </c>
      <c r="D52">
        <f t="shared" ca="1" si="11"/>
        <v>0.27299999999999991</v>
      </c>
    </row>
    <row r="53" spans="1:4" x14ac:dyDescent="0.25">
      <c r="A53" s="3" t="s">
        <v>16</v>
      </c>
      <c r="B53">
        <f t="shared" ref="B53:B68" si="12">LOOKUP(A53,$F$5:$F$24,$G$5:$G$24)</f>
        <v>2</v>
      </c>
      <c r="C53">
        <f t="shared" ref="C53:C68" ca="1" si="13">OFFSET($G$5,B53,$F$3,1,1)</f>
        <v>-4.92</v>
      </c>
      <c r="D53">
        <f t="shared" ca="1" si="11"/>
        <v>0.27299999999999996</v>
      </c>
    </row>
    <row r="54" spans="1:4" x14ac:dyDescent="0.25">
      <c r="A54" s="3" t="s">
        <v>14</v>
      </c>
      <c r="B54">
        <f t="shared" si="12"/>
        <v>0</v>
      </c>
      <c r="C54">
        <f t="shared" ca="1" si="13"/>
        <v>2.75</v>
      </c>
      <c r="D54">
        <f t="shared" ca="1" si="11"/>
        <v>0.27299999999999996</v>
      </c>
    </row>
    <row r="55" spans="1:4" x14ac:dyDescent="0.25">
      <c r="A55" s="3" t="s">
        <v>24</v>
      </c>
      <c r="B55">
        <f t="shared" si="12"/>
        <v>8</v>
      </c>
      <c r="C55">
        <f t="shared" ca="1" si="13"/>
        <v>-2.81</v>
      </c>
      <c r="D55">
        <f t="shared" ca="1" si="11"/>
        <v>0.29799999999999993</v>
      </c>
    </row>
    <row r="56" spans="1:4" x14ac:dyDescent="0.25">
      <c r="A56" s="3" t="s">
        <v>24</v>
      </c>
      <c r="B56">
        <f t="shared" si="12"/>
        <v>8</v>
      </c>
      <c r="C56">
        <f t="shared" ca="1" si="13"/>
        <v>-2.81</v>
      </c>
      <c r="D56">
        <f t="shared" ca="1" si="11"/>
        <v>0.39249999999999996</v>
      </c>
    </row>
    <row r="57" spans="1:4" x14ac:dyDescent="0.25">
      <c r="A57" s="3" t="s">
        <v>19</v>
      </c>
      <c r="B57">
        <f t="shared" si="12"/>
        <v>4</v>
      </c>
      <c r="C57">
        <f t="shared" ca="1" si="13"/>
        <v>2.94</v>
      </c>
      <c r="D57">
        <f t="shared" ca="1" si="11"/>
        <v>0.45799999999999991</v>
      </c>
    </row>
    <row r="58" spans="1:4" x14ac:dyDescent="0.25">
      <c r="A58" s="3" t="s">
        <v>30</v>
      </c>
      <c r="B58">
        <f t="shared" si="12"/>
        <v>19</v>
      </c>
      <c r="C58">
        <f t="shared" ca="1" si="13"/>
        <v>-0.78</v>
      </c>
      <c r="D58">
        <f t="shared" ca="1" si="11"/>
        <v>0.55249999999999999</v>
      </c>
    </row>
    <row r="59" spans="1:4" x14ac:dyDescent="0.25">
      <c r="A59" s="3" t="s">
        <v>14</v>
      </c>
      <c r="B59">
        <f t="shared" si="12"/>
        <v>0</v>
      </c>
      <c r="C59">
        <f t="shared" ca="1" si="13"/>
        <v>2.75</v>
      </c>
      <c r="D59">
        <f t="shared" ca="1" si="11"/>
        <v>0.49999999999999989</v>
      </c>
    </row>
    <row r="60" spans="1:4" x14ac:dyDescent="0.25">
      <c r="A60" s="3" t="s">
        <v>23</v>
      </c>
      <c r="B60">
        <f t="shared" si="12"/>
        <v>7</v>
      </c>
      <c r="C60">
        <f t="shared" ca="1" si="13"/>
        <v>4.0999999999999996</v>
      </c>
      <c r="D60">
        <f t="shared" ca="1" si="11"/>
        <v>0.54749999999999988</v>
      </c>
    </row>
    <row r="61" spans="1:4" x14ac:dyDescent="0.25">
      <c r="A61" s="3" t="s">
        <v>18</v>
      </c>
      <c r="B61">
        <f t="shared" si="12"/>
        <v>16</v>
      </c>
      <c r="C61">
        <f t="shared" ca="1" si="13"/>
        <v>-0.44</v>
      </c>
      <c r="D61">
        <f t="shared" ca="1" si="11"/>
        <v>0.93300000000000005</v>
      </c>
    </row>
    <row r="62" spans="1:4" x14ac:dyDescent="0.25">
      <c r="A62" s="3" t="s">
        <v>18</v>
      </c>
      <c r="B62">
        <f t="shared" si="12"/>
        <v>16</v>
      </c>
      <c r="C62">
        <f t="shared" ca="1" si="13"/>
        <v>-0.44</v>
      </c>
      <c r="D62">
        <f t="shared" ref="D62:D77" ca="1" si="14">AVERAGE(C53:C72)</f>
        <v>1.0094999999999996</v>
      </c>
    </row>
    <row r="63" spans="1:4" x14ac:dyDescent="0.25">
      <c r="A63" s="3" t="s">
        <v>12</v>
      </c>
      <c r="B63">
        <f t="shared" si="12"/>
        <v>9</v>
      </c>
      <c r="C63">
        <f t="shared" ca="1" si="13"/>
        <v>4.0599999999999996</v>
      </c>
      <c r="D63">
        <f t="shared" ca="1" si="14"/>
        <v>1.4584999999999997</v>
      </c>
    </row>
    <row r="64" spans="1:4" x14ac:dyDescent="0.25">
      <c r="A64" s="3" t="s">
        <v>21</v>
      </c>
      <c r="B64">
        <f t="shared" si="12"/>
        <v>17</v>
      </c>
      <c r="C64">
        <f t="shared" ca="1" si="13"/>
        <v>3.99</v>
      </c>
      <c r="D64">
        <f t="shared" ca="1" si="14"/>
        <v>1.2514999999999996</v>
      </c>
    </row>
    <row r="65" spans="1:4" x14ac:dyDescent="0.25">
      <c r="A65" s="3" t="s">
        <v>17</v>
      </c>
      <c r="B65">
        <f t="shared" si="12"/>
        <v>12</v>
      </c>
      <c r="C65">
        <f t="shared" ca="1" si="13"/>
        <v>-2.31</v>
      </c>
      <c r="D65">
        <f t="shared" ca="1" si="14"/>
        <v>1.5314999999999996</v>
      </c>
    </row>
    <row r="66" spans="1:4" x14ac:dyDescent="0.25">
      <c r="A66" s="3" t="s">
        <v>14</v>
      </c>
      <c r="B66">
        <f t="shared" si="12"/>
        <v>0</v>
      </c>
      <c r="C66">
        <f t="shared" ca="1" si="13"/>
        <v>2.75</v>
      </c>
      <c r="D66">
        <f t="shared" ca="1" si="14"/>
        <v>1.875</v>
      </c>
    </row>
    <row r="67" spans="1:4" x14ac:dyDescent="0.25">
      <c r="A67" s="3" t="s">
        <v>23</v>
      </c>
      <c r="B67">
        <f t="shared" si="12"/>
        <v>7</v>
      </c>
      <c r="C67">
        <f t="shared" ca="1" si="13"/>
        <v>4.0999999999999996</v>
      </c>
      <c r="D67">
        <f t="shared" ca="1" si="14"/>
        <v>1.9309999999999998</v>
      </c>
    </row>
    <row r="68" spans="1:4" x14ac:dyDescent="0.25">
      <c r="A68" s="3" t="s">
        <v>14</v>
      </c>
      <c r="B68">
        <f t="shared" si="12"/>
        <v>0</v>
      </c>
      <c r="C68">
        <f t="shared" ca="1" si="13"/>
        <v>2.75</v>
      </c>
      <c r="D68">
        <f t="shared" ca="1" si="14"/>
        <v>2.0129999999999995</v>
      </c>
    </row>
    <row r="69" spans="1:4" x14ac:dyDescent="0.25">
      <c r="A69" s="3" t="s">
        <v>19</v>
      </c>
      <c r="B69">
        <f t="shared" ref="B69:B84" si="15">LOOKUP(A69,$F$5:$F$24,$G$5:$G$24)</f>
        <v>4</v>
      </c>
      <c r="C69">
        <f t="shared" ref="C69:C84" ca="1" si="16">OFFSET($G$5,B69,$F$3,1,1)</f>
        <v>2.94</v>
      </c>
      <c r="D69">
        <f t="shared" ca="1" si="14"/>
        <v>1.8364999999999998</v>
      </c>
    </row>
    <row r="70" spans="1:4" x14ac:dyDescent="0.25">
      <c r="A70" s="3" t="s">
        <v>18</v>
      </c>
      <c r="B70">
        <f t="shared" si="15"/>
        <v>16</v>
      </c>
      <c r="C70">
        <f t="shared" ca="1" si="16"/>
        <v>-0.44</v>
      </c>
      <c r="D70">
        <f t="shared" ca="1" si="14"/>
        <v>1.6744999999999994</v>
      </c>
    </row>
    <row r="71" spans="1:4" x14ac:dyDescent="0.25">
      <c r="A71" s="3" t="s">
        <v>10</v>
      </c>
      <c r="B71">
        <f t="shared" si="15"/>
        <v>10</v>
      </c>
      <c r="C71">
        <f t="shared" ca="1" si="16"/>
        <v>2.79</v>
      </c>
      <c r="D71">
        <f t="shared" ca="1" si="14"/>
        <v>1.8994999999999997</v>
      </c>
    </row>
    <row r="72" spans="1:4" x14ac:dyDescent="0.25">
      <c r="A72" s="3" t="s">
        <v>30</v>
      </c>
      <c r="B72">
        <f t="shared" si="15"/>
        <v>19</v>
      </c>
      <c r="C72">
        <f t="shared" ca="1" si="16"/>
        <v>-0.78</v>
      </c>
      <c r="D72">
        <f t="shared" ca="1" si="14"/>
        <v>1.8994999999999997</v>
      </c>
    </row>
    <row r="73" spans="1:4" x14ac:dyDescent="0.25">
      <c r="A73" s="3" t="s">
        <v>12</v>
      </c>
      <c r="B73">
        <f t="shared" si="15"/>
        <v>9</v>
      </c>
      <c r="C73">
        <f t="shared" ca="1" si="16"/>
        <v>4.0599999999999996</v>
      </c>
      <c r="D73">
        <f t="shared" ca="1" si="14"/>
        <v>1.8359999999999999</v>
      </c>
    </row>
    <row r="74" spans="1:4" x14ac:dyDescent="0.25">
      <c r="A74" s="3" t="s">
        <v>25</v>
      </c>
      <c r="B74">
        <f t="shared" si="15"/>
        <v>15</v>
      </c>
      <c r="C74">
        <f t="shared" ca="1" si="16"/>
        <v>-1.39</v>
      </c>
      <c r="D74">
        <f t="shared" ca="1" si="14"/>
        <v>1.8359999999999996</v>
      </c>
    </row>
    <row r="75" spans="1:4" x14ac:dyDescent="0.25">
      <c r="A75" s="3" t="s">
        <v>10</v>
      </c>
      <c r="B75">
        <f t="shared" si="15"/>
        <v>10</v>
      </c>
      <c r="C75">
        <f t="shared" ca="1" si="16"/>
        <v>2.79</v>
      </c>
      <c r="D75">
        <f t="shared" ca="1" si="14"/>
        <v>1.8359999999999999</v>
      </c>
    </row>
    <row r="76" spans="1:4" x14ac:dyDescent="0.25">
      <c r="A76" s="3" t="s">
        <v>12</v>
      </c>
      <c r="B76">
        <f t="shared" si="15"/>
        <v>9</v>
      </c>
      <c r="C76">
        <f t="shared" ca="1" si="16"/>
        <v>4.0599999999999996</v>
      </c>
      <c r="D76">
        <f t="shared" ca="1" si="14"/>
        <v>1.8454999999999995</v>
      </c>
    </row>
    <row r="77" spans="1:4" x14ac:dyDescent="0.25">
      <c r="A77" s="3" t="s">
        <v>12</v>
      </c>
      <c r="B77">
        <f t="shared" si="15"/>
        <v>9</v>
      </c>
      <c r="C77">
        <f t="shared" ca="1" si="16"/>
        <v>4.0599999999999996</v>
      </c>
      <c r="D77">
        <f t="shared" ca="1" si="14"/>
        <v>1.6834999999999998</v>
      </c>
    </row>
    <row r="78" spans="1:4" x14ac:dyDescent="0.25">
      <c r="A78" s="3" t="s">
        <v>20</v>
      </c>
      <c r="B78">
        <f t="shared" si="15"/>
        <v>5</v>
      </c>
      <c r="C78">
        <f t="shared" ca="1" si="16"/>
        <v>0.86</v>
      </c>
      <c r="D78">
        <f t="shared" ref="D78:D93" ca="1" si="17">AVERAGE(C69:C88)</f>
        <v>1.5889999999999997</v>
      </c>
    </row>
    <row r="79" spans="1:4" x14ac:dyDescent="0.25">
      <c r="A79" s="3" t="s">
        <v>30</v>
      </c>
      <c r="B79">
        <f t="shared" si="15"/>
        <v>19</v>
      </c>
      <c r="C79">
        <f t="shared" ca="1" si="16"/>
        <v>-0.78</v>
      </c>
      <c r="D79">
        <f t="shared" ca="1" si="17"/>
        <v>1.2649999999999999</v>
      </c>
    </row>
    <row r="80" spans="1:4" x14ac:dyDescent="0.25">
      <c r="A80" s="3" t="s">
        <v>20</v>
      </c>
      <c r="B80">
        <f t="shared" si="15"/>
        <v>5</v>
      </c>
      <c r="C80">
        <f t="shared" ca="1" si="16"/>
        <v>0.86</v>
      </c>
      <c r="D80">
        <f t="shared" ca="1" si="17"/>
        <v>1.1735000000000002</v>
      </c>
    </row>
    <row r="81" spans="1:4" x14ac:dyDescent="0.25">
      <c r="A81" s="3" t="s">
        <v>12</v>
      </c>
      <c r="B81">
        <f t="shared" si="15"/>
        <v>9</v>
      </c>
      <c r="C81">
        <f t="shared" ca="1" si="16"/>
        <v>4.0599999999999996</v>
      </c>
      <c r="D81">
        <f t="shared" ca="1" si="17"/>
        <v>0.86449999999999982</v>
      </c>
    </row>
    <row r="82" spans="1:4" x14ac:dyDescent="0.25">
      <c r="A82" s="3" t="s">
        <v>18</v>
      </c>
      <c r="B82">
        <f t="shared" si="15"/>
        <v>16</v>
      </c>
      <c r="C82">
        <f t="shared" ca="1" si="16"/>
        <v>-0.44</v>
      </c>
      <c r="D82">
        <f t="shared" ca="1" si="17"/>
        <v>0.78799999999999981</v>
      </c>
    </row>
    <row r="83" spans="1:4" x14ac:dyDescent="0.25">
      <c r="A83" s="3" t="s">
        <v>10</v>
      </c>
      <c r="B83">
        <f t="shared" si="15"/>
        <v>10</v>
      </c>
      <c r="C83">
        <f t="shared" ca="1" si="16"/>
        <v>2.79</v>
      </c>
      <c r="D83">
        <f t="shared" ca="1" si="17"/>
        <v>0.79</v>
      </c>
    </row>
    <row r="84" spans="1:4" x14ac:dyDescent="0.25">
      <c r="A84" s="3" t="s">
        <v>21</v>
      </c>
      <c r="B84">
        <f t="shared" si="15"/>
        <v>17</v>
      </c>
      <c r="C84">
        <f t="shared" ca="1" si="16"/>
        <v>3.99</v>
      </c>
      <c r="D84">
        <f t="shared" ca="1" si="17"/>
        <v>0.82050000000000001</v>
      </c>
    </row>
    <row r="85" spans="1:4" x14ac:dyDescent="0.25">
      <c r="A85" s="3" t="s">
        <v>17</v>
      </c>
      <c r="B85">
        <f t="shared" ref="B85:B100" si="18">LOOKUP(A85,$F$5:$F$24,$G$5:$G$24)</f>
        <v>12</v>
      </c>
      <c r="C85">
        <f t="shared" ref="C85:C100" ca="1" si="19">OFFSET($G$5,B85,$F$3,1,1)</f>
        <v>-2.31</v>
      </c>
      <c r="D85">
        <f t="shared" ca="1" si="17"/>
        <v>0.71150000000000013</v>
      </c>
    </row>
    <row r="86" spans="1:4" x14ac:dyDescent="0.25">
      <c r="A86" s="3" t="s">
        <v>19</v>
      </c>
      <c r="B86">
        <f t="shared" si="18"/>
        <v>4</v>
      </c>
      <c r="C86">
        <f t="shared" ca="1" si="19"/>
        <v>2.94</v>
      </c>
      <c r="D86">
        <f t="shared" ca="1" si="17"/>
        <v>0.64600000000000002</v>
      </c>
    </row>
    <row r="87" spans="1:4" x14ac:dyDescent="0.25">
      <c r="A87" s="3" t="s">
        <v>20</v>
      </c>
      <c r="B87">
        <f t="shared" si="18"/>
        <v>5</v>
      </c>
      <c r="C87">
        <f t="shared" ca="1" si="19"/>
        <v>0.86</v>
      </c>
      <c r="D87">
        <f t="shared" ca="1" si="17"/>
        <v>0.2279999999999999</v>
      </c>
    </row>
    <row r="88" spans="1:4" x14ac:dyDescent="0.25">
      <c r="A88" s="3" t="s">
        <v>20</v>
      </c>
      <c r="B88">
        <f t="shared" si="18"/>
        <v>5</v>
      </c>
      <c r="C88">
        <f t="shared" ca="1" si="19"/>
        <v>0.86</v>
      </c>
      <c r="D88">
        <f t="shared" ca="1" si="17"/>
        <v>0.14599999999999996</v>
      </c>
    </row>
    <row r="89" spans="1:4" x14ac:dyDescent="0.25">
      <c r="A89" s="3" t="s">
        <v>13</v>
      </c>
      <c r="B89">
        <f t="shared" si="18"/>
        <v>3</v>
      </c>
      <c r="C89">
        <f t="shared" ca="1" si="19"/>
        <v>-3.54</v>
      </c>
      <c r="D89">
        <f t="shared" ca="1" si="17"/>
        <v>0.32249999999999979</v>
      </c>
    </row>
    <row r="90" spans="1:4" x14ac:dyDescent="0.25">
      <c r="A90" s="3" t="s">
        <v>26</v>
      </c>
      <c r="B90">
        <f t="shared" si="18"/>
        <v>13</v>
      </c>
      <c r="C90">
        <f t="shared" ca="1" si="19"/>
        <v>-2.27</v>
      </c>
      <c r="D90">
        <f t="shared" ca="1" si="17"/>
        <v>3.3499999999999863E-2</v>
      </c>
    </row>
    <row r="91" spans="1:4" x14ac:dyDescent="0.25">
      <c r="A91" s="3" t="s">
        <v>27</v>
      </c>
      <c r="B91">
        <f t="shared" si="18"/>
        <v>11</v>
      </c>
      <c r="C91">
        <f t="shared" ca="1" si="19"/>
        <v>-3.39</v>
      </c>
      <c r="D91">
        <f t="shared" ca="1" si="17"/>
        <v>-0.13900000000000004</v>
      </c>
    </row>
    <row r="92" spans="1:4" x14ac:dyDescent="0.25">
      <c r="A92" s="3" t="s">
        <v>17</v>
      </c>
      <c r="B92">
        <f t="shared" si="18"/>
        <v>12</v>
      </c>
      <c r="C92">
        <f t="shared" ca="1" si="19"/>
        <v>-2.31</v>
      </c>
      <c r="D92">
        <f t="shared" ca="1" si="17"/>
        <v>8.5999999999999924E-2</v>
      </c>
    </row>
    <row r="93" spans="1:4" x14ac:dyDescent="0.25">
      <c r="A93" s="3" t="s">
        <v>23</v>
      </c>
      <c r="B93">
        <f t="shared" si="18"/>
        <v>7</v>
      </c>
      <c r="C93">
        <f t="shared" ca="1" si="19"/>
        <v>4.0999999999999996</v>
      </c>
      <c r="D93">
        <f t="shared" ca="1" si="17"/>
        <v>9.3499999999999986E-2</v>
      </c>
    </row>
    <row r="94" spans="1:4" x14ac:dyDescent="0.25">
      <c r="A94" s="3" t="s">
        <v>30</v>
      </c>
      <c r="B94">
        <f t="shared" si="18"/>
        <v>19</v>
      </c>
      <c r="C94">
        <f t="shared" ca="1" si="19"/>
        <v>-0.78</v>
      </c>
      <c r="D94">
        <f t="shared" ref="D94:D109" ca="1" si="20">AVERAGE(C85:C104)</f>
        <v>-0.12800000000000006</v>
      </c>
    </row>
    <row r="95" spans="1:4" x14ac:dyDescent="0.25">
      <c r="A95" s="3" t="s">
        <v>29</v>
      </c>
      <c r="B95">
        <f t="shared" si="18"/>
        <v>18</v>
      </c>
      <c r="C95">
        <f t="shared" ca="1" si="19"/>
        <v>0.61</v>
      </c>
      <c r="D95">
        <f t="shared" ca="1" si="20"/>
        <v>-3.4500000000000045E-2</v>
      </c>
    </row>
    <row r="96" spans="1:4" x14ac:dyDescent="0.25">
      <c r="A96" s="3" t="s">
        <v>14</v>
      </c>
      <c r="B96">
        <f t="shared" si="18"/>
        <v>0</v>
      </c>
      <c r="C96">
        <f t="shared" ca="1" si="19"/>
        <v>2.75</v>
      </c>
      <c r="D96">
        <f t="shared" ca="1" si="20"/>
        <v>-0.2970000000000001</v>
      </c>
    </row>
    <row r="97" spans="1:4" x14ac:dyDescent="0.25">
      <c r="A97" s="3" t="s">
        <v>28</v>
      </c>
      <c r="B97">
        <f t="shared" si="18"/>
        <v>14</v>
      </c>
      <c r="C97">
        <f t="shared" ca="1" si="19"/>
        <v>-4.3</v>
      </c>
      <c r="D97">
        <f t="shared" ca="1" si="20"/>
        <v>-0.13700000000000007</v>
      </c>
    </row>
    <row r="98" spans="1:4" x14ac:dyDescent="0.25">
      <c r="A98" s="3" t="s">
        <v>30</v>
      </c>
      <c r="B98">
        <f t="shared" si="18"/>
        <v>19</v>
      </c>
      <c r="C98">
        <f t="shared" ca="1" si="19"/>
        <v>-0.78</v>
      </c>
      <c r="D98">
        <f t="shared" ca="1" si="20"/>
        <v>2.2999999999999864E-2</v>
      </c>
    </row>
    <row r="99" spans="1:4" x14ac:dyDescent="0.25">
      <c r="A99" s="3" t="s">
        <v>14</v>
      </c>
      <c r="B99">
        <f t="shared" si="18"/>
        <v>0</v>
      </c>
      <c r="C99">
        <f t="shared" ca="1" si="19"/>
        <v>2.75</v>
      </c>
      <c r="D99">
        <f t="shared" ca="1" si="20"/>
        <v>0.40299999999999991</v>
      </c>
    </row>
    <row r="100" spans="1:4" x14ac:dyDescent="0.25">
      <c r="A100" s="3" t="s">
        <v>16</v>
      </c>
      <c r="B100">
        <f t="shared" si="18"/>
        <v>2</v>
      </c>
      <c r="C100">
        <f t="shared" ca="1" si="19"/>
        <v>-4.92</v>
      </c>
      <c r="D100">
        <f t="shared" ca="1" si="20"/>
        <v>0.71949999999999981</v>
      </c>
    </row>
    <row r="101" spans="1:4" x14ac:dyDescent="0.25">
      <c r="A101" s="3" t="s">
        <v>29</v>
      </c>
      <c r="B101">
        <f t="shared" ref="B101:B116" si="21">LOOKUP(A101,$F$5:$F$24,$G$5:$G$24)</f>
        <v>18</v>
      </c>
      <c r="C101">
        <f t="shared" ref="C101:C116" ca="1" si="22">OFFSET($G$5,B101,$F$3,1,1)</f>
        <v>0.61</v>
      </c>
      <c r="D101">
        <f t="shared" ca="1" si="20"/>
        <v>0.64299999999999968</v>
      </c>
    </row>
    <row r="102" spans="1:4" x14ac:dyDescent="0.25">
      <c r="A102" s="3" t="s">
        <v>12</v>
      </c>
      <c r="B102">
        <f t="shared" si="21"/>
        <v>9</v>
      </c>
      <c r="C102">
        <f t="shared" ca="1" si="22"/>
        <v>4.0599999999999996</v>
      </c>
      <c r="D102">
        <f t="shared" ca="1" si="20"/>
        <v>0.9614999999999998</v>
      </c>
    </row>
    <row r="103" spans="1:4" x14ac:dyDescent="0.25">
      <c r="A103" s="3" t="s">
        <v>19</v>
      </c>
      <c r="B103">
        <f t="shared" si="21"/>
        <v>4</v>
      </c>
      <c r="C103">
        <f t="shared" ca="1" si="22"/>
        <v>2.94</v>
      </c>
      <c r="D103">
        <f t="shared" ca="1" si="20"/>
        <v>0.89399999999999991</v>
      </c>
    </row>
    <row r="104" spans="1:4" x14ac:dyDescent="0.25">
      <c r="A104" s="3" t="s">
        <v>18</v>
      </c>
      <c r="B104">
        <f t="shared" si="21"/>
        <v>16</v>
      </c>
      <c r="C104">
        <f t="shared" ca="1" si="22"/>
        <v>-0.44</v>
      </c>
      <c r="D104">
        <f t="shared" ca="1" si="20"/>
        <v>1.1359999999999997</v>
      </c>
    </row>
    <row r="105" spans="1:4" x14ac:dyDescent="0.25">
      <c r="A105" s="3" t="s">
        <v>18</v>
      </c>
      <c r="B105">
        <f t="shared" si="21"/>
        <v>16</v>
      </c>
      <c r="C105">
        <f t="shared" ca="1" si="22"/>
        <v>-0.44</v>
      </c>
      <c r="D105">
        <f t="shared" ca="1" si="20"/>
        <v>1.3084999999999998</v>
      </c>
    </row>
    <row r="106" spans="1:4" x14ac:dyDescent="0.25">
      <c r="A106" s="3" t="s">
        <v>17</v>
      </c>
      <c r="B106">
        <f t="shared" si="21"/>
        <v>12</v>
      </c>
      <c r="C106">
        <f t="shared" ca="1" si="22"/>
        <v>-2.31</v>
      </c>
      <c r="D106">
        <f t="shared" ca="1" si="20"/>
        <v>1.3704999999999998</v>
      </c>
    </row>
    <row r="107" spans="1:4" x14ac:dyDescent="0.25">
      <c r="A107" s="3" t="s">
        <v>12</v>
      </c>
      <c r="B107">
        <f t="shared" si="21"/>
        <v>9</v>
      </c>
      <c r="C107">
        <f t="shared" ca="1" si="22"/>
        <v>4.0599999999999996</v>
      </c>
      <c r="D107">
        <f t="shared" ca="1" si="20"/>
        <v>1.3394999999999997</v>
      </c>
    </row>
    <row r="108" spans="1:4" x14ac:dyDescent="0.25">
      <c r="A108" s="3" t="s">
        <v>12</v>
      </c>
      <c r="B108">
        <f t="shared" si="21"/>
        <v>9</v>
      </c>
      <c r="C108">
        <f t="shared" ca="1" si="22"/>
        <v>4.0599999999999996</v>
      </c>
      <c r="D108">
        <f t="shared" ca="1" si="20"/>
        <v>1.5159999999999996</v>
      </c>
    </row>
    <row r="109" spans="1:4" x14ac:dyDescent="0.25">
      <c r="A109" s="3" t="s">
        <v>12</v>
      </c>
      <c r="B109">
        <f t="shared" si="21"/>
        <v>9</v>
      </c>
      <c r="C109">
        <f t="shared" ca="1" si="22"/>
        <v>4.0599999999999996</v>
      </c>
      <c r="D109">
        <f t="shared" ca="1" si="20"/>
        <v>1.1324999999999996</v>
      </c>
    </row>
    <row r="110" spans="1:4" x14ac:dyDescent="0.25">
      <c r="A110" s="3" t="s">
        <v>12</v>
      </c>
      <c r="B110">
        <f t="shared" si="21"/>
        <v>9</v>
      </c>
      <c r="C110">
        <f t="shared" ca="1" si="22"/>
        <v>4.0599999999999996</v>
      </c>
      <c r="D110">
        <f t="shared" ref="D110:D125" ca="1" si="23">AVERAGE(C101:C120)</f>
        <v>1.2649999999999992</v>
      </c>
    </row>
    <row r="111" spans="1:4" x14ac:dyDescent="0.25">
      <c r="A111" s="3" t="s">
        <v>16</v>
      </c>
      <c r="B111">
        <f t="shared" si="21"/>
        <v>2</v>
      </c>
      <c r="C111">
        <f t="shared" ca="1" si="22"/>
        <v>-4.92</v>
      </c>
      <c r="D111">
        <f t="shared" ca="1" si="23"/>
        <v>1.2774999999999996</v>
      </c>
    </row>
    <row r="112" spans="1:4" x14ac:dyDescent="0.25">
      <c r="A112" s="3" t="s">
        <v>12</v>
      </c>
      <c r="B112">
        <f t="shared" si="21"/>
        <v>9</v>
      </c>
      <c r="C112">
        <f t="shared" ca="1" si="22"/>
        <v>4.0599999999999996</v>
      </c>
      <c r="D112">
        <f t="shared" ca="1" si="23"/>
        <v>1.0524999999999995</v>
      </c>
    </row>
    <row r="113" spans="1:4" x14ac:dyDescent="0.25">
      <c r="A113" s="3" t="s">
        <v>14</v>
      </c>
      <c r="B113">
        <f t="shared" si="21"/>
        <v>0</v>
      </c>
      <c r="C113">
        <f t="shared" ca="1" si="22"/>
        <v>2.75</v>
      </c>
      <c r="D113">
        <f t="shared" ca="1" si="23"/>
        <v>1.1104999999999996</v>
      </c>
    </row>
    <row r="114" spans="1:4" x14ac:dyDescent="0.25">
      <c r="A114" s="3" t="s">
        <v>12</v>
      </c>
      <c r="B114">
        <f t="shared" si="21"/>
        <v>9</v>
      </c>
      <c r="C114">
        <f t="shared" ca="1" si="22"/>
        <v>4.0599999999999996</v>
      </c>
      <c r="D114">
        <f t="shared" ca="1" si="23"/>
        <v>1.3354999999999995</v>
      </c>
    </row>
    <row r="115" spans="1:4" x14ac:dyDescent="0.25">
      <c r="A115" s="3" t="s">
        <v>12</v>
      </c>
      <c r="B115">
        <f t="shared" si="21"/>
        <v>9</v>
      </c>
      <c r="C115">
        <f t="shared" ca="1" si="22"/>
        <v>4.0599999999999996</v>
      </c>
      <c r="D115">
        <f t="shared" ca="1" si="23"/>
        <v>1.4949999999999994</v>
      </c>
    </row>
    <row r="116" spans="1:4" x14ac:dyDescent="0.25">
      <c r="A116" s="3" t="s">
        <v>21</v>
      </c>
      <c r="B116">
        <f t="shared" si="21"/>
        <v>17</v>
      </c>
      <c r="C116">
        <f t="shared" ca="1" si="22"/>
        <v>3.99</v>
      </c>
      <c r="D116">
        <f t="shared" ca="1" si="23"/>
        <v>1.8134999999999999</v>
      </c>
    </row>
    <row r="117" spans="1:4" x14ac:dyDescent="0.25">
      <c r="A117" s="3" t="s">
        <v>16</v>
      </c>
      <c r="B117">
        <f t="shared" ref="B117:B132" si="24">LOOKUP(A117,$F$5:$F$24,$G$5:$G$24)</f>
        <v>2</v>
      </c>
      <c r="C117">
        <f t="shared" ref="C117:C132" ca="1" si="25">OFFSET($G$5,B117,$F$3,1,1)</f>
        <v>-4.92</v>
      </c>
      <c r="D117">
        <f t="shared" ca="1" si="23"/>
        <v>1.8099999999999998</v>
      </c>
    </row>
    <row r="118" spans="1:4" x14ac:dyDescent="0.25">
      <c r="A118" s="3" t="s">
        <v>14</v>
      </c>
      <c r="B118">
        <f t="shared" si="24"/>
        <v>0</v>
      </c>
      <c r="C118">
        <f t="shared" ca="1" si="25"/>
        <v>2.75</v>
      </c>
      <c r="D118">
        <f t="shared" ca="1" si="23"/>
        <v>1.6499999999999997</v>
      </c>
    </row>
    <row r="119" spans="1:4" x14ac:dyDescent="0.25">
      <c r="A119" s="3" t="s">
        <v>16</v>
      </c>
      <c r="B119">
        <f t="shared" si="24"/>
        <v>2</v>
      </c>
      <c r="C119">
        <f t="shared" ca="1" si="25"/>
        <v>-4.92</v>
      </c>
      <c r="D119">
        <f t="shared" ca="1" si="23"/>
        <v>1.5844999999999996</v>
      </c>
    </row>
    <row r="120" spans="1:4" x14ac:dyDescent="0.25">
      <c r="A120" s="3" t="s">
        <v>26</v>
      </c>
      <c r="B120">
        <f t="shared" si="24"/>
        <v>13</v>
      </c>
      <c r="C120">
        <f t="shared" ca="1" si="25"/>
        <v>-2.27</v>
      </c>
      <c r="D120">
        <f t="shared" ca="1" si="23"/>
        <v>1.1354999999999997</v>
      </c>
    </row>
    <row r="121" spans="1:4" x14ac:dyDescent="0.25">
      <c r="A121" s="3" t="s">
        <v>20</v>
      </c>
      <c r="B121">
        <f t="shared" si="24"/>
        <v>5</v>
      </c>
      <c r="C121">
        <f t="shared" ca="1" si="25"/>
        <v>0.86</v>
      </c>
      <c r="D121">
        <f t="shared" ca="1" si="23"/>
        <v>1.4244999999999997</v>
      </c>
    </row>
    <row r="122" spans="1:4" x14ac:dyDescent="0.25">
      <c r="A122" s="3" t="s">
        <v>18</v>
      </c>
      <c r="B122">
        <f t="shared" si="24"/>
        <v>16</v>
      </c>
      <c r="C122">
        <f t="shared" ca="1" si="25"/>
        <v>-0.44</v>
      </c>
      <c r="D122">
        <f t="shared" ca="1" si="23"/>
        <v>1.4264999999999997</v>
      </c>
    </row>
    <row r="123" spans="1:4" x14ac:dyDescent="0.25">
      <c r="A123" s="3" t="s">
        <v>23</v>
      </c>
      <c r="B123">
        <f t="shared" si="24"/>
        <v>7</v>
      </c>
      <c r="C123">
        <f t="shared" ca="1" si="25"/>
        <v>4.0999999999999996</v>
      </c>
      <c r="D123">
        <f t="shared" ca="1" si="23"/>
        <v>1.4284999999999997</v>
      </c>
    </row>
    <row r="124" spans="1:4" x14ac:dyDescent="0.25">
      <c r="A124" s="3" t="s">
        <v>12</v>
      </c>
      <c r="B124">
        <f t="shared" si="24"/>
        <v>9</v>
      </c>
      <c r="C124">
        <f t="shared" ca="1" si="25"/>
        <v>4.0599999999999996</v>
      </c>
      <c r="D124">
        <f t="shared" ca="1" si="23"/>
        <v>1.4304999999999999</v>
      </c>
    </row>
    <row r="125" spans="1:4" x14ac:dyDescent="0.25">
      <c r="A125" s="3" t="s">
        <v>14</v>
      </c>
      <c r="B125">
        <f t="shared" si="24"/>
        <v>0</v>
      </c>
      <c r="C125">
        <f t="shared" ca="1" si="25"/>
        <v>2.75</v>
      </c>
      <c r="D125">
        <f t="shared" ca="1" si="23"/>
        <v>1.2704999999999997</v>
      </c>
    </row>
    <row r="126" spans="1:4" x14ac:dyDescent="0.25">
      <c r="A126" s="3" t="s">
        <v>12</v>
      </c>
      <c r="B126">
        <f t="shared" si="24"/>
        <v>9</v>
      </c>
      <c r="C126">
        <f t="shared" ca="1" si="25"/>
        <v>4.0599999999999996</v>
      </c>
      <c r="D126">
        <f t="shared" ref="D126:D141" ca="1" si="26">AVERAGE(C117:C136)</f>
        <v>1.0489999999999997</v>
      </c>
    </row>
    <row r="127" spans="1:4" x14ac:dyDescent="0.25">
      <c r="A127" s="3" t="s">
        <v>21</v>
      </c>
      <c r="B127">
        <f t="shared" si="24"/>
        <v>17</v>
      </c>
      <c r="C127">
        <f t="shared" ca="1" si="25"/>
        <v>3.99</v>
      </c>
      <c r="D127">
        <f t="shared" ca="1" si="26"/>
        <v>1.3379999999999996</v>
      </c>
    </row>
    <row r="128" spans="1:4" x14ac:dyDescent="0.25">
      <c r="A128" s="3" t="s">
        <v>20</v>
      </c>
      <c r="B128">
        <f t="shared" si="24"/>
        <v>5</v>
      </c>
      <c r="C128">
        <f t="shared" ca="1" si="25"/>
        <v>0.86</v>
      </c>
      <c r="D128">
        <f t="shared" ca="1" si="26"/>
        <v>1.4034999999999997</v>
      </c>
    </row>
    <row r="129" spans="1:4" x14ac:dyDescent="0.25">
      <c r="A129" s="3" t="s">
        <v>14</v>
      </c>
      <c r="B129">
        <f t="shared" si="24"/>
        <v>0</v>
      </c>
      <c r="C129">
        <f t="shared" ca="1" si="25"/>
        <v>2.75</v>
      </c>
      <c r="D129">
        <f t="shared" ca="1" si="26"/>
        <v>1.8489999999999998</v>
      </c>
    </row>
    <row r="130" spans="1:4" x14ac:dyDescent="0.25">
      <c r="A130" s="3" t="s">
        <v>16</v>
      </c>
      <c r="B130">
        <f t="shared" si="24"/>
        <v>2</v>
      </c>
      <c r="C130">
        <f t="shared" ca="1" si="25"/>
        <v>-4.92</v>
      </c>
      <c r="D130">
        <f t="shared" ca="1" si="26"/>
        <v>2.0054999999999996</v>
      </c>
    </row>
    <row r="131" spans="1:4" x14ac:dyDescent="0.25">
      <c r="A131" s="3" t="s">
        <v>20</v>
      </c>
      <c r="B131">
        <f t="shared" si="24"/>
        <v>5</v>
      </c>
      <c r="C131">
        <f t="shared" ca="1" si="25"/>
        <v>0.86</v>
      </c>
      <c r="D131">
        <f t="shared" ca="1" si="26"/>
        <v>2.0999999999999996</v>
      </c>
    </row>
    <row r="132" spans="1:4" x14ac:dyDescent="0.25">
      <c r="A132" s="3" t="s">
        <v>23</v>
      </c>
      <c r="B132">
        <f t="shared" si="24"/>
        <v>7</v>
      </c>
      <c r="C132">
        <f t="shared" ca="1" si="25"/>
        <v>4.0999999999999996</v>
      </c>
      <c r="D132">
        <f t="shared" ca="1" si="26"/>
        <v>2.3250000000000002</v>
      </c>
    </row>
    <row r="133" spans="1:4" x14ac:dyDescent="0.25">
      <c r="A133" s="3" t="s">
        <v>10</v>
      </c>
      <c r="B133">
        <f t="shared" ref="B133:B148" si="27">LOOKUP(A133,$F$5:$F$24,$G$5:$G$24)</f>
        <v>10</v>
      </c>
      <c r="C133">
        <f t="shared" ref="C133:C148" ca="1" si="28">OFFSET($G$5,B133,$F$3,1,1)</f>
        <v>2.79</v>
      </c>
      <c r="D133">
        <f t="shared" ca="1" si="26"/>
        <v>2.0979999999999999</v>
      </c>
    </row>
    <row r="134" spans="1:4" x14ac:dyDescent="0.25">
      <c r="A134" s="3" t="s">
        <v>23</v>
      </c>
      <c r="B134">
        <f t="shared" si="27"/>
        <v>7</v>
      </c>
      <c r="C134">
        <f t="shared" ca="1" si="28"/>
        <v>4.0999999999999996</v>
      </c>
      <c r="D134">
        <f t="shared" ca="1" si="26"/>
        <v>1.7544999999999997</v>
      </c>
    </row>
    <row r="135" spans="1:4" x14ac:dyDescent="0.25">
      <c r="A135" s="3" t="s">
        <v>20</v>
      </c>
      <c r="B135">
        <f t="shared" si="27"/>
        <v>5</v>
      </c>
      <c r="C135">
        <f t="shared" ca="1" si="28"/>
        <v>0.86</v>
      </c>
      <c r="D135">
        <f t="shared" ca="1" si="26"/>
        <v>1.8165</v>
      </c>
    </row>
    <row r="136" spans="1:4" x14ac:dyDescent="0.25">
      <c r="A136" s="3" t="s">
        <v>18</v>
      </c>
      <c r="B136">
        <f t="shared" si="27"/>
        <v>16</v>
      </c>
      <c r="C136">
        <f t="shared" ca="1" si="28"/>
        <v>-0.44</v>
      </c>
      <c r="D136">
        <f t="shared" ca="1" si="26"/>
        <v>1.5744999999999998</v>
      </c>
    </row>
    <row r="137" spans="1:4" x14ac:dyDescent="0.25">
      <c r="A137" s="3" t="s">
        <v>20</v>
      </c>
      <c r="B137">
        <f t="shared" si="27"/>
        <v>5</v>
      </c>
      <c r="C137">
        <f t="shared" ca="1" si="28"/>
        <v>0.86</v>
      </c>
      <c r="D137">
        <f t="shared" ca="1" si="26"/>
        <v>1.3054999999999997</v>
      </c>
    </row>
    <row r="138" spans="1:4" x14ac:dyDescent="0.25">
      <c r="A138" s="3" t="s">
        <v>12</v>
      </c>
      <c r="B138">
        <f t="shared" si="27"/>
        <v>9</v>
      </c>
      <c r="C138">
        <f t="shared" ca="1" si="28"/>
        <v>4.0599999999999996</v>
      </c>
      <c r="D138">
        <f t="shared" ca="1" si="26"/>
        <v>1.2234999999999996</v>
      </c>
    </row>
    <row r="139" spans="1:4" x14ac:dyDescent="0.25">
      <c r="A139" s="3" t="s">
        <v>21</v>
      </c>
      <c r="B139">
        <f t="shared" si="27"/>
        <v>17</v>
      </c>
      <c r="C139">
        <f t="shared" ca="1" si="28"/>
        <v>3.99</v>
      </c>
      <c r="D139">
        <f t="shared" ca="1" si="26"/>
        <v>0.87099999999999955</v>
      </c>
    </row>
    <row r="140" spans="1:4" x14ac:dyDescent="0.25">
      <c r="A140" s="3" t="s">
        <v>20</v>
      </c>
      <c r="B140">
        <f t="shared" si="27"/>
        <v>5</v>
      </c>
      <c r="C140">
        <f t="shared" ca="1" si="28"/>
        <v>0.86</v>
      </c>
      <c r="D140">
        <f t="shared" ca="1" si="26"/>
        <v>1.2639999999999998</v>
      </c>
    </row>
    <row r="141" spans="1:4" x14ac:dyDescent="0.25">
      <c r="A141" s="3" t="s">
        <v>14</v>
      </c>
      <c r="B141">
        <f t="shared" si="27"/>
        <v>0</v>
      </c>
      <c r="C141">
        <f t="shared" ca="1" si="28"/>
        <v>2.75</v>
      </c>
      <c r="D141">
        <f t="shared" ca="1" si="26"/>
        <v>1.4204999999999999</v>
      </c>
    </row>
    <row r="142" spans="1:4" x14ac:dyDescent="0.25">
      <c r="A142" s="3" t="s">
        <v>12</v>
      </c>
      <c r="B142">
        <f t="shared" si="27"/>
        <v>9</v>
      </c>
      <c r="C142">
        <f t="shared" ca="1" si="28"/>
        <v>4.0599999999999996</v>
      </c>
      <c r="D142">
        <f t="shared" ref="D142:D157" ca="1" si="29">AVERAGE(C133:C152)</f>
        <v>1.2459999999999998</v>
      </c>
    </row>
    <row r="143" spans="1:4" x14ac:dyDescent="0.25">
      <c r="A143" s="3" t="s">
        <v>18</v>
      </c>
      <c r="B143">
        <f t="shared" si="27"/>
        <v>16</v>
      </c>
      <c r="C143">
        <f t="shared" ca="1" si="28"/>
        <v>-0.44</v>
      </c>
      <c r="D143">
        <f t="shared" ca="1" si="29"/>
        <v>1.1369999999999998</v>
      </c>
    </row>
    <row r="144" spans="1:4" x14ac:dyDescent="0.25">
      <c r="A144" s="3" t="s">
        <v>24</v>
      </c>
      <c r="B144">
        <f t="shared" si="27"/>
        <v>8</v>
      </c>
      <c r="C144">
        <f t="shared" ca="1" si="28"/>
        <v>-2.81</v>
      </c>
      <c r="D144">
        <f t="shared" ca="1" si="29"/>
        <v>1.0694999999999999</v>
      </c>
    </row>
    <row r="145" spans="1:4" x14ac:dyDescent="0.25">
      <c r="A145" s="3" t="s">
        <v>21</v>
      </c>
      <c r="B145">
        <f t="shared" si="27"/>
        <v>17</v>
      </c>
      <c r="C145">
        <f t="shared" ca="1" si="28"/>
        <v>3.99</v>
      </c>
      <c r="D145">
        <f t="shared" ca="1" si="29"/>
        <v>1.2314999999999998</v>
      </c>
    </row>
    <row r="146" spans="1:4" x14ac:dyDescent="0.25">
      <c r="A146" s="3" t="s">
        <v>30</v>
      </c>
      <c r="B146">
        <f t="shared" si="27"/>
        <v>19</v>
      </c>
      <c r="C146">
        <f t="shared" ca="1" si="28"/>
        <v>-0.78</v>
      </c>
      <c r="D146">
        <f t="shared" ca="1" si="29"/>
        <v>1.1839999999999997</v>
      </c>
    </row>
    <row r="147" spans="1:4" x14ac:dyDescent="0.25">
      <c r="A147" s="3" t="s">
        <v>25</v>
      </c>
      <c r="B147">
        <f t="shared" si="27"/>
        <v>15</v>
      </c>
      <c r="C147">
        <f t="shared" ca="1" si="28"/>
        <v>-1.39</v>
      </c>
      <c r="D147">
        <f t="shared" ca="1" si="29"/>
        <v>1.119</v>
      </c>
    </row>
    <row r="148" spans="1:4" x14ac:dyDescent="0.25">
      <c r="A148" s="3" t="s">
        <v>30</v>
      </c>
      <c r="B148">
        <f t="shared" si="27"/>
        <v>19</v>
      </c>
      <c r="C148">
        <f t="shared" ca="1" si="28"/>
        <v>-0.78</v>
      </c>
      <c r="D148">
        <f t="shared" ca="1" si="29"/>
        <v>1.0534999999999999</v>
      </c>
    </row>
    <row r="149" spans="1:4" x14ac:dyDescent="0.25">
      <c r="A149" s="3" t="s">
        <v>28</v>
      </c>
      <c r="B149">
        <f t="shared" ref="B149:B164" si="30">LOOKUP(A149,$F$5:$F$24,$G$5:$G$24)</f>
        <v>14</v>
      </c>
      <c r="C149">
        <f t="shared" ref="C149:C164" ca="1" si="31">OFFSET($G$5,B149,$F$3,1,1)</f>
        <v>-4.3</v>
      </c>
      <c r="D149">
        <f t="shared" ca="1" si="29"/>
        <v>0.99149999999999994</v>
      </c>
    </row>
    <row r="150" spans="1:4" x14ac:dyDescent="0.25">
      <c r="A150" s="3" t="s">
        <v>19</v>
      </c>
      <c r="B150">
        <f t="shared" si="30"/>
        <v>4</v>
      </c>
      <c r="C150">
        <f t="shared" ca="1" si="31"/>
        <v>2.94</v>
      </c>
      <c r="D150">
        <f t="shared" ca="1" si="29"/>
        <v>1.0879999999999999</v>
      </c>
    </row>
    <row r="151" spans="1:4" x14ac:dyDescent="0.25">
      <c r="A151" s="3" t="s">
        <v>21</v>
      </c>
      <c r="B151">
        <f t="shared" si="30"/>
        <v>17</v>
      </c>
      <c r="C151">
        <f t="shared" ca="1" si="31"/>
        <v>3.99</v>
      </c>
      <c r="D151">
        <f t="shared" ca="1" si="29"/>
        <v>1.1534999999999997</v>
      </c>
    </row>
    <row r="152" spans="1:4" x14ac:dyDescent="0.25">
      <c r="A152" s="3" t="s">
        <v>29</v>
      </c>
      <c r="B152">
        <f t="shared" si="30"/>
        <v>18</v>
      </c>
      <c r="C152">
        <f t="shared" ca="1" si="31"/>
        <v>0.61</v>
      </c>
      <c r="D152">
        <f t="shared" ca="1" si="29"/>
        <v>0.91149999999999987</v>
      </c>
    </row>
    <row r="153" spans="1:4" x14ac:dyDescent="0.25">
      <c r="A153" s="3" t="s">
        <v>29</v>
      </c>
      <c r="B153">
        <f t="shared" si="30"/>
        <v>18</v>
      </c>
      <c r="C153">
        <f t="shared" ca="1" si="31"/>
        <v>0.61</v>
      </c>
      <c r="D153">
        <f t="shared" ca="1" si="29"/>
        <v>1.1384999999999998</v>
      </c>
    </row>
    <row r="154" spans="1:4" x14ac:dyDescent="0.25">
      <c r="A154" s="3" t="s">
        <v>14</v>
      </c>
      <c r="B154">
        <f t="shared" si="30"/>
        <v>0</v>
      </c>
      <c r="C154">
        <f t="shared" ca="1" si="31"/>
        <v>2.75</v>
      </c>
      <c r="D154">
        <f t="shared" ca="1" si="29"/>
        <v>1.4819999999999998</v>
      </c>
    </row>
    <row r="155" spans="1:4" x14ac:dyDescent="0.25">
      <c r="A155" s="3" t="s">
        <v>23</v>
      </c>
      <c r="B155">
        <f t="shared" si="30"/>
        <v>7</v>
      </c>
      <c r="C155">
        <f t="shared" ca="1" si="31"/>
        <v>4.0999999999999996</v>
      </c>
      <c r="D155">
        <f t="shared" ca="1" si="29"/>
        <v>1.2434999999999996</v>
      </c>
    </row>
    <row r="156" spans="1:4" x14ac:dyDescent="0.25">
      <c r="A156" s="3" t="s">
        <v>25</v>
      </c>
      <c r="B156">
        <f t="shared" si="30"/>
        <v>15</v>
      </c>
      <c r="C156">
        <f t="shared" ca="1" si="31"/>
        <v>-1.39</v>
      </c>
      <c r="D156">
        <f t="shared" ca="1" si="29"/>
        <v>1.4819999999999998</v>
      </c>
    </row>
    <row r="157" spans="1:4" x14ac:dyDescent="0.25">
      <c r="A157" s="3" t="s">
        <v>18</v>
      </c>
      <c r="B157">
        <f t="shared" si="30"/>
        <v>16</v>
      </c>
      <c r="C157">
        <f t="shared" ca="1" si="31"/>
        <v>-0.44</v>
      </c>
      <c r="D157">
        <f t="shared" ca="1" si="29"/>
        <v>1.7544999999999997</v>
      </c>
    </row>
    <row r="158" spans="1:4" x14ac:dyDescent="0.25">
      <c r="A158" s="3" t="s">
        <v>14</v>
      </c>
      <c r="B158">
        <f t="shared" si="30"/>
        <v>0</v>
      </c>
      <c r="C158">
        <f t="shared" ca="1" si="31"/>
        <v>2.75</v>
      </c>
      <c r="D158">
        <f t="shared" ref="D158:D173" ca="1" si="32">AVERAGE(C149:C168)</f>
        <v>1.9404999999999997</v>
      </c>
    </row>
    <row r="159" spans="1:4" x14ac:dyDescent="0.25">
      <c r="A159" s="3" t="s">
        <v>14</v>
      </c>
      <c r="B159">
        <f t="shared" si="30"/>
        <v>0</v>
      </c>
      <c r="C159">
        <f t="shared" ca="1" si="31"/>
        <v>2.75</v>
      </c>
      <c r="D159">
        <f t="shared" ca="1" si="32"/>
        <v>2.3024999999999998</v>
      </c>
    </row>
    <row r="160" spans="1:4" x14ac:dyDescent="0.25">
      <c r="A160" s="3" t="s">
        <v>10</v>
      </c>
      <c r="B160">
        <f t="shared" si="30"/>
        <v>10</v>
      </c>
      <c r="C160">
        <f t="shared" ca="1" si="31"/>
        <v>2.79</v>
      </c>
      <c r="D160">
        <f t="shared" ca="1" si="32"/>
        <v>2.1984999999999997</v>
      </c>
    </row>
    <row r="161" spans="1:4" x14ac:dyDescent="0.25">
      <c r="A161" s="3" t="s">
        <v>12</v>
      </c>
      <c r="B161">
        <f t="shared" si="30"/>
        <v>9</v>
      </c>
      <c r="C161">
        <f t="shared" ca="1" si="31"/>
        <v>4.0599999999999996</v>
      </c>
      <c r="D161">
        <f t="shared" ca="1" si="32"/>
        <v>2.1459999999999995</v>
      </c>
    </row>
    <row r="162" spans="1:4" x14ac:dyDescent="0.25">
      <c r="A162" s="3" t="s">
        <v>30</v>
      </c>
      <c r="B162">
        <f t="shared" si="30"/>
        <v>19</v>
      </c>
      <c r="C162">
        <f t="shared" ca="1" si="31"/>
        <v>-0.78</v>
      </c>
      <c r="D162">
        <f t="shared" ca="1" si="32"/>
        <v>2.0934999999999997</v>
      </c>
    </row>
    <row r="163" spans="1:4" x14ac:dyDescent="0.25">
      <c r="A163" s="3" t="s">
        <v>23</v>
      </c>
      <c r="B163">
        <f t="shared" si="30"/>
        <v>7</v>
      </c>
      <c r="C163">
        <f t="shared" ca="1" si="31"/>
        <v>4.0999999999999996</v>
      </c>
      <c r="D163">
        <f t="shared" ca="1" si="32"/>
        <v>1.9934999999999996</v>
      </c>
    </row>
    <row r="164" spans="1:4" x14ac:dyDescent="0.25">
      <c r="A164" s="3" t="s">
        <v>12</v>
      </c>
      <c r="B164">
        <f t="shared" si="30"/>
        <v>9</v>
      </c>
      <c r="C164">
        <f t="shared" ca="1" si="31"/>
        <v>4.0599999999999996</v>
      </c>
      <c r="D164">
        <f t="shared" ca="1" si="32"/>
        <v>1.7154999999999994</v>
      </c>
    </row>
    <row r="165" spans="1:4" x14ac:dyDescent="0.25">
      <c r="A165" s="3" t="s">
        <v>30</v>
      </c>
      <c r="B165">
        <f t="shared" ref="B165:B180" si="33">LOOKUP(A165,$F$5:$F$24,$G$5:$G$24)</f>
        <v>19</v>
      </c>
      <c r="C165">
        <f t="shared" ref="C165:C180" ca="1" si="34">OFFSET($G$5,B165,$F$3,1,1)</f>
        <v>-0.78</v>
      </c>
      <c r="D165">
        <f t="shared" ca="1" si="32"/>
        <v>1.6480000000000004</v>
      </c>
    </row>
    <row r="166" spans="1:4" x14ac:dyDescent="0.25">
      <c r="A166" s="3" t="s">
        <v>21</v>
      </c>
      <c r="B166">
        <f t="shared" si="33"/>
        <v>17</v>
      </c>
      <c r="C166">
        <f t="shared" ca="1" si="34"/>
        <v>3.99</v>
      </c>
      <c r="D166">
        <f t="shared" ca="1" si="32"/>
        <v>1.5404999999999998</v>
      </c>
    </row>
    <row r="167" spans="1:4" x14ac:dyDescent="0.25">
      <c r="A167" s="3" t="s">
        <v>12</v>
      </c>
      <c r="B167">
        <f t="shared" si="33"/>
        <v>9</v>
      </c>
      <c r="C167">
        <f t="shared" ca="1" si="34"/>
        <v>4.0599999999999996</v>
      </c>
      <c r="D167">
        <f t="shared" ca="1" si="32"/>
        <v>1.4929999999999997</v>
      </c>
    </row>
    <row r="168" spans="1:4" x14ac:dyDescent="0.25">
      <c r="A168" s="3" t="s">
        <v>19</v>
      </c>
      <c r="B168">
        <f t="shared" si="33"/>
        <v>4</v>
      </c>
      <c r="C168">
        <f t="shared" ca="1" si="34"/>
        <v>2.94</v>
      </c>
      <c r="D168">
        <f t="shared" ca="1" si="32"/>
        <v>1.4950000000000003</v>
      </c>
    </row>
    <row r="169" spans="1:4" x14ac:dyDescent="0.25">
      <c r="A169" s="3" t="s">
        <v>19</v>
      </c>
      <c r="B169">
        <f t="shared" si="33"/>
        <v>4</v>
      </c>
      <c r="C169">
        <f t="shared" ca="1" si="34"/>
        <v>2.94</v>
      </c>
      <c r="D169">
        <f t="shared" ca="1" si="32"/>
        <v>1.1424999999999998</v>
      </c>
    </row>
    <row r="170" spans="1:4" x14ac:dyDescent="0.25">
      <c r="A170" s="3" t="s">
        <v>20</v>
      </c>
      <c r="B170">
        <f t="shared" si="33"/>
        <v>5</v>
      </c>
      <c r="C170">
        <f t="shared" ca="1" si="34"/>
        <v>0.86</v>
      </c>
      <c r="D170">
        <f t="shared" ca="1" si="32"/>
        <v>0.88749999999999996</v>
      </c>
    </row>
    <row r="171" spans="1:4" x14ac:dyDescent="0.25">
      <c r="A171" s="3" t="s">
        <v>19</v>
      </c>
      <c r="B171">
        <f t="shared" si="33"/>
        <v>4</v>
      </c>
      <c r="C171">
        <f t="shared" ca="1" si="34"/>
        <v>2.94</v>
      </c>
      <c r="D171">
        <f t="shared" ca="1" si="32"/>
        <v>0.50749999999999995</v>
      </c>
    </row>
    <row r="172" spans="1:4" x14ac:dyDescent="0.25">
      <c r="A172" s="3" t="s">
        <v>18</v>
      </c>
      <c r="B172">
        <f t="shared" si="33"/>
        <v>16</v>
      </c>
      <c r="C172">
        <f t="shared" ca="1" si="34"/>
        <v>-0.44</v>
      </c>
      <c r="D172">
        <f t="shared" ca="1" si="32"/>
        <v>0.746</v>
      </c>
    </row>
    <row r="173" spans="1:4" x14ac:dyDescent="0.25">
      <c r="A173" s="3" t="s">
        <v>25</v>
      </c>
      <c r="B173">
        <f t="shared" si="33"/>
        <v>15</v>
      </c>
      <c r="C173">
        <f t="shared" ca="1" si="34"/>
        <v>-1.39</v>
      </c>
      <c r="D173">
        <f t="shared" ca="1" si="32"/>
        <v>0.67849999999999988</v>
      </c>
    </row>
    <row r="174" spans="1:4" x14ac:dyDescent="0.25">
      <c r="A174" s="3" t="s">
        <v>24</v>
      </c>
      <c r="B174">
        <f t="shared" si="33"/>
        <v>8</v>
      </c>
      <c r="C174">
        <f t="shared" ca="1" si="34"/>
        <v>-2.81</v>
      </c>
      <c r="D174">
        <f t="shared" ref="D174:D189" ca="1" si="35">AVERAGE(C165:C184)</f>
        <v>0.40599999999999969</v>
      </c>
    </row>
    <row r="175" spans="1:4" x14ac:dyDescent="0.25">
      <c r="A175" s="3" t="s">
        <v>14</v>
      </c>
      <c r="B175">
        <f t="shared" si="33"/>
        <v>0</v>
      </c>
      <c r="C175">
        <f t="shared" ca="1" si="34"/>
        <v>2.75</v>
      </c>
      <c r="D175">
        <f t="shared" ca="1" si="35"/>
        <v>0.42299999999999977</v>
      </c>
    </row>
    <row r="176" spans="1:4" x14ac:dyDescent="0.25">
      <c r="A176" s="3" t="s">
        <v>13</v>
      </c>
      <c r="B176">
        <f t="shared" si="33"/>
        <v>3</v>
      </c>
      <c r="C176">
        <f t="shared" ca="1" si="34"/>
        <v>-3.54</v>
      </c>
      <c r="D176">
        <f t="shared" ca="1" si="35"/>
        <v>0.37049999999999994</v>
      </c>
    </row>
    <row r="177" spans="1:4" x14ac:dyDescent="0.25">
      <c r="A177" s="3" t="s">
        <v>25</v>
      </c>
      <c r="B177">
        <f t="shared" si="33"/>
        <v>15</v>
      </c>
      <c r="C177">
        <f t="shared" ca="1" si="34"/>
        <v>-1.39</v>
      </c>
      <c r="D177">
        <f t="shared" ca="1" si="35"/>
        <v>2.700000000000009E-2</v>
      </c>
    </row>
    <row r="178" spans="1:4" x14ac:dyDescent="0.25">
      <c r="A178" s="3" t="s">
        <v>10</v>
      </c>
      <c r="B178">
        <f t="shared" si="33"/>
        <v>10</v>
      </c>
      <c r="C178">
        <f t="shared" ca="1" si="34"/>
        <v>2.79</v>
      </c>
      <c r="D178">
        <f t="shared" ca="1" si="35"/>
        <v>7.9500000000000057E-2</v>
      </c>
    </row>
    <row r="179" spans="1:4" x14ac:dyDescent="0.25">
      <c r="A179" s="3" t="s">
        <v>28</v>
      </c>
      <c r="B179">
        <f t="shared" si="33"/>
        <v>14</v>
      </c>
      <c r="C179">
        <f t="shared" ca="1" si="34"/>
        <v>-4.3</v>
      </c>
      <c r="D179">
        <f t="shared" ca="1" si="35"/>
        <v>0.13550000000000004</v>
      </c>
    </row>
    <row r="180" spans="1:4" x14ac:dyDescent="0.25">
      <c r="A180" s="3" t="s">
        <v>17</v>
      </c>
      <c r="B180">
        <f t="shared" si="33"/>
        <v>12</v>
      </c>
      <c r="C180">
        <f t="shared" ca="1" si="34"/>
        <v>-2.31</v>
      </c>
      <c r="D180">
        <f t="shared" ca="1" si="35"/>
        <v>-0.12249999999999991</v>
      </c>
    </row>
    <row r="181" spans="1:4" x14ac:dyDescent="0.25">
      <c r="A181" s="3" t="s">
        <v>13</v>
      </c>
      <c r="B181">
        <f t="shared" ref="B181:B196" si="36">LOOKUP(A181,$F$5:$F$24,$G$5:$G$24)</f>
        <v>3</v>
      </c>
      <c r="C181">
        <f t="shared" ref="C181:C196" ca="1" si="37">OFFSET($G$5,B181,$F$3,1,1)</f>
        <v>-3.54</v>
      </c>
      <c r="D181">
        <f t="shared" ca="1" si="35"/>
        <v>-0.43900000000000006</v>
      </c>
    </row>
    <row r="182" spans="1:4" x14ac:dyDescent="0.25">
      <c r="A182" s="3" t="s">
        <v>21</v>
      </c>
      <c r="B182">
        <f t="shared" si="36"/>
        <v>17</v>
      </c>
      <c r="C182">
        <f t="shared" ca="1" si="37"/>
        <v>3.99</v>
      </c>
      <c r="D182">
        <f t="shared" ca="1" si="35"/>
        <v>-0.21749999999999997</v>
      </c>
    </row>
    <row r="183" spans="1:4" x14ac:dyDescent="0.25">
      <c r="A183" s="3" t="s">
        <v>14</v>
      </c>
      <c r="B183">
        <f t="shared" si="36"/>
        <v>0</v>
      </c>
      <c r="C183">
        <f t="shared" ca="1" si="37"/>
        <v>2.75</v>
      </c>
      <c r="D183">
        <f t="shared" ca="1" si="35"/>
        <v>-0.17000000000000012</v>
      </c>
    </row>
    <row r="184" spans="1:4" x14ac:dyDescent="0.25">
      <c r="A184" s="3" t="s">
        <v>25</v>
      </c>
      <c r="B184">
        <f t="shared" si="36"/>
        <v>15</v>
      </c>
      <c r="C184">
        <f t="shared" ca="1" si="37"/>
        <v>-1.39</v>
      </c>
      <c r="D184">
        <f t="shared" ca="1" si="35"/>
        <v>0.1700000000000001</v>
      </c>
    </row>
    <row r="185" spans="1:4" x14ac:dyDescent="0.25">
      <c r="A185" s="3" t="s">
        <v>18</v>
      </c>
      <c r="B185">
        <f t="shared" si="36"/>
        <v>16</v>
      </c>
      <c r="C185">
        <f t="shared" ca="1" si="37"/>
        <v>-0.44</v>
      </c>
      <c r="D185">
        <f t="shared" ca="1" si="35"/>
        <v>0.23200000000000004</v>
      </c>
    </row>
    <row r="186" spans="1:4" x14ac:dyDescent="0.25">
      <c r="A186" s="3" t="s">
        <v>19</v>
      </c>
      <c r="B186">
        <f t="shared" si="36"/>
        <v>4</v>
      </c>
      <c r="C186">
        <f t="shared" ca="1" si="37"/>
        <v>2.94</v>
      </c>
      <c r="D186">
        <f t="shared" ca="1" si="35"/>
        <v>0.61199999999999988</v>
      </c>
    </row>
    <row r="187" spans="1:4" x14ac:dyDescent="0.25">
      <c r="A187" s="3" t="s">
        <v>24</v>
      </c>
      <c r="B187">
        <f t="shared" si="36"/>
        <v>8</v>
      </c>
      <c r="C187">
        <f t="shared" ca="1" si="37"/>
        <v>-2.81</v>
      </c>
      <c r="D187">
        <f t="shared" ca="1" si="35"/>
        <v>0.71199999999999997</v>
      </c>
    </row>
    <row r="188" spans="1:4" x14ac:dyDescent="0.25">
      <c r="A188" s="3" t="s">
        <v>21</v>
      </c>
      <c r="B188">
        <f t="shared" si="36"/>
        <v>17</v>
      </c>
      <c r="C188">
        <f t="shared" ca="1" si="37"/>
        <v>3.99</v>
      </c>
      <c r="D188">
        <f t="shared" ca="1" si="35"/>
        <v>0.50300000000000011</v>
      </c>
    </row>
    <row r="189" spans="1:4" x14ac:dyDescent="0.25">
      <c r="A189" s="3" t="s">
        <v>12</v>
      </c>
      <c r="B189">
        <f t="shared" si="36"/>
        <v>9</v>
      </c>
      <c r="C189">
        <f t="shared" ca="1" si="37"/>
        <v>4.0599999999999996</v>
      </c>
      <c r="D189">
        <f t="shared" ca="1" si="35"/>
        <v>0.85549999999999993</v>
      </c>
    </row>
    <row r="190" spans="1:4" x14ac:dyDescent="0.25">
      <c r="A190" s="3" t="s">
        <v>28</v>
      </c>
      <c r="B190">
        <f t="shared" si="36"/>
        <v>14</v>
      </c>
      <c r="C190">
        <f t="shared" ca="1" si="37"/>
        <v>-4.3</v>
      </c>
      <c r="D190">
        <f t="shared" ref="D190:D205" ca="1" si="38">AVERAGE(C181:C200)</f>
        <v>0.93200000000000005</v>
      </c>
    </row>
    <row r="191" spans="1:4" x14ac:dyDescent="0.25">
      <c r="A191" s="3" t="s">
        <v>27</v>
      </c>
      <c r="B191">
        <f t="shared" si="36"/>
        <v>11</v>
      </c>
      <c r="C191">
        <f t="shared" ca="1" si="37"/>
        <v>-3.39</v>
      </c>
      <c r="D191">
        <f t="shared" ca="1" si="38"/>
        <v>0.99349999999999983</v>
      </c>
    </row>
    <row r="192" spans="1:4" x14ac:dyDescent="0.25">
      <c r="A192" s="3" t="s">
        <v>21</v>
      </c>
      <c r="B192">
        <f t="shared" si="36"/>
        <v>17</v>
      </c>
      <c r="C192">
        <f t="shared" ca="1" si="37"/>
        <v>3.99</v>
      </c>
      <c r="D192">
        <f t="shared" ca="1" si="38"/>
        <v>0.99350000000000005</v>
      </c>
    </row>
    <row r="193" spans="1:4" x14ac:dyDescent="0.25">
      <c r="A193" s="3" t="s">
        <v>18</v>
      </c>
      <c r="B193">
        <f t="shared" si="36"/>
        <v>16</v>
      </c>
      <c r="C193">
        <f t="shared" ca="1" si="37"/>
        <v>-0.44</v>
      </c>
      <c r="D193">
        <f t="shared" ca="1" si="38"/>
        <v>1.0554999999999999</v>
      </c>
    </row>
    <row r="194" spans="1:4" x14ac:dyDescent="0.25">
      <c r="A194" s="3" t="s">
        <v>21</v>
      </c>
      <c r="B194">
        <f t="shared" si="36"/>
        <v>17</v>
      </c>
      <c r="C194">
        <f t="shared" ca="1" si="37"/>
        <v>3.99</v>
      </c>
      <c r="D194">
        <f t="shared" ca="1" si="38"/>
        <v>1.1555</v>
      </c>
    </row>
    <row r="195" spans="1:4" x14ac:dyDescent="0.25">
      <c r="A195" s="3" t="s">
        <v>21</v>
      </c>
      <c r="B195">
        <f t="shared" si="36"/>
        <v>17</v>
      </c>
      <c r="C195">
        <f t="shared" ca="1" si="37"/>
        <v>3.99</v>
      </c>
      <c r="D195">
        <f t="shared" ca="1" si="38"/>
        <v>1.3804999999999998</v>
      </c>
    </row>
    <row r="196" spans="1:4" x14ac:dyDescent="0.25">
      <c r="A196" s="3" t="s">
        <v>12</v>
      </c>
      <c r="B196">
        <f t="shared" si="36"/>
        <v>9</v>
      </c>
      <c r="C196">
        <f t="shared" ca="1" si="37"/>
        <v>4.0599999999999996</v>
      </c>
      <c r="D196">
        <f t="shared" ca="1" si="38"/>
        <v>1.4384999999999999</v>
      </c>
    </row>
    <row r="197" spans="1:4" x14ac:dyDescent="0.25">
      <c r="A197" s="3" t="s">
        <v>29</v>
      </c>
      <c r="B197">
        <f t="shared" ref="B197:B212" si="39">LOOKUP(A197,$F$5:$F$24,$G$5:$G$24)</f>
        <v>18</v>
      </c>
      <c r="C197">
        <f t="shared" ref="C197:C212" ca="1" si="40">OFFSET($G$5,B197,$F$3,1,1)</f>
        <v>0.61</v>
      </c>
      <c r="D197">
        <f t="shared" ca="1" si="38"/>
        <v>1.6219999999999999</v>
      </c>
    </row>
    <row r="198" spans="1:4" x14ac:dyDescent="0.25">
      <c r="A198" s="3" t="s">
        <v>25</v>
      </c>
      <c r="B198">
        <f t="shared" si="39"/>
        <v>15</v>
      </c>
      <c r="C198">
        <f t="shared" ca="1" si="40"/>
        <v>-1.39</v>
      </c>
      <c r="D198">
        <f t="shared" ca="1" si="38"/>
        <v>1.3529999999999998</v>
      </c>
    </row>
    <row r="199" spans="1:4" x14ac:dyDescent="0.25">
      <c r="A199" s="3" t="s">
        <v>14</v>
      </c>
      <c r="B199">
        <f t="shared" si="39"/>
        <v>0</v>
      </c>
      <c r="C199">
        <f t="shared" ca="1" si="40"/>
        <v>2.75</v>
      </c>
      <c r="D199">
        <f t="shared" ca="1" si="38"/>
        <v>0.97300000000000009</v>
      </c>
    </row>
    <row r="200" spans="1:4" x14ac:dyDescent="0.25">
      <c r="A200" s="3" t="s">
        <v>30</v>
      </c>
      <c r="B200">
        <f t="shared" si="39"/>
        <v>19</v>
      </c>
      <c r="C200">
        <f t="shared" ca="1" si="40"/>
        <v>-0.78</v>
      </c>
      <c r="D200">
        <f t="shared" ca="1" si="38"/>
        <v>1.2309999999999999</v>
      </c>
    </row>
    <row r="201" spans="1:4" x14ac:dyDescent="0.25">
      <c r="A201" s="3" t="s">
        <v>17</v>
      </c>
      <c r="B201">
        <f t="shared" si="39"/>
        <v>12</v>
      </c>
      <c r="C201">
        <f t="shared" ca="1" si="40"/>
        <v>-2.31</v>
      </c>
      <c r="D201">
        <f t="shared" ca="1" si="38"/>
        <v>1.5379999999999996</v>
      </c>
    </row>
    <row r="202" spans="1:4" x14ac:dyDescent="0.25">
      <c r="A202" s="3" t="s">
        <v>21</v>
      </c>
      <c r="B202">
        <f t="shared" si="39"/>
        <v>17</v>
      </c>
      <c r="C202">
        <f t="shared" ca="1" si="40"/>
        <v>3.99</v>
      </c>
      <c r="D202">
        <f t="shared" ca="1" si="38"/>
        <v>1.3814999999999997</v>
      </c>
    </row>
    <row r="203" spans="1:4" x14ac:dyDescent="0.25">
      <c r="A203" s="3" t="s">
        <v>21</v>
      </c>
      <c r="B203">
        <f t="shared" si="39"/>
        <v>17</v>
      </c>
      <c r="C203">
        <f t="shared" ca="1" si="40"/>
        <v>3.99</v>
      </c>
      <c r="D203">
        <f t="shared" ca="1" si="38"/>
        <v>1.6084999999999998</v>
      </c>
    </row>
    <row r="204" spans="1:4" x14ac:dyDescent="0.25">
      <c r="A204" s="3" t="s">
        <v>29</v>
      </c>
      <c r="B204">
        <f t="shared" si="39"/>
        <v>18</v>
      </c>
      <c r="C204">
        <f t="shared" ca="1" si="40"/>
        <v>0.61</v>
      </c>
      <c r="D204">
        <f t="shared" ca="1" si="38"/>
        <v>1.6085</v>
      </c>
    </row>
    <row r="205" spans="1:4" x14ac:dyDescent="0.25">
      <c r="A205" s="3" t="s">
        <v>12</v>
      </c>
      <c r="B205">
        <f t="shared" si="39"/>
        <v>9</v>
      </c>
      <c r="C205">
        <f t="shared" ca="1" si="40"/>
        <v>4.0599999999999996</v>
      </c>
      <c r="D205">
        <f t="shared" ca="1" si="38"/>
        <v>1.2935000000000001</v>
      </c>
    </row>
    <row r="206" spans="1:4" x14ac:dyDescent="0.25">
      <c r="A206" s="3" t="s">
        <v>23</v>
      </c>
      <c r="B206">
        <f t="shared" si="39"/>
        <v>7</v>
      </c>
      <c r="C206">
        <f t="shared" ca="1" si="40"/>
        <v>4.0999999999999996</v>
      </c>
      <c r="D206">
        <f t="shared" ref="D206:D221" ca="1" si="41">AVERAGE(C197:C216)</f>
        <v>1.2935000000000003</v>
      </c>
    </row>
    <row r="207" spans="1:4" x14ac:dyDescent="0.25">
      <c r="A207" s="3" t="s">
        <v>20</v>
      </c>
      <c r="B207">
        <f t="shared" si="39"/>
        <v>5</v>
      </c>
      <c r="C207">
        <f t="shared" ca="1" si="40"/>
        <v>0.86</v>
      </c>
      <c r="D207">
        <f t="shared" ca="1" si="41"/>
        <v>1.0934999999999999</v>
      </c>
    </row>
    <row r="208" spans="1:4" x14ac:dyDescent="0.25">
      <c r="A208" s="3" t="s">
        <v>25</v>
      </c>
      <c r="B208">
        <f t="shared" si="39"/>
        <v>15</v>
      </c>
      <c r="C208">
        <f t="shared" ca="1" si="40"/>
        <v>-1.39</v>
      </c>
      <c r="D208">
        <f t="shared" ca="1" si="41"/>
        <v>1.3679999999999999</v>
      </c>
    </row>
    <row r="209" spans="1:4" x14ac:dyDescent="0.25">
      <c r="A209" s="3" t="s">
        <v>13</v>
      </c>
      <c r="B209">
        <f t="shared" si="39"/>
        <v>3</v>
      </c>
      <c r="C209">
        <f t="shared" ca="1" si="40"/>
        <v>-3.54</v>
      </c>
      <c r="D209">
        <f t="shared" ca="1" si="41"/>
        <v>1.0535000000000001</v>
      </c>
    </row>
    <row r="210" spans="1:4" x14ac:dyDescent="0.25">
      <c r="A210" s="3" t="s">
        <v>20</v>
      </c>
      <c r="B210">
        <f t="shared" si="39"/>
        <v>5</v>
      </c>
      <c r="C210">
        <f t="shared" ca="1" si="40"/>
        <v>0.86</v>
      </c>
      <c r="D210">
        <f t="shared" ca="1" si="41"/>
        <v>1.0705</v>
      </c>
    </row>
    <row r="211" spans="1:4" x14ac:dyDescent="0.25">
      <c r="A211" s="3" t="s">
        <v>14</v>
      </c>
      <c r="B211">
        <f t="shared" si="39"/>
        <v>0</v>
      </c>
      <c r="C211">
        <f t="shared" ca="1" si="40"/>
        <v>2.75</v>
      </c>
      <c r="D211">
        <f t="shared" ca="1" si="41"/>
        <v>1.389</v>
      </c>
    </row>
    <row r="212" spans="1:4" x14ac:dyDescent="0.25">
      <c r="A212" s="3" t="s">
        <v>20</v>
      </c>
      <c r="B212">
        <f t="shared" si="39"/>
        <v>5</v>
      </c>
      <c r="C212">
        <f t="shared" ca="1" si="40"/>
        <v>0.86</v>
      </c>
      <c r="D212">
        <f t="shared" ca="1" si="41"/>
        <v>1.3924999999999998</v>
      </c>
    </row>
    <row r="213" spans="1:4" x14ac:dyDescent="0.25">
      <c r="A213" s="3" t="s">
        <v>23</v>
      </c>
      <c r="B213">
        <f t="shared" ref="B213:B228" si="42">LOOKUP(A213,$F$5:$F$24,$G$5:$G$24)</f>
        <v>7</v>
      </c>
      <c r="C213">
        <f t="shared" ref="C213:C228" ca="1" si="43">OFFSET($G$5,B213,$F$3,1,1)</f>
        <v>4.0999999999999996</v>
      </c>
      <c r="D213">
        <f t="shared" ca="1" si="41"/>
        <v>1.34</v>
      </c>
    </row>
    <row r="214" spans="1:4" x14ac:dyDescent="0.25">
      <c r="A214" s="3" t="s">
        <v>21</v>
      </c>
      <c r="B214">
        <f t="shared" si="42"/>
        <v>17</v>
      </c>
      <c r="C214">
        <f t="shared" ca="1" si="43"/>
        <v>3.99</v>
      </c>
      <c r="D214">
        <f t="shared" ca="1" si="41"/>
        <v>1.4490000000000001</v>
      </c>
    </row>
    <row r="215" spans="1:4" x14ac:dyDescent="0.25">
      <c r="A215" s="3" t="s">
        <v>17</v>
      </c>
      <c r="B215">
        <f t="shared" si="42"/>
        <v>12</v>
      </c>
      <c r="C215">
        <f t="shared" ca="1" si="43"/>
        <v>-2.31</v>
      </c>
      <c r="D215">
        <f t="shared" ca="1" si="41"/>
        <v>1.4454999999999998</v>
      </c>
    </row>
    <row r="216" spans="1:4" x14ac:dyDescent="0.25">
      <c r="A216" s="3" t="s">
        <v>12</v>
      </c>
      <c r="B216">
        <f t="shared" si="42"/>
        <v>9</v>
      </c>
      <c r="C216">
        <f t="shared" ca="1" si="43"/>
        <v>4.0599999999999996</v>
      </c>
      <c r="D216">
        <f t="shared" ca="1" si="41"/>
        <v>1.4434999999999998</v>
      </c>
    </row>
    <row r="217" spans="1:4" x14ac:dyDescent="0.25">
      <c r="A217" s="3" t="s">
        <v>27</v>
      </c>
      <c r="B217">
        <f t="shared" si="42"/>
        <v>11</v>
      </c>
      <c r="C217">
        <f t="shared" ca="1" si="43"/>
        <v>-3.39</v>
      </c>
      <c r="D217">
        <f t="shared" ca="1" si="41"/>
        <v>1.1544999999999999</v>
      </c>
    </row>
    <row r="218" spans="1:4" x14ac:dyDescent="0.25">
      <c r="A218" s="3" t="s">
        <v>23</v>
      </c>
      <c r="B218">
        <f t="shared" si="42"/>
        <v>7</v>
      </c>
      <c r="C218">
        <f t="shared" ca="1" si="43"/>
        <v>4.0999999999999996</v>
      </c>
      <c r="D218">
        <f t="shared" ca="1" si="41"/>
        <v>1.4235</v>
      </c>
    </row>
    <row r="219" spans="1:4" x14ac:dyDescent="0.25">
      <c r="A219" s="3" t="s">
        <v>13</v>
      </c>
      <c r="B219">
        <f t="shared" si="42"/>
        <v>3</v>
      </c>
      <c r="C219">
        <f t="shared" ca="1" si="43"/>
        <v>-3.54</v>
      </c>
      <c r="D219">
        <f t="shared" ca="1" si="41"/>
        <v>1.5309999999999999</v>
      </c>
    </row>
    <row r="220" spans="1:4" x14ac:dyDescent="0.25">
      <c r="A220" s="3" t="s">
        <v>18</v>
      </c>
      <c r="B220">
        <f t="shared" si="42"/>
        <v>16</v>
      </c>
      <c r="C220">
        <f t="shared" ca="1" si="43"/>
        <v>-0.44</v>
      </c>
      <c r="D220">
        <f t="shared" ca="1" si="41"/>
        <v>1.6254999999999999</v>
      </c>
    </row>
    <row r="221" spans="1:4" x14ac:dyDescent="0.25">
      <c r="A221" s="3" t="s">
        <v>12</v>
      </c>
      <c r="B221">
        <f t="shared" si="42"/>
        <v>9</v>
      </c>
      <c r="C221">
        <f t="shared" ca="1" si="43"/>
        <v>4.0599999999999996</v>
      </c>
      <c r="D221">
        <f t="shared" ca="1" si="41"/>
        <v>1.3474999999999999</v>
      </c>
    </row>
    <row r="222" spans="1:4" x14ac:dyDescent="0.25">
      <c r="A222" s="3" t="s">
        <v>12</v>
      </c>
      <c r="B222">
        <f t="shared" si="42"/>
        <v>9</v>
      </c>
      <c r="C222">
        <f t="shared" ca="1" si="43"/>
        <v>4.0599999999999996</v>
      </c>
      <c r="D222">
        <f t="shared" ref="D222:D237" ca="1" si="44">AVERAGE(C213:C232)</f>
        <v>1.504</v>
      </c>
    </row>
    <row r="223" spans="1:4" x14ac:dyDescent="0.25">
      <c r="A223" s="3" t="s">
        <v>19</v>
      </c>
      <c r="B223">
        <f t="shared" si="42"/>
        <v>4</v>
      </c>
      <c r="C223">
        <f t="shared" ca="1" si="43"/>
        <v>2.94</v>
      </c>
      <c r="D223">
        <f t="shared" ca="1" si="44"/>
        <v>1.3420000000000001</v>
      </c>
    </row>
    <row r="224" spans="1:4" x14ac:dyDescent="0.25">
      <c r="A224" s="3" t="s">
        <v>10</v>
      </c>
      <c r="B224">
        <f t="shared" si="42"/>
        <v>10</v>
      </c>
      <c r="C224">
        <f t="shared" ca="1" si="43"/>
        <v>2.79</v>
      </c>
      <c r="D224">
        <f t="shared" ca="1" si="44"/>
        <v>1.2895000000000001</v>
      </c>
    </row>
    <row r="225" spans="1:4" x14ac:dyDescent="0.25">
      <c r="A225" s="3" t="s">
        <v>21</v>
      </c>
      <c r="B225">
        <f t="shared" si="42"/>
        <v>17</v>
      </c>
      <c r="C225">
        <f t="shared" ca="1" si="43"/>
        <v>3.99</v>
      </c>
      <c r="D225">
        <f t="shared" ca="1" si="44"/>
        <v>1.4480000000000002</v>
      </c>
    </row>
    <row r="226" spans="1:4" x14ac:dyDescent="0.25">
      <c r="A226" s="3" t="s">
        <v>12</v>
      </c>
      <c r="B226">
        <f t="shared" si="42"/>
        <v>9</v>
      </c>
      <c r="C226">
        <f t="shared" ca="1" si="43"/>
        <v>4.0599999999999996</v>
      </c>
      <c r="D226">
        <f t="shared" ca="1" si="44"/>
        <v>1.448</v>
      </c>
    </row>
    <row r="227" spans="1:4" x14ac:dyDescent="0.25">
      <c r="A227" s="3" t="s">
        <v>16</v>
      </c>
      <c r="B227">
        <f t="shared" si="42"/>
        <v>2</v>
      </c>
      <c r="C227">
        <f t="shared" ca="1" si="43"/>
        <v>-4.92</v>
      </c>
      <c r="D227">
        <f t="shared" ca="1" si="44"/>
        <v>1.8225000000000002</v>
      </c>
    </row>
    <row r="228" spans="1:4" x14ac:dyDescent="0.25">
      <c r="A228" s="3" t="s">
        <v>21</v>
      </c>
      <c r="B228">
        <f t="shared" si="42"/>
        <v>17</v>
      </c>
      <c r="C228">
        <f t="shared" ca="1" si="43"/>
        <v>3.99</v>
      </c>
      <c r="D228">
        <f t="shared" ca="1" si="44"/>
        <v>1.8204999999999998</v>
      </c>
    </row>
    <row r="229" spans="1:4" x14ac:dyDescent="0.25">
      <c r="A229" s="3" t="s">
        <v>25</v>
      </c>
      <c r="B229">
        <f t="shared" ref="B229:B244" si="45">LOOKUP(A229,$F$5:$F$24,$G$5:$G$24)</f>
        <v>15</v>
      </c>
      <c r="C229">
        <f t="shared" ref="C229:C244" ca="1" si="46">OFFSET($G$5,B229,$F$3,1,1)</f>
        <v>-1.39</v>
      </c>
      <c r="D229">
        <f t="shared" ca="1" si="44"/>
        <v>2.2005000000000003</v>
      </c>
    </row>
    <row r="230" spans="1:4" x14ac:dyDescent="0.25">
      <c r="A230" s="3" t="s">
        <v>14</v>
      </c>
      <c r="B230">
        <f t="shared" si="45"/>
        <v>0</v>
      </c>
      <c r="C230">
        <f t="shared" ca="1" si="46"/>
        <v>2.75</v>
      </c>
      <c r="D230">
        <f t="shared" ca="1" si="44"/>
        <v>2.0075000000000003</v>
      </c>
    </row>
    <row r="231" spans="1:4" x14ac:dyDescent="0.25">
      <c r="A231" s="3" t="s">
        <v>24</v>
      </c>
      <c r="B231">
        <f t="shared" si="45"/>
        <v>8</v>
      </c>
      <c r="C231">
        <f t="shared" ca="1" si="46"/>
        <v>-2.81</v>
      </c>
      <c r="D231">
        <f t="shared" ca="1" si="44"/>
        <v>1.7350000000000001</v>
      </c>
    </row>
    <row r="232" spans="1:4" x14ac:dyDescent="0.25">
      <c r="A232" s="3" t="s">
        <v>21</v>
      </c>
      <c r="B232">
        <f t="shared" si="45"/>
        <v>17</v>
      </c>
      <c r="C232">
        <f t="shared" ca="1" si="46"/>
        <v>3.99</v>
      </c>
      <c r="D232">
        <f t="shared" ca="1" si="44"/>
        <v>1.3170000000000004</v>
      </c>
    </row>
    <row r="233" spans="1:4" x14ac:dyDescent="0.25">
      <c r="A233" s="3" t="s">
        <v>20</v>
      </c>
      <c r="B233">
        <f t="shared" si="45"/>
        <v>5</v>
      </c>
      <c r="C233">
        <f t="shared" ca="1" si="46"/>
        <v>0.86</v>
      </c>
      <c r="D233">
        <f t="shared" ca="1" si="44"/>
        <v>1.3074999999999997</v>
      </c>
    </row>
    <row r="234" spans="1:4" x14ac:dyDescent="0.25">
      <c r="A234" s="3" t="s">
        <v>19</v>
      </c>
      <c r="B234">
        <f t="shared" si="45"/>
        <v>4</v>
      </c>
      <c r="C234">
        <f t="shared" ca="1" si="46"/>
        <v>2.94</v>
      </c>
      <c r="D234">
        <f t="shared" ca="1" si="44"/>
        <v>1.3729999999999998</v>
      </c>
    </row>
    <row r="235" spans="1:4" x14ac:dyDescent="0.25">
      <c r="A235" s="3" t="s">
        <v>20</v>
      </c>
      <c r="B235">
        <f t="shared" si="45"/>
        <v>5</v>
      </c>
      <c r="C235">
        <f t="shared" ca="1" si="46"/>
        <v>0.86</v>
      </c>
      <c r="D235">
        <f t="shared" ca="1" si="44"/>
        <v>1.3205</v>
      </c>
    </row>
    <row r="236" spans="1:4" x14ac:dyDescent="0.25">
      <c r="A236" s="3" t="s">
        <v>12</v>
      </c>
      <c r="B236">
        <f t="shared" si="45"/>
        <v>9</v>
      </c>
      <c r="C236">
        <f t="shared" ca="1" si="46"/>
        <v>4.0599999999999996</v>
      </c>
      <c r="D236">
        <f t="shared" ca="1" si="44"/>
        <v>1.1604999999999999</v>
      </c>
    </row>
    <row r="237" spans="1:4" x14ac:dyDescent="0.25">
      <c r="A237" s="3" t="s">
        <v>23</v>
      </c>
      <c r="B237">
        <f t="shared" si="45"/>
        <v>7</v>
      </c>
      <c r="C237">
        <f t="shared" ca="1" si="46"/>
        <v>4.0999999999999996</v>
      </c>
      <c r="D237">
        <f t="shared" ca="1" si="44"/>
        <v>1.2295</v>
      </c>
    </row>
    <row r="238" spans="1:4" x14ac:dyDescent="0.25">
      <c r="A238" s="3" t="s">
        <v>12</v>
      </c>
      <c r="B238">
        <f t="shared" si="45"/>
        <v>9</v>
      </c>
      <c r="C238">
        <f t="shared" ca="1" si="46"/>
        <v>4.0599999999999996</v>
      </c>
      <c r="D238">
        <f t="shared" ref="D238:D253" ca="1" si="47">AVERAGE(C229:C248)</f>
        <v>1.1675</v>
      </c>
    </row>
    <row r="239" spans="1:4" x14ac:dyDescent="0.25">
      <c r="A239" s="3" t="s">
        <v>12</v>
      </c>
      <c r="B239">
        <f t="shared" si="45"/>
        <v>9</v>
      </c>
      <c r="C239">
        <f t="shared" ca="1" si="46"/>
        <v>4.0599999999999996</v>
      </c>
      <c r="D239">
        <f t="shared" ca="1" si="47"/>
        <v>1.06</v>
      </c>
    </row>
    <row r="240" spans="1:4" x14ac:dyDescent="0.25">
      <c r="A240" s="3" t="s">
        <v>28</v>
      </c>
      <c r="B240">
        <f t="shared" si="45"/>
        <v>14</v>
      </c>
      <c r="C240">
        <f t="shared" ca="1" si="46"/>
        <v>-4.3</v>
      </c>
      <c r="D240">
        <f t="shared" ca="1" si="47"/>
        <v>1.06</v>
      </c>
    </row>
    <row r="241" spans="1:4" x14ac:dyDescent="0.25">
      <c r="A241" s="3" t="s">
        <v>25</v>
      </c>
      <c r="B241">
        <f t="shared" si="45"/>
        <v>15</v>
      </c>
      <c r="C241">
        <f t="shared" ca="1" si="46"/>
        <v>-1.39</v>
      </c>
      <c r="D241">
        <f t="shared" ca="1" si="47"/>
        <v>1.0850000000000002</v>
      </c>
    </row>
    <row r="242" spans="1:4" x14ac:dyDescent="0.25">
      <c r="A242" s="3" t="s">
        <v>28</v>
      </c>
      <c r="B242">
        <f t="shared" si="45"/>
        <v>14</v>
      </c>
      <c r="C242">
        <f t="shared" ca="1" si="46"/>
        <v>-4.3</v>
      </c>
      <c r="D242">
        <f t="shared" ca="1" si="47"/>
        <v>0.70850000000000013</v>
      </c>
    </row>
    <row r="243" spans="1:4" x14ac:dyDescent="0.25">
      <c r="A243" s="3" t="s">
        <v>14</v>
      </c>
      <c r="B243">
        <f t="shared" si="45"/>
        <v>0</v>
      </c>
      <c r="C243">
        <f t="shared" ca="1" si="46"/>
        <v>2.75</v>
      </c>
      <c r="D243">
        <f t="shared" ca="1" si="47"/>
        <v>0.55000000000000004</v>
      </c>
    </row>
    <row r="244" spans="1:4" x14ac:dyDescent="0.25">
      <c r="A244" s="3" t="s">
        <v>23</v>
      </c>
      <c r="B244">
        <f t="shared" si="45"/>
        <v>7</v>
      </c>
      <c r="C244">
        <f t="shared" ca="1" si="46"/>
        <v>4.0999999999999996</v>
      </c>
      <c r="D244">
        <f t="shared" ca="1" si="47"/>
        <v>0.33349999999999969</v>
      </c>
    </row>
    <row r="245" spans="1:4" x14ac:dyDescent="0.25">
      <c r="A245" s="3" t="s">
        <v>19</v>
      </c>
      <c r="B245">
        <f t="shared" ref="B245:B260" si="48">LOOKUP(A245,$F$5:$F$24,$G$5:$G$24)</f>
        <v>4</v>
      </c>
      <c r="C245">
        <f t="shared" ref="C245:C260" ca="1" si="49">OFFSET($G$5,B245,$F$3,1,1)</f>
        <v>2.94</v>
      </c>
      <c r="D245">
        <f t="shared" ca="1" si="47"/>
        <v>0.42799999999999977</v>
      </c>
    </row>
    <row r="246" spans="1:4" x14ac:dyDescent="0.25">
      <c r="A246" s="3" t="s">
        <v>20</v>
      </c>
      <c r="B246">
        <f t="shared" si="48"/>
        <v>5</v>
      </c>
      <c r="C246">
        <f t="shared" ca="1" si="49"/>
        <v>0.86</v>
      </c>
      <c r="D246">
        <f t="shared" ca="1" si="47"/>
        <v>0.26799999999999985</v>
      </c>
    </row>
    <row r="247" spans="1:4" x14ac:dyDescent="0.25">
      <c r="A247" s="3" t="s">
        <v>13</v>
      </c>
      <c r="B247">
        <f t="shared" si="48"/>
        <v>3</v>
      </c>
      <c r="C247">
        <f t="shared" ca="1" si="49"/>
        <v>-3.54</v>
      </c>
      <c r="D247">
        <f t="shared" ca="1" si="47"/>
        <v>-0.18300000000000008</v>
      </c>
    </row>
    <row r="248" spans="1:4" x14ac:dyDescent="0.25">
      <c r="A248" s="3" t="s">
        <v>14</v>
      </c>
      <c r="B248">
        <f t="shared" si="48"/>
        <v>0</v>
      </c>
      <c r="C248">
        <f t="shared" ca="1" si="49"/>
        <v>2.75</v>
      </c>
      <c r="D248">
        <f t="shared" ca="1" si="47"/>
        <v>-0.34300000000000003</v>
      </c>
    </row>
    <row r="249" spans="1:4" x14ac:dyDescent="0.25">
      <c r="A249" s="3" t="s">
        <v>13</v>
      </c>
      <c r="B249">
        <f t="shared" si="48"/>
        <v>3</v>
      </c>
      <c r="C249">
        <f t="shared" ca="1" si="49"/>
        <v>-3.54</v>
      </c>
      <c r="D249">
        <f t="shared" ca="1" si="47"/>
        <v>-0.40850000000000009</v>
      </c>
    </row>
    <row r="250" spans="1:4" x14ac:dyDescent="0.25">
      <c r="A250" s="3" t="s">
        <v>14</v>
      </c>
      <c r="B250">
        <f t="shared" si="48"/>
        <v>0</v>
      </c>
      <c r="C250">
        <f t="shared" ca="1" si="49"/>
        <v>2.75</v>
      </c>
      <c r="D250">
        <f t="shared" ca="1" si="47"/>
        <v>-5.6000000000000008E-2</v>
      </c>
    </row>
    <row r="251" spans="1:4" x14ac:dyDescent="0.25">
      <c r="A251" s="3" t="s">
        <v>17</v>
      </c>
      <c r="B251">
        <f t="shared" si="48"/>
        <v>12</v>
      </c>
      <c r="C251">
        <f t="shared" ca="1" si="49"/>
        <v>-2.31</v>
      </c>
      <c r="D251">
        <f t="shared" ca="1" si="47"/>
        <v>0.15100000000000002</v>
      </c>
    </row>
    <row r="252" spans="1:4" x14ac:dyDescent="0.25">
      <c r="A252" s="3" t="s">
        <v>13</v>
      </c>
      <c r="B252">
        <f t="shared" si="48"/>
        <v>3</v>
      </c>
      <c r="C252">
        <f t="shared" ca="1" si="49"/>
        <v>-3.54</v>
      </c>
      <c r="D252">
        <f t="shared" ca="1" si="47"/>
        <v>0.34399999999999997</v>
      </c>
    </row>
    <row r="253" spans="1:4" x14ac:dyDescent="0.25">
      <c r="A253" s="3" t="s">
        <v>17</v>
      </c>
      <c r="B253">
        <f t="shared" si="48"/>
        <v>12</v>
      </c>
      <c r="C253">
        <f t="shared" ca="1" si="49"/>
        <v>-2.31</v>
      </c>
      <c r="D253">
        <f t="shared" ca="1" si="47"/>
        <v>0.13700000000000001</v>
      </c>
    </row>
    <row r="254" spans="1:4" x14ac:dyDescent="0.25">
      <c r="A254" s="3" t="s">
        <v>25</v>
      </c>
      <c r="B254">
        <f t="shared" si="48"/>
        <v>15</v>
      </c>
      <c r="C254">
        <f t="shared" ca="1" si="49"/>
        <v>-1.39</v>
      </c>
      <c r="D254">
        <f t="shared" ref="D254:D269" ca="1" si="50">AVERAGE(C245:C264)</f>
        <v>-0.314</v>
      </c>
    </row>
    <row r="255" spans="1:4" x14ac:dyDescent="0.25">
      <c r="A255" s="3" t="s">
        <v>14</v>
      </c>
      <c r="B255">
        <f t="shared" si="48"/>
        <v>0</v>
      </c>
      <c r="C255">
        <f t="shared" ca="1" si="49"/>
        <v>2.75</v>
      </c>
      <c r="D255" t="e">
        <f t="shared" ca="1" si="50"/>
        <v>#N/A</v>
      </c>
    </row>
    <row r="256" spans="1:4" x14ac:dyDescent="0.25">
      <c r="A256" s="3" t="s">
        <v>20</v>
      </c>
      <c r="B256">
        <f t="shared" si="48"/>
        <v>5</v>
      </c>
      <c r="C256">
        <f t="shared" ca="1" si="49"/>
        <v>0.86</v>
      </c>
      <c r="D256" t="e">
        <f t="shared" ca="1" si="50"/>
        <v>#N/A</v>
      </c>
    </row>
    <row r="257" spans="1:4" x14ac:dyDescent="0.25">
      <c r="A257" s="3" t="s">
        <v>16</v>
      </c>
      <c r="B257">
        <f t="shared" si="48"/>
        <v>2</v>
      </c>
      <c r="C257">
        <f t="shared" ca="1" si="49"/>
        <v>-4.92</v>
      </c>
      <c r="D257" t="e">
        <f t="shared" ca="1" si="50"/>
        <v>#N/A</v>
      </c>
    </row>
    <row r="258" spans="1:4" x14ac:dyDescent="0.25">
      <c r="A258" s="3" t="s">
        <v>20</v>
      </c>
      <c r="B258">
        <f t="shared" si="48"/>
        <v>5</v>
      </c>
      <c r="C258">
        <f t="shared" ca="1" si="49"/>
        <v>0.86</v>
      </c>
      <c r="D258" t="e">
        <f t="shared" ca="1" si="50"/>
        <v>#N/A</v>
      </c>
    </row>
    <row r="259" spans="1:4" x14ac:dyDescent="0.25">
      <c r="A259" s="3" t="s">
        <v>14</v>
      </c>
      <c r="B259">
        <f t="shared" si="48"/>
        <v>0</v>
      </c>
      <c r="C259">
        <f t="shared" ca="1" si="49"/>
        <v>2.75</v>
      </c>
      <c r="D259" t="e">
        <f t="shared" ca="1" si="50"/>
        <v>#N/A</v>
      </c>
    </row>
    <row r="260" spans="1:4" x14ac:dyDescent="0.25">
      <c r="A260" s="3" t="s">
        <v>14</v>
      </c>
      <c r="B260">
        <f t="shared" si="48"/>
        <v>0</v>
      </c>
      <c r="C260">
        <f t="shared" ca="1" si="49"/>
        <v>2.75</v>
      </c>
      <c r="D260" t="e">
        <f t="shared" ca="1" si="50"/>
        <v>#N/A</v>
      </c>
    </row>
    <row r="261" spans="1:4" x14ac:dyDescent="0.25">
      <c r="A261" s="3" t="s">
        <v>14</v>
      </c>
      <c r="B261">
        <f t="shared" ref="B261:B276" si="51">LOOKUP(A261,$F$5:$F$24,$G$5:$G$24)</f>
        <v>0</v>
      </c>
      <c r="C261">
        <f t="shared" ref="C261:C276" ca="1" si="52">OFFSET($G$5,B261,$F$3,1,1)</f>
        <v>2.75</v>
      </c>
      <c r="D261" t="e">
        <f t="shared" ca="1" si="50"/>
        <v>#N/A</v>
      </c>
    </row>
    <row r="262" spans="1:4" x14ac:dyDescent="0.25">
      <c r="A262" s="3" t="s">
        <v>18</v>
      </c>
      <c r="B262">
        <f t="shared" si="51"/>
        <v>16</v>
      </c>
      <c r="C262">
        <f t="shared" ca="1" si="52"/>
        <v>-0.44</v>
      </c>
      <c r="D262" t="e">
        <f t="shared" ca="1" si="50"/>
        <v>#N/A</v>
      </c>
    </row>
    <row r="263" spans="1:4" x14ac:dyDescent="0.25">
      <c r="A263" s="3" t="s">
        <v>25</v>
      </c>
      <c r="B263">
        <f t="shared" si="51"/>
        <v>15</v>
      </c>
      <c r="C263">
        <f t="shared" ca="1" si="52"/>
        <v>-1.39</v>
      </c>
      <c r="D263" t="e">
        <f t="shared" ca="1" si="50"/>
        <v>#N/A</v>
      </c>
    </row>
    <row r="264" spans="1:4" x14ac:dyDescent="0.25">
      <c r="A264" s="3" t="s">
        <v>16</v>
      </c>
      <c r="B264">
        <f t="shared" si="51"/>
        <v>2</v>
      </c>
      <c r="C264">
        <f t="shared" ca="1" si="52"/>
        <v>-4.92</v>
      </c>
      <c r="D264" t="e">
        <f t="shared" ca="1" si="50"/>
        <v>#N/A</v>
      </c>
    </row>
    <row r="265" spans="1:4" x14ac:dyDescent="0.25">
      <c r="B265" t="e">
        <f t="shared" si="51"/>
        <v>#N/A</v>
      </c>
      <c r="C265" t="e">
        <f t="shared" ca="1" si="52"/>
        <v>#N/A</v>
      </c>
      <c r="D265" t="e">
        <f t="shared" ca="1" si="50"/>
        <v>#N/A</v>
      </c>
    </row>
    <row r="266" spans="1:4" x14ac:dyDescent="0.25">
      <c r="B266" t="e">
        <f t="shared" si="51"/>
        <v>#N/A</v>
      </c>
      <c r="C266" t="e">
        <f t="shared" ca="1" si="52"/>
        <v>#N/A</v>
      </c>
      <c r="D266" t="e">
        <f t="shared" ca="1" si="50"/>
        <v>#N/A</v>
      </c>
    </row>
    <row r="267" spans="1:4" x14ac:dyDescent="0.25">
      <c r="B267" t="e">
        <f t="shared" si="51"/>
        <v>#N/A</v>
      </c>
      <c r="C267" t="e">
        <f t="shared" ca="1" si="52"/>
        <v>#N/A</v>
      </c>
      <c r="D267" t="e">
        <f t="shared" ca="1" si="50"/>
        <v>#N/A</v>
      </c>
    </row>
    <row r="268" spans="1:4" x14ac:dyDescent="0.25">
      <c r="B268" t="e">
        <f t="shared" si="51"/>
        <v>#N/A</v>
      </c>
      <c r="C268" t="e">
        <f t="shared" ca="1" si="52"/>
        <v>#N/A</v>
      </c>
      <c r="D268" t="e">
        <f t="shared" ca="1" si="50"/>
        <v>#N/A</v>
      </c>
    </row>
    <row r="269" spans="1:4" x14ac:dyDescent="0.25">
      <c r="B269" t="e">
        <f t="shared" si="51"/>
        <v>#N/A</v>
      </c>
      <c r="C269" t="e">
        <f t="shared" ca="1" si="52"/>
        <v>#N/A</v>
      </c>
      <c r="D269" t="e">
        <f t="shared" ca="1" si="50"/>
        <v>#N/A</v>
      </c>
    </row>
    <row r="270" spans="1:4" x14ac:dyDescent="0.25">
      <c r="B270" t="e">
        <f t="shared" si="51"/>
        <v>#N/A</v>
      </c>
      <c r="C270" t="e">
        <f t="shared" ca="1" si="52"/>
        <v>#N/A</v>
      </c>
      <c r="D270" t="e">
        <f t="shared" ref="D270:D285" ca="1" si="53">AVERAGE(C261:C280)</f>
        <v>#N/A</v>
      </c>
    </row>
    <row r="271" spans="1:4" x14ac:dyDescent="0.25">
      <c r="B271" t="e">
        <f t="shared" si="51"/>
        <v>#N/A</v>
      </c>
      <c r="C271" t="e">
        <f t="shared" ca="1" si="52"/>
        <v>#N/A</v>
      </c>
      <c r="D271" t="e">
        <f t="shared" ca="1" si="53"/>
        <v>#N/A</v>
      </c>
    </row>
    <row r="272" spans="1:4" x14ac:dyDescent="0.25">
      <c r="B272" t="e">
        <f t="shared" si="51"/>
        <v>#N/A</v>
      </c>
      <c r="C272" t="e">
        <f t="shared" ca="1" si="52"/>
        <v>#N/A</v>
      </c>
      <c r="D272" t="e">
        <f t="shared" ca="1" si="53"/>
        <v>#N/A</v>
      </c>
    </row>
    <row r="273" spans="2:4" x14ac:dyDescent="0.25">
      <c r="B273" t="e">
        <f t="shared" si="51"/>
        <v>#N/A</v>
      </c>
      <c r="C273" t="e">
        <f t="shared" ca="1" si="52"/>
        <v>#N/A</v>
      </c>
      <c r="D273" t="e">
        <f t="shared" ca="1" si="53"/>
        <v>#N/A</v>
      </c>
    </row>
    <row r="274" spans="2:4" x14ac:dyDescent="0.25">
      <c r="B274" t="e">
        <f t="shared" si="51"/>
        <v>#N/A</v>
      </c>
      <c r="C274" t="e">
        <f t="shared" ca="1" si="52"/>
        <v>#N/A</v>
      </c>
      <c r="D274" t="e">
        <f t="shared" ca="1" si="53"/>
        <v>#N/A</v>
      </c>
    </row>
    <row r="275" spans="2:4" x14ac:dyDescent="0.25">
      <c r="B275" t="e">
        <f t="shared" si="51"/>
        <v>#N/A</v>
      </c>
      <c r="C275" t="e">
        <f t="shared" ca="1" si="52"/>
        <v>#N/A</v>
      </c>
      <c r="D275" t="e">
        <f t="shared" ca="1" si="53"/>
        <v>#N/A</v>
      </c>
    </row>
    <row r="276" spans="2:4" x14ac:dyDescent="0.25">
      <c r="B276" t="e">
        <f t="shared" si="51"/>
        <v>#N/A</v>
      </c>
      <c r="C276" t="e">
        <f t="shared" ca="1" si="52"/>
        <v>#N/A</v>
      </c>
      <c r="D276" t="e">
        <f t="shared" ca="1" si="53"/>
        <v>#N/A</v>
      </c>
    </row>
    <row r="277" spans="2:4" x14ac:dyDescent="0.25">
      <c r="B277" t="e">
        <f t="shared" ref="B277:B292" si="54">LOOKUP(A277,$F$5:$F$24,$G$5:$G$24)</f>
        <v>#N/A</v>
      </c>
      <c r="C277" t="e">
        <f t="shared" ref="C277:C292" ca="1" si="55">OFFSET($G$5,B277,$F$3,1,1)</f>
        <v>#N/A</v>
      </c>
      <c r="D277" t="e">
        <f t="shared" ca="1" si="53"/>
        <v>#N/A</v>
      </c>
    </row>
    <row r="278" spans="2:4" x14ac:dyDescent="0.25">
      <c r="B278" t="e">
        <f t="shared" si="54"/>
        <v>#N/A</v>
      </c>
      <c r="C278" t="e">
        <f t="shared" ca="1" si="55"/>
        <v>#N/A</v>
      </c>
      <c r="D278" t="e">
        <f t="shared" ca="1" si="53"/>
        <v>#N/A</v>
      </c>
    </row>
    <row r="279" spans="2:4" x14ac:dyDescent="0.25">
      <c r="B279" t="e">
        <f t="shared" si="54"/>
        <v>#N/A</v>
      </c>
      <c r="C279" t="e">
        <f t="shared" ca="1" si="55"/>
        <v>#N/A</v>
      </c>
      <c r="D279" t="e">
        <f t="shared" ca="1" si="53"/>
        <v>#N/A</v>
      </c>
    </row>
    <row r="280" spans="2:4" x14ac:dyDescent="0.25">
      <c r="B280" t="e">
        <f t="shared" si="54"/>
        <v>#N/A</v>
      </c>
      <c r="C280" t="e">
        <f t="shared" ca="1" si="55"/>
        <v>#N/A</v>
      </c>
      <c r="D280" t="e">
        <f t="shared" ca="1" si="53"/>
        <v>#N/A</v>
      </c>
    </row>
    <row r="281" spans="2:4" x14ac:dyDescent="0.25">
      <c r="B281" t="e">
        <f t="shared" si="54"/>
        <v>#N/A</v>
      </c>
      <c r="C281" t="e">
        <f t="shared" ca="1" si="55"/>
        <v>#N/A</v>
      </c>
      <c r="D281" t="e">
        <f t="shared" ca="1" si="53"/>
        <v>#N/A</v>
      </c>
    </row>
    <row r="282" spans="2:4" x14ac:dyDescent="0.25">
      <c r="B282" t="e">
        <f t="shared" si="54"/>
        <v>#N/A</v>
      </c>
      <c r="C282" t="e">
        <f t="shared" ca="1" si="55"/>
        <v>#N/A</v>
      </c>
      <c r="D282" t="e">
        <f t="shared" ca="1" si="53"/>
        <v>#N/A</v>
      </c>
    </row>
    <row r="283" spans="2:4" x14ac:dyDescent="0.25">
      <c r="B283" t="e">
        <f t="shared" si="54"/>
        <v>#N/A</v>
      </c>
      <c r="C283" t="e">
        <f t="shared" ca="1" si="55"/>
        <v>#N/A</v>
      </c>
      <c r="D283" t="e">
        <f t="shared" ca="1" si="53"/>
        <v>#N/A</v>
      </c>
    </row>
    <row r="284" spans="2:4" x14ac:dyDescent="0.25">
      <c r="B284" t="e">
        <f t="shared" si="54"/>
        <v>#N/A</v>
      </c>
      <c r="C284" t="e">
        <f t="shared" ca="1" si="55"/>
        <v>#N/A</v>
      </c>
      <c r="D284" t="e">
        <f t="shared" ca="1" si="53"/>
        <v>#N/A</v>
      </c>
    </row>
    <row r="285" spans="2:4" x14ac:dyDescent="0.25">
      <c r="B285" t="e">
        <f t="shared" si="54"/>
        <v>#N/A</v>
      </c>
      <c r="C285" t="e">
        <f t="shared" ca="1" si="55"/>
        <v>#N/A</v>
      </c>
      <c r="D285" t="e">
        <f t="shared" ca="1" si="53"/>
        <v>#N/A</v>
      </c>
    </row>
    <row r="286" spans="2:4" x14ac:dyDescent="0.25">
      <c r="B286" t="e">
        <f t="shared" si="54"/>
        <v>#N/A</v>
      </c>
      <c r="C286" t="e">
        <f t="shared" ca="1" si="55"/>
        <v>#N/A</v>
      </c>
      <c r="D286" t="e">
        <f t="shared" ref="D286:D301" ca="1" si="56">AVERAGE(C277:C296)</f>
        <v>#N/A</v>
      </c>
    </row>
    <row r="287" spans="2:4" x14ac:dyDescent="0.25">
      <c r="B287" t="e">
        <f t="shared" si="54"/>
        <v>#N/A</v>
      </c>
      <c r="C287" t="e">
        <f t="shared" ca="1" si="55"/>
        <v>#N/A</v>
      </c>
      <c r="D287" t="e">
        <f t="shared" ca="1" si="56"/>
        <v>#N/A</v>
      </c>
    </row>
    <row r="288" spans="2:4" x14ac:dyDescent="0.25">
      <c r="B288" t="e">
        <f t="shared" si="54"/>
        <v>#N/A</v>
      </c>
      <c r="C288" t="e">
        <f t="shared" ca="1" si="55"/>
        <v>#N/A</v>
      </c>
      <c r="D288" t="e">
        <f t="shared" ca="1" si="56"/>
        <v>#N/A</v>
      </c>
    </row>
    <row r="289" spans="2:4" x14ac:dyDescent="0.25">
      <c r="B289" t="e">
        <f t="shared" si="54"/>
        <v>#N/A</v>
      </c>
      <c r="C289" t="e">
        <f t="shared" ca="1" si="55"/>
        <v>#N/A</v>
      </c>
      <c r="D289" t="e">
        <f t="shared" ca="1" si="56"/>
        <v>#N/A</v>
      </c>
    </row>
    <row r="290" spans="2:4" x14ac:dyDescent="0.25">
      <c r="B290" t="e">
        <f t="shared" si="54"/>
        <v>#N/A</v>
      </c>
      <c r="C290" t="e">
        <f t="shared" ca="1" si="55"/>
        <v>#N/A</v>
      </c>
      <c r="D290" t="e">
        <f t="shared" ca="1" si="56"/>
        <v>#N/A</v>
      </c>
    </row>
    <row r="291" spans="2:4" x14ac:dyDescent="0.25">
      <c r="B291" t="e">
        <f t="shared" si="54"/>
        <v>#N/A</v>
      </c>
      <c r="C291" t="e">
        <f t="shared" ca="1" si="55"/>
        <v>#N/A</v>
      </c>
      <c r="D291" t="e">
        <f t="shared" ca="1" si="56"/>
        <v>#N/A</v>
      </c>
    </row>
    <row r="292" spans="2:4" x14ac:dyDescent="0.25">
      <c r="B292" t="e">
        <f t="shared" si="54"/>
        <v>#N/A</v>
      </c>
      <c r="C292" t="e">
        <f t="shared" ca="1" si="55"/>
        <v>#N/A</v>
      </c>
      <c r="D292" t="e">
        <f t="shared" ca="1" si="56"/>
        <v>#N/A</v>
      </c>
    </row>
    <row r="293" spans="2:4" x14ac:dyDescent="0.25">
      <c r="B293" t="e">
        <f t="shared" ref="B293:B308" si="57">LOOKUP(A293,$F$5:$F$24,$G$5:$G$24)</f>
        <v>#N/A</v>
      </c>
      <c r="C293" t="e">
        <f t="shared" ref="C293:C308" ca="1" si="58">OFFSET($G$5,B293,$F$3,1,1)</f>
        <v>#N/A</v>
      </c>
      <c r="D293" t="e">
        <f t="shared" ca="1" si="56"/>
        <v>#N/A</v>
      </c>
    </row>
    <row r="294" spans="2:4" x14ac:dyDescent="0.25">
      <c r="B294" t="e">
        <f t="shared" si="57"/>
        <v>#N/A</v>
      </c>
      <c r="C294" t="e">
        <f t="shared" ca="1" si="58"/>
        <v>#N/A</v>
      </c>
      <c r="D294" t="e">
        <f t="shared" ca="1" si="56"/>
        <v>#N/A</v>
      </c>
    </row>
    <row r="295" spans="2:4" x14ac:dyDescent="0.25">
      <c r="B295" t="e">
        <f t="shared" si="57"/>
        <v>#N/A</v>
      </c>
      <c r="C295" t="e">
        <f t="shared" ca="1" si="58"/>
        <v>#N/A</v>
      </c>
      <c r="D295" t="e">
        <f t="shared" ca="1" si="56"/>
        <v>#N/A</v>
      </c>
    </row>
    <row r="296" spans="2:4" x14ac:dyDescent="0.25">
      <c r="B296" t="e">
        <f t="shared" si="57"/>
        <v>#N/A</v>
      </c>
      <c r="C296" t="e">
        <f t="shared" ca="1" si="58"/>
        <v>#N/A</v>
      </c>
      <c r="D296" t="e">
        <f t="shared" ca="1" si="56"/>
        <v>#N/A</v>
      </c>
    </row>
    <row r="297" spans="2:4" x14ac:dyDescent="0.25">
      <c r="B297" t="e">
        <f t="shared" si="57"/>
        <v>#N/A</v>
      </c>
      <c r="C297" t="e">
        <f t="shared" ca="1" si="58"/>
        <v>#N/A</v>
      </c>
      <c r="D297" t="e">
        <f t="shared" ca="1" si="56"/>
        <v>#N/A</v>
      </c>
    </row>
    <row r="298" spans="2:4" x14ac:dyDescent="0.25">
      <c r="B298" t="e">
        <f t="shared" si="57"/>
        <v>#N/A</v>
      </c>
      <c r="C298" t="e">
        <f t="shared" ca="1" si="58"/>
        <v>#N/A</v>
      </c>
      <c r="D298" t="e">
        <f t="shared" ca="1" si="56"/>
        <v>#N/A</v>
      </c>
    </row>
    <row r="299" spans="2:4" x14ac:dyDescent="0.25">
      <c r="B299" t="e">
        <f t="shared" si="57"/>
        <v>#N/A</v>
      </c>
      <c r="C299" t="e">
        <f t="shared" ca="1" si="58"/>
        <v>#N/A</v>
      </c>
      <c r="D299" t="e">
        <f t="shared" ca="1" si="56"/>
        <v>#N/A</v>
      </c>
    </row>
    <row r="300" spans="2:4" x14ac:dyDescent="0.25">
      <c r="B300" t="e">
        <f t="shared" si="57"/>
        <v>#N/A</v>
      </c>
      <c r="C300" t="e">
        <f t="shared" ca="1" si="58"/>
        <v>#N/A</v>
      </c>
      <c r="D300" t="e">
        <f t="shared" ca="1" si="56"/>
        <v>#N/A</v>
      </c>
    </row>
    <row r="301" spans="2:4" x14ac:dyDescent="0.25">
      <c r="B301" t="e">
        <f t="shared" si="57"/>
        <v>#N/A</v>
      </c>
      <c r="C301" t="e">
        <f t="shared" ca="1" si="58"/>
        <v>#N/A</v>
      </c>
      <c r="D301" t="e">
        <f t="shared" ca="1" si="56"/>
        <v>#N/A</v>
      </c>
    </row>
    <row r="302" spans="2:4" x14ac:dyDescent="0.25">
      <c r="B302" t="e">
        <f t="shared" si="57"/>
        <v>#N/A</v>
      </c>
      <c r="C302" t="e">
        <f t="shared" ca="1" si="58"/>
        <v>#N/A</v>
      </c>
      <c r="D302" t="e">
        <f t="shared" ref="D302:D317" ca="1" si="59">AVERAGE(C293:C312)</f>
        <v>#N/A</v>
      </c>
    </row>
    <row r="303" spans="2:4" x14ac:dyDescent="0.25">
      <c r="B303" t="e">
        <f t="shared" si="57"/>
        <v>#N/A</v>
      </c>
      <c r="C303" t="e">
        <f t="shared" ca="1" si="58"/>
        <v>#N/A</v>
      </c>
      <c r="D303" t="e">
        <f t="shared" ca="1" si="59"/>
        <v>#N/A</v>
      </c>
    </row>
    <row r="304" spans="2:4" x14ac:dyDescent="0.25">
      <c r="B304" t="e">
        <f t="shared" si="57"/>
        <v>#N/A</v>
      </c>
      <c r="C304" t="e">
        <f t="shared" ca="1" si="58"/>
        <v>#N/A</v>
      </c>
      <c r="D304" t="e">
        <f t="shared" ca="1" si="59"/>
        <v>#N/A</v>
      </c>
    </row>
    <row r="305" spans="2:4" x14ac:dyDescent="0.25">
      <c r="B305" t="e">
        <f t="shared" si="57"/>
        <v>#N/A</v>
      </c>
      <c r="C305" t="e">
        <f t="shared" ca="1" si="58"/>
        <v>#N/A</v>
      </c>
      <c r="D305" t="e">
        <f t="shared" ca="1" si="59"/>
        <v>#N/A</v>
      </c>
    </row>
    <row r="306" spans="2:4" x14ac:dyDescent="0.25">
      <c r="B306" t="e">
        <f t="shared" si="57"/>
        <v>#N/A</v>
      </c>
      <c r="C306" t="e">
        <f t="shared" ca="1" si="58"/>
        <v>#N/A</v>
      </c>
      <c r="D306" t="e">
        <f t="shared" ca="1" si="59"/>
        <v>#N/A</v>
      </c>
    </row>
    <row r="307" spans="2:4" x14ac:dyDescent="0.25">
      <c r="B307" t="e">
        <f t="shared" si="57"/>
        <v>#N/A</v>
      </c>
      <c r="C307" t="e">
        <f t="shared" ca="1" si="58"/>
        <v>#N/A</v>
      </c>
      <c r="D307" t="e">
        <f t="shared" ca="1" si="59"/>
        <v>#N/A</v>
      </c>
    </row>
    <row r="308" spans="2:4" x14ac:dyDescent="0.25">
      <c r="B308" t="e">
        <f t="shared" si="57"/>
        <v>#N/A</v>
      </c>
      <c r="C308" t="e">
        <f t="shared" ca="1" si="58"/>
        <v>#N/A</v>
      </c>
      <c r="D308" t="e">
        <f t="shared" ca="1" si="59"/>
        <v>#N/A</v>
      </c>
    </row>
    <row r="309" spans="2:4" x14ac:dyDescent="0.25">
      <c r="B309" t="e">
        <f t="shared" ref="B309:B324" si="60">LOOKUP(A309,$F$5:$F$24,$G$5:$G$24)</f>
        <v>#N/A</v>
      </c>
      <c r="C309" t="e">
        <f t="shared" ref="C309:C324" ca="1" si="61">OFFSET($G$5,B309,$F$3,1,1)</f>
        <v>#N/A</v>
      </c>
      <c r="D309" t="e">
        <f t="shared" ca="1" si="59"/>
        <v>#N/A</v>
      </c>
    </row>
    <row r="310" spans="2:4" x14ac:dyDescent="0.25">
      <c r="B310" t="e">
        <f t="shared" si="60"/>
        <v>#N/A</v>
      </c>
      <c r="C310" t="e">
        <f t="shared" ca="1" si="61"/>
        <v>#N/A</v>
      </c>
      <c r="D310" t="e">
        <f t="shared" ca="1" si="59"/>
        <v>#N/A</v>
      </c>
    </row>
    <row r="311" spans="2:4" x14ac:dyDescent="0.25">
      <c r="B311" t="e">
        <f t="shared" si="60"/>
        <v>#N/A</v>
      </c>
      <c r="C311" t="e">
        <f t="shared" ca="1" si="61"/>
        <v>#N/A</v>
      </c>
      <c r="D311" t="e">
        <f t="shared" ca="1" si="59"/>
        <v>#N/A</v>
      </c>
    </row>
    <row r="312" spans="2:4" x14ac:dyDescent="0.25">
      <c r="B312" t="e">
        <f t="shared" si="60"/>
        <v>#N/A</v>
      </c>
      <c r="C312" t="e">
        <f t="shared" ca="1" si="61"/>
        <v>#N/A</v>
      </c>
      <c r="D312" t="e">
        <f t="shared" ca="1" si="59"/>
        <v>#N/A</v>
      </c>
    </row>
    <row r="313" spans="2:4" x14ac:dyDescent="0.25">
      <c r="B313" t="e">
        <f t="shared" si="60"/>
        <v>#N/A</v>
      </c>
      <c r="C313" t="e">
        <f t="shared" ca="1" si="61"/>
        <v>#N/A</v>
      </c>
      <c r="D313" t="e">
        <f t="shared" ca="1" si="59"/>
        <v>#N/A</v>
      </c>
    </row>
    <row r="314" spans="2:4" x14ac:dyDescent="0.25">
      <c r="B314" t="e">
        <f t="shared" si="60"/>
        <v>#N/A</v>
      </c>
      <c r="C314" t="e">
        <f t="shared" ca="1" si="61"/>
        <v>#N/A</v>
      </c>
      <c r="D314" t="e">
        <f t="shared" ca="1" si="59"/>
        <v>#N/A</v>
      </c>
    </row>
    <row r="315" spans="2:4" x14ac:dyDescent="0.25">
      <c r="B315" t="e">
        <f t="shared" si="60"/>
        <v>#N/A</v>
      </c>
      <c r="C315" t="e">
        <f t="shared" ca="1" si="61"/>
        <v>#N/A</v>
      </c>
      <c r="D315" t="e">
        <f t="shared" ca="1" si="59"/>
        <v>#N/A</v>
      </c>
    </row>
    <row r="316" spans="2:4" x14ac:dyDescent="0.25">
      <c r="B316" t="e">
        <f t="shared" si="60"/>
        <v>#N/A</v>
      </c>
      <c r="C316" t="e">
        <f t="shared" ca="1" si="61"/>
        <v>#N/A</v>
      </c>
      <c r="D316" t="e">
        <f t="shared" ca="1" si="59"/>
        <v>#N/A</v>
      </c>
    </row>
    <row r="317" spans="2:4" x14ac:dyDescent="0.25">
      <c r="B317" t="e">
        <f t="shared" si="60"/>
        <v>#N/A</v>
      </c>
      <c r="C317" t="e">
        <f t="shared" ca="1" si="61"/>
        <v>#N/A</v>
      </c>
      <c r="D317" t="e">
        <f t="shared" ca="1" si="59"/>
        <v>#N/A</v>
      </c>
    </row>
    <row r="318" spans="2:4" x14ac:dyDescent="0.25">
      <c r="B318" t="e">
        <f t="shared" si="60"/>
        <v>#N/A</v>
      </c>
      <c r="C318" t="e">
        <f t="shared" ca="1" si="61"/>
        <v>#N/A</v>
      </c>
      <c r="D318" t="e">
        <f t="shared" ref="D318:D333" ca="1" si="62">AVERAGE(C309:C328)</f>
        <v>#N/A</v>
      </c>
    </row>
    <row r="319" spans="2:4" x14ac:dyDescent="0.25">
      <c r="B319" t="e">
        <f t="shared" si="60"/>
        <v>#N/A</v>
      </c>
      <c r="C319" t="e">
        <f t="shared" ca="1" si="61"/>
        <v>#N/A</v>
      </c>
      <c r="D319" t="e">
        <f t="shared" ca="1" si="62"/>
        <v>#N/A</v>
      </c>
    </row>
    <row r="320" spans="2:4" x14ac:dyDescent="0.25">
      <c r="B320" t="e">
        <f t="shared" si="60"/>
        <v>#N/A</v>
      </c>
      <c r="C320" t="e">
        <f t="shared" ca="1" si="61"/>
        <v>#N/A</v>
      </c>
      <c r="D320" t="e">
        <f t="shared" ca="1" si="62"/>
        <v>#N/A</v>
      </c>
    </row>
    <row r="321" spans="2:4" x14ac:dyDescent="0.25">
      <c r="B321" t="e">
        <f t="shared" si="60"/>
        <v>#N/A</v>
      </c>
      <c r="C321" t="e">
        <f t="shared" ca="1" si="61"/>
        <v>#N/A</v>
      </c>
      <c r="D321" t="e">
        <f t="shared" ca="1" si="62"/>
        <v>#N/A</v>
      </c>
    </row>
    <row r="322" spans="2:4" x14ac:dyDescent="0.25">
      <c r="B322" t="e">
        <f t="shared" si="60"/>
        <v>#N/A</v>
      </c>
      <c r="C322" t="e">
        <f t="shared" ca="1" si="61"/>
        <v>#N/A</v>
      </c>
      <c r="D322" t="e">
        <f t="shared" ca="1" si="62"/>
        <v>#N/A</v>
      </c>
    </row>
    <row r="323" spans="2:4" x14ac:dyDescent="0.25">
      <c r="B323" t="e">
        <f t="shared" si="60"/>
        <v>#N/A</v>
      </c>
      <c r="C323" t="e">
        <f t="shared" ca="1" si="61"/>
        <v>#N/A</v>
      </c>
      <c r="D323" t="e">
        <f t="shared" ca="1" si="62"/>
        <v>#N/A</v>
      </c>
    </row>
    <row r="324" spans="2:4" x14ac:dyDescent="0.25">
      <c r="B324" t="e">
        <f t="shared" si="60"/>
        <v>#N/A</v>
      </c>
      <c r="C324" t="e">
        <f t="shared" ca="1" si="61"/>
        <v>#N/A</v>
      </c>
      <c r="D324" t="e">
        <f t="shared" ca="1" si="62"/>
        <v>#N/A</v>
      </c>
    </row>
    <row r="325" spans="2:4" x14ac:dyDescent="0.25">
      <c r="B325" t="e">
        <f t="shared" ref="B325:B340" si="63">LOOKUP(A325,$F$5:$F$24,$G$5:$G$24)</f>
        <v>#N/A</v>
      </c>
      <c r="C325" t="e">
        <f t="shared" ref="C325:C340" ca="1" si="64">OFFSET($G$5,B325,$F$3,1,1)</f>
        <v>#N/A</v>
      </c>
      <c r="D325" t="e">
        <f t="shared" ca="1" si="62"/>
        <v>#N/A</v>
      </c>
    </row>
    <row r="326" spans="2:4" x14ac:dyDescent="0.25">
      <c r="B326" t="e">
        <f t="shared" si="63"/>
        <v>#N/A</v>
      </c>
      <c r="C326" t="e">
        <f t="shared" ca="1" si="64"/>
        <v>#N/A</v>
      </c>
      <c r="D326" t="e">
        <f t="shared" ca="1" si="62"/>
        <v>#N/A</v>
      </c>
    </row>
    <row r="327" spans="2:4" x14ac:dyDescent="0.25">
      <c r="B327" t="e">
        <f t="shared" si="63"/>
        <v>#N/A</v>
      </c>
      <c r="C327" t="e">
        <f t="shared" ca="1" si="64"/>
        <v>#N/A</v>
      </c>
      <c r="D327" t="e">
        <f t="shared" ca="1" si="62"/>
        <v>#N/A</v>
      </c>
    </row>
    <row r="328" spans="2:4" x14ac:dyDescent="0.25">
      <c r="B328" t="e">
        <f t="shared" si="63"/>
        <v>#N/A</v>
      </c>
      <c r="C328" t="e">
        <f t="shared" ca="1" si="64"/>
        <v>#N/A</v>
      </c>
      <c r="D328" t="e">
        <f t="shared" ca="1" si="62"/>
        <v>#N/A</v>
      </c>
    </row>
    <row r="329" spans="2:4" x14ac:dyDescent="0.25">
      <c r="B329" t="e">
        <f t="shared" si="63"/>
        <v>#N/A</v>
      </c>
      <c r="C329" t="e">
        <f t="shared" ca="1" si="64"/>
        <v>#N/A</v>
      </c>
      <c r="D329" t="e">
        <f t="shared" ca="1" si="62"/>
        <v>#N/A</v>
      </c>
    </row>
    <row r="330" spans="2:4" x14ac:dyDescent="0.25">
      <c r="B330" t="e">
        <f t="shared" si="63"/>
        <v>#N/A</v>
      </c>
      <c r="C330" t="e">
        <f t="shared" ca="1" si="64"/>
        <v>#N/A</v>
      </c>
      <c r="D330" t="e">
        <f t="shared" ca="1" si="62"/>
        <v>#N/A</v>
      </c>
    </row>
    <row r="331" spans="2:4" x14ac:dyDescent="0.25">
      <c r="B331" t="e">
        <f t="shared" si="63"/>
        <v>#N/A</v>
      </c>
      <c r="C331" t="e">
        <f t="shared" ca="1" si="64"/>
        <v>#N/A</v>
      </c>
      <c r="D331" t="e">
        <f t="shared" ca="1" si="62"/>
        <v>#N/A</v>
      </c>
    </row>
    <row r="332" spans="2:4" x14ac:dyDescent="0.25">
      <c r="B332" t="e">
        <f t="shared" si="63"/>
        <v>#N/A</v>
      </c>
      <c r="C332" t="e">
        <f t="shared" ca="1" si="64"/>
        <v>#N/A</v>
      </c>
      <c r="D332" t="e">
        <f t="shared" ca="1" si="62"/>
        <v>#N/A</v>
      </c>
    </row>
    <row r="333" spans="2:4" x14ac:dyDescent="0.25">
      <c r="B333" t="e">
        <f t="shared" si="63"/>
        <v>#N/A</v>
      </c>
      <c r="C333" t="e">
        <f t="shared" ca="1" si="64"/>
        <v>#N/A</v>
      </c>
      <c r="D333" t="e">
        <f t="shared" ca="1" si="62"/>
        <v>#N/A</v>
      </c>
    </row>
    <row r="334" spans="2:4" x14ac:dyDescent="0.25">
      <c r="B334" t="e">
        <f t="shared" si="63"/>
        <v>#N/A</v>
      </c>
      <c r="C334" t="e">
        <f t="shared" ca="1" si="64"/>
        <v>#N/A</v>
      </c>
      <c r="D334" t="e">
        <f t="shared" ref="D334:D349" ca="1" si="65">AVERAGE(C325:C344)</f>
        <v>#N/A</v>
      </c>
    </row>
    <row r="335" spans="2:4" x14ac:dyDescent="0.25">
      <c r="B335" t="e">
        <f t="shared" si="63"/>
        <v>#N/A</v>
      </c>
      <c r="C335" t="e">
        <f t="shared" ca="1" si="64"/>
        <v>#N/A</v>
      </c>
      <c r="D335" t="e">
        <f t="shared" ca="1" si="65"/>
        <v>#N/A</v>
      </c>
    </row>
    <row r="336" spans="2:4" x14ac:dyDescent="0.25">
      <c r="B336" t="e">
        <f t="shared" si="63"/>
        <v>#N/A</v>
      </c>
      <c r="C336" t="e">
        <f t="shared" ca="1" si="64"/>
        <v>#N/A</v>
      </c>
      <c r="D336" t="e">
        <f t="shared" ca="1" si="65"/>
        <v>#N/A</v>
      </c>
    </row>
    <row r="337" spans="2:4" x14ac:dyDescent="0.25">
      <c r="B337" t="e">
        <f t="shared" si="63"/>
        <v>#N/A</v>
      </c>
      <c r="C337" t="e">
        <f t="shared" ca="1" si="64"/>
        <v>#N/A</v>
      </c>
      <c r="D337" t="e">
        <f t="shared" ca="1" si="65"/>
        <v>#N/A</v>
      </c>
    </row>
    <row r="338" spans="2:4" x14ac:dyDescent="0.25">
      <c r="B338" t="e">
        <f t="shared" si="63"/>
        <v>#N/A</v>
      </c>
      <c r="C338" t="e">
        <f t="shared" ca="1" si="64"/>
        <v>#N/A</v>
      </c>
      <c r="D338" t="e">
        <f t="shared" ca="1" si="65"/>
        <v>#N/A</v>
      </c>
    </row>
    <row r="339" spans="2:4" x14ac:dyDescent="0.25">
      <c r="B339" t="e">
        <f t="shared" si="63"/>
        <v>#N/A</v>
      </c>
      <c r="C339" t="e">
        <f t="shared" ca="1" si="64"/>
        <v>#N/A</v>
      </c>
      <c r="D339" t="e">
        <f t="shared" ca="1" si="65"/>
        <v>#N/A</v>
      </c>
    </row>
    <row r="340" spans="2:4" x14ac:dyDescent="0.25">
      <c r="B340" t="e">
        <f t="shared" si="63"/>
        <v>#N/A</v>
      </c>
      <c r="C340" t="e">
        <f t="shared" ca="1" si="64"/>
        <v>#N/A</v>
      </c>
      <c r="D340" t="e">
        <f t="shared" ca="1" si="65"/>
        <v>#N/A</v>
      </c>
    </row>
    <row r="341" spans="2:4" x14ac:dyDescent="0.25">
      <c r="B341" t="e">
        <f t="shared" ref="B341:B356" si="66">LOOKUP(A341,$F$5:$F$24,$G$5:$G$24)</f>
        <v>#N/A</v>
      </c>
      <c r="C341" t="e">
        <f t="shared" ref="C341:C356" ca="1" si="67">OFFSET($G$5,B341,$F$3,1,1)</f>
        <v>#N/A</v>
      </c>
      <c r="D341" t="e">
        <f t="shared" ca="1" si="65"/>
        <v>#N/A</v>
      </c>
    </row>
    <row r="342" spans="2:4" x14ac:dyDescent="0.25">
      <c r="B342" t="e">
        <f t="shared" si="66"/>
        <v>#N/A</v>
      </c>
      <c r="C342" t="e">
        <f t="shared" ca="1" si="67"/>
        <v>#N/A</v>
      </c>
      <c r="D342" t="e">
        <f t="shared" ca="1" si="65"/>
        <v>#N/A</v>
      </c>
    </row>
    <row r="343" spans="2:4" x14ac:dyDescent="0.25">
      <c r="B343" t="e">
        <f t="shared" si="66"/>
        <v>#N/A</v>
      </c>
      <c r="C343" t="e">
        <f t="shared" ca="1" si="67"/>
        <v>#N/A</v>
      </c>
      <c r="D343" t="e">
        <f t="shared" ca="1" si="65"/>
        <v>#N/A</v>
      </c>
    </row>
    <row r="344" spans="2:4" x14ac:dyDescent="0.25">
      <c r="B344" t="e">
        <f t="shared" si="66"/>
        <v>#N/A</v>
      </c>
      <c r="C344" t="e">
        <f t="shared" ca="1" si="67"/>
        <v>#N/A</v>
      </c>
      <c r="D344" t="e">
        <f t="shared" ca="1" si="65"/>
        <v>#N/A</v>
      </c>
    </row>
    <row r="345" spans="2:4" x14ac:dyDescent="0.25">
      <c r="B345" t="e">
        <f t="shared" si="66"/>
        <v>#N/A</v>
      </c>
      <c r="C345" t="e">
        <f t="shared" ca="1" si="67"/>
        <v>#N/A</v>
      </c>
      <c r="D345" t="e">
        <f t="shared" ca="1" si="65"/>
        <v>#N/A</v>
      </c>
    </row>
    <row r="346" spans="2:4" x14ac:dyDescent="0.25">
      <c r="B346" t="e">
        <f t="shared" si="66"/>
        <v>#N/A</v>
      </c>
      <c r="C346" t="e">
        <f t="shared" ca="1" si="67"/>
        <v>#N/A</v>
      </c>
      <c r="D346" t="e">
        <f t="shared" ca="1" si="65"/>
        <v>#N/A</v>
      </c>
    </row>
    <row r="347" spans="2:4" x14ac:dyDescent="0.25">
      <c r="B347" t="e">
        <f t="shared" si="66"/>
        <v>#N/A</v>
      </c>
      <c r="C347" t="e">
        <f t="shared" ca="1" si="67"/>
        <v>#N/A</v>
      </c>
      <c r="D347" t="e">
        <f t="shared" ca="1" si="65"/>
        <v>#N/A</v>
      </c>
    </row>
    <row r="348" spans="2:4" x14ac:dyDescent="0.25">
      <c r="B348" t="e">
        <f t="shared" si="66"/>
        <v>#N/A</v>
      </c>
      <c r="C348" t="e">
        <f t="shared" ca="1" si="67"/>
        <v>#N/A</v>
      </c>
      <c r="D348" t="e">
        <f t="shared" ca="1" si="65"/>
        <v>#N/A</v>
      </c>
    </row>
    <row r="349" spans="2:4" x14ac:dyDescent="0.25">
      <c r="B349" t="e">
        <f t="shared" si="66"/>
        <v>#N/A</v>
      </c>
      <c r="C349" t="e">
        <f t="shared" ca="1" si="67"/>
        <v>#N/A</v>
      </c>
      <c r="D349" t="e">
        <f t="shared" ca="1" si="65"/>
        <v>#N/A</v>
      </c>
    </row>
    <row r="350" spans="2:4" x14ac:dyDescent="0.25">
      <c r="B350" t="e">
        <f t="shared" si="66"/>
        <v>#N/A</v>
      </c>
      <c r="C350" t="e">
        <f t="shared" ca="1" si="67"/>
        <v>#N/A</v>
      </c>
      <c r="D350" t="e">
        <f t="shared" ref="D350:D365" ca="1" si="68">AVERAGE(C341:C360)</f>
        <v>#N/A</v>
      </c>
    </row>
    <row r="351" spans="2:4" x14ac:dyDescent="0.25">
      <c r="B351" t="e">
        <f t="shared" si="66"/>
        <v>#N/A</v>
      </c>
      <c r="C351" t="e">
        <f t="shared" ca="1" si="67"/>
        <v>#N/A</v>
      </c>
      <c r="D351" t="e">
        <f t="shared" ca="1" si="68"/>
        <v>#N/A</v>
      </c>
    </row>
    <row r="352" spans="2:4" x14ac:dyDescent="0.25">
      <c r="B352" t="e">
        <f t="shared" si="66"/>
        <v>#N/A</v>
      </c>
      <c r="C352" t="e">
        <f t="shared" ca="1" si="67"/>
        <v>#N/A</v>
      </c>
      <c r="D352" t="e">
        <f t="shared" ca="1" si="68"/>
        <v>#N/A</v>
      </c>
    </row>
    <row r="353" spans="2:4" x14ac:dyDescent="0.25">
      <c r="B353" t="e">
        <f t="shared" si="66"/>
        <v>#N/A</v>
      </c>
      <c r="C353" t="e">
        <f t="shared" ca="1" si="67"/>
        <v>#N/A</v>
      </c>
      <c r="D353" t="e">
        <f t="shared" ca="1" si="68"/>
        <v>#N/A</v>
      </c>
    </row>
    <row r="354" spans="2:4" x14ac:dyDescent="0.25">
      <c r="B354" t="e">
        <f t="shared" si="66"/>
        <v>#N/A</v>
      </c>
      <c r="C354" t="e">
        <f t="shared" ca="1" si="67"/>
        <v>#N/A</v>
      </c>
      <c r="D354" t="e">
        <f t="shared" ca="1" si="68"/>
        <v>#N/A</v>
      </c>
    </row>
    <row r="355" spans="2:4" x14ac:dyDescent="0.25">
      <c r="B355" t="e">
        <f t="shared" si="66"/>
        <v>#N/A</v>
      </c>
      <c r="C355" t="e">
        <f t="shared" ca="1" si="67"/>
        <v>#N/A</v>
      </c>
      <c r="D355" t="e">
        <f t="shared" ca="1" si="68"/>
        <v>#N/A</v>
      </c>
    </row>
    <row r="356" spans="2:4" x14ac:dyDescent="0.25">
      <c r="B356" t="e">
        <f t="shared" si="66"/>
        <v>#N/A</v>
      </c>
      <c r="C356" t="e">
        <f t="shared" ca="1" si="67"/>
        <v>#N/A</v>
      </c>
      <c r="D356" t="e">
        <f t="shared" ca="1" si="68"/>
        <v>#N/A</v>
      </c>
    </row>
    <row r="357" spans="2:4" x14ac:dyDescent="0.25">
      <c r="B357" t="e">
        <f t="shared" ref="B357:B372" si="69">LOOKUP(A357,$F$5:$F$24,$G$5:$G$24)</f>
        <v>#N/A</v>
      </c>
      <c r="C357" t="e">
        <f t="shared" ref="C357:C372" ca="1" si="70">OFFSET($G$5,B357,$F$3,1,1)</f>
        <v>#N/A</v>
      </c>
      <c r="D357" t="e">
        <f t="shared" ca="1" si="68"/>
        <v>#N/A</v>
      </c>
    </row>
    <row r="358" spans="2:4" x14ac:dyDescent="0.25">
      <c r="B358" t="e">
        <f t="shared" si="69"/>
        <v>#N/A</v>
      </c>
      <c r="C358" t="e">
        <f t="shared" ca="1" si="70"/>
        <v>#N/A</v>
      </c>
      <c r="D358" t="e">
        <f t="shared" ca="1" si="68"/>
        <v>#N/A</v>
      </c>
    </row>
    <row r="359" spans="2:4" x14ac:dyDescent="0.25">
      <c r="B359" t="e">
        <f t="shared" si="69"/>
        <v>#N/A</v>
      </c>
      <c r="C359" t="e">
        <f t="shared" ca="1" si="70"/>
        <v>#N/A</v>
      </c>
      <c r="D359" t="e">
        <f t="shared" ca="1" si="68"/>
        <v>#N/A</v>
      </c>
    </row>
    <row r="360" spans="2:4" x14ac:dyDescent="0.25">
      <c r="B360" t="e">
        <f t="shared" si="69"/>
        <v>#N/A</v>
      </c>
      <c r="C360" t="e">
        <f t="shared" ca="1" si="70"/>
        <v>#N/A</v>
      </c>
      <c r="D360" t="e">
        <f t="shared" ca="1" si="68"/>
        <v>#N/A</v>
      </c>
    </row>
    <row r="361" spans="2:4" x14ac:dyDescent="0.25">
      <c r="B361" t="e">
        <f t="shared" si="69"/>
        <v>#N/A</v>
      </c>
      <c r="C361" t="e">
        <f t="shared" ca="1" si="70"/>
        <v>#N/A</v>
      </c>
      <c r="D361" t="e">
        <f t="shared" ca="1" si="68"/>
        <v>#N/A</v>
      </c>
    </row>
    <row r="362" spans="2:4" x14ac:dyDescent="0.25">
      <c r="B362" t="e">
        <f t="shared" si="69"/>
        <v>#N/A</v>
      </c>
      <c r="C362" t="e">
        <f t="shared" ca="1" si="70"/>
        <v>#N/A</v>
      </c>
      <c r="D362" t="e">
        <f t="shared" ca="1" si="68"/>
        <v>#N/A</v>
      </c>
    </row>
    <row r="363" spans="2:4" x14ac:dyDescent="0.25">
      <c r="B363" t="e">
        <f t="shared" si="69"/>
        <v>#N/A</v>
      </c>
      <c r="C363" t="e">
        <f t="shared" ca="1" si="70"/>
        <v>#N/A</v>
      </c>
      <c r="D363" t="e">
        <f t="shared" ca="1" si="68"/>
        <v>#N/A</v>
      </c>
    </row>
    <row r="364" spans="2:4" x14ac:dyDescent="0.25">
      <c r="B364" t="e">
        <f t="shared" si="69"/>
        <v>#N/A</v>
      </c>
      <c r="C364" t="e">
        <f t="shared" ca="1" si="70"/>
        <v>#N/A</v>
      </c>
      <c r="D364" t="e">
        <f t="shared" ca="1" si="68"/>
        <v>#N/A</v>
      </c>
    </row>
    <row r="365" spans="2:4" x14ac:dyDescent="0.25">
      <c r="B365" t="e">
        <f t="shared" si="69"/>
        <v>#N/A</v>
      </c>
      <c r="C365" t="e">
        <f t="shared" ca="1" si="70"/>
        <v>#N/A</v>
      </c>
      <c r="D365" t="e">
        <f t="shared" ca="1" si="68"/>
        <v>#N/A</v>
      </c>
    </row>
    <row r="366" spans="2:4" x14ac:dyDescent="0.25">
      <c r="B366" t="e">
        <f t="shared" si="69"/>
        <v>#N/A</v>
      </c>
      <c r="C366" t="e">
        <f t="shared" ca="1" si="70"/>
        <v>#N/A</v>
      </c>
      <c r="D366" t="e">
        <f t="shared" ref="D366:D381" ca="1" si="71">AVERAGE(C357:C376)</f>
        <v>#N/A</v>
      </c>
    </row>
    <row r="367" spans="2:4" x14ac:dyDescent="0.25">
      <c r="B367" t="e">
        <f t="shared" si="69"/>
        <v>#N/A</v>
      </c>
      <c r="C367" t="e">
        <f t="shared" ca="1" si="70"/>
        <v>#N/A</v>
      </c>
      <c r="D367" t="e">
        <f t="shared" ca="1" si="71"/>
        <v>#N/A</v>
      </c>
    </row>
    <row r="368" spans="2:4" x14ac:dyDescent="0.25">
      <c r="B368" t="e">
        <f t="shared" si="69"/>
        <v>#N/A</v>
      </c>
      <c r="C368" t="e">
        <f t="shared" ca="1" si="70"/>
        <v>#N/A</v>
      </c>
      <c r="D368" t="e">
        <f t="shared" ca="1" si="71"/>
        <v>#N/A</v>
      </c>
    </row>
    <row r="369" spans="2:4" x14ac:dyDescent="0.25">
      <c r="B369" t="e">
        <f t="shared" si="69"/>
        <v>#N/A</v>
      </c>
      <c r="C369" t="e">
        <f t="shared" ca="1" si="70"/>
        <v>#N/A</v>
      </c>
      <c r="D369" t="e">
        <f t="shared" ca="1" si="71"/>
        <v>#N/A</v>
      </c>
    </row>
    <row r="370" spans="2:4" x14ac:dyDescent="0.25">
      <c r="B370" t="e">
        <f t="shared" si="69"/>
        <v>#N/A</v>
      </c>
      <c r="C370" t="e">
        <f t="shared" ca="1" si="70"/>
        <v>#N/A</v>
      </c>
      <c r="D370" t="e">
        <f t="shared" ca="1" si="71"/>
        <v>#N/A</v>
      </c>
    </row>
    <row r="371" spans="2:4" x14ac:dyDescent="0.25">
      <c r="B371" t="e">
        <f t="shared" si="69"/>
        <v>#N/A</v>
      </c>
      <c r="C371" t="e">
        <f t="shared" ca="1" si="70"/>
        <v>#N/A</v>
      </c>
      <c r="D371" t="e">
        <f t="shared" ca="1" si="71"/>
        <v>#N/A</v>
      </c>
    </row>
    <row r="372" spans="2:4" x14ac:dyDescent="0.25">
      <c r="B372" t="e">
        <f t="shared" si="69"/>
        <v>#N/A</v>
      </c>
      <c r="C372" t="e">
        <f t="shared" ca="1" si="70"/>
        <v>#N/A</v>
      </c>
      <c r="D372" t="e">
        <f t="shared" ca="1" si="71"/>
        <v>#N/A</v>
      </c>
    </row>
    <row r="373" spans="2:4" x14ac:dyDescent="0.25">
      <c r="B373" t="e">
        <f t="shared" ref="B373:B388" si="72">LOOKUP(A373,$F$5:$F$24,$G$5:$G$24)</f>
        <v>#N/A</v>
      </c>
      <c r="C373" t="e">
        <f t="shared" ref="C373:C388" ca="1" si="73">OFFSET($G$5,B373,$F$3,1,1)</f>
        <v>#N/A</v>
      </c>
      <c r="D373" t="e">
        <f t="shared" ca="1" si="71"/>
        <v>#N/A</v>
      </c>
    </row>
    <row r="374" spans="2:4" x14ac:dyDescent="0.25">
      <c r="B374" t="e">
        <f t="shared" si="72"/>
        <v>#N/A</v>
      </c>
      <c r="C374" t="e">
        <f t="shared" ca="1" si="73"/>
        <v>#N/A</v>
      </c>
      <c r="D374" t="e">
        <f t="shared" ca="1" si="71"/>
        <v>#N/A</v>
      </c>
    </row>
    <row r="375" spans="2:4" x14ac:dyDescent="0.25">
      <c r="B375" t="e">
        <f t="shared" si="72"/>
        <v>#N/A</v>
      </c>
      <c r="C375" t="e">
        <f t="shared" ca="1" si="73"/>
        <v>#N/A</v>
      </c>
      <c r="D375" t="e">
        <f t="shared" ca="1" si="71"/>
        <v>#N/A</v>
      </c>
    </row>
    <row r="376" spans="2:4" x14ac:dyDescent="0.25">
      <c r="B376" t="e">
        <f t="shared" si="72"/>
        <v>#N/A</v>
      </c>
      <c r="C376" t="e">
        <f t="shared" ca="1" si="73"/>
        <v>#N/A</v>
      </c>
      <c r="D376" t="e">
        <f t="shared" ca="1" si="71"/>
        <v>#N/A</v>
      </c>
    </row>
    <row r="377" spans="2:4" x14ac:dyDescent="0.25">
      <c r="B377" t="e">
        <f t="shared" si="72"/>
        <v>#N/A</v>
      </c>
      <c r="C377" t="e">
        <f t="shared" ca="1" si="73"/>
        <v>#N/A</v>
      </c>
      <c r="D377" t="e">
        <f t="shared" ca="1" si="71"/>
        <v>#N/A</v>
      </c>
    </row>
    <row r="378" spans="2:4" x14ac:dyDescent="0.25">
      <c r="B378" t="e">
        <f t="shared" si="72"/>
        <v>#N/A</v>
      </c>
      <c r="C378" t="e">
        <f t="shared" ca="1" si="73"/>
        <v>#N/A</v>
      </c>
      <c r="D378" t="e">
        <f t="shared" ca="1" si="71"/>
        <v>#N/A</v>
      </c>
    </row>
    <row r="379" spans="2:4" x14ac:dyDescent="0.25">
      <c r="B379" t="e">
        <f t="shared" si="72"/>
        <v>#N/A</v>
      </c>
      <c r="C379" t="e">
        <f t="shared" ca="1" si="73"/>
        <v>#N/A</v>
      </c>
      <c r="D379" t="e">
        <f t="shared" ca="1" si="71"/>
        <v>#N/A</v>
      </c>
    </row>
    <row r="380" spans="2:4" x14ac:dyDescent="0.25">
      <c r="B380" t="e">
        <f t="shared" si="72"/>
        <v>#N/A</v>
      </c>
      <c r="C380" t="e">
        <f t="shared" ca="1" si="73"/>
        <v>#N/A</v>
      </c>
      <c r="D380" t="e">
        <f t="shared" ca="1" si="71"/>
        <v>#N/A</v>
      </c>
    </row>
    <row r="381" spans="2:4" x14ac:dyDescent="0.25">
      <c r="B381" t="e">
        <f t="shared" si="72"/>
        <v>#N/A</v>
      </c>
      <c r="C381" t="e">
        <f t="shared" ca="1" si="73"/>
        <v>#N/A</v>
      </c>
      <c r="D381" t="e">
        <f t="shared" ca="1" si="71"/>
        <v>#N/A</v>
      </c>
    </row>
    <row r="382" spans="2:4" x14ac:dyDescent="0.25">
      <c r="B382" t="e">
        <f t="shared" si="72"/>
        <v>#N/A</v>
      </c>
      <c r="C382" t="e">
        <f t="shared" ca="1" si="73"/>
        <v>#N/A</v>
      </c>
      <c r="D382" t="e">
        <f t="shared" ref="D382:D397" ca="1" si="74">AVERAGE(C373:C392)</f>
        <v>#N/A</v>
      </c>
    </row>
    <row r="383" spans="2:4" x14ac:dyDescent="0.25">
      <c r="B383" t="e">
        <f t="shared" si="72"/>
        <v>#N/A</v>
      </c>
      <c r="C383" t="e">
        <f t="shared" ca="1" si="73"/>
        <v>#N/A</v>
      </c>
      <c r="D383" t="e">
        <f t="shared" ca="1" si="74"/>
        <v>#N/A</v>
      </c>
    </row>
    <row r="384" spans="2:4" x14ac:dyDescent="0.25">
      <c r="B384" t="e">
        <f t="shared" si="72"/>
        <v>#N/A</v>
      </c>
      <c r="C384" t="e">
        <f t="shared" ca="1" si="73"/>
        <v>#N/A</v>
      </c>
      <c r="D384" t="e">
        <f t="shared" ca="1" si="74"/>
        <v>#N/A</v>
      </c>
    </row>
    <row r="385" spans="2:4" x14ac:dyDescent="0.25">
      <c r="B385" t="e">
        <f t="shared" si="72"/>
        <v>#N/A</v>
      </c>
      <c r="C385" t="e">
        <f t="shared" ca="1" si="73"/>
        <v>#N/A</v>
      </c>
      <c r="D385" t="e">
        <f t="shared" ca="1" si="74"/>
        <v>#N/A</v>
      </c>
    </row>
    <row r="386" spans="2:4" x14ac:dyDescent="0.25">
      <c r="B386" t="e">
        <f t="shared" si="72"/>
        <v>#N/A</v>
      </c>
      <c r="C386" t="e">
        <f t="shared" ca="1" si="73"/>
        <v>#N/A</v>
      </c>
      <c r="D386" t="e">
        <f t="shared" ca="1" si="74"/>
        <v>#N/A</v>
      </c>
    </row>
    <row r="387" spans="2:4" x14ac:dyDescent="0.25">
      <c r="B387" t="e">
        <f t="shared" si="72"/>
        <v>#N/A</v>
      </c>
      <c r="C387" t="e">
        <f t="shared" ca="1" si="73"/>
        <v>#N/A</v>
      </c>
      <c r="D387" t="e">
        <f t="shared" ca="1" si="74"/>
        <v>#N/A</v>
      </c>
    </row>
    <row r="388" spans="2:4" x14ac:dyDescent="0.25">
      <c r="B388" t="e">
        <f t="shared" si="72"/>
        <v>#N/A</v>
      </c>
      <c r="C388" t="e">
        <f t="shared" ca="1" si="73"/>
        <v>#N/A</v>
      </c>
      <c r="D388" t="e">
        <f t="shared" ca="1" si="74"/>
        <v>#N/A</v>
      </c>
    </row>
    <row r="389" spans="2:4" x14ac:dyDescent="0.25">
      <c r="B389" t="e">
        <f t="shared" ref="B389:B404" si="75">LOOKUP(A389,$F$5:$F$24,$G$5:$G$24)</f>
        <v>#N/A</v>
      </c>
      <c r="C389" t="e">
        <f t="shared" ref="C389:C404" ca="1" si="76">OFFSET($G$5,B389,$F$3,1,1)</f>
        <v>#N/A</v>
      </c>
      <c r="D389" t="e">
        <f t="shared" ca="1" si="74"/>
        <v>#N/A</v>
      </c>
    </row>
    <row r="390" spans="2:4" x14ac:dyDescent="0.25">
      <c r="B390" t="e">
        <f t="shared" si="75"/>
        <v>#N/A</v>
      </c>
      <c r="C390" t="e">
        <f t="shared" ca="1" si="76"/>
        <v>#N/A</v>
      </c>
      <c r="D390" t="e">
        <f t="shared" ca="1" si="74"/>
        <v>#N/A</v>
      </c>
    </row>
    <row r="391" spans="2:4" x14ac:dyDescent="0.25">
      <c r="B391" t="e">
        <f t="shared" si="75"/>
        <v>#N/A</v>
      </c>
      <c r="C391" t="e">
        <f t="shared" ca="1" si="76"/>
        <v>#N/A</v>
      </c>
      <c r="D391" t="e">
        <f t="shared" ca="1" si="74"/>
        <v>#N/A</v>
      </c>
    </row>
    <row r="392" spans="2:4" x14ac:dyDescent="0.25">
      <c r="B392" t="e">
        <f t="shared" si="75"/>
        <v>#N/A</v>
      </c>
      <c r="C392" t="e">
        <f t="shared" ca="1" si="76"/>
        <v>#N/A</v>
      </c>
      <c r="D392" t="e">
        <f t="shared" ca="1" si="74"/>
        <v>#N/A</v>
      </c>
    </row>
    <row r="393" spans="2:4" x14ac:dyDescent="0.25">
      <c r="B393" t="e">
        <f t="shared" si="75"/>
        <v>#N/A</v>
      </c>
      <c r="C393" t="e">
        <f t="shared" ca="1" si="76"/>
        <v>#N/A</v>
      </c>
      <c r="D393" t="e">
        <f t="shared" ca="1" si="74"/>
        <v>#N/A</v>
      </c>
    </row>
    <row r="394" spans="2:4" x14ac:dyDescent="0.25">
      <c r="B394" t="e">
        <f t="shared" si="75"/>
        <v>#N/A</v>
      </c>
      <c r="C394" t="e">
        <f t="shared" ca="1" si="76"/>
        <v>#N/A</v>
      </c>
      <c r="D394" t="e">
        <f t="shared" ca="1" si="74"/>
        <v>#N/A</v>
      </c>
    </row>
    <row r="395" spans="2:4" x14ac:dyDescent="0.25">
      <c r="B395" t="e">
        <f t="shared" si="75"/>
        <v>#N/A</v>
      </c>
      <c r="C395" t="e">
        <f t="shared" ca="1" si="76"/>
        <v>#N/A</v>
      </c>
      <c r="D395" t="e">
        <f t="shared" ca="1" si="74"/>
        <v>#N/A</v>
      </c>
    </row>
    <row r="396" spans="2:4" x14ac:dyDescent="0.25">
      <c r="B396" t="e">
        <f t="shared" si="75"/>
        <v>#N/A</v>
      </c>
      <c r="C396" t="e">
        <f t="shared" ca="1" si="76"/>
        <v>#N/A</v>
      </c>
      <c r="D396" t="e">
        <f t="shared" ca="1" si="74"/>
        <v>#N/A</v>
      </c>
    </row>
    <row r="397" spans="2:4" x14ac:dyDescent="0.25">
      <c r="B397" t="e">
        <f t="shared" si="75"/>
        <v>#N/A</v>
      </c>
      <c r="C397" t="e">
        <f t="shared" ca="1" si="76"/>
        <v>#N/A</v>
      </c>
      <c r="D397" t="e">
        <f t="shared" ca="1" si="74"/>
        <v>#N/A</v>
      </c>
    </row>
    <row r="398" spans="2:4" x14ac:dyDescent="0.25">
      <c r="B398" t="e">
        <f t="shared" si="75"/>
        <v>#N/A</v>
      </c>
      <c r="C398" t="e">
        <f t="shared" ca="1" si="76"/>
        <v>#N/A</v>
      </c>
      <c r="D398" t="e">
        <f t="shared" ref="D398:D413" ca="1" si="77">AVERAGE(C389:C408)</f>
        <v>#N/A</v>
      </c>
    </row>
    <row r="399" spans="2:4" x14ac:dyDescent="0.25">
      <c r="B399" t="e">
        <f t="shared" si="75"/>
        <v>#N/A</v>
      </c>
      <c r="C399" t="e">
        <f t="shared" ca="1" si="76"/>
        <v>#N/A</v>
      </c>
      <c r="D399" t="e">
        <f t="shared" ca="1" si="77"/>
        <v>#N/A</v>
      </c>
    </row>
    <row r="400" spans="2:4" x14ac:dyDescent="0.25">
      <c r="B400" t="e">
        <f t="shared" si="75"/>
        <v>#N/A</v>
      </c>
      <c r="C400" t="e">
        <f t="shared" ca="1" si="76"/>
        <v>#N/A</v>
      </c>
      <c r="D400" t="e">
        <f t="shared" ca="1" si="77"/>
        <v>#N/A</v>
      </c>
    </row>
    <row r="401" spans="2:4" x14ac:dyDescent="0.25">
      <c r="B401" t="e">
        <f t="shared" si="75"/>
        <v>#N/A</v>
      </c>
      <c r="C401" t="e">
        <f t="shared" ca="1" si="76"/>
        <v>#N/A</v>
      </c>
      <c r="D401" t="e">
        <f t="shared" ca="1" si="77"/>
        <v>#N/A</v>
      </c>
    </row>
    <row r="402" spans="2:4" x14ac:dyDescent="0.25">
      <c r="B402" t="e">
        <f t="shared" si="75"/>
        <v>#N/A</v>
      </c>
      <c r="C402" t="e">
        <f t="shared" ca="1" si="76"/>
        <v>#N/A</v>
      </c>
      <c r="D402" t="e">
        <f t="shared" ca="1" si="77"/>
        <v>#N/A</v>
      </c>
    </row>
    <row r="403" spans="2:4" x14ac:dyDescent="0.25">
      <c r="B403" t="e">
        <f t="shared" si="75"/>
        <v>#N/A</v>
      </c>
      <c r="C403" t="e">
        <f t="shared" ca="1" si="76"/>
        <v>#N/A</v>
      </c>
      <c r="D403" t="e">
        <f t="shared" ca="1" si="77"/>
        <v>#N/A</v>
      </c>
    </row>
    <row r="404" spans="2:4" x14ac:dyDescent="0.25">
      <c r="B404" t="e">
        <f t="shared" si="75"/>
        <v>#N/A</v>
      </c>
      <c r="C404" t="e">
        <f t="shared" ca="1" si="76"/>
        <v>#N/A</v>
      </c>
      <c r="D404" t="e">
        <f t="shared" ca="1" si="77"/>
        <v>#N/A</v>
      </c>
    </row>
    <row r="405" spans="2:4" x14ac:dyDescent="0.25">
      <c r="B405" t="e">
        <f t="shared" ref="B405:B420" si="78">LOOKUP(A405,$F$5:$F$24,$G$5:$G$24)</f>
        <v>#N/A</v>
      </c>
      <c r="C405" t="e">
        <f t="shared" ref="C405:C420" ca="1" si="79">OFFSET($G$5,B405,$F$3,1,1)</f>
        <v>#N/A</v>
      </c>
      <c r="D405" t="e">
        <f t="shared" ca="1" si="77"/>
        <v>#N/A</v>
      </c>
    </row>
    <row r="406" spans="2:4" x14ac:dyDescent="0.25">
      <c r="B406" t="e">
        <f t="shared" si="78"/>
        <v>#N/A</v>
      </c>
      <c r="C406" t="e">
        <f t="shared" ca="1" si="79"/>
        <v>#N/A</v>
      </c>
      <c r="D406" t="e">
        <f t="shared" ca="1" si="77"/>
        <v>#N/A</v>
      </c>
    </row>
    <row r="407" spans="2:4" x14ac:dyDescent="0.25">
      <c r="B407" t="e">
        <f t="shared" si="78"/>
        <v>#N/A</v>
      </c>
      <c r="C407" t="e">
        <f t="shared" ca="1" si="79"/>
        <v>#N/A</v>
      </c>
      <c r="D407" t="e">
        <f t="shared" ca="1" si="77"/>
        <v>#N/A</v>
      </c>
    </row>
    <row r="408" spans="2:4" x14ac:dyDescent="0.25">
      <c r="B408" t="e">
        <f t="shared" si="78"/>
        <v>#N/A</v>
      </c>
      <c r="C408" t="e">
        <f t="shared" ca="1" si="79"/>
        <v>#N/A</v>
      </c>
      <c r="D408" t="e">
        <f t="shared" ca="1" si="77"/>
        <v>#N/A</v>
      </c>
    </row>
    <row r="409" spans="2:4" x14ac:dyDescent="0.25">
      <c r="B409" t="e">
        <f t="shared" si="78"/>
        <v>#N/A</v>
      </c>
      <c r="C409" t="e">
        <f t="shared" ca="1" si="79"/>
        <v>#N/A</v>
      </c>
      <c r="D409" t="e">
        <f t="shared" ca="1" si="77"/>
        <v>#N/A</v>
      </c>
    </row>
    <row r="410" spans="2:4" x14ac:dyDescent="0.25">
      <c r="B410" t="e">
        <f t="shared" si="78"/>
        <v>#N/A</v>
      </c>
      <c r="C410" t="e">
        <f t="shared" ca="1" si="79"/>
        <v>#N/A</v>
      </c>
      <c r="D410" t="e">
        <f t="shared" ca="1" si="77"/>
        <v>#N/A</v>
      </c>
    </row>
    <row r="411" spans="2:4" x14ac:dyDescent="0.25">
      <c r="B411" t="e">
        <f t="shared" si="78"/>
        <v>#N/A</v>
      </c>
      <c r="C411" t="e">
        <f t="shared" ca="1" si="79"/>
        <v>#N/A</v>
      </c>
      <c r="D411" t="e">
        <f t="shared" ca="1" si="77"/>
        <v>#N/A</v>
      </c>
    </row>
    <row r="412" spans="2:4" x14ac:dyDescent="0.25">
      <c r="B412" t="e">
        <f t="shared" si="78"/>
        <v>#N/A</v>
      </c>
      <c r="C412" t="e">
        <f t="shared" ca="1" si="79"/>
        <v>#N/A</v>
      </c>
      <c r="D412" t="e">
        <f t="shared" ca="1" si="77"/>
        <v>#N/A</v>
      </c>
    </row>
    <row r="413" spans="2:4" x14ac:dyDescent="0.25">
      <c r="B413" t="e">
        <f t="shared" si="78"/>
        <v>#N/A</v>
      </c>
      <c r="C413" t="e">
        <f t="shared" ca="1" si="79"/>
        <v>#N/A</v>
      </c>
      <c r="D413" t="e">
        <f t="shared" ca="1" si="77"/>
        <v>#N/A</v>
      </c>
    </row>
    <row r="414" spans="2:4" x14ac:dyDescent="0.25">
      <c r="B414" t="e">
        <f t="shared" si="78"/>
        <v>#N/A</v>
      </c>
      <c r="C414" t="e">
        <f t="shared" ca="1" si="79"/>
        <v>#N/A</v>
      </c>
      <c r="D414" t="e">
        <f t="shared" ref="D414:D421" ca="1" si="80">AVERAGE(C405:C424)</f>
        <v>#N/A</v>
      </c>
    </row>
    <row r="415" spans="2:4" x14ac:dyDescent="0.25">
      <c r="B415" t="e">
        <f t="shared" si="78"/>
        <v>#N/A</v>
      </c>
      <c r="C415" t="e">
        <f t="shared" ca="1" si="79"/>
        <v>#N/A</v>
      </c>
      <c r="D415" t="e">
        <f t="shared" ca="1" si="80"/>
        <v>#N/A</v>
      </c>
    </row>
    <row r="416" spans="2:4" x14ac:dyDescent="0.25">
      <c r="B416" t="e">
        <f t="shared" si="78"/>
        <v>#N/A</v>
      </c>
      <c r="C416" t="e">
        <f t="shared" ca="1" si="79"/>
        <v>#N/A</v>
      </c>
      <c r="D416" t="e">
        <f t="shared" ca="1" si="80"/>
        <v>#N/A</v>
      </c>
    </row>
    <row r="417" spans="2:4" x14ac:dyDescent="0.25">
      <c r="B417" t="e">
        <f t="shared" si="78"/>
        <v>#N/A</v>
      </c>
      <c r="C417" t="e">
        <f t="shared" ca="1" si="79"/>
        <v>#N/A</v>
      </c>
      <c r="D417" t="e">
        <f t="shared" ca="1" si="80"/>
        <v>#N/A</v>
      </c>
    </row>
    <row r="418" spans="2:4" x14ac:dyDescent="0.25">
      <c r="B418" t="e">
        <f t="shared" si="78"/>
        <v>#N/A</v>
      </c>
      <c r="C418" t="e">
        <f t="shared" ca="1" si="79"/>
        <v>#N/A</v>
      </c>
      <c r="D418" t="e">
        <f t="shared" ca="1" si="80"/>
        <v>#N/A</v>
      </c>
    </row>
    <row r="419" spans="2:4" x14ac:dyDescent="0.25">
      <c r="B419" t="e">
        <f t="shared" si="78"/>
        <v>#N/A</v>
      </c>
      <c r="C419" t="e">
        <f t="shared" ca="1" si="79"/>
        <v>#N/A</v>
      </c>
      <c r="D419" t="e">
        <f t="shared" ca="1" si="80"/>
        <v>#N/A</v>
      </c>
    </row>
    <row r="420" spans="2:4" x14ac:dyDescent="0.25">
      <c r="B420" t="e">
        <f t="shared" si="78"/>
        <v>#N/A</v>
      </c>
      <c r="C420" t="e">
        <f t="shared" ca="1" si="79"/>
        <v>#N/A</v>
      </c>
      <c r="D420" t="e">
        <f t="shared" ca="1" si="80"/>
        <v>#N/A</v>
      </c>
    </row>
    <row r="421" spans="2:4" x14ac:dyDescent="0.25">
      <c r="B421" t="e">
        <f>LOOKUP(A421,$F$5:$F$24,$G$5:$G$24)</f>
        <v>#N/A</v>
      </c>
      <c r="C421" t="e">
        <f ca="1">OFFSET($G$5,B421,$F$3,1,1)</f>
        <v>#N/A</v>
      </c>
      <c r="D421" t="e">
        <f t="shared" ca="1" si="80"/>
        <v>#N/A</v>
      </c>
    </row>
  </sheetData>
  <printOptions gridLines="1" gridLinesSet="0"/>
  <pageMargins left="0.75" right="0.75" top="1" bottom="1" header="0.5" footer="0.5"/>
  <pageSetup orientation="portrait" horizontalDpi="240" verticalDpi="144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/>
  </sheetViews>
  <sheetFormatPr defaultColWidth="8.90625" defaultRowHeight="12.5" x14ac:dyDescent="0.25"/>
  <sheetData>
    <row r="1" spans="2:2" ht="13" x14ac:dyDescent="0.3">
      <c r="B1" s="6" t="s">
        <v>31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/>
  </sheetViews>
  <sheetFormatPr defaultColWidth="8.90625" defaultRowHeight="12.5" x14ac:dyDescent="0.25"/>
  <cols>
    <col min="1" max="1" width="9.08984375" style="3" customWidth="1"/>
    <col min="2" max="2" width="10" customWidth="1"/>
    <col min="3" max="3" width="9.6328125" customWidth="1"/>
    <col min="4" max="4" width="9.453125" customWidth="1"/>
    <col min="5" max="5" width="9.54296875" customWidth="1"/>
    <col min="6" max="6" width="9.08984375" style="3" customWidth="1"/>
  </cols>
  <sheetData>
    <row r="1" spans="1:6" x14ac:dyDescent="0.25">
      <c r="A1"/>
      <c r="F1"/>
    </row>
    <row r="2" spans="1:6" x14ac:dyDescent="0.25">
      <c r="A2" s="3" t="s">
        <v>1</v>
      </c>
      <c r="B2" s="3" t="s">
        <v>32</v>
      </c>
      <c r="C2" s="3" t="s">
        <v>33</v>
      </c>
      <c r="D2" s="3" t="s">
        <v>34</v>
      </c>
      <c r="E2" s="5" t="s">
        <v>35</v>
      </c>
      <c r="F2" s="3" t="s">
        <v>36</v>
      </c>
    </row>
    <row r="3" spans="1:6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</row>
    <row r="4" spans="1:6" x14ac:dyDescent="0.25">
      <c r="A4" s="3" t="s">
        <v>12</v>
      </c>
      <c r="B4" s="3" t="s">
        <v>16</v>
      </c>
      <c r="C4" s="3" t="s">
        <v>13</v>
      </c>
      <c r="D4" s="3" t="s">
        <v>25</v>
      </c>
      <c r="E4" s="3" t="s">
        <v>13</v>
      </c>
      <c r="F4" s="3" t="s">
        <v>14</v>
      </c>
    </row>
    <row r="5" spans="1:6" x14ac:dyDescent="0.25">
      <c r="A5" s="3" t="s">
        <v>13</v>
      </c>
      <c r="B5" s="3" t="s">
        <v>14</v>
      </c>
      <c r="C5" s="3" t="s">
        <v>25</v>
      </c>
      <c r="D5" s="3" t="s">
        <v>13</v>
      </c>
      <c r="E5" s="3" t="s">
        <v>17</v>
      </c>
      <c r="F5" s="3" t="s">
        <v>12</v>
      </c>
    </row>
    <row r="6" spans="1:6" x14ac:dyDescent="0.25">
      <c r="A6" s="3" t="s">
        <v>12</v>
      </c>
      <c r="B6" s="3" t="s">
        <v>23</v>
      </c>
      <c r="C6" s="3" t="s">
        <v>26</v>
      </c>
      <c r="D6" s="3" t="s">
        <v>12</v>
      </c>
      <c r="E6" s="3" t="s">
        <v>22</v>
      </c>
      <c r="F6" s="3" t="s">
        <v>27</v>
      </c>
    </row>
    <row r="7" spans="1:6" x14ac:dyDescent="0.25">
      <c r="A7" s="3" t="s">
        <v>12</v>
      </c>
      <c r="B7" s="3" t="s">
        <v>24</v>
      </c>
      <c r="C7" s="3" t="s">
        <v>18</v>
      </c>
      <c r="D7" s="3" t="s">
        <v>16</v>
      </c>
      <c r="E7" s="3" t="s">
        <v>20</v>
      </c>
      <c r="F7" s="3" t="s">
        <v>25</v>
      </c>
    </row>
    <row r="8" spans="1:6" x14ac:dyDescent="0.25">
      <c r="A8" s="3" t="s">
        <v>17</v>
      </c>
      <c r="B8" s="3" t="s">
        <v>24</v>
      </c>
      <c r="C8" s="3" t="s">
        <v>26</v>
      </c>
      <c r="D8" s="3" t="s">
        <v>26</v>
      </c>
      <c r="E8" s="3" t="s">
        <v>27</v>
      </c>
      <c r="F8" s="3" t="s">
        <v>25</v>
      </c>
    </row>
    <row r="9" spans="1:6" x14ac:dyDescent="0.25">
      <c r="A9" s="3" t="s">
        <v>18</v>
      </c>
      <c r="B9" s="3" t="s">
        <v>24</v>
      </c>
      <c r="C9" s="3" t="s">
        <v>21</v>
      </c>
      <c r="D9" s="3" t="s">
        <v>12</v>
      </c>
      <c r="E9" s="3" t="s">
        <v>16</v>
      </c>
      <c r="F9" s="3" t="s">
        <v>14</v>
      </c>
    </row>
    <row r="10" spans="1:6" x14ac:dyDescent="0.25">
      <c r="A10" s="3" t="s">
        <v>14</v>
      </c>
      <c r="B10" s="3" t="s">
        <v>10</v>
      </c>
      <c r="C10" s="3" t="s">
        <v>12</v>
      </c>
      <c r="D10" s="3" t="s">
        <v>28</v>
      </c>
      <c r="E10" s="3" t="s">
        <v>25</v>
      </c>
      <c r="F10" s="3" t="s">
        <v>13</v>
      </c>
    </row>
    <row r="11" spans="1:6" x14ac:dyDescent="0.25">
      <c r="A11" s="3" t="s">
        <v>21</v>
      </c>
      <c r="B11" s="3" t="s">
        <v>26</v>
      </c>
      <c r="C11" s="3" t="s">
        <v>10</v>
      </c>
      <c r="D11" s="3" t="s">
        <v>26</v>
      </c>
      <c r="E11" s="3" t="s">
        <v>16</v>
      </c>
      <c r="F11" s="3" t="s">
        <v>16</v>
      </c>
    </row>
    <row r="12" spans="1:6" x14ac:dyDescent="0.25">
      <c r="A12" s="3" t="s">
        <v>13</v>
      </c>
      <c r="B12" s="3" t="s">
        <v>10</v>
      </c>
      <c r="C12" s="3" t="s">
        <v>25</v>
      </c>
      <c r="D12" s="3" t="s">
        <v>13</v>
      </c>
      <c r="E12" s="3" t="s">
        <v>19</v>
      </c>
      <c r="F12" s="3" t="s">
        <v>20</v>
      </c>
    </row>
    <row r="13" spans="1:6" x14ac:dyDescent="0.25">
      <c r="A13" s="3" t="s">
        <v>20</v>
      </c>
      <c r="B13" s="3" t="s">
        <v>12</v>
      </c>
      <c r="C13" s="3" t="s">
        <v>12</v>
      </c>
      <c r="D13" s="3" t="s">
        <v>14</v>
      </c>
      <c r="E13" s="3" t="s">
        <v>12</v>
      </c>
      <c r="F13" s="3" t="s">
        <v>23</v>
      </c>
    </row>
    <row r="14" spans="1:6" x14ac:dyDescent="0.25">
      <c r="A14" s="3" t="s">
        <v>21</v>
      </c>
      <c r="B14" s="3" t="s">
        <v>24</v>
      </c>
      <c r="C14" s="3" t="s">
        <v>12</v>
      </c>
      <c r="D14" s="3" t="s">
        <v>13</v>
      </c>
      <c r="E14" s="3" t="s">
        <v>12</v>
      </c>
      <c r="F14" s="3" t="s">
        <v>24</v>
      </c>
    </row>
    <row r="15" spans="1:6" x14ac:dyDescent="0.25">
      <c r="A15" s="3" t="s">
        <v>25</v>
      </c>
      <c r="B15" s="3" t="s">
        <v>12</v>
      </c>
      <c r="C15" s="3" t="s">
        <v>12</v>
      </c>
      <c r="D15" s="3" t="s">
        <v>26</v>
      </c>
      <c r="E15" s="3" t="s">
        <v>14</v>
      </c>
      <c r="F15" s="3" t="s">
        <v>28</v>
      </c>
    </row>
    <row r="16" spans="1:6" x14ac:dyDescent="0.25">
      <c r="A16" s="3" t="s">
        <v>26</v>
      </c>
      <c r="B16" s="3" t="s">
        <v>16</v>
      </c>
      <c r="C16" s="3" t="s">
        <v>29</v>
      </c>
      <c r="D16" s="3" t="s">
        <v>12</v>
      </c>
      <c r="E16" s="3" t="s">
        <v>17</v>
      </c>
      <c r="F16" s="3" t="s">
        <v>23</v>
      </c>
    </row>
    <row r="17" spans="1:6" x14ac:dyDescent="0.25">
      <c r="A17" s="3" t="s">
        <v>14</v>
      </c>
      <c r="B17" s="3" t="s">
        <v>24</v>
      </c>
      <c r="C17" s="3" t="s">
        <v>23</v>
      </c>
      <c r="D17" s="3" t="s">
        <v>24</v>
      </c>
      <c r="E17" s="3" t="s">
        <v>27</v>
      </c>
      <c r="F17" s="3" t="s">
        <v>26</v>
      </c>
    </row>
    <row r="18" spans="1:6" x14ac:dyDescent="0.25">
      <c r="A18" s="3" t="s">
        <v>26</v>
      </c>
      <c r="B18" s="3" t="s">
        <v>13</v>
      </c>
      <c r="C18" s="3" t="s">
        <v>25</v>
      </c>
      <c r="D18" s="3" t="s">
        <v>27</v>
      </c>
      <c r="E18" s="3" t="s">
        <v>20</v>
      </c>
      <c r="F18" s="3" t="s">
        <v>16</v>
      </c>
    </row>
    <row r="19" spans="1:6" x14ac:dyDescent="0.25">
      <c r="A19" s="3" t="s">
        <v>23</v>
      </c>
      <c r="B19" s="3" t="s">
        <v>27</v>
      </c>
      <c r="C19" s="3" t="s">
        <v>20</v>
      </c>
      <c r="D19" s="3" t="s">
        <v>26</v>
      </c>
      <c r="E19" s="3" t="s">
        <v>25</v>
      </c>
      <c r="F19" s="3" t="s">
        <v>16</v>
      </c>
    </row>
    <row r="20" spans="1:6" x14ac:dyDescent="0.25">
      <c r="A20" s="3" t="s">
        <v>18</v>
      </c>
      <c r="B20" s="3" t="s">
        <v>14</v>
      </c>
      <c r="C20" s="3" t="s">
        <v>18</v>
      </c>
      <c r="D20" s="3" t="s">
        <v>23</v>
      </c>
      <c r="E20" s="3" t="s">
        <v>28</v>
      </c>
      <c r="F20" s="3" t="s">
        <v>15</v>
      </c>
    </row>
    <row r="21" spans="1:6" x14ac:dyDescent="0.25">
      <c r="A21" s="3" t="s">
        <v>20</v>
      </c>
      <c r="B21" s="3" t="s">
        <v>12</v>
      </c>
      <c r="C21" s="3" t="s">
        <v>15</v>
      </c>
      <c r="D21" s="3" t="s">
        <v>28</v>
      </c>
      <c r="E21" s="3" t="s">
        <v>14</v>
      </c>
      <c r="F21" s="3" t="s">
        <v>17</v>
      </c>
    </row>
    <row r="22" spans="1:6" x14ac:dyDescent="0.25">
      <c r="A22" s="3" t="s">
        <v>28</v>
      </c>
      <c r="B22" s="3" t="s">
        <v>16</v>
      </c>
      <c r="C22" s="3" t="s">
        <v>20</v>
      </c>
      <c r="D22" s="3" t="s">
        <v>16</v>
      </c>
      <c r="E22" s="3" t="s">
        <v>17</v>
      </c>
      <c r="F22" s="3" t="s">
        <v>24</v>
      </c>
    </row>
    <row r="23" spans="1:6" x14ac:dyDescent="0.25">
      <c r="A23" s="3" t="s">
        <v>17</v>
      </c>
      <c r="B23" s="3" t="s">
        <v>28</v>
      </c>
      <c r="C23" s="3" t="s">
        <v>16</v>
      </c>
      <c r="D23" s="3" t="s">
        <v>14</v>
      </c>
      <c r="E23" s="3" t="s">
        <v>20</v>
      </c>
      <c r="F23" s="3" t="s">
        <v>14</v>
      </c>
    </row>
    <row r="24" spans="1:6" x14ac:dyDescent="0.25">
      <c r="A24" s="3" t="s">
        <v>13</v>
      </c>
      <c r="B24" s="3" t="s">
        <v>14</v>
      </c>
      <c r="C24" s="3" t="s">
        <v>23</v>
      </c>
      <c r="D24" s="3" t="s">
        <v>28</v>
      </c>
      <c r="E24" s="3" t="s">
        <v>22</v>
      </c>
      <c r="F24" s="3" t="s">
        <v>20</v>
      </c>
    </row>
    <row r="25" spans="1:6" x14ac:dyDescent="0.25">
      <c r="A25" s="3" t="s">
        <v>29</v>
      </c>
      <c r="B25" s="3" t="s">
        <v>13</v>
      </c>
      <c r="C25" s="3" t="s">
        <v>21</v>
      </c>
      <c r="D25" s="3" t="s">
        <v>24</v>
      </c>
      <c r="E25" s="3" t="s">
        <v>16</v>
      </c>
      <c r="F25" s="3" t="s">
        <v>28</v>
      </c>
    </row>
    <row r="26" spans="1:6" x14ac:dyDescent="0.25">
      <c r="A26" s="3" t="s">
        <v>23</v>
      </c>
      <c r="B26" s="3" t="s">
        <v>26</v>
      </c>
      <c r="C26" s="3" t="s">
        <v>10</v>
      </c>
      <c r="D26" s="3" t="s">
        <v>14</v>
      </c>
      <c r="E26" s="3" t="s">
        <v>23</v>
      </c>
      <c r="F26" s="3" t="s">
        <v>22</v>
      </c>
    </row>
    <row r="27" spans="1:6" x14ac:dyDescent="0.25">
      <c r="A27" s="3" t="s">
        <v>29</v>
      </c>
      <c r="B27" s="3" t="s">
        <v>14</v>
      </c>
      <c r="C27" s="3" t="s">
        <v>18</v>
      </c>
      <c r="D27" s="3" t="s">
        <v>15</v>
      </c>
      <c r="E27" s="3" t="s">
        <v>18</v>
      </c>
      <c r="F27" s="3" t="s">
        <v>25</v>
      </c>
    </row>
    <row r="28" spans="1:6" x14ac:dyDescent="0.25">
      <c r="A28" s="3" t="s">
        <v>12</v>
      </c>
      <c r="B28" s="3" t="s">
        <v>13</v>
      </c>
      <c r="C28" s="3" t="s">
        <v>26</v>
      </c>
      <c r="D28" s="3" t="s">
        <v>14</v>
      </c>
      <c r="E28" s="3" t="s">
        <v>26</v>
      </c>
      <c r="F28" s="3" t="s">
        <v>30</v>
      </c>
    </row>
    <row r="29" spans="1:6" x14ac:dyDescent="0.25">
      <c r="A29" s="3" t="s">
        <v>14</v>
      </c>
      <c r="B29" s="3" t="s">
        <v>14</v>
      </c>
      <c r="C29" s="3" t="s">
        <v>25</v>
      </c>
      <c r="D29" s="3" t="s">
        <v>16</v>
      </c>
      <c r="E29" s="3" t="s">
        <v>13</v>
      </c>
      <c r="F29" s="3" t="s">
        <v>23</v>
      </c>
    </row>
    <row r="30" spans="1:6" x14ac:dyDescent="0.25">
      <c r="A30" s="3" t="s">
        <v>12</v>
      </c>
      <c r="B30" s="3" t="s">
        <v>16</v>
      </c>
      <c r="C30" s="3" t="s">
        <v>17</v>
      </c>
      <c r="D30" s="3" t="s">
        <v>14</v>
      </c>
      <c r="E30" s="3" t="s">
        <v>28</v>
      </c>
      <c r="F30" s="3" t="s">
        <v>19</v>
      </c>
    </row>
    <row r="31" spans="1:6" x14ac:dyDescent="0.25">
      <c r="A31" s="3" t="s">
        <v>20</v>
      </c>
      <c r="B31" s="3" t="s">
        <v>24</v>
      </c>
      <c r="C31" s="3" t="s">
        <v>25</v>
      </c>
      <c r="D31" s="3" t="s">
        <v>18</v>
      </c>
      <c r="E31" s="3" t="s">
        <v>16</v>
      </c>
      <c r="F31" s="3" t="s">
        <v>21</v>
      </c>
    </row>
    <row r="32" spans="1:6" x14ac:dyDescent="0.25">
      <c r="A32" s="3" t="s">
        <v>18</v>
      </c>
      <c r="B32" s="3" t="s">
        <v>24</v>
      </c>
      <c r="C32" s="3" t="s">
        <v>25</v>
      </c>
      <c r="D32" s="3" t="s">
        <v>12</v>
      </c>
      <c r="E32" s="3" t="s">
        <v>13</v>
      </c>
      <c r="F32" s="3" t="s">
        <v>10</v>
      </c>
    </row>
    <row r="33" spans="1:6" x14ac:dyDescent="0.25">
      <c r="A33" s="3" t="s">
        <v>14</v>
      </c>
      <c r="B33" s="3" t="s">
        <v>14</v>
      </c>
      <c r="C33" s="3" t="s">
        <v>12</v>
      </c>
      <c r="D33" s="3" t="s">
        <v>25</v>
      </c>
      <c r="E33" s="3" t="s">
        <v>14</v>
      </c>
      <c r="F33" s="3" t="s">
        <v>23</v>
      </c>
    </row>
    <row r="34" spans="1:6" x14ac:dyDescent="0.25">
      <c r="A34" s="3" t="s">
        <v>12</v>
      </c>
      <c r="B34" s="3" t="s">
        <v>14</v>
      </c>
      <c r="C34" s="3" t="s">
        <v>14</v>
      </c>
      <c r="D34" s="3" t="s">
        <v>26</v>
      </c>
      <c r="E34" s="3" t="s">
        <v>29</v>
      </c>
      <c r="F34" s="3" t="s">
        <v>17</v>
      </c>
    </row>
    <row r="35" spans="1:6" x14ac:dyDescent="0.25">
      <c r="A35" s="3" t="s">
        <v>10</v>
      </c>
      <c r="B35" s="3" t="s">
        <v>13</v>
      </c>
      <c r="C35" s="3" t="s">
        <v>21</v>
      </c>
      <c r="D35" s="3" t="s">
        <v>23</v>
      </c>
      <c r="E35" s="3" t="s">
        <v>21</v>
      </c>
      <c r="F35" s="3" t="s">
        <v>18</v>
      </c>
    </row>
    <row r="36" spans="1:6" x14ac:dyDescent="0.25">
      <c r="A36" s="3" t="s">
        <v>20</v>
      </c>
      <c r="B36" s="3" t="s">
        <v>16</v>
      </c>
      <c r="C36" s="3" t="s">
        <v>25</v>
      </c>
      <c r="D36" s="3" t="s">
        <v>18</v>
      </c>
      <c r="E36" s="3" t="s">
        <v>21</v>
      </c>
      <c r="F36" s="3" t="s">
        <v>12</v>
      </c>
    </row>
    <row r="37" spans="1:6" x14ac:dyDescent="0.25">
      <c r="A37" s="3" t="s">
        <v>12</v>
      </c>
      <c r="B37" s="3" t="s">
        <v>28</v>
      </c>
      <c r="C37" s="3" t="s">
        <v>14</v>
      </c>
      <c r="D37" s="3" t="s">
        <v>27</v>
      </c>
      <c r="E37" s="3" t="s">
        <v>20</v>
      </c>
      <c r="F37" s="3" t="s">
        <v>30</v>
      </c>
    </row>
    <row r="38" spans="1:6" x14ac:dyDescent="0.25">
      <c r="A38" s="3" t="s">
        <v>20</v>
      </c>
      <c r="B38" s="3" t="s">
        <v>25</v>
      </c>
      <c r="C38" s="3" t="s">
        <v>20</v>
      </c>
      <c r="D38" s="3" t="s">
        <v>27</v>
      </c>
      <c r="E38" s="3" t="s">
        <v>10</v>
      </c>
      <c r="F38" s="3" t="s">
        <v>25</v>
      </c>
    </row>
    <row r="39" spans="1:6" x14ac:dyDescent="0.25">
      <c r="A39" s="3" t="s">
        <v>18</v>
      </c>
      <c r="B39" s="3" t="s">
        <v>24</v>
      </c>
      <c r="C39" s="3" t="s">
        <v>13</v>
      </c>
      <c r="D39" s="3" t="s">
        <v>23</v>
      </c>
      <c r="E39" s="3" t="s">
        <v>14</v>
      </c>
      <c r="F39" s="3" t="s">
        <v>23</v>
      </c>
    </row>
    <row r="40" spans="1:6" x14ac:dyDescent="0.25">
      <c r="A40" s="3" t="s">
        <v>12</v>
      </c>
      <c r="B40" s="3" t="s">
        <v>26</v>
      </c>
      <c r="C40" s="3" t="s">
        <v>18</v>
      </c>
      <c r="D40" s="3" t="s">
        <v>16</v>
      </c>
      <c r="E40" s="3" t="s">
        <v>23</v>
      </c>
      <c r="F40" s="3" t="s">
        <v>23</v>
      </c>
    </row>
    <row r="41" spans="1:6" x14ac:dyDescent="0.25">
      <c r="A41" s="3" t="s">
        <v>30</v>
      </c>
      <c r="B41" s="3" t="s">
        <v>12</v>
      </c>
      <c r="C41" s="3" t="s">
        <v>21</v>
      </c>
      <c r="D41" s="3" t="s">
        <v>17</v>
      </c>
      <c r="E41" s="3" t="s">
        <v>12</v>
      </c>
      <c r="F41" s="3" t="s">
        <v>19</v>
      </c>
    </row>
    <row r="42" spans="1:6" x14ac:dyDescent="0.25">
      <c r="A42" s="3" t="s">
        <v>19</v>
      </c>
      <c r="B42" s="3" t="s">
        <v>13</v>
      </c>
      <c r="C42" s="3" t="s">
        <v>18</v>
      </c>
      <c r="D42" s="3" t="s">
        <v>21</v>
      </c>
      <c r="E42" s="3" t="s">
        <v>10</v>
      </c>
      <c r="F42" s="3" t="s">
        <v>21</v>
      </c>
    </row>
    <row r="43" spans="1:6" x14ac:dyDescent="0.25">
      <c r="A43" s="3" t="s">
        <v>12</v>
      </c>
      <c r="B43" s="3" t="s">
        <v>16</v>
      </c>
      <c r="C43" s="3" t="s">
        <v>23</v>
      </c>
      <c r="D43" s="3" t="s">
        <v>20</v>
      </c>
      <c r="E43" s="3" t="s">
        <v>25</v>
      </c>
      <c r="F43" s="3" t="s">
        <v>21</v>
      </c>
    </row>
    <row r="44" spans="1:6" x14ac:dyDescent="0.25">
      <c r="A44" s="3" t="s">
        <v>21</v>
      </c>
      <c r="B44" s="3" t="s">
        <v>13</v>
      </c>
      <c r="C44" s="3" t="s">
        <v>27</v>
      </c>
      <c r="D44" s="3" t="s">
        <v>28</v>
      </c>
      <c r="E44" s="3" t="s">
        <v>21</v>
      </c>
      <c r="F44" s="3" t="s">
        <v>20</v>
      </c>
    </row>
    <row r="45" spans="1:6" x14ac:dyDescent="0.25">
      <c r="A45" s="3" t="s">
        <v>24</v>
      </c>
      <c r="B45" s="3" t="s">
        <v>12</v>
      </c>
      <c r="C45" s="3" t="s">
        <v>15</v>
      </c>
      <c r="D45" s="3" t="s">
        <v>23</v>
      </c>
      <c r="E45" s="3" t="s">
        <v>23</v>
      </c>
      <c r="F45" s="3" t="s">
        <v>23</v>
      </c>
    </row>
    <row r="46" spans="1:6" x14ac:dyDescent="0.25">
      <c r="A46" s="3" t="s">
        <v>20</v>
      </c>
      <c r="B46" s="3" t="s">
        <v>21</v>
      </c>
      <c r="C46" s="3" t="s">
        <v>24</v>
      </c>
      <c r="D46" s="3" t="s">
        <v>26</v>
      </c>
      <c r="E46" s="3" t="s">
        <v>21</v>
      </c>
      <c r="F46" s="3" t="s">
        <v>19</v>
      </c>
    </row>
    <row r="47" spans="1:6" x14ac:dyDescent="0.25">
      <c r="A47" s="3" t="s">
        <v>10</v>
      </c>
      <c r="B47" s="3" t="s">
        <v>25</v>
      </c>
      <c r="C47" s="3" t="s">
        <v>25</v>
      </c>
      <c r="D47" s="3" t="s">
        <v>10</v>
      </c>
      <c r="E47" s="3" t="s">
        <v>12</v>
      </c>
      <c r="F47" s="3" t="s">
        <v>20</v>
      </c>
    </row>
    <row r="48" spans="1:6" x14ac:dyDescent="0.25">
      <c r="A48" s="3" t="s">
        <v>20</v>
      </c>
      <c r="B48" s="3" t="s">
        <v>12</v>
      </c>
      <c r="C48" s="3" t="s">
        <v>25</v>
      </c>
      <c r="D48" s="3" t="s">
        <v>28</v>
      </c>
      <c r="E48" s="3" t="s">
        <v>14</v>
      </c>
      <c r="F48" s="3" t="s">
        <v>27</v>
      </c>
    </row>
    <row r="49" spans="1:6" x14ac:dyDescent="0.25">
      <c r="A49" s="3" t="s">
        <v>21</v>
      </c>
      <c r="B49" s="3" t="s">
        <v>26</v>
      </c>
      <c r="C49" s="3" t="s">
        <v>26</v>
      </c>
      <c r="D49" s="3" t="s">
        <v>18</v>
      </c>
      <c r="E49" s="3" t="s">
        <v>23</v>
      </c>
      <c r="F49" s="3" t="s">
        <v>25</v>
      </c>
    </row>
    <row r="50" spans="1:6" x14ac:dyDescent="0.25">
      <c r="A50" s="3" t="s">
        <v>25</v>
      </c>
      <c r="B50" s="3" t="s">
        <v>24</v>
      </c>
      <c r="C50" s="3" t="s">
        <v>25</v>
      </c>
      <c r="D50" s="3" t="s">
        <v>28</v>
      </c>
      <c r="E50" s="3" t="s">
        <v>21</v>
      </c>
      <c r="F50" s="3" t="s">
        <v>12</v>
      </c>
    </row>
    <row r="51" spans="1:6" x14ac:dyDescent="0.25">
      <c r="A51" s="3" t="s">
        <v>16</v>
      </c>
      <c r="B51" s="3" t="s">
        <v>24</v>
      </c>
      <c r="C51" s="3" t="s">
        <v>12</v>
      </c>
      <c r="D51" s="3" t="s">
        <v>28</v>
      </c>
      <c r="E51" s="3" t="s">
        <v>19</v>
      </c>
      <c r="F51" s="3" t="s">
        <v>21</v>
      </c>
    </row>
    <row r="52" spans="1:6" x14ac:dyDescent="0.25">
      <c r="A52" s="3" t="s">
        <v>17</v>
      </c>
      <c r="B52" s="3" t="s">
        <v>12</v>
      </c>
      <c r="C52" s="3" t="s">
        <v>12</v>
      </c>
      <c r="D52" s="3" t="s">
        <v>18</v>
      </c>
      <c r="E52" s="3" t="s">
        <v>20</v>
      </c>
      <c r="F52" s="3" t="s">
        <v>21</v>
      </c>
    </row>
    <row r="53" spans="1:6" x14ac:dyDescent="0.25">
      <c r="A53" s="3" t="s">
        <v>16</v>
      </c>
      <c r="B53" s="3" t="s">
        <v>24</v>
      </c>
      <c r="C53" s="3" t="s">
        <v>30</v>
      </c>
      <c r="D53" s="3" t="s">
        <v>12</v>
      </c>
      <c r="E53" s="3" t="s">
        <v>27</v>
      </c>
      <c r="F53" s="3" t="s">
        <v>23</v>
      </c>
    </row>
    <row r="54" spans="1:6" x14ac:dyDescent="0.25">
      <c r="A54" s="3" t="s">
        <v>14</v>
      </c>
      <c r="B54" s="3" t="s">
        <v>20</v>
      </c>
      <c r="C54" s="3" t="s">
        <v>25</v>
      </c>
      <c r="D54" s="3" t="s">
        <v>28</v>
      </c>
      <c r="E54" s="3" t="s">
        <v>21</v>
      </c>
      <c r="F54" s="3" t="s">
        <v>21</v>
      </c>
    </row>
    <row r="55" spans="1:6" x14ac:dyDescent="0.25">
      <c r="A55" s="3" t="s">
        <v>24</v>
      </c>
      <c r="B55" s="3" t="s">
        <v>13</v>
      </c>
      <c r="C55" s="3" t="s">
        <v>20</v>
      </c>
      <c r="D55" s="3" t="s">
        <v>20</v>
      </c>
      <c r="E55" s="3" t="s">
        <v>12</v>
      </c>
      <c r="F55" s="3" t="s">
        <v>23</v>
      </c>
    </row>
    <row r="56" spans="1:6" x14ac:dyDescent="0.25">
      <c r="A56" s="3" t="s">
        <v>24</v>
      </c>
      <c r="B56" s="3" t="s">
        <v>16</v>
      </c>
      <c r="C56" s="3" t="s">
        <v>27</v>
      </c>
      <c r="D56" s="3" t="s">
        <v>22</v>
      </c>
      <c r="E56" s="3" t="s">
        <v>21</v>
      </c>
      <c r="F56" s="3" t="s">
        <v>30</v>
      </c>
    </row>
    <row r="57" spans="1:6" x14ac:dyDescent="0.25">
      <c r="A57" s="3" t="s">
        <v>19</v>
      </c>
      <c r="B57" s="3" t="s">
        <v>13</v>
      </c>
      <c r="C57" s="3" t="s">
        <v>26</v>
      </c>
      <c r="D57" s="3" t="s">
        <v>12</v>
      </c>
      <c r="E57" s="3" t="s">
        <v>23</v>
      </c>
      <c r="F57" s="3" t="s">
        <v>19</v>
      </c>
    </row>
    <row r="58" spans="1:6" x14ac:dyDescent="0.25">
      <c r="A58" s="3" t="s">
        <v>30</v>
      </c>
      <c r="B58" s="3" t="s">
        <v>12</v>
      </c>
      <c r="C58" s="3" t="s">
        <v>24</v>
      </c>
      <c r="D58" s="3" t="s">
        <v>14</v>
      </c>
      <c r="E58" s="3" t="s">
        <v>18</v>
      </c>
      <c r="F58" s="3" t="s">
        <v>30</v>
      </c>
    </row>
    <row r="59" spans="1:6" x14ac:dyDescent="0.25">
      <c r="A59" s="3" t="s">
        <v>14</v>
      </c>
      <c r="B59" s="3" t="s">
        <v>16</v>
      </c>
      <c r="C59" s="3" t="s">
        <v>27</v>
      </c>
      <c r="D59" s="3" t="s">
        <v>24</v>
      </c>
      <c r="E59" s="3" t="s">
        <v>14</v>
      </c>
      <c r="F59" s="3" t="s">
        <v>10</v>
      </c>
    </row>
    <row r="60" spans="1:6" x14ac:dyDescent="0.25">
      <c r="A60" s="3" t="s">
        <v>23</v>
      </c>
      <c r="B60" s="3" t="s">
        <v>24</v>
      </c>
      <c r="C60" s="3" t="s">
        <v>30</v>
      </c>
      <c r="D60" s="3" t="s">
        <v>23</v>
      </c>
      <c r="E60" s="3" t="s">
        <v>23</v>
      </c>
      <c r="F60" s="3" t="s">
        <v>24</v>
      </c>
    </row>
    <row r="61" spans="1:6" x14ac:dyDescent="0.25">
      <c r="A61" s="3" t="s">
        <v>18</v>
      </c>
      <c r="B61" s="3" t="s">
        <v>30</v>
      </c>
      <c r="C61" s="3" t="s">
        <v>12</v>
      </c>
      <c r="D61" s="3" t="s">
        <v>30</v>
      </c>
      <c r="E61" s="3" t="s">
        <v>14</v>
      </c>
      <c r="F61" s="3" t="s">
        <v>12</v>
      </c>
    </row>
    <row r="62" spans="1:6" x14ac:dyDescent="0.25">
      <c r="A62" s="3" t="s">
        <v>18</v>
      </c>
      <c r="B62" s="3" t="s">
        <v>25</v>
      </c>
      <c r="C62" s="3" t="s">
        <v>14</v>
      </c>
      <c r="D62" s="3" t="s">
        <v>14</v>
      </c>
      <c r="E62" s="3" t="s">
        <v>24</v>
      </c>
      <c r="F62" s="3" t="s">
        <v>24</v>
      </c>
    </row>
    <row r="63" spans="1:6" x14ac:dyDescent="0.25">
      <c r="A63" s="3" t="s">
        <v>12</v>
      </c>
      <c r="B63" s="3" t="s">
        <v>13</v>
      </c>
      <c r="C63" s="3" t="s">
        <v>29</v>
      </c>
      <c r="D63" s="3" t="s">
        <v>10</v>
      </c>
      <c r="E63" s="3" t="s">
        <v>19</v>
      </c>
      <c r="F63" s="3" t="s">
        <v>18</v>
      </c>
    </row>
    <row r="64" spans="1:6" x14ac:dyDescent="0.25">
      <c r="A64" s="3" t="s">
        <v>21</v>
      </c>
      <c r="B64" s="3" t="s">
        <v>14</v>
      </c>
      <c r="C64" s="3" t="s">
        <v>30</v>
      </c>
      <c r="D64" s="3" t="s">
        <v>22</v>
      </c>
      <c r="E64" s="3" t="s">
        <v>13</v>
      </c>
      <c r="F64" s="3" t="s">
        <v>21</v>
      </c>
    </row>
    <row r="65" spans="1:6" x14ac:dyDescent="0.25">
      <c r="A65" s="3" t="s">
        <v>17</v>
      </c>
      <c r="B65" s="3" t="s">
        <v>12</v>
      </c>
      <c r="C65" s="3" t="s">
        <v>26</v>
      </c>
      <c r="D65" s="3" t="s">
        <v>29</v>
      </c>
      <c r="E65" s="3" t="s">
        <v>28</v>
      </c>
      <c r="F65" s="3" t="s">
        <v>14</v>
      </c>
    </row>
    <row r="66" spans="1:6" x14ac:dyDescent="0.25">
      <c r="A66" s="3" t="s">
        <v>14</v>
      </c>
      <c r="B66" s="3" t="s">
        <v>24</v>
      </c>
      <c r="C66" s="3" t="s">
        <v>26</v>
      </c>
      <c r="D66" s="3" t="s">
        <v>20</v>
      </c>
      <c r="E66" s="3" t="s">
        <v>12</v>
      </c>
      <c r="F66" s="3" t="s">
        <v>25</v>
      </c>
    </row>
    <row r="67" spans="1:6" x14ac:dyDescent="0.25">
      <c r="A67" s="3" t="s">
        <v>23</v>
      </c>
      <c r="B67" s="3" t="s">
        <v>16</v>
      </c>
      <c r="C67" s="3" t="s">
        <v>24</v>
      </c>
      <c r="D67" s="3" t="s">
        <v>18</v>
      </c>
      <c r="E67" s="3" t="s">
        <v>26</v>
      </c>
      <c r="F67" s="3" t="s">
        <v>21</v>
      </c>
    </row>
    <row r="68" spans="1:6" x14ac:dyDescent="0.25">
      <c r="A68" s="3" t="s">
        <v>14</v>
      </c>
      <c r="B68" s="3" t="s">
        <v>14</v>
      </c>
      <c r="C68" s="3" t="s">
        <v>17</v>
      </c>
      <c r="D68" s="3" t="s">
        <v>16</v>
      </c>
      <c r="E68" s="3" t="s">
        <v>18</v>
      </c>
      <c r="F68" s="3" t="s">
        <v>19</v>
      </c>
    </row>
    <row r="69" spans="1:6" x14ac:dyDescent="0.25">
      <c r="A69" s="3" t="s">
        <v>19</v>
      </c>
      <c r="B69" s="3" t="s">
        <v>26</v>
      </c>
      <c r="C69" s="3" t="s">
        <v>20</v>
      </c>
      <c r="D69" s="3" t="s">
        <v>25</v>
      </c>
      <c r="E69" s="3" t="s">
        <v>21</v>
      </c>
      <c r="F69" s="3" t="s">
        <v>12</v>
      </c>
    </row>
    <row r="70" spans="1:6" x14ac:dyDescent="0.25">
      <c r="A70" s="3" t="s">
        <v>18</v>
      </c>
      <c r="B70" s="3" t="s">
        <v>13</v>
      </c>
      <c r="C70" s="3" t="s">
        <v>26</v>
      </c>
      <c r="D70" s="3" t="s">
        <v>28</v>
      </c>
      <c r="E70" s="3" t="s">
        <v>18</v>
      </c>
      <c r="F70" s="3" t="s">
        <v>12</v>
      </c>
    </row>
    <row r="71" spans="1:6" x14ac:dyDescent="0.25">
      <c r="A71" s="3" t="s">
        <v>10</v>
      </c>
      <c r="B71" s="3" t="s">
        <v>24</v>
      </c>
      <c r="C71" s="3" t="s">
        <v>25</v>
      </c>
      <c r="D71" s="3" t="s">
        <v>12</v>
      </c>
      <c r="E71" s="3" t="s">
        <v>27</v>
      </c>
      <c r="F71" s="3" t="s">
        <v>27</v>
      </c>
    </row>
    <row r="72" spans="1:6" x14ac:dyDescent="0.25">
      <c r="A72" s="3" t="s">
        <v>30</v>
      </c>
      <c r="B72" s="3" t="s">
        <v>12</v>
      </c>
      <c r="C72" s="3" t="s">
        <v>17</v>
      </c>
      <c r="D72" s="3" t="s">
        <v>12</v>
      </c>
      <c r="E72" s="3" t="s">
        <v>30</v>
      </c>
      <c r="F72" s="3" t="s">
        <v>12</v>
      </c>
    </row>
    <row r="73" spans="1:6" x14ac:dyDescent="0.25">
      <c r="A73" s="3" t="s">
        <v>12</v>
      </c>
      <c r="B73" s="3" t="s">
        <v>13</v>
      </c>
      <c r="C73" s="3" t="s">
        <v>24</v>
      </c>
      <c r="D73" s="3" t="s">
        <v>21</v>
      </c>
      <c r="E73" s="3" t="s">
        <v>19</v>
      </c>
      <c r="F73" s="3" t="s">
        <v>14</v>
      </c>
    </row>
    <row r="74" spans="1:6" x14ac:dyDescent="0.25">
      <c r="A74" s="3" t="s">
        <v>25</v>
      </c>
      <c r="B74" s="3" t="s">
        <v>12</v>
      </c>
      <c r="C74" s="3" t="s">
        <v>12</v>
      </c>
      <c r="D74" s="3" t="s">
        <v>25</v>
      </c>
      <c r="E74" s="3" t="s">
        <v>23</v>
      </c>
      <c r="F74" s="3" t="s">
        <v>12</v>
      </c>
    </row>
    <row r="75" spans="1:6" x14ac:dyDescent="0.25">
      <c r="A75" s="3" t="s">
        <v>10</v>
      </c>
      <c r="B75" s="3" t="s">
        <v>14</v>
      </c>
      <c r="C75" s="3" t="s">
        <v>12</v>
      </c>
      <c r="D75" s="3" t="s">
        <v>14</v>
      </c>
      <c r="E75" s="3" t="s">
        <v>18</v>
      </c>
      <c r="F75" s="3" t="s">
        <v>14</v>
      </c>
    </row>
    <row r="76" spans="1:6" x14ac:dyDescent="0.25">
      <c r="A76" s="3" t="s">
        <v>12</v>
      </c>
      <c r="B76" s="3" t="s">
        <v>13</v>
      </c>
      <c r="C76" s="3" t="s">
        <v>23</v>
      </c>
      <c r="D76" s="3" t="s">
        <v>25</v>
      </c>
      <c r="E76" s="3" t="s">
        <v>25</v>
      </c>
      <c r="F76" s="3" t="s">
        <v>16</v>
      </c>
    </row>
    <row r="77" spans="1:6" x14ac:dyDescent="0.25">
      <c r="A77" s="3" t="s">
        <v>12</v>
      </c>
      <c r="B77" s="3" t="s">
        <v>24</v>
      </c>
      <c r="C77" s="3" t="s">
        <v>25</v>
      </c>
      <c r="D77" s="3" t="s">
        <v>26</v>
      </c>
      <c r="E77" s="3" t="s">
        <v>12</v>
      </c>
      <c r="F77" s="3" t="s">
        <v>12</v>
      </c>
    </row>
    <row r="78" spans="1:6" x14ac:dyDescent="0.25">
      <c r="A78" s="3" t="s">
        <v>20</v>
      </c>
      <c r="B78" s="3" t="s">
        <v>24</v>
      </c>
      <c r="C78" s="3" t="s">
        <v>29</v>
      </c>
      <c r="D78" s="3" t="s">
        <v>16</v>
      </c>
      <c r="E78" s="3" t="s">
        <v>14</v>
      </c>
      <c r="F78" s="3" t="s">
        <v>15</v>
      </c>
    </row>
    <row r="79" spans="1:6" x14ac:dyDescent="0.25">
      <c r="A79" s="3" t="s">
        <v>30</v>
      </c>
      <c r="B79" s="3" t="s">
        <v>14</v>
      </c>
      <c r="C79" s="3" t="s">
        <v>14</v>
      </c>
      <c r="D79" s="3" t="s">
        <v>20</v>
      </c>
      <c r="E79" s="3" t="s">
        <v>15</v>
      </c>
      <c r="F79" s="3" t="s">
        <v>19</v>
      </c>
    </row>
    <row r="80" spans="1:6" x14ac:dyDescent="0.25">
      <c r="A80" s="3" t="s">
        <v>20</v>
      </c>
      <c r="B80" s="3" t="s">
        <v>18</v>
      </c>
      <c r="C80" s="3" t="s">
        <v>25</v>
      </c>
      <c r="D80" s="3" t="s">
        <v>24</v>
      </c>
      <c r="E80" s="3" t="s">
        <v>14</v>
      </c>
      <c r="F80" s="3" t="s">
        <v>12</v>
      </c>
    </row>
    <row r="81" spans="1:6" x14ac:dyDescent="0.25">
      <c r="A81" s="3" t="s">
        <v>12</v>
      </c>
      <c r="B81" s="3" t="s">
        <v>16</v>
      </c>
      <c r="C81" s="3" t="s">
        <v>18</v>
      </c>
      <c r="D81" s="3" t="s">
        <v>12</v>
      </c>
      <c r="E81" s="3" t="s">
        <v>16</v>
      </c>
      <c r="F81" s="3" t="s">
        <v>12</v>
      </c>
    </row>
    <row r="82" spans="1:6" x14ac:dyDescent="0.25">
      <c r="A82" s="3" t="s">
        <v>18</v>
      </c>
      <c r="B82" s="3" t="s">
        <v>14</v>
      </c>
      <c r="C82" s="3" t="s">
        <v>28</v>
      </c>
      <c r="D82" s="3" t="s">
        <v>23</v>
      </c>
      <c r="E82" s="3" t="s">
        <v>12</v>
      </c>
      <c r="F82" s="3" t="s">
        <v>18</v>
      </c>
    </row>
    <row r="83" spans="1:6" x14ac:dyDescent="0.25">
      <c r="A83" s="3" t="s">
        <v>10</v>
      </c>
      <c r="B83" s="3" t="s">
        <v>13</v>
      </c>
      <c r="C83" s="3" t="s">
        <v>26</v>
      </c>
      <c r="D83" s="3" t="s">
        <v>23</v>
      </c>
      <c r="E83" s="3" t="s">
        <v>21</v>
      </c>
      <c r="F83" s="3" t="s">
        <v>12</v>
      </c>
    </row>
    <row r="84" spans="1:6" x14ac:dyDescent="0.25">
      <c r="A84" s="3" t="s">
        <v>21</v>
      </c>
      <c r="B84" s="3" t="s">
        <v>14</v>
      </c>
      <c r="C84" s="3" t="s">
        <v>25</v>
      </c>
      <c r="D84" s="3" t="s">
        <v>29</v>
      </c>
      <c r="E84" s="3" t="s">
        <v>10</v>
      </c>
      <c r="F84" s="3" t="s">
        <v>17</v>
      </c>
    </row>
    <row r="85" spans="1:6" x14ac:dyDescent="0.25">
      <c r="A85" s="3" t="s">
        <v>17</v>
      </c>
      <c r="B85" s="3" t="s">
        <v>16</v>
      </c>
      <c r="C85" s="3" t="s">
        <v>20</v>
      </c>
      <c r="D85" s="3" t="s">
        <v>16</v>
      </c>
      <c r="E85" s="3" t="s">
        <v>20</v>
      </c>
      <c r="F85" s="3" t="s">
        <v>12</v>
      </c>
    </row>
    <row r="86" spans="1:6" x14ac:dyDescent="0.25">
      <c r="A86" s="3" t="s">
        <v>19</v>
      </c>
      <c r="B86" s="3" t="s">
        <v>21</v>
      </c>
      <c r="C86" s="3" t="s">
        <v>21</v>
      </c>
      <c r="D86" s="3" t="s">
        <v>25</v>
      </c>
      <c r="E86" s="3" t="s">
        <v>12</v>
      </c>
      <c r="F86" s="3" t="s">
        <v>29</v>
      </c>
    </row>
    <row r="87" spans="1:6" x14ac:dyDescent="0.25">
      <c r="A87" s="3" t="s">
        <v>20</v>
      </c>
      <c r="B87" s="3" t="s">
        <v>14</v>
      </c>
      <c r="C87" s="3" t="s">
        <v>17</v>
      </c>
      <c r="D87" s="3" t="s">
        <v>30</v>
      </c>
      <c r="E87" s="3" t="s">
        <v>14</v>
      </c>
      <c r="F87" s="3" t="s">
        <v>14</v>
      </c>
    </row>
    <row r="88" spans="1:6" x14ac:dyDescent="0.25">
      <c r="A88" s="3" t="s">
        <v>20</v>
      </c>
      <c r="B88" s="3" t="s">
        <v>25</v>
      </c>
      <c r="C88" s="3" t="s">
        <v>16</v>
      </c>
      <c r="D88" s="3" t="s">
        <v>18</v>
      </c>
      <c r="E88" s="3" t="s">
        <v>21</v>
      </c>
      <c r="F88" s="3" t="s">
        <v>21</v>
      </c>
    </row>
    <row r="89" spans="1:6" x14ac:dyDescent="0.25">
      <c r="A89" s="3" t="s">
        <v>13</v>
      </c>
      <c r="B89" s="3" t="s">
        <v>12</v>
      </c>
      <c r="C89" s="3" t="s">
        <v>28</v>
      </c>
      <c r="D89" s="3" t="s">
        <v>18</v>
      </c>
      <c r="E89" s="3" t="s">
        <v>21</v>
      </c>
      <c r="F89" s="3" t="s">
        <v>30</v>
      </c>
    </row>
    <row r="90" spans="1:6" x14ac:dyDescent="0.25">
      <c r="A90" s="3" t="s">
        <v>26</v>
      </c>
      <c r="B90" s="3" t="s">
        <v>27</v>
      </c>
      <c r="C90" s="3" t="s">
        <v>19</v>
      </c>
      <c r="D90" s="3" t="s">
        <v>27</v>
      </c>
      <c r="E90" s="3" t="s">
        <v>17</v>
      </c>
      <c r="F90" s="3" t="s">
        <v>18</v>
      </c>
    </row>
    <row r="91" spans="1:6" x14ac:dyDescent="0.25">
      <c r="A91" s="3" t="s">
        <v>27</v>
      </c>
      <c r="B91" s="3" t="s">
        <v>28</v>
      </c>
      <c r="C91" s="3" t="s">
        <v>23</v>
      </c>
      <c r="D91" s="3" t="s">
        <v>24</v>
      </c>
      <c r="E91" s="3" t="s">
        <v>19</v>
      </c>
      <c r="F91" s="3" t="s">
        <v>14</v>
      </c>
    </row>
    <row r="92" spans="1:6" x14ac:dyDescent="0.25">
      <c r="A92" s="3" t="s">
        <v>17</v>
      </c>
      <c r="B92" s="3" t="s">
        <v>28</v>
      </c>
      <c r="C92" s="3" t="s">
        <v>20</v>
      </c>
      <c r="D92" s="3" t="s">
        <v>21</v>
      </c>
      <c r="E92" s="3" t="s">
        <v>20</v>
      </c>
      <c r="F92" s="3" t="s">
        <v>10</v>
      </c>
    </row>
    <row r="93" spans="1:6" x14ac:dyDescent="0.25">
      <c r="A93" s="3" t="s">
        <v>23</v>
      </c>
      <c r="B93" s="3" t="s">
        <v>23</v>
      </c>
      <c r="C93" s="3" t="s">
        <v>25</v>
      </c>
      <c r="D93" s="3" t="s">
        <v>22</v>
      </c>
      <c r="E93" s="3" t="s">
        <v>14</v>
      </c>
      <c r="F93" s="3" t="s">
        <v>13</v>
      </c>
    </row>
    <row r="94" spans="1:6" x14ac:dyDescent="0.25">
      <c r="A94" s="3" t="s">
        <v>30</v>
      </c>
      <c r="B94" s="3" t="s">
        <v>26</v>
      </c>
      <c r="C94" s="3" t="s">
        <v>20</v>
      </c>
      <c r="D94" s="3" t="s">
        <v>14</v>
      </c>
      <c r="E94" s="3" t="s">
        <v>25</v>
      </c>
      <c r="F94" s="3" t="s">
        <v>30</v>
      </c>
    </row>
    <row r="95" spans="1:6" x14ac:dyDescent="0.25">
      <c r="A95" s="3" t="s">
        <v>29</v>
      </c>
      <c r="B95" s="3" t="s">
        <v>12</v>
      </c>
      <c r="C95" s="3" t="s">
        <v>25</v>
      </c>
      <c r="D95" s="3" t="s">
        <v>23</v>
      </c>
      <c r="E95" s="3" t="s">
        <v>22</v>
      </c>
      <c r="F95" s="3" t="s">
        <v>28</v>
      </c>
    </row>
    <row r="96" spans="1:6" x14ac:dyDescent="0.25">
      <c r="A96" s="3" t="s">
        <v>14</v>
      </c>
      <c r="B96" s="3" t="s">
        <v>21</v>
      </c>
      <c r="C96" s="3" t="s">
        <v>20</v>
      </c>
      <c r="D96" s="3" t="s">
        <v>17</v>
      </c>
      <c r="E96" s="3" t="s">
        <v>23</v>
      </c>
      <c r="F96" s="3" t="s">
        <v>29</v>
      </c>
    </row>
    <row r="97" spans="1:6" x14ac:dyDescent="0.25">
      <c r="A97" s="3" t="s">
        <v>28</v>
      </c>
      <c r="B97" s="3" t="s">
        <v>13</v>
      </c>
      <c r="C97" s="3" t="s">
        <v>18</v>
      </c>
      <c r="D97" s="3" t="s">
        <v>12</v>
      </c>
      <c r="E97" s="3" t="s">
        <v>12</v>
      </c>
      <c r="F97" s="3" t="s">
        <v>17</v>
      </c>
    </row>
    <row r="98" spans="1:6" x14ac:dyDescent="0.25">
      <c r="A98" s="3" t="s">
        <v>30</v>
      </c>
      <c r="B98" s="3" t="s">
        <v>13</v>
      </c>
      <c r="C98" s="3" t="s">
        <v>16</v>
      </c>
      <c r="D98" s="3" t="s">
        <v>28</v>
      </c>
      <c r="E98" s="3" t="s">
        <v>10</v>
      </c>
      <c r="F98" s="3" t="s">
        <v>19</v>
      </c>
    </row>
    <row r="99" spans="1:6" x14ac:dyDescent="0.25">
      <c r="A99" s="3" t="s">
        <v>14</v>
      </c>
      <c r="B99" s="3" t="s">
        <v>13</v>
      </c>
      <c r="C99" s="3" t="s">
        <v>19</v>
      </c>
      <c r="D99" s="3" t="s">
        <v>25</v>
      </c>
      <c r="E99" s="3" t="s">
        <v>24</v>
      </c>
      <c r="F99" s="3" t="s">
        <v>20</v>
      </c>
    </row>
    <row r="100" spans="1:6" x14ac:dyDescent="0.25">
      <c r="A100" s="3" t="s">
        <v>16</v>
      </c>
      <c r="B100" s="3" t="s">
        <v>12</v>
      </c>
      <c r="C100" s="3" t="s">
        <v>18</v>
      </c>
      <c r="D100" s="3" t="s">
        <v>25</v>
      </c>
      <c r="E100" s="3" t="s">
        <v>10</v>
      </c>
      <c r="F100" s="3" t="s">
        <v>27</v>
      </c>
    </row>
    <row r="101" spans="1:6" x14ac:dyDescent="0.25">
      <c r="A101" s="3" t="s">
        <v>29</v>
      </c>
      <c r="B101" s="3" t="s">
        <v>16</v>
      </c>
      <c r="C101" s="3" t="s">
        <v>12</v>
      </c>
      <c r="D101" s="3" t="s">
        <v>29</v>
      </c>
      <c r="E101" s="3" t="s">
        <v>29</v>
      </c>
      <c r="F101" s="3" t="s">
        <v>22</v>
      </c>
    </row>
    <row r="102" spans="1:6" x14ac:dyDescent="0.25">
      <c r="A102" s="3" t="s">
        <v>12</v>
      </c>
      <c r="B102" s="3" t="s">
        <v>28</v>
      </c>
      <c r="C102" s="3" t="s">
        <v>18</v>
      </c>
      <c r="D102" s="3" t="s">
        <v>21</v>
      </c>
      <c r="E102" s="3" t="s">
        <v>27</v>
      </c>
      <c r="F102" s="3" t="s">
        <v>12</v>
      </c>
    </row>
    <row r="103" spans="1:6" x14ac:dyDescent="0.25">
      <c r="A103" s="3" t="s">
        <v>19</v>
      </c>
      <c r="B103" s="3" t="s">
        <v>14</v>
      </c>
      <c r="C103" s="3" t="s">
        <v>23</v>
      </c>
      <c r="D103" s="3" t="s">
        <v>10</v>
      </c>
      <c r="E103" s="3" t="s">
        <v>19</v>
      </c>
      <c r="F103" s="3" t="s">
        <v>15</v>
      </c>
    </row>
    <row r="104" spans="1:6" x14ac:dyDescent="0.25">
      <c r="A104" s="3" t="s">
        <v>18</v>
      </c>
      <c r="B104" s="3" t="s">
        <v>26</v>
      </c>
      <c r="C104" s="3" t="s">
        <v>25</v>
      </c>
      <c r="D104" s="3" t="s">
        <v>18</v>
      </c>
      <c r="E104" s="3" t="s">
        <v>20</v>
      </c>
      <c r="F104" s="3" t="s">
        <v>24</v>
      </c>
    </row>
    <row r="105" spans="1:6" x14ac:dyDescent="0.25">
      <c r="A105" s="3" t="s">
        <v>18</v>
      </c>
      <c r="B105" s="3" t="s">
        <v>13</v>
      </c>
      <c r="C105" s="3" t="s">
        <v>25</v>
      </c>
      <c r="D105" s="3" t="s">
        <v>15</v>
      </c>
      <c r="E105" s="3" t="s">
        <v>27</v>
      </c>
      <c r="F105" s="3" t="s">
        <v>23</v>
      </c>
    </row>
    <row r="106" spans="1:6" x14ac:dyDescent="0.25">
      <c r="A106" s="3" t="s">
        <v>17</v>
      </c>
      <c r="B106" s="3" t="s">
        <v>28</v>
      </c>
      <c r="C106" s="3" t="s">
        <v>21</v>
      </c>
      <c r="D106" s="3" t="s">
        <v>14</v>
      </c>
      <c r="E106" s="3" t="s">
        <v>19</v>
      </c>
      <c r="F106" s="3" t="s">
        <v>14</v>
      </c>
    </row>
    <row r="107" spans="1:6" x14ac:dyDescent="0.25">
      <c r="A107" s="3" t="s">
        <v>12</v>
      </c>
      <c r="B107" s="3" t="s">
        <v>12</v>
      </c>
      <c r="C107" s="3" t="s">
        <v>26</v>
      </c>
      <c r="D107" s="3" t="s">
        <v>30</v>
      </c>
      <c r="E107" s="3" t="s">
        <v>29</v>
      </c>
      <c r="F107" s="3" t="s">
        <v>25</v>
      </c>
    </row>
    <row r="108" spans="1:6" x14ac:dyDescent="0.25">
      <c r="A108" s="3" t="s">
        <v>12</v>
      </c>
      <c r="B108" s="3" t="s">
        <v>18</v>
      </c>
      <c r="C108" s="3" t="s">
        <v>14</v>
      </c>
      <c r="D108" s="3" t="s">
        <v>14</v>
      </c>
      <c r="E108" s="3" t="s">
        <v>15</v>
      </c>
      <c r="F108" s="3" t="s">
        <v>14</v>
      </c>
    </row>
    <row r="109" spans="1:6" x14ac:dyDescent="0.25">
      <c r="A109" s="3" t="s">
        <v>12</v>
      </c>
      <c r="B109" s="3" t="s">
        <v>14</v>
      </c>
      <c r="C109" s="3" t="s">
        <v>13</v>
      </c>
      <c r="D109" s="3" t="s">
        <v>17</v>
      </c>
      <c r="E109" s="3" t="s">
        <v>13</v>
      </c>
      <c r="F109" s="3" t="s">
        <v>25</v>
      </c>
    </row>
    <row r="110" spans="1:6" x14ac:dyDescent="0.25">
      <c r="A110" s="3" t="s">
        <v>12</v>
      </c>
      <c r="B110" s="3" t="s">
        <v>12</v>
      </c>
      <c r="C110" s="3" t="s">
        <v>16</v>
      </c>
      <c r="D110" s="3" t="s">
        <v>25</v>
      </c>
      <c r="E110" s="3" t="s">
        <v>19</v>
      </c>
      <c r="F110" s="3" t="s">
        <v>21</v>
      </c>
    </row>
    <row r="111" spans="1:6" x14ac:dyDescent="0.25">
      <c r="A111" s="3" t="s">
        <v>16</v>
      </c>
      <c r="B111" s="3" t="s">
        <v>26</v>
      </c>
      <c r="C111" s="3" t="s">
        <v>12</v>
      </c>
      <c r="D111" s="3" t="s">
        <v>20</v>
      </c>
      <c r="E111" s="3" t="s">
        <v>29</v>
      </c>
      <c r="F111" s="3" t="s">
        <v>25</v>
      </c>
    </row>
    <row r="112" spans="1:6" x14ac:dyDescent="0.25">
      <c r="A112" s="3" t="s">
        <v>12</v>
      </c>
      <c r="B112" s="3" t="s">
        <v>24</v>
      </c>
      <c r="C112" s="3" t="s">
        <v>14</v>
      </c>
      <c r="D112" s="3" t="s">
        <v>27</v>
      </c>
      <c r="E112" s="3" t="s">
        <v>18</v>
      </c>
      <c r="F112" s="3" t="s">
        <v>19</v>
      </c>
    </row>
    <row r="113" spans="1:6" x14ac:dyDescent="0.25">
      <c r="A113" s="3" t="s">
        <v>14</v>
      </c>
      <c r="B113" s="3" t="s">
        <v>12</v>
      </c>
      <c r="C113" s="3" t="s">
        <v>23</v>
      </c>
      <c r="D113" s="3" t="s">
        <v>30</v>
      </c>
      <c r="E113" s="3" t="s">
        <v>25</v>
      </c>
      <c r="F113" s="3" t="s">
        <v>27</v>
      </c>
    </row>
    <row r="114" spans="1:6" x14ac:dyDescent="0.25">
      <c r="A114" s="3" t="s">
        <v>12</v>
      </c>
      <c r="B114" s="3" t="s">
        <v>13</v>
      </c>
      <c r="C114" s="3" t="s">
        <v>30</v>
      </c>
      <c r="D114" s="3" t="s">
        <v>21</v>
      </c>
      <c r="E114" s="3" t="s">
        <v>23</v>
      </c>
      <c r="F114" s="3" t="s">
        <v>12</v>
      </c>
    </row>
    <row r="115" spans="1:6" x14ac:dyDescent="0.25">
      <c r="A115" s="3" t="s">
        <v>12</v>
      </c>
      <c r="B115" s="3" t="s">
        <v>13</v>
      </c>
      <c r="C115" s="3" t="s">
        <v>30</v>
      </c>
      <c r="D115" s="3" t="s">
        <v>14</v>
      </c>
      <c r="E115" s="3" t="s">
        <v>16</v>
      </c>
      <c r="F115" s="3" t="s">
        <v>30</v>
      </c>
    </row>
    <row r="116" spans="1:6" x14ac:dyDescent="0.25">
      <c r="A116" s="3" t="s">
        <v>21</v>
      </c>
      <c r="B116" s="3" t="s">
        <v>14</v>
      </c>
      <c r="C116" s="3" t="s">
        <v>15</v>
      </c>
      <c r="D116" s="3" t="s">
        <v>15</v>
      </c>
      <c r="E116" s="3" t="s">
        <v>21</v>
      </c>
      <c r="F116" s="3" t="s">
        <v>14</v>
      </c>
    </row>
    <row r="117" spans="1:6" x14ac:dyDescent="0.25">
      <c r="A117" s="3" t="s">
        <v>16</v>
      </c>
      <c r="B117" s="3" t="s">
        <v>13</v>
      </c>
      <c r="C117" s="3" t="s">
        <v>26</v>
      </c>
      <c r="D117" s="3" t="s">
        <v>20</v>
      </c>
      <c r="E117" s="3" t="s">
        <v>12</v>
      </c>
      <c r="F117" s="3" t="s">
        <v>25</v>
      </c>
    </row>
    <row r="118" spans="1:6" x14ac:dyDescent="0.25">
      <c r="A118" s="3" t="s">
        <v>14</v>
      </c>
      <c r="B118" s="3" t="s">
        <v>24</v>
      </c>
      <c r="C118" s="3" t="s">
        <v>26</v>
      </c>
      <c r="D118" s="3" t="s">
        <v>20</v>
      </c>
      <c r="E118" s="3" t="s">
        <v>15</v>
      </c>
      <c r="F118" s="3" t="s">
        <v>21</v>
      </c>
    </row>
    <row r="119" spans="1:6" x14ac:dyDescent="0.25">
      <c r="A119" s="3" t="s">
        <v>16</v>
      </c>
      <c r="B119" s="3" t="s">
        <v>14</v>
      </c>
      <c r="C119" s="3" t="s">
        <v>27</v>
      </c>
      <c r="D119" s="3" t="s">
        <v>12</v>
      </c>
      <c r="E119" s="3" t="s">
        <v>21</v>
      </c>
      <c r="F119" s="3" t="s">
        <v>19</v>
      </c>
    </row>
    <row r="120" spans="1:6" x14ac:dyDescent="0.25">
      <c r="A120" s="3" t="s">
        <v>26</v>
      </c>
      <c r="B120" s="3" t="s">
        <v>14</v>
      </c>
      <c r="C120" s="3" t="s">
        <v>19</v>
      </c>
      <c r="D120" s="3" t="s">
        <v>16</v>
      </c>
      <c r="E120" s="3" t="s">
        <v>18</v>
      </c>
      <c r="F120" s="3" t="s">
        <v>12</v>
      </c>
    </row>
    <row r="121" spans="1:6" x14ac:dyDescent="0.25">
      <c r="A121" s="3" t="s">
        <v>20</v>
      </c>
      <c r="B121" s="3" t="s">
        <v>16</v>
      </c>
      <c r="C121" s="3" t="s">
        <v>16</v>
      </c>
      <c r="D121" s="3" t="s">
        <v>27</v>
      </c>
      <c r="E121" s="3" t="s">
        <v>14</v>
      </c>
      <c r="F121" s="3" t="s">
        <v>12</v>
      </c>
    </row>
    <row r="122" spans="1:6" x14ac:dyDescent="0.25">
      <c r="A122" s="3" t="s">
        <v>18</v>
      </c>
      <c r="B122" s="3" t="s">
        <v>13</v>
      </c>
      <c r="C122" s="3" t="s">
        <v>18</v>
      </c>
      <c r="D122" s="3" t="s">
        <v>23</v>
      </c>
      <c r="E122" s="3" t="s">
        <v>25</v>
      </c>
      <c r="F122" s="3" t="s">
        <v>18</v>
      </c>
    </row>
    <row r="123" spans="1:6" x14ac:dyDescent="0.25">
      <c r="A123" s="3" t="s">
        <v>23</v>
      </c>
      <c r="B123" s="3" t="s">
        <v>25</v>
      </c>
      <c r="C123" s="3" t="s">
        <v>17</v>
      </c>
      <c r="D123" s="3" t="s">
        <v>15</v>
      </c>
      <c r="E123" s="3" t="s">
        <v>23</v>
      </c>
      <c r="F123" s="3" t="s">
        <v>15</v>
      </c>
    </row>
    <row r="124" spans="1:6" x14ac:dyDescent="0.25">
      <c r="A124" s="3" t="s">
        <v>12</v>
      </c>
      <c r="B124" s="3" t="s">
        <v>13</v>
      </c>
      <c r="C124" s="3" t="s">
        <v>17</v>
      </c>
      <c r="D124" s="3" t="s">
        <v>25</v>
      </c>
      <c r="E124" s="3" t="s">
        <v>13</v>
      </c>
      <c r="F124" s="3" t="s">
        <v>12</v>
      </c>
    </row>
    <row r="125" spans="1:6" x14ac:dyDescent="0.25">
      <c r="A125" s="3" t="s">
        <v>14</v>
      </c>
      <c r="B125" s="3" t="s">
        <v>28</v>
      </c>
      <c r="C125" s="3" t="s">
        <v>18</v>
      </c>
      <c r="D125" s="3" t="s">
        <v>23</v>
      </c>
      <c r="E125" s="3" t="s">
        <v>18</v>
      </c>
      <c r="F125" s="3" t="s">
        <v>25</v>
      </c>
    </row>
    <row r="126" spans="1:6" x14ac:dyDescent="0.25">
      <c r="A126" s="3" t="s">
        <v>12</v>
      </c>
      <c r="B126" s="3" t="s">
        <v>20</v>
      </c>
      <c r="C126" s="3" t="s">
        <v>19</v>
      </c>
      <c r="D126" s="3" t="s">
        <v>30</v>
      </c>
      <c r="E126" s="3" t="s">
        <v>12</v>
      </c>
      <c r="F126" s="3" t="s">
        <v>23</v>
      </c>
    </row>
    <row r="127" spans="1:6" x14ac:dyDescent="0.25">
      <c r="A127" s="3" t="s">
        <v>21</v>
      </c>
      <c r="B127" s="3" t="s">
        <v>10</v>
      </c>
      <c r="C127" s="3" t="s">
        <v>20</v>
      </c>
      <c r="D127" s="3" t="s">
        <v>27</v>
      </c>
      <c r="E127" s="3" t="s">
        <v>15</v>
      </c>
      <c r="F127" s="3" t="s">
        <v>16</v>
      </c>
    </row>
    <row r="128" spans="1:6" x14ac:dyDescent="0.25">
      <c r="A128" s="3" t="s">
        <v>20</v>
      </c>
      <c r="B128" s="3" t="s">
        <v>24</v>
      </c>
      <c r="C128" s="3" t="s">
        <v>25</v>
      </c>
      <c r="D128" s="3" t="s">
        <v>12</v>
      </c>
      <c r="E128" s="3" t="s">
        <v>21</v>
      </c>
      <c r="F128" s="3" t="s">
        <v>28</v>
      </c>
    </row>
    <row r="129" spans="1:6" x14ac:dyDescent="0.25">
      <c r="A129" s="3" t="s">
        <v>14</v>
      </c>
      <c r="B129" s="3" t="s">
        <v>21</v>
      </c>
      <c r="C129" s="3" t="s">
        <v>20</v>
      </c>
      <c r="D129" s="3" t="s">
        <v>24</v>
      </c>
      <c r="E129" s="3" t="s">
        <v>23</v>
      </c>
      <c r="F129" s="3" t="s">
        <v>30</v>
      </c>
    </row>
    <row r="130" spans="1:6" x14ac:dyDescent="0.25">
      <c r="A130" s="3" t="s">
        <v>16</v>
      </c>
      <c r="B130" s="3" t="s">
        <v>23</v>
      </c>
      <c r="C130" s="3" t="s">
        <v>18</v>
      </c>
      <c r="D130" s="3" t="s">
        <v>18</v>
      </c>
      <c r="E130" s="3" t="s">
        <v>14</v>
      </c>
      <c r="F130" s="3" t="s">
        <v>12</v>
      </c>
    </row>
    <row r="131" spans="1:6" x14ac:dyDescent="0.25">
      <c r="A131" s="3" t="s">
        <v>20</v>
      </c>
      <c r="B131" s="3" t="s">
        <v>13</v>
      </c>
      <c r="C131" s="3" t="s">
        <v>24</v>
      </c>
      <c r="D131" s="3" t="s">
        <v>28</v>
      </c>
      <c r="E131" s="3" t="s">
        <v>21</v>
      </c>
      <c r="F131" s="3" t="s">
        <v>14</v>
      </c>
    </row>
    <row r="132" spans="1:6" x14ac:dyDescent="0.25">
      <c r="A132" s="3" t="s">
        <v>23</v>
      </c>
      <c r="B132" s="3" t="s">
        <v>25</v>
      </c>
      <c r="C132" s="3" t="s">
        <v>12</v>
      </c>
      <c r="D132" s="3" t="s">
        <v>13</v>
      </c>
      <c r="E132" s="3" t="s">
        <v>16</v>
      </c>
      <c r="F132" s="3" t="s">
        <v>23</v>
      </c>
    </row>
    <row r="133" spans="1:6" x14ac:dyDescent="0.25">
      <c r="A133" s="3" t="s">
        <v>10</v>
      </c>
      <c r="B133" s="3" t="s">
        <v>28</v>
      </c>
      <c r="C133" s="3" t="s">
        <v>13</v>
      </c>
      <c r="D133" s="3" t="s">
        <v>20</v>
      </c>
      <c r="E133" s="3" t="s">
        <v>28</v>
      </c>
      <c r="F133" s="3" t="s">
        <v>21</v>
      </c>
    </row>
    <row r="134" spans="1:6" x14ac:dyDescent="0.25">
      <c r="A134" s="3" t="s">
        <v>23</v>
      </c>
      <c r="B134" s="3" t="s">
        <v>14</v>
      </c>
      <c r="C134" s="3" t="s">
        <v>23</v>
      </c>
      <c r="D134" s="3" t="s">
        <v>27</v>
      </c>
      <c r="E134" s="3" t="s">
        <v>30</v>
      </c>
      <c r="F134" s="3" t="s">
        <v>22</v>
      </c>
    </row>
    <row r="135" spans="1:6" x14ac:dyDescent="0.25">
      <c r="A135" s="3" t="s">
        <v>20</v>
      </c>
      <c r="B135" s="3" t="s">
        <v>26</v>
      </c>
      <c r="C135" s="3" t="s">
        <v>24</v>
      </c>
      <c r="D135" s="3" t="s">
        <v>21</v>
      </c>
      <c r="E135" s="3" t="s">
        <v>21</v>
      </c>
      <c r="F135" s="3" t="s">
        <v>17</v>
      </c>
    </row>
    <row r="136" spans="1:6" x14ac:dyDescent="0.25">
      <c r="A136" s="3" t="s">
        <v>18</v>
      </c>
      <c r="B136" s="3" t="s">
        <v>24</v>
      </c>
      <c r="C136" s="3" t="s">
        <v>28</v>
      </c>
      <c r="D136" s="3" t="s">
        <v>28</v>
      </c>
      <c r="E136" s="3" t="s">
        <v>14</v>
      </c>
      <c r="F136" s="3" t="s">
        <v>10</v>
      </c>
    </row>
    <row r="137" spans="1:6" x14ac:dyDescent="0.25">
      <c r="A137" s="3" t="s">
        <v>20</v>
      </c>
      <c r="B137" s="3" t="s">
        <v>16</v>
      </c>
      <c r="C137" s="3" t="s">
        <v>14</v>
      </c>
      <c r="D137" s="3" t="s">
        <v>21</v>
      </c>
      <c r="E137" s="3" t="s">
        <v>23</v>
      </c>
      <c r="F137" s="3" t="s">
        <v>24</v>
      </c>
    </row>
    <row r="138" spans="1:6" x14ac:dyDescent="0.25">
      <c r="A138" s="3" t="s">
        <v>12</v>
      </c>
      <c r="B138" s="3" t="s">
        <v>13</v>
      </c>
      <c r="C138" s="3" t="s">
        <v>16</v>
      </c>
      <c r="D138" s="3" t="s">
        <v>25</v>
      </c>
      <c r="E138" s="3" t="s">
        <v>18</v>
      </c>
      <c r="F138" s="3" t="s">
        <v>25</v>
      </c>
    </row>
    <row r="139" spans="1:6" x14ac:dyDescent="0.25">
      <c r="A139" s="3" t="s">
        <v>21</v>
      </c>
      <c r="B139" s="3" t="s">
        <v>13</v>
      </c>
      <c r="C139" s="3" t="s">
        <v>14</v>
      </c>
      <c r="D139" s="3" t="s">
        <v>28</v>
      </c>
      <c r="E139" s="3" t="s">
        <v>25</v>
      </c>
      <c r="F139" s="3" t="s">
        <v>28</v>
      </c>
    </row>
    <row r="140" spans="1:6" x14ac:dyDescent="0.25">
      <c r="A140" s="3" t="s">
        <v>20</v>
      </c>
      <c r="B140" s="3" t="s">
        <v>24</v>
      </c>
      <c r="C140" s="3" t="s">
        <v>14</v>
      </c>
      <c r="D140" s="3" t="s">
        <v>13</v>
      </c>
      <c r="E140" s="3" t="s">
        <v>17</v>
      </c>
      <c r="F140" s="3" t="s">
        <v>12</v>
      </c>
    </row>
    <row r="141" spans="1:6" x14ac:dyDescent="0.25">
      <c r="A141" s="3" t="s">
        <v>14</v>
      </c>
      <c r="B141" s="3" t="s">
        <v>10</v>
      </c>
      <c r="C141" s="3" t="s">
        <v>17</v>
      </c>
      <c r="D141" s="3" t="s">
        <v>12</v>
      </c>
      <c r="E141" s="3" t="s">
        <v>19</v>
      </c>
      <c r="F141" s="3" t="s">
        <v>28</v>
      </c>
    </row>
    <row r="142" spans="1:6" x14ac:dyDescent="0.25">
      <c r="A142" s="3" t="s">
        <v>12</v>
      </c>
      <c r="B142" s="3" t="s">
        <v>13</v>
      </c>
      <c r="C142" s="3" t="s">
        <v>18</v>
      </c>
      <c r="D142" s="3" t="s">
        <v>14</v>
      </c>
      <c r="E142" s="3" t="s">
        <v>24</v>
      </c>
      <c r="F142" s="3" t="s">
        <v>28</v>
      </c>
    </row>
    <row r="143" spans="1:6" x14ac:dyDescent="0.25">
      <c r="A143" s="3" t="s">
        <v>18</v>
      </c>
      <c r="B143" s="3" t="s">
        <v>23</v>
      </c>
      <c r="C143" s="3" t="s">
        <v>21</v>
      </c>
      <c r="D143" s="3" t="s">
        <v>20</v>
      </c>
      <c r="E143" s="3" t="s">
        <v>30</v>
      </c>
      <c r="F143" s="3" t="s">
        <v>18</v>
      </c>
    </row>
    <row r="144" spans="1:6" x14ac:dyDescent="0.25">
      <c r="A144" s="3" t="s">
        <v>24</v>
      </c>
      <c r="B144" s="3" t="s">
        <v>26</v>
      </c>
      <c r="C144" s="3" t="s">
        <v>25</v>
      </c>
      <c r="D144" s="3" t="s">
        <v>22</v>
      </c>
      <c r="E144" s="3" t="s">
        <v>26</v>
      </c>
      <c r="F144" s="3" t="s">
        <v>10</v>
      </c>
    </row>
    <row r="145" spans="1:6" x14ac:dyDescent="0.25">
      <c r="A145" s="3" t="s">
        <v>21</v>
      </c>
      <c r="B145" s="3" t="s">
        <v>13</v>
      </c>
      <c r="C145" s="3" t="s">
        <v>23</v>
      </c>
      <c r="D145" s="3" t="s">
        <v>18</v>
      </c>
      <c r="E145" s="3" t="s">
        <v>25</v>
      </c>
      <c r="F145" s="3" t="s">
        <v>12</v>
      </c>
    </row>
    <row r="146" spans="1:6" x14ac:dyDescent="0.25">
      <c r="A146" s="3" t="s">
        <v>30</v>
      </c>
      <c r="B146" s="3" t="s">
        <v>23</v>
      </c>
      <c r="C146" s="3" t="s">
        <v>19</v>
      </c>
      <c r="D146" s="3" t="s">
        <v>20</v>
      </c>
      <c r="E146" s="3" t="s">
        <v>12</v>
      </c>
      <c r="F146" s="3" t="s">
        <v>21</v>
      </c>
    </row>
    <row r="147" spans="1:6" x14ac:dyDescent="0.25">
      <c r="A147" s="3" t="s">
        <v>25</v>
      </c>
      <c r="B147" s="3" t="s">
        <v>26</v>
      </c>
      <c r="C147" s="3" t="s">
        <v>17</v>
      </c>
      <c r="D147" s="3" t="s">
        <v>30</v>
      </c>
      <c r="E147" s="3" t="s">
        <v>12</v>
      </c>
      <c r="F147" s="3" t="s">
        <v>14</v>
      </c>
    </row>
    <row r="148" spans="1:6" x14ac:dyDescent="0.25">
      <c r="A148" s="3" t="s">
        <v>30</v>
      </c>
      <c r="B148" s="3" t="s">
        <v>12</v>
      </c>
      <c r="C148" s="3" t="s">
        <v>17</v>
      </c>
      <c r="D148" s="3" t="s">
        <v>12</v>
      </c>
      <c r="E148" s="3" t="s">
        <v>18</v>
      </c>
      <c r="F148" s="3" t="s">
        <v>24</v>
      </c>
    </row>
    <row r="149" spans="1:6" x14ac:dyDescent="0.25">
      <c r="A149" s="3" t="s">
        <v>28</v>
      </c>
      <c r="B149" s="3" t="s">
        <v>24</v>
      </c>
      <c r="C149" s="3" t="s">
        <v>25</v>
      </c>
      <c r="D149" s="3" t="s">
        <v>25</v>
      </c>
      <c r="E149" s="3" t="s">
        <v>24</v>
      </c>
      <c r="F149" s="3" t="s">
        <v>21</v>
      </c>
    </row>
    <row r="150" spans="1:6" x14ac:dyDescent="0.25">
      <c r="A150" s="3" t="s">
        <v>19</v>
      </c>
      <c r="B150" s="3" t="s">
        <v>13</v>
      </c>
      <c r="C150" s="3" t="s">
        <v>18</v>
      </c>
      <c r="D150" s="3" t="s">
        <v>15</v>
      </c>
      <c r="E150" s="3" t="s">
        <v>27</v>
      </c>
      <c r="F150" s="3" t="s">
        <v>18</v>
      </c>
    </row>
    <row r="151" spans="1:6" x14ac:dyDescent="0.25">
      <c r="A151" s="3" t="s">
        <v>21</v>
      </c>
      <c r="B151" s="3" t="s">
        <v>14</v>
      </c>
      <c r="C151" s="3" t="s">
        <v>13</v>
      </c>
      <c r="D151" s="3" t="s">
        <v>15</v>
      </c>
      <c r="E151" s="3" t="s">
        <v>24</v>
      </c>
      <c r="F151" s="3" t="s">
        <v>15</v>
      </c>
    </row>
    <row r="152" spans="1:6" x14ac:dyDescent="0.25">
      <c r="A152" s="3" t="s">
        <v>29</v>
      </c>
      <c r="B152" s="3" t="s">
        <v>24</v>
      </c>
      <c r="C152" s="3" t="s">
        <v>26</v>
      </c>
      <c r="D152" s="3" t="s">
        <v>28</v>
      </c>
      <c r="E152" s="3" t="s">
        <v>14</v>
      </c>
      <c r="F152" s="3" t="s">
        <v>23</v>
      </c>
    </row>
    <row r="153" spans="1:6" x14ac:dyDescent="0.25">
      <c r="A153" s="3" t="s">
        <v>29</v>
      </c>
      <c r="B153" s="3" t="s">
        <v>22</v>
      </c>
      <c r="C153" s="3" t="s">
        <v>12</v>
      </c>
      <c r="D153" s="3" t="s">
        <v>19</v>
      </c>
      <c r="E153" s="3" t="s">
        <v>28</v>
      </c>
      <c r="F153" s="3" t="s">
        <v>23</v>
      </c>
    </row>
    <row r="154" spans="1:6" x14ac:dyDescent="0.25">
      <c r="A154" s="3" t="s">
        <v>14</v>
      </c>
      <c r="B154" s="3" t="s">
        <v>23</v>
      </c>
      <c r="C154" s="3" t="s">
        <v>14</v>
      </c>
      <c r="D154" s="3" t="s">
        <v>12</v>
      </c>
      <c r="E154" s="3" t="s">
        <v>21</v>
      </c>
      <c r="F154" s="3" t="s">
        <v>23</v>
      </c>
    </row>
    <row r="155" spans="1:6" x14ac:dyDescent="0.25">
      <c r="A155" s="3" t="s">
        <v>23</v>
      </c>
      <c r="B155" s="3" t="s">
        <v>14</v>
      </c>
      <c r="C155" s="3" t="s">
        <v>18</v>
      </c>
      <c r="D155" s="3" t="s">
        <v>16</v>
      </c>
      <c r="E155" s="3" t="s">
        <v>21</v>
      </c>
      <c r="F155" s="3" t="s">
        <v>29</v>
      </c>
    </row>
    <row r="156" spans="1:6" x14ac:dyDescent="0.25">
      <c r="A156" s="3" t="s">
        <v>25</v>
      </c>
      <c r="B156" s="3" t="s">
        <v>13</v>
      </c>
      <c r="C156" s="3" t="s">
        <v>20</v>
      </c>
      <c r="D156" s="3" t="s">
        <v>16</v>
      </c>
      <c r="E156" s="3" t="s">
        <v>23</v>
      </c>
      <c r="F156" s="3" t="s">
        <v>12</v>
      </c>
    </row>
    <row r="157" spans="1:6" x14ac:dyDescent="0.25">
      <c r="A157" s="3" t="s">
        <v>18</v>
      </c>
      <c r="B157" s="3" t="s">
        <v>16</v>
      </c>
      <c r="C157" s="3" t="s">
        <v>20</v>
      </c>
      <c r="D157" s="3" t="s">
        <v>27</v>
      </c>
      <c r="E157" s="3" t="s">
        <v>12</v>
      </c>
      <c r="F157" s="3" t="s">
        <v>10</v>
      </c>
    </row>
    <row r="158" spans="1:6" x14ac:dyDescent="0.25">
      <c r="A158" s="3" t="s">
        <v>14</v>
      </c>
      <c r="B158" s="3" t="s">
        <v>14</v>
      </c>
      <c r="C158" s="3" t="s">
        <v>14</v>
      </c>
      <c r="D158" s="3" t="s">
        <v>26</v>
      </c>
      <c r="E158" s="3" t="s">
        <v>10</v>
      </c>
      <c r="F158" s="3" t="s">
        <v>14</v>
      </c>
    </row>
    <row r="159" spans="1:6" x14ac:dyDescent="0.25">
      <c r="A159" s="3" t="s">
        <v>14</v>
      </c>
      <c r="B159" s="3" t="s">
        <v>16</v>
      </c>
      <c r="C159" s="3" t="s">
        <v>25</v>
      </c>
      <c r="D159" s="3" t="s">
        <v>23</v>
      </c>
      <c r="E159" s="3" t="s">
        <v>21</v>
      </c>
      <c r="F159" s="3" t="s">
        <v>20</v>
      </c>
    </row>
    <row r="160" spans="1:6" x14ac:dyDescent="0.25">
      <c r="A160" s="3" t="s">
        <v>10</v>
      </c>
      <c r="B160" s="3" t="s">
        <v>28</v>
      </c>
      <c r="C160" s="3" t="s">
        <v>21</v>
      </c>
      <c r="D160" s="3" t="s">
        <v>21</v>
      </c>
      <c r="E160" s="3" t="s">
        <v>29</v>
      </c>
      <c r="F160" s="3" t="s">
        <v>12</v>
      </c>
    </row>
    <row r="161" spans="1:6" x14ac:dyDescent="0.25">
      <c r="A161" s="3" t="s">
        <v>12</v>
      </c>
      <c r="B161" s="3" t="s">
        <v>30</v>
      </c>
      <c r="C161" s="3" t="s">
        <v>21</v>
      </c>
      <c r="D161" s="3" t="s">
        <v>18</v>
      </c>
      <c r="E161" s="3" t="s">
        <v>23</v>
      </c>
      <c r="F161" s="3" t="s">
        <v>14</v>
      </c>
    </row>
    <row r="162" spans="1:6" x14ac:dyDescent="0.25">
      <c r="A162" s="3" t="s">
        <v>30</v>
      </c>
      <c r="B162" s="3" t="s">
        <v>13</v>
      </c>
      <c r="C162" s="3" t="s">
        <v>15</v>
      </c>
      <c r="D162" s="3" t="s">
        <v>25</v>
      </c>
      <c r="E162" s="3" t="s">
        <v>21</v>
      </c>
      <c r="F162" s="3" t="s">
        <v>25</v>
      </c>
    </row>
    <row r="163" spans="1:6" x14ac:dyDescent="0.25">
      <c r="A163" s="3" t="s">
        <v>23</v>
      </c>
      <c r="B163" s="3" t="s">
        <v>13</v>
      </c>
      <c r="C163" s="3" t="s">
        <v>12</v>
      </c>
      <c r="D163" s="3" t="s">
        <v>25</v>
      </c>
      <c r="E163" s="3" t="s">
        <v>25</v>
      </c>
      <c r="F163" s="3" t="s">
        <v>12</v>
      </c>
    </row>
    <row r="164" spans="1:6" x14ac:dyDescent="0.25">
      <c r="A164" s="3" t="s">
        <v>12</v>
      </c>
      <c r="B164" s="3" t="s">
        <v>21</v>
      </c>
      <c r="C164" s="3" t="s">
        <v>10</v>
      </c>
      <c r="D164" s="3" t="s">
        <v>20</v>
      </c>
      <c r="E164" s="3" t="s">
        <v>20</v>
      </c>
      <c r="F164" s="3" t="s">
        <v>17</v>
      </c>
    </row>
    <row r="165" spans="1:6" x14ac:dyDescent="0.25">
      <c r="A165" s="3" t="s">
        <v>30</v>
      </c>
      <c r="B165" s="3" t="s">
        <v>14</v>
      </c>
      <c r="C165" s="3" t="s">
        <v>27</v>
      </c>
      <c r="D165" s="3" t="s">
        <v>16</v>
      </c>
      <c r="E165" s="3" t="s">
        <v>12</v>
      </c>
      <c r="F165" s="3" t="s">
        <v>14</v>
      </c>
    </row>
    <row r="166" spans="1:6" x14ac:dyDescent="0.25">
      <c r="A166" s="3" t="s">
        <v>21</v>
      </c>
      <c r="B166" s="3" t="s">
        <v>28</v>
      </c>
      <c r="C166" s="3" t="s">
        <v>27</v>
      </c>
      <c r="D166" s="3" t="s">
        <v>18</v>
      </c>
      <c r="E166" s="3" t="s">
        <v>18</v>
      </c>
      <c r="F166" s="3" t="s">
        <v>21</v>
      </c>
    </row>
    <row r="167" spans="1:6" x14ac:dyDescent="0.25">
      <c r="A167" s="3" t="s">
        <v>12</v>
      </c>
      <c r="B167" s="3" t="s">
        <v>24</v>
      </c>
      <c r="C167" s="3" t="s">
        <v>19</v>
      </c>
      <c r="D167" s="3" t="s">
        <v>18</v>
      </c>
      <c r="E167" s="3" t="s">
        <v>25</v>
      </c>
      <c r="F167" s="3" t="s">
        <v>23</v>
      </c>
    </row>
    <row r="168" spans="1:6" x14ac:dyDescent="0.25">
      <c r="A168" s="3" t="s">
        <v>19</v>
      </c>
      <c r="B168" s="3" t="s">
        <v>12</v>
      </c>
      <c r="C168" s="3" t="s">
        <v>30</v>
      </c>
      <c r="D168" s="3" t="s">
        <v>15</v>
      </c>
      <c r="E168" s="3" t="s">
        <v>19</v>
      </c>
      <c r="F168" s="3" t="s">
        <v>22</v>
      </c>
    </row>
    <row r="169" spans="1:6" x14ac:dyDescent="0.25">
      <c r="A169" s="3" t="s">
        <v>19</v>
      </c>
      <c r="B169" s="3" t="s">
        <v>21</v>
      </c>
      <c r="C169" s="3" t="s">
        <v>17</v>
      </c>
      <c r="D169" s="3" t="s">
        <v>14</v>
      </c>
      <c r="E169" s="3" t="s">
        <v>12</v>
      </c>
      <c r="F169" s="3" t="s">
        <v>28</v>
      </c>
    </row>
    <row r="170" spans="1:6" x14ac:dyDescent="0.25">
      <c r="A170" s="3" t="s">
        <v>20</v>
      </c>
      <c r="B170" s="3" t="s">
        <v>23</v>
      </c>
      <c r="C170" s="3" t="s">
        <v>28</v>
      </c>
      <c r="D170" s="3" t="s">
        <v>12</v>
      </c>
      <c r="E170" s="3" t="s">
        <v>17</v>
      </c>
      <c r="F170" s="3" t="s">
        <v>27</v>
      </c>
    </row>
    <row r="171" spans="1:6" x14ac:dyDescent="0.25">
      <c r="A171" s="3" t="s">
        <v>19</v>
      </c>
      <c r="B171" s="3" t="s">
        <v>23</v>
      </c>
      <c r="C171" s="3" t="s">
        <v>16</v>
      </c>
      <c r="D171" s="3" t="s">
        <v>29</v>
      </c>
      <c r="E171" s="3" t="s">
        <v>23</v>
      </c>
      <c r="F171" s="3" t="s">
        <v>21</v>
      </c>
    </row>
    <row r="172" spans="1:6" x14ac:dyDescent="0.25">
      <c r="A172" s="3" t="s">
        <v>18</v>
      </c>
      <c r="B172" s="3" t="s">
        <v>13</v>
      </c>
      <c r="C172" s="3" t="s">
        <v>23</v>
      </c>
      <c r="D172" s="3" t="s">
        <v>16</v>
      </c>
      <c r="E172" s="3" t="s">
        <v>26</v>
      </c>
      <c r="F172" s="3" t="s">
        <v>30</v>
      </c>
    </row>
    <row r="173" spans="1:6" x14ac:dyDescent="0.25">
      <c r="A173" s="3" t="s">
        <v>25</v>
      </c>
      <c r="B173" s="3" t="s">
        <v>25</v>
      </c>
      <c r="C173" s="3" t="s">
        <v>25</v>
      </c>
      <c r="D173" s="3" t="s">
        <v>23</v>
      </c>
      <c r="E173" s="3" t="s">
        <v>10</v>
      </c>
      <c r="F173" s="3" t="s">
        <v>19</v>
      </c>
    </row>
    <row r="174" spans="1:6" x14ac:dyDescent="0.25">
      <c r="A174" s="3" t="s">
        <v>24</v>
      </c>
      <c r="B174" s="3" t="s">
        <v>16</v>
      </c>
      <c r="C174" s="3" t="s">
        <v>21</v>
      </c>
      <c r="D174" s="3" t="s">
        <v>13</v>
      </c>
      <c r="E174" s="3" t="s">
        <v>22</v>
      </c>
      <c r="F174" s="3" t="s">
        <v>23</v>
      </c>
    </row>
    <row r="175" spans="1:6" x14ac:dyDescent="0.25">
      <c r="A175" s="3" t="s">
        <v>14</v>
      </c>
      <c r="B175" s="3" t="s">
        <v>12</v>
      </c>
      <c r="C175" s="3" t="s">
        <v>24</v>
      </c>
      <c r="D175" s="3" t="s">
        <v>18</v>
      </c>
      <c r="E175" s="3" t="s">
        <v>29</v>
      </c>
      <c r="F175" s="3" t="s">
        <v>13</v>
      </c>
    </row>
    <row r="176" spans="1:6" x14ac:dyDescent="0.25">
      <c r="A176" s="3" t="s">
        <v>13</v>
      </c>
      <c r="B176" s="3" t="s">
        <v>13</v>
      </c>
      <c r="C176" s="3" t="s">
        <v>29</v>
      </c>
      <c r="D176" s="3" t="s">
        <v>20</v>
      </c>
      <c r="E176" s="3" t="s">
        <v>30</v>
      </c>
      <c r="F176" s="3" t="s">
        <v>27</v>
      </c>
    </row>
    <row r="177" spans="1:6" x14ac:dyDescent="0.25">
      <c r="A177" s="3" t="s">
        <v>25</v>
      </c>
      <c r="B177" s="3" t="s">
        <v>28</v>
      </c>
      <c r="C177" s="3" t="s">
        <v>24</v>
      </c>
      <c r="D177" s="3" t="s">
        <v>26</v>
      </c>
      <c r="E177" s="3" t="s">
        <v>28</v>
      </c>
      <c r="F177" s="3" t="s">
        <v>18</v>
      </c>
    </row>
    <row r="178" spans="1:6" x14ac:dyDescent="0.25">
      <c r="A178" s="3" t="s">
        <v>10</v>
      </c>
      <c r="B178" s="3" t="s">
        <v>14</v>
      </c>
      <c r="C178" s="3" t="s">
        <v>23</v>
      </c>
      <c r="D178" s="3" t="s">
        <v>26</v>
      </c>
      <c r="E178" s="3" t="s">
        <v>14</v>
      </c>
      <c r="F178" s="3" t="s">
        <v>27</v>
      </c>
    </row>
    <row r="179" spans="1:6" x14ac:dyDescent="0.25">
      <c r="A179" s="3" t="s">
        <v>28</v>
      </c>
      <c r="B179" s="3" t="s">
        <v>13</v>
      </c>
      <c r="C179" s="3" t="s">
        <v>16</v>
      </c>
      <c r="D179" s="3" t="s">
        <v>18</v>
      </c>
      <c r="E179" s="3" t="s">
        <v>18</v>
      </c>
      <c r="F179" s="3" t="s">
        <v>23</v>
      </c>
    </row>
    <row r="180" spans="1:6" x14ac:dyDescent="0.25">
      <c r="A180" s="3" t="s">
        <v>17</v>
      </c>
      <c r="B180" s="3" t="s">
        <v>13</v>
      </c>
      <c r="C180" s="3" t="s">
        <v>20</v>
      </c>
      <c r="D180" s="3" t="s">
        <v>18</v>
      </c>
      <c r="E180" s="3" t="s">
        <v>22</v>
      </c>
      <c r="F180" s="3" t="s">
        <v>18</v>
      </c>
    </row>
    <row r="181" spans="1:6" x14ac:dyDescent="0.25">
      <c r="A181" s="3" t="s">
        <v>13</v>
      </c>
      <c r="B181" s="3" t="s">
        <v>28</v>
      </c>
      <c r="C181" s="3" t="s">
        <v>18</v>
      </c>
      <c r="D181" s="3" t="s">
        <v>18</v>
      </c>
      <c r="E181" s="3" t="s">
        <v>24</v>
      </c>
      <c r="F181" s="3" t="s">
        <v>21</v>
      </c>
    </row>
    <row r="182" spans="1:6" x14ac:dyDescent="0.25">
      <c r="A182" s="3" t="s">
        <v>21</v>
      </c>
      <c r="B182" s="3" t="s">
        <v>14</v>
      </c>
      <c r="C182" s="3" t="s">
        <v>13</v>
      </c>
      <c r="D182" s="3" t="s">
        <v>19</v>
      </c>
      <c r="E182" s="3" t="s">
        <v>26</v>
      </c>
      <c r="F182" s="3" t="s">
        <v>15</v>
      </c>
    </row>
    <row r="183" spans="1:6" x14ac:dyDescent="0.25">
      <c r="A183" s="3" t="s">
        <v>14</v>
      </c>
      <c r="B183" s="3" t="s">
        <v>13</v>
      </c>
      <c r="C183" s="3" t="s">
        <v>28</v>
      </c>
      <c r="D183" s="3" t="s">
        <v>18</v>
      </c>
      <c r="E183" s="3" t="s">
        <v>14</v>
      </c>
      <c r="F183" s="3" t="s">
        <v>14</v>
      </c>
    </row>
    <row r="184" spans="1:6" x14ac:dyDescent="0.25">
      <c r="A184" s="3" t="s">
        <v>25</v>
      </c>
      <c r="B184" s="3" t="s">
        <v>12</v>
      </c>
      <c r="C184" s="3" t="s">
        <v>28</v>
      </c>
      <c r="D184" s="3" t="s">
        <v>20</v>
      </c>
      <c r="E184" s="3" t="s">
        <v>23</v>
      </c>
      <c r="F184" s="3" t="s">
        <v>19</v>
      </c>
    </row>
    <row r="185" spans="1:6" x14ac:dyDescent="0.25">
      <c r="A185" s="3" t="s">
        <v>18</v>
      </c>
      <c r="B185" s="3" t="s">
        <v>25</v>
      </c>
      <c r="C185" s="3" t="s">
        <v>16</v>
      </c>
      <c r="D185" s="3" t="s">
        <v>22</v>
      </c>
      <c r="E185" s="3" t="s">
        <v>16</v>
      </c>
      <c r="F185" s="3" t="s">
        <v>22</v>
      </c>
    </row>
    <row r="186" spans="1:6" x14ac:dyDescent="0.25">
      <c r="A186" s="3" t="s">
        <v>19</v>
      </c>
      <c r="B186" s="3" t="s">
        <v>13</v>
      </c>
      <c r="C186" s="3" t="s">
        <v>20</v>
      </c>
      <c r="D186" s="3" t="s">
        <v>18</v>
      </c>
      <c r="E186" s="3" t="s">
        <v>15</v>
      </c>
      <c r="F186" s="3" t="s">
        <v>30</v>
      </c>
    </row>
    <row r="187" spans="1:6" x14ac:dyDescent="0.25">
      <c r="A187" s="3" t="s">
        <v>24</v>
      </c>
      <c r="B187" s="3" t="s">
        <v>20</v>
      </c>
      <c r="C187" s="3" t="s">
        <v>21</v>
      </c>
      <c r="D187" s="3" t="s">
        <v>20</v>
      </c>
      <c r="E187" s="3" t="s">
        <v>30</v>
      </c>
      <c r="F187" s="3" t="s">
        <v>13</v>
      </c>
    </row>
    <row r="188" spans="1:6" x14ac:dyDescent="0.25">
      <c r="A188" s="3" t="s">
        <v>21</v>
      </c>
      <c r="B188" s="3" t="s">
        <v>24</v>
      </c>
      <c r="C188" s="3" t="s">
        <v>12</v>
      </c>
      <c r="D188" s="3" t="s">
        <v>16</v>
      </c>
      <c r="E188" s="3" t="s">
        <v>14</v>
      </c>
      <c r="F188" s="3" t="s">
        <v>25</v>
      </c>
    </row>
    <row r="189" spans="1:6" x14ac:dyDescent="0.25">
      <c r="A189" s="3" t="s">
        <v>12</v>
      </c>
      <c r="B189" s="3" t="s">
        <v>15</v>
      </c>
      <c r="C189" s="3" t="s">
        <v>16</v>
      </c>
      <c r="D189" s="3" t="s">
        <v>21</v>
      </c>
      <c r="E189" s="3" t="s">
        <v>24</v>
      </c>
      <c r="F189" s="3" t="s">
        <v>28</v>
      </c>
    </row>
    <row r="190" spans="1:6" x14ac:dyDescent="0.25">
      <c r="A190" s="3" t="s">
        <v>28</v>
      </c>
      <c r="B190" s="3" t="s">
        <v>14</v>
      </c>
      <c r="C190" s="3" t="s">
        <v>25</v>
      </c>
      <c r="D190" s="3" t="s">
        <v>10</v>
      </c>
      <c r="E190" s="3" t="s">
        <v>13</v>
      </c>
      <c r="F190" s="3" t="s">
        <v>27</v>
      </c>
    </row>
    <row r="191" spans="1:6" x14ac:dyDescent="0.25">
      <c r="A191" s="3" t="s">
        <v>27</v>
      </c>
      <c r="B191" s="3" t="s">
        <v>13</v>
      </c>
      <c r="C191" s="3" t="s">
        <v>21</v>
      </c>
      <c r="D191" s="3" t="s">
        <v>25</v>
      </c>
      <c r="E191" s="3" t="s">
        <v>18</v>
      </c>
      <c r="F191" s="3" t="s">
        <v>25</v>
      </c>
    </row>
    <row r="192" spans="1:6" x14ac:dyDescent="0.25">
      <c r="A192" s="3" t="s">
        <v>21</v>
      </c>
      <c r="B192" s="3" t="s">
        <v>12</v>
      </c>
      <c r="C192" s="3" t="s">
        <v>18</v>
      </c>
      <c r="D192" s="3" t="s">
        <v>12</v>
      </c>
      <c r="E192" s="3" t="s">
        <v>15</v>
      </c>
      <c r="F192" s="3" t="s">
        <v>18</v>
      </c>
    </row>
    <row r="193" spans="1:6" x14ac:dyDescent="0.25">
      <c r="A193" s="3" t="s">
        <v>18</v>
      </c>
      <c r="B193" s="3" t="s">
        <v>13</v>
      </c>
      <c r="C193" s="3" t="s">
        <v>16</v>
      </c>
      <c r="D193" s="3" t="s">
        <v>25</v>
      </c>
      <c r="E193" s="3" t="s">
        <v>15</v>
      </c>
      <c r="F193" s="3" t="s">
        <v>12</v>
      </c>
    </row>
    <row r="194" spans="1:6" x14ac:dyDescent="0.25">
      <c r="A194" s="3" t="s">
        <v>21</v>
      </c>
      <c r="B194" s="3" t="s">
        <v>13</v>
      </c>
      <c r="C194" s="3" t="s">
        <v>26</v>
      </c>
      <c r="D194" s="3" t="s">
        <v>12</v>
      </c>
      <c r="E194" s="3" t="s">
        <v>16</v>
      </c>
      <c r="F194" s="3" t="s">
        <v>17</v>
      </c>
    </row>
    <row r="195" spans="1:6" x14ac:dyDescent="0.25">
      <c r="A195" s="3" t="s">
        <v>21</v>
      </c>
      <c r="B195" s="3" t="s">
        <v>13</v>
      </c>
      <c r="C195" s="3" t="s">
        <v>16</v>
      </c>
      <c r="D195" s="3" t="s">
        <v>14</v>
      </c>
      <c r="E195" s="3" t="s">
        <v>19</v>
      </c>
      <c r="F195" s="3" t="s">
        <v>23</v>
      </c>
    </row>
    <row r="196" spans="1:6" x14ac:dyDescent="0.25">
      <c r="A196" s="3" t="s">
        <v>12</v>
      </c>
      <c r="B196" s="3" t="s">
        <v>12</v>
      </c>
      <c r="C196" s="3" t="s">
        <v>25</v>
      </c>
      <c r="D196" s="3" t="s">
        <v>17</v>
      </c>
      <c r="E196" s="3" t="s">
        <v>19</v>
      </c>
      <c r="F196" s="3" t="s">
        <v>20</v>
      </c>
    </row>
    <row r="197" spans="1:6" x14ac:dyDescent="0.25">
      <c r="A197" s="3" t="s">
        <v>29</v>
      </c>
      <c r="B197" s="3" t="s">
        <v>24</v>
      </c>
      <c r="C197" s="3" t="s">
        <v>24</v>
      </c>
      <c r="D197" s="3" t="s">
        <v>16</v>
      </c>
      <c r="E197" s="3" t="s">
        <v>18</v>
      </c>
      <c r="F197" s="3" t="s">
        <v>12</v>
      </c>
    </row>
    <row r="198" spans="1:6" x14ac:dyDescent="0.25">
      <c r="A198" s="3" t="s">
        <v>25</v>
      </c>
      <c r="B198" s="3" t="s">
        <v>18</v>
      </c>
      <c r="C198" s="3" t="s">
        <v>16</v>
      </c>
      <c r="D198" s="3" t="s">
        <v>18</v>
      </c>
      <c r="E198" s="3" t="s">
        <v>27</v>
      </c>
      <c r="F198" s="3" t="s">
        <v>20</v>
      </c>
    </row>
    <row r="199" spans="1:6" x14ac:dyDescent="0.25">
      <c r="A199" s="3" t="s">
        <v>14</v>
      </c>
      <c r="B199" s="3" t="s">
        <v>21</v>
      </c>
      <c r="C199" s="3" t="s">
        <v>25</v>
      </c>
      <c r="D199" s="3" t="s">
        <v>28</v>
      </c>
      <c r="E199" s="3" t="s">
        <v>26</v>
      </c>
      <c r="F199" s="3" t="s">
        <v>12</v>
      </c>
    </row>
    <row r="200" spans="1:6" x14ac:dyDescent="0.25">
      <c r="A200" s="3" t="s">
        <v>30</v>
      </c>
      <c r="B200" s="3" t="s">
        <v>18</v>
      </c>
      <c r="C200" s="3" t="s">
        <v>18</v>
      </c>
      <c r="D200" s="3" t="s">
        <v>12</v>
      </c>
      <c r="E200" s="3" t="s">
        <v>14</v>
      </c>
      <c r="F200" s="3" t="s">
        <v>18</v>
      </c>
    </row>
    <row r="201" spans="1:6" x14ac:dyDescent="0.25">
      <c r="A201" s="3" t="s">
        <v>17</v>
      </c>
      <c r="B201" s="3" t="s">
        <v>27</v>
      </c>
      <c r="C201" s="3" t="s">
        <v>30</v>
      </c>
      <c r="D201" s="3" t="s">
        <v>19</v>
      </c>
      <c r="E201" s="3" t="s">
        <v>30</v>
      </c>
      <c r="F201" s="3" t="s">
        <v>24</v>
      </c>
    </row>
    <row r="202" spans="1:6" x14ac:dyDescent="0.25">
      <c r="A202" s="3" t="s">
        <v>21</v>
      </c>
      <c r="B202" s="3" t="s">
        <v>27</v>
      </c>
      <c r="C202" s="3" t="s">
        <v>25</v>
      </c>
      <c r="D202" s="3" t="s">
        <v>21</v>
      </c>
      <c r="E202" s="3" t="s">
        <v>14</v>
      </c>
      <c r="F202" s="3" t="s">
        <v>27</v>
      </c>
    </row>
    <row r="203" spans="1:6" x14ac:dyDescent="0.25">
      <c r="A203" s="3" t="s">
        <v>21</v>
      </c>
      <c r="B203" s="3" t="s">
        <v>12</v>
      </c>
      <c r="C203" s="3" t="s">
        <v>10</v>
      </c>
      <c r="D203" s="3" t="s">
        <v>25</v>
      </c>
      <c r="E203" s="3" t="s">
        <v>23</v>
      </c>
      <c r="F203" s="3" t="s">
        <v>23</v>
      </c>
    </row>
    <row r="204" spans="1:6" x14ac:dyDescent="0.25">
      <c r="A204" s="3" t="s">
        <v>29</v>
      </c>
      <c r="B204" s="3" t="s">
        <v>24</v>
      </c>
      <c r="C204" s="3" t="s">
        <v>25</v>
      </c>
      <c r="D204" s="3" t="s">
        <v>20</v>
      </c>
      <c r="E204" s="3" t="s">
        <v>14</v>
      </c>
      <c r="F204" s="3" t="s">
        <v>12</v>
      </c>
    </row>
    <row r="205" spans="1:6" x14ac:dyDescent="0.25">
      <c r="A205" s="3" t="s">
        <v>12</v>
      </c>
      <c r="B205" s="3" t="s">
        <v>25</v>
      </c>
      <c r="C205" s="3" t="s">
        <v>25</v>
      </c>
      <c r="D205" s="3" t="s">
        <v>14</v>
      </c>
      <c r="E205" s="3" t="s">
        <v>25</v>
      </c>
      <c r="F205" s="3" t="s">
        <v>20</v>
      </c>
    </row>
    <row r="206" spans="1:6" x14ac:dyDescent="0.25">
      <c r="A206" s="3" t="s">
        <v>23</v>
      </c>
      <c r="B206" s="3" t="s">
        <v>12</v>
      </c>
      <c r="C206" s="3" t="s">
        <v>18</v>
      </c>
      <c r="D206" s="3" t="s">
        <v>15</v>
      </c>
      <c r="E206" s="3" t="s">
        <v>25</v>
      </c>
      <c r="F206" s="3" t="s">
        <v>19</v>
      </c>
    </row>
    <row r="207" spans="1:6" x14ac:dyDescent="0.25">
      <c r="A207" s="3" t="s">
        <v>20</v>
      </c>
      <c r="B207" s="3" t="s">
        <v>13</v>
      </c>
      <c r="C207" s="3" t="s">
        <v>12</v>
      </c>
      <c r="D207" s="3" t="s">
        <v>16</v>
      </c>
      <c r="E207" s="3" t="s">
        <v>23</v>
      </c>
      <c r="F207" s="3" t="s">
        <v>12</v>
      </c>
    </row>
    <row r="208" spans="1:6" x14ac:dyDescent="0.25">
      <c r="A208" s="3" t="s">
        <v>25</v>
      </c>
      <c r="B208" s="3" t="s">
        <v>14</v>
      </c>
      <c r="C208" s="3" t="s">
        <v>25</v>
      </c>
      <c r="D208" s="3" t="s">
        <v>14</v>
      </c>
      <c r="E208" s="3" t="s">
        <v>21</v>
      </c>
      <c r="F208" s="3" t="s">
        <v>19</v>
      </c>
    </row>
    <row r="209" spans="1:6" x14ac:dyDescent="0.25">
      <c r="A209" s="3" t="s">
        <v>13</v>
      </c>
      <c r="B209" s="3" t="s">
        <v>26</v>
      </c>
      <c r="C209" s="3" t="s">
        <v>12</v>
      </c>
      <c r="D209" s="3" t="s">
        <v>25</v>
      </c>
      <c r="E209" s="3" t="s">
        <v>25</v>
      </c>
      <c r="F209" s="3" t="s">
        <v>17</v>
      </c>
    </row>
    <row r="210" spans="1:6" x14ac:dyDescent="0.25">
      <c r="A210" s="3" t="s">
        <v>20</v>
      </c>
      <c r="B210" s="3" t="s">
        <v>14</v>
      </c>
      <c r="C210" s="3" t="s">
        <v>18</v>
      </c>
      <c r="D210" s="3" t="s">
        <v>14</v>
      </c>
      <c r="E210" s="3" t="s">
        <v>19</v>
      </c>
      <c r="F210" s="3" t="s">
        <v>19</v>
      </c>
    </row>
    <row r="211" spans="1:6" x14ac:dyDescent="0.25">
      <c r="A211" s="3" t="s">
        <v>14</v>
      </c>
      <c r="B211" s="3" t="s">
        <v>13</v>
      </c>
      <c r="C211" s="3" t="s">
        <v>24</v>
      </c>
      <c r="D211" s="3" t="s">
        <v>24</v>
      </c>
      <c r="E211" s="3" t="s">
        <v>30</v>
      </c>
      <c r="F211" s="3" t="s">
        <v>12</v>
      </c>
    </row>
    <row r="212" spans="1:6" x14ac:dyDescent="0.25">
      <c r="A212" s="3" t="s">
        <v>20</v>
      </c>
      <c r="B212" s="3" t="s">
        <v>24</v>
      </c>
      <c r="C212" s="3" t="s">
        <v>14</v>
      </c>
      <c r="D212" s="3" t="s">
        <v>12</v>
      </c>
      <c r="E212" s="3" t="s">
        <v>21</v>
      </c>
      <c r="F212" s="3" t="s">
        <v>23</v>
      </c>
    </row>
    <row r="213" spans="1:6" x14ac:dyDescent="0.25">
      <c r="A213" s="3" t="s">
        <v>23</v>
      </c>
      <c r="B213" s="3" t="s">
        <v>30</v>
      </c>
      <c r="C213" s="3" t="s">
        <v>16</v>
      </c>
      <c r="D213" s="3" t="s">
        <v>29</v>
      </c>
      <c r="E213" s="3" t="s">
        <v>17</v>
      </c>
      <c r="F213" s="3" t="s">
        <v>23</v>
      </c>
    </row>
    <row r="214" spans="1:6" x14ac:dyDescent="0.25">
      <c r="A214" s="3" t="s">
        <v>21</v>
      </c>
      <c r="B214" s="3" t="s">
        <v>26</v>
      </c>
      <c r="C214" s="3" t="s">
        <v>30</v>
      </c>
      <c r="D214" s="3" t="s">
        <v>16</v>
      </c>
      <c r="E214" s="3" t="s">
        <v>12</v>
      </c>
      <c r="F214" s="3" t="s">
        <v>12</v>
      </c>
    </row>
    <row r="215" spans="1:6" x14ac:dyDescent="0.25">
      <c r="A215" s="3" t="s">
        <v>17</v>
      </c>
      <c r="B215" s="3" t="s">
        <v>24</v>
      </c>
      <c r="C215" s="3" t="s">
        <v>13</v>
      </c>
      <c r="D215" s="3" t="s">
        <v>21</v>
      </c>
      <c r="E215" s="3" t="s">
        <v>21</v>
      </c>
      <c r="F215" s="3" t="s">
        <v>18</v>
      </c>
    </row>
    <row r="216" spans="1:6" x14ac:dyDescent="0.25">
      <c r="A216" s="3" t="s">
        <v>12</v>
      </c>
      <c r="B216" s="3" t="s">
        <v>13</v>
      </c>
      <c r="C216" s="3" t="s">
        <v>25</v>
      </c>
      <c r="D216" s="3" t="s">
        <v>28</v>
      </c>
      <c r="E216" s="3" t="s">
        <v>21</v>
      </c>
      <c r="F216" s="3" t="s">
        <v>25</v>
      </c>
    </row>
    <row r="217" spans="1:6" x14ac:dyDescent="0.25">
      <c r="A217" s="3" t="s">
        <v>27</v>
      </c>
      <c r="B217" s="3" t="s">
        <v>16</v>
      </c>
      <c r="C217" s="3" t="s">
        <v>22</v>
      </c>
      <c r="D217" s="3" t="s">
        <v>13</v>
      </c>
      <c r="E217" s="3" t="s">
        <v>10</v>
      </c>
      <c r="F217" s="3" t="s">
        <v>30</v>
      </c>
    </row>
    <row r="218" spans="1:6" x14ac:dyDescent="0.25">
      <c r="A218" s="3" t="s">
        <v>23</v>
      </c>
      <c r="B218" s="3" t="s">
        <v>24</v>
      </c>
      <c r="C218" s="3" t="s">
        <v>27</v>
      </c>
      <c r="D218" s="3" t="s">
        <v>20</v>
      </c>
      <c r="E218" s="3" t="s">
        <v>21</v>
      </c>
      <c r="F218" s="3" t="s">
        <v>18</v>
      </c>
    </row>
    <row r="219" spans="1:6" x14ac:dyDescent="0.25">
      <c r="A219" s="3" t="s">
        <v>13</v>
      </c>
      <c r="B219" s="3" t="s">
        <v>30</v>
      </c>
      <c r="C219" s="3" t="s">
        <v>12</v>
      </c>
      <c r="D219" s="3" t="s">
        <v>10</v>
      </c>
      <c r="E219" s="3" t="s">
        <v>19</v>
      </c>
      <c r="F219" s="3" t="s">
        <v>12</v>
      </c>
    </row>
    <row r="220" spans="1:6" x14ac:dyDescent="0.25">
      <c r="A220" s="3" t="s">
        <v>18</v>
      </c>
      <c r="B220" s="3" t="s">
        <v>13</v>
      </c>
      <c r="C220" s="3" t="s">
        <v>30</v>
      </c>
      <c r="D220" s="3" t="s">
        <v>15</v>
      </c>
      <c r="E220" s="3" t="s">
        <v>21</v>
      </c>
      <c r="F220" s="3" t="s">
        <v>23</v>
      </c>
    </row>
    <row r="221" spans="1:6" x14ac:dyDescent="0.25">
      <c r="A221" s="3" t="s">
        <v>12</v>
      </c>
      <c r="B221" s="3" t="s">
        <v>13</v>
      </c>
      <c r="C221" s="3" t="s">
        <v>18</v>
      </c>
      <c r="D221" s="3" t="s">
        <v>28</v>
      </c>
      <c r="E221" s="3" t="s">
        <v>30</v>
      </c>
      <c r="F221" s="3" t="s">
        <v>29</v>
      </c>
    </row>
    <row r="222" spans="1:6" x14ac:dyDescent="0.25">
      <c r="A222" s="3" t="s">
        <v>12</v>
      </c>
      <c r="B222" s="3" t="s">
        <v>13</v>
      </c>
      <c r="C222" s="3" t="s">
        <v>15</v>
      </c>
      <c r="D222" s="3" t="s">
        <v>26</v>
      </c>
      <c r="E222" s="3" t="s">
        <v>25</v>
      </c>
      <c r="F222" s="3" t="s">
        <v>24</v>
      </c>
    </row>
    <row r="223" spans="1:6" x14ac:dyDescent="0.25">
      <c r="A223" s="3" t="s">
        <v>19</v>
      </c>
      <c r="B223" s="3" t="s">
        <v>23</v>
      </c>
      <c r="C223" s="3" t="s">
        <v>13</v>
      </c>
      <c r="D223" s="3" t="s">
        <v>18</v>
      </c>
      <c r="E223" s="3" t="s">
        <v>28</v>
      </c>
      <c r="F223" s="3" t="s">
        <v>14</v>
      </c>
    </row>
    <row r="224" spans="1:6" x14ac:dyDescent="0.25">
      <c r="A224" s="3" t="s">
        <v>10</v>
      </c>
      <c r="B224" s="3" t="s">
        <v>24</v>
      </c>
      <c r="C224" s="3" t="s">
        <v>21</v>
      </c>
      <c r="D224" s="3" t="s">
        <v>19</v>
      </c>
      <c r="E224" s="3" t="s">
        <v>21</v>
      </c>
      <c r="F224" s="3" t="s">
        <v>12</v>
      </c>
    </row>
    <row r="225" spans="1:6" x14ac:dyDescent="0.25">
      <c r="A225" s="3" t="s">
        <v>21</v>
      </c>
      <c r="B225" s="3" t="s">
        <v>21</v>
      </c>
      <c r="C225" s="3" t="s">
        <v>21</v>
      </c>
      <c r="D225" s="3" t="s">
        <v>18</v>
      </c>
      <c r="E225" s="3" t="s">
        <v>19</v>
      </c>
      <c r="F225" s="3" t="s">
        <v>24</v>
      </c>
    </row>
    <row r="226" spans="1:6" x14ac:dyDescent="0.25">
      <c r="A226" s="3" t="s">
        <v>12</v>
      </c>
      <c r="B226" s="3" t="s">
        <v>12</v>
      </c>
      <c r="C226" s="3" t="s">
        <v>22</v>
      </c>
      <c r="D226" s="3" t="s">
        <v>20</v>
      </c>
      <c r="E226" s="3" t="s">
        <v>26</v>
      </c>
      <c r="F226" s="3" t="s">
        <v>24</v>
      </c>
    </row>
    <row r="227" spans="1:6" x14ac:dyDescent="0.25">
      <c r="A227" s="3" t="s">
        <v>16</v>
      </c>
      <c r="B227" s="3" t="s">
        <v>25</v>
      </c>
      <c r="C227" s="3" t="s">
        <v>24</v>
      </c>
      <c r="D227" s="3" t="s">
        <v>22</v>
      </c>
      <c r="E227" s="3" t="s">
        <v>21</v>
      </c>
      <c r="F227" s="3" t="s">
        <v>14</v>
      </c>
    </row>
    <row r="228" spans="1:6" x14ac:dyDescent="0.25">
      <c r="A228" s="3" t="s">
        <v>21</v>
      </c>
      <c r="B228" s="3" t="s">
        <v>16</v>
      </c>
      <c r="C228" s="3" t="s">
        <v>18</v>
      </c>
      <c r="D228" s="3" t="s">
        <v>13</v>
      </c>
      <c r="E228" s="3" t="s">
        <v>14</v>
      </c>
      <c r="F228" s="3" t="s">
        <v>30</v>
      </c>
    </row>
    <row r="229" spans="1:6" x14ac:dyDescent="0.25">
      <c r="A229" s="3" t="s">
        <v>25</v>
      </c>
      <c r="B229" s="3" t="s">
        <v>24</v>
      </c>
      <c r="C229" s="3" t="s">
        <v>25</v>
      </c>
      <c r="D229" s="3" t="s">
        <v>25</v>
      </c>
      <c r="E229" s="3" t="s">
        <v>24</v>
      </c>
      <c r="F229" s="3" t="s">
        <v>13</v>
      </c>
    </row>
    <row r="230" spans="1:6" x14ac:dyDescent="0.25">
      <c r="A230" s="3" t="s">
        <v>14</v>
      </c>
      <c r="B230" s="3" t="s">
        <v>12</v>
      </c>
      <c r="C230" s="3" t="s">
        <v>25</v>
      </c>
      <c r="D230" s="3" t="s">
        <v>16</v>
      </c>
      <c r="E230" s="3" t="s">
        <v>28</v>
      </c>
      <c r="F230" s="3" t="s">
        <v>23</v>
      </c>
    </row>
    <row r="231" spans="1:6" x14ac:dyDescent="0.25">
      <c r="A231" s="3" t="s">
        <v>24</v>
      </c>
      <c r="B231" s="3" t="s">
        <v>24</v>
      </c>
      <c r="C231" s="3" t="s">
        <v>25</v>
      </c>
      <c r="D231" s="3" t="s">
        <v>23</v>
      </c>
      <c r="E231" s="3" t="s">
        <v>26</v>
      </c>
      <c r="F231" s="3" t="s">
        <v>26</v>
      </c>
    </row>
    <row r="232" spans="1:6" x14ac:dyDescent="0.25">
      <c r="A232" s="3" t="s">
        <v>21</v>
      </c>
      <c r="B232" s="3" t="s">
        <v>13</v>
      </c>
      <c r="C232" s="3" t="s">
        <v>17</v>
      </c>
      <c r="D232" s="3" t="s">
        <v>27</v>
      </c>
      <c r="E232" s="3" t="s">
        <v>12</v>
      </c>
      <c r="F232" s="3" t="s">
        <v>24</v>
      </c>
    </row>
    <row r="233" spans="1:6" x14ac:dyDescent="0.25">
      <c r="A233" s="3" t="s">
        <v>20</v>
      </c>
      <c r="B233" s="3" t="s">
        <v>14</v>
      </c>
      <c r="C233" s="3" t="s">
        <v>21</v>
      </c>
      <c r="D233" s="3" t="s">
        <v>14</v>
      </c>
      <c r="E233" s="3" t="s">
        <v>26</v>
      </c>
      <c r="F233" s="3" t="s">
        <v>27</v>
      </c>
    </row>
    <row r="234" spans="1:6" x14ac:dyDescent="0.25">
      <c r="A234" s="3" t="s">
        <v>19</v>
      </c>
      <c r="B234" s="3" t="s">
        <v>13</v>
      </c>
      <c r="C234" s="3" t="s">
        <v>21</v>
      </c>
      <c r="D234" s="3" t="s">
        <v>23</v>
      </c>
      <c r="E234" s="3" t="s">
        <v>24</v>
      </c>
      <c r="F234" s="3" t="s">
        <v>24</v>
      </c>
    </row>
    <row r="235" spans="1:6" x14ac:dyDescent="0.25">
      <c r="A235" s="3" t="s">
        <v>20</v>
      </c>
      <c r="B235" s="3" t="s">
        <v>18</v>
      </c>
      <c r="C235" s="3" t="s">
        <v>24</v>
      </c>
      <c r="D235" s="3" t="s">
        <v>15</v>
      </c>
      <c r="E235" s="3" t="s">
        <v>23</v>
      </c>
      <c r="F235" s="3" t="s">
        <v>17</v>
      </c>
    </row>
    <row r="236" spans="1:6" x14ac:dyDescent="0.25">
      <c r="A236" s="3" t="s">
        <v>12</v>
      </c>
      <c r="B236" s="3" t="s">
        <v>28</v>
      </c>
      <c r="C236" s="3" t="s">
        <v>25</v>
      </c>
      <c r="D236" s="3" t="s">
        <v>19</v>
      </c>
      <c r="E236" s="3" t="s">
        <v>16</v>
      </c>
      <c r="F236" s="3" t="s">
        <v>28</v>
      </c>
    </row>
    <row r="237" spans="1:6" x14ac:dyDescent="0.25">
      <c r="A237" s="3" t="s">
        <v>23</v>
      </c>
      <c r="B237" s="3" t="s">
        <v>14</v>
      </c>
      <c r="C237" s="3" t="s">
        <v>19</v>
      </c>
      <c r="D237" s="3" t="s">
        <v>19</v>
      </c>
      <c r="E237" s="3" t="s">
        <v>24</v>
      </c>
      <c r="F237" s="3" t="s">
        <v>27</v>
      </c>
    </row>
    <row r="238" spans="1:6" x14ac:dyDescent="0.25">
      <c r="A238" s="3" t="s">
        <v>12</v>
      </c>
      <c r="B238" s="3" t="s">
        <v>13</v>
      </c>
      <c r="C238" s="3" t="s">
        <v>27</v>
      </c>
      <c r="D238" s="3" t="s">
        <v>17</v>
      </c>
      <c r="E238" s="3" t="s">
        <v>25</v>
      </c>
      <c r="F238" s="3" t="s">
        <v>16</v>
      </c>
    </row>
    <row r="239" spans="1:6" x14ac:dyDescent="0.25">
      <c r="A239" s="3" t="s">
        <v>12</v>
      </c>
      <c r="B239" s="3" t="s">
        <v>19</v>
      </c>
      <c r="C239" s="3" t="s">
        <v>28</v>
      </c>
      <c r="D239" s="3" t="s">
        <v>27</v>
      </c>
      <c r="E239" s="3" t="s">
        <v>13</v>
      </c>
      <c r="F239" s="3" t="s">
        <v>16</v>
      </c>
    </row>
    <row r="240" spans="1:6" x14ac:dyDescent="0.25">
      <c r="A240" s="3" t="s">
        <v>28</v>
      </c>
      <c r="B240" s="3" t="s">
        <v>14</v>
      </c>
      <c r="C240" s="3" t="s">
        <v>27</v>
      </c>
      <c r="D240" s="3" t="s">
        <v>20</v>
      </c>
      <c r="E240" s="3" t="s">
        <v>20</v>
      </c>
      <c r="F240" s="3" t="s">
        <v>23</v>
      </c>
    </row>
    <row r="241" spans="1:6" x14ac:dyDescent="0.25">
      <c r="A241" s="3" t="s">
        <v>25</v>
      </c>
      <c r="B241" s="3" t="s">
        <v>13</v>
      </c>
      <c r="C241" s="3" t="s">
        <v>13</v>
      </c>
      <c r="D241" s="3" t="s">
        <v>27</v>
      </c>
      <c r="E241" s="3" t="s">
        <v>28</v>
      </c>
      <c r="F241" s="3" t="s">
        <v>19</v>
      </c>
    </row>
    <row r="242" spans="1:6" x14ac:dyDescent="0.25">
      <c r="A242" s="3" t="s">
        <v>28</v>
      </c>
      <c r="B242" s="3" t="s">
        <v>28</v>
      </c>
      <c r="C242" s="3" t="s">
        <v>15</v>
      </c>
      <c r="D242" s="3" t="s">
        <v>14</v>
      </c>
      <c r="E242" s="3" t="s">
        <v>19</v>
      </c>
      <c r="F242" s="3" t="s">
        <v>28</v>
      </c>
    </row>
    <row r="243" spans="1:6" x14ac:dyDescent="0.25">
      <c r="A243" s="3" t="s">
        <v>14</v>
      </c>
      <c r="B243" s="3" t="s">
        <v>25</v>
      </c>
      <c r="C243" s="3"/>
      <c r="D243" s="3" t="s">
        <v>19</v>
      </c>
      <c r="E243" s="3" t="s">
        <v>22</v>
      </c>
      <c r="F243" s="3" t="s">
        <v>23</v>
      </c>
    </row>
    <row r="244" spans="1:6" x14ac:dyDescent="0.25">
      <c r="A244" s="3" t="s">
        <v>23</v>
      </c>
      <c r="B244" s="3" t="s">
        <v>21</v>
      </c>
      <c r="C244" s="3"/>
      <c r="D244" s="3" t="s">
        <v>14</v>
      </c>
      <c r="E244" s="3" t="s">
        <v>14</v>
      </c>
      <c r="F244" s="3" t="s">
        <v>23</v>
      </c>
    </row>
    <row r="245" spans="1:6" x14ac:dyDescent="0.25">
      <c r="A245" s="3" t="s">
        <v>19</v>
      </c>
      <c r="B245" s="3" t="s">
        <v>18</v>
      </c>
      <c r="C245" s="3"/>
      <c r="D245" s="3" t="s">
        <v>18</v>
      </c>
      <c r="E245" s="3" t="s">
        <v>26</v>
      </c>
      <c r="F245" s="3" t="s">
        <v>10</v>
      </c>
    </row>
    <row r="246" spans="1:6" x14ac:dyDescent="0.25">
      <c r="A246" s="3" t="s">
        <v>20</v>
      </c>
      <c r="B246" s="3" t="s">
        <v>24</v>
      </c>
      <c r="C246" s="3"/>
      <c r="D246" s="3" t="s">
        <v>20</v>
      </c>
      <c r="E246" s="3" t="s">
        <v>27</v>
      </c>
      <c r="F246" s="3" t="s">
        <v>14</v>
      </c>
    </row>
    <row r="247" spans="1:6" x14ac:dyDescent="0.25">
      <c r="A247" s="3" t="s">
        <v>13</v>
      </c>
      <c r="B247" s="3" t="s">
        <v>12</v>
      </c>
      <c r="C247" s="3"/>
      <c r="D247" s="3" t="s">
        <v>25</v>
      </c>
      <c r="E247" s="3" t="s">
        <v>12</v>
      </c>
      <c r="F247" s="3" t="s">
        <v>23</v>
      </c>
    </row>
    <row r="248" spans="1:6" x14ac:dyDescent="0.25">
      <c r="A248" s="3" t="s">
        <v>14</v>
      </c>
      <c r="B248" s="3" t="s">
        <v>13</v>
      </c>
      <c r="C248" s="3"/>
      <c r="D248" s="3" t="s">
        <v>16</v>
      </c>
      <c r="E248" s="3" t="s">
        <v>25</v>
      </c>
      <c r="F248" s="3" t="s">
        <v>21</v>
      </c>
    </row>
    <row r="249" spans="1:6" x14ac:dyDescent="0.25">
      <c r="A249" s="3" t="s">
        <v>13</v>
      </c>
      <c r="B249" s="3" t="s">
        <v>24</v>
      </c>
      <c r="C249" s="3"/>
      <c r="D249" s="3" t="s">
        <v>16</v>
      </c>
      <c r="E249" s="3" t="s">
        <v>26</v>
      </c>
      <c r="F249" s="3" t="s">
        <v>12</v>
      </c>
    </row>
    <row r="250" spans="1:6" x14ac:dyDescent="0.25">
      <c r="A250" s="3" t="s">
        <v>14</v>
      </c>
      <c r="B250" s="3" t="s">
        <v>25</v>
      </c>
      <c r="C250" s="3"/>
      <c r="D250" s="3" t="s">
        <v>14</v>
      </c>
      <c r="E250" s="3" t="s">
        <v>21</v>
      </c>
      <c r="F250" s="3" t="s">
        <v>19</v>
      </c>
    </row>
    <row r="251" spans="1:6" x14ac:dyDescent="0.25">
      <c r="A251" s="3" t="s">
        <v>17</v>
      </c>
      <c r="B251" s="3" t="s">
        <v>23</v>
      </c>
      <c r="C251" s="3"/>
      <c r="D251" s="3" t="s">
        <v>18</v>
      </c>
      <c r="E251" s="3" t="s">
        <v>13</v>
      </c>
      <c r="F251" s="3" t="s">
        <v>19</v>
      </c>
    </row>
    <row r="252" spans="1:6" x14ac:dyDescent="0.25">
      <c r="A252" s="3" t="s">
        <v>13</v>
      </c>
      <c r="B252" s="3" t="s">
        <v>16</v>
      </c>
      <c r="C252" s="3"/>
      <c r="D252" s="3" t="s">
        <v>15</v>
      </c>
      <c r="E252" s="3" t="s">
        <v>26</v>
      </c>
      <c r="F252" s="3" t="s">
        <v>19</v>
      </c>
    </row>
    <row r="253" spans="1:6" x14ac:dyDescent="0.25">
      <c r="A253" s="3" t="s">
        <v>17</v>
      </c>
      <c r="B253" s="3" t="s">
        <v>16</v>
      </c>
      <c r="C253" s="3"/>
      <c r="D253" s="3" t="s">
        <v>28</v>
      </c>
      <c r="E253" s="3" t="s">
        <v>16</v>
      </c>
      <c r="F253" s="3" t="s">
        <v>19</v>
      </c>
    </row>
    <row r="254" spans="1:6" x14ac:dyDescent="0.25">
      <c r="A254" s="3" t="s">
        <v>25</v>
      </c>
      <c r="B254" s="3" t="s">
        <v>12</v>
      </c>
      <c r="C254" s="3"/>
      <c r="D254" s="3" t="s">
        <v>12</v>
      </c>
      <c r="E254" s="3" t="s">
        <v>20</v>
      </c>
      <c r="F254" s="3" t="s">
        <v>25</v>
      </c>
    </row>
    <row r="255" spans="1:6" x14ac:dyDescent="0.25">
      <c r="A255" s="3" t="s">
        <v>14</v>
      </c>
      <c r="B255" s="3" t="s">
        <v>13</v>
      </c>
      <c r="C255" s="3"/>
      <c r="D255" s="3" t="s">
        <v>19</v>
      </c>
      <c r="E255" s="3" t="s">
        <v>28</v>
      </c>
      <c r="F255" s="3" t="s">
        <v>29</v>
      </c>
    </row>
    <row r="256" spans="1:6" x14ac:dyDescent="0.25">
      <c r="A256" s="3" t="s">
        <v>20</v>
      </c>
      <c r="B256" s="3" t="s">
        <v>16</v>
      </c>
      <c r="C256" s="3"/>
      <c r="D256" s="3" t="s">
        <v>16</v>
      </c>
      <c r="E256" s="3" t="s">
        <v>25</v>
      </c>
      <c r="F256" s="3" t="s">
        <v>21</v>
      </c>
    </row>
    <row r="257" spans="1:6" x14ac:dyDescent="0.25">
      <c r="A257" s="3" t="s">
        <v>16</v>
      </c>
      <c r="B257" s="3" t="s">
        <v>13</v>
      </c>
      <c r="C257" s="3"/>
      <c r="D257" s="3" t="s">
        <v>12</v>
      </c>
      <c r="E257" s="3" t="s">
        <v>20</v>
      </c>
      <c r="F257" s="3" t="s">
        <v>17</v>
      </c>
    </row>
    <row r="258" spans="1:6" x14ac:dyDescent="0.25">
      <c r="A258" s="3" t="s">
        <v>20</v>
      </c>
      <c r="B258" s="3" t="s">
        <v>12</v>
      </c>
      <c r="C258" s="3"/>
      <c r="D258" s="3" t="s">
        <v>28</v>
      </c>
      <c r="E258" s="3" t="s">
        <v>22</v>
      </c>
      <c r="F258" s="3" t="s">
        <v>22</v>
      </c>
    </row>
    <row r="259" spans="1:6" x14ac:dyDescent="0.25">
      <c r="A259" s="3" t="s">
        <v>14</v>
      </c>
      <c r="B259" s="3" t="s">
        <v>30</v>
      </c>
      <c r="C259" s="3"/>
      <c r="D259" s="3" t="s">
        <v>14</v>
      </c>
      <c r="E259" s="3" t="s">
        <v>20</v>
      </c>
      <c r="F259" s="3" t="s">
        <v>26</v>
      </c>
    </row>
    <row r="260" spans="1:6" x14ac:dyDescent="0.25">
      <c r="A260" s="3" t="s">
        <v>14</v>
      </c>
      <c r="B260" s="3" t="s">
        <v>14</v>
      </c>
      <c r="C260" s="3"/>
      <c r="D260" s="3" t="s">
        <v>16</v>
      </c>
      <c r="E260" s="3" t="s">
        <v>12</v>
      </c>
      <c r="F260" s="3" t="s">
        <v>23</v>
      </c>
    </row>
    <row r="261" spans="1:6" x14ac:dyDescent="0.25">
      <c r="A261" s="3" t="s">
        <v>14</v>
      </c>
      <c r="B261" s="3" t="s">
        <v>26</v>
      </c>
      <c r="C261" s="3"/>
      <c r="D261" s="3" t="s">
        <v>26</v>
      </c>
      <c r="E261" s="3" t="s">
        <v>28</v>
      </c>
      <c r="F261" s="3" t="s">
        <v>19</v>
      </c>
    </row>
    <row r="262" spans="1:6" x14ac:dyDescent="0.25">
      <c r="A262" s="3" t="s">
        <v>18</v>
      </c>
      <c r="B262" s="3" t="s">
        <v>24</v>
      </c>
      <c r="C262" s="3"/>
      <c r="D262" s="3" t="s">
        <v>13</v>
      </c>
      <c r="E262" s="3" t="s">
        <v>25</v>
      </c>
      <c r="F262" s="3" t="s">
        <v>18</v>
      </c>
    </row>
    <row r="263" spans="1:6" x14ac:dyDescent="0.25">
      <c r="A263" s="3" t="s">
        <v>25</v>
      </c>
      <c r="B263" s="3" t="s">
        <v>12</v>
      </c>
      <c r="C263" s="3"/>
      <c r="D263" s="3" t="s">
        <v>12</v>
      </c>
      <c r="E263" s="3" t="s">
        <v>25</v>
      </c>
      <c r="F263" s="3" t="s">
        <v>19</v>
      </c>
    </row>
    <row r="264" spans="1:6" x14ac:dyDescent="0.25">
      <c r="A264" s="3" t="s">
        <v>16</v>
      </c>
      <c r="B264" s="3" t="s">
        <v>24</v>
      </c>
      <c r="C264" s="3"/>
      <c r="D264" s="3" t="s">
        <v>10</v>
      </c>
      <c r="E264" s="3" t="s">
        <v>19</v>
      </c>
      <c r="F264" s="3" t="s">
        <v>12</v>
      </c>
    </row>
    <row r="265" spans="1:6" x14ac:dyDescent="0.25">
      <c r="B265" s="3"/>
      <c r="C265" s="3"/>
      <c r="D265" s="3" t="s">
        <v>18</v>
      </c>
      <c r="E265" s="3" t="s">
        <v>24</v>
      </c>
      <c r="F265" s="3" t="s">
        <v>16</v>
      </c>
    </row>
    <row r="266" spans="1:6" x14ac:dyDescent="0.25">
      <c r="B266" s="3"/>
      <c r="C266" s="3"/>
      <c r="D266" s="3" t="s">
        <v>30</v>
      </c>
      <c r="E266" s="3" t="s">
        <v>19</v>
      </c>
      <c r="F266" s="3" t="s">
        <v>21</v>
      </c>
    </row>
    <row r="267" spans="1:6" x14ac:dyDescent="0.25">
      <c r="B267" s="3"/>
      <c r="C267" s="3"/>
      <c r="D267" s="3" t="s">
        <v>25</v>
      </c>
      <c r="E267" s="3" t="s">
        <v>15</v>
      </c>
      <c r="F267" s="3" t="s">
        <v>12</v>
      </c>
    </row>
    <row r="268" spans="1:6" x14ac:dyDescent="0.25">
      <c r="B268" s="3"/>
      <c r="C268" s="3"/>
      <c r="D268" s="3" t="s">
        <v>22</v>
      </c>
      <c r="E268" s="3" t="s">
        <v>12</v>
      </c>
      <c r="F268" s="3" t="s">
        <v>23</v>
      </c>
    </row>
    <row r="269" spans="1:6" x14ac:dyDescent="0.25">
      <c r="B269" s="3"/>
      <c r="C269" s="3"/>
      <c r="D269" s="3" t="s">
        <v>16</v>
      </c>
      <c r="E269" s="3" t="s">
        <v>24</v>
      </c>
      <c r="F269" s="3" t="s">
        <v>26</v>
      </c>
    </row>
    <row r="270" spans="1:6" x14ac:dyDescent="0.25">
      <c r="B270" s="3"/>
      <c r="C270" s="3"/>
      <c r="D270" s="3" t="s">
        <v>27</v>
      </c>
      <c r="E270" s="3" t="s">
        <v>13</v>
      </c>
      <c r="F270" s="3" t="s">
        <v>12</v>
      </c>
    </row>
    <row r="271" spans="1:6" x14ac:dyDescent="0.25">
      <c r="B271" s="3"/>
      <c r="C271" s="3"/>
      <c r="D271" s="3" t="s">
        <v>23</v>
      </c>
      <c r="E271" s="3" t="s">
        <v>22</v>
      </c>
      <c r="F271" s="3" t="s">
        <v>20</v>
      </c>
    </row>
    <row r="272" spans="1:6" x14ac:dyDescent="0.25">
      <c r="B272" s="3"/>
      <c r="C272" s="3"/>
      <c r="D272" s="3" t="s">
        <v>23</v>
      </c>
      <c r="E272" s="3" t="s">
        <v>24</v>
      </c>
      <c r="F272" s="3" t="s">
        <v>21</v>
      </c>
    </row>
    <row r="273" spans="2:6" x14ac:dyDescent="0.25">
      <c r="B273" s="3"/>
      <c r="C273" s="3"/>
      <c r="D273" s="3" t="s">
        <v>15</v>
      </c>
      <c r="E273" s="3" t="s">
        <v>14</v>
      </c>
      <c r="F273" s="3" t="s">
        <v>23</v>
      </c>
    </row>
    <row r="274" spans="2:6" x14ac:dyDescent="0.25">
      <c r="B274" s="3"/>
      <c r="C274" s="3"/>
      <c r="D274" s="3" t="s">
        <v>20</v>
      </c>
      <c r="E274" s="3" t="s">
        <v>12</v>
      </c>
      <c r="F274" s="3" t="s">
        <v>22</v>
      </c>
    </row>
    <row r="275" spans="2:6" x14ac:dyDescent="0.25">
      <c r="B275" s="3"/>
      <c r="C275" s="3"/>
      <c r="D275" s="3" t="s">
        <v>23</v>
      </c>
      <c r="E275" s="3" t="s">
        <v>24</v>
      </c>
      <c r="F275" s="3" t="s">
        <v>16</v>
      </c>
    </row>
    <row r="276" spans="2:6" x14ac:dyDescent="0.25">
      <c r="B276" s="3"/>
      <c r="C276" s="3"/>
      <c r="D276" s="3" t="s">
        <v>18</v>
      </c>
      <c r="E276" s="3" t="s">
        <v>18</v>
      </c>
      <c r="F276" s="3" t="s">
        <v>15</v>
      </c>
    </row>
    <row r="277" spans="2:6" x14ac:dyDescent="0.25">
      <c r="B277" s="3"/>
      <c r="C277" s="3"/>
      <c r="D277" s="3" t="s">
        <v>25</v>
      </c>
      <c r="E277" s="3" t="s">
        <v>12</v>
      </c>
      <c r="F277" s="3" t="s">
        <v>24</v>
      </c>
    </row>
    <row r="278" spans="2:6" x14ac:dyDescent="0.25">
      <c r="B278" s="3"/>
      <c r="C278" s="3"/>
      <c r="D278" s="3" t="s">
        <v>21</v>
      </c>
      <c r="E278" s="3" t="s">
        <v>20</v>
      </c>
      <c r="F278" s="3" t="s">
        <v>23</v>
      </c>
    </row>
    <row r="279" spans="2:6" x14ac:dyDescent="0.25">
      <c r="B279" s="3"/>
      <c r="C279" s="3"/>
      <c r="D279" s="3" t="s">
        <v>25</v>
      </c>
      <c r="E279" s="3" t="s">
        <v>23</v>
      </c>
      <c r="F279" s="3" t="s">
        <v>25</v>
      </c>
    </row>
    <row r="280" spans="2:6" x14ac:dyDescent="0.25">
      <c r="B280" s="3"/>
      <c r="C280" s="3"/>
      <c r="D280" s="3" t="s">
        <v>19</v>
      </c>
      <c r="E280" s="3" t="s">
        <v>23</v>
      </c>
      <c r="F280" s="3" t="s">
        <v>16</v>
      </c>
    </row>
    <row r="281" spans="2:6" x14ac:dyDescent="0.25">
      <c r="B281" s="3"/>
      <c r="C281" s="3"/>
      <c r="D281" s="3" t="s">
        <v>25</v>
      </c>
      <c r="E281" s="3" t="s">
        <v>10</v>
      </c>
      <c r="F281" s="3" t="s">
        <v>23</v>
      </c>
    </row>
    <row r="282" spans="2:6" x14ac:dyDescent="0.25">
      <c r="B282" s="3"/>
      <c r="C282" s="3"/>
      <c r="D282" s="3" t="s">
        <v>24</v>
      </c>
      <c r="E282" s="3" t="s">
        <v>20</v>
      </c>
      <c r="F282" s="3" t="s">
        <v>21</v>
      </c>
    </row>
    <row r="283" spans="2:6" x14ac:dyDescent="0.25">
      <c r="B283" s="3"/>
      <c r="C283" s="3"/>
      <c r="D283" s="3" t="s">
        <v>25</v>
      </c>
      <c r="E283" s="3" t="s">
        <v>18</v>
      </c>
      <c r="F283" s="3" t="s">
        <v>16</v>
      </c>
    </row>
    <row r="284" spans="2:6" x14ac:dyDescent="0.25">
      <c r="B284" s="3"/>
      <c r="C284" s="3"/>
      <c r="D284" s="3" t="s">
        <v>20</v>
      </c>
      <c r="E284" s="3" t="s">
        <v>19</v>
      </c>
      <c r="F284" s="3" t="s">
        <v>18</v>
      </c>
    </row>
    <row r="285" spans="2:6" x14ac:dyDescent="0.25">
      <c r="B285" s="3"/>
      <c r="C285" s="3"/>
      <c r="D285" s="3" t="s">
        <v>28</v>
      </c>
      <c r="E285" s="3" t="s">
        <v>18</v>
      </c>
      <c r="F285" s="3" t="s">
        <v>14</v>
      </c>
    </row>
    <row r="286" spans="2:6" x14ac:dyDescent="0.25">
      <c r="B286" s="3"/>
      <c r="C286" s="3"/>
      <c r="D286" s="3" t="s">
        <v>12</v>
      </c>
      <c r="E286" s="3" t="s">
        <v>12</v>
      </c>
      <c r="F286" s="3" t="s">
        <v>10</v>
      </c>
    </row>
    <row r="287" spans="2:6" x14ac:dyDescent="0.25">
      <c r="B287" s="3"/>
      <c r="C287" s="3"/>
      <c r="D287" s="3" t="s">
        <v>12</v>
      </c>
      <c r="E287" s="3" t="s">
        <v>15</v>
      </c>
      <c r="F287" s="3" t="s">
        <v>17</v>
      </c>
    </row>
    <row r="288" spans="2:6" x14ac:dyDescent="0.25">
      <c r="B288" s="3"/>
      <c r="C288" s="3"/>
      <c r="D288" s="3" t="s">
        <v>12</v>
      </c>
      <c r="E288" s="3" t="s">
        <v>29</v>
      </c>
      <c r="F288" s="3" t="s">
        <v>23</v>
      </c>
    </row>
    <row r="289" spans="2:6" x14ac:dyDescent="0.25">
      <c r="B289" s="3"/>
      <c r="C289" s="3"/>
      <c r="D289" s="3" t="s">
        <v>14</v>
      </c>
      <c r="E289" s="3" t="s">
        <v>12</v>
      </c>
      <c r="F289" s="3" t="s">
        <v>18</v>
      </c>
    </row>
    <row r="290" spans="2:6" x14ac:dyDescent="0.25">
      <c r="B290" s="3"/>
      <c r="C290" s="3"/>
      <c r="D290" s="3" t="s">
        <v>20</v>
      </c>
      <c r="E290" s="3" t="s">
        <v>17</v>
      </c>
      <c r="F290" s="3" t="s">
        <v>23</v>
      </c>
    </row>
    <row r="291" spans="2:6" x14ac:dyDescent="0.25">
      <c r="B291" s="3"/>
      <c r="C291" s="3"/>
      <c r="D291" s="3" t="s">
        <v>30</v>
      </c>
      <c r="E291" s="3" t="s">
        <v>19</v>
      </c>
      <c r="F291" s="3" t="s">
        <v>15</v>
      </c>
    </row>
    <row r="292" spans="2:6" x14ac:dyDescent="0.25">
      <c r="B292" s="3"/>
      <c r="C292" s="3"/>
      <c r="D292" s="3" t="s">
        <v>16</v>
      </c>
      <c r="E292" s="3" t="s">
        <v>19</v>
      </c>
      <c r="F292" s="3" t="s">
        <v>23</v>
      </c>
    </row>
    <row r="293" spans="2:6" x14ac:dyDescent="0.25">
      <c r="B293" s="3"/>
      <c r="C293" s="3"/>
      <c r="D293" s="3" t="s">
        <v>16</v>
      </c>
      <c r="E293" s="3" t="s">
        <v>23</v>
      </c>
      <c r="F293" s="3" t="s">
        <v>14</v>
      </c>
    </row>
    <row r="294" spans="2:6" x14ac:dyDescent="0.25">
      <c r="B294" s="3"/>
      <c r="C294" s="3"/>
      <c r="D294" s="3" t="s">
        <v>19</v>
      </c>
      <c r="E294" s="3" t="s">
        <v>21</v>
      </c>
      <c r="F294" s="3" t="s">
        <v>30</v>
      </c>
    </row>
    <row r="295" spans="2:6" x14ac:dyDescent="0.25">
      <c r="B295" s="3"/>
      <c r="C295" s="3"/>
      <c r="D295" s="3" t="s">
        <v>27</v>
      </c>
      <c r="E295" s="3" t="s">
        <v>27</v>
      </c>
      <c r="F295" s="3" t="s">
        <v>19</v>
      </c>
    </row>
    <row r="296" spans="2:6" x14ac:dyDescent="0.25">
      <c r="B296" s="3"/>
      <c r="C296" s="3"/>
      <c r="D296" s="3" t="s">
        <v>15</v>
      </c>
      <c r="E296" s="3" t="s">
        <v>23</v>
      </c>
      <c r="F296" s="3" t="s">
        <v>27</v>
      </c>
    </row>
    <row r="297" spans="2:6" x14ac:dyDescent="0.25">
      <c r="B297" s="3"/>
      <c r="C297" s="3"/>
      <c r="D297" s="3" t="s">
        <v>27</v>
      </c>
      <c r="E297" s="3" t="s">
        <v>21</v>
      </c>
      <c r="F297" s="3" t="s">
        <v>27</v>
      </c>
    </row>
    <row r="298" spans="2:6" x14ac:dyDescent="0.25">
      <c r="B298" s="3"/>
      <c r="C298" s="3"/>
      <c r="D298" s="3" t="s">
        <v>21</v>
      </c>
      <c r="E298" s="3" t="s">
        <v>22</v>
      </c>
      <c r="F298" s="3" t="s">
        <v>15</v>
      </c>
    </row>
    <row r="299" spans="2:6" x14ac:dyDescent="0.25">
      <c r="B299" s="3"/>
      <c r="C299" s="3"/>
      <c r="D299" s="3" t="s">
        <v>29</v>
      </c>
      <c r="E299" s="3" t="s">
        <v>21</v>
      </c>
      <c r="F299" s="3" t="s">
        <v>12</v>
      </c>
    </row>
    <row r="300" spans="2:6" x14ac:dyDescent="0.25">
      <c r="B300" s="3"/>
      <c r="C300" s="3"/>
      <c r="D300" s="3" t="s">
        <v>16</v>
      </c>
      <c r="E300" s="3" t="s">
        <v>23</v>
      </c>
      <c r="F300" s="3" t="s">
        <v>27</v>
      </c>
    </row>
    <row r="301" spans="2:6" x14ac:dyDescent="0.25">
      <c r="B301" s="3"/>
      <c r="C301" s="3"/>
      <c r="D301" s="3" t="s">
        <v>14</v>
      </c>
      <c r="E301" s="3" t="s">
        <v>28</v>
      </c>
      <c r="F301" s="3" t="s">
        <v>17</v>
      </c>
    </row>
    <row r="302" spans="2:6" x14ac:dyDescent="0.25">
      <c r="B302" s="3"/>
      <c r="C302" s="3"/>
      <c r="D302" s="3" t="s">
        <v>12</v>
      </c>
      <c r="E302" s="3" t="s">
        <v>14</v>
      </c>
      <c r="F302" s="3" t="s">
        <v>12</v>
      </c>
    </row>
    <row r="303" spans="2:6" x14ac:dyDescent="0.25">
      <c r="B303" s="3"/>
      <c r="C303" s="3"/>
      <c r="D303" s="3" t="s">
        <v>24</v>
      </c>
      <c r="E303" s="3" t="s">
        <v>27</v>
      </c>
      <c r="F303" s="3" t="s">
        <v>19</v>
      </c>
    </row>
    <row r="304" spans="2:6" x14ac:dyDescent="0.25">
      <c r="B304" s="3"/>
      <c r="C304" s="3"/>
      <c r="D304" s="3" t="s">
        <v>14</v>
      </c>
      <c r="E304" s="3" t="s">
        <v>12</v>
      </c>
      <c r="F304" s="3" t="s">
        <v>30</v>
      </c>
    </row>
    <row r="305" spans="2:6" x14ac:dyDescent="0.25">
      <c r="B305" s="3"/>
      <c r="C305" s="3"/>
      <c r="D305" s="3" t="s">
        <v>16</v>
      </c>
      <c r="E305" s="3" t="s">
        <v>23</v>
      </c>
      <c r="F305" s="3" t="s">
        <v>20</v>
      </c>
    </row>
    <row r="306" spans="2:6" x14ac:dyDescent="0.25">
      <c r="B306" s="3"/>
      <c r="C306" s="3"/>
      <c r="D306" s="3" t="s">
        <v>28</v>
      </c>
      <c r="E306" s="3" t="s">
        <v>17</v>
      </c>
      <c r="F306" s="3" t="s">
        <v>19</v>
      </c>
    </row>
    <row r="307" spans="2:6" x14ac:dyDescent="0.25">
      <c r="B307" s="3"/>
      <c r="C307" s="3"/>
      <c r="D307" s="3" t="s">
        <v>14</v>
      </c>
      <c r="E307" s="3" t="s">
        <v>24</v>
      </c>
      <c r="F307" s="3" t="s">
        <v>12</v>
      </c>
    </row>
    <row r="308" spans="2:6" x14ac:dyDescent="0.25">
      <c r="B308" s="3"/>
      <c r="C308" s="3"/>
      <c r="D308" s="3" t="s">
        <v>20</v>
      </c>
      <c r="E308" s="3" t="s">
        <v>13</v>
      </c>
      <c r="F308" s="3" t="s">
        <v>20</v>
      </c>
    </row>
    <row r="309" spans="2:6" x14ac:dyDescent="0.25">
      <c r="B309" s="3"/>
      <c r="C309" s="3"/>
      <c r="D309" s="3" t="s">
        <v>21</v>
      </c>
      <c r="E309" s="3" t="s">
        <v>21</v>
      </c>
      <c r="F309" s="3" t="s">
        <v>24</v>
      </c>
    </row>
    <row r="310" spans="2:6" x14ac:dyDescent="0.25">
      <c r="B310" s="3"/>
      <c r="C310" s="3"/>
      <c r="D310" s="3" t="s">
        <v>12</v>
      </c>
      <c r="E310" s="3" t="s">
        <v>30</v>
      </c>
      <c r="F310" s="3" t="s">
        <v>24</v>
      </c>
    </row>
    <row r="311" spans="2:6" x14ac:dyDescent="0.25">
      <c r="B311" s="3"/>
      <c r="C311" s="3"/>
      <c r="D311" s="3" t="s">
        <v>14</v>
      </c>
      <c r="E311" s="3" t="s">
        <v>23</v>
      </c>
      <c r="F311" s="3" t="s">
        <v>19</v>
      </c>
    </row>
    <row r="312" spans="2:6" x14ac:dyDescent="0.25">
      <c r="B312" s="3"/>
      <c r="C312" s="3"/>
      <c r="D312" s="3" t="s">
        <v>20</v>
      </c>
      <c r="E312" s="3" t="s">
        <v>12</v>
      </c>
      <c r="F312" s="3" t="s">
        <v>24</v>
      </c>
    </row>
    <row r="313" spans="2:6" x14ac:dyDescent="0.25">
      <c r="B313" s="3"/>
      <c r="C313" s="3"/>
      <c r="D313" s="3" t="s">
        <v>22</v>
      </c>
      <c r="E313" s="3" t="s">
        <v>12</v>
      </c>
      <c r="F313" s="3" t="s">
        <v>24</v>
      </c>
    </row>
    <row r="314" spans="2:6" x14ac:dyDescent="0.25">
      <c r="B314" s="3"/>
      <c r="C314" s="3"/>
      <c r="D314" s="3" t="s">
        <v>16</v>
      </c>
      <c r="E314" s="3" t="s">
        <v>27</v>
      </c>
      <c r="F314" s="3" t="s">
        <v>30</v>
      </c>
    </row>
    <row r="315" spans="2:6" x14ac:dyDescent="0.25">
      <c r="B315" s="3"/>
      <c r="C315" s="3"/>
      <c r="D315" s="3" t="s">
        <v>27</v>
      </c>
      <c r="E315" s="3" t="s">
        <v>29</v>
      </c>
      <c r="F315" s="3" t="s">
        <v>19</v>
      </c>
    </row>
    <row r="316" spans="2:6" x14ac:dyDescent="0.25">
      <c r="B316" s="3"/>
      <c r="C316" s="3"/>
      <c r="D316" s="3" t="s">
        <v>28</v>
      </c>
      <c r="E316" s="3" t="s">
        <v>12</v>
      </c>
      <c r="F316" s="3" t="s">
        <v>12</v>
      </c>
    </row>
    <row r="317" spans="2:6" x14ac:dyDescent="0.25">
      <c r="B317" s="3"/>
      <c r="C317" s="3"/>
      <c r="D317" s="3" t="s">
        <v>21</v>
      </c>
      <c r="E317" s="3" t="s">
        <v>20</v>
      </c>
      <c r="F317" s="3" t="s">
        <v>26</v>
      </c>
    </row>
    <row r="318" spans="2:6" x14ac:dyDescent="0.25">
      <c r="B318" s="3"/>
      <c r="C318" s="3"/>
      <c r="D318" s="3" t="s">
        <v>25</v>
      </c>
      <c r="E318" s="3" t="s">
        <v>30</v>
      </c>
      <c r="F318" s="3" t="s">
        <v>12</v>
      </c>
    </row>
    <row r="319" spans="2:6" x14ac:dyDescent="0.25">
      <c r="B319" s="3"/>
      <c r="C319" s="3"/>
      <c r="D319" s="3" t="s">
        <v>15</v>
      </c>
      <c r="E319" s="3" t="s">
        <v>21</v>
      </c>
      <c r="F319" s="3" t="s">
        <v>12</v>
      </c>
    </row>
    <row r="320" spans="2:6" x14ac:dyDescent="0.25">
      <c r="B320" s="3"/>
      <c r="C320" s="3"/>
      <c r="D320" s="3" t="s">
        <v>12</v>
      </c>
      <c r="E320" s="3" t="s">
        <v>27</v>
      </c>
      <c r="F320" s="3" t="s">
        <v>24</v>
      </c>
    </row>
    <row r="321" spans="2:6" x14ac:dyDescent="0.25">
      <c r="B321" s="3"/>
      <c r="C321" s="3"/>
      <c r="D321" s="3" t="s">
        <v>20</v>
      </c>
      <c r="E321" s="3" t="s">
        <v>25</v>
      </c>
      <c r="F321" s="3" t="s">
        <v>30</v>
      </c>
    </row>
    <row r="322" spans="2:6" x14ac:dyDescent="0.25">
      <c r="B322" s="3"/>
      <c r="C322" s="3"/>
      <c r="D322" s="3" t="s">
        <v>21</v>
      </c>
      <c r="E322" s="3" t="s">
        <v>14</v>
      </c>
      <c r="F322" s="3" t="s">
        <v>23</v>
      </c>
    </row>
    <row r="323" spans="2:6" x14ac:dyDescent="0.25">
      <c r="B323" s="3"/>
      <c r="C323" s="3"/>
      <c r="D323" s="3" t="s">
        <v>18</v>
      </c>
      <c r="E323" s="3" t="s">
        <v>19</v>
      </c>
      <c r="F323" s="3" t="s">
        <v>17</v>
      </c>
    </row>
    <row r="324" spans="2:6" x14ac:dyDescent="0.25">
      <c r="B324" s="3"/>
      <c r="C324" s="3"/>
      <c r="D324" s="3" t="s">
        <v>16</v>
      </c>
      <c r="E324" s="3" t="s">
        <v>27</v>
      </c>
      <c r="F324" s="3" t="s">
        <v>17</v>
      </c>
    </row>
    <row r="325" spans="2:6" x14ac:dyDescent="0.25">
      <c r="B325" s="3"/>
      <c r="C325" s="3"/>
      <c r="D325" s="3" t="s">
        <v>16</v>
      </c>
      <c r="E325" s="3" t="s">
        <v>17</v>
      </c>
      <c r="F325" s="3" t="s">
        <v>24</v>
      </c>
    </row>
    <row r="326" spans="2:6" x14ac:dyDescent="0.25">
      <c r="B326" s="3"/>
      <c r="C326" s="3"/>
      <c r="D326" s="3" t="s">
        <v>20</v>
      </c>
      <c r="E326" s="3" t="s">
        <v>12</v>
      </c>
      <c r="F326" s="3" t="s">
        <v>14</v>
      </c>
    </row>
    <row r="327" spans="2:6" x14ac:dyDescent="0.25">
      <c r="B327" s="3"/>
      <c r="C327" s="3"/>
      <c r="D327" s="3" t="s">
        <v>10</v>
      </c>
      <c r="E327" s="3" t="s">
        <v>23</v>
      </c>
      <c r="F327" s="3" t="s">
        <v>24</v>
      </c>
    </row>
    <row r="328" spans="2:6" x14ac:dyDescent="0.25">
      <c r="B328" s="3"/>
      <c r="C328" s="3"/>
      <c r="D328" s="3" t="s">
        <v>14</v>
      </c>
      <c r="E328" s="3" t="s">
        <v>30</v>
      </c>
      <c r="F328" s="3" t="s">
        <v>25</v>
      </c>
    </row>
    <row r="329" spans="2:6" x14ac:dyDescent="0.25">
      <c r="B329" s="3"/>
      <c r="D329" s="3" t="s">
        <v>21</v>
      </c>
      <c r="E329" s="3" t="s">
        <v>15</v>
      </c>
      <c r="F329" s="3" t="s">
        <v>22</v>
      </c>
    </row>
    <row r="330" spans="2:6" x14ac:dyDescent="0.25">
      <c r="B330" s="3"/>
      <c r="D330" s="3" t="s">
        <v>14</v>
      </c>
      <c r="E330" s="3" t="s">
        <v>28</v>
      </c>
      <c r="F330" s="3" t="s">
        <v>25</v>
      </c>
    </row>
    <row r="331" spans="2:6" x14ac:dyDescent="0.25">
      <c r="B331" s="3"/>
      <c r="D331" s="3" t="s">
        <v>18</v>
      </c>
      <c r="E331" s="3" t="s">
        <v>25</v>
      </c>
      <c r="F331" s="3" t="s">
        <v>25</v>
      </c>
    </row>
    <row r="332" spans="2:6" x14ac:dyDescent="0.25">
      <c r="B332" s="3"/>
      <c r="D332" s="3" t="s">
        <v>20</v>
      </c>
      <c r="E332" s="3" t="s">
        <v>17</v>
      </c>
      <c r="F332" s="3" t="s">
        <v>12</v>
      </c>
    </row>
    <row r="333" spans="2:6" x14ac:dyDescent="0.25">
      <c r="B333" s="3"/>
      <c r="D333" s="3" t="s">
        <v>25</v>
      </c>
      <c r="E333" s="3" t="s">
        <v>16</v>
      </c>
      <c r="F333" s="3" t="s">
        <v>25</v>
      </c>
    </row>
    <row r="334" spans="2:6" x14ac:dyDescent="0.25">
      <c r="B334" s="3"/>
      <c r="D334" s="3" t="s">
        <v>29</v>
      </c>
      <c r="E334" s="3" t="s">
        <v>19</v>
      </c>
      <c r="F334" s="3" t="s">
        <v>18</v>
      </c>
    </row>
    <row r="335" spans="2:6" x14ac:dyDescent="0.25">
      <c r="B335" s="3"/>
      <c r="D335" s="3" t="s">
        <v>16</v>
      </c>
      <c r="E335" s="3" t="s">
        <v>28</v>
      </c>
      <c r="F335" s="3" t="s">
        <v>24</v>
      </c>
    </row>
    <row r="336" spans="2:6" x14ac:dyDescent="0.25">
      <c r="B336" s="3"/>
      <c r="D336" s="3" t="s">
        <v>25</v>
      </c>
      <c r="E336" s="3" t="s">
        <v>30</v>
      </c>
      <c r="F336" s="3" t="s">
        <v>10</v>
      </c>
    </row>
    <row r="337" spans="2:6" x14ac:dyDescent="0.25">
      <c r="B337" s="3"/>
      <c r="D337" s="3" t="s">
        <v>19</v>
      </c>
      <c r="E337" s="3" t="s">
        <v>14</v>
      </c>
      <c r="F337" s="3" t="s">
        <v>25</v>
      </c>
    </row>
    <row r="338" spans="2:6" x14ac:dyDescent="0.25">
      <c r="B338" s="3"/>
      <c r="D338" s="3" t="s">
        <v>12</v>
      </c>
      <c r="E338" s="3" t="s">
        <v>19</v>
      </c>
      <c r="F338" s="3" t="s">
        <v>18</v>
      </c>
    </row>
    <row r="339" spans="2:6" x14ac:dyDescent="0.25">
      <c r="B339" s="3"/>
      <c r="D339" s="3" t="s">
        <v>24</v>
      </c>
      <c r="E339" s="3" t="s">
        <v>26</v>
      </c>
      <c r="F339" s="3" t="s">
        <v>12</v>
      </c>
    </row>
    <row r="340" spans="2:6" x14ac:dyDescent="0.25">
      <c r="B340" s="3"/>
      <c r="D340" s="3" t="s">
        <v>23</v>
      </c>
      <c r="E340" s="3" t="s">
        <v>13</v>
      </c>
      <c r="F340" s="3" t="s">
        <v>25</v>
      </c>
    </row>
    <row r="341" spans="2:6" x14ac:dyDescent="0.25">
      <c r="B341" s="3"/>
      <c r="D341" s="3" t="s">
        <v>29</v>
      </c>
      <c r="E341" s="3" t="s">
        <v>12</v>
      </c>
      <c r="F341" s="3" t="s">
        <v>30</v>
      </c>
    </row>
    <row r="342" spans="2:6" x14ac:dyDescent="0.25">
      <c r="B342" s="3"/>
      <c r="D342" s="3" t="s">
        <v>27</v>
      </c>
      <c r="E342" s="3" t="s">
        <v>12</v>
      </c>
      <c r="F342" s="3" t="s">
        <v>28</v>
      </c>
    </row>
    <row r="343" spans="2:6" x14ac:dyDescent="0.25">
      <c r="B343" s="3"/>
      <c r="D343" s="3"/>
      <c r="E343" s="3" t="s">
        <v>15</v>
      </c>
      <c r="F343" s="3" t="s">
        <v>17</v>
      </c>
    </row>
    <row r="344" spans="2:6" x14ac:dyDescent="0.25">
      <c r="B344" s="3"/>
      <c r="D344" s="3"/>
      <c r="E344" s="3" t="s">
        <v>12</v>
      </c>
      <c r="F344" s="3" t="s">
        <v>25</v>
      </c>
    </row>
    <row r="345" spans="2:6" x14ac:dyDescent="0.25">
      <c r="B345" s="3"/>
      <c r="D345" s="3"/>
      <c r="E345" s="3" t="s">
        <v>28</v>
      </c>
      <c r="F345" s="3" t="s">
        <v>16</v>
      </c>
    </row>
    <row r="346" spans="2:6" x14ac:dyDescent="0.25">
      <c r="B346" s="3"/>
      <c r="D346" s="3"/>
      <c r="E346" s="3" t="s">
        <v>28</v>
      </c>
      <c r="F346" s="3" t="s">
        <v>27</v>
      </c>
    </row>
    <row r="347" spans="2:6" x14ac:dyDescent="0.25">
      <c r="B347" s="3"/>
      <c r="D347" s="3"/>
      <c r="E347" s="3" t="s">
        <v>25</v>
      </c>
      <c r="F347" s="3" t="s">
        <v>10</v>
      </c>
    </row>
    <row r="348" spans="2:6" x14ac:dyDescent="0.25">
      <c r="B348" s="3"/>
      <c r="D348" s="3"/>
      <c r="E348" s="3" t="s">
        <v>25</v>
      </c>
      <c r="F348" s="3" t="s">
        <v>25</v>
      </c>
    </row>
    <row r="349" spans="2:6" x14ac:dyDescent="0.25">
      <c r="B349" s="3"/>
      <c r="D349" s="3"/>
      <c r="E349" s="3" t="s">
        <v>25</v>
      </c>
      <c r="F349" s="3" t="s">
        <v>25</v>
      </c>
    </row>
    <row r="350" spans="2:6" x14ac:dyDescent="0.25">
      <c r="B350" s="3"/>
      <c r="D350" s="3"/>
      <c r="E350" s="3" t="s">
        <v>24</v>
      </c>
      <c r="F350" s="3" t="s">
        <v>25</v>
      </c>
    </row>
    <row r="351" spans="2:6" x14ac:dyDescent="0.25">
      <c r="B351" s="3"/>
      <c r="D351" s="3"/>
      <c r="E351" s="3" t="s">
        <v>18</v>
      </c>
      <c r="F351" s="3" t="s">
        <v>14</v>
      </c>
    </row>
    <row r="352" spans="2:6" x14ac:dyDescent="0.25">
      <c r="B352" s="3"/>
      <c r="D352" s="3"/>
      <c r="E352" s="3" t="s">
        <v>30</v>
      </c>
      <c r="F352" s="3" t="s">
        <v>24</v>
      </c>
    </row>
    <row r="353" spans="2:6" x14ac:dyDescent="0.25">
      <c r="B353" s="3"/>
      <c r="D353" s="3"/>
      <c r="E353" s="3" t="s">
        <v>20</v>
      </c>
      <c r="F353" s="3" t="s">
        <v>24</v>
      </c>
    </row>
    <row r="354" spans="2:6" x14ac:dyDescent="0.25">
      <c r="B354" s="3"/>
      <c r="D354" s="3"/>
      <c r="E354" s="3" t="s">
        <v>27</v>
      </c>
      <c r="F354" s="3" t="s">
        <v>17</v>
      </c>
    </row>
    <row r="355" spans="2:6" x14ac:dyDescent="0.25">
      <c r="B355" s="3"/>
      <c r="D355" s="3"/>
      <c r="E355" s="3" t="s">
        <v>20</v>
      </c>
      <c r="F355" s="3" t="s">
        <v>14</v>
      </c>
    </row>
    <row r="356" spans="2:6" x14ac:dyDescent="0.25">
      <c r="B356" s="3"/>
      <c r="D356" s="3"/>
      <c r="E356" s="3" t="s">
        <v>30</v>
      </c>
      <c r="F356" s="3" t="s">
        <v>25</v>
      </c>
    </row>
    <row r="357" spans="2:6" x14ac:dyDescent="0.25">
      <c r="B357" s="3"/>
      <c r="D357" s="3"/>
      <c r="E357" s="3" t="s">
        <v>25</v>
      </c>
      <c r="F357" s="3" t="s">
        <v>15</v>
      </c>
    </row>
    <row r="358" spans="2:6" x14ac:dyDescent="0.25">
      <c r="B358" s="3"/>
      <c r="D358" s="3"/>
      <c r="E358" s="3" t="s">
        <v>25</v>
      </c>
      <c r="F358" s="3" t="s">
        <v>19</v>
      </c>
    </row>
    <row r="359" spans="2:6" x14ac:dyDescent="0.25">
      <c r="B359" s="3"/>
      <c r="D359" s="3"/>
      <c r="E359" s="3" t="s">
        <v>27</v>
      </c>
      <c r="F359" s="3" t="s">
        <v>13</v>
      </c>
    </row>
    <row r="360" spans="2:6" x14ac:dyDescent="0.25">
      <c r="B360" s="3"/>
      <c r="D360" s="3"/>
      <c r="E360" s="3" t="s">
        <v>25</v>
      </c>
      <c r="F360" s="3" t="s">
        <v>21</v>
      </c>
    </row>
    <row r="361" spans="2:6" x14ac:dyDescent="0.25">
      <c r="B361" s="3"/>
      <c r="D361" s="3"/>
      <c r="E361" s="3" t="s">
        <v>27</v>
      </c>
      <c r="F361" s="3" t="s">
        <v>13</v>
      </c>
    </row>
    <row r="362" spans="2:6" x14ac:dyDescent="0.25">
      <c r="B362" s="3"/>
      <c r="D362" s="3"/>
      <c r="E362" s="3" t="s">
        <v>20</v>
      </c>
    </row>
    <row r="363" spans="2:6" x14ac:dyDescent="0.25">
      <c r="B363" s="3"/>
      <c r="D363" s="3"/>
      <c r="E363" s="3" t="s">
        <v>28</v>
      </c>
    </row>
    <row r="364" spans="2:6" x14ac:dyDescent="0.25">
      <c r="B364" s="3"/>
      <c r="D364" s="3"/>
      <c r="E364" s="3" t="s">
        <v>18</v>
      </c>
    </row>
    <row r="365" spans="2:6" x14ac:dyDescent="0.25">
      <c r="B365" s="3"/>
      <c r="D365" s="3"/>
      <c r="E365" s="3" t="s">
        <v>16</v>
      </c>
    </row>
    <row r="366" spans="2:6" x14ac:dyDescent="0.25">
      <c r="B366" s="3"/>
      <c r="D366" s="3"/>
      <c r="E366" s="3" t="s">
        <v>30</v>
      </c>
    </row>
    <row r="367" spans="2:6" x14ac:dyDescent="0.25">
      <c r="B367" s="3"/>
      <c r="D367" s="3"/>
      <c r="E367" s="3" t="s">
        <v>18</v>
      </c>
    </row>
    <row r="368" spans="2:6" x14ac:dyDescent="0.25">
      <c r="B368" s="3"/>
      <c r="D368" s="3"/>
      <c r="E368" s="3" t="s">
        <v>20</v>
      </c>
    </row>
    <row r="369" spans="2:5" x14ac:dyDescent="0.25">
      <c r="B369" s="3"/>
      <c r="D369" s="3"/>
      <c r="E369" s="3" t="s">
        <v>13</v>
      </c>
    </row>
    <row r="370" spans="2:5" x14ac:dyDescent="0.25">
      <c r="B370" s="3"/>
      <c r="D370" s="3"/>
      <c r="E370" s="3" t="s">
        <v>26</v>
      </c>
    </row>
    <row r="371" spans="2:5" x14ac:dyDescent="0.25">
      <c r="B371" s="3"/>
      <c r="D371" s="3"/>
      <c r="E371" s="3" t="s">
        <v>25</v>
      </c>
    </row>
    <row r="372" spans="2:5" x14ac:dyDescent="0.25">
      <c r="B372" s="3"/>
      <c r="D372" s="3"/>
      <c r="E372" s="3" t="s">
        <v>14</v>
      </c>
    </row>
    <row r="373" spans="2:5" x14ac:dyDescent="0.25">
      <c r="B373" s="3"/>
      <c r="D373" s="3"/>
      <c r="E373" s="3" t="s">
        <v>30</v>
      </c>
    </row>
    <row r="374" spans="2:5" x14ac:dyDescent="0.25">
      <c r="B374" s="3"/>
      <c r="D374" s="3"/>
      <c r="E374" s="3" t="s">
        <v>26</v>
      </c>
    </row>
    <row r="375" spans="2:5" x14ac:dyDescent="0.25">
      <c r="B375" s="3"/>
      <c r="D375" s="3"/>
      <c r="E375" s="3" t="s">
        <v>12</v>
      </c>
    </row>
    <row r="376" spans="2:5" x14ac:dyDescent="0.25">
      <c r="B376" s="3"/>
      <c r="D376" s="3"/>
      <c r="E376" s="3" t="s">
        <v>20</v>
      </c>
    </row>
    <row r="377" spans="2:5" x14ac:dyDescent="0.25">
      <c r="B377" s="3"/>
      <c r="D377" s="3"/>
      <c r="E377" s="3" t="s">
        <v>26</v>
      </c>
    </row>
    <row r="378" spans="2:5" x14ac:dyDescent="0.25">
      <c r="B378" s="3"/>
      <c r="D378" s="3"/>
      <c r="E378" s="3" t="s">
        <v>13</v>
      </c>
    </row>
    <row r="379" spans="2:5" x14ac:dyDescent="0.25">
      <c r="B379" s="3"/>
      <c r="D379" s="3"/>
      <c r="E379" s="3" t="s">
        <v>24</v>
      </c>
    </row>
    <row r="380" spans="2:5" x14ac:dyDescent="0.25">
      <c r="B380" s="3"/>
      <c r="D380" s="3"/>
      <c r="E380" s="3" t="s">
        <v>13</v>
      </c>
    </row>
    <row r="381" spans="2:5" x14ac:dyDescent="0.25">
      <c r="B381" s="3"/>
      <c r="D381" s="3"/>
      <c r="E381" s="3" t="s">
        <v>27</v>
      </c>
    </row>
    <row r="382" spans="2:5" x14ac:dyDescent="0.25">
      <c r="B382" s="3"/>
      <c r="D382" s="3"/>
      <c r="E382" s="3" t="s">
        <v>13</v>
      </c>
    </row>
    <row r="383" spans="2:5" x14ac:dyDescent="0.25">
      <c r="B383" s="3"/>
      <c r="D383" s="3"/>
      <c r="E383" s="3" t="s">
        <v>12</v>
      </c>
    </row>
    <row r="384" spans="2:5" x14ac:dyDescent="0.25">
      <c r="B384" s="3"/>
      <c r="D384" s="3"/>
      <c r="E384" s="3" t="s">
        <v>12</v>
      </c>
    </row>
    <row r="385" spans="2:5" x14ac:dyDescent="0.25">
      <c r="B385" s="3"/>
      <c r="D385" s="3"/>
      <c r="E385" s="3" t="s">
        <v>15</v>
      </c>
    </row>
    <row r="386" spans="2:5" x14ac:dyDescent="0.25">
      <c r="B386" s="3"/>
      <c r="D386" s="3"/>
      <c r="E386" s="3" t="s">
        <v>13</v>
      </c>
    </row>
    <row r="387" spans="2:5" x14ac:dyDescent="0.25">
      <c r="B387" s="3"/>
      <c r="D387" s="3"/>
      <c r="E387" s="3" t="s">
        <v>13</v>
      </c>
    </row>
    <row r="388" spans="2:5" x14ac:dyDescent="0.25">
      <c r="B388" s="3"/>
      <c r="D388" s="3"/>
      <c r="E388" s="3" t="s">
        <v>14</v>
      </c>
    </row>
    <row r="389" spans="2:5" x14ac:dyDescent="0.25">
      <c r="B389" s="3"/>
      <c r="D389" s="3"/>
      <c r="E389" s="3" t="s">
        <v>17</v>
      </c>
    </row>
    <row r="390" spans="2:5" x14ac:dyDescent="0.25">
      <c r="B390" s="3"/>
      <c r="D390" s="3"/>
      <c r="E390" s="3" t="s">
        <v>20</v>
      </c>
    </row>
    <row r="391" spans="2:5" x14ac:dyDescent="0.25">
      <c r="B391" s="3"/>
      <c r="D391" s="3"/>
      <c r="E391" s="3" t="s">
        <v>10</v>
      </c>
    </row>
    <row r="392" spans="2:5" x14ac:dyDescent="0.25">
      <c r="B392" s="3"/>
      <c r="D392" s="3"/>
      <c r="E392" s="3" t="s">
        <v>13</v>
      </c>
    </row>
    <row r="393" spans="2:5" x14ac:dyDescent="0.25">
      <c r="B393" s="3"/>
      <c r="D393" s="3"/>
      <c r="E393" s="3" t="s">
        <v>20</v>
      </c>
    </row>
    <row r="394" spans="2:5" x14ac:dyDescent="0.25">
      <c r="B394" s="3"/>
      <c r="D394" s="3"/>
      <c r="E394" s="3" t="s">
        <v>19</v>
      </c>
    </row>
    <row r="395" spans="2:5" x14ac:dyDescent="0.25">
      <c r="B395" s="3"/>
      <c r="D395" s="3"/>
      <c r="E395" s="3" t="s">
        <v>21</v>
      </c>
    </row>
    <row r="396" spans="2:5" x14ac:dyDescent="0.25">
      <c r="B396" s="3"/>
      <c r="D396" s="3"/>
      <c r="E396" s="3" t="s">
        <v>27</v>
      </c>
    </row>
    <row r="397" spans="2:5" x14ac:dyDescent="0.25">
      <c r="B397" s="3"/>
      <c r="D397" s="3"/>
      <c r="E397" s="3" t="s">
        <v>15</v>
      </c>
    </row>
    <row r="398" spans="2:5" x14ac:dyDescent="0.25">
      <c r="B398" s="3"/>
      <c r="D398" s="3"/>
      <c r="E398" s="3" t="s">
        <v>26</v>
      </c>
    </row>
    <row r="399" spans="2:5" x14ac:dyDescent="0.25">
      <c r="B399" s="3"/>
      <c r="D399" s="3"/>
      <c r="E399" s="3" t="s">
        <v>20</v>
      </c>
    </row>
    <row r="400" spans="2:5" x14ac:dyDescent="0.25">
      <c r="B400" s="3"/>
      <c r="D400" s="3"/>
      <c r="E400" s="3" t="s">
        <v>18</v>
      </c>
    </row>
    <row r="401" spans="2:5" x14ac:dyDescent="0.25">
      <c r="B401" s="3"/>
      <c r="D401" s="3"/>
      <c r="E401" s="3" t="s">
        <v>21</v>
      </c>
    </row>
    <row r="402" spans="2:5" x14ac:dyDescent="0.25">
      <c r="B402" s="3"/>
      <c r="D402" s="3"/>
      <c r="E402" s="3" t="s">
        <v>17</v>
      </c>
    </row>
    <row r="403" spans="2:5" x14ac:dyDescent="0.25">
      <c r="B403" s="3"/>
      <c r="D403" s="3"/>
      <c r="E403" s="3" t="s">
        <v>25</v>
      </c>
    </row>
    <row r="404" spans="2:5" x14ac:dyDescent="0.25">
      <c r="B404" s="3"/>
      <c r="D404" s="3"/>
      <c r="E404" s="3" t="s">
        <v>12</v>
      </c>
    </row>
    <row r="405" spans="2:5" x14ac:dyDescent="0.25">
      <c r="B405" s="3"/>
      <c r="D405" s="3"/>
      <c r="E405" s="3" t="s">
        <v>25</v>
      </c>
    </row>
    <row r="406" spans="2:5" x14ac:dyDescent="0.25">
      <c r="B406" s="3"/>
      <c r="D406" s="3"/>
      <c r="E406" s="3" t="s">
        <v>23</v>
      </c>
    </row>
    <row r="407" spans="2:5" x14ac:dyDescent="0.25">
      <c r="B407" s="3"/>
      <c r="D407" s="3"/>
      <c r="E407" s="3" t="s">
        <v>16</v>
      </c>
    </row>
    <row r="408" spans="2:5" x14ac:dyDescent="0.25">
      <c r="B408" s="3"/>
      <c r="D408" s="3"/>
      <c r="E408" s="3" t="s">
        <v>25</v>
      </c>
    </row>
    <row r="409" spans="2:5" x14ac:dyDescent="0.25">
      <c r="B409" s="3"/>
      <c r="D409" s="3"/>
      <c r="E409" s="3" t="s">
        <v>26</v>
      </c>
    </row>
    <row r="410" spans="2:5" x14ac:dyDescent="0.25">
      <c r="B410" s="3"/>
      <c r="D410" s="3"/>
      <c r="E410" s="3" t="s">
        <v>20</v>
      </c>
    </row>
    <row r="411" spans="2:5" x14ac:dyDescent="0.25">
      <c r="B411" s="3"/>
      <c r="D411" s="3"/>
      <c r="E411" s="3" t="s">
        <v>28</v>
      </c>
    </row>
    <row r="412" spans="2:5" x14ac:dyDescent="0.25">
      <c r="B412" s="3"/>
      <c r="D412" s="3"/>
      <c r="E412" s="3" t="s">
        <v>27</v>
      </c>
    </row>
    <row r="413" spans="2:5" x14ac:dyDescent="0.25">
      <c r="B413" s="3"/>
      <c r="D413" s="3"/>
      <c r="E413" s="3" t="s">
        <v>15</v>
      </c>
    </row>
    <row r="414" spans="2:5" x14ac:dyDescent="0.25">
      <c r="B414" s="3"/>
      <c r="D414" s="3"/>
      <c r="E414" s="3" t="s">
        <v>27</v>
      </c>
    </row>
    <row r="415" spans="2:5" x14ac:dyDescent="0.25">
      <c r="B415" s="3"/>
      <c r="D415" s="3"/>
      <c r="E415" s="3" t="s">
        <v>18</v>
      </c>
    </row>
    <row r="416" spans="2:5" x14ac:dyDescent="0.25">
      <c r="B416" s="3"/>
      <c r="D416" s="3"/>
      <c r="E416" s="3" t="s">
        <v>27</v>
      </c>
    </row>
    <row r="417" spans="2:5" x14ac:dyDescent="0.25">
      <c r="B417" s="3"/>
      <c r="D417" s="3"/>
      <c r="E417" s="3" t="s">
        <v>16</v>
      </c>
    </row>
    <row r="418" spans="2:5" x14ac:dyDescent="0.25">
      <c r="B418" s="3"/>
      <c r="D418" s="3"/>
      <c r="E418" s="3" t="s">
        <v>25</v>
      </c>
    </row>
    <row r="419" spans="2:5" x14ac:dyDescent="0.25">
      <c r="B419" s="3"/>
      <c r="D419" s="3"/>
      <c r="E419" s="3" t="s">
        <v>17</v>
      </c>
    </row>
    <row r="420" spans="2:5" x14ac:dyDescent="0.25">
      <c r="B420" s="3"/>
      <c r="D420" s="3"/>
      <c r="E420" s="3" t="s">
        <v>12</v>
      </c>
    </row>
    <row r="421" spans="2:5" x14ac:dyDescent="0.25">
      <c r="B421" s="3"/>
      <c r="D421" s="3"/>
    </row>
    <row r="422" spans="2:5" x14ac:dyDescent="0.25">
      <c r="B422" s="3"/>
      <c r="D422" s="3"/>
    </row>
    <row r="423" spans="2:5" x14ac:dyDescent="0.25">
      <c r="B423" s="3"/>
      <c r="D423" s="3"/>
    </row>
    <row r="424" spans="2:5" x14ac:dyDescent="0.25">
      <c r="B424" s="3"/>
      <c r="D424" s="3"/>
    </row>
    <row r="425" spans="2:5" x14ac:dyDescent="0.25">
      <c r="B425" s="3"/>
      <c r="D425" s="3"/>
    </row>
    <row r="426" spans="2:5" x14ac:dyDescent="0.25">
      <c r="B426" s="3"/>
      <c r="D426" s="3"/>
    </row>
    <row r="427" spans="2:5" x14ac:dyDescent="0.25">
      <c r="B427" s="3"/>
      <c r="D427" s="3"/>
    </row>
    <row r="428" spans="2:5" x14ac:dyDescent="0.25">
      <c r="B428" s="3"/>
      <c r="D428" s="3"/>
    </row>
    <row r="429" spans="2:5" x14ac:dyDescent="0.25">
      <c r="B429" s="3"/>
      <c r="D429" s="3"/>
    </row>
    <row r="430" spans="2:5" x14ac:dyDescent="0.25">
      <c r="B430" s="3"/>
      <c r="D430" s="3"/>
    </row>
    <row r="431" spans="2:5" x14ac:dyDescent="0.25">
      <c r="B431" s="3"/>
      <c r="D431" s="3"/>
    </row>
    <row r="432" spans="2:5" x14ac:dyDescent="0.25">
      <c r="B432" s="3"/>
      <c r="D432" s="3"/>
    </row>
    <row r="433" spans="2:4" x14ac:dyDescent="0.25">
      <c r="B433" s="3"/>
      <c r="D433" s="3"/>
    </row>
    <row r="434" spans="2:4" x14ac:dyDescent="0.25">
      <c r="B434" s="3"/>
      <c r="D434" s="3"/>
    </row>
    <row r="435" spans="2:4" x14ac:dyDescent="0.25">
      <c r="B435" s="3"/>
      <c r="D435" s="3"/>
    </row>
    <row r="436" spans="2:4" x14ac:dyDescent="0.25">
      <c r="B436" s="3"/>
      <c r="D436" s="3"/>
    </row>
    <row r="437" spans="2:4" x14ac:dyDescent="0.25">
      <c r="B437" s="3"/>
      <c r="D437" s="3"/>
    </row>
    <row r="438" spans="2:4" x14ac:dyDescent="0.25">
      <c r="B438" s="3"/>
      <c r="D438" s="3"/>
    </row>
    <row r="439" spans="2:4" x14ac:dyDescent="0.25">
      <c r="B439" s="3"/>
      <c r="D439" s="3"/>
    </row>
    <row r="440" spans="2:4" x14ac:dyDescent="0.25">
      <c r="B440" s="3"/>
      <c r="D440" s="3"/>
    </row>
    <row r="441" spans="2:4" x14ac:dyDescent="0.25">
      <c r="B441" s="3"/>
      <c r="D441" s="3"/>
    </row>
    <row r="442" spans="2:4" x14ac:dyDescent="0.25">
      <c r="B442" s="3"/>
      <c r="D442" s="3"/>
    </row>
    <row r="443" spans="2:4" x14ac:dyDescent="0.25">
      <c r="B443" s="3"/>
      <c r="D443" s="3"/>
    </row>
    <row r="444" spans="2:4" x14ac:dyDescent="0.25">
      <c r="B444" s="3"/>
      <c r="D444" s="3"/>
    </row>
    <row r="445" spans="2:4" x14ac:dyDescent="0.25">
      <c r="B445" s="3"/>
      <c r="D445" s="3"/>
    </row>
    <row r="446" spans="2:4" x14ac:dyDescent="0.25">
      <c r="B446" s="3"/>
      <c r="D446" s="3"/>
    </row>
    <row r="447" spans="2:4" x14ac:dyDescent="0.25">
      <c r="B447" s="3"/>
      <c r="D447" s="3"/>
    </row>
    <row r="448" spans="2:4" x14ac:dyDescent="0.25">
      <c r="B448" s="3"/>
      <c r="D448" s="3"/>
    </row>
    <row r="449" spans="2:4" x14ac:dyDescent="0.25">
      <c r="B449" s="3"/>
      <c r="D449" s="3"/>
    </row>
    <row r="450" spans="2:4" x14ac:dyDescent="0.25">
      <c r="B450" s="3"/>
      <c r="D450" s="3"/>
    </row>
    <row r="451" spans="2:4" x14ac:dyDescent="0.25">
      <c r="B451" s="3"/>
      <c r="D451" s="3"/>
    </row>
    <row r="452" spans="2:4" x14ac:dyDescent="0.25">
      <c r="B452" s="3"/>
      <c r="D452" s="3"/>
    </row>
    <row r="453" spans="2:4" x14ac:dyDescent="0.25">
      <c r="B453" s="3"/>
      <c r="D453" s="3"/>
    </row>
    <row r="454" spans="2:4" x14ac:dyDescent="0.25">
      <c r="B454" s="3"/>
      <c r="D454" s="3"/>
    </row>
    <row r="455" spans="2:4" x14ac:dyDescent="0.25">
      <c r="B455" s="3"/>
      <c r="D455" s="3"/>
    </row>
    <row r="456" spans="2:4" x14ac:dyDescent="0.25">
      <c r="B456" s="3"/>
      <c r="D456" s="3"/>
    </row>
    <row r="457" spans="2:4" x14ac:dyDescent="0.25">
      <c r="B457" s="3"/>
      <c r="D457" s="3"/>
    </row>
    <row r="458" spans="2:4" x14ac:dyDescent="0.25">
      <c r="B458" s="3"/>
      <c r="D458" s="3"/>
    </row>
    <row r="459" spans="2:4" x14ac:dyDescent="0.25">
      <c r="B459" s="3"/>
      <c r="D459" s="3"/>
    </row>
    <row r="460" spans="2:4" x14ac:dyDescent="0.25">
      <c r="B460" s="3"/>
      <c r="D460" s="3"/>
    </row>
    <row r="461" spans="2:4" x14ac:dyDescent="0.25">
      <c r="B461" s="3"/>
      <c r="D461" s="3"/>
    </row>
    <row r="462" spans="2:4" x14ac:dyDescent="0.25">
      <c r="B462" s="3"/>
      <c r="D462" s="3"/>
    </row>
    <row r="463" spans="2:4" x14ac:dyDescent="0.25">
      <c r="B463" s="3"/>
      <c r="D463" s="3"/>
    </row>
    <row r="464" spans="2:4" x14ac:dyDescent="0.25">
      <c r="B464" s="3"/>
      <c r="D464" s="3"/>
    </row>
    <row r="465" spans="2:4" x14ac:dyDescent="0.25">
      <c r="B465" s="3"/>
      <c r="D465" s="3"/>
    </row>
    <row r="466" spans="2:4" x14ac:dyDescent="0.25">
      <c r="B466" s="3"/>
      <c r="D466" s="3"/>
    </row>
    <row r="467" spans="2:4" x14ac:dyDescent="0.25">
      <c r="B467" s="3"/>
      <c r="D467" s="3"/>
    </row>
    <row r="468" spans="2:4" x14ac:dyDescent="0.25">
      <c r="B468" s="3"/>
      <c r="D468" s="3"/>
    </row>
    <row r="469" spans="2:4" x14ac:dyDescent="0.25">
      <c r="B469" s="3"/>
      <c r="D469" s="3"/>
    </row>
    <row r="470" spans="2:4" x14ac:dyDescent="0.25">
      <c r="B470" s="3"/>
      <c r="D470" s="3"/>
    </row>
    <row r="471" spans="2:4" x14ac:dyDescent="0.25">
      <c r="B471" s="3"/>
      <c r="D471" s="3"/>
    </row>
    <row r="472" spans="2:4" x14ac:dyDescent="0.25">
      <c r="B472" s="3"/>
      <c r="D472" s="3"/>
    </row>
    <row r="473" spans="2:4" x14ac:dyDescent="0.25">
      <c r="B473" s="3"/>
      <c r="D473" s="3"/>
    </row>
    <row r="474" spans="2:4" x14ac:dyDescent="0.25">
      <c r="B474" s="3"/>
      <c r="D474" s="3"/>
    </row>
    <row r="475" spans="2:4" x14ac:dyDescent="0.25">
      <c r="B475" s="3"/>
      <c r="D475" s="3"/>
    </row>
    <row r="476" spans="2:4" x14ac:dyDescent="0.25">
      <c r="B476" s="3"/>
      <c r="D476" s="3"/>
    </row>
    <row r="477" spans="2:4" x14ac:dyDescent="0.25">
      <c r="B477" s="3"/>
      <c r="D477" s="3"/>
    </row>
    <row r="478" spans="2:4" x14ac:dyDescent="0.25">
      <c r="B478" s="3"/>
      <c r="D478" s="3"/>
    </row>
    <row r="479" spans="2:4" x14ac:dyDescent="0.25">
      <c r="B479" s="3"/>
      <c r="D479" s="3"/>
    </row>
    <row r="480" spans="2:4" x14ac:dyDescent="0.25">
      <c r="B480" s="3"/>
      <c r="D480" s="3"/>
    </row>
    <row r="481" spans="2:4" x14ac:dyDescent="0.25">
      <c r="B481" s="3"/>
      <c r="D481" s="3"/>
    </row>
    <row r="482" spans="2:4" x14ac:dyDescent="0.25">
      <c r="B482" s="3"/>
      <c r="D482" s="3"/>
    </row>
    <row r="483" spans="2:4" x14ac:dyDescent="0.25">
      <c r="B483" s="3"/>
      <c r="D483" s="3"/>
    </row>
    <row r="484" spans="2:4" x14ac:dyDescent="0.25">
      <c r="B484" s="3"/>
      <c r="D484" s="3"/>
    </row>
    <row r="485" spans="2:4" x14ac:dyDescent="0.25">
      <c r="B485" s="3"/>
      <c r="D485" s="3"/>
    </row>
    <row r="486" spans="2:4" x14ac:dyDescent="0.25">
      <c r="B486" s="3"/>
      <c r="D486" s="3"/>
    </row>
    <row r="487" spans="2:4" x14ac:dyDescent="0.25">
      <c r="B487" s="3"/>
      <c r="D487" s="3"/>
    </row>
    <row r="488" spans="2:4" x14ac:dyDescent="0.25">
      <c r="B488" s="3"/>
      <c r="D488" s="3"/>
    </row>
    <row r="489" spans="2:4" x14ac:dyDescent="0.25">
      <c r="B489" s="3"/>
      <c r="D489" s="3"/>
    </row>
    <row r="490" spans="2:4" x14ac:dyDescent="0.25">
      <c r="B490" s="3"/>
      <c r="D490" s="3"/>
    </row>
    <row r="491" spans="2:4" x14ac:dyDescent="0.25">
      <c r="B491" s="3"/>
      <c r="D491" s="3"/>
    </row>
    <row r="492" spans="2:4" x14ac:dyDescent="0.25">
      <c r="B492" s="3"/>
      <c r="D492" s="3"/>
    </row>
    <row r="493" spans="2:4" x14ac:dyDescent="0.25">
      <c r="B493" s="3"/>
      <c r="D493" s="3"/>
    </row>
    <row r="494" spans="2:4" x14ac:dyDescent="0.25">
      <c r="B494" s="3"/>
      <c r="D494" s="3"/>
    </row>
    <row r="495" spans="2:4" x14ac:dyDescent="0.25">
      <c r="B495" s="3"/>
      <c r="D495" s="3"/>
    </row>
    <row r="496" spans="2:4" x14ac:dyDescent="0.25">
      <c r="B496" s="3"/>
      <c r="D496" s="3"/>
    </row>
    <row r="497" spans="2:4" x14ac:dyDescent="0.25">
      <c r="B497" s="3"/>
      <c r="D497" s="3"/>
    </row>
    <row r="498" spans="2:4" x14ac:dyDescent="0.25">
      <c r="B498" s="3"/>
      <c r="D498" s="3"/>
    </row>
    <row r="499" spans="2:4" x14ac:dyDescent="0.25">
      <c r="B499" s="3"/>
      <c r="D499" s="3"/>
    </row>
    <row r="500" spans="2:4" x14ac:dyDescent="0.25">
      <c r="B500" s="3"/>
      <c r="D500" s="3"/>
    </row>
    <row r="501" spans="2:4" x14ac:dyDescent="0.25">
      <c r="B501" s="3"/>
      <c r="D501" s="3"/>
    </row>
    <row r="502" spans="2:4" x14ac:dyDescent="0.25">
      <c r="B502" s="3"/>
    </row>
    <row r="503" spans="2:4" x14ac:dyDescent="0.25">
      <c r="B503" s="3"/>
    </row>
    <row r="504" spans="2:4" x14ac:dyDescent="0.25">
      <c r="B504" s="3"/>
    </row>
    <row r="505" spans="2:4" x14ac:dyDescent="0.25">
      <c r="B505" s="3"/>
    </row>
    <row r="506" spans="2:4" x14ac:dyDescent="0.25">
      <c r="B506" s="3"/>
    </row>
    <row r="507" spans="2:4" x14ac:dyDescent="0.25">
      <c r="B507" s="3"/>
    </row>
    <row r="508" spans="2:4" x14ac:dyDescent="0.25">
      <c r="B508" s="3"/>
    </row>
    <row r="509" spans="2:4" x14ac:dyDescent="0.25">
      <c r="B509" s="3"/>
    </row>
    <row r="510" spans="2:4" x14ac:dyDescent="0.25">
      <c r="B510" s="3"/>
    </row>
    <row r="511" spans="2:4" x14ac:dyDescent="0.25">
      <c r="B511" s="3"/>
    </row>
    <row r="512" spans="2:4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x14ac:dyDescent="0.25">
      <c r="B528" s="3"/>
    </row>
    <row r="529" spans="2:2" x14ac:dyDescent="0.25">
      <c r="B529" s="3"/>
    </row>
    <row r="530" spans="2:2" x14ac:dyDescent="0.25">
      <c r="B530" s="3"/>
    </row>
    <row r="531" spans="2:2" x14ac:dyDescent="0.25">
      <c r="B531" s="3"/>
    </row>
    <row r="532" spans="2:2" x14ac:dyDescent="0.25">
      <c r="B532" s="3"/>
    </row>
    <row r="533" spans="2:2" x14ac:dyDescent="0.25">
      <c r="B533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x14ac:dyDescent="0.25">
      <c r="B542" s="3"/>
    </row>
    <row r="543" spans="2:2" x14ac:dyDescent="0.25">
      <c r="B543" s="3"/>
    </row>
    <row r="544" spans="2:2" x14ac:dyDescent="0.25">
      <c r="B544" s="3"/>
    </row>
    <row r="545" spans="2:2" x14ac:dyDescent="0.25">
      <c r="B545" s="3"/>
    </row>
    <row r="546" spans="2:2" x14ac:dyDescent="0.25">
      <c r="B546" s="3"/>
    </row>
    <row r="547" spans="2:2" x14ac:dyDescent="0.25">
      <c r="B547" s="3"/>
    </row>
    <row r="548" spans="2:2" x14ac:dyDescent="0.25">
      <c r="B548" s="3"/>
    </row>
    <row r="549" spans="2:2" x14ac:dyDescent="0.25">
      <c r="B549" s="3"/>
    </row>
    <row r="550" spans="2:2" x14ac:dyDescent="0.25">
      <c r="B550" s="3"/>
    </row>
    <row r="551" spans="2:2" x14ac:dyDescent="0.25">
      <c r="B551" s="3"/>
    </row>
    <row r="552" spans="2:2" x14ac:dyDescent="0.25">
      <c r="B552" s="3"/>
    </row>
    <row r="553" spans="2:2" x14ac:dyDescent="0.25">
      <c r="B553" s="3"/>
    </row>
    <row r="554" spans="2:2" x14ac:dyDescent="0.25">
      <c r="B554" s="3"/>
    </row>
    <row r="555" spans="2:2" x14ac:dyDescent="0.25">
      <c r="B555" s="3"/>
    </row>
    <row r="556" spans="2:2" x14ac:dyDescent="0.25">
      <c r="B556" s="3"/>
    </row>
    <row r="557" spans="2:2" x14ac:dyDescent="0.25">
      <c r="B557" s="3"/>
    </row>
    <row r="558" spans="2:2" x14ac:dyDescent="0.25">
      <c r="B558" s="3"/>
    </row>
    <row r="559" spans="2:2" x14ac:dyDescent="0.25">
      <c r="B559" s="3"/>
    </row>
    <row r="560" spans="2:2" x14ac:dyDescent="0.25">
      <c r="B560" s="3"/>
    </row>
    <row r="561" spans="2:2" x14ac:dyDescent="0.25">
      <c r="B561" s="3"/>
    </row>
    <row r="562" spans="2:2" x14ac:dyDescent="0.25">
      <c r="B562" s="3"/>
    </row>
    <row r="563" spans="2:2" x14ac:dyDescent="0.25">
      <c r="B563" s="3"/>
    </row>
    <row r="564" spans="2:2" x14ac:dyDescent="0.25">
      <c r="B564" s="3"/>
    </row>
    <row r="565" spans="2:2" x14ac:dyDescent="0.25">
      <c r="B565" s="3"/>
    </row>
    <row r="566" spans="2:2" x14ac:dyDescent="0.25">
      <c r="B566" s="3"/>
    </row>
    <row r="567" spans="2:2" x14ac:dyDescent="0.25">
      <c r="B567" s="3"/>
    </row>
    <row r="568" spans="2:2" x14ac:dyDescent="0.25">
      <c r="B568" s="3"/>
    </row>
    <row r="569" spans="2:2" x14ac:dyDescent="0.25">
      <c r="B569" s="3"/>
    </row>
    <row r="570" spans="2:2" x14ac:dyDescent="0.25">
      <c r="B570" s="3"/>
    </row>
    <row r="571" spans="2:2" x14ac:dyDescent="0.25">
      <c r="B571" s="3"/>
    </row>
    <row r="572" spans="2:2" x14ac:dyDescent="0.25">
      <c r="B572" s="3"/>
    </row>
    <row r="573" spans="2:2" x14ac:dyDescent="0.25">
      <c r="B573" s="3"/>
    </row>
    <row r="574" spans="2:2" x14ac:dyDescent="0.25">
      <c r="B574" s="3"/>
    </row>
    <row r="575" spans="2:2" x14ac:dyDescent="0.25">
      <c r="B575" s="3"/>
    </row>
    <row r="576" spans="2:2" x14ac:dyDescent="0.25">
      <c r="B576" s="3"/>
    </row>
    <row r="577" spans="2:2" x14ac:dyDescent="0.25">
      <c r="B577" s="3"/>
    </row>
    <row r="578" spans="2:2" x14ac:dyDescent="0.25">
      <c r="B578" s="3"/>
    </row>
    <row r="579" spans="2:2" x14ac:dyDescent="0.25">
      <c r="B579" s="3"/>
    </row>
    <row r="580" spans="2:2" x14ac:dyDescent="0.25">
      <c r="B580" s="3"/>
    </row>
    <row r="581" spans="2:2" x14ac:dyDescent="0.25">
      <c r="B581" s="3"/>
    </row>
    <row r="582" spans="2:2" x14ac:dyDescent="0.25">
      <c r="B582" s="3"/>
    </row>
    <row r="583" spans="2:2" x14ac:dyDescent="0.25">
      <c r="B583" s="3"/>
    </row>
    <row r="584" spans="2:2" x14ac:dyDescent="0.25">
      <c r="B584" s="3"/>
    </row>
    <row r="585" spans="2:2" x14ac:dyDescent="0.25">
      <c r="B585" s="3"/>
    </row>
    <row r="586" spans="2:2" x14ac:dyDescent="0.25">
      <c r="B586" s="3"/>
    </row>
    <row r="587" spans="2:2" x14ac:dyDescent="0.25">
      <c r="B587" s="3"/>
    </row>
    <row r="588" spans="2:2" x14ac:dyDescent="0.25">
      <c r="B588" s="3"/>
    </row>
    <row r="589" spans="2:2" x14ac:dyDescent="0.25">
      <c r="B589" s="3"/>
    </row>
    <row r="590" spans="2:2" x14ac:dyDescent="0.25">
      <c r="B590" s="3"/>
    </row>
    <row r="591" spans="2:2" x14ac:dyDescent="0.25">
      <c r="B591" s="3"/>
    </row>
    <row r="592" spans="2:2" x14ac:dyDescent="0.25">
      <c r="B592" s="3"/>
    </row>
    <row r="593" spans="2:2" x14ac:dyDescent="0.25">
      <c r="B593" s="3"/>
    </row>
    <row r="594" spans="2:2" x14ac:dyDescent="0.25">
      <c r="B594" s="3"/>
    </row>
    <row r="595" spans="2:2" x14ac:dyDescent="0.25">
      <c r="B595" s="3"/>
    </row>
    <row r="596" spans="2:2" x14ac:dyDescent="0.25">
      <c r="B596" s="3"/>
    </row>
    <row r="597" spans="2:2" x14ac:dyDescent="0.25">
      <c r="B597" s="3"/>
    </row>
    <row r="598" spans="2:2" x14ac:dyDescent="0.25">
      <c r="B598" s="3"/>
    </row>
    <row r="599" spans="2:2" x14ac:dyDescent="0.25">
      <c r="B599" s="3"/>
    </row>
    <row r="600" spans="2:2" x14ac:dyDescent="0.25">
      <c r="B600" s="3"/>
    </row>
    <row r="601" spans="2:2" x14ac:dyDescent="0.25">
      <c r="B601" s="3"/>
    </row>
    <row r="602" spans="2:2" x14ac:dyDescent="0.25">
      <c r="B602" s="3"/>
    </row>
    <row r="603" spans="2:2" x14ac:dyDescent="0.25">
      <c r="B603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Plot</vt:lpstr>
      <vt:lpstr>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Shaw</dc:creator>
  <cp:keywords/>
  <dc:description/>
  <cp:lastModifiedBy>Carina Negreanu</cp:lastModifiedBy>
  <dcterms:created xsi:type="dcterms:W3CDTF">2020-01-27T11:50:57Z</dcterms:created>
  <dcterms:modified xsi:type="dcterms:W3CDTF">2020-01-27T11:50:57Z</dcterms:modified>
</cp:coreProperties>
</file>