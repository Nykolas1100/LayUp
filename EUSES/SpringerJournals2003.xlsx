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F8B0EE-671E-471A-97FA-7E6B3F2501D6}" xr6:coauthVersionLast="45" xr6:coauthVersionMax="45" xr10:uidLastSave="{00000000-0000-0000-0000-000000000000}"/>
  <bookViews>
    <workbookView xWindow="2280" yWindow="2280" windowWidth="28800" windowHeight="15460"/>
  </bookViews>
  <sheets>
    <sheet name="Tabelle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40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F407" i="1"/>
</calcChain>
</file>

<file path=xl/sharedStrings.xml><?xml version="1.0" encoding="utf-8"?>
<sst xmlns="http://schemas.openxmlformats.org/spreadsheetml/2006/main" count="1617" uniqueCount="1220">
  <si>
    <t xml:space="preserve">Title </t>
  </si>
  <si>
    <t>ISSN
print</t>
  </si>
  <si>
    <t>ISSN
electronic</t>
  </si>
  <si>
    <t>Publisher</t>
  </si>
  <si>
    <t>Subs. Rate/       Euro €</t>
  </si>
  <si>
    <t>Subs.</t>
  </si>
  <si>
    <t xml:space="preserve">TOTAL                  EURO </t>
  </si>
  <si>
    <t>Postage charge</t>
  </si>
  <si>
    <t>4OR</t>
  </si>
  <si>
    <t>1619-4500</t>
  </si>
  <si>
    <t>SV B/HD</t>
  </si>
  <si>
    <t>Abdominal Imaging</t>
  </si>
  <si>
    <t>0942-8925</t>
  </si>
  <si>
    <t>1432-0509</t>
  </si>
  <si>
    <t>SV NY</t>
  </si>
  <si>
    <t>Accreditation and Quality Assurance</t>
  </si>
  <si>
    <t>0949-1775</t>
  </si>
  <si>
    <t>1432-0517</t>
  </si>
  <si>
    <t xml:space="preserve">Acta Diabetologica   </t>
  </si>
  <si>
    <t>0940-5429</t>
  </si>
  <si>
    <t>1432-5233</t>
  </si>
  <si>
    <t>SV IT</t>
  </si>
  <si>
    <t>Acta Ethologica</t>
  </si>
  <si>
    <t>0873-9749</t>
  </si>
  <si>
    <t>1437-9546</t>
  </si>
  <si>
    <t>Acta Informatica</t>
  </si>
  <si>
    <t>0001-5903</t>
  </si>
  <si>
    <t>1432-0525</t>
  </si>
  <si>
    <t>Acta Mathematica Sinica</t>
  </si>
  <si>
    <t>1439-8516</t>
  </si>
  <si>
    <t>1439-7617</t>
  </si>
  <si>
    <t>Acta Mathematicae Applicatae Sinica</t>
  </si>
  <si>
    <t>0168-9673</t>
  </si>
  <si>
    <t>1618-3932</t>
  </si>
  <si>
    <t>Acta Mechanica</t>
  </si>
  <si>
    <t>0001-5970</t>
  </si>
  <si>
    <t>1619-6973</t>
  </si>
  <si>
    <t>SV W</t>
  </si>
  <si>
    <t>Acta Neurochirurgica</t>
  </si>
  <si>
    <t>0001-6268</t>
  </si>
  <si>
    <t>0942-0940</t>
  </si>
  <si>
    <t>Acta Neuropathologica</t>
  </si>
  <si>
    <t>0001-6322</t>
  </si>
  <si>
    <t>1432-0533</t>
  </si>
  <si>
    <t>aequationes mathematicae</t>
  </si>
  <si>
    <t>0001-9054</t>
  </si>
  <si>
    <t>1420-8903</t>
  </si>
  <si>
    <t>Birkhäuser</t>
  </si>
  <si>
    <t>Aesthetic Plastic Surgery</t>
  </si>
  <si>
    <t>0364-216X</t>
  </si>
  <si>
    <t>1432-5241</t>
  </si>
  <si>
    <t>AI &amp; SOCIETY</t>
  </si>
  <si>
    <t>0951-5666</t>
  </si>
  <si>
    <t>1435-5655</t>
  </si>
  <si>
    <t>SV L</t>
  </si>
  <si>
    <t>Algebra Universalis</t>
  </si>
  <si>
    <t>0002-5240</t>
  </si>
  <si>
    <t>1420-8911</t>
  </si>
  <si>
    <t xml:space="preserve">Algorithmica  </t>
  </si>
  <si>
    <t>0178-4617</t>
  </si>
  <si>
    <t>1432-0541</t>
  </si>
  <si>
    <t>Amino Acids</t>
  </si>
  <si>
    <t>0939-4451</t>
  </si>
  <si>
    <t>1436-2199</t>
  </si>
  <si>
    <t xml:space="preserve">Analytical and Bioanalytical Chemistry  formerly Fresenius' Journal of ...   </t>
  </si>
  <si>
    <t>1618-2642</t>
  </si>
  <si>
    <t>1618-2650</t>
  </si>
  <si>
    <t>Anatomy and Embryology</t>
  </si>
  <si>
    <t>0340-2061</t>
  </si>
  <si>
    <t>1432-0568</t>
  </si>
  <si>
    <t>Animal Cognition</t>
  </si>
  <si>
    <t>1435-9448</t>
  </si>
  <si>
    <t>1435-9456</t>
  </si>
  <si>
    <t>Annales Henri Poincaré</t>
  </si>
  <si>
    <t>1424-0637</t>
  </si>
  <si>
    <t>1424-0661</t>
  </si>
  <si>
    <t>Annali di Matematica Pura ed Applicata</t>
  </si>
  <si>
    <t>0373-3114</t>
  </si>
  <si>
    <t>1618-1891</t>
  </si>
  <si>
    <t>Annals of Combinatorics</t>
  </si>
  <si>
    <t>0218-0006</t>
  </si>
  <si>
    <t>0219-3094</t>
  </si>
  <si>
    <t>Annals of Hematology</t>
  </si>
  <si>
    <t>0939-5555</t>
  </si>
  <si>
    <t>1432-0584</t>
  </si>
  <si>
    <t xml:space="preserve">Annals of Vascular Surgery  </t>
  </si>
  <si>
    <t>0890-5096</t>
  </si>
  <si>
    <t>1615-5947</t>
  </si>
  <si>
    <t>Applicable Algebra in Engineering, Communication and Computing</t>
  </si>
  <si>
    <t>0938-1279</t>
  </si>
  <si>
    <t>1432-0622</t>
  </si>
  <si>
    <t xml:space="preserve">Applied Mathematics and Optimization </t>
  </si>
  <si>
    <t>0095-4616</t>
  </si>
  <si>
    <t>1432-0606</t>
  </si>
  <si>
    <t>Applied Microbiology and Biotechnology</t>
  </si>
  <si>
    <t>0175-7598</t>
  </si>
  <si>
    <t>1432-0614</t>
  </si>
  <si>
    <t>Applied Physics A: Materials Science &amp; Processing</t>
  </si>
  <si>
    <t>0947-8396</t>
  </si>
  <si>
    <t>1432-0630</t>
  </si>
  <si>
    <t>Applied Physics B: Lasers and Optics</t>
  </si>
  <si>
    <t>0946-2171</t>
  </si>
  <si>
    <t>1432-0649</t>
  </si>
  <si>
    <t>Aquatic Sciences</t>
  </si>
  <si>
    <t>1015-1621</t>
  </si>
  <si>
    <t>1420-9055</t>
  </si>
  <si>
    <t>Archiv der Mathematik</t>
  </si>
  <si>
    <t>0003-889X</t>
  </si>
  <si>
    <t>0420-8938</t>
  </si>
  <si>
    <t>Archive for History of Exact Sciences</t>
  </si>
  <si>
    <t>0003-9519</t>
  </si>
  <si>
    <t>1432-0657</t>
  </si>
  <si>
    <t>Archive for Mathematical Logic</t>
  </si>
  <si>
    <t>0933-5846</t>
  </si>
  <si>
    <t>1432-0665</t>
  </si>
  <si>
    <t>Archive for Rational Mechanics and Analysis</t>
  </si>
  <si>
    <t>0003-9527</t>
  </si>
  <si>
    <t>1432-0673</t>
  </si>
  <si>
    <t>Archive of Applied Mechanics</t>
  </si>
  <si>
    <t>0939-1533</t>
  </si>
  <si>
    <t>1432-0681</t>
  </si>
  <si>
    <t>Archives of Dermatological Research</t>
  </si>
  <si>
    <t>0340-3696</t>
  </si>
  <si>
    <t>1432-069X</t>
  </si>
  <si>
    <t>Archives of Environmental Contamination and Toxicology</t>
  </si>
  <si>
    <t>0090-4341</t>
  </si>
  <si>
    <t>1432-0703</t>
  </si>
  <si>
    <t>Archives of Gynecology and Obstetrics</t>
  </si>
  <si>
    <t>0932-0067</t>
  </si>
  <si>
    <t>1432-0711</t>
  </si>
  <si>
    <t>Archives of Microbiology</t>
  </si>
  <si>
    <t>0302-8933</t>
  </si>
  <si>
    <t>1432-072X</t>
  </si>
  <si>
    <t>Archives of Orthopaedic and Trauma Surgery</t>
  </si>
  <si>
    <t>0936-8051</t>
  </si>
  <si>
    <t>1434-3916</t>
  </si>
  <si>
    <t>Archives of Toxicology</t>
  </si>
  <si>
    <t>0340-5761</t>
  </si>
  <si>
    <t>1432-0738</t>
  </si>
  <si>
    <t>Archives of Virology</t>
  </si>
  <si>
    <t>0304-8608</t>
  </si>
  <si>
    <t>1432-8798</t>
  </si>
  <si>
    <t>Archives of Women's Mental Health</t>
  </si>
  <si>
    <t>1434-1816</t>
  </si>
  <si>
    <t>1435-1102</t>
  </si>
  <si>
    <t>Arthroskopie</t>
  </si>
  <si>
    <t>0933-7946</t>
  </si>
  <si>
    <t>1434-3924</t>
  </si>
  <si>
    <t>Basic Research in Cardiology</t>
  </si>
  <si>
    <t>0300-8428</t>
  </si>
  <si>
    <t>1435-1803</t>
  </si>
  <si>
    <t>Stkp</t>
  </si>
  <si>
    <t>Behavioral Ecology and Sociobiology</t>
  </si>
  <si>
    <t>0340-5443</t>
  </si>
  <si>
    <t>1432-0762</t>
  </si>
  <si>
    <t>Biological Cybernetics</t>
  </si>
  <si>
    <t>0340-1200</t>
  </si>
  <si>
    <t>1432-0770</t>
  </si>
  <si>
    <t>Biology and Fertility of Soils</t>
  </si>
  <si>
    <t>0178-2762</t>
  </si>
  <si>
    <t>1432-0789</t>
  </si>
  <si>
    <t>Biomechanics and Modeling in Mechanobiology</t>
  </si>
  <si>
    <t>1617-7959</t>
  </si>
  <si>
    <t>1617-7940</t>
  </si>
  <si>
    <t>Bioprocess and Biosystems Engineering</t>
  </si>
  <si>
    <t>1615-7591</t>
  </si>
  <si>
    <t>1615-7605</t>
  </si>
  <si>
    <t>Bulletin of Engineering Geology and the Environment</t>
  </si>
  <si>
    <t>1435-9529</t>
  </si>
  <si>
    <t>1435-9537</t>
  </si>
  <si>
    <t>Bulletin of Environmental Contamination and Toxicology</t>
  </si>
  <si>
    <t>0007-4861</t>
  </si>
  <si>
    <t>1432-0800</t>
  </si>
  <si>
    <t>Bulletin of Volcanology</t>
  </si>
  <si>
    <t>0258-8900</t>
  </si>
  <si>
    <t>1432-0819</t>
  </si>
  <si>
    <t>Bundesgesundheitsblatt - Gesundheitsforschung - Gesundheitsschutz</t>
  </si>
  <si>
    <t>1436-9990</t>
  </si>
  <si>
    <t>1437-1588</t>
  </si>
  <si>
    <t>Calcified Tissue International</t>
  </si>
  <si>
    <t>0171-967X</t>
  </si>
  <si>
    <t>1432-0827</t>
  </si>
  <si>
    <t xml:space="preserve">CALCOLO </t>
  </si>
  <si>
    <t>0008-0624</t>
  </si>
  <si>
    <t>1126-5434</t>
  </si>
  <si>
    <t>Calculus of Variations and Partial Differential Equations</t>
  </si>
  <si>
    <t>0944-2669</t>
  </si>
  <si>
    <t>1432-0835</t>
  </si>
  <si>
    <t>Cancer Chemotherapy and Pharmacology</t>
  </si>
  <si>
    <t>0344-5704</t>
  </si>
  <si>
    <t>1432-0843</t>
  </si>
  <si>
    <t>Cancer Immunology, Immunotherapy</t>
  </si>
  <si>
    <t>0340-7004</t>
  </si>
  <si>
    <t>1432-0851</t>
  </si>
  <si>
    <t>CardioVascular and Interventional Radiology</t>
  </si>
  <si>
    <t>0174-1551</t>
  </si>
  <si>
    <t>1432-086X</t>
  </si>
  <si>
    <t>Cell and Tissue Research</t>
  </si>
  <si>
    <t>0302-766X</t>
  </si>
  <si>
    <t>1432-0878</t>
  </si>
  <si>
    <t>Cellular and Molecular Life Sciences (CMLJS)</t>
  </si>
  <si>
    <t>1420-682X</t>
  </si>
  <si>
    <t>1420-9071</t>
  </si>
  <si>
    <t>Chemooecology</t>
  </si>
  <si>
    <t>0937-7409</t>
  </si>
  <si>
    <t>1423-0445</t>
  </si>
  <si>
    <t>Child's Nervous System</t>
  </si>
  <si>
    <t>0256-7040</t>
  </si>
  <si>
    <t>1433-0350</t>
  </si>
  <si>
    <t>Chromosoma</t>
  </si>
  <si>
    <t>0009-5915</t>
  </si>
  <si>
    <t>1432-0886</t>
  </si>
  <si>
    <t>Circuits, Systems and Signal Processing</t>
  </si>
  <si>
    <t>0278-081X</t>
  </si>
  <si>
    <t>Clean Technologies and Environmental Policy</t>
  </si>
  <si>
    <t>1618-954X</t>
  </si>
  <si>
    <t>1618-9558</t>
  </si>
  <si>
    <t>Climate Dynamics</t>
  </si>
  <si>
    <t>0930-7575</t>
  </si>
  <si>
    <t>1432-0894</t>
  </si>
  <si>
    <t>Clinical and Experimental Medicine</t>
  </si>
  <si>
    <t>1591-8990</t>
  </si>
  <si>
    <t>1591-9528</t>
  </si>
  <si>
    <t>Clinical and Experimental Nephrology</t>
  </si>
  <si>
    <t>1342-1751</t>
  </si>
  <si>
    <t>1437-7799</t>
  </si>
  <si>
    <t>SV T</t>
  </si>
  <si>
    <t>Clinical Automatic Research</t>
  </si>
  <si>
    <t>0959-9851</t>
  </si>
  <si>
    <t>1619-1560</t>
  </si>
  <si>
    <t>Clinical Oral Investigations</t>
  </si>
  <si>
    <t>1432-6981</t>
  </si>
  <si>
    <t>1436-3771</t>
  </si>
  <si>
    <t>Clinical Rheumatology</t>
  </si>
  <si>
    <t>0770-3198</t>
  </si>
  <si>
    <t>1434-9949</t>
  </si>
  <si>
    <t>Cognition, Technology &amp; Work</t>
  </si>
  <si>
    <t>1435-5558</t>
  </si>
  <si>
    <t>1435-5566</t>
  </si>
  <si>
    <t>Colloid &amp; Polymer Science</t>
  </si>
  <si>
    <t>0303-402X</t>
  </si>
  <si>
    <t>1435-1536</t>
  </si>
  <si>
    <t>coloproctology</t>
  </si>
  <si>
    <t>0174-2442</t>
  </si>
  <si>
    <t>1615-6730</t>
  </si>
  <si>
    <t>U&amp;V</t>
  </si>
  <si>
    <t>Combinatorica</t>
  </si>
  <si>
    <t>0209-9683</t>
  </si>
  <si>
    <t>1439-6912</t>
  </si>
  <si>
    <t>Commentarii Mathematici Helvetici</t>
  </si>
  <si>
    <t>0010-2571</t>
  </si>
  <si>
    <t>1420-8946</t>
  </si>
  <si>
    <t>Communications in Mathematical Physics</t>
  </si>
  <si>
    <t>0010-3616</t>
  </si>
  <si>
    <t>1432-0916</t>
  </si>
  <si>
    <t>Comparative Clinical Pathology</t>
  </si>
  <si>
    <t>1618-5641</t>
  </si>
  <si>
    <t>1618-565X</t>
  </si>
  <si>
    <t>computational complexity</t>
  </si>
  <si>
    <t>1016-3328</t>
  </si>
  <si>
    <t>1420-8954</t>
  </si>
  <si>
    <t>Computational Management Science</t>
  </si>
  <si>
    <t>1619-697X</t>
  </si>
  <si>
    <t>1619-6988</t>
  </si>
  <si>
    <t>Computational Mechanics</t>
  </si>
  <si>
    <t>0178-7675</t>
  </si>
  <si>
    <t>1432-0924</t>
  </si>
  <si>
    <t>Computing</t>
  </si>
  <si>
    <t>0010-485X</t>
  </si>
  <si>
    <t>1436-5057</t>
  </si>
  <si>
    <t>Computing and Visualization in Science</t>
  </si>
  <si>
    <t>1432-9360</t>
  </si>
  <si>
    <t>1433-0369</t>
  </si>
  <si>
    <t>Constructive Approximation</t>
  </si>
  <si>
    <t>0176-4276</t>
  </si>
  <si>
    <t>1432-0940</t>
  </si>
  <si>
    <t>Continuum Mechanics and Thermodynamics</t>
  </si>
  <si>
    <t>0935-1175</t>
  </si>
  <si>
    <t>1432-0959</t>
  </si>
  <si>
    <t>Contributions to Mineralogy and Petrology</t>
  </si>
  <si>
    <t>0010-7999</t>
  </si>
  <si>
    <t>1432-0967</t>
  </si>
  <si>
    <t>Coral Reefs</t>
  </si>
  <si>
    <t>0722-4028</t>
  </si>
  <si>
    <t>1432-0975</t>
  </si>
  <si>
    <t>Current Genetics</t>
  </si>
  <si>
    <t>0172-8083</t>
  </si>
  <si>
    <t>1432-0983</t>
  </si>
  <si>
    <t>Current Microbiology</t>
  </si>
  <si>
    <t>0343-8651</t>
  </si>
  <si>
    <t>1432-0991</t>
  </si>
  <si>
    <t>Decisions in Economics and Finance</t>
  </si>
  <si>
    <t>1593-8883</t>
  </si>
  <si>
    <t>1129-6569</t>
  </si>
  <si>
    <t>Der Anaesthesist</t>
  </si>
  <si>
    <t>0003-2417</t>
  </si>
  <si>
    <t>1432-055X</t>
  </si>
  <si>
    <t>Der Chirurg</t>
  </si>
  <si>
    <t>0009-4722</t>
  </si>
  <si>
    <t>1433-0385</t>
  </si>
  <si>
    <t>Der Gynäkologe</t>
  </si>
  <si>
    <t>0017-5994</t>
  </si>
  <si>
    <t>1433-0393</t>
  </si>
  <si>
    <t xml:space="preserve">Der Hautarzt  </t>
  </si>
  <si>
    <t>0017-8470</t>
  </si>
  <si>
    <t>1432-1173</t>
  </si>
  <si>
    <t>Der Internist</t>
  </si>
  <si>
    <t>0020-9554</t>
  </si>
  <si>
    <t>1432-1289</t>
  </si>
  <si>
    <t>Der Nervenarzt</t>
  </si>
  <si>
    <t>0028-2804</t>
  </si>
  <si>
    <t>1433-0407</t>
  </si>
  <si>
    <t>Der Onkologe</t>
  </si>
  <si>
    <t>0947-8965</t>
  </si>
  <si>
    <t>1433-0415</t>
  </si>
  <si>
    <t>Der Ophthalmologe</t>
  </si>
  <si>
    <t>0941-293X</t>
  </si>
  <si>
    <t>1433-0423</t>
  </si>
  <si>
    <t>Der Orthopäde</t>
  </si>
  <si>
    <t>0085-4530</t>
  </si>
  <si>
    <t>1433-0431</t>
  </si>
  <si>
    <t>Der Pathologe</t>
  </si>
  <si>
    <t>0172-8113</t>
  </si>
  <si>
    <t>1432-1963</t>
  </si>
  <si>
    <t>Der Radiologe</t>
  </si>
  <si>
    <t>0033-832X</t>
  </si>
  <si>
    <t>1432-2102</t>
  </si>
  <si>
    <t>Der Schmerz</t>
  </si>
  <si>
    <t>0932-433X</t>
  </si>
  <si>
    <t>1432-2129</t>
  </si>
  <si>
    <t>Der Unfallchirurg</t>
  </si>
  <si>
    <t>0177-5537</t>
  </si>
  <si>
    <t>1433-044X</t>
  </si>
  <si>
    <r>
      <t xml:space="preserve">Der Urologe A  </t>
    </r>
    <r>
      <rPr>
        <sz val="8"/>
        <rFont val="Arial"/>
        <family val="2"/>
      </rPr>
      <t>merged with Der Urologe B</t>
    </r>
    <r>
      <rPr>
        <sz val="10"/>
        <rFont val="Arial"/>
        <family val="2"/>
      </rPr>
      <t xml:space="preserve">    </t>
    </r>
  </si>
  <si>
    <t>0340-2592</t>
  </si>
  <si>
    <t>1432-0563</t>
  </si>
  <si>
    <t>Development Genes and Evolution</t>
  </si>
  <si>
    <t>0949-944X</t>
  </si>
  <si>
    <t>1432-041X</t>
  </si>
  <si>
    <t>Diabetologia</t>
  </si>
  <si>
    <t>0012-186X</t>
  </si>
  <si>
    <t>1432-0428</t>
  </si>
  <si>
    <t>Discrete &amp; Computational Geometry</t>
  </si>
  <si>
    <t>0179-5376</t>
  </si>
  <si>
    <t>1432-0444</t>
  </si>
  <si>
    <t>Distributed Computing</t>
  </si>
  <si>
    <t>0178-2770</t>
  </si>
  <si>
    <t>1432-0452</t>
  </si>
  <si>
    <t>Dysphagia</t>
  </si>
  <si>
    <t>0179-051X</t>
  </si>
  <si>
    <t>1432-0460</t>
  </si>
  <si>
    <t>Economic Bulletin</t>
  </si>
  <si>
    <t>0343-754X</t>
  </si>
  <si>
    <t>1438-261X</t>
  </si>
  <si>
    <t>Economic Theory</t>
  </si>
  <si>
    <t>0938-2259</t>
  </si>
  <si>
    <t>1432-0479</t>
  </si>
  <si>
    <t>Economics of Governance</t>
  </si>
  <si>
    <t>1435-6104</t>
  </si>
  <si>
    <t>1435-8131</t>
  </si>
  <si>
    <t>Ecosystems</t>
  </si>
  <si>
    <t>1432-9840</t>
  </si>
  <si>
    <t>1435-0629</t>
  </si>
  <si>
    <t>Electrical Engineering</t>
  </si>
  <si>
    <t>0948-7921</t>
  </si>
  <si>
    <t>1432-0487</t>
  </si>
  <si>
    <t>Elemente der Mathematik</t>
  </si>
  <si>
    <t>0013-6018</t>
  </si>
  <si>
    <t>1420-8962</t>
  </si>
  <si>
    <t>Emergency Radiology</t>
  </si>
  <si>
    <t>1070-3004</t>
  </si>
  <si>
    <t>1438-1435</t>
  </si>
  <si>
    <t>Empirical Economics</t>
  </si>
  <si>
    <t>0377-7332</t>
  </si>
  <si>
    <t>1435-8921</t>
  </si>
  <si>
    <t>PHYS</t>
  </si>
  <si>
    <t>Engineering with Computers</t>
  </si>
  <si>
    <t>0177-0667</t>
  </si>
  <si>
    <t>1439-5663</t>
  </si>
  <si>
    <t>Environmental Chemistry Letters</t>
  </si>
  <si>
    <t>1610-3653</t>
  </si>
  <si>
    <t>1610-3661</t>
  </si>
  <si>
    <t>Environmental Geology</t>
  </si>
  <si>
    <t>0943-0105</t>
  </si>
  <si>
    <t>1432-0495</t>
  </si>
  <si>
    <t>Environmental Management</t>
  </si>
  <si>
    <t>0364-152X</t>
  </si>
  <si>
    <t>1432-1009</t>
  </si>
  <si>
    <t>Ethik in der Medizin</t>
  </si>
  <si>
    <t>0935-7335</t>
  </si>
  <si>
    <t>1437-1618</t>
  </si>
  <si>
    <t>European Archives of Oto-Rhino-Laryngology</t>
  </si>
  <si>
    <t>0937-4477</t>
  </si>
  <si>
    <t>1434-4726</t>
  </si>
  <si>
    <t>European Archives of Psychiatry and Clinical Neuroscience</t>
  </si>
  <si>
    <t>0940-1334</t>
  </si>
  <si>
    <t>1433-8491</t>
  </si>
  <si>
    <t>European Biophysics Journal</t>
  </si>
  <si>
    <t>0175-7571</t>
  </si>
  <si>
    <t>1432-1017</t>
  </si>
  <si>
    <t>European Child &amp; Adolescent Psychiatry</t>
  </si>
  <si>
    <t>1018-8827</t>
  </si>
  <si>
    <t>1435-165X</t>
  </si>
  <si>
    <t xml:space="preserve">European Food Research and Technology A /Zeitschrift für Lebensmittel-Untersuchung und -Forschung A                                                                  </t>
  </si>
  <si>
    <t>1438-2377</t>
  </si>
  <si>
    <t>1438-2385</t>
  </si>
  <si>
    <t>European Journal of Applied Physiology</t>
  </si>
  <si>
    <t>1439-6327</t>
  </si>
  <si>
    <t>European Journal of Clinical Microbiology and Infectious Diseases</t>
  </si>
  <si>
    <t>0934-9723</t>
  </si>
  <si>
    <t>1435-4373</t>
  </si>
  <si>
    <t>European Journal of Clinical Pharmacology</t>
  </si>
  <si>
    <t>0031-6970</t>
  </si>
  <si>
    <t>1432-1041</t>
  </si>
  <si>
    <t xml:space="preserve">European Journal of Nuclear Medicine and Molecular Imaging, formerly: European Journal of Nuclear Medicine </t>
  </si>
  <si>
    <t>1619-7070</t>
  </si>
  <si>
    <t>1619-7089</t>
  </si>
  <si>
    <t>European Journal of Nutrition</t>
  </si>
  <si>
    <t>1436-6207</t>
  </si>
  <si>
    <t>1436-6215</t>
  </si>
  <si>
    <t xml:space="preserve">European Journal of Orthopaedic Surgery &amp; Traumatology </t>
  </si>
  <si>
    <t>0948-4817</t>
  </si>
  <si>
    <t>1432-1068</t>
  </si>
  <si>
    <t>SV F</t>
  </si>
  <si>
    <t>incl.</t>
  </si>
  <si>
    <t>European Journal of Pediatrics</t>
  </si>
  <si>
    <t>0340-6199</t>
  </si>
  <si>
    <t>1432-1076</t>
  </si>
  <si>
    <t>European Journal of Plastic Surgery</t>
  </si>
  <si>
    <t>0930-343X</t>
  </si>
  <si>
    <t>1435-0130</t>
  </si>
  <si>
    <t>European Journal of Trauma</t>
  </si>
  <si>
    <t>1439-0590</t>
  </si>
  <si>
    <t>1615-3146</t>
  </si>
  <si>
    <t>European Radiology</t>
  </si>
  <si>
    <t>0938-7994</t>
  </si>
  <si>
    <t>1432-1084</t>
  </si>
  <si>
    <t>European Spine Journal</t>
  </si>
  <si>
    <t>0940-6719</t>
  </si>
  <si>
    <t>1432-0932</t>
  </si>
  <si>
    <t>Experimental Brain Research</t>
  </si>
  <si>
    <t>0014-4819</t>
  </si>
  <si>
    <t>1432-1106</t>
  </si>
  <si>
    <t xml:space="preserve">Experiments in Fluids  </t>
  </si>
  <si>
    <t>0723-4864</t>
  </si>
  <si>
    <t>1432-1114</t>
  </si>
  <si>
    <t xml:space="preserve">Extremophiles  </t>
  </si>
  <si>
    <t>1431-0651</t>
  </si>
  <si>
    <t>1433-4909</t>
  </si>
  <si>
    <t>Few-Body Systems</t>
  </si>
  <si>
    <t>0177-7963</t>
  </si>
  <si>
    <t>1432-5411</t>
  </si>
  <si>
    <t>Finance and Stochastics</t>
  </si>
  <si>
    <t>0949-2984</t>
  </si>
  <si>
    <t>1432-1122</t>
  </si>
  <si>
    <t xml:space="preserve">Formal Aspects of Computing </t>
  </si>
  <si>
    <t>0934-5043</t>
  </si>
  <si>
    <t>1433-299X</t>
  </si>
  <si>
    <t>Forschung im Ingenieurwesen</t>
  </si>
  <si>
    <t>0015-7899</t>
  </si>
  <si>
    <t>1432-0860</t>
  </si>
  <si>
    <t xml:space="preserve">Forum der Psychoanalyse </t>
  </si>
  <si>
    <t>0178-7667</t>
  </si>
  <si>
    <t>1437-0751</t>
  </si>
  <si>
    <t>Foundations of Computational Mathematics</t>
  </si>
  <si>
    <t>1615-3375</t>
  </si>
  <si>
    <t>1615-3383</t>
  </si>
  <si>
    <t>Functional &amp; Integrative Genomics</t>
  </si>
  <si>
    <t>1438-793X</t>
  </si>
  <si>
    <t>1438-7948</t>
  </si>
  <si>
    <t>Fuß &amp; Sprunggelenk</t>
  </si>
  <si>
    <t>1619-9987</t>
  </si>
  <si>
    <t>1619-9995</t>
  </si>
  <si>
    <t>G.O. Geowissenschaften Online</t>
  </si>
  <si>
    <t>1435-8956</t>
  </si>
  <si>
    <t>Gastric Cancer</t>
  </si>
  <si>
    <t>1436-3291</t>
  </si>
  <si>
    <t>1436-3305</t>
  </si>
  <si>
    <t xml:space="preserve">Gefässchirurgie  </t>
  </si>
  <si>
    <t>0948-7034</t>
  </si>
  <si>
    <t>1434-3932</t>
  </si>
  <si>
    <t xml:space="preserve">Geo-Marine Letters  </t>
  </si>
  <si>
    <t>0276-0460</t>
  </si>
  <si>
    <t>1432-1157</t>
  </si>
  <si>
    <t>Geometric and Functional Analysis (GAFA)</t>
  </si>
  <si>
    <t>1016-443X</t>
  </si>
  <si>
    <t>1420-8970</t>
  </si>
  <si>
    <t>GPS Solutions</t>
  </si>
  <si>
    <t>1080-5370</t>
  </si>
  <si>
    <t>1521-1886</t>
  </si>
  <si>
    <t>Graefe's Archive for Clinical and Experimental Ophthalmology</t>
  </si>
  <si>
    <t>0721-832X</t>
  </si>
  <si>
    <t>1435-702X</t>
  </si>
  <si>
    <t>Granular Matter</t>
  </si>
  <si>
    <t>1434-5021</t>
  </si>
  <si>
    <t>1434-7636</t>
  </si>
  <si>
    <t>Graphs and Combinatorics</t>
  </si>
  <si>
    <t>0911-0119</t>
  </si>
  <si>
    <t>1435-5914</t>
  </si>
  <si>
    <t>Grundwasser</t>
  </si>
  <si>
    <t>1430-483X</t>
  </si>
  <si>
    <t>1432-1165</t>
  </si>
  <si>
    <t>Gynäkologische Endokrinologie</t>
  </si>
  <si>
    <t>1610-2894</t>
  </si>
  <si>
    <t>1610-2908</t>
  </si>
  <si>
    <t>Heart and Vessels</t>
  </si>
  <si>
    <t>0910-8327</t>
  </si>
  <si>
    <t>1615-2573</t>
  </si>
  <si>
    <t xml:space="preserve">Heat and Mass Transfer </t>
  </si>
  <si>
    <t>0947-7411</t>
  </si>
  <si>
    <t>1432-1181</t>
  </si>
  <si>
    <t>Helgoland Marine Research</t>
  </si>
  <si>
    <t>1438-387X</t>
  </si>
  <si>
    <t>1438-3888</t>
  </si>
  <si>
    <t xml:space="preserve">Hernia   </t>
  </si>
  <si>
    <t>1265-4906</t>
  </si>
  <si>
    <t>1248-9204</t>
  </si>
  <si>
    <t>Herz</t>
  </si>
  <si>
    <t>0340-9937</t>
  </si>
  <si>
    <t>1615-6692</t>
  </si>
  <si>
    <r>
      <t>Herzschrittmachertherapie &amp; Elektrophysiologie</t>
    </r>
    <r>
      <rPr>
        <vertAlign val="superscript"/>
        <sz val="10"/>
        <rFont val="Arial"/>
        <family val="2"/>
      </rPr>
      <t>1</t>
    </r>
  </si>
  <si>
    <t>0938-7412</t>
  </si>
  <si>
    <t>1435-1544</t>
  </si>
  <si>
    <t>Histochemistry and Cell Biology</t>
  </si>
  <si>
    <t>0948-6143</t>
  </si>
  <si>
    <t>1432-119X</t>
  </si>
  <si>
    <t xml:space="preserve">HNO  </t>
  </si>
  <si>
    <t>0017-6192</t>
  </si>
  <si>
    <t>1433-0458</t>
  </si>
  <si>
    <t xml:space="preserve">Holz als Roh- und Werkstoff </t>
  </si>
  <si>
    <t>0018-3768</t>
  </si>
  <si>
    <t>1436-736X</t>
  </si>
  <si>
    <t>Human Genetics</t>
  </si>
  <si>
    <t>0340-6717</t>
  </si>
  <si>
    <t>1432-1203</t>
  </si>
  <si>
    <t>Hydrogeology Journal</t>
  </si>
  <si>
    <t>1431-2174</t>
  </si>
  <si>
    <t>1435-0157</t>
  </si>
  <si>
    <t>Ichthyological Research</t>
  </si>
  <si>
    <t>1341-8998</t>
  </si>
  <si>
    <t>1616-3915</t>
  </si>
  <si>
    <t>Immunogenetics</t>
  </si>
  <si>
    <t>0093-7711</t>
  </si>
  <si>
    <t>1432-1211</t>
  </si>
  <si>
    <t>Infection</t>
  </si>
  <si>
    <t>0300-8126</t>
  </si>
  <si>
    <t>1439-0973</t>
  </si>
  <si>
    <t>Inflammation Research</t>
  </si>
  <si>
    <t>1023-3830</t>
  </si>
  <si>
    <t>1420-908X</t>
  </si>
  <si>
    <t>Informatik - Forschung und Entwicklung</t>
  </si>
  <si>
    <t>0178-3564</t>
  </si>
  <si>
    <t>0949-2925</t>
  </si>
  <si>
    <t>Informatik-Spektrum</t>
  </si>
  <si>
    <t>0170-6012</t>
  </si>
  <si>
    <t>1432-122X</t>
  </si>
  <si>
    <t>Insectes Sociaux</t>
  </si>
  <si>
    <t>0020-1812</t>
  </si>
  <si>
    <t>1420-9098</t>
  </si>
  <si>
    <t>Intensive Care Medicine</t>
  </si>
  <si>
    <t>0342-4642</t>
  </si>
  <si>
    <t>1432-1238</t>
  </si>
  <si>
    <t>Intensivmedizin und Notfallmedizin</t>
  </si>
  <si>
    <t>0175-3851</t>
  </si>
  <si>
    <t>1435-1420</t>
  </si>
  <si>
    <t>International Archives of Occupational and Environmental Health</t>
  </si>
  <si>
    <t>0340-0131</t>
  </si>
  <si>
    <t>1432-1246</t>
  </si>
  <si>
    <t>International Journal of Asian Management</t>
  </si>
  <si>
    <t>1618-7504</t>
  </si>
  <si>
    <t>1618-7512</t>
  </si>
  <si>
    <t>International Journal of Biometeorology</t>
  </si>
  <si>
    <t>0020-7128</t>
  </si>
  <si>
    <t>1432-1254</t>
  </si>
  <si>
    <t>International Journal of Clinical Oncology</t>
  </si>
  <si>
    <t>1341-9625</t>
  </si>
  <si>
    <t>1437-7772</t>
  </si>
  <si>
    <t>International Journal of Colorectal Disease</t>
  </si>
  <si>
    <t>0179-1958</t>
  </si>
  <si>
    <t>1432-1262</t>
  </si>
  <si>
    <t>International Journal of Earth Sciences</t>
  </si>
  <si>
    <t>1437-3254</t>
  </si>
  <si>
    <t>1437-3262</t>
  </si>
  <si>
    <t>International Journal of Game Theory</t>
  </si>
  <si>
    <t>0020-7276</t>
  </si>
  <si>
    <t>1432-1270</t>
  </si>
  <si>
    <t>International Journal of Information Security (IJIS)</t>
  </si>
  <si>
    <t>1615-5262</t>
  </si>
  <si>
    <t>1615-5270</t>
  </si>
  <si>
    <t>International Journal of Legal Medicine</t>
  </si>
  <si>
    <t>0937-9827</t>
  </si>
  <si>
    <t>1437-1596</t>
  </si>
  <si>
    <t>International Journal on Digital Libraries</t>
  </si>
  <si>
    <t>1432-5012</t>
  </si>
  <si>
    <t>1432-1300</t>
  </si>
  <si>
    <t>International Journal on Document Analysis and Recognition (IJDAR)</t>
  </si>
  <si>
    <t>1433-2833</t>
  </si>
  <si>
    <t>1433-2825</t>
  </si>
  <si>
    <t>International Journal on Software Tools for Technology Transfer</t>
  </si>
  <si>
    <t>1433-2779</t>
  </si>
  <si>
    <t>1433-2787</t>
  </si>
  <si>
    <t>International Microbiology</t>
  </si>
  <si>
    <t>1139-6709</t>
  </si>
  <si>
    <t>1618-1905</t>
  </si>
  <si>
    <t>International Orthopaedics</t>
  </si>
  <si>
    <t>0341-2695</t>
  </si>
  <si>
    <t>1432-5195</t>
  </si>
  <si>
    <r>
      <t xml:space="preserve">International Urogynecology Journal </t>
    </r>
    <r>
      <rPr>
        <sz val="8"/>
        <rFont val="Arial"/>
        <family val="2"/>
      </rPr>
      <t>including Pelvic Floor Dysfunction</t>
    </r>
  </si>
  <si>
    <t>0937-3462</t>
  </si>
  <si>
    <t>1433-3023</t>
  </si>
  <si>
    <t>Inventiones mathematicae</t>
  </si>
  <si>
    <t>0020-9910</t>
  </si>
  <si>
    <t>1432-1297</t>
  </si>
  <si>
    <t>Invertebrate Neuroscience</t>
  </si>
  <si>
    <t>1354-2516</t>
  </si>
  <si>
    <t>1439-1104</t>
  </si>
  <si>
    <t>Irrigation Science</t>
  </si>
  <si>
    <t>0342-7188</t>
  </si>
  <si>
    <t>1432-1319</t>
  </si>
  <si>
    <t>JARO - Journal of the Association for Research in Otolaryngology</t>
  </si>
  <si>
    <t>1525-3961</t>
  </si>
  <si>
    <t>1438-7573</t>
  </si>
  <si>
    <t>JBIC Journal of Biological Inorganic Chemistry</t>
  </si>
  <si>
    <t>0949-8257</t>
  </si>
  <si>
    <t>1432-1327</t>
  </si>
  <si>
    <t>Journal of Anesthesia</t>
  </si>
  <si>
    <t>0913-8668</t>
  </si>
  <si>
    <t>1438-8359</t>
  </si>
  <si>
    <t>Journal of Artificial Organs</t>
  </si>
  <si>
    <t>1434-7229</t>
  </si>
  <si>
    <t>1619-0904</t>
  </si>
  <si>
    <t>Journal of Bone and Mineral Metabolism</t>
  </si>
  <si>
    <t>0914-8779</t>
  </si>
  <si>
    <t>1435-5604</t>
  </si>
  <si>
    <t>Journal of Cancer Research and Clinical Oncology</t>
  </si>
  <si>
    <t>0171-5216</t>
  </si>
  <si>
    <t>1432-1335</t>
  </si>
  <si>
    <t>Journal of Classification</t>
  </si>
  <si>
    <t>0176-4268</t>
  </si>
  <si>
    <t>1432-1343</t>
  </si>
  <si>
    <t>Journal of Comparative Physiology A:Sensory, Neural, and Behavioral Physiology</t>
  </si>
  <si>
    <t>0340-7594</t>
  </si>
  <si>
    <t>1432-1351</t>
  </si>
  <si>
    <t>Journal of Comparative Physiology B: Biochemical, Systemic, and Environmental Physiology</t>
  </si>
  <si>
    <t>0174-1578</t>
  </si>
  <si>
    <t>1432-136X</t>
  </si>
  <si>
    <t>Journal of Cryptology</t>
  </si>
  <si>
    <t>0933-2790</t>
  </si>
  <si>
    <t>1432-1378</t>
  </si>
  <si>
    <t>Journal of Cutaneous Medicine and Surgery</t>
  </si>
  <si>
    <t>1203-4754</t>
  </si>
  <si>
    <t>1615-7109</t>
  </si>
  <si>
    <t>Journal of Digital Imaging</t>
  </si>
  <si>
    <t>0897-1889</t>
  </si>
  <si>
    <t>1618-727X</t>
  </si>
  <si>
    <t>Journal of Economics</t>
  </si>
  <si>
    <t>0931-8658</t>
  </si>
  <si>
    <t>1617-7134</t>
  </si>
  <si>
    <t>Journal of Ethology</t>
  </si>
  <si>
    <t>0289-0771</t>
  </si>
  <si>
    <t>1439-5444</t>
  </si>
  <si>
    <t>Journal of Evolution Equations</t>
  </si>
  <si>
    <t>1424-3199</t>
  </si>
  <si>
    <t>1424-3202</t>
  </si>
  <si>
    <t>Journal of Evolutionary Economics</t>
  </si>
  <si>
    <t>0936-9937</t>
  </si>
  <si>
    <t>1432-1386</t>
  </si>
  <si>
    <t>Journal of Forest Research</t>
  </si>
  <si>
    <t>1341-6979</t>
  </si>
  <si>
    <t>1610-7403</t>
  </si>
  <si>
    <t>Journal of Fourier Analysis and Applications</t>
  </si>
  <si>
    <t>1069-5869</t>
  </si>
  <si>
    <t>Journal of Gastroenterology</t>
  </si>
  <si>
    <t>0944-1174</t>
  </si>
  <si>
    <t>1435-5922</t>
  </si>
  <si>
    <t>Journal of General Plant Pathology</t>
  </si>
  <si>
    <t>1345-2630</t>
  </si>
  <si>
    <t>1610-739X</t>
  </si>
  <si>
    <t>Journal of Geodesy</t>
  </si>
  <si>
    <t>0949-7714</t>
  </si>
  <si>
    <t>1432-1394</t>
  </si>
  <si>
    <t xml:space="preserve">Journal of Geographical Systems </t>
  </si>
  <si>
    <t>1435-5930</t>
  </si>
  <si>
    <t>1435-5949</t>
  </si>
  <si>
    <t>Journal of Geometry</t>
  </si>
  <si>
    <t>0047-2468</t>
  </si>
  <si>
    <t>Journal of Hepato-Biliary-Pancreatic Surgery</t>
  </si>
  <si>
    <t>0944-1166</t>
  </si>
  <si>
    <t>1436-0691</t>
  </si>
  <si>
    <t>Journal of Human Genetics</t>
  </si>
  <si>
    <t>1434-5161</t>
  </si>
  <si>
    <t>1435-232X</t>
  </si>
  <si>
    <t>Journal of Industrial Microbiology and Biotechnology</t>
  </si>
  <si>
    <t>1367-5435</t>
  </si>
  <si>
    <t>1476-5535</t>
  </si>
  <si>
    <t>Journal of Infection and Chemotherapy</t>
  </si>
  <si>
    <t>1341-321X</t>
  </si>
  <si>
    <t>1437-7780</t>
  </si>
  <si>
    <t>Journal of Marine Science and Technology</t>
  </si>
  <si>
    <t>0948-4280</t>
  </si>
  <si>
    <t>1437-8213</t>
  </si>
  <si>
    <t>Journal of Mathematical Biology</t>
  </si>
  <si>
    <t>0303-6812</t>
  </si>
  <si>
    <t>1432-1416</t>
  </si>
  <si>
    <t>Journal of Mathematical Fluid Mechanics</t>
  </si>
  <si>
    <t>1422-6928</t>
  </si>
  <si>
    <t>1422-6952</t>
  </si>
  <si>
    <t xml:space="preserve">Journal of Molecular Evolution </t>
  </si>
  <si>
    <t>0022-2844</t>
  </si>
  <si>
    <t>1432-1432</t>
  </si>
  <si>
    <t>Journal of Molecular Medicine</t>
  </si>
  <si>
    <t>0946-2716</t>
  </si>
  <si>
    <t>1432-1440</t>
  </si>
  <si>
    <t>Journal of Molecular Modeling</t>
  </si>
  <si>
    <t>1610-2940</t>
  </si>
  <si>
    <t>0948-5023</t>
  </si>
  <si>
    <t>Journal of Neural Transmission</t>
  </si>
  <si>
    <t>0300-9564</t>
  </si>
  <si>
    <t>1435-1463</t>
  </si>
  <si>
    <t>Journal of Neurology</t>
  </si>
  <si>
    <t>0340-5354</t>
  </si>
  <si>
    <t>1432-1459</t>
  </si>
  <si>
    <t>Journal of Nonlinear Science</t>
  </si>
  <si>
    <t>0938-8974</t>
  </si>
  <si>
    <t>1432-1467</t>
  </si>
  <si>
    <t>Journal of Orofacial Orthopedics</t>
  </si>
  <si>
    <t>1434-5293</t>
  </si>
  <si>
    <t>1615-6714</t>
  </si>
  <si>
    <t>Journal of Orthopaedic Science</t>
  </si>
  <si>
    <t>0949-2658</t>
  </si>
  <si>
    <t>1436-2023</t>
  </si>
  <si>
    <t>Journal of Orthopaedics and Traumatology</t>
  </si>
  <si>
    <t>1590-9921</t>
  </si>
  <si>
    <t>1590-9999</t>
  </si>
  <si>
    <t>Journal of Plant Growth Regulation</t>
  </si>
  <si>
    <t>0721-7595</t>
  </si>
  <si>
    <t>1435-8107</t>
  </si>
  <si>
    <t>Journal of Plant Research</t>
  </si>
  <si>
    <t>0918-9440</t>
  </si>
  <si>
    <t>1618-0860</t>
  </si>
  <si>
    <t>Journal of Population Economics</t>
  </si>
  <si>
    <t>0933-1433</t>
  </si>
  <si>
    <t>1432-1475</t>
  </si>
  <si>
    <t xml:space="preserve">Journal of Solid State Electrochemistry  </t>
  </si>
  <si>
    <t>1432-8488</t>
  </si>
  <si>
    <t>1433-0768</t>
  </si>
  <si>
    <t>Journal of the European Mathematical Society</t>
  </si>
  <si>
    <t>1435-9855</t>
  </si>
  <si>
    <t>1435-9863</t>
  </si>
  <si>
    <t>Klinische Neuroradiologie</t>
  </si>
  <si>
    <t>0939-7116</t>
  </si>
  <si>
    <t>1615-6706</t>
  </si>
  <si>
    <t>Knee Surgery, Sports Traumatology, Arthroscopy</t>
  </si>
  <si>
    <t>0942-2056</t>
  </si>
  <si>
    <t>1433-7347</t>
  </si>
  <si>
    <t>Knowledge and Information Systems</t>
  </si>
  <si>
    <t>0219-1377</t>
  </si>
  <si>
    <t>0219-3116</t>
  </si>
  <si>
    <t>Langenbecks Archives of Surgery</t>
  </si>
  <si>
    <t>1435-2443</t>
  </si>
  <si>
    <t>1435-2451</t>
  </si>
  <si>
    <t>Lasers in Medical Science</t>
  </si>
  <si>
    <t>0268-8921</t>
  </si>
  <si>
    <t>1434-9957</t>
  </si>
  <si>
    <t>Limnology</t>
  </si>
  <si>
    <t>1439-8621</t>
  </si>
  <si>
    <t>1439-863X</t>
  </si>
  <si>
    <t xml:space="preserve">Lung    </t>
  </si>
  <si>
    <t>0341-2040</t>
  </si>
  <si>
    <t>1432-1750</t>
  </si>
  <si>
    <t xml:space="preserve">Machine Vision and Applications    </t>
  </si>
  <si>
    <t>0932-8092</t>
  </si>
  <si>
    <t>1432-1769</t>
  </si>
  <si>
    <t xml:space="preserve">Mammalian Genome    </t>
  </si>
  <si>
    <t>0938-8990</t>
  </si>
  <si>
    <t>1432-1777</t>
  </si>
  <si>
    <t>Manuelle Medizin</t>
  </si>
  <si>
    <t>0025-2514</t>
  </si>
  <si>
    <t>1433-0466</t>
  </si>
  <si>
    <t>manuscripta mathematica</t>
  </si>
  <si>
    <t>0025-2611</t>
  </si>
  <si>
    <t>1432-1785</t>
  </si>
  <si>
    <t xml:space="preserve">Marine Biology   </t>
  </si>
  <si>
    <t>0025-3162</t>
  </si>
  <si>
    <t>1432-1793</t>
  </si>
  <si>
    <t>Marine Biotechnology</t>
  </si>
  <si>
    <t>1436-2228</t>
  </si>
  <si>
    <t>1436-2236</t>
  </si>
  <si>
    <t>Materials Research Innovations</t>
  </si>
  <si>
    <t>1432-8917</t>
  </si>
  <si>
    <t>1433-075X</t>
  </si>
  <si>
    <t>Mathematical Methods of Operations Research</t>
  </si>
  <si>
    <t>1432-2994</t>
  </si>
  <si>
    <t>1432-5217</t>
  </si>
  <si>
    <t>Mathematical Programming</t>
  </si>
  <si>
    <t>0025-5610</t>
  </si>
  <si>
    <t>1436-4646</t>
  </si>
  <si>
    <t>Mathematische Annalen</t>
  </si>
  <si>
    <t>0025-5831</t>
  </si>
  <si>
    <t>1432-1807</t>
  </si>
  <si>
    <t>Mathematische Zeitschrift</t>
  </si>
  <si>
    <t>0025-5874</t>
  </si>
  <si>
    <t>1432-1823</t>
  </si>
  <si>
    <t>MCSS Mathematics of Control, Signals and Systems</t>
  </si>
  <si>
    <t>0932-4194</t>
  </si>
  <si>
    <t>1435-568X</t>
  </si>
  <si>
    <t>Medical Electron Microscopy</t>
  </si>
  <si>
    <t>0918-4287</t>
  </si>
  <si>
    <t>1437-773X</t>
  </si>
  <si>
    <t>Medical Microbiology and Immunology</t>
  </si>
  <si>
    <t>0300-8584</t>
  </si>
  <si>
    <t>1432-1831</t>
  </si>
  <si>
    <t>Medizinische Klinik</t>
  </si>
  <si>
    <t>0723-5003</t>
  </si>
  <si>
    <t>1615-6722</t>
  </si>
  <si>
    <t>MedR - Medizinrecht</t>
  </si>
  <si>
    <t>0723-8886</t>
  </si>
  <si>
    <t>1433-8629</t>
  </si>
  <si>
    <t>Meteorology and Atmospheric Physics</t>
  </si>
  <si>
    <t>0177-7971</t>
  </si>
  <si>
    <t>1436-5065</t>
  </si>
  <si>
    <t xml:space="preserve">Metrika      </t>
  </si>
  <si>
    <t>0026-1335</t>
  </si>
  <si>
    <t>1435-926X</t>
  </si>
  <si>
    <t>MGG Molecular Genetics and Genomics</t>
  </si>
  <si>
    <t>1617-4615</t>
  </si>
  <si>
    <t>1617-4623</t>
  </si>
  <si>
    <t xml:space="preserve">Microbial Ecology  </t>
  </si>
  <si>
    <t>0095-3628</t>
  </si>
  <si>
    <t>1432-184X</t>
  </si>
  <si>
    <t>Microchimica Acta (old Title: Mikrochimica Acta)</t>
  </si>
  <si>
    <t>0026-3672</t>
  </si>
  <si>
    <t>1436-5073</t>
  </si>
  <si>
    <t>Microsystem Technologies</t>
  </si>
  <si>
    <t>0946-7076</t>
  </si>
  <si>
    <t>1432-1858</t>
  </si>
  <si>
    <t>Milan Journal of Mathematics and Physics</t>
  </si>
  <si>
    <t>1424-9286</t>
  </si>
  <si>
    <t>1424-9294</t>
  </si>
  <si>
    <t>Mine Water and the Environment</t>
  </si>
  <si>
    <t>1025-9112</t>
  </si>
  <si>
    <t>1616-1068</t>
  </si>
  <si>
    <t xml:space="preserve">Mineralium Deposita    </t>
  </si>
  <si>
    <t>0026-4598</t>
  </si>
  <si>
    <t>1432-1866</t>
  </si>
  <si>
    <t>Mineralogy and Petrology</t>
  </si>
  <si>
    <t>0930-0708</t>
  </si>
  <si>
    <t>1438-1168</t>
  </si>
  <si>
    <t>Modern Rheumatology</t>
  </si>
  <si>
    <t>1439-7595</t>
  </si>
  <si>
    <t>1439-7609</t>
  </si>
  <si>
    <t>Monatshefte für Chemie /  Chemical Monthly</t>
  </si>
  <si>
    <t>0026-9247</t>
  </si>
  <si>
    <t>1434-4475</t>
  </si>
  <si>
    <t>Monatshefte für Mathematik</t>
  </si>
  <si>
    <t>0026-9255</t>
  </si>
  <si>
    <t>1436-5081</t>
  </si>
  <si>
    <t>Monatsschrift Kinderheilkunde</t>
  </si>
  <si>
    <t>0026-9298</t>
  </si>
  <si>
    <t>1433-0474</t>
  </si>
  <si>
    <t>Multimedia Systems</t>
  </si>
  <si>
    <t>0942-4962</t>
  </si>
  <si>
    <t>1432-1882</t>
  </si>
  <si>
    <t>Mund-, Kiefer- und Gesichtschirurgie</t>
  </si>
  <si>
    <t>1432-9417</t>
  </si>
  <si>
    <t>1434-3940</t>
  </si>
  <si>
    <t>Mycorrhiza</t>
  </si>
  <si>
    <t>0940-6360</t>
  </si>
  <si>
    <t>1432-1890</t>
  </si>
  <si>
    <t>Mycoscience</t>
  </si>
  <si>
    <t>1340-3540</t>
  </si>
  <si>
    <t>1618-2545</t>
  </si>
  <si>
    <t>Naturwissenschaften</t>
  </si>
  <si>
    <t>0028-1042</t>
  </si>
  <si>
    <t>1432-1904</t>
  </si>
  <si>
    <t>Naunyn-Schmiedeberg's Archives of Pharmacology</t>
  </si>
  <si>
    <t>0028-1298</t>
  </si>
  <si>
    <t>1432-1912</t>
  </si>
  <si>
    <t>Neural Computing &amp; Applications</t>
  </si>
  <si>
    <t>0941-0643</t>
  </si>
  <si>
    <t>1433-3058</t>
  </si>
  <si>
    <t>Neurogenetics</t>
  </si>
  <si>
    <t>1364-6745</t>
  </si>
  <si>
    <t>1264-6753</t>
  </si>
  <si>
    <t>Neurological Sciences</t>
  </si>
  <si>
    <t>1590-1874</t>
  </si>
  <si>
    <t>1590-3278</t>
  </si>
  <si>
    <t xml:space="preserve">Neuroradiology     </t>
  </si>
  <si>
    <t>0028-3940</t>
  </si>
  <si>
    <t>1432-1920</t>
  </si>
  <si>
    <t>Neurosurgical Review</t>
  </si>
  <si>
    <t>0344-5607</t>
  </si>
  <si>
    <t>1437-2320</t>
  </si>
  <si>
    <t>Nonlinear Differential Equations and Applications</t>
  </si>
  <si>
    <t>1021-9722</t>
  </si>
  <si>
    <t>1420-9004</t>
  </si>
  <si>
    <t xml:space="preserve">Nonlinear Science Today    </t>
  </si>
  <si>
    <t>0938-9008</t>
  </si>
  <si>
    <t>Notfall &amp; Rettungsmedizin</t>
  </si>
  <si>
    <t>1434-6222</t>
  </si>
  <si>
    <t>1436-0578</t>
  </si>
  <si>
    <t>Numerische Mathematik</t>
  </si>
  <si>
    <t>0029-599X</t>
  </si>
  <si>
    <t>0945-3245</t>
  </si>
  <si>
    <t>Ocean Dynamics</t>
  </si>
  <si>
    <t>1616-7341</t>
  </si>
  <si>
    <t>1616-7228</t>
  </si>
  <si>
    <t>Odontology</t>
  </si>
  <si>
    <t>1618-1247</t>
  </si>
  <si>
    <t>1618-1255</t>
  </si>
  <si>
    <t>Oecologia</t>
  </si>
  <si>
    <t>0029-8549</t>
  </si>
  <si>
    <t>1432-1939</t>
  </si>
  <si>
    <t>Operative Orthopädie und Traumatologie</t>
  </si>
  <si>
    <t>0934-6694</t>
  </si>
  <si>
    <t>1439-0981</t>
  </si>
  <si>
    <t>OR Spectrum</t>
  </si>
  <si>
    <t>0171-6468</t>
  </si>
  <si>
    <t>1436-6304</t>
  </si>
  <si>
    <t>Osteoporosis International</t>
  </si>
  <si>
    <t>0937-941X</t>
  </si>
  <si>
    <t>1433-2965</t>
  </si>
  <si>
    <t>Papers in Regional Science</t>
  </si>
  <si>
    <t>1056-8190</t>
  </si>
  <si>
    <t>1435-5957</t>
  </si>
  <si>
    <t>Parasitology Research</t>
  </si>
  <si>
    <t>0932-0113</t>
  </si>
  <si>
    <t>1432-1955</t>
  </si>
  <si>
    <t>Pathologica</t>
  </si>
  <si>
    <t>0031-2983</t>
  </si>
  <si>
    <t>1591-951X</t>
  </si>
  <si>
    <t>Pattern Analysis and Applications (PAA)</t>
  </si>
  <si>
    <t>1433-7541</t>
  </si>
  <si>
    <t>1433-755X</t>
  </si>
  <si>
    <t>Pediatric and Developmental Pathology</t>
  </si>
  <si>
    <t>1093-5266</t>
  </si>
  <si>
    <t>1615-5742</t>
  </si>
  <si>
    <t>Pediatric Cardiology</t>
  </si>
  <si>
    <t>0172-0643</t>
  </si>
  <si>
    <t>1432-1971</t>
  </si>
  <si>
    <t>Pediatric Nephrology</t>
  </si>
  <si>
    <t>0931-041X</t>
  </si>
  <si>
    <t>1432-198X</t>
  </si>
  <si>
    <t>Pediatric Radiology</t>
  </si>
  <si>
    <t>0301-0449</t>
  </si>
  <si>
    <t>1432-1998</t>
  </si>
  <si>
    <t>Pediatric Surgery International</t>
  </si>
  <si>
    <t>0179-0358</t>
  </si>
  <si>
    <t>1437-9813</t>
  </si>
  <si>
    <t>Personal and Ubiquitous Computing</t>
  </si>
  <si>
    <t>1617-4909</t>
  </si>
  <si>
    <t>1617-4917</t>
  </si>
  <si>
    <t xml:space="preserve">Pflügers Archiv   </t>
  </si>
  <si>
    <t>0031-6768</t>
  </si>
  <si>
    <t>1432-2013</t>
  </si>
  <si>
    <t>Physics and Chemistry of Minerals</t>
  </si>
  <si>
    <t>0342-1791</t>
  </si>
  <si>
    <t>1432-2021</t>
  </si>
  <si>
    <t>Physics in Perspective</t>
  </si>
  <si>
    <t>1422-6944</t>
  </si>
  <si>
    <t>1422-6960</t>
  </si>
  <si>
    <t>Plant Cell Reports</t>
  </si>
  <si>
    <t>0721-7714</t>
  </si>
  <si>
    <t>1432-203X</t>
  </si>
  <si>
    <t>Plant Systematics and Evolution</t>
  </si>
  <si>
    <t>0378-2697</t>
  </si>
  <si>
    <t>1615-6110</t>
  </si>
  <si>
    <t xml:space="preserve">Planta                 </t>
  </si>
  <si>
    <t>0032-0935</t>
  </si>
  <si>
    <t>1432-2048</t>
  </si>
  <si>
    <t>Poiesis &amp; Praxis</t>
  </si>
  <si>
    <t>1615-6609</t>
  </si>
  <si>
    <t>1615-6617</t>
  </si>
  <si>
    <t>Polar Biology</t>
  </si>
  <si>
    <t>0722-4060</t>
  </si>
  <si>
    <t>1432-2056</t>
  </si>
  <si>
    <t>Polymer Bulletin</t>
  </si>
  <si>
    <t>0170-0839</t>
  </si>
  <si>
    <t>1436-2449</t>
  </si>
  <si>
    <t>Population Ecology</t>
  </si>
  <si>
    <t>1438-3896</t>
  </si>
  <si>
    <t>1437-390X</t>
  </si>
  <si>
    <t>Praxis Wirtschaftsrecht</t>
  </si>
  <si>
    <t>1610-1987</t>
  </si>
  <si>
    <t>1610-1995</t>
  </si>
  <si>
    <t>Primates</t>
  </si>
  <si>
    <t>0032-8332</t>
  </si>
  <si>
    <t>1016-7365</t>
  </si>
  <si>
    <t>Probability Theory and Related Fields</t>
  </si>
  <si>
    <t>0178-8051</t>
  </si>
  <si>
    <t>1432-2064</t>
  </si>
  <si>
    <t>Protoplasma</t>
  </si>
  <si>
    <t>0033-183X</t>
  </si>
  <si>
    <t>1615-6102</t>
  </si>
  <si>
    <t xml:space="preserve">Psychological Research Psychologische Forschung   </t>
  </si>
  <si>
    <t>0340-0727</t>
  </si>
  <si>
    <t>1430-2772</t>
  </si>
  <si>
    <t>Psychopharmacology</t>
  </si>
  <si>
    <t>0033-3158</t>
  </si>
  <si>
    <t>1432-2072</t>
  </si>
  <si>
    <t xml:space="preserve">Psychotherapeut </t>
  </si>
  <si>
    <t>0935-6185</t>
  </si>
  <si>
    <t>1432-2080</t>
  </si>
  <si>
    <t>Publications Mathématiques de l'Institut des Hautes Études Scientifiques</t>
  </si>
  <si>
    <t>0073-8301</t>
  </si>
  <si>
    <t>1618-1913</t>
  </si>
  <si>
    <t>pure and applied geophysics (PAGEOPH)</t>
  </si>
  <si>
    <t>0033-4553</t>
  </si>
  <si>
    <t>1420-9136</t>
  </si>
  <si>
    <t>Radiation and Environmental Biophysics</t>
  </si>
  <si>
    <t>0301-634X</t>
  </si>
  <si>
    <t>1432-2099</t>
  </si>
  <si>
    <t>Rechtsmedizin</t>
  </si>
  <si>
    <t>0937-9819</t>
  </si>
  <si>
    <t>1434-5196</t>
  </si>
  <si>
    <t>Regional Environmental Change</t>
  </si>
  <si>
    <t>1436-3798</t>
  </si>
  <si>
    <t>1436-378X</t>
  </si>
  <si>
    <t xml:space="preserve">Reproduktionsmedizin </t>
  </si>
  <si>
    <t>1434-6931</t>
  </si>
  <si>
    <t>1434-808X</t>
  </si>
  <si>
    <t>Requirements Engineering</t>
  </si>
  <si>
    <t>0947-3602</t>
  </si>
  <si>
    <t>1433-010X</t>
  </si>
  <si>
    <t xml:space="preserve">Research in Engineering Design  </t>
  </si>
  <si>
    <t>0934-9839</t>
  </si>
  <si>
    <t>1435-010X</t>
  </si>
  <si>
    <t>Research in Nondestructive Evaluation</t>
  </si>
  <si>
    <t>0934-9847</t>
  </si>
  <si>
    <t>1432-2110</t>
  </si>
  <si>
    <t>Review of Economic Design</t>
  </si>
  <si>
    <t>1434-4742</t>
  </si>
  <si>
    <t>1434-4750</t>
  </si>
  <si>
    <t xml:space="preserve">Rheologica Acta  </t>
  </si>
  <si>
    <t>0035-4511</t>
  </si>
  <si>
    <t>1435-1528</t>
  </si>
  <si>
    <t xml:space="preserve">Rheumatology International </t>
  </si>
  <si>
    <t>0172-8172</t>
  </si>
  <si>
    <t>1437-160X</t>
  </si>
  <si>
    <t>Rock Mechanics and Rock Engineering</t>
  </si>
  <si>
    <t>0723-2632</t>
  </si>
  <si>
    <t>1434-453X</t>
  </si>
  <si>
    <t>Selecta Mathematica, New Series</t>
  </si>
  <si>
    <t>1022-1824</t>
  </si>
  <si>
    <t>1420-9020</t>
  </si>
  <si>
    <t>Semigroup Forum</t>
  </si>
  <si>
    <t>0037-1912</t>
  </si>
  <si>
    <t>1432-2137</t>
  </si>
  <si>
    <t>Sexual Plant Reproduction</t>
  </si>
  <si>
    <t>0934-0882</t>
  </si>
  <si>
    <t>1432-2145</t>
  </si>
  <si>
    <t xml:space="preserve">Shock Waves </t>
  </si>
  <si>
    <t>0938-1287</t>
  </si>
  <si>
    <t>1432-2153</t>
  </si>
  <si>
    <t xml:space="preserve">Skeletal Radiology  </t>
  </si>
  <si>
    <t>0364-2348</t>
  </si>
  <si>
    <t>1432-2348</t>
  </si>
  <si>
    <t>Social Choice and Welfare</t>
  </si>
  <si>
    <t>0176-1714</t>
  </si>
  <si>
    <t>1432-217X</t>
  </si>
  <si>
    <t>Social Psychiatry and Psychiatric Epidemiology</t>
  </si>
  <si>
    <t>0933-7954</t>
  </si>
  <si>
    <t>1433-9285</t>
  </si>
  <si>
    <t xml:space="preserve">Soft Computing       </t>
  </si>
  <si>
    <t>1432-7643</t>
  </si>
  <si>
    <t>1433-7479</t>
  </si>
  <si>
    <t>Software and Systems Modeling</t>
  </si>
  <si>
    <t>1619-1366</t>
  </si>
  <si>
    <t>1619-1374</t>
  </si>
  <si>
    <t>Spanish Economic Review</t>
  </si>
  <si>
    <t>1435-5469</t>
  </si>
  <si>
    <t>1435-5477</t>
  </si>
  <si>
    <t>SPM Sozial- und Präventivmedizin</t>
  </si>
  <si>
    <t>0303-8408</t>
  </si>
  <si>
    <t>Springer Seminars in Immunopathology</t>
  </si>
  <si>
    <t>0344-4325</t>
  </si>
  <si>
    <t>1432-2196</t>
  </si>
  <si>
    <t xml:space="preserve">Standort  </t>
  </si>
  <si>
    <t>0174-3635</t>
  </si>
  <si>
    <t>1432-220X</t>
  </si>
  <si>
    <t xml:space="preserve">Stochastic Environmental Research and Risk Assessment </t>
  </si>
  <si>
    <t>1436-3240</t>
  </si>
  <si>
    <t>1436-3259</t>
  </si>
  <si>
    <t>Strahlentherapie und Onkologie</t>
  </si>
  <si>
    <t>0179-7158</t>
  </si>
  <si>
    <t>1439-099X</t>
  </si>
  <si>
    <t xml:space="preserve">Structural and Multidisciplinary Optimization   </t>
  </si>
  <si>
    <t>1615-147X</t>
  </si>
  <si>
    <t>1615-1488</t>
  </si>
  <si>
    <t>Supportive Care in Cancer</t>
  </si>
  <si>
    <t>0941-4355</t>
  </si>
  <si>
    <t>1433-7339</t>
  </si>
  <si>
    <t xml:space="preserve">Surgery Today                                                                                                                                    </t>
  </si>
  <si>
    <t>0941-1291</t>
  </si>
  <si>
    <t>1436-2813</t>
  </si>
  <si>
    <t xml:space="preserve">Surgical and Radiologic Anatomy </t>
  </si>
  <si>
    <t>0930-1038</t>
  </si>
  <si>
    <t>1279-8517</t>
  </si>
  <si>
    <t xml:space="preserve">Surgical Endoscopy   </t>
  </si>
  <si>
    <t>0930-2794</t>
  </si>
  <si>
    <t>1432-2218</t>
  </si>
  <si>
    <t xml:space="preserve">TAG Theoretical and Applied Genetics  </t>
  </si>
  <si>
    <t>0040-5752</t>
  </si>
  <si>
    <t>1432-2242</t>
  </si>
  <si>
    <t xml:space="preserve">Techniques in Coloproctology                                                                           </t>
  </si>
  <si>
    <t>1123-6337</t>
  </si>
  <si>
    <t>1128-045X</t>
  </si>
  <si>
    <t xml:space="preserve">The Annals of Regional Science </t>
  </si>
  <si>
    <t>0570-1864</t>
  </si>
  <si>
    <t>1432-0592</t>
  </si>
  <si>
    <t>The Astronomy and Astrophysics Review</t>
  </si>
  <si>
    <t>0935-4956</t>
  </si>
  <si>
    <t>1432-0754</t>
  </si>
  <si>
    <t>The European Journal of Health Economics (HEPAC)</t>
  </si>
  <si>
    <t>1618-7598</t>
  </si>
  <si>
    <t>1618-7601</t>
  </si>
  <si>
    <t>The European Physical Journal A Hadrons and Nuclei</t>
  </si>
  <si>
    <t>1434-6001</t>
  </si>
  <si>
    <t>1434-601X</t>
  </si>
  <si>
    <t>The European Physical Journal B Condensed Matter</t>
  </si>
  <si>
    <t>1434-6028</t>
  </si>
  <si>
    <t>1434-6036</t>
  </si>
  <si>
    <t>The European Physical Journal C Particles and Fields</t>
  </si>
  <si>
    <t>1434-6044</t>
  </si>
  <si>
    <t>1434-6052</t>
  </si>
  <si>
    <t>The European Physical Journal D Atoms, Molecules and Clusters and Optical Physics</t>
  </si>
  <si>
    <t>1434-6060</t>
  </si>
  <si>
    <t>1434-6079</t>
  </si>
  <si>
    <t>The European Physical Journal E Soft Matter</t>
  </si>
  <si>
    <t>1292-8941</t>
  </si>
  <si>
    <t>1292-895X</t>
  </si>
  <si>
    <t xml:space="preserve">The International Journal of Advanced Manufacturing Technology                                                        </t>
  </si>
  <si>
    <t>0268-3768</t>
  </si>
  <si>
    <t>1433-3015</t>
  </si>
  <si>
    <t>The Journal of Headache and Pain</t>
  </si>
  <si>
    <t>1129-2369</t>
  </si>
  <si>
    <t>1129-2377</t>
  </si>
  <si>
    <t>The Journal of Membrane Biology</t>
  </si>
  <si>
    <t>0022-2631</t>
  </si>
  <si>
    <t>1432-1424</t>
  </si>
  <si>
    <t xml:space="preserve">The Visual Computer </t>
  </si>
  <si>
    <t>0178-2789</t>
  </si>
  <si>
    <t>1432-2789</t>
  </si>
  <si>
    <t xml:space="preserve">The VLDB Journal </t>
  </si>
  <si>
    <t>1066-8888</t>
  </si>
  <si>
    <t>0949-877X</t>
  </si>
  <si>
    <t>Theoretical and Applied Climatology</t>
  </si>
  <si>
    <t>0177-798X</t>
  </si>
  <si>
    <t>1434-4483</t>
  </si>
  <si>
    <t>Theoretical and Computational Fluid Dynamics</t>
  </si>
  <si>
    <t>0935-4964</t>
  </si>
  <si>
    <t>1432-2250</t>
  </si>
  <si>
    <t xml:space="preserve">Theoretical Chemistry Accounts  </t>
  </si>
  <si>
    <t>1432-881X</t>
  </si>
  <si>
    <t>1432-2234</t>
  </si>
  <si>
    <t xml:space="preserve">Theory of Computing Systems  </t>
  </si>
  <si>
    <t>1432-4350</t>
  </si>
  <si>
    <t>1433-0490</t>
  </si>
  <si>
    <t>Transformation Groups</t>
  </si>
  <si>
    <t>1083-4362</t>
  </si>
  <si>
    <t>1531-586X</t>
  </si>
  <si>
    <t>Transplant International</t>
  </si>
  <si>
    <t>0934-0874</t>
  </si>
  <si>
    <t>1432-2277</t>
  </si>
  <si>
    <t>Trauma und Berufskrankheit</t>
  </si>
  <si>
    <t>1436-6274</t>
  </si>
  <si>
    <t>1436-6282</t>
  </si>
  <si>
    <t xml:space="preserve">Trees </t>
  </si>
  <si>
    <t>0931-1890</t>
  </si>
  <si>
    <t>1432-2285</t>
  </si>
  <si>
    <t>Universal Access in the Information Society (UAIS)</t>
  </si>
  <si>
    <t>1615-5289</t>
  </si>
  <si>
    <t>1615-5297</t>
  </si>
  <si>
    <t xml:space="preserve">Urological Research  </t>
  </si>
  <si>
    <t>0300-5623</t>
  </si>
  <si>
    <t>1434-0879</t>
  </si>
  <si>
    <t>Vegetation History and Archaeobotany</t>
  </si>
  <si>
    <t>0939-6314</t>
  </si>
  <si>
    <t>1617-6278</t>
  </si>
  <si>
    <t xml:space="preserve">Virchows Archiv  </t>
  </si>
  <si>
    <t>0945-6317</t>
  </si>
  <si>
    <t>1432-2307</t>
  </si>
  <si>
    <t>Virtual Reality</t>
  </si>
  <si>
    <t>1359-4338</t>
  </si>
  <si>
    <r>
      <t xml:space="preserve">Visual Geosciences </t>
    </r>
    <r>
      <rPr>
        <sz val="8"/>
        <rFont val="Arial"/>
        <family val="2"/>
      </rPr>
      <t>formerly: Electronic Geosciences</t>
    </r>
  </si>
  <si>
    <t>1610-2924</t>
  </si>
  <si>
    <t xml:space="preserve">Wood Science and Technology </t>
  </si>
  <si>
    <t>0043-7719</t>
  </si>
  <si>
    <t>1432-5225</t>
  </si>
  <si>
    <t>World Journal of Surgery</t>
  </si>
  <si>
    <t>0364-2313</t>
  </si>
  <si>
    <t>1432-2323</t>
  </si>
  <si>
    <t>World Journal of Urology</t>
  </si>
  <si>
    <t>0724-4983</t>
  </si>
  <si>
    <t>1433-8276</t>
  </si>
  <si>
    <t>Zeitschrift für Epileptologie</t>
  </si>
  <si>
    <t>1617-6782</t>
  </si>
  <si>
    <t>1610-0646</t>
  </si>
  <si>
    <t>Zeitschrift für Gerontologie und Geriatrie</t>
  </si>
  <si>
    <t>0948-6704</t>
  </si>
  <si>
    <t>1435-1269</t>
  </si>
  <si>
    <t>Zeitschrift für Herz-, Thorax- und Gefäßchirurgie</t>
  </si>
  <si>
    <t>0930-9225</t>
  </si>
  <si>
    <t>1435-1277</t>
  </si>
  <si>
    <t>Zeitschrift für IT in der Verwaltung</t>
  </si>
  <si>
    <t>1610-2002</t>
  </si>
  <si>
    <t>1610-2010</t>
  </si>
  <si>
    <t xml:space="preserve">Zeitschrift für Kardiologie   </t>
  </si>
  <si>
    <t>0300-5860</t>
  </si>
  <si>
    <t>1435-1285</t>
  </si>
  <si>
    <t>Zeitschrift für Rheumatologie</t>
  </si>
  <si>
    <t>0340-1855</t>
  </si>
  <si>
    <t>1435-1250</t>
  </si>
  <si>
    <t>Zoomorphology</t>
  </si>
  <si>
    <t>0720-213X</t>
  </si>
  <si>
    <t>1432-234X</t>
  </si>
  <si>
    <t>ZS für angewandte Mathematik u. Physik</t>
  </si>
  <si>
    <t>0044-2275</t>
  </si>
  <si>
    <t>1420-9039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</si>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</sst>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1" formatCode="_-* #,##0.00\ _D_M_-;\-* #,##0.00\ _D_M_-;_-* &quot;-&quot;??\ _D_M_-;_-@_-"/>
    <numFmt numFmtId="172" formatCode="&quot;Euro&quot;\ #,##0.00"/>
    <numFmt numFmtId="173" formatCode="&quot;US $&quot;#,##0.00"/>
    <numFmt numFmtId="174" formatCode="&quot;£&quot;\ #,##0.00\ \ "/>
    <numFmt numFmtId="175" formatCode="&quot;DM&quot;\ #,##0.00\ \ "/>
  </numFmts>
  <fonts count="12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1" applyNumberFormat="1" applyFont="1" applyFill="1" applyBorder="1" applyAlignment="1">
      <alignment horizontal="center" vertical="center"/>
    </xf>
    <xf numFmtId="4" fontId="7" fillId="0" borderId="0" xfId="0" applyNumberFormat="1" applyFont="1" applyFill="1" applyBorder="1" applyAlignment="1">
      <alignment horizontal="center" vertical="center"/>
    </xf>
    <xf numFmtId="172" fontId="6" fillId="0" borderId="0" xfId="0" applyNumberFormat="1" applyFont="1" applyBorder="1" applyAlignment="1">
      <alignment horizontal="right" vertical="center"/>
    </xf>
    <xf numFmtId="4" fontId="6" fillId="0" borderId="0" xfId="0" applyNumberFormat="1" applyFont="1" applyFill="1" applyBorder="1" applyAlignment="1">
      <alignment horizontal="right" vertical="center"/>
    </xf>
    <xf numFmtId="173" fontId="6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" fontId="6" fillId="0" borderId="0" xfId="0" applyNumberFormat="1" applyFont="1" applyBorder="1" applyAlignment="1">
      <alignment vertical="center"/>
    </xf>
    <xf numFmtId="172" fontId="6" fillId="0" borderId="0" xfId="0" applyNumberFormat="1" applyFont="1" applyFill="1" applyBorder="1" applyAlignment="1">
      <alignment horizontal="right" vertical="center"/>
    </xf>
    <xf numFmtId="174" fontId="6" fillId="0" borderId="0" xfId="0" applyNumberFormat="1" applyFont="1" applyBorder="1" applyAlignment="1">
      <alignment horizontal="right" vertical="center"/>
    </xf>
    <xf numFmtId="173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vertical="center"/>
      <protection locked="0"/>
    </xf>
    <xf numFmtId="4" fontId="6" fillId="0" borderId="0" xfId="0" applyNumberFormat="1" applyFont="1" applyFill="1" applyBorder="1" applyAlignment="1" applyProtection="1">
      <alignment horizontal="right" vertical="center"/>
      <protection locked="0"/>
    </xf>
    <xf numFmtId="174" fontId="6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vertical="center"/>
    </xf>
    <xf numFmtId="175" fontId="6" fillId="0" borderId="0" xfId="0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horizontal="right" vertical="center"/>
    </xf>
    <xf numFmtId="172" fontId="10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3" fillId="0" borderId="0" xfId="0" applyFont="1"/>
    <xf numFmtId="0" fontId="0" fillId="0" borderId="0" xfId="0" applyNumberFormat="1"/>
    <xf numFmtId="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7"/>
  <sheetViews>
    <sheetView showZeros="0" tabSelected="1" workbookViewId="0">
      <selection activeCell="G14" sqref="G14"/>
    </sheetView>
  </sheetViews>
  <sheetFormatPr defaultRowHeight="12.5" x14ac:dyDescent="0.25"/>
  <cols>
    <col min="1" max="1" width="54" customWidth="1"/>
    <col min="2" max="2" width="9.54296875" customWidth="1"/>
    <col min="3" max="3" width="10.26953125" customWidth="1"/>
    <col min="4" max="4" width="10" customWidth="1"/>
    <col min="5" max="5" width="11.81640625" customWidth="1"/>
    <col min="6" max="6" width="6.54296875" customWidth="1"/>
    <col min="7" max="7" width="10.90625" customWidth="1"/>
    <col min="8" max="8" width="9.26953125" customWidth="1"/>
    <col min="9" max="256" width="10.90625" customWidth="1"/>
  </cols>
  <sheetData>
    <row r="1" spans="1:8" ht="39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</row>
    <row r="2" spans="1:8" x14ac:dyDescent="0.25">
      <c r="A2" s="6" t="s">
        <v>8</v>
      </c>
      <c r="B2" s="7" t="s">
        <v>9</v>
      </c>
      <c r="C2" s="7"/>
      <c r="D2" s="8" t="s">
        <v>10</v>
      </c>
      <c r="E2" s="9">
        <v>149</v>
      </c>
      <c r="F2" s="10"/>
      <c r="G2" s="11">
        <f>E2*F2</f>
        <v>0</v>
      </c>
      <c r="H2" s="12">
        <v>14.3</v>
      </c>
    </row>
    <row r="3" spans="1:8" x14ac:dyDescent="0.25">
      <c r="A3" s="6" t="s">
        <v>11</v>
      </c>
      <c r="B3" s="7" t="s">
        <v>12</v>
      </c>
      <c r="C3" s="7" t="s">
        <v>13</v>
      </c>
      <c r="D3" s="8" t="s">
        <v>14</v>
      </c>
      <c r="E3" s="13">
        <v>520.16129032258061</v>
      </c>
      <c r="F3" s="10"/>
      <c r="G3" s="11">
        <f t="shared" ref="G3:G66" si="0">E3*F3</f>
        <v>0</v>
      </c>
      <c r="H3" s="14">
        <v>56.5</v>
      </c>
    </row>
    <row r="4" spans="1:8" x14ac:dyDescent="0.25">
      <c r="A4" s="6" t="s">
        <v>15</v>
      </c>
      <c r="B4" s="7" t="s">
        <v>16</v>
      </c>
      <c r="C4" s="7" t="s">
        <v>17</v>
      </c>
      <c r="D4" s="8" t="s">
        <v>10</v>
      </c>
      <c r="E4" s="13">
        <v>184</v>
      </c>
      <c r="F4" s="10"/>
      <c r="G4" s="11">
        <f t="shared" si="0"/>
        <v>0</v>
      </c>
      <c r="H4" s="12">
        <v>29.7</v>
      </c>
    </row>
    <row r="5" spans="1:8" x14ac:dyDescent="0.25">
      <c r="A5" s="6" t="s">
        <v>18</v>
      </c>
      <c r="B5" s="7" t="s">
        <v>19</v>
      </c>
      <c r="C5" s="7" t="s">
        <v>20</v>
      </c>
      <c r="D5" s="8" t="s">
        <v>21</v>
      </c>
      <c r="E5" s="13">
        <v>322</v>
      </c>
      <c r="F5" s="10"/>
      <c r="G5" s="11">
        <f t="shared" si="0"/>
        <v>0</v>
      </c>
      <c r="H5" s="12">
        <v>17.600000000000001</v>
      </c>
    </row>
    <row r="6" spans="1:8" x14ac:dyDescent="0.25">
      <c r="A6" s="6" t="s">
        <v>22</v>
      </c>
      <c r="B6" s="7" t="s">
        <v>23</v>
      </c>
      <c r="C6" s="7" t="s">
        <v>24</v>
      </c>
      <c r="D6" s="8" t="s">
        <v>10</v>
      </c>
      <c r="E6" s="13">
        <v>108</v>
      </c>
      <c r="F6" s="10"/>
      <c r="G6" s="11">
        <f t="shared" si="0"/>
        <v>0</v>
      </c>
      <c r="H6" s="12">
        <v>7.5</v>
      </c>
    </row>
    <row r="7" spans="1:8" x14ac:dyDescent="0.25">
      <c r="A7" s="6" t="s">
        <v>25</v>
      </c>
      <c r="B7" s="7" t="s">
        <v>26</v>
      </c>
      <c r="C7" s="7" t="s">
        <v>27</v>
      </c>
      <c r="D7" s="8" t="s">
        <v>10</v>
      </c>
      <c r="E7" s="13">
        <v>720</v>
      </c>
      <c r="F7" s="10"/>
      <c r="G7" s="11">
        <f t="shared" si="0"/>
        <v>0</v>
      </c>
      <c r="H7" s="12">
        <v>29.7</v>
      </c>
    </row>
    <row r="8" spans="1:8" x14ac:dyDescent="0.25">
      <c r="A8" s="6" t="s">
        <v>28</v>
      </c>
      <c r="B8" s="7" t="s">
        <v>29</v>
      </c>
      <c r="C8" s="7" t="s">
        <v>30</v>
      </c>
      <c r="D8" s="8" t="s">
        <v>10</v>
      </c>
      <c r="E8" s="13">
        <v>428</v>
      </c>
      <c r="F8" s="10"/>
      <c r="G8" s="11">
        <f t="shared" si="0"/>
        <v>0</v>
      </c>
      <c r="H8" s="12">
        <v>28.2</v>
      </c>
    </row>
    <row r="9" spans="1:8" x14ac:dyDescent="0.25">
      <c r="A9" s="6" t="s">
        <v>31</v>
      </c>
      <c r="B9" s="7" t="s">
        <v>32</v>
      </c>
      <c r="C9" s="7" t="s">
        <v>33</v>
      </c>
      <c r="D9" s="8" t="s">
        <v>10</v>
      </c>
      <c r="E9" s="13">
        <v>428</v>
      </c>
      <c r="F9" s="10"/>
      <c r="G9" s="11">
        <f t="shared" si="0"/>
        <v>0</v>
      </c>
      <c r="H9" s="12">
        <v>28.2</v>
      </c>
    </row>
    <row r="10" spans="1:8" x14ac:dyDescent="0.25">
      <c r="A10" s="6" t="s">
        <v>34</v>
      </c>
      <c r="B10" s="7" t="s">
        <v>35</v>
      </c>
      <c r="C10" s="7" t="s">
        <v>36</v>
      </c>
      <c r="D10" s="8" t="s">
        <v>37</v>
      </c>
      <c r="E10" s="13">
        <v>3036</v>
      </c>
      <c r="F10" s="10"/>
      <c r="G10" s="11">
        <f t="shared" si="0"/>
        <v>0</v>
      </c>
      <c r="H10" s="12">
        <v>77</v>
      </c>
    </row>
    <row r="11" spans="1:8" x14ac:dyDescent="0.25">
      <c r="A11" s="6" t="s">
        <v>38</v>
      </c>
      <c r="B11" s="7" t="s">
        <v>39</v>
      </c>
      <c r="C11" s="7" t="s">
        <v>40</v>
      </c>
      <c r="D11" s="8" t="s">
        <v>37</v>
      </c>
      <c r="E11" s="13">
        <v>2098</v>
      </c>
      <c r="F11" s="10"/>
      <c r="G11" s="11">
        <f t="shared" si="0"/>
        <v>0</v>
      </c>
      <c r="H11" s="12">
        <v>26.5</v>
      </c>
    </row>
    <row r="12" spans="1:8" x14ac:dyDescent="0.25">
      <c r="A12" s="6" t="s">
        <v>41</v>
      </c>
      <c r="B12" s="7" t="s">
        <v>42</v>
      </c>
      <c r="C12" s="7" t="s">
        <v>43</v>
      </c>
      <c r="D12" s="8" t="s">
        <v>10</v>
      </c>
      <c r="E12" s="13">
        <v>3650</v>
      </c>
      <c r="F12" s="10"/>
      <c r="G12" s="11">
        <f t="shared" si="0"/>
        <v>0</v>
      </c>
      <c r="H12" s="12">
        <v>48.2</v>
      </c>
    </row>
    <row r="13" spans="1:8" x14ac:dyDescent="0.25">
      <c r="A13" s="15" t="s">
        <v>44</v>
      </c>
      <c r="B13" s="16" t="s">
        <v>45</v>
      </c>
      <c r="C13" s="16" t="s">
        <v>46</v>
      </c>
      <c r="D13" s="17" t="s">
        <v>47</v>
      </c>
      <c r="E13" s="18">
        <v>718</v>
      </c>
      <c r="F13" s="10"/>
      <c r="G13" s="11">
        <f t="shared" si="0"/>
        <v>0</v>
      </c>
      <c r="H13" s="19">
        <v>45</v>
      </c>
    </row>
    <row r="14" spans="1:8" x14ac:dyDescent="0.25">
      <c r="A14" s="6" t="s">
        <v>48</v>
      </c>
      <c r="B14" s="7" t="s">
        <v>49</v>
      </c>
      <c r="C14" s="7" t="s">
        <v>50</v>
      </c>
      <c r="D14" s="8" t="s">
        <v>14</v>
      </c>
      <c r="E14" s="13">
        <v>402.2177419354839</v>
      </c>
      <c r="F14" s="10"/>
      <c r="G14" s="11">
        <f t="shared" si="0"/>
        <v>0</v>
      </c>
      <c r="H14" s="14">
        <v>56.5</v>
      </c>
    </row>
    <row r="15" spans="1:8" x14ac:dyDescent="0.25">
      <c r="A15" s="6" t="s">
        <v>51</v>
      </c>
      <c r="B15" s="7" t="s">
        <v>52</v>
      </c>
      <c r="C15" s="7" t="s">
        <v>53</v>
      </c>
      <c r="D15" s="8" t="s">
        <v>54</v>
      </c>
      <c r="E15" s="13">
        <v>447.92482380579486</v>
      </c>
      <c r="F15" s="10"/>
      <c r="G15" s="11">
        <f t="shared" si="0"/>
        <v>0</v>
      </c>
      <c r="H15" s="20">
        <v>11.9</v>
      </c>
    </row>
    <row r="16" spans="1:8" x14ac:dyDescent="0.25">
      <c r="A16" s="15" t="s">
        <v>55</v>
      </c>
      <c r="B16" s="16" t="s">
        <v>56</v>
      </c>
      <c r="C16" s="16" t="s">
        <v>57</v>
      </c>
      <c r="D16" s="17" t="s">
        <v>47</v>
      </c>
      <c r="E16" s="18">
        <v>898</v>
      </c>
      <c r="F16" s="10"/>
      <c r="G16" s="11">
        <f t="shared" si="0"/>
        <v>0</v>
      </c>
      <c r="H16" s="19">
        <v>54</v>
      </c>
    </row>
    <row r="17" spans="1:8" x14ac:dyDescent="0.25">
      <c r="A17" s="6" t="s">
        <v>58</v>
      </c>
      <c r="B17" s="7" t="s">
        <v>59</v>
      </c>
      <c r="C17" s="7" t="s">
        <v>60</v>
      </c>
      <c r="D17" s="8" t="s">
        <v>14</v>
      </c>
      <c r="E17" s="13">
        <v>851.81451612903231</v>
      </c>
      <c r="F17" s="10"/>
      <c r="G17" s="11">
        <f t="shared" si="0"/>
        <v>0</v>
      </c>
      <c r="H17" s="21">
        <v>113.1</v>
      </c>
    </row>
    <row r="18" spans="1:8" x14ac:dyDescent="0.25">
      <c r="A18" s="6" t="s">
        <v>61</v>
      </c>
      <c r="B18" s="7" t="s">
        <v>62</v>
      </c>
      <c r="C18" s="7" t="s">
        <v>63</v>
      </c>
      <c r="D18" s="8" t="s">
        <v>37</v>
      </c>
      <c r="E18" s="13">
        <v>858</v>
      </c>
      <c r="F18" s="10"/>
      <c r="G18" s="11">
        <f t="shared" si="0"/>
        <v>0</v>
      </c>
      <c r="H18" s="12">
        <v>30</v>
      </c>
    </row>
    <row r="19" spans="1:8" x14ac:dyDescent="0.25">
      <c r="A19" s="6" t="s">
        <v>64</v>
      </c>
      <c r="B19" s="7" t="s">
        <v>65</v>
      </c>
      <c r="C19" s="7" t="s">
        <v>66</v>
      </c>
      <c r="D19" s="8" t="s">
        <v>10</v>
      </c>
      <c r="E19" s="13">
        <v>2960</v>
      </c>
      <c r="F19" s="10"/>
      <c r="G19" s="11">
        <f t="shared" si="0"/>
        <v>0</v>
      </c>
      <c r="H19" s="12">
        <v>96.3</v>
      </c>
    </row>
    <row r="20" spans="1:8" x14ac:dyDescent="0.25">
      <c r="A20" s="6" t="s">
        <v>67</v>
      </c>
      <c r="B20" s="7" t="s">
        <v>68</v>
      </c>
      <c r="C20" s="7" t="s">
        <v>69</v>
      </c>
      <c r="D20" s="8" t="s">
        <v>10</v>
      </c>
      <c r="E20" s="13">
        <v>2990</v>
      </c>
      <c r="F20" s="10"/>
      <c r="G20" s="11">
        <f t="shared" si="0"/>
        <v>0</v>
      </c>
      <c r="H20" s="12">
        <v>32.700000000000003</v>
      </c>
    </row>
    <row r="21" spans="1:8" x14ac:dyDescent="0.25">
      <c r="A21" s="6" t="s">
        <v>70</v>
      </c>
      <c r="B21" s="7" t="s">
        <v>71</v>
      </c>
      <c r="C21" s="7" t="s">
        <v>72</v>
      </c>
      <c r="D21" s="8" t="s">
        <v>10</v>
      </c>
      <c r="E21" s="13">
        <v>294</v>
      </c>
      <c r="F21" s="10"/>
      <c r="G21" s="11">
        <f t="shared" si="0"/>
        <v>0</v>
      </c>
      <c r="H21" s="12">
        <v>15.2</v>
      </c>
    </row>
    <row r="22" spans="1:8" x14ac:dyDescent="0.25">
      <c r="A22" s="15" t="s">
        <v>73</v>
      </c>
      <c r="B22" s="16" t="s">
        <v>74</v>
      </c>
      <c r="C22" s="16" t="s">
        <v>75</v>
      </c>
      <c r="D22" s="17" t="s">
        <v>47</v>
      </c>
      <c r="E22" s="18">
        <v>660</v>
      </c>
      <c r="F22" s="10"/>
      <c r="G22" s="11">
        <f t="shared" si="0"/>
        <v>0</v>
      </c>
      <c r="H22" s="19">
        <v>50</v>
      </c>
    </row>
    <row r="23" spans="1:8" x14ac:dyDescent="0.25">
      <c r="A23" s="6" t="s">
        <v>76</v>
      </c>
      <c r="B23" s="7" t="s">
        <v>77</v>
      </c>
      <c r="C23" s="7" t="s">
        <v>78</v>
      </c>
      <c r="D23" s="22" t="s">
        <v>10</v>
      </c>
      <c r="E23" s="13">
        <v>220</v>
      </c>
      <c r="F23" s="10"/>
      <c r="G23" s="11">
        <f t="shared" si="0"/>
        <v>0</v>
      </c>
      <c r="H23" s="12">
        <v>28.2</v>
      </c>
    </row>
    <row r="24" spans="1:8" x14ac:dyDescent="0.25">
      <c r="A24" s="15" t="s">
        <v>79</v>
      </c>
      <c r="B24" s="16" t="s">
        <v>80</v>
      </c>
      <c r="C24" s="16" t="s">
        <v>81</v>
      </c>
      <c r="D24" s="17" t="s">
        <v>47</v>
      </c>
      <c r="E24" s="18">
        <v>378</v>
      </c>
      <c r="F24" s="10"/>
      <c r="G24" s="11">
        <f t="shared" si="0"/>
        <v>0</v>
      </c>
      <c r="H24" s="19">
        <v>32</v>
      </c>
    </row>
    <row r="25" spans="1:8" x14ac:dyDescent="0.25">
      <c r="A25" s="6" t="s">
        <v>82</v>
      </c>
      <c r="B25" s="7" t="s">
        <v>83</v>
      </c>
      <c r="C25" s="7" t="s">
        <v>84</v>
      </c>
      <c r="D25" s="8" t="s">
        <v>10</v>
      </c>
      <c r="E25" s="13">
        <v>1130</v>
      </c>
      <c r="F25" s="10"/>
      <c r="G25" s="11">
        <f t="shared" si="0"/>
        <v>0</v>
      </c>
      <c r="H25" s="12">
        <v>29.7</v>
      </c>
    </row>
    <row r="26" spans="1:8" x14ac:dyDescent="0.25">
      <c r="A26" s="6" t="s">
        <v>85</v>
      </c>
      <c r="B26" s="7" t="s">
        <v>86</v>
      </c>
      <c r="C26" s="7" t="s">
        <v>87</v>
      </c>
      <c r="D26" s="8" t="s">
        <v>14</v>
      </c>
      <c r="E26" s="13">
        <v>449.59677419354841</v>
      </c>
      <c r="F26" s="10"/>
      <c r="G26" s="11">
        <f t="shared" si="0"/>
        <v>0</v>
      </c>
      <c r="H26" s="21">
        <v>56.5</v>
      </c>
    </row>
    <row r="27" spans="1:8" x14ac:dyDescent="0.25">
      <c r="A27" s="6" t="s">
        <v>88</v>
      </c>
      <c r="B27" s="7" t="s">
        <v>89</v>
      </c>
      <c r="C27" s="7" t="s">
        <v>90</v>
      </c>
      <c r="D27" s="8" t="s">
        <v>10</v>
      </c>
      <c r="E27" s="13">
        <v>398</v>
      </c>
      <c r="F27" s="10"/>
      <c r="G27" s="11">
        <f t="shared" si="0"/>
        <v>0</v>
      </c>
      <c r="H27" s="19">
        <v>15</v>
      </c>
    </row>
    <row r="28" spans="1:8" x14ac:dyDescent="0.25">
      <c r="A28" s="6" t="s">
        <v>91</v>
      </c>
      <c r="B28" s="7" t="s">
        <v>92</v>
      </c>
      <c r="C28" s="7" t="s">
        <v>93</v>
      </c>
      <c r="D28" s="8" t="s">
        <v>14</v>
      </c>
      <c r="E28" s="13">
        <v>742.94354838709683</v>
      </c>
      <c r="F28" s="10"/>
      <c r="G28" s="11">
        <f t="shared" si="0"/>
        <v>0</v>
      </c>
      <c r="H28" s="21">
        <v>35.1</v>
      </c>
    </row>
    <row r="29" spans="1:8" x14ac:dyDescent="0.25">
      <c r="A29" s="6" t="s">
        <v>94</v>
      </c>
      <c r="B29" s="7" t="s">
        <v>95</v>
      </c>
      <c r="C29" s="7" t="s">
        <v>96</v>
      </c>
      <c r="D29" s="8" t="s">
        <v>10</v>
      </c>
      <c r="E29" s="13">
        <v>3500</v>
      </c>
      <c r="F29" s="10"/>
      <c r="G29" s="11">
        <f t="shared" si="0"/>
        <v>0</v>
      </c>
      <c r="H29" s="12">
        <v>72.3</v>
      </c>
    </row>
    <row r="30" spans="1:8" x14ac:dyDescent="0.25">
      <c r="A30" s="6" t="s">
        <v>97</v>
      </c>
      <c r="B30" s="7" t="s">
        <v>98</v>
      </c>
      <c r="C30" s="7" t="s">
        <v>99</v>
      </c>
      <c r="D30" s="8" t="s">
        <v>10</v>
      </c>
      <c r="E30" s="13">
        <v>2640</v>
      </c>
      <c r="F30" s="10"/>
      <c r="G30" s="11">
        <f t="shared" si="0"/>
        <v>0</v>
      </c>
      <c r="H30" s="12">
        <v>48.2</v>
      </c>
    </row>
    <row r="31" spans="1:8" x14ac:dyDescent="0.25">
      <c r="A31" s="6" t="s">
        <v>100</v>
      </c>
      <c r="B31" s="7" t="s">
        <v>101</v>
      </c>
      <c r="C31" s="7" t="s">
        <v>102</v>
      </c>
      <c r="D31" s="8" t="s">
        <v>10</v>
      </c>
      <c r="E31" s="13">
        <v>2760</v>
      </c>
      <c r="F31" s="10"/>
      <c r="G31" s="11">
        <f t="shared" si="0"/>
        <v>0</v>
      </c>
      <c r="H31" s="12">
        <v>64.2</v>
      </c>
    </row>
    <row r="32" spans="1:8" x14ac:dyDescent="0.25">
      <c r="A32" s="15" t="s">
        <v>103</v>
      </c>
      <c r="B32" s="16" t="s">
        <v>104</v>
      </c>
      <c r="C32" s="16" t="s">
        <v>105</v>
      </c>
      <c r="D32" s="17" t="s">
        <v>47</v>
      </c>
      <c r="E32" s="18">
        <v>428</v>
      </c>
      <c r="F32" s="10"/>
      <c r="G32" s="11">
        <f t="shared" si="0"/>
        <v>0</v>
      </c>
      <c r="H32" s="19">
        <v>32</v>
      </c>
    </row>
    <row r="33" spans="1:8" x14ac:dyDescent="0.25">
      <c r="A33" s="6" t="s">
        <v>106</v>
      </c>
      <c r="B33" s="7" t="s">
        <v>107</v>
      </c>
      <c r="C33" s="7" t="s">
        <v>108</v>
      </c>
      <c r="D33" s="17" t="s">
        <v>47</v>
      </c>
      <c r="E33" s="18">
        <v>788</v>
      </c>
      <c r="F33" s="10"/>
      <c r="G33" s="11">
        <f t="shared" si="0"/>
        <v>0</v>
      </c>
      <c r="H33" s="19">
        <v>78</v>
      </c>
    </row>
    <row r="34" spans="1:8" x14ac:dyDescent="0.25">
      <c r="A34" s="6" t="s">
        <v>109</v>
      </c>
      <c r="B34" s="7" t="s">
        <v>110</v>
      </c>
      <c r="C34" s="7" t="s">
        <v>111</v>
      </c>
      <c r="D34" s="8" t="s">
        <v>10</v>
      </c>
      <c r="E34" s="13">
        <v>670</v>
      </c>
      <c r="F34" s="10"/>
      <c r="G34" s="11">
        <f t="shared" si="0"/>
        <v>0</v>
      </c>
      <c r="H34" s="12">
        <v>22.6</v>
      </c>
    </row>
    <row r="35" spans="1:8" x14ac:dyDescent="0.25">
      <c r="A35" s="6" t="s">
        <v>112</v>
      </c>
      <c r="B35" s="7" t="s">
        <v>113</v>
      </c>
      <c r="C35" s="7" t="s">
        <v>114</v>
      </c>
      <c r="D35" s="8" t="s">
        <v>10</v>
      </c>
      <c r="E35" s="13">
        <v>599</v>
      </c>
      <c r="F35" s="10"/>
      <c r="G35" s="11">
        <f t="shared" si="0"/>
        <v>0</v>
      </c>
      <c r="H35" s="12">
        <v>19.8</v>
      </c>
    </row>
    <row r="36" spans="1:8" x14ac:dyDescent="0.25">
      <c r="A36" s="6" t="s">
        <v>115</v>
      </c>
      <c r="B36" s="7" t="s">
        <v>116</v>
      </c>
      <c r="C36" s="7" t="s">
        <v>117</v>
      </c>
      <c r="D36" s="8" t="s">
        <v>10</v>
      </c>
      <c r="E36" s="13">
        <v>2340</v>
      </c>
      <c r="F36" s="10"/>
      <c r="G36" s="11">
        <f t="shared" si="0"/>
        <v>0</v>
      </c>
      <c r="H36" s="12">
        <v>61.8</v>
      </c>
    </row>
    <row r="37" spans="1:8" x14ac:dyDescent="0.25">
      <c r="A37" s="6" t="s">
        <v>118</v>
      </c>
      <c r="B37" s="7" t="s">
        <v>119</v>
      </c>
      <c r="C37" s="7" t="s">
        <v>120</v>
      </c>
      <c r="D37" s="8" t="s">
        <v>10</v>
      </c>
      <c r="E37" s="13">
        <v>1320</v>
      </c>
      <c r="F37" s="10"/>
      <c r="G37" s="11">
        <f t="shared" si="0"/>
        <v>0</v>
      </c>
      <c r="H37" s="12">
        <v>32.700000000000003</v>
      </c>
    </row>
    <row r="38" spans="1:8" x14ac:dyDescent="0.25">
      <c r="A38" s="6" t="s">
        <v>121</v>
      </c>
      <c r="B38" s="7" t="s">
        <v>122</v>
      </c>
      <c r="C38" s="7" t="s">
        <v>123</v>
      </c>
      <c r="D38" s="8" t="s">
        <v>10</v>
      </c>
      <c r="E38" s="13">
        <v>1190</v>
      </c>
      <c r="F38" s="10"/>
      <c r="G38" s="11">
        <f t="shared" si="0"/>
        <v>0</v>
      </c>
      <c r="H38" s="12">
        <v>32.700000000000003</v>
      </c>
    </row>
    <row r="39" spans="1:8" x14ac:dyDescent="0.25">
      <c r="A39" s="6" t="s">
        <v>124</v>
      </c>
      <c r="B39" s="7" t="s">
        <v>125</v>
      </c>
      <c r="C39" s="7" t="s">
        <v>126</v>
      </c>
      <c r="D39" s="8" t="s">
        <v>14</v>
      </c>
      <c r="E39" s="13">
        <v>970.76612903225805</v>
      </c>
      <c r="F39" s="10"/>
      <c r="G39" s="11">
        <f t="shared" si="0"/>
        <v>0</v>
      </c>
      <c r="H39" s="21">
        <v>75.400000000000006</v>
      </c>
    </row>
    <row r="40" spans="1:8" x14ac:dyDescent="0.25">
      <c r="A40" s="6" t="s">
        <v>127</v>
      </c>
      <c r="B40" s="7" t="s">
        <v>128</v>
      </c>
      <c r="C40" s="7" t="s">
        <v>129</v>
      </c>
      <c r="D40" s="8" t="s">
        <v>10</v>
      </c>
      <c r="E40" s="13">
        <v>1020</v>
      </c>
      <c r="F40" s="10"/>
      <c r="G40" s="11">
        <f t="shared" si="0"/>
        <v>0</v>
      </c>
      <c r="H40" s="12">
        <v>9.9</v>
      </c>
    </row>
    <row r="41" spans="1:8" x14ac:dyDescent="0.25">
      <c r="A41" s="6" t="s">
        <v>130</v>
      </c>
      <c r="B41" s="7" t="s">
        <v>131</v>
      </c>
      <c r="C41" s="7" t="s">
        <v>132</v>
      </c>
      <c r="D41" s="8" t="s">
        <v>10</v>
      </c>
      <c r="E41" s="13">
        <v>2490</v>
      </c>
      <c r="F41" s="10"/>
      <c r="G41" s="11">
        <f t="shared" si="0"/>
        <v>0</v>
      </c>
      <c r="H41" s="12">
        <v>32.700000000000003</v>
      </c>
    </row>
    <row r="42" spans="1:8" x14ac:dyDescent="0.25">
      <c r="A42" s="6" t="s">
        <v>133</v>
      </c>
      <c r="B42" s="7" t="s">
        <v>134</v>
      </c>
      <c r="C42" s="7" t="s">
        <v>135</v>
      </c>
      <c r="D42" s="8" t="s">
        <v>10</v>
      </c>
      <c r="E42" s="13">
        <v>1170</v>
      </c>
      <c r="F42" s="10"/>
      <c r="G42" s="11">
        <f t="shared" si="0"/>
        <v>0</v>
      </c>
      <c r="H42" s="12">
        <v>24.7</v>
      </c>
    </row>
    <row r="43" spans="1:8" x14ac:dyDescent="0.25">
      <c r="A43" s="6" t="s">
        <v>136</v>
      </c>
      <c r="B43" s="7" t="s">
        <v>137</v>
      </c>
      <c r="C43" s="7" t="s">
        <v>138</v>
      </c>
      <c r="D43" s="8" t="s">
        <v>10</v>
      </c>
      <c r="E43" s="13">
        <v>1750</v>
      </c>
      <c r="F43" s="10"/>
      <c r="G43" s="11">
        <f t="shared" si="0"/>
        <v>0</v>
      </c>
      <c r="H43" s="12">
        <v>32.700000000000003</v>
      </c>
    </row>
    <row r="44" spans="1:8" x14ac:dyDescent="0.25">
      <c r="A44" s="6" t="s">
        <v>139</v>
      </c>
      <c r="B44" s="7" t="s">
        <v>140</v>
      </c>
      <c r="C44" s="7" t="s">
        <v>141</v>
      </c>
      <c r="D44" s="8" t="s">
        <v>37</v>
      </c>
      <c r="E44" s="13">
        <v>2198</v>
      </c>
      <c r="F44" s="10"/>
      <c r="G44" s="11">
        <f t="shared" si="0"/>
        <v>0</v>
      </c>
      <c r="H44" s="12">
        <v>64.2</v>
      </c>
    </row>
    <row r="45" spans="1:8" x14ac:dyDescent="0.25">
      <c r="A45" s="6" t="s">
        <v>142</v>
      </c>
      <c r="B45" s="7" t="s">
        <v>143</v>
      </c>
      <c r="C45" s="7" t="s">
        <v>144</v>
      </c>
      <c r="D45" s="8" t="s">
        <v>37</v>
      </c>
      <c r="E45" s="13">
        <v>188</v>
      </c>
      <c r="F45" s="10"/>
      <c r="G45" s="11">
        <f t="shared" si="0"/>
        <v>0</v>
      </c>
      <c r="H45" s="12">
        <v>16</v>
      </c>
    </row>
    <row r="46" spans="1:8" x14ac:dyDescent="0.25">
      <c r="A46" s="6" t="s">
        <v>145</v>
      </c>
      <c r="B46" s="7" t="s">
        <v>146</v>
      </c>
      <c r="C46" s="7" t="s">
        <v>147</v>
      </c>
      <c r="D46" s="8" t="s">
        <v>10</v>
      </c>
      <c r="E46" s="13">
        <v>196.26</v>
      </c>
      <c r="F46" s="10"/>
      <c r="G46" s="11">
        <f t="shared" si="0"/>
        <v>0</v>
      </c>
      <c r="H46" s="12">
        <v>10.5</v>
      </c>
    </row>
    <row r="47" spans="1:8" x14ac:dyDescent="0.25">
      <c r="A47" s="6" t="s">
        <v>148</v>
      </c>
      <c r="B47" s="7" t="s">
        <v>149</v>
      </c>
      <c r="C47" s="7" t="s">
        <v>150</v>
      </c>
      <c r="D47" s="8" t="s">
        <v>151</v>
      </c>
      <c r="E47" s="13">
        <v>995</v>
      </c>
      <c r="F47" s="10"/>
      <c r="G47" s="11">
        <f t="shared" si="0"/>
        <v>0</v>
      </c>
      <c r="H47" s="12">
        <v>16.3</v>
      </c>
    </row>
    <row r="48" spans="1:8" x14ac:dyDescent="0.25">
      <c r="A48" s="6" t="s">
        <v>152</v>
      </c>
      <c r="B48" s="7" t="s">
        <v>153</v>
      </c>
      <c r="C48" s="7" t="s">
        <v>154</v>
      </c>
      <c r="D48" s="8" t="s">
        <v>10</v>
      </c>
      <c r="E48" s="23">
        <v>2140</v>
      </c>
      <c r="F48" s="10"/>
      <c r="G48" s="11">
        <f t="shared" si="0"/>
        <v>0</v>
      </c>
      <c r="H48" s="12">
        <v>29.7</v>
      </c>
    </row>
    <row r="49" spans="1:8" x14ac:dyDescent="0.25">
      <c r="A49" s="6" t="s">
        <v>155</v>
      </c>
      <c r="B49" s="7" t="s">
        <v>156</v>
      </c>
      <c r="C49" s="7" t="s">
        <v>157</v>
      </c>
      <c r="D49" s="8" t="s">
        <v>10</v>
      </c>
      <c r="E49" s="13">
        <v>2690</v>
      </c>
      <c r="F49" s="10"/>
      <c r="G49" s="11">
        <f t="shared" si="0"/>
        <v>0</v>
      </c>
      <c r="H49" s="12">
        <v>29.7</v>
      </c>
    </row>
    <row r="50" spans="1:8" x14ac:dyDescent="0.25">
      <c r="A50" s="6" t="s">
        <v>158</v>
      </c>
      <c r="B50" s="7" t="s">
        <v>159</v>
      </c>
      <c r="C50" s="7" t="s">
        <v>160</v>
      </c>
      <c r="D50" s="8" t="s">
        <v>10</v>
      </c>
      <c r="E50" s="13">
        <v>1650</v>
      </c>
      <c r="F50" s="10"/>
      <c r="G50" s="11">
        <f t="shared" si="0"/>
        <v>0</v>
      </c>
      <c r="H50" s="12">
        <v>32.700000000000003</v>
      </c>
    </row>
    <row r="51" spans="1:8" x14ac:dyDescent="0.25">
      <c r="A51" s="6" t="s">
        <v>161</v>
      </c>
      <c r="B51" s="7" t="s">
        <v>162</v>
      </c>
      <c r="C51" s="7" t="s">
        <v>163</v>
      </c>
      <c r="D51" s="8" t="s">
        <v>10</v>
      </c>
      <c r="E51" s="13">
        <v>298</v>
      </c>
      <c r="F51" s="10"/>
      <c r="G51" s="11">
        <f t="shared" si="0"/>
        <v>0</v>
      </c>
      <c r="H51" s="12">
        <v>12.4</v>
      </c>
    </row>
    <row r="52" spans="1:8" x14ac:dyDescent="0.25">
      <c r="A52" s="6" t="s">
        <v>164</v>
      </c>
      <c r="B52" s="7" t="s">
        <v>165</v>
      </c>
      <c r="C52" s="7" t="s">
        <v>166</v>
      </c>
      <c r="D52" s="8" t="s">
        <v>10</v>
      </c>
      <c r="E52" s="13">
        <v>998</v>
      </c>
      <c r="F52" s="10"/>
      <c r="G52" s="11">
        <f t="shared" si="0"/>
        <v>0</v>
      </c>
      <c r="H52" s="12">
        <v>15</v>
      </c>
    </row>
    <row r="53" spans="1:8" x14ac:dyDescent="0.25">
      <c r="A53" s="6" t="s">
        <v>167</v>
      </c>
      <c r="B53" s="7" t="s">
        <v>168</v>
      </c>
      <c r="C53" s="7" t="s">
        <v>169</v>
      </c>
      <c r="D53" s="8" t="s">
        <v>10</v>
      </c>
      <c r="E53" s="13">
        <v>298</v>
      </c>
      <c r="F53" s="10"/>
      <c r="G53" s="11">
        <f t="shared" si="0"/>
        <v>0</v>
      </c>
      <c r="H53" s="12">
        <v>10.9</v>
      </c>
    </row>
    <row r="54" spans="1:8" x14ac:dyDescent="0.25">
      <c r="A54" s="6" t="s">
        <v>170</v>
      </c>
      <c r="B54" s="7" t="s">
        <v>171</v>
      </c>
      <c r="C54" s="7" t="s">
        <v>172</v>
      </c>
      <c r="D54" s="8" t="s">
        <v>14</v>
      </c>
      <c r="E54" s="13">
        <v>803.42741935483866</v>
      </c>
      <c r="F54" s="10"/>
      <c r="G54" s="11">
        <f t="shared" si="0"/>
        <v>0</v>
      </c>
      <c r="H54" s="21">
        <v>70.400000000000006</v>
      </c>
    </row>
    <row r="55" spans="1:8" x14ac:dyDescent="0.25">
      <c r="A55" s="6" t="s">
        <v>173</v>
      </c>
      <c r="B55" s="7" t="s">
        <v>174</v>
      </c>
      <c r="C55" s="7" t="s">
        <v>175</v>
      </c>
      <c r="D55" s="8" t="s">
        <v>10</v>
      </c>
      <c r="E55" s="13">
        <v>768</v>
      </c>
      <c r="F55" s="10"/>
      <c r="G55" s="11">
        <f t="shared" si="0"/>
        <v>0</v>
      </c>
      <c r="H55" s="12">
        <v>21.8</v>
      </c>
    </row>
    <row r="56" spans="1:8" x14ac:dyDescent="0.25">
      <c r="A56" s="6" t="s">
        <v>176</v>
      </c>
      <c r="B56" s="7" t="s">
        <v>177</v>
      </c>
      <c r="C56" s="7" t="s">
        <v>178</v>
      </c>
      <c r="D56" s="8" t="s">
        <v>10</v>
      </c>
      <c r="E56" s="13">
        <v>98.13</v>
      </c>
      <c r="F56" s="10"/>
      <c r="G56" s="11">
        <f t="shared" si="0"/>
        <v>0</v>
      </c>
      <c r="H56" s="12">
        <v>31.4</v>
      </c>
    </row>
    <row r="57" spans="1:8" x14ac:dyDescent="0.25">
      <c r="A57" s="6" t="s">
        <v>179</v>
      </c>
      <c r="B57" s="7" t="s">
        <v>180</v>
      </c>
      <c r="C57" s="7" t="s">
        <v>181</v>
      </c>
      <c r="D57" s="8" t="s">
        <v>14</v>
      </c>
      <c r="E57" s="13">
        <v>1053.4274193548388</v>
      </c>
      <c r="F57" s="10"/>
      <c r="G57" s="11">
        <f t="shared" si="0"/>
        <v>0</v>
      </c>
      <c r="H57" s="21">
        <v>113.1</v>
      </c>
    </row>
    <row r="58" spans="1:8" x14ac:dyDescent="0.25">
      <c r="A58" s="6" t="s">
        <v>182</v>
      </c>
      <c r="B58" s="7" t="s">
        <v>183</v>
      </c>
      <c r="C58" s="7" t="s">
        <v>184</v>
      </c>
      <c r="D58" s="8" t="s">
        <v>21</v>
      </c>
      <c r="E58" s="13">
        <v>120</v>
      </c>
      <c r="F58" s="10"/>
      <c r="G58" s="11">
        <f t="shared" si="0"/>
        <v>0</v>
      </c>
      <c r="H58" s="12">
        <v>17.600000000000001</v>
      </c>
    </row>
    <row r="59" spans="1:8" x14ac:dyDescent="0.25">
      <c r="A59" s="6" t="s">
        <v>185</v>
      </c>
      <c r="B59" s="7" t="s">
        <v>186</v>
      </c>
      <c r="C59" s="7" t="s">
        <v>187</v>
      </c>
      <c r="D59" s="8" t="s">
        <v>10</v>
      </c>
      <c r="E59" s="13">
        <v>597</v>
      </c>
      <c r="F59" s="10"/>
      <c r="G59" s="11">
        <f t="shared" si="0"/>
        <v>0</v>
      </c>
      <c r="H59" s="12">
        <v>29.7</v>
      </c>
    </row>
    <row r="60" spans="1:8" x14ac:dyDescent="0.25">
      <c r="A60" s="6" t="s">
        <v>188</v>
      </c>
      <c r="B60" s="7" t="s">
        <v>189</v>
      </c>
      <c r="C60" s="7" t="s">
        <v>190</v>
      </c>
      <c r="D60" s="8" t="s">
        <v>10</v>
      </c>
      <c r="E60" s="13">
        <v>2340</v>
      </c>
      <c r="F60" s="10"/>
      <c r="G60" s="11">
        <f t="shared" si="0"/>
        <v>0</v>
      </c>
      <c r="H60" s="12">
        <v>32.700000000000003</v>
      </c>
    </row>
    <row r="61" spans="1:8" x14ac:dyDescent="0.25">
      <c r="A61" s="6" t="s">
        <v>191</v>
      </c>
      <c r="B61" s="7" t="s">
        <v>192</v>
      </c>
      <c r="C61" s="7" t="s">
        <v>193</v>
      </c>
      <c r="D61" s="8" t="s">
        <v>10</v>
      </c>
      <c r="E61" s="13">
        <v>1760</v>
      </c>
      <c r="F61" s="10"/>
      <c r="G61" s="11">
        <f t="shared" si="0"/>
        <v>0</v>
      </c>
      <c r="H61" s="12">
        <v>29.7</v>
      </c>
    </row>
    <row r="62" spans="1:8" x14ac:dyDescent="0.25">
      <c r="A62" s="6" t="s">
        <v>194</v>
      </c>
      <c r="B62" s="7" t="s">
        <v>195</v>
      </c>
      <c r="C62" s="7" t="s">
        <v>196</v>
      </c>
      <c r="D62" s="8" t="s">
        <v>14</v>
      </c>
      <c r="E62" s="13">
        <v>494.95967741935482</v>
      </c>
      <c r="F62" s="10"/>
      <c r="G62" s="11">
        <f t="shared" si="0"/>
        <v>0</v>
      </c>
      <c r="H62" s="21">
        <v>56.6</v>
      </c>
    </row>
    <row r="63" spans="1:8" x14ac:dyDescent="0.25">
      <c r="A63" s="6" t="s">
        <v>197</v>
      </c>
      <c r="B63" s="7" t="s">
        <v>198</v>
      </c>
      <c r="C63" s="7" t="s">
        <v>199</v>
      </c>
      <c r="D63" s="8" t="s">
        <v>10</v>
      </c>
      <c r="E63" s="13">
        <v>4430</v>
      </c>
      <c r="F63" s="10"/>
      <c r="G63" s="11">
        <f t="shared" si="0"/>
        <v>0</v>
      </c>
      <c r="H63" s="12">
        <v>79.3</v>
      </c>
    </row>
    <row r="64" spans="1:8" x14ac:dyDescent="0.25">
      <c r="A64" s="6" t="s">
        <v>200</v>
      </c>
      <c r="B64" s="7" t="s">
        <v>201</v>
      </c>
      <c r="C64" s="7" t="s">
        <v>202</v>
      </c>
      <c r="D64" s="17" t="s">
        <v>47</v>
      </c>
      <c r="E64" s="18">
        <v>1538</v>
      </c>
      <c r="F64" s="10"/>
      <c r="G64" s="11">
        <f t="shared" si="0"/>
        <v>0</v>
      </c>
      <c r="H64" s="19">
        <v>106</v>
      </c>
    </row>
    <row r="65" spans="1:8" x14ac:dyDescent="0.25">
      <c r="A65" s="6" t="s">
        <v>203</v>
      </c>
      <c r="B65" s="7" t="s">
        <v>204</v>
      </c>
      <c r="C65" s="7" t="s">
        <v>205</v>
      </c>
      <c r="D65" s="17" t="s">
        <v>47</v>
      </c>
      <c r="E65" s="18">
        <v>338</v>
      </c>
      <c r="F65" s="10"/>
      <c r="G65" s="11">
        <f t="shared" si="0"/>
        <v>0</v>
      </c>
      <c r="H65" s="19">
        <v>28</v>
      </c>
    </row>
    <row r="66" spans="1:8" x14ac:dyDescent="0.25">
      <c r="A66" s="6" t="s">
        <v>206</v>
      </c>
      <c r="B66" s="7" t="s">
        <v>207</v>
      </c>
      <c r="C66" s="7" t="s">
        <v>208</v>
      </c>
      <c r="D66" s="8" t="s">
        <v>10</v>
      </c>
      <c r="E66" s="13">
        <v>1340</v>
      </c>
      <c r="F66" s="10"/>
      <c r="G66" s="11">
        <f t="shared" si="0"/>
        <v>0</v>
      </c>
      <c r="H66" s="12">
        <v>29.7</v>
      </c>
    </row>
    <row r="67" spans="1:8" x14ac:dyDescent="0.25">
      <c r="A67" s="6" t="s">
        <v>209</v>
      </c>
      <c r="B67" s="7" t="s">
        <v>210</v>
      </c>
      <c r="C67" s="7" t="s">
        <v>211</v>
      </c>
      <c r="D67" s="8" t="s">
        <v>10</v>
      </c>
      <c r="E67" s="13">
        <v>1298</v>
      </c>
      <c r="F67" s="10"/>
      <c r="G67" s="11">
        <f t="shared" ref="G67:G130" si="1">E67*F67</f>
        <v>0</v>
      </c>
      <c r="H67" s="12">
        <v>32.200000000000003</v>
      </c>
    </row>
    <row r="68" spans="1:8" x14ac:dyDescent="0.25">
      <c r="A68" s="6" t="s">
        <v>212</v>
      </c>
      <c r="B68" s="7" t="s">
        <v>213</v>
      </c>
      <c r="C68" s="7"/>
      <c r="D68" s="17" t="s">
        <v>47</v>
      </c>
      <c r="E68" s="18">
        <v>858</v>
      </c>
      <c r="F68" s="10"/>
      <c r="G68" s="11">
        <f t="shared" si="1"/>
        <v>0</v>
      </c>
      <c r="H68" s="19">
        <v>42</v>
      </c>
    </row>
    <row r="69" spans="1:8" x14ac:dyDescent="0.25">
      <c r="A69" s="6" t="s">
        <v>214</v>
      </c>
      <c r="B69" s="7" t="s">
        <v>215</v>
      </c>
      <c r="C69" s="7" t="s">
        <v>216</v>
      </c>
      <c r="D69" s="8" t="s">
        <v>10</v>
      </c>
      <c r="E69" s="13">
        <v>298</v>
      </c>
      <c r="F69" s="10"/>
      <c r="G69" s="11">
        <f t="shared" si="1"/>
        <v>0</v>
      </c>
      <c r="H69" s="12">
        <v>15.2</v>
      </c>
    </row>
    <row r="70" spans="1:8" x14ac:dyDescent="0.25">
      <c r="A70" s="6" t="s">
        <v>217</v>
      </c>
      <c r="B70" s="7" t="s">
        <v>218</v>
      </c>
      <c r="C70" s="7" t="s">
        <v>219</v>
      </c>
      <c r="D70" s="8" t="s">
        <v>10</v>
      </c>
      <c r="E70" s="13">
        <v>2100</v>
      </c>
      <c r="F70" s="10"/>
      <c r="G70" s="11">
        <f t="shared" si="1"/>
        <v>0</v>
      </c>
      <c r="H70" s="12">
        <v>64.3</v>
      </c>
    </row>
    <row r="71" spans="1:8" x14ac:dyDescent="0.25">
      <c r="A71" s="6" t="s">
        <v>220</v>
      </c>
      <c r="B71" s="7" t="s">
        <v>221</v>
      </c>
      <c r="C71" s="7" t="s">
        <v>222</v>
      </c>
      <c r="D71" s="8" t="s">
        <v>21</v>
      </c>
      <c r="E71" s="13">
        <v>620</v>
      </c>
      <c r="F71" s="10"/>
      <c r="G71" s="11">
        <f t="shared" si="1"/>
        <v>0</v>
      </c>
      <c r="H71" s="12">
        <v>15</v>
      </c>
    </row>
    <row r="72" spans="1:8" x14ac:dyDescent="0.25">
      <c r="A72" s="6" t="s">
        <v>223</v>
      </c>
      <c r="B72" s="7" t="s">
        <v>224</v>
      </c>
      <c r="C72" s="7" t="s">
        <v>225</v>
      </c>
      <c r="D72" s="8" t="s">
        <v>226</v>
      </c>
      <c r="E72" s="13">
        <v>185</v>
      </c>
      <c r="F72" s="10"/>
      <c r="G72" s="11">
        <f t="shared" si="1"/>
        <v>0</v>
      </c>
      <c r="H72" s="12">
        <v>21.5</v>
      </c>
    </row>
    <row r="73" spans="1:8" x14ac:dyDescent="0.25">
      <c r="A73" s="6" t="s">
        <v>227</v>
      </c>
      <c r="B73" s="7" t="s">
        <v>228</v>
      </c>
      <c r="C73" s="7" t="s">
        <v>229</v>
      </c>
      <c r="D73" s="8" t="s">
        <v>151</v>
      </c>
      <c r="E73" s="13">
        <v>845</v>
      </c>
      <c r="F73" s="10"/>
      <c r="G73" s="11">
        <f t="shared" si="1"/>
        <v>0</v>
      </c>
      <c r="H73" s="12">
        <v>16.3</v>
      </c>
    </row>
    <row r="74" spans="1:8" x14ac:dyDescent="0.25">
      <c r="A74" s="6" t="s">
        <v>230</v>
      </c>
      <c r="B74" s="7" t="s">
        <v>231</v>
      </c>
      <c r="C74" s="7" t="s">
        <v>232</v>
      </c>
      <c r="D74" s="8" t="s">
        <v>10</v>
      </c>
      <c r="E74" s="13">
        <v>198</v>
      </c>
      <c r="F74" s="10"/>
      <c r="G74" s="11">
        <f t="shared" si="1"/>
        <v>0</v>
      </c>
      <c r="H74" s="12">
        <v>15</v>
      </c>
    </row>
    <row r="75" spans="1:8" x14ac:dyDescent="0.25">
      <c r="A75" s="6" t="s">
        <v>233</v>
      </c>
      <c r="B75" s="7" t="s">
        <v>234</v>
      </c>
      <c r="C75" s="7" t="s">
        <v>235</v>
      </c>
      <c r="D75" s="8" t="s">
        <v>54</v>
      </c>
      <c r="E75" s="13">
        <v>488.64526233359442</v>
      </c>
      <c r="F75" s="10"/>
      <c r="G75" s="11">
        <f t="shared" si="1"/>
        <v>0</v>
      </c>
      <c r="H75" s="20">
        <v>17.8</v>
      </c>
    </row>
    <row r="76" spans="1:8" x14ac:dyDescent="0.25">
      <c r="A76" s="6" t="s">
        <v>236</v>
      </c>
      <c r="B76" s="7" t="s">
        <v>237</v>
      </c>
      <c r="C76" s="7" t="s">
        <v>238</v>
      </c>
      <c r="D76" s="8" t="s">
        <v>54</v>
      </c>
      <c r="E76" s="13">
        <v>294.4400939702428</v>
      </c>
      <c r="F76" s="10"/>
      <c r="G76" s="11">
        <f t="shared" si="1"/>
        <v>0</v>
      </c>
      <c r="H76" s="20">
        <v>11.9</v>
      </c>
    </row>
    <row r="77" spans="1:8" x14ac:dyDescent="0.25">
      <c r="A77" s="6" t="s">
        <v>239</v>
      </c>
      <c r="B77" s="7" t="s">
        <v>240</v>
      </c>
      <c r="C77" s="7" t="s">
        <v>241</v>
      </c>
      <c r="D77" s="8" t="s">
        <v>10</v>
      </c>
      <c r="E77" s="13">
        <v>1998</v>
      </c>
      <c r="F77" s="10"/>
      <c r="G77" s="11">
        <f t="shared" si="1"/>
        <v>0</v>
      </c>
      <c r="H77" s="12">
        <v>48.2</v>
      </c>
    </row>
    <row r="78" spans="1:8" x14ac:dyDescent="0.25">
      <c r="A78" s="6" t="s">
        <v>242</v>
      </c>
      <c r="B78" s="7" t="s">
        <v>243</v>
      </c>
      <c r="C78" s="7" t="s">
        <v>244</v>
      </c>
      <c r="D78" s="17" t="s">
        <v>245</v>
      </c>
      <c r="E78" s="18">
        <v>157.94</v>
      </c>
      <c r="F78" s="10"/>
      <c r="G78" s="11">
        <f t="shared" si="1"/>
        <v>0</v>
      </c>
      <c r="H78" s="19">
        <v>20</v>
      </c>
    </row>
    <row r="79" spans="1:8" x14ac:dyDescent="0.25">
      <c r="A79" s="6" t="s">
        <v>246</v>
      </c>
      <c r="B79" s="7" t="s">
        <v>247</v>
      </c>
      <c r="C79" s="7" t="s">
        <v>248</v>
      </c>
      <c r="D79" s="8" t="s">
        <v>10</v>
      </c>
      <c r="E79" s="13">
        <v>305</v>
      </c>
      <c r="F79" s="10"/>
      <c r="G79" s="11">
        <f t="shared" si="1"/>
        <v>0</v>
      </c>
      <c r="H79" s="12">
        <v>30.7</v>
      </c>
    </row>
    <row r="80" spans="1:8" x14ac:dyDescent="0.25">
      <c r="A80" s="15" t="s">
        <v>249</v>
      </c>
      <c r="B80" s="16" t="s">
        <v>250</v>
      </c>
      <c r="C80" s="16" t="s">
        <v>251</v>
      </c>
      <c r="D80" s="17" t="s">
        <v>47</v>
      </c>
      <c r="E80" s="18">
        <v>288</v>
      </c>
      <c r="F80" s="10"/>
      <c r="G80" s="11">
        <f t="shared" si="1"/>
        <v>0</v>
      </c>
      <c r="H80" s="19">
        <v>34</v>
      </c>
    </row>
    <row r="81" spans="1:8" x14ac:dyDescent="0.25">
      <c r="A81" s="6" t="s">
        <v>252</v>
      </c>
      <c r="B81" s="7" t="s">
        <v>253</v>
      </c>
      <c r="C81" s="7" t="s">
        <v>254</v>
      </c>
      <c r="D81" s="8" t="s">
        <v>10</v>
      </c>
      <c r="E81" s="13">
        <v>3990</v>
      </c>
      <c r="F81" s="10"/>
      <c r="G81" s="11">
        <f t="shared" si="1"/>
        <v>0</v>
      </c>
      <c r="H81" s="12">
        <v>108.1</v>
      </c>
    </row>
    <row r="82" spans="1:8" x14ac:dyDescent="0.25">
      <c r="A82" s="6" t="s">
        <v>255</v>
      </c>
      <c r="B82" s="7" t="s">
        <v>256</v>
      </c>
      <c r="C82" s="7" t="s">
        <v>257</v>
      </c>
      <c r="D82" s="8" t="s">
        <v>54</v>
      </c>
      <c r="E82" s="13">
        <v>375.88097102584186</v>
      </c>
      <c r="F82" s="10"/>
      <c r="G82" s="11">
        <f t="shared" si="1"/>
        <v>0</v>
      </c>
      <c r="H82" s="20">
        <v>11.9</v>
      </c>
    </row>
    <row r="83" spans="1:8" x14ac:dyDescent="0.25">
      <c r="A83" s="15" t="s">
        <v>258</v>
      </c>
      <c r="B83" s="16" t="s">
        <v>259</v>
      </c>
      <c r="C83" s="16" t="s">
        <v>260</v>
      </c>
      <c r="D83" s="17" t="s">
        <v>47</v>
      </c>
      <c r="E83" s="18">
        <v>408</v>
      </c>
      <c r="F83" s="10"/>
      <c r="G83" s="11">
        <f t="shared" si="1"/>
        <v>0</v>
      </c>
      <c r="H83" s="19">
        <v>32</v>
      </c>
    </row>
    <row r="84" spans="1:8" x14ac:dyDescent="0.25">
      <c r="A84" s="6" t="s">
        <v>261</v>
      </c>
      <c r="B84" s="17" t="s">
        <v>262</v>
      </c>
      <c r="C84" s="7" t="s">
        <v>263</v>
      </c>
      <c r="D84" s="8" t="s">
        <v>10</v>
      </c>
      <c r="E84" s="13">
        <v>149</v>
      </c>
      <c r="F84" s="10"/>
      <c r="G84" s="11">
        <f t="shared" si="1"/>
        <v>0</v>
      </c>
      <c r="H84" s="12">
        <v>11</v>
      </c>
    </row>
    <row r="85" spans="1:8" x14ac:dyDescent="0.25">
      <c r="A85" s="6" t="s">
        <v>264</v>
      </c>
      <c r="B85" s="7" t="s">
        <v>265</v>
      </c>
      <c r="C85" s="7" t="s">
        <v>266</v>
      </c>
      <c r="D85" s="8" t="s">
        <v>10</v>
      </c>
      <c r="E85" s="13">
        <v>1990</v>
      </c>
      <c r="F85" s="10"/>
      <c r="G85" s="11">
        <f t="shared" si="1"/>
        <v>0</v>
      </c>
      <c r="H85" s="12">
        <v>32.700000000000003</v>
      </c>
    </row>
    <row r="86" spans="1:8" x14ac:dyDescent="0.25">
      <c r="A86" s="6" t="s">
        <v>267</v>
      </c>
      <c r="B86" s="7" t="s">
        <v>268</v>
      </c>
      <c r="C86" s="7" t="s">
        <v>269</v>
      </c>
      <c r="D86" s="8" t="s">
        <v>37</v>
      </c>
      <c r="E86" s="13">
        <v>846</v>
      </c>
      <c r="F86" s="10"/>
      <c r="G86" s="11">
        <f t="shared" si="1"/>
        <v>0</v>
      </c>
      <c r="H86" s="19">
        <v>35.5</v>
      </c>
    </row>
    <row r="87" spans="1:8" x14ac:dyDescent="0.25">
      <c r="A87" s="6" t="s">
        <v>270</v>
      </c>
      <c r="B87" s="7" t="s">
        <v>271</v>
      </c>
      <c r="C87" s="7" t="s">
        <v>272</v>
      </c>
      <c r="D87" s="8" t="s">
        <v>10</v>
      </c>
      <c r="E87" s="13">
        <v>279</v>
      </c>
      <c r="F87" s="10"/>
      <c r="G87" s="11">
        <f t="shared" si="1"/>
        <v>0</v>
      </c>
      <c r="H87" s="19">
        <v>15.2</v>
      </c>
    </row>
    <row r="88" spans="1:8" x14ac:dyDescent="0.25">
      <c r="A88" s="6" t="s">
        <v>273</v>
      </c>
      <c r="B88" s="7" t="s">
        <v>274</v>
      </c>
      <c r="C88" s="7" t="s">
        <v>275</v>
      </c>
      <c r="D88" s="8" t="s">
        <v>14</v>
      </c>
      <c r="E88" s="13">
        <v>466.73387096774195</v>
      </c>
      <c r="F88" s="10"/>
      <c r="G88" s="11">
        <f t="shared" si="1"/>
        <v>0</v>
      </c>
      <c r="H88" s="14">
        <v>23.6</v>
      </c>
    </row>
    <row r="89" spans="1:8" x14ac:dyDescent="0.25">
      <c r="A89" s="6" t="s">
        <v>276</v>
      </c>
      <c r="B89" s="7" t="s">
        <v>277</v>
      </c>
      <c r="C89" s="7" t="s">
        <v>278</v>
      </c>
      <c r="D89" s="8" t="s">
        <v>10</v>
      </c>
      <c r="E89" s="13">
        <v>798</v>
      </c>
      <c r="F89" s="10"/>
      <c r="G89" s="11">
        <f t="shared" si="1"/>
        <v>0</v>
      </c>
      <c r="H89" s="19">
        <v>24.2</v>
      </c>
    </row>
    <row r="90" spans="1:8" x14ac:dyDescent="0.25">
      <c r="A90" s="6" t="s">
        <v>279</v>
      </c>
      <c r="B90" s="7" t="s">
        <v>280</v>
      </c>
      <c r="C90" s="7" t="s">
        <v>281</v>
      </c>
      <c r="D90" s="8" t="s">
        <v>10</v>
      </c>
      <c r="E90" s="13">
        <v>2850</v>
      </c>
      <c r="F90" s="10"/>
      <c r="G90" s="11">
        <f t="shared" si="1"/>
        <v>0</v>
      </c>
      <c r="H90" s="19">
        <v>48.2</v>
      </c>
    </row>
    <row r="91" spans="1:8" x14ac:dyDescent="0.25">
      <c r="A91" s="6" t="s">
        <v>282</v>
      </c>
      <c r="B91" s="7" t="s">
        <v>283</v>
      </c>
      <c r="C91" s="7" t="s">
        <v>284</v>
      </c>
      <c r="D91" s="8" t="s">
        <v>10</v>
      </c>
      <c r="E91" s="13">
        <v>480</v>
      </c>
      <c r="F91" s="10"/>
      <c r="G91" s="11">
        <f t="shared" si="1"/>
        <v>0</v>
      </c>
      <c r="H91" s="19">
        <v>9.9</v>
      </c>
    </row>
    <row r="92" spans="1:8" x14ac:dyDescent="0.25">
      <c r="A92" s="6" t="s">
        <v>285</v>
      </c>
      <c r="B92" s="7" t="s">
        <v>286</v>
      </c>
      <c r="C92" s="7" t="s">
        <v>287</v>
      </c>
      <c r="D92" s="8" t="s">
        <v>10</v>
      </c>
      <c r="E92" s="13">
        <v>1590</v>
      </c>
      <c r="F92" s="10"/>
      <c r="G92" s="11">
        <f t="shared" si="1"/>
        <v>0</v>
      </c>
      <c r="H92" s="19">
        <v>32.700000000000003</v>
      </c>
    </row>
    <row r="93" spans="1:8" x14ac:dyDescent="0.25">
      <c r="A93" s="6" t="s">
        <v>288</v>
      </c>
      <c r="B93" s="7" t="s">
        <v>289</v>
      </c>
      <c r="C93" s="7" t="s">
        <v>290</v>
      </c>
      <c r="D93" s="8" t="s">
        <v>14</v>
      </c>
      <c r="E93" s="13">
        <v>771.16935483870964</v>
      </c>
      <c r="F93" s="10"/>
      <c r="G93" s="11">
        <f t="shared" si="1"/>
        <v>0</v>
      </c>
      <c r="H93" s="14">
        <v>70.400000000000006</v>
      </c>
    </row>
    <row r="94" spans="1:8" x14ac:dyDescent="0.25">
      <c r="A94" s="6" t="s">
        <v>291</v>
      </c>
      <c r="B94" s="7" t="s">
        <v>292</v>
      </c>
      <c r="C94" s="7" t="s">
        <v>293</v>
      </c>
      <c r="D94" s="8" t="s">
        <v>21</v>
      </c>
      <c r="E94" s="13">
        <v>129</v>
      </c>
      <c r="F94" s="10"/>
      <c r="G94" s="11">
        <f t="shared" si="1"/>
        <v>0</v>
      </c>
      <c r="H94" s="19">
        <v>8.8000000000000007</v>
      </c>
    </row>
    <row r="95" spans="1:8" x14ac:dyDescent="0.25">
      <c r="A95" s="6" t="s">
        <v>294</v>
      </c>
      <c r="B95" s="7" t="s">
        <v>295</v>
      </c>
      <c r="C95" s="7" t="s">
        <v>296</v>
      </c>
      <c r="D95" s="8" t="s">
        <v>10</v>
      </c>
      <c r="E95" s="13">
        <v>289.71962616822429</v>
      </c>
      <c r="F95" s="10"/>
      <c r="G95" s="11">
        <f t="shared" si="1"/>
        <v>0</v>
      </c>
      <c r="H95" s="12">
        <v>31.4</v>
      </c>
    </row>
    <row r="96" spans="1:8" x14ac:dyDescent="0.25">
      <c r="A96" s="6" t="s">
        <v>297</v>
      </c>
      <c r="B96" s="7" t="s">
        <v>298</v>
      </c>
      <c r="C96" s="7" t="s">
        <v>299</v>
      </c>
      <c r="D96" s="8" t="s">
        <v>10</v>
      </c>
      <c r="E96" s="13">
        <v>306.08999999999997</v>
      </c>
      <c r="F96" s="10"/>
      <c r="G96" s="11">
        <f t="shared" si="1"/>
        <v>0</v>
      </c>
      <c r="H96" s="12">
        <v>31.4</v>
      </c>
    </row>
    <row r="97" spans="1:8" x14ac:dyDescent="0.25">
      <c r="A97" s="6" t="s">
        <v>300</v>
      </c>
      <c r="B97" s="7" t="s">
        <v>301</v>
      </c>
      <c r="C97" s="7" t="s">
        <v>302</v>
      </c>
      <c r="D97" s="8" t="s">
        <v>10</v>
      </c>
      <c r="E97" s="13">
        <v>261.68</v>
      </c>
      <c r="F97" s="10"/>
      <c r="G97" s="11">
        <f t="shared" si="1"/>
        <v>0</v>
      </c>
      <c r="H97" s="19">
        <v>46.5</v>
      </c>
    </row>
    <row r="98" spans="1:8" x14ac:dyDescent="0.25">
      <c r="A98" s="6" t="s">
        <v>303</v>
      </c>
      <c r="B98" s="7" t="s">
        <v>304</v>
      </c>
      <c r="C98" s="7" t="s">
        <v>305</v>
      </c>
      <c r="D98" s="8" t="s">
        <v>10</v>
      </c>
      <c r="E98" s="13">
        <v>317.75700934579436</v>
      </c>
      <c r="F98" s="10"/>
      <c r="G98" s="11">
        <f t="shared" si="1"/>
        <v>0</v>
      </c>
      <c r="H98" s="19">
        <v>46.5</v>
      </c>
    </row>
    <row r="99" spans="1:8" x14ac:dyDescent="0.25">
      <c r="A99" s="6" t="s">
        <v>306</v>
      </c>
      <c r="B99" s="7" t="s">
        <v>307</v>
      </c>
      <c r="C99" s="7" t="s">
        <v>308</v>
      </c>
      <c r="D99" s="8" t="s">
        <v>10</v>
      </c>
      <c r="E99" s="13">
        <v>299.07</v>
      </c>
      <c r="F99" s="10"/>
      <c r="G99" s="11">
        <f t="shared" si="1"/>
        <v>0</v>
      </c>
      <c r="H99" s="19">
        <v>31.4</v>
      </c>
    </row>
    <row r="100" spans="1:8" x14ac:dyDescent="0.25">
      <c r="A100" s="6" t="s">
        <v>309</v>
      </c>
      <c r="B100" s="7" t="s">
        <v>310</v>
      </c>
      <c r="C100" s="7" t="s">
        <v>311</v>
      </c>
      <c r="D100" s="8" t="s">
        <v>10</v>
      </c>
      <c r="E100" s="13">
        <v>280.37383177570092</v>
      </c>
      <c r="F100" s="10"/>
      <c r="G100" s="11">
        <f t="shared" si="1"/>
        <v>0</v>
      </c>
      <c r="H100" s="19">
        <v>46.5</v>
      </c>
    </row>
    <row r="101" spans="1:8" x14ac:dyDescent="0.25">
      <c r="A101" s="6" t="s">
        <v>312</v>
      </c>
      <c r="B101" s="7" t="s">
        <v>313</v>
      </c>
      <c r="C101" s="7" t="s">
        <v>314</v>
      </c>
      <c r="D101" s="8" t="s">
        <v>10</v>
      </c>
      <c r="E101" s="13">
        <v>185.05</v>
      </c>
      <c r="F101" s="10"/>
      <c r="G101" s="11">
        <f t="shared" si="1"/>
        <v>0</v>
      </c>
      <c r="H101" s="19">
        <v>46.5</v>
      </c>
    </row>
    <row r="102" spans="1:8" x14ac:dyDescent="0.25">
      <c r="A102" s="6" t="s">
        <v>315</v>
      </c>
      <c r="B102" s="7" t="s">
        <v>316</v>
      </c>
      <c r="C102" s="7" t="s">
        <v>317</v>
      </c>
      <c r="D102" s="8" t="s">
        <v>10</v>
      </c>
      <c r="E102" s="13">
        <v>299.07</v>
      </c>
      <c r="F102" s="10"/>
      <c r="G102" s="11">
        <f t="shared" si="1"/>
        <v>0</v>
      </c>
      <c r="H102" s="19">
        <v>46.5</v>
      </c>
    </row>
    <row r="103" spans="1:8" x14ac:dyDescent="0.25">
      <c r="A103" s="6" t="s">
        <v>318</v>
      </c>
      <c r="B103" s="7" t="s">
        <v>319</v>
      </c>
      <c r="C103" s="7" t="s">
        <v>320</v>
      </c>
      <c r="D103" s="8" t="s">
        <v>10</v>
      </c>
      <c r="E103" s="13">
        <v>299.07</v>
      </c>
      <c r="F103" s="10"/>
      <c r="G103" s="11">
        <f t="shared" si="1"/>
        <v>0</v>
      </c>
      <c r="H103" s="19">
        <v>46.5</v>
      </c>
    </row>
    <row r="104" spans="1:8" x14ac:dyDescent="0.25">
      <c r="A104" s="6" t="s">
        <v>321</v>
      </c>
      <c r="B104" s="7" t="s">
        <v>322</v>
      </c>
      <c r="C104" s="7" t="s">
        <v>323</v>
      </c>
      <c r="D104" s="8" t="s">
        <v>10</v>
      </c>
      <c r="E104" s="13">
        <v>299.07</v>
      </c>
      <c r="F104" s="10"/>
      <c r="G104" s="11">
        <f t="shared" si="1"/>
        <v>0</v>
      </c>
      <c r="H104" s="19">
        <v>23.3</v>
      </c>
    </row>
    <row r="105" spans="1:8" x14ac:dyDescent="0.25">
      <c r="A105" s="6" t="s">
        <v>324</v>
      </c>
      <c r="B105" s="7" t="s">
        <v>325</v>
      </c>
      <c r="C105" s="7" t="s">
        <v>326</v>
      </c>
      <c r="D105" s="8" t="s">
        <v>10</v>
      </c>
      <c r="E105" s="13">
        <v>331.77570093457945</v>
      </c>
      <c r="F105" s="10"/>
      <c r="G105" s="11">
        <f t="shared" si="1"/>
        <v>0</v>
      </c>
      <c r="H105" s="19">
        <v>46.5</v>
      </c>
    </row>
    <row r="106" spans="1:8" x14ac:dyDescent="0.25">
      <c r="A106" s="6" t="s">
        <v>327</v>
      </c>
      <c r="B106" s="7" t="s">
        <v>328</v>
      </c>
      <c r="C106" s="7" t="s">
        <v>329</v>
      </c>
      <c r="D106" s="8" t="s">
        <v>10</v>
      </c>
      <c r="E106" s="13">
        <v>224.3</v>
      </c>
      <c r="F106" s="10"/>
      <c r="G106" s="11">
        <f t="shared" si="1"/>
        <v>0</v>
      </c>
      <c r="H106" s="19">
        <v>23.1</v>
      </c>
    </row>
    <row r="107" spans="1:8" x14ac:dyDescent="0.25">
      <c r="A107" s="6" t="s">
        <v>330</v>
      </c>
      <c r="B107" s="7" t="s">
        <v>331</v>
      </c>
      <c r="C107" s="7" t="s">
        <v>332</v>
      </c>
      <c r="D107" s="8" t="s">
        <v>10</v>
      </c>
      <c r="E107" s="13">
        <v>355.15</v>
      </c>
      <c r="F107" s="10"/>
      <c r="G107" s="11">
        <f t="shared" si="1"/>
        <v>0</v>
      </c>
      <c r="H107" s="19">
        <v>44.2</v>
      </c>
    </row>
    <row r="108" spans="1:8" x14ac:dyDescent="0.25">
      <c r="A108" s="6" t="s">
        <v>333</v>
      </c>
      <c r="B108" s="7" t="s">
        <v>334</v>
      </c>
      <c r="C108" s="7" t="s">
        <v>335</v>
      </c>
      <c r="D108" s="8" t="s">
        <v>10</v>
      </c>
      <c r="E108" s="13">
        <v>371.96</v>
      </c>
      <c r="F108" s="10"/>
      <c r="G108" s="11">
        <f t="shared" si="1"/>
        <v>0</v>
      </c>
      <c r="H108" s="19">
        <v>48.3</v>
      </c>
    </row>
    <row r="109" spans="1:8" x14ac:dyDescent="0.25">
      <c r="A109" s="6" t="s">
        <v>336</v>
      </c>
      <c r="B109" s="7" t="s">
        <v>337</v>
      </c>
      <c r="C109" s="7" t="s">
        <v>338</v>
      </c>
      <c r="D109" s="8" t="s">
        <v>10</v>
      </c>
      <c r="E109" s="13">
        <v>659</v>
      </c>
      <c r="F109" s="10"/>
      <c r="G109" s="11">
        <f t="shared" si="1"/>
        <v>0</v>
      </c>
      <c r="H109" s="19">
        <v>48.2</v>
      </c>
    </row>
    <row r="110" spans="1:8" x14ac:dyDescent="0.25">
      <c r="A110" s="6" t="s">
        <v>339</v>
      </c>
      <c r="B110" s="7" t="s">
        <v>340</v>
      </c>
      <c r="C110" s="7" t="s">
        <v>341</v>
      </c>
      <c r="D110" s="8" t="s">
        <v>10</v>
      </c>
      <c r="E110" s="13">
        <v>950</v>
      </c>
      <c r="F110" s="10"/>
      <c r="G110" s="11">
        <f t="shared" si="1"/>
        <v>0</v>
      </c>
      <c r="H110" s="19">
        <v>48.2</v>
      </c>
    </row>
    <row r="111" spans="1:8" x14ac:dyDescent="0.25">
      <c r="A111" s="6" t="s">
        <v>342</v>
      </c>
      <c r="B111" s="7" t="s">
        <v>343</v>
      </c>
      <c r="C111" s="7" t="s">
        <v>344</v>
      </c>
      <c r="D111" s="8" t="s">
        <v>14</v>
      </c>
      <c r="E111" s="13">
        <v>623.99193548387098</v>
      </c>
      <c r="F111" s="10"/>
      <c r="G111" s="11">
        <f t="shared" si="1"/>
        <v>0</v>
      </c>
      <c r="H111" s="14">
        <v>46.9</v>
      </c>
    </row>
    <row r="112" spans="1:8" x14ac:dyDescent="0.25">
      <c r="A112" s="6" t="s">
        <v>345</v>
      </c>
      <c r="B112" s="7" t="s">
        <v>346</v>
      </c>
      <c r="C112" s="7" t="s">
        <v>347</v>
      </c>
      <c r="D112" s="8" t="s">
        <v>10</v>
      </c>
      <c r="E112" s="13">
        <v>274</v>
      </c>
      <c r="F112" s="10"/>
      <c r="G112" s="11">
        <f t="shared" si="1"/>
        <v>0</v>
      </c>
      <c r="H112" s="19">
        <v>15.2</v>
      </c>
    </row>
    <row r="113" spans="1:8" x14ac:dyDescent="0.25">
      <c r="A113" s="6" t="s">
        <v>348</v>
      </c>
      <c r="B113" s="7" t="s">
        <v>349</v>
      </c>
      <c r="C113" s="7" t="s">
        <v>350</v>
      </c>
      <c r="D113" s="8" t="s">
        <v>14</v>
      </c>
      <c r="E113" s="13">
        <v>416.33064516129031</v>
      </c>
      <c r="F113" s="10"/>
      <c r="G113" s="11">
        <f t="shared" si="1"/>
        <v>0</v>
      </c>
      <c r="H113" s="14">
        <v>23.6</v>
      </c>
    </row>
    <row r="114" spans="1:8" x14ac:dyDescent="0.25">
      <c r="A114" s="6" t="s">
        <v>351</v>
      </c>
      <c r="B114" s="7" t="s">
        <v>352</v>
      </c>
      <c r="C114" s="7" t="s">
        <v>353</v>
      </c>
      <c r="D114" s="8" t="s">
        <v>10</v>
      </c>
      <c r="E114" s="13">
        <v>330</v>
      </c>
      <c r="F114" s="10"/>
      <c r="G114" s="11">
        <f t="shared" si="1"/>
        <v>0</v>
      </c>
      <c r="H114" s="19">
        <v>45.2</v>
      </c>
    </row>
    <row r="115" spans="1:8" x14ac:dyDescent="0.25">
      <c r="A115" s="6" t="s">
        <v>354</v>
      </c>
      <c r="B115" s="7" t="s">
        <v>355</v>
      </c>
      <c r="C115" s="7" t="s">
        <v>356</v>
      </c>
      <c r="D115" s="8" t="s">
        <v>10</v>
      </c>
      <c r="E115" s="13">
        <v>930</v>
      </c>
      <c r="F115" s="10"/>
      <c r="G115" s="11">
        <f t="shared" si="1"/>
        <v>0</v>
      </c>
      <c r="H115" s="19">
        <v>52.9</v>
      </c>
    </row>
    <row r="116" spans="1:8" x14ac:dyDescent="0.25">
      <c r="A116" s="6" t="s">
        <v>357</v>
      </c>
      <c r="B116" s="7" t="s">
        <v>358</v>
      </c>
      <c r="C116" s="7" t="s">
        <v>359</v>
      </c>
      <c r="D116" s="8" t="s">
        <v>10</v>
      </c>
      <c r="E116" s="13">
        <v>125</v>
      </c>
      <c r="F116" s="10"/>
      <c r="G116" s="11">
        <f t="shared" si="1"/>
        <v>0</v>
      </c>
      <c r="H116" s="19">
        <v>11.4</v>
      </c>
    </row>
    <row r="117" spans="1:8" x14ac:dyDescent="0.25">
      <c r="A117" s="6" t="s">
        <v>360</v>
      </c>
      <c r="B117" s="7" t="s">
        <v>361</v>
      </c>
      <c r="C117" s="7" t="s">
        <v>362</v>
      </c>
      <c r="D117" s="8" t="s">
        <v>14</v>
      </c>
      <c r="E117" s="13">
        <v>389.11290322580646</v>
      </c>
      <c r="F117" s="10"/>
      <c r="G117" s="11">
        <f t="shared" si="1"/>
        <v>0</v>
      </c>
      <c r="H117" s="14">
        <v>75.400000000000006</v>
      </c>
    </row>
    <row r="118" spans="1:8" x14ac:dyDescent="0.25">
      <c r="A118" s="6" t="s">
        <v>363</v>
      </c>
      <c r="B118" s="7" t="s">
        <v>364</v>
      </c>
      <c r="C118" s="7" t="s">
        <v>365</v>
      </c>
      <c r="D118" s="8" t="s">
        <v>10</v>
      </c>
      <c r="E118" s="13">
        <v>680</v>
      </c>
      <c r="F118" s="10"/>
      <c r="G118" s="11">
        <f t="shared" si="1"/>
        <v>0</v>
      </c>
      <c r="H118" s="19">
        <v>12.3</v>
      </c>
    </row>
    <row r="119" spans="1:8" x14ac:dyDescent="0.25">
      <c r="A119" s="15" t="s">
        <v>366</v>
      </c>
      <c r="B119" s="16" t="s">
        <v>367</v>
      </c>
      <c r="C119" s="16" t="s">
        <v>368</v>
      </c>
      <c r="D119" s="17" t="s">
        <v>47</v>
      </c>
      <c r="E119" s="18">
        <v>62</v>
      </c>
      <c r="F119" s="10"/>
      <c r="G119" s="11">
        <f t="shared" si="1"/>
        <v>0</v>
      </c>
      <c r="H119" s="19">
        <v>22</v>
      </c>
    </row>
    <row r="120" spans="1:8" x14ac:dyDescent="0.25">
      <c r="A120" s="6" t="s">
        <v>369</v>
      </c>
      <c r="B120" s="7" t="s">
        <v>370</v>
      </c>
      <c r="C120" s="7" t="s">
        <v>371</v>
      </c>
      <c r="D120" s="8" t="s">
        <v>10</v>
      </c>
      <c r="E120" s="13">
        <v>250</v>
      </c>
      <c r="F120" s="10"/>
      <c r="G120" s="11">
        <f t="shared" si="1"/>
        <v>0</v>
      </c>
      <c r="H120" s="19">
        <v>16.3</v>
      </c>
    </row>
    <row r="121" spans="1:8" x14ac:dyDescent="0.25">
      <c r="A121" s="6" t="s">
        <v>372</v>
      </c>
      <c r="B121" s="7" t="s">
        <v>373</v>
      </c>
      <c r="C121" s="7" t="s">
        <v>374</v>
      </c>
      <c r="D121" s="8" t="s">
        <v>375</v>
      </c>
      <c r="E121" s="13">
        <v>520</v>
      </c>
      <c r="F121" s="10"/>
      <c r="G121" s="11">
        <f t="shared" si="1"/>
        <v>0</v>
      </c>
      <c r="H121" s="19">
        <v>11</v>
      </c>
    </row>
    <row r="122" spans="1:8" x14ac:dyDescent="0.25">
      <c r="A122" s="6" t="s">
        <v>376</v>
      </c>
      <c r="B122" s="7" t="s">
        <v>377</v>
      </c>
      <c r="C122" s="7" t="s">
        <v>378</v>
      </c>
      <c r="D122" s="8" t="s">
        <v>54</v>
      </c>
      <c r="E122" s="13">
        <v>438.5277995301488</v>
      </c>
      <c r="F122" s="10"/>
      <c r="G122" s="11">
        <f t="shared" si="1"/>
        <v>0</v>
      </c>
      <c r="H122" s="24">
        <v>11.9</v>
      </c>
    </row>
    <row r="123" spans="1:8" x14ac:dyDescent="0.25">
      <c r="A123" s="6" t="s">
        <v>379</v>
      </c>
      <c r="B123" s="7" t="s">
        <v>380</v>
      </c>
      <c r="C123" s="7" t="s">
        <v>381</v>
      </c>
      <c r="D123" s="8" t="s">
        <v>10</v>
      </c>
      <c r="E123" s="13">
        <v>198</v>
      </c>
      <c r="F123" s="10"/>
      <c r="G123" s="11">
        <f t="shared" si="1"/>
        <v>0</v>
      </c>
      <c r="H123" s="19">
        <v>7.8</v>
      </c>
    </row>
    <row r="124" spans="1:8" x14ac:dyDescent="0.25">
      <c r="A124" s="6" t="s">
        <v>382</v>
      </c>
      <c r="B124" s="7" t="s">
        <v>383</v>
      </c>
      <c r="C124" s="7" t="s">
        <v>384</v>
      </c>
      <c r="D124" s="8" t="s">
        <v>10</v>
      </c>
      <c r="E124" s="13">
        <v>1300</v>
      </c>
      <c r="F124" s="10"/>
      <c r="G124" s="11">
        <f t="shared" si="1"/>
        <v>0</v>
      </c>
      <c r="H124" s="19">
        <v>64.2</v>
      </c>
    </row>
    <row r="125" spans="1:8" x14ac:dyDescent="0.25">
      <c r="A125" s="6" t="s">
        <v>385</v>
      </c>
      <c r="B125" s="7" t="s">
        <v>386</v>
      </c>
      <c r="C125" s="7" t="s">
        <v>387</v>
      </c>
      <c r="D125" s="8" t="s">
        <v>14</v>
      </c>
      <c r="E125" s="13">
        <v>851.81451612903231</v>
      </c>
      <c r="F125" s="10"/>
      <c r="G125" s="11">
        <f t="shared" si="1"/>
        <v>0</v>
      </c>
      <c r="H125" s="14">
        <v>113.1</v>
      </c>
    </row>
    <row r="126" spans="1:8" x14ac:dyDescent="0.25">
      <c r="A126" s="6" t="s">
        <v>388</v>
      </c>
      <c r="B126" s="7" t="s">
        <v>389</v>
      </c>
      <c r="C126" s="7" t="s">
        <v>390</v>
      </c>
      <c r="D126" s="8" t="s">
        <v>10</v>
      </c>
      <c r="E126" s="13">
        <v>107.48</v>
      </c>
      <c r="F126" s="10"/>
      <c r="G126" s="11">
        <f t="shared" si="1"/>
        <v>0</v>
      </c>
      <c r="H126" s="19">
        <v>9.6</v>
      </c>
    </row>
    <row r="127" spans="1:8" x14ac:dyDescent="0.25">
      <c r="A127" s="6" t="s">
        <v>391</v>
      </c>
      <c r="B127" s="7" t="s">
        <v>392</v>
      </c>
      <c r="C127" s="7" t="s">
        <v>393</v>
      </c>
      <c r="D127" s="8" t="s">
        <v>10</v>
      </c>
      <c r="E127" s="13">
        <v>1890</v>
      </c>
      <c r="F127" s="10"/>
      <c r="G127" s="11">
        <f t="shared" si="1"/>
        <v>0</v>
      </c>
      <c r="H127" s="19">
        <v>24.7</v>
      </c>
    </row>
    <row r="128" spans="1:8" x14ac:dyDescent="0.25">
      <c r="A128" s="6" t="s">
        <v>394</v>
      </c>
      <c r="B128" s="7" t="s">
        <v>395</v>
      </c>
      <c r="C128" s="7" t="s">
        <v>396</v>
      </c>
      <c r="D128" s="8" t="s">
        <v>151</v>
      </c>
      <c r="E128" s="13">
        <v>995</v>
      </c>
      <c r="F128" s="10"/>
      <c r="G128" s="11">
        <f t="shared" si="1"/>
        <v>0</v>
      </c>
      <c r="H128" s="19">
        <v>16.3</v>
      </c>
    </row>
    <row r="129" spans="1:8" x14ac:dyDescent="0.25">
      <c r="A129" s="6" t="s">
        <v>397</v>
      </c>
      <c r="B129" s="7" t="s">
        <v>398</v>
      </c>
      <c r="C129" s="7" t="s">
        <v>399</v>
      </c>
      <c r="D129" s="8" t="s">
        <v>10</v>
      </c>
      <c r="E129" s="13">
        <v>860</v>
      </c>
      <c r="F129" s="10"/>
      <c r="G129" s="11">
        <f t="shared" si="1"/>
        <v>0</v>
      </c>
      <c r="H129" s="19">
        <v>19.8</v>
      </c>
    </row>
    <row r="130" spans="1:8" x14ac:dyDescent="0.25">
      <c r="A130" s="6" t="s">
        <v>400</v>
      </c>
      <c r="B130" s="7" t="s">
        <v>401</v>
      </c>
      <c r="C130" s="7" t="s">
        <v>402</v>
      </c>
      <c r="D130" s="8" t="s">
        <v>151</v>
      </c>
      <c r="E130" s="13">
        <v>315</v>
      </c>
      <c r="F130" s="10"/>
      <c r="G130" s="11">
        <f t="shared" si="1"/>
        <v>0</v>
      </c>
      <c r="H130" s="19">
        <v>16.3</v>
      </c>
    </row>
    <row r="131" spans="1:8" x14ac:dyDescent="0.25">
      <c r="A131" s="6" t="s">
        <v>403</v>
      </c>
      <c r="B131" s="7" t="s">
        <v>404</v>
      </c>
      <c r="C131" s="7" t="s">
        <v>405</v>
      </c>
      <c r="D131" s="8" t="s">
        <v>10</v>
      </c>
      <c r="E131" s="13">
        <v>1400</v>
      </c>
      <c r="F131" s="10"/>
      <c r="G131" s="11">
        <f t="shared" ref="G131:G194" si="2">E131*F131</f>
        <v>0</v>
      </c>
      <c r="H131" s="19">
        <v>32.700000000000003</v>
      </c>
    </row>
    <row r="132" spans="1:8" x14ac:dyDescent="0.25">
      <c r="A132" s="6" t="s">
        <v>406</v>
      </c>
      <c r="B132" s="7" t="s">
        <v>407</v>
      </c>
      <c r="C132" s="7" t="s">
        <v>407</v>
      </c>
      <c r="D132" s="8" t="s">
        <v>10</v>
      </c>
      <c r="E132" s="13">
        <v>2790</v>
      </c>
      <c r="F132" s="10"/>
      <c r="G132" s="11">
        <f t="shared" si="2"/>
        <v>0</v>
      </c>
      <c r="H132" s="19">
        <v>32.700000000000003</v>
      </c>
    </row>
    <row r="133" spans="1:8" x14ac:dyDescent="0.25">
      <c r="A133" s="6" t="s">
        <v>408</v>
      </c>
      <c r="B133" s="7" t="s">
        <v>409</v>
      </c>
      <c r="C133" s="7" t="s">
        <v>410</v>
      </c>
      <c r="D133" s="8" t="s">
        <v>10</v>
      </c>
      <c r="E133" s="13">
        <v>440</v>
      </c>
      <c r="F133" s="10"/>
      <c r="G133" s="11">
        <f t="shared" si="2"/>
        <v>0</v>
      </c>
      <c r="H133" s="19">
        <v>32.700000000000003</v>
      </c>
    </row>
    <row r="134" spans="1:8" x14ac:dyDescent="0.25">
      <c r="A134" s="6" t="s">
        <v>411</v>
      </c>
      <c r="B134" s="7" t="s">
        <v>412</v>
      </c>
      <c r="C134" s="7" t="s">
        <v>413</v>
      </c>
      <c r="D134" s="8" t="s">
        <v>10</v>
      </c>
      <c r="E134" s="13">
        <v>1800</v>
      </c>
      <c r="F134" s="10"/>
      <c r="G134" s="11">
        <f t="shared" si="2"/>
        <v>0</v>
      </c>
      <c r="H134" s="19">
        <v>32.700000000000003</v>
      </c>
    </row>
    <row r="135" spans="1:8" x14ac:dyDescent="0.25">
      <c r="A135" s="6" t="s">
        <v>414</v>
      </c>
      <c r="B135" s="7" t="s">
        <v>415</v>
      </c>
      <c r="C135" s="7" t="s">
        <v>416</v>
      </c>
      <c r="D135" s="8" t="s">
        <v>10</v>
      </c>
      <c r="E135" s="13">
        <v>1100</v>
      </c>
      <c r="F135" s="10"/>
      <c r="G135" s="11">
        <f t="shared" si="2"/>
        <v>0</v>
      </c>
      <c r="H135" s="19">
        <v>48.2</v>
      </c>
    </row>
    <row r="136" spans="1:8" x14ac:dyDescent="0.25">
      <c r="A136" s="6" t="s">
        <v>417</v>
      </c>
      <c r="B136" s="7" t="s">
        <v>418</v>
      </c>
      <c r="C136" s="7" t="s">
        <v>419</v>
      </c>
      <c r="D136" s="8" t="s">
        <v>151</v>
      </c>
      <c r="E136" s="13">
        <v>335</v>
      </c>
      <c r="F136" s="10"/>
      <c r="G136" s="11">
        <f t="shared" si="2"/>
        <v>0</v>
      </c>
      <c r="H136" s="19">
        <v>24.1</v>
      </c>
    </row>
    <row r="137" spans="1:8" x14ac:dyDescent="0.25">
      <c r="A137" s="6" t="s">
        <v>420</v>
      </c>
      <c r="B137" s="7" t="s">
        <v>421</v>
      </c>
      <c r="C137" s="7" t="s">
        <v>422</v>
      </c>
      <c r="D137" s="8" t="s">
        <v>423</v>
      </c>
      <c r="E137" s="13">
        <v>309</v>
      </c>
      <c r="F137" s="10"/>
      <c r="G137" s="11">
        <f t="shared" si="2"/>
        <v>0</v>
      </c>
      <c r="H137" s="12" t="s">
        <v>424</v>
      </c>
    </row>
    <row r="138" spans="1:8" x14ac:dyDescent="0.25">
      <c r="A138" s="6" t="s">
        <v>425</v>
      </c>
      <c r="B138" s="7" t="s">
        <v>426</v>
      </c>
      <c r="C138" s="7" t="s">
        <v>427</v>
      </c>
      <c r="D138" s="8" t="s">
        <v>10</v>
      </c>
      <c r="E138" s="13">
        <v>2200</v>
      </c>
      <c r="F138" s="10"/>
      <c r="G138" s="11">
        <f t="shared" si="2"/>
        <v>0</v>
      </c>
      <c r="H138" s="19">
        <v>29.7</v>
      </c>
    </row>
    <row r="139" spans="1:8" x14ac:dyDescent="0.25">
      <c r="A139" s="6" t="s">
        <v>428</v>
      </c>
      <c r="B139" s="7" t="s">
        <v>429</v>
      </c>
      <c r="C139" s="7" t="s">
        <v>430</v>
      </c>
      <c r="D139" s="8" t="s">
        <v>10</v>
      </c>
      <c r="E139" s="13">
        <v>528</v>
      </c>
      <c r="F139" s="10"/>
      <c r="G139" s="11">
        <f t="shared" si="2"/>
        <v>0</v>
      </c>
      <c r="H139" s="19">
        <v>21.8</v>
      </c>
    </row>
    <row r="140" spans="1:8" x14ac:dyDescent="0.25">
      <c r="A140" s="6" t="s">
        <v>431</v>
      </c>
      <c r="B140" s="7" t="s">
        <v>432</v>
      </c>
      <c r="C140" s="7" t="s">
        <v>433</v>
      </c>
      <c r="D140" s="17" t="s">
        <v>245</v>
      </c>
      <c r="E140" s="18">
        <v>185.98</v>
      </c>
      <c r="F140" s="10"/>
      <c r="G140" s="11">
        <f t="shared" si="2"/>
        <v>0</v>
      </c>
      <c r="H140" s="19">
        <v>25</v>
      </c>
    </row>
    <row r="141" spans="1:8" x14ac:dyDescent="0.25">
      <c r="A141" s="6" t="s">
        <v>434</v>
      </c>
      <c r="B141" s="7" t="s">
        <v>435</v>
      </c>
      <c r="C141" s="7" t="s">
        <v>436</v>
      </c>
      <c r="D141" s="8" t="s">
        <v>10</v>
      </c>
      <c r="E141" s="13">
        <v>640</v>
      </c>
      <c r="F141" s="10"/>
      <c r="G141" s="11">
        <f t="shared" si="2"/>
        <v>0</v>
      </c>
      <c r="H141" s="19">
        <v>48.2</v>
      </c>
    </row>
    <row r="142" spans="1:8" x14ac:dyDescent="0.25">
      <c r="A142" s="6" t="s">
        <v>437</v>
      </c>
      <c r="B142" s="7" t="s">
        <v>438</v>
      </c>
      <c r="C142" s="7" t="s">
        <v>439</v>
      </c>
      <c r="D142" s="8" t="s">
        <v>10</v>
      </c>
      <c r="E142" s="13">
        <v>528</v>
      </c>
      <c r="F142" s="10"/>
      <c r="G142" s="11">
        <f t="shared" si="2"/>
        <v>0</v>
      </c>
      <c r="H142" s="19">
        <v>13.9</v>
      </c>
    </row>
    <row r="143" spans="1:8" x14ac:dyDescent="0.25">
      <c r="A143" s="6" t="s">
        <v>440</v>
      </c>
      <c r="B143" s="7" t="s">
        <v>441</v>
      </c>
      <c r="C143" s="7" t="s">
        <v>442</v>
      </c>
      <c r="D143" s="8" t="s">
        <v>10</v>
      </c>
      <c r="E143" s="13">
        <v>5100</v>
      </c>
      <c r="F143" s="10"/>
      <c r="G143" s="11">
        <f t="shared" si="2"/>
        <v>0</v>
      </c>
      <c r="H143" s="19">
        <v>158.6</v>
      </c>
    </row>
    <row r="144" spans="1:8" x14ac:dyDescent="0.25">
      <c r="A144" s="6" t="s">
        <v>443</v>
      </c>
      <c r="B144" s="7" t="s">
        <v>444</v>
      </c>
      <c r="C144" s="7" t="s">
        <v>445</v>
      </c>
      <c r="D144" s="8" t="s">
        <v>10</v>
      </c>
      <c r="E144" s="13">
        <v>2040</v>
      </c>
      <c r="F144" s="10"/>
      <c r="G144" s="11">
        <f t="shared" si="2"/>
        <v>0</v>
      </c>
      <c r="H144" s="19">
        <v>48.2</v>
      </c>
    </row>
    <row r="145" spans="1:8" x14ac:dyDescent="0.25">
      <c r="A145" s="6" t="s">
        <v>446</v>
      </c>
      <c r="B145" s="7" t="s">
        <v>447</v>
      </c>
      <c r="C145" s="7" t="s">
        <v>448</v>
      </c>
      <c r="D145" s="8" t="s">
        <v>226</v>
      </c>
      <c r="E145" s="13">
        <v>365</v>
      </c>
      <c r="F145" s="10"/>
      <c r="G145" s="11">
        <f t="shared" si="2"/>
        <v>0</v>
      </c>
      <c r="H145" s="19">
        <v>32.299999999999997</v>
      </c>
    </row>
    <row r="146" spans="1:8" x14ac:dyDescent="0.25">
      <c r="A146" s="6" t="s">
        <v>449</v>
      </c>
      <c r="B146" s="7" t="s">
        <v>450</v>
      </c>
      <c r="C146" s="7" t="s">
        <v>451</v>
      </c>
      <c r="D146" s="8" t="s">
        <v>37</v>
      </c>
      <c r="E146" s="13">
        <v>812</v>
      </c>
      <c r="F146" s="10"/>
      <c r="G146" s="11">
        <f t="shared" si="2"/>
        <v>0</v>
      </c>
      <c r="H146" s="19">
        <v>28.8</v>
      </c>
    </row>
    <row r="147" spans="1:8" x14ac:dyDescent="0.25">
      <c r="A147" s="6" t="s">
        <v>452</v>
      </c>
      <c r="B147" s="7" t="s">
        <v>453</v>
      </c>
      <c r="C147" s="7" t="s">
        <v>454</v>
      </c>
      <c r="D147" s="8" t="s">
        <v>10</v>
      </c>
      <c r="E147" s="13">
        <v>290</v>
      </c>
      <c r="F147" s="10"/>
      <c r="G147" s="11">
        <f t="shared" si="2"/>
        <v>0</v>
      </c>
      <c r="H147" s="19">
        <v>9.9</v>
      </c>
    </row>
    <row r="148" spans="1:8" x14ac:dyDescent="0.25">
      <c r="A148" s="6" t="s">
        <v>455</v>
      </c>
      <c r="B148" s="7" t="s">
        <v>456</v>
      </c>
      <c r="C148" s="7" t="s">
        <v>457</v>
      </c>
      <c r="D148" s="8" t="s">
        <v>54</v>
      </c>
      <c r="E148" s="13">
        <v>438.5277995301488</v>
      </c>
      <c r="F148" s="10"/>
      <c r="G148" s="11">
        <f t="shared" si="2"/>
        <v>0</v>
      </c>
      <c r="H148" s="24">
        <v>11.9</v>
      </c>
    </row>
    <row r="149" spans="1:8" x14ac:dyDescent="0.25">
      <c r="A149" s="6" t="s">
        <v>458</v>
      </c>
      <c r="B149" s="7" t="s">
        <v>459</v>
      </c>
      <c r="C149" s="7" t="s">
        <v>460</v>
      </c>
      <c r="D149" s="8" t="s">
        <v>10</v>
      </c>
      <c r="E149" s="13">
        <v>607.48</v>
      </c>
      <c r="F149" s="10"/>
      <c r="G149" s="11">
        <f t="shared" si="2"/>
        <v>0</v>
      </c>
      <c r="H149" s="19">
        <v>9.9</v>
      </c>
    </row>
    <row r="150" spans="1:8" x14ac:dyDescent="0.25">
      <c r="A150" s="6" t="s">
        <v>461</v>
      </c>
      <c r="B150" s="7" t="s">
        <v>462</v>
      </c>
      <c r="C150" s="7" t="s">
        <v>463</v>
      </c>
      <c r="D150" s="8" t="s">
        <v>10</v>
      </c>
      <c r="E150" s="13">
        <v>116.82242990654206</v>
      </c>
      <c r="F150" s="10"/>
      <c r="G150" s="11">
        <f t="shared" si="2"/>
        <v>0</v>
      </c>
      <c r="H150" s="19">
        <v>9.6</v>
      </c>
    </row>
    <row r="151" spans="1:8" x14ac:dyDescent="0.25">
      <c r="A151" s="6" t="s">
        <v>464</v>
      </c>
      <c r="B151" s="7" t="s">
        <v>465</v>
      </c>
      <c r="C151" s="7" t="s">
        <v>466</v>
      </c>
      <c r="D151" s="8" t="s">
        <v>14</v>
      </c>
      <c r="E151" s="13">
        <v>269.15322580645159</v>
      </c>
      <c r="F151" s="10"/>
      <c r="G151" s="11">
        <f t="shared" si="2"/>
        <v>0</v>
      </c>
      <c r="H151" s="14">
        <v>23.6</v>
      </c>
    </row>
    <row r="152" spans="1:8" x14ac:dyDescent="0.25">
      <c r="A152" s="6" t="s">
        <v>467</v>
      </c>
      <c r="B152" s="7" t="s">
        <v>468</v>
      </c>
      <c r="C152" s="7" t="s">
        <v>469</v>
      </c>
      <c r="D152" s="8" t="s">
        <v>10</v>
      </c>
      <c r="E152" s="13">
        <v>110</v>
      </c>
      <c r="F152" s="10"/>
      <c r="G152" s="11">
        <f t="shared" si="2"/>
        <v>0</v>
      </c>
      <c r="H152" s="19">
        <v>15.2</v>
      </c>
    </row>
    <row r="153" spans="1:8" x14ac:dyDescent="0.25">
      <c r="A153" s="6" t="s">
        <v>470</v>
      </c>
      <c r="B153" s="25" t="s">
        <v>471</v>
      </c>
      <c r="C153" s="7" t="s">
        <v>472</v>
      </c>
      <c r="D153" s="8" t="s">
        <v>151</v>
      </c>
      <c r="E153" s="13">
        <v>232.71</v>
      </c>
      <c r="F153" s="10"/>
      <c r="G153" s="11">
        <f t="shared" si="2"/>
        <v>0</v>
      </c>
      <c r="H153" s="19">
        <v>10.9</v>
      </c>
    </row>
    <row r="154" spans="1:8" x14ac:dyDescent="0.25">
      <c r="A154" s="26" t="s">
        <v>473</v>
      </c>
      <c r="B154" s="27"/>
      <c r="C154" s="27" t="s">
        <v>474</v>
      </c>
      <c r="D154" s="28" t="s">
        <v>10</v>
      </c>
      <c r="E154" s="13">
        <v>0</v>
      </c>
      <c r="F154" s="10"/>
      <c r="G154" s="11">
        <f t="shared" si="2"/>
        <v>0</v>
      </c>
      <c r="H154" s="19"/>
    </row>
    <row r="155" spans="1:8" x14ac:dyDescent="0.25">
      <c r="A155" s="6" t="s">
        <v>475</v>
      </c>
      <c r="B155" s="7" t="s">
        <v>476</v>
      </c>
      <c r="C155" s="7" t="s">
        <v>477</v>
      </c>
      <c r="D155" s="8" t="s">
        <v>226</v>
      </c>
      <c r="E155" s="13">
        <v>200</v>
      </c>
      <c r="F155" s="10"/>
      <c r="G155" s="11">
        <f t="shared" si="2"/>
        <v>0</v>
      </c>
      <c r="H155" s="19">
        <v>21.5</v>
      </c>
    </row>
    <row r="156" spans="1:8" x14ac:dyDescent="0.25">
      <c r="A156" s="6" t="s">
        <v>478</v>
      </c>
      <c r="B156" s="7" t="s">
        <v>479</v>
      </c>
      <c r="C156" s="7" t="s">
        <v>480</v>
      </c>
      <c r="D156" s="8" t="s">
        <v>10</v>
      </c>
      <c r="E156" s="13">
        <v>168.22</v>
      </c>
      <c r="F156" s="10"/>
      <c r="G156" s="11">
        <f t="shared" si="2"/>
        <v>0</v>
      </c>
      <c r="H156" s="19">
        <v>9.6</v>
      </c>
    </row>
    <row r="157" spans="1:8" x14ac:dyDescent="0.25">
      <c r="A157" s="6" t="s">
        <v>481</v>
      </c>
      <c r="B157" s="7" t="s">
        <v>482</v>
      </c>
      <c r="C157" s="7" t="s">
        <v>483</v>
      </c>
      <c r="D157" s="8" t="s">
        <v>10</v>
      </c>
      <c r="E157" s="13">
        <v>498</v>
      </c>
      <c r="F157" s="10"/>
      <c r="G157" s="11">
        <f t="shared" si="2"/>
        <v>0</v>
      </c>
      <c r="H157" s="19">
        <v>10.9</v>
      </c>
    </row>
    <row r="158" spans="1:8" x14ac:dyDescent="0.25">
      <c r="A158" s="15" t="s">
        <v>484</v>
      </c>
      <c r="B158" s="16" t="s">
        <v>485</v>
      </c>
      <c r="C158" s="16" t="s">
        <v>486</v>
      </c>
      <c r="D158" s="17" t="s">
        <v>47</v>
      </c>
      <c r="E158" s="18">
        <v>828</v>
      </c>
      <c r="F158" s="10"/>
      <c r="G158" s="11">
        <f t="shared" si="2"/>
        <v>0</v>
      </c>
      <c r="H158" s="19">
        <v>64</v>
      </c>
    </row>
    <row r="159" spans="1:8" x14ac:dyDescent="0.25">
      <c r="A159" s="6" t="s">
        <v>487</v>
      </c>
      <c r="B159" s="7" t="s">
        <v>488</v>
      </c>
      <c r="C159" s="7" t="s">
        <v>489</v>
      </c>
      <c r="D159" s="8" t="s">
        <v>10</v>
      </c>
      <c r="E159" s="13">
        <v>299</v>
      </c>
      <c r="F159" s="10"/>
      <c r="G159" s="11">
        <f t="shared" si="2"/>
        <v>0</v>
      </c>
      <c r="H159" s="19">
        <v>10.9</v>
      </c>
    </row>
    <row r="160" spans="1:8" x14ac:dyDescent="0.25">
      <c r="A160" s="6" t="s">
        <v>490</v>
      </c>
      <c r="B160" s="7" t="s">
        <v>491</v>
      </c>
      <c r="C160" s="7" t="s">
        <v>492</v>
      </c>
      <c r="D160" s="8" t="s">
        <v>10</v>
      </c>
      <c r="E160" s="13">
        <v>1200</v>
      </c>
      <c r="F160" s="10"/>
      <c r="G160" s="11">
        <f t="shared" si="2"/>
        <v>0</v>
      </c>
      <c r="H160" s="19">
        <v>32.700000000000003</v>
      </c>
    </row>
    <row r="161" spans="1:8" x14ac:dyDescent="0.25">
      <c r="A161" s="6" t="s">
        <v>493</v>
      </c>
      <c r="B161" s="7" t="s">
        <v>494</v>
      </c>
      <c r="C161" s="7" t="s">
        <v>495</v>
      </c>
      <c r="D161" s="8" t="s">
        <v>10</v>
      </c>
      <c r="E161" s="13">
        <v>310</v>
      </c>
      <c r="F161" s="10"/>
      <c r="G161" s="11">
        <f t="shared" si="2"/>
        <v>0</v>
      </c>
      <c r="H161" s="19">
        <v>15.2</v>
      </c>
    </row>
    <row r="162" spans="1:8" x14ac:dyDescent="0.25">
      <c r="A162" s="6" t="s">
        <v>496</v>
      </c>
      <c r="B162" s="7" t="s">
        <v>497</v>
      </c>
      <c r="C162" s="7" t="s">
        <v>498</v>
      </c>
      <c r="D162" s="8" t="s">
        <v>226</v>
      </c>
      <c r="E162" s="13">
        <v>306</v>
      </c>
      <c r="F162" s="10"/>
      <c r="G162" s="11">
        <f t="shared" si="2"/>
        <v>0</v>
      </c>
      <c r="H162" s="19">
        <v>34.6</v>
      </c>
    </row>
    <row r="163" spans="1:8" x14ac:dyDescent="0.25">
      <c r="A163" s="6" t="s">
        <v>499</v>
      </c>
      <c r="B163" s="7" t="s">
        <v>500</v>
      </c>
      <c r="C163" s="7" t="s">
        <v>501</v>
      </c>
      <c r="D163" s="8" t="s">
        <v>10</v>
      </c>
      <c r="E163" s="13">
        <v>138.32</v>
      </c>
      <c r="F163" s="10"/>
      <c r="G163" s="11">
        <f t="shared" si="2"/>
        <v>0</v>
      </c>
      <c r="H163" s="19">
        <v>9.9</v>
      </c>
    </row>
    <row r="164" spans="1:8" x14ac:dyDescent="0.25">
      <c r="A164" s="6" t="s">
        <v>502</v>
      </c>
      <c r="B164" s="7" t="s">
        <v>503</v>
      </c>
      <c r="C164" s="7" t="s">
        <v>504</v>
      </c>
      <c r="D164" s="8" t="s">
        <v>10</v>
      </c>
      <c r="E164" s="13">
        <v>196.26</v>
      </c>
      <c r="F164" s="10"/>
      <c r="G164" s="11">
        <f t="shared" si="2"/>
        <v>0</v>
      </c>
      <c r="H164" s="19">
        <v>9.9</v>
      </c>
    </row>
    <row r="165" spans="1:8" x14ac:dyDescent="0.25">
      <c r="A165" s="6" t="s">
        <v>505</v>
      </c>
      <c r="B165" s="7" t="s">
        <v>506</v>
      </c>
      <c r="C165" s="7" t="s">
        <v>507</v>
      </c>
      <c r="D165" s="8" t="s">
        <v>226</v>
      </c>
      <c r="E165" s="13">
        <v>200</v>
      </c>
      <c r="F165" s="10"/>
      <c r="G165" s="11">
        <f t="shared" si="2"/>
        <v>0</v>
      </c>
      <c r="H165" s="19">
        <v>18.8</v>
      </c>
    </row>
    <row r="166" spans="1:8" x14ac:dyDescent="0.25">
      <c r="A166" s="6" t="s">
        <v>508</v>
      </c>
      <c r="B166" s="7" t="s">
        <v>509</v>
      </c>
      <c r="C166" s="7" t="s">
        <v>510</v>
      </c>
      <c r="D166" s="8" t="s">
        <v>10</v>
      </c>
      <c r="E166" s="13">
        <v>1580</v>
      </c>
      <c r="F166" s="10"/>
      <c r="G166" s="11">
        <f t="shared" si="2"/>
        <v>0</v>
      </c>
      <c r="H166" s="19">
        <v>27.2</v>
      </c>
    </row>
    <row r="167" spans="1:8" x14ac:dyDescent="0.25">
      <c r="A167" s="6" t="s">
        <v>511</v>
      </c>
      <c r="B167" s="7" t="s">
        <v>512</v>
      </c>
      <c r="C167" s="7" t="s">
        <v>513</v>
      </c>
      <c r="D167" s="8" t="s">
        <v>10</v>
      </c>
      <c r="E167" s="13">
        <v>134</v>
      </c>
      <c r="F167" s="10"/>
      <c r="G167" s="11">
        <f t="shared" si="2"/>
        <v>0</v>
      </c>
      <c r="H167" s="19">
        <v>15.2</v>
      </c>
    </row>
    <row r="168" spans="1:8" x14ac:dyDescent="0.25">
      <c r="A168" s="6" t="s">
        <v>514</v>
      </c>
      <c r="B168" s="7" t="s">
        <v>515</v>
      </c>
      <c r="C168" s="7" t="s">
        <v>516</v>
      </c>
      <c r="D168" s="8" t="s">
        <v>423</v>
      </c>
      <c r="E168" s="13">
        <v>320</v>
      </c>
      <c r="F168" s="10"/>
      <c r="G168" s="11">
        <f t="shared" si="2"/>
        <v>0</v>
      </c>
      <c r="H168" s="19" t="s">
        <v>424</v>
      </c>
    </row>
    <row r="169" spans="1:8" x14ac:dyDescent="0.25">
      <c r="A169" s="6" t="s">
        <v>517</v>
      </c>
      <c r="B169" s="7" t="s">
        <v>518</v>
      </c>
      <c r="C169" s="7" t="s">
        <v>519</v>
      </c>
      <c r="D169" s="17" t="s">
        <v>245</v>
      </c>
      <c r="E169" s="18">
        <v>189.72</v>
      </c>
      <c r="F169" s="10"/>
      <c r="G169" s="11">
        <f t="shared" si="2"/>
        <v>0</v>
      </c>
      <c r="H169" s="19">
        <v>22</v>
      </c>
    </row>
    <row r="170" spans="1:8" ht="14.5" x14ac:dyDescent="0.25">
      <c r="A170" s="6" t="s">
        <v>520</v>
      </c>
      <c r="B170" s="7" t="s">
        <v>521</v>
      </c>
      <c r="C170" s="7" t="s">
        <v>522</v>
      </c>
      <c r="D170" s="8" t="s">
        <v>151</v>
      </c>
      <c r="E170" s="13">
        <v>210.28</v>
      </c>
      <c r="F170" s="10"/>
      <c r="G170" s="11">
        <f t="shared" si="2"/>
        <v>0</v>
      </c>
      <c r="H170" s="19">
        <v>10.9</v>
      </c>
    </row>
    <row r="171" spans="1:8" x14ac:dyDescent="0.25">
      <c r="A171" s="6" t="s">
        <v>523</v>
      </c>
      <c r="B171" s="7" t="s">
        <v>524</v>
      </c>
      <c r="C171" s="7" t="s">
        <v>525</v>
      </c>
      <c r="D171" s="8" t="s">
        <v>10</v>
      </c>
      <c r="E171" s="13">
        <v>2600</v>
      </c>
      <c r="F171" s="10"/>
      <c r="G171" s="11">
        <f t="shared" si="2"/>
        <v>0</v>
      </c>
      <c r="H171" s="19">
        <v>48.2</v>
      </c>
    </row>
    <row r="172" spans="1:8" x14ac:dyDescent="0.25">
      <c r="A172" s="6" t="s">
        <v>526</v>
      </c>
      <c r="B172" s="7" t="s">
        <v>527</v>
      </c>
      <c r="C172" s="7" t="s">
        <v>528</v>
      </c>
      <c r="D172" s="8" t="s">
        <v>10</v>
      </c>
      <c r="E172" s="13">
        <v>252.33644859813083</v>
      </c>
      <c r="F172" s="10"/>
      <c r="G172" s="11">
        <f t="shared" si="2"/>
        <v>0</v>
      </c>
      <c r="H172" s="19">
        <v>46.5</v>
      </c>
    </row>
    <row r="173" spans="1:8" x14ac:dyDescent="0.25">
      <c r="A173" s="6" t="s">
        <v>529</v>
      </c>
      <c r="B173" s="7" t="s">
        <v>530</v>
      </c>
      <c r="C173" s="7" t="s">
        <v>531</v>
      </c>
      <c r="D173" s="8" t="s">
        <v>10</v>
      </c>
      <c r="E173" s="13">
        <v>850</v>
      </c>
      <c r="F173" s="10"/>
      <c r="G173" s="11">
        <f t="shared" si="2"/>
        <v>0</v>
      </c>
      <c r="H173" s="19">
        <v>16.3</v>
      </c>
    </row>
    <row r="174" spans="1:8" x14ac:dyDescent="0.25">
      <c r="A174" s="6" t="s">
        <v>532</v>
      </c>
      <c r="B174" s="7" t="s">
        <v>533</v>
      </c>
      <c r="C174" s="7" t="s">
        <v>534</v>
      </c>
      <c r="D174" s="8" t="s">
        <v>10</v>
      </c>
      <c r="E174" s="13">
        <v>3230</v>
      </c>
      <c r="F174" s="10"/>
      <c r="G174" s="11">
        <f t="shared" si="2"/>
        <v>0</v>
      </c>
      <c r="H174" s="19">
        <v>32.700000000000003</v>
      </c>
    </row>
    <row r="175" spans="1:8" x14ac:dyDescent="0.25">
      <c r="A175" s="6" t="s">
        <v>535</v>
      </c>
      <c r="B175" s="7" t="s">
        <v>536</v>
      </c>
      <c r="C175" s="7" t="s">
        <v>537</v>
      </c>
      <c r="D175" s="8" t="s">
        <v>10</v>
      </c>
      <c r="E175" s="13">
        <v>415</v>
      </c>
      <c r="F175" s="10"/>
      <c r="G175" s="11">
        <f t="shared" si="2"/>
        <v>0</v>
      </c>
      <c r="H175" s="19">
        <v>24.1</v>
      </c>
    </row>
    <row r="176" spans="1:8" x14ac:dyDescent="0.25">
      <c r="A176" s="6" t="s">
        <v>538</v>
      </c>
      <c r="B176" s="7" t="s">
        <v>539</v>
      </c>
      <c r="C176" s="7" t="s">
        <v>540</v>
      </c>
      <c r="D176" s="8" t="s">
        <v>226</v>
      </c>
      <c r="E176" s="13">
        <v>195</v>
      </c>
      <c r="F176" s="10"/>
      <c r="G176" s="11">
        <f t="shared" si="2"/>
        <v>0</v>
      </c>
      <c r="H176" s="19">
        <v>21.5</v>
      </c>
    </row>
    <row r="177" spans="1:8" x14ac:dyDescent="0.25">
      <c r="A177" s="6" t="s">
        <v>541</v>
      </c>
      <c r="B177" s="7" t="s">
        <v>542</v>
      </c>
      <c r="C177" s="7" t="s">
        <v>543</v>
      </c>
      <c r="D177" s="8" t="s">
        <v>10</v>
      </c>
      <c r="E177" s="13">
        <v>1529</v>
      </c>
      <c r="F177" s="10"/>
      <c r="G177" s="11">
        <f t="shared" si="2"/>
        <v>0</v>
      </c>
      <c r="H177" s="19">
        <v>32.700000000000003</v>
      </c>
    </row>
    <row r="178" spans="1:8" x14ac:dyDescent="0.25">
      <c r="A178" s="6" t="s">
        <v>544</v>
      </c>
      <c r="B178" s="7" t="s">
        <v>545</v>
      </c>
      <c r="C178" s="7" t="s">
        <v>546</v>
      </c>
      <c r="D178" s="17" t="s">
        <v>245</v>
      </c>
      <c r="E178" s="18">
        <v>144.86000000000001</v>
      </c>
      <c r="F178" s="10"/>
      <c r="G178" s="11">
        <f t="shared" si="2"/>
        <v>0</v>
      </c>
      <c r="H178" s="19">
        <v>19</v>
      </c>
    </row>
    <row r="179" spans="1:8" x14ac:dyDescent="0.25">
      <c r="A179" s="15" t="s">
        <v>547</v>
      </c>
      <c r="B179" s="16" t="s">
        <v>548</v>
      </c>
      <c r="C179" s="16" t="s">
        <v>549</v>
      </c>
      <c r="D179" s="17" t="s">
        <v>47</v>
      </c>
      <c r="E179" s="18">
        <v>1428</v>
      </c>
      <c r="F179" s="10"/>
      <c r="G179" s="11">
        <f t="shared" si="2"/>
        <v>0</v>
      </c>
      <c r="H179" s="19">
        <v>78</v>
      </c>
    </row>
    <row r="180" spans="1:8" x14ac:dyDescent="0.25">
      <c r="A180" s="6" t="s">
        <v>550</v>
      </c>
      <c r="B180" s="7" t="s">
        <v>551</v>
      </c>
      <c r="C180" s="7" t="s">
        <v>552</v>
      </c>
      <c r="D180" s="8" t="s">
        <v>10</v>
      </c>
      <c r="E180" s="13">
        <v>299.07</v>
      </c>
      <c r="F180" s="10"/>
      <c r="G180" s="11">
        <f t="shared" si="2"/>
        <v>0</v>
      </c>
      <c r="H180" s="19">
        <v>9.9</v>
      </c>
    </row>
    <row r="181" spans="1:8" x14ac:dyDescent="0.25">
      <c r="A181" s="6" t="s">
        <v>553</v>
      </c>
      <c r="B181" s="7" t="s">
        <v>554</v>
      </c>
      <c r="C181" s="7" t="s">
        <v>555</v>
      </c>
      <c r="D181" s="8" t="s">
        <v>10</v>
      </c>
      <c r="E181" s="13">
        <v>364.49</v>
      </c>
      <c r="F181" s="10"/>
      <c r="G181" s="11">
        <f t="shared" si="2"/>
        <v>0</v>
      </c>
      <c r="H181" s="19">
        <v>15</v>
      </c>
    </row>
    <row r="182" spans="1:8" x14ac:dyDescent="0.25">
      <c r="A182" s="15" t="s">
        <v>556</v>
      </c>
      <c r="B182" s="16" t="s">
        <v>557</v>
      </c>
      <c r="C182" s="16" t="s">
        <v>558</v>
      </c>
      <c r="D182" s="17" t="s">
        <v>47</v>
      </c>
      <c r="E182" s="18">
        <v>518</v>
      </c>
      <c r="F182" s="10"/>
      <c r="G182" s="11">
        <f t="shared" si="2"/>
        <v>0</v>
      </c>
      <c r="H182" s="19">
        <v>34</v>
      </c>
    </row>
    <row r="183" spans="1:8" x14ac:dyDescent="0.25">
      <c r="A183" s="6" t="s">
        <v>559</v>
      </c>
      <c r="B183" s="7" t="s">
        <v>560</v>
      </c>
      <c r="C183" s="7" t="s">
        <v>561</v>
      </c>
      <c r="D183" s="8" t="s">
        <v>10</v>
      </c>
      <c r="E183" s="13">
        <v>610</v>
      </c>
      <c r="F183" s="10"/>
      <c r="G183" s="11">
        <f t="shared" si="2"/>
        <v>0</v>
      </c>
      <c r="H183" s="19">
        <v>48.2</v>
      </c>
    </row>
    <row r="184" spans="1:8" x14ac:dyDescent="0.25">
      <c r="A184" s="6" t="s">
        <v>562</v>
      </c>
      <c r="B184" s="7" t="s">
        <v>563</v>
      </c>
      <c r="C184" s="7" t="s">
        <v>564</v>
      </c>
      <c r="D184" s="8" t="s">
        <v>151</v>
      </c>
      <c r="E184" s="13">
        <v>457.95</v>
      </c>
      <c r="F184" s="10"/>
      <c r="G184" s="11">
        <f t="shared" si="2"/>
        <v>0</v>
      </c>
      <c r="H184" s="19">
        <v>29.7</v>
      </c>
    </row>
    <row r="185" spans="1:8" x14ac:dyDescent="0.25">
      <c r="A185" s="6" t="s">
        <v>565</v>
      </c>
      <c r="B185" s="7" t="s">
        <v>566</v>
      </c>
      <c r="C185" s="7" t="s">
        <v>567</v>
      </c>
      <c r="D185" s="8" t="s">
        <v>10</v>
      </c>
      <c r="E185" s="13">
        <v>1850</v>
      </c>
      <c r="F185" s="10"/>
      <c r="G185" s="11">
        <f t="shared" si="2"/>
        <v>0</v>
      </c>
      <c r="H185" s="19">
        <v>21.8</v>
      </c>
    </row>
    <row r="186" spans="1:8" x14ac:dyDescent="0.25">
      <c r="A186" s="6" t="s">
        <v>568</v>
      </c>
      <c r="B186" s="7" t="s">
        <v>569</v>
      </c>
      <c r="C186" s="7" t="s">
        <v>570</v>
      </c>
      <c r="D186" s="8" t="s">
        <v>226</v>
      </c>
      <c r="E186" s="13">
        <v>84</v>
      </c>
      <c r="F186" s="10"/>
      <c r="G186" s="11">
        <f t="shared" si="2"/>
        <v>0</v>
      </c>
      <c r="H186" s="19">
        <v>5.4</v>
      </c>
    </row>
    <row r="187" spans="1:8" x14ac:dyDescent="0.25">
      <c r="A187" s="6" t="s">
        <v>571</v>
      </c>
      <c r="B187" s="7" t="s">
        <v>572</v>
      </c>
      <c r="C187" s="7" t="s">
        <v>573</v>
      </c>
      <c r="D187" s="8" t="s">
        <v>10</v>
      </c>
      <c r="E187" s="13">
        <v>498</v>
      </c>
      <c r="F187" s="10"/>
      <c r="G187" s="11">
        <f t="shared" si="2"/>
        <v>0</v>
      </c>
      <c r="H187" s="19">
        <v>9.9</v>
      </c>
    </row>
    <row r="188" spans="1:8" x14ac:dyDescent="0.25">
      <c r="A188" s="6" t="s">
        <v>574</v>
      </c>
      <c r="B188" s="7" t="s">
        <v>575</v>
      </c>
      <c r="C188" s="7" t="s">
        <v>576</v>
      </c>
      <c r="D188" s="8" t="s">
        <v>226</v>
      </c>
      <c r="E188" s="13">
        <v>215</v>
      </c>
      <c r="F188" s="10"/>
      <c r="G188" s="11">
        <f t="shared" si="2"/>
        <v>0</v>
      </c>
      <c r="H188" s="19">
        <v>21.5</v>
      </c>
    </row>
    <row r="189" spans="1:8" x14ac:dyDescent="0.25">
      <c r="A189" s="6" t="s">
        <v>577</v>
      </c>
      <c r="B189" s="7" t="s">
        <v>578</v>
      </c>
      <c r="C189" s="7" t="s">
        <v>579</v>
      </c>
      <c r="D189" s="8" t="s">
        <v>10</v>
      </c>
      <c r="E189" s="13">
        <v>490</v>
      </c>
      <c r="F189" s="10"/>
      <c r="G189" s="11">
        <f t="shared" si="2"/>
        <v>0</v>
      </c>
      <c r="H189" s="19">
        <v>15</v>
      </c>
    </row>
    <row r="190" spans="1:8" x14ac:dyDescent="0.25">
      <c r="A190" s="6" t="s">
        <v>580</v>
      </c>
      <c r="B190" s="7" t="s">
        <v>581</v>
      </c>
      <c r="C190" s="7" t="s">
        <v>582</v>
      </c>
      <c r="D190" s="8" t="s">
        <v>10</v>
      </c>
      <c r="E190" s="13">
        <v>730</v>
      </c>
      <c r="F190" s="10"/>
      <c r="G190" s="11">
        <f t="shared" si="2"/>
        <v>0</v>
      </c>
      <c r="H190" s="19">
        <v>39.700000000000003</v>
      </c>
    </row>
    <row r="191" spans="1:8" x14ac:dyDescent="0.25">
      <c r="A191" s="6" t="s">
        <v>583</v>
      </c>
      <c r="B191" s="7" t="s">
        <v>584</v>
      </c>
      <c r="C191" s="7" t="s">
        <v>585</v>
      </c>
      <c r="D191" s="8" t="s">
        <v>375</v>
      </c>
      <c r="E191" s="13">
        <v>430</v>
      </c>
      <c r="F191" s="10"/>
      <c r="G191" s="11">
        <f t="shared" si="2"/>
        <v>0</v>
      </c>
      <c r="H191" s="19">
        <v>9.9</v>
      </c>
    </row>
    <row r="192" spans="1:8" x14ac:dyDescent="0.25">
      <c r="A192" s="6" t="s">
        <v>586</v>
      </c>
      <c r="B192" s="7" t="s">
        <v>587</v>
      </c>
      <c r="C192" s="7" t="s">
        <v>588</v>
      </c>
      <c r="D192" s="8" t="s">
        <v>10</v>
      </c>
      <c r="E192" s="13">
        <v>240</v>
      </c>
      <c r="F192" s="10"/>
      <c r="G192" s="11">
        <f t="shared" si="2"/>
        <v>0</v>
      </c>
      <c r="H192" s="19">
        <v>15.2</v>
      </c>
    </row>
    <row r="193" spans="1:8" x14ac:dyDescent="0.25">
      <c r="A193" s="6" t="s">
        <v>589</v>
      </c>
      <c r="B193" s="7" t="s">
        <v>590</v>
      </c>
      <c r="C193" s="7" t="s">
        <v>591</v>
      </c>
      <c r="D193" s="8" t="s">
        <v>10</v>
      </c>
      <c r="E193" s="13">
        <v>939</v>
      </c>
      <c r="F193" s="10"/>
      <c r="G193" s="11">
        <f t="shared" si="2"/>
        <v>0</v>
      </c>
      <c r="H193" s="19">
        <v>15</v>
      </c>
    </row>
    <row r="194" spans="1:8" x14ac:dyDescent="0.25">
      <c r="A194" s="6" t="s">
        <v>592</v>
      </c>
      <c r="B194" s="7" t="s">
        <v>593</v>
      </c>
      <c r="C194" s="7" t="s">
        <v>594</v>
      </c>
      <c r="D194" s="8" t="s">
        <v>10</v>
      </c>
      <c r="E194" s="13">
        <v>218</v>
      </c>
      <c r="F194" s="10"/>
      <c r="G194" s="11">
        <f t="shared" si="2"/>
        <v>0</v>
      </c>
      <c r="H194" s="19">
        <v>10.9</v>
      </c>
    </row>
    <row r="195" spans="1:8" x14ac:dyDescent="0.25">
      <c r="A195" s="6" t="s">
        <v>595</v>
      </c>
      <c r="B195" s="7" t="s">
        <v>596</v>
      </c>
      <c r="C195" s="7" t="s">
        <v>597</v>
      </c>
      <c r="D195" s="8" t="s">
        <v>10</v>
      </c>
      <c r="E195" s="13">
        <v>178</v>
      </c>
      <c r="F195" s="10"/>
      <c r="G195" s="11">
        <f t="shared" ref="G195:G258" si="3">E195*F195</f>
        <v>0</v>
      </c>
      <c r="H195" s="19">
        <v>15.2</v>
      </c>
    </row>
    <row r="196" spans="1:8" x14ac:dyDescent="0.25">
      <c r="A196" s="6" t="s">
        <v>598</v>
      </c>
      <c r="B196" s="7" t="s">
        <v>599</v>
      </c>
      <c r="C196" s="7" t="s">
        <v>600</v>
      </c>
      <c r="D196" s="8" t="s">
        <v>10</v>
      </c>
      <c r="E196" s="13">
        <v>280</v>
      </c>
      <c r="F196" s="10"/>
      <c r="G196" s="11">
        <f t="shared" si="3"/>
        <v>0</v>
      </c>
      <c r="H196" s="19">
        <v>10.9</v>
      </c>
    </row>
    <row r="197" spans="1:8" x14ac:dyDescent="0.25">
      <c r="A197" s="6" t="s">
        <v>601</v>
      </c>
      <c r="B197" s="7" t="s">
        <v>602</v>
      </c>
      <c r="C197" s="7" t="s">
        <v>603</v>
      </c>
      <c r="D197" s="8" t="s">
        <v>10</v>
      </c>
      <c r="E197" s="13">
        <v>258</v>
      </c>
      <c r="F197" s="10"/>
      <c r="G197" s="11">
        <f t="shared" si="3"/>
        <v>0</v>
      </c>
      <c r="H197" s="19">
        <v>9.9</v>
      </c>
    </row>
    <row r="198" spans="1:8" x14ac:dyDescent="0.25">
      <c r="A198" s="6" t="s">
        <v>604</v>
      </c>
      <c r="B198" s="7" t="s">
        <v>605</v>
      </c>
      <c r="C198" s="7" t="s">
        <v>606</v>
      </c>
      <c r="D198" s="8" t="s">
        <v>10</v>
      </c>
      <c r="E198" s="13">
        <v>628</v>
      </c>
      <c r="F198" s="10"/>
      <c r="G198" s="11">
        <f t="shared" si="3"/>
        <v>0</v>
      </c>
      <c r="H198" s="19">
        <v>24.1</v>
      </c>
    </row>
    <row r="199" spans="1:8" x14ac:dyDescent="0.25">
      <c r="A199" s="6" t="s">
        <v>607</v>
      </c>
      <c r="B199" s="7" t="s">
        <v>608</v>
      </c>
      <c r="C199" s="7" t="s">
        <v>609</v>
      </c>
      <c r="D199" s="8" t="s">
        <v>54</v>
      </c>
      <c r="E199" s="13">
        <v>582.61550509005485</v>
      </c>
      <c r="F199" s="10"/>
      <c r="G199" s="11">
        <f t="shared" si="3"/>
        <v>0</v>
      </c>
      <c r="H199" s="24">
        <v>30.8</v>
      </c>
    </row>
    <row r="200" spans="1:8" x14ac:dyDescent="0.25">
      <c r="A200" s="6" t="s">
        <v>610</v>
      </c>
      <c r="B200" s="7" t="s">
        <v>611</v>
      </c>
      <c r="C200" s="7" t="s">
        <v>612</v>
      </c>
      <c r="D200" s="8" t="s">
        <v>10</v>
      </c>
      <c r="E200" s="13">
        <v>2470</v>
      </c>
      <c r="F200" s="10"/>
      <c r="G200" s="11">
        <f t="shared" si="3"/>
        <v>0</v>
      </c>
      <c r="H200" s="19">
        <v>48.2</v>
      </c>
    </row>
    <row r="201" spans="1:8" x14ac:dyDescent="0.25">
      <c r="A201" s="6" t="s">
        <v>613</v>
      </c>
      <c r="B201" s="7" t="s">
        <v>614</v>
      </c>
      <c r="C201" s="7" t="s">
        <v>615</v>
      </c>
      <c r="D201" s="8" t="s">
        <v>10</v>
      </c>
      <c r="E201" s="13">
        <v>320</v>
      </c>
      <c r="F201" s="10"/>
      <c r="G201" s="11">
        <f t="shared" si="3"/>
        <v>0</v>
      </c>
      <c r="H201" s="19">
        <v>15.2</v>
      </c>
    </row>
    <row r="202" spans="1:8" x14ac:dyDescent="0.25">
      <c r="A202" s="6" t="s">
        <v>616</v>
      </c>
      <c r="B202" s="7" t="s">
        <v>617</v>
      </c>
      <c r="C202" s="7" t="s">
        <v>618</v>
      </c>
      <c r="D202" s="8" t="s">
        <v>10</v>
      </c>
      <c r="E202" s="13">
        <v>520</v>
      </c>
      <c r="F202" s="10"/>
      <c r="G202" s="11">
        <f t="shared" si="3"/>
        <v>0</v>
      </c>
      <c r="H202" s="19">
        <v>15.2</v>
      </c>
    </row>
    <row r="203" spans="1:8" x14ac:dyDescent="0.25">
      <c r="A203" s="6" t="s">
        <v>619</v>
      </c>
      <c r="B203" s="7" t="s">
        <v>620</v>
      </c>
      <c r="C203" s="7" t="s">
        <v>621</v>
      </c>
      <c r="D203" s="8" t="s">
        <v>14</v>
      </c>
      <c r="E203" s="13">
        <v>246.9758064516129</v>
      </c>
      <c r="F203" s="10"/>
      <c r="G203" s="11">
        <f t="shared" si="3"/>
        <v>0</v>
      </c>
      <c r="H203" s="14">
        <v>37.700000000000003</v>
      </c>
    </row>
    <row r="204" spans="1:8" x14ac:dyDescent="0.25">
      <c r="A204" s="6" t="s">
        <v>622</v>
      </c>
      <c r="B204" s="7" t="s">
        <v>623</v>
      </c>
      <c r="C204" s="7" t="s">
        <v>624</v>
      </c>
      <c r="D204" s="8" t="s">
        <v>10</v>
      </c>
      <c r="E204" s="13">
        <v>695</v>
      </c>
      <c r="F204" s="10"/>
      <c r="G204" s="11">
        <f t="shared" si="3"/>
        <v>0</v>
      </c>
      <c r="H204" s="19">
        <v>27.2</v>
      </c>
    </row>
    <row r="205" spans="1:8" x14ac:dyDescent="0.25">
      <c r="A205" s="6" t="s">
        <v>625</v>
      </c>
      <c r="B205" s="7" t="s">
        <v>626</v>
      </c>
      <c r="C205" s="7" t="s">
        <v>627</v>
      </c>
      <c r="D205" s="8" t="s">
        <v>226</v>
      </c>
      <c r="E205" s="13">
        <v>200</v>
      </c>
      <c r="F205" s="10"/>
      <c r="G205" s="11">
        <f t="shared" si="3"/>
        <v>0</v>
      </c>
      <c r="H205" s="19">
        <v>21.5</v>
      </c>
    </row>
    <row r="206" spans="1:8" x14ac:dyDescent="0.25">
      <c r="A206" s="6" t="s">
        <v>628</v>
      </c>
      <c r="B206" s="7" t="s">
        <v>629</v>
      </c>
      <c r="C206" s="7" t="s">
        <v>630</v>
      </c>
      <c r="D206" s="8" t="s">
        <v>226</v>
      </c>
      <c r="E206" s="13">
        <v>195</v>
      </c>
      <c r="F206" s="10"/>
      <c r="G206" s="11">
        <f t="shared" si="3"/>
        <v>0</v>
      </c>
      <c r="H206" s="19">
        <v>21.5</v>
      </c>
    </row>
    <row r="207" spans="1:8" x14ac:dyDescent="0.25">
      <c r="A207" s="6" t="s">
        <v>631</v>
      </c>
      <c r="B207" s="7" t="s">
        <v>632</v>
      </c>
      <c r="C207" s="7" t="s">
        <v>633</v>
      </c>
      <c r="D207" s="8" t="s">
        <v>226</v>
      </c>
      <c r="E207" s="13">
        <v>240</v>
      </c>
      <c r="F207" s="10"/>
      <c r="G207" s="11">
        <f t="shared" si="3"/>
        <v>0</v>
      </c>
      <c r="H207" s="19">
        <v>32.299999999999997</v>
      </c>
    </row>
    <row r="208" spans="1:8" x14ac:dyDescent="0.25">
      <c r="A208" s="6" t="s">
        <v>634</v>
      </c>
      <c r="B208" s="7" t="s">
        <v>635</v>
      </c>
      <c r="C208" s="7" t="s">
        <v>636</v>
      </c>
      <c r="D208" s="8" t="s">
        <v>10</v>
      </c>
      <c r="E208" s="13">
        <v>1940</v>
      </c>
      <c r="F208" s="10"/>
      <c r="G208" s="11">
        <f t="shared" si="3"/>
        <v>0</v>
      </c>
      <c r="H208" s="19">
        <v>32.700000000000003</v>
      </c>
    </row>
    <row r="209" spans="1:8" x14ac:dyDescent="0.25">
      <c r="A209" s="6" t="s">
        <v>637</v>
      </c>
      <c r="B209" s="7" t="s">
        <v>638</v>
      </c>
      <c r="C209" s="7" t="s">
        <v>639</v>
      </c>
      <c r="D209" s="8" t="s">
        <v>14</v>
      </c>
      <c r="E209" s="13">
        <v>247.98387096774195</v>
      </c>
      <c r="F209" s="10"/>
      <c r="G209" s="11">
        <f t="shared" si="3"/>
        <v>0</v>
      </c>
      <c r="H209" s="14">
        <v>18.8</v>
      </c>
    </row>
    <row r="210" spans="1:8" x14ac:dyDescent="0.25">
      <c r="A210" s="6" t="s">
        <v>640</v>
      </c>
      <c r="B210" s="7" t="s">
        <v>641</v>
      </c>
      <c r="C210" s="7" t="s">
        <v>642</v>
      </c>
      <c r="D210" s="8" t="s">
        <v>10</v>
      </c>
      <c r="E210" s="13">
        <v>3100</v>
      </c>
      <c r="F210" s="10"/>
      <c r="G210" s="11">
        <f t="shared" si="3"/>
        <v>0</v>
      </c>
      <c r="H210" s="19">
        <v>48.2</v>
      </c>
    </row>
    <row r="211" spans="1:8" x14ac:dyDescent="0.25">
      <c r="A211" s="6" t="s">
        <v>643</v>
      </c>
      <c r="B211" s="7" t="s">
        <v>644</v>
      </c>
      <c r="C211" s="7" t="s">
        <v>645</v>
      </c>
      <c r="D211" s="8" t="s">
        <v>10</v>
      </c>
      <c r="E211" s="13">
        <v>1690</v>
      </c>
      <c r="F211" s="10"/>
      <c r="G211" s="11">
        <f t="shared" si="3"/>
        <v>0</v>
      </c>
      <c r="H211" s="19">
        <v>19.8</v>
      </c>
    </row>
    <row r="212" spans="1:8" x14ac:dyDescent="0.25">
      <c r="A212" s="6" t="s">
        <v>646</v>
      </c>
      <c r="B212" s="7" t="s">
        <v>647</v>
      </c>
      <c r="C212" s="7" t="s">
        <v>648</v>
      </c>
      <c r="D212" s="8" t="s">
        <v>14</v>
      </c>
      <c r="E212" s="13">
        <v>305.44354838709677</v>
      </c>
      <c r="F212" s="10"/>
      <c r="G212" s="11">
        <f t="shared" si="3"/>
        <v>0</v>
      </c>
      <c r="H212" s="14">
        <v>23.6</v>
      </c>
    </row>
    <row r="213" spans="1:8" x14ac:dyDescent="0.25">
      <c r="A213" s="6" t="s">
        <v>649</v>
      </c>
      <c r="B213" s="7" t="s">
        <v>650</v>
      </c>
      <c r="C213" s="7" t="s">
        <v>651</v>
      </c>
      <c r="D213" s="8" t="s">
        <v>14</v>
      </c>
      <c r="E213" s="13">
        <v>228.83064516129033</v>
      </c>
      <c r="F213" s="10"/>
      <c r="G213" s="11">
        <f t="shared" si="3"/>
        <v>0</v>
      </c>
      <c r="H213" s="14">
        <v>35.1</v>
      </c>
    </row>
    <row r="214" spans="1:8" x14ac:dyDescent="0.25">
      <c r="A214" s="6" t="s">
        <v>652</v>
      </c>
      <c r="B214" s="7" t="s">
        <v>653</v>
      </c>
      <c r="C214" s="7" t="s">
        <v>654</v>
      </c>
      <c r="D214" s="8" t="s">
        <v>14</v>
      </c>
      <c r="E214" s="13">
        <v>437.5</v>
      </c>
      <c r="F214" s="10"/>
      <c r="G214" s="11">
        <f t="shared" si="3"/>
        <v>0</v>
      </c>
      <c r="H214" s="14">
        <v>23.6</v>
      </c>
    </row>
    <row r="215" spans="1:8" x14ac:dyDescent="0.25">
      <c r="A215" s="6" t="s">
        <v>655</v>
      </c>
      <c r="B215" s="7" t="s">
        <v>656</v>
      </c>
      <c r="C215" s="7" t="s">
        <v>657</v>
      </c>
      <c r="D215" s="8" t="s">
        <v>37</v>
      </c>
      <c r="E215" s="13">
        <v>952</v>
      </c>
      <c r="F215" s="10"/>
      <c r="G215" s="11">
        <f t="shared" si="3"/>
        <v>0</v>
      </c>
      <c r="H215" s="19">
        <v>32.200000000000003</v>
      </c>
    </row>
    <row r="216" spans="1:8" x14ac:dyDescent="0.25">
      <c r="A216" s="6" t="s">
        <v>658</v>
      </c>
      <c r="B216" s="7" t="s">
        <v>659</v>
      </c>
      <c r="C216" s="7" t="s">
        <v>660</v>
      </c>
      <c r="D216" s="8" t="s">
        <v>226</v>
      </c>
      <c r="E216" s="13">
        <v>168</v>
      </c>
      <c r="F216" s="10"/>
      <c r="G216" s="11">
        <f t="shared" si="3"/>
        <v>0</v>
      </c>
      <c r="H216" s="19">
        <v>10.8</v>
      </c>
    </row>
    <row r="217" spans="1:8" x14ac:dyDescent="0.25">
      <c r="A217" s="6" t="s">
        <v>661</v>
      </c>
      <c r="B217" s="7" t="s">
        <v>662</v>
      </c>
      <c r="C217" s="7" t="s">
        <v>663</v>
      </c>
      <c r="D217" s="17" t="s">
        <v>47</v>
      </c>
      <c r="E217" s="18">
        <v>178</v>
      </c>
      <c r="F217" s="10"/>
      <c r="G217" s="11">
        <f t="shared" si="3"/>
        <v>0</v>
      </c>
      <c r="H217" s="19">
        <v>32</v>
      </c>
    </row>
    <row r="218" spans="1:8" x14ac:dyDescent="0.25">
      <c r="A218" s="6" t="s">
        <v>664</v>
      </c>
      <c r="B218" s="7" t="s">
        <v>665</v>
      </c>
      <c r="C218" s="7" t="s">
        <v>666</v>
      </c>
      <c r="D218" s="8" t="s">
        <v>10</v>
      </c>
      <c r="E218" s="13">
        <v>370</v>
      </c>
      <c r="F218" s="10"/>
      <c r="G218" s="11">
        <f t="shared" si="3"/>
        <v>0</v>
      </c>
      <c r="H218" s="19">
        <v>12.3</v>
      </c>
    </row>
    <row r="219" spans="1:8" x14ac:dyDescent="0.25">
      <c r="A219" s="6" t="s">
        <v>667</v>
      </c>
      <c r="B219" s="7" t="s">
        <v>668</v>
      </c>
      <c r="C219" s="7" t="s">
        <v>669</v>
      </c>
      <c r="D219" s="8" t="s">
        <v>226</v>
      </c>
      <c r="E219" s="13">
        <v>160</v>
      </c>
      <c r="F219" s="10"/>
      <c r="G219" s="11">
        <f t="shared" si="3"/>
        <v>0</v>
      </c>
      <c r="H219" s="19">
        <v>21.6</v>
      </c>
    </row>
    <row r="220" spans="1:8" x14ac:dyDescent="0.25">
      <c r="A220" s="6" t="s">
        <v>670</v>
      </c>
      <c r="B220" s="7" t="s">
        <v>671</v>
      </c>
      <c r="C220" s="7"/>
      <c r="D220" s="17" t="s">
        <v>47</v>
      </c>
      <c r="E220" s="18">
        <v>608</v>
      </c>
      <c r="F220" s="10"/>
      <c r="G220" s="11">
        <f t="shared" si="3"/>
        <v>0</v>
      </c>
      <c r="H220" s="19">
        <v>40</v>
      </c>
    </row>
    <row r="221" spans="1:8" x14ac:dyDescent="0.25">
      <c r="A221" s="6" t="s">
        <v>672</v>
      </c>
      <c r="B221" s="7" t="s">
        <v>673</v>
      </c>
      <c r="C221" s="7" t="s">
        <v>674</v>
      </c>
      <c r="D221" s="8" t="s">
        <v>226</v>
      </c>
      <c r="E221" s="13">
        <v>380</v>
      </c>
      <c r="F221" s="10"/>
      <c r="G221" s="11">
        <f t="shared" si="3"/>
        <v>0</v>
      </c>
      <c r="H221" s="19">
        <v>64.400000000000006</v>
      </c>
    </row>
    <row r="222" spans="1:8" x14ac:dyDescent="0.25">
      <c r="A222" s="6" t="s">
        <v>675</v>
      </c>
      <c r="B222" s="7" t="s">
        <v>676</v>
      </c>
      <c r="C222" s="7" t="s">
        <v>677</v>
      </c>
      <c r="D222" s="8" t="s">
        <v>226</v>
      </c>
      <c r="E222" s="13">
        <v>250</v>
      </c>
      <c r="F222" s="10"/>
      <c r="G222" s="11">
        <f t="shared" si="3"/>
        <v>0</v>
      </c>
      <c r="H222" s="19">
        <v>28.2</v>
      </c>
    </row>
    <row r="223" spans="1:8" x14ac:dyDescent="0.25">
      <c r="A223" s="6" t="s">
        <v>678</v>
      </c>
      <c r="B223" s="7" t="s">
        <v>679</v>
      </c>
      <c r="C223" s="7" t="s">
        <v>680</v>
      </c>
      <c r="D223" s="8" t="s">
        <v>10</v>
      </c>
      <c r="E223" s="13">
        <v>760</v>
      </c>
      <c r="F223" s="10"/>
      <c r="G223" s="11">
        <f t="shared" si="3"/>
        <v>0</v>
      </c>
      <c r="H223" s="19">
        <v>29.7</v>
      </c>
    </row>
    <row r="224" spans="1:8" x14ac:dyDescent="0.25">
      <c r="A224" s="6" t="s">
        <v>681</v>
      </c>
      <c r="B224" s="7" t="s">
        <v>682</v>
      </c>
      <c r="C224" s="7" t="s">
        <v>683</v>
      </c>
      <c r="D224" s="8" t="s">
        <v>10</v>
      </c>
      <c r="E224" s="13">
        <v>210</v>
      </c>
      <c r="F224" s="10"/>
      <c r="G224" s="11">
        <f t="shared" si="3"/>
        <v>0</v>
      </c>
      <c r="H224" s="19">
        <v>15.2</v>
      </c>
    </row>
    <row r="225" spans="1:8" x14ac:dyDescent="0.25">
      <c r="A225" s="6" t="s">
        <v>684</v>
      </c>
      <c r="B225" s="7" t="s">
        <v>685</v>
      </c>
      <c r="C225" s="7"/>
      <c r="D225" s="17" t="s">
        <v>47</v>
      </c>
      <c r="E225" s="18">
        <v>498</v>
      </c>
      <c r="F225" s="10"/>
      <c r="G225" s="11">
        <f t="shared" si="3"/>
        <v>0</v>
      </c>
      <c r="H225" s="19">
        <v>34</v>
      </c>
    </row>
    <row r="226" spans="1:8" x14ac:dyDescent="0.25">
      <c r="A226" s="6" t="s">
        <v>686</v>
      </c>
      <c r="B226" s="7" t="s">
        <v>687</v>
      </c>
      <c r="C226" s="7" t="s">
        <v>688</v>
      </c>
      <c r="D226" s="8" t="s">
        <v>226</v>
      </c>
      <c r="E226" s="13">
        <v>250</v>
      </c>
      <c r="F226" s="10"/>
      <c r="G226" s="11">
        <f t="shared" si="3"/>
        <v>0</v>
      </c>
      <c r="H226" s="19">
        <v>32.299999999999997</v>
      </c>
    </row>
    <row r="227" spans="1:8" x14ac:dyDescent="0.25">
      <c r="A227" s="6" t="s">
        <v>689</v>
      </c>
      <c r="B227" s="7" t="s">
        <v>690</v>
      </c>
      <c r="C227" s="7" t="s">
        <v>691</v>
      </c>
      <c r="D227" s="8" t="s">
        <v>226</v>
      </c>
      <c r="E227" s="13">
        <v>325</v>
      </c>
      <c r="F227" s="10"/>
      <c r="G227" s="11">
        <f t="shared" si="3"/>
        <v>0</v>
      </c>
      <c r="H227" s="19">
        <v>56.4</v>
      </c>
    </row>
    <row r="228" spans="1:8" x14ac:dyDescent="0.25">
      <c r="A228" s="6" t="s">
        <v>692</v>
      </c>
      <c r="B228" s="7" t="s">
        <v>693</v>
      </c>
      <c r="C228" s="7" t="s">
        <v>694</v>
      </c>
      <c r="D228" s="8" t="s">
        <v>10</v>
      </c>
      <c r="E228" s="13">
        <v>990</v>
      </c>
      <c r="F228" s="10"/>
      <c r="G228" s="11">
        <f t="shared" si="3"/>
        <v>0</v>
      </c>
      <c r="H228" s="19">
        <v>29.7</v>
      </c>
    </row>
    <row r="229" spans="1:8" x14ac:dyDescent="0.25">
      <c r="A229" s="6" t="s">
        <v>695</v>
      </c>
      <c r="B229" s="7" t="s">
        <v>696</v>
      </c>
      <c r="C229" s="7" t="s">
        <v>697</v>
      </c>
      <c r="D229" s="8" t="s">
        <v>226</v>
      </c>
      <c r="E229" s="13">
        <v>185</v>
      </c>
      <c r="F229" s="10"/>
      <c r="G229" s="11">
        <f t="shared" si="3"/>
        <v>0</v>
      </c>
      <c r="H229" s="19">
        <v>21.5</v>
      </c>
    </row>
    <row r="230" spans="1:8" x14ac:dyDescent="0.25">
      <c r="A230" s="6" t="s">
        <v>698</v>
      </c>
      <c r="B230" s="7" t="s">
        <v>699</v>
      </c>
      <c r="C230" s="7" t="s">
        <v>700</v>
      </c>
      <c r="D230" s="8" t="s">
        <v>226</v>
      </c>
      <c r="E230" s="13">
        <v>168</v>
      </c>
      <c r="F230" s="10"/>
      <c r="G230" s="11">
        <f t="shared" si="3"/>
        <v>0</v>
      </c>
      <c r="H230" s="19">
        <v>21.5</v>
      </c>
    </row>
    <row r="231" spans="1:8" x14ac:dyDescent="0.25">
      <c r="A231" s="6" t="s">
        <v>701</v>
      </c>
      <c r="B231" s="7" t="s">
        <v>702</v>
      </c>
      <c r="C231" s="7" t="s">
        <v>703</v>
      </c>
      <c r="D231" s="8" t="s">
        <v>10</v>
      </c>
      <c r="E231" s="13">
        <v>948</v>
      </c>
      <c r="F231" s="10"/>
      <c r="G231" s="11">
        <f t="shared" si="3"/>
        <v>0</v>
      </c>
      <c r="H231" s="19">
        <v>29.7</v>
      </c>
    </row>
    <row r="232" spans="1:8" x14ac:dyDescent="0.25">
      <c r="A232" s="15" t="s">
        <v>704</v>
      </c>
      <c r="B232" s="16" t="s">
        <v>705</v>
      </c>
      <c r="C232" s="16" t="s">
        <v>706</v>
      </c>
      <c r="D232" s="17" t="s">
        <v>47</v>
      </c>
      <c r="E232" s="18">
        <v>198</v>
      </c>
      <c r="F232" s="10"/>
      <c r="G232" s="11">
        <f t="shared" si="3"/>
        <v>0</v>
      </c>
      <c r="H232" s="19">
        <v>22</v>
      </c>
    </row>
    <row r="233" spans="1:8" x14ac:dyDescent="0.25">
      <c r="A233" s="6" t="s">
        <v>707</v>
      </c>
      <c r="B233" s="7" t="s">
        <v>708</v>
      </c>
      <c r="C233" s="7" t="s">
        <v>709</v>
      </c>
      <c r="D233" s="8" t="s">
        <v>14</v>
      </c>
      <c r="E233" s="13">
        <v>1567.5403225806451</v>
      </c>
      <c r="F233" s="10"/>
      <c r="G233" s="11">
        <f t="shared" si="3"/>
        <v>0</v>
      </c>
      <c r="H233" s="14">
        <v>113.1</v>
      </c>
    </row>
    <row r="234" spans="1:8" x14ac:dyDescent="0.25">
      <c r="A234" s="6" t="s">
        <v>710</v>
      </c>
      <c r="B234" s="7" t="s">
        <v>711</v>
      </c>
      <c r="C234" s="7" t="s">
        <v>712</v>
      </c>
      <c r="D234" s="8" t="s">
        <v>10</v>
      </c>
      <c r="E234" s="13">
        <v>590</v>
      </c>
      <c r="F234" s="10"/>
      <c r="G234" s="11">
        <f t="shared" si="3"/>
        <v>0</v>
      </c>
      <c r="H234" s="19">
        <v>32.700000000000003</v>
      </c>
    </row>
    <row r="235" spans="1:8" x14ac:dyDescent="0.25">
      <c r="A235" s="6" t="s">
        <v>713</v>
      </c>
      <c r="B235" s="29" t="s">
        <v>714</v>
      </c>
      <c r="C235" s="7" t="s">
        <v>715</v>
      </c>
      <c r="D235" s="8" t="s">
        <v>10</v>
      </c>
      <c r="E235" s="13">
        <v>498</v>
      </c>
      <c r="F235" s="10"/>
      <c r="G235" s="11">
        <f t="shared" si="3"/>
        <v>0</v>
      </c>
      <c r="H235" s="19">
        <v>22.6</v>
      </c>
    </row>
    <row r="236" spans="1:8" x14ac:dyDescent="0.25">
      <c r="A236" s="6" t="s">
        <v>716</v>
      </c>
      <c r="B236" s="7" t="s">
        <v>717</v>
      </c>
      <c r="C236" s="7" t="s">
        <v>718</v>
      </c>
      <c r="D236" s="8" t="s">
        <v>37</v>
      </c>
      <c r="E236" s="13">
        <v>1830</v>
      </c>
      <c r="F236" s="10"/>
      <c r="G236" s="11">
        <f t="shared" si="3"/>
        <v>0</v>
      </c>
      <c r="H236" s="19">
        <v>60.1</v>
      </c>
    </row>
    <row r="237" spans="1:8" x14ac:dyDescent="0.25">
      <c r="A237" s="6" t="s">
        <v>719</v>
      </c>
      <c r="B237" s="7" t="s">
        <v>720</v>
      </c>
      <c r="C237" s="7" t="s">
        <v>721</v>
      </c>
      <c r="D237" s="8" t="s">
        <v>151</v>
      </c>
      <c r="E237" s="13">
        <v>1710</v>
      </c>
      <c r="F237" s="10"/>
      <c r="G237" s="11">
        <f t="shared" si="3"/>
        <v>0</v>
      </c>
      <c r="H237" s="19">
        <v>29.7</v>
      </c>
    </row>
    <row r="238" spans="1:8" x14ac:dyDescent="0.25">
      <c r="A238" s="6" t="s">
        <v>722</v>
      </c>
      <c r="B238" s="7" t="s">
        <v>723</v>
      </c>
      <c r="C238" s="7" t="s">
        <v>724</v>
      </c>
      <c r="D238" s="8" t="s">
        <v>14</v>
      </c>
      <c r="E238" s="13">
        <v>680.44354838709683</v>
      </c>
      <c r="F238" s="10"/>
      <c r="G238" s="11">
        <f t="shared" si="3"/>
        <v>0</v>
      </c>
      <c r="H238" s="14">
        <v>35.1</v>
      </c>
    </row>
    <row r="239" spans="1:8" x14ac:dyDescent="0.25">
      <c r="A239" s="6" t="s">
        <v>725</v>
      </c>
      <c r="B239" s="7" t="s">
        <v>726</v>
      </c>
      <c r="C239" s="7" t="s">
        <v>727</v>
      </c>
      <c r="D239" s="17" t="s">
        <v>245</v>
      </c>
      <c r="E239" s="18">
        <v>176.64</v>
      </c>
      <c r="F239" s="10"/>
      <c r="G239" s="11">
        <f t="shared" si="3"/>
        <v>0</v>
      </c>
      <c r="H239" s="19">
        <v>25</v>
      </c>
    </row>
    <row r="240" spans="1:8" x14ac:dyDescent="0.25">
      <c r="A240" s="6" t="s">
        <v>728</v>
      </c>
      <c r="B240" s="7" t="s">
        <v>729</v>
      </c>
      <c r="C240" s="7" t="s">
        <v>730</v>
      </c>
      <c r="D240" s="8" t="s">
        <v>226</v>
      </c>
      <c r="E240" s="13">
        <v>200</v>
      </c>
      <c r="F240" s="10"/>
      <c r="G240" s="11">
        <f t="shared" si="3"/>
        <v>0</v>
      </c>
      <c r="H240" s="19">
        <v>32.299999999999997</v>
      </c>
    </row>
    <row r="241" spans="1:8" x14ac:dyDescent="0.25">
      <c r="A241" s="6" t="s">
        <v>731</v>
      </c>
      <c r="B241" s="7" t="s">
        <v>732</v>
      </c>
      <c r="C241" s="7" t="s">
        <v>733</v>
      </c>
      <c r="D241" s="8" t="s">
        <v>21</v>
      </c>
      <c r="E241" s="13">
        <v>115</v>
      </c>
      <c r="F241" s="10"/>
      <c r="G241" s="11">
        <f t="shared" si="3"/>
        <v>0</v>
      </c>
      <c r="H241" s="19">
        <v>13.3</v>
      </c>
    </row>
    <row r="242" spans="1:8" x14ac:dyDescent="0.25">
      <c r="A242" s="6" t="s">
        <v>734</v>
      </c>
      <c r="B242" s="7" t="s">
        <v>735</v>
      </c>
      <c r="C242" s="7" t="s">
        <v>736</v>
      </c>
      <c r="D242" s="8" t="s">
        <v>14</v>
      </c>
      <c r="E242" s="13">
        <v>469.75806451612902</v>
      </c>
      <c r="F242" s="10"/>
      <c r="G242" s="11">
        <f t="shared" si="3"/>
        <v>0</v>
      </c>
      <c r="H242" s="14">
        <v>23.6</v>
      </c>
    </row>
    <row r="243" spans="1:8" x14ac:dyDescent="0.25">
      <c r="A243" s="6" t="s">
        <v>737</v>
      </c>
      <c r="B243" s="7" t="s">
        <v>738</v>
      </c>
      <c r="C243" s="7" t="s">
        <v>739</v>
      </c>
      <c r="D243" s="8" t="s">
        <v>226</v>
      </c>
      <c r="E243" s="13">
        <v>220</v>
      </c>
      <c r="F243" s="10"/>
      <c r="G243" s="11">
        <f t="shared" si="3"/>
        <v>0</v>
      </c>
      <c r="H243" s="19">
        <v>32.299999999999997</v>
      </c>
    </row>
    <row r="244" spans="1:8" x14ac:dyDescent="0.25">
      <c r="A244" s="6" t="s">
        <v>740</v>
      </c>
      <c r="B244" s="7" t="s">
        <v>741</v>
      </c>
      <c r="C244" s="7" t="s">
        <v>742</v>
      </c>
      <c r="D244" s="8" t="s">
        <v>10</v>
      </c>
      <c r="E244" s="13">
        <v>449</v>
      </c>
      <c r="F244" s="10"/>
      <c r="G244" s="11">
        <f t="shared" si="3"/>
        <v>0</v>
      </c>
      <c r="H244" s="19">
        <v>10.9</v>
      </c>
    </row>
    <row r="245" spans="1:8" x14ac:dyDescent="0.25">
      <c r="A245" s="6" t="s">
        <v>743</v>
      </c>
      <c r="B245" s="7" t="s">
        <v>744</v>
      </c>
      <c r="C245" s="7" t="s">
        <v>745</v>
      </c>
      <c r="D245" s="8" t="s">
        <v>10</v>
      </c>
      <c r="E245" s="13">
        <v>360</v>
      </c>
      <c r="F245" s="10"/>
      <c r="G245" s="11">
        <f t="shared" si="3"/>
        <v>0</v>
      </c>
      <c r="H245" s="19">
        <v>24.7</v>
      </c>
    </row>
    <row r="246" spans="1:8" x14ac:dyDescent="0.25">
      <c r="A246" s="6" t="s">
        <v>746</v>
      </c>
      <c r="B246" s="7" t="s">
        <v>747</v>
      </c>
      <c r="C246" s="7" t="s">
        <v>748</v>
      </c>
      <c r="D246" s="8" t="s">
        <v>10</v>
      </c>
      <c r="E246" s="13">
        <v>210</v>
      </c>
      <c r="F246" s="10"/>
      <c r="G246" s="11">
        <f t="shared" si="3"/>
        <v>0</v>
      </c>
      <c r="H246" s="19">
        <v>15.2</v>
      </c>
    </row>
    <row r="247" spans="1:8" x14ac:dyDescent="0.25">
      <c r="A247" s="6" t="s">
        <v>749</v>
      </c>
      <c r="B247" s="7" t="s">
        <v>750</v>
      </c>
      <c r="C247" s="7" t="s">
        <v>751</v>
      </c>
      <c r="D247" s="17" t="s">
        <v>245</v>
      </c>
      <c r="E247" s="18">
        <v>172.9</v>
      </c>
      <c r="F247" s="10"/>
      <c r="G247" s="11">
        <f t="shared" si="3"/>
        <v>0</v>
      </c>
      <c r="H247" s="19">
        <v>19</v>
      </c>
    </row>
    <row r="248" spans="1:8" x14ac:dyDescent="0.25">
      <c r="A248" s="6" t="s">
        <v>752</v>
      </c>
      <c r="B248" s="7" t="s">
        <v>753</v>
      </c>
      <c r="C248" s="7" t="s">
        <v>754</v>
      </c>
      <c r="D248" s="8" t="s">
        <v>10</v>
      </c>
      <c r="E248" s="13">
        <v>372</v>
      </c>
      <c r="F248" s="10"/>
      <c r="G248" s="11">
        <f t="shared" si="3"/>
        <v>0</v>
      </c>
      <c r="H248" s="19">
        <v>16.3</v>
      </c>
    </row>
    <row r="249" spans="1:8" x14ac:dyDescent="0.25">
      <c r="A249" s="6" t="s">
        <v>755</v>
      </c>
      <c r="B249" s="7" t="s">
        <v>756</v>
      </c>
      <c r="C249" s="7" t="s">
        <v>757</v>
      </c>
      <c r="D249" s="8" t="s">
        <v>54</v>
      </c>
      <c r="E249" s="13">
        <v>350.82223962411905</v>
      </c>
      <c r="F249" s="10"/>
      <c r="G249" s="11">
        <f t="shared" si="3"/>
        <v>0</v>
      </c>
      <c r="H249" s="24">
        <v>11.9</v>
      </c>
    </row>
    <row r="250" spans="1:8" x14ac:dyDescent="0.25">
      <c r="A250" s="6" t="s">
        <v>758</v>
      </c>
      <c r="B250" s="7" t="s">
        <v>759</v>
      </c>
      <c r="C250" s="7" t="s">
        <v>760</v>
      </c>
      <c r="D250" s="8" t="s">
        <v>10</v>
      </c>
      <c r="E250" s="13">
        <v>432</v>
      </c>
      <c r="F250" s="10"/>
      <c r="G250" s="11">
        <f t="shared" si="3"/>
        <v>0</v>
      </c>
      <c r="H250" s="19">
        <v>14.9</v>
      </c>
    </row>
    <row r="251" spans="1:8" x14ac:dyDescent="0.25">
      <c r="A251" s="6" t="s">
        <v>761</v>
      </c>
      <c r="B251" s="7" t="s">
        <v>762</v>
      </c>
      <c r="C251" s="7" t="s">
        <v>763</v>
      </c>
      <c r="D251" s="8" t="s">
        <v>54</v>
      </c>
      <c r="E251" s="13">
        <v>457.32184808144092</v>
      </c>
      <c r="F251" s="10"/>
      <c r="G251" s="11">
        <f t="shared" si="3"/>
        <v>0</v>
      </c>
      <c r="H251" s="24">
        <v>11.9</v>
      </c>
    </row>
    <row r="252" spans="1:8" x14ac:dyDescent="0.25">
      <c r="A252" s="6" t="s">
        <v>764</v>
      </c>
      <c r="B252" s="7" t="s">
        <v>765</v>
      </c>
      <c r="C252" s="7" t="s">
        <v>766</v>
      </c>
      <c r="D252" s="8" t="s">
        <v>226</v>
      </c>
      <c r="E252" s="13">
        <v>168</v>
      </c>
      <c r="F252" s="10"/>
      <c r="G252" s="11">
        <f t="shared" si="3"/>
        <v>0</v>
      </c>
      <c r="H252" s="19">
        <v>16.100000000000001</v>
      </c>
    </row>
    <row r="253" spans="1:8" x14ac:dyDescent="0.25">
      <c r="A253" s="6" t="s">
        <v>767</v>
      </c>
      <c r="B253" s="7" t="s">
        <v>768</v>
      </c>
      <c r="C253" s="7" t="s">
        <v>769</v>
      </c>
      <c r="D253" s="8" t="s">
        <v>14</v>
      </c>
      <c r="E253" s="13">
        <v>393.14516129032256</v>
      </c>
      <c r="F253" s="10"/>
      <c r="G253" s="11">
        <f t="shared" si="3"/>
        <v>0</v>
      </c>
      <c r="H253" s="14">
        <v>35.1</v>
      </c>
    </row>
    <row r="254" spans="1:8" x14ac:dyDescent="0.25">
      <c r="A254" s="6" t="s">
        <v>770</v>
      </c>
      <c r="B254" s="7" t="s">
        <v>771</v>
      </c>
      <c r="C254" s="7" t="s">
        <v>772</v>
      </c>
      <c r="D254" s="8" t="s">
        <v>10</v>
      </c>
      <c r="E254" s="13">
        <v>250</v>
      </c>
      <c r="F254" s="10"/>
      <c r="G254" s="11">
        <f t="shared" si="3"/>
        <v>0</v>
      </c>
      <c r="H254" s="19">
        <v>9.9</v>
      </c>
    </row>
    <row r="255" spans="1:8" x14ac:dyDescent="0.25">
      <c r="A255" s="6" t="s">
        <v>773</v>
      </c>
      <c r="B255" s="7" t="s">
        <v>774</v>
      </c>
      <c r="C255" s="7" t="s">
        <v>775</v>
      </c>
      <c r="D255" s="8" t="s">
        <v>14</v>
      </c>
      <c r="E255" s="13">
        <v>952.62096774193549</v>
      </c>
      <c r="F255" s="10"/>
      <c r="G255" s="11">
        <f t="shared" si="3"/>
        <v>0</v>
      </c>
      <c r="H255" s="14">
        <v>70.400000000000006</v>
      </c>
    </row>
    <row r="256" spans="1:8" x14ac:dyDescent="0.25">
      <c r="A256" s="6" t="s">
        <v>776</v>
      </c>
      <c r="B256" s="7" t="s">
        <v>777</v>
      </c>
      <c r="C256" s="7" t="s">
        <v>778</v>
      </c>
      <c r="D256" s="8" t="s">
        <v>10</v>
      </c>
      <c r="E256" s="13">
        <v>233.65</v>
      </c>
      <c r="F256" s="10"/>
      <c r="G256" s="11">
        <f t="shared" si="3"/>
        <v>0</v>
      </c>
      <c r="H256" s="19">
        <v>15.8</v>
      </c>
    </row>
    <row r="257" spans="1:8" x14ac:dyDescent="0.25">
      <c r="A257" s="6" t="s">
        <v>779</v>
      </c>
      <c r="B257" s="7" t="s">
        <v>780</v>
      </c>
      <c r="C257" s="7" t="s">
        <v>781</v>
      </c>
      <c r="D257" s="8" t="s">
        <v>10</v>
      </c>
      <c r="E257" s="13">
        <v>1398</v>
      </c>
      <c r="F257" s="10"/>
      <c r="G257" s="11">
        <f t="shared" si="3"/>
        <v>0</v>
      </c>
      <c r="H257" s="19">
        <v>29.7</v>
      </c>
    </row>
    <row r="258" spans="1:8" x14ac:dyDescent="0.25">
      <c r="A258" s="6" t="s">
        <v>782</v>
      </c>
      <c r="B258" s="7" t="s">
        <v>783</v>
      </c>
      <c r="C258" s="7" t="s">
        <v>784</v>
      </c>
      <c r="D258" s="8" t="s">
        <v>10</v>
      </c>
      <c r="E258" s="13">
        <v>3970</v>
      </c>
      <c r="F258" s="10"/>
      <c r="G258" s="11">
        <f t="shared" si="3"/>
        <v>0</v>
      </c>
      <c r="H258" s="19">
        <v>48.2</v>
      </c>
    </row>
    <row r="259" spans="1:8" x14ac:dyDescent="0.25">
      <c r="A259" s="6" t="s">
        <v>785</v>
      </c>
      <c r="B259" s="7" t="s">
        <v>786</v>
      </c>
      <c r="C259" s="7" t="s">
        <v>787</v>
      </c>
      <c r="D259" s="8" t="s">
        <v>14</v>
      </c>
      <c r="E259" s="13">
        <v>490.92741935483872</v>
      </c>
      <c r="F259" s="10"/>
      <c r="G259" s="11">
        <f t="shared" ref="G259:G322" si="4">E259*F259</f>
        <v>0</v>
      </c>
      <c r="H259" s="14">
        <v>35.1</v>
      </c>
    </row>
    <row r="260" spans="1:8" x14ac:dyDescent="0.25">
      <c r="A260" s="6" t="s">
        <v>788</v>
      </c>
      <c r="B260" s="7" t="s">
        <v>789</v>
      </c>
      <c r="C260" s="7" t="s">
        <v>790</v>
      </c>
      <c r="D260" s="8" t="s">
        <v>10</v>
      </c>
      <c r="E260" s="13">
        <v>458</v>
      </c>
      <c r="F260" s="10"/>
      <c r="G260" s="11">
        <f t="shared" si="4"/>
        <v>0</v>
      </c>
      <c r="H260" s="19">
        <v>22.6</v>
      </c>
    </row>
    <row r="261" spans="1:8" x14ac:dyDescent="0.25">
      <c r="A261" s="6" t="s">
        <v>791</v>
      </c>
      <c r="B261" s="7" t="s">
        <v>792</v>
      </c>
      <c r="C261" s="7" t="s">
        <v>793</v>
      </c>
      <c r="D261" s="8" t="s">
        <v>375</v>
      </c>
      <c r="E261" s="13">
        <v>599</v>
      </c>
      <c r="F261" s="10"/>
      <c r="G261" s="11">
        <f t="shared" si="4"/>
        <v>0</v>
      </c>
      <c r="H261" s="19">
        <v>15</v>
      </c>
    </row>
    <row r="262" spans="1:8" x14ac:dyDescent="0.25">
      <c r="A262" s="6" t="s">
        <v>794</v>
      </c>
      <c r="B262" s="7" t="s">
        <v>795</v>
      </c>
      <c r="C262" s="7" t="s">
        <v>796</v>
      </c>
      <c r="D262" s="8" t="s">
        <v>10</v>
      </c>
      <c r="E262" s="13">
        <v>558</v>
      </c>
      <c r="F262" s="10"/>
      <c r="G262" s="11">
        <f t="shared" si="4"/>
        <v>0</v>
      </c>
      <c r="H262" s="19">
        <v>24.5</v>
      </c>
    </row>
    <row r="263" spans="1:8" x14ac:dyDescent="0.25">
      <c r="A263" s="6" t="s">
        <v>797</v>
      </c>
      <c r="B263" s="7" t="s">
        <v>798</v>
      </c>
      <c r="C263" s="7" t="s">
        <v>799</v>
      </c>
      <c r="D263" s="8" t="s">
        <v>10</v>
      </c>
      <c r="E263" s="13">
        <v>2298</v>
      </c>
      <c r="F263" s="10"/>
      <c r="G263" s="11">
        <f t="shared" si="4"/>
        <v>0</v>
      </c>
      <c r="H263" s="19">
        <v>32.700000000000003</v>
      </c>
    </row>
    <row r="264" spans="1:8" x14ac:dyDescent="0.25">
      <c r="A264" s="6" t="s">
        <v>800</v>
      </c>
      <c r="B264" s="7" t="s">
        <v>801</v>
      </c>
      <c r="C264" s="7" t="s">
        <v>802</v>
      </c>
      <c r="D264" s="8" t="s">
        <v>10</v>
      </c>
      <c r="E264" s="13">
        <v>2298</v>
      </c>
      <c r="F264" s="10"/>
      <c r="G264" s="11">
        <f t="shared" si="4"/>
        <v>0</v>
      </c>
      <c r="H264" s="19">
        <v>43.5</v>
      </c>
    </row>
    <row r="265" spans="1:8" x14ac:dyDescent="0.25">
      <c r="A265" s="6" t="s">
        <v>803</v>
      </c>
      <c r="B265" s="7" t="s">
        <v>804</v>
      </c>
      <c r="C265" s="7" t="s">
        <v>805</v>
      </c>
      <c r="D265" s="8" t="s">
        <v>54</v>
      </c>
      <c r="E265" s="13">
        <v>498.04228660924042</v>
      </c>
      <c r="F265" s="10"/>
      <c r="G265" s="11">
        <f t="shared" si="4"/>
        <v>0</v>
      </c>
      <c r="H265" s="24">
        <v>11.9</v>
      </c>
    </row>
    <row r="266" spans="1:8" x14ac:dyDescent="0.25">
      <c r="A266" s="6" t="s">
        <v>806</v>
      </c>
      <c r="B266" s="7" t="s">
        <v>807</v>
      </c>
      <c r="C266" s="7" t="s">
        <v>808</v>
      </c>
      <c r="D266" s="8" t="s">
        <v>226</v>
      </c>
      <c r="E266" s="13">
        <v>190</v>
      </c>
      <c r="F266" s="10"/>
      <c r="G266" s="11">
        <f t="shared" si="4"/>
        <v>0</v>
      </c>
      <c r="H266" s="19">
        <v>21.5</v>
      </c>
    </row>
    <row r="267" spans="1:8" x14ac:dyDescent="0.25">
      <c r="A267" s="6" t="s">
        <v>809</v>
      </c>
      <c r="B267" s="7" t="s">
        <v>810</v>
      </c>
      <c r="C267" s="7" t="s">
        <v>811</v>
      </c>
      <c r="D267" s="8" t="s">
        <v>10</v>
      </c>
      <c r="E267" s="13">
        <v>990</v>
      </c>
      <c r="F267" s="10"/>
      <c r="G267" s="11">
        <f t="shared" si="4"/>
        <v>0</v>
      </c>
      <c r="H267" s="19">
        <v>9.9</v>
      </c>
    </row>
    <row r="268" spans="1:8" x14ac:dyDescent="0.25">
      <c r="A268" s="6" t="s">
        <v>812</v>
      </c>
      <c r="B268" s="7" t="s">
        <v>813</v>
      </c>
      <c r="C268" s="7" t="s">
        <v>814</v>
      </c>
      <c r="D268" s="17" t="s">
        <v>245</v>
      </c>
      <c r="E268" s="18">
        <v>168.22</v>
      </c>
      <c r="F268" s="10"/>
      <c r="G268" s="11">
        <f t="shared" si="4"/>
        <v>0</v>
      </c>
      <c r="H268" s="19">
        <v>33</v>
      </c>
    </row>
    <row r="269" spans="1:8" x14ac:dyDescent="0.25">
      <c r="A269" s="6" t="s">
        <v>815</v>
      </c>
      <c r="B269" s="7" t="s">
        <v>816</v>
      </c>
      <c r="C269" s="7" t="s">
        <v>817</v>
      </c>
      <c r="D269" s="8" t="s">
        <v>10</v>
      </c>
      <c r="E269" s="13">
        <v>495.33</v>
      </c>
      <c r="F269" s="10"/>
      <c r="G269" s="11">
        <f t="shared" si="4"/>
        <v>0</v>
      </c>
      <c r="H269" s="19">
        <v>29.7</v>
      </c>
    </row>
    <row r="270" spans="1:8" x14ac:dyDescent="0.25">
      <c r="A270" s="6" t="s">
        <v>818</v>
      </c>
      <c r="B270" s="7" t="s">
        <v>819</v>
      </c>
      <c r="C270" s="7" t="s">
        <v>820</v>
      </c>
      <c r="D270" s="8" t="s">
        <v>37</v>
      </c>
      <c r="E270" s="13">
        <v>1232</v>
      </c>
      <c r="F270" s="10"/>
      <c r="G270" s="11">
        <f t="shared" si="4"/>
        <v>0</v>
      </c>
      <c r="H270" s="19">
        <v>23.1</v>
      </c>
    </row>
    <row r="271" spans="1:8" x14ac:dyDescent="0.25">
      <c r="A271" s="6" t="s">
        <v>821</v>
      </c>
      <c r="B271" s="7" t="s">
        <v>822</v>
      </c>
      <c r="C271" s="7" t="s">
        <v>823</v>
      </c>
      <c r="D271" s="8" t="s">
        <v>375</v>
      </c>
      <c r="E271" s="13">
        <v>399</v>
      </c>
      <c r="F271" s="10"/>
      <c r="G271" s="11">
        <f t="shared" si="4"/>
        <v>0</v>
      </c>
      <c r="H271" s="19">
        <v>16.399999999999999</v>
      </c>
    </row>
    <row r="272" spans="1:8" x14ac:dyDescent="0.25">
      <c r="A272" s="6" t="s">
        <v>824</v>
      </c>
      <c r="B272" s="7" t="s">
        <v>825</v>
      </c>
      <c r="C272" s="7" t="s">
        <v>826</v>
      </c>
      <c r="D272" s="8" t="s">
        <v>10</v>
      </c>
      <c r="E272" s="13">
        <v>2998</v>
      </c>
      <c r="F272" s="10"/>
      <c r="G272" s="11">
        <f t="shared" si="4"/>
        <v>0</v>
      </c>
      <c r="H272" s="19">
        <v>48.2</v>
      </c>
    </row>
    <row r="273" spans="1:8" x14ac:dyDescent="0.25">
      <c r="A273" s="6" t="s">
        <v>827</v>
      </c>
      <c r="B273" s="7" t="s">
        <v>828</v>
      </c>
      <c r="C273" s="7" t="s">
        <v>829</v>
      </c>
      <c r="D273" s="8" t="s">
        <v>14</v>
      </c>
      <c r="E273" s="13">
        <v>820.56451612903231</v>
      </c>
      <c r="F273" s="10"/>
      <c r="G273" s="11">
        <f t="shared" si="4"/>
        <v>0</v>
      </c>
      <c r="H273" s="14">
        <v>75.400000000000006</v>
      </c>
    </row>
    <row r="274" spans="1:8" x14ac:dyDescent="0.25">
      <c r="A274" s="6" t="s">
        <v>830</v>
      </c>
      <c r="B274" s="7" t="s">
        <v>831</v>
      </c>
      <c r="C274" s="7" t="s">
        <v>832</v>
      </c>
      <c r="D274" s="8" t="s">
        <v>37</v>
      </c>
      <c r="E274" s="13">
        <v>1544</v>
      </c>
      <c r="F274" s="10"/>
      <c r="G274" s="11">
        <f t="shared" si="4"/>
        <v>0</v>
      </c>
      <c r="H274" s="19">
        <v>32</v>
      </c>
    </row>
    <row r="275" spans="1:8" x14ac:dyDescent="0.25">
      <c r="A275" s="6" t="s">
        <v>833</v>
      </c>
      <c r="B275" s="7" t="s">
        <v>834</v>
      </c>
      <c r="C275" s="7" t="s">
        <v>835</v>
      </c>
      <c r="D275" s="8" t="s">
        <v>10</v>
      </c>
      <c r="E275" s="13">
        <v>660</v>
      </c>
      <c r="F275" s="10"/>
      <c r="G275" s="11">
        <f t="shared" si="4"/>
        <v>0</v>
      </c>
      <c r="H275" s="19">
        <v>19.8</v>
      </c>
    </row>
    <row r="276" spans="1:8" x14ac:dyDescent="0.25">
      <c r="A276" s="6" t="s">
        <v>836</v>
      </c>
      <c r="B276" s="7" t="s">
        <v>837</v>
      </c>
      <c r="C276" s="7" t="s">
        <v>838</v>
      </c>
      <c r="D276" s="17" t="s">
        <v>47</v>
      </c>
      <c r="E276" s="18">
        <v>148</v>
      </c>
      <c r="F276" s="10"/>
      <c r="G276" s="11">
        <f t="shared" si="4"/>
        <v>0</v>
      </c>
      <c r="H276" s="19">
        <v>10</v>
      </c>
    </row>
    <row r="277" spans="1:8" x14ac:dyDescent="0.25">
      <c r="A277" s="6" t="s">
        <v>839</v>
      </c>
      <c r="B277" s="7" t="s">
        <v>840</v>
      </c>
      <c r="C277" s="7" t="s">
        <v>841</v>
      </c>
      <c r="D277" s="8" t="s">
        <v>10</v>
      </c>
      <c r="E277" s="13">
        <v>169</v>
      </c>
      <c r="F277" s="10"/>
      <c r="G277" s="11">
        <f t="shared" si="4"/>
        <v>0</v>
      </c>
      <c r="H277" s="19">
        <v>28.2</v>
      </c>
    </row>
    <row r="278" spans="1:8" x14ac:dyDescent="0.25">
      <c r="A278" s="6" t="s">
        <v>842</v>
      </c>
      <c r="B278" s="7" t="s">
        <v>843</v>
      </c>
      <c r="C278" s="7" t="s">
        <v>844</v>
      </c>
      <c r="D278" s="8" t="s">
        <v>10</v>
      </c>
      <c r="E278" s="13">
        <v>1140</v>
      </c>
      <c r="F278" s="10"/>
      <c r="G278" s="11">
        <f t="shared" si="4"/>
        <v>0</v>
      </c>
      <c r="H278" s="19">
        <v>32.200000000000003</v>
      </c>
    </row>
    <row r="279" spans="1:8" x14ac:dyDescent="0.25">
      <c r="A279" s="6" t="s">
        <v>845</v>
      </c>
      <c r="B279" s="7" t="s">
        <v>846</v>
      </c>
      <c r="C279" s="7" t="s">
        <v>847</v>
      </c>
      <c r="D279" s="8" t="s">
        <v>37</v>
      </c>
      <c r="E279" s="13">
        <v>894</v>
      </c>
      <c r="F279" s="10"/>
      <c r="G279" s="11">
        <f t="shared" si="4"/>
        <v>0</v>
      </c>
      <c r="H279" s="19">
        <v>58.5</v>
      </c>
    </row>
    <row r="280" spans="1:8" x14ac:dyDescent="0.25">
      <c r="A280" s="6" t="s">
        <v>848</v>
      </c>
      <c r="B280" s="7" t="s">
        <v>849</v>
      </c>
      <c r="C280" s="7" t="s">
        <v>850</v>
      </c>
      <c r="D280" s="8" t="s">
        <v>226</v>
      </c>
      <c r="E280" s="13">
        <v>185</v>
      </c>
      <c r="F280" s="10"/>
      <c r="G280" s="11">
        <f t="shared" si="4"/>
        <v>0</v>
      </c>
      <c r="H280" s="19">
        <v>21.5</v>
      </c>
    </row>
    <row r="281" spans="1:8" x14ac:dyDescent="0.25">
      <c r="A281" s="6" t="s">
        <v>851</v>
      </c>
      <c r="B281" s="7" t="s">
        <v>852</v>
      </c>
      <c r="C281" s="7" t="s">
        <v>853</v>
      </c>
      <c r="D281" s="8" t="s">
        <v>37</v>
      </c>
      <c r="E281" s="13">
        <v>1288</v>
      </c>
      <c r="F281" s="10"/>
      <c r="G281" s="11">
        <f t="shared" si="4"/>
        <v>0</v>
      </c>
      <c r="H281" s="19">
        <v>39.4</v>
      </c>
    </row>
    <row r="282" spans="1:8" x14ac:dyDescent="0.25">
      <c r="A282" s="6" t="s">
        <v>854</v>
      </c>
      <c r="B282" s="7" t="s">
        <v>855</v>
      </c>
      <c r="C282" s="7" t="s">
        <v>856</v>
      </c>
      <c r="D282" s="8" t="s">
        <v>37</v>
      </c>
      <c r="E282" s="13">
        <v>1098</v>
      </c>
      <c r="F282" s="10"/>
      <c r="G282" s="11">
        <f t="shared" si="4"/>
        <v>0</v>
      </c>
      <c r="H282" s="19">
        <v>44.7</v>
      </c>
    </row>
    <row r="283" spans="1:8" x14ac:dyDescent="0.25">
      <c r="A283" s="30" t="s">
        <v>857</v>
      </c>
      <c r="B283" s="7" t="s">
        <v>858</v>
      </c>
      <c r="C283" s="7" t="s">
        <v>859</v>
      </c>
      <c r="D283" s="8" t="s">
        <v>10</v>
      </c>
      <c r="E283" s="13">
        <v>317.76</v>
      </c>
      <c r="F283" s="10"/>
      <c r="G283" s="11">
        <f t="shared" si="4"/>
        <v>0</v>
      </c>
      <c r="H283" s="19">
        <v>46.5</v>
      </c>
    </row>
    <row r="284" spans="1:8" x14ac:dyDescent="0.25">
      <c r="A284" s="6" t="s">
        <v>860</v>
      </c>
      <c r="B284" s="7" t="s">
        <v>861</v>
      </c>
      <c r="C284" s="7" t="s">
        <v>862</v>
      </c>
      <c r="D284" s="8" t="s">
        <v>10</v>
      </c>
      <c r="E284" s="13">
        <v>400</v>
      </c>
      <c r="F284" s="10"/>
      <c r="G284" s="11">
        <f t="shared" si="4"/>
        <v>0</v>
      </c>
      <c r="H284" s="19">
        <v>15</v>
      </c>
    </row>
    <row r="285" spans="1:8" x14ac:dyDescent="0.25">
      <c r="A285" s="6" t="s">
        <v>863</v>
      </c>
      <c r="B285" s="7" t="s">
        <v>864</v>
      </c>
      <c r="C285" s="7" t="s">
        <v>865</v>
      </c>
      <c r="D285" s="8" t="s">
        <v>10</v>
      </c>
      <c r="E285" s="13">
        <v>271.02999999999997</v>
      </c>
      <c r="F285" s="10"/>
      <c r="G285" s="11">
        <f t="shared" si="4"/>
        <v>0</v>
      </c>
      <c r="H285" s="19">
        <v>16.3</v>
      </c>
    </row>
    <row r="286" spans="1:8" x14ac:dyDescent="0.25">
      <c r="A286" s="6" t="s">
        <v>866</v>
      </c>
      <c r="B286" s="7" t="s">
        <v>867</v>
      </c>
      <c r="C286" s="7" t="s">
        <v>868</v>
      </c>
      <c r="D286" s="8" t="s">
        <v>10</v>
      </c>
      <c r="E286" s="13">
        <v>790</v>
      </c>
      <c r="F286" s="10"/>
      <c r="G286" s="11">
        <f t="shared" si="4"/>
        <v>0</v>
      </c>
      <c r="H286" s="19">
        <v>16.3</v>
      </c>
    </row>
    <row r="287" spans="1:8" x14ac:dyDescent="0.25">
      <c r="A287" s="6" t="s">
        <v>869</v>
      </c>
      <c r="B287" s="7" t="s">
        <v>870</v>
      </c>
      <c r="C287" s="7" t="s">
        <v>871</v>
      </c>
      <c r="D287" s="8" t="s">
        <v>226</v>
      </c>
      <c r="E287" s="13">
        <v>168</v>
      </c>
      <c r="F287" s="10"/>
      <c r="G287" s="11">
        <f t="shared" si="4"/>
        <v>0</v>
      </c>
      <c r="H287" s="19">
        <v>32.299999999999997</v>
      </c>
    </row>
    <row r="288" spans="1:8" x14ac:dyDescent="0.25">
      <c r="A288" s="6" t="s">
        <v>872</v>
      </c>
      <c r="B288" s="7" t="s">
        <v>873</v>
      </c>
      <c r="C288" s="7" t="s">
        <v>874</v>
      </c>
      <c r="D288" s="8" t="s">
        <v>10</v>
      </c>
      <c r="E288" s="13">
        <v>470</v>
      </c>
      <c r="F288" s="10"/>
      <c r="G288" s="11">
        <f t="shared" si="4"/>
        <v>0</v>
      </c>
      <c r="H288" s="19">
        <v>29.7</v>
      </c>
    </row>
    <row r="289" spans="1:8" x14ac:dyDescent="0.25">
      <c r="A289" s="6" t="s">
        <v>875</v>
      </c>
      <c r="B289" s="7" t="s">
        <v>876</v>
      </c>
      <c r="C289" s="7" t="s">
        <v>877</v>
      </c>
      <c r="D289" s="8" t="s">
        <v>10</v>
      </c>
      <c r="E289" s="13">
        <v>1560</v>
      </c>
      <c r="F289" s="10"/>
      <c r="G289" s="11">
        <f t="shared" si="4"/>
        <v>0</v>
      </c>
      <c r="H289" s="19">
        <v>48.2</v>
      </c>
    </row>
    <row r="290" spans="1:8" x14ac:dyDescent="0.25">
      <c r="A290" s="6" t="s">
        <v>878</v>
      </c>
      <c r="B290" s="7" t="s">
        <v>879</v>
      </c>
      <c r="C290" s="7" t="s">
        <v>880</v>
      </c>
      <c r="D290" s="8" t="s">
        <v>54</v>
      </c>
      <c r="E290" s="13">
        <v>438.5277995301488</v>
      </c>
      <c r="F290" s="10"/>
      <c r="G290" s="11">
        <f t="shared" si="4"/>
        <v>0</v>
      </c>
      <c r="H290" s="24">
        <v>11.9</v>
      </c>
    </row>
    <row r="291" spans="1:8" x14ac:dyDescent="0.25">
      <c r="A291" s="6" t="s">
        <v>881</v>
      </c>
      <c r="B291" s="7" t="s">
        <v>882</v>
      </c>
      <c r="C291" s="7" t="s">
        <v>883</v>
      </c>
      <c r="D291" s="8" t="s">
        <v>10</v>
      </c>
      <c r="E291" s="13">
        <v>400</v>
      </c>
      <c r="F291" s="10"/>
      <c r="G291" s="11">
        <f t="shared" si="4"/>
        <v>0</v>
      </c>
      <c r="H291" s="19">
        <v>15.2</v>
      </c>
    </row>
    <row r="292" spans="1:8" x14ac:dyDescent="0.25">
      <c r="A292" s="6" t="s">
        <v>884</v>
      </c>
      <c r="B292" s="7" t="s">
        <v>885</v>
      </c>
      <c r="C292" s="7" t="s">
        <v>886</v>
      </c>
      <c r="D292" s="8" t="s">
        <v>21</v>
      </c>
      <c r="E292" s="13">
        <v>130</v>
      </c>
      <c r="F292" s="10"/>
      <c r="G292" s="11">
        <f t="shared" si="4"/>
        <v>0</v>
      </c>
      <c r="H292" s="19">
        <v>26.3</v>
      </c>
    </row>
    <row r="293" spans="1:8" x14ac:dyDescent="0.25">
      <c r="A293" s="6" t="s">
        <v>887</v>
      </c>
      <c r="B293" s="7" t="s">
        <v>888</v>
      </c>
      <c r="C293" s="7" t="s">
        <v>889</v>
      </c>
      <c r="D293" s="8" t="s">
        <v>10</v>
      </c>
      <c r="E293" s="13">
        <v>950</v>
      </c>
      <c r="F293" s="10"/>
      <c r="G293" s="11">
        <f t="shared" si="4"/>
        <v>0</v>
      </c>
      <c r="H293" s="19">
        <v>48.2</v>
      </c>
    </row>
    <row r="294" spans="1:8" x14ac:dyDescent="0.25">
      <c r="A294" s="6" t="s">
        <v>890</v>
      </c>
      <c r="B294" s="7" t="s">
        <v>891</v>
      </c>
      <c r="C294" s="7" t="s">
        <v>892</v>
      </c>
      <c r="D294" s="8" t="s">
        <v>10</v>
      </c>
      <c r="E294" s="13">
        <v>398</v>
      </c>
      <c r="F294" s="10"/>
      <c r="G294" s="11">
        <f t="shared" si="4"/>
        <v>0</v>
      </c>
      <c r="H294" s="19">
        <v>11</v>
      </c>
    </row>
    <row r="295" spans="1:8" x14ac:dyDescent="0.25">
      <c r="A295" s="6" t="s">
        <v>893</v>
      </c>
      <c r="B295" s="7" t="s">
        <v>894</v>
      </c>
      <c r="C295" s="7" t="s">
        <v>895</v>
      </c>
      <c r="D295" s="17" t="s">
        <v>47</v>
      </c>
      <c r="E295" s="18">
        <v>378</v>
      </c>
      <c r="F295" s="10"/>
      <c r="G295" s="11">
        <f t="shared" si="4"/>
        <v>0</v>
      </c>
      <c r="H295" s="19">
        <v>32</v>
      </c>
    </row>
    <row r="296" spans="1:8" x14ac:dyDescent="0.25">
      <c r="A296" s="26" t="s">
        <v>896</v>
      </c>
      <c r="B296" s="31"/>
      <c r="C296" s="27" t="s">
        <v>897</v>
      </c>
      <c r="D296" s="32" t="s">
        <v>14</v>
      </c>
      <c r="E296" s="33">
        <v>0</v>
      </c>
      <c r="F296" s="10"/>
      <c r="G296" s="11">
        <f t="shared" si="4"/>
        <v>0</v>
      </c>
      <c r="H296" s="34">
        <v>0</v>
      </c>
    </row>
    <row r="297" spans="1:8" x14ac:dyDescent="0.25">
      <c r="A297" s="6" t="s">
        <v>898</v>
      </c>
      <c r="B297" s="7" t="s">
        <v>899</v>
      </c>
      <c r="C297" s="7" t="s">
        <v>900</v>
      </c>
      <c r="D297" s="8" t="s">
        <v>10</v>
      </c>
      <c r="E297" s="13">
        <v>149.53</v>
      </c>
      <c r="F297" s="10"/>
      <c r="G297" s="11">
        <f t="shared" si="4"/>
        <v>0</v>
      </c>
      <c r="H297" s="19">
        <v>19.8</v>
      </c>
    </row>
    <row r="298" spans="1:8" x14ac:dyDescent="0.25">
      <c r="A298" s="6" t="s">
        <v>901</v>
      </c>
      <c r="B298" s="7" t="s">
        <v>902</v>
      </c>
      <c r="C298" s="7" t="s">
        <v>903</v>
      </c>
      <c r="D298" s="8" t="s">
        <v>10</v>
      </c>
      <c r="E298" s="13">
        <v>1600</v>
      </c>
      <c r="F298" s="10"/>
      <c r="G298" s="11">
        <f t="shared" si="4"/>
        <v>0</v>
      </c>
      <c r="H298" s="19">
        <v>48.2</v>
      </c>
    </row>
    <row r="299" spans="1:8" x14ac:dyDescent="0.25">
      <c r="A299" s="6" t="s">
        <v>904</v>
      </c>
      <c r="B299" s="7" t="s">
        <v>905</v>
      </c>
      <c r="C299" s="7" t="s">
        <v>906</v>
      </c>
      <c r="D299" s="8" t="s">
        <v>10</v>
      </c>
      <c r="E299" s="13">
        <v>180</v>
      </c>
      <c r="F299" s="10"/>
      <c r="G299" s="11">
        <f t="shared" si="4"/>
        <v>0</v>
      </c>
      <c r="H299" s="19">
        <v>12.4</v>
      </c>
    </row>
    <row r="300" spans="1:8" x14ac:dyDescent="0.25">
      <c r="A300" s="6" t="s">
        <v>907</v>
      </c>
      <c r="B300" s="7" t="s">
        <v>908</v>
      </c>
      <c r="C300" s="7" t="s">
        <v>909</v>
      </c>
      <c r="D300" s="8" t="s">
        <v>226</v>
      </c>
      <c r="E300" s="13">
        <v>84</v>
      </c>
      <c r="F300" s="10"/>
      <c r="G300" s="11">
        <f t="shared" si="4"/>
        <v>0</v>
      </c>
      <c r="H300" s="19">
        <v>5.4</v>
      </c>
    </row>
    <row r="301" spans="1:8" x14ac:dyDescent="0.25">
      <c r="A301" s="6" t="s">
        <v>910</v>
      </c>
      <c r="B301" s="7" t="s">
        <v>911</v>
      </c>
      <c r="C301" s="7" t="s">
        <v>912</v>
      </c>
      <c r="D301" s="8" t="s">
        <v>10</v>
      </c>
      <c r="E301" s="13">
        <v>3300</v>
      </c>
      <c r="F301" s="10"/>
      <c r="G301" s="11">
        <f t="shared" si="4"/>
        <v>0</v>
      </c>
      <c r="H301" s="19">
        <v>64.2</v>
      </c>
    </row>
    <row r="302" spans="1:8" x14ac:dyDescent="0.25">
      <c r="A302" s="6" t="s">
        <v>913</v>
      </c>
      <c r="B302" s="7" t="s">
        <v>914</v>
      </c>
      <c r="C302" s="7" t="s">
        <v>915</v>
      </c>
      <c r="D302" s="17" t="s">
        <v>245</v>
      </c>
      <c r="E302" s="18">
        <v>181.31</v>
      </c>
      <c r="F302" s="10"/>
      <c r="G302" s="11">
        <f t="shared" si="4"/>
        <v>0</v>
      </c>
      <c r="H302" s="19">
        <v>27</v>
      </c>
    </row>
    <row r="303" spans="1:8" x14ac:dyDescent="0.25">
      <c r="A303" s="6" t="s">
        <v>916</v>
      </c>
      <c r="B303" s="7" t="s">
        <v>917</v>
      </c>
      <c r="C303" s="7" t="s">
        <v>918</v>
      </c>
      <c r="D303" s="8" t="s">
        <v>10</v>
      </c>
      <c r="E303" s="13">
        <v>299</v>
      </c>
      <c r="F303" s="10"/>
      <c r="G303" s="11">
        <f t="shared" si="4"/>
        <v>0</v>
      </c>
      <c r="H303" s="19">
        <v>9.9</v>
      </c>
    </row>
    <row r="304" spans="1:8" x14ac:dyDescent="0.25">
      <c r="A304" s="6" t="s">
        <v>919</v>
      </c>
      <c r="B304" s="7" t="s">
        <v>920</v>
      </c>
      <c r="C304" s="7" t="s">
        <v>921</v>
      </c>
      <c r="D304" s="8" t="s">
        <v>54</v>
      </c>
      <c r="E304" s="13">
        <v>1071.2607674236492</v>
      </c>
      <c r="F304" s="10"/>
      <c r="G304" s="11">
        <f t="shared" si="4"/>
        <v>0</v>
      </c>
      <c r="H304" s="24">
        <v>61.7</v>
      </c>
    </row>
    <row r="305" spans="1:8" x14ac:dyDescent="0.25">
      <c r="A305" s="6" t="s">
        <v>922</v>
      </c>
      <c r="B305" s="7" t="s">
        <v>923</v>
      </c>
      <c r="C305" s="7" t="s">
        <v>924</v>
      </c>
      <c r="D305" s="8" t="s">
        <v>10</v>
      </c>
      <c r="E305" s="13">
        <v>270</v>
      </c>
      <c r="F305" s="10"/>
      <c r="G305" s="11">
        <f t="shared" si="4"/>
        <v>0</v>
      </c>
      <c r="H305" s="19">
        <v>28.2</v>
      </c>
    </row>
    <row r="306" spans="1:8" x14ac:dyDescent="0.25">
      <c r="A306" s="6" t="s">
        <v>925</v>
      </c>
      <c r="B306" s="7" t="s">
        <v>926</v>
      </c>
      <c r="C306" s="7" t="s">
        <v>927</v>
      </c>
      <c r="D306" s="8" t="s">
        <v>10</v>
      </c>
      <c r="E306" s="13">
        <v>3168</v>
      </c>
      <c r="F306" s="10"/>
      <c r="G306" s="11">
        <f t="shared" si="4"/>
        <v>0</v>
      </c>
      <c r="H306" s="19">
        <v>96.4</v>
      </c>
    </row>
    <row r="307" spans="1:8" x14ac:dyDescent="0.25">
      <c r="A307" s="6" t="s">
        <v>928</v>
      </c>
      <c r="B307" s="7" t="s">
        <v>929</v>
      </c>
      <c r="C307" s="7" t="s">
        <v>930</v>
      </c>
      <c r="D307" s="8" t="s">
        <v>21</v>
      </c>
      <c r="E307" s="13">
        <v>120</v>
      </c>
      <c r="F307" s="10"/>
      <c r="G307" s="11">
        <f t="shared" si="4"/>
        <v>0</v>
      </c>
      <c r="H307" s="35" t="s">
        <v>424</v>
      </c>
    </row>
    <row r="308" spans="1:8" x14ac:dyDescent="0.25">
      <c r="A308" s="6" t="s">
        <v>931</v>
      </c>
      <c r="B308" s="7" t="s">
        <v>932</v>
      </c>
      <c r="C308" s="7" t="s">
        <v>933</v>
      </c>
      <c r="D308" s="8" t="s">
        <v>54</v>
      </c>
      <c r="E308" s="13">
        <v>476.11589663273298</v>
      </c>
      <c r="F308" s="10"/>
      <c r="G308" s="11">
        <f t="shared" si="4"/>
        <v>0</v>
      </c>
      <c r="H308" s="24">
        <v>11.9</v>
      </c>
    </row>
    <row r="309" spans="1:8" x14ac:dyDescent="0.25">
      <c r="A309" s="6" t="s">
        <v>934</v>
      </c>
      <c r="B309" s="7" t="s">
        <v>935</v>
      </c>
      <c r="C309" s="7" t="s">
        <v>936</v>
      </c>
      <c r="D309" s="8" t="s">
        <v>14</v>
      </c>
      <c r="E309" s="13">
        <v>519.15322580645159</v>
      </c>
      <c r="F309" s="10"/>
      <c r="G309" s="11">
        <f t="shared" si="4"/>
        <v>0</v>
      </c>
      <c r="H309" s="14">
        <v>35.1</v>
      </c>
    </row>
    <row r="310" spans="1:8" x14ac:dyDescent="0.25">
      <c r="A310" s="6" t="s">
        <v>937</v>
      </c>
      <c r="B310" s="7" t="s">
        <v>938</v>
      </c>
      <c r="C310" s="7" t="s">
        <v>939</v>
      </c>
      <c r="D310" s="8" t="s">
        <v>14</v>
      </c>
      <c r="E310" s="13">
        <v>412.29838709677421</v>
      </c>
      <c r="F310" s="10"/>
      <c r="G310" s="11">
        <f t="shared" si="4"/>
        <v>0</v>
      </c>
      <c r="H310" s="14">
        <v>56.5</v>
      </c>
    </row>
    <row r="311" spans="1:8" x14ac:dyDescent="0.25">
      <c r="A311" s="6" t="s">
        <v>940</v>
      </c>
      <c r="B311" s="7" t="s">
        <v>941</v>
      </c>
      <c r="C311" s="7" t="s">
        <v>942</v>
      </c>
      <c r="D311" s="8" t="s">
        <v>10</v>
      </c>
      <c r="E311" s="13">
        <v>2100</v>
      </c>
      <c r="F311" s="10"/>
      <c r="G311" s="11">
        <f t="shared" si="4"/>
        <v>0</v>
      </c>
      <c r="H311" s="19">
        <v>48.2</v>
      </c>
    </row>
    <row r="312" spans="1:8" x14ac:dyDescent="0.25">
      <c r="A312" s="6" t="s">
        <v>943</v>
      </c>
      <c r="B312" s="7" t="s">
        <v>944</v>
      </c>
      <c r="C312" s="7" t="s">
        <v>945</v>
      </c>
      <c r="D312" s="8" t="s">
        <v>10</v>
      </c>
      <c r="E312" s="13">
        <v>900</v>
      </c>
      <c r="F312" s="10"/>
      <c r="G312" s="11">
        <f t="shared" si="4"/>
        <v>0</v>
      </c>
      <c r="H312" s="19">
        <v>48.2</v>
      </c>
    </row>
    <row r="313" spans="1:8" x14ac:dyDescent="0.25">
      <c r="A313" s="6" t="s">
        <v>946</v>
      </c>
      <c r="B313" s="7" t="s">
        <v>947</v>
      </c>
      <c r="C313" s="7" t="s">
        <v>948</v>
      </c>
      <c r="D313" s="8" t="s">
        <v>10</v>
      </c>
      <c r="E313" s="13">
        <v>840</v>
      </c>
      <c r="F313" s="10"/>
      <c r="G313" s="11">
        <f t="shared" si="4"/>
        <v>0</v>
      </c>
      <c r="H313" s="19">
        <v>32.700000000000003</v>
      </c>
    </row>
    <row r="314" spans="1:8" x14ac:dyDescent="0.25">
      <c r="A314" s="6" t="s">
        <v>949</v>
      </c>
      <c r="B314" s="7" t="s">
        <v>950</v>
      </c>
      <c r="C314" s="7" t="s">
        <v>951</v>
      </c>
      <c r="D314" s="8" t="s">
        <v>54</v>
      </c>
      <c r="E314" s="13">
        <v>469.8512137823023</v>
      </c>
      <c r="F314" s="10"/>
      <c r="G314" s="11">
        <f t="shared" si="4"/>
        <v>0</v>
      </c>
      <c r="H314" s="24">
        <v>17.8</v>
      </c>
    </row>
    <row r="315" spans="1:8" x14ac:dyDescent="0.25">
      <c r="A315" s="6" t="s">
        <v>952</v>
      </c>
      <c r="B315" s="7" t="s">
        <v>953</v>
      </c>
      <c r="C315" s="7" t="s">
        <v>954</v>
      </c>
      <c r="D315" s="8" t="s">
        <v>10</v>
      </c>
      <c r="E315" s="13">
        <v>3100</v>
      </c>
      <c r="F315" s="10"/>
      <c r="G315" s="11">
        <f t="shared" si="4"/>
        <v>0</v>
      </c>
      <c r="H315" s="19">
        <v>48.2</v>
      </c>
    </row>
    <row r="316" spans="1:8" x14ac:dyDescent="0.25">
      <c r="A316" s="6" t="s">
        <v>955</v>
      </c>
      <c r="B316" s="7" t="s">
        <v>956</v>
      </c>
      <c r="C316" s="7" t="s">
        <v>957</v>
      </c>
      <c r="D316" s="8" t="s">
        <v>10</v>
      </c>
      <c r="E316" s="13">
        <v>1550</v>
      </c>
      <c r="F316" s="10"/>
      <c r="G316" s="11">
        <f t="shared" si="4"/>
        <v>0</v>
      </c>
      <c r="H316" s="19">
        <v>27.2</v>
      </c>
    </row>
    <row r="317" spans="1:8" x14ac:dyDescent="0.25">
      <c r="A317" s="6" t="s">
        <v>958</v>
      </c>
      <c r="B317" s="7" t="s">
        <v>959</v>
      </c>
      <c r="C317" s="7" t="s">
        <v>960</v>
      </c>
      <c r="D317" s="17" t="s">
        <v>47</v>
      </c>
      <c r="E317" s="18">
        <v>198</v>
      </c>
      <c r="F317" s="10"/>
      <c r="G317" s="11">
        <f t="shared" si="4"/>
        <v>0</v>
      </c>
      <c r="H317" s="19">
        <v>22</v>
      </c>
    </row>
    <row r="318" spans="1:8" x14ac:dyDescent="0.25">
      <c r="A318" s="6" t="s">
        <v>961</v>
      </c>
      <c r="B318" s="7" t="s">
        <v>962</v>
      </c>
      <c r="C318" s="7" t="s">
        <v>963</v>
      </c>
      <c r="D318" s="8" t="s">
        <v>10</v>
      </c>
      <c r="E318" s="13">
        <v>1300</v>
      </c>
      <c r="F318" s="10"/>
      <c r="G318" s="11">
        <f t="shared" si="4"/>
        <v>0</v>
      </c>
      <c r="H318" s="19">
        <v>29.7</v>
      </c>
    </row>
    <row r="319" spans="1:8" x14ac:dyDescent="0.25">
      <c r="A319" s="6" t="s">
        <v>964</v>
      </c>
      <c r="B319" s="7" t="s">
        <v>965</v>
      </c>
      <c r="C319" s="7" t="s">
        <v>966</v>
      </c>
      <c r="D319" s="8" t="s">
        <v>37</v>
      </c>
      <c r="E319" s="13">
        <v>2198</v>
      </c>
      <c r="F319" s="10"/>
      <c r="G319" s="11">
        <f t="shared" si="4"/>
        <v>0</v>
      </c>
      <c r="H319" s="19">
        <v>74.900000000000006</v>
      </c>
    </row>
    <row r="320" spans="1:8" x14ac:dyDescent="0.25">
      <c r="A320" s="6" t="s">
        <v>967</v>
      </c>
      <c r="B320" s="7" t="s">
        <v>968</v>
      </c>
      <c r="C320" s="7" t="s">
        <v>969</v>
      </c>
      <c r="D320" s="8" t="s">
        <v>10</v>
      </c>
      <c r="E320" s="13">
        <v>3190</v>
      </c>
      <c r="F320" s="10"/>
      <c r="G320" s="11">
        <f t="shared" si="4"/>
        <v>0</v>
      </c>
      <c r="H320" s="19">
        <v>48.2</v>
      </c>
    </row>
    <row r="321" spans="1:8" x14ac:dyDescent="0.25">
      <c r="A321" s="6" t="s">
        <v>970</v>
      </c>
      <c r="B321" s="7" t="s">
        <v>971</v>
      </c>
      <c r="C321" s="7" t="s">
        <v>972</v>
      </c>
      <c r="D321" s="8" t="s">
        <v>10</v>
      </c>
      <c r="E321" s="13">
        <v>198</v>
      </c>
      <c r="F321" s="10"/>
      <c r="G321" s="11">
        <f t="shared" si="4"/>
        <v>0</v>
      </c>
      <c r="H321" s="19">
        <v>15.1</v>
      </c>
    </row>
    <row r="322" spans="1:8" x14ac:dyDescent="0.25">
      <c r="A322" s="6" t="s">
        <v>973</v>
      </c>
      <c r="B322" s="7" t="s">
        <v>974</v>
      </c>
      <c r="C322" s="7" t="s">
        <v>975</v>
      </c>
      <c r="D322" s="8" t="s">
        <v>10</v>
      </c>
      <c r="E322" s="13">
        <v>1620</v>
      </c>
      <c r="F322" s="10"/>
      <c r="G322" s="11">
        <f t="shared" si="4"/>
        <v>0</v>
      </c>
      <c r="H322" s="19">
        <v>32.700000000000003</v>
      </c>
    </row>
    <row r="323" spans="1:8" x14ac:dyDescent="0.25">
      <c r="A323" s="6" t="s">
        <v>976</v>
      </c>
      <c r="B323" s="7" t="s">
        <v>977</v>
      </c>
      <c r="C323" s="7" t="s">
        <v>978</v>
      </c>
      <c r="D323" s="8" t="s">
        <v>10</v>
      </c>
      <c r="E323" s="13">
        <v>1290</v>
      </c>
      <c r="F323" s="10"/>
      <c r="G323" s="11">
        <f t="shared" ref="G323:G386" si="5">E323*F323</f>
        <v>0</v>
      </c>
      <c r="H323" s="19">
        <v>29.7</v>
      </c>
    </row>
    <row r="324" spans="1:8" x14ac:dyDescent="0.25">
      <c r="A324" s="6" t="s">
        <v>979</v>
      </c>
      <c r="B324" s="7" t="s">
        <v>980</v>
      </c>
      <c r="C324" s="7" t="s">
        <v>981</v>
      </c>
      <c r="D324" s="8" t="s">
        <v>226</v>
      </c>
      <c r="E324" s="13">
        <v>236</v>
      </c>
      <c r="F324" s="10"/>
      <c r="G324" s="11">
        <f t="shared" si="5"/>
        <v>0</v>
      </c>
      <c r="H324" s="19">
        <v>16.100000000000001</v>
      </c>
    </row>
    <row r="325" spans="1:8" x14ac:dyDescent="0.25">
      <c r="A325" s="6" t="s">
        <v>982</v>
      </c>
      <c r="B325" s="7" t="s">
        <v>983</v>
      </c>
      <c r="C325" s="7" t="s">
        <v>984</v>
      </c>
      <c r="D325" s="8" t="s">
        <v>10</v>
      </c>
      <c r="E325" s="13">
        <v>167.29</v>
      </c>
      <c r="F325" s="10"/>
      <c r="G325" s="11">
        <f t="shared" si="5"/>
        <v>0</v>
      </c>
      <c r="H325" s="19">
        <v>24.7</v>
      </c>
    </row>
    <row r="326" spans="1:8" x14ac:dyDescent="0.25">
      <c r="A326" s="6" t="s">
        <v>985</v>
      </c>
      <c r="B326" s="7" t="s">
        <v>986</v>
      </c>
      <c r="C326" s="7" t="s">
        <v>987</v>
      </c>
      <c r="D326" s="8" t="s">
        <v>226</v>
      </c>
      <c r="E326" s="13">
        <v>240</v>
      </c>
      <c r="F326" s="10"/>
      <c r="G326" s="11">
        <f t="shared" si="5"/>
        <v>0</v>
      </c>
      <c r="H326" s="19">
        <v>24.8</v>
      </c>
    </row>
    <row r="327" spans="1:8" x14ac:dyDescent="0.25">
      <c r="A327" s="6" t="s">
        <v>988</v>
      </c>
      <c r="B327" s="7" t="s">
        <v>989</v>
      </c>
      <c r="C327" s="7" t="s">
        <v>990</v>
      </c>
      <c r="D327" s="8" t="s">
        <v>10</v>
      </c>
      <c r="E327" s="13">
        <v>1120</v>
      </c>
      <c r="F327" s="10"/>
      <c r="G327" s="11">
        <f t="shared" si="5"/>
        <v>0</v>
      </c>
      <c r="H327" s="19">
        <v>29.7</v>
      </c>
    </row>
    <row r="328" spans="1:8" x14ac:dyDescent="0.25">
      <c r="A328" s="6" t="s">
        <v>991</v>
      </c>
      <c r="B328" s="7" t="s">
        <v>992</v>
      </c>
      <c r="C328" s="7" t="s">
        <v>993</v>
      </c>
      <c r="D328" s="8" t="s">
        <v>37</v>
      </c>
      <c r="E328" s="13">
        <v>1462</v>
      </c>
      <c r="F328" s="10"/>
      <c r="G328" s="11">
        <f t="shared" si="5"/>
        <v>0</v>
      </c>
      <c r="H328" s="19">
        <v>53.3</v>
      </c>
    </row>
    <row r="329" spans="1:8" x14ac:dyDescent="0.25">
      <c r="A329" s="6" t="s">
        <v>994</v>
      </c>
      <c r="B329" s="7" t="s">
        <v>995</v>
      </c>
      <c r="C329" s="7" t="s">
        <v>996</v>
      </c>
      <c r="D329" s="8" t="s">
        <v>10</v>
      </c>
      <c r="E329" s="13">
        <v>669</v>
      </c>
      <c r="F329" s="10"/>
      <c r="G329" s="11">
        <f t="shared" si="5"/>
        <v>0</v>
      </c>
      <c r="H329" s="19">
        <v>15.2</v>
      </c>
    </row>
    <row r="330" spans="1:8" x14ac:dyDescent="0.25">
      <c r="A330" s="6" t="s">
        <v>997</v>
      </c>
      <c r="B330" s="7" t="s">
        <v>998</v>
      </c>
      <c r="C330" s="7" t="s">
        <v>999</v>
      </c>
      <c r="D330" s="8" t="s">
        <v>10</v>
      </c>
      <c r="E330" s="13">
        <v>3760</v>
      </c>
      <c r="F330" s="10"/>
      <c r="G330" s="11">
        <f t="shared" si="5"/>
        <v>0</v>
      </c>
      <c r="H330" s="19">
        <v>96.3</v>
      </c>
    </row>
    <row r="331" spans="1:8" x14ac:dyDescent="0.25">
      <c r="A331" s="6" t="s">
        <v>1000</v>
      </c>
      <c r="B331" s="7" t="s">
        <v>1001</v>
      </c>
      <c r="C331" s="7" t="s">
        <v>1002</v>
      </c>
      <c r="D331" s="8" t="s">
        <v>10</v>
      </c>
      <c r="E331" s="13">
        <v>121.5</v>
      </c>
      <c r="F331" s="10"/>
      <c r="G331" s="11">
        <f t="shared" si="5"/>
        <v>0</v>
      </c>
      <c r="H331" s="19">
        <v>23.4</v>
      </c>
    </row>
    <row r="332" spans="1:8" x14ac:dyDescent="0.25">
      <c r="A332" s="6" t="s">
        <v>1003</v>
      </c>
      <c r="B332" s="7" t="s">
        <v>1004</v>
      </c>
      <c r="C332" s="7" t="s">
        <v>1005</v>
      </c>
      <c r="D332" s="8" t="s">
        <v>10</v>
      </c>
      <c r="E332" s="13">
        <v>298</v>
      </c>
      <c r="F332" s="10"/>
      <c r="G332" s="11">
        <f t="shared" si="5"/>
        <v>0</v>
      </c>
      <c r="H332" s="19">
        <v>7.5</v>
      </c>
    </row>
    <row r="333" spans="1:8" x14ac:dyDescent="0.25">
      <c r="A333" s="6" t="s">
        <v>1006</v>
      </c>
      <c r="B333" s="7" t="s">
        <v>1007</v>
      </c>
      <c r="C333" s="7" t="s">
        <v>1008</v>
      </c>
      <c r="D333" s="17" t="s">
        <v>47</v>
      </c>
      <c r="E333" s="18">
        <v>2288</v>
      </c>
      <c r="F333" s="10"/>
      <c r="G333" s="11">
        <f t="shared" si="5"/>
        <v>0</v>
      </c>
      <c r="H333" s="19">
        <v>92</v>
      </c>
    </row>
    <row r="334" spans="1:8" x14ac:dyDescent="0.25">
      <c r="A334" s="6" t="s">
        <v>1009</v>
      </c>
      <c r="B334" s="7" t="s">
        <v>1010</v>
      </c>
      <c r="C334" s="7" t="s">
        <v>1011</v>
      </c>
      <c r="D334" s="8" t="s">
        <v>10</v>
      </c>
      <c r="E334" s="13">
        <v>1100</v>
      </c>
      <c r="F334" s="10"/>
      <c r="G334" s="11">
        <f t="shared" si="5"/>
        <v>0</v>
      </c>
      <c r="H334" s="19">
        <v>10.9</v>
      </c>
    </row>
    <row r="335" spans="1:8" x14ac:dyDescent="0.25">
      <c r="A335" s="6" t="s">
        <v>1012</v>
      </c>
      <c r="B335" s="7" t="s">
        <v>1013</v>
      </c>
      <c r="C335" s="7" t="s">
        <v>1014</v>
      </c>
      <c r="D335" s="8" t="s">
        <v>10</v>
      </c>
      <c r="E335" s="13">
        <v>278.51</v>
      </c>
      <c r="F335" s="10"/>
      <c r="G335" s="11">
        <f t="shared" si="5"/>
        <v>0</v>
      </c>
      <c r="H335" s="19">
        <v>14.3</v>
      </c>
    </row>
    <row r="336" spans="1:8" x14ac:dyDescent="0.25">
      <c r="A336" s="6" t="s">
        <v>1015</v>
      </c>
      <c r="B336" s="7" t="s">
        <v>1016</v>
      </c>
      <c r="C336" s="7" t="s">
        <v>1017</v>
      </c>
      <c r="D336" s="8" t="s">
        <v>10</v>
      </c>
      <c r="E336" s="13">
        <v>190</v>
      </c>
      <c r="F336" s="10"/>
      <c r="G336" s="11">
        <f t="shared" si="5"/>
        <v>0</v>
      </c>
      <c r="H336" s="19">
        <v>15.2</v>
      </c>
    </row>
    <row r="337" spans="1:8" x14ac:dyDescent="0.25">
      <c r="A337" s="6" t="s">
        <v>1018</v>
      </c>
      <c r="B337" s="7" t="s">
        <v>1019</v>
      </c>
      <c r="C337" s="7" t="s">
        <v>1020</v>
      </c>
      <c r="D337" s="8" t="s">
        <v>10</v>
      </c>
      <c r="E337" s="13">
        <v>336.45</v>
      </c>
      <c r="F337" s="10"/>
      <c r="G337" s="11">
        <f t="shared" si="5"/>
        <v>0</v>
      </c>
      <c r="H337" s="19">
        <v>14.3</v>
      </c>
    </row>
    <row r="338" spans="1:8" x14ac:dyDescent="0.25">
      <c r="A338" s="6" t="s">
        <v>1021</v>
      </c>
      <c r="B338" s="7" t="s">
        <v>1022</v>
      </c>
      <c r="C338" s="7" t="s">
        <v>1023</v>
      </c>
      <c r="D338" s="8" t="s">
        <v>54</v>
      </c>
      <c r="E338" s="13">
        <v>407.20438527799536</v>
      </c>
      <c r="F338" s="10"/>
      <c r="G338" s="11">
        <f t="shared" si="5"/>
        <v>0</v>
      </c>
      <c r="H338" s="24">
        <v>11.9</v>
      </c>
    </row>
    <row r="339" spans="1:8" x14ac:dyDescent="0.25">
      <c r="A339" s="6" t="s">
        <v>1024</v>
      </c>
      <c r="B339" s="7" t="s">
        <v>1025</v>
      </c>
      <c r="C339" s="7" t="s">
        <v>1026</v>
      </c>
      <c r="D339" s="8" t="s">
        <v>10</v>
      </c>
      <c r="E339" s="13">
        <v>298</v>
      </c>
      <c r="F339" s="10"/>
      <c r="G339" s="11">
        <f t="shared" si="5"/>
        <v>0</v>
      </c>
      <c r="H339" s="19">
        <v>15.2</v>
      </c>
    </row>
    <row r="340" spans="1:8" x14ac:dyDescent="0.25">
      <c r="A340" s="6" t="s">
        <v>1027</v>
      </c>
      <c r="B340" s="7" t="s">
        <v>1028</v>
      </c>
      <c r="C340" s="7" t="s">
        <v>1029</v>
      </c>
      <c r="D340" s="8" t="s">
        <v>14</v>
      </c>
      <c r="E340" s="13">
        <v>246.9758064516129</v>
      </c>
      <c r="F340" s="10"/>
      <c r="G340" s="11">
        <f t="shared" si="5"/>
        <v>0</v>
      </c>
      <c r="H340" s="14">
        <v>23.6</v>
      </c>
    </row>
    <row r="341" spans="1:8" x14ac:dyDescent="0.25">
      <c r="A341" s="6" t="s">
        <v>1030</v>
      </c>
      <c r="B341" s="7" t="s">
        <v>1031</v>
      </c>
      <c r="C341" s="7" t="s">
        <v>1032</v>
      </c>
      <c r="D341" s="8" t="s">
        <v>10</v>
      </c>
      <c r="E341" s="13">
        <v>233</v>
      </c>
      <c r="F341" s="10"/>
      <c r="G341" s="11">
        <f t="shared" si="5"/>
        <v>0</v>
      </c>
      <c r="H341" s="19">
        <v>11</v>
      </c>
    </row>
    <row r="342" spans="1:8" x14ac:dyDescent="0.25">
      <c r="A342" s="6" t="s">
        <v>1033</v>
      </c>
      <c r="B342" s="7" t="s">
        <v>1034</v>
      </c>
      <c r="C342" s="7" t="s">
        <v>1035</v>
      </c>
      <c r="D342" s="8" t="s">
        <v>10</v>
      </c>
      <c r="E342" s="13">
        <v>1340</v>
      </c>
      <c r="F342" s="10"/>
      <c r="G342" s="11">
        <f t="shared" si="5"/>
        <v>0</v>
      </c>
      <c r="H342" s="19">
        <v>24.1</v>
      </c>
    </row>
    <row r="343" spans="1:8" x14ac:dyDescent="0.25">
      <c r="A343" s="6" t="s">
        <v>1036</v>
      </c>
      <c r="B343" s="7" t="s">
        <v>1037</v>
      </c>
      <c r="C343" s="7" t="s">
        <v>1038</v>
      </c>
      <c r="D343" s="8" t="s">
        <v>10</v>
      </c>
      <c r="E343" s="13">
        <v>448</v>
      </c>
      <c r="F343" s="10"/>
      <c r="G343" s="11">
        <f t="shared" si="5"/>
        <v>0</v>
      </c>
      <c r="H343" s="19">
        <v>15</v>
      </c>
    </row>
    <row r="344" spans="1:8" x14ac:dyDescent="0.25">
      <c r="A344" s="6" t="s">
        <v>1039</v>
      </c>
      <c r="B344" s="7" t="s">
        <v>1040</v>
      </c>
      <c r="C344" s="7" t="s">
        <v>1041</v>
      </c>
      <c r="D344" s="8" t="s">
        <v>37</v>
      </c>
      <c r="E344" s="13">
        <v>355</v>
      </c>
      <c r="F344" s="10"/>
      <c r="G344" s="11">
        <f t="shared" si="5"/>
        <v>0</v>
      </c>
      <c r="H344" s="19">
        <v>18.899999999999999</v>
      </c>
    </row>
    <row r="345" spans="1:8" x14ac:dyDescent="0.25">
      <c r="A345" s="6" t="s">
        <v>1042</v>
      </c>
      <c r="B345" s="7" t="s">
        <v>1043</v>
      </c>
      <c r="C345" s="7" t="s">
        <v>1044</v>
      </c>
      <c r="D345" s="17" t="s">
        <v>47</v>
      </c>
      <c r="E345" s="18">
        <v>788</v>
      </c>
      <c r="F345" s="10"/>
      <c r="G345" s="11">
        <f t="shared" si="5"/>
        <v>0</v>
      </c>
      <c r="H345" s="19">
        <v>38</v>
      </c>
    </row>
    <row r="346" spans="1:8" x14ac:dyDescent="0.25">
      <c r="A346" s="6" t="s">
        <v>1045</v>
      </c>
      <c r="B346" s="7" t="s">
        <v>1046</v>
      </c>
      <c r="C346" s="7" t="s">
        <v>1047</v>
      </c>
      <c r="D346" s="8" t="s">
        <v>14</v>
      </c>
      <c r="E346" s="13">
        <v>511.08870967741933</v>
      </c>
      <c r="F346" s="10"/>
      <c r="G346" s="11">
        <f t="shared" si="5"/>
        <v>0</v>
      </c>
      <c r="H346" s="14">
        <v>35.1</v>
      </c>
    </row>
    <row r="347" spans="1:8" x14ac:dyDescent="0.25">
      <c r="A347" s="6" t="s">
        <v>1048</v>
      </c>
      <c r="B347" s="7" t="s">
        <v>1049</v>
      </c>
      <c r="C347" s="7" t="s">
        <v>1050</v>
      </c>
      <c r="D347" s="8" t="s">
        <v>10</v>
      </c>
      <c r="E347" s="13">
        <v>710</v>
      </c>
      <c r="F347" s="10"/>
      <c r="G347" s="11">
        <f t="shared" si="5"/>
        <v>0</v>
      </c>
      <c r="H347" s="19">
        <v>16.3</v>
      </c>
    </row>
    <row r="348" spans="1:8" x14ac:dyDescent="0.25">
      <c r="A348" s="6" t="s">
        <v>1051</v>
      </c>
      <c r="B348" s="7" t="s">
        <v>1052</v>
      </c>
      <c r="C348" s="7" t="s">
        <v>1053</v>
      </c>
      <c r="D348" s="8" t="s">
        <v>10</v>
      </c>
      <c r="E348" s="13">
        <v>598</v>
      </c>
      <c r="F348" s="10"/>
      <c r="G348" s="11">
        <f t="shared" si="5"/>
        <v>0</v>
      </c>
      <c r="H348" s="19">
        <v>15</v>
      </c>
    </row>
    <row r="349" spans="1:8" x14ac:dyDescent="0.25">
      <c r="A349" s="6" t="s">
        <v>1054</v>
      </c>
      <c r="B349" s="7" t="s">
        <v>1055</v>
      </c>
      <c r="C349" s="7" t="s">
        <v>1056</v>
      </c>
      <c r="D349" s="8" t="s">
        <v>10</v>
      </c>
      <c r="E349" s="13">
        <v>750</v>
      </c>
      <c r="F349" s="10"/>
      <c r="G349" s="11">
        <f t="shared" si="5"/>
        <v>0</v>
      </c>
      <c r="H349" s="19">
        <v>32.700000000000003</v>
      </c>
    </row>
    <row r="350" spans="1:8" x14ac:dyDescent="0.25">
      <c r="A350" s="6" t="s">
        <v>1057</v>
      </c>
      <c r="B350" s="7" t="s">
        <v>1058</v>
      </c>
      <c r="C350" s="7" t="s">
        <v>1059</v>
      </c>
      <c r="D350" s="8" t="s">
        <v>10</v>
      </c>
      <c r="E350" s="13">
        <v>520</v>
      </c>
      <c r="F350" s="10"/>
      <c r="G350" s="11">
        <f t="shared" si="5"/>
        <v>0</v>
      </c>
      <c r="H350" s="19">
        <v>24.2</v>
      </c>
    </row>
    <row r="351" spans="1:8" x14ac:dyDescent="0.25">
      <c r="A351" s="6" t="s">
        <v>1060</v>
      </c>
      <c r="B351" s="7" t="s">
        <v>1061</v>
      </c>
      <c r="C351" s="7" t="s">
        <v>1062</v>
      </c>
      <c r="D351" s="8" t="s">
        <v>151</v>
      </c>
      <c r="E351" s="13">
        <v>995</v>
      </c>
      <c r="F351" s="10"/>
      <c r="G351" s="11">
        <f t="shared" si="5"/>
        <v>0</v>
      </c>
      <c r="H351" s="19">
        <v>29.7</v>
      </c>
    </row>
    <row r="352" spans="1:8" x14ac:dyDescent="0.25">
      <c r="A352" s="6" t="s">
        <v>1063</v>
      </c>
      <c r="B352" s="7" t="s">
        <v>1064</v>
      </c>
      <c r="C352" s="7" t="s">
        <v>1065</v>
      </c>
      <c r="D352" s="8" t="s">
        <v>10</v>
      </c>
      <c r="E352" s="13">
        <v>460</v>
      </c>
      <c r="F352" s="10"/>
      <c r="G352" s="11">
        <f t="shared" si="5"/>
        <v>0</v>
      </c>
      <c r="H352" s="19">
        <v>30.2</v>
      </c>
    </row>
    <row r="353" spans="1:8" x14ac:dyDescent="0.25">
      <c r="A353" s="6" t="s">
        <v>1066</v>
      </c>
      <c r="B353" s="36" t="s">
        <v>1067</v>
      </c>
      <c r="C353" s="36" t="s">
        <v>1068</v>
      </c>
      <c r="D353" s="37" t="s">
        <v>10</v>
      </c>
      <c r="E353" s="13">
        <v>250</v>
      </c>
      <c r="F353" s="10"/>
      <c r="G353" s="11">
        <f t="shared" si="5"/>
        <v>0</v>
      </c>
      <c r="H353" s="19">
        <v>12.4</v>
      </c>
    </row>
    <row r="354" spans="1:8" x14ac:dyDescent="0.25">
      <c r="A354" s="6" t="s">
        <v>1069</v>
      </c>
      <c r="B354" s="7" t="s">
        <v>1070</v>
      </c>
      <c r="C354" s="7" t="s">
        <v>1071</v>
      </c>
      <c r="D354" s="8" t="s">
        <v>10</v>
      </c>
      <c r="E354" s="13">
        <v>160</v>
      </c>
      <c r="F354" s="10"/>
      <c r="G354" s="11">
        <f t="shared" si="5"/>
        <v>0</v>
      </c>
      <c r="H354" s="19">
        <v>15.2</v>
      </c>
    </row>
    <row r="355" spans="1:8" x14ac:dyDescent="0.25">
      <c r="A355" s="6" t="s">
        <v>1072</v>
      </c>
      <c r="B355" s="7" t="s">
        <v>1073</v>
      </c>
      <c r="C355" s="7"/>
      <c r="D355" s="17" t="s">
        <v>47</v>
      </c>
      <c r="E355" s="18">
        <v>288</v>
      </c>
      <c r="F355" s="10"/>
      <c r="G355" s="11">
        <f t="shared" si="5"/>
        <v>0</v>
      </c>
      <c r="H355" s="19">
        <v>34</v>
      </c>
    </row>
    <row r="356" spans="1:8" x14ac:dyDescent="0.25">
      <c r="A356" s="6" t="s">
        <v>1074</v>
      </c>
      <c r="B356" s="7" t="s">
        <v>1075</v>
      </c>
      <c r="C356" s="7" t="s">
        <v>1076</v>
      </c>
      <c r="D356" s="8" t="s">
        <v>10</v>
      </c>
      <c r="E356" s="13">
        <v>695</v>
      </c>
      <c r="F356" s="10"/>
      <c r="G356" s="11">
        <f t="shared" si="5"/>
        <v>0</v>
      </c>
      <c r="H356" s="19">
        <v>15.2</v>
      </c>
    </row>
    <row r="357" spans="1:8" x14ac:dyDescent="0.25">
      <c r="A357" s="6" t="s">
        <v>1077</v>
      </c>
      <c r="B357" s="7" t="s">
        <v>1078</v>
      </c>
      <c r="C357" s="7" t="s">
        <v>1079</v>
      </c>
      <c r="D357" s="8" t="s">
        <v>10</v>
      </c>
      <c r="E357" s="13">
        <v>138.32</v>
      </c>
      <c r="F357" s="10"/>
      <c r="G357" s="11">
        <f t="shared" si="5"/>
        <v>0</v>
      </c>
      <c r="H357" s="19">
        <v>9.9</v>
      </c>
    </row>
    <row r="358" spans="1:8" x14ac:dyDescent="0.25">
      <c r="A358" s="6" t="s">
        <v>1080</v>
      </c>
      <c r="B358" s="7" t="s">
        <v>1081</v>
      </c>
      <c r="C358" s="7" t="s">
        <v>1082</v>
      </c>
      <c r="D358" s="8" t="s">
        <v>10</v>
      </c>
      <c r="E358" s="13">
        <v>770</v>
      </c>
      <c r="F358" s="10"/>
      <c r="G358" s="11">
        <f t="shared" si="5"/>
        <v>0</v>
      </c>
      <c r="H358" s="19">
        <v>15</v>
      </c>
    </row>
    <row r="359" spans="1:8" x14ac:dyDescent="0.25">
      <c r="A359" s="6" t="s">
        <v>1083</v>
      </c>
      <c r="B359" s="7" t="s">
        <v>1084</v>
      </c>
      <c r="C359" s="7" t="s">
        <v>1085</v>
      </c>
      <c r="D359" s="17" t="s">
        <v>245</v>
      </c>
      <c r="E359" s="18">
        <v>382.24</v>
      </c>
      <c r="F359" s="10"/>
      <c r="G359" s="11">
        <f t="shared" si="5"/>
        <v>0</v>
      </c>
      <c r="H359" s="19">
        <v>35</v>
      </c>
    </row>
    <row r="360" spans="1:8" x14ac:dyDescent="0.25">
      <c r="A360" s="6" t="s">
        <v>1086</v>
      </c>
      <c r="B360" s="7" t="s">
        <v>1087</v>
      </c>
      <c r="C360" s="7" t="s">
        <v>1088</v>
      </c>
      <c r="D360" s="8" t="s">
        <v>10</v>
      </c>
      <c r="E360" s="13">
        <v>1580</v>
      </c>
      <c r="F360" s="10"/>
      <c r="G360" s="11">
        <f t="shared" si="5"/>
        <v>0</v>
      </c>
      <c r="H360" s="19">
        <v>32.700000000000003</v>
      </c>
    </row>
    <row r="361" spans="1:8" x14ac:dyDescent="0.25">
      <c r="A361" s="6" t="s">
        <v>1089</v>
      </c>
      <c r="B361" s="7" t="s">
        <v>1090</v>
      </c>
      <c r="C361" s="7" t="s">
        <v>1091</v>
      </c>
      <c r="D361" s="8" t="s">
        <v>10</v>
      </c>
      <c r="E361" s="13">
        <v>470</v>
      </c>
      <c r="F361" s="10"/>
      <c r="G361" s="11">
        <f t="shared" si="5"/>
        <v>0</v>
      </c>
      <c r="H361" s="19">
        <v>29.7</v>
      </c>
    </row>
    <row r="362" spans="1:8" x14ac:dyDescent="0.25">
      <c r="A362" s="6" t="s">
        <v>1092</v>
      </c>
      <c r="B362" s="7" t="s">
        <v>1093</v>
      </c>
      <c r="C362" s="7" t="s">
        <v>1094</v>
      </c>
      <c r="D362" s="8" t="s">
        <v>226</v>
      </c>
      <c r="E362" s="13">
        <v>520</v>
      </c>
      <c r="F362" s="10"/>
      <c r="G362" s="11">
        <f t="shared" si="5"/>
        <v>0</v>
      </c>
      <c r="H362" s="19">
        <v>64.400000000000006</v>
      </c>
    </row>
    <row r="363" spans="1:8" x14ac:dyDescent="0.25">
      <c r="A363" s="6" t="s">
        <v>1095</v>
      </c>
      <c r="B363" s="7" t="s">
        <v>1096</v>
      </c>
      <c r="C363" s="7" t="s">
        <v>1097</v>
      </c>
      <c r="D363" s="8" t="s">
        <v>423</v>
      </c>
      <c r="E363" s="13">
        <v>503</v>
      </c>
      <c r="F363" s="10"/>
      <c r="G363" s="11">
        <f t="shared" si="5"/>
        <v>0</v>
      </c>
      <c r="H363" s="19" t="s">
        <v>424</v>
      </c>
    </row>
    <row r="364" spans="1:8" x14ac:dyDescent="0.25">
      <c r="A364" s="6" t="s">
        <v>1098</v>
      </c>
      <c r="B364" s="7" t="s">
        <v>1099</v>
      </c>
      <c r="C364" s="7" t="s">
        <v>1100</v>
      </c>
      <c r="D364" s="8" t="s">
        <v>14</v>
      </c>
      <c r="E364" s="13">
        <v>562.5</v>
      </c>
      <c r="F364" s="10"/>
      <c r="G364" s="11">
        <f t="shared" si="5"/>
        <v>0</v>
      </c>
      <c r="H364" s="14">
        <v>113.1</v>
      </c>
    </row>
    <row r="365" spans="1:8" x14ac:dyDescent="0.25">
      <c r="A365" s="6" t="s">
        <v>1101</v>
      </c>
      <c r="B365" s="7" t="s">
        <v>1102</v>
      </c>
      <c r="C365" s="7" t="s">
        <v>1103</v>
      </c>
      <c r="D365" s="8" t="s">
        <v>10</v>
      </c>
      <c r="E365" s="13">
        <v>3990</v>
      </c>
      <c r="F365" s="10"/>
      <c r="G365" s="11">
        <f t="shared" si="5"/>
        <v>0</v>
      </c>
      <c r="H365" s="19">
        <v>64.2</v>
      </c>
    </row>
    <row r="366" spans="1:8" x14ac:dyDescent="0.25">
      <c r="A366" s="6" t="s">
        <v>1104</v>
      </c>
      <c r="B366" s="7" t="s">
        <v>1105</v>
      </c>
      <c r="C366" s="7" t="s">
        <v>1106</v>
      </c>
      <c r="D366" s="8" t="s">
        <v>21</v>
      </c>
      <c r="E366" s="13">
        <v>152</v>
      </c>
      <c r="F366" s="10"/>
      <c r="G366" s="11">
        <f t="shared" si="5"/>
        <v>0</v>
      </c>
      <c r="H366" s="19">
        <v>13.3</v>
      </c>
    </row>
    <row r="367" spans="1:8" x14ac:dyDescent="0.25">
      <c r="A367" s="6" t="s">
        <v>1107</v>
      </c>
      <c r="B367" s="7" t="s">
        <v>1108</v>
      </c>
      <c r="C367" s="7" t="s">
        <v>1109</v>
      </c>
      <c r="D367" s="8" t="s">
        <v>10</v>
      </c>
      <c r="E367" s="13">
        <v>380</v>
      </c>
      <c r="F367" s="10"/>
      <c r="G367" s="11">
        <f t="shared" si="5"/>
        <v>0</v>
      </c>
      <c r="H367" s="12">
        <v>10.9</v>
      </c>
    </row>
    <row r="368" spans="1:8" x14ac:dyDescent="0.25">
      <c r="A368" s="6" t="s">
        <v>1110</v>
      </c>
      <c r="B368" s="7" t="s">
        <v>1111</v>
      </c>
      <c r="C368" s="7" t="s">
        <v>1112</v>
      </c>
      <c r="D368" s="8" t="s">
        <v>10</v>
      </c>
      <c r="E368" s="13">
        <v>320</v>
      </c>
      <c r="F368" s="10"/>
      <c r="G368" s="11">
        <f t="shared" si="5"/>
        <v>0</v>
      </c>
      <c r="H368" s="12">
        <v>15.2</v>
      </c>
    </row>
    <row r="369" spans="1:8" x14ac:dyDescent="0.25">
      <c r="A369" s="6" t="s">
        <v>1113</v>
      </c>
      <c r="B369" s="7" t="s">
        <v>1114</v>
      </c>
      <c r="C369" s="7" t="s">
        <v>1115</v>
      </c>
      <c r="D369" s="8" t="s">
        <v>10</v>
      </c>
      <c r="E369" s="13">
        <v>240</v>
      </c>
      <c r="F369" s="10"/>
      <c r="G369" s="11">
        <f t="shared" si="5"/>
        <v>0</v>
      </c>
      <c r="H369" s="19">
        <v>11</v>
      </c>
    </row>
    <row r="370" spans="1:8" x14ac:dyDescent="0.25">
      <c r="A370" s="6" t="s">
        <v>1116</v>
      </c>
      <c r="B370" s="7" t="s">
        <v>1117</v>
      </c>
      <c r="C370" s="7" t="s">
        <v>1118</v>
      </c>
      <c r="D370" s="8" t="s">
        <v>10</v>
      </c>
      <c r="E370" s="13">
        <v>2268</v>
      </c>
      <c r="F370" s="10"/>
      <c r="G370" s="11">
        <f t="shared" si="5"/>
        <v>0</v>
      </c>
      <c r="H370" s="19">
        <v>48.2</v>
      </c>
    </row>
    <row r="371" spans="1:8" x14ac:dyDescent="0.25">
      <c r="A371" s="6" t="s">
        <v>1119</v>
      </c>
      <c r="B371" s="7" t="s">
        <v>1120</v>
      </c>
      <c r="C371" s="7" t="s">
        <v>1121</v>
      </c>
      <c r="D371" s="8" t="s">
        <v>10</v>
      </c>
      <c r="E371" s="13">
        <v>3336</v>
      </c>
      <c r="F371" s="10"/>
      <c r="G371" s="11">
        <f t="shared" si="5"/>
        <v>0</v>
      </c>
      <c r="H371" s="19">
        <v>96.3</v>
      </c>
    </row>
    <row r="372" spans="1:8" x14ac:dyDescent="0.25">
      <c r="A372" s="6" t="s">
        <v>1122</v>
      </c>
      <c r="B372" s="7" t="s">
        <v>1123</v>
      </c>
      <c r="C372" s="7" t="s">
        <v>1124</v>
      </c>
      <c r="D372" s="8" t="s">
        <v>10</v>
      </c>
      <c r="E372" s="13">
        <v>5250</v>
      </c>
      <c r="F372" s="10"/>
      <c r="G372" s="11">
        <f t="shared" si="5"/>
        <v>0</v>
      </c>
      <c r="H372" s="19">
        <v>96.3</v>
      </c>
    </row>
    <row r="373" spans="1:8" x14ac:dyDescent="0.25">
      <c r="A373" s="6" t="s">
        <v>1125</v>
      </c>
      <c r="B373" s="7" t="s">
        <v>1126</v>
      </c>
      <c r="C373" s="7" t="s">
        <v>1127</v>
      </c>
      <c r="D373" s="8" t="s">
        <v>10</v>
      </c>
      <c r="E373" s="13">
        <v>1752</v>
      </c>
      <c r="F373" s="10"/>
      <c r="G373" s="11">
        <f t="shared" si="5"/>
        <v>0</v>
      </c>
      <c r="H373" s="19">
        <v>60.3</v>
      </c>
    </row>
    <row r="374" spans="1:8" x14ac:dyDescent="0.25">
      <c r="A374" s="6" t="s">
        <v>1128</v>
      </c>
      <c r="B374" s="7" t="s">
        <v>1129</v>
      </c>
      <c r="C374" s="7" t="s">
        <v>1130</v>
      </c>
      <c r="D374" s="8" t="s">
        <v>10</v>
      </c>
      <c r="E374" s="13">
        <v>1524</v>
      </c>
      <c r="F374" s="10"/>
      <c r="G374" s="11">
        <f t="shared" si="5"/>
        <v>0</v>
      </c>
      <c r="H374" s="19">
        <v>48.2</v>
      </c>
    </row>
    <row r="375" spans="1:8" x14ac:dyDescent="0.25">
      <c r="A375" s="6" t="s">
        <v>1131</v>
      </c>
      <c r="B375" s="7" t="s">
        <v>1132</v>
      </c>
      <c r="C375" s="7" t="s">
        <v>1133</v>
      </c>
      <c r="D375" s="8" t="s">
        <v>54</v>
      </c>
      <c r="E375" s="13">
        <v>2067.3453406421299</v>
      </c>
      <c r="F375" s="10"/>
      <c r="G375" s="11">
        <f t="shared" si="5"/>
        <v>0</v>
      </c>
      <c r="H375" s="24">
        <v>61.7</v>
      </c>
    </row>
    <row r="376" spans="1:8" x14ac:dyDescent="0.25">
      <c r="A376" s="6" t="s">
        <v>1134</v>
      </c>
      <c r="B376" s="7" t="s">
        <v>1135</v>
      </c>
      <c r="C376" s="7" t="s">
        <v>1136</v>
      </c>
      <c r="D376" s="8" t="s">
        <v>21</v>
      </c>
      <c r="E376" s="13">
        <v>150</v>
      </c>
      <c r="F376" s="10"/>
      <c r="G376" s="11">
        <f t="shared" si="5"/>
        <v>0</v>
      </c>
      <c r="H376" s="19">
        <v>13.3</v>
      </c>
    </row>
    <row r="377" spans="1:8" x14ac:dyDescent="0.25">
      <c r="A377" s="6" t="s">
        <v>1137</v>
      </c>
      <c r="B377" s="7" t="s">
        <v>1138</v>
      </c>
      <c r="C377" s="7" t="s">
        <v>1139</v>
      </c>
      <c r="D377" s="8" t="s">
        <v>14</v>
      </c>
      <c r="E377" s="13">
        <v>1988.9112903225807</v>
      </c>
      <c r="F377" s="10"/>
      <c r="G377" s="11">
        <f t="shared" si="5"/>
        <v>0</v>
      </c>
      <c r="H377" s="14">
        <v>169.5</v>
      </c>
    </row>
    <row r="378" spans="1:8" x14ac:dyDescent="0.25">
      <c r="A378" s="6" t="s">
        <v>1140</v>
      </c>
      <c r="B378" s="7" t="s">
        <v>1141</v>
      </c>
      <c r="C378" s="7" t="s">
        <v>1142</v>
      </c>
      <c r="D378" s="8" t="s">
        <v>10</v>
      </c>
      <c r="E378" s="13">
        <v>748</v>
      </c>
      <c r="F378" s="10"/>
      <c r="G378" s="11">
        <f t="shared" si="5"/>
        <v>0</v>
      </c>
      <c r="H378" s="19">
        <v>19.8</v>
      </c>
    </row>
    <row r="379" spans="1:8" x14ac:dyDescent="0.25">
      <c r="A379" s="6" t="s">
        <v>1143</v>
      </c>
      <c r="B379" s="7" t="s">
        <v>1144</v>
      </c>
      <c r="C379" s="7" t="s">
        <v>1145</v>
      </c>
      <c r="D379" s="8" t="s">
        <v>10</v>
      </c>
      <c r="E379" s="13">
        <v>218</v>
      </c>
      <c r="F379" s="10"/>
      <c r="G379" s="11">
        <f t="shared" si="5"/>
        <v>0</v>
      </c>
      <c r="H379" s="19">
        <v>10.9</v>
      </c>
    </row>
    <row r="380" spans="1:8" x14ac:dyDescent="0.25">
      <c r="A380" s="6" t="s">
        <v>1146</v>
      </c>
      <c r="B380" s="7" t="s">
        <v>1147</v>
      </c>
      <c r="C380" s="7" t="s">
        <v>1148</v>
      </c>
      <c r="D380" s="8" t="s">
        <v>37</v>
      </c>
      <c r="E380" s="13">
        <v>1232</v>
      </c>
      <c r="F380" s="10"/>
      <c r="G380" s="11">
        <f t="shared" si="5"/>
        <v>0</v>
      </c>
      <c r="H380" s="19">
        <v>57.5</v>
      </c>
    </row>
    <row r="381" spans="1:8" x14ac:dyDescent="0.25">
      <c r="A381" s="6" t="s">
        <v>1149</v>
      </c>
      <c r="B381" s="7" t="s">
        <v>1150</v>
      </c>
      <c r="C381" s="7" t="s">
        <v>1151</v>
      </c>
      <c r="D381" s="8" t="s">
        <v>10</v>
      </c>
      <c r="E381" s="13">
        <v>798</v>
      </c>
      <c r="F381" s="10"/>
      <c r="G381" s="11">
        <f t="shared" si="5"/>
        <v>0</v>
      </c>
      <c r="H381" s="19">
        <v>19.8</v>
      </c>
    </row>
    <row r="382" spans="1:8" x14ac:dyDescent="0.25">
      <c r="A382" s="6" t="s">
        <v>1152</v>
      </c>
      <c r="B382" s="7" t="s">
        <v>1153</v>
      </c>
      <c r="C382" s="7" t="s">
        <v>1154</v>
      </c>
      <c r="D382" s="8" t="s">
        <v>10</v>
      </c>
      <c r="E382" s="13">
        <v>2490</v>
      </c>
      <c r="F382" s="10"/>
      <c r="G382" s="11">
        <f t="shared" si="5"/>
        <v>0</v>
      </c>
      <c r="H382" s="19">
        <v>32.700000000000003</v>
      </c>
    </row>
    <row r="383" spans="1:8" x14ac:dyDescent="0.25">
      <c r="A383" s="6" t="s">
        <v>1155</v>
      </c>
      <c r="B383" s="7" t="s">
        <v>1156</v>
      </c>
      <c r="C383" s="7" t="s">
        <v>1157</v>
      </c>
      <c r="D383" s="8" t="s">
        <v>14</v>
      </c>
      <c r="E383" s="13">
        <v>475.80645161290323</v>
      </c>
      <c r="F383" s="10"/>
      <c r="G383" s="11">
        <f t="shared" si="5"/>
        <v>0</v>
      </c>
      <c r="H383" s="14">
        <v>35.1</v>
      </c>
    </row>
    <row r="384" spans="1:8" x14ac:dyDescent="0.25">
      <c r="A384" s="6" t="s">
        <v>1158</v>
      </c>
      <c r="B384" s="7" t="s">
        <v>1159</v>
      </c>
      <c r="C384" s="7" t="s">
        <v>1160</v>
      </c>
      <c r="D384" s="17" t="s">
        <v>47</v>
      </c>
      <c r="E384" s="18">
        <v>378</v>
      </c>
      <c r="F384" s="10"/>
      <c r="G384" s="11">
        <f t="shared" si="5"/>
        <v>0</v>
      </c>
      <c r="H384" s="19">
        <v>28</v>
      </c>
    </row>
    <row r="385" spans="1:8" x14ac:dyDescent="0.25">
      <c r="A385" s="6" t="s">
        <v>1161</v>
      </c>
      <c r="B385" s="7" t="s">
        <v>1162</v>
      </c>
      <c r="C385" s="7" t="s">
        <v>1163</v>
      </c>
      <c r="D385" s="8" t="s">
        <v>10</v>
      </c>
      <c r="E385" s="13">
        <v>840</v>
      </c>
      <c r="F385" s="10"/>
      <c r="G385" s="11">
        <f t="shared" si="5"/>
        <v>0</v>
      </c>
      <c r="H385" s="19">
        <v>29.7</v>
      </c>
    </row>
    <row r="386" spans="1:8" x14ac:dyDescent="0.25">
      <c r="A386" s="6" t="s">
        <v>1164</v>
      </c>
      <c r="B386" s="7" t="s">
        <v>1165</v>
      </c>
      <c r="C386" s="7" t="s">
        <v>1166</v>
      </c>
      <c r="D386" s="8" t="s">
        <v>10</v>
      </c>
      <c r="E386" s="13">
        <v>112.15</v>
      </c>
      <c r="F386" s="10"/>
      <c r="G386" s="11">
        <f t="shared" si="5"/>
        <v>0</v>
      </c>
      <c r="H386" s="19">
        <v>10.4</v>
      </c>
    </row>
    <row r="387" spans="1:8" x14ac:dyDescent="0.25">
      <c r="A387" s="6" t="s">
        <v>1167</v>
      </c>
      <c r="B387" s="7" t="s">
        <v>1168</v>
      </c>
      <c r="C387" s="7" t="s">
        <v>1169</v>
      </c>
      <c r="D387" s="8" t="s">
        <v>10</v>
      </c>
      <c r="E387" s="13">
        <v>830</v>
      </c>
      <c r="F387" s="10"/>
      <c r="G387" s="11">
        <f t="shared" ref="G387:G404" si="6">E387*F387</f>
        <v>0</v>
      </c>
      <c r="H387" s="19">
        <v>16.399999999999999</v>
      </c>
    </row>
    <row r="388" spans="1:8" x14ac:dyDescent="0.25">
      <c r="A388" s="6" t="s">
        <v>1170</v>
      </c>
      <c r="B388" s="7" t="s">
        <v>1171</v>
      </c>
      <c r="C388" s="7" t="s">
        <v>1172</v>
      </c>
      <c r="D388" s="8" t="s">
        <v>10</v>
      </c>
      <c r="E388" s="13">
        <v>240</v>
      </c>
      <c r="F388" s="10"/>
      <c r="G388" s="11">
        <f t="shared" si="6"/>
        <v>0</v>
      </c>
      <c r="H388" s="19">
        <v>15.2</v>
      </c>
    </row>
    <row r="389" spans="1:8" x14ac:dyDescent="0.25">
      <c r="A389" s="6" t="s">
        <v>1173</v>
      </c>
      <c r="B389" s="7" t="s">
        <v>1174</v>
      </c>
      <c r="C389" s="7" t="s">
        <v>1175</v>
      </c>
      <c r="D389" s="8" t="s">
        <v>10</v>
      </c>
      <c r="E389" s="13">
        <v>775</v>
      </c>
      <c r="F389" s="10"/>
      <c r="G389" s="11">
        <f t="shared" si="6"/>
        <v>0</v>
      </c>
      <c r="H389" s="19">
        <v>16.3</v>
      </c>
    </row>
    <row r="390" spans="1:8" x14ac:dyDescent="0.25">
      <c r="A390" s="6" t="s">
        <v>1176</v>
      </c>
      <c r="B390" s="7" t="s">
        <v>1177</v>
      </c>
      <c r="C390" s="7" t="s">
        <v>1178</v>
      </c>
      <c r="D390" s="8" t="s">
        <v>10</v>
      </c>
      <c r="E390" s="13">
        <v>325</v>
      </c>
      <c r="F390" s="10"/>
      <c r="G390" s="11">
        <f t="shared" si="6"/>
        <v>0</v>
      </c>
      <c r="H390" s="19">
        <v>9.9</v>
      </c>
    </row>
    <row r="391" spans="1:8" x14ac:dyDescent="0.25">
      <c r="A391" s="6" t="s">
        <v>1179</v>
      </c>
      <c r="B391" s="7" t="s">
        <v>1180</v>
      </c>
      <c r="C391" s="7" t="s">
        <v>1181</v>
      </c>
      <c r="D391" s="8" t="s">
        <v>10</v>
      </c>
      <c r="E391" s="13">
        <v>1220</v>
      </c>
      <c r="F391" s="10"/>
      <c r="G391" s="11">
        <f t="shared" si="6"/>
        <v>0</v>
      </c>
      <c r="H391" s="19">
        <v>48.2</v>
      </c>
    </row>
    <row r="392" spans="1:8" x14ac:dyDescent="0.25">
      <c r="A392" s="6" t="s">
        <v>1182</v>
      </c>
      <c r="B392" s="7" t="s">
        <v>1183</v>
      </c>
      <c r="C392" s="7" t="s">
        <v>763</v>
      </c>
      <c r="D392" s="8" t="s">
        <v>54</v>
      </c>
      <c r="E392" s="13">
        <v>344.55755677368836</v>
      </c>
      <c r="F392" s="10"/>
      <c r="G392" s="11">
        <f t="shared" si="6"/>
        <v>0</v>
      </c>
      <c r="H392" s="24">
        <v>11.9</v>
      </c>
    </row>
    <row r="393" spans="1:8" x14ac:dyDescent="0.25">
      <c r="A393" s="6" t="s">
        <v>1184</v>
      </c>
      <c r="B393" s="25"/>
      <c r="C393" s="7" t="s">
        <v>1185</v>
      </c>
      <c r="D393" s="8" t="s">
        <v>10</v>
      </c>
      <c r="E393" s="13">
        <v>420</v>
      </c>
      <c r="F393" s="10"/>
      <c r="G393" s="11">
        <f t="shared" si="6"/>
        <v>0</v>
      </c>
      <c r="H393" s="19"/>
    </row>
    <row r="394" spans="1:8" x14ac:dyDescent="0.25">
      <c r="A394" s="6" t="s">
        <v>1186</v>
      </c>
      <c r="B394" s="7" t="s">
        <v>1187</v>
      </c>
      <c r="C394" s="7" t="s">
        <v>1188</v>
      </c>
      <c r="D394" s="8" t="s">
        <v>10</v>
      </c>
      <c r="E394" s="13">
        <v>950</v>
      </c>
      <c r="F394" s="10"/>
      <c r="G394" s="11">
        <f t="shared" si="6"/>
        <v>0</v>
      </c>
      <c r="H394" s="19">
        <v>15</v>
      </c>
    </row>
    <row r="395" spans="1:8" x14ac:dyDescent="0.25">
      <c r="A395" s="6" t="s">
        <v>1189</v>
      </c>
      <c r="B395" s="7" t="s">
        <v>1190</v>
      </c>
      <c r="C395" s="7" t="s">
        <v>1191</v>
      </c>
      <c r="D395" s="8" t="s">
        <v>14</v>
      </c>
      <c r="E395" s="13">
        <v>653.22580645161293</v>
      </c>
      <c r="F395" s="10"/>
      <c r="G395" s="11">
        <f t="shared" si="6"/>
        <v>0</v>
      </c>
      <c r="H395" s="14">
        <v>113.1</v>
      </c>
    </row>
    <row r="396" spans="1:8" x14ac:dyDescent="0.25">
      <c r="A396" s="6" t="s">
        <v>1192</v>
      </c>
      <c r="B396" s="7" t="s">
        <v>1193</v>
      </c>
      <c r="C396" s="7" t="s">
        <v>1194</v>
      </c>
      <c r="D396" s="8" t="s">
        <v>10</v>
      </c>
      <c r="E396" s="13">
        <v>530</v>
      </c>
      <c r="F396" s="10"/>
      <c r="G396" s="11">
        <f t="shared" si="6"/>
        <v>0</v>
      </c>
      <c r="H396" s="19">
        <v>15</v>
      </c>
    </row>
    <row r="397" spans="1:8" x14ac:dyDescent="0.25">
      <c r="A397" s="6" t="s">
        <v>1195</v>
      </c>
      <c r="B397" s="7" t="s">
        <v>1196</v>
      </c>
      <c r="C397" s="7" t="s">
        <v>1197</v>
      </c>
      <c r="D397" s="8" t="s">
        <v>151</v>
      </c>
      <c r="E397" s="13">
        <v>232.71</v>
      </c>
      <c r="F397" s="10"/>
      <c r="G397" s="11">
        <f t="shared" si="6"/>
        <v>0</v>
      </c>
      <c r="H397" s="19">
        <v>10.9</v>
      </c>
    </row>
    <row r="398" spans="1:8" x14ac:dyDescent="0.25">
      <c r="A398" s="6" t="s">
        <v>1198</v>
      </c>
      <c r="B398" s="7" t="s">
        <v>1199</v>
      </c>
      <c r="C398" s="7" t="s">
        <v>1200</v>
      </c>
      <c r="D398" s="8" t="s">
        <v>151</v>
      </c>
      <c r="E398" s="13">
        <v>341.12</v>
      </c>
      <c r="F398" s="10"/>
      <c r="G398" s="11">
        <f t="shared" si="6"/>
        <v>0</v>
      </c>
      <c r="H398" s="19">
        <v>24.1</v>
      </c>
    </row>
    <row r="399" spans="1:8" x14ac:dyDescent="0.25">
      <c r="A399" s="6" t="s">
        <v>1201</v>
      </c>
      <c r="B399" s="7" t="s">
        <v>1202</v>
      </c>
      <c r="C399" s="7" t="s">
        <v>1203</v>
      </c>
      <c r="D399" s="8" t="s">
        <v>151</v>
      </c>
      <c r="E399" s="13">
        <v>252.34</v>
      </c>
      <c r="F399" s="10"/>
      <c r="G399" s="11">
        <f t="shared" si="6"/>
        <v>0</v>
      </c>
      <c r="H399" s="19">
        <v>16.3</v>
      </c>
    </row>
    <row r="400" spans="1:8" x14ac:dyDescent="0.25">
      <c r="A400" s="6" t="s">
        <v>1204</v>
      </c>
      <c r="B400" s="7" t="s">
        <v>1205</v>
      </c>
      <c r="C400" s="7" t="s">
        <v>1206</v>
      </c>
      <c r="D400" s="8" t="s">
        <v>10</v>
      </c>
      <c r="E400" s="13">
        <v>120.56</v>
      </c>
      <c r="F400" s="10"/>
      <c r="G400" s="11">
        <f t="shared" si="6"/>
        <v>0</v>
      </c>
      <c r="H400" s="19">
        <v>9.9</v>
      </c>
    </row>
    <row r="401" spans="1:8" x14ac:dyDescent="0.25">
      <c r="A401" s="6" t="s">
        <v>1207</v>
      </c>
      <c r="B401" s="7" t="s">
        <v>1208</v>
      </c>
      <c r="C401" s="7" t="s">
        <v>1209</v>
      </c>
      <c r="D401" s="8" t="s">
        <v>151</v>
      </c>
      <c r="E401" s="13">
        <v>556.07000000000005</v>
      </c>
      <c r="F401" s="10"/>
      <c r="G401" s="11">
        <f t="shared" si="6"/>
        <v>0</v>
      </c>
      <c r="H401" s="19">
        <v>29.7</v>
      </c>
    </row>
    <row r="402" spans="1:8" x14ac:dyDescent="0.25">
      <c r="A402" s="6" t="s">
        <v>1210</v>
      </c>
      <c r="B402" s="7" t="s">
        <v>1211</v>
      </c>
      <c r="C402" s="7" t="s">
        <v>1212</v>
      </c>
      <c r="D402" s="8" t="s">
        <v>151</v>
      </c>
      <c r="E402" s="13">
        <v>392.52</v>
      </c>
      <c r="F402" s="10"/>
      <c r="G402" s="11">
        <f t="shared" si="6"/>
        <v>0</v>
      </c>
      <c r="H402" s="19">
        <v>16.3</v>
      </c>
    </row>
    <row r="403" spans="1:8" x14ac:dyDescent="0.25">
      <c r="A403" s="6" t="s">
        <v>1213</v>
      </c>
      <c r="B403" s="7" t="s">
        <v>1214</v>
      </c>
      <c r="C403" s="7" t="s">
        <v>1215</v>
      </c>
      <c r="D403" s="8" t="s">
        <v>10</v>
      </c>
      <c r="E403" s="13">
        <v>998</v>
      </c>
      <c r="F403" s="10"/>
      <c r="G403" s="11">
        <f t="shared" si="6"/>
        <v>0</v>
      </c>
      <c r="H403" s="19">
        <v>10.9</v>
      </c>
    </row>
    <row r="404" spans="1:8" x14ac:dyDescent="0.25">
      <c r="A404" s="6" t="s">
        <v>1216</v>
      </c>
      <c r="B404" s="7" t="s">
        <v>1217</v>
      </c>
      <c r="C404" s="7" t="s">
        <v>1218</v>
      </c>
      <c r="D404" s="17" t="s">
        <v>47</v>
      </c>
      <c r="E404" s="18">
        <v>970</v>
      </c>
      <c r="F404" s="10"/>
      <c r="G404" s="11">
        <f t="shared" si="6"/>
        <v>0</v>
      </c>
      <c r="H404" s="19">
        <v>48</v>
      </c>
    </row>
    <row r="407" spans="1:8" ht="13" x14ac:dyDescent="0.3">
      <c r="D407" s="38" t="s">
        <v>1219</v>
      </c>
      <c r="F407" s="39">
        <f>SUM(F2:F404)</f>
        <v>0</v>
      </c>
      <c r="G407" s="40">
        <f>SUM(G2:G404)</f>
        <v>0</v>
      </c>
    </row>
  </sheetData>
  <phoneticPr fontId="0" type="noConversion"/>
  <pageMargins left="0.75" right="0.75" top="1" bottom="1" header="0.4921259845" footer="0.492125984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BertelsmannSpringer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BertelsmannSpringer</dc:creator>
  <cp:lastModifiedBy>Carina Negreanu</cp:lastModifiedBy>
  <dcterms:created xsi:type="dcterms:W3CDTF">2003-02-08T12:46:15Z</dcterms:created>
  <dcterms:modified xsi:type="dcterms:W3CDTF">2020-01-27T12:41:38Z</dcterms:modified>
</cp:coreProperties>
</file>